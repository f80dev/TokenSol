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D736E2BD-48BD-4D8D-93F3-EB87D670CFFD}" xr6:coauthVersionLast="47" xr6:coauthVersionMax="47" xr10:uidLastSave="{00000000-0000-0000-0000-000000000000}"/>
  <bookViews>
    <workbookView xWindow="28680" yWindow="-120" windowWidth="29040" windowHeight="15840" activeTab="1" xr2:uid="{A46472A9-C1E5-4C6F-87BB-3A30BD91F622}"/>
  </bookViews>
  <sheets>
    <sheet name="Token" sheetId="1" r:id="rId1"/>
    <sheet name="ToMint" sheetId="2" r:id="rId2"/>
    <sheet name="Settin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4" i="2"/>
  <c r="K73" i="2"/>
  <c r="K7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E4" i="2"/>
  <c r="T7" i="2"/>
  <c r="R10" i="2"/>
  <c r="T15" i="2"/>
  <c r="R18" i="2"/>
  <c r="T23" i="2"/>
  <c r="R26" i="2"/>
  <c r="T31" i="2"/>
  <c r="R34" i="2"/>
  <c r="T39" i="2"/>
  <c r="R42" i="2"/>
  <c r="T47" i="2"/>
  <c r="R50" i="2"/>
  <c r="T55" i="2"/>
  <c r="R58" i="2"/>
  <c r="T63" i="2"/>
  <c r="R66" i="2"/>
  <c r="T71" i="2"/>
  <c r="R74" i="2"/>
  <c r="Q59" i="2"/>
  <c r="S7" i="2"/>
  <c r="X52" i="2"/>
  <c r="Q5" i="2"/>
  <c r="X7" i="2"/>
  <c r="S10" i="2"/>
  <c r="Q13" i="2"/>
  <c r="X15" i="2"/>
  <c r="S18" i="2"/>
  <c r="Q21" i="2"/>
  <c r="X23" i="2"/>
  <c r="S26" i="2"/>
  <c r="Q29" i="2"/>
  <c r="X31" i="2"/>
  <c r="S34" i="2"/>
  <c r="Q37" i="2"/>
  <c r="X39" i="2"/>
  <c r="S42" i="2"/>
  <c r="Q45" i="2"/>
  <c r="X47" i="2"/>
  <c r="S50" i="2"/>
  <c r="Q53" i="2"/>
  <c r="X55" i="2"/>
  <c r="S58" i="2"/>
  <c r="Q61" i="2"/>
  <c r="X63" i="2"/>
  <c r="S66" i="2"/>
  <c r="Q69" i="2"/>
  <c r="X71" i="2"/>
  <c r="S74" i="2"/>
  <c r="X74" i="2"/>
  <c r="X45" i="2"/>
  <c r="S64" i="2"/>
  <c r="R39" i="2"/>
  <c r="X20" i="2"/>
  <c r="S47" i="2"/>
  <c r="R5" i="2"/>
  <c r="T10" i="2"/>
  <c r="R13" i="2"/>
  <c r="T18" i="2"/>
  <c r="R21" i="2"/>
  <c r="T26" i="2"/>
  <c r="R29" i="2"/>
  <c r="T34" i="2"/>
  <c r="R37" i="2"/>
  <c r="T42" i="2"/>
  <c r="R45" i="2"/>
  <c r="T50" i="2"/>
  <c r="R53" i="2"/>
  <c r="T58" i="2"/>
  <c r="R61" i="2"/>
  <c r="T66" i="2"/>
  <c r="R69" i="2"/>
  <c r="T74" i="2"/>
  <c r="Q72" i="2"/>
  <c r="Q51" i="2"/>
  <c r="Q67" i="2"/>
  <c r="T36" i="2"/>
  <c r="X28" i="2"/>
  <c r="S55" i="2"/>
  <c r="S5" i="2"/>
  <c r="Q8" i="2"/>
  <c r="X10" i="2"/>
  <c r="S13" i="2"/>
  <c r="Q16" i="2"/>
  <c r="X18" i="2"/>
  <c r="S21" i="2"/>
  <c r="Q24" i="2"/>
  <c r="X26" i="2"/>
  <c r="S29" i="2"/>
  <c r="Q32" i="2"/>
  <c r="X34" i="2"/>
  <c r="S37" i="2"/>
  <c r="Q40" i="2"/>
  <c r="X42" i="2"/>
  <c r="S45" i="2"/>
  <c r="Q48" i="2"/>
  <c r="X50" i="2"/>
  <c r="S53" i="2"/>
  <c r="Q56" i="2"/>
  <c r="X58" i="2"/>
  <c r="S61" i="2"/>
  <c r="Q64" i="2"/>
  <c r="X66" i="2"/>
  <c r="S69" i="2"/>
  <c r="X53" i="2"/>
  <c r="S72" i="2"/>
  <c r="R71" i="2"/>
  <c r="Q42" i="2"/>
  <c r="Q74" i="2"/>
  <c r="T5" i="2"/>
  <c r="R8" i="2"/>
  <c r="T13" i="2"/>
  <c r="R16" i="2"/>
  <c r="T21" i="2"/>
  <c r="R24" i="2"/>
  <c r="T29" i="2"/>
  <c r="R32" i="2"/>
  <c r="T37" i="2"/>
  <c r="R40" i="2"/>
  <c r="T45" i="2"/>
  <c r="R48" i="2"/>
  <c r="T53" i="2"/>
  <c r="R56" i="2"/>
  <c r="T61" i="2"/>
  <c r="R64" i="2"/>
  <c r="T69" i="2"/>
  <c r="R72" i="2"/>
  <c r="X37" i="2"/>
  <c r="Q43" i="2"/>
  <c r="S56" i="2"/>
  <c r="X69" i="2"/>
  <c r="R31" i="2"/>
  <c r="S31" i="2"/>
  <c r="Q66" i="2"/>
  <c r="X5" i="2"/>
  <c r="S8" i="2"/>
  <c r="Q11" i="2"/>
  <c r="X13" i="2"/>
  <c r="S16" i="2"/>
  <c r="Q19" i="2"/>
  <c r="X21" i="2"/>
  <c r="S24" i="2"/>
  <c r="Q27" i="2"/>
  <c r="X29" i="2"/>
  <c r="S32" i="2"/>
  <c r="Q35" i="2"/>
  <c r="S40" i="2"/>
  <c r="S48" i="2"/>
  <c r="X61" i="2"/>
  <c r="T28" i="2"/>
  <c r="T68" i="2"/>
  <c r="S39" i="2"/>
  <c r="T8" i="2"/>
  <c r="R11" i="2"/>
  <c r="T16" i="2"/>
  <c r="R19" i="2"/>
  <c r="T24" i="2"/>
  <c r="R27" i="2"/>
  <c r="T32" i="2"/>
  <c r="R35" i="2"/>
  <c r="T40" i="2"/>
  <c r="R43" i="2"/>
  <c r="T48" i="2"/>
  <c r="R51" i="2"/>
  <c r="T56" i="2"/>
  <c r="R59" i="2"/>
  <c r="T64" i="2"/>
  <c r="R67" i="2"/>
  <c r="T72" i="2"/>
  <c r="R47" i="2"/>
  <c r="Q18" i="2"/>
  <c r="Q50" i="2"/>
  <c r="Q6" i="2"/>
  <c r="X8" i="2"/>
  <c r="S11" i="2"/>
  <c r="Q14" i="2"/>
  <c r="X16" i="2"/>
  <c r="S19" i="2"/>
  <c r="Q22" i="2"/>
  <c r="X24" i="2"/>
  <c r="S27" i="2"/>
  <c r="Q30" i="2"/>
  <c r="X32" i="2"/>
  <c r="S35" i="2"/>
  <c r="Q38" i="2"/>
  <c r="X40" i="2"/>
  <c r="S43" i="2"/>
  <c r="Q46" i="2"/>
  <c r="X48" i="2"/>
  <c r="S51" i="2"/>
  <c r="Q54" i="2"/>
  <c r="X56" i="2"/>
  <c r="S59" i="2"/>
  <c r="Q62" i="2"/>
  <c r="X64" i="2"/>
  <c r="S67" i="2"/>
  <c r="Q70" i="2"/>
  <c r="X72" i="2"/>
  <c r="T44" i="2"/>
  <c r="S15" i="2"/>
  <c r="S71" i="2"/>
  <c r="R6" i="2"/>
  <c r="T11" i="2"/>
  <c r="R14" i="2"/>
  <c r="T19" i="2"/>
  <c r="R22" i="2"/>
  <c r="T27" i="2"/>
  <c r="R30" i="2"/>
  <c r="T35" i="2"/>
  <c r="R38" i="2"/>
  <c r="T43" i="2"/>
  <c r="R46" i="2"/>
  <c r="T51" i="2"/>
  <c r="R54" i="2"/>
  <c r="T59" i="2"/>
  <c r="R62" i="2"/>
  <c r="T67" i="2"/>
  <c r="R70" i="2"/>
  <c r="X67" i="2"/>
  <c r="Q73" i="2"/>
  <c r="Q68" i="2"/>
  <c r="R23" i="2"/>
  <c r="R63" i="2"/>
  <c r="Q34" i="2"/>
  <c r="S6" i="2"/>
  <c r="Q9" i="2"/>
  <c r="X11" i="2"/>
  <c r="S14" i="2"/>
  <c r="Q17" i="2"/>
  <c r="X19" i="2"/>
  <c r="S22" i="2"/>
  <c r="Q25" i="2"/>
  <c r="X27" i="2"/>
  <c r="S30" i="2"/>
  <c r="Q33" i="2"/>
  <c r="X35" i="2"/>
  <c r="S38" i="2"/>
  <c r="Q41" i="2"/>
  <c r="X43" i="2"/>
  <c r="S46" i="2"/>
  <c r="Q49" i="2"/>
  <c r="X51" i="2"/>
  <c r="S54" i="2"/>
  <c r="Q57" i="2"/>
  <c r="X59" i="2"/>
  <c r="S62" i="2"/>
  <c r="Q65" i="2"/>
  <c r="S70" i="2"/>
  <c r="T70" i="2"/>
  <c r="X70" i="2"/>
  <c r="R7" i="2"/>
  <c r="X12" i="2"/>
  <c r="X44" i="2"/>
  <c r="T6" i="2"/>
  <c r="R9" i="2"/>
  <c r="T14" i="2"/>
  <c r="R17" i="2"/>
  <c r="T22" i="2"/>
  <c r="R25" i="2"/>
  <c r="T30" i="2"/>
  <c r="R33" i="2"/>
  <c r="T38" i="2"/>
  <c r="R41" i="2"/>
  <c r="T46" i="2"/>
  <c r="R49" i="2"/>
  <c r="T54" i="2"/>
  <c r="R57" i="2"/>
  <c r="T62" i="2"/>
  <c r="R65" i="2"/>
  <c r="R73" i="2"/>
  <c r="Q71" i="2"/>
  <c r="R55" i="2"/>
  <c r="Q10" i="2"/>
  <c r="Q58" i="2"/>
  <c r="X6" i="2"/>
  <c r="S9" i="2"/>
  <c r="Q12" i="2"/>
  <c r="X14" i="2"/>
  <c r="S17" i="2"/>
  <c r="Q20" i="2"/>
  <c r="X22" i="2"/>
  <c r="S25" i="2"/>
  <c r="Q28" i="2"/>
  <c r="X30" i="2"/>
  <c r="S33" i="2"/>
  <c r="Q36" i="2"/>
  <c r="X38" i="2"/>
  <c r="S41" i="2"/>
  <c r="Q44" i="2"/>
  <c r="X46" i="2"/>
  <c r="S49" i="2"/>
  <c r="Q52" i="2"/>
  <c r="X54" i="2"/>
  <c r="S57" i="2"/>
  <c r="Q60" i="2"/>
  <c r="X62" i="2"/>
  <c r="S65" i="2"/>
  <c r="S73" i="2"/>
  <c r="T12" i="2"/>
  <c r="T52" i="2"/>
  <c r="Q26" i="2"/>
  <c r="X68" i="2"/>
  <c r="T9" i="2"/>
  <c r="R12" i="2"/>
  <c r="T17" i="2"/>
  <c r="R20" i="2"/>
  <c r="T25" i="2"/>
  <c r="R28" i="2"/>
  <c r="T33" i="2"/>
  <c r="R36" i="2"/>
  <c r="T41" i="2"/>
  <c r="R44" i="2"/>
  <c r="T49" i="2"/>
  <c r="R52" i="2"/>
  <c r="T57" i="2"/>
  <c r="R60" i="2"/>
  <c r="T65" i="2"/>
  <c r="R68" i="2"/>
  <c r="T73" i="2"/>
  <c r="X49" i="2"/>
  <c r="Q55" i="2"/>
  <c r="S60" i="2"/>
  <c r="X65" i="2"/>
  <c r="X73" i="2"/>
  <c r="T20" i="2"/>
  <c r="T60" i="2"/>
  <c r="X36" i="2"/>
  <c r="S63" i="2"/>
  <c r="Q7" i="2"/>
  <c r="X9" i="2"/>
  <c r="S12" i="2"/>
  <c r="Q15" i="2"/>
  <c r="X17" i="2"/>
  <c r="S20" i="2"/>
  <c r="Q23" i="2"/>
  <c r="X25" i="2"/>
  <c r="S28" i="2"/>
  <c r="Q31" i="2"/>
  <c r="X33" i="2"/>
  <c r="S36" i="2"/>
  <c r="Q39" i="2"/>
  <c r="X41" i="2"/>
  <c r="S44" i="2"/>
  <c r="Q47" i="2"/>
  <c r="S52" i="2"/>
  <c r="X57" i="2"/>
  <c r="Q63" i="2"/>
  <c r="S68" i="2"/>
  <c r="R15" i="2"/>
  <c r="S23" i="2"/>
  <c r="X60" i="2"/>
  <c r="S4" i="2"/>
  <c r="R4" i="2"/>
  <c r="X4" i="2"/>
  <c r="T4" i="2"/>
  <c r="Q4" i="2"/>
  <c r="P63" i="2" l="1"/>
  <c r="P47" i="2"/>
  <c r="P39" i="2"/>
  <c r="P31" i="2"/>
  <c r="P23" i="2"/>
  <c r="P15" i="2"/>
  <c r="P7" i="2"/>
  <c r="P55" i="2"/>
  <c r="P26" i="2"/>
  <c r="P60" i="2"/>
  <c r="P52" i="2"/>
  <c r="P44" i="2"/>
  <c r="P36" i="2"/>
  <c r="P28" i="2"/>
  <c r="P20" i="2"/>
  <c r="P12" i="2"/>
  <c r="P58" i="2"/>
  <c r="P10" i="2"/>
  <c r="P71" i="2"/>
  <c r="P65" i="2"/>
  <c r="P57" i="2"/>
  <c r="P49" i="2"/>
  <c r="P41" i="2"/>
  <c r="P33" i="2"/>
  <c r="P25" i="2"/>
  <c r="P17" i="2"/>
  <c r="P9" i="2"/>
  <c r="P34" i="2"/>
  <c r="P68" i="2"/>
  <c r="P73" i="2"/>
  <c r="P70" i="2"/>
  <c r="P62" i="2"/>
  <c r="P54" i="2"/>
  <c r="P46" i="2"/>
  <c r="P38" i="2"/>
  <c r="P30" i="2"/>
  <c r="P22" i="2"/>
  <c r="P14" i="2"/>
  <c r="P6" i="2"/>
  <c r="P50" i="2"/>
  <c r="P18" i="2"/>
  <c r="P35" i="2"/>
  <c r="P27" i="2"/>
  <c r="P19" i="2"/>
  <c r="P11" i="2"/>
  <c r="P66" i="2"/>
  <c r="P43" i="2"/>
  <c r="P74" i="2"/>
  <c r="P42" i="2"/>
  <c r="P64" i="2"/>
  <c r="P56" i="2"/>
  <c r="P48" i="2"/>
  <c r="P40" i="2"/>
  <c r="P32" i="2"/>
  <c r="P24" i="2"/>
  <c r="P16" i="2"/>
  <c r="P8" i="2"/>
  <c r="P67" i="2"/>
  <c r="P51" i="2"/>
  <c r="P72" i="2"/>
  <c r="P69" i="2"/>
  <c r="P61" i="2"/>
  <c r="P53" i="2"/>
  <c r="P45" i="2"/>
  <c r="P37" i="2"/>
  <c r="P29" i="2"/>
  <c r="P21" i="2"/>
  <c r="P13" i="2"/>
  <c r="P5" i="2"/>
  <c r="P59" i="2"/>
  <c r="P4" i="2"/>
</calcChain>
</file>

<file path=xl/sharedStrings.xml><?xml version="1.0" encoding="utf-8"?>
<sst xmlns="http://schemas.openxmlformats.org/spreadsheetml/2006/main" count="305" uniqueCount="139">
  <si>
    <t>seller_fee_basis_points</t>
  </si>
  <si>
    <t>image</t>
  </si>
  <si>
    <t>trait_type</t>
  </si>
  <si>
    <t>value</t>
  </si>
  <si>
    <t>address</t>
  </si>
  <si>
    <t>verified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</si>
  <si>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</si>
  <si>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</si>
  <si>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</si>
  <si>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</si>
  <si>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</si>
  <si>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</si>
  <si>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</si>
  <si>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</si>
  <si>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</si>
  <si>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</si>
  <si>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</si>
  <si>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</si>
  <si>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</si>
  <si>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</si>
  <si>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</si>
  <si>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</si>
  <si>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</si>
  <si>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</si>
  <si>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</si>
  <si>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</si>
  <si>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</si>
  <si>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</si>
  <si>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</si>
  <si>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</si>
  <si>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http://localhost:4242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</si>
  <si>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</si>
  <si>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</si>
  <si>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</si>
  <si>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</si>
  <si>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</si>
  <si>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</si>
  <si>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</si>
  <si>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</si>
  <si>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</si>
  <si>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</si>
  <si>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</si>
  <si>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Signer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</si>
  <si>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</si>
  <si>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</si>
  <si>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</si>
  <si>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</si>
  <si>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</si>
  <si>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</si>
  <si>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</si>
  <si>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</si>
  <si>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</si>
  <si>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</si>
  <si>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</si>
  <si>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</si>
  <si>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</si>
  <si>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</si>
  <si>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</si>
  <si>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</si>
  <si>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</si>
  <si>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</si>
  <si>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https://bafkreieo2qhxipegtregxjt6d6ua5izbduybk2serl357r5sjy5cedbzam.ipfs.nftstorage.link?ext=png</t>
  </si>
  <si>
    <t>https://bafybeihvjr73zcwvfbsqzy5odznulrtgntk5fe33b6mhj4d73batj67cxq.ipfs.nftstorage.link?ext=mp4</t>
  </si>
  <si>
    <t>video/mp4</t>
  </si>
  <si>
    <t>NFluenTGallery</t>
  </si>
  <si>
    <t>Résultat d'execution</t>
  </si>
  <si>
    <t>Elrond_devnet</t>
  </si>
  <si>
    <t>Elrond_mainnet</t>
  </si>
  <si>
    <t>TestCollect</t>
  </si>
  <si>
    <t>Test1</t>
  </si>
  <si>
    <t>Test2</t>
  </si>
  <si>
    <t>avantage6</t>
  </si>
  <si>
    <t>2 affiche dédicacée et numérotée</t>
  </si>
  <si>
    <t>nombre de Pass2025</t>
  </si>
  <si>
    <t>avantage10</t>
  </si>
  <si>
    <t>https://bafybeihvjr73zcwvfbsqzy5odznulrtgntk5fe33b6mhj4d73batj67cxq.ipfs.nftstorage.link?ext=mp5</t>
  </si>
  <si>
    <t>video/mp5</t>
  </si>
  <si>
    <t>Test3</t>
  </si>
  <si>
    <t>avantage7</t>
  </si>
  <si>
    <t>3 affiche dédicacée et numérotée</t>
  </si>
  <si>
    <t>nombre de Pass2026</t>
  </si>
  <si>
    <t>avantage11</t>
  </si>
  <si>
    <t>https://bafybeihvjr73zcwvfbsqzy5odznulrtgntk5fe33b6mhj4d73batj67cxq.ipfs.nftstorage.link?ext=mp6</t>
  </si>
  <si>
    <t>video/mp6</t>
  </si>
  <si>
    <t>Test4</t>
  </si>
  <si>
    <t>avantage8</t>
  </si>
  <si>
    <t>4 affiche dédicacée et numérotée</t>
  </si>
  <si>
    <t>nombre de Pass2027</t>
  </si>
  <si>
    <t>avantage12</t>
  </si>
  <si>
    <t>https://bafybeihvjr73zcwvfbsqzy5odznulrtgntk5fe33b6mhj4d73batj67cxq.ipfs.nftstorage.link?ext=mp7</t>
  </si>
  <si>
    <t>video/mp7</t>
  </si>
  <si>
    <t>Test5</t>
  </si>
  <si>
    <t>5 affiche dédicacée et numérotée</t>
  </si>
  <si>
    <t>nombre de Pass2028</t>
  </si>
  <si>
    <t>avantage13</t>
  </si>
  <si>
    <t>https://bafybeihvjr73zcwvfbsqzy5odznulrtgntk5fe33b6mhj4d73batj67cxq.ipfs.nftstorage.link?ext=mp8</t>
  </si>
  <si>
    <t>video/mp8</t>
  </si>
  <si>
    <t>Test6</t>
  </si>
  <si>
    <t>6 affiche dédicacée et numérotée</t>
  </si>
  <si>
    <t>nombre de Pass2029</t>
  </si>
  <si>
    <t>avantage14</t>
  </si>
  <si>
    <t>https://bafybeihvjr73zcwvfbsqzy5odznulrtgntk5fe33b6mhj4d73batj67cxq.ipfs.nftstorage.link?ext=mp9</t>
  </si>
  <si>
    <t>video/mp9</t>
  </si>
  <si>
    <t>Test7</t>
  </si>
  <si>
    <t>7 affiche dédicacée et numérotée</t>
  </si>
  <si>
    <t>nombre de Pass2030</t>
  </si>
  <si>
    <t>avantage15</t>
  </si>
  <si>
    <t>https://bafybeihvjr73zcwvfbsqzy5odznulrtgntk5fe33b6mhj4d73batj67cxq.ipfs.nftstorage.link?ext=mp10</t>
  </si>
  <si>
    <t>video/mp10</t>
  </si>
  <si>
    <t>Solde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</si>
  <si>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</si>
  <si>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</si>
  <si>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</si>
  <si>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</si>
  <si>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</si>
  <si>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</si>
  <si>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</si>
  <si>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metaboss.exe mint one  --keypair ./Keys/paul.json --log-level info -r https://api.devnet.solana.com --nft-data-file ./Temp/to_mint_1650470023.862512.json</t>
  </si>
  <si>
    <t xml:space="preserve">[2022-04-20T15:53:43Z WARN  metaboss] Using a public RPC URL is not recommended for heavy tasks as you will be rate-limited and suffer a performance hit._x000D_
            Please use a private RPC endpoint for best performance results._x000D_
[2022-04-20T15:53:45Z INFO  metaboss::mint] Tx id: eDqdCciV3EFV67URTTB8wyddBPhqzzY6D1pErnFWGRQcr6qM9Kqjozytb9cAqtBvMasXSKvhfiunGdQcHG574j1_x000D_
    Mint account: FEjcw4PyoW3HEnqNXhmbeZwbq7gWyQQFFXARURsn2fEF_x000D_
Tx id: eDqdCciV3EFV67URTTB8wyddBPhqzzY6D1pErnFWGRQcr6qM9Kqjozytb9cAqtBvMasXSKvhfiunGdQcHG574j1_x000D_
Mint account: FEjcw4PyoW3HEnqNXhmbeZwbq7gWyQQFFXARURsn2fEF_x000D_
Done!_x000D_
</t>
  </si>
  <si>
    <t>FEjcw4PyoW3HEnqNXhmbeZwbq7gWyQQFFXARURsn2fEF</t>
  </si>
  <si>
    <t>metaboss.exe mint one  --keypair ./Keys/paul.json --log-level info -r https://api.devnet.solana.com --nft-data-file ./Temp/to_mint_1650470028.421363.json</t>
  </si>
  <si>
    <t xml:space="preserve">[2022-04-20T15:53:48Z WARN  metaboss] Using a public RPC URL is not recommended for heavy tasks as you will be rate-limited and suffer a performance hit._x000D_
            Please use a private RPC endpoint for best performance results._x000D_
[2022-04-20T15:53:49Z INFO  metaboss::mint] Tx id: 2oaRcjvzCZbd6JZaZBhg8oVcaZxVCVVHjMzxSUgsX4nqnYQVDXKZ4EyxLBHPLLNyBrMonxzUVkRorzhVS62pvgJP_x000D_
    Mint account: G1ER9oq7yjaPHcYy8ZersmB6HQviWFC6SyoHesiDK1n2_x000D_
Tx id: 2oaRcjvzCZbd6JZaZBhg8oVcaZxVCVVHjMzxSUgsX4nqnYQVDXKZ4EyxLBHPLLNyBrMonxzUVkRorzhVS62pvgJP_x000D_
Mint account: G1ER9oq7yjaPHcYy8ZersmB6HQviWFC6SyoHesiDK1n2_x000D_
Done!_x000D_
</t>
  </si>
  <si>
    <t>G1ER9oq7yjaPHcYy8ZersmB6HQviWFC6SyoHesiDK1n2</t>
  </si>
  <si>
    <t>metaboss.exe mint one  --keypair ./Keys/paul.json --log-level info -r https://api.devnet.solana.com --nft-data-file ./Temp/to_mint_1650470033.040187.json</t>
  </si>
  <si>
    <t xml:space="preserve">[2022-04-20T15:53:53Z WARN  metaboss] Using a public RPC URL is not recommended for heavy tasks as you will be rate-limited and suffer a performance hit._x000D_
            Please use a private RPC endpoint for best performance results._x000D_
[2022-04-20T15:53:54Z INFO  metaboss::mint] Tx id: 2Hjh7gixsWLsTLyw1QDAFHGBj5PeT7Na8p1HmVGYdq4TQGUgHg3BkxKJgfe4CAvxqyR1pmaLzRzngrBLADNc2hR1_x000D_
    Mint account: EPpr15oZ65J8X4YmjYEa2HAFDUu17KjTRJRHvgQ3NEfb_x000D_
Tx id: 2Hjh7gixsWLsTLyw1QDAFHGBj5PeT7Na8p1HmVGYdq4TQGUgHg3BkxKJgfe4CAvxqyR1pmaLzRzngrBLADNc2hR1_x000D_
Mint account: EPpr15oZ65J8X4YmjYEa2HAFDUu17KjTRJRHvgQ3NEfb_x000D_
Done!_x000D_
</t>
  </si>
  <si>
    <t>EPpr15oZ65J8X4YmjYEa2HAFDUu17KjTRJRHvgQ3NEfb</t>
  </si>
  <si>
    <t>metaboss.exe mint one  --keypair ./Keys/paul.json --log-level info -r https://api.devnet.solana.com --nft-data-file ./Temp/to_mint_1650470037.986499.json</t>
  </si>
  <si>
    <t xml:space="preserve">[2022-04-20T15:53:58Z WARN  metaboss] Using a public RPC URL is not recommended for heavy tasks as you will be rate-limited and suffer a performance hit._x000D_
            Please use a private RPC endpoint for best performance results._x000D_
[2022-04-20T15:53:59Z INFO  metaboss::mint] Tx id: 4B8rv131NkHdsEGVNRgyUb1RwR16WidcxSnkeEqTSCzvtB36T4pkRWY6ffZ7aBPPoUK7a3nax3a4q8GVPNvTD9cM_x000D_
    Mint account: 5Ngr4KqBJih8fgxYqkqnydWYD5gc7YPKzEj67TXA7YYa_x000D_
Tx id: 4B8rv131NkHdsEGVNRgyUb1RwR16WidcxSnkeEqTSCzvtB36T4pkRWY6ffZ7aBPPoUK7a3nax3a4q8GVPNvTD9cM_x000D_
Mint account: 5Ngr4KqBJih8fgxYqkqnydWYD5gc7YPKzEj67TXA7YYa_x000D_
Done!_x000D_
</t>
  </si>
  <si>
    <t>5Ngr4KqBJih8fgxYqkqnydWYD5gc7YPKzEj67TXA7YYa</t>
  </si>
  <si>
    <t>metaboss.exe mint one  --keypair ./Keys/paul.json --log-level info -r https://api.devnet.solana.com --nft-data-file ./Temp/to_mint_1650470042.373031.json</t>
  </si>
  <si>
    <t xml:space="preserve">[2022-04-20T15:54:02Z WARN  metaboss] Using a public RPC URL is not recommended for heavy tasks as you will be rate-limited and suffer a performance hit._x000D_
            Please use a private RPC endpoint for best performance results._x000D_
[2022-04-20T15:54:04Z INFO  metaboss::mint] Tx id: FNjTosReSGop46r97tsHDTnLGVNx9jg5TDTx76SLTjNHdLSop4pu2HiEs5Az3dxayAxrkY4kx4w6xbRePwvqdVE_x000D_
    Mint account: 3c53hJy9hrtQPN6pq7LTWAdBpYxZtSRyqA2jniKBvjeM_x000D_
Tx id: FNjTosReSGop46r97tsHDTnLGVNx9jg5TDTx76SLTjNHdLSop4pu2HiEs5Az3dxayAxrkY4kx4w6xbRePwvqdVE_x000D_
Mint account: 3c53hJy9hrtQPN6pq7LTWAdBpYxZtSRyqA2jniKBvjeM_x000D_
Done!_x000D_
</t>
  </si>
  <si>
    <t>3c53hJy9hrtQPN6pq7LTWAdBpYxZtSRyqA2jniKBvjeM</t>
  </si>
  <si>
    <t>metaboss.exe mint one  --keypair ./Keys/paul.json --log-level info -r https://api.devnet.solana.com --nft-data-file ./Temp/to_mint_1650470047.315942.json</t>
  </si>
  <si>
    <t xml:space="preserve">[2022-04-20T15:54:07Z WARN  metaboss] Using a public RPC URL is not recommended for heavy tasks as you will be rate-limited and suffer a performance hit._x000D_
            Please use a private RPC endpoint for best performance results._x000D_
[2022-04-20T15:54:08Z INFO  metaboss::mint] Tx id: 3nJbsqG33Bhj1m6f45MqFaJChxN1XWr3TovcWon9Br2Hw2Zfkhy7DgScX9z97CiXM6ZPRwu85EtYJ3wGvxxEMjU_x000D_
    Mint account: FKWP4BdkMkJw6rckwa2QCAw1RQjvGFW8KT9mXkb9jFcQ_x000D_
Tx id: 3nJbsqG33Bhj1m6f45MqFaJChxN1XWr3TovcWon9Br2Hw2Zfkhy7DgScX9z97CiXM6ZPRwu85EtYJ3wGvxxEMjU_x000D_
Mint account: FKWP4BdkMkJw6rckwa2QCAw1RQjvGFW8KT9mXkb9jFcQ_x000D_
Done!_x000D_
</t>
  </si>
  <si>
    <t>FKWP4BdkMkJw6rckwa2QCAw1RQjvGFW8KT9mXkb9jFcQ</t>
  </si>
  <si>
    <t>metaboss.exe mint one  --keypair ./Keys/paul.json --log-level info -r https://api.devnet.solana.com --nft-data-file ./Temp/to_mint_1650470052.217059.json</t>
  </si>
  <si>
    <t xml:space="preserve">[2022-04-20T15:54:12Z WARN  metaboss] Using a public RPC URL is not recommended for heavy tasks as you will be rate-limited and suffer a performance hit._x000D_
            Please use a private RPC endpoint for best performance results._x000D_
[2022-04-20T15:54:13Z INFO  metaboss::mint] Tx id: 53TydqRG5xWEz9XMyUQ85p6AX1yJpsbn5yWEb9o1gQe4osixpbPNqAh43sWckYMt8tveH9GuuTwccfijnqPtZjp3_x000D_
    Mint account: 2rjNLP5PKZGhhLxpvCSfceHXPFjvbzvkASiowkksUg5h_x000D_
Tx id: 53TydqRG5xWEz9XMyUQ85p6AX1yJpsbn5yWEb9o1gQe4osixpbPNqAh43sWckYMt8tveH9GuuTwccfijnqPtZjp3_x000D_
Mint account: 2rjNLP5PKZGhhLxpvCSfceHXPFjvbzvkASiowkksUg5h_x000D_
Done!_x000D_
</t>
  </si>
  <si>
    <t>2rjNLP5PKZGhhLxpvCSfceHXPFjvbzvkASiowkksUg5h</t>
  </si>
  <si>
    <t>Cout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</si>
</sst>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13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5" borderId="0" xfId="3" applyAlignment="1">
      <alignment horizontal="center"/>
    </xf>
    <xf numFmtId="0" fontId="0" fillId="0" borderId="0" xfId="0" applyFont="1" applyAlignment="1">
      <alignment horizont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22" fontId="7" fillId="0" borderId="0" xfId="0" applyNumberFormat="1" applyFont="1" applyAlignment="1">
      <alignment horizontal="center" wrapText="1"/>
    </xf>
    <xf numFmtId="22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7" fillId="0" borderId="0" xfId="0" applyFont="1" applyAlignment="1">
      <alignment horizontal="center" wrapText="1"/>
    </xf>
    <xf numFmtId="0" fontId="4" fillId="0" borderId="0" xfId="2" applyAlignment="1">
      <alignment wrapText="1"/>
    </xf>
    <xf numFmtId="164" fontId="7" fillId="0" borderId="0" xfId="0" applyNumberFormat="1" applyFont="1" applyAlignment="1">
      <alignment horizontal="center"/>
    </xf>
  </cellXfs>
  <cellStyles count="5">
    <cellStyle name="Accent1" xfId="3" builtinId="29"/>
    <cellStyle name="Accent2" xfId="4" builtinId="33"/>
    <cellStyle name="Accent3" xfId="1" builtinId="37"/>
    <cellStyle name="Lien hypertexte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121227</xdr:colOff>
          <xdr:row>0</xdr:row>
          <xdr:rowOff>93519</xdr:rowOff>
        </xdr:from>
        <xdr:to>
          <xdr:col>4</xdr:col>
          <xdr:colOff>1251427</xdr:colOff>
          <xdr:row>1</xdr:row>
          <xdr:rowOff>155864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318053</xdr:colOff>
          <xdr:row>0</xdr:row>
          <xdr:rowOff>60878</xdr:rowOff>
        </xdr:from>
        <xdr:to>
          <xdr:col>1</xdr:col>
          <xdr:colOff>488675</xdr:colOff>
          <xdr:row>1</xdr:row>
          <xdr:rowOff>132523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24848</xdr:colOff>
      <xdr:row>10</xdr:row>
      <xdr:rowOff>24848</xdr:rowOff>
    </xdr:from>
    <xdr:to>
      <xdr:col>5</xdr:col>
      <xdr:colOff>1408043</xdr:colOff>
      <xdr:row>14</xdr:row>
      <xdr:rowOff>49697</xdr:rowOff>
    </xdr:to>
    <xdr:sp macro="" textlink="">
      <xdr:nvSpPr>
        <xdr:cNvPr id="2" name="Légende : flèche vers le haut 1">
          <a:extLst>
            <a:ext uri="{FF2B5EF4-FFF2-40B4-BE49-F238E27FC236}">
              <a16:creationId xmlns:a16="http://schemas.microsoft.com/office/drawing/2014/main" id="{D65A212B-A099-47CE-B3D9-B2A1A985CEEC}"/>
            </a:ext>
          </a:extLst>
        </xdr:cNvPr>
        <xdr:cNvSpPr/>
      </xdr:nvSpPr>
      <xdr:spPr>
        <a:xfrm>
          <a:off x="3843131" y="1954696"/>
          <a:ext cx="1383195" cy="753718"/>
        </a:xfrm>
        <a:prstGeom prst="upArrow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Pour déclencher</a:t>
          </a:r>
          <a:r>
            <a:rPr lang="fr-FR" sz="1100" baseline="0"/>
            <a:t> le mint, effacer la date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afkreieo2qhxipegtregxjt6d6ua5izbduybk2serl357r5sjy5cedbzam.ipfs.nftstorage.link/?ext=png" TargetMode="External"/><Relationship Id="rId13" Type="http://schemas.openxmlformats.org/officeDocument/2006/relationships/hyperlink" Target="https://bafybeihvjr73zcwvfbsqzy5odznulrtgntk5fe33b6mhj4d73batj67cxq.ipfs.nftstorage.link/?ext=mp4" TargetMode="External"/><Relationship Id="rId3" Type="http://schemas.openxmlformats.org/officeDocument/2006/relationships/hyperlink" Target="https://bafkreieo2qhxipegtregxjt6d6ua5izbduybk2serl357r5sjy5cedbzam.ipfs.nftstorage.link/?ext=png" TargetMode="External"/><Relationship Id="rId7" Type="http://schemas.openxmlformats.org/officeDocument/2006/relationships/hyperlink" Target="https://bafkreieo2qhxipegtregxjt6d6ua5izbduybk2serl357r5sjy5cedbzam.ipfs.nftstorage.link/?ext=png" TargetMode="External"/><Relationship Id="rId12" Type="http://schemas.openxmlformats.org/officeDocument/2006/relationships/hyperlink" Target="https://bafybeihvjr73zcwvfbsqzy5odznulrtgntk5fe33b6mhj4d73batj67cxq.ipfs.nftstorage.link/?ext=mp4" TargetMode="External"/><Relationship Id="rId2" Type="http://schemas.openxmlformats.org/officeDocument/2006/relationships/hyperlink" Target="https://bafybeihvjr73zcwvfbsqzy5odznulrtgntk5fe33b6mhj4d73batj67cxq.ipfs.nftstorage.link/?ext=mp4" TargetMode="External"/><Relationship Id="rId1" Type="http://schemas.openxmlformats.org/officeDocument/2006/relationships/hyperlink" Target="https://bafkreieo2qhxipegtregxjt6d6ua5izbduybk2serl357r5sjy5cedbzam.ipfs.nftstorage.link/?ext=png" TargetMode="External"/><Relationship Id="rId6" Type="http://schemas.openxmlformats.org/officeDocument/2006/relationships/hyperlink" Target="https://bafkreieo2qhxipegtregxjt6d6ua5izbduybk2serl357r5sjy5cedbzam.ipfs.nftstorage.link/?ext=png" TargetMode="External"/><Relationship Id="rId11" Type="http://schemas.openxmlformats.org/officeDocument/2006/relationships/hyperlink" Target="https://bafybeihvjr73zcwvfbsqzy5odznulrtgntk5fe33b6mhj4d73batj67cxq.ipfs.nftstorage.link/?ext=mp4" TargetMode="External"/><Relationship Id="rId5" Type="http://schemas.openxmlformats.org/officeDocument/2006/relationships/hyperlink" Target="https://bafkreieo2qhxipegtregxjt6d6ua5izbduybk2serl357r5sjy5cedbzam.ipfs.nftstorage.link/?ext=png" TargetMode="External"/><Relationship Id="rId10" Type="http://schemas.openxmlformats.org/officeDocument/2006/relationships/hyperlink" Target="https://bafybeihvjr73zcwvfbsqzy5odznulrtgntk5fe33b6mhj4d73batj67cxq.ipfs.nftstorage.link/?ext=mp4" TargetMode="External"/><Relationship Id="rId4" Type="http://schemas.openxmlformats.org/officeDocument/2006/relationships/hyperlink" Target="https://bafkreieo2qhxipegtregxjt6d6ua5izbduybk2serl357r5sjy5cedbzam.ipfs.nftstorage.link/?ext=png" TargetMode="External"/><Relationship Id="rId9" Type="http://schemas.openxmlformats.org/officeDocument/2006/relationships/hyperlink" Target="https://bafybeihvjr73zcwvfbsqzy5odznulrtgntk5fe33b6mhj4d73batj67cxq.ipfs.nftstorage.link/?ext=mp4" TargetMode="External"/><Relationship Id="rId14" Type="http://schemas.openxmlformats.org/officeDocument/2006/relationships/hyperlink" Target="https://bafybeihvjr73zcwvfbsqzy5odznulrtgntk5fe33b6mhj4d73batj67cxq.ipfs.nftstorage.link/?ext=mp4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2rjNLP5PKZGhhLxpvCSfceHXPFjvbzvkASiowkksUg5h" TargetMode="External"/><Relationship Id="rId13" Type="http://schemas.openxmlformats.org/officeDocument/2006/relationships/ctrlProp" Target="../ctrlProps/ctrlProp2.xml"/><Relationship Id="rId3" Type="http://schemas.openxmlformats.org/officeDocument/2006/relationships/hyperlink" Target="https://solscan.io/token/G1ER9oq7yjaPHcYy8ZersmB6HQviWFC6SyoHesiDK1n2" TargetMode="External"/><Relationship Id="rId7" Type="http://schemas.openxmlformats.org/officeDocument/2006/relationships/hyperlink" Target="https://solscan.io/token/FKWP4BdkMkJw6rckwa2QCAw1RQjvGFW8KT9mXkb9jFcQ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solscan.io/token/FEjcw4PyoW3HEnqNXhmbeZwbq7gWyQQFFXARURsn2fEF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hyperlink" Target="https://solscan.io/token/3c53hJy9hrtQPN6pq7LTWAdBpYxZtSRyqA2jniKBvje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solscan.io/token/5Ngr4KqBJih8fgxYqkqnydWYD5gc7YPKzEj67TXA7YYa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solscan.io/token/EPpr15oZ65J8X4YmjYEa2HAFDUu17KjTRJRHvgQ3NEfb" TargetMode="Externa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localhost:4242/" TargetMode="External"/><Relationship Id="rId1" Type="http://schemas.openxmlformats.org/officeDocument/2006/relationships/hyperlink" Target="https://server.f80lab.com:424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R9"/>
  <sheetViews>
    <sheetView zoomScale="85" zoomScaleNormal="85" workbookViewId="0">
      <selection activeCell="B11" sqref="B11"/>
    </sheetView>
  </sheetViews>
  <sheetFormatPr baseColWidth="10" defaultRowHeight="15" outlineLevelCol="1" x14ac:dyDescent="0.25"/>
  <cols>
    <col min="1" max="1" width="11.7109375" customWidth="1"/>
    <col min="2" max="2" width="7.5703125" bestFit="1" customWidth="1"/>
    <col min="3" max="3" width="13" customWidth="1"/>
    <col min="4" max="4" width="14.5703125" customWidth="1"/>
    <col min="5" max="7" width="23.140625" customWidth="1"/>
    <col min="8" max="8" width="15.5703125" customWidth="1"/>
    <col min="9" max="9" width="21.140625" customWidth="1"/>
    <col min="10" max="10" width="12.85546875" customWidth="1"/>
    <col min="11" max="11" width="21.140625" customWidth="1"/>
    <col min="12" max="12" width="12.7109375" customWidth="1"/>
    <col min="13" max="13" width="21.140625" customWidth="1"/>
    <col min="14" max="27" width="21.140625" hidden="1" customWidth="1" outlineLevel="1"/>
    <col min="28" max="28" width="9.5703125" customWidth="1" collapsed="1"/>
    <col min="29" max="30" width="5.85546875" customWidth="1"/>
    <col min="31" max="31" width="7.85546875" bestFit="1" customWidth="1"/>
    <col min="32" max="32" width="8" bestFit="1" customWidth="1"/>
    <col min="33" max="33" width="5.85546875" bestFit="1" customWidth="1"/>
    <col min="34" max="36" width="8.7109375" customWidth="1"/>
    <col min="37" max="42" width="10.28515625" bestFit="1" customWidth="1"/>
    <col min="43" max="43" width="14.85546875" customWidth="1"/>
    <col min="44" max="44" width="22.85546875" customWidth="1"/>
    <col min="45" max="48" width="5.85546875" bestFit="1" customWidth="1"/>
    <col min="49" max="49" width="10" bestFit="1" customWidth="1"/>
    <col min="50" max="50" width="7.85546875" bestFit="1" customWidth="1"/>
  </cols>
  <sheetData>
    <row r="1" spans="1:44" x14ac:dyDescent="0.25">
      <c r="A1" s="25" t="s">
        <v>111</v>
      </c>
      <c r="B1" s="25"/>
      <c r="C1" s="25"/>
      <c r="D1" s="25"/>
      <c r="E1" s="25"/>
      <c r="F1" s="25"/>
      <c r="G1" s="25"/>
      <c r="H1" s="24" t="s">
        <v>113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5"/>
      <c r="U1" s="5"/>
      <c r="V1" s="5"/>
      <c r="W1" s="5"/>
      <c r="X1" s="5"/>
      <c r="Y1" s="5"/>
      <c r="Z1" s="5"/>
      <c r="AA1" s="5"/>
      <c r="AB1" s="21" t="s">
        <v>15</v>
      </c>
      <c r="AC1" s="21"/>
      <c r="AD1" s="21"/>
      <c r="AE1" s="21"/>
      <c r="AF1" s="21"/>
      <c r="AG1" s="21"/>
      <c r="AH1" s="21"/>
      <c r="AI1" s="21"/>
      <c r="AJ1" s="21"/>
      <c r="AK1" s="22" t="s">
        <v>17</v>
      </c>
      <c r="AL1" s="22"/>
      <c r="AM1" s="22"/>
      <c r="AN1" s="22"/>
      <c r="AO1" s="22"/>
      <c r="AP1" s="22"/>
      <c r="AQ1" s="23" t="s">
        <v>8</v>
      </c>
      <c r="AR1" s="23"/>
    </row>
    <row r="2" spans="1:44" s="11" customFormat="1" ht="33" customHeight="1" x14ac:dyDescent="0.25">
      <c r="A2" s="6" t="s">
        <v>9</v>
      </c>
      <c r="B2" s="6" t="s">
        <v>10</v>
      </c>
      <c r="C2" s="6" t="s">
        <v>11</v>
      </c>
      <c r="D2" s="6" t="s">
        <v>0</v>
      </c>
      <c r="E2" s="6" t="s">
        <v>1</v>
      </c>
      <c r="F2" s="6" t="s">
        <v>112</v>
      </c>
      <c r="G2" s="6" t="s">
        <v>40</v>
      </c>
      <c r="H2" s="7" t="s">
        <v>2</v>
      </c>
      <c r="I2" s="7" t="s">
        <v>3</v>
      </c>
      <c r="J2" s="7" t="s">
        <v>2</v>
      </c>
      <c r="K2" s="7" t="s">
        <v>3</v>
      </c>
      <c r="L2" s="7" t="s">
        <v>2</v>
      </c>
      <c r="M2" s="7" t="s">
        <v>3</v>
      </c>
      <c r="N2" s="7" t="s">
        <v>2</v>
      </c>
      <c r="O2" s="7" t="s">
        <v>3</v>
      </c>
      <c r="P2" s="7" t="s">
        <v>2</v>
      </c>
      <c r="Q2" s="7" t="s">
        <v>3</v>
      </c>
      <c r="R2" s="7" t="s">
        <v>2</v>
      </c>
      <c r="S2" s="7" t="s">
        <v>3</v>
      </c>
      <c r="T2" s="7" t="s">
        <v>2</v>
      </c>
      <c r="U2" s="7" t="s">
        <v>3</v>
      </c>
      <c r="V2" s="7" t="s">
        <v>2</v>
      </c>
      <c r="W2" s="7" t="s">
        <v>3</v>
      </c>
      <c r="X2" s="7" t="s">
        <v>2</v>
      </c>
      <c r="Y2" s="7" t="s">
        <v>3</v>
      </c>
      <c r="Z2" s="7" t="s">
        <v>2</v>
      </c>
      <c r="AA2" s="7" t="s">
        <v>3</v>
      </c>
      <c r="AB2" s="8" t="s">
        <v>4</v>
      </c>
      <c r="AC2" s="8" t="s">
        <v>5</v>
      </c>
      <c r="AD2" s="8" t="s">
        <v>6</v>
      </c>
      <c r="AE2" s="8" t="s">
        <v>4</v>
      </c>
      <c r="AF2" s="8" t="s">
        <v>5</v>
      </c>
      <c r="AG2" s="8" t="s">
        <v>6</v>
      </c>
      <c r="AH2" s="8" t="s">
        <v>4</v>
      </c>
      <c r="AI2" s="8" t="s">
        <v>5</v>
      </c>
      <c r="AJ2" s="8" t="s">
        <v>6</v>
      </c>
      <c r="AK2" s="9" t="s">
        <v>16</v>
      </c>
      <c r="AL2" s="9" t="s">
        <v>7</v>
      </c>
      <c r="AM2" s="9" t="s">
        <v>16</v>
      </c>
      <c r="AN2" s="9" t="s">
        <v>7</v>
      </c>
      <c r="AO2" s="9" t="s">
        <v>16</v>
      </c>
      <c r="AP2" s="9" t="s">
        <v>7</v>
      </c>
      <c r="AQ2" s="10" t="s">
        <v>9</v>
      </c>
      <c r="AR2" s="10" t="s">
        <v>44</v>
      </c>
    </row>
    <row r="3" spans="1:44" x14ac:dyDescent="0.25">
      <c r="A3" t="s">
        <v>69</v>
      </c>
      <c r="B3" t="s">
        <v>10</v>
      </c>
      <c r="C3" t="s">
        <v>11</v>
      </c>
      <c r="D3">
        <v>5000</v>
      </c>
      <c r="E3" s="3" t="s">
        <v>61</v>
      </c>
      <c r="F3" s="3" t="s">
        <v>26</v>
      </c>
      <c r="H3" t="s">
        <v>45</v>
      </c>
      <c r="I3" t="s">
        <v>46</v>
      </c>
      <c r="J3" t="s">
        <v>47</v>
      </c>
      <c r="K3" t="s">
        <v>53</v>
      </c>
      <c r="L3" t="s">
        <v>48</v>
      </c>
      <c r="M3" t="s">
        <v>54</v>
      </c>
      <c r="N3" t="s">
        <v>49</v>
      </c>
      <c r="O3" t="s">
        <v>55</v>
      </c>
      <c r="P3" t="s">
        <v>50</v>
      </c>
      <c r="Q3" t="s">
        <v>56</v>
      </c>
      <c r="R3" t="s">
        <v>51</v>
      </c>
      <c r="S3" t="s">
        <v>57</v>
      </c>
      <c r="T3" t="s">
        <v>58</v>
      </c>
      <c r="U3">
        <v>2</v>
      </c>
      <c r="V3" t="s">
        <v>59</v>
      </c>
      <c r="W3">
        <v>2</v>
      </c>
      <c r="X3" t="s">
        <v>60</v>
      </c>
      <c r="Y3">
        <v>2</v>
      </c>
      <c r="Z3" t="s">
        <v>52</v>
      </c>
      <c r="AB3" t="s">
        <v>26</v>
      </c>
      <c r="AC3">
        <v>1</v>
      </c>
      <c r="AD3">
        <v>10</v>
      </c>
      <c r="AE3" t="s">
        <v>27</v>
      </c>
      <c r="AF3">
        <v>0</v>
      </c>
      <c r="AG3">
        <v>60</v>
      </c>
      <c r="AH3" t="s">
        <v>28</v>
      </c>
      <c r="AI3">
        <v>1</v>
      </c>
      <c r="AJ3">
        <v>30</v>
      </c>
      <c r="AK3" s="3" t="s">
        <v>62</v>
      </c>
      <c r="AL3" t="s">
        <v>63</v>
      </c>
      <c r="AM3" s="3"/>
      <c r="AQ3" t="s">
        <v>68</v>
      </c>
      <c r="AR3" t="s">
        <v>64</v>
      </c>
    </row>
    <row r="4" spans="1:44" x14ac:dyDescent="0.25">
      <c r="A4" t="s">
        <v>70</v>
      </c>
      <c r="B4" t="s">
        <v>10</v>
      </c>
      <c r="C4" t="s">
        <v>11</v>
      </c>
      <c r="D4">
        <v>5001</v>
      </c>
      <c r="E4" s="3" t="s">
        <v>61</v>
      </c>
      <c r="F4" s="3" t="s">
        <v>26</v>
      </c>
      <c r="H4" t="s">
        <v>45</v>
      </c>
      <c r="I4" t="s">
        <v>46</v>
      </c>
      <c r="J4" t="s">
        <v>48</v>
      </c>
      <c r="K4" t="s">
        <v>53</v>
      </c>
      <c r="L4" t="s">
        <v>49</v>
      </c>
      <c r="M4" t="s">
        <v>54</v>
      </c>
      <c r="N4" t="s">
        <v>50</v>
      </c>
      <c r="O4" t="s">
        <v>55</v>
      </c>
      <c r="P4" t="s">
        <v>51</v>
      </c>
      <c r="Q4" t="s">
        <v>56</v>
      </c>
      <c r="R4" t="s">
        <v>71</v>
      </c>
      <c r="S4" t="s">
        <v>72</v>
      </c>
      <c r="T4" t="s">
        <v>59</v>
      </c>
      <c r="U4">
        <v>3</v>
      </c>
      <c r="V4" t="s">
        <v>60</v>
      </c>
      <c r="W4">
        <v>3</v>
      </c>
      <c r="X4" t="s">
        <v>73</v>
      </c>
      <c r="Y4">
        <v>3</v>
      </c>
      <c r="Z4" t="s">
        <v>74</v>
      </c>
      <c r="AB4" t="s">
        <v>26</v>
      </c>
      <c r="AC4">
        <v>1</v>
      </c>
      <c r="AD4">
        <v>10</v>
      </c>
      <c r="AE4" t="s">
        <v>27</v>
      </c>
      <c r="AF4">
        <v>0</v>
      </c>
      <c r="AG4">
        <v>60</v>
      </c>
      <c r="AH4" t="s">
        <v>28</v>
      </c>
      <c r="AI4">
        <v>1</v>
      </c>
      <c r="AJ4">
        <v>30</v>
      </c>
      <c r="AK4" s="3" t="s">
        <v>75</v>
      </c>
      <c r="AL4" t="s">
        <v>76</v>
      </c>
      <c r="AM4" s="3"/>
      <c r="AQ4" t="s">
        <v>68</v>
      </c>
      <c r="AR4" t="s">
        <v>64</v>
      </c>
    </row>
    <row r="5" spans="1:44" x14ac:dyDescent="0.25">
      <c r="A5" t="s">
        <v>77</v>
      </c>
      <c r="B5" t="s">
        <v>10</v>
      </c>
      <c r="C5" t="s">
        <v>11</v>
      </c>
      <c r="D5">
        <v>5002</v>
      </c>
      <c r="E5" s="3" t="s">
        <v>61</v>
      </c>
      <c r="F5" s="3" t="s">
        <v>26</v>
      </c>
      <c r="H5" t="s">
        <v>45</v>
      </c>
      <c r="I5" t="s">
        <v>46</v>
      </c>
      <c r="J5" t="s">
        <v>49</v>
      </c>
      <c r="K5" t="s">
        <v>53</v>
      </c>
      <c r="L5" t="s">
        <v>50</v>
      </c>
      <c r="M5" t="s">
        <v>54</v>
      </c>
      <c r="N5" t="s">
        <v>51</v>
      </c>
      <c r="O5" t="s">
        <v>55</v>
      </c>
      <c r="P5" t="s">
        <v>71</v>
      </c>
      <c r="Q5" t="s">
        <v>56</v>
      </c>
      <c r="R5" t="s">
        <v>78</v>
      </c>
      <c r="S5" t="s">
        <v>79</v>
      </c>
      <c r="T5" t="s">
        <v>60</v>
      </c>
      <c r="U5">
        <v>4</v>
      </c>
      <c r="V5" t="s">
        <v>73</v>
      </c>
      <c r="W5">
        <v>4</v>
      </c>
      <c r="X5" t="s">
        <v>80</v>
      </c>
      <c r="Y5">
        <v>4</v>
      </c>
      <c r="Z5" t="s">
        <v>81</v>
      </c>
      <c r="AB5" t="s">
        <v>26</v>
      </c>
      <c r="AC5">
        <v>1</v>
      </c>
      <c r="AD5">
        <v>10</v>
      </c>
      <c r="AE5" t="s">
        <v>27</v>
      </c>
      <c r="AF5">
        <v>0</v>
      </c>
      <c r="AG5">
        <v>60</v>
      </c>
      <c r="AH5" t="s">
        <v>28</v>
      </c>
      <c r="AI5">
        <v>1</v>
      </c>
      <c r="AJ5">
        <v>30</v>
      </c>
      <c r="AK5" s="3" t="s">
        <v>82</v>
      </c>
      <c r="AL5" t="s">
        <v>83</v>
      </c>
      <c r="AM5" s="3"/>
      <c r="AQ5" t="s">
        <v>68</v>
      </c>
      <c r="AR5" t="s">
        <v>64</v>
      </c>
    </row>
    <row r="6" spans="1:44" x14ac:dyDescent="0.25">
      <c r="A6" t="s">
        <v>84</v>
      </c>
      <c r="B6" t="s">
        <v>10</v>
      </c>
      <c r="C6" t="s">
        <v>11</v>
      </c>
      <c r="D6">
        <v>5003</v>
      </c>
      <c r="E6" s="3" t="s">
        <v>61</v>
      </c>
      <c r="F6" s="3" t="s">
        <v>26</v>
      </c>
      <c r="H6" t="s">
        <v>45</v>
      </c>
      <c r="I6" t="s">
        <v>46</v>
      </c>
      <c r="J6" t="s">
        <v>50</v>
      </c>
      <c r="K6" t="s">
        <v>53</v>
      </c>
      <c r="L6" t="s">
        <v>51</v>
      </c>
      <c r="M6" t="s">
        <v>54</v>
      </c>
      <c r="N6" t="s">
        <v>71</v>
      </c>
      <c r="O6" t="s">
        <v>55</v>
      </c>
      <c r="P6" t="s">
        <v>78</v>
      </c>
      <c r="Q6" t="s">
        <v>56</v>
      </c>
      <c r="R6" t="s">
        <v>85</v>
      </c>
      <c r="S6" t="s">
        <v>86</v>
      </c>
      <c r="T6" t="s">
        <v>73</v>
      </c>
      <c r="U6">
        <v>5</v>
      </c>
      <c r="V6" t="s">
        <v>80</v>
      </c>
      <c r="W6">
        <v>5</v>
      </c>
      <c r="X6" t="s">
        <v>87</v>
      </c>
      <c r="Y6">
        <v>5</v>
      </c>
      <c r="Z6" t="s">
        <v>88</v>
      </c>
      <c r="AB6" t="s">
        <v>26</v>
      </c>
      <c r="AC6">
        <v>1</v>
      </c>
      <c r="AD6">
        <v>10</v>
      </c>
      <c r="AE6" t="s">
        <v>27</v>
      </c>
      <c r="AF6">
        <v>0</v>
      </c>
      <c r="AG6">
        <v>60</v>
      </c>
      <c r="AH6" t="s">
        <v>28</v>
      </c>
      <c r="AI6">
        <v>1</v>
      </c>
      <c r="AJ6">
        <v>30</v>
      </c>
      <c r="AK6" s="3" t="s">
        <v>89</v>
      </c>
      <c r="AL6" t="s">
        <v>90</v>
      </c>
      <c r="AM6" s="3"/>
      <c r="AQ6" t="s">
        <v>68</v>
      </c>
      <c r="AR6" t="s">
        <v>64</v>
      </c>
    </row>
    <row r="7" spans="1:44" x14ac:dyDescent="0.25">
      <c r="A7" t="s">
        <v>91</v>
      </c>
      <c r="B7" t="s">
        <v>10</v>
      </c>
      <c r="C7" t="s">
        <v>11</v>
      </c>
      <c r="D7">
        <v>5004</v>
      </c>
      <c r="E7" s="3" t="s">
        <v>61</v>
      </c>
      <c r="F7" s="3" t="s">
        <v>26</v>
      </c>
      <c r="H7" t="s">
        <v>45</v>
      </c>
      <c r="I7" t="s">
        <v>46</v>
      </c>
      <c r="J7" t="s">
        <v>51</v>
      </c>
      <c r="K7" t="s">
        <v>53</v>
      </c>
      <c r="L7" t="s">
        <v>71</v>
      </c>
      <c r="M7" t="s">
        <v>54</v>
      </c>
      <c r="N7" t="s">
        <v>78</v>
      </c>
      <c r="O7" t="s">
        <v>55</v>
      </c>
      <c r="P7" t="s">
        <v>85</v>
      </c>
      <c r="Q7" t="s">
        <v>56</v>
      </c>
      <c r="R7" t="s">
        <v>52</v>
      </c>
      <c r="S7" t="s">
        <v>92</v>
      </c>
      <c r="T7" t="s">
        <v>80</v>
      </c>
      <c r="U7">
        <v>6</v>
      </c>
      <c r="V7" t="s">
        <v>87</v>
      </c>
      <c r="W7">
        <v>6</v>
      </c>
      <c r="X7" t="s">
        <v>93</v>
      </c>
      <c r="Y7">
        <v>6</v>
      </c>
      <c r="Z7" t="s">
        <v>94</v>
      </c>
      <c r="AB7" t="s">
        <v>26</v>
      </c>
      <c r="AC7">
        <v>1</v>
      </c>
      <c r="AD7">
        <v>10</v>
      </c>
      <c r="AE7" t="s">
        <v>27</v>
      </c>
      <c r="AF7">
        <v>0</v>
      </c>
      <c r="AG7">
        <v>60</v>
      </c>
      <c r="AH7" t="s">
        <v>28</v>
      </c>
      <c r="AI7">
        <v>1</v>
      </c>
      <c r="AJ7">
        <v>30</v>
      </c>
      <c r="AK7" s="3" t="s">
        <v>95</v>
      </c>
      <c r="AL7" t="s">
        <v>96</v>
      </c>
      <c r="AM7" s="3"/>
      <c r="AQ7" t="s">
        <v>68</v>
      </c>
      <c r="AR7" t="s">
        <v>64</v>
      </c>
    </row>
    <row r="8" spans="1:44" x14ac:dyDescent="0.25">
      <c r="A8" t="s">
        <v>97</v>
      </c>
      <c r="B8" t="s">
        <v>10</v>
      </c>
      <c r="C8" t="s">
        <v>11</v>
      </c>
      <c r="D8">
        <v>5005</v>
      </c>
      <c r="E8" s="3" t="s">
        <v>61</v>
      </c>
      <c r="F8" s="3" t="s">
        <v>26</v>
      </c>
      <c r="H8" t="s">
        <v>45</v>
      </c>
      <c r="I8" t="s">
        <v>46</v>
      </c>
      <c r="J8" t="s">
        <v>71</v>
      </c>
      <c r="K8" t="s">
        <v>53</v>
      </c>
      <c r="L8" t="s">
        <v>78</v>
      </c>
      <c r="M8" t="s">
        <v>54</v>
      </c>
      <c r="N8" t="s">
        <v>85</v>
      </c>
      <c r="O8" t="s">
        <v>55</v>
      </c>
      <c r="P8" t="s">
        <v>52</v>
      </c>
      <c r="Q8" t="s">
        <v>56</v>
      </c>
      <c r="R8" t="s">
        <v>74</v>
      </c>
      <c r="S8" t="s">
        <v>98</v>
      </c>
      <c r="T8" t="s">
        <v>87</v>
      </c>
      <c r="U8">
        <v>7</v>
      </c>
      <c r="V8" t="s">
        <v>93</v>
      </c>
      <c r="W8">
        <v>7</v>
      </c>
      <c r="X8" t="s">
        <v>99</v>
      </c>
      <c r="Y8">
        <v>7</v>
      </c>
      <c r="Z8" t="s">
        <v>100</v>
      </c>
      <c r="AB8" t="s">
        <v>26</v>
      </c>
      <c r="AC8">
        <v>1</v>
      </c>
      <c r="AD8">
        <v>10</v>
      </c>
      <c r="AE8" t="s">
        <v>27</v>
      </c>
      <c r="AF8">
        <v>0</v>
      </c>
      <c r="AG8">
        <v>60</v>
      </c>
      <c r="AH8" t="s">
        <v>28</v>
      </c>
      <c r="AI8">
        <v>1</v>
      </c>
      <c r="AJ8">
        <v>30</v>
      </c>
      <c r="AK8" s="3" t="s">
        <v>101</v>
      </c>
      <c r="AL8" t="s">
        <v>102</v>
      </c>
      <c r="AM8" s="3"/>
      <c r="AQ8" t="s">
        <v>68</v>
      </c>
      <c r="AR8" t="s">
        <v>64</v>
      </c>
    </row>
    <row r="9" spans="1:44" x14ac:dyDescent="0.25">
      <c r="A9" t="s">
        <v>103</v>
      </c>
      <c r="B9" t="s">
        <v>10</v>
      </c>
      <c r="C9" t="s">
        <v>11</v>
      </c>
      <c r="D9">
        <v>5006</v>
      </c>
      <c r="E9" s="3" t="s">
        <v>61</v>
      </c>
      <c r="F9" s="3" t="s">
        <v>26</v>
      </c>
      <c r="H9" t="s">
        <v>45</v>
      </c>
      <c r="I9" t="s">
        <v>46</v>
      </c>
      <c r="J9" t="s">
        <v>78</v>
      </c>
      <c r="K9" t="s">
        <v>53</v>
      </c>
      <c r="L9" t="s">
        <v>85</v>
      </c>
      <c r="M9" t="s">
        <v>54</v>
      </c>
      <c r="N9" t="s">
        <v>52</v>
      </c>
      <c r="O9" t="s">
        <v>55</v>
      </c>
      <c r="P9" t="s">
        <v>74</v>
      </c>
      <c r="Q9" t="s">
        <v>56</v>
      </c>
      <c r="R9" t="s">
        <v>81</v>
      </c>
      <c r="S9" t="s">
        <v>104</v>
      </c>
      <c r="T9" t="s">
        <v>93</v>
      </c>
      <c r="U9">
        <v>8</v>
      </c>
      <c r="V9" t="s">
        <v>99</v>
      </c>
      <c r="W9">
        <v>8</v>
      </c>
      <c r="X9" t="s">
        <v>105</v>
      </c>
      <c r="Y9">
        <v>8</v>
      </c>
      <c r="Z9" t="s">
        <v>106</v>
      </c>
      <c r="AB9" t="s">
        <v>26</v>
      </c>
      <c r="AC9">
        <v>1</v>
      </c>
      <c r="AD9">
        <v>10</v>
      </c>
      <c r="AE9" t="s">
        <v>27</v>
      </c>
      <c r="AF9">
        <v>0</v>
      </c>
      <c r="AG9">
        <v>60</v>
      </c>
      <c r="AH9" t="s">
        <v>28</v>
      </c>
      <c r="AI9">
        <v>1</v>
      </c>
      <c r="AJ9">
        <v>30</v>
      </c>
      <c r="AK9" s="3" t="s">
        <v>107</v>
      </c>
      <c r="AL9" t="s">
        <v>108</v>
      </c>
      <c r="AM9" s="3"/>
      <c r="AQ9" t="s">
        <v>68</v>
      </c>
      <c r="AR9" t="s">
        <v>64</v>
      </c>
    </row>
  </sheetData>
  <mergeCells count="5">
    <mergeCell ref="AB1:AJ1"/>
    <mergeCell ref="AK1:AP1"/>
    <mergeCell ref="AQ1:AR1"/>
    <mergeCell ref="H1:S1"/>
    <mergeCell ref="A1:G1"/>
  </mergeCells>
  <phoneticPr fontId="1" type="noConversion"/>
  <hyperlinks>
    <hyperlink ref="E3" r:id="rId1" xr:uid="{25D94883-4968-4101-B9BB-9E87D46F68AD}"/>
    <hyperlink ref="AK3" r:id="rId2" xr:uid="{61D69628-F08F-44B4-B660-450F37E36077}"/>
    <hyperlink ref="E4" r:id="rId3" xr:uid="{9B833F42-897B-4D5D-A3D6-F532A2DF7F59}"/>
    <hyperlink ref="E5" r:id="rId4" xr:uid="{E716F13F-15A7-47C9-B63C-2551BCABF42C}"/>
    <hyperlink ref="E6" r:id="rId5" xr:uid="{A54C8233-91CF-4631-ADC1-9467F9E2DFA2}"/>
    <hyperlink ref="E7" r:id="rId6" xr:uid="{AA28890C-7985-43A2-8A40-2A1FD8386651}"/>
    <hyperlink ref="E8" r:id="rId7" xr:uid="{B3D85C6E-D1C1-483E-8B69-50280058D779}"/>
    <hyperlink ref="E9" r:id="rId8" xr:uid="{6CDE1789-D25C-425D-876F-5F6CF04AD919}"/>
    <hyperlink ref="AK4" r:id="rId9" display="https://bafybeihvjr73zcwvfbsqzy5odznulrtgntk5fe33b6mhj4d73batj67cxq.ipfs.nftstorage.link?ext=mp4" xr:uid="{AF5EE585-CF9F-4380-B5D2-8E267680E3CB}"/>
    <hyperlink ref="AK5" r:id="rId10" display="https://bafybeihvjr73zcwvfbsqzy5odznulrtgntk5fe33b6mhj4d73batj67cxq.ipfs.nftstorage.link?ext=mp4" xr:uid="{1F0709F9-75BF-4056-85A2-FA87AF7F9DDA}"/>
    <hyperlink ref="AK6" r:id="rId11" display="https://bafybeihvjr73zcwvfbsqzy5odznulrtgntk5fe33b6mhj4d73batj67cxq.ipfs.nftstorage.link?ext=mp4" xr:uid="{46F9D453-D03E-4D84-82DE-BE48EF5CE70B}"/>
    <hyperlink ref="AK7" r:id="rId12" display="https://bafybeihvjr73zcwvfbsqzy5odznulrtgntk5fe33b6mhj4d73batj67cxq.ipfs.nftstorage.link?ext=mp4" xr:uid="{8A2E8172-49AA-4624-89D2-2022F9510892}"/>
    <hyperlink ref="AK8" r:id="rId13" display="https://bafybeihvjr73zcwvfbsqzy5odznulrtgntk5fe33b6mhj4d73batj67cxq.ipfs.nftstorage.link?ext=mp4" xr:uid="{0251123E-D92E-4296-8E67-5A5384B799B4}"/>
    <hyperlink ref="AK9" r:id="rId14" display="https://bafybeihvjr73zcwvfbsqzy5odznulrtgntk5fe33b6mhj4d73batj67cxq.ipfs.nftstorage.link?ext=mp4" xr:uid="{CF590884-6FF7-4CA2-A96D-9F87D1C6392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Z74"/>
  <sheetViews>
    <sheetView tabSelected="1" zoomScale="115" zoomScaleNormal="115" workbookViewId="0">
      <selection activeCell="B16" sqref="B16"/>
    </sheetView>
  </sheetViews>
  <sheetFormatPr baseColWidth="10" defaultRowHeight="14.25" customHeight="1" x14ac:dyDescent="0.25"/>
  <cols>
    <col min="2" max="2" width="17.42578125" customWidth="1"/>
    <col min="3" max="3" width="3.140625" customWidth="1"/>
    <col min="4" max="4" width="3.85546875" customWidth="1"/>
    <col min="5" max="5" width="21.42578125" style="1" customWidth="1"/>
    <col min="6" max="6" width="23.5703125" style="20" customWidth="1"/>
    <col min="7" max="7" width="19" style="20" customWidth="1"/>
    <col min="8" max="8" width="21.42578125" style="20" customWidth="1"/>
    <col min="9" max="9" width="42.5703125" style="16" bestFit="1" customWidth="1"/>
    <col min="10" max="10" width="9.42578125" style="16" customWidth="1"/>
    <col min="11" max="11" width="9.7109375" style="20" customWidth="1"/>
    <col min="12" max="13" width="16.7109375" style="16" customWidth="1"/>
    <col min="14" max="14" width="15.5703125" style="16" customWidth="1"/>
    <col min="15" max="15" width="18.5703125" customWidth="1"/>
    <col min="16" max="16" width="28.7109375" customWidth="1"/>
    <col min="17" max="17" width="20.28515625" customWidth="1"/>
    <col min="18" max="18" width="49" customWidth="1"/>
    <col min="19" max="19" width="25.5703125" customWidth="1"/>
    <col min="20" max="20" width="50.7109375" customWidth="1"/>
    <col min="21" max="21" width="11.28515625" customWidth="1"/>
    <col min="24" max="24" width="27.42578125" customWidth="1"/>
  </cols>
  <sheetData>
    <row r="1" spans="1:26" ht="21" customHeight="1" x14ac:dyDescent="0.25">
      <c r="J1" s="3" t="s">
        <v>116</v>
      </c>
      <c r="K1" s="28">
        <v>105.25</v>
      </c>
    </row>
    <row r="2" spans="1:26" ht="15.75" customHeight="1" x14ac:dyDescent="0.25">
      <c r="J2" s="16" t="s">
        <v>138</v>
      </c>
      <c r="K2" s="28">
        <f>SUM(K4:K99)</f>
        <v>-7.566127799999899</v>
      </c>
    </row>
    <row r="3" spans="1:26" ht="14.25" customHeight="1" x14ac:dyDescent="0.25">
      <c r="E3" s="12" t="s">
        <v>21</v>
      </c>
      <c r="F3" s="17" t="s">
        <v>22</v>
      </c>
      <c r="G3" s="17" t="s">
        <v>114</v>
      </c>
      <c r="H3" s="17" t="s">
        <v>115</v>
      </c>
      <c r="I3" s="17" t="s">
        <v>65</v>
      </c>
      <c r="J3" s="17" t="s">
        <v>109</v>
      </c>
      <c r="K3" s="17" t="s">
        <v>110</v>
      </c>
      <c r="N3"/>
      <c r="P3" t="s">
        <v>20</v>
      </c>
      <c r="Q3" t="s">
        <v>12</v>
      </c>
      <c r="R3" t="s">
        <v>13</v>
      </c>
      <c r="S3" t="s">
        <v>14</v>
      </c>
      <c r="T3" t="s">
        <v>18</v>
      </c>
      <c r="X3" t="s">
        <v>19</v>
      </c>
    </row>
    <row r="4" spans="1:26" s="2" customFormat="1" ht="14.25" customHeight="1" x14ac:dyDescent="0.25">
      <c r="E4" s="13" t="str">
        <f>IF(Token!A3="","",Token!A3)</f>
        <v>Test1</v>
      </c>
      <c r="F4" s="18">
        <v>44671.745671296296</v>
      </c>
      <c r="G4" s="18" t="s">
        <v>117</v>
      </c>
      <c r="H4" s="18" t="s">
        <v>118</v>
      </c>
      <c r="I4" s="27" t="s">
        <v>119</v>
      </c>
      <c r="J4" s="15">
        <v>8.5471067529999996</v>
      </c>
      <c r="K4" s="28" t="str">
        <f>IF(AND(ISNUMBER(J3),ISNUMBER(J4)),(J4-J3)*$K$1,"_")</f>
        <v>_</v>
      </c>
      <c r="L4" s="3"/>
      <c r="M4" s="3"/>
      <c r="N4" s="15"/>
      <c r="P4" s="2" t="str">
        <f>"{" &amp; Q4 &amp; "," &amp; R4 &amp; "," &amp; """properties"":{" &amp; S4 &amp; "," &amp; T4 &amp; "}," &amp; X4 &amp; "}"</f>
        <v>{"name":"Test1",_x000D_
"symbol":"symbol",_x000D_
"description":"description",_x000D_
"seller_fee_basis_points":5000,_x000D_
"image":"https://bafkreieo2qhxipegtregxjt6d6ua5izbduybk2serl357r5sjy5cedbzam.ipfs.nftstorage.link?ext=png",_x000D_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"share":30}],"files":[{"files":"https://bafybeihvjr73zcwvfbsqzy5odznulrtgntk5fe33b6mhj4d73batj67cxq.ipfs.nftstorage.link?ext=mp4",_x000D_
"type":"video/mp4"}]},"collection":{"name":"TestCollect",_x000D_
"family":"NFluenTGallery"}}</v>
      </c>
      <c r="Q4" s="2" t="str">
        <f>formatRow(Token!A$2:G$2,Token!A3:G3)</f>
        <v>"name":"Test1",_x000D_
"symbol":"symbol",_x000D_
"description":"description",_x000D_
"seller_fee_basis_points":5000,_x000D_
"image":"https://bafkreieo2qhxipegtregxjt6d6ua5izbduybk2serl357r5sjy5cedbzam.ipfs.nftstorage.link?ext=png",_x000D_
"Issuer":"paul",_x000D_
"external_url":""</v>
      </c>
      <c r="R4" s="2" t="str">
        <f>formatRow(Token!H$2:S$2,Token!H3:S3,2,"attributes")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</v>
      </c>
      <c r="S4" s="2" t="str">
        <f>formatRow(Token!AB$2:AJ$2,Token!AB3:AJ3,3,"creators")</f>
        <v>"creators":[{"address":"paul",_x000D_
"verified":1,_x000D_
"share":10},{"address":"sophie",_x000D_
"verified":0,_x000D_
"share":60},{"address":"roger",_x000D_
"verified":1,_x000D_
"share":30}]</v>
      </c>
      <c r="T4" s="2" t="str">
        <f>formatRow(Token!AK$2:AP$2,Token!AK3:AP3,2,"files")</f>
        <v>"files":[{"files":"https://bafybeihvjr73zcwvfbsqzy5odznulrtgntk5fe33b6mhj4d73batj67cxq.ipfs.nftstorage.link?ext=mp4",_x000D_
"type":"video/mp4"}]</v>
      </c>
      <c r="X4" s="2" t="str">
        <f>formatRow(Token!AQ$2:AR$2,Token!AQ3:AR3,0,"collection")</f>
        <v>"collection":{"name":"TestCollect",_x000D_
"family":"NFluenTGallery"}</v>
      </c>
    </row>
    <row r="5" spans="1:26" ht="14.25" customHeight="1" x14ac:dyDescent="0.25">
      <c r="E5" s="13" t="str">
        <f>IF(Token!A4="","",Token!A4)</f>
        <v>Test2</v>
      </c>
      <c r="F5" s="19">
        <v>44671.745717592596</v>
      </c>
      <c r="G5" s="19" t="s">
        <v>120</v>
      </c>
      <c r="H5" s="18" t="s">
        <v>121</v>
      </c>
      <c r="I5" s="27" t="s">
        <v>122</v>
      </c>
      <c r="J5" s="16">
        <v>8.5351255530000003</v>
      </c>
      <c r="K5" s="28">
        <f t="shared" ref="K5:K68" si="0">IF(AND(ISNUMBER(J4),ISNUMBER(J5)),(J5-J4)*$K$1,"_")</f>
        <v>-1.2610212999999209</v>
      </c>
      <c r="P5" s="2" t="str">
        <f t="shared" ref="P5:P68" si="1">"{" &amp; Q5 &amp; "," &amp; R5 &amp; "," &amp; """properties"":{" &amp; S5 &amp; "," &amp; T5 &amp; "}," &amp; X5 &amp; "}"</f>
        <v>{"name":"Test2",_x000D_
"symbol":"symbol",_x000D_
"description":"description",_x000D_
"seller_fee_basis_points":5001,_x000D_
"image":"https://bafkreieo2qhxipegtregxjt6d6ua5izbduybk2serl357r5sjy5cedbzam.ipfs.nftstorage.link?ext=png",_x000D_
"Issuer":"paul",_x000D_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"share":30}],"files":[{"files":"https://bafybeihvjr73zcwvfbsqzy5odznulrtgntk5fe33b6mhj4d73batj67cxq.ipfs.nftstorage.link?ext=mp5",_x000D_
"type":"video/mp5"}]},"collection":{"name":"TestCollect",_x000D_
"family":"NFluenTGallery"}}</v>
      </c>
      <c r="Q5" s="2" t="str">
        <f>formatRow(Token!A$2:G$2,Token!A4:G4)</f>
        <v>"name":"Test2",_x000D_
"symbol":"symbol",_x000D_
"description":"description",_x000D_
"seller_fee_basis_points":5001,_x000D_
"image":"https://bafkreieo2qhxipegtregxjt6d6ua5izbduybk2serl357r5sjy5cedbzam.ipfs.nftstorage.link?ext=png",_x000D_
"Issuer":"paul",_x000D_
"external_url":""</v>
      </c>
      <c r="R5" s="2" t="str">
        <f>formatRow(Token!H$2:S$2,Token!H4:S4,2,"attributes")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</v>
      </c>
      <c r="S5" s="2" t="str">
        <f>formatRow(Token!AB$2:AJ$2,Token!AB4:AJ4,3,"creators")</f>
        <v>"creators":[{"address":"paul",_x000D_
"verified":1,_x000D_
"share":10},{"address":"sophie",_x000D_
"verified":0,_x000D_
"share":60},{"address":"roger",_x000D_
"verified":1,_x000D_
"share":30}]</v>
      </c>
      <c r="T5" s="2" t="str">
        <f>formatRow(Token!AK$2:AP$2,Token!AK4:AP4,2,"files")</f>
        <v>"files":[{"files":"https://bafybeihvjr73zcwvfbsqzy5odznulrtgntk5fe33b6mhj4d73batj67cxq.ipfs.nftstorage.link?ext=mp5",_x000D_
"type":"video/mp5"}]</v>
      </c>
      <c r="U5" s="2"/>
      <c r="V5" s="2"/>
      <c r="W5" s="2"/>
      <c r="X5" s="2" t="str">
        <f>formatRow(Token!AQ$2:AR$2,Token!AQ4:AR4,0,"collection")</f>
        <v>"collection":{"name":"TestCollect",_x000D_
"family":"NFluenTGallery"}</v>
      </c>
      <c r="Y5" s="2"/>
      <c r="Z5" s="2"/>
    </row>
    <row r="6" spans="1:26" ht="15" customHeight="1" x14ac:dyDescent="0.25">
      <c r="A6" s="4" t="s">
        <v>33</v>
      </c>
      <c r="B6" t="s">
        <v>35</v>
      </c>
      <c r="E6" s="13" t="str">
        <f>IF(Token!A5="","",Token!A5)</f>
        <v>Test3</v>
      </c>
      <c r="F6" s="19">
        <v>44671.745775462965</v>
      </c>
      <c r="G6" s="19" t="s">
        <v>123</v>
      </c>
      <c r="H6" s="18" t="s">
        <v>124</v>
      </c>
      <c r="I6" s="27" t="s">
        <v>125</v>
      </c>
      <c r="J6" s="16">
        <v>8.5231443529999993</v>
      </c>
      <c r="K6" s="28">
        <f t="shared" si="0"/>
        <v>-1.2610213000001078</v>
      </c>
      <c r="P6" s="2" t="str">
        <f t="shared" si="1"/>
        <v>{"name":"Test3",_x000D_
"symbol":"symbol",_x000D_
"description":"description",_x000D_
"seller_fee_basis_points":5002,_x000D_
"image":"https://bafkreieo2qhxipegtregxjt6d6ua5izbduybk2serl357r5sjy5cedbzam.ipfs.nftstorage.link?ext=png",_x000D_
"Issuer":"paul",_x000D_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"share":30}],"files":[{"files":"https://bafybeihvjr73zcwvfbsqzy5odznulrtgntk5fe33b6mhj4d73batj67cxq.ipfs.nftstorage.link?ext=mp6",_x000D_
"type":"video/mp6"}]},"collection":{"name":"TestCollect",_x000D_
"family":"NFluenTGallery"}}</v>
      </c>
      <c r="Q6" s="2" t="str">
        <f>formatRow(Token!A$2:G$2,Token!A5:G5)</f>
        <v>"name":"Test3",_x000D_
"symbol":"symbol",_x000D_
"description":"description",_x000D_
"seller_fee_basis_points":5002,_x000D_
"image":"https://bafkreieo2qhxipegtregxjt6d6ua5izbduybk2serl357r5sjy5cedbzam.ipfs.nftstorage.link?ext=png",_x000D_
"Issuer":"paul",_x000D_
"external_url":""</v>
      </c>
      <c r="R6" s="2" t="str">
        <f>formatRow(Token!H$2:S$2,Token!H5:S5,2,"attributes")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</v>
      </c>
      <c r="S6" s="2" t="str">
        <f>formatRow(Token!AB$2:AJ$2,Token!AB5:AJ5,3,"creators")</f>
        <v>"creators":[{"address":"paul",_x000D_
"verified":1,_x000D_
"share":10},{"address":"sophie",_x000D_
"verified":0,_x000D_
"share":60},{"address":"roger",_x000D_
"verified":1,_x000D_
"share":30}]</v>
      </c>
      <c r="T6" s="2" t="str">
        <f>formatRow(Token!AK$2:AP$2,Token!AK5:AP5,2,"files")</f>
        <v>"files":[{"files":"https://bafybeihvjr73zcwvfbsqzy5odznulrtgntk5fe33b6mhj4d73batj67cxq.ipfs.nftstorage.link?ext=mp6",_x000D_
"type":"video/mp6"}]</v>
      </c>
      <c r="U6" s="2"/>
      <c r="V6" s="2"/>
      <c r="W6" s="2"/>
      <c r="X6" s="2" t="str">
        <f>formatRow(Token!AQ$2:AR$2,Token!AQ5:AR5,0,"collection")</f>
        <v>"collection":{"name":"TestCollect",_x000D_
"family":"NFluenTGallery"}</v>
      </c>
      <c r="Y6" s="2"/>
      <c r="Z6" s="2"/>
    </row>
    <row r="7" spans="1:26" ht="14.25" customHeight="1" x14ac:dyDescent="0.25">
      <c r="A7" s="4" t="s">
        <v>42</v>
      </c>
      <c r="B7" t="s">
        <v>43</v>
      </c>
      <c r="E7" s="13" t="str">
        <f>IF(Token!A6="","",Token!A6)</f>
        <v>Test4</v>
      </c>
      <c r="F7" s="19">
        <v>44671.745833333334</v>
      </c>
      <c r="G7" s="19" t="s">
        <v>126</v>
      </c>
      <c r="H7" s="18" t="s">
        <v>127</v>
      </c>
      <c r="I7" s="27" t="s">
        <v>128</v>
      </c>
      <c r="J7" s="16">
        <v>8.511163153</v>
      </c>
      <c r="K7" s="28">
        <f t="shared" si="0"/>
        <v>-1.2610212999999209</v>
      </c>
      <c r="L7" s="3"/>
      <c r="M7" s="3"/>
      <c r="P7" s="2" t="str">
        <f t="shared" si="1"/>
        <v>{"name":"Test4",_x000D_
"symbol":"symbol",_x000D_
"description":"description",_x000D_
"seller_fee_basis_points":5003,_x000D_
"image":"https://bafkreieo2qhxipegtregxjt6d6ua5izbduybk2serl357r5sjy5cedbzam.ipfs.nftstorage.link?ext=png",_x000D_
"Issuer":"paul",_x000D_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"share":30}],"files":[{"files":"https://bafybeihvjr73zcwvfbsqzy5odznulrtgntk5fe33b6mhj4d73batj67cxq.ipfs.nftstorage.link?ext=mp7",_x000D_
"type":"video/mp7"}]},"collection":{"name":"TestCollect",_x000D_
"family":"NFluenTGallery"}}</v>
      </c>
      <c r="Q7" s="2" t="str">
        <f>formatRow(Token!A$2:G$2,Token!A6:G6)</f>
        <v>"name":"Test4",_x000D_
"symbol":"symbol",_x000D_
"description":"description",_x000D_
"seller_fee_basis_points":5003,_x000D_
"image":"https://bafkreieo2qhxipegtregxjt6d6ua5izbduybk2serl357r5sjy5cedbzam.ipfs.nftstorage.link?ext=png",_x000D_
"Issuer":"paul",_x000D_
"external_url":""</v>
      </c>
      <c r="R7" s="2" t="str">
        <f>formatRow(Token!H$2:S$2,Token!H6:S6,2,"attributes")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</v>
      </c>
      <c r="S7" s="2" t="str">
        <f>formatRow(Token!AB$2:AJ$2,Token!AB6:AJ6,3,"creators")</f>
        <v>"creators":[{"address":"paul",_x000D_
"verified":1,_x000D_
"share":10},{"address":"sophie",_x000D_
"verified":0,_x000D_
"share":60},{"address":"roger",_x000D_
"verified":1,_x000D_
"share":30}]</v>
      </c>
      <c r="T7" s="2" t="str">
        <f>formatRow(Token!AK$2:AP$2,Token!AK6:AP6,2,"files")</f>
        <v>"files":[{"files":"https://bafybeihvjr73zcwvfbsqzy5odznulrtgntk5fe33b6mhj4d73batj67cxq.ipfs.nftstorage.link?ext=mp7",_x000D_
"type":"video/mp7"}]</v>
      </c>
      <c r="U7" s="2"/>
      <c r="V7" s="2"/>
      <c r="W7" s="2"/>
      <c r="X7" s="2" t="str">
        <f>formatRow(Token!AQ$2:AR$2,Token!AQ6:AR6,0,"collection")</f>
        <v>"collection":{"name":"TestCollect",_x000D_
"family":"NFluenTGallery"}</v>
      </c>
      <c r="Y7" s="2"/>
      <c r="Z7" s="2"/>
    </row>
    <row r="8" spans="1:26" ht="14.25" customHeight="1" x14ac:dyDescent="0.25">
      <c r="A8" s="4" t="s">
        <v>24</v>
      </c>
      <c r="B8" t="s">
        <v>25</v>
      </c>
      <c r="E8" s="13" t="str">
        <f>IF(Token!A7="","",Token!A7)</f>
        <v>Test5</v>
      </c>
      <c r="F8" s="19">
        <v>44671.745891203704</v>
      </c>
      <c r="G8" s="19" t="s">
        <v>129</v>
      </c>
      <c r="H8" s="18" t="s">
        <v>130</v>
      </c>
      <c r="I8" s="27" t="s">
        <v>131</v>
      </c>
      <c r="J8" s="16">
        <v>8.4991819530000008</v>
      </c>
      <c r="K8" s="28">
        <f t="shared" si="0"/>
        <v>-1.2610212999999209</v>
      </c>
      <c r="L8" s="3"/>
      <c r="M8" s="3"/>
      <c r="P8" s="2" t="str">
        <f t="shared" si="1"/>
        <v>{"name":"Test5",_x000D_
"symbol":"symbol",_x000D_
"description":"description",_x000D_
"seller_fee_basis_points":5004,_x000D_
"image":"https://bafkreieo2qhxipegtregxjt6d6ua5izbduybk2serl357r5sjy5cedbzam.ipfs.nftstorage.link?ext=png",_x000D_
"Issuer":"paul",_x000D_
"external_url":"","attributes":[{"trait_type":"Pass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"share":30}],"files":[{"files":"https://bafybeihvjr73zcwvfbsqzy5odznulrtgntk5fe33b6mhj4d73batj67cxq.ipfs.nftstorage.link?ext=mp8",_x000D_
"type":"video/mp8"}]},"collection":{"name":"TestCollect",_x000D_
"family":"NFluenTGallery"}}</v>
      </c>
      <c r="Q8" s="2" t="str">
        <f>formatRow(Token!A$2:G$2,Token!A7:G7)</f>
        <v>"name":"Test5",_x000D_
"symbol":"symbol",_x000D_
"description":"description",_x000D_
"seller_fee_basis_points":5004,_x000D_
"image":"https://bafkreieo2qhxipegtregxjt6d6ua5izbduybk2serl357r5sjy5cedbzam.ipfs.nftstorage.link?ext=png",_x000D_
"Issuer":"paul",_x000D_
"external_url":""</v>
      </c>
      <c r="R8" s="2" t="str">
        <f>formatRow(Token!H$2:S$2,Token!H7:S7,2,"attributes")</f>
        <v>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numérotée"}]</v>
      </c>
      <c r="S8" s="2" t="str">
        <f>formatRow(Token!AB$2:AJ$2,Token!AB7:AJ7,3,"creators")</f>
        <v>"creators":[{"address":"paul",_x000D_
"verified":1,_x000D_
"share":10},{"address":"sophie",_x000D_
"verified":0,_x000D_
"share":60},{"address":"roger",_x000D_
"verified":1,_x000D_
"share":30}]</v>
      </c>
      <c r="T8" s="2" t="str">
        <f>formatRow(Token!AK$2:AP$2,Token!AK7:AP7,2,"files")</f>
        <v>"files":[{"files":"https://bafybeihvjr73zcwvfbsqzy5odznulrtgntk5fe33b6mhj4d73batj67cxq.ipfs.nftstorage.link?ext=mp8",_x000D_
"type":"video/mp8"}]</v>
      </c>
      <c r="U8" s="2"/>
      <c r="V8" s="2"/>
      <c r="W8" s="2"/>
      <c r="X8" s="2" t="str">
        <f>formatRow(Token!AQ$2:AR$2,Token!AQ7:AR7,0,"collection")</f>
        <v>"collection":{"name":"TestCollect",_x000D_
"family":"NFluenTGallery"}</v>
      </c>
      <c r="Y8" s="2"/>
      <c r="Z8" s="2"/>
    </row>
    <row r="9" spans="1:26" ht="14.25" customHeight="1" x14ac:dyDescent="0.25">
      <c r="E9" s="13" t="str">
        <f>IF(Token!A8="","",Token!A8)</f>
        <v>Test6</v>
      </c>
      <c r="F9" s="19">
        <v>44671.745949074073</v>
      </c>
      <c r="G9" s="19" t="s">
        <v>132</v>
      </c>
      <c r="H9" s="18" t="s">
        <v>133</v>
      </c>
      <c r="I9" s="27" t="s">
        <v>134</v>
      </c>
      <c r="J9" s="16">
        <v>8.4872007529999998</v>
      </c>
      <c r="K9" s="28">
        <f t="shared" si="0"/>
        <v>-1.2610213000001078</v>
      </c>
      <c r="P9" s="2" t="str">
        <f t="shared" si="1"/>
        <v>{"name":"Test6",_x000D_
"symbol":"symbol",_x000D_
"description":"description",_x000D_
"seller_fee_basis_points":5005,_x000D_
"image":"https://bafkreieo2qhxipegtregxjt6d6ua5izbduybk2serl357r5sjy5cedbzam.ipfs.nftstorage.link?ext=png",_x000D_
"Issuer":"paul",_x000D_
"external_url":"","attributes":[{"trait_type":"Pass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"share":30}],"files":[{"files":"https://bafybeihvjr73zcwvfbsqzy5odznulrtgntk5fe33b6mhj4d73batj67cxq.ipfs.nftstorage.link?ext=mp9",_x000D_
"type":"video/mp9"}]},"collection":{"name":"TestCollect",_x000D_
"family":"NFluenTGallery"}}</v>
      </c>
      <c r="Q9" s="2" t="str">
        <f>formatRow(Token!A$2:G$2,Token!A8:G8)</f>
        <v>"name":"Test6",_x000D_
"symbol":"symbol",_x000D_
"description":"description",_x000D_
"seller_fee_basis_points":5005,_x000D_
"image":"https://bafkreieo2qhxipegtregxjt6d6ua5izbduybk2serl357r5sjy5cedbzam.ipfs.nftstorage.link?ext=png",_x000D_
"Issuer":"paul",_x000D_
"external_url":""</v>
      </c>
      <c r="R9" s="2" t="str">
        <f>formatRow(Token!H$2:S$2,Token!H8:S8,2,"attributes")</f>
        <v>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numérotée"}]</v>
      </c>
      <c r="S9" s="2" t="str">
        <f>formatRow(Token!AB$2:AJ$2,Token!AB8:AJ8,3,"creators")</f>
        <v>"creators":[{"address":"paul",_x000D_
"verified":1,_x000D_
"share":10},{"address":"sophie",_x000D_
"verified":0,_x000D_
"share":60},{"address":"roger",_x000D_
"verified":1,_x000D_
"share":30}]</v>
      </c>
      <c r="T9" s="2" t="str">
        <f>formatRow(Token!AK$2:AP$2,Token!AK8:AP8,2,"files")</f>
        <v>"files":[{"files":"https://bafybeihvjr73zcwvfbsqzy5odznulrtgntk5fe33b6mhj4d73batj67cxq.ipfs.nftstorage.link?ext=mp9",_x000D_
"type":"video/mp9"}]</v>
      </c>
      <c r="U9" s="2"/>
      <c r="V9" s="2"/>
      <c r="W9" s="2"/>
      <c r="X9" s="2" t="str">
        <f>formatRow(Token!AQ$2:AR$2,Token!AQ8:AR8,0,"collection")</f>
        <v>"collection":{"name":"TestCollect",_x000D_
"family":"NFluenTGallery"}</v>
      </c>
      <c r="Y9" s="2"/>
      <c r="Z9" s="2"/>
    </row>
    <row r="10" spans="1:26" ht="14.25" customHeight="1" x14ac:dyDescent="0.25">
      <c r="E10" s="13" t="str">
        <f>IF(Token!A9="","",Token!A9)</f>
        <v>Test7</v>
      </c>
      <c r="F10" s="19">
        <v>44671.745995370373</v>
      </c>
      <c r="G10" s="19" t="s">
        <v>135</v>
      </c>
      <c r="H10" s="18" t="s">
        <v>136</v>
      </c>
      <c r="I10" s="27" t="s">
        <v>137</v>
      </c>
      <c r="J10" s="16">
        <v>8.4752195530000005</v>
      </c>
      <c r="K10" s="28">
        <f t="shared" si="0"/>
        <v>-1.2610212999999209</v>
      </c>
      <c r="L10" s="3"/>
      <c r="M10" s="3"/>
      <c r="P10" s="2" t="str">
        <f t="shared" si="1"/>
        <v>{"name":"Test7",_x000D_
"symbol":"symbol",_x000D_
"description":"description",_x000D_
"seller_fee_basis_points":5006,_x000D_
"image":"https://bafkreieo2qhxipegtregxjt6d6ua5izbduybk2serl357r5sjy5cedbzam.ipfs.nftstorage.link?ext=png",_x000D_
"Issuer":"paul",_x000D_
"external_url":"","attributes":[{"trait_type":"Pass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"share":30}],"files":[{"files":"https://bafybeihvjr73zcwvfbsqzy5odznulrtgntk5fe33b6mhj4d73batj67cxq.ipfs.nftstorage.link?ext=mp10",_x000D_
"type":"video/mp10"}]},"collection":{"name":"TestCollect",_x000D_
"family":"NFluenTGallery"}}</v>
      </c>
      <c r="Q10" s="2" t="str">
        <f>formatRow(Token!A$2:G$2,Token!A9:G9)</f>
        <v>"name":"Test7",_x000D_
"symbol":"symbol",_x000D_
"description":"description",_x000D_
"seller_fee_basis_points":5006,_x000D_
"image":"https://bafkreieo2qhxipegtregxjt6d6ua5izbduybk2serl357r5sjy5cedbzam.ipfs.nftstorage.link?ext=png",_x000D_
"Issuer":"paul",_x000D_
"external_url":""</v>
      </c>
      <c r="R10" s="2" t="str">
        <f>formatRow(Token!H$2:S$2,Token!H9:S9,2,"attributes")</f>
        <v>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numérotée"}]</v>
      </c>
      <c r="S10" s="2" t="str">
        <f>formatRow(Token!AB$2:AJ$2,Token!AB9:AJ9,3,"creators")</f>
        <v>"creators":[{"address":"paul",_x000D_
"verified":1,_x000D_
"share":10},{"address":"sophie",_x000D_
"verified":0,_x000D_
"share":60},{"address":"roger",_x000D_
"verified":1,_x000D_
"share":30}]</v>
      </c>
      <c r="T10" s="2" t="str">
        <f>formatRow(Token!AK$2:AP$2,Token!AK9:AP9,2,"files")</f>
        <v>"files":[{"files":"https://bafybeihvjr73zcwvfbsqzy5odznulrtgntk5fe33b6mhj4d73batj67cxq.ipfs.nftstorage.link?ext=mp10",_x000D_
"type":"video/mp10"}]</v>
      </c>
      <c r="U10" s="2"/>
      <c r="V10" s="2"/>
      <c r="W10" s="2"/>
      <c r="X10" s="2" t="str">
        <f>formatRow(Token!AQ$2:AR$2,Token!AQ9:AR9,0,"collection")</f>
        <v>"collection":{"name":"TestCollect",_x000D_
"family":"NFluenTGallery"}</v>
      </c>
      <c r="Y10" s="2"/>
      <c r="Z10" s="2"/>
    </row>
    <row r="11" spans="1:26" ht="14.25" customHeight="1" x14ac:dyDescent="0.25">
      <c r="E11" s="13" t="str">
        <f>IF(Token!A10="","",Token!A10)</f>
        <v/>
      </c>
      <c r="F11" s="19"/>
      <c r="G11" s="19"/>
      <c r="H11" s="18"/>
      <c r="K11" s="28" t="str">
        <f t="shared" si="0"/>
        <v>_</v>
      </c>
      <c r="P11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1" s="2" t="str">
        <f>formatRow(Token!A$2:G$2,Token!A10:G10)</f>
        <v>"name":"",_x000D_
"symbol":"",_x000D_
"description":"",_x000D_
"seller_fee_basis_points":"",_x000D_
"image":"",_x000D_
"Issuer":"",_x000D_
"external_url":""</v>
      </c>
      <c r="R11" s="2" t="str">
        <f>formatRow(Token!H$2:S$2,Token!H10:S10,2,"attributes")</f>
        <v>"attributes":[]</v>
      </c>
      <c r="S11" s="2" t="str">
        <f>formatRow(Token!AB$2:AJ$2,Token!AB10:AJ10,3,"creators")</f>
        <v>"creators":[]</v>
      </c>
      <c r="T11" s="2" t="str">
        <f>formatRow(Token!AK$2:AP$2,Token!AK10:AP10,2,"files")</f>
        <v>"files":[]</v>
      </c>
      <c r="U11" s="2"/>
      <c r="V11" s="2"/>
      <c r="W11" s="2"/>
      <c r="X11" s="2" t="str">
        <f>formatRow(Token!AQ$2:AR$2,Token!AQ10:AR10,0,"collection")</f>
        <v>"collection":{"name":"",_x000D_
"family":""}</v>
      </c>
      <c r="Y11" s="2"/>
      <c r="Z11" s="2"/>
    </row>
    <row r="12" spans="1:26" ht="14.25" customHeight="1" x14ac:dyDescent="0.25">
      <c r="E12" s="13" t="str">
        <f>IF(Token!A11="","",Token!A11)</f>
        <v/>
      </c>
      <c r="F12" s="19"/>
      <c r="H12" s="26"/>
      <c r="K12" s="28" t="str">
        <f t="shared" si="0"/>
        <v>_</v>
      </c>
      <c r="P12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2" s="2" t="str">
        <f>formatRow(Token!A$2:G$2,Token!A11:G11)</f>
        <v>"name":"",_x000D_
"symbol":"",_x000D_
"description":"",_x000D_
"seller_fee_basis_points":"",_x000D_
"image":"",_x000D_
"Issuer":"",_x000D_
"external_url":""</v>
      </c>
      <c r="R12" s="2" t="str">
        <f>formatRow(Token!H$2:S$2,Token!H11:S11,2,"attributes")</f>
        <v>"attributes":[]</v>
      </c>
      <c r="S12" s="2" t="str">
        <f>formatRow(Token!AB$2:AJ$2,Token!AB11:AJ11,3,"creators")</f>
        <v>"creators":[]</v>
      </c>
      <c r="T12" s="2" t="str">
        <f>formatRow(Token!AK$2:AP$2,Token!AK11:AP11,2,"files")</f>
        <v>"files":[]</v>
      </c>
      <c r="U12" s="2"/>
      <c r="V12" s="2"/>
      <c r="W12" s="2"/>
      <c r="X12" s="2" t="str">
        <f>formatRow(Token!AQ$2:AR$2,Token!AQ11:AR11,0,"collection")</f>
        <v>"collection":{"name":"",_x000D_
"family":""}</v>
      </c>
      <c r="Y12" s="2"/>
      <c r="Z12" s="2"/>
    </row>
    <row r="13" spans="1:26" ht="14.25" customHeight="1" x14ac:dyDescent="0.25">
      <c r="E13" s="13" t="str">
        <f>IF(Token!A12="","",Token!A12)</f>
        <v/>
      </c>
      <c r="F13" s="19"/>
      <c r="H13" s="26"/>
      <c r="K13" s="28" t="str">
        <f t="shared" si="0"/>
        <v>_</v>
      </c>
      <c r="P13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3" s="2" t="str">
        <f>formatRow(Token!A$2:G$2,Token!A12:G12)</f>
        <v>"name":"",_x000D_
"symbol":"",_x000D_
"description":"",_x000D_
"seller_fee_basis_points":"",_x000D_
"image":"",_x000D_
"Issuer":"",_x000D_
"external_url":""</v>
      </c>
      <c r="R13" s="2" t="str">
        <f>formatRow(Token!H$2:S$2,Token!H12:S12,2,"attributes")</f>
        <v>"attributes":[]</v>
      </c>
      <c r="S13" s="2" t="str">
        <f>formatRow(Token!AB$2:AJ$2,Token!AB12:AJ12,3,"creators")</f>
        <v>"creators":[]</v>
      </c>
      <c r="T13" s="2" t="str">
        <f>formatRow(Token!AK$2:AP$2,Token!AK12:AP12,2,"files")</f>
        <v>"files":[]</v>
      </c>
      <c r="U13" s="2"/>
      <c r="V13" s="2"/>
      <c r="W13" s="2"/>
      <c r="X13" s="2" t="str">
        <f>formatRow(Token!AQ$2:AR$2,Token!AQ12:AR12,0,"collection")</f>
        <v>"collection":{"name":"",_x000D_
"family":""}</v>
      </c>
      <c r="Y13" s="2"/>
      <c r="Z13" s="2"/>
    </row>
    <row r="14" spans="1:26" ht="14.25" customHeight="1" x14ac:dyDescent="0.25">
      <c r="E14" s="13" t="str">
        <f>IF(Token!A13="","",Token!A13)</f>
        <v/>
      </c>
      <c r="F14" s="19"/>
      <c r="H14" s="26"/>
      <c r="K14" s="28" t="str">
        <f t="shared" si="0"/>
        <v>_</v>
      </c>
      <c r="P14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4" s="2" t="str">
        <f>formatRow(Token!A$2:G$2,Token!A13:G13)</f>
        <v>"name":"",_x000D_
"symbol":"",_x000D_
"description":"",_x000D_
"seller_fee_basis_points":"",_x000D_
"image":"",_x000D_
"Issuer":"",_x000D_
"external_url":""</v>
      </c>
      <c r="R14" s="2" t="str">
        <f>formatRow(Token!H$2:S$2,Token!H13:S13,2,"attributes")</f>
        <v>"attributes":[]</v>
      </c>
      <c r="S14" s="2" t="str">
        <f>formatRow(Token!AB$2:AJ$2,Token!AB13:AJ13,3,"creators")</f>
        <v>"creators":[]</v>
      </c>
      <c r="T14" s="2" t="str">
        <f>formatRow(Token!AK$2:AP$2,Token!AK13:AP13,2,"files")</f>
        <v>"files":[]</v>
      </c>
      <c r="U14" s="2"/>
      <c r="V14" s="2"/>
      <c r="W14" s="2"/>
      <c r="X14" s="2" t="str">
        <f>formatRow(Token!AQ$2:AR$2,Token!AQ13:AR13,0,"collection")</f>
        <v>"collection":{"name":"",_x000D_
"family":""}</v>
      </c>
      <c r="Y14" s="2"/>
      <c r="Z14" s="2"/>
    </row>
    <row r="15" spans="1:26" ht="14.25" customHeight="1" x14ac:dyDescent="0.25">
      <c r="E15" s="13" t="str">
        <f>IF(Token!A14="","",Token!A14)</f>
        <v/>
      </c>
      <c r="F15" s="19"/>
      <c r="H15" s="26"/>
      <c r="K15" s="28" t="str">
        <f t="shared" si="0"/>
        <v>_</v>
      </c>
      <c r="P15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5" s="2" t="str">
        <f>formatRow(Token!A$2:G$2,Token!A14:G14)</f>
        <v>"name":"",_x000D_
"symbol":"",_x000D_
"description":"",_x000D_
"seller_fee_basis_points":"",_x000D_
"image":"",_x000D_
"Issuer":"",_x000D_
"external_url":""</v>
      </c>
      <c r="R15" s="2" t="str">
        <f>formatRow(Token!H$2:S$2,Token!H14:S14,2,"attributes")</f>
        <v>"attributes":[]</v>
      </c>
      <c r="S15" s="2" t="str">
        <f>formatRow(Token!AB$2:AJ$2,Token!AB14:AJ14,3,"creators")</f>
        <v>"creators":[]</v>
      </c>
      <c r="T15" s="2" t="str">
        <f>formatRow(Token!AK$2:AP$2,Token!AK14:AP14,2,"files")</f>
        <v>"files":[]</v>
      </c>
      <c r="U15" s="2"/>
      <c r="V15" s="2"/>
      <c r="W15" s="2"/>
      <c r="X15" s="2" t="str">
        <f>formatRow(Token!AQ$2:AR$2,Token!AQ14:AR14,0,"collection")</f>
        <v>"collection":{"name":"",_x000D_
"family":""}</v>
      </c>
      <c r="Y15" s="2"/>
      <c r="Z15" s="2"/>
    </row>
    <row r="16" spans="1:26" ht="14.25" customHeight="1" x14ac:dyDescent="0.25">
      <c r="E16" s="13" t="str">
        <f>IF(Token!A15="","",Token!A15)</f>
        <v/>
      </c>
      <c r="F16" s="19"/>
      <c r="H16" s="26"/>
      <c r="K16" s="28" t="str">
        <f t="shared" si="0"/>
        <v>_</v>
      </c>
      <c r="P16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6" s="2" t="str">
        <f>formatRow(Token!A$2:G$2,Token!A15:G15)</f>
        <v>"name":"",_x000D_
"symbol":"",_x000D_
"description":"",_x000D_
"seller_fee_basis_points":"",_x000D_
"image":"",_x000D_
"Issuer":"",_x000D_
"external_url":""</v>
      </c>
      <c r="R16" s="2" t="str">
        <f>formatRow(Token!H$2:S$2,Token!H15:S15,2,"attributes")</f>
        <v>"attributes":[]</v>
      </c>
      <c r="S16" s="2" t="str">
        <f>formatRow(Token!AB$2:AJ$2,Token!AB15:AJ15,3,"creators")</f>
        <v>"creators":[]</v>
      </c>
      <c r="T16" s="2" t="str">
        <f>formatRow(Token!AK$2:AP$2,Token!AK15:AP15,2,"files")</f>
        <v>"files":[]</v>
      </c>
      <c r="U16" s="2"/>
      <c r="V16" s="2"/>
      <c r="W16" s="2"/>
      <c r="X16" s="2" t="str">
        <f>formatRow(Token!AQ$2:AR$2,Token!AQ15:AR15,0,"collection")</f>
        <v>"collection":{"name":"",_x000D_
"family":""}</v>
      </c>
      <c r="Y16" s="2"/>
      <c r="Z16" s="2"/>
    </row>
    <row r="17" spans="5:26" ht="14.25" customHeight="1" x14ac:dyDescent="0.25">
      <c r="E17" s="13" t="str">
        <f>IF(Token!A16="","",Token!A16)</f>
        <v/>
      </c>
      <c r="F17" s="19"/>
      <c r="H17" s="26"/>
      <c r="K17" s="28" t="str">
        <f t="shared" si="0"/>
        <v>_</v>
      </c>
      <c r="P17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7" s="2" t="str">
        <f>formatRow(Token!A$2:G$2,Token!A16:G16)</f>
        <v>"name":"",_x000D_
"symbol":"",_x000D_
"description":"",_x000D_
"seller_fee_basis_points":"",_x000D_
"image":"",_x000D_
"Issuer":"",_x000D_
"external_url":""</v>
      </c>
      <c r="R17" s="2" t="str">
        <f>formatRow(Token!H$2:S$2,Token!H16:S16,2,"attributes")</f>
        <v>"attributes":[]</v>
      </c>
      <c r="S17" s="2" t="str">
        <f>formatRow(Token!AB$2:AJ$2,Token!AB16:AJ16,3,"creators")</f>
        <v>"creators":[]</v>
      </c>
      <c r="T17" s="2" t="str">
        <f>formatRow(Token!AK$2:AP$2,Token!AK16:AP16,2,"files")</f>
        <v>"files":[]</v>
      </c>
      <c r="U17" s="2"/>
      <c r="V17" s="2"/>
      <c r="W17" s="2"/>
      <c r="X17" s="2" t="str">
        <f>formatRow(Token!AQ$2:AR$2,Token!AQ16:AR16,0,"collection")</f>
        <v>"collection":{"name":"",_x000D_
"family":""}</v>
      </c>
      <c r="Y17" s="2"/>
      <c r="Z17" s="2"/>
    </row>
    <row r="18" spans="5:26" ht="14.25" customHeight="1" x14ac:dyDescent="0.25">
      <c r="E18" s="13" t="str">
        <f>IF(Token!A17="","",Token!A17)</f>
        <v/>
      </c>
      <c r="F18" s="19"/>
      <c r="H18" s="26"/>
      <c r="K18" s="28" t="str">
        <f t="shared" si="0"/>
        <v>_</v>
      </c>
      <c r="P18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8" s="2" t="str">
        <f>formatRow(Token!A$2:G$2,Token!A17:G17)</f>
        <v>"name":"",_x000D_
"symbol":"",_x000D_
"description":"",_x000D_
"seller_fee_basis_points":"",_x000D_
"image":"",_x000D_
"Issuer":"",_x000D_
"external_url":""</v>
      </c>
      <c r="R18" s="2" t="str">
        <f>formatRow(Token!H$2:S$2,Token!H17:S17,2,"attributes")</f>
        <v>"attributes":[]</v>
      </c>
      <c r="S18" s="2" t="str">
        <f>formatRow(Token!AB$2:AJ$2,Token!AB17:AJ17,3,"creators")</f>
        <v>"creators":[]</v>
      </c>
      <c r="T18" s="2" t="str">
        <f>formatRow(Token!AK$2:AP$2,Token!AK17:AP17,2,"files")</f>
        <v>"files":[]</v>
      </c>
      <c r="U18" s="2"/>
      <c r="V18" s="2"/>
      <c r="W18" s="2"/>
      <c r="X18" s="2" t="str">
        <f>formatRow(Token!AQ$2:AR$2,Token!AQ17:AR17,0,"collection")</f>
        <v>"collection":{"name":"",_x000D_
"family":""}</v>
      </c>
      <c r="Y18" s="2"/>
      <c r="Z18" s="2"/>
    </row>
    <row r="19" spans="5:26" ht="14.25" customHeight="1" x14ac:dyDescent="0.25">
      <c r="E19" s="13" t="str">
        <f>IF(Token!A18="","",Token!A18)</f>
        <v/>
      </c>
      <c r="F19" s="19"/>
      <c r="H19" s="26"/>
      <c r="K19" s="28" t="str">
        <f t="shared" si="0"/>
        <v>_</v>
      </c>
      <c r="P19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9" s="2" t="str">
        <f>formatRow(Token!A$2:G$2,Token!A18:G18)</f>
        <v>"name":"",_x000D_
"symbol":"",_x000D_
"description":"",_x000D_
"seller_fee_basis_points":"",_x000D_
"image":"",_x000D_
"Issuer":"",_x000D_
"external_url":""</v>
      </c>
      <c r="R19" s="2" t="str">
        <f>formatRow(Token!H$2:S$2,Token!H18:S18,2,"attributes")</f>
        <v>"attributes":[]</v>
      </c>
      <c r="S19" s="2" t="str">
        <f>formatRow(Token!AB$2:AJ$2,Token!AB18:AJ18,3,"creators")</f>
        <v>"creators":[]</v>
      </c>
      <c r="T19" s="2" t="str">
        <f>formatRow(Token!AK$2:AP$2,Token!AK18:AP18,2,"files")</f>
        <v>"files":[]</v>
      </c>
      <c r="U19" s="2"/>
      <c r="V19" s="2"/>
      <c r="W19" s="2"/>
      <c r="X19" s="2" t="str">
        <f>formatRow(Token!AQ$2:AR$2,Token!AQ18:AR18,0,"collection")</f>
        <v>"collection":{"name":"",_x000D_
"family":""}</v>
      </c>
      <c r="Y19" s="2"/>
      <c r="Z19" s="2"/>
    </row>
    <row r="20" spans="5:26" ht="14.25" customHeight="1" x14ac:dyDescent="0.25">
      <c r="E20" s="13" t="str">
        <f>IF(Token!A19="","",Token!A19)</f>
        <v/>
      </c>
      <c r="K20" s="28" t="str">
        <f t="shared" si="0"/>
        <v>_</v>
      </c>
      <c r="P20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0" s="2" t="str">
        <f>formatRow(Token!A$2:G$2,Token!A19:G19)</f>
        <v>"name":"",_x000D_
"symbol":"",_x000D_
"description":"",_x000D_
"seller_fee_basis_points":"",_x000D_
"image":"",_x000D_
"Issuer":"",_x000D_
"external_url":""</v>
      </c>
      <c r="R20" s="2" t="str">
        <f>formatRow(Token!H$2:S$2,Token!H19:S19,2,"attributes")</f>
        <v>"attributes":[]</v>
      </c>
      <c r="S20" s="2" t="str">
        <f>formatRow(Token!AB$2:AJ$2,Token!AB19:AJ19,3,"creators")</f>
        <v>"creators":[]</v>
      </c>
      <c r="T20" s="2" t="str">
        <f>formatRow(Token!AK$2:AP$2,Token!AK19:AP19,2,"files")</f>
        <v>"files":[]</v>
      </c>
      <c r="U20" s="2"/>
      <c r="V20" s="2"/>
      <c r="W20" s="2"/>
      <c r="X20" s="2" t="str">
        <f>formatRow(Token!AQ$2:AR$2,Token!AQ19:AR19,0,"collection")</f>
        <v>"collection":{"name":"",_x000D_
"family":""}</v>
      </c>
      <c r="Y20" s="2"/>
      <c r="Z20" s="2"/>
    </row>
    <row r="21" spans="5:26" ht="14.25" customHeight="1" x14ac:dyDescent="0.25">
      <c r="E21" s="13" t="str">
        <f>IF(Token!A20="","",Token!A20)</f>
        <v/>
      </c>
      <c r="K21" s="28" t="str">
        <f t="shared" si="0"/>
        <v>_</v>
      </c>
      <c r="P21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1" s="2" t="str">
        <f>formatRow(Token!A$2:G$2,Token!A20:G20)</f>
        <v>"name":"",_x000D_
"symbol":"",_x000D_
"description":"",_x000D_
"seller_fee_basis_points":"",_x000D_
"image":"",_x000D_
"Issuer":"",_x000D_
"external_url":""</v>
      </c>
      <c r="R21" s="2" t="str">
        <f>formatRow(Token!H$2:S$2,Token!H20:S20,2,"attributes")</f>
        <v>"attributes":[]</v>
      </c>
      <c r="S21" s="2" t="str">
        <f>formatRow(Token!AB$2:AJ$2,Token!AB20:AJ20,3,"creators")</f>
        <v>"creators":[]</v>
      </c>
      <c r="T21" s="2" t="str">
        <f>formatRow(Token!AK$2:AP$2,Token!AK20:AP20,2,"files")</f>
        <v>"files":[]</v>
      </c>
      <c r="U21" s="2"/>
      <c r="V21" s="2"/>
      <c r="W21" s="2"/>
      <c r="X21" s="2" t="str">
        <f>formatRow(Token!AQ$2:AR$2,Token!AQ20:AR20,0,"collection")</f>
        <v>"collection":{"name":"",_x000D_
"family":""}</v>
      </c>
      <c r="Y21" s="2"/>
      <c r="Z21" s="2"/>
    </row>
    <row r="22" spans="5:26" ht="14.25" customHeight="1" x14ac:dyDescent="0.25">
      <c r="E22" s="13" t="str">
        <f>IF(Token!A21="","",Token!A21)</f>
        <v/>
      </c>
      <c r="K22" s="28" t="str">
        <f t="shared" si="0"/>
        <v>_</v>
      </c>
      <c r="P22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2" s="2" t="str">
        <f>formatRow(Token!A$2:G$2,Token!A21:G21)</f>
        <v>"name":"",_x000D_
"symbol":"",_x000D_
"description":"",_x000D_
"seller_fee_basis_points":"",_x000D_
"image":"",_x000D_
"Issuer":"",_x000D_
"external_url":""</v>
      </c>
      <c r="R22" s="2" t="str">
        <f>formatRow(Token!H$2:S$2,Token!H21:S21,2,"attributes")</f>
        <v>"attributes":[]</v>
      </c>
      <c r="S22" s="2" t="str">
        <f>formatRow(Token!AB$2:AJ$2,Token!AB21:AJ21,3,"creators")</f>
        <v>"creators":[]</v>
      </c>
      <c r="T22" s="2" t="str">
        <f>formatRow(Token!AK$2:AP$2,Token!AK21:AP21,2,"files")</f>
        <v>"files":[]</v>
      </c>
      <c r="U22" s="2"/>
      <c r="V22" s="2"/>
      <c r="W22" s="2"/>
      <c r="X22" s="2" t="str">
        <f>formatRow(Token!AQ$2:AR$2,Token!AQ21:AR21,0,"collection")</f>
        <v>"collection":{"name":"",_x000D_
"family":""}</v>
      </c>
      <c r="Y22" s="2"/>
      <c r="Z22" s="2"/>
    </row>
    <row r="23" spans="5:26" ht="14.25" customHeight="1" x14ac:dyDescent="0.25">
      <c r="E23" s="13" t="str">
        <f>IF(Token!A22="","",Token!A22)</f>
        <v/>
      </c>
      <c r="K23" s="28" t="str">
        <f t="shared" si="0"/>
        <v>_</v>
      </c>
      <c r="P23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3" s="2" t="str">
        <f>formatRow(Token!A$2:G$2,Token!A22:G22)</f>
        <v>"name":"",_x000D_
"symbol":"",_x000D_
"description":"",_x000D_
"seller_fee_basis_points":"",_x000D_
"image":"",_x000D_
"Issuer":"",_x000D_
"external_url":""</v>
      </c>
      <c r="R23" s="2" t="str">
        <f>formatRow(Token!H$2:S$2,Token!H22:S22,2,"attributes")</f>
        <v>"attributes":[]</v>
      </c>
      <c r="S23" s="2" t="str">
        <f>formatRow(Token!AB$2:AJ$2,Token!AB22:AJ22,3,"creators")</f>
        <v>"creators":[]</v>
      </c>
      <c r="T23" s="2" t="str">
        <f>formatRow(Token!AK$2:AP$2,Token!AK22:AP22,2,"files")</f>
        <v>"files":[]</v>
      </c>
      <c r="U23" s="2"/>
      <c r="V23" s="2"/>
      <c r="W23" s="2"/>
      <c r="X23" s="2" t="str">
        <f>formatRow(Token!AQ$2:AR$2,Token!AQ22:AR22,0,"collection")</f>
        <v>"collection":{"name":"",_x000D_
"family":""}</v>
      </c>
      <c r="Y23" s="2"/>
      <c r="Z23" s="2"/>
    </row>
    <row r="24" spans="5:26" ht="14.25" customHeight="1" x14ac:dyDescent="0.25">
      <c r="E24" s="13" t="str">
        <f>IF(Token!A23="","",Token!A23)</f>
        <v/>
      </c>
      <c r="K24" s="28" t="str">
        <f t="shared" si="0"/>
        <v>_</v>
      </c>
      <c r="P24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4" s="2" t="str">
        <f>formatRow(Token!A$2:G$2,Token!A23:G23)</f>
        <v>"name":"",_x000D_
"symbol":"",_x000D_
"description":"",_x000D_
"seller_fee_basis_points":"",_x000D_
"image":"",_x000D_
"Issuer":"",_x000D_
"external_url":""</v>
      </c>
      <c r="R24" s="2" t="str">
        <f>formatRow(Token!H$2:S$2,Token!H23:S23,2,"attributes")</f>
        <v>"attributes":[]</v>
      </c>
      <c r="S24" s="2" t="str">
        <f>formatRow(Token!AB$2:AJ$2,Token!AB23:AJ23,3,"creators")</f>
        <v>"creators":[]</v>
      </c>
      <c r="T24" s="2" t="str">
        <f>formatRow(Token!AK$2:AP$2,Token!AK23:AP23,2,"files")</f>
        <v>"files":[]</v>
      </c>
      <c r="U24" s="2"/>
      <c r="V24" s="2"/>
      <c r="W24" s="2"/>
      <c r="X24" s="2" t="str">
        <f>formatRow(Token!AQ$2:AR$2,Token!AQ23:AR23,0,"collection")</f>
        <v>"collection":{"name":"",_x000D_
"family":""}</v>
      </c>
      <c r="Y24" s="2"/>
      <c r="Z24" s="2"/>
    </row>
    <row r="25" spans="5:26" ht="14.25" customHeight="1" x14ac:dyDescent="0.25">
      <c r="E25" s="13" t="str">
        <f>IF(Token!A24="","",Token!A24)</f>
        <v/>
      </c>
      <c r="K25" s="28" t="str">
        <f t="shared" si="0"/>
        <v>_</v>
      </c>
      <c r="P25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5" s="2" t="str">
        <f>formatRow(Token!A$2:G$2,Token!A24:G24)</f>
        <v>"name":"",_x000D_
"symbol":"",_x000D_
"description":"",_x000D_
"seller_fee_basis_points":"",_x000D_
"image":"",_x000D_
"Issuer":"",_x000D_
"external_url":""</v>
      </c>
      <c r="R25" s="2" t="str">
        <f>formatRow(Token!H$2:S$2,Token!H24:S24,2,"attributes")</f>
        <v>"attributes":[]</v>
      </c>
      <c r="S25" s="2" t="str">
        <f>formatRow(Token!AB$2:AJ$2,Token!AB24:AJ24,3,"creators")</f>
        <v>"creators":[]</v>
      </c>
      <c r="T25" s="2" t="str">
        <f>formatRow(Token!AK$2:AP$2,Token!AK24:AP24,2,"files")</f>
        <v>"files":[]</v>
      </c>
      <c r="U25" s="2"/>
      <c r="V25" s="2"/>
      <c r="W25" s="2"/>
      <c r="X25" s="2" t="str">
        <f>formatRow(Token!AQ$2:AR$2,Token!AQ24:AR24,0,"collection")</f>
        <v>"collection":{"name":"",_x000D_
"family":""}</v>
      </c>
      <c r="Y25" s="2"/>
      <c r="Z25" s="2"/>
    </row>
    <row r="26" spans="5:26" ht="14.25" customHeight="1" x14ac:dyDescent="0.25">
      <c r="E26" s="13" t="str">
        <f>IF(Token!A25="","",Token!A25)</f>
        <v/>
      </c>
      <c r="K26" s="28" t="str">
        <f t="shared" si="0"/>
        <v>_</v>
      </c>
      <c r="P26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6" s="2" t="str">
        <f>formatRow(Token!A$2:G$2,Token!A25:G25)</f>
        <v>"name":"",_x000D_
"symbol":"",_x000D_
"description":"",_x000D_
"seller_fee_basis_points":"",_x000D_
"image":"",_x000D_
"Issuer":"",_x000D_
"external_url":""</v>
      </c>
      <c r="R26" s="2" t="str">
        <f>formatRow(Token!H$2:S$2,Token!H25:S25,2,"attributes")</f>
        <v>"attributes":[]</v>
      </c>
      <c r="S26" s="2" t="str">
        <f>formatRow(Token!AB$2:AJ$2,Token!AB25:AJ25,3,"creators")</f>
        <v>"creators":[]</v>
      </c>
      <c r="T26" s="2" t="str">
        <f>formatRow(Token!AK$2:AP$2,Token!AK25:AP25,2,"files")</f>
        <v>"files":[]</v>
      </c>
      <c r="U26" s="2"/>
      <c r="V26" s="2"/>
      <c r="W26" s="2"/>
      <c r="X26" s="2" t="str">
        <f>formatRow(Token!AQ$2:AR$2,Token!AQ25:AR25,0,"collection")</f>
        <v>"collection":{"name":"",_x000D_
"family":""}</v>
      </c>
      <c r="Y26" s="2"/>
      <c r="Z26" s="2"/>
    </row>
    <row r="27" spans="5:26" ht="14.25" customHeight="1" x14ac:dyDescent="0.25">
      <c r="E27" s="13" t="str">
        <f>IF(Token!A26="","",Token!A26)</f>
        <v/>
      </c>
      <c r="K27" s="28" t="str">
        <f t="shared" si="0"/>
        <v>_</v>
      </c>
      <c r="P27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7" s="2" t="str">
        <f>formatRow(Token!A$2:G$2,Token!A26:G26)</f>
        <v>"name":"",_x000D_
"symbol":"",_x000D_
"description":"",_x000D_
"seller_fee_basis_points":"",_x000D_
"image":"",_x000D_
"Issuer":"",_x000D_
"external_url":""</v>
      </c>
      <c r="R27" s="2" t="str">
        <f>formatRow(Token!H$2:S$2,Token!H26:S26,2,"attributes")</f>
        <v>"attributes":[]</v>
      </c>
      <c r="S27" s="2" t="str">
        <f>formatRow(Token!AB$2:AJ$2,Token!AB26:AJ26,3,"creators")</f>
        <v>"creators":[]</v>
      </c>
      <c r="T27" s="2" t="str">
        <f>formatRow(Token!AK$2:AP$2,Token!AK26:AP26,2,"files")</f>
        <v>"files":[]</v>
      </c>
      <c r="U27" s="2"/>
      <c r="V27" s="2"/>
      <c r="W27" s="2"/>
      <c r="X27" s="2" t="str">
        <f>formatRow(Token!AQ$2:AR$2,Token!AQ26:AR26,0,"collection")</f>
        <v>"collection":{"name":"",_x000D_
"family":""}</v>
      </c>
      <c r="Y27" s="2"/>
      <c r="Z27" s="2"/>
    </row>
    <row r="28" spans="5:26" ht="14.25" customHeight="1" x14ac:dyDescent="0.25">
      <c r="E28" s="13" t="str">
        <f>IF(Token!A27="","",Token!A27)</f>
        <v/>
      </c>
      <c r="K28" s="28" t="str">
        <f t="shared" si="0"/>
        <v>_</v>
      </c>
      <c r="P28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8" s="2" t="str">
        <f>formatRow(Token!A$2:G$2,Token!A27:G27)</f>
        <v>"name":"",_x000D_
"symbol":"",_x000D_
"description":"",_x000D_
"seller_fee_basis_points":"",_x000D_
"image":"",_x000D_
"Issuer":"",_x000D_
"external_url":""</v>
      </c>
      <c r="R28" s="2" t="str">
        <f>formatRow(Token!H$2:S$2,Token!H27:S27,2,"attributes")</f>
        <v>"attributes":[]</v>
      </c>
      <c r="S28" s="2" t="str">
        <f>formatRow(Token!AB$2:AJ$2,Token!AB27:AJ27,3,"creators")</f>
        <v>"creators":[]</v>
      </c>
      <c r="T28" s="2" t="str">
        <f>formatRow(Token!AK$2:AP$2,Token!AK27:AP27,2,"files")</f>
        <v>"files":[]</v>
      </c>
      <c r="U28" s="2"/>
      <c r="V28" s="2"/>
      <c r="W28" s="2"/>
      <c r="X28" s="2" t="str">
        <f>formatRow(Token!AQ$2:AR$2,Token!AQ27:AR27,0,"collection")</f>
        <v>"collection":{"name":"",_x000D_
"family":""}</v>
      </c>
      <c r="Y28" s="2"/>
      <c r="Z28" s="2"/>
    </row>
    <row r="29" spans="5:26" ht="14.25" customHeight="1" x14ac:dyDescent="0.25">
      <c r="E29" s="13" t="str">
        <f>IF(Token!A28="","",Token!A28)</f>
        <v/>
      </c>
      <c r="K29" s="28" t="str">
        <f t="shared" si="0"/>
        <v>_</v>
      </c>
      <c r="P29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9" s="2" t="str">
        <f>formatRow(Token!A$2:G$2,Token!A28:G28)</f>
        <v>"name":"",_x000D_
"symbol":"",_x000D_
"description":"",_x000D_
"seller_fee_basis_points":"",_x000D_
"image":"",_x000D_
"Issuer":"",_x000D_
"external_url":""</v>
      </c>
      <c r="R29" s="2" t="str">
        <f>formatRow(Token!H$2:S$2,Token!H28:S28,2,"attributes")</f>
        <v>"attributes":[]</v>
      </c>
      <c r="S29" s="2" t="str">
        <f>formatRow(Token!AB$2:AJ$2,Token!AB28:AJ28,3,"creators")</f>
        <v>"creators":[]</v>
      </c>
      <c r="T29" s="2" t="str">
        <f>formatRow(Token!AK$2:AP$2,Token!AK28:AP28,2,"files")</f>
        <v>"files":[]</v>
      </c>
      <c r="U29" s="2"/>
      <c r="V29" s="2"/>
      <c r="W29" s="2"/>
      <c r="X29" s="2" t="str">
        <f>formatRow(Token!AQ$2:AR$2,Token!AQ28:AR28,0,"collection")</f>
        <v>"collection":{"name":"",_x000D_
"family":""}</v>
      </c>
      <c r="Y29" s="2"/>
      <c r="Z29" s="2"/>
    </row>
    <row r="30" spans="5:26" ht="14.25" customHeight="1" x14ac:dyDescent="0.25">
      <c r="E30" s="13" t="str">
        <f>IF(Token!A29="","",Token!A29)</f>
        <v/>
      </c>
      <c r="K30" s="28" t="str">
        <f t="shared" si="0"/>
        <v>_</v>
      </c>
      <c r="P30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0" s="2" t="str">
        <f>formatRow(Token!A$2:G$2,Token!A29:G29)</f>
        <v>"name":"",_x000D_
"symbol":"",_x000D_
"description":"",_x000D_
"seller_fee_basis_points":"",_x000D_
"image":"",_x000D_
"Issuer":"",_x000D_
"external_url":""</v>
      </c>
      <c r="R30" s="2" t="str">
        <f>formatRow(Token!H$2:S$2,Token!H29:S29,2,"attributes")</f>
        <v>"attributes":[]</v>
      </c>
      <c r="S30" s="2" t="str">
        <f>formatRow(Token!AB$2:AJ$2,Token!AB29:AJ29,3,"creators")</f>
        <v>"creators":[]</v>
      </c>
      <c r="T30" s="2" t="str">
        <f>formatRow(Token!AK$2:AP$2,Token!AK29:AP29,2,"files")</f>
        <v>"files":[]</v>
      </c>
      <c r="U30" s="2"/>
      <c r="V30" s="2"/>
      <c r="W30" s="2"/>
      <c r="X30" s="2" t="str">
        <f>formatRow(Token!AQ$2:AR$2,Token!AQ29:AR29,0,"collection")</f>
        <v>"collection":{"name":"",_x000D_
"family":""}</v>
      </c>
      <c r="Y30" s="2"/>
      <c r="Z30" s="2"/>
    </row>
    <row r="31" spans="5:26" ht="14.25" customHeight="1" x14ac:dyDescent="0.25">
      <c r="E31" s="13" t="str">
        <f>IF(Token!A30="","",Token!A30)</f>
        <v/>
      </c>
      <c r="K31" s="28" t="str">
        <f t="shared" si="0"/>
        <v>_</v>
      </c>
      <c r="P31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1" s="2" t="str">
        <f>formatRow(Token!A$2:G$2,Token!A30:G30)</f>
        <v>"name":"",_x000D_
"symbol":"",_x000D_
"description":"",_x000D_
"seller_fee_basis_points":"",_x000D_
"image":"",_x000D_
"Issuer":"",_x000D_
"external_url":""</v>
      </c>
      <c r="R31" s="2" t="str">
        <f>formatRow(Token!H$2:S$2,Token!H30:S30,2,"attributes")</f>
        <v>"attributes":[]</v>
      </c>
      <c r="S31" s="2" t="str">
        <f>formatRow(Token!AB$2:AJ$2,Token!AB30:AJ30,3,"creators")</f>
        <v>"creators":[]</v>
      </c>
      <c r="T31" s="2" t="str">
        <f>formatRow(Token!AK$2:AP$2,Token!AK30:AP30,2,"files")</f>
        <v>"files":[]</v>
      </c>
      <c r="U31" s="2"/>
      <c r="V31" s="2"/>
      <c r="W31" s="2"/>
      <c r="X31" s="2" t="str">
        <f>formatRow(Token!AQ$2:AR$2,Token!AQ30:AR30,0,"collection")</f>
        <v>"collection":{"name":"",_x000D_
"family":""}</v>
      </c>
      <c r="Y31" s="2"/>
      <c r="Z31" s="2"/>
    </row>
    <row r="32" spans="5:26" ht="14.25" customHeight="1" x14ac:dyDescent="0.25">
      <c r="E32" s="13" t="str">
        <f>IF(Token!A31="","",Token!A31)</f>
        <v/>
      </c>
      <c r="K32" s="28" t="str">
        <f t="shared" si="0"/>
        <v>_</v>
      </c>
      <c r="P32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2" s="2" t="str">
        <f>formatRow(Token!A$2:G$2,Token!A31:G31)</f>
        <v>"name":"",_x000D_
"symbol":"",_x000D_
"description":"",_x000D_
"seller_fee_basis_points":"",_x000D_
"image":"",_x000D_
"Issuer":"",_x000D_
"external_url":""</v>
      </c>
      <c r="R32" s="2" t="str">
        <f>formatRow(Token!H$2:S$2,Token!H31:S31,2,"attributes")</f>
        <v>"attributes":[]</v>
      </c>
      <c r="S32" s="2" t="str">
        <f>formatRow(Token!AB$2:AJ$2,Token!AB31:AJ31,3,"creators")</f>
        <v>"creators":[]</v>
      </c>
      <c r="T32" s="2" t="str">
        <f>formatRow(Token!AK$2:AP$2,Token!AK31:AP31,2,"files")</f>
        <v>"files":[]</v>
      </c>
      <c r="U32" s="2"/>
      <c r="V32" s="2"/>
      <c r="W32" s="2"/>
      <c r="X32" s="2" t="str">
        <f>formatRow(Token!AQ$2:AR$2,Token!AQ31:AR31,0,"collection")</f>
        <v>"collection":{"name":"",_x000D_
"family":""}</v>
      </c>
      <c r="Y32" s="2"/>
      <c r="Z32" s="2"/>
    </row>
    <row r="33" spans="5:26" ht="14.25" customHeight="1" x14ac:dyDescent="0.25">
      <c r="E33" s="13" t="str">
        <f>IF(Token!A32="","",Token!A32)</f>
        <v/>
      </c>
      <c r="K33" s="28" t="str">
        <f t="shared" si="0"/>
        <v>_</v>
      </c>
      <c r="P33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3" s="2" t="str">
        <f>formatRow(Token!A$2:G$2,Token!A32:G32)</f>
        <v>"name":"",_x000D_
"symbol":"",_x000D_
"description":"",_x000D_
"seller_fee_basis_points":"",_x000D_
"image":"",_x000D_
"Issuer":"",_x000D_
"external_url":""</v>
      </c>
      <c r="R33" s="2" t="str">
        <f>formatRow(Token!H$2:S$2,Token!H32:S32,2,"attributes")</f>
        <v>"attributes":[]</v>
      </c>
      <c r="S33" s="2" t="str">
        <f>formatRow(Token!AB$2:AJ$2,Token!AB32:AJ32,3,"creators")</f>
        <v>"creators":[]</v>
      </c>
      <c r="T33" s="2" t="str">
        <f>formatRow(Token!AK$2:AP$2,Token!AK32:AP32,2,"files")</f>
        <v>"files":[]</v>
      </c>
      <c r="U33" s="2"/>
      <c r="V33" s="2"/>
      <c r="W33" s="2"/>
      <c r="X33" s="2" t="str">
        <f>formatRow(Token!AQ$2:AR$2,Token!AQ32:AR32,0,"collection")</f>
        <v>"collection":{"name":"",_x000D_
"family":""}</v>
      </c>
      <c r="Y33" s="2"/>
      <c r="Z33" s="2"/>
    </row>
    <row r="34" spans="5:26" ht="14.25" customHeight="1" x14ac:dyDescent="0.25">
      <c r="E34" s="13" t="str">
        <f>IF(Token!A33="","",Token!A33)</f>
        <v/>
      </c>
      <c r="K34" s="28" t="str">
        <f t="shared" si="0"/>
        <v>_</v>
      </c>
      <c r="P34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4" s="2" t="str">
        <f>formatRow(Token!A$2:G$2,Token!A33:G33)</f>
        <v>"name":"",_x000D_
"symbol":"",_x000D_
"description":"",_x000D_
"seller_fee_basis_points":"",_x000D_
"image":"",_x000D_
"Issuer":"",_x000D_
"external_url":""</v>
      </c>
      <c r="R34" s="2" t="str">
        <f>formatRow(Token!H$2:S$2,Token!H33:S33,2,"attributes")</f>
        <v>"attributes":[]</v>
      </c>
      <c r="S34" s="2" t="str">
        <f>formatRow(Token!AB$2:AJ$2,Token!AB33:AJ33,3,"creators")</f>
        <v>"creators":[]</v>
      </c>
      <c r="T34" s="2" t="str">
        <f>formatRow(Token!AK$2:AP$2,Token!AK33:AP33,2,"files")</f>
        <v>"files":[]</v>
      </c>
      <c r="U34" s="2"/>
      <c r="V34" s="2"/>
      <c r="W34" s="2"/>
      <c r="X34" s="2" t="str">
        <f>formatRow(Token!AQ$2:AR$2,Token!AQ33:AR33,0,"collection")</f>
        <v>"collection":{"name":"",_x000D_
"family":""}</v>
      </c>
      <c r="Y34" s="2"/>
      <c r="Z34" s="2"/>
    </row>
    <row r="35" spans="5:26" ht="14.25" customHeight="1" x14ac:dyDescent="0.25">
      <c r="E35" s="13" t="str">
        <f>IF(Token!A34="","",Token!A34)</f>
        <v/>
      </c>
      <c r="K35" s="28" t="str">
        <f t="shared" si="0"/>
        <v>_</v>
      </c>
      <c r="P35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5" s="2" t="str">
        <f>formatRow(Token!A$2:G$2,Token!A34:G34)</f>
        <v>"name":"",_x000D_
"symbol":"",_x000D_
"description":"",_x000D_
"seller_fee_basis_points":"",_x000D_
"image":"",_x000D_
"Issuer":"",_x000D_
"external_url":""</v>
      </c>
      <c r="R35" s="2" t="str">
        <f>formatRow(Token!H$2:S$2,Token!H34:S34,2,"attributes")</f>
        <v>"attributes":[]</v>
      </c>
      <c r="S35" s="2" t="str">
        <f>formatRow(Token!AB$2:AJ$2,Token!AB34:AJ34,3,"creators")</f>
        <v>"creators":[]</v>
      </c>
      <c r="T35" s="2" t="str">
        <f>formatRow(Token!AK$2:AP$2,Token!AK34:AP34,2,"files")</f>
        <v>"files":[]</v>
      </c>
      <c r="U35" s="2"/>
      <c r="V35" s="2"/>
      <c r="W35" s="2"/>
      <c r="X35" s="2" t="str">
        <f>formatRow(Token!AQ$2:AR$2,Token!AQ34:AR34,0,"collection")</f>
        <v>"collection":{"name":"",_x000D_
"family":""}</v>
      </c>
      <c r="Y35" s="2"/>
      <c r="Z35" s="2"/>
    </row>
    <row r="36" spans="5:26" ht="14.25" customHeight="1" x14ac:dyDescent="0.25">
      <c r="E36" s="13" t="str">
        <f>IF(Token!A35="","",Token!A35)</f>
        <v/>
      </c>
      <c r="K36" s="28" t="str">
        <f t="shared" si="0"/>
        <v>_</v>
      </c>
      <c r="P36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6" s="2" t="str">
        <f>formatRow(Token!A$2:G$2,Token!A35:G35)</f>
        <v>"name":"",_x000D_
"symbol":"",_x000D_
"description":"",_x000D_
"seller_fee_basis_points":"",_x000D_
"image":"",_x000D_
"Issuer":"",_x000D_
"external_url":""</v>
      </c>
      <c r="R36" s="2" t="str">
        <f>formatRow(Token!H$2:S$2,Token!H35:S35,2,"attributes")</f>
        <v>"attributes":[]</v>
      </c>
      <c r="S36" s="2" t="str">
        <f>formatRow(Token!AB$2:AJ$2,Token!AB35:AJ35,3,"creators")</f>
        <v>"creators":[]</v>
      </c>
      <c r="T36" s="2" t="str">
        <f>formatRow(Token!AK$2:AP$2,Token!AK35:AP35,2,"files")</f>
        <v>"files":[]</v>
      </c>
      <c r="U36" s="2"/>
      <c r="V36" s="2"/>
      <c r="W36" s="2"/>
      <c r="X36" s="2" t="str">
        <f>formatRow(Token!AQ$2:AR$2,Token!AQ35:AR35,0,"collection")</f>
        <v>"collection":{"name":"",_x000D_
"family":""}</v>
      </c>
      <c r="Y36" s="2"/>
      <c r="Z36" s="2"/>
    </row>
    <row r="37" spans="5:26" ht="14.25" customHeight="1" x14ac:dyDescent="0.25">
      <c r="E37" s="13" t="str">
        <f>IF(Token!A36="","",Token!A36)</f>
        <v/>
      </c>
      <c r="K37" s="28" t="str">
        <f t="shared" si="0"/>
        <v>_</v>
      </c>
      <c r="P37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7" s="2" t="str">
        <f>formatRow(Token!A$2:G$2,Token!A36:G36)</f>
        <v>"name":"",_x000D_
"symbol":"",_x000D_
"description":"",_x000D_
"seller_fee_basis_points":"",_x000D_
"image":"",_x000D_
"Issuer":"",_x000D_
"external_url":""</v>
      </c>
      <c r="R37" s="2" t="str">
        <f>formatRow(Token!H$2:S$2,Token!H36:S36,2,"attributes")</f>
        <v>"attributes":[]</v>
      </c>
      <c r="S37" s="2" t="str">
        <f>formatRow(Token!AB$2:AJ$2,Token!AB36:AJ36,3,"creators")</f>
        <v>"creators":[]</v>
      </c>
      <c r="T37" s="2" t="str">
        <f>formatRow(Token!AK$2:AP$2,Token!AK36:AP36,2,"files")</f>
        <v>"files":[]</v>
      </c>
      <c r="U37" s="2"/>
      <c r="V37" s="2"/>
      <c r="W37" s="2"/>
      <c r="X37" s="2" t="str">
        <f>formatRow(Token!AQ$2:AR$2,Token!AQ36:AR36,0,"collection")</f>
        <v>"collection":{"name":"",_x000D_
"family":""}</v>
      </c>
      <c r="Y37" s="2"/>
      <c r="Z37" s="2"/>
    </row>
    <row r="38" spans="5:26" ht="14.25" customHeight="1" x14ac:dyDescent="0.25">
      <c r="E38" s="13" t="str">
        <f>IF(Token!A37="","",Token!A37)</f>
        <v/>
      </c>
      <c r="K38" s="28" t="str">
        <f t="shared" si="0"/>
        <v>_</v>
      </c>
      <c r="P38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8" s="2" t="str">
        <f>formatRow(Token!A$2:G$2,Token!A37:G37)</f>
        <v>"name":"",_x000D_
"symbol":"",_x000D_
"description":"",_x000D_
"seller_fee_basis_points":"",_x000D_
"image":"",_x000D_
"Issuer":"",_x000D_
"external_url":""</v>
      </c>
      <c r="R38" s="2" t="str">
        <f>formatRow(Token!H$2:S$2,Token!H37:S37,2,"attributes")</f>
        <v>"attributes":[]</v>
      </c>
      <c r="S38" s="2" t="str">
        <f>formatRow(Token!AB$2:AJ$2,Token!AB37:AJ37,3,"creators")</f>
        <v>"creators":[]</v>
      </c>
      <c r="T38" s="2" t="str">
        <f>formatRow(Token!AK$2:AP$2,Token!AK37:AP37,2,"files")</f>
        <v>"files":[]</v>
      </c>
      <c r="U38" s="2"/>
      <c r="V38" s="2"/>
      <c r="W38" s="2"/>
      <c r="X38" s="2" t="str">
        <f>formatRow(Token!AQ$2:AR$2,Token!AQ37:AR37,0,"collection")</f>
        <v>"collection":{"name":"",_x000D_
"family":""}</v>
      </c>
      <c r="Y38" s="2"/>
      <c r="Z38" s="2"/>
    </row>
    <row r="39" spans="5:26" ht="14.25" customHeight="1" x14ac:dyDescent="0.25">
      <c r="E39" s="13" t="str">
        <f>IF(Token!A38="","",Token!A38)</f>
        <v/>
      </c>
      <c r="K39" s="28" t="str">
        <f t="shared" si="0"/>
        <v>_</v>
      </c>
      <c r="P39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9" s="2" t="str">
        <f>formatRow(Token!A$2:G$2,Token!A38:G38)</f>
        <v>"name":"",_x000D_
"symbol":"",_x000D_
"description":"",_x000D_
"seller_fee_basis_points":"",_x000D_
"image":"",_x000D_
"Issuer":"",_x000D_
"external_url":""</v>
      </c>
      <c r="R39" s="2" t="str">
        <f>formatRow(Token!H$2:S$2,Token!H38:S38,2,"attributes")</f>
        <v>"attributes":[]</v>
      </c>
      <c r="S39" s="2" t="str">
        <f>formatRow(Token!AB$2:AJ$2,Token!AB38:AJ38,3,"creators")</f>
        <v>"creators":[]</v>
      </c>
      <c r="T39" s="2" t="str">
        <f>formatRow(Token!AK$2:AP$2,Token!AK38:AP38,2,"files")</f>
        <v>"files":[]</v>
      </c>
      <c r="U39" s="2"/>
      <c r="V39" s="2"/>
      <c r="W39" s="2"/>
      <c r="X39" s="2" t="str">
        <f>formatRow(Token!AQ$2:AR$2,Token!AQ38:AR38,0,"collection")</f>
        <v>"collection":{"name":"",_x000D_
"family":""}</v>
      </c>
      <c r="Y39" s="2"/>
      <c r="Z39" s="2"/>
    </row>
    <row r="40" spans="5:26" ht="14.25" customHeight="1" x14ac:dyDescent="0.25">
      <c r="E40" s="13" t="str">
        <f>IF(Token!A39="","",Token!A39)</f>
        <v/>
      </c>
      <c r="K40" s="28" t="str">
        <f t="shared" si="0"/>
        <v>_</v>
      </c>
      <c r="P40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0" s="2" t="str">
        <f>formatRow(Token!A$2:G$2,Token!A39:G39)</f>
        <v>"name":"",_x000D_
"symbol":"",_x000D_
"description":"",_x000D_
"seller_fee_basis_points":"",_x000D_
"image":"",_x000D_
"Issuer":"",_x000D_
"external_url":""</v>
      </c>
      <c r="R40" s="2" t="str">
        <f>formatRow(Token!H$2:S$2,Token!H39:S39,2,"attributes")</f>
        <v>"attributes":[]</v>
      </c>
      <c r="S40" s="2" t="str">
        <f>formatRow(Token!AB$2:AJ$2,Token!AB39:AJ39,3,"creators")</f>
        <v>"creators":[]</v>
      </c>
      <c r="T40" s="2" t="str">
        <f>formatRow(Token!AK$2:AP$2,Token!AK39:AP39,2,"files")</f>
        <v>"files":[]</v>
      </c>
      <c r="U40" s="2"/>
      <c r="V40" s="2"/>
      <c r="W40" s="2"/>
      <c r="X40" s="2" t="str">
        <f>formatRow(Token!AQ$2:AR$2,Token!AQ39:AR39,0,"collection")</f>
        <v>"collection":{"name":"",_x000D_
"family":""}</v>
      </c>
      <c r="Y40" s="2"/>
      <c r="Z40" s="2"/>
    </row>
    <row r="41" spans="5:26" ht="14.25" customHeight="1" x14ac:dyDescent="0.25">
      <c r="E41" s="13" t="str">
        <f>IF(Token!A40="","",Token!A40)</f>
        <v/>
      </c>
      <c r="K41" s="28" t="str">
        <f t="shared" si="0"/>
        <v>_</v>
      </c>
      <c r="P41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1" s="2" t="str">
        <f>formatRow(Token!A$2:G$2,Token!A40:G40)</f>
        <v>"name":"",_x000D_
"symbol":"",_x000D_
"description":"",_x000D_
"seller_fee_basis_points":"",_x000D_
"image":"",_x000D_
"Issuer":"",_x000D_
"external_url":""</v>
      </c>
      <c r="R41" s="2" t="str">
        <f>formatRow(Token!H$2:S$2,Token!H40:S40,2,"attributes")</f>
        <v>"attributes":[]</v>
      </c>
      <c r="S41" s="2" t="str">
        <f>formatRow(Token!AB$2:AJ$2,Token!AB40:AJ40,3,"creators")</f>
        <v>"creators":[]</v>
      </c>
      <c r="T41" s="2" t="str">
        <f>formatRow(Token!AK$2:AP$2,Token!AK40:AP40,2,"files")</f>
        <v>"files":[]</v>
      </c>
      <c r="U41" s="2"/>
      <c r="V41" s="2"/>
      <c r="W41" s="2"/>
      <c r="X41" s="2" t="str">
        <f>formatRow(Token!AQ$2:AR$2,Token!AQ40:AR40,0,"collection")</f>
        <v>"collection":{"name":"",_x000D_
"family":""}</v>
      </c>
      <c r="Y41" s="2"/>
      <c r="Z41" s="2"/>
    </row>
    <row r="42" spans="5:26" ht="14.25" customHeight="1" x14ac:dyDescent="0.25">
      <c r="E42" s="13" t="str">
        <f>IF(Token!A41="","",Token!A41)</f>
        <v/>
      </c>
      <c r="K42" s="28" t="str">
        <f t="shared" si="0"/>
        <v>_</v>
      </c>
      <c r="P42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2" s="2" t="str">
        <f>formatRow(Token!A$2:G$2,Token!A41:G41)</f>
        <v>"name":"",_x000D_
"symbol":"",_x000D_
"description":"",_x000D_
"seller_fee_basis_points":"",_x000D_
"image":"",_x000D_
"Issuer":"",_x000D_
"external_url":""</v>
      </c>
      <c r="R42" s="2" t="str">
        <f>formatRow(Token!H$2:S$2,Token!H41:S41,2,"attributes")</f>
        <v>"attributes":[]</v>
      </c>
      <c r="S42" s="2" t="str">
        <f>formatRow(Token!AB$2:AJ$2,Token!AB41:AJ41,3,"creators")</f>
        <v>"creators":[]</v>
      </c>
      <c r="T42" s="2" t="str">
        <f>formatRow(Token!AK$2:AP$2,Token!AK41:AP41,2,"files")</f>
        <v>"files":[]</v>
      </c>
      <c r="U42" s="2"/>
      <c r="V42" s="2"/>
      <c r="W42" s="2"/>
      <c r="X42" s="2" t="str">
        <f>formatRow(Token!AQ$2:AR$2,Token!AQ41:AR41,0,"collection")</f>
        <v>"collection":{"name":"",_x000D_
"family":""}</v>
      </c>
      <c r="Y42" s="2"/>
      <c r="Z42" s="2"/>
    </row>
    <row r="43" spans="5:26" ht="14.25" customHeight="1" x14ac:dyDescent="0.25">
      <c r="E43" s="13" t="str">
        <f>IF(Token!A42="","",Token!A42)</f>
        <v/>
      </c>
      <c r="K43" s="28" t="str">
        <f t="shared" si="0"/>
        <v>_</v>
      </c>
      <c r="P43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3" s="2" t="str">
        <f>formatRow(Token!A$2:G$2,Token!A42:G42)</f>
        <v>"name":"",_x000D_
"symbol":"",_x000D_
"description":"",_x000D_
"seller_fee_basis_points":"",_x000D_
"image":"",_x000D_
"Issuer":"",_x000D_
"external_url":""</v>
      </c>
      <c r="R43" s="2" t="str">
        <f>formatRow(Token!H$2:S$2,Token!H42:S42,2,"attributes")</f>
        <v>"attributes":[]</v>
      </c>
      <c r="S43" s="2" t="str">
        <f>formatRow(Token!AB$2:AJ$2,Token!AB42:AJ42,3,"creators")</f>
        <v>"creators":[]</v>
      </c>
      <c r="T43" s="2" t="str">
        <f>formatRow(Token!AK$2:AP$2,Token!AK42:AP42,2,"files")</f>
        <v>"files":[]</v>
      </c>
      <c r="U43" s="2"/>
      <c r="V43" s="2"/>
      <c r="W43" s="2"/>
      <c r="X43" s="2" t="str">
        <f>formatRow(Token!AQ$2:AR$2,Token!AQ42:AR42,0,"collection")</f>
        <v>"collection":{"name":"",_x000D_
"family":""}</v>
      </c>
      <c r="Y43" s="2"/>
      <c r="Z43" s="2"/>
    </row>
    <row r="44" spans="5:26" ht="14.25" customHeight="1" x14ac:dyDescent="0.25">
      <c r="E44" s="13" t="str">
        <f>IF(Token!A43="","",Token!A43)</f>
        <v/>
      </c>
      <c r="K44" s="28" t="str">
        <f t="shared" si="0"/>
        <v>_</v>
      </c>
      <c r="P44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4" s="2" t="str">
        <f>formatRow(Token!A$2:G$2,Token!A43:G43)</f>
        <v>"name":"",_x000D_
"symbol":"",_x000D_
"description":"",_x000D_
"seller_fee_basis_points":"",_x000D_
"image":"",_x000D_
"Issuer":"",_x000D_
"external_url":""</v>
      </c>
      <c r="R44" s="2" t="str">
        <f>formatRow(Token!H$2:S$2,Token!H43:S43,2,"attributes")</f>
        <v>"attributes":[]</v>
      </c>
      <c r="S44" s="2" t="str">
        <f>formatRow(Token!AB$2:AJ$2,Token!AB43:AJ43,3,"creators")</f>
        <v>"creators":[]</v>
      </c>
      <c r="T44" s="2" t="str">
        <f>formatRow(Token!AK$2:AP$2,Token!AK43:AP43,2,"files")</f>
        <v>"files":[]</v>
      </c>
      <c r="U44" s="2"/>
      <c r="V44" s="2"/>
      <c r="W44" s="2"/>
      <c r="X44" s="2" t="str">
        <f>formatRow(Token!AQ$2:AR$2,Token!AQ43:AR43,0,"collection")</f>
        <v>"collection":{"name":"",_x000D_
"family":""}</v>
      </c>
      <c r="Y44" s="2"/>
      <c r="Z44" s="2"/>
    </row>
    <row r="45" spans="5:26" ht="14.25" customHeight="1" x14ac:dyDescent="0.25">
      <c r="E45" s="13" t="str">
        <f>IF(Token!A44="","",Token!A44)</f>
        <v/>
      </c>
      <c r="K45" s="28" t="str">
        <f t="shared" si="0"/>
        <v>_</v>
      </c>
      <c r="P45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5" s="2" t="str">
        <f>formatRow(Token!A$2:G$2,Token!A44:G44)</f>
        <v>"name":"",_x000D_
"symbol":"",_x000D_
"description":"",_x000D_
"seller_fee_basis_points":"",_x000D_
"image":"",_x000D_
"Issuer":"",_x000D_
"external_url":""</v>
      </c>
      <c r="R45" s="2" t="str">
        <f>formatRow(Token!H$2:S$2,Token!H44:S44,2,"attributes")</f>
        <v>"attributes":[]</v>
      </c>
      <c r="S45" s="2" t="str">
        <f>formatRow(Token!AB$2:AJ$2,Token!AB44:AJ44,3,"creators")</f>
        <v>"creators":[]</v>
      </c>
      <c r="T45" s="2" t="str">
        <f>formatRow(Token!AK$2:AP$2,Token!AK44:AP44,2,"files")</f>
        <v>"files":[]</v>
      </c>
      <c r="U45" s="2"/>
      <c r="V45" s="2"/>
      <c r="W45" s="2"/>
      <c r="X45" s="2" t="str">
        <f>formatRow(Token!AQ$2:AR$2,Token!AQ44:AR44,0,"collection")</f>
        <v>"collection":{"name":"",_x000D_
"family":""}</v>
      </c>
      <c r="Y45" s="2"/>
      <c r="Z45" s="2"/>
    </row>
    <row r="46" spans="5:26" ht="14.25" customHeight="1" x14ac:dyDescent="0.25">
      <c r="E46" s="13" t="str">
        <f>IF(Token!A45="","",Token!A45)</f>
        <v/>
      </c>
      <c r="K46" s="28" t="str">
        <f t="shared" si="0"/>
        <v>_</v>
      </c>
      <c r="P46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6" s="2" t="str">
        <f>formatRow(Token!A$2:G$2,Token!A45:G45)</f>
        <v>"name":"",_x000D_
"symbol":"",_x000D_
"description":"",_x000D_
"seller_fee_basis_points":"",_x000D_
"image":"",_x000D_
"Issuer":"",_x000D_
"external_url":""</v>
      </c>
      <c r="R46" s="2" t="str">
        <f>formatRow(Token!H$2:S$2,Token!H45:S45,2,"attributes")</f>
        <v>"attributes":[]</v>
      </c>
      <c r="S46" s="2" t="str">
        <f>formatRow(Token!AB$2:AJ$2,Token!AB45:AJ45,3,"creators")</f>
        <v>"creators":[]</v>
      </c>
      <c r="T46" s="2" t="str">
        <f>formatRow(Token!AK$2:AP$2,Token!AK45:AP45,2,"files")</f>
        <v>"files":[]</v>
      </c>
      <c r="U46" s="2"/>
      <c r="V46" s="2"/>
      <c r="W46" s="2"/>
      <c r="X46" s="2" t="str">
        <f>formatRow(Token!AQ$2:AR$2,Token!AQ45:AR45,0,"collection")</f>
        <v>"collection":{"name":"",_x000D_
"family":""}</v>
      </c>
      <c r="Y46" s="2"/>
      <c r="Z46" s="2"/>
    </row>
    <row r="47" spans="5:26" ht="14.25" customHeight="1" x14ac:dyDescent="0.25">
      <c r="E47" s="13" t="str">
        <f>IF(Token!A46="","",Token!A46)</f>
        <v/>
      </c>
      <c r="K47" s="28" t="str">
        <f t="shared" si="0"/>
        <v>_</v>
      </c>
      <c r="P47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7" s="2" t="str">
        <f>formatRow(Token!A$2:G$2,Token!A46:G46)</f>
        <v>"name":"",_x000D_
"symbol":"",_x000D_
"description":"",_x000D_
"seller_fee_basis_points":"",_x000D_
"image":"",_x000D_
"Issuer":"",_x000D_
"external_url":""</v>
      </c>
      <c r="R47" s="2" t="str">
        <f>formatRow(Token!H$2:S$2,Token!H46:S46,2,"attributes")</f>
        <v>"attributes":[]</v>
      </c>
      <c r="S47" s="2" t="str">
        <f>formatRow(Token!AB$2:AJ$2,Token!AB46:AJ46,3,"creators")</f>
        <v>"creators":[]</v>
      </c>
      <c r="T47" s="2" t="str">
        <f>formatRow(Token!AK$2:AP$2,Token!AK46:AP46,2,"files")</f>
        <v>"files":[]</v>
      </c>
      <c r="U47" s="2"/>
      <c r="V47" s="2"/>
      <c r="W47" s="2"/>
      <c r="X47" s="2" t="str">
        <f>formatRow(Token!AQ$2:AR$2,Token!AQ46:AR46,0,"collection")</f>
        <v>"collection":{"name":"",_x000D_
"family":""}</v>
      </c>
      <c r="Y47" s="2"/>
      <c r="Z47" s="2"/>
    </row>
    <row r="48" spans="5:26" ht="14.25" customHeight="1" x14ac:dyDescent="0.25">
      <c r="E48" s="13" t="str">
        <f>IF(Token!A47="","",Token!A47)</f>
        <v/>
      </c>
      <c r="K48" s="28" t="str">
        <f t="shared" si="0"/>
        <v>_</v>
      </c>
      <c r="P48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8" s="2" t="str">
        <f>formatRow(Token!A$2:G$2,Token!A47:G47)</f>
        <v>"name":"",_x000D_
"symbol":"",_x000D_
"description":"",_x000D_
"seller_fee_basis_points":"",_x000D_
"image":"",_x000D_
"Issuer":"",_x000D_
"external_url":""</v>
      </c>
      <c r="R48" s="2" t="str">
        <f>formatRow(Token!H$2:S$2,Token!H47:S47,2,"attributes")</f>
        <v>"attributes":[]</v>
      </c>
      <c r="S48" s="2" t="str">
        <f>formatRow(Token!AB$2:AJ$2,Token!AB47:AJ47,3,"creators")</f>
        <v>"creators":[]</v>
      </c>
      <c r="T48" s="2" t="str">
        <f>formatRow(Token!AK$2:AP$2,Token!AK47:AP47,2,"files")</f>
        <v>"files":[]</v>
      </c>
      <c r="U48" s="2"/>
      <c r="V48" s="2"/>
      <c r="W48" s="2"/>
      <c r="X48" s="2" t="str">
        <f>formatRow(Token!AQ$2:AR$2,Token!AQ47:AR47,0,"collection")</f>
        <v>"collection":{"name":"",_x000D_
"family":""}</v>
      </c>
      <c r="Y48" s="2"/>
      <c r="Z48" s="2"/>
    </row>
    <row r="49" spans="5:26" ht="14.25" customHeight="1" x14ac:dyDescent="0.25">
      <c r="E49" s="13" t="str">
        <f>IF(Token!A48="","",Token!A48)</f>
        <v/>
      </c>
      <c r="K49" s="28" t="str">
        <f t="shared" si="0"/>
        <v>_</v>
      </c>
      <c r="P49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9" s="2" t="str">
        <f>formatRow(Token!A$2:G$2,Token!A48:G48)</f>
        <v>"name":"",_x000D_
"symbol":"",_x000D_
"description":"",_x000D_
"seller_fee_basis_points":"",_x000D_
"image":"",_x000D_
"Issuer":"",_x000D_
"external_url":""</v>
      </c>
      <c r="R49" s="2" t="str">
        <f>formatRow(Token!H$2:S$2,Token!H48:S48,2,"attributes")</f>
        <v>"attributes":[]</v>
      </c>
      <c r="S49" s="2" t="str">
        <f>formatRow(Token!AB$2:AJ$2,Token!AB48:AJ48,3,"creators")</f>
        <v>"creators":[]</v>
      </c>
      <c r="T49" s="2" t="str">
        <f>formatRow(Token!AK$2:AP$2,Token!AK48:AP48,2,"files")</f>
        <v>"files":[]</v>
      </c>
      <c r="U49" s="2"/>
      <c r="V49" s="2"/>
      <c r="W49" s="2"/>
      <c r="X49" s="2" t="str">
        <f>formatRow(Token!AQ$2:AR$2,Token!AQ48:AR48,0,"collection")</f>
        <v>"collection":{"name":"",_x000D_
"family":""}</v>
      </c>
      <c r="Y49" s="2"/>
      <c r="Z49" s="2"/>
    </row>
    <row r="50" spans="5:26" ht="14.25" customHeight="1" x14ac:dyDescent="0.25">
      <c r="E50" s="13" t="str">
        <f>IF(Token!A49="","",Token!A49)</f>
        <v/>
      </c>
      <c r="K50" s="28" t="str">
        <f t="shared" si="0"/>
        <v>_</v>
      </c>
      <c r="P50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0" s="2" t="str">
        <f>formatRow(Token!A$2:G$2,Token!A49:G49)</f>
        <v>"name":"",_x000D_
"symbol":"",_x000D_
"description":"",_x000D_
"seller_fee_basis_points":"",_x000D_
"image":"",_x000D_
"Issuer":"",_x000D_
"external_url":""</v>
      </c>
      <c r="R50" s="2" t="str">
        <f>formatRow(Token!H$2:S$2,Token!H49:S49,2,"attributes")</f>
        <v>"attributes":[]</v>
      </c>
      <c r="S50" s="2" t="str">
        <f>formatRow(Token!AB$2:AJ$2,Token!AB49:AJ49,3,"creators")</f>
        <v>"creators":[]</v>
      </c>
      <c r="T50" s="2" t="str">
        <f>formatRow(Token!AK$2:AP$2,Token!AK49:AP49,2,"files")</f>
        <v>"files":[]</v>
      </c>
      <c r="U50" s="2"/>
      <c r="V50" s="2"/>
      <c r="W50" s="2"/>
      <c r="X50" s="2" t="str">
        <f>formatRow(Token!AQ$2:AR$2,Token!AQ49:AR49,0,"collection")</f>
        <v>"collection":{"name":"",_x000D_
"family":""}</v>
      </c>
      <c r="Y50" s="2"/>
      <c r="Z50" s="2"/>
    </row>
    <row r="51" spans="5:26" ht="14.25" customHeight="1" x14ac:dyDescent="0.25">
      <c r="E51" s="13" t="str">
        <f>IF(Token!A50="","",Token!A50)</f>
        <v/>
      </c>
      <c r="K51" s="28" t="str">
        <f t="shared" si="0"/>
        <v>_</v>
      </c>
      <c r="P51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1" s="2" t="str">
        <f>formatRow(Token!A$2:G$2,Token!A50:G50)</f>
        <v>"name":"",_x000D_
"symbol":"",_x000D_
"description":"",_x000D_
"seller_fee_basis_points":"",_x000D_
"image":"",_x000D_
"Issuer":"",_x000D_
"external_url":""</v>
      </c>
      <c r="R51" s="2" t="str">
        <f>formatRow(Token!H$2:S$2,Token!H50:S50,2,"attributes")</f>
        <v>"attributes":[]</v>
      </c>
      <c r="S51" s="2" t="str">
        <f>formatRow(Token!AB$2:AJ$2,Token!AB50:AJ50,3,"creators")</f>
        <v>"creators":[]</v>
      </c>
      <c r="T51" s="2" t="str">
        <f>formatRow(Token!AK$2:AP$2,Token!AK50:AP50,2,"files")</f>
        <v>"files":[]</v>
      </c>
      <c r="U51" s="2"/>
      <c r="V51" s="2"/>
      <c r="W51" s="2"/>
      <c r="X51" s="2" t="str">
        <f>formatRow(Token!AQ$2:AR$2,Token!AQ50:AR50,0,"collection")</f>
        <v>"collection":{"name":"",_x000D_
"family":""}</v>
      </c>
    </row>
    <row r="52" spans="5:26" ht="14.25" customHeight="1" x14ac:dyDescent="0.25">
      <c r="E52" s="13" t="str">
        <f>IF(Token!A51="","",Token!A51)</f>
        <v/>
      </c>
      <c r="K52" s="28" t="str">
        <f t="shared" si="0"/>
        <v>_</v>
      </c>
      <c r="P52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2" s="2" t="str">
        <f>formatRow(Token!A$2:G$2,Token!A51:G51)</f>
        <v>"name":"",_x000D_
"symbol":"",_x000D_
"description":"",_x000D_
"seller_fee_basis_points":"",_x000D_
"image":"",_x000D_
"Issuer":"",_x000D_
"external_url":""</v>
      </c>
      <c r="R52" s="2" t="str">
        <f>formatRow(Token!H$2:S$2,Token!H51:S51,2,"attributes")</f>
        <v>"attributes":[]</v>
      </c>
      <c r="S52" s="2" t="str">
        <f>formatRow(Token!AB$2:AJ$2,Token!AB51:AJ51,3,"creators")</f>
        <v>"creators":[]</v>
      </c>
      <c r="T52" s="2" t="str">
        <f>formatRow(Token!AK$2:AP$2,Token!AK51:AP51,2,"files")</f>
        <v>"files":[]</v>
      </c>
      <c r="U52" s="2"/>
      <c r="V52" s="2"/>
      <c r="W52" s="2"/>
      <c r="X52" s="2" t="str">
        <f>formatRow(Token!AQ$2:AR$2,Token!AQ51:AR51,0,"collection")</f>
        <v>"collection":{"name":"",_x000D_
"family":""}</v>
      </c>
    </row>
    <row r="53" spans="5:26" ht="14.25" customHeight="1" x14ac:dyDescent="0.25">
      <c r="E53" s="13" t="str">
        <f>IF(Token!A52="","",Token!A52)</f>
        <v/>
      </c>
      <c r="K53" s="28" t="str">
        <f t="shared" si="0"/>
        <v>_</v>
      </c>
      <c r="P53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3" s="2" t="str">
        <f>formatRow(Token!A$2:G$2,Token!A52:G52)</f>
        <v>"name":"",_x000D_
"symbol":"",_x000D_
"description":"",_x000D_
"seller_fee_basis_points":"",_x000D_
"image":"",_x000D_
"Issuer":"",_x000D_
"external_url":""</v>
      </c>
      <c r="R53" s="2" t="str">
        <f>formatRow(Token!H$2:S$2,Token!H52:S52,2,"attributes")</f>
        <v>"attributes":[]</v>
      </c>
      <c r="S53" s="2" t="str">
        <f>formatRow(Token!AB$2:AJ$2,Token!AB52:AJ52,3,"creators")</f>
        <v>"creators":[]</v>
      </c>
      <c r="T53" s="2" t="str">
        <f>formatRow(Token!AK$2:AP$2,Token!AK52:AP52,2,"files")</f>
        <v>"files":[]</v>
      </c>
      <c r="U53" s="2"/>
      <c r="V53" s="2"/>
      <c r="W53" s="2"/>
      <c r="X53" s="2" t="str">
        <f>formatRow(Token!AQ$2:AR$2,Token!AQ52:AR52,0,"collection")</f>
        <v>"collection":{"name":"",_x000D_
"family":""}</v>
      </c>
    </row>
    <row r="54" spans="5:26" ht="14.25" customHeight="1" x14ac:dyDescent="0.25">
      <c r="E54" s="13" t="str">
        <f>IF(Token!A53="","",Token!A53)</f>
        <v/>
      </c>
      <c r="K54" s="28" t="str">
        <f t="shared" si="0"/>
        <v>_</v>
      </c>
      <c r="P54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4" s="2" t="str">
        <f>formatRow(Token!A$2:G$2,Token!A53:G53)</f>
        <v>"name":"",_x000D_
"symbol":"",_x000D_
"description":"",_x000D_
"seller_fee_basis_points":"",_x000D_
"image":"",_x000D_
"Issuer":"",_x000D_
"external_url":""</v>
      </c>
      <c r="R54" s="2" t="str">
        <f>formatRow(Token!H$2:S$2,Token!H53:S53,2,"attributes")</f>
        <v>"attributes":[]</v>
      </c>
      <c r="S54" s="2" t="str">
        <f>formatRow(Token!AB$2:AJ$2,Token!AB53:AJ53,3,"creators")</f>
        <v>"creators":[]</v>
      </c>
      <c r="T54" s="2" t="str">
        <f>formatRow(Token!AK$2:AP$2,Token!AK53:AP53,2,"files")</f>
        <v>"files":[]</v>
      </c>
      <c r="U54" s="2"/>
      <c r="V54" s="2"/>
      <c r="W54" s="2"/>
      <c r="X54" s="2" t="str">
        <f>formatRow(Token!AQ$2:AR$2,Token!AQ53:AR53,0,"collection")</f>
        <v>"collection":{"name":"",_x000D_
"family":""}</v>
      </c>
    </row>
    <row r="55" spans="5:26" ht="14.25" customHeight="1" x14ac:dyDescent="0.25">
      <c r="E55" s="13" t="str">
        <f>IF(Token!A54="","",Token!A54)</f>
        <v/>
      </c>
      <c r="K55" s="28" t="str">
        <f t="shared" si="0"/>
        <v>_</v>
      </c>
      <c r="P55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5" s="2" t="str">
        <f>formatRow(Token!A$2:G$2,Token!A54:G54)</f>
        <v>"name":"",_x000D_
"symbol":"",_x000D_
"description":"",_x000D_
"seller_fee_basis_points":"",_x000D_
"image":"",_x000D_
"Issuer":"",_x000D_
"external_url":""</v>
      </c>
      <c r="R55" s="2" t="str">
        <f>formatRow(Token!H$2:S$2,Token!H54:S54,2,"attributes")</f>
        <v>"attributes":[]</v>
      </c>
      <c r="S55" s="2" t="str">
        <f>formatRow(Token!AB$2:AJ$2,Token!AB54:AJ54,3,"creators")</f>
        <v>"creators":[]</v>
      </c>
      <c r="T55" s="2" t="str">
        <f>formatRow(Token!AK$2:AP$2,Token!AK54:AP54,2,"files")</f>
        <v>"files":[]</v>
      </c>
      <c r="U55" s="2"/>
      <c r="V55" s="2"/>
      <c r="W55" s="2"/>
      <c r="X55" s="2" t="str">
        <f>formatRow(Token!AQ$2:AR$2,Token!AQ54:AR54,0,"collection")</f>
        <v>"collection":{"name":"",_x000D_
"family":""}</v>
      </c>
    </row>
    <row r="56" spans="5:26" ht="14.25" customHeight="1" x14ac:dyDescent="0.25">
      <c r="E56" s="13" t="str">
        <f>IF(Token!A55="","",Token!A55)</f>
        <v/>
      </c>
      <c r="K56" s="28" t="str">
        <f t="shared" si="0"/>
        <v>_</v>
      </c>
      <c r="P56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6" s="2" t="str">
        <f>formatRow(Token!A$2:G$2,Token!A55:G55)</f>
        <v>"name":"",_x000D_
"symbol":"",_x000D_
"description":"",_x000D_
"seller_fee_basis_points":"",_x000D_
"image":"",_x000D_
"Issuer":"",_x000D_
"external_url":""</v>
      </c>
      <c r="R56" s="2" t="str">
        <f>formatRow(Token!H$2:S$2,Token!H55:S55,2,"attributes")</f>
        <v>"attributes":[]</v>
      </c>
      <c r="S56" s="2" t="str">
        <f>formatRow(Token!AB$2:AJ$2,Token!AB55:AJ55,3,"creators")</f>
        <v>"creators":[]</v>
      </c>
      <c r="T56" s="2" t="str">
        <f>formatRow(Token!AK$2:AP$2,Token!AK55:AP55,2,"files")</f>
        <v>"files":[]</v>
      </c>
      <c r="U56" s="2"/>
      <c r="V56" s="2"/>
      <c r="W56" s="2"/>
      <c r="X56" s="2" t="str">
        <f>formatRow(Token!AQ$2:AR$2,Token!AQ55:AR55,0,"collection")</f>
        <v>"collection":{"name":"",_x000D_
"family":""}</v>
      </c>
    </row>
    <row r="57" spans="5:26" ht="14.25" customHeight="1" x14ac:dyDescent="0.25">
      <c r="E57" s="13" t="str">
        <f>IF(Token!A56="","",Token!A56)</f>
        <v/>
      </c>
      <c r="K57" s="28" t="str">
        <f t="shared" si="0"/>
        <v>_</v>
      </c>
      <c r="P57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7" s="2" t="str">
        <f>formatRow(Token!A$2:G$2,Token!A56:G56)</f>
        <v>"name":"",_x000D_
"symbol":"",_x000D_
"description":"",_x000D_
"seller_fee_basis_points":"",_x000D_
"image":"",_x000D_
"Issuer":"",_x000D_
"external_url":""</v>
      </c>
      <c r="R57" s="2" t="str">
        <f>formatRow(Token!H$2:S$2,Token!H56:S56,2,"attributes")</f>
        <v>"attributes":[]</v>
      </c>
      <c r="S57" s="2" t="str">
        <f>formatRow(Token!AB$2:AJ$2,Token!AB56:AJ56,3,"creators")</f>
        <v>"creators":[]</v>
      </c>
      <c r="T57" s="2" t="str">
        <f>formatRow(Token!AK$2:AP$2,Token!AK56:AP56,2,"files")</f>
        <v>"files":[]</v>
      </c>
      <c r="U57" s="2"/>
      <c r="V57" s="2"/>
      <c r="W57" s="2"/>
      <c r="X57" s="2" t="str">
        <f>formatRow(Token!AQ$2:AR$2,Token!AQ56:AR56,0,"collection")</f>
        <v>"collection":{"name":"",_x000D_
"family":""}</v>
      </c>
    </row>
    <row r="58" spans="5:26" ht="14.25" customHeight="1" x14ac:dyDescent="0.25">
      <c r="E58" s="13" t="str">
        <f>IF(Token!A57="","",Token!A57)</f>
        <v/>
      </c>
      <c r="K58" s="28" t="str">
        <f t="shared" si="0"/>
        <v>_</v>
      </c>
      <c r="P58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8" s="2" t="str">
        <f>formatRow(Token!A$2:G$2,Token!A57:G57)</f>
        <v>"name":"",_x000D_
"symbol":"",_x000D_
"description":"",_x000D_
"seller_fee_basis_points":"",_x000D_
"image":"",_x000D_
"Issuer":"",_x000D_
"external_url":""</v>
      </c>
      <c r="R58" s="2" t="str">
        <f>formatRow(Token!H$2:S$2,Token!H57:S57,2,"attributes")</f>
        <v>"attributes":[]</v>
      </c>
      <c r="S58" s="2" t="str">
        <f>formatRow(Token!AB$2:AJ$2,Token!AB57:AJ57,3,"creators")</f>
        <v>"creators":[]</v>
      </c>
      <c r="T58" s="2" t="str">
        <f>formatRow(Token!AK$2:AP$2,Token!AK57:AP57,2,"files")</f>
        <v>"files":[]</v>
      </c>
      <c r="U58" s="2"/>
      <c r="V58" s="2"/>
      <c r="W58" s="2"/>
      <c r="X58" s="2" t="str">
        <f>formatRow(Token!AQ$2:AR$2,Token!AQ57:AR57,0,"collection")</f>
        <v>"collection":{"name":"",_x000D_
"family":""}</v>
      </c>
    </row>
    <row r="59" spans="5:26" ht="14.25" customHeight="1" x14ac:dyDescent="0.25">
      <c r="E59" s="13" t="str">
        <f>IF(Token!A58="","",Token!A58)</f>
        <v/>
      </c>
      <c r="K59" s="28" t="str">
        <f t="shared" si="0"/>
        <v>_</v>
      </c>
      <c r="P59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9" s="2" t="str">
        <f>formatRow(Token!A$2:G$2,Token!A58:G58)</f>
        <v>"name":"",_x000D_
"symbol":"",_x000D_
"description":"",_x000D_
"seller_fee_basis_points":"",_x000D_
"image":"",_x000D_
"Issuer":"",_x000D_
"external_url":""</v>
      </c>
      <c r="R59" s="2" t="str">
        <f>formatRow(Token!H$2:S$2,Token!H58:S58,2,"attributes")</f>
        <v>"attributes":[]</v>
      </c>
      <c r="S59" s="2" t="str">
        <f>formatRow(Token!AB$2:AJ$2,Token!AB58:AJ58,3,"creators")</f>
        <v>"creators":[]</v>
      </c>
      <c r="T59" s="2" t="str">
        <f>formatRow(Token!AK$2:AP$2,Token!AK58:AP58,2,"files")</f>
        <v>"files":[]</v>
      </c>
      <c r="U59" s="2"/>
      <c r="V59" s="2"/>
      <c r="W59" s="2"/>
      <c r="X59" s="2" t="str">
        <f>formatRow(Token!AQ$2:AR$2,Token!AQ58:AR58,0,"collection")</f>
        <v>"collection":{"name":"",_x000D_
"family":""}</v>
      </c>
    </row>
    <row r="60" spans="5:26" ht="14.25" customHeight="1" x14ac:dyDescent="0.25">
      <c r="E60" s="13" t="str">
        <f>IF(Token!A59="","",Token!A59)</f>
        <v/>
      </c>
      <c r="K60" s="28" t="str">
        <f t="shared" si="0"/>
        <v>_</v>
      </c>
      <c r="P60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0" s="2" t="str">
        <f>formatRow(Token!A$2:G$2,Token!A59:G59)</f>
        <v>"name":"",_x000D_
"symbol":"",_x000D_
"description":"",_x000D_
"seller_fee_basis_points":"",_x000D_
"image":"",_x000D_
"Issuer":"",_x000D_
"external_url":""</v>
      </c>
      <c r="R60" s="2" t="str">
        <f>formatRow(Token!H$2:S$2,Token!H59:S59,2,"attributes")</f>
        <v>"attributes":[]</v>
      </c>
      <c r="S60" s="2" t="str">
        <f>formatRow(Token!AB$2:AJ$2,Token!AB59:AJ59,3,"creators")</f>
        <v>"creators":[]</v>
      </c>
      <c r="T60" s="2" t="str">
        <f>formatRow(Token!AK$2:AP$2,Token!AK59:AP59,2,"files")</f>
        <v>"files":[]</v>
      </c>
      <c r="U60" s="2"/>
      <c r="V60" s="2"/>
      <c r="W60" s="2"/>
      <c r="X60" s="2" t="str">
        <f>formatRow(Token!AQ$2:AR$2,Token!AQ59:AR59,0,"collection")</f>
        <v>"collection":{"name":"",_x000D_
"family":""}</v>
      </c>
    </row>
    <row r="61" spans="5:26" ht="14.25" customHeight="1" x14ac:dyDescent="0.25">
      <c r="E61" s="13" t="str">
        <f>IF(Token!A60="","",Token!A60)</f>
        <v/>
      </c>
      <c r="K61" s="28" t="str">
        <f t="shared" si="0"/>
        <v>_</v>
      </c>
      <c r="P61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1" s="2" t="str">
        <f>formatRow(Token!A$2:G$2,Token!A60:G60)</f>
        <v>"name":"",_x000D_
"symbol":"",_x000D_
"description":"",_x000D_
"seller_fee_basis_points":"",_x000D_
"image":"",_x000D_
"Issuer":"",_x000D_
"external_url":""</v>
      </c>
      <c r="R61" s="2" t="str">
        <f>formatRow(Token!H$2:S$2,Token!H60:S60,2,"attributes")</f>
        <v>"attributes":[]</v>
      </c>
      <c r="S61" s="2" t="str">
        <f>formatRow(Token!AB$2:AJ$2,Token!AB60:AJ60,3,"creators")</f>
        <v>"creators":[]</v>
      </c>
      <c r="T61" s="2" t="str">
        <f>formatRow(Token!AK$2:AP$2,Token!AK60:AP60,2,"files")</f>
        <v>"files":[]</v>
      </c>
      <c r="U61" s="2"/>
      <c r="V61" s="2"/>
      <c r="W61" s="2"/>
      <c r="X61" s="2" t="str">
        <f>formatRow(Token!AQ$2:AR$2,Token!AQ60:AR60,0,"collection")</f>
        <v>"collection":{"name":"",_x000D_
"family":""}</v>
      </c>
    </row>
    <row r="62" spans="5:26" ht="14.25" customHeight="1" x14ac:dyDescent="0.25">
      <c r="E62" s="13" t="str">
        <f>IF(Token!A61="","",Token!A61)</f>
        <v/>
      </c>
      <c r="K62" s="28" t="str">
        <f t="shared" si="0"/>
        <v>_</v>
      </c>
      <c r="P62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2" s="2" t="str">
        <f>formatRow(Token!A$2:G$2,Token!A61:G61)</f>
        <v>"name":"",_x000D_
"symbol":"",_x000D_
"description":"",_x000D_
"seller_fee_basis_points":"",_x000D_
"image":"",_x000D_
"Issuer":"",_x000D_
"external_url":""</v>
      </c>
      <c r="R62" s="2" t="str">
        <f>formatRow(Token!H$2:S$2,Token!H61:S61,2,"attributes")</f>
        <v>"attributes":[]</v>
      </c>
      <c r="S62" s="2" t="str">
        <f>formatRow(Token!AB$2:AJ$2,Token!AB61:AJ61,3,"creators")</f>
        <v>"creators":[]</v>
      </c>
      <c r="T62" s="2" t="str">
        <f>formatRow(Token!AK$2:AP$2,Token!AK61:AP61,2,"files")</f>
        <v>"files":[]</v>
      </c>
      <c r="U62" s="2"/>
      <c r="V62" s="2"/>
      <c r="W62" s="2"/>
      <c r="X62" s="2" t="str">
        <f>formatRow(Token!AQ$2:AR$2,Token!AQ61:AR61,0,"collection")</f>
        <v>"collection":{"name":"",_x000D_
"family":""}</v>
      </c>
    </row>
    <row r="63" spans="5:26" ht="14.25" customHeight="1" x14ac:dyDescent="0.25">
      <c r="E63" s="13" t="str">
        <f>IF(Token!A62="","",Token!A62)</f>
        <v/>
      </c>
      <c r="K63" s="28" t="str">
        <f t="shared" si="0"/>
        <v>_</v>
      </c>
      <c r="P63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3" s="2" t="str">
        <f>formatRow(Token!A$2:G$2,Token!A62:G62)</f>
        <v>"name":"",_x000D_
"symbol":"",_x000D_
"description":"",_x000D_
"seller_fee_basis_points":"",_x000D_
"image":"",_x000D_
"Issuer":"",_x000D_
"external_url":""</v>
      </c>
      <c r="R63" s="2" t="str">
        <f>formatRow(Token!H$2:S$2,Token!H62:S62,2,"attributes")</f>
        <v>"attributes":[]</v>
      </c>
      <c r="S63" s="2" t="str">
        <f>formatRow(Token!AB$2:AJ$2,Token!AB62:AJ62,3,"creators")</f>
        <v>"creators":[]</v>
      </c>
      <c r="T63" s="2" t="str">
        <f>formatRow(Token!AK$2:AP$2,Token!AK62:AP62,2,"files")</f>
        <v>"files":[]</v>
      </c>
      <c r="U63" s="2"/>
      <c r="V63" s="2"/>
      <c r="W63" s="2"/>
      <c r="X63" s="2" t="str">
        <f>formatRow(Token!AQ$2:AR$2,Token!AQ62:AR62,0,"collection")</f>
        <v>"collection":{"name":"",_x000D_
"family":""}</v>
      </c>
    </row>
    <row r="64" spans="5:26" ht="14.25" customHeight="1" x14ac:dyDescent="0.25">
      <c r="E64" s="13" t="str">
        <f>IF(Token!A63="","",Token!A63)</f>
        <v/>
      </c>
      <c r="K64" s="28" t="str">
        <f t="shared" si="0"/>
        <v>_</v>
      </c>
      <c r="P64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4" s="2" t="str">
        <f>formatRow(Token!A$2:G$2,Token!A63:G63)</f>
        <v>"name":"",_x000D_
"symbol":"",_x000D_
"description":"",_x000D_
"seller_fee_basis_points":"",_x000D_
"image":"",_x000D_
"Issuer":"",_x000D_
"external_url":""</v>
      </c>
      <c r="R64" s="2" t="str">
        <f>formatRow(Token!H$2:S$2,Token!H63:S63,2,"attributes")</f>
        <v>"attributes":[]</v>
      </c>
      <c r="S64" s="2" t="str">
        <f>formatRow(Token!AB$2:AJ$2,Token!AB63:AJ63,3,"creators")</f>
        <v>"creators":[]</v>
      </c>
      <c r="T64" s="2" t="str">
        <f>formatRow(Token!AK$2:AP$2,Token!AK63:AP63,2,"files")</f>
        <v>"files":[]</v>
      </c>
      <c r="U64" s="2"/>
      <c r="V64" s="2"/>
      <c r="W64" s="2"/>
      <c r="X64" s="2" t="str">
        <f>formatRow(Token!AQ$2:AR$2,Token!AQ63:AR63,0,"collection")</f>
        <v>"collection":{"name":"",_x000D_
"family":""}</v>
      </c>
    </row>
    <row r="65" spans="5:24" ht="14.25" customHeight="1" x14ac:dyDescent="0.25">
      <c r="E65" s="13" t="str">
        <f>IF(Token!A64="","",Token!A64)</f>
        <v/>
      </c>
      <c r="K65" s="28" t="str">
        <f t="shared" si="0"/>
        <v>_</v>
      </c>
      <c r="P65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5" s="2" t="str">
        <f>formatRow(Token!A$2:G$2,Token!A64:G64)</f>
        <v>"name":"",_x000D_
"symbol":"",_x000D_
"description":"",_x000D_
"seller_fee_basis_points":"",_x000D_
"image":"",_x000D_
"Issuer":"",_x000D_
"external_url":""</v>
      </c>
      <c r="R65" s="2" t="str">
        <f>formatRow(Token!H$2:S$2,Token!H64:S64,2,"attributes")</f>
        <v>"attributes":[]</v>
      </c>
      <c r="S65" s="2" t="str">
        <f>formatRow(Token!AB$2:AJ$2,Token!AB64:AJ64,3,"creators")</f>
        <v>"creators":[]</v>
      </c>
      <c r="T65" s="2" t="str">
        <f>formatRow(Token!AK$2:AP$2,Token!AK64:AP64,2,"files")</f>
        <v>"files":[]</v>
      </c>
      <c r="U65" s="2"/>
      <c r="V65" s="2"/>
      <c r="W65" s="2"/>
      <c r="X65" s="2" t="str">
        <f>formatRow(Token!AQ$2:AR$2,Token!AQ64:AR64,0,"collection")</f>
        <v>"collection":{"name":"",_x000D_
"family":""}</v>
      </c>
    </row>
    <row r="66" spans="5:24" ht="14.25" customHeight="1" x14ac:dyDescent="0.25">
      <c r="E66" s="13" t="str">
        <f>IF(Token!A65="","",Token!A65)</f>
        <v/>
      </c>
      <c r="K66" s="28" t="str">
        <f t="shared" si="0"/>
        <v>_</v>
      </c>
      <c r="P66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6" s="2" t="str">
        <f>formatRow(Token!A$2:G$2,Token!A65:G65)</f>
        <v>"name":"",_x000D_
"symbol":"",_x000D_
"description":"",_x000D_
"seller_fee_basis_points":"",_x000D_
"image":"",_x000D_
"Issuer":"",_x000D_
"external_url":""</v>
      </c>
      <c r="R66" s="2" t="str">
        <f>formatRow(Token!H$2:S$2,Token!H65:S65,2,"attributes")</f>
        <v>"attributes":[]</v>
      </c>
      <c r="S66" s="2" t="str">
        <f>formatRow(Token!AB$2:AJ$2,Token!AB65:AJ65,3,"creators")</f>
        <v>"creators":[]</v>
      </c>
      <c r="T66" s="2" t="str">
        <f>formatRow(Token!AK$2:AP$2,Token!AK65:AP65,2,"files")</f>
        <v>"files":[]</v>
      </c>
      <c r="U66" s="2"/>
      <c r="V66" s="2"/>
      <c r="W66" s="2"/>
      <c r="X66" s="2" t="str">
        <f>formatRow(Token!AQ$2:AR$2,Token!AQ65:AR65,0,"collection")</f>
        <v>"collection":{"name":"",_x000D_
"family":""}</v>
      </c>
    </row>
    <row r="67" spans="5:24" ht="14.25" customHeight="1" x14ac:dyDescent="0.25">
      <c r="E67" s="13" t="str">
        <f>IF(Token!A66="","",Token!A66)</f>
        <v/>
      </c>
      <c r="K67" s="28" t="str">
        <f t="shared" si="0"/>
        <v>_</v>
      </c>
      <c r="P67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7" s="2" t="str">
        <f>formatRow(Token!A$2:G$2,Token!A66:G66)</f>
        <v>"name":"",_x000D_
"symbol":"",_x000D_
"description":"",_x000D_
"seller_fee_basis_points":"",_x000D_
"image":"",_x000D_
"Issuer":"",_x000D_
"external_url":""</v>
      </c>
      <c r="R67" s="2" t="str">
        <f>formatRow(Token!H$2:S$2,Token!H66:S66,2,"attributes")</f>
        <v>"attributes":[]</v>
      </c>
      <c r="S67" s="2" t="str">
        <f>formatRow(Token!AB$2:AJ$2,Token!AB66:AJ66,3,"creators")</f>
        <v>"creators":[]</v>
      </c>
      <c r="T67" s="2" t="str">
        <f>formatRow(Token!AK$2:AP$2,Token!AK66:AP66,2,"files")</f>
        <v>"files":[]</v>
      </c>
      <c r="U67" s="2"/>
      <c r="V67" s="2"/>
      <c r="W67" s="2"/>
      <c r="X67" s="2" t="str">
        <f>formatRow(Token!AQ$2:AR$2,Token!AQ66:AR66,0,"collection")</f>
        <v>"collection":{"name":"",_x000D_
"family":""}</v>
      </c>
    </row>
    <row r="68" spans="5:24" ht="14.25" customHeight="1" x14ac:dyDescent="0.25">
      <c r="E68" s="13" t="str">
        <f>IF(Token!A67="","",Token!A67)</f>
        <v/>
      </c>
      <c r="K68" s="28" t="str">
        <f t="shared" si="0"/>
        <v>_</v>
      </c>
      <c r="P68" s="2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8" s="2" t="str">
        <f>formatRow(Token!A$2:G$2,Token!A67:G67)</f>
        <v>"name":"",_x000D_
"symbol":"",_x000D_
"description":"",_x000D_
"seller_fee_basis_points":"",_x000D_
"image":"",_x000D_
"Issuer":"",_x000D_
"external_url":""</v>
      </c>
      <c r="R68" s="2" t="str">
        <f>formatRow(Token!H$2:S$2,Token!H67:S67,2,"attributes")</f>
        <v>"attributes":[]</v>
      </c>
      <c r="S68" s="2" t="str">
        <f>formatRow(Token!AB$2:AJ$2,Token!AB67:AJ67,3,"creators")</f>
        <v>"creators":[]</v>
      </c>
      <c r="T68" s="2" t="str">
        <f>formatRow(Token!AK$2:AP$2,Token!AK67:AP67,2,"files")</f>
        <v>"files":[]</v>
      </c>
      <c r="U68" s="2"/>
      <c r="V68" s="2"/>
      <c r="W68" s="2"/>
      <c r="X68" s="2" t="str">
        <f>formatRow(Token!AQ$2:AR$2,Token!AQ67:AR67,0,"collection")</f>
        <v>"collection":{"name":"",_x000D_
"family":""}</v>
      </c>
    </row>
    <row r="69" spans="5:24" ht="14.25" customHeight="1" x14ac:dyDescent="0.25">
      <c r="E69" s="13" t="str">
        <f>IF(Token!A68="","",Token!A68)</f>
        <v/>
      </c>
      <c r="K69" s="28" t="str">
        <f t="shared" ref="K69:K72" si="2">IF(AND(ISNUMBER(J68),ISNUMBER(J69)),(J69-J68)*$K$1,"_")</f>
        <v>_</v>
      </c>
      <c r="P69" s="2" t="str">
        <f t="shared" ref="P69:P74" si="3">"{" &amp; Q69 &amp; "," &amp; R69 &amp; "," &amp; """properties"":{" &amp; S69 &amp; "," &amp; T69 &amp; "}," &amp; X69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9" s="2" t="str">
        <f>formatRow(Token!A$2:G$2,Token!A68:G68)</f>
        <v>"name":"",_x000D_
"symbol":"",_x000D_
"description":"",_x000D_
"seller_fee_basis_points":"",_x000D_
"image":"",_x000D_
"Issuer":"",_x000D_
"external_url":""</v>
      </c>
      <c r="R69" s="2" t="str">
        <f>formatRow(Token!H$2:S$2,Token!H68:S68,2,"attributes")</f>
        <v>"attributes":[]</v>
      </c>
      <c r="S69" s="2" t="str">
        <f>formatRow(Token!AB$2:AJ$2,Token!AB68:AJ68,3,"creators")</f>
        <v>"creators":[]</v>
      </c>
      <c r="T69" s="2" t="str">
        <f>formatRow(Token!AK$2:AP$2,Token!AK68:AP68,2,"files")</f>
        <v>"files":[]</v>
      </c>
      <c r="U69" s="2"/>
      <c r="V69" s="2"/>
      <c r="W69" s="2"/>
      <c r="X69" s="2" t="str">
        <f>formatRow(Token!AQ$2:AR$2,Token!AQ68:AR68,0,"collection")</f>
        <v>"collection":{"name":"",_x000D_
"family":""}</v>
      </c>
    </row>
    <row r="70" spans="5:24" ht="14.25" customHeight="1" x14ac:dyDescent="0.25">
      <c r="E70" s="13" t="str">
        <f>IF(Token!A69="","",Token!A69)</f>
        <v/>
      </c>
      <c r="K70" s="28" t="str">
        <f t="shared" si="2"/>
        <v>_</v>
      </c>
      <c r="P70" s="2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0" s="2" t="str">
        <f>formatRow(Token!A$2:G$2,Token!A69:G69)</f>
        <v>"name":"",_x000D_
"symbol":"",_x000D_
"description":"",_x000D_
"seller_fee_basis_points":"",_x000D_
"image":"",_x000D_
"Issuer":"",_x000D_
"external_url":""</v>
      </c>
      <c r="R70" s="2" t="str">
        <f>formatRow(Token!H$2:S$2,Token!H69:S69,2,"attributes")</f>
        <v>"attributes":[]</v>
      </c>
      <c r="S70" s="2" t="str">
        <f>formatRow(Token!AB$2:AJ$2,Token!AB69:AJ69,3,"creators")</f>
        <v>"creators":[]</v>
      </c>
      <c r="T70" s="2" t="str">
        <f>formatRow(Token!AK$2:AP$2,Token!AK69:AP69,2,"files")</f>
        <v>"files":[]</v>
      </c>
      <c r="U70" s="2"/>
      <c r="V70" s="2"/>
      <c r="W70" s="2"/>
      <c r="X70" s="2" t="str">
        <f>formatRow(Token!AQ$2:AR$2,Token!AQ69:AR69,0,"collection")</f>
        <v>"collection":{"name":"",_x000D_
"family":""}</v>
      </c>
    </row>
    <row r="71" spans="5:24" ht="14.25" customHeight="1" x14ac:dyDescent="0.25">
      <c r="E71" s="13" t="str">
        <f>IF(Token!A70="","",Token!A70)</f>
        <v/>
      </c>
      <c r="K71" s="28" t="str">
        <f t="shared" si="2"/>
        <v>_</v>
      </c>
      <c r="P71" s="2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1" s="2" t="str">
        <f>formatRow(Token!A$2:G$2,Token!A70:G70)</f>
        <v>"name":"",_x000D_
"symbol":"",_x000D_
"description":"",_x000D_
"seller_fee_basis_points":"",_x000D_
"image":"",_x000D_
"Issuer":"",_x000D_
"external_url":""</v>
      </c>
      <c r="R71" s="2" t="str">
        <f>formatRow(Token!H$2:S$2,Token!H70:S70,2,"attributes")</f>
        <v>"attributes":[]</v>
      </c>
      <c r="S71" s="2" t="str">
        <f>formatRow(Token!AB$2:AJ$2,Token!AB70:AJ70,3,"creators")</f>
        <v>"creators":[]</v>
      </c>
      <c r="T71" s="2" t="str">
        <f>formatRow(Token!AK$2:AP$2,Token!AK70:AP70,2,"files")</f>
        <v>"files":[]</v>
      </c>
      <c r="U71" s="2"/>
      <c r="V71" s="2"/>
      <c r="W71" s="2"/>
      <c r="X71" s="2" t="str">
        <f>formatRow(Token!AQ$2:AR$2,Token!AQ70:AR70,0,"collection")</f>
        <v>"collection":{"name":"",_x000D_
"family":""}</v>
      </c>
    </row>
    <row r="72" spans="5:24" ht="14.25" customHeight="1" x14ac:dyDescent="0.25">
      <c r="E72" s="13" t="str">
        <f>IF(Token!A71="","",Token!A71)</f>
        <v/>
      </c>
      <c r="K72" s="28" t="str">
        <f t="shared" si="2"/>
        <v>_</v>
      </c>
      <c r="P72" s="2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2" s="2" t="str">
        <f>formatRow(Token!A$2:G$2,Token!A71:G71)</f>
        <v>"name":"",_x000D_
"symbol":"",_x000D_
"description":"",_x000D_
"seller_fee_basis_points":"",_x000D_
"image":"",_x000D_
"Issuer":"",_x000D_
"external_url":""</v>
      </c>
      <c r="R72" s="2" t="str">
        <f>formatRow(Token!H$2:S$2,Token!H71:S71,2,"attributes")</f>
        <v>"attributes":[]</v>
      </c>
      <c r="S72" s="2" t="str">
        <f>formatRow(Token!AB$2:AJ$2,Token!AB71:AJ71,3,"creators")</f>
        <v>"creators":[]</v>
      </c>
      <c r="T72" s="2" t="str">
        <f>formatRow(Token!AK$2:AP$2,Token!AK71:AP71,2,"files")</f>
        <v>"files":[]</v>
      </c>
      <c r="U72" s="2"/>
      <c r="V72" s="2"/>
      <c r="W72" s="2"/>
      <c r="X72" s="2" t="str">
        <f>formatRow(Token!AQ$2:AR$2,Token!AQ71:AR71,0,"collection")</f>
        <v>"collection":{"name":"",_x000D_
"family":""}</v>
      </c>
    </row>
    <row r="73" spans="5:24" ht="14.25" customHeight="1" x14ac:dyDescent="0.25">
      <c r="E73" s="13" t="str">
        <f>IF(Token!A63="","",Token!A63)</f>
        <v/>
      </c>
      <c r="K73" s="28" t="str">
        <f t="shared" ref="K69:K74" si="4">IF(AND(ISNUMBER(J72),ISNUMBER(J73)),(J73-J72)*$K$1,"")</f>
        <v/>
      </c>
      <c r="P73" s="2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3" s="2" t="str">
        <f>formatRow(Token!A$2:G$2,Token!A72:G72)</f>
        <v>"name":"",_x000D_
"symbol":"",_x000D_
"description":"",_x000D_
"seller_fee_basis_points":"",_x000D_
"image":"",_x000D_
"Issuer":"",_x000D_
"external_url":""</v>
      </c>
      <c r="R73" s="2" t="str">
        <f>formatRow(Token!H$2:S$2,Token!H72:S72,2,"attributes")</f>
        <v>"attributes":[]</v>
      </c>
      <c r="S73" s="2" t="str">
        <f>formatRow(Token!AB$2:AJ$2,Token!AB72:AJ72,3,"creators")</f>
        <v>"creators":[]</v>
      </c>
      <c r="T73" s="2" t="str">
        <f>formatRow(Token!AK$2:AP$2,Token!AK72:AP72,2,"files")</f>
        <v>"files":[]</v>
      </c>
      <c r="U73" s="2"/>
      <c r="V73" s="2"/>
      <c r="W73" s="2"/>
      <c r="X73" s="2" t="str">
        <f>formatRow(Token!AQ$2:AR$2,Token!AQ72:AR72,0,"collection")</f>
        <v>"collection":{"name":"",_x000D_
"family":""}</v>
      </c>
    </row>
    <row r="74" spans="5:24" ht="14.25" customHeight="1" x14ac:dyDescent="0.25">
      <c r="E74" s="13" t="str">
        <f>IF(Token!A64="","",Token!A64)</f>
        <v/>
      </c>
      <c r="K74" s="28" t="str">
        <f t="shared" si="4"/>
        <v/>
      </c>
      <c r="P74" s="2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4" s="2" t="str">
        <f>formatRow(Token!A$2:G$2,Token!A73:G73)</f>
        <v>"name":"",_x000D_
"symbol":"",_x000D_
"description":"",_x000D_
"seller_fee_basis_points":"",_x000D_
"image":"",_x000D_
"Issuer":"",_x000D_
"external_url":""</v>
      </c>
      <c r="R74" s="2" t="str">
        <f>formatRow(Token!H$2:S$2,Token!H73:S73,2,"attributes")</f>
        <v>"attributes":[]</v>
      </c>
      <c r="S74" s="2" t="str">
        <f>formatRow(Token!AB$2:AJ$2,Token!AB73:AJ73,3,"creators")</f>
        <v>"creators":[]</v>
      </c>
      <c r="T74" s="2" t="str">
        <f>formatRow(Token!AK$2:AP$2,Token!AK73:AP73,2,"files")</f>
        <v>"files":[]</v>
      </c>
      <c r="U74" s="2"/>
      <c r="V74" s="2"/>
      <c r="W74" s="2"/>
      <c r="X74" s="2" t="str">
        <f>formatRow(Token!AQ$2:AR$2,Token!AQ73:AR73,0,"collection")</f>
        <v>"collection":{"name":"",_x000D_
"family":""}</v>
      </c>
    </row>
  </sheetData>
  <hyperlinks>
    <hyperlink ref="J1" r:id="rId1" xr:uid="{68085E72-B424-4B49-A53C-D615D6DA72FF}"/>
    <hyperlink ref="I4" r:id="rId2" display="https://solscan.io/token/FEjcw4PyoW3HEnqNXhmbeZwbq7gWyQQFFXARURsn2fEF" xr:uid="{E6C27817-49E4-4301-A0CD-3E216275B9ED}"/>
    <hyperlink ref="I5" r:id="rId3" display="https://solscan.io/token/G1ER9oq7yjaPHcYy8ZersmB6HQviWFC6SyoHesiDK1n2" xr:uid="{85AD12B2-38BC-45E2-8F7D-2A402EB33A6E}"/>
    <hyperlink ref="I6" r:id="rId4" display="https://solscan.io/token/EPpr15oZ65J8X4YmjYEa2HAFDUu17KjTRJRHvgQ3NEfb" xr:uid="{C114BB06-A8FD-4C82-AFA0-63D92AFF326C}"/>
    <hyperlink ref="I7" r:id="rId5" display="https://solscan.io/token/5Ngr4KqBJih8fgxYqkqnydWYD5gc7YPKzEj67TXA7YYa" xr:uid="{4BAA4122-D686-4B01-B1D5-730EED7F02E3}"/>
    <hyperlink ref="I8" r:id="rId6" display="https://solscan.io/token/3c53hJy9hrtQPN6pq7LTWAdBpYxZtSRyqA2jniKBvjeM" xr:uid="{DB4EA18F-6A82-41FE-8D7A-18DC0E2E0430}"/>
    <hyperlink ref="I9" r:id="rId7" display="https://solscan.io/token/FKWP4BdkMkJw6rckwa2QCAw1RQjvGFW8KT9mXkb9jFcQ" xr:uid="{59B9E37F-E029-4FCA-B46D-1E3ECB23092D}"/>
    <hyperlink ref="I10" r:id="rId8" display="https://solscan.io/token/2rjNLP5PKZGhhLxpvCSfceHXPFjvbzvkASiowkksUg5h" xr:uid="{62A2D8AE-254A-4211-AD0A-F7580FE02901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Minage">
                <anchor moveWithCells="1" sizeWithCells="1">
                  <from>
                    <xdr:col>4</xdr:col>
                    <xdr:colOff>123825</xdr:colOff>
                    <xdr:row>0</xdr:row>
                    <xdr:rowOff>95250</xdr:rowOff>
                  </from>
                  <to>
                    <xdr:col>4</xdr:col>
                    <xdr:colOff>1247775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3" name="Button 2">
              <controlPr defaultSize="0" print="0" autoFill="0" autoPict="0" macro="[0]!Upload">
                <anchor moveWithCells="1" sizeWithCells="1">
                  <from>
                    <xdr:col>0</xdr:col>
                    <xdr:colOff>314325</xdr:colOff>
                    <xdr:row>0</xdr:row>
                    <xdr:rowOff>57150</xdr:rowOff>
                  </from>
                  <to>
                    <xdr:col>1</xdr:col>
                    <xdr:colOff>485775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2EA649-0F1A-4DB0-B46B-414AC1867165}">
          <x14:formula1>
            <xm:f>Settings!$J$2:$J$12</xm:f>
          </x14:formula1>
          <xm:sqref>B6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J7"/>
  <sheetViews>
    <sheetView workbookViewId="0">
      <selection activeCell="B2" sqref="B2"/>
    </sheetView>
  </sheetViews>
  <sheetFormatPr baseColWidth="10" defaultRowHeight="15" x14ac:dyDescent="0.25"/>
  <cols>
    <col min="1" max="1" width="21.5703125" customWidth="1"/>
    <col min="2" max="2" width="27.28515625" customWidth="1"/>
    <col min="8" max="8" width="34.42578125" customWidth="1"/>
    <col min="9" max="9" width="22.5703125" customWidth="1"/>
  </cols>
  <sheetData>
    <row r="1" spans="1:10" x14ac:dyDescent="0.25">
      <c r="A1" s="4" t="s">
        <v>23</v>
      </c>
      <c r="B1" t="s">
        <v>31</v>
      </c>
      <c r="H1" s="14" t="s">
        <v>29</v>
      </c>
      <c r="I1" s="14" t="s">
        <v>24</v>
      </c>
      <c r="J1" s="14" t="s">
        <v>34</v>
      </c>
    </row>
    <row r="2" spans="1:10" x14ac:dyDescent="0.25">
      <c r="H2" s="3" t="s">
        <v>31</v>
      </c>
      <c r="I2" t="s">
        <v>25</v>
      </c>
      <c r="J2" t="s">
        <v>35</v>
      </c>
    </row>
    <row r="3" spans="1:10" x14ac:dyDescent="0.25">
      <c r="A3" s="4" t="s">
        <v>41</v>
      </c>
      <c r="B3">
        <v>600000</v>
      </c>
      <c r="H3" s="3" t="s">
        <v>30</v>
      </c>
      <c r="I3" t="s">
        <v>32</v>
      </c>
      <c r="J3" t="s">
        <v>36</v>
      </c>
    </row>
    <row r="4" spans="1:10" x14ac:dyDescent="0.25">
      <c r="I4" t="s">
        <v>66</v>
      </c>
      <c r="J4" t="s">
        <v>25</v>
      </c>
    </row>
    <row r="5" spans="1:10" x14ac:dyDescent="0.25">
      <c r="I5" t="s">
        <v>67</v>
      </c>
      <c r="J5" t="s">
        <v>37</v>
      </c>
    </row>
    <row r="6" spans="1:10" x14ac:dyDescent="0.25">
      <c r="J6" t="s">
        <v>38</v>
      </c>
    </row>
    <row r="7" spans="1:10" x14ac:dyDescent="0.25">
      <c r="J7" t="s">
        <v>39</v>
      </c>
    </row>
  </sheetData>
  <dataValidations count="1">
    <dataValidation type="list" allowBlank="1" showInputMessage="1" showErrorMessage="1" sqref="B1" xr:uid="{70CCA6DE-EE0B-498A-804A-A3044CF9DE7F}">
      <formula1>$H$2:$H$3</formula1>
    </dataValidation>
  </dataValidations>
  <hyperlinks>
    <hyperlink ref="H2" r:id="rId1" xr:uid="{9E1758E6-8278-4CB5-897F-71102DE9E60D}"/>
    <hyperlink ref="H3" r:id="rId2" xr:uid="{3C6219B1-51FD-445C-8269-6FA64DCBF03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Token</vt:lpstr>
      <vt:lpstr>ToMint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2022-04-20T15:58:05Z</dcterms:modified>
</cp:coreProperties>
</file>
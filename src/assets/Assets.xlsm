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TokenSol\src\assets\"/>
    </mc:Choice>
  </mc:AlternateContent>
  <xr:revisionPtr revIDLastSave="0" documentId="13_ncr:1_{0336A65B-AC6A-494D-AD9C-0D2E985DC1C4}" xr6:coauthVersionLast="47" xr6:coauthVersionMax="47" xr10:uidLastSave="{00000000-0000-0000-0000-000000000000}"/>
  <bookViews>
    <workbookView xWindow="-108" yWindow="-108" windowWidth="23256" windowHeight="12456" activeTab="1" xr2:uid="{A46472A9-C1E5-4C6F-87BB-3A30BD91F622}"/>
  </bookViews>
  <sheets>
    <sheet name="Token" sheetId="1" r:id="rId1"/>
    <sheet name="ToMint" sheetId="2" r:id="rId2"/>
    <sheet name="Settin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4" i="2" l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4" i="2"/>
  <c r="N29" i="2"/>
  <c r="O41" i="2"/>
  <c r="M30" i="2"/>
  <c r="N27" i="2"/>
  <c r="T31" i="2"/>
  <c r="T43" i="2"/>
  <c r="T50" i="2"/>
  <c r="M12" i="2"/>
  <c r="M46" i="2"/>
  <c r="P26" i="2"/>
  <c r="N24" i="2"/>
  <c r="T10" i="2"/>
  <c r="P9" i="2"/>
  <c r="P24" i="2"/>
  <c r="M32" i="2"/>
  <c r="O21" i="2"/>
  <c r="P25" i="2"/>
  <c r="T29" i="2"/>
  <c r="P44" i="2"/>
  <c r="P50" i="2"/>
  <c r="N40" i="2"/>
  <c r="M31" i="2"/>
  <c r="P14" i="2"/>
  <c r="O18" i="2"/>
  <c r="N22" i="2"/>
  <c r="M4" i="2"/>
  <c r="T35" i="2"/>
  <c r="O45" i="2"/>
  <c r="M18" i="2"/>
  <c r="O40" i="2"/>
  <c r="O34" i="2"/>
  <c r="N23" i="2"/>
  <c r="P13" i="2"/>
  <c r="T25" i="2"/>
  <c r="O32" i="2"/>
  <c r="M33" i="2"/>
  <c r="M39" i="2"/>
  <c r="T23" i="2"/>
  <c r="M10" i="2"/>
  <c r="O35" i="2"/>
  <c r="N9" i="2"/>
  <c r="T19" i="2"/>
  <c r="P47" i="2"/>
  <c r="N49" i="2"/>
  <c r="M7" i="2"/>
  <c r="T42" i="2"/>
  <c r="T5" i="2"/>
  <c r="M47" i="2"/>
  <c r="M44" i="2"/>
  <c r="O24" i="2"/>
  <c r="O5" i="2"/>
  <c r="T46" i="2"/>
  <c r="P16" i="2"/>
  <c r="M16" i="2"/>
  <c r="P36" i="2"/>
  <c r="N47" i="2"/>
  <c r="T28" i="2"/>
  <c r="O16" i="2"/>
  <c r="P20" i="2"/>
  <c r="M9" i="2"/>
  <c r="O33" i="2"/>
  <c r="M27" i="2"/>
  <c r="N39" i="2"/>
  <c r="N30" i="2"/>
  <c r="N42" i="2"/>
  <c r="O11" i="2"/>
  <c r="M37" i="2"/>
  <c r="P34" i="2"/>
  <c r="O48" i="2"/>
  <c r="O27" i="2"/>
  <c r="P7" i="2"/>
  <c r="N10" i="2"/>
  <c r="N21" i="2"/>
  <c r="M11" i="2"/>
  <c r="P12" i="2"/>
  <c r="N46" i="2"/>
  <c r="T14" i="2"/>
  <c r="O39" i="2"/>
  <c r="O23" i="2"/>
  <c r="T30" i="2"/>
  <c r="M38" i="2"/>
  <c r="P23" i="2"/>
  <c r="N26" i="2"/>
  <c r="M45" i="2"/>
  <c r="T48" i="2"/>
  <c r="P39" i="2"/>
  <c r="N45" i="2"/>
  <c r="M14" i="2"/>
  <c r="O10" i="2"/>
  <c r="O22" i="2"/>
  <c r="P18" i="2"/>
  <c r="N31" i="2"/>
  <c r="O37" i="2"/>
  <c r="P35" i="2"/>
  <c r="P4" i="2"/>
  <c r="T6" i="2"/>
  <c r="N43" i="2"/>
  <c r="N11" i="2"/>
  <c r="O15" i="2"/>
  <c r="O46" i="2"/>
  <c r="P17" i="2"/>
  <c r="P5" i="2"/>
  <c r="P21" i="2"/>
  <c r="N8" i="2"/>
  <c r="O6" i="2"/>
  <c r="O13" i="2"/>
  <c r="N25" i="2"/>
  <c r="M5" i="2"/>
  <c r="M17" i="2"/>
  <c r="P10" i="2"/>
  <c r="T22" i="2"/>
  <c r="M25" i="2"/>
  <c r="M13" i="2"/>
  <c r="P6" i="2"/>
  <c r="P45" i="2"/>
  <c r="O19" i="2"/>
  <c r="N32" i="2"/>
  <c r="T41" i="2"/>
  <c r="T45" i="2"/>
  <c r="O7" i="2"/>
  <c r="T12" i="2"/>
  <c r="M23" i="2"/>
  <c r="P40" i="2"/>
  <c r="T13" i="2"/>
  <c r="O14" i="2"/>
  <c r="O36" i="2"/>
  <c r="M34" i="2"/>
  <c r="P41" i="2"/>
  <c r="N33" i="2"/>
  <c r="N12" i="2"/>
  <c r="N7" i="2"/>
  <c r="P30" i="2"/>
  <c r="N38" i="2"/>
  <c r="M48" i="2"/>
  <c r="O43" i="2"/>
  <c r="T16" i="2"/>
  <c r="M6" i="2"/>
  <c r="O29" i="2"/>
  <c r="N14" i="2"/>
  <c r="P49" i="2"/>
  <c r="O44" i="2"/>
  <c r="O38" i="2"/>
  <c r="N37" i="2"/>
  <c r="N15" i="2"/>
  <c r="O30" i="2"/>
  <c r="T32" i="2"/>
  <c r="P15" i="2"/>
  <c r="O12" i="2"/>
  <c r="P31" i="2"/>
  <c r="N17" i="2"/>
  <c r="T11" i="2"/>
  <c r="P22" i="2"/>
  <c r="M49" i="2"/>
  <c r="N16" i="2"/>
  <c r="T18" i="2"/>
  <c r="T7" i="2"/>
  <c r="P46" i="2"/>
  <c r="M24" i="2"/>
  <c r="N28" i="2"/>
  <c r="M28" i="2"/>
  <c r="N13" i="2"/>
  <c r="O25" i="2"/>
  <c r="M35" i="2"/>
  <c r="T44" i="2"/>
  <c r="M43" i="2"/>
  <c r="P32" i="2"/>
  <c r="T24" i="2"/>
  <c r="M50" i="2"/>
  <c r="O4" i="2"/>
  <c r="T37" i="2"/>
  <c r="M41" i="2"/>
  <c r="N20" i="2"/>
  <c r="M15" i="2"/>
  <c r="P29" i="2"/>
  <c r="T27" i="2"/>
  <c r="M21" i="2"/>
  <c r="T34" i="2"/>
  <c r="T38" i="2"/>
  <c r="T49" i="2"/>
  <c r="T9" i="2"/>
  <c r="T20" i="2"/>
  <c r="O31" i="2"/>
  <c r="N6" i="2"/>
  <c r="M40" i="2"/>
  <c r="N36" i="2"/>
  <c r="M29" i="2"/>
  <c r="N41" i="2"/>
  <c r="O8" i="2"/>
  <c r="T17" i="2"/>
  <c r="N4" i="2"/>
  <c r="P43" i="2"/>
  <c r="M8" i="2"/>
  <c r="N18" i="2"/>
  <c r="T47" i="2"/>
  <c r="M42" i="2"/>
  <c r="O20" i="2"/>
  <c r="T39" i="2"/>
  <c r="O9" i="2"/>
  <c r="M19" i="2"/>
  <c r="O17" i="2"/>
  <c r="O50" i="2"/>
  <c r="M20" i="2"/>
  <c r="P37" i="2"/>
  <c r="O28" i="2"/>
  <c r="T33" i="2"/>
  <c r="T26" i="2"/>
  <c r="P33" i="2"/>
  <c r="P11" i="2"/>
  <c r="T15" i="2"/>
  <c r="M22" i="2"/>
  <c r="O47" i="2"/>
  <c r="P27" i="2"/>
  <c r="T4" i="2"/>
  <c r="O49" i="2"/>
  <c r="N44" i="2"/>
  <c r="P28" i="2"/>
  <c r="P42" i="2"/>
  <c r="P19" i="2"/>
  <c r="T40" i="2"/>
  <c r="T8" i="2"/>
  <c r="N50" i="2"/>
  <c r="O26" i="2"/>
  <c r="P8" i="2"/>
  <c r="T36" i="2"/>
  <c r="N5" i="2"/>
  <c r="T21" i="2"/>
  <c r="P38" i="2"/>
  <c r="N34" i="2"/>
  <c r="N19" i="2"/>
  <c r="O42" i="2"/>
  <c r="N35" i="2"/>
  <c r="M36" i="2"/>
  <c r="M26" i="2"/>
  <c r="N48" i="2"/>
  <c r="P48" i="2"/>
  <c r="L50" i="2" l="1"/>
  <c r="L42" i="2"/>
  <c r="L34" i="2"/>
  <c r="L26" i="2"/>
  <c r="L18" i="2"/>
  <c r="L10" i="2"/>
  <c r="L47" i="2"/>
  <c r="L39" i="2"/>
  <c r="L31" i="2"/>
  <c r="L23" i="2"/>
  <c r="L15" i="2"/>
  <c r="L7" i="2"/>
  <c r="L44" i="2"/>
  <c r="L36" i="2"/>
  <c r="L28" i="2"/>
  <c r="L20" i="2"/>
  <c r="L12" i="2"/>
  <c r="L49" i="2"/>
  <c r="L41" i="2"/>
  <c r="L33" i="2"/>
  <c r="L25" i="2"/>
  <c r="L17" i="2"/>
  <c r="L9" i="2"/>
  <c r="L46" i="2"/>
  <c r="L38" i="2"/>
  <c r="L30" i="2"/>
  <c r="L22" i="2"/>
  <c r="L14" i="2"/>
  <c r="L6" i="2"/>
  <c r="L43" i="2"/>
  <c r="L35" i="2"/>
  <c r="L27" i="2"/>
  <c r="L19" i="2"/>
  <c r="L11" i="2"/>
  <c r="L48" i="2"/>
  <c r="L40" i="2"/>
  <c r="L32" i="2"/>
  <c r="L24" i="2"/>
  <c r="L16" i="2"/>
  <c r="L8" i="2"/>
  <c r="L45" i="2"/>
  <c r="L37" i="2"/>
  <c r="L29" i="2"/>
  <c r="L21" i="2"/>
  <c r="L13" i="2"/>
  <c r="L5" i="2"/>
  <c r="L4" i="2"/>
</calcChain>
</file>

<file path=xl/sharedStrings.xml><?xml version="1.0" encoding="utf-8"?>
<sst xmlns="http://schemas.openxmlformats.org/spreadsheetml/2006/main" count="549" uniqueCount="171">
  <si>
    <t>seller_fee_basis_points</t>
  </si>
  <si>
    <t>image</t>
  </si>
  <si>
    <t>trait_type</t>
  </si>
  <si>
    <t>value</t>
  </si>
  <si>
    <t>address</t>
  </si>
  <si>
    <t>verified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</si>
  <si>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</si>
  <si>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</si>
  <si>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</si>
  <si>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</si>
  <si>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</si>
  <si>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</si>
  <si>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</si>
  <si>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</si>
  <si>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</si>
  <si>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Creators</t>
  </si>
  <si>
    <t>files</t>
  </si>
  <si>
    <t>Files</t>
  </si>
  <si>
    <t>Files part</t>
  </si>
  <si>
    <t>Collection part</t>
  </si>
  <si>
    <t>Object</t>
  </si>
  <si>
    <t>Attributes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</si>
  <si>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</si>
  <si>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</si>
  <si>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</si>
  <si>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</si>
  <si>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</si>
  <si>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</si>
  <si>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</si>
  <si>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</si>
  <si>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</si>
  <si>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http://localhost:4242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</si>
  <si>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</si>
  <si>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</si>
  <si>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</si>
  <si>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</si>
  <si>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</si>
  <si>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</si>
  <si>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</si>
  <si>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</si>
  <si>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</si>
  <si>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</si>
  <si>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</si>
  <si>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Signer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</si>
  <si>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</si>
  <si>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</si>
  <si>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</si>
  <si>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</si>
  <si>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</si>
  <si>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</si>
  <si>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</si>
  <si>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</si>
  <si>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</si>
  <si>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</si>
  <si>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</si>
  <si>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</si>
  <si>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</si>
  <si>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</si>
  <si>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</si>
  <si>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</si>
  <si>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</si>
  <si>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</si>
  <si>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https://bafkreieo2qhxipegtregxjt6d6ua5izbduybk2serl357r5sjy5cedbzam.ipfs.nftstorage.link?ext=png</t>
  </si>
  <si>
    <t>https://bafybeihvjr73zcwvfbsqzy5odznulrtgntk5fe33b6mhj4d73batj67cxq.ipfs.nftstorage.link?ext=mp4</t>
  </si>
  <si>
    <t>video/mp4</t>
  </si>
  <si>
    <t>https://bafkreidyidc62awpaiemnfgiwevgnjsbgqynfthz6jyj73ui3l22ecxqga.ipfs.nftstorage.link?ext=png</t>
  </si>
  <si>
    <t>image/png</t>
  </si>
  <si>
    <t>NFluenTGallery</t>
  </si>
  <si>
    <t>Résultat d'execution</t>
  </si>
  <si>
    <t>Elrond_devnet</t>
  </si>
  <si>
    <t>Elrond_mainnet</t>
  </si>
  <si>
    <t>TestCollect</t>
  </si>
  <si>
    <t>Test1</t>
  </si>
  <si>
    <t>Test2</t>
  </si>
  <si>
    <t>avantage6</t>
  </si>
  <si>
    <t>2 affiche dédicacée et numérotée</t>
  </si>
  <si>
    <t>nombre de Pass2025</t>
  </si>
  <si>
    <t>avantage10</t>
  </si>
  <si>
    <t>https://bafybeihvjr73zcwvfbsqzy5odznulrtgntk5fe33b6mhj4d73batj67cxq.ipfs.nftstorage.link?ext=mp5</t>
  </si>
  <si>
    <t>video/mp5</t>
  </si>
  <si>
    <t>Test3</t>
  </si>
  <si>
    <t>avantage7</t>
  </si>
  <si>
    <t>3 affiche dédicacée et numérotée</t>
  </si>
  <si>
    <t>nombre de Pass2026</t>
  </si>
  <si>
    <t>avantage11</t>
  </si>
  <si>
    <t>https://bafybeihvjr73zcwvfbsqzy5odznulrtgntk5fe33b6mhj4d73batj67cxq.ipfs.nftstorage.link?ext=mp6</t>
  </si>
  <si>
    <t>video/mp6</t>
  </si>
  <si>
    <t>Test4</t>
  </si>
  <si>
    <t>avantage8</t>
  </si>
  <si>
    <t>4 affiche dédicacée et numérotée</t>
  </si>
  <si>
    <t>nombre de Pass2027</t>
  </si>
  <si>
    <t>avantage12</t>
  </si>
  <si>
    <t>https://bafybeihvjr73zcwvfbsqzy5odznulrtgntk5fe33b6mhj4d73batj67cxq.ipfs.nftstorage.link?ext=mp7</t>
  </si>
  <si>
    <t>video/mp7</t>
  </si>
  <si>
    <t>Test5</t>
  </si>
  <si>
    <t>5 affiche dédicacée et numérotée</t>
  </si>
  <si>
    <t>nombre de Pass2028</t>
  </si>
  <si>
    <t>avantage13</t>
  </si>
  <si>
    <t>https://bafybeihvjr73zcwvfbsqzy5odznulrtgntk5fe33b6mhj4d73batj67cxq.ipfs.nftstorage.link?ext=mp8</t>
  </si>
  <si>
    <t>video/mp8</t>
  </si>
  <si>
    <t>Test6</t>
  </si>
  <si>
    <t>6 affiche dédicacée et numérotée</t>
  </si>
  <si>
    <t>nombre de Pass2029</t>
  </si>
  <si>
    <t>avantage14</t>
  </si>
  <si>
    <t>https://bafybeihvjr73zcwvfbsqzy5odznulrtgntk5fe33b6mhj4d73batj67cxq.ipfs.nftstorage.link?ext=mp9</t>
  </si>
  <si>
    <t>video/mp9</t>
  </si>
  <si>
    <t>Test7</t>
  </si>
  <si>
    <t>7 affiche dédicacée et numérotée</t>
  </si>
  <si>
    <t>nombre de Pass2030</t>
  </si>
  <si>
    <t>avantage15</t>
  </si>
  <si>
    <t>https://bafybeihvjr73zcwvfbsqzy5odznulrtgntk5fe33b6mhj4d73batj67cxq.ipfs.nftstorage.link?ext=mp10</t>
  </si>
  <si>
    <t>video/mp10</t>
  </si>
  <si>
    <t>Test8</t>
  </si>
  <si>
    <t>8 affiche dédicacée et numérotée</t>
  </si>
  <si>
    <t>nombre de Pass2031</t>
  </si>
  <si>
    <t>avantage16</t>
  </si>
  <si>
    <t>https://bafybeihvjr73zcwvfbsqzy5odznulrtgntk5fe33b6mhj4d73batj67cxq.ipfs.nftstorage.link?ext=mp11</t>
  </si>
  <si>
    <t>video/mp11</t>
  </si>
  <si>
    <t>Test9</t>
  </si>
  <si>
    <t>9 affiche dédicacée et numérotée</t>
  </si>
  <si>
    <t>nombre de Pass2032</t>
  </si>
  <si>
    <t>avantage17</t>
  </si>
  <si>
    <t>https://bafybeihvjr73zcwvfbsqzy5odznulrtgntk5fe33b6mhj4d73batj67cxq.ipfs.nftstorage.link?ext=mp12</t>
  </si>
  <si>
    <t>video/mp12</t>
  </si>
  <si>
    <t>Test10</t>
  </si>
  <si>
    <t>10 affiche dédicacée et numérotée</t>
  </si>
  <si>
    <t>nombre de Pass2033</t>
  </si>
  <si>
    <t>avantage18</t>
  </si>
  <si>
    <t>https://bafybeihvjr73zcwvfbsqzy5odznulrtgntk5fe33b6mhj4d73batj67cxq.ipfs.nftstorage.link?ext=mp13</t>
  </si>
  <si>
    <t>video/mp13</t>
  </si>
  <si>
    <t>Test11</t>
  </si>
  <si>
    <t>11 affiche dédicacée et numérotée</t>
  </si>
  <si>
    <t>nombre de Pass2034</t>
  </si>
  <si>
    <t>avantage19</t>
  </si>
  <si>
    <t>https://bafybeihvjr73zcwvfbsqzy5odznulrtgntk5fe33b6mhj4d73batj67cxq.ipfs.nftstorage.link?ext=mp14</t>
  </si>
  <si>
    <t>video/mp14</t>
  </si>
  <si>
    <t>Test12</t>
  </si>
  <si>
    <t>12 affiche dédicacée et numérotée</t>
  </si>
  <si>
    <t>nombre de Pass2035</t>
  </si>
  <si>
    <t>avantage20</t>
  </si>
  <si>
    <t>https://bafybeihvjr73zcwvfbsqzy5odznulrtgntk5fe33b6mhj4d73batj67cxq.ipfs.nftstorage.link?ext=mp15</t>
  </si>
  <si>
    <t>video/mp15</t>
  </si>
  <si>
    <t>Test13</t>
  </si>
  <si>
    <t>13 affiche dédicacée et numérotée</t>
  </si>
  <si>
    <t>nombre de Pass2036</t>
  </si>
  <si>
    <t>avantage21</t>
  </si>
  <si>
    <t>https://bafybeihvjr73zcwvfbsqzy5odznulrtgntk5fe33b6mhj4d73batj67cxq.ipfs.nftstorage.link?ext=mp16</t>
  </si>
  <si>
    <t>video/mp16</t>
  </si>
  <si>
    <t>Test14</t>
  </si>
  <si>
    <t>14 affiche dédicacée et numérotée</t>
  </si>
  <si>
    <t>nombre de Pass2037</t>
  </si>
  <si>
    <t>avantage22</t>
  </si>
  <si>
    <t>https://bafybeihvjr73zcwvfbsqzy5odznulrtgntk5fe33b6mhj4d73batj67cxq.ipfs.nftstorage.link?ext=mp17</t>
  </si>
  <si>
    <t>video/mp17</t>
  </si>
  <si>
    <t>Test15</t>
  </si>
  <si>
    <t>15 affiche dédicacée et numérotée</t>
  </si>
  <si>
    <t>nombre de Pass2038</t>
  </si>
  <si>
    <t>avantage23</t>
  </si>
  <si>
    <t>https://bafybeihvjr73zcwvfbsqzy5odznulrtgntk5fe33b6mhj4d73batj67cxq.ipfs.nftstorage.link?ext=mp18</t>
  </si>
  <si>
    <t>video/mp18</t>
  </si>
  <si>
    <t>Test16</t>
  </si>
  <si>
    <t>16 affiche dédicacée et numérotée</t>
  </si>
  <si>
    <t>nombre de Pass2039</t>
  </si>
  <si>
    <t>avantage24</t>
  </si>
  <si>
    <t>https://bafybeihvjr73zcwvfbsqzy5odznulrtgntk5fe33b6mhj4d73batj67cxq.ipfs.nftstorage.link?ext=mp19</t>
  </si>
  <si>
    <t>video/mp19</t>
  </si>
  <si>
    <t>Solde</t>
  </si>
  <si>
    <t>En cours de traitement</t>
  </si>
  <si>
    <t>Coût</t>
  </si>
  <si>
    <t>Main (OnChain Data)</t>
  </si>
  <si>
    <t>Issuer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</si>
</sst>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13" borderId="0" xfId="0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5" borderId="0" xfId="3" applyAlignment="1">
      <alignment horizontal="center"/>
    </xf>
    <xf numFmtId="0" fontId="0" fillId="0" borderId="0" xfId="0" applyFont="1" applyAlignment="1">
      <alignment horizontal="center" wrapText="1"/>
    </xf>
    <xf numFmtId="0" fontId="2" fillId="14" borderId="0" xfId="4"/>
    <xf numFmtId="0" fontId="7" fillId="0" borderId="0" xfId="0" applyFont="1" applyAlignment="1">
      <alignment wrapText="1"/>
    </xf>
    <xf numFmtId="0" fontId="7" fillId="0" borderId="0" xfId="0" applyFont="1"/>
    <xf numFmtId="0" fontId="6" fillId="5" borderId="0" xfId="3" applyFont="1" applyAlignment="1">
      <alignment horizontal="center"/>
    </xf>
    <xf numFmtId="22" fontId="7" fillId="0" borderId="0" xfId="0" applyNumberFormat="1" applyFont="1" applyAlignment="1">
      <alignment horizontal="center" wrapText="1"/>
    </xf>
    <xf numFmtId="22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11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5">
    <cellStyle name="Accent1" xfId="3" builtinId="29"/>
    <cellStyle name="Accent2" xfId="4" builtinId="33"/>
    <cellStyle name="Accent3" xfId="1" builtinId="37"/>
    <cellStyle name="Lien hypertexte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716280</xdr:colOff>
          <xdr:row>0</xdr:row>
          <xdr:rowOff>76200</xdr:rowOff>
        </xdr:from>
        <xdr:to>
          <xdr:col>3</xdr:col>
          <xdr:colOff>342900</xdr:colOff>
          <xdr:row>2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83820</xdr:rowOff>
        </xdr:from>
        <xdr:to>
          <xdr:col>1</xdr:col>
          <xdr:colOff>541020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166315</xdr:colOff>
          <xdr:row>3</xdr:row>
          <xdr:rowOff>9939</xdr:rowOff>
        </xdr:from>
        <xdr:to>
          <xdr:col>3</xdr:col>
          <xdr:colOff>588066</xdr:colOff>
          <xdr:row>4</xdr:row>
          <xdr:rowOff>109994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metaplex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bafkreieo2qhxipegtregxjt6d6ua5izbduybk2serl357r5sjy5cedbzam.ipfs.nftstorage.link/?ext=png" TargetMode="External"/><Relationship Id="rId18" Type="http://schemas.openxmlformats.org/officeDocument/2006/relationships/hyperlink" Target="https://bafkreieo2qhxipegtregxjt6d6ua5izbduybk2serl357r5sjy5cedbzam.ipfs.nftstorage.link/?ext=png" TargetMode="External"/><Relationship Id="rId26" Type="http://schemas.openxmlformats.org/officeDocument/2006/relationships/hyperlink" Target="https://bafybeihvjr73zcwvfbsqzy5odznulrtgntk5fe33b6mhj4d73batj67cxq.ipfs.nftstorage.link/?ext=mp4" TargetMode="External"/><Relationship Id="rId39" Type="http://schemas.openxmlformats.org/officeDocument/2006/relationships/hyperlink" Target="https://bafkreidyidc62awpaiemnfgiwevgnjsbgqynfthz6jyj73ui3l22ecxqga.ipfs.nftstorage.link/?ext=png" TargetMode="External"/><Relationship Id="rId21" Type="http://schemas.openxmlformats.org/officeDocument/2006/relationships/hyperlink" Target="https://bafybeihvjr73zcwvfbsqzy5odznulrtgntk5fe33b6mhj4d73batj67cxq.ipfs.nftstorage.link/?ext=mp4" TargetMode="External"/><Relationship Id="rId34" Type="http://schemas.openxmlformats.org/officeDocument/2006/relationships/hyperlink" Target="https://bafkreidyidc62awpaiemnfgiwevgnjsbgqynfthz6jyj73ui3l22ecxqga.ipfs.nftstorage.link/?ext=png" TargetMode="External"/><Relationship Id="rId42" Type="http://schemas.openxmlformats.org/officeDocument/2006/relationships/hyperlink" Target="https://bafkreidyidc62awpaiemnfgiwevgnjsbgqynfthz6jyj73ui3l22ecxqga.ipfs.nftstorage.link/?ext=png" TargetMode="External"/><Relationship Id="rId47" Type="http://schemas.openxmlformats.org/officeDocument/2006/relationships/hyperlink" Target="https://bafkreidyidc62awpaiemnfgiwevgnjsbgqynfthz6jyj73ui3l22ecxqga.ipfs.nftstorage.link/?ext=png" TargetMode="External"/><Relationship Id="rId7" Type="http://schemas.openxmlformats.org/officeDocument/2006/relationships/hyperlink" Target="https://bafkreieo2qhxipegtregxjt6d6ua5izbduybk2serl357r5sjy5cedbzam.ipfs.nftstorage.link/?ext=png" TargetMode="External"/><Relationship Id="rId2" Type="http://schemas.openxmlformats.org/officeDocument/2006/relationships/hyperlink" Target="https://bafybeihvjr73zcwvfbsqzy5odznulrtgntk5fe33b6mhj4d73batj67cxq.ipfs.nftstorage.link/?ext=mp4" TargetMode="External"/><Relationship Id="rId16" Type="http://schemas.openxmlformats.org/officeDocument/2006/relationships/hyperlink" Target="https://bafkreieo2qhxipegtregxjt6d6ua5izbduybk2serl357r5sjy5cedbzam.ipfs.nftstorage.link/?ext=png" TargetMode="External"/><Relationship Id="rId29" Type="http://schemas.openxmlformats.org/officeDocument/2006/relationships/hyperlink" Target="https://bafybeihvjr73zcwvfbsqzy5odznulrtgntk5fe33b6mhj4d73batj67cxq.ipfs.nftstorage.link/?ext=mp4" TargetMode="External"/><Relationship Id="rId1" Type="http://schemas.openxmlformats.org/officeDocument/2006/relationships/hyperlink" Target="https://bafkreieo2qhxipegtregxjt6d6ua5izbduybk2serl357r5sjy5cedbzam.ipfs.nftstorage.link/?ext=png" TargetMode="External"/><Relationship Id="rId6" Type="http://schemas.openxmlformats.org/officeDocument/2006/relationships/hyperlink" Target="https://bafkreieo2qhxipegtregxjt6d6ua5izbduybk2serl357r5sjy5cedbzam.ipfs.nftstorage.link/?ext=png" TargetMode="External"/><Relationship Id="rId11" Type="http://schemas.openxmlformats.org/officeDocument/2006/relationships/hyperlink" Target="https://bafkreieo2qhxipegtregxjt6d6ua5izbduybk2serl357r5sjy5cedbzam.ipfs.nftstorage.link/?ext=png" TargetMode="External"/><Relationship Id="rId24" Type="http://schemas.openxmlformats.org/officeDocument/2006/relationships/hyperlink" Target="https://bafybeihvjr73zcwvfbsqzy5odznulrtgntk5fe33b6mhj4d73batj67cxq.ipfs.nftstorage.link/?ext=mp4" TargetMode="External"/><Relationship Id="rId32" Type="http://schemas.openxmlformats.org/officeDocument/2006/relationships/hyperlink" Target="https://bafybeihvjr73zcwvfbsqzy5odznulrtgntk5fe33b6mhj4d73batj67cxq.ipfs.nftstorage.link/?ext=mp4" TargetMode="External"/><Relationship Id="rId37" Type="http://schemas.openxmlformats.org/officeDocument/2006/relationships/hyperlink" Target="https://bafkreidyidc62awpaiemnfgiwevgnjsbgqynfthz6jyj73ui3l22ecxqga.ipfs.nftstorage.link/?ext=png" TargetMode="External"/><Relationship Id="rId40" Type="http://schemas.openxmlformats.org/officeDocument/2006/relationships/hyperlink" Target="https://bafkreidyidc62awpaiemnfgiwevgnjsbgqynfthz6jyj73ui3l22ecxqga.ipfs.nftstorage.link/?ext=png" TargetMode="External"/><Relationship Id="rId45" Type="http://schemas.openxmlformats.org/officeDocument/2006/relationships/hyperlink" Target="https://bafkreidyidc62awpaiemnfgiwevgnjsbgqynfthz6jyj73ui3l22ecxqga.ipfs.nftstorage.link/?ext=png" TargetMode="External"/><Relationship Id="rId5" Type="http://schemas.openxmlformats.org/officeDocument/2006/relationships/hyperlink" Target="https://bafkreieo2qhxipegtregxjt6d6ua5izbduybk2serl357r5sjy5cedbzam.ipfs.nftstorage.link/?ext=png" TargetMode="External"/><Relationship Id="rId15" Type="http://schemas.openxmlformats.org/officeDocument/2006/relationships/hyperlink" Target="https://bafkreieo2qhxipegtregxjt6d6ua5izbduybk2serl357r5sjy5cedbzam.ipfs.nftstorage.link/?ext=png" TargetMode="External"/><Relationship Id="rId23" Type="http://schemas.openxmlformats.org/officeDocument/2006/relationships/hyperlink" Target="https://bafybeihvjr73zcwvfbsqzy5odznulrtgntk5fe33b6mhj4d73batj67cxq.ipfs.nftstorage.link/?ext=mp4" TargetMode="External"/><Relationship Id="rId28" Type="http://schemas.openxmlformats.org/officeDocument/2006/relationships/hyperlink" Target="https://bafybeihvjr73zcwvfbsqzy5odznulrtgntk5fe33b6mhj4d73batj67cxq.ipfs.nftstorage.link/?ext=mp4" TargetMode="External"/><Relationship Id="rId36" Type="http://schemas.openxmlformats.org/officeDocument/2006/relationships/hyperlink" Target="https://bafkreidyidc62awpaiemnfgiwevgnjsbgqynfthz6jyj73ui3l22ecxqga.ipfs.nftstorage.link/?ext=png" TargetMode="External"/><Relationship Id="rId10" Type="http://schemas.openxmlformats.org/officeDocument/2006/relationships/hyperlink" Target="https://bafkreieo2qhxipegtregxjt6d6ua5izbduybk2serl357r5sjy5cedbzam.ipfs.nftstorage.link/?ext=png" TargetMode="External"/><Relationship Id="rId19" Type="http://schemas.openxmlformats.org/officeDocument/2006/relationships/hyperlink" Target="https://bafybeihvjr73zcwvfbsqzy5odznulrtgntk5fe33b6mhj4d73batj67cxq.ipfs.nftstorage.link/?ext=mp4" TargetMode="External"/><Relationship Id="rId31" Type="http://schemas.openxmlformats.org/officeDocument/2006/relationships/hyperlink" Target="https://bafybeihvjr73zcwvfbsqzy5odznulrtgntk5fe33b6mhj4d73batj67cxq.ipfs.nftstorage.link/?ext=mp4" TargetMode="External"/><Relationship Id="rId44" Type="http://schemas.openxmlformats.org/officeDocument/2006/relationships/hyperlink" Target="https://bafkreidyidc62awpaiemnfgiwevgnjsbgqynfthz6jyj73ui3l22ecxqga.ipfs.nftstorage.link/?ext=png" TargetMode="External"/><Relationship Id="rId4" Type="http://schemas.openxmlformats.org/officeDocument/2006/relationships/hyperlink" Target="https://bafkreieo2qhxipegtregxjt6d6ua5izbduybk2serl357r5sjy5cedbzam.ipfs.nftstorage.link/?ext=png" TargetMode="External"/><Relationship Id="rId9" Type="http://schemas.openxmlformats.org/officeDocument/2006/relationships/hyperlink" Target="https://bafkreieo2qhxipegtregxjt6d6ua5izbduybk2serl357r5sjy5cedbzam.ipfs.nftstorage.link/?ext=png" TargetMode="External"/><Relationship Id="rId14" Type="http://schemas.openxmlformats.org/officeDocument/2006/relationships/hyperlink" Target="https://bafkreieo2qhxipegtregxjt6d6ua5izbduybk2serl357r5sjy5cedbzam.ipfs.nftstorage.link/?ext=png" TargetMode="External"/><Relationship Id="rId22" Type="http://schemas.openxmlformats.org/officeDocument/2006/relationships/hyperlink" Target="https://bafybeihvjr73zcwvfbsqzy5odznulrtgntk5fe33b6mhj4d73batj67cxq.ipfs.nftstorage.link/?ext=mp4" TargetMode="External"/><Relationship Id="rId27" Type="http://schemas.openxmlformats.org/officeDocument/2006/relationships/hyperlink" Target="https://bafybeihvjr73zcwvfbsqzy5odznulrtgntk5fe33b6mhj4d73batj67cxq.ipfs.nftstorage.link/?ext=mp4" TargetMode="External"/><Relationship Id="rId30" Type="http://schemas.openxmlformats.org/officeDocument/2006/relationships/hyperlink" Target="https://bafybeihvjr73zcwvfbsqzy5odznulrtgntk5fe33b6mhj4d73batj67cxq.ipfs.nftstorage.link/?ext=mp4" TargetMode="External"/><Relationship Id="rId35" Type="http://schemas.openxmlformats.org/officeDocument/2006/relationships/hyperlink" Target="https://bafkreidyidc62awpaiemnfgiwevgnjsbgqynfthz6jyj73ui3l22ecxqga.ipfs.nftstorage.link/?ext=png" TargetMode="External"/><Relationship Id="rId43" Type="http://schemas.openxmlformats.org/officeDocument/2006/relationships/hyperlink" Target="https://bafkreidyidc62awpaiemnfgiwevgnjsbgqynfthz6jyj73ui3l22ecxqga.ipfs.nftstorage.link/?ext=png" TargetMode="External"/><Relationship Id="rId48" Type="http://schemas.openxmlformats.org/officeDocument/2006/relationships/hyperlink" Target="https://bafkreidyidc62awpaiemnfgiwevgnjsbgqynfthz6jyj73ui3l22ecxqga.ipfs.nftstorage.link/?ext=png" TargetMode="External"/><Relationship Id="rId8" Type="http://schemas.openxmlformats.org/officeDocument/2006/relationships/hyperlink" Target="https://bafkreieo2qhxipegtregxjt6d6ua5izbduybk2serl357r5sjy5cedbzam.ipfs.nftstorage.link/?ext=png" TargetMode="External"/><Relationship Id="rId3" Type="http://schemas.openxmlformats.org/officeDocument/2006/relationships/hyperlink" Target="https://bafkreidyidc62awpaiemnfgiwevgnjsbgqynfthz6jyj73ui3l22ecxqga.ipfs.nftstorage.link/?ext=png" TargetMode="External"/><Relationship Id="rId12" Type="http://schemas.openxmlformats.org/officeDocument/2006/relationships/hyperlink" Target="https://bafkreieo2qhxipegtregxjt6d6ua5izbduybk2serl357r5sjy5cedbzam.ipfs.nftstorage.link/?ext=png" TargetMode="External"/><Relationship Id="rId17" Type="http://schemas.openxmlformats.org/officeDocument/2006/relationships/hyperlink" Target="https://bafkreieo2qhxipegtregxjt6d6ua5izbduybk2serl357r5sjy5cedbzam.ipfs.nftstorage.link/?ext=png" TargetMode="External"/><Relationship Id="rId25" Type="http://schemas.openxmlformats.org/officeDocument/2006/relationships/hyperlink" Target="https://bafybeihvjr73zcwvfbsqzy5odznulrtgntk5fe33b6mhj4d73batj67cxq.ipfs.nftstorage.link/?ext=mp4" TargetMode="External"/><Relationship Id="rId33" Type="http://schemas.openxmlformats.org/officeDocument/2006/relationships/hyperlink" Target="https://bafybeihvjr73zcwvfbsqzy5odznulrtgntk5fe33b6mhj4d73batj67cxq.ipfs.nftstorage.link/?ext=mp4" TargetMode="External"/><Relationship Id="rId38" Type="http://schemas.openxmlformats.org/officeDocument/2006/relationships/hyperlink" Target="https://bafkreidyidc62awpaiemnfgiwevgnjsbgqynfthz6jyj73ui3l22ecxqga.ipfs.nftstorage.link/?ext=png" TargetMode="External"/><Relationship Id="rId46" Type="http://schemas.openxmlformats.org/officeDocument/2006/relationships/hyperlink" Target="https://bafkreidyidc62awpaiemnfgiwevgnjsbgqynfthz6jyj73ui3l22ecxqga.ipfs.nftstorage.link/?ext=png" TargetMode="External"/><Relationship Id="rId20" Type="http://schemas.openxmlformats.org/officeDocument/2006/relationships/hyperlink" Target="https://bafybeihvjr73zcwvfbsqzy5odznulrtgntk5fe33b6mhj4d73batj67cxq.ipfs.nftstorage.link/?ext=mp4" TargetMode="External"/><Relationship Id="rId41" Type="http://schemas.openxmlformats.org/officeDocument/2006/relationships/hyperlink" Target="https://bafkreidyidc62awpaiemnfgiwevgnjsbgqynfthz6jyj73ui3l22ecxqga.ipfs.nftstorage.link/?ext=p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localhost:4242/" TargetMode="External"/><Relationship Id="rId1" Type="http://schemas.openxmlformats.org/officeDocument/2006/relationships/hyperlink" Target="https://server.f80lab.com:424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AR18"/>
  <sheetViews>
    <sheetView zoomScale="85" zoomScaleNormal="85" workbookViewId="0">
      <selection activeCell="F3" sqref="F3"/>
    </sheetView>
  </sheetViews>
  <sheetFormatPr baseColWidth="10" defaultRowHeight="14.4" x14ac:dyDescent="0.3"/>
  <cols>
    <col min="1" max="1" width="31.44140625" customWidth="1"/>
    <col min="2" max="2" width="7.5546875" bestFit="1" customWidth="1"/>
    <col min="3" max="3" width="13" customWidth="1"/>
    <col min="4" max="4" width="14.5546875" customWidth="1"/>
    <col min="5" max="7" width="23.109375" customWidth="1"/>
    <col min="8" max="8" width="15.5546875" customWidth="1"/>
    <col min="9" max="9" width="21.109375" customWidth="1"/>
    <col min="10" max="10" width="12.88671875" customWidth="1"/>
    <col min="11" max="11" width="21.109375" customWidth="1"/>
    <col min="12" max="12" width="12.6640625" customWidth="1"/>
    <col min="13" max="27" width="21.109375" customWidth="1"/>
    <col min="28" max="28" width="9.5546875" customWidth="1"/>
    <col min="29" max="30" width="5.88671875" customWidth="1"/>
    <col min="31" max="31" width="7.88671875" bestFit="1" customWidth="1"/>
    <col min="32" max="32" width="8" bestFit="1" customWidth="1"/>
    <col min="33" max="33" width="5.88671875" bestFit="1" customWidth="1"/>
    <col min="34" max="36" width="8.6640625" customWidth="1"/>
    <col min="37" max="42" width="10.33203125" bestFit="1" customWidth="1"/>
    <col min="43" max="43" width="14.88671875" customWidth="1"/>
    <col min="44" max="44" width="22.88671875" customWidth="1"/>
    <col min="45" max="48" width="5.88671875" bestFit="1" customWidth="1"/>
    <col min="49" max="49" width="10" bestFit="1" customWidth="1"/>
    <col min="50" max="50" width="7.88671875" bestFit="1" customWidth="1"/>
  </cols>
  <sheetData>
    <row r="1" spans="1:44" x14ac:dyDescent="0.3">
      <c r="A1" s="25" t="s">
        <v>169</v>
      </c>
      <c r="B1" s="25"/>
      <c r="C1" s="25"/>
      <c r="D1" s="25"/>
      <c r="E1" s="25"/>
      <c r="F1" s="25"/>
      <c r="G1" s="25"/>
      <c r="H1" s="24" t="s">
        <v>21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5"/>
      <c r="U1" s="5"/>
      <c r="V1" s="5"/>
      <c r="W1" s="5"/>
      <c r="X1" s="5"/>
      <c r="Y1" s="5"/>
      <c r="Z1" s="5"/>
      <c r="AA1" s="5"/>
      <c r="AB1" s="21" t="s">
        <v>15</v>
      </c>
      <c r="AC1" s="21"/>
      <c r="AD1" s="21"/>
      <c r="AE1" s="21"/>
      <c r="AF1" s="21"/>
      <c r="AG1" s="21"/>
      <c r="AH1" s="21"/>
      <c r="AI1" s="21"/>
      <c r="AJ1" s="21"/>
      <c r="AK1" s="22" t="s">
        <v>17</v>
      </c>
      <c r="AL1" s="22"/>
      <c r="AM1" s="22"/>
      <c r="AN1" s="22"/>
      <c r="AO1" s="22"/>
      <c r="AP1" s="22"/>
      <c r="AQ1" s="23" t="s">
        <v>8</v>
      </c>
      <c r="AR1" s="23"/>
    </row>
    <row r="2" spans="1:44" s="11" customFormat="1" ht="33" customHeight="1" x14ac:dyDescent="0.3">
      <c r="A2" s="6" t="s">
        <v>9</v>
      </c>
      <c r="B2" s="6" t="s">
        <v>10</v>
      </c>
      <c r="C2" s="6" t="s">
        <v>11</v>
      </c>
      <c r="D2" s="6" t="s">
        <v>0</v>
      </c>
      <c r="E2" s="6" t="s">
        <v>1</v>
      </c>
      <c r="F2" s="6" t="s">
        <v>170</v>
      </c>
      <c r="G2" s="6" t="s">
        <v>41</v>
      </c>
      <c r="H2" s="7" t="s">
        <v>2</v>
      </c>
      <c r="I2" s="7" t="s">
        <v>3</v>
      </c>
      <c r="J2" s="7" t="s">
        <v>2</v>
      </c>
      <c r="K2" s="7" t="s">
        <v>3</v>
      </c>
      <c r="L2" s="7" t="s">
        <v>2</v>
      </c>
      <c r="M2" s="7" t="s">
        <v>3</v>
      </c>
      <c r="N2" s="7" t="s">
        <v>2</v>
      </c>
      <c r="O2" s="7" t="s">
        <v>3</v>
      </c>
      <c r="P2" s="7" t="s">
        <v>2</v>
      </c>
      <c r="Q2" s="7" t="s">
        <v>3</v>
      </c>
      <c r="R2" s="7" t="s">
        <v>2</v>
      </c>
      <c r="S2" s="7" t="s">
        <v>3</v>
      </c>
      <c r="T2" s="7" t="s">
        <v>2</v>
      </c>
      <c r="U2" s="7" t="s">
        <v>3</v>
      </c>
      <c r="V2" s="7" t="s">
        <v>2</v>
      </c>
      <c r="W2" s="7" t="s">
        <v>3</v>
      </c>
      <c r="X2" s="7" t="s">
        <v>2</v>
      </c>
      <c r="Y2" s="7" t="s">
        <v>3</v>
      </c>
      <c r="Z2" s="7" t="s">
        <v>2</v>
      </c>
      <c r="AA2" s="7" t="s">
        <v>3</v>
      </c>
      <c r="AB2" s="8" t="s">
        <v>4</v>
      </c>
      <c r="AC2" s="8" t="s">
        <v>5</v>
      </c>
      <c r="AD2" s="8" t="s">
        <v>6</v>
      </c>
      <c r="AE2" s="8" t="s">
        <v>4</v>
      </c>
      <c r="AF2" s="8" t="s">
        <v>5</v>
      </c>
      <c r="AG2" s="8" t="s">
        <v>6</v>
      </c>
      <c r="AH2" s="8" t="s">
        <v>4</v>
      </c>
      <c r="AI2" s="8" t="s">
        <v>5</v>
      </c>
      <c r="AJ2" s="8" t="s">
        <v>6</v>
      </c>
      <c r="AK2" s="9" t="s">
        <v>16</v>
      </c>
      <c r="AL2" s="9" t="s">
        <v>7</v>
      </c>
      <c r="AM2" s="9" t="s">
        <v>16</v>
      </c>
      <c r="AN2" s="9" t="s">
        <v>7</v>
      </c>
      <c r="AO2" s="9" t="s">
        <v>16</v>
      </c>
      <c r="AP2" s="9" t="s">
        <v>7</v>
      </c>
      <c r="AQ2" s="10" t="s">
        <v>9</v>
      </c>
      <c r="AR2" s="10" t="s">
        <v>45</v>
      </c>
    </row>
    <row r="3" spans="1:44" x14ac:dyDescent="0.3">
      <c r="A3" t="s">
        <v>72</v>
      </c>
      <c r="B3" t="s">
        <v>10</v>
      </c>
      <c r="C3" t="s">
        <v>11</v>
      </c>
      <c r="D3">
        <v>5000</v>
      </c>
      <c r="E3" s="3" t="s">
        <v>62</v>
      </c>
      <c r="F3" s="3"/>
      <c r="H3" t="s">
        <v>46</v>
      </c>
      <c r="I3" t="s">
        <v>47</v>
      </c>
      <c r="J3" t="s">
        <v>48</v>
      </c>
      <c r="K3" t="s">
        <v>54</v>
      </c>
      <c r="L3" t="s">
        <v>49</v>
      </c>
      <c r="M3" t="s">
        <v>55</v>
      </c>
      <c r="N3" t="s">
        <v>50</v>
      </c>
      <c r="O3" t="s">
        <v>56</v>
      </c>
      <c r="P3" t="s">
        <v>51</v>
      </c>
      <c r="Q3" t="s">
        <v>57</v>
      </c>
      <c r="R3" t="s">
        <v>52</v>
      </c>
      <c r="S3" t="s">
        <v>58</v>
      </c>
      <c r="T3" t="s">
        <v>59</v>
      </c>
      <c r="U3">
        <v>2</v>
      </c>
      <c r="V3" t="s">
        <v>60</v>
      </c>
      <c r="W3">
        <v>2</v>
      </c>
      <c r="X3" t="s">
        <v>61</v>
      </c>
      <c r="Y3">
        <v>2</v>
      </c>
      <c r="Z3" t="s">
        <v>53</v>
      </c>
      <c r="AB3" t="s">
        <v>27</v>
      </c>
      <c r="AC3">
        <v>1</v>
      </c>
      <c r="AD3">
        <v>10</v>
      </c>
      <c r="AE3" t="s">
        <v>28</v>
      </c>
      <c r="AF3">
        <v>0</v>
      </c>
      <c r="AG3">
        <v>60</v>
      </c>
      <c r="AH3" t="s">
        <v>29</v>
      </c>
      <c r="AI3">
        <v>1</v>
      </c>
      <c r="AJ3">
        <v>30</v>
      </c>
      <c r="AK3" s="3" t="s">
        <v>63</v>
      </c>
      <c r="AL3" t="s">
        <v>64</v>
      </c>
      <c r="AM3" s="3" t="s">
        <v>65</v>
      </c>
      <c r="AN3" t="s">
        <v>66</v>
      </c>
      <c r="AQ3" t="s">
        <v>71</v>
      </c>
      <c r="AR3" t="s">
        <v>67</v>
      </c>
    </row>
    <row r="4" spans="1:44" x14ac:dyDescent="0.3">
      <c r="A4" t="s">
        <v>73</v>
      </c>
      <c r="B4" t="s">
        <v>10</v>
      </c>
      <c r="C4" t="s">
        <v>11</v>
      </c>
      <c r="D4">
        <v>5001</v>
      </c>
      <c r="E4" s="3" t="s">
        <v>62</v>
      </c>
      <c r="F4" s="3"/>
      <c r="H4" t="s">
        <v>46</v>
      </c>
      <c r="I4" t="s">
        <v>47</v>
      </c>
      <c r="J4" t="s">
        <v>49</v>
      </c>
      <c r="K4" t="s">
        <v>54</v>
      </c>
      <c r="L4" t="s">
        <v>50</v>
      </c>
      <c r="M4" t="s">
        <v>55</v>
      </c>
      <c r="N4" t="s">
        <v>51</v>
      </c>
      <c r="O4" t="s">
        <v>56</v>
      </c>
      <c r="P4" t="s">
        <v>52</v>
      </c>
      <c r="Q4" t="s">
        <v>57</v>
      </c>
      <c r="R4" t="s">
        <v>74</v>
      </c>
      <c r="S4" t="s">
        <v>75</v>
      </c>
      <c r="T4" t="s">
        <v>60</v>
      </c>
      <c r="U4">
        <v>3</v>
      </c>
      <c r="V4" t="s">
        <v>61</v>
      </c>
      <c r="W4">
        <v>3</v>
      </c>
      <c r="X4" t="s">
        <v>76</v>
      </c>
      <c r="Y4">
        <v>3</v>
      </c>
      <c r="Z4" t="s">
        <v>77</v>
      </c>
      <c r="AB4" t="s">
        <v>27</v>
      </c>
      <c r="AC4">
        <v>1</v>
      </c>
      <c r="AD4">
        <v>10</v>
      </c>
      <c r="AE4" t="s">
        <v>28</v>
      </c>
      <c r="AF4">
        <v>0</v>
      </c>
      <c r="AG4">
        <v>60</v>
      </c>
      <c r="AH4" t="s">
        <v>29</v>
      </c>
      <c r="AI4">
        <v>1</v>
      </c>
      <c r="AJ4">
        <v>30</v>
      </c>
      <c r="AK4" s="3" t="s">
        <v>78</v>
      </c>
      <c r="AL4" t="s">
        <v>79</v>
      </c>
      <c r="AM4" s="3" t="s">
        <v>65</v>
      </c>
      <c r="AN4" t="s">
        <v>66</v>
      </c>
      <c r="AQ4" t="s">
        <v>71</v>
      </c>
      <c r="AR4" t="s">
        <v>67</v>
      </c>
    </row>
    <row r="5" spans="1:44" x14ac:dyDescent="0.3">
      <c r="A5" t="s">
        <v>80</v>
      </c>
      <c r="B5" t="s">
        <v>10</v>
      </c>
      <c r="C5" t="s">
        <v>11</v>
      </c>
      <c r="D5">
        <v>5002</v>
      </c>
      <c r="E5" s="3" t="s">
        <v>62</v>
      </c>
      <c r="F5" s="3"/>
      <c r="H5" t="s">
        <v>46</v>
      </c>
      <c r="I5" t="s">
        <v>47</v>
      </c>
      <c r="J5" t="s">
        <v>50</v>
      </c>
      <c r="K5" t="s">
        <v>54</v>
      </c>
      <c r="L5" t="s">
        <v>51</v>
      </c>
      <c r="M5" t="s">
        <v>55</v>
      </c>
      <c r="N5" t="s">
        <v>52</v>
      </c>
      <c r="O5" t="s">
        <v>56</v>
      </c>
      <c r="P5" t="s">
        <v>74</v>
      </c>
      <c r="Q5" t="s">
        <v>57</v>
      </c>
      <c r="R5" t="s">
        <v>81</v>
      </c>
      <c r="S5" t="s">
        <v>82</v>
      </c>
      <c r="T5" t="s">
        <v>61</v>
      </c>
      <c r="U5">
        <v>4</v>
      </c>
      <c r="V5" t="s">
        <v>76</v>
      </c>
      <c r="W5">
        <v>4</v>
      </c>
      <c r="X5" t="s">
        <v>83</v>
      </c>
      <c r="Y5">
        <v>4</v>
      </c>
      <c r="Z5" t="s">
        <v>84</v>
      </c>
      <c r="AB5" t="s">
        <v>27</v>
      </c>
      <c r="AC5">
        <v>1</v>
      </c>
      <c r="AD5">
        <v>10</v>
      </c>
      <c r="AE5" t="s">
        <v>28</v>
      </c>
      <c r="AF5">
        <v>0</v>
      </c>
      <c r="AG5">
        <v>60</v>
      </c>
      <c r="AH5" t="s">
        <v>29</v>
      </c>
      <c r="AI5">
        <v>1</v>
      </c>
      <c r="AJ5">
        <v>30</v>
      </c>
      <c r="AK5" s="3" t="s">
        <v>85</v>
      </c>
      <c r="AL5" t="s">
        <v>86</v>
      </c>
      <c r="AM5" s="3" t="s">
        <v>65</v>
      </c>
      <c r="AN5" t="s">
        <v>66</v>
      </c>
      <c r="AQ5" t="s">
        <v>71</v>
      </c>
      <c r="AR5" t="s">
        <v>67</v>
      </c>
    </row>
    <row r="6" spans="1:44" x14ac:dyDescent="0.3">
      <c r="A6" t="s">
        <v>87</v>
      </c>
      <c r="B6" t="s">
        <v>10</v>
      </c>
      <c r="C6" t="s">
        <v>11</v>
      </c>
      <c r="D6">
        <v>5003</v>
      </c>
      <c r="E6" s="3" t="s">
        <v>62</v>
      </c>
      <c r="F6" s="3"/>
      <c r="H6" t="s">
        <v>46</v>
      </c>
      <c r="I6" t="s">
        <v>47</v>
      </c>
      <c r="J6" t="s">
        <v>51</v>
      </c>
      <c r="K6" t="s">
        <v>54</v>
      </c>
      <c r="L6" t="s">
        <v>52</v>
      </c>
      <c r="M6" t="s">
        <v>55</v>
      </c>
      <c r="N6" t="s">
        <v>74</v>
      </c>
      <c r="O6" t="s">
        <v>56</v>
      </c>
      <c r="P6" t="s">
        <v>81</v>
      </c>
      <c r="Q6" t="s">
        <v>57</v>
      </c>
      <c r="R6" t="s">
        <v>88</v>
      </c>
      <c r="S6" t="s">
        <v>89</v>
      </c>
      <c r="T6" t="s">
        <v>76</v>
      </c>
      <c r="U6">
        <v>5</v>
      </c>
      <c r="V6" t="s">
        <v>83</v>
      </c>
      <c r="W6">
        <v>5</v>
      </c>
      <c r="X6" t="s">
        <v>90</v>
      </c>
      <c r="Y6">
        <v>5</v>
      </c>
      <c r="Z6" t="s">
        <v>91</v>
      </c>
      <c r="AB6" t="s">
        <v>27</v>
      </c>
      <c r="AC6">
        <v>1</v>
      </c>
      <c r="AD6">
        <v>10</v>
      </c>
      <c r="AE6" t="s">
        <v>28</v>
      </c>
      <c r="AF6">
        <v>0</v>
      </c>
      <c r="AG6">
        <v>60</v>
      </c>
      <c r="AH6" t="s">
        <v>29</v>
      </c>
      <c r="AI6">
        <v>1</v>
      </c>
      <c r="AJ6">
        <v>30</v>
      </c>
      <c r="AK6" s="3" t="s">
        <v>92</v>
      </c>
      <c r="AL6" t="s">
        <v>93</v>
      </c>
      <c r="AM6" s="3" t="s">
        <v>65</v>
      </c>
      <c r="AN6" t="s">
        <v>66</v>
      </c>
      <c r="AQ6" t="s">
        <v>71</v>
      </c>
      <c r="AR6" t="s">
        <v>67</v>
      </c>
    </row>
    <row r="7" spans="1:44" x14ac:dyDescent="0.3">
      <c r="A7" t="s">
        <v>94</v>
      </c>
      <c r="B7" t="s">
        <v>10</v>
      </c>
      <c r="C7" t="s">
        <v>11</v>
      </c>
      <c r="D7">
        <v>5004</v>
      </c>
      <c r="E7" s="3" t="s">
        <v>62</v>
      </c>
      <c r="F7" s="3"/>
      <c r="H7" t="s">
        <v>46</v>
      </c>
      <c r="I7" t="s">
        <v>47</v>
      </c>
      <c r="J7" t="s">
        <v>52</v>
      </c>
      <c r="K7" t="s">
        <v>54</v>
      </c>
      <c r="L7" t="s">
        <v>74</v>
      </c>
      <c r="M7" t="s">
        <v>55</v>
      </c>
      <c r="N7" t="s">
        <v>81</v>
      </c>
      <c r="O7" t="s">
        <v>56</v>
      </c>
      <c r="P7" t="s">
        <v>88</v>
      </c>
      <c r="Q7" t="s">
        <v>57</v>
      </c>
      <c r="R7" t="s">
        <v>53</v>
      </c>
      <c r="S7" t="s">
        <v>95</v>
      </c>
      <c r="T7" t="s">
        <v>83</v>
      </c>
      <c r="U7">
        <v>6</v>
      </c>
      <c r="V7" t="s">
        <v>90</v>
      </c>
      <c r="W7">
        <v>6</v>
      </c>
      <c r="X7" t="s">
        <v>96</v>
      </c>
      <c r="Y7">
        <v>6</v>
      </c>
      <c r="Z7" t="s">
        <v>97</v>
      </c>
      <c r="AB7" t="s">
        <v>27</v>
      </c>
      <c r="AC7">
        <v>1</v>
      </c>
      <c r="AD7">
        <v>10</v>
      </c>
      <c r="AE7" t="s">
        <v>28</v>
      </c>
      <c r="AF7">
        <v>0</v>
      </c>
      <c r="AG7">
        <v>60</v>
      </c>
      <c r="AH7" t="s">
        <v>29</v>
      </c>
      <c r="AI7">
        <v>1</v>
      </c>
      <c r="AJ7">
        <v>30</v>
      </c>
      <c r="AK7" s="3" t="s">
        <v>98</v>
      </c>
      <c r="AL7" t="s">
        <v>99</v>
      </c>
      <c r="AM7" s="3" t="s">
        <v>65</v>
      </c>
      <c r="AN7" t="s">
        <v>66</v>
      </c>
      <c r="AQ7" t="s">
        <v>71</v>
      </c>
      <c r="AR7" t="s">
        <v>67</v>
      </c>
    </row>
    <row r="8" spans="1:44" x14ac:dyDescent="0.3">
      <c r="A8" t="s">
        <v>100</v>
      </c>
      <c r="B8" t="s">
        <v>10</v>
      </c>
      <c r="C8" t="s">
        <v>11</v>
      </c>
      <c r="D8">
        <v>5005</v>
      </c>
      <c r="E8" s="3" t="s">
        <v>62</v>
      </c>
      <c r="F8" s="3"/>
      <c r="H8" t="s">
        <v>46</v>
      </c>
      <c r="I8" t="s">
        <v>47</v>
      </c>
      <c r="J8" t="s">
        <v>74</v>
      </c>
      <c r="K8" t="s">
        <v>54</v>
      </c>
      <c r="L8" t="s">
        <v>81</v>
      </c>
      <c r="M8" t="s">
        <v>55</v>
      </c>
      <c r="N8" t="s">
        <v>88</v>
      </c>
      <c r="O8" t="s">
        <v>56</v>
      </c>
      <c r="P8" t="s">
        <v>53</v>
      </c>
      <c r="Q8" t="s">
        <v>57</v>
      </c>
      <c r="R8" t="s">
        <v>77</v>
      </c>
      <c r="S8" t="s">
        <v>101</v>
      </c>
      <c r="T8" t="s">
        <v>90</v>
      </c>
      <c r="U8">
        <v>7</v>
      </c>
      <c r="V8" t="s">
        <v>96</v>
      </c>
      <c r="W8">
        <v>7</v>
      </c>
      <c r="X8" t="s">
        <v>102</v>
      </c>
      <c r="Y8">
        <v>7</v>
      </c>
      <c r="Z8" t="s">
        <v>103</v>
      </c>
      <c r="AB8" t="s">
        <v>27</v>
      </c>
      <c r="AC8">
        <v>1</v>
      </c>
      <c r="AD8">
        <v>10</v>
      </c>
      <c r="AE8" t="s">
        <v>28</v>
      </c>
      <c r="AF8">
        <v>0</v>
      </c>
      <c r="AG8">
        <v>60</v>
      </c>
      <c r="AH8" t="s">
        <v>29</v>
      </c>
      <c r="AI8">
        <v>1</v>
      </c>
      <c r="AJ8">
        <v>30</v>
      </c>
      <c r="AK8" s="3" t="s">
        <v>104</v>
      </c>
      <c r="AL8" t="s">
        <v>105</v>
      </c>
      <c r="AM8" s="3" t="s">
        <v>65</v>
      </c>
      <c r="AN8" t="s">
        <v>66</v>
      </c>
      <c r="AQ8" t="s">
        <v>71</v>
      </c>
      <c r="AR8" t="s">
        <v>67</v>
      </c>
    </row>
    <row r="9" spans="1:44" x14ac:dyDescent="0.3">
      <c r="A9" t="s">
        <v>106</v>
      </c>
      <c r="B9" t="s">
        <v>10</v>
      </c>
      <c r="C9" t="s">
        <v>11</v>
      </c>
      <c r="D9">
        <v>5006</v>
      </c>
      <c r="E9" s="3" t="s">
        <v>62</v>
      </c>
      <c r="F9" s="3"/>
      <c r="H9" t="s">
        <v>46</v>
      </c>
      <c r="I9" t="s">
        <v>47</v>
      </c>
      <c r="J9" t="s">
        <v>81</v>
      </c>
      <c r="K9" t="s">
        <v>54</v>
      </c>
      <c r="L9" t="s">
        <v>88</v>
      </c>
      <c r="M9" t="s">
        <v>55</v>
      </c>
      <c r="N9" t="s">
        <v>53</v>
      </c>
      <c r="O9" t="s">
        <v>56</v>
      </c>
      <c r="P9" t="s">
        <v>77</v>
      </c>
      <c r="Q9" t="s">
        <v>57</v>
      </c>
      <c r="R9" t="s">
        <v>84</v>
      </c>
      <c r="S9" t="s">
        <v>107</v>
      </c>
      <c r="T9" t="s">
        <v>96</v>
      </c>
      <c r="U9">
        <v>8</v>
      </c>
      <c r="V9" t="s">
        <v>102</v>
      </c>
      <c r="W9">
        <v>8</v>
      </c>
      <c r="X9" t="s">
        <v>108</v>
      </c>
      <c r="Y9">
        <v>8</v>
      </c>
      <c r="Z9" t="s">
        <v>109</v>
      </c>
      <c r="AB9" t="s">
        <v>27</v>
      </c>
      <c r="AC9">
        <v>1</v>
      </c>
      <c r="AD9">
        <v>10</v>
      </c>
      <c r="AE9" t="s">
        <v>28</v>
      </c>
      <c r="AF9">
        <v>0</v>
      </c>
      <c r="AG9">
        <v>60</v>
      </c>
      <c r="AH9" t="s">
        <v>29</v>
      </c>
      <c r="AI9">
        <v>1</v>
      </c>
      <c r="AJ9">
        <v>30</v>
      </c>
      <c r="AK9" s="3" t="s">
        <v>110</v>
      </c>
      <c r="AL9" t="s">
        <v>111</v>
      </c>
      <c r="AM9" s="3" t="s">
        <v>65</v>
      </c>
      <c r="AN9" t="s">
        <v>66</v>
      </c>
      <c r="AQ9" t="s">
        <v>71</v>
      </c>
      <c r="AR9" t="s">
        <v>67</v>
      </c>
    </row>
    <row r="10" spans="1:44" x14ac:dyDescent="0.3">
      <c r="A10" t="s">
        <v>112</v>
      </c>
      <c r="B10" t="s">
        <v>10</v>
      </c>
      <c r="C10" t="s">
        <v>11</v>
      </c>
      <c r="D10">
        <v>5007</v>
      </c>
      <c r="E10" s="3" t="s">
        <v>62</v>
      </c>
      <c r="F10" s="3"/>
      <c r="H10" t="s">
        <v>46</v>
      </c>
      <c r="I10" t="s">
        <v>47</v>
      </c>
      <c r="J10" t="s">
        <v>88</v>
      </c>
      <c r="K10" t="s">
        <v>54</v>
      </c>
      <c r="L10" t="s">
        <v>53</v>
      </c>
      <c r="M10" t="s">
        <v>55</v>
      </c>
      <c r="N10" t="s">
        <v>77</v>
      </c>
      <c r="O10" t="s">
        <v>56</v>
      </c>
      <c r="P10" t="s">
        <v>84</v>
      </c>
      <c r="Q10" t="s">
        <v>57</v>
      </c>
      <c r="R10" t="s">
        <v>91</v>
      </c>
      <c r="S10" t="s">
        <v>113</v>
      </c>
      <c r="T10" t="s">
        <v>102</v>
      </c>
      <c r="U10">
        <v>9</v>
      </c>
      <c r="V10" t="s">
        <v>108</v>
      </c>
      <c r="W10">
        <v>9</v>
      </c>
      <c r="X10" t="s">
        <v>114</v>
      </c>
      <c r="Y10">
        <v>9</v>
      </c>
      <c r="Z10" t="s">
        <v>115</v>
      </c>
      <c r="AB10" t="s">
        <v>27</v>
      </c>
      <c r="AC10">
        <v>1</v>
      </c>
      <c r="AD10">
        <v>10</v>
      </c>
      <c r="AE10" t="s">
        <v>28</v>
      </c>
      <c r="AF10">
        <v>0</v>
      </c>
      <c r="AG10">
        <v>60</v>
      </c>
      <c r="AH10" t="s">
        <v>29</v>
      </c>
      <c r="AI10">
        <v>1</v>
      </c>
      <c r="AJ10">
        <v>30</v>
      </c>
      <c r="AK10" s="3" t="s">
        <v>116</v>
      </c>
      <c r="AL10" t="s">
        <v>117</v>
      </c>
      <c r="AM10" s="3" t="s">
        <v>65</v>
      </c>
      <c r="AN10" t="s">
        <v>66</v>
      </c>
      <c r="AQ10" t="s">
        <v>71</v>
      </c>
      <c r="AR10" t="s">
        <v>67</v>
      </c>
    </row>
    <row r="11" spans="1:44" x14ac:dyDescent="0.3">
      <c r="A11" t="s">
        <v>118</v>
      </c>
      <c r="B11" t="s">
        <v>10</v>
      </c>
      <c r="C11" t="s">
        <v>11</v>
      </c>
      <c r="D11">
        <v>5008</v>
      </c>
      <c r="E11" s="3" t="s">
        <v>62</v>
      </c>
      <c r="F11" s="3"/>
      <c r="H11" t="s">
        <v>46</v>
      </c>
      <c r="I11" t="s">
        <v>47</v>
      </c>
      <c r="J11" t="s">
        <v>53</v>
      </c>
      <c r="K11" t="s">
        <v>54</v>
      </c>
      <c r="L11" t="s">
        <v>77</v>
      </c>
      <c r="M11" t="s">
        <v>55</v>
      </c>
      <c r="N11" t="s">
        <v>84</v>
      </c>
      <c r="O11" t="s">
        <v>56</v>
      </c>
      <c r="P11" t="s">
        <v>91</v>
      </c>
      <c r="Q11" t="s">
        <v>57</v>
      </c>
      <c r="R11" t="s">
        <v>97</v>
      </c>
      <c r="S11" t="s">
        <v>119</v>
      </c>
      <c r="T11" t="s">
        <v>108</v>
      </c>
      <c r="U11">
        <v>10</v>
      </c>
      <c r="V11" t="s">
        <v>114</v>
      </c>
      <c r="W11">
        <v>10</v>
      </c>
      <c r="X11" t="s">
        <v>120</v>
      </c>
      <c r="Y11">
        <v>10</v>
      </c>
      <c r="Z11" t="s">
        <v>121</v>
      </c>
      <c r="AB11" t="s">
        <v>27</v>
      </c>
      <c r="AC11">
        <v>1</v>
      </c>
      <c r="AD11">
        <v>10</v>
      </c>
      <c r="AE11" t="s">
        <v>28</v>
      </c>
      <c r="AF11">
        <v>0</v>
      </c>
      <c r="AG11">
        <v>60</v>
      </c>
      <c r="AH11" t="s">
        <v>29</v>
      </c>
      <c r="AI11">
        <v>1</v>
      </c>
      <c r="AJ11">
        <v>30</v>
      </c>
      <c r="AK11" s="3" t="s">
        <v>122</v>
      </c>
      <c r="AL11" t="s">
        <v>123</v>
      </c>
      <c r="AM11" s="3" t="s">
        <v>65</v>
      </c>
      <c r="AN11" t="s">
        <v>66</v>
      </c>
      <c r="AQ11" t="s">
        <v>71</v>
      </c>
      <c r="AR11" t="s">
        <v>67</v>
      </c>
    </row>
    <row r="12" spans="1:44" x14ac:dyDescent="0.3">
      <c r="A12" t="s">
        <v>124</v>
      </c>
      <c r="B12" t="s">
        <v>10</v>
      </c>
      <c r="C12" t="s">
        <v>11</v>
      </c>
      <c r="D12">
        <v>5009</v>
      </c>
      <c r="E12" s="3" t="s">
        <v>62</v>
      </c>
      <c r="F12" s="3"/>
      <c r="H12" t="s">
        <v>46</v>
      </c>
      <c r="I12" t="s">
        <v>47</v>
      </c>
      <c r="J12" t="s">
        <v>77</v>
      </c>
      <c r="K12" t="s">
        <v>54</v>
      </c>
      <c r="L12" t="s">
        <v>84</v>
      </c>
      <c r="M12" t="s">
        <v>55</v>
      </c>
      <c r="N12" t="s">
        <v>91</v>
      </c>
      <c r="O12" t="s">
        <v>56</v>
      </c>
      <c r="P12" t="s">
        <v>97</v>
      </c>
      <c r="Q12" t="s">
        <v>57</v>
      </c>
      <c r="R12" t="s">
        <v>103</v>
      </c>
      <c r="S12" t="s">
        <v>125</v>
      </c>
      <c r="T12" t="s">
        <v>114</v>
      </c>
      <c r="U12">
        <v>11</v>
      </c>
      <c r="V12" t="s">
        <v>120</v>
      </c>
      <c r="W12">
        <v>11</v>
      </c>
      <c r="X12" t="s">
        <v>126</v>
      </c>
      <c r="Y12">
        <v>11</v>
      </c>
      <c r="Z12" t="s">
        <v>127</v>
      </c>
      <c r="AB12" t="s">
        <v>27</v>
      </c>
      <c r="AC12">
        <v>1</v>
      </c>
      <c r="AD12">
        <v>10</v>
      </c>
      <c r="AE12" t="s">
        <v>28</v>
      </c>
      <c r="AF12">
        <v>0</v>
      </c>
      <c r="AG12">
        <v>60</v>
      </c>
      <c r="AH12" t="s">
        <v>29</v>
      </c>
      <c r="AI12">
        <v>1</v>
      </c>
      <c r="AJ12">
        <v>30</v>
      </c>
      <c r="AK12" s="3" t="s">
        <v>128</v>
      </c>
      <c r="AL12" t="s">
        <v>129</v>
      </c>
      <c r="AM12" s="3" t="s">
        <v>65</v>
      </c>
      <c r="AN12" t="s">
        <v>66</v>
      </c>
      <c r="AQ12" t="s">
        <v>71</v>
      </c>
      <c r="AR12" t="s">
        <v>67</v>
      </c>
    </row>
    <row r="13" spans="1:44" x14ac:dyDescent="0.3">
      <c r="A13" t="s">
        <v>130</v>
      </c>
      <c r="B13" t="s">
        <v>10</v>
      </c>
      <c r="C13" t="s">
        <v>11</v>
      </c>
      <c r="D13">
        <v>5010</v>
      </c>
      <c r="E13" s="3" t="s">
        <v>62</v>
      </c>
      <c r="F13" s="3"/>
      <c r="H13" t="s">
        <v>46</v>
      </c>
      <c r="I13" t="s">
        <v>47</v>
      </c>
      <c r="J13" t="s">
        <v>84</v>
      </c>
      <c r="K13" t="s">
        <v>54</v>
      </c>
      <c r="L13" t="s">
        <v>91</v>
      </c>
      <c r="M13" t="s">
        <v>55</v>
      </c>
      <c r="N13" t="s">
        <v>97</v>
      </c>
      <c r="O13" t="s">
        <v>56</v>
      </c>
      <c r="P13" t="s">
        <v>103</v>
      </c>
      <c r="Q13" t="s">
        <v>57</v>
      </c>
      <c r="R13" t="s">
        <v>109</v>
      </c>
      <c r="S13" t="s">
        <v>131</v>
      </c>
      <c r="T13" t="s">
        <v>120</v>
      </c>
      <c r="U13">
        <v>12</v>
      </c>
      <c r="V13" t="s">
        <v>126</v>
      </c>
      <c r="W13">
        <v>12</v>
      </c>
      <c r="X13" t="s">
        <v>132</v>
      </c>
      <c r="Y13">
        <v>12</v>
      </c>
      <c r="Z13" t="s">
        <v>133</v>
      </c>
      <c r="AB13" t="s">
        <v>27</v>
      </c>
      <c r="AC13">
        <v>1</v>
      </c>
      <c r="AD13">
        <v>10</v>
      </c>
      <c r="AE13" t="s">
        <v>28</v>
      </c>
      <c r="AF13">
        <v>0</v>
      </c>
      <c r="AG13">
        <v>60</v>
      </c>
      <c r="AH13" t="s">
        <v>29</v>
      </c>
      <c r="AI13">
        <v>1</v>
      </c>
      <c r="AJ13">
        <v>30</v>
      </c>
      <c r="AK13" s="3" t="s">
        <v>134</v>
      </c>
      <c r="AL13" t="s">
        <v>135</v>
      </c>
      <c r="AM13" s="3" t="s">
        <v>65</v>
      </c>
      <c r="AN13" t="s">
        <v>66</v>
      </c>
      <c r="AQ13" t="s">
        <v>71</v>
      </c>
      <c r="AR13" t="s">
        <v>67</v>
      </c>
    </row>
    <row r="14" spans="1:44" x14ac:dyDescent="0.3">
      <c r="A14" t="s">
        <v>136</v>
      </c>
      <c r="B14" t="s">
        <v>10</v>
      </c>
      <c r="C14" t="s">
        <v>11</v>
      </c>
      <c r="D14">
        <v>5011</v>
      </c>
      <c r="E14" s="3" t="s">
        <v>62</v>
      </c>
      <c r="F14" s="3"/>
      <c r="H14" t="s">
        <v>46</v>
      </c>
      <c r="I14" t="s">
        <v>47</v>
      </c>
      <c r="J14" t="s">
        <v>91</v>
      </c>
      <c r="K14" t="s">
        <v>54</v>
      </c>
      <c r="L14" t="s">
        <v>97</v>
      </c>
      <c r="M14" t="s">
        <v>55</v>
      </c>
      <c r="N14" t="s">
        <v>103</v>
      </c>
      <c r="O14" t="s">
        <v>56</v>
      </c>
      <c r="P14" t="s">
        <v>109</v>
      </c>
      <c r="Q14" t="s">
        <v>57</v>
      </c>
      <c r="R14" t="s">
        <v>115</v>
      </c>
      <c r="S14" t="s">
        <v>137</v>
      </c>
      <c r="T14" t="s">
        <v>126</v>
      </c>
      <c r="U14">
        <v>13</v>
      </c>
      <c r="V14" t="s">
        <v>132</v>
      </c>
      <c r="W14">
        <v>13</v>
      </c>
      <c r="X14" t="s">
        <v>138</v>
      </c>
      <c r="Y14">
        <v>13</v>
      </c>
      <c r="Z14" t="s">
        <v>139</v>
      </c>
      <c r="AB14" t="s">
        <v>27</v>
      </c>
      <c r="AC14">
        <v>1</v>
      </c>
      <c r="AD14">
        <v>10</v>
      </c>
      <c r="AE14" t="s">
        <v>28</v>
      </c>
      <c r="AF14">
        <v>0</v>
      </c>
      <c r="AG14">
        <v>60</v>
      </c>
      <c r="AH14" t="s">
        <v>29</v>
      </c>
      <c r="AI14">
        <v>1</v>
      </c>
      <c r="AJ14">
        <v>30</v>
      </c>
      <c r="AK14" s="3" t="s">
        <v>140</v>
      </c>
      <c r="AL14" t="s">
        <v>141</v>
      </c>
      <c r="AM14" s="3" t="s">
        <v>65</v>
      </c>
      <c r="AN14" t="s">
        <v>66</v>
      </c>
      <c r="AQ14" t="s">
        <v>71</v>
      </c>
      <c r="AR14" t="s">
        <v>67</v>
      </c>
    </row>
    <row r="15" spans="1:44" x14ac:dyDescent="0.3">
      <c r="A15" t="s">
        <v>142</v>
      </c>
      <c r="B15" t="s">
        <v>10</v>
      </c>
      <c r="C15" t="s">
        <v>11</v>
      </c>
      <c r="D15">
        <v>5012</v>
      </c>
      <c r="E15" s="3" t="s">
        <v>62</v>
      </c>
      <c r="F15" s="3"/>
      <c r="H15" t="s">
        <v>46</v>
      </c>
      <c r="I15" t="s">
        <v>47</v>
      </c>
      <c r="J15" t="s">
        <v>97</v>
      </c>
      <c r="K15" t="s">
        <v>54</v>
      </c>
      <c r="L15" t="s">
        <v>103</v>
      </c>
      <c r="M15" t="s">
        <v>55</v>
      </c>
      <c r="N15" t="s">
        <v>109</v>
      </c>
      <c r="O15" t="s">
        <v>56</v>
      </c>
      <c r="P15" t="s">
        <v>115</v>
      </c>
      <c r="Q15" t="s">
        <v>57</v>
      </c>
      <c r="R15" t="s">
        <v>121</v>
      </c>
      <c r="S15" t="s">
        <v>143</v>
      </c>
      <c r="T15" t="s">
        <v>132</v>
      </c>
      <c r="U15">
        <v>14</v>
      </c>
      <c r="V15" t="s">
        <v>138</v>
      </c>
      <c r="W15">
        <v>14</v>
      </c>
      <c r="X15" t="s">
        <v>144</v>
      </c>
      <c r="Y15">
        <v>14</v>
      </c>
      <c r="Z15" t="s">
        <v>145</v>
      </c>
      <c r="AB15" t="s">
        <v>27</v>
      </c>
      <c r="AC15">
        <v>1</v>
      </c>
      <c r="AD15">
        <v>10</v>
      </c>
      <c r="AE15" t="s">
        <v>28</v>
      </c>
      <c r="AF15">
        <v>0</v>
      </c>
      <c r="AG15">
        <v>60</v>
      </c>
      <c r="AH15" t="s">
        <v>29</v>
      </c>
      <c r="AI15">
        <v>1</v>
      </c>
      <c r="AJ15">
        <v>30</v>
      </c>
      <c r="AK15" s="3" t="s">
        <v>146</v>
      </c>
      <c r="AL15" t="s">
        <v>147</v>
      </c>
      <c r="AM15" s="3" t="s">
        <v>65</v>
      </c>
      <c r="AN15" t="s">
        <v>66</v>
      </c>
      <c r="AQ15" t="s">
        <v>71</v>
      </c>
      <c r="AR15" t="s">
        <v>67</v>
      </c>
    </row>
    <row r="16" spans="1:44" x14ac:dyDescent="0.3">
      <c r="A16" t="s">
        <v>148</v>
      </c>
      <c r="B16" t="s">
        <v>10</v>
      </c>
      <c r="C16" t="s">
        <v>11</v>
      </c>
      <c r="D16">
        <v>5013</v>
      </c>
      <c r="E16" s="3" t="s">
        <v>62</v>
      </c>
      <c r="F16" s="3"/>
      <c r="H16" t="s">
        <v>46</v>
      </c>
      <c r="I16" t="s">
        <v>47</v>
      </c>
      <c r="J16" t="s">
        <v>103</v>
      </c>
      <c r="K16" t="s">
        <v>54</v>
      </c>
      <c r="L16" t="s">
        <v>109</v>
      </c>
      <c r="M16" t="s">
        <v>55</v>
      </c>
      <c r="N16" t="s">
        <v>115</v>
      </c>
      <c r="O16" t="s">
        <v>56</v>
      </c>
      <c r="P16" t="s">
        <v>121</v>
      </c>
      <c r="Q16" t="s">
        <v>57</v>
      </c>
      <c r="R16" t="s">
        <v>127</v>
      </c>
      <c r="S16" t="s">
        <v>149</v>
      </c>
      <c r="T16" t="s">
        <v>138</v>
      </c>
      <c r="U16">
        <v>15</v>
      </c>
      <c r="V16" t="s">
        <v>144</v>
      </c>
      <c r="W16">
        <v>15</v>
      </c>
      <c r="X16" t="s">
        <v>150</v>
      </c>
      <c r="Y16">
        <v>15</v>
      </c>
      <c r="Z16" t="s">
        <v>151</v>
      </c>
      <c r="AB16" t="s">
        <v>27</v>
      </c>
      <c r="AC16">
        <v>1</v>
      </c>
      <c r="AD16">
        <v>10</v>
      </c>
      <c r="AE16" t="s">
        <v>28</v>
      </c>
      <c r="AF16">
        <v>0</v>
      </c>
      <c r="AG16">
        <v>60</v>
      </c>
      <c r="AH16" t="s">
        <v>29</v>
      </c>
      <c r="AI16">
        <v>1</v>
      </c>
      <c r="AJ16">
        <v>30</v>
      </c>
      <c r="AK16" s="3" t="s">
        <v>152</v>
      </c>
      <c r="AL16" t="s">
        <v>153</v>
      </c>
      <c r="AM16" s="3" t="s">
        <v>65</v>
      </c>
      <c r="AN16" t="s">
        <v>66</v>
      </c>
      <c r="AQ16" t="s">
        <v>71</v>
      </c>
      <c r="AR16" t="s">
        <v>67</v>
      </c>
    </row>
    <row r="17" spans="1:44" x14ac:dyDescent="0.3">
      <c r="A17" t="s">
        <v>154</v>
      </c>
      <c r="B17" t="s">
        <v>10</v>
      </c>
      <c r="C17" t="s">
        <v>11</v>
      </c>
      <c r="D17">
        <v>5014</v>
      </c>
      <c r="E17" s="3" t="s">
        <v>62</v>
      </c>
      <c r="F17" s="3"/>
      <c r="H17" t="s">
        <v>46</v>
      </c>
      <c r="I17" t="s">
        <v>47</v>
      </c>
      <c r="J17" t="s">
        <v>109</v>
      </c>
      <c r="K17" t="s">
        <v>54</v>
      </c>
      <c r="L17" t="s">
        <v>115</v>
      </c>
      <c r="M17" t="s">
        <v>55</v>
      </c>
      <c r="N17" t="s">
        <v>121</v>
      </c>
      <c r="O17" t="s">
        <v>56</v>
      </c>
      <c r="P17" t="s">
        <v>127</v>
      </c>
      <c r="Q17" t="s">
        <v>57</v>
      </c>
      <c r="R17" t="s">
        <v>133</v>
      </c>
      <c r="S17" t="s">
        <v>155</v>
      </c>
      <c r="T17" t="s">
        <v>144</v>
      </c>
      <c r="U17">
        <v>16</v>
      </c>
      <c r="V17" t="s">
        <v>150</v>
      </c>
      <c r="W17">
        <v>16</v>
      </c>
      <c r="X17" t="s">
        <v>156</v>
      </c>
      <c r="Y17">
        <v>16</v>
      </c>
      <c r="Z17" t="s">
        <v>157</v>
      </c>
      <c r="AB17" t="s">
        <v>27</v>
      </c>
      <c r="AC17">
        <v>1</v>
      </c>
      <c r="AD17">
        <v>10</v>
      </c>
      <c r="AE17" t="s">
        <v>28</v>
      </c>
      <c r="AF17">
        <v>0</v>
      </c>
      <c r="AG17">
        <v>60</v>
      </c>
      <c r="AH17" t="s">
        <v>29</v>
      </c>
      <c r="AI17">
        <v>1</v>
      </c>
      <c r="AJ17">
        <v>30</v>
      </c>
      <c r="AK17" s="3" t="s">
        <v>158</v>
      </c>
      <c r="AL17" t="s">
        <v>159</v>
      </c>
      <c r="AM17" s="3" t="s">
        <v>65</v>
      </c>
      <c r="AN17" t="s">
        <v>66</v>
      </c>
      <c r="AQ17" t="s">
        <v>71</v>
      </c>
      <c r="AR17" t="s">
        <v>67</v>
      </c>
    </row>
    <row r="18" spans="1:44" x14ac:dyDescent="0.3">
      <c r="A18" t="s">
        <v>160</v>
      </c>
      <c r="B18" t="s">
        <v>10</v>
      </c>
      <c r="C18" t="s">
        <v>11</v>
      </c>
      <c r="D18">
        <v>5015</v>
      </c>
      <c r="E18" s="3" t="s">
        <v>62</v>
      </c>
      <c r="F18" s="3"/>
      <c r="H18" t="s">
        <v>46</v>
      </c>
      <c r="I18" t="s">
        <v>47</v>
      </c>
      <c r="J18" t="s">
        <v>115</v>
      </c>
      <c r="K18" t="s">
        <v>54</v>
      </c>
      <c r="L18" t="s">
        <v>121</v>
      </c>
      <c r="M18" t="s">
        <v>55</v>
      </c>
      <c r="N18" t="s">
        <v>127</v>
      </c>
      <c r="O18" t="s">
        <v>56</v>
      </c>
      <c r="P18" t="s">
        <v>133</v>
      </c>
      <c r="Q18" t="s">
        <v>57</v>
      </c>
      <c r="R18" t="s">
        <v>139</v>
      </c>
      <c r="S18" t="s">
        <v>161</v>
      </c>
      <c r="T18" t="s">
        <v>150</v>
      </c>
      <c r="U18">
        <v>17</v>
      </c>
      <c r="V18" t="s">
        <v>156</v>
      </c>
      <c r="W18">
        <v>17</v>
      </c>
      <c r="X18" t="s">
        <v>162</v>
      </c>
      <c r="Y18">
        <v>17</v>
      </c>
      <c r="Z18" t="s">
        <v>163</v>
      </c>
      <c r="AB18" t="s">
        <v>27</v>
      </c>
      <c r="AC18">
        <v>1</v>
      </c>
      <c r="AD18">
        <v>10</v>
      </c>
      <c r="AE18" t="s">
        <v>28</v>
      </c>
      <c r="AF18">
        <v>0</v>
      </c>
      <c r="AG18">
        <v>60</v>
      </c>
      <c r="AH18" t="s">
        <v>29</v>
      </c>
      <c r="AI18">
        <v>1</v>
      </c>
      <c r="AJ18">
        <v>30</v>
      </c>
      <c r="AK18" s="3" t="s">
        <v>164</v>
      </c>
      <c r="AL18" t="s">
        <v>165</v>
      </c>
      <c r="AM18" s="3" t="s">
        <v>65</v>
      </c>
      <c r="AN18" t="s">
        <v>66</v>
      </c>
      <c r="AQ18" t="s">
        <v>71</v>
      </c>
      <c r="AR18" t="s">
        <v>67</v>
      </c>
    </row>
  </sheetData>
  <mergeCells count="5">
    <mergeCell ref="AB1:AJ1"/>
    <mergeCell ref="AK1:AP1"/>
    <mergeCell ref="AQ1:AR1"/>
    <mergeCell ref="H1:S1"/>
    <mergeCell ref="A1:G1"/>
  </mergeCells>
  <phoneticPr fontId="1" type="noConversion"/>
  <hyperlinks>
    <hyperlink ref="E3" r:id="rId1" xr:uid="{25D94883-4968-4101-B9BB-9E87D46F68AD}"/>
    <hyperlink ref="AK3" r:id="rId2" xr:uid="{61D69628-F08F-44B4-B660-450F37E36077}"/>
    <hyperlink ref="AM3" r:id="rId3" xr:uid="{45C8C935-3BB0-4CD1-9BBA-209868D2548A}"/>
    <hyperlink ref="E4" r:id="rId4" xr:uid="{9B833F42-897B-4D5D-A3D6-F532A2DF7F59}"/>
    <hyperlink ref="E5" r:id="rId5" xr:uid="{E716F13F-15A7-47C9-B63C-2551BCABF42C}"/>
    <hyperlink ref="E6" r:id="rId6" xr:uid="{A54C8233-91CF-4631-ADC1-9467F9E2DFA2}"/>
    <hyperlink ref="E7" r:id="rId7" xr:uid="{AA28890C-7985-43A2-8A40-2A1FD8386651}"/>
    <hyperlink ref="E8" r:id="rId8" xr:uid="{B3D85C6E-D1C1-483E-8B69-50280058D779}"/>
    <hyperlink ref="E9" r:id="rId9" xr:uid="{6CDE1789-D25C-425D-876F-5F6CF04AD919}"/>
    <hyperlink ref="E10" r:id="rId10" xr:uid="{3CF96353-4BB0-44BA-9361-2D1554F82C55}"/>
    <hyperlink ref="E11" r:id="rId11" xr:uid="{987D7B7E-E614-420B-90C5-A021D395095A}"/>
    <hyperlink ref="E12" r:id="rId12" xr:uid="{9BE77E46-22CD-466F-AAFE-853B5D58A724}"/>
    <hyperlink ref="E13" r:id="rId13" xr:uid="{1B742DD4-ACBE-4C9C-B804-748179A8079B}"/>
    <hyperlink ref="E14" r:id="rId14" xr:uid="{ACE918C0-A532-4492-80C5-17F6D8565D89}"/>
    <hyperlink ref="E15" r:id="rId15" xr:uid="{E9BAE840-E6AC-4BAF-9F13-30993751D8EB}"/>
    <hyperlink ref="E16" r:id="rId16" xr:uid="{03770D55-8856-46F7-968A-F35A3D7194CD}"/>
    <hyperlink ref="E17" r:id="rId17" xr:uid="{D08D577D-D7C6-49CF-92B9-7E7D2BAA06CD}"/>
    <hyperlink ref="E18" r:id="rId18" xr:uid="{12A9BD57-8155-4839-A176-4DB3A3680489}"/>
    <hyperlink ref="AK4" r:id="rId19" display="https://bafybeihvjr73zcwvfbsqzy5odznulrtgntk5fe33b6mhj4d73batj67cxq.ipfs.nftstorage.link?ext=mp4" xr:uid="{AF5EE585-CF9F-4380-B5D2-8E267680E3CB}"/>
    <hyperlink ref="AK5" r:id="rId20" display="https://bafybeihvjr73zcwvfbsqzy5odznulrtgntk5fe33b6mhj4d73batj67cxq.ipfs.nftstorage.link?ext=mp4" xr:uid="{1F0709F9-75BF-4056-85A2-FA87AF7F9DDA}"/>
    <hyperlink ref="AK6" r:id="rId21" display="https://bafybeihvjr73zcwvfbsqzy5odznulrtgntk5fe33b6mhj4d73batj67cxq.ipfs.nftstorage.link?ext=mp4" xr:uid="{46F9D453-D03E-4D84-82DE-BE48EF5CE70B}"/>
    <hyperlink ref="AK7" r:id="rId22" display="https://bafybeihvjr73zcwvfbsqzy5odznulrtgntk5fe33b6mhj4d73batj67cxq.ipfs.nftstorage.link?ext=mp4" xr:uid="{8A2E8172-49AA-4624-89D2-2022F9510892}"/>
    <hyperlink ref="AK8" r:id="rId23" display="https://bafybeihvjr73zcwvfbsqzy5odznulrtgntk5fe33b6mhj4d73batj67cxq.ipfs.nftstorage.link?ext=mp4" xr:uid="{0251123E-D92E-4296-8E67-5A5384B799B4}"/>
    <hyperlink ref="AK9" r:id="rId24" display="https://bafybeihvjr73zcwvfbsqzy5odznulrtgntk5fe33b6mhj4d73batj67cxq.ipfs.nftstorage.link?ext=mp4" xr:uid="{CF590884-6FF7-4CA2-A96D-9F87D1C63927}"/>
    <hyperlink ref="AK10" r:id="rId25" display="https://bafybeihvjr73zcwvfbsqzy5odznulrtgntk5fe33b6mhj4d73batj67cxq.ipfs.nftstorage.link?ext=mp4" xr:uid="{FA6B5C6B-BD7E-4316-A58A-A2DE1B12999A}"/>
    <hyperlink ref="AK11" r:id="rId26" display="https://bafybeihvjr73zcwvfbsqzy5odznulrtgntk5fe33b6mhj4d73batj67cxq.ipfs.nftstorage.link?ext=mp4" xr:uid="{1C1B0193-96C5-46EE-AE79-C48A2F0DEDC0}"/>
    <hyperlink ref="AK12" r:id="rId27" display="https://bafybeihvjr73zcwvfbsqzy5odznulrtgntk5fe33b6mhj4d73batj67cxq.ipfs.nftstorage.link?ext=mp4" xr:uid="{AD34EC58-4A56-42A5-8DA4-8D4D0B01B8B4}"/>
    <hyperlink ref="AK13" r:id="rId28" display="https://bafybeihvjr73zcwvfbsqzy5odznulrtgntk5fe33b6mhj4d73batj67cxq.ipfs.nftstorage.link?ext=mp4" xr:uid="{4E3F64D8-5A8D-4F33-B90D-D5FDB899D911}"/>
    <hyperlink ref="AK14" r:id="rId29" display="https://bafybeihvjr73zcwvfbsqzy5odznulrtgntk5fe33b6mhj4d73batj67cxq.ipfs.nftstorage.link?ext=mp4" xr:uid="{92698CB7-0EAA-4C85-8C54-504D9AE30436}"/>
    <hyperlink ref="AK15" r:id="rId30" display="https://bafybeihvjr73zcwvfbsqzy5odznulrtgntk5fe33b6mhj4d73batj67cxq.ipfs.nftstorage.link?ext=mp4" xr:uid="{A72FCA4B-C46C-43A7-82D5-080348593F4B}"/>
    <hyperlink ref="AK16" r:id="rId31" display="https://bafybeihvjr73zcwvfbsqzy5odznulrtgntk5fe33b6mhj4d73batj67cxq.ipfs.nftstorage.link?ext=mp4" xr:uid="{8BE1C460-29BF-4413-8465-3479921646A2}"/>
    <hyperlink ref="AK17" r:id="rId32" display="https://bafybeihvjr73zcwvfbsqzy5odznulrtgntk5fe33b6mhj4d73batj67cxq.ipfs.nftstorage.link?ext=mp4" xr:uid="{85943CDD-F2BF-4492-BDE5-49D9F15DBC99}"/>
    <hyperlink ref="AK18" r:id="rId33" display="https://bafybeihvjr73zcwvfbsqzy5odznulrtgntk5fe33b6mhj4d73batj67cxq.ipfs.nftstorage.link?ext=mp4" xr:uid="{080D35CE-60E1-48F5-9BB2-713BCA04E449}"/>
    <hyperlink ref="AM4" r:id="rId34" xr:uid="{E2C08DE2-EB96-4D0F-8103-42BE70A05116}"/>
    <hyperlink ref="AM5" r:id="rId35" xr:uid="{F8BF0970-0318-43CE-BDF3-5D13B96C54A6}"/>
    <hyperlink ref="AM6" r:id="rId36" xr:uid="{4B331419-6A1E-439B-B925-D9B3A82F194D}"/>
    <hyperlink ref="AM7" r:id="rId37" xr:uid="{77B37C75-3FBE-4667-92F7-0FA0964E78F1}"/>
    <hyperlink ref="AM8" r:id="rId38" xr:uid="{40CD308F-E004-4BC9-85EC-03FD4742937E}"/>
    <hyperlink ref="AM9" r:id="rId39" xr:uid="{3086E477-6EB6-4D99-9156-146A9EBE26B1}"/>
    <hyperlink ref="AM10" r:id="rId40" xr:uid="{4A600603-F355-4F84-B8D6-E8021D30598C}"/>
    <hyperlink ref="AM11" r:id="rId41" xr:uid="{3A5167B1-88F5-4C41-912C-3547D699ED1D}"/>
    <hyperlink ref="AM12" r:id="rId42" xr:uid="{1ABB3712-8FE5-4F59-A0ED-EBEA6FFFB3F6}"/>
    <hyperlink ref="AM13" r:id="rId43" xr:uid="{8BA5B9EB-8343-4DA6-B8B2-AEDF090905EC}"/>
    <hyperlink ref="AM14" r:id="rId44" xr:uid="{1835A859-E735-4205-A5B1-06A2565F802C}"/>
    <hyperlink ref="AM15" r:id="rId45" xr:uid="{7A5FC37F-63DB-4766-B0E9-E10C22A337F9}"/>
    <hyperlink ref="AM16" r:id="rId46" xr:uid="{88AF4477-BD6F-48B2-9BDF-0356E4B90E4F}"/>
    <hyperlink ref="AM17" r:id="rId47" xr:uid="{6BE45BFF-CDE5-423D-9508-1260C639CF49}"/>
    <hyperlink ref="AM18" r:id="rId48" xr:uid="{2BA35A8D-AE35-4E77-A2D2-11EB4927377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3:V74"/>
  <sheetViews>
    <sheetView tabSelected="1" topLeftCell="C1" zoomScale="115" zoomScaleNormal="115" workbookViewId="0">
      <selection activeCell="D6" sqref="D6"/>
    </sheetView>
  </sheetViews>
  <sheetFormatPr baseColWidth="10" defaultRowHeight="14.25" customHeight="1" x14ac:dyDescent="0.3"/>
  <cols>
    <col min="5" max="5" width="29" style="1" customWidth="1"/>
    <col min="6" max="6" width="22.33203125" style="20" customWidth="1"/>
    <col min="7" max="7" width="36.109375" style="16" customWidth="1"/>
    <col min="8" max="8" width="9.44140625" style="16" customWidth="1"/>
    <col min="9" max="9" width="16.6640625" style="16" customWidth="1"/>
    <col min="10" max="10" width="15.5546875" style="16" customWidth="1"/>
    <col min="11" max="11" width="18.5546875" customWidth="1"/>
    <col min="12" max="12" width="130.33203125" customWidth="1"/>
    <col min="13" max="13" width="68.109375" customWidth="1"/>
    <col min="14" max="14" width="149.5546875" customWidth="1"/>
    <col min="15" max="15" width="135.44140625" customWidth="1"/>
    <col min="16" max="16" width="50.6640625" customWidth="1"/>
    <col min="17" max="17" width="25.33203125" customWidth="1"/>
    <col min="20" max="20" width="27.44140625" customWidth="1"/>
  </cols>
  <sheetData>
    <row r="3" spans="1:22" ht="14.25" customHeight="1" x14ac:dyDescent="0.3">
      <c r="E3" s="12" t="s">
        <v>22</v>
      </c>
      <c r="F3" s="17" t="s">
        <v>23</v>
      </c>
      <c r="G3" s="17" t="s">
        <v>68</v>
      </c>
      <c r="H3" s="17" t="s">
        <v>166</v>
      </c>
      <c r="I3" s="17" t="s">
        <v>168</v>
      </c>
      <c r="J3"/>
      <c r="L3" t="s">
        <v>20</v>
      </c>
      <c r="M3" t="s">
        <v>12</v>
      </c>
      <c r="N3" t="s">
        <v>13</v>
      </c>
      <c r="O3" t="s">
        <v>14</v>
      </c>
      <c r="P3" t="s">
        <v>18</v>
      </c>
      <c r="T3" t="s">
        <v>19</v>
      </c>
    </row>
    <row r="4" spans="1:22" s="2" customFormat="1" ht="15.6" customHeight="1" x14ac:dyDescent="0.3">
      <c r="E4" s="13" t="str">
        <f>IF(Token!A3="","",Token!A3)</f>
        <v>Test1</v>
      </c>
      <c r="F4" s="18"/>
      <c r="G4" s="15" t="s">
        <v>167</v>
      </c>
      <c r="H4" s="15"/>
      <c r="I4" s="16"/>
      <c r="J4" s="15"/>
      <c r="L4" s="2" t="str">
        <f>"{" &amp; M4 &amp; "," &amp; N4 &amp; "," &amp; """properties"":{" &amp; O4 &amp; "," &amp; P4 &amp; "}," &amp; T4 &amp; "}"</f>
        <v>{"name":"Test1",_x000D_
"symbol":"symbol",_x000D_
"description":"description",_x000D_
"seller_fee_basis_points":5000,_x000D_
"image":"https://bafkreieo2qhxipegtregxjt6d6ua5izbduybk2serl357r5sjy5cedbzam.ipfs.nftstorage.link?ext=png",_x000D_
"Issuer":"",_x000D_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"share":30}],"files":[{"files":"https://bafybeihvjr73zcwvfbsqzy5odznulrtgntk5fe33b6mhj4d73batj67cxq.ipfs.nftstorage.link?ext=mp4",_x000D_
"type":"video/mp4"},{"files":"https://bafkreidyidc62awpaiemnfgiwevgnjsbgqynfthz6jyj73ui3l22ecxqga.ipfs.nftstorage.link?ext=png",_x000D_
"type":"image/png"}]},"collection":{"name":"TestCollect",_x000D_
"family":"NFluenTGallery"}}</v>
      </c>
      <c r="M4" s="2" t="str">
        <f>formatRow(Token!A$2:G$2,Token!A3:G3)</f>
        <v>"name":"Test1",_x000D_
"symbol":"symbol",_x000D_
"description":"description",_x000D_
"seller_fee_basis_points":5000,_x000D_
"image":"https://bafkreieo2qhxipegtregxjt6d6ua5izbduybk2serl357r5sjy5cedbzam.ipfs.nftstorage.link?ext=png",_x000D_
"Issuer":"",_x000D_
"external_url":""</v>
      </c>
      <c r="N4" s="2" t="str">
        <f>formatRow(Token!H$2:S$2,Token!H3:S3,2,"attributes")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</v>
      </c>
      <c r="O4" s="2" t="str">
        <f>formatRow(Token!AB$2:AJ$2,Token!AB3:AJ3,3,"creators")</f>
        <v>"creators":[{"address":"paul",_x000D_
"verified":1,_x000D_
"share":10},{"address":"sophie",_x000D_
"verified":0,_x000D_
"share":60},{"address":"roger",_x000D_
"verified":1,_x000D_
"share":30}]</v>
      </c>
      <c r="P4" s="2" t="str">
        <f>formatRow(Token!AK$2:AP$2,Token!AK3:AP3,2,"files")</f>
        <v>"files":[{"files":"https://bafybeihvjr73zcwvfbsqzy5odznulrtgntk5fe33b6mhj4d73batj67cxq.ipfs.nftstorage.link?ext=mp4",_x000D_
"type":"video/mp4"},{"files":"https://bafkreidyidc62awpaiemnfgiwevgnjsbgqynfthz6jyj73ui3l22ecxqga.ipfs.nftstorage.link?ext=png",_x000D_
"type":"image/png"}]</v>
      </c>
      <c r="T4" s="2" t="str">
        <f>formatRow(Token!AQ$2:AR$2,Token!AQ3:AR3,0,"collection")</f>
        <v>"collection":{"name":"TestCollect",_x000D_
"family":"NFluenTGallery"}</v>
      </c>
    </row>
    <row r="5" spans="1:22" ht="14.25" customHeight="1" x14ac:dyDescent="0.3">
      <c r="E5" s="13" t="str">
        <f>IF(Token!A4="","",Token!A4)</f>
        <v>Test2</v>
      </c>
      <c r="F5" s="19"/>
      <c r="L5" s="2" t="str">
        <f t="shared" ref="L5:L50" si="0">"{" &amp; M5 &amp; "," &amp; N5 &amp; "," &amp; """properties"":{" &amp; O5 &amp; "," &amp; P5 &amp; "}," &amp; T5 &amp; "}"</f>
        <v>{"name":"Test2",_x000D_
"symbol":"symbol",_x000D_
"description":"description",_x000D_
"seller_fee_basis_points":5001,_x000D_
"image":"https://bafkreieo2qhxipegtregxjt6d6ua5izbduybk2serl357r5sjy5cedbzam.ipfs.nftstorage.link?ext=png",_x000D_
"Issuer":"",_x000D_
"external_url":"","attributes":[{"trait_type":"Pass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"share":30}],"files":[{"files":"https://bafybeihvjr73zcwvfbsqzy5odznulrtgntk5fe33b6mhj4d73batj67cxq.ipfs.nftstorage.link?ext=mp5",_x000D_
"type":"video/mp5"},{"files":"https://bafkreidyidc62awpaiemnfgiwevgnjsbgqynfthz6jyj73ui3l22ecxqga.ipfs.nftstorage.link?ext=png",_x000D_
"type":"image/png"}]},"collection":{"name":"TestCollect",_x000D_
"family":"NFluenTGallery"}}</v>
      </c>
      <c r="M5" s="2" t="str">
        <f>formatRow(Token!A$2:G$2,Token!A4:G4)</f>
        <v>"name":"Test2",_x000D_
"symbol":"symbol",_x000D_
"description":"description",_x000D_
"seller_fee_basis_points":5001,_x000D_
"image":"https://bafkreieo2qhxipegtregxjt6d6ua5izbduybk2serl357r5sjy5cedbzam.ipfs.nftstorage.link?ext=png",_x000D_
"Issuer":"",_x000D_
"external_url":""</v>
      </c>
      <c r="N5" s="2" t="str">
        <f>formatRow(Token!H$2:S$2,Token!H4:S4,2,"attributes")</f>
        <v>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</v>
      </c>
      <c r="O5" s="2" t="str">
        <f>formatRow(Token!AB$2:AJ$2,Token!AB4:AJ4,3,"creators")</f>
        <v>"creators":[{"address":"paul",_x000D_
"verified":1,_x000D_
"share":10},{"address":"sophie",_x000D_
"verified":0,_x000D_
"share":60},{"address":"roger",_x000D_
"verified":1,_x000D_
"share":30}]</v>
      </c>
      <c r="P5" s="2" t="str">
        <f>formatRow(Token!AK$2:AP$2,Token!AK4:AP4,2,"files")</f>
        <v>"files":[{"files":"https://bafybeihvjr73zcwvfbsqzy5odznulrtgntk5fe33b6mhj4d73batj67cxq.ipfs.nftstorage.link?ext=mp5",_x000D_
"type":"video/mp5"},{"files":"https://bafkreidyidc62awpaiemnfgiwevgnjsbgqynfthz6jyj73ui3l22ecxqga.ipfs.nftstorage.link?ext=png",_x000D_
"type":"image/png"}]</v>
      </c>
      <c r="Q5" s="2"/>
      <c r="R5" s="2"/>
      <c r="S5" s="2"/>
      <c r="T5" s="2" t="str">
        <f>formatRow(Token!AQ$2:AR$2,Token!AQ4:AR4,0,"collection")</f>
        <v>"collection":{"name":"TestCollect",_x000D_
"family":"NFluenTGallery"}</v>
      </c>
      <c r="U5" s="2"/>
      <c r="V5" s="2"/>
    </row>
    <row r="6" spans="1:22" ht="15" customHeight="1" x14ac:dyDescent="0.3">
      <c r="A6" s="4" t="s">
        <v>34</v>
      </c>
      <c r="B6" t="s">
        <v>36</v>
      </c>
      <c r="E6" s="13" t="str">
        <f>IF(Token!A5="","",Token!A5)</f>
        <v>Test3</v>
      </c>
      <c r="F6" s="19"/>
      <c r="L6" s="2" t="str">
        <f t="shared" si="0"/>
        <v>{"name":"Test3",_x000D_
"symbol":"symbol",_x000D_
"description":"description",_x000D_
"seller_fee_basis_points":5002,_x000D_
"image":"https://bafkreieo2qhxipegtregxjt6d6ua5izbduybk2serl357r5sjy5cedbzam.ipfs.nftstorage.link?ext=png",_x000D_
"Issuer":"",_x000D_
"external_url":"","attributes":[{"trait_type":"Pass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"share":30}],"files":[{"files":"https://bafybeihvjr73zcwvfbsqzy5odznulrtgntk5fe33b6mhj4d73batj67cxq.ipfs.nftstorage.link?ext=mp6",_x000D_
"type":"video/mp6"},{"files":"https://bafkreidyidc62awpaiemnfgiwevgnjsbgqynfthz6jyj73ui3l22ecxqga.ipfs.nftstorage.link?ext=png",_x000D_
"type":"image/png"}]},"collection":{"name":"TestCollect",_x000D_
"family":"NFluenTGallery"}}</v>
      </c>
      <c r="M6" s="2" t="str">
        <f>formatRow(Token!A$2:G$2,Token!A5:G5)</f>
        <v>"name":"Test3",_x000D_
"symbol":"symbol",_x000D_
"description":"description",_x000D_
"seller_fee_basis_points":5002,_x000D_
"image":"https://bafkreieo2qhxipegtregxjt6d6ua5izbduybk2serl357r5sjy5cedbzam.ipfs.nftstorage.link?ext=png",_x000D_
"Issuer":"",_x000D_
"external_url":""</v>
      </c>
      <c r="N6" s="2" t="str">
        <f>formatRow(Token!H$2:S$2,Token!H5:S5,2,"attributes")</f>
        <v>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</v>
      </c>
      <c r="O6" s="2" t="str">
        <f>formatRow(Token!AB$2:AJ$2,Token!AB5:AJ5,3,"creators")</f>
        <v>"creators":[{"address":"paul",_x000D_
"verified":1,_x000D_
"share":10},{"address":"sophie",_x000D_
"verified":0,_x000D_
"share":60},{"address":"roger",_x000D_
"verified":1,_x000D_
"share":30}]</v>
      </c>
      <c r="P6" s="2" t="str">
        <f>formatRow(Token!AK$2:AP$2,Token!AK5:AP5,2,"files")</f>
        <v>"files":[{"files":"https://bafybeihvjr73zcwvfbsqzy5odznulrtgntk5fe33b6mhj4d73batj67cxq.ipfs.nftstorage.link?ext=mp6",_x000D_
"type":"video/mp6"},{"files":"https://bafkreidyidc62awpaiemnfgiwevgnjsbgqynfthz6jyj73ui3l22ecxqga.ipfs.nftstorage.link?ext=png",_x000D_
"type":"image/png"}]</v>
      </c>
      <c r="Q6" s="2"/>
      <c r="R6" s="2"/>
      <c r="S6" s="2"/>
      <c r="T6" s="2" t="str">
        <f>formatRow(Token!AQ$2:AR$2,Token!AQ5:AR5,0,"collection")</f>
        <v>"collection":{"name":"TestCollect",_x000D_
"family":"NFluenTGallery"}</v>
      </c>
      <c r="U6" s="2"/>
      <c r="V6" s="2"/>
    </row>
    <row r="7" spans="1:22" ht="14.25" customHeight="1" x14ac:dyDescent="0.3">
      <c r="A7" s="4" t="s">
        <v>43</v>
      </c>
      <c r="B7" t="s">
        <v>44</v>
      </c>
      <c r="E7" s="13" t="str">
        <f>IF(Token!A6="","",Token!A6)</f>
        <v>Test4</v>
      </c>
      <c r="F7" s="19"/>
      <c r="L7" s="2" t="str">
        <f t="shared" si="0"/>
        <v>{"name":"Test4",_x000D_
"symbol":"symbol",_x000D_
"description":"description",_x000D_
"seller_fee_basis_points":5003,_x000D_
"image":"https://bafkreieo2qhxipegtregxjt6d6ua5izbduybk2serl357r5sjy5cedbzam.ipfs.nftstorage.link?ext=png",_x000D_
"Issuer":"",_x000D_
"external_url":"","attributes":[{"trait_type":"Pass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"share":30}],"files":[{"files":"https://bafybeihvjr73zcwvfbsqzy5odznulrtgntk5fe33b6mhj4d73batj67cxq.ipfs.nftstorage.link?ext=mp7",_x000D_
"type":"video/mp7"},{"files":"https://bafkreidyidc62awpaiemnfgiwevgnjsbgqynfthz6jyj73ui3l22ecxqga.ipfs.nftstorage.link?ext=png",_x000D_
"type":"image/png"}]},"collection":{"name":"TestCollect",_x000D_
"family":"NFluenTGallery"}}</v>
      </c>
      <c r="M7" s="2" t="str">
        <f>formatRow(Token!A$2:G$2,Token!A6:G6)</f>
        <v>"name":"Test4",_x000D_
"symbol":"symbol",_x000D_
"description":"description",_x000D_
"seller_fee_basis_points":5003,_x000D_
"image":"https://bafkreieo2qhxipegtregxjt6d6ua5izbduybk2serl357r5sjy5cedbzam.ipfs.nftstorage.link?ext=png",_x000D_
"Issuer":"",_x000D_
"external_url":""</v>
      </c>
      <c r="N7" s="2" t="str">
        <f>formatRow(Token!H$2:S$2,Token!H6:S6,2,"attributes")</f>
        <v>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</v>
      </c>
      <c r="O7" s="2" t="str">
        <f>formatRow(Token!AB$2:AJ$2,Token!AB6:AJ6,3,"creators")</f>
        <v>"creators":[{"address":"paul",_x000D_
"verified":1,_x000D_
"share":10},{"address":"sophie",_x000D_
"verified":0,_x000D_
"share":60},{"address":"roger",_x000D_
"verified":1,_x000D_
"share":30}]</v>
      </c>
      <c r="P7" s="2" t="str">
        <f>formatRow(Token!AK$2:AP$2,Token!AK6:AP6,2,"files")</f>
        <v>"files":[{"files":"https://bafybeihvjr73zcwvfbsqzy5odznulrtgntk5fe33b6mhj4d73batj67cxq.ipfs.nftstorage.link?ext=mp7",_x000D_
"type":"video/mp7"},{"files":"https://bafkreidyidc62awpaiemnfgiwevgnjsbgqynfthz6jyj73ui3l22ecxqga.ipfs.nftstorage.link?ext=png",_x000D_
"type":"image/png"}]</v>
      </c>
      <c r="Q7" s="2"/>
      <c r="R7" s="2"/>
      <c r="S7" s="2"/>
      <c r="T7" s="2" t="str">
        <f>formatRow(Token!AQ$2:AR$2,Token!AQ6:AR6,0,"collection")</f>
        <v>"collection":{"name":"TestCollect",_x000D_
"family":"NFluenTGallery"}</v>
      </c>
      <c r="U7" s="2"/>
      <c r="V7" s="2"/>
    </row>
    <row r="8" spans="1:22" ht="14.25" customHeight="1" x14ac:dyDescent="0.3">
      <c r="E8" s="13" t="str">
        <f>IF(Token!A7="","",Token!A7)</f>
        <v>Test5</v>
      </c>
      <c r="F8" s="19"/>
      <c r="L8" s="2" t="str">
        <f t="shared" si="0"/>
        <v>{"name":"Test5",_x000D_
"symbol":"symbol",_x000D_
"description":"description",_x000D_
"seller_fee_basis_points":5004,_x000D_
"image":"https://bafkreieo2qhxipegtregxjt6d6ua5izbduybk2serl357r5sjy5cedbzam.ipfs.nftstorage.link?ext=png",_x000D_
"Issuer":"",_x000D_
"external_url":"","attributes":[{"trait_type":"Pass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"share":30}],"files":[{"files":"https://bafybeihvjr73zcwvfbsqzy5odznulrtgntk5fe33b6mhj4d73batj67cxq.ipfs.nftstorage.link?ext=mp8",_x000D_
"type":"video/mp8"},{"files":"https://bafkreidyidc62awpaiemnfgiwevgnjsbgqynfthz6jyj73ui3l22ecxqga.ipfs.nftstorage.link?ext=png",_x000D_
"type":"image/png"}]},"collection":{"name":"TestCollect",_x000D_
"family":"NFluenTGallery"}}</v>
      </c>
      <c r="M8" s="2" t="str">
        <f>formatRow(Token!A$2:G$2,Token!A7:G7)</f>
        <v>"name":"Test5",_x000D_
"symbol":"symbol",_x000D_
"description":"description",_x000D_
"seller_fee_basis_points":5004,_x000D_
"image":"https://bafkreieo2qhxipegtregxjt6d6ua5izbduybk2serl357r5sjy5cedbzam.ipfs.nftstorage.link?ext=png",_x000D_
"Issuer":"",_x000D_
"external_url":""</v>
      </c>
      <c r="N8" s="2" t="str">
        <f>formatRow(Token!H$2:S$2,Token!H7:S7,2,"attributes")</f>
        <v>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numérotée"}]</v>
      </c>
      <c r="O8" s="2" t="str">
        <f>formatRow(Token!AB$2:AJ$2,Token!AB7:AJ7,3,"creators")</f>
        <v>"creators":[{"address":"paul",_x000D_
"verified":1,_x000D_
"share":10},{"address":"sophie",_x000D_
"verified":0,_x000D_
"share":60},{"address":"roger",_x000D_
"verified":1,_x000D_
"share":30}]</v>
      </c>
      <c r="P8" s="2" t="str">
        <f>formatRow(Token!AK$2:AP$2,Token!AK7:AP7,2,"files")</f>
        <v>"files":[{"files":"https://bafybeihvjr73zcwvfbsqzy5odznulrtgntk5fe33b6mhj4d73batj67cxq.ipfs.nftstorage.link?ext=mp8",_x000D_
"type":"video/mp8"},{"files":"https://bafkreidyidc62awpaiemnfgiwevgnjsbgqynfthz6jyj73ui3l22ecxqga.ipfs.nftstorage.link?ext=png",_x000D_
"type":"image/png"}]</v>
      </c>
      <c r="Q8" s="2"/>
      <c r="R8" s="2"/>
      <c r="S8" s="2"/>
      <c r="T8" s="2" t="str">
        <f>formatRow(Token!AQ$2:AR$2,Token!AQ7:AR7,0,"collection")</f>
        <v>"collection":{"name":"TestCollect",_x000D_
"family":"NFluenTGallery"}</v>
      </c>
      <c r="U8" s="2"/>
      <c r="V8" s="2"/>
    </row>
    <row r="9" spans="1:22" ht="14.25" customHeight="1" x14ac:dyDescent="0.3">
      <c r="E9" s="13" t="str">
        <f>IF(Token!A8="","",Token!A8)</f>
        <v>Test6</v>
      </c>
      <c r="F9" s="19"/>
      <c r="L9" s="2" t="str">
        <f t="shared" si="0"/>
        <v>{"name":"Test6",_x000D_
"symbol":"symbol",_x000D_
"description":"description",_x000D_
"seller_fee_basis_points":5005,_x000D_
"image":"https://bafkreieo2qhxipegtregxjt6d6ua5izbduybk2serl357r5sjy5cedbzam.ipfs.nftstorage.link?ext=png",_x000D_
"Issuer":"",_x000D_
"external_url":"","attributes":[{"trait_type":"Pass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"share":30}],"files":[{"files":"https://bafybeihvjr73zcwvfbsqzy5odznulrtgntk5fe33b6mhj4d73batj67cxq.ipfs.nftstorage.link?ext=mp9",_x000D_
"type":"video/mp9"},{"files":"https://bafkreidyidc62awpaiemnfgiwevgnjsbgqynfthz6jyj73ui3l22ecxqga.ipfs.nftstorage.link?ext=png",_x000D_
"type":"image/png"}]},"collection":{"name":"TestCollect",_x000D_
"family":"NFluenTGallery"}}</v>
      </c>
      <c r="M9" s="2" t="str">
        <f>formatRow(Token!A$2:G$2,Token!A8:G8)</f>
        <v>"name":"Test6",_x000D_
"symbol":"symbol",_x000D_
"description":"description",_x000D_
"seller_fee_basis_points":5005,_x000D_
"image":"https://bafkreieo2qhxipegtregxjt6d6ua5izbduybk2serl357r5sjy5cedbzam.ipfs.nftstorage.link?ext=png",_x000D_
"Issuer":"",_x000D_
"external_url":""</v>
      </c>
      <c r="N9" s="2" t="str">
        <f>formatRow(Token!H$2:S$2,Token!H8:S8,2,"attributes")</f>
        <v>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numérotée"}]</v>
      </c>
      <c r="O9" s="2" t="str">
        <f>formatRow(Token!AB$2:AJ$2,Token!AB8:AJ8,3,"creators")</f>
        <v>"creators":[{"address":"paul",_x000D_
"verified":1,_x000D_
"share":10},{"address":"sophie",_x000D_
"verified":0,_x000D_
"share":60},{"address":"roger",_x000D_
"verified":1,_x000D_
"share":30}]</v>
      </c>
      <c r="P9" s="2" t="str">
        <f>formatRow(Token!AK$2:AP$2,Token!AK8:AP8,2,"files")</f>
        <v>"files":[{"files":"https://bafybeihvjr73zcwvfbsqzy5odznulrtgntk5fe33b6mhj4d73batj67cxq.ipfs.nftstorage.link?ext=mp9",_x000D_
"type":"video/mp9"},{"files":"https://bafkreidyidc62awpaiemnfgiwevgnjsbgqynfthz6jyj73ui3l22ecxqga.ipfs.nftstorage.link?ext=png",_x000D_
"type":"image/png"}]</v>
      </c>
      <c r="Q9" s="2"/>
      <c r="R9" s="2"/>
      <c r="S9" s="2"/>
      <c r="T9" s="2" t="str">
        <f>formatRow(Token!AQ$2:AR$2,Token!AQ8:AR8,0,"collection")</f>
        <v>"collection":{"name":"TestCollect",_x000D_
"family":"NFluenTGallery"}</v>
      </c>
      <c r="U9" s="2"/>
      <c r="V9" s="2"/>
    </row>
    <row r="10" spans="1:22" ht="14.25" customHeight="1" x14ac:dyDescent="0.3">
      <c r="E10" s="13" t="str">
        <f>IF(Token!A9="","",Token!A9)</f>
        <v>Test7</v>
      </c>
      <c r="F10" s="19"/>
      <c r="L10" s="2" t="str">
        <f t="shared" si="0"/>
        <v>{"name":"Test7",_x000D_
"symbol":"symbol",_x000D_
"description":"description",_x000D_
"seller_fee_basis_points":5006,_x000D_
"image":"https://bafkreieo2qhxipegtregxjt6d6ua5izbduybk2serl357r5sjy5cedbzam.ipfs.nftstorage.link?ext=png",_x000D_
"Issuer":"",_x000D_
"external_url":"","attributes":[{"trait_type":"Pass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"share":30}],"files":[{"files":"https://bafybeihvjr73zcwvfbsqzy5odznulrtgntk5fe33b6mhj4d73batj67cxq.ipfs.nftstorage.link?ext=mp10",_x000D_
"type":"video/mp10"},{"files":"https://bafkreidyidc62awpaiemnfgiwevgnjsbgqynfthz6jyj73ui3l22ecxqga.ipfs.nftstorage.link?ext=png",_x000D_
"type":"image/png"}]},"collection":{"name":"TestCollect",_x000D_
"family":"NFluenTGallery"}}</v>
      </c>
      <c r="M10" s="2" t="str">
        <f>formatRow(Token!A$2:G$2,Token!A9:G9)</f>
        <v>"name":"Test7",_x000D_
"symbol":"symbol",_x000D_
"description":"description",_x000D_
"seller_fee_basis_points":5006,_x000D_
"image":"https://bafkreieo2qhxipegtregxjt6d6ua5izbduybk2serl357r5sjy5cedbzam.ipfs.nftstorage.link?ext=png",_x000D_
"Issuer":"",_x000D_
"external_url":""</v>
      </c>
      <c r="N10" s="2" t="str">
        <f>formatRow(Token!H$2:S$2,Token!H9:S9,2,"attributes")</f>
        <v>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numérotée"}]</v>
      </c>
      <c r="O10" s="2" t="str">
        <f>formatRow(Token!AB$2:AJ$2,Token!AB9:AJ9,3,"creators")</f>
        <v>"creators":[{"address":"paul",_x000D_
"verified":1,_x000D_
"share":10},{"address":"sophie",_x000D_
"verified":0,_x000D_
"share":60},{"address":"roger",_x000D_
"verified":1,_x000D_
"share":30}]</v>
      </c>
      <c r="P10" s="2" t="str">
        <f>formatRow(Token!AK$2:AP$2,Token!AK9:AP9,2,"files")</f>
        <v>"files":[{"files":"https://bafybeihvjr73zcwvfbsqzy5odznulrtgntk5fe33b6mhj4d73batj67cxq.ipfs.nftstorage.link?ext=mp10",_x000D_
"type":"video/mp10"},{"files":"https://bafkreidyidc62awpaiemnfgiwevgnjsbgqynfthz6jyj73ui3l22ecxqga.ipfs.nftstorage.link?ext=png",_x000D_
"type":"image/png"}]</v>
      </c>
      <c r="Q10" s="2"/>
      <c r="R10" s="2"/>
      <c r="S10" s="2"/>
      <c r="T10" s="2" t="str">
        <f>formatRow(Token!AQ$2:AR$2,Token!AQ9:AR9,0,"collection")</f>
        <v>"collection":{"name":"TestCollect",_x000D_
"family":"NFluenTGallery"}</v>
      </c>
      <c r="U10" s="2"/>
      <c r="V10" s="2"/>
    </row>
    <row r="11" spans="1:22" ht="14.25" customHeight="1" x14ac:dyDescent="0.3">
      <c r="E11" s="13" t="str">
        <f>IF(Token!A10="","",Token!A10)</f>
        <v>Test8</v>
      </c>
      <c r="F11" s="19"/>
      <c r="L11" s="2" t="str">
        <f t="shared" si="0"/>
        <v>{"name":"Test8",_x000D_
"symbol":"symbol",_x000D_
"description":"description",_x000D_
"seller_fee_basis_points":5007,_x000D_
"image":"https://bafkreieo2qhxipegtregxjt6d6ua5izbduybk2serl357r5sjy5cedbzam.ipfs.nftstorage.link?ext=png",_x000D_
"Issuer":"",_x000D_
"external_url":"","attributes":[{"trait_type":"Pass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"share":30}],"files":[{"files":"https://bafybeihvjr73zcwvfbsqzy5odznulrtgntk5fe33b6mhj4d73batj67cxq.ipfs.nftstorage.link?ext=mp11",_x000D_
"type":"video/mp11"},{"files":"https://bafkreidyidc62awpaiemnfgiwevgnjsbgqynfthz6jyj73ui3l22ecxqga.ipfs.nftstorage.link?ext=png",_x000D_
"type":"image/png"}]},"collection":{"name":"TestCollect",_x000D_
"family":"NFluenTGallery"}}</v>
      </c>
      <c r="M11" s="2" t="str">
        <f>formatRow(Token!A$2:G$2,Token!A10:G10)</f>
        <v>"name":"Test8",_x000D_
"symbol":"symbol",_x000D_
"description":"description",_x000D_
"seller_fee_basis_points":5007,_x000D_
"image":"https://bafkreieo2qhxipegtregxjt6d6ua5izbduybk2serl357r5sjy5cedbzam.ipfs.nftstorage.link?ext=png",_x000D_
"Issuer":"",_x000D_
"external_url":""</v>
      </c>
      <c r="N11" s="2" t="str">
        <f>formatRow(Token!H$2:S$2,Token!H10:S10,2,"attributes")</f>
        <v>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numérotée"}]</v>
      </c>
      <c r="O11" s="2" t="str">
        <f>formatRow(Token!AB$2:AJ$2,Token!AB10:AJ10,3,"creators")</f>
        <v>"creators":[{"address":"paul",_x000D_
"verified":1,_x000D_
"share":10},{"address":"sophie",_x000D_
"verified":0,_x000D_
"share":60},{"address":"roger",_x000D_
"verified":1,_x000D_
"share":30}]</v>
      </c>
      <c r="P11" s="2" t="str">
        <f>formatRow(Token!AK$2:AP$2,Token!AK10:AP10,2,"files")</f>
        <v>"files":[{"files":"https://bafybeihvjr73zcwvfbsqzy5odznulrtgntk5fe33b6mhj4d73batj67cxq.ipfs.nftstorage.link?ext=mp11",_x000D_
"type":"video/mp11"},{"files":"https://bafkreidyidc62awpaiemnfgiwevgnjsbgqynfthz6jyj73ui3l22ecxqga.ipfs.nftstorage.link?ext=png",_x000D_
"type":"image/png"}]</v>
      </c>
      <c r="Q11" s="2"/>
      <c r="R11" s="2"/>
      <c r="S11" s="2"/>
      <c r="T11" s="2" t="str">
        <f>formatRow(Token!AQ$2:AR$2,Token!AQ10:AR10,0,"collection")</f>
        <v>"collection":{"name":"TestCollect",_x000D_
"family":"NFluenTGallery"}</v>
      </c>
      <c r="U11" s="2"/>
      <c r="V11" s="2"/>
    </row>
    <row r="12" spans="1:22" ht="14.25" customHeight="1" x14ac:dyDescent="0.3">
      <c r="E12" s="13" t="str">
        <f>IF(Token!A11="","",Token!A11)</f>
        <v>Test9</v>
      </c>
      <c r="L12" s="2" t="str">
        <f t="shared" si="0"/>
        <v>{"name":"Test9",_x000D_
"symbol":"symbol",_x000D_
"description":"description",_x000D_
"seller_fee_basis_points":5008,_x000D_
"image":"https://bafkreieo2qhxipegtregxjt6d6ua5izbduybk2serl357r5sjy5cedbzam.ipfs.nftstorage.link?ext=png",_x000D_
"Issuer":"",_x000D_
"external_url":"","attributes":[{"trait_type":"Pass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"share":30}],"files":[{"files":"https://bafybeihvjr73zcwvfbsqzy5odznulrtgntk5fe33b6mhj4d73batj67cxq.ipfs.nftstorage.link?ext=mp12",_x000D_
"type":"video/mp12"},{"files":"https://bafkreidyidc62awpaiemnfgiwevgnjsbgqynfthz6jyj73ui3l22ecxqga.ipfs.nftstorage.link?ext=png",_x000D_
"type":"image/png"}]},"collection":{"name":"TestCollect",_x000D_
"family":"NFluenTGallery"}}</v>
      </c>
      <c r="M12" s="2" t="str">
        <f>formatRow(Token!A$2:G$2,Token!A11:G11)</f>
        <v>"name":"Test9",_x000D_
"symbol":"symbol",_x000D_
"description":"description",_x000D_
"seller_fee_basis_points":5008,_x000D_
"image":"https://bafkreieo2qhxipegtregxjt6d6ua5izbduybk2serl357r5sjy5cedbzam.ipfs.nftstorage.link?ext=png",_x000D_
"Issuer":"",_x000D_
"external_url":""</v>
      </c>
      <c r="N12" s="2" t="str">
        <f>formatRow(Token!H$2:S$2,Token!H11:S11,2,"attributes")</f>
        <v>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numérotée"}]</v>
      </c>
      <c r="O12" s="2" t="str">
        <f>formatRow(Token!AB$2:AJ$2,Token!AB11:AJ11,3,"creators")</f>
        <v>"creators":[{"address":"paul",_x000D_
"verified":1,_x000D_
"share":10},{"address":"sophie",_x000D_
"verified":0,_x000D_
"share":60},{"address":"roger",_x000D_
"verified":1,_x000D_
"share":30}]</v>
      </c>
      <c r="P12" s="2" t="str">
        <f>formatRow(Token!AK$2:AP$2,Token!AK11:AP11,2,"files")</f>
        <v>"files":[{"files":"https://bafybeihvjr73zcwvfbsqzy5odznulrtgntk5fe33b6mhj4d73batj67cxq.ipfs.nftstorage.link?ext=mp12",_x000D_
"type":"video/mp12"},{"files":"https://bafkreidyidc62awpaiemnfgiwevgnjsbgqynfthz6jyj73ui3l22ecxqga.ipfs.nftstorage.link?ext=png",_x000D_
"type":"image/png"}]</v>
      </c>
      <c r="Q12" s="2"/>
      <c r="R12" s="2"/>
      <c r="S12" s="2"/>
      <c r="T12" s="2" t="str">
        <f>formatRow(Token!AQ$2:AR$2,Token!AQ11:AR11,0,"collection")</f>
        <v>"collection":{"name":"TestCollect",_x000D_
"family":"NFluenTGallery"}</v>
      </c>
      <c r="U12" s="2"/>
      <c r="V12" s="2"/>
    </row>
    <row r="13" spans="1:22" ht="14.25" customHeight="1" x14ac:dyDescent="0.3">
      <c r="E13" s="13" t="str">
        <f>IF(Token!A12="","",Token!A12)</f>
        <v>Test10</v>
      </c>
      <c r="L13" s="2" t="str">
        <f t="shared" si="0"/>
        <v>{"name":"Test10",_x000D_
"symbol":"symbol",_x000D_
"description":"description",_x000D_
"seller_fee_basis_points":5009,_x000D_
"image":"https://bafkreieo2qhxipegtregxjt6d6ua5izbduybk2serl357r5sjy5cedbzam.ipfs.nftstorage.link?ext=png",_x000D_
"Issuer":"",_x000D_
"external_url":"","attributes":[{"trait_type":"Pass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"share":30}],"files":[{"files":"https://bafybeihvjr73zcwvfbsqzy5odznulrtgntk5fe33b6mhj4d73batj67cxq.ipfs.nftstorage.link?ext=mp13",_x000D_
"type":"video/mp13"},{"files":"https://bafkreidyidc62awpaiemnfgiwevgnjsbgqynfthz6jyj73ui3l22ecxqga.ipfs.nftstorage.link?ext=png",_x000D_
"type":"image/png"}]},"collection":{"name":"TestCollect",_x000D_
"family":"NFluenTGallery"}}</v>
      </c>
      <c r="M13" s="2" t="str">
        <f>formatRow(Token!A$2:G$2,Token!A12:G12)</f>
        <v>"name":"Test10",_x000D_
"symbol":"symbol",_x000D_
"description":"description",_x000D_
"seller_fee_basis_points":5009,_x000D_
"image":"https://bafkreieo2qhxipegtregxjt6d6ua5izbduybk2serl357r5sjy5cedbzam.ipfs.nftstorage.link?ext=png",_x000D_
"Issuer":"",_x000D_
"external_url":""</v>
      </c>
      <c r="N13" s="2" t="str">
        <f>formatRow(Token!H$2:S$2,Token!H12:S12,2,"attributes")</f>
        <v>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numérotée"}]</v>
      </c>
      <c r="O13" s="2" t="str">
        <f>formatRow(Token!AB$2:AJ$2,Token!AB12:AJ12,3,"creators")</f>
        <v>"creators":[{"address":"paul",_x000D_
"verified":1,_x000D_
"share":10},{"address":"sophie",_x000D_
"verified":0,_x000D_
"share":60},{"address":"roger",_x000D_
"verified":1,_x000D_
"share":30}]</v>
      </c>
      <c r="P13" s="2" t="str">
        <f>formatRow(Token!AK$2:AP$2,Token!AK12:AP12,2,"files")</f>
        <v>"files":[{"files":"https://bafybeihvjr73zcwvfbsqzy5odznulrtgntk5fe33b6mhj4d73batj67cxq.ipfs.nftstorage.link?ext=mp13",_x000D_
"type":"video/mp13"},{"files":"https://bafkreidyidc62awpaiemnfgiwevgnjsbgqynfthz6jyj73ui3l22ecxqga.ipfs.nftstorage.link?ext=png",_x000D_
"type":"image/png"}]</v>
      </c>
      <c r="Q13" s="2"/>
      <c r="R13" s="2"/>
      <c r="S13" s="2"/>
      <c r="T13" s="2" t="str">
        <f>formatRow(Token!AQ$2:AR$2,Token!AQ12:AR12,0,"collection")</f>
        <v>"collection":{"name":"TestCollect",_x000D_
"family":"NFluenTGallery"}</v>
      </c>
      <c r="U13" s="2"/>
      <c r="V13" s="2"/>
    </row>
    <row r="14" spans="1:22" ht="14.25" customHeight="1" x14ac:dyDescent="0.3">
      <c r="E14" s="13" t="str">
        <f>IF(Token!A13="","",Token!A13)</f>
        <v>Test11</v>
      </c>
      <c r="L14" s="2" t="str">
        <f t="shared" si="0"/>
        <v>{"name":"Test11",_x000D_
"symbol":"symbol",_x000D_
"description":"description",_x000D_
"seller_fee_basis_points":5010,_x000D_
"image":"https://bafkreieo2qhxipegtregxjt6d6ua5izbduybk2serl357r5sjy5cedbzam.ipfs.nftstorage.link?ext=png",_x000D_
"Issuer":"",_x000D_
"external_url":"","attributes":[{"trait_type":"Pass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"share":30}],"files":[{"files":"https://bafybeihvjr73zcwvfbsqzy5odznulrtgntk5fe33b6mhj4d73batj67cxq.ipfs.nftstorage.link?ext=mp14",_x000D_
"type":"video/mp14"},{"files":"https://bafkreidyidc62awpaiemnfgiwevgnjsbgqynfthz6jyj73ui3l22ecxqga.ipfs.nftstorage.link?ext=png",_x000D_
"type":"image/png"}]},"collection":{"name":"TestCollect",_x000D_
"family":"NFluenTGallery"}}</v>
      </c>
      <c r="M14" s="2" t="str">
        <f>formatRow(Token!A$2:G$2,Token!A13:G13)</f>
        <v>"name":"Test11",_x000D_
"symbol":"symbol",_x000D_
"description":"description",_x000D_
"seller_fee_basis_points":5010,_x000D_
"image":"https://bafkreieo2qhxipegtregxjt6d6ua5izbduybk2serl357r5sjy5cedbzam.ipfs.nftstorage.link?ext=png",_x000D_
"Issuer":"",_x000D_
"external_url":""</v>
      </c>
      <c r="N14" s="2" t="str">
        <f>formatRow(Token!H$2:S$2,Token!H13:S13,2,"attributes")</f>
        <v>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numérotée"}]</v>
      </c>
      <c r="O14" s="2" t="str">
        <f>formatRow(Token!AB$2:AJ$2,Token!AB13:AJ13,3,"creators")</f>
        <v>"creators":[{"address":"paul",_x000D_
"verified":1,_x000D_
"share":10},{"address":"sophie",_x000D_
"verified":0,_x000D_
"share":60},{"address":"roger",_x000D_
"verified":1,_x000D_
"share":30}]</v>
      </c>
      <c r="P14" s="2" t="str">
        <f>formatRow(Token!AK$2:AP$2,Token!AK13:AP13,2,"files")</f>
        <v>"files":[{"files":"https://bafybeihvjr73zcwvfbsqzy5odznulrtgntk5fe33b6mhj4d73batj67cxq.ipfs.nftstorage.link?ext=mp14",_x000D_
"type":"video/mp14"},{"files":"https://bafkreidyidc62awpaiemnfgiwevgnjsbgqynfthz6jyj73ui3l22ecxqga.ipfs.nftstorage.link?ext=png",_x000D_
"type":"image/png"}]</v>
      </c>
      <c r="Q14" s="2"/>
      <c r="R14" s="2"/>
      <c r="S14" s="2"/>
      <c r="T14" s="2" t="str">
        <f>formatRow(Token!AQ$2:AR$2,Token!AQ13:AR13,0,"collection")</f>
        <v>"collection":{"name":"TestCollect",_x000D_
"family":"NFluenTGallery"}</v>
      </c>
      <c r="U14" s="2"/>
      <c r="V14" s="2"/>
    </row>
    <row r="15" spans="1:22" ht="14.25" customHeight="1" x14ac:dyDescent="0.3">
      <c r="E15" s="13" t="str">
        <f>IF(Token!A14="","",Token!A14)</f>
        <v>Test12</v>
      </c>
      <c r="L15" s="2" t="str">
        <f t="shared" si="0"/>
        <v>{"name":"Test12",_x000D_
"symbol":"symbol",_x000D_
"description":"description",_x000D_
"seller_fee_basis_points":5011,_x000D_
"image":"https://bafkreieo2qhxipegtregxjt6d6ua5izbduybk2serl357r5sjy5cedbzam.ipfs.nftstorage.link?ext=png",_x000D_
"Issuer":"",_x000D_
"external_url":"","attributes":[{"trait_type":"Pass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"share":30}],"files":[{"files":"https://bafybeihvjr73zcwvfbsqzy5odznulrtgntk5fe33b6mhj4d73batj67cxq.ipfs.nftstorage.link?ext=mp15",_x000D_
"type":"video/mp15"},{"files":"https://bafkreidyidc62awpaiemnfgiwevgnjsbgqynfthz6jyj73ui3l22ecxqga.ipfs.nftstorage.link?ext=png",_x000D_
"type":"image/png"}]},"collection":{"name":"TestCollect",_x000D_
"family":"NFluenTGallery"}}</v>
      </c>
      <c r="M15" s="2" t="str">
        <f>formatRow(Token!A$2:G$2,Token!A14:G14)</f>
        <v>"name":"Test12",_x000D_
"symbol":"symbol",_x000D_
"description":"description",_x000D_
"seller_fee_basis_points":5011,_x000D_
"image":"https://bafkreieo2qhxipegtregxjt6d6ua5izbduybk2serl357r5sjy5cedbzam.ipfs.nftstorage.link?ext=png",_x000D_
"Issuer":"",_x000D_
"external_url":""</v>
      </c>
      <c r="N15" s="2" t="str">
        <f>formatRow(Token!H$2:S$2,Token!H14:S14,2,"attributes")</f>
        <v>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numérotée"}]</v>
      </c>
      <c r="O15" s="2" t="str">
        <f>formatRow(Token!AB$2:AJ$2,Token!AB14:AJ14,3,"creators")</f>
        <v>"creators":[{"address":"paul",_x000D_
"verified":1,_x000D_
"share":10},{"address":"sophie",_x000D_
"verified":0,_x000D_
"share":60},{"address":"roger",_x000D_
"verified":1,_x000D_
"share":30}]</v>
      </c>
      <c r="P15" s="2" t="str">
        <f>formatRow(Token!AK$2:AP$2,Token!AK14:AP14,2,"files")</f>
        <v>"files":[{"files":"https://bafybeihvjr73zcwvfbsqzy5odznulrtgntk5fe33b6mhj4d73batj67cxq.ipfs.nftstorage.link?ext=mp15",_x000D_
"type":"video/mp15"},{"files":"https://bafkreidyidc62awpaiemnfgiwevgnjsbgqynfthz6jyj73ui3l22ecxqga.ipfs.nftstorage.link?ext=png",_x000D_
"type":"image/png"}]</v>
      </c>
      <c r="Q15" s="2"/>
      <c r="R15" s="2"/>
      <c r="S15" s="2"/>
      <c r="T15" s="2" t="str">
        <f>formatRow(Token!AQ$2:AR$2,Token!AQ14:AR14,0,"collection")</f>
        <v>"collection":{"name":"TestCollect",_x000D_
"family":"NFluenTGallery"}</v>
      </c>
      <c r="U15" s="2"/>
      <c r="V15" s="2"/>
    </row>
    <row r="16" spans="1:22" ht="14.25" customHeight="1" x14ac:dyDescent="0.3">
      <c r="E16" s="13" t="str">
        <f>IF(Token!A15="","",Token!A15)</f>
        <v>Test13</v>
      </c>
      <c r="L16" s="2" t="str">
        <f t="shared" si="0"/>
        <v>{"name":"Test13",_x000D_
"symbol":"symbol",_x000D_
"description":"description",_x000D_
"seller_fee_basis_points":5012,_x000D_
"image":"https://bafkreieo2qhxipegtregxjt6d6ua5izbduybk2serl357r5sjy5cedbzam.ipfs.nftstorage.link?ext=png",_x000D_
"Issuer":"",_x000D_
"external_url":"","attributes":[{"trait_type":"Pass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"share":30}],"files":[{"files":"https://bafybeihvjr73zcwvfbsqzy5odznulrtgntk5fe33b6mhj4d73batj67cxq.ipfs.nftstorage.link?ext=mp16",_x000D_
"type":"video/mp16"},{"files":"https://bafkreidyidc62awpaiemnfgiwevgnjsbgqynfthz6jyj73ui3l22ecxqga.ipfs.nftstorage.link?ext=png",_x000D_
"type":"image/png"}]},"collection":{"name":"TestCollect",_x000D_
"family":"NFluenTGallery"}}</v>
      </c>
      <c r="M16" s="2" t="str">
        <f>formatRow(Token!A$2:G$2,Token!A15:G15)</f>
        <v>"name":"Test13",_x000D_
"symbol":"symbol",_x000D_
"description":"description",_x000D_
"seller_fee_basis_points":5012,_x000D_
"image":"https://bafkreieo2qhxipegtregxjt6d6ua5izbduybk2serl357r5sjy5cedbzam.ipfs.nftstorage.link?ext=png",_x000D_
"Issuer":"",_x000D_
"external_url":""</v>
      </c>
      <c r="N16" s="2" t="str">
        <f>formatRow(Token!H$2:S$2,Token!H15:S15,2,"attributes")</f>
        <v>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numérotée"}]</v>
      </c>
      <c r="O16" s="2" t="str">
        <f>formatRow(Token!AB$2:AJ$2,Token!AB15:AJ15,3,"creators")</f>
        <v>"creators":[{"address":"paul",_x000D_
"verified":1,_x000D_
"share":10},{"address":"sophie",_x000D_
"verified":0,_x000D_
"share":60},{"address":"roger",_x000D_
"verified":1,_x000D_
"share":30}]</v>
      </c>
      <c r="P16" s="2" t="str">
        <f>formatRow(Token!AK$2:AP$2,Token!AK15:AP15,2,"files")</f>
        <v>"files":[{"files":"https://bafybeihvjr73zcwvfbsqzy5odznulrtgntk5fe33b6mhj4d73batj67cxq.ipfs.nftstorage.link?ext=mp16",_x000D_
"type":"video/mp16"},{"files":"https://bafkreidyidc62awpaiemnfgiwevgnjsbgqynfthz6jyj73ui3l22ecxqga.ipfs.nftstorage.link?ext=png",_x000D_
"type":"image/png"}]</v>
      </c>
      <c r="Q16" s="2"/>
      <c r="R16" s="2"/>
      <c r="S16" s="2"/>
      <c r="T16" s="2" t="str">
        <f>formatRow(Token!AQ$2:AR$2,Token!AQ15:AR15,0,"collection")</f>
        <v>"collection":{"name":"TestCollect",_x000D_
"family":"NFluenTGallery"}</v>
      </c>
      <c r="U16" s="2"/>
      <c r="V16" s="2"/>
    </row>
    <row r="17" spans="5:22" ht="14.25" customHeight="1" x14ac:dyDescent="0.3">
      <c r="E17" s="13" t="str">
        <f>IF(Token!A16="","",Token!A16)</f>
        <v>Test14</v>
      </c>
      <c r="L17" s="2" t="str">
        <f t="shared" si="0"/>
        <v>{"name":"Test14",_x000D_
"symbol":"symbol",_x000D_
"description":"description",_x000D_
"seller_fee_basis_points":5013,_x000D_
"image":"https://bafkreieo2qhxipegtregxjt6d6ua5izbduybk2serl357r5sjy5cedbzam.ipfs.nftstorage.link?ext=png",_x000D_
"Issuer":"",_x000D_
"external_url":"","attributes":[{"trait_type":"Pass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"share":30}],"files":[{"files":"https://bafybeihvjr73zcwvfbsqzy5odznulrtgntk5fe33b6mhj4d73batj67cxq.ipfs.nftstorage.link?ext=mp17",_x000D_
"type":"video/mp17"},{"files":"https://bafkreidyidc62awpaiemnfgiwevgnjsbgqynfthz6jyj73ui3l22ecxqga.ipfs.nftstorage.link?ext=png",_x000D_
"type":"image/png"}]},"collection":{"name":"TestCollect",_x000D_
"family":"NFluenTGallery"}}</v>
      </c>
      <c r="M17" s="2" t="str">
        <f>formatRow(Token!A$2:G$2,Token!A16:G16)</f>
        <v>"name":"Test14",_x000D_
"symbol":"symbol",_x000D_
"description":"description",_x000D_
"seller_fee_basis_points":5013,_x000D_
"image":"https://bafkreieo2qhxipegtregxjt6d6ua5izbduybk2serl357r5sjy5cedbzam.ipfs.nftstorage.link?ext=png",_x000D_
"Issuer":"",_x000D_
"external_url":""</v>
      </c>
      <c r="N17" s="2" t="str">
        <f>formatRow(Token!H$2:S$2,Token!H16:S16,2,"attributes")</f>
        <v>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numérotée"}]</v>
      </c>
      <c r="O17" s="2" t="str">
        <f>formatRow(Token!AB$2:AJ$2,Token!AB16:AJ16,3,"creators")</f>
        <v>"creators":[{"address":"paul",_x000D_
"verified":1,_x000D_
"share":10},{"address":"sophie",_x000D_
"verified":0,_x000D_
"share":60},{"address":"roger",_x000D_
"verified":1,_x000D_
"share":30}]</v>
      </c>
      <c r="P17" s="2" t="str">
        <f>formatRow(Token!AK$2:AP$2,Token!AK16:AP16,2,"files")</f>
        <v>"files":[{"files":"https://bafybeihvjr73zcwvfbsqzy5odznulrtgntk5fe33b6mhj4d73batj67cxq.ipfs.nftstorage.link?ext=mp17",_x000D_
"type":"video/mp17"},{"files":"https://bafkreidyidc62awpaiemnfgiwevgnjsbgqynfthz6jyj73ui3l22ecxqga.ipfs.nftstorage.link?ext=png",_x000D_
"type":"image/png"}]</v>
      </c>
      <c r="Q17" s="2"/>
      <c r="R17" s="2"/>
      <c r="S17" s="2"/>
      <c r="T17" s="2" t="str">
        <f>formatRow(Token!AQ$2:AR$2,Token!AQ16:AR16,0,"collection")</f>
        <v>"collection":{"name":"TestCollect",_x000D_
"family":"NFluenTGallery"}</v>
      </c>
      <c r="U17" s="2"/>
      <c r="V17" s="2"/>
    </row>
    <row r="18" spans="5:22" ht="14.25" customHeight="1" x14ac:dyDescent="0.3">
      <c r="E18" s="13" t="str">
        <f>IF(Token!A17="","",Token!A17)</f>
        <v>Test15</v>
      </c>
      <c r="L18" s="2" t="str">
        <f t="shared" si="0"/>
        <v>{"name":"Test15",_x000D_
"symbol":"symbol",_x000D_
"description":"description",_x000D_
"seller_fee_basis_points":5014,_x000D_
"image":"https://bafkreieo2qhxipegtregxjt6d6ua5izbduybk2serl357r5sjy5cedbzam.ipfs.nftstorage.link?ext=png",_x000D_
"Issuer":"",_x000D_
"external_url":"","attributes":[{"trait_type":"Pass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"share":30}],"files":[{"files":"https://bafybeihvjr73zcwvfbsqzy5odznulrtgntk5fe33b6mhj4d73batj67cxq.ipfs.nftstorage.link?ext=mp18",_x000D_
"type":"video/mp18"},{"files":"https://bafkreidyidc62awpaiemnfgiwevgnjsbgqynfthz6jyj73ui3l22ecxqga.ipfs.nftstorage.link?ext=png",_x000D_
"type":"image/png"}]},"collection":{"name":"TestCollect",_x000D_
"family":"NFluenTGallery"}}</v>
      </c>
      <c r="M18" s="2" t="str">
        <f>formatRow(Token!A$2:G$2,Token!A17:G17)</f>
        <v>"name":"Test15",_x000D_
"symbol":"symbol",_x000D_
"description":"description",_x000D_
"seller_fee_basis_points":5014,_x000D_
"image":"https://bafkreieo2qhxipegtregxjt6d6ua5izbduybk2serl357r5sjy5cedbzam.ipfs.nftstorage.link?ext=png",_x000D_
"Issuer":"",_x000D_
"external_url":""</v>
      </c>
      <c r="N18" s="2" t="str">
        <f>formatRow(Token!H$2:S$2,Token!H17:S17,2,"attributes")</f>
        <v>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numérotée"}]</v>
      </c>
      <c r="O18" s="2" t="str">
        <f>formatRow(Token!AB$2:AJ$2,Token!AB17:AJ17,3,"creators")</f>
        <v>"creators":[{"address":"paul",_x000D_
"verified":1,_x000D_
"share":10},{"address":"sophie",_x000D_
"verified":0,_x000D_
"share":60},{"address":"roger",_x000D_
"verified":1,_x000D_
"share":30}]</v>
      </c>
      <c r="P18" s="2" t="str">
        <f>formatRow(Token!AK$2:AP$2,Token!AK17:AP17,2,"files")</f>
        <v>"files":[{"files":"https://bafybeihvjr73zcwvfbsqzy5odznulrtgntk5fe33b6mhj4d73batj67cxq.ipfs.nftstorage.link?ext=mp18",_x000D_
"type":"video/mp18"},{"files":"https://bafkreidyidc62awpaiemnfgiwevgnjsbgqynfthz6jyj73ui3l22ecxqga.ipfs.nftstorage.link?ext=png",_x000D_
"type":"image/png"}]</v>
      </c>
      <c r="Q18" s="2"/>
      <c r="R18" s="2"/>
      <c r="S18" s="2"/>
      <c r="T18" s="2" t="str">
        <f>formatRow(Token!AQ$2:AR$2,Token!AQ17:AR17,0,"collection")</f>
        <v>"collection":{"name":"TestCollect",_x000D_
"family":"NFluenTGallery"}</v>
      </c>
      <c r="U18" s="2"/>
      <c r="V18" s="2"/>
    </row>
    <row r="19" spans="5:22" ht="14.25" customHeight="1" x14ac:dyDescent="0.3">
      <c r="E19" s="13" t="str">
        <f>IF(Token!A18="","",Token!A18)</f>
        <v>Test16</v>
      </c>
      <c r="L19" s="2" t="str">
        <f t="shared" si="0"/>
        <v>{"name":"Test16",_x000D_
"symbol":"symbol",_x000D_
"description":"description",_x000D_
"seller_fee_basis_points":5015,_x000D_
"image":"https://bafkreieo2qhxipegtregxjt6d6ua5izbduybk2serl357r5sjy5cedbzam.ipfs.nftstorage.link?ext=png",_x000D_
"Issuer":"",_x000D_
"external_url":"","attributes":[{"trait_type":"Pass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"share":30}],"files":[{"files":"https://bafybeihvjr73zcwvfbsqzy5odznulrtgntk5fe33b6mhj4d73batj67cxq.ipfs.nftstorage.link?ext=mp19",_x000D_
"type":"video/mp19"},{"files":"https://bafkreidyidc62awpaiemnfgiwevgnjsbgqynfthz6jyj73ui3l22ecxqga.ipfs.nftstorage.link?ext=png",_x000D_
"type":"image/png"}]},"collection":{"name":"TestCollect",_x000D_
"family":"NFluenTGallery"}}</v>
      </c>
      <c r="M19" s="2" t="str">
        <f>formatRow(Token!A$2:G$2,Token!A18:G18)</f>
        <v>"name":"Test16",_x000D_
"symbol":"symbol",_x000D_
"description":"description",_x000D_
"seller_fee_basis_points":5015,_x000D_
"image":"https://bafkreieo2qhxipegtregxjt6d6ua5izbduybk2serl357r5sjy5cedbzam.ipfs.nftstorage.link?ext=png",_x000D_
"Issuer":"",_x000D_
"external_url":""</v>
      </c>
      <c r="N19" s="2" t="str">
        <f>formatRow(Token!H$2:S$2,Token!H18:S18,2,"attributes")</f>
        <v>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numérotée"}]</v>
      </c>
      <c r="O19" s="2" t="str">
        <f>formatRow(Token!AB$2:AJ$2,Token!AB18:AJ18,3,"creators")</f>
        <v>"creators":[{"address":"paul",_x000D_
"verified":1,_x000D_
"share":10},{"address":"sophie",_x000D_
"verified":0,_x000D_
"share":60},{"address":"roger",_x000D_
"verified":1,_x000D_
"share":30}]</v>
      </c>
      <c r="P19" s="2" t="str">
        <f>formatRow(Token!AK$2:AP$2,Token!AK18:AP18,2,"files")</f>
        <v>"files":[{"files":"https://bafybeihvjr73zcwvfbsqzy5odznulrtgntk5fe33b6mhj4d73batj67cxq.ipfs.nftstorage.link?ext=mp19",_x000D_
"type":"video/mp19"},{"files":"https://bafkreidyidc62awpaiemnfgiwevgnjsbgqynfthz6jyj73ui3l22ecxqga.ipfs.nftstorage.link?ext=png",_x000D_
"type":"image/png"}]</v>
      </c>
      <c r="Q19" s="2"/>
      <c r="R19" s="2"/>
      <c r="S19" s="2"/>
      <c r="T19" s="2" t="str">
        <f>formatRow(Token!AQ$2:AR$2,Token!AQ18:AR18,0,"collection")</f>
        <v>"collection":{"name":"TestCollect",_x000D_
"family":"NFluenTGallery"}</v>
      </c>
      <c r="U19" s="2"/>
      <c r="V19" s="2"/>
    </row>
    <row r="20" spans="5:22" ht="14.25" customHeight="1" x14ac:dyDescent="0.3">
      <c r="E20" s="13" t="str">
        <f>IF(Token!A19="","",Token!A19)</f>
        <v/>
      </c>
      <c r="L20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20" s="2" t="str">
        <f>formatRow(Token!A$2:G$2,Token!A19:G19)</f>
        <v>"name":"",_x000D_
"symbol":"",_x000D_
"description":"",_x000D_
"seller_fee_basis_points":"",_x000D_
"image":"",_x000D_
"Issuer":"",_x000D_
"external_url":""</v>
      </c>
      <c r="N20" s="2" t="str">
        <f>formatRow(Token!H$2:S$2,Token!H19:S19,2,"attributes")</f>
        <v>"attributes":[]</v>
      </c>
      <c r="O20" s="2" t="str">
        <f>formatRow(Token!AB$2:AJ$2,Token!AB19:AJ19,3,"creators")</f>
        <v>"creators":[]</v>
      </c>
      <c r="P20" s="2" t="str">
        <f>formatRow(Token!AK$2:AP$2,Token!AK19:AP19,2,"files")</f>
        <v>"files":[]</v>
      </c>
      <c r="Q20" s="2"/>
      <c r="R20" s="2"/>
      <c r="S20" s="2"/>
      <c r="T20" s="2" t="str">
        <f>formatRow(Token!AQ$2:AR$2,Token!AQ19:AR19,0,"collection")</f>
        <v>"collection":{"name":"",_x000D_
"family":""}</v>
      </c>
      <c r="U20" s="2"/>
      <c r="V20" s="2"/>
    </row>
    <row r="21" spans="5:22" ht="14.25" customHeight="1" x14ac:dyDescent="0.3">
      <c r="E21" s="13" t="str">
        <f>IF(Token!A20="","",Token!A20)</f>
        <v/>
      </c>
      <c r="L21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21" s="2" t="str">
        <f>formatRow(Token!A$2:G$2,Token!A20:G20)</f>
        <v>"name":"",_x000D_
"symbol":"",_x000D_
"description":"",_x000D_
"seller_fee_basis_points":"",_x000D_
"image":"",_x000D_
"Issuer":"",_x000D_
"external_url":""</v>
      </c>
      <c r="N21" s="2" t="str">
        <f>formatRow(Token!H$2:S$2,Token!H20:S20,2,"attributes")</f>
        <v>"attributes":[]</v>
      </c>
      <c r="O21" s="2" t="str">
        <f>formatRow(Token!AB$2:AJ$2,Token!AB20:AJ20,3,"creators")</f>
        <v>"creators":[]</v>
      </c>
      <c r="P21" s="2" t="str">
        <f>formatRow(Token!AK$2:AP$2,Token!AK20:AP20,2,"files")</f>
        <v>"files":[]</v>
      </c>
      <c r="Q21" s="2"/>
      <c r="R21" s="2"/>
      <c r="S21" s="2"/>
      <c r="T21" s="2" t="str">
        <f>formatRow(Token!AQ$2:AR$2,Token!AQ20:AR20,0,"collection")</f>
        <v>"collection":{"name":"",_x000D_
"family":""}</v>
      </c>
      <c r="U21" s="2"/>
      <c r="V21" s="2"/>
    </row>
    <row r="22" spans="5:22" ht="14.25" customHeight="1" x14ac:dyDescent="0.3">
      <c r="E22" s="13" t="str">
        <f>IF(Token!A21="","",Token!A21)</f>
        <v/>
      </c>
      <c r="L22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22" s="2" t="str">
        <f>formatRow(Token!A$2:G$2,Token!A21:G21)</f>
        <v>"name":"",_x000D_
"symbol":"",_x000D_
"description":"",_x000D_
"seller_fee_basis_points":"",_x000D_
"image":"",_x000D_
"Issuer":"",_x000D_
"external_url":""</v>
      </c>
      <c r="N22" s="2" t="str">
        <f>formatRow(Token!H$2:S$2,Token!H21:S21,2,"attributes")</f>
        <v>"attributes":[]</v>
      </c>
      <c r="O22" s="2" t="str">
        <f>formatRow(Token!AB$2:AJ$2,Token!AB21:AJ21,3,"creators")</f>
        <v>"creators":[]</v>
      </c>
      <c r="P22" s="2" t="str">
        <f>formatRow(Token!AK$2:AP$2,Token!AK21:AP21,2,"files")</f>
        <v>"files":[]</v>
      </c>
      <c r="Q22" s="2"/>
      <c r="R22" s="2"/>
      <c r="S22" s="2"/>
      <c r="T22" s="2" t="str">
        <f>formatRow(Token!AQ$2:AR$2,Token!AQ21:AR21,0,"collection")</f>
        <v>"collection":{"name":"",_x000D_
"family":""}</v>
      </c>
      <c r="U22" s="2"/>
      <c r="V22" s="2"/>
    </row>
    <row r="23" spans="5:22" ht="14.25" customHeight="1" x14ac:dyDescent="0.3">
      <c r="E23" s="13" t="str">
        <f>IF(Token!A22="","",Token!A22)</f>
        <v/>
      </c>
      <c r="L23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23" s="2" t="str">
        <f>formatRow(Token!A$2:G$2,Token!A22:G22)</f>
        <v>"name":"",_x000D_
"symbol":"",_x000D_
"description":"",_x000D_
"seller_fee_basis_points":"",_x000D_
"image":"",_x000D_
"Issuer":"",_x000D_
"external_url":""</v>
      </c>
      <c r="N23" s="2" t="str">
        <f>formatRow(Token!H$2:S$2,Token!H22:S22,2,"attributes")</f>
        <v>"attributes":[]</v>
      </c>
      <c r="O23" s="2" t="str">
        <f>formatRow(Token!AB$2:AJ$2,Token!AB22:AJ22,3,"creators")</f>
        <v>"creators":[]</v>
      </c>
      <c r="P23" s="2" t="str">
        <f>formatRow(Token!AK$2:AP$2,Token!AK22:AP22,2,"files")</f>
        <v>"files":[]</v>
      </c>
      <c r="Q23" s="2"/>
      <c r="R23" s="2"/>
      <c r="S23" s="2"/>
      <c r="T23" s="2" t="str">
        <f>formatRow(Token!AQ$2:AR$2,Token!AQ22:AR22,0,"collection")</f>
        <v>"collection":{"name":"",_x000D_
"family":""}</v>
      </c>
      <c r="U23" s="2"/>
      <c r="V23" s="2"/>
    </row>
    <row r="24" spans="5:22" ht="14.25" customHeight="1" x14ac:dyDescent="0.3">
      <c r="E24" s="13" t="str">
        <f>IF(Token!A23="","",Token!A23)</f>
        <v/>
      </c>
      <c r="L24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24" s="2" t="str">
        <f>formatRow(Token!A$2:G$2,Token!A23:G23)</f>
        <v>"name":"",_x000D_
"symbol":"",_x000D_
"description":"",_x000D_
"seller_fee_basis_points":"",_x000D_
"image":"",_x000D_
"Issuer":"",_x000D_
"external_url":""</v>
      </c>
      <c r="N24" s="2" t="str">
        <f>formatRow(Token!H$2:S$2,Token!H23:S23,2,"attributes")</f>
        <v>"attributes":[]</v>
      </c>
      <c r="O24" s="2" t="str">
        <f>formatRow(Token!AB$2:AJ$2,Token!AB23:AJ23,3,"creators")</f>
        <v>"creators":[]</v>
      </c>
      <c r="P24" s="2" t="str">
        <f>formatRow(Token!AK$2:AP$2,Token!AK23:AP23,2,"files")</f>
        <v>"files":[]</v>
      </c>
      <c r="Q24" s="2"/>
      <c r="R24" s="2"/>
      <c r="S24" s="2"/>
      <c r="T24" s="2" t="str">
        <f>formatRow(Token!AQ$2:AR$2,Token!AQ23:AR23,0,"collection")</f>
        <v>"collection":{"name":"",_x000D_
"family":""}</v>
      </c>
      <c r="U24" s="2"/>
      <c r="V24" s="2"/>
    </row>
    <row r="25" spans="5:22" ht="14.25" customHeight="1" x14ac:dyDescent="0.3">
      <c r="E25" s="13" t="str">
        <f>IF(Token!A24="","",Token!A24)</f>
        <v/>
      </c>
      <c r="L25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25" s="2" t="str">
        <f>formatRow(Token!A$2:G$2,Token!A24:G24)</f>
        <v>"name":"",_x000D_
"symbol":"",_x000D_
"description":"",_x000D_
"seller_fee_basis_points":"",_x000D_
"image":"",_x000D_
"Issuer":"",_x000D_
"external_url":""</v>
      </c>
      <c r="N25" s="2" t="str">
        <f>formatRow(Token!H$2:S$2,Token!H24:S24,2,"attributes")</f>
        <v>"attributes":[]</v>
      </c>
      <c r="O25" s="2" t="str">
        <f>formatRow(Token!AB$2:AJ$2,Token!AB24:AJ24,3,"creators")</f>
        <v>"creators":[]</v>
      </c>
      <c r="P25" s="2" t="str">
        <f>formatRow(Token!AK$2:AP$2,Token!AK24:AP24,2,"files")</f>
        <v>"files":[]</v>
      </c>
      <c r="Q25" s="2"/>
      <c r="R25" s="2"/>
      <c r="S25" s="2"/>
      <c r="T25" s="2" t="str">
        <f>formatRow(Token!AQ$2:AR$2,Token!AQ24:AR24,0,"collection")</f>
        <v>"collection":{"name":"",_x000D_
"family":""}</v>
      </c>
      <c r="U25" s="2"/>
      <c r="V25" s="2"/>
    </row>
    <row r="26" spans="5:22" ht="14.25" customHeight="1" x14ac:dyDescent="0.3">
      <c r="E26" s="13" t="str">
        <f>IF(Token!A25="","",Token!A25)</f>
        <v/>
      </c>
      <c r="L26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26" s="2" t="str">
        <f>formatRow(Token!A$2:G$2,Token!A25:G25)</f>
        <v>"name":"",_x000D_
"symbol":"",_x000D_
"description":"",_x000D_
"seller_fee_basis_points":"",_x000D_
"image":"",_x000D_
"Issuer":"",_x000D_
"external_url":""</v>
      </c>
      <c r="N26" s="2" t="str">
        <f>formatRow(Token!H$2:S$2,Token!H25:S25,2,"attributes")</f>
        <v>"attributes":[]</v>
      </c>
      <c r="O26" s="2" t="str">
        <f>formatRow(Token!AB$2:AJ$2,Token!AB25:AJ25,3,"creators")</f>
        <v>"creators":[]</v>
      </c>
      <c r="P26" s="2" t="str">
        <f>formatRow(Token!AK$2:AP$2,Token!AK25:AP25,2,"files")</f>
        <v>"files":[]</v>
      </c>
      <c r="Q26" s="2"/>
      <c r="R26" s="2"/>
      <c r="S26" s="2"/>
      <c r="T26" s="2" t="str">
        <f>formatRow(Token!AQ$2:AR$2,Token!AQ25:AR25,0,"collection")</f>
        <v>"collection":{"name":"",_x000D_
"family":""}</v>
      </c>
      <c r="U26" s="2"/>
      <c r="V26" s="2"/>
    </row>
    <row r="27" spans="5:22" ht="14.25" customHeight="1" x14ac:dyDescent="0.3">
      <c r="E27" s="13" t="str">
        <f>IF(Token!A26="","",Token!A26)</f>
        <v/>
      </c>
      <c r="L27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27" s="2" t="str">
        <f>formatRow(Token!A$2:G$2,Token!A26:G26)</f>
        <v>"name":"",_x000D_
"symbol":"",_x000D_
"description":"",_x000D_
"seller_fee_basis_points":"",_x000D_
"image":"",_x000D_
"Issuer":"",_x000D_
"external_url":""</v>
      </c>
      <c r="N27" s="2" t="str">
        <f>formatRow(Token!H$2:S$2,Token!H26:S26,2,"attributes")</f>
        <v>"attributes":[]</v>
      </c>
      <c r="O27" s="2" t="str">
        <f>formatRow(Token!AB$2:AJ$2,Token!AB26:AJ26,3,"creators")</f>
        <v>"creators":[]</v>
      </c>
      <c r="P27" s="2" t="str">
        <f>formatRow(Token!AK$2:AP$2,Token!AK26:AP26,2,"files")</f>
        <v>"files":[]</v>
      </c>
      <c r="Q27" s="2"/>
      <c r="R27" s="2"/>
      <c r="S27" s="2"/>
      <c r="T27" s="2" t="str">
        <f>formatRow(Token!AQ$2:AR$2,Token!AQ26:AR26,0,"collection")</f>
        <v>"collection":{"name":"",_x000D_
"family":""}</v>
      </c>
      <c r="U27" s="2"/>
      <c r="V27" s="2"/>
    </row>
    <row r="28" spans="5:22" ht="14.25" customHeight="1" x14ac:dyDescent="0.3">
      <c r="E28" s="13" t="str">
        <f>IF(Token!A27="","",Token!A27)</f>
        <v/>
      </c>
      <c r="L28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28" s="2" t="str">
        <f>formatRow(Token!A$2:G$2,Token!A27:G27)</f>
        <v>"name":"",_x000D_
"symbol":"",_x000D_
"description":"",_x000D_
"seller_fee_basis_points":"",_x000D_
"image":"",_x000D_
"Issuer":"",_x000D_
"external_url":""</v>
      </c>
      <c r="N28" s="2" t="str">
        <f>formatRow(Token!H$2:S$2,Token!H27:S27,2,"attributes")</f>
        <v>"attributes":[]</v>
      </c>
      <c r="O28" s="2" t="str">
        <f>formatRow(Token!AB$2:AJ$2,Token!AB27:AJ27,3,"creators")</f>
        <v>"creators":[]</v>
      </c>
      <c r="P28" s="2" t="str">
        <f>formatRow(Token!AK$2:AP$2,Token!AK27:AP27,2,"files")</f>
        <v>"files":[]</v>
      </c>
      <c r="Q28" s="2"/>
      <c r="R28" s="2"/>
      <c r="S28" s="2"/>
      <c r="T28" s="2" t="str">
        <f>formatRow(Token!AQ$2:AR$2,Token!AQ27:AR27,0,"collection")</f>
        <v>"collection":{"name":"",_x000D_
"family":""}</v>
      </c>
      <c r="U28" s="2"/>
      <c r="V28" s="2"/>
    </row>
    <row r="29" spans="5:22" ht="14.25" customHeight="1" x14ac:dyDescent="0.3">
      <c r="E29" s="13" t="str">
        <f>IF(Token!A28="","",Token!A28)</f>
        <v/>
      </c>
      <c r="L29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29" s="2" t="str">
        <f>formatRow(Token!A$2:G$2,Token!A28:G28)</f>
        <v>"name":"",_x000D_
"symbol":"",_x000D_
"description":"",_x000D_
"seller_fee_basis_points":"",_x000D_
"image":"",_x000D_
"Issuer":"",_x000D_
"external_url":""</v>
      </c>
      <c r="N29" s="2" t="str">
        <f>formatRow(Token!H$2:S$2,Token!H28:S28,2,"attributes")</f>
        <v>"attributes":[]</v>
      </c>
      <c r="O29" s="2" t="str">
        <f>formatRow(Token!AB$2:AJ$2,Token!AB28:AJ28,3,"creators")</f>
        <v>"creators":[]</v>
      </c>
      <c r="P29" s="2" t="str">
        <f>formatRow(Token!AK$2:AP$2,Token!AK28:AP28,2,"files")</f>
        <v>"files":[]</v>
      </c>
      <c r="Q29" s="2"/>
      <c r="R29" s="2"/>
      <c r="S29" s="2"/>
      <c r="T29" s="2" t="str">
        <f>formatRow(Token!AQ$2:AR$2,Token!AQ28:AR28,0,"collection")</f>
        <v>"collection":{"name":"",_x000D_
"family":""}</v>
      </c>
      <c r="U29" s="2"/>
      <c r="V29" s="2"/>
    </row>
    <row r="30" spans="5:22" ht="14.25" customHeight="1" x14ac:dyDescent="0.3">
      <c r="E30" s="13" t="str">
        <f>IF(Token!A29="","",Token!A29)</f>
        <v/>
      </c>
      <c r="L30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30" s="2" t="str">
        <f>formatRow(Token!A$2:G$2,Token!A29:G29)</f>
        <v>"name":"",_x000D_
"symbol":"",_x000D_
"description":"",_x000D_
"seller_fee_basis_points":"",_x000D_
"image":"",_x000D_
"Issuer":"",_x000D_
"external_url":""</v>
      </c>
      <c r="N30" s="2" t="str">
        <f>formatRow(Token!H$2:S$2,Token!H29:S29,2,"attributes")</f>
        <v>"attributes":[]</v>
      </c>
      <c r="O30" s="2" t="str">
        <f>formatRow(Token!AB$2:AJ$2,Token!AB29:AJ29,3,"creators")</f>
        <v>"creators":[]</v>
      </c>
      <c r="P30" s="2" t="str">
        <f>formatRow(Token!AK$2:AP$2,Token!AK29:AP29,2,"files")</f>
        <v>"files":[]</v>
      </c>
      <c r="Q30" s="2"/>
      <c r="R30" s="2"/>
      <c r="S30" s="2"/>
      <c r="T30" s="2" t="str">
        <f>formatRow(Token!AQ$2:AR$2,Token!AQ29:AR29,0,"collection")</f>
        <v>"collection":{"name":"",_x000D_
"family":""}</v>
      </c>
      <c r="U30" s="2"/>
      <c r="V30" s="2"/>
    </row>
    <row r="31" spans="5:22" ht="14.25" customHeight="1" x14ac:dyDescent="0.3">
      <c r="E31" s="13" t="str">
        <f>IF(Token!A30="","",Token!A30)</f>
        <v/>
      </c>
      <c r="L31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31" s="2" t="str">
        <f>formatRow(Token!A$2:G$2,Token!A30:G30)</f>
        <v>"name":"",_x000D_
"symbol":"",_x000D_
"description":"",_x000D_
"seller_fee_basis_points":"",_x000D_
"image":"",_x000D_
"Issuer":"",_x000D_
"external_url":""</v>
      </c>
      <c r="N31" s="2" t="str">
        <f>formatRow(Token!H$2:S$2,Token!H30:S30,2,"attributes")</f>
        <v>"attributes":[]</v>
      </c>
      <c r="O31" s="2" t="str">
        <f>formatRow(Token!AB$2:AJ$2,Token!AB30:AJ30,3,"creators")</f>
        <v>"creators":[]</v>
      </c>
      <c r="P31" s="2" t="str">
        <f>formatRow(Token!AK$2:AP$2,Token!AK30:AP30,2,"files")</f>
        <v>"files":[]</v>
      </c>
      <c r="Q31" s="2"/>
      <c r="R31" s="2"/>
      <c r="S31" s="2"/>
      <c r="T31" s="2" t="str">
        <f>formatRow(Token!AQ$2:AR$2,Token!AQ30:AR30,0,"collection")</f>
        <v>"collection":{"name":"",_x000D_
"family":""}</v>
      </c>
      <c r="U31" s="2"/>
      <c r="V31" s="2"/>
    </row>
    <row r="32" spans="5:22" ht="14.25" customHeight="1" x14ac:dyDescent="0.3">
      <c r="E32" s="13" t="str">
        <f>IF(Token!A31="","",Token!A31)</f>
        <v/>
      </c>
      <c r="L32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32" s="2" t="str">
        <f>formatRow(Token!A$2:G$2,Token!A31:G31)</f>
        <v>"name":"",_x000D_
"symbol":"",_x000D_
"description":"",_x000D_
"seller_fee_basis_points":"",_x000D_
"image":"",_x000D_
"Issuer":"",_x000D_
"external_url":""</v>
      </c>
      <c r="N32" s="2" t="str">
        <f>formatRow(Token!H$2:S$2,Token!H31:S31,2,"attributes")</f>
        <v>"attributes":[]</v>
      </c>
      <c r="O32" s="2" t="str">
        <f>formatRow(Token!AB$2:AJ$2,Token!AB31:AJ31,3,"creators")</f>
        <v>"creators":[]</v>
      </c>
      <c r="P32" s="2" t="str">
        <f>formatRow(Token!AK$2:AP$2,Token!AK31:AP31,2,"files")</f>
        <v>"files":[]</v>
      </c>
      <c r="Q32" s="2"/>
      <c r="R32" s="2"/>
      <c r="S32" s="2"/>
      <c r="T32" s="2" t="str">
        <f>formatRow(Token!AQ$2:AR$2,Token!AQ31:AR31,0,"collection")</f>
        <v>"collection":{"name":"",_x000D_
"family":""}</v>
      </c>
      <c r="U32" s="2"/>
      <c r="V32" s="2"/>
    </row>
    <row r="33" spans="5:22" ht="14.25" customHeight="1" x14ac:dyDescent="0.3">
      <c r="E33" s="13" t="str">
        <f>IF(Token!A32="","",Token!A32)</f>
        <v/>
      </c>
      <c r="L33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33" s="2" t="str">
        <f>formatRow(Token!A$2:G$2,Token!A32:G32)</f>
        <v>"name":"",_x000D_
"symbol":"",_x000D_
"description":"",_x000D_
"seller_fee_basis_points":"",_x000D_
"image":"",_x000D_
"Issuer":"",_x000D_
"external_url":""</v>
      </c>
      <c r="N33" s="2" t="str">
        <f>formatRow(Token!H$2:S$2,Token!H32:S32,2,"attributes")</f>
        <v>"attributes":[]</v>
      </c>
      <c r="O33" s="2" t="str">
        <f>formatRow(Token!AB$2:AJ$2,Token!AB32:AJ32,3,"creators")</f>
        <v>"creators":[]</v>
      </c>
      <c r="P33" s="2" t="str">
        <f>formatRow(Token!AK$2:AP$2,Token!AK32:AP32,2,"files")</f>
        <v>"files":[]</v>
      </c>
      <c r="Q33" s="2"/>
      <c r="R33" s="2"/>
      <c r="S33" s="2"/>
      <c r="T33" s="2" t="str">
        <f>formatRow(Token!AQ$2:AR$2,Token!AQ32:AR32,0,"collection")</f>
        <v>"collection":{"name":"",_x000D_
"family":""}</v>
      </c>
      <c r="U33" s="2"/>
      <c r="V33" s="2"/>
    </row>
    <row r="34" spans="5:22" ht="14.25" customHeight="1" x14ac:dyDescent="0.3">
      <c r="E34" s="13" t="str">
        <f>IF(Token!A33="","",Token!A33)</f>
        <v/>
      </c>
      <c r="L34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34" s="2" t="str">
        <f>formatRow(Token!A$2:G$2,Token!A33:G33)</f>
        <v>"name":"",_x000D_
"symbol":"",_x000D_
"description":"",_x000D_
"seller_fee_basis_points":"",_x000D_
"image":"",_x000D_
"Issuer":"",_x000D_
"external_url":""</v>
      </c>
      <c r="N34" s="2" t="str">
        <f>formatRow(Token!H$2:S$2,Token!H33:S33,2,"attributes")</f>
        <v>"attributes":[]</v>
      </c>
      <c r="O34" s="2" t="str">
        <f>formatRow(Token!AB$2:AJ$2,Token!AB33:AJ33,3,"creators")</f>
        <v>"creators":[]</v>
      </c>
      <c r="P34" s="2" t="str">
        <f>formatRow(Token!AK$2:AP$2,Token!AK33:AP33,2,"files")</f>
        <v>"files":[]</v>
      </c>
      <c r="Q34" s="2"/>
      <c r="R34" s="2"/>
      <c r="S34" s="2"/>
      <c r="T34" s="2" t="str">
        <f>formatRow(Token!AQ$2:AR$2,Token!AQ33:AR33,0,"collection")</f>
        <v>"collection":{"name":"",_x000D_
"family":""}</v>
      </c>
      <c r="U34" s="2"/>
      <c r="V34" s="2"/>
    </row>
    <row r="35" spans="5:22" ht="14.25" customHeight="1" x14ac:dyDescent="0.3">
      <c r="E35" s="13" t="str">
        <f>IF(Token!A34="","",Token!A34)</f>
        <v/>
      </c>
      <c r="L35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35" s="2" t="str">
        <f>formatRow(Token!A$2:G$2,Token!A34:G34)</f>
        <v>"name":"",_x000D_
"symbol":"",_x000D_
"description":"",_x000D_
"seller_fee_basis_points":"",_x000D_
"image":"",_x000D_
"Issuer":"",_x000D_
"external_url":""</v>
      </c>
      <c r="N35" s="2" t="str">
        <f>formatRow(Token!H$2:S$2,Token!H34:S34,2,"attributes")</f>
        <v>"attributes":[]</v>
      </c>
      <c r="O35" s="2" t="str">
        <f>formatRow(Token!AB$2:AJ$2,Token!AB34:AJ34,3,"creators")</f>
        <v>"creators":[]</v>
      </c>
      <c r="P35" s="2" t="str">
        <f>formatRow(Token!AK$2:AP$2,Token!AK34:AP34,2,"files")</f>
        <v>"files":[]</v>
      </c>
      <c r="Q35" s="2"/>
      <c r="R35" s="2"/>
      <c r="S35" s="2"/>
      <c r="T35" s="2" t="str">
        <f>formatRow(Token!AQ$2:AR$2,Token!AQ34:AR34,0,"collection")</f>
        <v>"collection":{"name":"",_x000D_
"family":""}</v>
      </c>
      <c r="U35" s="2"/>
      <c r="V35" s="2"/>
    </row>
    <row r="36" spans="5:22" ht="14.25" customHeight="1" x14ac:dyDescent="0.3">
      <c r="E36" s="13" t="str">
        <f>IF(Token!A35="","",Token!A35)</f>
        <v/>
      </c>
      <c r="L36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36" s="2" t="str">
        <f>formatRow(Token!A$2:G$2,Token!A35:G35)</f>
        <v>"name":"",_x000D_
"symbol":"",_x000D_
"description":"",_x000D_
"seller_fee_basis_points":"",_x000D_
"image":"",_x000D_
"Issuer":"",_x000D_
"external_url":""</v>
      </c>
      <c r="N36" s="2" t="str">
        <f>formatRow(Token!H$2:S$2,Token!H35:S35,2,"attributes")</f>
        <v>"attributes":[]</v>
      </c>
      <c r="O36" s="2" t="str">
        <f>formatRow(Token!AB$2:AJ$2,Token!AB35:AJ35,3,"creators")</f>
        <v>"creators":[]</v>
      </c>
      <c r="P36" s="2" t="str">
        <f>formatRow(Token!AK$2:AP$2,Token!AK35:AP35,2,"files")</f>
        <v>"files":[]</v>
      </c>
      <c r="Q36" s="2"/>
      <c r="R36" s="2"/>
      <c r="S36" s="2"/>
      <c r="T36" s="2" t="str">
        <f>formatRow(Token!AQ$2:AR$2,Token!AQ35:AR35,0,"collection")</f>
        <v>"collection":{"name":"",_x000D_
"family":""}</v>
      </c>
      <c r="U36" s="2"/>
      <c r="V36" s="2"/>
    </row>
    <row r="37" spans="5:22" ht="14.25" customHeight="1" x14ac:dyDescent="0.3">
      <c r="E37" s="13" t="str">
        <f>IF(Token!A36="","",Token!A36)</f>
        <v/>
      </c>
      <c r="L37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37" s="2" t="str">
        <f>formatRow(Token!A$2:G$2,Token!A36:G36)</f>
        <v>"name":"",_x000D_
"symbol":"",_x000D_
"description":"",_x000D_
"seller_fee_basis_points":"",_x000D_
"image":"",_x000D_
"Issuer":"",_x000D_
"external_url":""</v>
      </c>
      <c r="N37" s="2" t="str">
        <f>formatRow(Token!H$2:S$2,Token!H36:S36,2,"attributes")</f>
        <v>"attributes":[]</v>
      </c>
      <c r="O37" s="2" t="str">
        <f>formatRow(Token!AB$2:AJ$2,Token!AB36:AJ36,3,"creators")</f>
        <v>"creators":[]</v>
      </c>
      <c r="P37" s="2" t="str">
        <f>formatRow(Token!AK$2:AP$2,Token!AK36:AP36,2,"files")</f>
        <v>"files":[]</v>
      </c>
      <c r="Q37" s="2"/>
      <c r="R37" s="2"/>
      <c r="S37" s="2"/>
      <c r="T37" s="2" t="str">
        <f>formatRow(Token!AQ$2:AR$2,Token!AQ36:AR36,0,"collection")</f>
        <v>"collection":{"name":"",_x000D_
"family":""}</v>
      </c>
      <c r="U37" s="2"/>
      <c r="V37" s="2"/>
    </row>
    <row r="38" spans="5:22" ht="14.25" customHeight="1" x14ac:dyDescent="0.3">
      <c r="E38" s="13" t="str">
        <f>IF(Token!A37="","",Token!A37)</f>
        <v/>
      </c>
      <c r="L38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38" s="2" t="str">
        <f>formatRow(Token!A$2:G$2,Token!A37:G37)</f>
        <v>"name":"",_x000D_
"symbol":"",_x000D_
"description":"",_x000D_
"seller_fee_basis_points":"",_x000D_
"image":"",_x000D_
"Issuer":"",_x000D_
"external_url":""</v>
      </c>
      <c r="N38" s="2" t="str">
        <f>formatRow(Token!H$2:S$2,Token!H37:S37,2,"attributes")</f>
        <v>"attributes":[]</v>
      </c>
      <c r="O38" s="2" t="str">
        <f>formatRow(Token!AB$2:AJ$2,Token!AB37:AJ37,3,"creators")</f>
        <v>"creators":[]</v>
      </c>
      <c r="P38" s="2" t="str">
        <f>formatRow(Token!AK$2:AP$2,Token!AK37:AP37,2,"files")</f>
        <v>"files":[]</v>
      </c>
      <c r="Q38" s="2"/>
      <c r="R38" s="2"/>
      <c r="S38" s="2"/>
      <c r="T38" s="2" t="str">
        <f>formatRow(Token!AQ$2:AR$2,Token!AQ37:AR37,0,"collection")</f>
        <v>"collection":{"name":"",_x000D_
"family":""}</v>
      </c>
      <c r="U38" s="2"/>
      <c r="V38" s="2"/>
    </row>
    <row r="39" spans="5:22" ht="14.25" customHeight="1" x14ac:dyDescent="0.3">
      <c r="E39" s="13" t="str">
        <f>IF(Token!A38="","",Token!A38)</f>
        <v/>
      </c>
      <c r="L39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39" s="2" t="str">
        <f>formatRow(Token!A$2:G$2,Token!A38:G38)</f>
        <v>"name":"",_x000D_
"symbol":"",_x000D_
"description":"",_x000D_
"seller_fee_basis_points":"",_x000D_
"image":"",_x000D_
"Issuer":"",_x000D_
"external_url":""</v>
      </c>
      <c r="N39" s="2" t="str">
        <f>formatRow(Token!H$2:S$2,Token!H38:S38,2,"attributes")</f>
        <v>"attributes":[]</v>
      </c>
      <c r="O39" s="2" t="str">
        <f>formatRow(Token!AB$2:AJ$2,Token!AB38:AJ38,3,"creators")</f>
        <v>"creators":[]</v>
      </c>
      <c r="P39" s="2" t="str">
        <f>formatRow(Token!AK$2:AP$2,Token!AK38:AP38,2,"files")</f>
        <v>"files":[]</v>
      </c>
      <c r="Q39" s="2"/>
      <c r="R39" s="2"/>
      <c r="S39" s="2"/>
      <c r="T39" s="2" t="str">
        <f>formatRow(Token!AQ$2:AR$2,Token!AQ38:AR38,0,"collection")</f>
        <v>"collection":{"name":"",_x000D_
"family":""}</v>
      </c>
      <c r="U39" s="2"/>
      <c r="V39" s="2"/>
    </row>
    <row r="40" spans="5:22" ht="14.25" customHeight="1" x14ac:dyDescent="0.3">
      <c r="E40" s="13" t="str">
        <f>IF(Token!A39="","",Token!A39)</f>
        <v/>
      </c>
      <c r="L40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40" s="2" t="str">
        <f>formatRow(Token!A$2:G$2,Token!A39:G39)</f>
        <v>"name":"",_x000D_
"symbol":"",_x000D_
"description":"",_x000D_
"seller_fee_basis_points":"",_x000D_
"image":"",_x000D_
"Issuer":"",_x000D_
"external_url":""</v>
      </c>
      <c r="N40" s="2" t="str">
        <f>formatRow(Token!H$2:S$2,Token!H39:S39,2,"attributes")</f>
        <v>"attributes":[]</v>
      </c>
      <c r="O40" s="2" t="str">
        <f>formatRow(Token!AB$2:AJ$2,Token!AB39:AJ39,3,"creators")</f>
        <v>"creators":[]</v>
      </c>
      <c r="P40" s="2" t="str">
        <f>formatRow(Token!AK$2:AP$2,Token!AK39:AP39,2,"files")</f>
        <v>"files":[]</v>
      </c>
      <c r="Q40" s="2"/>
      <c r="R40" s="2"/>
      <c r="S40" s="2"/>
      <c r="T40" s="2" t="str">
        <f>formatRow(Token!AQ$2:AR$2,Token!AQ39:AR39,0,"collection")</f>
        <v>"collection":{"name":"",_x000D_
"family":""}</v>
      </c>
      <c r="U40" s="2"/>
      <c r="V40" s="2"/>
    </row>
    <row r="41" spans="5:22" ht="14.25" customHeight="1" x14ac:dyDescent="0.3">
      <c r="E41" s="13" t="str">
        <f>IF(Token!A40="","",Token!A40)</f>
        <v/>
      </c>
      <c r="L41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41" s="2" t="str">
        <f>formatRow(Token!A$2:G$2,Token!A40:G40)</f>
        <v>"name":"",_x000D_
"symbol":"",_x000D_
"description":"",_x000D_
"seller_fee_basis_points":"",_x000D_
"image":"",_x000D_
"Issuer":"",_x000D_
"external_url":""</v>
      </c>
      <c r="N41" s="2" t="str">
        <f>formatRow(Token!H$2:S$2,Token!H40:S40,2,"attributes")</f>
        <v>"attributes":[]</v>
      </c>
      <c r="O41" s="2" t="str">
        <f>formatRow(Token!AB$2:AJ$2,Token!AB40:AJ40,3,"creators")</f>
        <v>"creators":[]</v>
      </c>
      <c r="P41" s="2" t="str">
        <f>formatRow(Token!AK$2:AP$2,Token!AK40:AP40,2,"files")</f>
        <v>"files":[]</v>
      </c>
      <c r="Q41" s="2"/>
      <c r="R41" s="2"/>
      <c r="S41" s="2"/>
      <c r="T41" s="2" t="str">
        <f>formatRow(Token!AQ$2:AR$2,Token!AQ40:AR40,0,"collection")</f>
        <v>"collection":{"name":"",_x000D_
"family":""}</v>
      </c>
      <c r="U41" s="2"/>
      <c r="V41" s="2"/>
    </row>
    <row r="42" spans="5:22" ht="14.25" customHeight="1" x14ac:dyDescent="0.3">
      <c r="E42" s="13" t="str">
        <f>IF(Token!A41="","",Token!A41)</f>
        <v/>
      </c>
      <c r="L42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42" s="2" t="str">
        <f>formatRow(Token!A$2:G$2,Token!A41:G41)</f>
        <v>"name":"",_x000D_
"symbol":"",_x000D_
"description":"",_x000D_
"seller_fee_basis_points":"",_x000D_
"image":"",_x000D_
"Issuer":"",_x000D_
"external_url":""</v>
      </c>
      <c r="N42" s="2" t="str">
        <f>formatRow(Token!H$2:S$2,Token!H41:S41,2,"attributes")</f>
        <v>"attributes":[]</v>
      </c>
      <c r="O42" s="2" t="str">
        <f>formatRow(Token!AB$2:AJ$2,Token!AB41:AJ41,3,"creators")</f>
        <v>"creators":[]</v>
      </c>
      <c r="P42" s="2" t="str">
        <f>formatRow(Token!AK$2:AP$2,Token!AK41:AP41,2,"files")</f>
        <v>"files":[]</v>
      </c>
      <c r="Q42" s="2"/>
      <c r="R42" s="2"/>
      <c r="S42" s="2"/>
      <c r="T42" s="2" t="str">
        <f>formatRow(Token!AQ$2:AR$2,Token!AQ41:AR41,0,"collection")</f>
        <v>"collection":{"name":"",_x000D_
"family":""}</v>
      </c>
      <c r="U42" s="2"/>
      <c r="V42" s="2"/>
    </row>
    <row r="43" spans="5:22" ht="14.25" customHeight="1" x14ac:dyDescent="0.3">
      <c r="E43" s="13" t="str">
        <f>IF(Token!A42="","",Token!A42)</f>
        <v/>
      </c>
      <c r="L43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43" s="2" t="str">
        <f>formatRow(Token!A$2:G$2,Token!A42:G42)</f>
        <v>"name":"",_x000D_
"symbol":"",_x000D_
"description":"",_x000D_
"seller_fee_basis_points":"",_x000D_
"image":"",_x000D_
"Issuer":"",_x000D_
"external_url":""</v>
      </c>
      <c r="N43" s="2" t="str">
        <f>formatRow(Token!H$2:S$2,Token!H42:S42,2,"attributes")</f>
        <v>"attributes":[]</v>
      </c>
      <c r="O43" s="2" t="str">
        <f>formatRow(Token!AB$2:AJ$2,Token!AB42:AJ42,3,"creators")</f>
        <v>"creators":[]</v>
      </c>
      <c r="P43" s="2" t="str">
        <f>formatRow(Token!AK$2:AP$2,Token!AK42:AP42,2,"files")</f>
        <v>"files":[]</v>
      </c>
      <c r="Q43" s="2"/>
      <c r="R43" s="2"/>
      <c r="S43" s="2"/>
      <c r="T43" s="2" t="str">
        <f>formatRow(Token!AQ$2:AR$2,Token!AQ42:AR42,0,"collection")</f>
        <v>"collection":{"name":"",_x000D_
"family":""}</v>
      </c>
      <c r="U43" s="2"/>
      <c r="V43" s="2"/>
    </row>
    <row r="44" spans="5:22" ht="14.25" customHeight="1" x14ac:dyDescent="0.3">
      <c r="E44" s="13" t="str">
        <f>IF(Token!A43="","",Token!A43)</f>
        <v/>
      </c>
      <c r="L44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44" s="2" t="str">
        <f>formatRow(Token!A$2:G$2,Token!A43:G43)</f>
        <v>"name":"",_x000D_
"symbol":"",_x000D_
"description":"",_x000D_
"seller_fee_basis_points":"",_x000D_
"image":"",_x000D_
"Issuer":"",_x000D_
"external_url":""</v>
      </c>
      <c r="N44" s="2" t="str">
        <f>formatRow(Token!H$2:S$2,Token!H43:S43,2,"attributes")</f>
        <v>"attributes":[]</v>
      </c>
      <c r="O44" s="2" t="str">
        <f>formatRow(Token!AB$2:AJ$2,Token!AB43:AJ43,3,"creators")</f>
        <v>"creators":[]</v>
      </c>
      <c r="P44" s="2" t="str">
        <f>formatRow(Token!AK$2:AP$2,Token!AK43:AP43,2,"files")</f>
        <v>"files":[]</v>
      </c>
      <c r="Q44" s="2"/>
      <c r="R44" s="2"/>
      <c r="S44" s="2"/>
      <c r="T44" s="2" t="str">
        <f>formatRow(Token!AQ$2:AR$2,Token!AQ43:AR43,0,"collection")</f>
        <v>"collection":{"name":"",_x000D_
"family":""}</v>
      </c>
      <c r="U44" s="2"/>
      <c r="V44" s="2"/>
    </row>
    <row r="45" spans="5:22" ht="14.25" customHeight="1" x14ac:dyDescent="0.3">
      <c r="E45" s="13" t="str">
        <f>IF(Token!A44="","",Token!A44)</f>
        <v/>
      </c>
      <c r="L45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45" s="2" t="str">
        <f>formatRow(Token!A$2:G$2,Token!A44:G44)</f>
        <v>"name":"",_x000D_
"symbol":"",_x000D_
"description":"",_x000D_
"seller_fee_basis_points":"",_x000D_
"image":"",_x000D_
"Issuer":"",_x000D_
"external_url":""</v>
      </c>
      <c r="N45" s="2" t="str">
        <f>formatRow(Token!H$2:S$2,Token!H44:S44,2,"attributes")</f>
        <v>"attributes":[]</v>
      </c>
      <c r="O45" s="2" t="str">
        <f>formatRow(Token!AB$2:AJ$2,Token!AB44:AJ44,3,"creators")</f>
        <v>"creators":[]</v>
      </c>
      <c r="P45" s="2" t="str">
        <f>formatRow(Token!AK$2:AP$2,Token!AK44:AP44,2,"files")</f>
        <v>"files":[]</v>
      </c>
      <c r="Q45" s="2"/>
      <c r="R45" s="2"/>
      <c r="S45" s="2"/>
      <c r="T45" s="2" t="str">
        <f>formatRow(Token!AQ$2:AR$2,Token!AQ44:AR44,0,"collection")</f>
        <v>"collection":{"name":"",_x000D_
"family":""}</v>
      </c>
      <c r="U45" s="2"/>
      <c r="V45" s="2"/>
    </row>
    <row r="46" spans="5:22" ht="14.25" customHeight="1" x14ac:dyDescent="0.3">
      <c r="E46" s="13" t="str">
        <f>IF(Token!A45="","",Token!A45)</f>
        <v/>
      </c>
      <c r="L46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46" s="2" t="str">
        <f>formatRow(Token!A$2:G$2,Token!A45:G45)</f>
        <v>"name":"",_x000D_
"symbol":"",_x000D_
"description":"",_x000D_
"seller_fee_basis_points":"",_x000D_
"image":"",_x000D_
"Issuer":"",_x000D_
"external_url":""</v>
      </c>
      <c r="N46" s="2" t="str">
        <f>formatRow(Token!H$2:S$2,Token!H45:S45,2,"attributes")</f>
        <v>"attributes":[]</v>
      </c>
      <c r="O46" s="2" t="str">
        <f>formatRow(Token!AB$2:AJ$2,Token!AB45:AJ45,3,"creators")</f>
        <v>"creators":[]</v>
      </c>
      <c r="P46" s="2" t="str">
        <f>formatRow(Token!AK$2:AP$2,Token!AK45:AP45,2,"files")</f>
        <v>"files":[]</v>
      </c>
      <c r="Q46" s="2"/>
      <c r="R46" s="2"/>
      <c r="S46" s="2"/>
      <c r="T46" s="2" t="str">
        <f>formatRow(Token!AQ$2:AR$2,Token!AQ45:AR45,0,"collection")</f>
        <v>"collection":{"name":"",_x000D_
"family":""}</v>
      </c>
      <c r="U46" s="2"/>
      <c r="V46" s="2"/>
    </row>
    <row r="47" spans="5:22" ht="14.25" customHeight="1" x14ac:dyDescent="0.3">
      <c r="E47" s="13" t="str">
        <f>IF(Token!A46="","",Token!A46)</f>
        <v/>
      </c>
      <c r="L47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47" s="2" t="str">
        <f>formatRow(Token!A$2:G$2,Token!A46:G46)</f>
        <v>"name":"",_x000D_
"symbol":"",_x000D_
"description":"",_x000D_
"seller_fee_basis_points":"",_x000D_
"image":"",_x000D_
"Issuer":"",_x000D_
"external_url":""</v>
      </c>
      <c r="N47" s="2" t="str">
        <f>formatRow(Token!H$2:S$2,Token!H46:S46,2,"attributes")</f>
        <v>"attributes":[]</v>
      </c>
      <c r="O47" s="2" t="str">
        <f>formatRow(Token!AB$2:AJ$2,Token!AB46:AJ46,3,"creators")</f>
        <v>"creators":[]</v>
      </c>
      <c r="P47" s="2" t="str">
        <f>formatRow(Token!AK$2:AP$2,Token!AK46:AP46,2,"files")</f>
        <v>"files":[]</v>
      </c>
      <c r="Q47" s="2"/>
      <c r="R47" s="2"/>
      <c r="S47" s="2"/>
      <c r="T47" s="2" t="str">
        <f>formatRow(Token!AQ$2:AR$2,Token!AQ46:AR46,0,"collection")</f>
        <v>"collection":{"name":"",_x000D_
"family":""}</v>
      </c>
      <c r="U47" s="2"/>
      <c r="V47" s="2"/>
    </row>
    <row r="48" spans="5:22" ht="14.25" customHeight="1" x14ac:dyDescent="0.3">
      <c r="E48" s="13" t="str">
        <f>IF(Token!A47="","",Token!A47)</f>
        <v/>
      </c>
      <c r="L48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48" s="2" t="str">
        <f>formatRow(Token!A$2:G$2,Token!A47:G47)</f>
        <v>"name":"",_x000D_
"symbol":"",_x000D_
"description":"",_x000D_
"seller_fee_basis_points":"",_x000D_
"image":"",_x000D_
"Issuer":"",_x000D_
"external_url":""</v>
      </c>
      <c r="N48" s="2" t="str">
        <f>formatRow(Token!H$2:S$2,Token!H47:S47,2,"attributes")</f>
        <v>"attributes":[]</v>
      </c>
      <c r="O48" s="2" t="str">
        <f>formatRow(Token!AB$2:AJ$2,Token!AB47:AJ47,3,"creators")</f>
        <v>"creators":[]</v>
      </c>
      <c r="P48" s="2" t="str">
        <f>formatRow(Token!AK$2:AP$2,Token!AK47:AP47,2,"files")</f>
        <v>"files":[]</v>
      </c>
      <c r="Q48" s="2"/>
      <c r="R48" s="2"/>
      <c r="S48" s="2"/>
      <c r="T48" s="2" t="str">
        <f>formatRow(Token!AQ$2:AR$2,Token!AQ47:AR47,0,"collection")</f>
        <v>"collection":{"name":"",_x000D_
"family":""}</v>
      </c>
      <c r="U48" s="2"/>
      <c r="V48" s="2"/>
    </row>
    <row r="49" spans="5:22" ht="14.25" customHeight="1" x14ac:dyDescent="0.3">
      <c r="E49" s="13" t="str">
        <f>IF(Token!A48="","",Token!A48)</f>
        <v/>
      </c>
      <c r="L49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49" s="2" t="str">
        <f>formatRow(Token!A$2:G$2,Token!A48:G48)</f>
        <v>"name":"",_x000D_
"symbol":"",_x000D_
"description":"",_x000D_
"seller_fee_basis_points":"",_x000D_
"image":"",_x000D_
"Issuer":"",_x000D_
"external_url":""</v>
      </c>
      <c r="N49" s="2" t="str">
        <f>formatRow(Token!H$2:S$2,Token!H48:S48,2,"attributes")</f>
        <v>"attributes":[]</v>
      </c>
      <c r="O49" s="2" t="str">
        <f>formatRow(Token!AB$2:AJ$2,Token!AB48:AJ48,3,"creators")</f>
        <v>"creators":[]</v>
      </c>
      <c r="P49" s="2" t="str">
        <f>formatRow(Token!AK$2:AP$2,Token!AK48:AP48,2,"files")</f>
        <v>"files":[]</v>
      </c>
      <c r="Q49" s="2"/>
      <c r="R49" s="2"/>
      <c r="S49" s="2"/>
      <c r="T49" s="2" t="str">
        <f>formatRow(Token!AQ$2:AR$2,Token!AQ48:AR48,0,"collection")</f>
        <v>"collection":{"name":"",_x000D_
"family":""}</v>
      </c>
      <c r="U49" s="2"/>
      <c r="V49" s="2"/>
    </row>
    <row r="50" spans="5:22" ht="14.25" customHeight="1" x14ac:dyDescent="0.3">
      <c r="E50" s="13" t="str">
        <f>IF(Token!A49="","",Token!A49)</f>
        <v/>
      </c>
      <c r="L50" s="2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M50" s="2" t="str">
        <f>formatRow(Token!A$2:G$2,Token!A49:G49)</f>
        <v>"name":"",_x000D_
"symbol":"",_x000D_
"description":"",_x000D_
"seller_fee_basis_points":"",_x000D_
"image":"",_x000D_
"Issuer":"",_x000D_
"external_url":""</v>
      </c>
      <c r="N50" s="2" t="str">
        <f>formatRow(Token!H$2:S$2,Token!H49:S49,2,"attributes")</f>
        <v>"attributes":[]</v>
      </c>
      <c r="O50" s="2" t="str">
        <f>formatRow(Token!AB$2:AJ$2,Token!AB49:AJ49,3,"creators")</f>
        <v>"creators":[]</v>
      </c>
      <c r="P50" s="2" t="str">
        <f>formatRow(Token!AK$2:AP$2,Token!AK49:AP49,2,"files")</f>
        <v>"files":[]</v>
      </c>
      <c r="Q50" s="2"/>
      <c r="R50" s="2"/>
      <c r="S50" s="2"/>
      <c r="T50" s="2" t="str">
        <f>formatRow(Token!AQ$2:AR$2,Token!AQ49:AR49,0,"collection")</f>
        <v>"collection":{"name":"",_x000D_
"family":""}</v>
      </c>
      <c r="U50" s="2"/>
      <c r="V50" s="2"/>
    </row>
    <row r="51" spans="5:22" ht="14.25" customHeight="1" x14ac:dyDescent="0.3">
      <c r="E51" s="13" t="str">
        <f>IF(Token!A50="","",Token!A50)</f>
        <v/>
      </c>
    </row>
    <row r="52" spans="5:22" ht="14.25" customHeight="1" x14ac:dyDescent="0.3">
      <c r="E52" s="13" t="str">
        <f>IF(Token!A51="","",Token!A51)</f>
        <v/>
      </c>
    </row>
    <row r="53" spans="5:22" ht="14.25" customHeight="1" x14ac:dyDescent="0.3">
      <c r="E53" s="13" t="str">
        <f>IF(Token!A52="","",Token!A52)</f>
        <v/>
      </c>
    </row>
    <row r="54" spans="5:22" ht="14.25" customHeight="1" x14ac:dyDescent="0.3">
      <c r="E54" s="13" t="str">
        <f>IF(Token!A53="","",Token!A53)</f>
        <v/>
      </c>
    </row>
    <row r="55" spans="5:22" ht="14.25" customHeight="1" x14ac:dyDescent="0.3">
      <c r="E55" s="13" t="str">
        <f>IF(Token!A54="","",Token!A54)</f>
        <v/>
      </c>
    </row>
    <row r="56" spans="5:22" ht="14.25" customHeight="1" x14ac:dyDescent="0.3">
      <c r="E56" s="13" t="str">
        <f>IF(Token!A55="","",Token!A55)</f>
        <v/>
      </c>
    </row>
    <row r="57" spans="5:22" ht="14.25" customHeight="1" x14ac:dyDescent="0.3">
      <c r="E57" s="13" t="str">
        <f>IF(Token!A56="","",Token!A56)</f>
        <v/>
      </c>
    </row>
    <row r="58" spans="5:22" ht="14.25" customHeight="1" x14ac:dyDescent="0.3">
      <c r="E58" s="13" t="str">
        <f>IF(Token!A57="","",Token!A57)</f>
        <v/>
      </c>
    </row>
    <row r="59" spans="5:22" ht="14.25" customHeight="1" x14ac:dyDescent="0.3">
      <c r="E59" s="13" t="str">
        <f>IF(Token!A58="","",Token!A58)</f>
        <v/>
      </c>
    </row>
    <row r="60" spans="5:22" ht="14.25" customHeight="1" x14ac:dyDescent="0.3">
      <c r="E60" s="13" t="str">
        <f>IF(Token!A59="","",Token!A59)</f>
        <v/>
      </c>
    </row>
    <row r="61" spans="5:22" ht="14.25" customHeight="1" x14ac:dyDescent="0.3">
      <c r="E61" s="13" t="str">
        <f>IF(Token!A60="","",Token!A60)</f>
        <v/>
      </c>
    </row>
    <row r="62" spans="5:22" ht="14.25" customHeight="1" x14ac:dyDescent="0.3">
      <c r="E62" s="13" t="str">
        <f>IF(Token!A61="","",Token!A61)</f>
        <v/>
      </c>
    </row>
    <row r="63" spans="5:22" ht="14.25" customHeight="1" x14ac:dyDescent="0.3">
      <c r="E63" s="13" t="str">
        <f>IF(Token!A62="","",Token!A62)</f>
        <v/>
      </c>
    </row>
    <row r="64" spans="5:22" ht="14.25" customHeight="1" x14ac:dyDescent="0.3">
      <c r="E64" s="13" t="str">
        <f>IF(Token!A63="","",Token!A63)</f>
        <v/>
      </c>
    </row>
    <row r="65" spans="5:5" ht="14.25" customHeight="1" x14ac:dyDescent="0.3">
      <c r="E65" s="13" t="str">
        <f>IF(Token!A64="","",Token!A64)</f>
        <v/>
      </c>
    </row>
    <row r="66" spans="5:5" ht="14.25" customHeight="1" x14ac:dyDescent="0.3">
      <c r="E66" s="13" t="str">
        <f>IF(Token!A65="","",Token!A65)</f>
        <v/>
      </c>
    </row>
    <row r="67" spans="5:5" ht="14.25" customHeight="1" x14ac:dyDescent="0.3">
      <c r="E67" s="13" t="str">
        <f>IF(Token!A66="","",Token!A66)</f>
        <v/>
      </c>
    </row>
    <row r="68" spans="5:5" ht="14.25" customHeight="1" x14ac:dyDescent="0.3">
      <c r="E68" s="13" t="str">
        <f>IF(Token!A67="","",Token!A67)</f>
        <v/>
      </c>
    </row>
    <row r="69" spans="5:5" ht="14.25" customHeight="1" x14ac:dyDescent="0.3">
      <c r="E69" s="13" t="str">
        <f>IF(Token!A68="","",Token!A68)</f>
        <v/>
      </c>
    </row>
    <row r="70" spans="5:5" ht="14.25" customHeight="1" x14ac:dyDescent="0.3">
      <c r="E70" s="13" t="str">
        <f>IF(Token!A69="","",Token!A69)</f>
        <v/>
      </c>
    </row>
    <row r="71" spans="5:5" ht="14.25" customHeight="1" x14ac:dyDescent="0.3">
      <c r="E71" s="13" t="str">
        <f>IF(Token!A70="","",Token!A70)</f>
        <v/>
      </c>
    </row>
    <row r="72" spans="5:5" ht="14.25" customHeight="1" x14ac:dyDescent="0.3">
      <c r="E72" s="13" t="str">
        <f>IF(Token!A71="","",Token!A71)</f>
        <v/>
      </c>
    </row>
    <row r="73" spans="5:5" ht="14.25" customHeight="1" x14ac:dyDescent="0.3">
      <c r="E73" s="13" t="str">
        <f>IF(Token!A72="","",Token!A72)</f>
        <v/>
      </c>
    </row>
    <row r="74" spans="5:5" ht="14.25" customHeight="1" x14ac:dyDescent="0.3">
      <c r="E74" s="13" t="str">
        <f>IF(Token!A73="","",Token!A73)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age">
                <anchor moveWithCells="1" sizeWithCells="1">
                  <from>
                    <xdr:col>1</xdr:col>
                    <xdr:colOff>716280</xdr:colOff>
                    <xdr:row>0</xdr:row>
                    <xdr:rowOff>76200</xdr:rowOff>
                  </from>
                  <to>
                    <xdr:col>3</xdr:col>
                    <xdr:colOff>342900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load">
                <anchor moveWithCells="1" sizeWithCells="1">
                  <from>
                    <xdr:col>0</xdr:col>
                    <xdr:colOff>152400</xdr:colOff>
                    <xdr:row>0</xdr:row>
                    <xdr:rowOff>83820</xdr:rowOff>
                  </from>
                  <to>
                    <xdr:col>1</xdr:col>
                    <xdr:colOff>541020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inage">
                <anchor moveWithCells="1" sizeWithCells="1">
                  <from>
                    <xdr:col>2</xdr:col>
                    <xdr:colOff>167640</xdr:colOff>
                    <xdr:row>3</xdr:row>
                    <xdr:rowOff>7620</xdr:rowOff>
                  </from>
                  <to>
                    <xdr:col>3</xdr:col>
                    <xdr:colOff>586740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2EA649-0F1A-4DB0-B46B-414AC1867165}">
          <x14:formula1>
            <xm:f>Settings!$J$2:$J$12</xm:f>
          </x14:formula1>
          <xm:sqref>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J7"/>
  <sheetViews>
    <sheetView workbookViewId="0">
      <selection activeCell="B2" sqref="B2"/>
    </sheetView>
  </sheetViews>
  <sheetFormatPr baseColWidth="10" defaultRowHeight="14.4" x14ac:dyDescent="0.3"/>
  <cols>
    <col min="1" max="1" width="21.5546875" customWidth="1"/>
    <col min="2" max="2" width="27.33203125" customWidth="1"/>
    <col min="8" max="8" width="34.44140625" customWidth="1"/>
    <col min="9" max="9" width="22.5546875" customWidth="1"/>
  </cols>
  <sheetData>
    <row r="1" spans="1:10" x14ac:dyDescent="0.3">
      <c r="A1" s="4" t="s">
        <v>24</v>
      </c>
      <c r="B1" t="s">
        <v>31</v>
      </c>
      <c r="H1" s="14" t="s">
        <v>30</v>
      </c>
      <c r="I1" s="14" t="s">
        <v>25</v>
      </c>
      <c r="J1" s="14" t="s">
        <v>35</v>
      </c>
    </row>
    <row r="2" spans="1:10" x14ac:dyDescent="0.3">
      <c r="A2" s="4" t="s">
        <v>25</v>
      </c>
      <c r="B2" t="s">
        <v>69</v>
      </c>
      <c r="H2" s="3" t="s">
        <v>32</v>
      </c>
      <c r="I2" t="s">
        <v>26</v>
      </c>
      <c r="J2" t="s">
        <v>36</v>
      </c>
    </row>
    <row r="3" spans="1:10" x14ac:dyDescent="0.3">
      <c r="A3" s="4" t="s">
        <v>42</v>
      </c>
      <c r="B3">
        <v>600000</v>
      </c>
      <c r="H3" s="3" t="s">
        <v>31</v>
      </c>
      <c r="I3" t="s">
        <v>33</v>
      </c>
      <c r="J3" t="s">
        <v>37</v>
      </c>
    </row>
    <row r="4" spans="1:10" x14ac:dyDescent="0.3">
      <c r="I4" t="s">
        <v>69</v>
      </c>
      <c r="J4" t="s">
        <v>26</v>
      </c>
    </row>
    <row r="5" spans="1:10" x14ac:dyDescent="0.3">
      <c r="I5" t="s">
        <v>70</v>
      </c>
      <c r="J5" t="s">
        <v>38</v>
      </c>
    </row>
    <row r="6" spans="1:10" x14ac:dyDescent="0.3">
      <c r="J6" t="s">
        <v>39</v>
      </c>
    </row>
    <row r="7" spans="1:10" x14ac:dyDescent="0.3">
      <c r="J7" t="s">
        <v>40</v>
      </c>
    </row>
  </sheetData>
  <dataValidations count="2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13BF3FF-D6BF-4E50-9B5E-9C12138717D5}">
      <formula1>$I$2:$I$11</formula1>
    </dataValidation>
  </dataValidations>
  <hyperlinks>
    <hyperlink ref="H2" r:id="rId1" xr:uid="{9E1758E6-8278-4CB5-897F-71102DE9E60D}"/>
    <hyperlink ref="H3" r:id="rId2" xr:uid="{3C6219B1-51FD-445C-8269-6FA64DCBF03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Token</vt:lpstr>
      <vt:lpstr>ToMint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2022-04-20T14:03:28Z</dcterms:modified>
</cp:coreProperties>
</file>
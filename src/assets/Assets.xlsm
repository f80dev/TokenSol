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34EF771B-05D6-4A16-849F-7CA72EE07C3C}" xr6:coauthVersionLast="47" xr6:coauthVersionMax="47" xr10:uidLastSave="{00000000-0000-0000-0000-000000000000}"/>
  <bookViews>
    <workbookView xWindow="-120" yWindow="-120" windowWidth="29040" windowHeight="15840" activeTab="1" xr2:uid="{A46472A9-C1E5-4C6F-87BB-3A30BD91F622}"/>
  </bookViews>
  <sheets>
    <sheet name="Tokens" sheetId="1" r:id="rId1"/>
    <sheet name="ToMint" sheetId="2" r:id="rId2"/>
    <sheet name="Mise en vente" sheetId="5" r:id="rId3"/>
    <sheet name="Settings" sheetId="3" r:id="rId4"/>
    <sheet name="Explorer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5" i="2" l="1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4" i="2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4" i="1"/>
  <c r="X69" i="2"/>
  <c r="X85" i="2"/>
  <c r="X101" i="2"/>
  <c r="X117" i="2"/>
  <c r="X133" i="2"/>
  <c r="X149" i="2"/>
  <c r="X61" i="2"/>
  <c r="X126" i="2"/>
  <c r="X111" i="2"/>
  <c r="X64" i="2"/>
  <c r="X97" i="2"/>
  <c r="X98" i="2"/>
  <c r="X131" i="2"/>
  <c r="X84" i="2"/>
  <c r="X54" i="2"/>
  <c r="X70" i="2"/>
  <c r="X86" i="2"/>
  <c r="X102" i="2"/>
  <c r="X118" i="2"/>
  <c r="X134" i="2"/>
  <c r="X150" i="2"/>
  <c r="X136" i="2"/>
  <c r="X137" i="2"/>
  <c r="X123" i="2"/>
  <c r="X92" i="2"/>
  <c r="X142" i="2"/>
  <c r="X95" i="2"/>
  <c r="X112" i="2"/>
  <c r="X65" i="2"/>
  <c r="X145" i="2"/>
  <c r="X146" i="2"/>
  <c r="X67" i="2"/>
  <c r="X116" i="2"/>
  <c r="X55" i="2"/>
  <c r="X71" i="2"/>
  <c r="X87" i="2"/>
  <c r="X103" i="2"/>
  <c r="X119" i="2"/>
  <c r="X135" i="2"/>
  <c r="X151" i="2"/>
  <c r="X120" i="2"/>
  <c r="X121" i="2"/>
  <c r="X108" i="2"/>
  <c r="X77" i="2"/>
  <c r="X141" i="2"/>
  <c r="X78" i="2"/>
  <c r="X127" i="2"/>
  <c r="X80" i="2"/>
  <c r="X144" i="2"/>
  <c r="X129" i="2"/>
  <c r="X66" i="2"/>
  <c r="X83" i="2"/>
  <c r="X147" i="2"/>
  <c r="X100" i="2"/>
  <c r="X56" i="2"/>
  <c r="X72" i="2"/>
  <c r="X88" i="2"/>
  <c r="X104" i="2"/>
  <c r="X105" i="2"/>
  <c r="X125" i="2"/>
  <c r="X94" i="2"/>
  <c r="X63" i="2"/>
  <c r="X143" i="2"/>
  <c r="X96" i="2"/>
  <c r="X113" i="2"/>
  <c r="X114" i="2"/>
  <c r="X99" i="2"/>
  <c r="X132" i="2"/>
  <c r="X57" i="2"/>
  <c r="X73" i="2"/>
  <c r="X89" i="2"/>
  <c r="X138" i="2"/>
  <c r="X58" i="2"/>
  <c r="X74" i="2"/>
  <c r="X90" i="2"/>
  <c r="X106" i="2"/>
  <c r="X122" i="2"/>
  <c r="X60" i="2"/>
  <c r="X124" i="2"/>
  <c r="X109" i="2"/>
  <c r="X128" i="2"/>
  <c r="X81" i="2"/>
  <c r="X130" i="2"/>
  <c r="X115" i="2"/>
  <c r="X68" i="2"/>
  <c r="X148" i="2"/>
  <c r="X59" i="2"/>
  <c r="X75" i="2"/>
  <c r="X91" i="2"/>
  <c r="X107" i="2"/>
  <c r="X139" i="2"/>
  <c r="X76" i="2"/>
  <c r="X140" i="2"/>
  <c r="X93" i="2"/>
  <c r="X62" i="2"/>
  <c r="X110" i="2"/>
  <c r="X79" i="2"/>
  <c r="X82" i="2"/>
  <c r="X4" i="2"/>
  <c r="C5" i="5"/>
  <c r="D5" i="5"/>
  <c r="E5" i="5"/>
  <c r="F5" i="5"/>
  <c r="C6" i="5"/>
  <c r="D6" i="5"/>
  <c r="E6" i="5"/>
  <c r="F6" i="5"/>
  <c r="C7" i="5"/>
  <c r="D7" i="5"/>
  <c r="E7" i="5"/>
  <c r="F7" i="5"/>
  <c r="C8" i="5"/>
  <c r="D8" i="5"/>
  <c r="E8" i="5"/>
  <c r="F8" i="5"/>
  <c r="C9" i="5"/>
  <c r="D9" i="5"/>
  <c r="E9" i="5"/>
  <c r="F9" i="5"/>
  <c r="C10" i="5"/>
  <c r="D10" i="5"/>
  <c r="E10" i="5"/>
  <c r="F10" i="5"/>
  <c r="C11" i="5"/>
  <c r="D11" i="5"/>
  <c r="E11" i="5"/>
  <c r="F11" i="5"/>
  <c r="C12" i="5"/>
  <c r="D12" i="5"/>
  <c r="E12" i="5"/>
  <c r="F12" i="5"/>
  <c r="C13" i="5"/>
  <c r="D13" i="5"/>
  <c r="E13" i="5"/>
  <c r="F13" i="5"/>
  <c r="C14" i="5"/>
  <c r="D14" i="5"/>
  <c r="E14" i="5"/>
  <c r="F14" i="5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C54" i="5"/>
  <c r="D54" i="5"/>
  <c r="E54" i="5"/>
  <c r="F54" i="5"/>
  <c r="C55" i="5"/>
  <c r="D55" i="5"/>
  <c r="E55" i="5"/>
  <c r="F55" i="5"/>
  <c r="C56" i="5"/>
  <c r="D56" i="5"/>
  <c r="E56" i="5"/>
  <c r="F56" i="5"/>
  <c r="C57" i="5"/>
  <c r="D57" i="5"/>
  <c r="E57" i="5"/>
  <c r="F57" i="5"/>
  <c r="C58" i="5"/>
  <c r="D58" i="5"/>
  <c r="E58" i="5"/>
  <c r="F58" i="5"/>
  <c r="C59" i="5"/>
  <c r="D59" i="5"/>
  <c r="E59" i="5"/>
  <c r="F59" i="5"/>
  <c r="C60" i="5"/>
  <c r="D60" i="5"/>
  <c r="E60" i="5"/>
  <c r="F60" i="5"/>
  <c r="C61" i="5"/>
  <c r="D61" i="5"/>
  <c r="E61" i="5"/>
  <c r="F61" i="5"/>
  <c r="C62" i="5"/>
  <c r="D62" i="5"/>
  <c r="E62" i="5"/>
  <c r="F62" i="5"/>
  <c r="C63" i="5"/>
  <c r="D63" i="5"/>
  <c r="E63" i="5"/>
  <c r="F63" i="5"/>
  <c r="C64" i="5"/>
  <c r="D64" i="5"/>
  <c r="E64" i="5"/>
  <c r="F64" i="5"/>
  <c r="C65" i="5"/>
  <c r="D65" i="5"/>
  <c r="E65" i="5"/>
  <c r="F65" i="5"/>
  <c r="C66" i="5"/>
  <c r="D66" i="5"/>
  <c r="E66" i="5"/>
  <c r="F66" i="5"/>
  <c r="C67" i="5"/>
  <c r="D67" i="5"/>
  <c r="E67" i="5"/>
  <c r="F67" i="5"/>
  <c r="C68" i="5"/>
  <c r="D68" i="5"/>
  <c r="E68" i="5"/>
  <c r="F68" i="5"/>
  <c r="C69" i="5"/>
  <c r="D69" i="5"/>
  <c r="E69" i="5"/>
  <c r="F69" i="5"/>
  <c r="C70" i="5"/>
  <c r="D70" i="5"/>
  <c r="E70" i="5"/>
  <c r="F70" i="5"/>
  <c r="C71" i="5"/>
  <c r="D71" i="5"/>
  <c r="E71" i="5"/>
  <c r="F71" i="5"/>
  <c r="C72" i="5"/>
  <c r="D72" i="5"/>
  <c r="E72" i="5"/>
  <c r="F72" i="5"/>
  <c r="C73" i="5"/>
  <c r="D73" i="5"/>
  <c r="E73" i="5"/>
  <c r="F73" i="5"/>
  <c r="C74" i="5"/>
  <c r="D74" i="5"/>
  <c r="E74" i="5"/>
  <c r="F74" i="5"/>
  <c r="C75" i="5"/>
  <c r="D75" i="5"/>
  <c r="E75" i="5"/>
  <c r="F75" i="5"/>
  <c r="C76" i="5"/>
  <c r="D76" i="5"/>
  <c r="E76" i="5"/>
  <c r="F76" i="5"/>
  <c r="C77" i="5"/>
  <c r="D77" i="5"/>
  <c r="E77" i="5"/>
  <c r="F77" i="5"/>
  <c r="C78" i="5"/>
  <c r="D78" i="5"/>
  <c r="E78" i="5"/>
  <c r="F78" i="5"/>
  <c r="C79" i="5"/>
  <c r="D79" i="5"/>
  <c r="E79" i="5"/>
  <c r="F79" i="5"/>
  <c r="C80" i="5"/>
  <c r="D80" i="5"/>
  <c r="E80" i="5"/>
  <c r="F80" i="5"/>
  <c r="C81" i="5"/>
  <c r="D81" i="5"/>
  <c r="E81" i="5"/>
  <c r="F81" i="5"/>
  <c r="C82" i="5"/>
  <c r="D82" i="5"/>
  <c r="E82" i="5"/>
  <c r="F82" i="5"/>
  <c r="C83" i="5"/>
  <c r="D83" i="5"/>
  <c r="E83" i="5"/>
  <c r="F83" i="5"/>
  <c r="C84" i="5"/>
  <c r="D84" i="5"/>
  <c r="E84" i="5"/>
  <c r="F84" i="5"/>
  <c r="C85" i="5"/>
  <c r="D85" i="5"/>
  <c r="E85" i="5"/>
  <c r="F85" i="5"/>
  <c r="C86" i="5"/>
  <c r="D86" i="5"/>
  <c r="E86" i="5"/>
  <c r="F86" i="5"/>
  <c r="C87" i="5"/>
  <c r="D87" i="5"/>
  <c r="E87" i="5"/>
  <c r="F87" i="5"/>
  <c r="C88" i="5"/>
  <c r="D88" i="5"/>
  <c r="E88" i="5"/>
  <c r="F88" i="5"/>
  <c r="C89" i="5"/>
  <c r="D89" i="5"/>
  <c r="E89" i="5"/>
  <c r="F89" i="5"/>
  <c r="C90" i="5"/>
  <c r="D90" i="5"/>
  <c r="E90" i="5"/>
  <c r="F90" i="5"/>
  <c r="C91" i="5"/>
  <c r="D91" i="5"/>
  <c r="E91" i="5"/>
  <c r="F91" i="5"/>
  <c r="C92" i="5"/>
  <c r="D92" i="5"/>
  <c r="E92" i="5"/>
  <c r="F92" i="5"/>
  <c r="C93" i="5"/>
  <c r="D93" i="5"/>
  <c r="E93" i="5"/>
  <c r="F93" i="5"/>
  <c r="C94" i="5"/>
  <c r="D94" i="5"/>
  <c r="E94" i="5"/>
  <c r="F94" i="5"/>
  <c r="C95" i="5"/>
  <c r="D95" i="5"/>
  <c r="E95" i="5"/>
  <c r="F95" i="5"/>
  <c r="C96" i="5"/>
  <c r="D96" i="5"/>
  <c r="E96" i="5"/>
  <c r="F96" i="5"/>
  <c r="C97" i="5"/>
  <c r="D97" i="5"/>
  <c r="E97" i="5"/>
  <c r="F97" i="5"/>
  <c r="C98" i="5"/>
  <c r="D98" i="5"/>
  <c r="E98" i="5"/>
  <c r="F98" i="5"/>
  <c r="C99" i="5"/>
  <c r="D99" i="5"/>
  <c r="E99" i="5"/>
  <c r="F99" i="5"/>
  <c r="C100" i="5"/>
  <c r="D100" i="5"/>
  <c r="E100" i="5"/>
  <c r="F100" i="5"/>
  <c r="C101" i="5"/>
  <c r="D101" i="5"/>
  <c r="E101" i="5"/>
  <c r="F101" i="5"/>
  <c r="C102" i="5"/>
  <c r="D102" i="5"/>
  <c r="E102" i="5"/>
  <c r="F102" i="5"/>
  <c r="C103" i="5"/>
  <c r="D103" i="5"/>
  <c r="E103" i="5"/>
  <c r="F103" i="5"/>
  <c r="C104" i="5"/>
  <c r="D104" i="5"/>
  <c r="E104" i="5"/>
  <c r="F104" i="5"/>
  <c r="C105" i="5"/>
  <c r="D105" i="5"/>
  <c r="E105" i="5"/>
  <c r="F105" i="5"/>
  <c r="C106" i="5"/>
  <c r="D106" i="5"/>
  <c r="E106" i="5"/>
  <c r="F106" i="5"/>
  <c r="C107" i="5"/>
  <c r="D107" i="5"/>
  <c r="E107" i="5"/>
  <c r="F107" i="5"/>
  <c r="C108" i="5"/>
  <c r="D108" i="5"/>
  <c r="E108" i="5"/>
  <c r="F108" i="5"/>
  <c r="C109" i="5"/>
  <c r="D109" i="5"/>
  <c r="E109" i="5"/>
  <c r="F109" i="5"/>
  <c r="C110" i="5"/>
  <c r="D110" i="5"/>
  <c r="E110" i="5"/>
  <c r="F110" i="5"/>
  <c r="C111" i="5"/>
  <c r="D111" i="5"/>
  <c r="E111" i="5"/>
  <c r="F111" i="5"/>
  <c r="C112" i="5"/>
  <c r="D112" i="5"/>
  <c r="E112" i="5"/>
  <c r="F112" i="5"/>
  <c r="C113" i="5"/>
  <c r="D113" i="5"/>
  <c r="E113" i="5"/>
  <c r="F113" i="5"/>
  <c r="C114" i="5"/>
  <c r="D114" i="5"/>
  <c r="E114" i="5"/>
  <c r="F114" i="5"/>
  <c r="C115" i="5"/>
  <c r="D115" i="5"/>
  <c r="E115" i="5"/>
  <c r="F115" i="5"/>
  <c r="C116" i="5"/>
  <c r="D116" i="5"/>
  <c r="E116" i="5"/>
  <c r="F116" i="5"/>
  <c r="C117" i="5"/>
  <c r="D117" i="5"/>
  <c r="E117" i="5"/>
  <c r="F117" i="5"/>
  <c r="C118" i="5"/>
  <c r="D118" i="5"/>
  <c r="E118" i="5"/>
  <c r="F118" i="5"/>
  <c r="C119" i="5"/>
  <c r="D119" i="5"/>
  <c r="E119" i="5"/>
  <c r="F119" i="5"/>
  <c r="C120" i="5"/>
  <c r="D120" i="5"/>
  <c r="E120" i="5"/>
  <c r="F120" i="5"/>
  <c r="C121" i="5"/>
  <c r="D121" i="5"/>
  <c r="E121" i="5"/>
  <c r="F121" i="5"/>
  <c r="C122" i="5"/>
  <c r="D122" i="5"/>
  <c r="E122" i="5"/>
  <c r="F122" i="5"/>
  <c r="C123" i="5"/>
  <c r="D123" i="5"/>
  <c r="E123" i="5"/>
  <c r="F123" i="5"/>
  <c r="C124" i="5"/>
  <c r="D124" i="5"/>
  <c r="E124" i="5"/>
  <c r="F124" i="5"/>
  <c r="C125" i="5"/>
  <c r="D125" i="5"/>
  <c r="E125" i="5"/>
  <c r="F125" i="5"/>
  <c r="C126" i="5"/>
  <c r="D126" i="5"/>
  <c r="E126" i="5"/>
  <c r="F126" i="5"/>
  <c r="C127" i="5"/>
  <c r="D127" i="5"/>
  <c r="E127" i="5"/>
  <c r="F127" i="5"/>
  <c r="C128" i="5"/>
  <c r="D128" i="5"/>
  <c r="E128" i="5"/>
  <c r="F128" i="5"/>
  <c r="C129" i="5"/>
  <c r="D129" i="5"/>
  <c r="E129" i="5"/>
  <c r="F129" i="5"/>
  <c r="C130" i="5"/>
  <c r="D130" i="5"/>
  <c r="E130" i="5"/>
  <c r="F130" i="5"/>
  <c r="C131" i="5"/>
  <c r="D131" i="5"/>
  <c r="E131" i="5"/>
  <c r="F131" i="5"/>
  <c r="C132" i="5"/>
  <c r="D132" i="5"/>
  <c r="E132" i="5"/>
  <c r="F132" i="5"/>
  <c r="C133" i="5"/>
  <c r="D133" i="5"/>
  <c r="E133" i="5"/>
  <c r="F133" i="5"/>
  <c r="C134" i="5"/>
  <c r="D134" i="5"/>
  <c r="E134" i="5"/>
  <c r="F134" i="5"/>
  <c r="C135" i="5"/>
  <c r="D135" i="5"/>
  <c r="E135" i="5"/>
  <c r="F135" i="5"/>
  <c r="C136" i="5"/>
  <c r="D136" i="5"/>
  <c r="E136" i="5"/>
  <c r="F136" i="5"/>
  <c r="C137" i="5"/>
  <c r="D137" i="5"/>
  <c r="E137" i="5"/>
  <c r="F137" i="5"/>
  <c r="C138" i="5"/>
  <c r="D138" i="5"/>
  <c r="E138" i="5"/>
  <c r="F138" i="5"/>
  <c r="C139" i="5"/>
  <c r="D139" i="5"/>
  <c r="E139" i="5"/>
  <c r="F139" i="5"/>
  <c r="C140" i="5"/>
  <c r="D140" i="5"/>
  <c r="E140" i="5"/>
  <c r="F140" i="5"/>
  <c r="C141" i="5"/>
  <c r="D141" i="5"/>
  <c r="E141" i="5"/>
  <c r="F141" i="5"/>
  <c r="C142" i="5"/>
  <c r="D142" i="5"/>
  <c r="E142" i="5"/>
  <c r="F142" i="5"/>
  <c r="C143" i="5"/>
  <c r="D143" i="5"/>
  <c r="E143" i="5"/>
  <c r="F143" i="5"/>
  <c r="C144" i="5"/>
  <c r="D144" i="5"/>
  <c r="E144" i="5"/>
  <c r="F144" i="5"/>
  <c r="C145" i="5"/>
  <c r="D145" i="5"/>
  <c r="E145" i="5"/>
  <c r="F145" i="5"/>
  <c r="C146" i="5"/>
  <c r="D146" i="5"/>
  <c r="E146" i="5"/>
  <c r="F146" i="5"/>
  <c r="C147" i="5"/>
  <c r="D147" i="5"/>
  <c r="E147" i="5"/>
  <c r="F147" i="5"/>
  <c r="C148" i="5"/>
  <c r="D148" i="5"/>
  <c r="E148" i="5"/>
  <c r="F148" i="5"/>
  <c r="C149" i="5"/>
  <c r="D149" i="5"/>
  <c r="E149" i="5"/>
  <c r="F149" i="5"/>
  <c r="C150" i="5"/>
  <c r="D150" i="5"/>
  <c r="E150" i="5"/>
  <c r="F150" i="5"/>
  <c r="C151" i="5"/>
  <c r="D151" i="5"/>
  <c r="E151" i="5"/>
  <c r="F151" i="5"/>
  <c r="C152" i="5"/>
  <c r="D152" i="5"/>
  <c r="E152" i="5"/>
  <c r="F152" i="5"/>
  <c r="C153" i="5"/>
  <c r="D153" i="5"/>
  <c r="E153" i="5"/>
  <c r="F153" i="5"/>
  <c r="C154" i="5"/>
  <c r="D154" i="5"/>
  <c r="E154" i="5"/>
  <c r="F154" i="5"/>
  <c r="C155" i="5"/>
  <c r="D155" i="5"/>
  <c r="E155" i="5"/>
  <c r="F155" i="5"/>
  <c r="C156" i="5"/>
  <c r="D156" i="5"/>
  <c r="E156" i="5"/>
  <c r="F156" i="5"/>
  <c r="C157" i="5"/>
  <c r="D157" i="5"/>
  <c r="E157" i="5"/>
  <c r="F157" i="5"/>
  <c r="C158" i="5"/>
  <c r="D158" i="5"/>
  <c r="E158" i="5"/>
  <c r="F158" i="5"/>
  <c r="C159" i="5"/>
  <c r="D159" i="5"/>
  <c r="E159" i="5"/>
  <c r="F159" i="5"/>
  <c r="C160" i="5"/>
  <c r="D160" i="5"/>
  <c r="E160" i="5"/>
  <c r="F160" i="5"/>
  <c r="C161" i="5"/>
  <c r="D161" i="5"/>
  <c r="E161" i="5"/>
  <c r="F161" i="5"/>
  <c r="C162" i="5"/>
  <c r="D162" i="5"/>
  <c r="E162" i="5"/>
  <c r="F162" i="5"/>
  <c r="C163" i="5"/>
  <c r="D163" i="5"/>
  <c r="E163" i="5"/>
  <c r="F163" i="5"/>
  <c r="C164" i="5"/>
  <c r="D164" i="5"/>
  <c r="E164" i="5"/>
  <c r="F164" i="5"/>
  <c r="C165" i="5"/>
  <c r="D165" i="5"/>
  <c r="E165" i="5"/>
  <c r="F165" i="5"/>
  <c r="C166" i="5"/>
  <c r="D166" i="5"/>
  <c r="E166" i="5"/>
  <c r="F166" i="5"/>
  <c r="C167" i="5"/>
  <c r="D167" i="5"/>
  <c r="E167" i="5"/>
  <c r="F167" i="5"/>
  <c r="C168" i="5"/>
  <c r="D168" i="5"/>
  <c r="E168" i="5"/>
  <c r="F168" i="5"/>
  <c r="C169" i="5"/>
  <c r="D169" i="5"/>
  <c r="E169" i="5"/>
  <c r="F169" i="5"/>
  <c r="C170" i="5"/>
  <c r="D170" i="5"/>
  <c r="E170" i="5"/>
  <c r="F170" i="5"/>
  <c r="C171" i="5"/>
  <c r="D171" i="5"/>
  <c r="E171" i="5"/>
  <c r="F171" i="5"/>
  <c r="C172" i="5"/>
  <c r="D172" i="5"/>
  <c r="E172" i="5"/>
  <c r="F172" i="5"/>
  <c r="C173" i="5"/>
  <c r="D173" i="5"/>
  <c r="E173" i="5"/>
  <c r="F173" i="5"/>
  <c r="C174" i="5"/>
  <c r="D174" i="5"/>
  <c r="E174" i="5"/>
  <c r="F174" i="5"/>
  <c r="C175" i="5"/>
  <c r="D175" i="5"/>
  <c r="E175" i="5"/>
  <c r="F175" i="5"/>
  <c r="C176" i="5"/>
  <c r="D176" i="5"/>
  <c r="E176" i="5"/>
  <c r="F176" i="5"/>
  <c r="C177" i="5"/>
  <c r="D177" i="5"/>
  <c r="E177" i="5"/>
  <c r="F177" i="5"/>
  <c r="C178" i="5"/>
  <c r="D178" i="5"/>
  <c r="E178" i="5"/>
  <c r="F178" i="5"/>
  <c r="C179" i="5"/>
  <c r="D179" i="5"/>
  <c r="E179" i="5"/>
  <c r="F179" i="5"/>
  <c r="C180" i="5"/>
  <c r="D180" i="5"/>
  <c r="E180" i="5"/>
  <c r="F180" i="5"/>
  <c r="C181" i="5"/>
  <c r="D181" i="5"/>
  <c r="E181" i="5"/>
  <c r="F181" i="5"/>
  <c r="C182" i="5"/>
  <c r="D182" i="5"/>
  <c r="E182" i="5"/>
  <c r="F182" i="5"/>
  <c r="C183" i="5"/>
  <c r="D183" i="5"/>
  <c r="E183" i="5"/>
  <c r="F183" i="5"/>
  <c r="C184" i="5"/>
  <c r="D184" i="5"/>
  <c r="E184" i="5"/>
  <c r="F184" i="5"/>
  <c r="C185" i="5"/>
  <c r="D185" i="5"/>
  <c r="E185" i="5"/>
  <c r="F185" i="5"/>
  <c r="C186" i="5"/>
  <c r="D186" i="5"/>
  <c r="E186" i="5"/>
  <c r="F186" i="5"/>
  <c r="C187" i="5"/>
  <c r="D187" i="5"/>
  <c r="E187" i="5"/>
  <c r="F187" i="5"/>
  <c r="C188" i="5"/>
  <c r="D188" i="5"/>
  <c r="E188" i="5"/>
  <c r="F188" i="5"/>
  <c r="C189" i="5"/>
  <c r="D189" i="5"/>
  <c r="E189" i="5"/>
  <c r="F189" i="5"/>
  <c r="C190" i="5"/>
  <c r="D190" i="5"/>
  <c r="E190" i="5"/>
  <c r="F190" i="5"/>
  <c r="C191" i="5"/>
  <c r="D191" i="5"/>
  <c r="E191" i="5"/>
  <c r="F191" i="5"/>
  <c r="C192" i="5"/>
  <c r="D192" i="5"/>
  <c r="E192" i="5"/>
  <c r="F192" i="5"/>
  <c r="C193" i="5"/>
  <c r="D193" i="5"/>
  <c r="E193" i="5"/>
  <c r="F193" i="5"/>
  <c r="C194" i="5"/>
  <c r="D194" i="5"/>
  <c r="E194" i="5"/>
  <c r="F194" i="5"/>
  <c r="C195" i="5"/>
  <c r="D195" i="5"/>
  <c r="E195" i="5"/>
  <c r="F195" i="5"/>
  <c r="C196" i="5"/>
  <c r="D196" i="5"/>
  <c r="E196" i="5"/>
  <c r="F196" i="5"/>
  <c r="C197" i="5"/>
  <c r="D197" i="5"/>
  <c r="E197" i="5"/>
  <c r="F197" i="5"/>
  <c r="C198" i="5"/>
  <c r="D198" i="5"/>
  <c r="E198" i="5"/>
  <c r="F198" i="5"/>
  <c r="C199" i="5"/>
  <c r="D199" i="5"/>
  <c r="E199" i="5"/>
  <c r="F199" i="5"/>
  <c r="C200" i="5"/>
  <c r="D200" i="5"/>
  <c r="E200" i="5"/>
  <c r="F200" i="5"/>
  <c r="C201" i="5"/>
  <c r="D201" i="5"/>
  <c r="E201" i="5"/>
  <c r="F201" i="5"/>
  <c r="C202" i="5"/>
  <c r="D202" i="5"/>
  <c r="E202" i="5"/>
  <c r="F202" i="5"/>
  <c r="C203" i="5"/>
  <c r="D203" i="5"/>
  <c r="E203" i="5"/>
  <c r="F203" i="5"/>
  <c r="C204" i="5"/>
  <c r="D204" i="5"/>
  <c r="E204" i="5"/>
  <c r="F204" i="5"/>
  <c r="C205" i="5"/>
  <c r="D205" i="5"/>
  <c r="E205" i="5"/>
  <c r="F205" i="5"/>
  <c r="C206" i="5"/>
  <c r="D206" i="5"/>
  <c r="E206" i="5"/>
  <c r="F206" i="5"/>
  <c r="C207" i="5"/>
  <c r="D207" i="5"/>
  <c r="E207" i="5"/>
  <c r="F207" i="5"/>
  <c r="C208" i="5"/>
  <c r="D208" i="5"/>
  <c r="E208" i="5"/>
  <c r="F208" i="5"/>
  <c r="C209" i="5"/>
  <c r="D209" i="5"/>
  <c r="E209" i="5"/>
  <c r="F209" i="5"/>
  <c r="C210" i="5"/>
  <c r="D210" i="5"/>
  <c r="E210" i="5"/>
  <c r="F210" i="5"/>
  <c r="C211" i="5"/>
  <c r="D211" i="5"/>
  <c r="E211" i="5"/>
  <c r="F211" i="5"/>
  <c r="C212" i="5"/>
  <c r="D212" i="5"/>
  <c r="E212" i="5"/>
  <c r="F212" i="5"/>
  <c r="C213" i="5"/>
  <c r="D213" i="5"/>
  <c r="E213" i="5"/>
  <c r="F213" i="5"/>
  <c r="C214" i="5"/>
  <c r="D214" i="5"/>
  <c r="E214" i="5"/>
  <c r="F214" i="5"/>
  <c r="C215" i="5"/>
  <c r="D215" i="5"/>
  <c r="E215" i="5"/>
  <c r="F215" i="5"/>
  <c r="C216" i="5"/>
  <c r="D216" i="5"/>
  <c r="E216" i="5"/>
  <c r="F216" i="5"/>
  <c r="C217" i="5"/>
  <c r="D217" i="5"/>
  <c r="E217" i="5"/>
  <c r="F217" i="5"/>
  <c r="C218" i="5"/>
  <c r="D218" i="5"/>
  <c r="E218" i="5"/>
  <c r="F218" i="5"/>
  <c r="C219" i="5"/>
  <c r="D219" i="5"/>
  <c r="E219" i="5"/>
  <c r="F219" i="5"/>
  <c r="C220" i="5"/>
  <c r="D220" i="5"/>
  <c r="E220" i="5"/>
  <c r="F220" i="5"/>
  <c r="C221" i="5"/>
  <c r="D221" i="5"/>
  <c r="E221" i="5"/>
  <c r="F221" i="5"/>
  <c r="C222" i="5"/>
  <c r="D222" i="5"/>
  <c r="E222" i="5"/>
  <c r="F222" i="5"/>
  <c r="C223" i="5"/>
  <c r="D223" i="5"/>
  <c r="E223" i="5"/>
  <c r="F223" i="5"/>
  <c r="C224" i="5"/>
  <c r="D224" i="5"/>
  <c r="E224" i="5"/>
  <c r="F224" i="5"/>
  <c r="C225" i="5"/>
  <c r="D225" i="5"/>
  <c r="E225" i="5"/>
  <c r="F225" i="5"/>
  <c r="C226" i="5"/>
  <c r="D226" i="5"/>
  <c r="E226" i="5"/>
  <c r="F226" i="5"/>
  <c r="C227" i="5"/>
  <c r="D227" i="5"/>
  <c r="E227" i="5"/>
  <c r="F227" i="5"/>
  <c r="C228" i="5"/>
  <c r="D228" i="5"/>
  <c r="E228" i="5"/>
  <c r="F228" i="5"/>
  <c r="C229" i="5"/>
  <c r="D229" i="5"/>
  <c r="E229" i="5"/>
  <c r="F229" i="5"/>
  <c r="C230" i="5"/>
  <c r="D230" i="5"/>
  <c r="E230" i="5"/>
  <c r="F230" i="5"/>
  <c r="C231" i="5"/>
  <c r="D231" i="5"/>
  <c r="E231" i="5"/>
  <c r="F231" i="5"/>
  <c r="C232" i="5"/>
  <c r="D232" i="5"/>
  <c r="E232" i="5"/>
  <c r="F232" i="5"/>
  <c r="C233" i="5"/>
  <c r="D233" i="5"/>
  <c r="E233" i="5"/>
  <c r="F233" i="5"/>
  <c r="C234" i="5"/>
  <c r="D234" i="5"/>
  <c r="E234" i="5"/>
  <c r="F234" i="5"/>
  <c r="C235" i="5"/>
  <c r="D235" i="5"/>
  <c r="E235" i="5"/>
  <c r="F235" i="5"/>
  <c r="C236" i="5"/>
  <c r="D236" i="5"/>
  <c r="E236" i="5"/>
  <c r="F236" i="5"/>
  <c r="C237" i="5"/>
  <c r="D237" i="5"/>
  <c r="E237" i="5"/>
  <c r="F237" i="5"/>
  <c r="C238" i="5"/>
  <c r="D238" i="5"/>
  <c r="E238" i="5"/>
  <c r="F238" i="5"/>
  <c r="C239" i="5"/>
  <c r="D239" i="5"/>
  <c r="E239" i="5"/>
  <c r="F239" i="5"/>
  <c r="C240" i="5"/>
  <c r="D240" i="5"/>
  <c r="E240" i="5"/>
  <c r="F240" i="5"/>
  <c r="C241" i="5"/>
  <c r="D241" i="5"/>
  <c r="E241" i="5"/>
  <c r="F241" i="5"/>
  <c r="C242" i="5"/>
  <c r="D242" i="5"/>
  <c r="E242" i="5"/>
  <c r="F242" i="5"/>
  <c r="C243" i="5"/>
  <c r="D243" i="5"/>
  <c r="E243" i="5"/>
  <c r="F243" i="5"/>
  <c r="C244" i="5"/>
  <c r="D244" i="5"/>
  <c r="E244" i="5"/>
  <c r="F244" i="5"/>
  <c r="C245" i="5"/>
  <c r="D245" i="5"/>
  <c r="E245" i="5"/>
  <c r="F245" i="5"/>
  <c r="C246" i="5"/>
  <c r="D246" i="5"/>
  <c r="E246" i="5"/>
  <c r="F246" i="5"/>
  <c r="C247" i="5"/>
  <c r="D247" i="5"/>
  <c r="E247" i="5"/>
  <c r="F247" i="5"/>
  <c r="C248" i="5"/>
  <c r="D248" i="5"/>
  <c r="E248" i="5"/>
  <c r="F248" i="5"/>
  <c r="C249" i="5"/>
  <c r="D249" i="5"/>
  <c r="E249" i="5"/>
  <c r="F249" i="5"/>
  <c r="C250" i="5"/>
  <c r="D250" i="5"/>
  <c r="E250" i="5"/>
  <c r="F250" i="5"/>
  <c r="C251" i="5"/>
  <c r="D251" i="5"/>
  <c r="E251" i="5"/>
  <c r="F251" i="5"/>
  <c r="C252" i="5"/>
  <c r="D252" i="5"/>
  <c r="E252" i="5"/>
  <c r="F252" i="5"/>
  <c r="C253" i="5"/>
  <c r="D253" i="5"/>
  <c r="E253" i="5"/>
  <c r="F253" i="5"/>
  <c r="C254" i="5"/>
  <c r="D254" i="5"/>
  <c r="E254" i="5"/>
  <c r="F254" i="5"/>
  <c r="C255" i="5"/>
  <c r="D255" i="5"/>
  <c r="E255" i="5"/>
  <c r="F255" i="5"/>
  <c r="C256" i="5"/>
  <c r="D256" i="5"/>
  <c r="E256" i="5"/>
  <c r="F256" i="5"/>
  <c r="C257" i="5"/>
  <c r="D257" i="5"/>
  <c r="E257" i="5"/>
  <c r="F257" i="5"/>
  <c r="C258" i="5"/>
  <c r="D258" i="5"/>
  <c r="E258" i="5"/>
  <c r="F258" i="5"/>
  <c r="C259" i="5"/>
  <c r="D259" i="5"/>
  <c r="E259" i="5"/>
  <c r="F259" i="5"/>
  <c r="C260" i="5"/>
  <c r="D260" i="5"/>
  <c r="E260" i="5"/>
  <c r="F260" i="5"/>
  <c r="D4" i="5"/>
  <c r="E4" i="5"/>
  <c r="F4" i="5"/>
  <c r="G3" i="5"/>
  <c r="H3" i="5"/>
  <c r="I3" i="5"/>
  <c r="F3" i="5"/>
  <c r="C4" i="5"/>
  <c r="AR4" i="1"/>
  <c r="C1" i="3"/>
  <c r="C5" i="3"/>
  <c r="C4" i="3"/>
  <c r="Y7" i="2"/>
  <c r="Y15" i="2"/>
  <c r="Y23" i="2"/>
  <c r="Y31" i="2"/>
  <c r="Y39" i="2"/>
  <c r="Y47" i="2"/>
  <c r="Y55" i="2"/>
  <c r="Y63" i="2"/>
  <c r="Y71" i="2"/>
  <c r="Y79" i="2"/>
  <c r="Y87" i="2"/>
  <c r="Y95" i="2"/>
  <c r="Y103" i="2"/>
  <c r="Y111" i="2"/>
  <c r="Y119" i="2"/>
  <c r="Y127" i="2"/>
  <c r="Y135" i="2"/>
  <c r="Y143" i="2"/>
  <c r="Y151" i="2"/>
  <c r="AC143" i="2"/>
  <c r="V122" i="2"/>
  <c r="AC55" i="2"/>
  <c r="V61" i="2"/>
  <c r="AC63" i="2"/>
  <c r="V69" i="2"/>
  <c r="AC71" i="2"/>
  <c r="V77" i="2"/>
  <c r="AC79" i="2"/>
  <c r="V85" i="2"/>
  <c r="AC87" i="2"/>
  <c r="V93" i="2"/>
  <c r="AC95" i="2"/>
  <c r="V101" i="2"/>
  <c r="AC103" i="2"/>
  <c r="V109" i="2"/>
  <c r="AC111" i="2"/>
  <c r="V117" i="2"/>
  <c r="AC119" i="2"/>
  <c r="V125" i="2"/>
  <c r="AC127" i="2"/>
  <c r="V133" i="2"/>
  <c r="AC135" i="2"/>
  <c r="V141" i="2"/>
  <c r="V149" i="2"/>
  <c r="AC151" i="2"/>
  <c r="V150" i="2"/>
  <c r="V74" i="2"/>
  <c r="Y10" i="2"/>
  <c r="Y18" i="2"/>
  <c r="Y26" i="2"/>
  <c r="Y34" i="2"/>
  <c r="Y42" i="2"/>
  <c r="Y50" i="2"/>
  <c r="Y58" i="2"/>
  <c r="Y66" i="2"/>
  <c r="Y74" i="2"/>
  <c r="Y82" i="2"/>
  <c r="Y90" i="2"/>
  <c r="Y98" i="2"/>
  <c r="Y106" i="2"/>
  <c r="Y114" i="2"/>
  <c r="Y122" i="2"/>
  <c r="Y130" i="2"/>
  <c r="Y138" i="2"/>
  <c r="Y146" i="2"/>
  <c r="V54" i="2"/>
  <c r="V70" i="2"/>
  <c r="AC96" i="2"/>
  <c r="AC120" i="2"/>
  <c r="AC136" i="2"/>
  <c r="AC142" i="2"/>
  <c r="V98" i="2"/>
  <c r="V138" i="2"/>
  <c r="V56" i="2"/>
  <c r="AC58" i="2"/>
  <c r="V64" i="2"/>
  <c r="AC66" i="2"/>
  <c r="V72" i="2"/>
  <c r="AC74" i="2"/>
  <c r="V80" i="2"/>
  <c r="AC82" i="2"/>
  <c r="V88" i="2"/>
  <c r="AC90" i="2"/>
  <c r="V96" i="2"/>
  <c r="AC98" i="2"/>
  <c r="V104" i="2"/>
  <c r="AC106" i="2"/>
  <c r="V112" i="2"/>
  <c r="AC114" i="2"/>
  <c r="V120" i="2"/>
  <c r="AC122" i="2"/>
  <c r="V128" i="2"/>
  <c r="AC130" i="2"/>
  <c r="V136" i="2"/>
  <c r="AC138" i="2"/>
  <c r="V144" i="2"/>
  <c r="AC146" i="2"/>
  <c r="V78" i="2"/>
  <c r="AC104" i="2"/>
  <c r="AC68" i="2"/>
  <c r="AC108" i="2"/>
  <c r="Y5" i="2"/>
  <c r="Y13" i="2"/>
  <c r="Y21" i="2"/>
  <c r="Y29" i="2"/>
  <c r="Y37" i="2"/>
  <c r="Y45" i="2"/>
  <c r="Y53" i="2"/>
  <c r="Y61" i="2"/>
  <c r="Y69" i="2"/>
  <c r="Y77" i="2"/>
  <c r="Y85" i="2"/>
  <c r="Y93" i="2"/>
  <c r="Y101" i="2"/>
  <c r="Y109" i="2"/>
  <c r="Y117" i="2"/>
  <c r="Y125" i="2"/>
  <c r="Y133" i="2"/>
  <c r="Y141" i="2"/>
  <c r="Y149" i="2"/>
  <c r="AC64" i="2"/>
  <c r="AC72" i="2"/>
  <c r="V86" i="2"/>
  <c r="V110" i="2"/>
  <c r="V134" i="2"/>
  <c r="V58" i="2"/>
  <c r="AC92" i="2"/>
  <c r="AC124" i="2"/>
  <c r="V59" i="2"/>
  <c r="AC61" i="2"/>
  <c r="V67" i="2"/>
  <c r="AC69" i="2"/>
  <c r="V75" i="2"/>
  <c r="AC77" i="2"/>
  <c r="V83" i="2"/>
  <c r="AC85" i="2"/>
  <c r="V91" i="2"/>
  <c r="AC93" i="2"/>
  <c r="V99" i="2"/>
  <c r="AC101" i="2"/>
  <c r="V107" i="2"/>
  <c r="AC109" i="2"/>
  <c r="V115" i="2"/>
  <c r="AC117" i="2"/>
  <c r="V123" i="2"/>
  <c r="AC125" i="2"/>
  <c r="V131" i="2"/>
  <c r="AC133" i="2"/>
  <c r="V139" i="2"/>
  <c r="AC141" i="2"/>
  <c r="V147" i="2"/>
  <c r="AC149" i="2"/>
  <c r="V62" i="2"/>
  <c r="AC88" i="2"/>
  <c r="V102" i="2"/>
  <c r="AC112" i="2"/>
  <c r="V126" i="2"/>
  <c r="V142" i="2"/>
  <c r="AC76" i="2"/>
  <c r="AC116" i="2"/>
  <c r="AC140" i="2"/>
  <c r="Y8" i="2"/>
  <c r="Y16" i="2"/>
  <c r="Y24" i="2"/>
  <c r="Y32" i="2"/>
  <c r="Y40" i="2"/>
  <c r="Y48" i="2"/>
  <c r="Y56" i="2"/>
  <c r="Y64" i="2"/>
  <c r="Y72" i="2"/>
  <c r="Y80" i="2"/>
  <c r="Y88" i="2"/>
  <c r="Y96" i="2"/>
  <c r="Y104" i="2"/>
  <c r="Y112" i="2"/>
  <c r="Y120" i="2"/>
  <c r="Y128" i="2"/>
  <c r="Y136" i="2"/>
  <c r="Y144" i="2"/>
  <c r="AC56" i="2"/>
  <c r="V118" i="2"/>
  <c r="AC84" i="2"/>
  <c r="AC80" i="2"/>
  <c r="V94" i="2"/>
  <c r="AC128" i="2"/>
  <c r="AC144" i="2"/>
  <c r="AC60" i="2"/>
  <c r="Y11" i="2"/>
  <c r="Y19" i="2"/>
  <c r="Y27" i="2"/>
  <c r="Y35" i="2"/>
  <c r="Y43" i="2"/>
  <c r="Y51" i="2"/>
  <c r="Y59" i="2"/>
  <c r="Y67" i="2"/>
  <c r="Y75" i="2"/>
  <c r="Y83" i="2"/>
  <c r="Y91" i="2"/>
  <c r="Y99" i="2"/>
  <c r="Y107" i="2"/>
  <c r="Y115" i="2"/>
  <c r="Y123" i="2"/>
  <c r="Y131" i="2"/>
  <c r="Y139" i="2"/>
  <c r="Y147" i="2"/>
  <c r="AC139" i="2"/>
  <c r="AC150" i="2"/>
  <c r="V66" i="2"/>
  <c r="V106" i="2"/>
  <c r="AC148" i="2"/>
  <c r="V57" i="2"/>
  <c r="AC59" i="2"/>
  <c r="V65" i="2"/>
  <c r="AC67" i="2"/>
  <c r="V73" i="2"/>
  <c r="AC75" i="2"/>
  <c r="V81" i="2"/>
  <c r="AC83" i="2"/>
  <c r="V89" i="2"/>
  <c r="AC91" i="2"/>
  <c r="V97" i="2"/>
  <c r="AC99" i="2"/>
  <c r="V105" i="2"/>
  <c r="AC107" i="2"/>
  <c r="V113" i="2"/>
  <c r="AC115" i="2"/>
  <c r="V121" i="2"/>
  <c r="AC123" i="2"/>
  <c r="V129" i="2"/>
  <c r="AC131" i="2"/>
  <c r="V137" i="2"/>
  <c r="V145" i="2"/>
  <c r="AC147" i="2"/>
  <c r="V140" i="2"/>
  <c r="AC100" i="2"/>
  <c r="V146" i="2"/>
  <c r="Y6" i="2"/>
  <c r="Y14" i="2"/>
  <c r="Y22" i="2"/>
  <c r="Y30" i="2"/>
  <c r="Y38" i="2"/>
  <c r="Y46" i="2"/>
  <c r="Y54" i="2"/>
  <c r="Y62" i="2"/>
  <c r="Y70" i="2"/>
  <c r="Y78" i="2"/>
  <c r="Y86" i="2"/>
  <c r="Y94" i="2"/>
  <c r="Y102" i="2"/>
  <c r="Y110" i="2"/>
  <c r="Y118" i="2"/>
  <c r="Y126" i="2"/>
  <c r="Y134" i="2"/>
  <c r="Y142" i="2"/>
  <c r="Y150" i="2"/>
  <c r="V148" i="2"/>
  <c r="AC54" i="2"/>
  <c r="V60" i="2"/>
  <c r="AC62" i="2"/>
  <c r="V68" i="2"/>
  <c r="AC70" i="2"/>
  <c r="V76" i="2"/>
  <c r="AC78" i="2"/>
  <c r="V84" i="2"/>
  <c r="AC86" i="2"/>
  <c r="V92" i="2"/>
  <c r="AC94" i="2"/>
  <c r="V100" i="2"/>
  <c r="AC102" i="2"/>
  <c r="V108" i="2"/>
  <c r="AC110" i="2"/>
  <c r="V116" i="2"/>
  <c r="AC118" i="2"/>
  <c r="V124" i="2"/>
  <c r="AC126" i="2"/>
  <c r="V132" i="2"/>
  <c r="AC134" i="2"/>
  <c r="V90" i="2"/>
  <c r="V130" i="2"/>
  <c r="Y9" i="2"/>
  <c r="Y17" i="2"/>
  <c r="Y25" i="2"/>
  <c r="Y33" i="2"/>
  <c r="Y41" i="2"/>
  <c r="Y49" i="2"/>
  <c r="Y57" i="2"/>
  <c r="Y65" i="2"/>
  <c r="Y73" i="2"/>
  <c r="Y81" i="2"/>
  <c r="Y89" i="2"/>
  <c r="Y97" i="2"/>
  <c r="Y105" i="2"/>
  <c r="Y113" i="2"/>
  <c r="Y121" i="2"/>
  <c r="Y129" i="2"/>
  <c r="Y137" i="2"/>
  <c r="Y145" i="2"/>
  <c r="V151" i="2"/>
  <c r="V55" i="2"/>
  <c r="AC57" i="2"/>
  <c r="V63" i="2"/>
  <c r="AC65" i="2"/>
  <c r="V71" i="2"/>
  <c r="AC73" i="2"/>
  <c r="V79" i="2"/>
  <c r="AC81" i="2"/>
  <c r="V87" i="2"/>
  <c r="AC89" i="2"/>
  <c r="V95" i="2"/>
  <c r="AC97" i="2"/>
  <c r="V103" i="2"/>
  <c r="AC105" i="2"/>
  <c r="V111" i="2"/>
  <c r="AC113" i="2"/>
  <c r="V119" i="2"/>
  <c r="AC121" i="2"/>
  <c r="V127" i="2"/>
  <c r="AC129" i="2"/>
  <c r="V135" i="2"/>
  <c r="AC137" i="2"/>
  <c r="V143" i="2"/>
  <c r="AC145" i="2"/>
  <c r="V82" i="2"/>
  <c r="V114" i="2"/>
  <c r="Y12" i="2"/>
  <c r="Y20" i="2"/>
  <c r="Y28" i="2"/>
  <c r="Y36" i="2"/>
  <c r="Y44" i="2"/>
  <c r="Y52" i="2"/>
  <c r="Y60" i="2"/>
  <c r="Y68" i="2"/>
  <c r="Y76" i="2"/>
  <c r="Y84" i="2"/>
  <c r="Y92" i="2"/>
  <c r="Y100" i="2"/>
  <c r="Y108" i="2"/>
  <c r="Y116" i="2"/>
  <c r="Y124" i="2"/>
  <c r="Y132" i="2"/>
  <c r="Y140" i="2"/>
  <c r="Y148" i="2"/>
  <c r="AC132" i="2"/>
  <c r="Y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W69" i="2"/>
  <c r="W85" i="2"/>
  <c r="W101" i="2"/>
  <c r="W117" i="2"/>
  <c r="W133" i="2"/>
  <c r="W149" i="2"/>
  <c r="W84" i="2"/>
  <c r="W54" i="2"/>
  <c r="W70" i="2"/>
  <c r="W86" i="2"/>
  <c r="W102" i="2"/>
  <c r="W118" i="2"/>
  <c r="W134" i="2"/>
  <c r="W150" i="2"/>
  <c r="W55" i="2"/>
  <c r="W71" i="2"/>
  <c r="W87" i="2"/>
  <c r="W103" i="2"/>
  <c r="W119" i="2"/>
  <c r="W135" i="2"/>
  <c r="W151" i="2"/>
  <c r="W68" i="2"/>
  <c r="W56" i="2"/>
  <c r="W72" i="2"/>
  <c r="W88" i="2"/>
  <c r="W104" i="2"/>
  <c r="W120" i="2"/>
  <c r="W136" i="2"/>
  <c r="W57" i="2"/>
  <c r="W73" i="2"/>
  <c r="W89" i="2"/>
  <c r="W105" i="2"/>
  <c r="W121" i="2"/>
  <c r="W137" i="2"/>
  <c r="W148" i="2"/>
  <c r="W58" i="2"/>
  <c r="W74" i="2"/>
  <c r="W90" i="2"/>
  <c r="W106" i="2"/>
  <c r="W122" i="2"/>
  <c r="W138" i="2"/>
  <c r="W59" i="2"/>
  <c r="W75" i="2"/>
  <c r="W91" i="2"/>
  <c r="W107" i="2"/>
  <c r="W123" i="2"/>
  <c r="W139" i="2"/>
  <c r="W116" i="2"/>
  <c r="W60" i="2"/>
  <c r="W76" i="2"/>
  <c r="W92" i="2"/>
  <c r="W108" i="2"/>
  <c r="W124" i="2"/>
  <c r="W140" i="2"/>
  <c r="W147" i="2"/>
  <c r="W132" i="2"/>
  <c r="W61" i="2"/>
  <c r="W77" i="2"/>
  <c r="W93" i="2"/>
  <c r="W109" i="2"/>
  <c r="W125" i="2"/>
  <c r="W141" i="2"/>
  <c r="W131" i="2"/>
  <c r="W100" i="2"/>
  <c r="W62" i="2"/>
  <c r="W78" i="2"/>
  <c r="W94" i="2"/>
  <c r="W110" i="2"/>
  <c r="W126" i="2"/>
  <c r="W142" i="2"/>
  <c r="W115" i="2"/>
  <c r="W63" i="2"/>
  <c r="W79" i="2"/>
  <c r="W95" i="2"/>
  <c r="W111" i="2"/>
  <c r="W127" i="2"/>
  <c r="W143" i="2"/>
  <c r="W64" i="2"/>
  <c r="W80" i="2"/>
  <c r="W96" i="2"/>
  <c r="W112" i="2"/>
  <c r="W128" i="2"/>
  <c r="W144" i="2"/>
  <c r="W65" i="2"/>
  <c r="W81" i="2"/>
  <c r="W97" i="2"/>
  <c r="W113" i="2"/>
  <c r="W129" i="2"/>
  <c r="W145" i="2"/>
  <c r="W67" i="2"/>
  <c r="W83" i="2"/>
  <c r="W99" i="2"/>
  <c r="W66" i="2"/>
  <c r="W82" i="2"/>
  <c r="W98" i="2"/>
  <c r="W114" i="2"/>
  <c r="W130" i="2"/>
  <c r="W146" i="2"/>
  <c r="X52" i="2"/>
  <c r="X43" i="2"/>
  <c r="X16" i="2"/>
  <c r="X5" i="2"/>
  <c r="X17" i="2"/>
  <c r="X7" i="2"/>
  <c r="X9" i="2"/>
  <c r="X21" i="2"/>
  <c r="X37" i="2"/>
  <c r="X51" i="2"/>
  <c r="X41" i="2"/>
  <c r="X46" i="2"/>
  <c r="X20" i="2"/>
  <c r="X53" i="2"/>
  <c r="X45" i="2"/>
  <c r="X44" i="2"/>
  <c r="X47" i="2"/>
  <c r="X49" i="2"/>
  <c r="X33" i="2"/>
  <c r="X29" i="2"/>
  <c r="X48" i="2"/>
  <c r="X32" i="2"/>
  <c r="X6" i="2"/>
  <c r="X12" i="2"/>
  <c r="X22" i="2"/>
  <c r="X25" i="2"/>
  <c r="X38" i="2"/>
  <c r="X35" i="2"/>
  <c r="X10" i="2"/>
  <c r="X34" i="2"/>
  <c r="X19" i="2"/>
  <c r="X26" i="2"/>
  <c r="X42" i="2"/>
  <c r="X39" i="2"/>
  <c r="X50" i="2"/>
  <c r="X30" i="2"/>
  <c r="X28" i="2"/>
  <c r="X8" i="2"/>
  <c r="X13" i="2"/>
  <c r="X24" i="2"/>
  <c r="X11" i="2"/>
  <c r="X14" i="2"/>
  <c r="X31" i="2"/>
  <c r="X36" i="2"/>
  <c r="X40" i="2"/>
  <c r="X27" i="2"/>
  <c r="X15" i="2"/>
  <c r="X23" i="2"/>
  <c r="X18" i="2"/>
  <c r="AC37" i="2"/>
  <c r="AC28" i="2"/>
  <c r="AC14" i="2"/>
  <c r="AC10" i="2"/>
  <c r="AC20" i="2"/>
  <c r="AC8" i="2"/>
  <c r="AC53" i="2"/>
  <c r="AC42" i="2"/>
  <c r="AC46" i="2"/>
  <c r="AC32" i="2"/>
  <c r="AC13" i="2"/>
  <c r="AC15" i="2"/>
  <c r="AC19" i="2"/>
  <c r="AC47" i="2"/>
  <c r="AC44" i="2"/>
  <c r="AC17" i="2"/>
  <c r="AC36" i="2"/>
  <c r="AC31" i="2"/>
  <c r="AC26" i="2"/>
  <c r="AC24" i="2"/>
  <c r="AC48" i="2"/>
  <c r="AC43" i="2"/>
  <c r="AC25" i="2"/>
  <c r="AC51" i="2"/>
  <c r="AC27" i="2"/>
  <c r="AC9" i="2"/>
  <c r="AC41" i="2"/>
  <c r="AC40" i="2"/>
  <c r="AC38" i="2"/>
  <c r="AC11" i="2"/>
  <c r="AC50" i="2"/>
  <c r="AC30" i="2"/>
  <c r="AC29" i="2"/>
  <c r="AC21" i="2"/>
  <c r="AC45" i="2"/>
  <c r="AC6" i="2"/>
  <c r="AC18" i="2"/>
  <c r="AC52" i="2"/>
  <c r="AC49" i="2"/>
  <c r="AC12" i="2"/>
  <c r="AC16" i="2"/>
  <c r="AC7" i="2"/>
  <c r="AC34" i="2"/>
  <c r="AC35" i="2"/>
  <c r="AC22" i="2"/>
  <c r="AC23" i="2"/>
  <c r="AC39" i="2"/>
  <c r="AC33" i="2"/>
  <c r="AC5" i="2"/>
  <c r="AC4" i="2"/>
  <c r="W22" i="2"/>
  <c r="W11" i="2"/>
  <c r="W38" i="2"/>
  <c r="W43" i="2"/>
  <c r="W46" i="2"/>
  <c r="W8" i="2"/>
  <c r="W32" i="2"/>
  <c r="W24" i="2"/>
  <c r="W13" i="2"/>
  <c r="W48" i="2"/>
  <c r="W35" i="2"/>
  <c r="W40" i="2"/>
  <c r="W29" i="2"/>
  <c r="W52" i="2"/>
  <c r="W10" i="2"/>
  <c r="W45" i="2"/>
  <c r="W19" i="2"/>
  <c r="W4" i="2"/>
  <c r="W42" i="2"/>
  <c r="W12" i="2"/>
  <c r="W15" i="2"/>
  <c r="W28" i="2"/>
  <c r="W31" i="2"/>
  <c r="W20" i="2"/>
  <c r="W16" i="2"/>
  <c r="W5" i="2"/>
  <c r="W21" i="2"/>
  <c r="W37" i="2"/>
  <c r="W53" i="2"/>
  <c r="W26" i="2"/>
  <c r="W7" i="2"/>
  <c r="W23" i="2"/>
  <c r="W39" i="2"/>
  <c r="W44" i="2"/>
  <c r="W47" i="2"/>
  <c r="W51" i="2"/>
  <c r="W18" i="2"/>
  <c r="W36" i="2"/>
  <c r="W34" i="2"/>
  <c r="W17" i="2"/>
  <c r="W50" i="2"/>
  <c r="W41" i="2"/>
  <c r="W33" i="2"/>
  <c r="W14" i="2"/>
  <c r="W49" i="2"/>
  <c r="W27" i="2"/>
  <c r="W30" i="2"/>
  <c r="W9" i="2"/>
  <c r="W25" i="2"/>
  <c r="W6" i="2"/>
  <c r="U114" i="2" l="1"/>
  <c r="U82" i="2"/>
  <c r="U50" i="2"/>
  <c r="U143" i="2"/>
  <c r="U135" i="2"/>
  <c r="U127" i="2"/>
  <c r="U119" i="2"/>
  <c r="U111" i="2"/>
  <c r="U103" i="2"/>
  <c r="U95" i="2"/>
  <c r="U87" i="2"/>
  <c r="U79" i="2"/>
  <c r="U71" i="2"/>
  <c r="U63" i="2"/>
  <c r="U55" i="2"/>
  <c r="U47" i="2"/>
  <c r="U39" i="2"/>
  <c r="U31" i="2"/>
  <c r="U23" i="2"/>
  <c r="U15" i="2"/>
  <c r="U7" i="2"/>
  <c r="U26" i="2"/>
  <c r="U151" i="2"/>
  <c r="U130" i="2"/>
  <c r="U90" i="2"/>
  <c r="U132" i="2"/>
  <c r="U124" i="2"/>
  <c r="U116" i="2"/>
  <c r="U108" i="2"/>
  <c r="U100" i="2"/>
  <c r="U92" i="2"/>
  <c r="U84" i="2"/>
  <c r="U76" i="2"/>
  <c r="U68" i="2"/>
  <c r="U60" i="2"/>
  <c r="U52" i="2"/>
  <c r="U44" i="2"/>
  <c r="U36" i="2"/>
  <c r="U28" i="2"/>
  <c r="U20" i="2"/>
  <c r="U12" i="2"/>
  <c r="U148" i="2"/>
  <c r="U146" i="2"/>
  <c r="U42" i="2"/>
  <c r="U140" i="2"/>
  <c r="U145" i="2"/>
  <c r="U137" i="2"/>
  <c r="U129" i="2"/>
  <c r="U121" i="2"/>
  <c r="U113" i="2"/>
  <c r="U105" i="2"/>
  <c r="U97" i="2"/>
  <c r="U89" i="2"/>
  <c r="U81" i="2"/>
  <c r="U73" i="2"/>
  <c r="U65" i="2"/>
  <c r="U57" i="2"/>
  <c r="U49" i="2"/>
  <c r="U41" i="2"/>
  <c r="U33" i="2"/>
  <c r="U25" i="2"/>
  <c r="U17" i="2"/>
  <c r="U9" i="2"/>
  <c r="U106" i="2"/>
  <c r="U66" i="2"/>
  <c r="U34" i="2"/>
  <c r="U10" i="2"/>
  <c r="U94" i="2"/>
  <c r="U38" i="2"/>
  <c r="U22" i="2"/>
  <c r="U14" i="2"/>
  <c r="U6" i="2"/>
  <c r="U118" i="2"/>
  <c r="U18" i="2"/>
  <c r="U142" i="2"/>
  <c r="U126" i="2"/>
  <c r="U102" i="2"/>
  <c r="U62" i="2"/>
  <c r="U147" i="2"/>
  <c r="U139" i="2"/>
  <c r="U131" i="2"/>
  <c r="U123" i="2"/>
  <c r="U115" i="2"/>
  <c r="U107" i="2"/>
  <c r="U99" i="2"/>
  <c r="U91" i="2"/>
  <c r="U83" i="2"/>
  <c r="U75" i="2"/>
  <c r="U67" i="2"/>
  <c r="U59" i="2"/>
  <c r="U51" i="2"/>
  <c r="U43" i="2"/>
  <c r="U35" i="2"/>
  <c r="U27" i="2"/>
  <c r="U19" i="2"/>
  <c r="U11" i="2"/>
  <c r="U58" i="2"/>
  <c r="U134" i="2"/>
  <c r="U110" i="2"/>
  <c r="U86" i="2"/>
  <c r="U46" i="2"/>
  <c r="U78" i="2"/>
  <c r="U144" i="2"/>
  <c r="U136" i="2"/>
  <c r="U128" i="2"/>
  <c r="U120" i="2"/>
  <c r="U112" i="2"/>
  <c r="U104" i="2"/>
  <c r="U96" i="2"/>
  <c r="U88" i="2"/>
  <c r="U80" i="2"/>
  <c r="U72" i="2"/>
  <c r="U64" i="2"/>
  <c r="U56" i="2"/>
  <c r="U48" i="2"/>
  <c r="U40" i="2"/>
  <c r="U32" i="2"/>
  <c r="U24" i="2"/>
  <c r="U16" i="2"/>
  <c r="U8" i="2"/>
  <c r="U138" i="2"/>
  <c r="U98" i="2"/>
  <c r="U70" i="2"/>
  <c r="U54" i="2"/>
  <c r="U30" i="2"/>
  <c r="U74" i="2"/>
  <c r="U150" i="2"/>
  <c r="U149" i="2"/>
  <c r="U141" i="2"/>
  <c r="U133" i="2"/>
  <c r="U125" i="2"/>
  <c r="U117" i="2"/>
  <c r="U109" i="2"/>
  <c r="U101" i="2"/>
  <c r="U93" i="2"/>
  <c r="U85" i="2"/>
  <c r="U77" i="2"/>
  <c r="U69" i="2"/>
  <c r="U61" i="2"/>
  <c r="U53" i="2"/>
  <c r="U45" i="2"/>
  <c r="U37" i="2"/>
  <c r="U29" i="2"/>
  <c r="U21" i="2"/>
  <c r="U13" i="2"/>
  <c r="U5" i="2"/>
  <c r="U122" i="2"/>
  <c r="U4" i="2"/>
  <c r="E4" i="2"/>
  <c r="E7" i="2"/>
  <c r="E12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E5" i="2"/>
  <c r="E6" i="2"/>
  <c r="E8" i="2"/>
  <c r="E9" i="2"/>
  <c r="E10" i="2"/>
  <c r="E11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3" i="2"/>
  <c r="L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Hervé hoareau</author>
  </authors>
  <commentList>
    <comment ref="C3" authorId="0" shapeId="0" xr:uid="{701B69A7-9740-4FCF-A4A9-FD7DAA2ACDFD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Le nom doit être unique</t>
        </r>
      </text>
    </comment>
    <comment ref="G3" authorId="0" shapeId="0" xr:uid="{B98B9CDC-6E01-45F7-AD12-7C2001723C7F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Doit contenit un lien internet pour autoriser le minage (voir upload des fichiers attachés si ce n'est pas le cas)</t>
        </r>
      </text>
    </comment>
  </commentList>
</comments>
</file>

<file path=xl/sharedStrings.xml><?xml version="1.0" encoding="utf-8"?>
<sst xmlns="http://schemas.openxmlformats.org/spreadsheetml/2006/main" count="1538" uniqueCount="472">
  <si>
    <t>seller_fee_basis_points</t>
  </si>
  <si>
    <t>image</t>
  </si>
  <si>
    <t>trait_type</t>
  </si>
  <si>
    <t>value</t>
  </si>
  <si>
    <t>address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</si>
  <si>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</si>
  <si>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</si>
  <si>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</si>
  <si>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</si>
  <si>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</si>
  <si>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</si>
  <si>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</si>
  <si>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</si>
  <si>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</si>
  <si>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Creators</t>
  </si>
  <si>
    <t>files</t>
  </si>
  <si>
    <t>Files</t>
  </si>
  <si>
    <t>Files part</t>
  </si>
  <si>
    <t>Collection part</t>
  </si>
  <si>
    <t>Object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</si>
  <si>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</si>
  <si>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</si>
  <si>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</si>
  <si>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</si>
  <si>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</si>
  <si>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</si>
  <si>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</si>
  <si>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</si>
  <si>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</si>
  <si>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https://server.f80lab.com:4242</t>
  </si>
  <si>
    <t>Mainnet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</si>
  <si>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</si>
  <si>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</si>
  <si>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</si>
  <si>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</si>
  <si>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</si>
  <si>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</si>
  <si>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</si>
  <si>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</si>
  <si>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</si>
  <si>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</si>
  <si>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</si>
  <si>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</si>
  <si>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</si>
  <si>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</si>
  <si>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</si>
  <si>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</si>
  <si>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</si>
  <si>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</si>
  <si>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</si>
  <si>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</si>
  <si>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</si>
  <si>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</si>
  <si>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</si>
  <si>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</si>
  <si>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</si>
  <si>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</si>
  <si>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</si>
  <si>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Elrond_devnet</t>
  </si>
  <si>
    <t>Elrond_mainnet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</si>
  <si>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</si>
  <si>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</si>
  <si>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</si>
  <si>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</si>
  <si>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</si>
  <si>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</si>
  <si>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</si>
  <si>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</si>
  <si>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NFluentCollection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</si>
  <si>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</si>
  <si>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</si>
  <si>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</si>
  <si>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</si>
  <si>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</si>
  <si>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</si>
  <si>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</si>
  <si>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</si>
  <si>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</si>
  <si>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</si>
  <si>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</si>
  <si>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</si>
  <si>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symbol1</t>
  </si>
  <si>
    <t>description1</t>
  </si>
  <si>
    <t>symbol2</t>
  </si>
  <si>
    <t>description2</t>
  </si>
  <si>
    <t>avantage6</t>
  </si>
  <si>
    <t>2 affiche dédicacée et numérotée</t>
  </si>
  <si>
    <t>nombre de Pass2025</t>
  </si>
  <si>
    <t>avantage10</t>
  </si>
  <si>
    <t>symbol3</t>
  </si>
  <si>
    <t>description3</t>
  </si>
  <si>
    <t>avantage7</t>
  </si>
  <si>
    <t>3 affiche dédicacée et numérotée</t>
  </si>
  <si>
    <t>nombre de Pass2026</t>
  </si>
  <si>
    <t>avantage11</t>
  </si>
  <si>
    <t>symbol4</t>
  </si>
  <si>
    <t>description4</t>
  </si>
  <si>
    <t>avantage8</t>
  </si>
  <si>
    <t>4 affiche dédicacée et numérotée</t>
  </si>
  <si>
    <t>nombre de Pass2027</t>
  </si>
  <si>
    <t>avantage12</t>
  </si>
  <si>
    <t>Storage</t>
  </si>
  <si>
    <t>True</t>
  </si>
  <si>
    <t>Boolean</t>
  </si>
  <si>
    <t>QRCode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</si>
  <si>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</si>
  <si>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</si>
  <si>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</si>
  <si>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</si>
  <si>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</si>
  <si>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</si>
  <si>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</si>
  <si>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</si>
  <si>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</si>
  <si>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</si>
  <si>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</si>
  <si>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</si>
  <si>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</si>
  <si>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</si>
  <si>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MyRealTest1</t>
  </si>
  <si>
    <t>MyRealTest2</t>
  </si>
  <si>
    <t>MyRealTest3</t>
  </si>
  <si>
    <t>MyRealTest4</t>
  </si>
  <si>
    <t>MyRealTest5</t>
  </si>
  <si>
    <t>symbol5</t>
  </si>
  <si>
    <t>description5</t>
  </si>
  <si>
    <t>5 affiche dédicacée et numérotée</t>
  </si>
  <si>
    <t>nombre de Pass2028</t>
  </si>
  <si>
    <t>avantage13</t>
  </si>
  <si>
    <t>MyRealTest6</t>
  </si>
  <si>
    <t>symbol6</t>
  </si>
  <si>
    <t>description6</t>
  </si>
  <si>
    <t>6 affiche dédicacée et numérotée</t>
  </si>
  <si>
    <t>nombre de Pass2029</t>
  </si>
  <si>
    <t>avantage14</t>
  </si>
  <si>
    <t>MyRealTest7</t>
  </si>
  <si>
    <t>symbol7</t>
  </si>
  <si>
    <t>description7</t>
  </si>
  <si>
    <t>7 affiche dédicacée et numérotée</t>
  </si>
  <si>
    <t>nombre de Pass2030</t>
  </si>
  <si>
    <t>avantage15</t>
  </si>
  <si>
    <t>MyRealTest8</t>
  </si>
  <si>
    <t>symbol8</t>
  </si>
  <si>
    <t>description8</t>
  </si>
  <si>
    <t>8 affiche dédicacée et numérotée</t>
  </si>
  <si>
    <t>nombre de Pass2031</t>
  </si>
  <si>
    <t>avantage16</t>
  </si>
  <si>
    <t>MyRealTest9</t>
  </si>
  <si>
    <t>symbol9</t>
  </si>
  <si>
    <t>description9</t>
  </si>
  <si>
    <t>9 affiche dédicacée et numérotée</t>
  </si>
  <si>
    <t>nombre de Pass2032</t>
  </si>
  <si>
    <t>avantage17</t>
  </si>
  <si>
    <t>MyRealTest10</t>
  </si>
  <si>
    <t>symbol10</t>
  </si>
  <si>
    <t>description10</t>
  </si>
  <si>
    <t>10 affiche dédicacée et numérotée</t>
  </si>
  <si>
    <t>nombre de Pass2033</t>
  </si>
  <si>
    <t>avantage18</t>
  </si>
  <si>
    <t>MyRealTest11</t>
  </si>
  <si>
    <t>symbol11</t>
  </si>
  <si>
    <t>description11</t>
  </si>
  <si>
    <t>11 affiche dédicacée et numérotée</t>
  </si>
  <si>
    <t>nombre de Pass2034</t>
  </si>
  <si>
    <t>avantage19</t>
  </si>
  <si>
    <t>MyRealTest12</t>
  </si>
  <si>
    <t>symbol12</t>
  </si>
  <si>
    <t>description12</t>
  </si>
  <si>
    <t>12 affiche dédicacée et numérotée</t>
  </si>
  <si>
    <t>nombre de Pass2035</t>
  </si>
  <si>
    <t>avantage20</t>
  </si>
  <si>
    <t>MyRealTest13</t>
  </si>
  <si>
    <t>symbol13</t>
  </si>
  <si>
    <t>description13</t>
  </si>
  <si>
    <t>13 affiche dédicacée et numérotée</t>
  </si>
  <si>
    <t>nombre de Pass2036</t>
  </si>
  <si>
    <t>avantage21</t>
  </si>
  <si>
    <t>MyRealTest14</t>
  </si>
  <si>
    <t>symbol14</t>
  </si>
  <si>
    <t>description14</t>
  </si>
  <si>
    <t>14 affiche dédicacée et numérotée</t>
  </si>
  <si>
    <t>nombre de Pass2037</t>
  </si>
  <si>
    <t>avantage22</t>
  </si>
  <si>
    <t>MyRealTest15</t>
  </si>
  <si>
    <t>symbol15</t>
  </si>
  <si>
    <t>description15</t>
  </si>
  <si>
    <t>15 affiche dédicacée et numérotée</t>
  </si>
  <si>
    <t>nombre de Pass2038</t>
  </si>
  <si>
    <t>avantage23</t>
  </si>
  <si>
    <t>MyRealTest16</t>
  </si>
  <si>
    <t>symbol16</t>
  </si>
  <si>
    <t>description16</t>
  </si>
  <si>
    <t>16 affiche dédicacée et numérotée</t>
  </si>
  <si>
    <t>nombre de Pass2039</t>
  </si>
  <si>
    <t>avantage24</t>
  </si>
  <si>
    <t>MyRealTest17</t>
  </si>
  <si>
    <t>symbol17</t>
  </si>
  <si>
    <t>description17</t>
  </si>
  <si>
    <t>17 affiche dédicacée et numérotée</t>
  </si>
  <si>
    <t>nombre de Pass2040</t>
  </si>
  <si>
    <t>avantage25</t>
  </si>
  <si>
    <t>MyRealTest18</t>
  </si>
  <si>
    <t>symbol18</t>
  </si>
  <si>
    <t>description18</t>
  </si>
  <si>
    <t>18 affiche dédicacée et numérotée</t>
  </si>
  <si>
    <t>nombre de Pass2041</t>
  </si>
  <si>
    <t>avantage26</t>
  </si>
  <si>
    <t>MyRealTest19</t>
  </si>
  <si>
    <t>symbol19</t>
  </si>
  <si>
    <t>description19</t>
  </si>
  <si>
    <t>19 affiche dédicacée et numérotée</t>
  </si>
  <si>
    <t>nombre de Pass2042</t>
  </si>
  <si>
    <t>avantage27</t>
  </si>
  <si>
    <t>MyRealTest20</t>
  </si>
  <si>
    <t>symbol20</t>
  </si>
  <si>
    <t>description20</t>
  </si>
  <si>
    <t>20 affiche dédicacée et numérotée</t>
  </si>
  <si>
    <t>nombre de Pass2043</t>
  </si>
  <si>
    <t>avantage28</t>
  </si>
  <si>
    <t>MyRealTest21</t>
  </si>
  <si>
    <t>symbol21</t>
  </si>
  <si>
    <t>description21</t>
  </si>
  <si>
    <t>21 affiche dédicacée et numérotée</t>
  </si>
  <si>
    <t>nombre de Pass2044</t>
  </si>
  <si>
    <t>avantage29</t>
  </si>
  <si>
    <t>MyRealTest22</t>
  </si>
  <si>
    <t>symbol22</t>
  </si>
  <si>
    <t>description22</t>
  </si>
  <si>
    <t>22 affiche dédicacée et numérotée</t>
  </si>
  <si>
    <t>nombre de Pass2045</t>
  </si>
  <si>
    <t>avantage30</t>
  </si>
  <si>
    <t>MyRealTest23</t>
  </si>
  <si>
    <t>symbol23</t>
  </si>
  <si>
    <t>description23</t>
  </si>
  <si>
    <t>23 affiche dédicacée et numérotée</t>
  </si>
  <si>
    <t>nombre de Pass2046</t>
  </si>
  <si>
    <t>avantage31</t>
  </si>
  <si>
    <t>MyRealTest24</t>
  </si>
  <si>
    <t>symbol24</t>
  </si>
  <si>
    <t>description24</t>
  </si>
  <si>
    <t>24 affiche dédicacée et numérotée</t>
  </si>
  <si>
    <t>nombre de Pass2047</t>
  </si>
  <si>
    <t>avantage32</t>
  </si>
  <si>
    <t>MyRealTest25</t>
  </si>
  <si>
    <t>symbol25</t>
  </si>
  <si>
    <t>description25</t>
  </si>
  <si>
    <t>25 affiche dédicacée et numérotée</t>
  </si>
  <si>
    <t>nombre de Pass2048</t>
  </si>
  <si>
    <t>avantage33</t>
  </si>
  <si>
    <t>MyRealTest26</t>
  </si>
  <si>
    <t>symbol26</t>
  </si>
  <si>
    <t>description26</t>
  </si>
  <si>
    <t>26 affiche dédicacée et numérotée</t>
  </si>
  <si>
    <t>nombre de Pass2049</t>
  </si>
  <si>
    <t>avantage34</t>
  </si>
  <si>
    <t>MyRealTest27</t>
  </si>
  <si>
    <t>symbol27</t>
  </si>
  <si>
    <t>description27</t>
  </si>
  <si>
    <t>27 affiche dédicacée et numérotée</t>
  </si>
  <si>
    <t>nombre de Pass2050</t>
  </si>
  <si>
    <t>avantage35</t>
  </si>
  <si>
    <t>MyRealTest28</t>
  </si>
  <si>
    <t>symbol28</t>
  </si>
  <si>
    <t>description28</t>
  </si>
  <si>
    <t>28 affiche dédicacée et numérotée</t>
  </si>
  <si>
    <t>nombre de Pass2051</t>
  </si>
  <si>
    <t>avantage36</t>
  </si>
  <si>
    <t>MyRealTest29</t>
  </si>
  <si>
    <t>symbol29</t>
  </si>
  <si>
    <t>description29</t>
  </si>
  <si>
    <t>29 affiche dédicacée et numérotée</t>
  </si>
  <si>
    <t>nombre de Pass2052</t>
  </si>
  <si>
    <t>avantage37</t>
  </si>
  <si>
    <t>MyRealTest30</t>
  </si>
  <si>
    <t>symbol30</t>
  </si>
  <si>
    <t>description30</t>
  </si>
  <si>
    <t>30 affiche dédicacée et numérotée</t>
  </si>
  <si>
    <t>nombre de Pass2053</t>
  </si>
  <si>
    <t>avantage38</t>
  </si>
  <si>
    <t>MyRealTest31</t>
  </si>
  <si>
    <t>symbol31</t>
  </si>
  <si>
    <t>description31</t>
  </si>
  <si>
    <t>31 affiche dédicacée et numérotée</t>
  </si>
  <si>
    <t>nombre de Pass2054</t>
  </si>
  <si>
    <t>avantage39</t>
  </si>
  <si>
    <t>MyRealTest32</t>
  </si>
  <si>
    <t>symbol32</t>
  </si>
  <si>
    <t>description32</t>
  </si>
  <si>
    <t>32 affiche dédicacée et numérotée</t>
  </si>
  <si>
    <t>nombre de Pass2055</t>
  </si>
  <si>
    <t>avantage40</t>
  </si>
  <si>
    <t>MyRealTest33</t>
  </si>
  <si>
    <t>symbol33</t>
  </si>
  <si>
    <t>description33</t>
  </si>
  <si>
    <t>33 affiche dédicacée et numérotée</t>
  </si>
  <si>
    <t>nombre de Pass2056</t>
  </si>
  <si>
    <t>avantage41</t>
  </si>
  <si>
    <t>MyRealTest34</t>
  </si>
  <si>
    <t>symbol34</t>
  </si>
  <si>
    <t>description34</t>
  </si>
  <si>
    <t>34 affiche dédicacée et numérotée</t>
  </si>
  <si>
    <t>nombre de Pass2057</t>
  </si>
  <si>
    <t>avantage42</t>
  </si>
  <si>
    <t>MyRealTest35</t>
  </si>
  <si>
    <t>symbol35</t>
  </si>
  <si>
    <t>description35</t>
  </si>
  <si>
    <t>35 affiche dédicacée et numérotée</t>
  </si>
  <si>
    <t>nombre de Pass2058</t>
  </si>
  <si>
    <t>avantage43</t>
  </si>
  <si>
    <t>MyRealTest36</t>
  </si>
  <si>
    <t>symbol36</t>
  </si>
  <si>
    <t>description36</t>
  </si>
  <si>
    <t>36 affiche dédicacée et numérotée</t>
  </si>
  <si>
    <t>nombre de Pass2059</t>
  </si>
  <si>
    <t>avantage44</t>
  </si>
  <si>
    <t>MyRealTest37</t>
  </si>
  <si>
    <t>symbol37</t>
  </si>
  <si>
    <t>description37</t>
  </si>
  <si>
    <t>37 affiche dédicacée et numérotée</t>
  </si>
  <si>
    <t>nombre de Pass2060</t>
  </si>
  <si>
    <t>avantage45</t>
  </si>
  <si>
    <t>MyRealTest38</t>
  </si>
  <si>
    <t>symbol38</t>
  </si>
  <si>
    <t>description38</t>
  </si>
  <si>
    <t>38 affiche dédicacée et numérotée</t>
  </si>
  <si>
    <t>nombre de Pass2061</t>
  </si>
  <si>
    <t>avantage46</t>
  </si>
  <si>
    <t>MyRealTest39</t>
  </si>
  <si>
    <t>symbol39</t>
  </si>
  <si>
    <t>description39</t>
  </si>
  <si>
    <t>39 affiche dédicacée et numérotée</t>
  </si>
  <si>
    <t>nombre de Pass2062</t>
  </si>
  <si>
    <t>avantage47</t>
  </si>
  <si>
    <t>MyRealTest40</t>
  </si>
  <si>
    <t>symbol40</t>
  </si>
  <si>
    <t>description40</t>
  </si>
  <si>
    <t>40 affiche dédicacée et numérotée</t>
  </si>
  <si>
    <t>nombre de Pass2063</t>
  </si>
  <si>
    <t>avantage48</t>
  </si>
  <si>
    <t>MyRealTest41</t>
  </si>
  <si>
    <t>symbol41</t>
  </si>
  <si>
    <t>description41</t>
  </si>
  <si>
    <t>41 affiche dédicacée et numérotée</t>
  </si>
  <si>
    <t>nombre de Pass2064</t>
  </si>
  <si>
    <t>avantage49</t>
  </si>
  <si>
    <t>MyRealTest42</t>
  </si>
  <si>
    <t>symbol42</t>
  </si>
  <si>
    <t>description42</t>
  </si>
  <si>
    <t>42 affiche dédicacée et numérotée</t>
  </si>
  <si>
    <t>nombre de Pass2065</t>
  </si>
  <si>
    <t>avantage50</t>
  </si>
  <si>
    <t>MyRealTest43</t>
  </si>
  <si>
    <t>symbol43</t>
  </si>
  <si>
    <t>description43</t>
  </si>
  <si>
    <t>43 affiche dédicacée et numérotée</t>
  </si>
  <si>
    <t>nombre de Pass2066</t>
  </si>
  <si>
    <t>avantage51</t>
  </si>
  <si>
    <t>MyRealTest44</t>
  </si>
  <si>
    <t>symbol44</t>
  </si>
  <si>
    <t>description44</t>
  </si>
  <si>
    <t>44 affiche dédicacée et numérotée</t>
  </si>
  <si>
    <t>nombre de Pass2067</t>
  </si>
  <si>
    <t>avantage52</t>
  </si>
  <si>
    <t>MyRealTest45</t>
  </si>
  <si>
    <t>symbol45</t>
  </si>
  <si>
    <t>description45</t>
  </si>
  <si>
    <t>45 affiche dédicacée et numérotée</t>
  </si>
  <si>
    <t>nombre de Pass2068</t>
  </si>
  <si>
    <t>avantage53</t>
  </si>
  <si>
    <t>MyRealTest46</t>
  </si>
  <si>
    <t>symbol46</t>
  </si>
  <si>
    <t>description46</t>
  </si>
  <si>
    <t>46 affiche dédicacée et numérotée</t>
  </si>
  <si>
    <t>nombre de Pass2069</t>
  </si>
  <si>
    <t>avantage54</t>
  </si>
  <si>
    <t>MyRealTest47</t>
  </si>
  <si>
    <t>symbol47</t>
  </si>
  <si>
    <t>description47</t>
  </si>
  <si>
    <t>47 affiche dédicacée et numérotée</t>
  </si>
  <si>
    <t>nombre de Pass2070</t>
  </si>
  <si>
    <t>avantage55</t>
  </si>
  <si>
    <t>MyRealTest48</t>
  </si>
  <si>
    <t>symbol48</t>
  </si>
  <si>
    <t>description48</t>
  </si>
  <si>
    <t>48 affiche dédicacée et numérotée</t>
  </si>
  <si>
    <t>nombre de Pass2071</t>
  </si>
  <si>
    <t>avantage56</t>
  </si>
  <si>
    <t>MyRealTest49</t>
  </si>
  <si>
    <t>symbol49</t>
  </si>
  <si>
    <t>description49</t>
  </si>
  <si>
    <t>49 affiche dédicacée et numérotée</t>
  </si>
  <si>
    <t>nombre de Pass2072</t>
  </si>
  <si>
    <t>avantage57</t>
  </si>
  <si>
    <t>MyRealTest50</t>
  </si>
  <si>
    <t>symbol50</t>
  </si>
  <si>
    <t>description50</t>
  </si>
  <si>
    <t>50 affiche dédicacée et numérotée</t>
  </si>
  <si>
    <t>nombre de Pass2073</t>
  </si>
  <si>
    <t>avantage58</t>
  </si>
  <si>
    <t>C:\Temp\NFTs</t>
  </si>
  <si>
    <t>https://ipfs.io/ipfs/QmbLP4fECy1THhs73LAb1ksU2JZA3DRi3rE4wz3cBmLt6R?visual0.png</t>
  </si>
  <si>
    <t>https://ipfs.io/ipfs/QmW4FCg3JTvqNjvEVMgEmz2uNpkWskNYPfe9kdcEhp7Ffj?visual1.png</t>
  </si>
  <si>
    <t>https://ipfs.io/ipfs/QmXi2hxYGLA5ie2CpcCdfBZTJCZjg98DrWMpBDpqJ7PEaz?visual2.png</t>
  </si>
  <si>
    <t>https://ipfs.io/ipfs/QmfDh6PUBPumVkUSCgiFqw9fQ5LWDL1dMHY4p2id3ykHKM?visual3.png</t>
  </si>
  <si>
    <t>https://ipfs.io/ipfs/QmWZD7eAcgyEftHMX9znzzpd4tKTFrnMcMKjdiRbNhBNmM?visual4.png</t>
  </si>
  <si>
    <t>https://ipfs.io/ipfs/QmPky7SPfNvTGYxd2LNMTGXPY7CJkwdwtuxbLuV2Bqkwo4?visual5.png</t>
  </si>
  <si>
    <t>https://ipfs.io/ipfs/QmZwkeQgiGg4RayRK2HWoTW15SMXCFC5CEyzFUqLVfdiwF?visual6.png</t>
  </si>
  <si>
    <t>https://ipfs.io/ipfs/QmXBEdKu2zdu6PwXs5oaKK1oyFNtE1UTgsaLnuLpB7ZTw9?visual7.png</t>
  </si>
  <si>
    <t>https://ipfs.io/ipfs/QmbEgQkbC3PfcarJYehkHpe6R7AtMSdq1KerNe3r7uzin7?visual8.png</t>
  </si>
  <si>
    <t>https://ipfs.io/ipfs/QmNqu2GLCNN6Kyw1u47RM4RRTNFo7HN2ECHj1Fpz1LwpVE?visual9.png</t>
  </si>
  <si>
    <t>https://ipfs.io/ipfs/QmdAcsvKTy2AbGLceAgygCNWuJikVSvSqQoud82XVWM2MP?visual10.png</t>
  </si>
  <si>
    <t>https://ipfs.io/ipfs/QmYvpxAGdix9eCHBGDW1bEzXXJ1NcBua7hRe5C26NuL558?visual11.png</t>
  </si>
  <si>
    <t>https://ipfs.io/ipfs/QmRX69yodAyscucMY29HDLZtXRjKtqg5WPuq4PMgFiMpqs?visual12.png</t>
  </si>
  <si>
    <t>https://ipfs.io/ipfs/QmPkfq7Jpk7ryS6pL2EyNTMMy8tPwgZF9NEFdPoorNqntV?visual13.png</t>
  </si>
  <si>
    <t>https://ipfs.io/ipfs/QmTbQeuNvxGwGen33fkrdBVdxausDs1QBwPR9T9JaUxKLQ?visual14.png</t>
  </si>
  <si>
    <t>https://ipfs.io/ipfs/QmX3BQrWxM9gxrBgvvMpHpoBs5SAUkeC1V1kUV1X2Ky1nw?visual15.png</t>
  </si>
  <si>
    <t>https://ipfs.io/ipfs/QmZNZ9zGGr9KoXNQ4XbLL9jtoBtywspJPjdx8vWm3ACw55?visual16.png</t>
  </si>
  <si>
    <t>https://ipfs.io/ipfs/QmNqkfP94eTwUVRwt4tFzVx6npp1Rytig6HoKDavoSNk8H?visual17.png</t>
  </si>
  <si>
    <t>https://ipfs.io/ipfs/QmayzhCjiQ5vHXBFbZMRMR6r2NyugVACjNZfMzyb4rgGQZ?visual18.png</t>
  </si>
  <si>
    <t>https://ipfs.io/ipfs/QmadTv332gnvYWtfemArzL4RG17iQNrCwfpoD6eqQU8D1E?visual19.png</t>
  </si>
  <si>
    <t>https://ipfs.io/ipfs/QmSgeKvQ6F8KoWaiRT4EtedwEAEQJkNmGtQ35meH5tkPXC?visual20.png</t>
  </si>
  <si>
    <t>https://ipfs.io/ipfs/QmeY6eKQEprT437ensGN16pbEr7rFQwMoXLNELaSoUorap?visual21.png</t>
  </si>
  <si>
    <t>https://ipfs.io/ipfs/Qmf8S4JLmWVrgXinfmCmZQCAyZvmSexf6utjmiSkYcE5xe?visual22.png</t>
  </si>
  <si>
    <t>https://ipfs.io/ipfs/QmWqiQwVmJaRMLq3zandGyJ2EnDNf6xG55rGqaxfBxXQXe?visual23.png</t>
  </si>
  <si>
    <t>https://ipfs.io/ipfs/QmU2eggWnhykUtBdXZjbfGpEoELtv17zZqL2gfthmeSp98?visual24.png</t>
  </si>
  <si>
    <t>https://ipfs.io/ipfs/QmYy5vPfLvar2Z8x9yh5kCPYQ1gQGCo4PodwtG7fy8VnHJ?visual25.png</t>
  </si>
  <si>
    <t>https://ipfs.io/ipfs/QmZd4sMEvfH3LcGhornmDz74XbWCPFpkoFt8KHrWsYKy5T?visual26.png</t>
  </si>
  <si>
    <t>https://ipfs.io/ipfs/QmYiKmEGqHQ7zKGpsKpKQhA324sYVkgbmt5StGRgKhPfnT?visual27.png</t>
  </si>
  <si>
    <t>https://ipfs.io/ipfs/QmcFmscxnQuzDqDzCup2Qi7qp8XjSbsXtwZZ5PhxngGuKP?visual28.png</t>
  </si>
  <si>
    <t>https://ipfs.io/ipfs/QmUJBJ68jLSd34W3XRrKESXGd2CYpJY7QUzGr25AeuR1eP?visual29.png</t>
  </si>
  <si>
    <t>https://ipfs.io/ipfs/QmdNHSu4Fzum341KdRR2mKxezCNoDGRTcCogJWxAnEd8bG?visual30.png</t>
  </si>
  <si>
    <t>https://ipfs.io/ipfs/QmZb7GGhm9GmDfxFFemAf9xqQnumqAd8H6o98qZH6m7uxe?visual31.png</t>
  </si>
  <si>
    <t>https://ipfs.io/ipfs/QmQNFmyJVn1hWzTCefuULo4XMT11N3VwHJmuVai47fDoyB?visual32.png</t>
  </si>
  <si>
    <t>https://ipfs.io/ipfs/QmcrgjFTJQBc1Z4EErLCzNoin1u6BSTTAYABXFyCEsJTzQ?visual33.png</t>
  </si>
  <si>
    <t>https://ipfs.io/ipfs/QmZjxPCpDtx9X7ETgDcwCdwd53az1iaHkri7FuCuzS18q5?visual34.png</t>
  </si>
  <si>
    <t>https://ipfs.io/ipfs/Qmct8aSzV77Qq7x5mdyvSG1ugxy8DL9rPVt384YV31KvQB?visual35.png</t>
  </si>
  <si>
    <t>https://ipfs.io/ipfs/QmSVo4QKEzSbLGF1q4VwV7ncNM6bjDNa3ByHMxzLJ6W4wJ?visual36.png</t>
  </si>
  <si>
    <t>https://ipfs.io/ipfs/QmRipmPYHTX7DhS9qsDserMyaQeQdLyFSn3CUbFnbCY2xb?visual37.png</t>
  </si>
  <si>
    <t>https://ipfs.io/ipfs/QmPQ9WGncZWkhrwma7PsCJA41MD6UCW6HYy2KwDYN5YWFD?visual38.png</t>
  </si>
  <si>
    <t>https://ipfs.io/ipfs/QmZYx4KdZJx3GVzsdfN1f1LV5hnzSnzjtaPJeoQQJ8DnJE?visual39.png</t>
  </si>
  <si>
    <t>https://ipfs.io/ipfs/QmY1veYzryMhx9rfTAeQamHdaBTsxQNi6tVuHXwnhFrgA1?visual40.png</t>
  </si>
  <si>
    <t>https://ipfs.io/ipfs/Qmd3rvr6K4TEqxpSL71nWda4Z3EsUQSs4bdb2j4hrfa2yx?visual41.png</t>
  </si>
  <si>
    <t>https://ipfs.io/ipfs/QmY5E24Td8FuPUutFCNV2z7ZDFyTwX6okKRwxv4fn8fV2Y?visual42.png</t>
  </si>
  <si>
    <t>https://ipfs.io/ipfs/QmTKUSigx7rqUpbJRbg2FNUsWF4qAqRy5u9pvCHJHnYmZN?visual43.png</t>
  </si>
  <si>
    <t>https://ipfs.io/ipfs/QmRRAhvFuMHjFfTgutTAumQsy9NHbLmk2kGSS5cYXLZPJv?visual44.png</t>
  </si>
  <si>
    <t>https://ipfs.io/ipfs/QmdzyHWz2A3ngYefGaQowJa9vCdrTELmoCyPqJA3eoB1BW?visual45.png</t>
  </si>
  <si>
    <t>https://ipfs.io/ipfs/QmdPviDiH7W6tis66DE9GkMRKX9q32KLyA2BQsRcf6JUar?visual46.png</t>
  </si>
  <si>
    <t>https://ipfs.io/ipfs/QmUaPaJZiM1r76By2G7hnEJ3m1kzyGqnRZeBDGsJ13qhnp?visual47.png</t>
  </si>
  <si>
    <t>https://ipfs.io/ipfs/QmakaCSizurxV7RKbTVfPRKFigZNLxGREixudF8mdQ56p4?visual48.png</t>
  </si>
  <si>
    <t>https://ipfs.io/ipfs/QmdKyYmqLoTDttAftP3Gx5KLoLj14ek2MVvUAgox1PAWBG?visual49.png</t>
  </si>
  <si>
    <t>Signer par le mineur</t>
  </si>
  <si>
    <t>#</t>
  </si>
  <si>
    <t>Quelques références</t>
  </si>
  <si>
    <t>Documentation des metadatas</t>
  </si>
  <si>
    <t>Initial Price</t>
  </si>
  <si>
    <t>Reservation price</t>
  </si>
  <si>
    <t>Duration (en H)</t>
  </si>
  <si>
    <t>Date de mise en vente</t>
  </si>
  <si>
    <t>Mise en vente</t>
  </si>
  <si>
    <t>Visuel du NFT</t>
  </si>
  <si>
    <t>Authentification</t>
  </si>
  <si>
    <t>Mint address</t>
  </si>
  <si>
    <t>Signature créateurs</t>
  </si>
  <si>
    <t>NFTArmory</t>
  </si>
  <si>
    <t>Adresse de NFT Armory</t>
  </si>
  <si>
    <t>Transaction de minage</t>
  </si>
  <si>
    <t>Solde (en Crypto)</t>
  </si>
  <si>
    <t>MyTestCollection</t>
  </si>
  <si>
    <t>Validation</t>
  </si>
  <si>
    <t>ADMIN</t>
  </si>
  <si>
    <t>Owner</t>
  </si>
  <si>
    <t>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</si>
</sst>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[$$-409]* #,##0.00_ ;_-[$$-409]* \-#,##0.00\ ;_-[$$-409]* &quot;-&quot;??_ ;_-@_ 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  <xf numFmtId="44" fontId="10" fillId="0" borderId="0" applyFont="0" applyFill="0" applyBorder="0" applyAlignment="0" applyProtection="0"/>
  </cellStyleXfs>
  <cellXfs count="60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7" fillId="0" borderId="0" xfId="0" applyFont="1" applyAlignment="1">
      <alignment wrapText="1"/>
    </xf>
    <xf numFmtId="0" fontId="7" fillId="0" borderId="0" xfId="0" applyFont="1"/>
    <xf numFmtId="0" fontId="6" fillId="5" borderId="0" xfId="3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2" applyAlignment="1">
      <alignment wrapText="1"/>
    </xf>
    <xf numFmtId="164" fontId="7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5" borderId="0" xfId="3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0" fontId="6" fillId="5" borderId="0" xfId="3" applyFont="1" applyAlignment="1">
      <alignment horizontal="center" wrapText="1"/>
    </xf>
    <xf numFmtId="164" fontId="4" fillId="0" borderId="0" xfId="2" applyNumberFormat="1" applyAlignment="1">
      <alignment horizontal="center"/>
    </xf>
    <xf numFmtId="0" fontId="0" fillId="15" borderId="0" xfId="0" applyFill="1"/>
    <xf numFmtId="0" fontId="2" fillId="5" borderId="0" xfId="3"/>
    <xf numFmtId="0" fontId="0" fillId="0" borderId="0" xfId="0" applyAlignment="1">
      <alignment horizont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3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3" fillId="17" borderId="0" xfId="0" applyFont="1" applyFill="1" applyAlignment="1">
      <alignment horizontal="center"/>
    </xf>
    <xf numFmtId="0" fontId="0" fillId="18" borderId="0" xfId="0" applyFill="1" applyAlignment="1">
      <alignment horizontal="center" vertical="center" wrapText="1"/>
    </xf>
    <xf numFmtId="164" fontId="0" fillId="16" borderId="0" xfId="0" applyNumberFormat="1" applyFill="1" applyAlignment="1">
      <alignment horizontal="center" vertical="center" wrapText="1"/>
    </xf>
    <xf numFmtId="164" fontId="0" fillId="0" borderId="0" xfId="0" applyNumberFormat="1"/>
    <xf numFmtId="14" fontId="0" fillId="16" borderId="0" xfId="0" applyNumberFormat="1" applyFill="1" applyAlignment="1">
      <alignment horizontal="center" vertical="center" wrapText="1"/>
    </xf>
    <xf numFmtId="14" fontId="0" fillId="0" borderId="0" xfId="0" applyNumberFormat="1"/>
    <xf numFmtId="164" fontId="2" fillId="14" borderId="0" xfId="5" applyNumberFormat="1" applyFont="1" applyFill="1"/>
    <xf numFmtId="164" fontId="0" fillId="0" borderId="0" xfId="5" applyNumberFormat="1" applyFont="1"/>
    <xf numFmtId="0" fontId="0" fillId="19" borderId="0" xfId="0" applyFill="1" applyAlignment="1">
      <alignment horizontal="left" vertical="center" wrapText="1"/>
    </xf>
    <xf numFmtId="0" fontId="0" fillId="19" borderId="0" xfId="0" applyFill="1" applyAlignment="1">
      <alignment horizontal="center" vertical="center" wrapText="1"/>
    </xf>
    <xf numFmtId="164" fontId="0" fillId="19" borderId="0" xfId="0" applyNumberFormat="1" applyFill="1" applyAlignment="1">
      <alignment horizontal="center" vertical="center" wrapText="1"/>
    </xf>
    <xf numFmtId="14" fontId="0" fillId="19" borderId="0" xfId="0" applyNumberFormat="1" applyFill="1" applyAlignment="1">
      <alignment horizontal="center" vertical="center" wrapText="1"/>
    </xf>
    <xf numFmtId="0" fontId="14" fillId="3" borderId="0" xfId="1" applyFont="1"/>
    <xf numFmtId="0" fontId="15" fillId="0" borderId="0" xfId="2" applyFont="1"/>
    <xf numFmtId="0" fontId="14" fillId="14" borderId="0" xfId="4" applyFont="1"/>
    <xf numFmtId="0" fontId="13" fillId="20" borderId="0" xfId="0" applyFont="1" applyFill="1"/>
    <xf numFmtId="0" fontId="2" fillId="21" borderId="0" xfId="0" applyFont="1" applyFill="1" applyAlignment="1">
      <alignment horizontal="center" vertical="center" wrapText="1"/>
    </xf>
    <xf numFmtId="0" fontId="13" fillId="6" borderId="0" xfId="0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8" borderId="0" xfId="0" applyFont="1" applyFill="1" applyAlignment="1">
      <alignment horizontal="center"/>
    </xf>
    <xf numFmtId="0" fontId="13" fillId="13" borderId="0" xfId="0" applyFont="1" applyFill="1" applyAlignment="1">
      <alignment horizontal="center"/>
    </xf>
  </cellXfs>
  <cellStyles count="6">
    <cellStyle name="Accent1" xfId="3" builtinId="29"/>
    <cellStyle name="Accent2" xfId="4" builtinId="33"/>
    <cellStyle name="Accent3" xfId="1" builtinId="37"/>
    <cellStyle name="Lien hypertexte" xfId="2" builtinId="8"/>
    <cellStyle name="Monétaire" xfId="5" builtinId="4"/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us.solana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112056</xdr:colOff>
      <xdr:row>0</xdr:row>
      <xdr:rowOff>33616</xdr:rowOff>
    </xdr:from>
    <xdr:to>
      <xdr:col>0</xdr:col>
      <xdr:colOff>2364441</xdr:colOff>
      <xdr:row>3</xdr:row>
      <xdr:rowOff>112059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056" y="33616"/>
          <a:ext cx="2252385" cy="661149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600"/>
            <a:t>TokenSheet</a:t>
          </a:r>
          <a:br>
            <a:rPr lang="fr-FR" sz="1600"/>
          </a:br>
          <a:r>
            <a:rPr lang="fr-FR" sz="1600"/>
            <a:t>Version 0.2</a:t>
          </a:r>
        </a:p>
      </xdr:txBody>
    </xdr:sp>
    <xdr:clientData/>
  </xdr:twoCellAnchor>
  <xdr:twoCellAnchor>
    <xdr:from>
      <xdr:col>0</xdr:col>
      <xdr:colOff>380999</xdr:colOff>
      <xdr:row>3</xdr:row>
      <xdr:rowOff>156882</xdr:rowOff>
    </xdr:from>
    <xdr:to>
      <xdr:col>0</xdr:col>
      <xdr:colOff>2377327</xdr:colOff>
      <xdr:row>13</xdr:row>
      <xdr:rowOff>168090</xdr:rowOff>
    </xdr:to>
    <xdr:sp macro="" textlink="">
      <xdr:nvSpPr>
        <xdr:cNvPr id="3" name="Rectangle : 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9" y="1243853"/>
          <a:ext cx="1996328" cy="2364443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1266825</xdr:colOff>
          <xdr:row>0</xdr:row>
          <xdr:rowOff>352425</xdr:rowOff>
        </xdr:from>
        <xdr:to>
          <xdr:col>3</xdr:col>
          <xdr:colOff>209550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11</xdr:row>
          <xdr:rowOff>57150</xdr:rowOff>
        </xdr:from>
        <xdr:to>
          <xdr:col>1</xdr:col>
          <xdr:colOff>542925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1747630</xdr:colOff>
      <xdr:row>1</xdr:row>
      <xdr:rowOff>140804</xdr:rowOff>
    </xdr:from>
    <xdr:to>
      <xdr:col>3</xdr:col>
      <xdr:colOff>149086</xdr:colOff>
      <xdr:row>5</xdr:row>
      <xdr:rowOff>74542</xdr:rowOff>
    </xdr:to>
    <xdr:sp macro="" textlink="">
      <xdr:nvSpPr>
        <xdr:cNvPr id="3" name="Flèche : vir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V="1">
          <a:off x="2799521" y="861391"/>
          <a:ext cx="554935" cy="662608"/>
        </a:xfrm>
        <a:prstGeom prst="bentArrow">
          <a:avLst>
            <a:gd name="adj1" fmla="val 25000"/>
            <a:gd name="adj2" fmla="val 32817"/>
            <a:gd name="adj3" fmla="val 25000"/>
            <a:gd name="adj4" fmla="val 43750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1234108</xdr:colOff>
      <xdr:row>0</xdr:row>
      <xdr:rowOff>165651</xdr:rowOff>
    </xdr:from>
    <xdr:to>
      <xdr:col>7</xdr:col>
      <xdr:colOff>811695</xdr:colOff>
      <xdr:row>2</xdr:row>
      <xdr:rowOff>33130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95021" y="165651"/>
          <a:ext cx="2526196" cy="786849"/>
        </a:xfrm>
        <a:prstGeom prst="downArrowCallout">
          <a:avLst>
            <a:gd name="adj1" fmla="val 2079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Les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lignes dont la date de minage est vierge sont miner, Insérer le mot 'stop' pour interrompre le traitement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333375</xdr:rowOff>
        </xdr:from>
        <xdr:to>
          <xdr:col>4</xdr:col>
          <xdr:colOff>1162050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Recommencer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 traitement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381001</xdr:colOff>
      <xdr:row>0</xdr:row>
      <xdr:rowOff>157369</xdr:rowOff>
    </xdr:from>
    <xdr:to>
      <xdr:col>8</xdr:col>
      <xdr:colOff>1454427</xdr:colOff>
      <xdr:row>2</xdr:row>
      <xdr:rowOff>24848</xdr:rowOff>
    </xdr:to>
    <xdr:sp macro="" textlink="">
      <xdr:nvSpPr>
        <xdr:cNvPr id="8" name="Légende : flèche vers le b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456544" y="157369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Lien vers la transaction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minage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9</xdr:col>
      <xdr:colOff>1</xdr:colOff>
      <xdr:row>0</xdr:row>
      <xdr:rowOff>173934</xdr:rowOff>
    </xdr:from>
    <xdr:to>
      <xdr:col>9</xdr:col>
      <xdr:colOff>1073427</xdr:colOff>
      <xdr:row>2</xdr:row>
      <xdr:rowOff>41413</xdr:rowOff>
    </xdr:to>
    <xdr:sp macro="" textlink="">
      <xdr:nvSpPr>
        <xdr:cNvPr id="9" name="Légende : flèche vers le b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39740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Adresse du token sur solscan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1</xdr:col>
      <xdr:colOff>438980</xdr:colOff>
      <xdr:row>8</xdr:row>
      <xdr:rowOff>140804</xdr:rowOff>
    </xdr:from>
    <xdr:to>
      <xdr:col>2</xdr:col>
      <xdr:colOff>41413</xdr:colOff>
      <xdr:row>15</xdr:row>
      <xdr:rowOff>99390</xdr:rowOff>
    </xdr:to>
    <xdr:sp macro="" textlink="">
      <xdr:nvSpPr>
        <xdr:cNvPr id="5" name="Légende : flèche vers la gauch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689654" y="2178326"/>
          <a:ext cx="1548846" cy="1234107"/>
        </a:xfrm>
        <a:prstGeom prst="leftArrowCallout">
          <a:avLst>
            <a:gd name="adj1" fmla="val 17000"/>
            <a:gd name="adj2" fmla="val 14500"/>
            <a:gd name="adj3" fmla="val 31866"/>
            <a:gd name="adj4" fmla="val 6497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/>
            <a:t>Permet le chargement des fichiers images sur le serveur de stockage</a:t>
          </a:r>
          <a:r>
            <a:rPr lang="fr-FR" sz="1000" baseline="0"/>
            <a:t> sélectionner</a:t>
          </a:r>
          <a:endParaRPr lang="fr-FR" sz="1000"/>
        </a:p>
      </xdr:txBody>
    </xdr:sp>
    <xdr:clientData/>
  </xdr:twoCellAnchor>
  <xdr:twoCellAnchor>
    <xdr:from>
      <xdr:col>0</xdr:col>
      <xdr:colOff>902804</xdr:colOff>
      <xdr:row>0</xdr:row>
      <xdr:rowOff>165652</xdr:rowOff>
    </xdr:from>
    <xdr:to>
      <xdr:col>1</xdr:col>
      <xdr:colOff>725556</xdr:colOff>
      <xdr:row>3</xdr:row>
      <xdr:rowOff>165654</xdr:rowOff>
    </xdr:to>
    <xdr:sp macro="" textlink="">
      <xdr:nvSpPr>
        <xdr:cNvPr id="11" name="Légende : flèche vers le ba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02804" y="165652"/>
          <a:ext cx="1073426" cy="1101589"/>
        </a:xfrm>
        <a:prstGeom prst="down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Mineur</a:t>
          </a:r>
          <a:r>
            <a:rPr lang="fr-FR" sz="9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qui sera également le premier Owner et la mintautorithy</a:t>
          </a:r>
          <a:endParaRPr lang="fr-FR" sz="900">
            <a:solidFill>
              <a:sysClr val="windowText" lastClr="000000"/>
            </a:solidFill>
            <a:effectLst/>
          </a:endParaRPr>
        </a:p>
        <a:p>
          <a:pPr algn="l"/>
          <a:endParaRPr lang="fr-FR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687457</xdr:colOff>
      <xdr:row>21</xdr:row>
      <xdr:rowOff>0</xdr:rowOff>
    </xdr:from>
    <xdr:to>
      <xdr:col>1</xdr:col>
      <xdr:colOff>1548848</xdr:colOff>
      <xdr:row>27</xdr:row>
      <xdr:rowOff>173935</xdr:rowOff>
    </xdr:to>
    <xdr:sp macro="" textlink="">
      <xdr:nvSpPr>
        <xdr:cNvPr id="6" name="Rectangle : carré corné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7457" y="4373217"/>
          <a:ext cx="2112065" cy="126724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En cas d'anomalie il peut être pertinent</a:t>
          </a:r>
          <a:r>
            <a:rPr lang="fr-FR" sz="1100" baseline="0"/>
            <a:t> de consulter l'état du réseau Solana : https://status.solana.com/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4</xdr:row>
      <xdr:rowOff>171450</xdr:rowOff>
    </xdr:from>
    <xdr:to>
      <xdr:col>12</xdr:col>
      <xdr:colOff>352425</xdr:colOff>
      <xdr:row>12</xdr:row>
      <xdr:rowOff>57150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296900" y="933450"/>
          <a:ext cx="1771650" cy="14097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Fichier à transmettre à la marketplace pour mise en vente des NFT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validate?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tokensol.nfluent.io/validate?" TargetMode="External"/><Relationship Id="rId1" Type="http://schemas.openxmlformats.org/officeDocument/2006/relationships/hyperlink" Target="https://docs.metaplex.com/token-metadata/Versions/v1.0.0/nft-standard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4" Type="http://schemas.openxmlformats.org/officeDocument/2006/relationships/hyperlink" Target="http://127.0.0.1:4200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AW53"/>
  <sheetViews>
    <sheetView showGridLines="0" zoomScale="85" zoomScaleNormal="85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C1" sqref="C1:I1"/>
    </sheetView>
  </sheetViews>
  <sheetFormatPr baseColWidth="10" defaultRowHeight="15" outlineLevelCol="1" x14ac:dyDescent="0.25"/>
  <cols>
    <col min="1" max="1" width="35.7109375" customWidth="1"/>
    <col min="2" max="2" width="5.85546875" style="24" customWidth="1"/>
    <col min="3" max="3" width="19.140625" style="26" customWidth="1"/>
    <col min="4" max="4" width="13.42578125" customWidth="1"/>
    <col min="5" max="5" width="38.7109375" style="36" customWidth="1"/>
    <col min="6" max="6" width="14.5703125" style="24" customWidth="1"/>
    <col min="7" max="7" width="38.140625" customWidth="1"/>
    <col min="8" max="8" width="12" style="24" customWidth="1"/>
    <col min="9" max="9" width="14.7109375" customWidth="1"/>
    <col min="10" max="10" width="15.5703125" customWidth="1"/>
    <col min="11" max="11" width="21.140625" customWidth="1"/>
    <col min="12" max="12" width="12.85546875" customWidth="1"/>
    <col min="13" max="13" width="21.140625" customWidth="1"/>
    <col min="14" max="14" width="12.7109375" customWidth="1"/>
    <col min="15" max="15" width="21.140625" customWidth="1"/>
    <col min="16" max="28" width="21.140625" customWidth="1" outlineLevel="1"/>
    <col min="29" max="29" width="44.7109375" customWidth="1" outlineLevel="1"/>
    <col min="30" max="35" width="13.85546875" style="24" customWidth="1"/>
    <col min="36" max="36" width="20" customWidth="1"/>
    <col min="37" max="37" width="12.85546875" customWidth="1"/>
    <col min="38" max="41" width="10.28515625" bestFit="1" customWidth="1"/>
    <col min="42" max="42" width="14.85546875" customWidth="1"/>
    <col min="43" max="43" width="22.85546875" customWidth="1"/>
    <col min="44" max="44" width="28" style="24" customWidth="1"/>
    <col min="45" max="45" width="9.140625" style="40" customWidth="1"/>
    <col min="46" max="46" width="13" style="40" customWidth="1"/>
    <col min="47" max="47" width="10.85546875" customWidth="1"/>
    <col min="48" max="48" width="15.85546875" style="42" customWidth="1"/>
    <col min="49" max="49" width="27.42578125" customWidth="1"/>
  </cols>
  <sheetData>
    <row r="1" spans="1:49" s="33" customFormat="1" ht="24.75" customHeight="1" x14ac:dyDescent="0.4">
      <c r="B1" s="34"/>
      <c r="C1" s="54" t="s">
        <v>61</v>
      </c>
      <c r="D1" s="54"/>
      <c r="E1" s="54"/>
      <c r="F1" s="54"/>
      <c r="G1" s="54"/>
      <c r="H1" s="54"/>
      <c r="I1" s="54"/>
      <c r="J1" s="59" t="s">
        <v>63</v>
      </c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35"/>
      <c r="W1" s="35"/>
      <c r="X1" s="35"/>
      <c r="Y1" s="35"/>
      <c r="Z1" s="35"/>
      <c r="AA1" s="35"/>
      <c r="AB1" s="35"/>
      <c r="AC1" s="35"/>
      <c r="AD1" s="56" t="s">
        <v>14</v>
      </c>
      <c r="AE1" s="56"/>
      <c r="AF1" s="56"/>
      <c r="AG1" s="56"/>
      <c r="AH1" s="56"/>
      <c r="AI1" s="56"/>
      <c r="AJ1" s="57" t="s">
        <v>16</v>
      </c>
      <c r="AK1" s="57"/>
      <c r="AL1" s="57"/>
      <c r="AM1" s="57"/>
      <c r="AN1" s="57"/>
      <c r="AO1" s="57"/>
      <c r="AP1" s="58" t="s">
        <v>7</v>
      </c>
      <c r="AQ1" s="58"/>
      <c r="AR1" s="37" t="s">
        <v>460</v>
      </c>
      <c r="AS1" s="55" t="s">
        <v>458</v>
      </c>
      <c r="AT1" s="55"/>
      <c r="AU1" s="55"/>
      <c r="AV1" s="55"/>
      <c r="AW1" s="52" t="s">
        <v>469</v>
      </c>
    </row>
    <row r="2" spans="1:49" s="29" customFormat="1" ht="15" hidden="1" customHeight="1" x14ac:dyDescent="0.25">
      <c r="B2" s="30"/>
      <c r="C2" s="45" t="s">
        <v>8</v>
      </c>
      <c r="D2" s="46" t="s">
        <v>9</v>
      </c>
      <c r="E2" s="46" t="s">
        <v>10</v>
      </c>
      <c r="F2" s="46" t="s">
        <v>0</v>
      </c>
      <c r="G2" s="46" t="s">
        <v>1</v>
      </c>
      <c r="H2" s="46" t="s">
        <v>62</v>
      </c>
      <c r="I2" s="46" t="s">
        <v>38</v>
      </c>
      <c r="J2" s="46" t="s">
        <v>2</v>
      </c>
      <c r="K2" s="46" t="s">
        <v>3</v>
      </c>
      <c r="L2" s="46" t="s">
        <v>2</v>
      </c>
      <c r="M2" s="46" t="s">
        <v>3</v>
      </c>
      <c r="N2" s="46" t="s">
        <v>2</v>
      </c>
      <c r="O2" s="46" t="s">
        <v>3</v>
      </c>
      <c r="P2" s="46" t="s">
        <v>2</v>
      </c>
      <c r="Q2" s="46" t="s">
        <v>3</v>
      </c>
      <c r="R2" s="46" t="s">
        <v>2</v>
      </c>
      <c r="S2" s="46" t="s">
        <v>3</v>
      </c>
      <c r="T2" s="46" t="s">
        <v>2</v>
      </c>
      <c r="U2" s="46" t="s">
        <v>3</v>
      </c>
      <c r="V2" s="46" t="s">
        <v>2</v>
      </c>
      <c r="W2" s="46" t="s">
        <v>3</v>
      </c>
      <c r="X2" s="46" t="s">
        <v>2</v>
      </c>
      <c r="Y2" s="46" t="s">
        <v>3</v>
      </c>
      <c r="Z2" s="46" t="s">
        <v>2</v>
      </c>
      <c r="AA2" s="46" t="s">
        <v>3</v>
      </c>
      <c r="AB2" s="46" t="s">
        <v>2</v>
      </c>
      <c r="AC2" s="46" t="s">
        <v>3</v>
      </c>
      <c r="AD2" s="46" t="s">
        <v>4</v>
      </c>
      <c r="AE2" s="46" t="s">
        <v>5</v>
      </c>
      <c r="AF2" s="46" t="s">
        <v>4</v>
      </c>
      <c r="AG2" s="46" t="s">
        <v>5</v>
      </c>
      <c r="AH2" s="46" t="s">
        <v>4</v>
      </c>
      <c r="AI2" s="46" t="s">
        <v>5</v>
      </c>
      <c r="AJ2" s="46" t="s">
        <v>15</v>
      </c>
      <c r="AK2" s="46" t="s">
        <v>6</v>
      </c>
      <c r="AL2" s="46" t="s">
        <v>15</v>
      </c>
      <c r="AM2" s="46" t="s">
        <v>6</v>
      </c>
      <c r="AN2" s="46" t="s">
        <v>15</v>
      </c>
      <c r="AO2" s="46" t="s">
        <v>6</v>
      </c>
      <c r="AP2" s="46" t="s">
        <v>8</v>
      </c>
      <c r="AQ2" s="46" t="s">
        <v>41</v>
      </c>
      <c r="AR2" s="46" t="s">
        <v>104</v>
      </c>
      <c r="AS2" s="47" t="s">
        <v>454</v>
      </c>
      <c r="AT2" s="47" t="s">
        <v>455</v>
      </c>
      <c r="AU2" s="46" t="s">
        <v>456</v>
      </c>
      <c r="AV2" s="48" t="s">
        <v>457</v>
      </c>
    </row>
    <row r="3" spans="1:49" s="9" customFormat="1" ht="21" customHeight="1" x14ac:dyDescent="0.25">
      <c r="B3" s="4" t="s">
        <v>451</v>
      </c>
      <c r="C3" s="25" t="s">
        <v>8</v>
      </c>
      <c r="D3" s="4" t="s">
        <v>9</v>
      </c>
      <c r="E3" s="4" t="s">
        <v>10</v>
      </c>
      <c r="F3" s="4" t="s">
        <v>0</v>
      </c>
      <c r="G3" s="4" t="s">
        <v>459</v>
      </c>
      <c r="H3" s="4" t="s">
        <v>62</v>
      </c>
      <c r="I3" s="4" t="s">
        <v>38</v>
      </c>
      <c r="J3" s="5" t="s">
        <v>2</v>
      </c>
      <c r="K3" s="5" t="s">
        <v>3</v>
      </c>
      <c r="L3" s="5" t="s">
        <v>2</v>
      </c>
      <c r="M3" s="5" t="s">
        <v>3</v>
      </c>
      <c r="N3" s="5" t="s">
        <v>2</v>
      </c>
      <c r="O3" s="5" t="s">
        <v>3</v>
      </c>
      <c r="P3" s="5" t="s">
        <v>2</v>
      </c>
      <c r="Q3" s="5" t="s">
        <v>3</v>
      </c>
      <c r="R3" s="5" t="s">
        <v>2</v>
      </c>
      <c r="S3" s="5" t="s">
        <v>3</v>
      </c>
      <c r="T3" s="5" t="s">
        <v>2</v>
      </c>
      <c r="U3" s="5" t="s">
        <v>3</v>
      </c>
      <c r="V3" s="5" t="s">
        <v>2</v>
      </c>
      <c r="W3" s="5" t="s">
        <v>3</v>
      </c>
      <c r="X3" s="5" t="s">
        <v>2</v>
      </c>
      <c r="Y3" s="5" t="s">
        <v>3</v>
      </c>
      <c r="Z3" s="5" t="s">
        <v>2</v>
      </c>
      <c r="AA3" s="5" t="s">
        <v>3</v>
      </c>
      <c r="AB3" s="5" t="s">
        <v>2</v>
      </c>
      <c r="AC3" s="5" t="s">
        <v>3</v>
      </c>
      <c r="AD3" s="6" t="s">
        <v>4</v>
      </c>
      <c r="AE3" s="6" t="s">
        <v>5</v>
      </c>
      <c r="AF3" s="6" t="s">
        <v>4</v>
      </c>
      <c r="AG3" s="6" t="s">
        <v>5</v>
      </c>
      <c r="AH3" s="6" t="s">
        <v>4</v>
      </c>
      <c r="AI3" s="6" t="s">
        <v>5</v>
      </c>
      <c r="AJ3" s="7" t="s">
        <v>15</v>
      </c>
      <c r="AK3" s="7" t="s">
        <v>6</v>
      </c>
      <c r="AL3" s="7" t="s">
        <v>15</v>
      </c>
      <c r="AM3" s="7" t="s">
        <v>6</v>
      </c>
      <c r="AN3" s="7" t="s">
        <v>15</v>
      </c>
      <c r="AO3" s="7" t="s">
        <v>6</v>
      </c>
      <c r="AP3" s="8" t="s">
        <v>8</v>
      </c>
      <c r="AQ3" s="8" t="s">
        <v>41</v>
      </c>
      <c r="AR3" s="38" t="s">
        <v>104</v>
      </c>
      <c r="AS3" s="39" t="s">
        <v>454</v>
      </c>
      <c r="AT3" s="39" t="s">
        <v>455</v>
      </c>
      <c r="AU3" s="28" t="s">
        <v>456</v>
      </c>
      <c r="AV3" s="41" t="s">
        <v>457</v>
      </c>
      <c r="AW3" s="53" t="s">
        <v>470</v>
      </c>
    </row>
    <row r="4" spans="1:49" ht="18.75" customHeight="1" x14ac:dyDescent="0.25">
      <c r="B4" s="24">
        <v>1</v>
      </c>
      <c r="C4" s="26" t="s">
        <v>119</v>
      </c>
      <c r="D4" t="s">
        <v>81</v>
      </c>
      <c r="E4" s="36" t="s">
        <v>82</v>
      </c>
      <c r="F4" s="24">
        <v>5000</v>
      </c>
      <c r="G4" s="15" t="s">
        <v>400</v>
      </c>
      <c r="H4" s="27" t="s">
        <v>25</v>
      </c>
      <c r="J4" t="s">
        <v>42</v>
      </c>
      <c r="K4" t="s">
        <v>43</v>
      </c>
      <c r="L4" t="s">
        <v>44</v>
      </c>
      <c r="M4" t="s">
        <v>50</v>
      </c>
      <c r="N4" t="s">
        <v>45</v>
      </c>
      <c r="O4" t="s">
        <v>51</v>
      </c>
      <c r="P4" t="s">
        <v>46</v>
      </c>
      <c r="Q4" t="s">
        <v>52</v>
      </c>
      <c r="R4" t="s">
        <v>47</v>
      </c>
      <c r="S4" t="s">
        <v>53</v>
      </c>
      <c r="T4" t="s">
        <v>48</v>
      </c>
      <c r="U4" t="s">
        <v>54</v>
      </c>
      <c r="V4" t="s">
        <v>55</v>
      </c>
      <c r="W4">
        <v>2</v>
      </c>
      <c r="X4" t="s">
        <v>56</v>
      </c>
      <c r="Y4">
        <v>2</v>
      </c>
      <c r="Z4" t="s">
        <v>57</v>
      </c>
      <c r="AA4">
        <v>2</v>
      </c>
      <c r="AB4" t="s">
        <v>468</v>
      </c>
      <c r="AC4" s="2" t="str">
        <f>Settings!$B$5 &amp;  "?s=" &amp; D4 &amp; "&amp;platform=ftx"</f>
        <v>https://tokensol.nfluent.io?s=symbol1&amp;platform=ftx</v>
      </c>
      <c r="AD4" s="24" t="s">
        <v>25</v>
      </c>
      <c r="AE4" s="24">
        <v>10</v>
      </c>
      <c r="AF4" s="24" t="s">
        <v>26</v>
      </c>
      <c r="AG4" s="24">
        <v>60</v>
      </c>
      <c r="AH4" s="24" t="s">
        <v>27</v>
      </c>
      <c r="AI4" s="24">
        <v>30</v>
      </c>
      <c r="AJ4" s="2"/>
      <c r="AP4" t="s">
        <v>467</v>
      </c>
      <c r="AQ4" t="s">
        <v>68</v>
      </c>
      <c r="AR4" s="24" t="str">
        <f>C4 &amp; D4</f>
        <v>MyRealTest1symbol1</v>
      </c>
      <c r="AW4" s="24" t="s">
        <v>26</v>
      </c>
    </row>
    <row r="5" spans="1:49" ht="18.75" customHeight="1" x14ac:dyDescent="0.25">
      <c r="B5" s="24">
        <v>2</v>
      </c>
      <c r="C5" s="26" t="s">
        <v>120</v>
      </c>
      <c r="D5" t="s">
        <v>83</v>
      </c>
      <c r="E5" s="36" t="s">
        <v>84</v>
      </c>
      <c r="F5" s="24">
        <v>5000</v>
      </c>
      <c r="G5" s="15" t="s">
        <v>401</v>
      </c>
      <c r="H5" s="27" t="s">
        <v>25</v>
      </c>
      <c r="J5" t="s">
        <v>42</v>
      </c>
      <c r="K5" t="s">
        <v>43</v>
      </c>
      <c r="L5" t="s">
        <v>45</v>
      </c>
      <c r="M5" t="s">
        <v>50</v>
      </c>
      <c r="N5" t="s">
        <v>46</v>
      </c>
      <c r="O5" t="s">
        <v>51</v>
      </c>
      <c r="P5" t="s">
        <v>47</v>
      </c>
      <c r="Q5" t="s">
        <v>52</v>
      </c>
      <c r="R5" t="s">
        <v>48</v>
      </c>
      <c r="S5" t="s">
        <v>53</v>
      </c>
      <c r="T5" t="s">
        <v>85</v>
      </c>
      <c r="U5" t="s">
        <v>86</v>
      </c>
      <c r="V5" t="s">
        <v>56</v>
      </c>
      <c r="W5">
        <v>3</v>
      </c>
      <c r="X5" t="s">
        <v>57</v>
      </c>
      <c r="Y5">
        <v>3</v>
      </c>
      <c r="Z5" t="s">
        <v>87</v>
      </c>
      <c r="AA5">
        <v>3</v>
      </c>
      <c r="AB5" t="s">
        <v>88</v>
      </c>
      <c r="AC5" s="2" t="str">
        <f>Settings!$B$5 &amp;  "?s=" &amp; D5 &amp; "&amp;platform=ftx"</f>
        <v>https://tokensol.nfluent.io?s=symbol2&amp;platform=ftx</v>
      </c>
      <c r="AD5" s="24" t="s">
        <v>25</v>
      </c>
      <c r="AE5" s="24">
        <v>10</v>
      </c>
      <c r="AF5" s="24" t="s">
        <v>26</v>
      </c>
      <c r="AG5" s="24">
        <v>60</v>
      </c>
      <c r="AH5" s="24" t="s">
        <v>27</v>
      </c>
      <c r="AI5" s="24">
        <v>30</v>
      </c>
      <c r="AJ5" s="2"/>
      <c r="AP5" t="s">
        <v>467</v>
      </c>
      <c r="AQ5" t="s">
        <v>68</v>
      </c>
      <c r="AW5" s="24" t="s">
        <v>26</v>
      </c>
    </row>
    <row r="6" spans="1:49" ht="18.75" customHeight="1" x14ac:dyDescent="0.25">
      <c r="B6" s="24">
        <v>3</v>
      </c>
      <c r="C6" s="26" t="s">
        <v>121</v>
      </c>
      <c r="D6" t="s">
        <v>89</v>
      </c>
      <c r="E6" s="36" t="s">
        <v>90</v>
      </c>
      <c r="F6" s="24">
        <v>5000</v>
      </c>
      <c r="G6" s="15" t="s">
        <v>402</v>
      </c>
      <c r="H6" s="27" t="s">
        <v>25</v>
      </c>
      <c r="J6" t="s">
        <v>42</v>
      </c>
      <c r="K6" t="s">
        <v>43</v>
      </c>
      <c r="L6" t="s">
        <v>46</v>
      </c>
      <c r="M6" t="s">
        <v>50</v>
      </c>
      <c r="N6" t="s">
        <v>47</v>
      </c>
      <c r="O6" t="s">
        <v>51</v>
      </c>
      <c r="P6" t="s">
        <v>48</v>
      </c>
      <c r="Q6" t="s">
        <v>52</v>
      </c>
      <c r="R6" t="s">
        <v>85</v>
      </c>
      <c r="S6" t="s">
        <v>53</v>
      </c>
      <c r="T6" t="s">
        <v>91</v>
      </c>
      <c r="U6" t="s">
        <v>92</v>
      </c>
      <c r="V6" t="s">
        <v>57</v>
      </c>
      <c r="W6">
        <v>4</v>
      </c>
      <c r="X6" t="s">
        <v>87</v>
      </c>
      <c r="Y6">
        <v>4</v>
      </c>
      <c r="Z6" t="s">
        <v>93</v>
      </c>
      <c r="AA6">
        <v>4</v>
      </c>
      <c r="AB6" t="s">
        <v>94</v>
      </c>
      <c r="AC6" s="2" t="str">
        <f>Settings!$B$5 &amp;  "?s=" &amp; D6 &amp; "&amp;platform=ftx"</f>
        <v>https://tokensol.nfluent.io?s=symbol3&amp;platform=ftx</v>
      </c>
      <c r="AD6" s="24" t="s">
        <v>25</v>
      </c>
      <c r="AE6" s="24">
        <v>10</v>
      </c>
      <c r="AF6" s="24" t="s">
        <v>26</v>
      </c>
      <c r="AG6" s="24">
        <v>60</v>
      </c>
      <c r="AH6" s="24" t="s">
        <v>27</v>
      </c>
      <c r="AI6" s="24">
        <v>30</v>
      </c>
      <c r="AJ6" s="2"/>
      <c r="AP6" t="s">
        <v>467</v>
      </c>
      <c r="AQ6" t="s">
        <v>68</v>
      </c>
      <c r="AW6" s="24" t="s">
        <v>26</v>
      </c>
    </row>
    <row r="7" spans="1:49" ht="18.75" customHeight="1" x14ac:dyDescent="0.25">
      <c r="B7" s="24">
        <v>4</v>
      </c>
      <c r="C7" s="26" t="s">
        <v>122</v>
      </c>
      <c r="D7" t="s">
        <v>95</v>
      </c>
      <c r="E7" s="36" t="s">
        <v>96</v>
      </c>
      <c r="F7" s="24">
        <v>5000</v>
      </c>
      <c r="G7" s="15" t="s">
        <v>403</v>
      </c>
      <c r="H7" s="27" t="s">
        <v>25</v>
      </c>
      <c r="J7" t="s">
        <v>42</v>
      </c>
      <c r="K7" t="s">
        <v>43</v>
      </c>
      <c r="L7" t="s">
        <v>47</v>
      </c>
      <c r="M7" t="s">
        <v>50</v>
      </c>
      <c r="N7" t="s">
        <v>48</v>
      </c>
      <c r="O7" t="s">
        <v>51</v>
      </c>
      <c r="P7" t="s">
        <v>85</v>
      </c>
      <c r="Q7" t="s">
        <v>52</v>
      </c>
      <c r="R7" t="s">
        <v>91</v>
      </c>
      <c r="S7" t="s">
        <v>53</v>
      </c>
      <c r="T7" t="s">
        <v>97</v>
      </c>
      <c r="U7" t="s">
        <v>98</v>
      </c>
      <c r="V7" t="s">
        <v>87</v>
      </c>
      <c r="W7">
        <v>5</v>
      </c>
      <c r="X7" t="s">
        <v>93</v>
      </c>
      <c r="Y7">
        <v>5</v>
      </c>
      <c r="Z7" t="s">
        <v>99</v>
      </c>
      <c r="AA7">
        <v>5</v>
      </c>
      <c r="AB7" t="s">
        <v>100</v>
      </c>
      <c r="AC7" s="2" t="str">
        <f>Settings!$B$5 &amp;  "?s=" &amp; D7 &amp; "&amp;platform=ftx"</f>
        <v>https://tokensol.nfluent.io?s=symbol4&amp;platform=ftx</v>
      </c>
      <c r="AD7" s="24" t="s">
        <v>25</v>
      </c>
      <c r="AE7" s="24">
        <v>10</v>
      </c>
      <c r="AF7" s="24" t="s">
        <v>26</v>
      </c>
      <c r="AG7" s="24">
        <v>60</v>
      </c>
      <c r="AH7" s="24" t="s">
        <v>27</v>
      </c>
      <c r="AI7" s="24">
        <v>30</v>
      </c>
      <c r="AJ7" s="2"/>
      <c r="AP7" t="s">
        <v>467</v>
      </c>
      <c r="AQ7" t="s">
        <v>68</v>
      </c>
      <c r="AW7" s="24" t="s">
        <v>26</v>
      </c>
    </row>
    <row r="8" spans="1:49" ht="18.75" customHeight="1" x14ac:dyDescent="0.25">
      <c r="B8" s="24">
        <v>5</v>
      </c>
      <c r="C8" s="26" t="s">
        <v>123</v>
      </c>
      <c r="D8" t="s">
        <v>124</v>
      </c>
      <c r="E8" s="36" t="s">
        <v>125</v>
      </c>
      <c r="F8" s="24">
        <v>5001</v>
      </c>
      <c r="G8" s="15" t="s">
        <v>404</v>
      </c>
      <c r="H8" s="27" t="s">
        <v>25</v>
      </c>
      <c r="J8" t="s">
        <v>42</v>
      </c>
      <c r="K8" t="s">
        <v>43</v>
      </c>
      <c r="L8" t="s">
        <v>48</v>
      </c>
      <c r="M8" t="s">
        <v>50</v>
      </c>
      <c r="N8" t="s">
        <v>85</v>
      </c>
      <c r="O8" t="s">
        <v>51</v>
      </c>
      <c r="P8" t="s">
        <v>91</v>
      </c>
      <c r="Q8" t="s">
        <v>52</v>
      </c>
      <c r="R8" t="s">
        <v>97</v>
      </c>
      <c r="S8" t="s">
        <v>53</v>
      </c>
      <c r="T8" t="s">
        <v>49</v>
      </c>
      <c r="U8" t="s">
        <v>126</v>
      </c>
      <c r="V8" t="s">
        <v>93</v>
      </c>
      <c r="W8">
        <v>6</v>
      </c>
      <c r="X8" t="s">
        <v>99</v>
      </c>
      <c r="Y8">
        <v>6</v>
      </c>
      <c r="Z8" t="s">
        <v>127</v>
      </c>
      <c r="AA8">
        <v>6</v>
      </c>
      <c r="AB8" t="s">
        <v>128</v>
      </c>
      <c r="AC8" s="2" t="str">
        <f>Settings!$B$5 &amp;  "?s=" &amp; D8 &amp; "&amp;platform=ftx"</f>
        <v>https://tokensol.nfluent.io?s=symbol5&amp;platform=ftx</v>
      </c>
      <c r="AD8" s="24" t="s">
        <v>25</v>
      </c>
      <c r="AE8" s="24">
        <v>10</v>
      </c>
      <c r="AF8" s="24" t="s">
        <v>26</v>
      </c>
      <c r="AG8" s="24">
        <v>60</v>
      </c>
      <c r="AH8" s="24" t="s">
        <v>27</v>
      </c>
      <c r="AI8" s="24">
        <v>30</v>
      </c>
      <c r="AJ8" s="2"/>
      <c r="AP8" t="s">
        <v>467</v>
      </c>
      <c r="AQ8" t="s">
        <v>68</v>
      </c>
      <c r="AW8" s="24" t="s">
        <v>26</v>
      </c>
    </row>
    <row r="9" spans="1:49" ht="18.75" customHeight="1" x14ac:dyDescent="0.25">
      <c r="B9" s="24">
        <v>6</v>
      </c>
      <c r="C9" s="26" t="s">
        <v>129</v>
      </c>
      <c r="D9" t="s">
        <v>130</v>
      </c>
      <c r="E9" s="36" t="s">
        <v>131</v>
      </c>
      <c r="F9" s="24">
        <v>5002</v>
      </c>
      <c r="G9" s="15" t="s">
        <v>405</v>
      </c>
      <c r="H9" s="27" t="s">
        <v>25</v>
      </c>
      <c r="J9" t="s">
        <v>42</v>
      </c>
      <c r="K9" t="s">
        <v>43</v>
      </c>
      <c r="L9" t="s">
        <v>85</v>
      </c>
      <c r="M9" t="s">
        <v>50</v>
      </c>
      <c r="N9" t="s">
        <v>91</v>
      </c>
      <c r="O9" t="s">
        <v>51</v>
      </c>
      <c r="P9" t="s">
        <v>97</v>
      </c>
      <c r="Q9" t="s">
        <v>52</v>
      </c>
      <c r="R9" t="s">
        <v>49</v>
      </c>
      <c r="S9" t="s">
        <v>53</v>
      </c>
      <c r="T9" t="s">
        <v>88</v>
      </c>
      <c r="U9" t="s">
        <v>132</v>
      </c>
      <c r="V9" t="s">
        <v>99</v>
      </c>
      <c r="W9">
        <v>7</v>
      </c>
      <c r="X9" t="s">
        <v>127</v>
      </c>
      <c r="Y9">
        <v>7</v>
      </c>
      <c r="Z9" t="s">
        <v>133</v>
      </c>
      <c r="AA9">
        <v>7</v>
      </c>
      <c r="AB9" t="s">
        <v>134</v>
      </c>
      <c r="AC9" s="2" t="str">
        <f>Settings!$B$5 &amp;  "?s=" &amp; D9 &amp; "&amp;platform=ftx"</f>
        <v>https://tokensol.nfluent.io?s=symbol6&amp;platform=ftx</v>
      </c>
      <c r="AD9" s="24" t="s">
        <v>25</v>
      </c>
      <c r="AE9" s="24">
        <v>10</v>
      </c>
      <c r="AF9" s="24" t="s">
        <v>26</v>
      </c>
      <c r="AG9" s="24">
        <v>60</v>
      </c>
      <c r="AH9" s="24" t="s">
        <v>27</v>
      </c>
      <c r="AI9" s="24">
        <v>30</v>
      </c>
      <c r="AJ9" s="2"/>
      <c r="AP9" t="s">
        <v>467</v>
      </c>
      <c r="AQ9" t="s">
        <v>68</v>
      </c>
      <c r="AW9" s="24" t="s">
        <v>26</v>
      </c>
    </row>
    <row r="10" spans="1:49" ht="18.75" customHeight="1" x14ac:dyDescent="0.25">
      <c r="B10" s="24">
        <v>7</v>
      </c>
      <c r="C10" s="26" t="s">
        <v>135</v>
      </c>
      <c r="D10" t="s">
        <v>136</v>
      </c>
      <c r="E10" s="36" t="s">
        <v>137</v>
      </c>
      <c r="F10" s="24">
        <v>5003</v>
      </c>
      <c r="G10" s="15" t="s">
        <v>406</v>
      </c>
      <c r="H10" s="27" t="s">
        <v>25</v>
      </c>
      <c r="J10" t="s">
        <v>42</v>
      </c>
      <c r="K10" t="s">
        <v>43</v>
      </c>
      <c r="L10" t="s">
        <v>91</v>
      </c>
      <c r="M10" t="s">
        <v>50</v>
      </c>
      <c r="N10" t="s">
        <v>97</v>
      </c>
      <c r="O10" t="s">
        <v>51</v>
      </c>
      <c r="P10" t="s">
        <v>49</v>
      </c>
      <c r="Q10" t="s">
        <v>52</v>
      </c>
      <c r="R10" t="s">
        <v>88</v>
      </c>
      <c r="S10" t="s">
        <v>53</v>
      </c>
      <c r="T10" t="s">
        <v>94</v>
      </c>
      <c r="U10" t="s">
        <v>138</v>
      </c>
      <c r="V10" t="s">
        <v>127</v>
      </c>
      <c r="W10">
        <v>8</v>
      </c>
      <c r="X10" t="s">
        <v>133</v>
      </c>
      <c r="Y10">
        <v>8</v>
      </c>
      <c r="Z10" t="s">
        <v>139</v>
      </c>
      <c r="AA10">
        <v>8</v>
      </c>
      <c r="AB10" t="s">
        <v>140</v>
      </c>
      <c r="AC10" s="2" t="str">
        <f>Settings!$B$5 &amp;  "?s=" &amp; D10 &amp; "&amp;platform=ftx"</f>
        <v>https://tokensol.nfluent.io?s=symbol7&amp;platform=ftx</v>
      </c>
      <c r="AD10" s="24" t="s">
        <v>25</v>
      </c>
      <c r="AE10" s="24">
        <v>10</v>
      </c>
      <c r="AF10" s="24" t="s">
        <v>26</v>
      </c>
      <c r="AG10" s="24">
        <v>60</v>
      </c>
      <c r="AH10" s="24" t="s">
        <v>27</v>
      </c>
      <c r="AI10" s="24">
        <v>30</v>
      </c>
      <c r="AJ10" s="2"/>
      <c r="AP10" t="s">
        <v>467</v>
      </c>
      <c r="AQ10" t="s">
        <v>68</v>
      </c>
      <c r="AW10" s="24" t="s">
        <v>26</v>
      </c>
    </row>
    <row r="11" spans="1:49" ht="18.75" customHeight="1" x14ac:dyDescent="0.25">
      <c r="B11" s="24">
        <v>8</v>
      </c>
      <c r="C11" s="26" t="s">
        <v>141</v>
      </c>
      <c r="D11" t="s">
        <v>142</v>
      </c>
      <c r="E11" s="36" t="s">
        <v>143</v>
      </c>
      <c r="F11" s="24">
        <v>5004</v>
      </c>
      <c r="G11" s="15" t="s">
        <v>407</v>
      </c>
      <c r="H11" s="27" t="s">
        <v>25</v>
      </c>
      <c r="J11" t="s">
        <v>42</v>
      </c>
      <c r="K11" t="s">
        <v>43</v>
      </c>
      <c r="L11" t="s">
        <v>97</v>
      </c>
      <c r="M11" t="s">
        <v>50</v>
      </c>
      <c r="N11" t="s">
        <v>49</v>
      </c>
      <c r="O11" t="s">
        <v>51</v>
      </c>
      <c r="P11" t="s">
        <v>88</v>
      </c>
      <c r="Q11" t="s">
        <v>52</v>
      </c>
      <c r="R11" t="s">
        <v>94</v>
      </c>
      <c r="S11" t="s">
        <v>53</v>
      </c>
      <c r="T11" t="s">
        <v>100</v>
      </c>
      <c r="U11" t="s">
        <v>144</v>
      </c>
      <c r="V11" t="s">
        <v>133</v>
      </c>
      <c r="W11">
        <v>9</v>
      </c>
      <c r="X11" t="s">
        <v>139</v>
      </c>
      <c r="Y11">
        <v>9</v>
      </c>
      <c r="Z11" t="s">
        <v>145</v>
      </c>
      <c r="AA11">
        <v>9</v>
      </c>
      <c r="AB11" t="s">
        <v>146</v>
      </c>
      <c r="AC11" s="2" t="str">
        <f>Settings!$B$5 &amp;  "?s=" &amp; D11 &amp; "&amp;platform=ftx"</f>
        <v>https://tokensol.nfluent.io?s=symbol8&amp;platform=ftx</v>
      </c>
      <c r="AD11" s="24" t="s">
        <v>25</v>
      </c>
      <c r="AE11" s="24">
        <v>10</v>
      </c>
      <c r="AF11" s="24" t="s">
        <v>26</v>
      </c>
      <c r="AG11" s="24">
        <v>60</v>
      </c>
      <c r="AH11" s="24" t="s">
        <v>27</v>
      </c>
      <c r="AI11" s="24">
        <v>30</v>
      </c>
      <c r="AJ11" s="2"/>
      <c r="AP11" t="s">
        <v>467</v>
      </c>
      <c r="AQ11" t="s">
        <v>68</v>
      </c>
      <c r="AW11" s="24" t="s">
        <v>26</v>
      </c>
    </row>
    <row r="12" spans="1:49" ht="18.75" customHeight="1" x14ac:dyDescent="0.25">
      <c r="B12" s="24">
        <v>9</v>
      </c>
      <c r="C12" s="26" t="s">
        <v>147</v>
      </c>
      <c r="D12" t="s">
        <v>148</v>
      </c>
      <c r="E12" s="36" t="s">
        <v>149</v>
      </c>
      <c r="F12" s="24">
        <v>5005</v>
      </c>
      <c r="G12" s="15" t="s">
        <v>408</v>
      </c>
      <c r="H12" s="27" t="s">
        <v>25</v>
      </c>
      <c r="J12" t="s">
        <v>42</v>
      </c>
      <c r="K12" t="s">
        <v>43</v>
      </c>
      <c r="L12" t="s">
        <v>49</v>
      </c>
      <c r="M12" t="s">
        <v>50</v>
      </c>
      <c r="N12" t="s">
        <v>88</v>
      </c>
      <c r="O12" t="s">
        <v>51</v>
      </c>
      <c r="P12" t="s">
        <v>94</v>
      </c>
      <c r="Q12" t="s">
        <v>52</v>
      </c>
      <c r="R12" t="s">
        <v>100</v>
      </c>
      <c r="S12" t="s">
        <v>53</v>
      </c>
      <c r="T12" t="s">
        <v>128</v>
      </c>
      <c r="U12" t="s">
        <v>150</v>
      </c>
      <c r="V12" t="s">
        <v>139</v>
      </c>
      <c r="W12">
        <v>10</v>
      </c>
      <c r="X12" t="s">
        <v>145</v>
      </c>
      <c r="Y12">
        <v>10</v>
      </c>
      <c r="Z12" t="s">
        <v>151</v>
      </c>
      <c r="AA12">
        <v>10</v>
      </c>
      <c r="AB12" t="s">
        <v>152</v>
      </c>
      <c r="AC12" s="2" t="str">
        <f>Settings!$B$5 &amp;  "?s=" &amp; D12 &amp; "&amp;platform=ftx"</f>
        <v>https://tokensol.nfluent.io?s=symbol9&amp;platform=ftx</v>
      </c>
      <c r="AD12" s="24" t="s">
        <v>25</v>
      </c>
      <c r="AE12" s="24">
        <v>10</v>
      </c>
      <c r="AF12" s="24" t="s">
        <v>26</v>
      </c>
      <c r="AG12" s="24">
        <v>60</v>
      </c>
      <c r="AH12" s="24" t="s">
        <v>27</v>
      </c>
      <c r="AI12" s="24">
        <v>30</v>
      </c>
      <c r="AJ12" s="2"/>
      <c r="AP12" t="s">
        <v>467</v>
      </c>
      <c r="AQ12" t="s">
        <v>68</v>
      </c>
      <c r="AW12" s="24" t="s">
        <v>26</v>
      </c>
    </row>
    <row r="13" spans="1:49" ht="18.75" customHeight="1" x14ac:dyDescent="0.25">
      <c r="B13" s="24">
        <v>10</v>
      </c>
      <c r="C13" s="26" t="s">
        <v>153</v>
      </c>
      <c r="D13" t="s">
        <v>154</v>
      </c>
      <c r="E13" s="36" t="s">
        <v>155</v>
      </c>
      <c r="F13" s="24">
        <v>5006</v>
      </c>
      <c r="G13" s="15" t="s">
        <v>409</v>
      </c>
      <c r="H13" s="27" t="s">
        <v>25</v>
      </c>
      <c r="J13" t="s">
        <v>42</v>
      </c>
      <c r="K13" t="s">
        <v>43</v>
      </c>
      <c r="L13" t="s">
        <v>88</v>
      </c>
      <c r="M13" t="s">
        <v>50</v>
      </c>
      <c r="N13" t="s">
        <v>94</v>
      </c>
      <c r="O13" t="s">
        <v>51</v>
      </c>
      <c r="P13" t="s">
        <v>100</v>
      </c>
      <c r="Q13" t="s">
        <v>52</v>
      </c>
      <c r="R13" t="s">
        <v>128</v>
      </c>
      <c r="S13" t="s">
        <v>53</v>
      </c>
      <c r="T13" t="s">
        <v>134</v>
      </c>
      <c r="U13" t="s">
        <v>156</v>
      </c>
      <c r="V13" t="s">
        <v>145</v>
      </c>
      <c r="W13">
        <v>11</v>
      </c>
      <c r="X13" t="s">
        <v>151</v>
      </c>
      <c r="Y13">
        <v>11</v>
      </c>
      <c r="Z13" t="s">
        <v>157</v>
      </c>
      <c r="AA13">
        <v>11</v>
      </c>
      <c r="AB13" t="s">
        <v>158</v>
      </c>
      <c r="AC13" s="2" t="str">
        <f>Settings!$B$5 &amp;  "?s=" &amp; D13 &amp; "&amp;platform=ftx"</f>
        <v>https://tokensol.nfluent.io?s=symbol10&amp;platform=ftx</v>
      </c>
      <c r="AD13" s="24" t="s">
        <v>25</v>
      </c>
      <c r="AE13" s="24">
        <v>10</v>
      </c>
      <c r="AF13" s="24" t="s">
        <v>26</v>
      </c>
      <c r="AG13" s="24">
        <v>60</v>
      </c>
      <c r="AH13" s="24" t="s">
        <v>27</v>
      </c>
      <c r="AI13" s="24">
        <v>30</v>
      </c>
      <c r="AJ13" s="2"/>
      <c r="AP13" t="s">
        <v>467</v>
      </c>
      <c r="AQ13" t="s">
        <v>68</v>
      </c>
      <c r="AW13" s="24" t="s">
        <v>26</v>
      </c>
    </row>
    <row r="14" spans="1:49" ht="18.75" customHeight="1" x14ac:dyDescent="0.25">
      <c r="B14" s="24">
        <v>11</v>
      </c>
      <c r="C14" s="26" t="s">
        <v>159</v>
      </c>
      <c r="D14" t="s">
        <v>160</v>
      </c>
      <c r="E14" s="36" t="s">
        <v>161</v>
      </c>
      <c r="F14" s="24">
        <v>5007</v>
      </c>
      <c r="G14" s="15" t="s">
        <v>410</v>
      </c>
      <c r="H14" s="27" t="s">
        <v>25</v>
      </c>
      <c r="J14" t="s">
        <v>42</v>
      </c>
      <c r="K14" t="s">
        <v>43</v>
      </c>
      <c r="L14" t="s">
        <v>94</v>
      </c>
      <c r="M14" t="s">
        <v>50</v>
      </c>
      <c r="N14" t="s">
        <v>100</v>
      </c>
      <c r="O14" t="s">
        <v>51</v>
      </c>
      <c r="P14" t="s">
        <v>128</v>
      </c>
      <c r="Q14" t="s">
        <v>52</v>
      </c>
      <c r="R14" t="s">
        <v>134</v>
      </c>
      <c r="S14" t="s">
        <v>53</v>
      </c>
      <c r="T14" t="s">
        <v>140</v>
      </c>
      <c r="U14" t="s">
        <v>162</v>
      </c>
      <c r="V14" t="s">
        <v>151</v>
      </c>
      <c r="W14">
        <v>12</v>
      </c>
      <c r="X14" t="s">
        <v>157</v>
      </c>
      <c r="Y14">
        <v>12</v>
      </c>
      <c r="Z14" t="s">
        <v>163</v>
      </c>
      <c r="AA14">
        <v>12</v>
      </c>
      <c r="AB14" t="s">
        <v>164</v>
      </c>
      <c r="AC14" s="2" t="str">
        <f>Settings!$B$5 &amp;  "?s=" &amp; D14 &amp; "&amp;platform=ftx"</f>
        <v>https://tokensol.nfluent.io?s=symbol11&amp;platform=ftx</v>
      </c>
      <c r="AD14" s="24" t="s">
        <v>25</v>
      </c>
      <c r="AE14" s="24">
        <v>10</v>
      </c>
      <c r="AF14" s="24" t="s">
        <v>26</v>
      </c>
      <c r="AG14" s="24">
        <v>60</v>
      </c>
      <c r="AH14" s="24" t="s">
        <v>27</v>
      </c>
      <c r="AI14" s="24">
        <v>30</v>
      </c>
      <c r="AJ14" s="2"/>
      <c r="AP14" t="s">
        <v>467</v>
      </c>
      <c r="AQ14" t="s">
        <v>68</v>
      </c>
      <c r="AW14" s="24" t="s">
        <v>26</v>
      </c>
    </row>
    <row r="15" spans="1:49" ht="18.75" customHeight="1" x14ac:dyDescent="0.25">
      <c r="B15" s="24">
        <v>12</v>
      </c>
      <c r="C15" s="26" t="s">
        <v>165</v>
      </c>
      <c r="D15" t="s">
        <v>166</v>
      </c>
      <c r="E15" s="36" t="s">
        <v>167</v>
      </c>
      <c r="F15" s="24">
        <v>5008</v>
      </c>
      <c r="G15" s="15" t="s">
        <v>411</v>
      </c>
      <c r="H15" s="27" t="s">
        <v>25</v>
      </c>
      <c r="J15" t="s">
        <v>42</v>
      </c>
      <c r="K15" t="s">
        <v>43</v>
      </c>
      <c r="L15" t="s">
        <v>100</v>
      </c>
      <c r="M15" t="s">
        <v>50</v>
      </c>
      <c r="N15" t="s">
        <v>128</v>
      </c>
      <c r="O15" t="s">
        <v>51</v>
      </c>
      <c r="P15" t="s">
        <v>134</v>
      </c>
      <c r="Q15" t="s">
        <v>52</v>
      </c>
      <c r="R15" t="s">
        <v>140</v>
      </c>
      <c r="S15" t="s">
        <v>53</v>
      </c>
      <c r="T15" t="s">
        <v>146</v>
      </c>
      <c r="U15" t="s">
        <v>168</v>
      </c>
      <c r="V15" t="s">
        <v>157</v>
      </c>
      <c r="W15">
        <v>13</v>
      </c>
      <c r="X15" t="s">
        <v>163</v>
      </c>
      <c r="Y15">
        <v>13</v>
      </c>
      <c r="Z15" t="s">
        <v>169</v>
      </c>
      <c r="AA15">
        <v>13</v>
      </c>
      <c r="AB15" t="s">
        <v>170</v>
      </c>
      <c r="AC15" s="2" t="str">
        <f>Settings!$B$5 &amp;  "?s=" &amp; D15 &amp; "&amp;platform=ftx"</f>
        <v>https://tokensol.nfluent.io?s=symbol12&amp;platform=ftx</v>
      </c>
      <c r="AD15" s="24" t="s">
        <v>25</v>
      </c>
      <c r="AE15" s="24">
        <v>10</v>
      </c>
      <c r="AF15" s="24" t="s">
        <v>26</v>
      </c>
      <c r="AG15" s="24">
        <v>60</v>
      </c>
      <c r="AH15" s="24" t="s">
        <v>27</v>
      </c>
      <c r="AI15" s="24">
        <v>30</v>
      </c>
      <c r="AJ15" s="2"/>
      <c r="AP15" t="s">
        <v>467</v>
      </c>
      <c r="AQ15" t="s">
        <v>68</v>
      </c>
      <c r="AW15" s="24" t="s">
        <v>26</v>
      </c>
    </row>
    <row r="16" spans="1:49" ht="18.75" customHeight="1" x14ac:dyDescent="0.25">
      <c r="A16" t="s">
        <v>452</v>
      </c>
      <c r="B16" s="24">
        <v>13</v>
      </c>
      <c r="C16" s="26" t="s">
        <v>171</v>
      </c>
      <c r="D16" t="s">
        <v>172</v>
      </c>
      <c r="E16" s="36" t="s">
        <v>173</v>
      </c>
      <c r="F16" s="24">
        <v>5009</v>
      </c>
      <c r="G16" s="15" t="s">
        <v>412</v>
      </c>
      <c r="H16" s="27" t="s">
        <v>25</v>
      </c>
      <c r="J16" t="s">
        <v>42</v>
      </c>
      <c r="K16" t="s">
        <v>43</v>
      </c>
      <c r="L16" t="s">
        <v>128</v>
      </c>
      <c r="M16" t="s">
        <v>50</v>
      </c>
      <c r="N16" t="s">
        <v>134</v>
      </c>
      <c r="O16" t="s">
        <v>51</v>
      </c>
      <c r="P16" t="s">
        <v>140</v>
      </c>
      <c r="Q16" t="s">
        <v>52</v>
      </c>
      <c r="R16" t="s">
        <v>146</v>
      </c>
      <c r="S16" t="s">
        <v>53</v>
      </c>
      <c r="T16" t="s">
        <v>152</v>
      </c>
      <c r="U16" t="s">
        <v>174</v>
      </c>
      <c r="V16" t="s">
        <v>163</v>
      </c>
      <c r="W16">
        <v>14</v>
      </c>
      <c r="X16" t="s">
        <v>169</v>
      </c>
      <c r="Y16">
        <v>14</v>
      </c>
      <c r="Z16" t="s">
        <v>175</v>
      </c>
      <c r="AA16">
        <v>14</v>
      </c>
      <c r="AB16" t="s">
        <v>176</v>
      </c>
      <c r="AC16" s="2" t="str">
        <f>Settings!$B$5 &amp;  "?s=" &amp; D16 &amp; "&amp;platform=ftx"</f>
        <v>https://tokensol.nfluent.io?s=symbol13&amp;platform=ftx</v>
      </c>
      <c r="AD16" s="24" t="s">
        <v>25</v>
      </c>
      <c r="AE16" s="24">
        <v>10</v>
      </c>
      <c r="AF16" s="24" t="s">
        <v>26</v>
      </c>
      <c r="AG16" s="24">
        <v>60</v>
      </c>
      <c r="AH16" s="24" t="s">
        <v>27</v>
      </c>
      <c r="AI16" s="24">
        <v>30</v>
      </c>
      <c r="AJ16" s="2"/>
      <c r="AP16" t="s">
        <v>467</v>
      </c>
      <c r="AQ16" t="s">
        <v>68</v>
      </c>
      <c r="AW16" s="24" t="s">
        <v>26</v>
      </c>
    </row>
    <row r="17" spans="1:49" ht="18.75" customHeight="1" x14ac:dyDescent="0.25">
      <c r="A17" s="27" t="s">
        <v>453</v>
      </c>
      <c r="B17" s="24">
        <v>14</v>
      </c>
      <c r="C17" s="26" t="s">
        <v>177</v>
      </c>
      <c r="D17" t="s">
        <v>178</v>
      </c>
      <c r="E17" s="36" t="s">
        <v>179</v>
      </c>
      <c r="F17" s="24">
        <v>5010</v>
      </c>
      <c r="G17" s="15" t="s">
        <v>413</v>
      </c>
      <c r="H17" s="27" t="s">
        <v>25</v>
      </c>
      <c r="J17" t="s">
        <v>42</v>
      </c>
      <c r="K17" t="s">
        <v>43</v>
      </c>
      <c r="L17" t="s">
        <v>134</v>
      </c>
      <c r="M17" t="s">
        <v>50</v>
      </c>
      <c r="N17" t="s">
        <v>140</v>
      </c>
      <c r="O17" t="s">
        <v>51</v>
      </c>
      <c r="P17" t="s">
        <v>146</v>
      </c>
      <c r="Q17" t="s">
        <v>52</v>
      </c>
      <c r="R17" t="s">
        <v>152</v>
      </c>
      <c r="S17" t="s">
        <v>53</v>
      </c>
      <c r="T17" t="s">
        <v>158</v>
      </c>
      <c r="U17" t="s">
        <v>180</v>
      </c>
      <c r="V17" t="s">
        <v>169</v>
      </c>
      <c r="W17">
        <v>15</v>
      </c>
      <c r="X17" t="s">
        <v>175</v>
      </c>
      <c r="Y17">
        <v>15</v>
      </c>
      <c r="Z17" t="s">
        <v>181</v>
      </c>
      <c r="AA17">
        <v>15</v>
      </c>
      <c r="AB17" t="s">
        <v>182</v>
      </c>
      <c r="AC17" s="2" t="str">
        <f>Settings!$B$5 &amp;  "?s=" &amp; D17 &amp; "&amp;platform=ftx"</f>
        <v>https://tokensol.nfluent.io?s=symbol14&amp;platform=ftx</v>
      </c>
      <c r="AD17" s="24" t="s">
        <v>25</v>
      </c>
      <c r="AE17" s="24">
        <v>10</v>
      </c>
      <c r="AF17" s="24" t="s">
        <v>26</v>
      </c>
      <c r="AG17" s="24">
        <v>60</v>
      </c>
      <c r="AH17" s="24" t="s">
        <v>27</v>
      </c>
      <c r="AI17" s="24">
        <v>30</v>
      </c>
      <c r="AJ17" s="2"/>
      <c r="AP17" t="s">
        <v>467</v>
      </c>
      <c r="AQ17" t="s">
        <v>68</v>
      </c>
      <c r="AW17" s="24" t="s">
        <v>26</v>
      </c>
    </row>
    <row r="18" spans="1:49" ht="18.75" customHeight="1" x14ac:dyDescent="0.25">
      <c r="B18" s="24">
        <v>15</v>
      </c>
      <c r="C18" s="26" t="s">
        <v>183</v>
      </c>
      <c r="D18" t="s">
        <v>184</v>
      </c>
      <c r="E18" s="36" t="s">
        <v>185</v>
      </c>
      <c r="F18" s="24">
        <v>5011</v>
      </c>
      <c r="G18" s="15" t="s">
        <v>414</v>
      </c>
      <c r="H18" s="27" t="s">
        <v>25</v>
      </c>
      <c r="J18" t="s">
        <v>42</v>
      </c>
      <c r="K18" t="s">
        <v>43</v>
      </c>
      <c r="L18" t="s">
        <v>140</v>
      </c>
      <c r="M18" t="s">
        <v>50</v>
      </c>
      <c r="N18" t="s">
        <v>146</v>
      </c>
      <c r="O18" t="s">
        <v>51</v>
      </c>
      <c r="P18" t="s">
        <v>152</v>
      </c>
      <c r="Q18" t="s">
        <v>52</v>
      </c>
      <c r="R18" t="s">
        <v>158</v>
      </c>
      <c r="S18" t="s">
        <v>53</v>
      </c>
      <c r="T18" t="s">
        <v>164</v>
      </c>
      <c r="U18" t="s">
        <v>186</v>
      </c>
      <c r="V18" t="s">
        <v>175</v>
      </c>
      <c r="W18">
        <v>16</v>
      </c>
      <c r="X18" t="s">
        <v>181</v>
      </c>
      <c r="Y18">
        <v>16</v>
      </c>
      <c r="Z18" t="s">
        <v>187</v>
      </c>
      <c r="AA18">
        <v>16</v>
      </c>
      <c r="AB18" t="s">
        <v>188</v>
      </c>
      <c r="AC18" s="2" t="str">
        <f>Settings!$B$5 &amp;  "?s=" &amp; D18 &amp; "&amp;platform=ftx"</f>
        <v>https://tokensol.nfluent.io?s=symbol15&amp;platform=ftx</v>
      </c>
      <c r="AD18" s="24" t="s">
        <v>25</v>
      </c>
      <c r="AE18" s="24">
        <v>10</v>
      </c>
      <c r="AF18" s="24" t="s">
        <v>26</v>
      </c>
      <c r="AG18" s="24">
        <v>60</v>
      </c>
      <c r="AH18" s="24" t="s">
        <v>27</v>
      </c>
      <c r="AI18" s="24">
        <v>30</v>
      </c>
      <c r="AJ18" s="2"/>
      <c r="AP18" t="s">
        <v>467</v>
      </c>
      <c r="AQ18" t="s">
        <v>68</v>
      </c>
      <c r="AW18" s="24" t="s">
        <v>26</v>
      </c>
    </row>
    <row r="19" spans="1:49" ht="18.75" customHeight="1" x14ac:dyDescent="0.25">
      <c r="B19" s="24">
        <v>16</v>
      </c>
      <c r="C19" s="26" t="s">
        <v>189</v>
      </c>
      <c r="D19" t="s">
        <v>190</v>
      </c>
      <c r="E19" s="36" t="s">
        <v>191</v>
      </c>
      <c r="F19" s="24">
        <v>5012</v>
      </c>
      <c r="G19" s="15" t="s">
        <v>415</v>
      </c>
      <c r="H19" s="27" t="s">
        <v>25</v>
      </c>
      <c r="J19" t="s">
        <v>42</v>
      </c>
      <c r="K19" t="s">
        <v>43</v>
      </c>
      <c r="L19" t="s">
        <v>146</v>
      </c>
      <c r="M19" t="s">
        <v>50</v>
      </c>
      <c r="N19" t="s">
        <v>152</v>
      </c>
      <c r="O19" t="s">
        <v>51</v>
      </c>
      <c r="P19" t="s">
        <v>158</v>
      </c>
      <c r="Q19" t="s">
        <v>52</v>
      </c>
      <c r="R19" t="s">
        <v>164</v>
      </c>
      <c r="S19" t="s">
        <v>53</v>
      </c>
      <c r="T19" t="s">
        <v>170</v>
      </c>
      <c r="U19" t="s">
        <v>192</v>
      </c>
      <c r="V19" t="s">
        <v>181</v>
      </c>
      <c r="W19">
        <v>17</v>
      </c>
      <c r="X19" t="s">
        <v>187</v>
      </c>
      <c r="Y19">
        <v>17</v>
      </c>
      <c r="Z19" t="s">
        <v>193</v>
      </c>
      <c r="AA19">
        <v>17</v>
      </c>
      <c r="AB19" t="s">
        <v>194</v>
      </c>
      <c r="AC19" s="2" t="str">
        <f>Settings!$B$5 &amp;  "?s=" &amp; D19 &amp; "&amp;platform=ftx"</f>
        <v>https://tokensol.nfluent.io?s=symbol16&amp;platform=ftx</v>
      </c>
      <c r="AD19" s="24" t="s">
        <v>25</v>
      </c>
      <c r="AE19" s="24">
        <v>10</v>
      </c>
      <c r="AF19" s="24" t="s">
        <v>26</v>
      </c>
      <c r="AG19" s="24">
        <v>60</v>
      </c>
      <c r="AH19" s="24" t="s">
        <v>27</v>
      </c>
      <c r="AI19" s="24">
        <v>30</v>
      </c>
      <c r="AJ19" s="2"/>
      <c r="AP19" t="s">
        <v>467</v>
      </c>
      <c r="AQ19" t="s">
        <v>68</v>
      </c>
      <c r="AW19" s="24" t="s">
        <v>26</v>
      </c>
    </row>
    <row r="20" spans="1:49" ht="18.75" customHeight="1" x14ac:dyDescent="0.25">
      <c r="B20" s="24">
        <v>17</v>
      </c>
      <c r="C20" s="26" t="s">
        <v>195</v>
      </c>
      <c r="D20" t="s">
        <v>196</v>
      </c>
      <c r="E20" s="36" t="s">
        <v>197</v>
      </c>
      <c r="F20" s="24">
        <v>5013</v>
      </c>
      <c r="G20" s="15" t="s">
        <v>416</v>
      </c>
      <c r="H20" s="27" t="s">
        <v>25</v>
      </c>
      <c r="J20" t="s">
        <v>42</v>
      </c>
      <c r="K20" t="s">
        <v>43</v>
      </c>
      <c r="L20" t="s">
        <v>152</v>
      </c>
      <c r="M20" t="s">
        <v>50</v>
      </c>
      <c r="N20" t="s">
        <v>158</v>
      </c>
      <c r="O20" t="s">
        <v>51</v>
      </c>
      <c r="P20" t="s">
        <v>164</v>
      </c>
      <c r="Q20" t="s">
        <v>52</v>
      </c>
      <c r="R20" t="s">
        <v>170</v>
      </c>
      <c r="S20" t="s">
        <v>53</v>
      </c>
      <c r="T20" t="s">
        <v>176</v>
      </c>
      <c r="U20" t="s">
        <v>198</v>
      </c>
      <c r="V20" t="s">
        <v>187</v>
      </c>
      <c r="W20">
        <v>18</v>
      </c>
      <c r="X20" t="s">
        <v>193</v>
      </c>
      <c r="Y20">
        <v>18</v>
      </c>
      <c r="Z20" t="s">
        <v>199</v>
      </c>
      <c r="AA20">
        <v>18</v>
      </c>
      <c r="AB20" t="s">
        <v>200</v>
      </c>
      <c r="AC20" s="2" t="str">
        <f>Settings!$B$5 &amp;  "?s=" &amp; D20 &amp; "&amp;platform=ftx"</f>
        <v>https://tokensol.nfluent.io?s=symbol17&amp;platform=ftx</v>
      </c>
      <c r="AD20" s="24" t="s">
        <v>25</v>
      </c>
      <c r="AE20" s="24">
        <v>10</v>
      </c>
      <c r="AF20" s="24" t="s">
        <v>26</v>
      </c>
      <c r="AG20" s="24">
        <v>60</v>
      </c>
      <c r="AH20" s="24" t="s">
        <v>27</v>
      </c>
      <c r="AI20" s="24">
        <v>30</v>
      </c>
      <c r="AJ20" s="2"/>
      <c r="AP20" t="s">
        <v>467</v>
      </c>
      <c r="AQ20" t="s">
        <v>68</v>
      </c>
      <c r="AW20" s="24" t="s">
        <v>26</v>
      </c>
    </row>
    <row r="21" spans="1:49" ht="18.75" customHeight="1" x14ac:dyDescent="0.25">
      <c r="B21" s="24">
        <v>18</v>
      </c>
      <c r="C21" s="26" t="s">
        <v>201</v>
      </c>
      <c r="D21" t="s">
        <v>202</v>
      </c>
      <c r="E21" s="36" t="s">
        <v>203</v>
      </c>
      <c r="F21" s="24">
        <v>5014</v>
      </c>
      <c r="G21" s="15" t="s">
        <v>417</v>
      </c>
      <c r="H21" s="27" t="s">
        <v>25</v>
      </c>
      <c r="J21" t="s">
        <v>42</v>
      </c>
      <c r="K21" t="s">
        <v>43</v>
      </c>
      <c r="L21" t="s">
        <v>158</v>
      </c>
      <c r="M21" t="s">
        <v>50</v>
      </c>
      <c r="N21" t="s">
        <v>164</v>
      </c>
      <c r="O21" t="s">
        <v>51</v>
      </c>
      <c r="P21" t="s">
        <v>170</v>
      </c>
      <c r="Q21" t="s">
        <v>52</v>
      </c>
      <c r="R21" t="s">
        <v>176</v>
      </c>
      <c r="S21" t="s">
        <v>53</v>
      </c>
      <c r="T21" t="s">
        <v>182</v>
      </c>
      <c r="U21" t="s">
        <v>204</v>
      </c>
      <c r="V21" t="s">
        <v>193</v>
      </c>
      <c r="W21">
        <v>19</v>
      </c>
      <c r="X21" t="s">
        <v>199</v>
      </c>
      <c r="Y21">
        <v>19</v>
      </c>
      <c r="Z21" t="s">
        <v>205</v>
      </c>
      <c r="AA21">
        <v>19</v>
      </c>
      <c r="AB21" t="s">
        <v>206</v>
      </c>
      <c r="AC21" s="2" t="str">
        <f>Settings!$B$5 &amp;  "?s=" &amp; D21 &amp; "&amp;platform=ftx"</f>
        <v>https://tokensol.nfluent.io?s=symbol18&amp;platform=ftx</v>
      </c>
      <c r="AD21" s="24" t="s">
        <v>25</v>
      </c>
      <c r="AE21" s="24">
        <v>10</v>
      </c>
      <c r="AF21" s="24" t="s">
        <v>26</v>
      </c>
      <c r="AG21" s="24">
        <v>60</v>
      </c>
      <c r="AH21" s="24" t="s">
        <v>27</v>
      </c>
      <c r="AI21" s="24">
        <v>30</v>
      </c>
      <c r="AJ21" s="2"/>
      <c r="AP21" t="s">
        <v>467</v>
      </c>
      <c r="AQ21" t="s">
        <v>68</v>
      </c>
      <c r="AW21" s="24" t="s">
        <v>26</v>
      </c>
    </row>
    <row r="22" spans="1:49" ht="18.75" customHeight="1" x14ac:dyDescent="0.25">
      <c r="B22" s="24">
        <v>19</v>
      </c>
      <c r="C22" s="26" t="s">
        <v>207</v>
      </c>
      <c r="D22" t="s">
        <v>208</v>
      </c>
      <c r="E22" s="36" t="s">
        <v>209</v>
      </c>
      <c r="F22" s="24">
        <v>5015</v>
      </c>
      <c r="G22" s="15" t="s">
        <v>418</v>
      </c>
      <c r="H22" s="27" t="s">
        <v>25</v>
      </c>
      <c r="J22" t="s">
        <v>42</v>
      </c>
      <c r="K22" t="s">
        <v>43</v>
      </c>
      <c r="L22" t="s">
        <v>164</v>
      </c>
      <c r="M22" t="s">
        <v>50</v>
      </c>
      <c r="N22" t="s">
        <v>170</v>
      </c>
      <c r="O22" t="s">
        <v>51</v>
      </c>
      <c r="P22" t="s">
        <v>176</v>
      </c>
      <c r="Q22" t="s">
        <v>52</v>
      </c>
      <c r="R22" t="s">
        <v>182</v>
      </c>
      <c r="S22" t="s">
        <v>53</v>
      </c>
      <c r="T22" t="s">
        <v>188</v>
      </c>
      <c r="U22" t="s">
        <v>210</v>
      </c>
      <c r="V22" t="s">
        <v>199</v>
      </c>
      <c r="W22">
        <v>20</v>
      </c>
      <c r="X22" t="s">
        <v>205</v>
      </c>
      <c r="Y22">
        <v>20</v>
      </c>
      <c r="Z22" t="s">
        <v>211</v>
      </c>
      <c r="AA22">
        <v>20</v>
      </c>
      <c r="AB22" t="s">
        <v>212</v>
      </c>
      <c r="AC22" s="2" t="str">
        <f>Settings!$B$5 &amp;  "?s=" &amp; D22 &amp; "&amp;platform=ftx"</f>
        <v>https://tokensol.nfluent.io?s=symbol19&amp;platform=ftx</v>
      </c>
      <c r="AD22" s="24" t="s">
        <v>25</v>
      </c>
      <c r="AE22" s="24">
        <v>10</v>
      </c>
      <c r="AF22" s="24" t="s">
        <v>26</v>
      </c>
      <c r="AG22" s="24">
        <v>60</v>
      </c>
      <c r="AH22" s="24" t="s">
        <v>27</v>
      </c>
      <c r="AI22" s="24">
        <v>30</v>
      </c>
      <c r="AJ22" s="2"/>
      <c r="AP22" t="s">
        <v>467</v>
      </c>
      <c r="AQ22" t="s">
        <v>68</v>
      </c>
      <c r="AW22" s="24" t="s">
        <v>26</v>
      </c>
    </row>
    <row r="23" spans="1:49" ht="18.75" customHeight="1" x14ac:dyDescent="0.25">
      <c r="B23" s="24">
        <v>20</v>
      </c>
      <c r="C23" s="26" t="s">
        <v>213</v>
      </c>
      <c r="D23" t="s">
        <v>214</v>
      </c>
      <c r="E23" s="36" t="s">
        <v>215</v>
      </c>
      <c r="F23" s="24">
        <v>5016</v>
      </c>
      <c r="G23" s="15" t="s">
        <v>419</v>
      </c>
      <c r="H23" s="27" t="s">
        <v>25</v>
      </c>
      <c r="J23" t="s">
        <v>42</v>
      </c>
      <c r="K23" t="s">
        <v>43</v>
      </c>
      <c r="L23" t="s">
        <v>170</v>
      </c>
      <c r="M23" t="s">
        <v>50</v>
      </c>
      <c r="N23" t="s">
        <v>176</v>
      </c>
      <c r="O23" t="s">
        <v>51</v>
      </c>
      <c r="P23" t="s">
        <v>182</v>
      </c>
      <c r="Q23" t="s">
        <v>52</v>
      </c>
      <c r="R23" t="s">
        <v>188</v>
      </c>
      <c r="S23" t="s">
        <v>53</v>
      </c>
      <c r="T23" t="s">
        <v>194</v>
      </c>
      <c r="U23" t="s">
        <v>216</v>
      </c>
      <c r="V23" t="s">
        <v>205</v>
      </c>
      <c r="W23">
        <v>21</v>
      </c>
      <c r="X23" t="s">
        <v>211</v>
      </c>
      <c r="Y23">
        <v>21</v>
      </c>
      <c r="Z23" t="s">
        <v>217</v>
      </c>
      <c r="AA23">
        <v>21</v>
      </c>
      <c r="AB23" t="s">
        <v>218</v>
      </c>
      <c r="AC23" s="2" t="str">
        <f>Settings!$B$5 &amp;  "?s=" &amp; D23 &amp; "&amp;platform=ftx"</f>
        <v>https://tokensol.nfluent.io?s=symbol20&amp;platform=ftx</v>
      </c>
      <c r="AD23" s="24" t="s">
        <v>25</v>
      </c>
      <c r="AE23" s="24">
        <v>10</v>
      </c>
      <c r="AF23" s="24" t="s">
        <v>26</v>
      </c>
      <c r="AG23" s="24">
        <v>60</v>
      </c>
      <c r="AH23" s="24" t="s">
        <v>27</v>
      </c>
      <c r="AI23" s="24">
        <v>30</v>
      </c>
      <c r="AJ23" s="2"/>
      <c r="AP23" t="s">
        <v>467</v>
      </c>
      <c r="AQ23" t="s">
        <v>68</v>
      </c>
      <c r="AW23" s="24" t="s">
        <v>26</v>
      </c>
    </row>
    <row r="24" spans="1:49" ht="18.75" customHeight="1" x14ac:dyDescent="0.25">
      <c r="B24" s="24">
        <v>21</v>
      </c>
      <c r="C24" s="26" t="s">
        <v>219</v>
      </c>
      <c r="D24" t="s">
        <v>220</v>
      </c>
      <c r="E24" s="36" t="s">
        <v>221</v>
      </c>
      <c r="F24" s="24">
        <v>5017</v>
      </c>
      <c r="G24" s="15" t="s">
        <v>420</v>
      </c>
      <c r="H24" s="27" t="s">
        <v>25</v>
      </c>
      <c r="J24" t="s">
        <v>42</v>
      </c>
      <c r="K24" t="s">
        <v>43</v>
      </c>
      <c r="L24" t="s">
        <v>176</v>
      </c>
      <c r="M24" t="s">
        <v>50</v>
      </c>
      <c r="N24" t="s">
        <v>182</v>
      </c>
      <c r="O24" t="s">
        <v>51</v>
      </c>
      <c r="P24" t="s">
        <v>188</v>
      </c>
      <c r="Q24" t="s">
        <v>52</v>
      </c>
      <c r="R24" t="s">
        <v>194</v>
      </c>
      <c r="S24" t="s">
        <v>53</v>
      </c>
      <c r="T24" t="s">
        <v>200</v>
      </c>
      <c r="U24" t="s">
        <v>222</v>
      </c>
      <c r="V24" t="s">
        <v>211</v>
      </c>
      <c r="W24">
        <v>22</v>
      </c>
      <c r="X24" t="s">
        <v>217</v>
      </c>
      <c r="Y24">
        <v>22</v>
      </c>
      <c r="Z24" t="s">
        <v>223</v>
      </c>
      <c r="AA24">
        <v>22</v>
      </c>
      <c r="AB24" t="s">
        <v>224</v>
      </c>
      <c r="AC24" s="2" t="str">
        <f>Settings!$B$5 &amp;  "?s=" &amp; D24 &amp; "&amp;platform=ftx"</f>
        <v>https://tokensol.nfluent.io?s=symbol21&amp;platform=ftx</v>
      </c>
      <c r="AD24" s="24" t="s">
        <v>25</v>
      </c>
      <c r="AE24" s="24">
        <v>10</v>
      </c>
      <c r="AF24" s="24" t="s">
        <v>26</v>
      </c>
      <c r="AG24" s="24">
        <v>60</v>
      </c>
      <c r="AH24" s="24" t="s">
        <v>27</v>
      </c>
      <c r="AI24" s="24">
        <v>30</v>
      </c>
      <c r="AJ24" s="2"/>
      <c r="AP24" t="s">
        <v>467</v>
      </c>
      <c r="AQ24" t="s">
        <v>68</v>
      </c>
      <c r="AW24" s="24" t="s">
        <v>26</v>
      </c>
    </row>
    <row r="25" spans="1:49" ht="18.75" customHeight="1" x14ac:dyDescent="0.25">
      <c r="B25" s="24">
        <v>22</v>
      </c>
      <c r="C25" s="26" t="s">
        <v>225</v>
      </c>
      <c r="D25" t="s">
        <v>226</v>
      </c>
      <c r="E25" s="36" t="s">
        <v>227</v>
      </c>
      <c r="F25" s="24">
        <v>5018</v>
      </c>
      <c r="G25" s="15" t="s">
        <v>421</v>
      </c>
      <c r="H25" s="27" t="s">
        <v>25</v>
      </c>
      <c r="J25" t="s">
        <v>42</v>
      </c>
      <c r="K25" t="s">
        <v>43</v>
      </c>
      <c r="L25" t="s">
        <v>182</v>
      </c>
      <c r="M25" t="s">
        <v>50</v>
      </c>
      <c r="N25" t="s">
        <v>188</v>
      </c>
      <c r="O25" t="s">
        <v>51</v>
      </c>
      <c r="P25" t="s">
        <v>194</v>
      </c>
      <c r="Q25" t="s">
        <v>52</v>
      </c>
      <c r="R25" t="s">
        <v>200</v>
      </c>
      <c r="S25" t="s">
        <v>53</v>
      </c>
      <c r="T25" t="s">
        <v>206</v>
      </c>
      <c r="U25" t="s">
        <v>228</v>
      </c>
      <c r="V25" t="s">
        <v>217</v>
      </c>
      <c r="W25">
        <v>23</v>
      </c>
      <c r="X25" t="s">
        <v>223</v>
      </c>
      <c r="Y25">
        <v>23</v>
      </c>
      <c r="Z25" t="s">
        <v>229</v>
      </c>
      <c r="AA25">
        <v>23</v>
      </c>
      <c r="AB25" t="s">
        <v>230</v>
      </c>
      <c r="AC25" s="2" t="str">
        <f>Settings!$B$5 &amp;  "?s=" &amp; D25 &amp; "&amp;platform=ftx"</f>
        <v>https://tokensol.nfluent.io?s=symbol22&amp;platform=ftx</v>
      </c>
      <c r="AD25" s="24" t="s">
        <v>25</v>
      </c>
      <c r="AE25" s="24">
        <v>10</v>
      </c>
      <c r="AF25" s="24" t="s">
        <v>26</v>
      </c>
      <c r="AG25" s="24">
        <v>60</v>
      </c>
      <c r="AH25" s="24" t="s">
        <v>27</v>
      </c>
      <c r="AI25" s="24">
        <v>30</v>
      </c>
      <c r="AJ25" s="2"/>
      <c r="AP25" t="s">
        <v>467</v>
      </c>
      <c r="AQ25" t="s">
        <v>68</v>
      </c>
      <c r="AW25" s="24" t="s">
        <v>26</v>
      </c>
    </row>
    <row r="26" spans="1:49" ht="18.75" customHeight="1" x14ac:dyDescent="0.25">
      <c r="B26" s="24">
        <v>23</v>
      </c>
      <c r="C26" s="26" t="s">
        <v>231</v>
      </c>
      <c r="D26" t="s">
        <v>232</v>
      </c>
      <c r="E26" s="36" t="s">
        <v>233</v>
      </c>
      <c r="F26" s="24">
        <v>5019</v>
      </c>
      <c r="G26" s="15" t="s">
        <v>422</v>
      </c>
      <c r="H26" s="27" t="s">
        <v>25</v>
      </c>
      <c r="J26" t="s">
        <v>42</v>
      </c>
      <c r="K26" t="s">
        <v>43</v>
      </c>
      <c r="L26" t="s">
        <v>188</v>
      </c>
      <c r="M26" t="s">
        <v>50</v>
      </c>
      <c r="N26" t="s">
        <v>194</v>
      </c>
      <c r="O26" t="s">
        <v>51</v>
      </c>
      <c r="P26" t="s">
        <v>200</v>
      </c>
      <c r="Q26" t="s">
        <v>52</v>
      </c>
      <c r="R26" t="s">
        <v>206</v>
      </c>
      <c r="S26" t="s">
        <v>53</v>
      </c>
      <c r="T26" t="s">
        <v>212</v>
      </c>
      <c r="U26" t="s">
        <v>234</v>
      </c>
      <c r="V26" t="s">
        <v>223</v>
      </c>
      <c r="W26">
        <v>24</v>
      </c>
      <c r="X26" t="s">
        <v>229</v>
      </c>
      <c r="Y26">
        <v>24</v>
      </c>
      <c r="Z26" t="s">
        <v>235</v>
      </c>
      <c r="AA26">
        <v>24</v>
      </c>
      <c r="AB26" t="s">
        <v>236</v>
      </c>
      <c r="AC26" s="2" t="str">
        <f>Settings!$B$5 &amp;  "?s=" &amp; D26 &amp; "&amp;platform=ftx"</f>
        <v>https://tokensol.nfluent.io?s=symbol23&amp;platform=ftx</v>
      </c>
      <c r="AD26" s="24" t="s">
        <v>25</v>
      </c>
      <c r="AE26" s="24">
        <v>10</v>
      </c>
      <c r="AF26" s="24" t="s">
        <v>26</v>
      </c>
      <c r="AG26" s="24">
        <v>60</v>
      </c>
      <c r="AH26" s="24" t="s">
        <v>27</v>
      </c>
      <c r="AI26" s="24">
        <v>30</v>
      </c>
      <c r="AJ26" s="2"/>
      <c r="AP26" t="s">
        <v>467</v>
      </c>
      <c r="AQ26" t="s">
        <v>68</v>
      </c>
      <c r="AW26" s="24" t="s">
        <v>26</v>
      </c>
    </row>
    <row r="27" spans="1:49" ht="18.75" customHeight="1" x14ac:dyDescent="0.25">
      <c r="B27" s="24">
        <v>24</v>
      </c>
      <c r="C27" s="26" t="s">
        <v>237</v>
      </c>
      <c r="D27" t="s">
        <v>238</v>
      </c>
      <c r="E27" s="36" t="s">
        <v>239</v>
      </c>
      <c r="F27" s="24">
        <v>5020</v>
      </c>
      <c r="G27" s="15" t="s">
        <v>423</v>
      </c>
      <c r="H27" s="27" t="s">
        <v>25</v>
      </c>
      <c r="J27" t="s">
        <v>42</v>
      </c>
      <c r="K27" t="s">
        <v>43</v>
      </c>
      <c r="L27" t="s">
        <v>194</v>
      </c>
      <c r="M27" t="s">
        <v>50</v>
      </c>
      <c r="N27" t="s">
        <v>200</v>
      </c>
      <c r="O27" t="s">
        <v>51</v>
      </c>
      <c r="P27" t="s">
        <v>206</v>
      </c>
      <c r="Q27" t="s">
        <v>52</v>
      </c>
      <c r="R27" t="s">
        <v>212</v>
      </c>
      <c r="S27" t="s">
        <v>53</v>
      </c>
      <c r="T27" t="s">
        <v>218</v>
      </c>
      <c r="U27" t="s">
        <v>240</v>
      </c>
      <c r="V27" t="s">
        <v>229</v>
      </c>
      <c r="W27">
        <v>25</v>
      </c>
      <c r="X27" t="s">
        <v>235</v>
      </c>
      <c r="Y27">
        <v>25</v>
      </c>
      <c r="Z27" t="s">
        <v>241</v>
      </c>
      <c r="AA27">
        <v>25</v>
      </c>
      <c r="AB27" t="s">
        <v>242</v>
      </c>
      <c r="AC27" s="2" t="str">
        <f>Settings!$B$5 &amp;  "?s=" &amp; D27 &amp; "&amp;platform=ftx"</f>
        <v>https://tokensol.nfluent.io?s=symbol24&amp;platform=ftx</v>
      </c>
      <c r="AD27" s="24" t="s">
        <v>25</v>
      </c>
      <c r="AE27" s="24">
        <v>10</v>
      </c>
      <c r="AF27" s="24" t="s">
        <v>26</v>
      </c>
      <c r="AG27" s="24">
        <v>60</v>
      </c>
      <c r="AH27" s="24" t="s">
        <v>27</v>
      </c>
      <c r="AI27" s="24">
        <v>30</v>
      </c>
      <c r="AJ27" s="2"/>
      <c r="AP27" t="s">
        <v>467</v>
      </c>
      <c r="AQ27" t="s">
        <v>68</v>
      </c>
      <c r="AW27" s="24" t="s">
        <v>26</v>
      </c>
    </row>
    <row r="28" spans="1:49" ht="18.75" customHeight="1" x14ac:dyDescent="0.25">
      <c r="B28" s="24">
        <v>25</v>
      </c>
      <c r="C28" s="26" t="s">
        <v>243</v>
      </c>
      <c r="D28" t="s">
        <v>244</v>
      </c>
      <c r="E28" s="36" t="s">
        <v>245</v>
      </c>
      <c r="F28" s="24">
        <v>5021</v>
      </c>
      <c r="G28" s="15" t="s">
        <v>424</v>
      </c>
      <c r="H28" s="27" t="s">
        <v>25</v>
      </c>
      <c r="J28" t="s">
        <v>42</v>
      </c>
      <c r="K28" t="s">
        <v>43</v>
      </c>
      <c r="L28" t="s">
        <v>200</v>
      </c>
      <c r="M28" t="s">
        <v>50</v>
      </c>
      <c r="N28" t="s">
        <v>206</v>
      </c>
      <c r="O28" t="s">
        <v>51</v>
      </c>
      <c r="P28" t="s">
        <v>212</v>
      </c>
      <c r="Q28" t="s">
        <v>52</v>
      </c>
      <c r="R28" t="s">
        <v>218</v>
      </c>
      <c r="S28" t="s">
        <v>53</v>
      </c>
      <c r="T28" t="s">
        <v>224</v>
      </c>
      <c r="U28" t="s">
        <v>246</v>
      </c>
      <c r="V28" t="s">
        <v>235</v>
      </c>
      <c r="W28">
        <v>26</v>
      </c>
      <c r="X28" t="s">
        <v>241</v>
      </c>
      <c r="Y28">
        <v>26</v>
      </c>
      <c r="Z28" t="s">
        <v>247</v>
      </c>
      <c r="AA28">
        <v>26</v>
      </c>
      <c r="AB28" t="s">
        <v>248</v>
      </c>
      <c r="AC28" s="2" t="str">
        <f>Settings!$B$5 &amp;  "?s=" &amp; D28 &amp; "&amp;platform=ftx"</f>
        <v>https://tokensol.nfluent.io?s=symbol25&amp;platform=ftx</v>
      </c>
      <c r="AD28" s="24" t="s">
        <v>25</v>
      </c>
      <c r="AE28" s="24">
        <v>10</v>
      </c>
      <c r="AF28" s="24" t="s">
        <v>26</v>
      </c>
      <c r="AG28" s="24">
        <v>60</v>
      </c>
      <c r="AH28" s="24" t="s">
        <v>27</v>
      </c>
      <c r="AI28" s="24">
        <v>30</v>
      </c>
      <c r="AJ28" s="2"/>
      <c r="AP28" t="s">
        <v>467</v>
      </c>
      <c r="AQ28" t="s">
        <v>68</v>
      </c>
      <c r="AW28" s="24" t="s">
        <v>26</v>
      </c>
    </row>
    <row r="29" spans="1:49" ht="18.75" customHeight="1" x14ac:dyDescent="0.25">
      <c r="B29" s="24">
        <v>26</v>
      </c>
      <c r="C29" s="26" t="s">
        <v>249</v>
      </c>
      <c r="D29" t="s">
        <v>250</v>
      </c>
      <c r="E29" s="36" t="s">
        <v>251</v>
      </c>
      <c r="F29" s="24">
        <v>5022</v>
      </c>
      <c r="G29" s="15" t="s">
        <v>425</v>
      </c>
      <c r="H29" s="27" t="s">
        <v>25</v>
      </c>
      <c r="J29" t="s">
        <v>42</v>
      </c>
      <c r="K29" t="s">
        <v>43</v>
      </c>
      <c r="L29" t="s">
        <v>206</v>
      </c>
      <c r="M29" t="s">
        <v>50</v>
      </c>
      <c r="N29" t="s">
        <v>212</v>
      </c>
      <c r="O29" t="s">
        <v>51</v>
      </c>
      <c r="P29" t="s">
        <v>218</v>
      </c>
      <c r="Q29" t="s">
        <v>52</v>
      </c>
      <c r="R29" t="s">
        <v>224</v>
      </c>
      <c r="S29" t="s">
        <v>53</v>
      </c>
      <c r="T29" t="s">
        <v>230</v>
      </c>
      <c r="U29" t="s">
        <v>252</v>
      </c>
      <c r="V29" t="s">
        <v>241</v>
      </c>
      <c r="W29">
        <v>27</v>
      </c>
      <c r="X29" t="s">
        <v>247</v>
      </c>
      <c r="Y29">
        <v>27</v>
      </c>
      <c r="Z29" t="s">
        <v>253</v>
      </c>
      <c r="AA29">
        <v>27</v>
      </c>
      <c r="AB29" t="s">
        <v>254</v>
      </c>
      <c r="AC29" s="2" t="str">
        <f>Settings!$B$5 &amp;  "?s=" &amp; D29 &amp; "&amp;platform=ftx"</f>
        <v>https://tokensol.nfluent.io?s=symbol26&amp;platform=ftx</v>
      </c>
      <c r="AD29" s="24" t="s">
        <v>25</v>
      </c>
      <c r="AE29" s="24">
        <v>10</v>
      </c>
      <c r="AF29" s="24" t="s">
        <v>26</v>
      </c>
      <c r="AG29" s="24">
        <v>60</v>
      </c>
      <c r="AH29" s="24" t="s">
        <v>27</v>
      </c>
      <c r="AI29" s="24">
        <v>30</v>
      </c>
      <c r="AJ29" s="2"/>
      <c r="AP29" t="s">
        <v>467</v>
      </c>
      <c r="AQ29" t="s">
        <v>68</v>
      </c>
      <c r="AW29" s="24" t="s">
        <v>26</v>
      </c>
    </row>
    <row r="30" spans="1:49" ht="18.75" customHeight="1" x14ac:dyDescent="0.25">
      <c r="B30" s="24">
        <v>27</v>
      </c>
      <c r="C30" s="26" t="s">
        <v>255</v>
      </c>
      <c r="D30" t="s">
        <v>256</v>
      </c>
      <c r="E30" s="36" t="s">
        <v>257</v>
      </c>
      <c r="F30" s="24">
        <v>5023</v>
      </c>
      <c r="G30" s="15" t="s">
        <v>426</v>
      </c>
      <c r="H30" s="27" t="s">
        <v>25</v>
      </c>
      <c r="J30" t="s">
        <v>42</v>
      </c>
      <c r="K30" t="s">
        <v>43</v>
      </c>
      <c r="L30" t="s">
        <v>212</v>
      </c>
      <c r="M30" t="s">
        <v>50</v>
      </c>
      <c r="N30" t="s">
        <v>218</v>
      </c>
      <c r="O30" t="s">
        <v>51</v>
      </c>
      <c r="P30" t="s">
        <v>224</v>
      </c>
      <c r="Q30" t="s">
        <v>52</v>
      </c>
      <c r="R30" t="s">
        <v>230</v>
      </c>
      <c r="S30" t="s">
        <v>53</v>
      </c>
      <c r="T30" t="s">
        <v>236</v>
      </c>
      <c r="U30" t="s">
        <v>258</v>
      </c>
      <c r="V30" t="s">
        <v>247</v>
      </c>
      <c r="W30">
        <v>28</v>
      </c>
      <c r="X30" t="s">
        <v>253</v>
      </c>
      <c r="Y30">
        <v>28</v>
      </c>
      <c r="Z30" t="s">
        <v>259</v>
      </c>
      <c r="AA30">
        <v>28</v>
      </c>
      <c r="AB30" t="s">
        <v>260</v>
      </c>
      <c r="AC30" s="2" t="str">
        <f>Settings!$B$5 &amp;  "?s=" &amp; D30 &amp; "&amp;platform=ftx"</f>
        <v>https://tokensol.nfluent.io?s=symbol27&amp;platform=ftx</v>
      </c>
      <c r="AD30" s="24" t="s">
        <v>25</v>
      </c>
      <c r="AE30" s="24">
        <v>10</v>
      </c>
      <c r="AF30" s="24" t="s">
        <v>26</v>
      </c>
      <c r="AG30" s="24">
        <v>60</v>
      </c>
      <c r="AH30" s="24" t="s">
        <v>27</v>
      </c>
      <c r="AI30" s="24">
        <v>30</v>
      </c>
      <c r="AJ30" s="2"/>
      <c r="AP30" t="s">
        <v>467</v>
      </c>
      <c r="AQ30" t="s">
        <v>68</v>
      </c>
      <c r="AW30" s="24" t="s">
        <v>26</v>
      </c>
    </row>
    <row r="31" spans="1:49" ht="18.75" customHeight="1" x14ac:dyDescent="0.25">
      <c r="B31" s="24">
        <v>28</v>
      </c>
      <c r="C31" s="26" t="s">
        <v>261</v>
      </c>
      <c r="D31" t="s">
        <v>262</v>
      </c>
      <c r="E31" s="36" t="s">
        <v>263</v>
      </c>
      <c r="F31" s="24">
        <v>5024</v>
      </c>
      <c r="G31" s="15" t="s">
        <v>427</v>
      </c>
      <c r="H31" s="27" t="s">
        <v>25</v>
      </c>
      <c r="J31" t="s">
        <v>42</v>
      </c>
      <c r="K31" t="s">
        <v>43</v>
      </c>
      <c r="L31" t="s">
        <v>218</v>
      </c>
      <c r="M31" t="s">
        <v>50</v>
      </c>
      <c r="N31" t="s">
        <v>224</v>
      </c>
      <c r="O31" t="s">
        <v>51</v>
      </c>
      <c r="P31" t="s">
        <v>230</v>
      </c>
      <c r="Q31" t="s">
        <v>52</v>
      </c>
      <c r="R31" t="s">
        <v>236</v>
      </c>
      <c r="S31" t="s">
        <v>53</v>
      </c>
      <c r="T31" t="s">
        <v>242</v>
      </c>
      <c r="U31" t="s">
        <v>264</v>
      </c>
      <c r="V31" t="s">
        <v>253</v>
      </c>
      <c r="W31">
        <v>29</v>
      </c>
      <c r="X31" t="s">
        <v>259</v>
      </c>
      <c r="Y31">
        <v>29</v>
      </c>
      <c r="Z31" t="s">
        <v>265</v>
      </c>
      <c r="AA31">
        <v>29</v>
      </c>
      <c r="AB31" t="s">
        <v>266</v>
      </c>
      <c r="AC31" s="2" t="str">
        <f>Settings!$B$5 &amp;  "?s=" &amp; D31 &amp; "&amp;platform=ftx"</f>
        <v>https://tokensol.nfluent.io?s=symbol28&amp;platform=ftx</v>
      </c>
      <c r="AD31" s="24" t="s">
        <v>25</v>
      </c>
      <c r="AE31" s="24">
        <v>10</v>
      </c>
      <c r="AF31" s="24" t="s">
        <v>26</v>
      </c>
      <c r="AG31" s="24">
        <v>60</v>
      </c>
      <c r="AH31" s="24" t="s">
        <v>27</v>
      </c>
      <c r="AI31" s="24">
        <v>30</v>
      </c>
      <c r="AJ31" s="2"/>
      <c r="AP31" t="s">
        <v>467</v>
      </c>
      <c r="AQ31" t="s">
        <v>68</v>
      </c>
      <c r="AW31" s="24" t="s">
        <v>26</v>
      </c>
    </row>
    <row r="32" spans="1:49" ht="18.75" customHeight="1" x14ac:dyDescent="0.25">
      <c r="B32" s="24">
        <v>29</v>
      </c>
      <c r="C32" s="26" t="s">
        <v>267</v>
      </c>
      <c r="D32" t="s">
        <v>268</v>
      </c>
      <c r="E32" s="36" t="s">
        <v>269</v>
      </c>
      <c r="F32" s="24">
        <v>5025</v>
      </c>
      <c r="G32" s="15" t="s">
        <v>428</v>
      </c>
      <c r="H32" s="27" t="s">
        <v>25</v>
      </c>
      <c r="J32" t="s">
        <v>42</v>
      </c>
      <c r="K32" t="s">
        <v>43</v>
      </c>
      <c r="L32" t="s">
        <v>224</v>
      </c>
      <c r="M32" t="s">
        <v>50</v>
      </c>
      <c r="N32" t="s">
        <v>230</v>
      </c>
      <c r="O32" t="s">
        <v>51</v>
      </c>
      <c r="P32" t="s">
        <v>236</v>
      </c>
      <c r="Q32" t="s">
        <v>52</v>
      </c>
      <c r="R32" t="s">
        <v>242</v>
      </c>
      <c r="S32" t="s">
        <v>53</v>
      </c>
      <c r="T32" t="s">
        <v>248</v>
      </c>
      <c r="U32" t="s">
        <v>270</v>
      </c>
      <c r="V32" t="s">
        <v>259</v>
      </c>
      <c r="W32">
        <v>30</v>
      </c>
      <c r="X32" t="s">
        <v>265</v>
      </c>
      <c r="Y32">
        <v>30</v>
      </c>
      <c r="Z32" t="s">
        <v>271</v>
      </c>
      <c r="AA32">
        <v>30</v>
      </c>
      <c r="AB32" t="s">
        <v>272</v>
      </c>
      <c r="AC32" s="2" t="str">
        <f>Settings!$B$5 &amp;  "?s=" &amp; D32 &amp; "&amp;platform=ftx"</f>
        <v>https://tokensol.nfluent.io?s=symbol29&amp;platform=ftx</v>
      </c>
      <c r="AD32" s="24" t="s">
        <v>25</v>
      </c>
      <c r="AE32" s="24">
        <v>10</v>
      </c>
      <c r="AF32" s="24" t="s">
        <v>26</v>
      </c>
      <c r="AG32" s="24">
        <v>60</v>
      </c>
      <c r="AH32" s="24" t="s">
        <v>27</v>
      </c>
      <c r="AI32" s="24">
        <v>30</v>
      </c>
      <c r="AJ32" s="2"/>
      <c r="AP32" t="s">
        <v>467</v>
      </c>
      <c r="AQ32" t="s">
        <v>68</v>
      </c>
      <c r="AW32" s="24" t="s">
        <v>26</v>
      </c>
    </row>
    <row r="33" spans="2:49" ht="18.75" customHeight="1" x14ac:dyDescent="0.25">
      <c r="B33" s="24">
        <v>30</v>
      </c>
      <c r="C33" s="26" t="s">
        <v>273</v>
      </c>
      <c r="D33" t="s">
        <v>274</v>
      </c>
      <c r="E33" s="36" t="s">
        <v>275</v>
      </c>
      <c r="F33" s="24">
        <v>5026</v>
      </c>
      <c r="G33" s="15" t="s">
        <v>429</v>
      </c>
      <c r="H33" s="27" t="s">
        <v>25</v>
      </c>
      <c r="J33" t="s">
        <v>42</v>
      </c>
      <c r="K33" t="s">
        <v>43</v>
      </c>
      <c r="L33" t="s">
        <v>230</v>
      </c>
      <c r="M33" t="s">
        <v>50</v>
      </c>
      <c r="N33" t="s">
        <v>236</v>
      </c>
      <c r="O33" t="s">
        <v>51</v>
      </c>
      <c r="P33" t="s">
        <v>242</v>
      </c>
      <c r="Q33" t="s">
        <v>52</v>
      </c>
      <c r="R33" t="s">
        <v>248</v>
      </c>
      <c r="S33" t="s">
        <v>53</v>
      </c>
      <c r="T33" t="s">
        <v>254</v>
      </c>
      <c r="U33" t="s">
        <v>276</v>
      </c>
      <c r="V33" t="s">
        <v>265</v>
      </c>
      <c r="W33">
        <v>31</v>
      </c>
      <c r="X33" t="s">
        <v>271</v>
      </c>
      <c r="Y33">
        <v>31</v>
      </c>
      <c r="Z33" t="s">
        <v>277</v>
      </c>
      <c r="AA33">
        <v>31</v>
      </c>
      <c r="AB33" t="s">
        <v>278</v>
      </c>
      <c r="AC33" s="2" t="str">
        <f>Settings!$B$5 &amp;  "?s=" &amp; D33 &amp; "&amp;platform=ftx"</f>
        <v>https://tokensol.nfluent.io?s=symbol30&amp;platform=ftx</v>
      </c>
      <c r="AD33" s="24" t="s">
        <v>25</v>
      </c>
      <c r="AE33" s="24">
        <v>10</v>
      </c>
      <c r="AF33" s="24" t="s">
        <v>26</v>
      </c>
      <c r="AG33" s="24">
        <v>60</v>
      </c>
      <c r="AH33" s="24" t="s">
        <v>27</v>
      </c>
      <c r="AI33" s="24">
        <v>30</v>
      </c>
      <c r="AJ33" s="2"/>
      <c r="AP33" t="s">
        <v>467</v>
      </c>
      <c r="AQ33" t="s">
        <v>68</v>
      </c>
      <c r="AW33" s="24" t="s">
        <v>26</v>
      </c>
    </row>
    <row r="34" spans="2:49" ht="18.75" customHeight="1" x14ac:dyDescent="0.25">
      <c r="B34" s="24">
        <v>31</v>
      </c>
      <c r="C34" s="26" t="s">
        <v>279</v>
      </c>
      <c r="D34" t="s">
        <v>280</v>
      </c>
      <c r="E34" s="36" t="s">
        <v>281</v>
      </c>
      <c r="F34" s="24">
        <v>5027</v>
      </c>
      <c r="G34" s="15" t="s">
        <v>430</v>
      </c>
      <c r="H34" s="27" t="s">
        <v>25</v>
      </c>
      <c r="J34" t="s">
        <v>42</v>
      </c>
      <c r="K34" t="s">
        <v>43</v>
      </c>
      <c r="L34" t="s">
        <v>236</v>
      </c>
      <c r="M34" t="s">
        <v>50</v>
      </c>
      <c r="N34" t="s">
        <v>242</v>
      </c>
      <c r="O34" t="s">
        <v>51</v>
      </c>
      <c r="P34" t="s">
        <v>248</v>
      </c>
      <c r="Q34" t="s">
        <v>52</v>
      </c>
      <c r="R34" t="s">
        <v>254</v>
      </c>
      <c r="S34" t="s">
        <v>53</v>
      </c>
      <c r="T34" t="s">
        <v>260</v>
      </c>
      <c r="U34" t="s">
        <v>282</v>
      </c>
      <c r="V34" t="s">
        <v>271</v>
      </c>
      <c r="W34">
        <v>32</v>
      </c>
      <c r="X34" t="s">
        <v>277</v>
      </c>
      <c r="Y34">
        <v>32</v>
      </c>
      <c r="Z34" t="s">
        <v>283</v>
      </c>
      <c r="AA34">
        <v>32</v>
      </c>
      <c r="AB34" t="s">
        <v>284</v>
      </c>
      <c r="AC34" s="2" t="str">
        <f>Settings!$B$5 &amp;  "?s=" &amp; D34 &amp; "&amp;platform=ftx"</f>
        <v>https://tokensol.nfluent.io?s=symbol31&amp;platform=ftx</v>
      </c>
      <c r="AD34" s="24" t="s">
        <v>25</v>
      </c>
      <c r="AE34" s="24">
        <v>10</v>
      </c>
      <c r="AF34" s="24" t="s">
        <v>26</v>
      </c>
      <c r="AG34" s="24">
        <v>60</v>
      </c>
      <c r="AH34" s="24" t="s">
        <v>27</v>
      </c>
      <c r="AI34" s="24">
        <v>30</v>
      </c>
      <c r="AJ34" s="2"/>
      <c r="AP34" t="s">
        <v>467</v>
      </c>
      <c r="AQ34" t="s">
        <v>68</v>
      </c>
      <c r="AW34" s="24" t="s">
        <v>26</v>
      </c>
    </row>
    <row r="35" spans="2:49" ht="18.75" customHeight="1" x14ac:dyDescent="0.25">
      <c r="B35" s="24">
        <v>32</v>
      </c>
      <c r="C35" s="26" t="s">
        <v>285</v>
      </c>
      <c r="D35" t="s">
        <v>286</v>
      </c>
      <c r="E35" s="36" t="s">
        <v>287</v>
      </c>
      <c r="F35" s="24">
        <v>5028</v>
      </c>
      <c r="G35" s="15" t="s">
        <v>431</v>
      </c>
      <c r="H35" s="27" t="s">
        <v>25</v>
      </c>
      <c r="J35" t="s">
        <v>42</v>
      </c>
      <c r="K35" t="s">
        <v>43</v>
      </c>
      <c r="L35" t="s">
        <v>242</v>
      </c>
      <c r="M35" t="s">
        <v>50</v>
      </c>
      <c r="N35" t="s">
        <v>248</v>
      </c>
      <c r="O35" t="s">
        <v>51</v>
      </c>
      <c r="P35" t="s">
        <v>254</v>
      </c>
      <c r="Q35" t="s">
        <v>52</v>
      </c>
      <c r="R35" t="s">
        <v>260</v>
      </c>
      <c r="S35" t="s">
        <v>53</v>
      </c>
      <c r="T35" t="s">
        <v>266</v>
      </c>
      <c r="U35" t="s">
        <v>288</v>
      </c>
      <c r="V35" t="s">
        <v>277</v>
      </c>
      <c r="W35">
        <v>33</v>
      </c>
      <c r="X35" t="s">
        <v>283</v>
      </c>
      <c r="Y35">
        <v>33</v>
      </c>
      <c r="Z35" t="s">
        <v>289</v>
      </c>
      <c r="AA35">
        <v>33</v>
      </c>
      <c r="AB35" t="s">
        <v>290</v>
      </c>
      <c r="AC35" s="2" t="str">
        <f>Settings!$B$5 &amp;  "?s=" &amp; D35 &amp; "&amp;platform=ftx"</f>
        <v>https://tokensol.nfluent.io?s=symbol32&amp;platform=ftx</v>
      </c>
      <c r="AD35" s="24" t="s">
        <v>25</v>
      </c>
      <c r="AE35" s="24">
        <v>10</v>
      </c>
      <c r="AF35" s="24" t="s">
        <v>26</v>
      </c>
      <c r="AG35" s="24">
        <v>60</v>
      </c>
      <c r="AH35" s="24" t="s">
        <v>27</v>
      </c>
      <c r="AI35" s="24">
        <v>30</v>
      </c>
      <c r="AJ35" s="2"/>
      <c r="AP35" t="s">
        <v>467</v>
      </c>
      <c r="AQ35" t="s">
        <v>68</v>
      </c>
      <c r="AW35" s="24" t="s">
        <v>26</v>
      </c>
    </row>
    <row r="36" spans="2:49" ht="18.75" customHeight="1" x14ac:dyDescent="0.25">
      <c r="B36" s="24">
        <v>33</v>
      </c>
      <c r="C36" s="26" t="s">
        <v>291</v>
      </c>
      <c r="D36" t="s">
        <v>292</v>
      </c>
      <c r="E36" s="36" t="s">
        <v>293</v>
      </c>
      <c r="F36" s="24">
        <v>5029</v>
      </c>
      <c r="G36" s="15" t="s">
        <v>432</v>
      </c>
      <c r="H36" s="27" t="s">
        <v>25</v>
      </c>
      <c r="J36" t="s">
        <v>42</v>
      </c>
      <c r="K36" t="s">
        <v>43</v>
      </c>
      <c r="L36" t="s">
        <v>248</v>
      </c>
      <c r="M36" t="s">
        <v>50</v>
      </c>
      <c r="N36" t="s">
        <v>254</v>
      </c>
      <c r="O36" t="s">
        <v>51</v>
      </c>
      <c r="P36" t="s">
        <v>260</v>
      </c>
      <c r="Q36" t="s">
        <v>52</v>
      </c>
      <c r="R36" t="s">
        <v>266</v>
      </c>
      <c r="S36" t="s">
        <v>53</v>
      </c>
      <c r="T36" t="s">
        <v>272</v>
      </c>
      <c r="U36" t="s">
        <v>294</v>
      </c>
      <c r="V36" t="s">
        <v>283</v>
      </c>
      <c r="W36">
        <v>34</v>
      </c>
      <c r="X36" t="s">
        <v>289</v>
      </c>
      <c r="Y36">
        <v>34</v>
      </c>
      <c r="Z36" t="s">
        <v>295</v>
      </c>
      <c r="AA36">
        <v>34</v>
      </c>
      <c r="AB36" t="s">
        <v>296</v>
      </c>
      <c r="AC36" s="2" t="str">
        <f>Settings!$B$5 &amp;  "?s=" &amp; D36 &amp; "&amp;platform=ftx"</f>
        <v>https://tokensol.nfluent.io?s=symbol33&amp;platform=ftx</v>
      </c>
      <c r="AD36" s="24" t="s">
        <v>25</v>
      </c>
      <c r="AE36" s="24">
        <v>10</v>
      </c>
      <c r="AF36" s="24" t="s">
        <v>26</v>
      </c>
      <c r="AG36" s="24">
        <v>60</v>
      </c>
      <c r="AH36" s="24" t="s">
        <v>27</v>
      </c>
      <c r="AI36" s="24">
        <v>30</v>
      </c>
      <c r="AJ36" s="2"/>
      <c r="AP36" t="s">
        <v>467</v>
      </c>
      <c r="AQ36" t="s">
        <v>68</v>
      </c>
      <c r="AW36" s="24" t="s">
        <v>26</v>
      </c>
    </row>
    <row r="37" spans="2:49" ht="18.75" customHeight="1" x14ac:dyDescent="0.25">
      <c r="B37" s="24">
        <v>34</v>
      </c>
      <c r="C37" s="26" t="s">
        <v>297</v>
      </c>
      <c r="D37" t="s">
        <v>298</v>
      </c>
      <c r="E37" s="36" t="s">
        <v>299</v>
      </c>
      <c r="F37" s="24">
        <v>5030</v>
      </c>
      <c r="G37" s="15" t="s">
        <v>433</v>
      </c>
      <c r="H37" s="27" t="s">
        <v>25</v>
      </c>
      <c r="J37" t="s">
        <v>42</v>
      </c>
      <c r="K37" t="s">
        <v>43</v>
      </c>
      <c r="L37" t="s">
        <v>254</v>
      </c>
      <c r="M37" t="s">
        <v>50</v>
      </c>
      <c r="N37" t="s">
        <v>260</v>
      </c>
      <c r="O37" t="s">
        <v>51</v>
      </c>
      <c r="P37" t="s">
        <v>266</v>
      </c>
      <c r="Q37" t="s">
        <v>52</v>
      </c>
      <c r="R37" t="s">
        <v>272</v>
      </c>
      <c r="S37" t="s">
        <v>53</v>
      </c>
      <c r="T37" t="s">
        <v>278</v>
      </c>
      <c r="U37" t="s">
        <v>300</v>
      </c>
      <c r="V37" t="s">
        <v>289</v>
      </c>
      <c r="W37">
        <v>35</v>
      </c>
      <c r="X37" t="s">
        <v>295</v>
      </c>
      <c r="Y37">
        <v>35</v>
      </c>
      <c r="Z37" t="s">
        <v>301</v>
      </c>
      <c r="AA37">
        <v>35</v>
      </c>
      <c r="AB37" t="s">
        <v>302</v>
      </c>
      <c r="AC37" s="2" t="str">
        <f>Settings!$B$5 &amp;  "?s=" &amp; D37 &amp; "&amp;platform=ftx"</f>
        <v>https://tokensol.nfluent.io?s=symbol34&amp;platform=ftx</v>
      </c>
      <c r="AD37" s="24" t="s">
        <v>25</v>
      </c>
      <c r="AE37" s="24">
        <v>10</v>
      </c>
      <c r="AF37" s="24" t="s">
        <v>26</v>
      </c>
      <c r="AG37" s="24">
        <v>60</v>
      </c>
      <c r="AH37" s="24" t="s">
        <v>27</v>
      </c>
      <c r="AI37" s="24">
        <v>30</v>
      </c>
      <c r="AJ37" s="2"/>
      <c r="AP37" t="s">
        <v>467</v>
      </c>
      <c r="AQ37" t="s">
        <v>68</v>
      </c>
      <c r="AW37" s="24" t="s">
        <v>26</v>
      </c>
    </row>
    <row r="38" spans="2:49" ht="18.75" customHeight="1" x14ac:dyDescent="0.25">
      <c r="B38" s="24">
        <v>35</v>
      </c>
      <c r="C38" s="26" t="s">
        <v>303</v>
      </c>
      <c r="D38" t="s">
        <v>304</v>
      </c>
      <c r="E38" s="36" t="s">
        <v>305</v>
      </c>
      <c r="F38" s="24">
        <v>5031</v>
      </c>
      <c r="G38" s="15" t="s">
        <v>434</v>
      </c>
      <c r="H38" s="27" t="s">
        <v>25</v>
      </c>
      <c r="J38" t="s">
        <v>42</v>
      </c>
      <c r="K38" t="s">
        <v>43</v>
      </c>
      <c r="L38" t="s">
        <v>260</v>
      </c>
      <c r="M38" t="s">
        <v>50</v>
      </c>
      <c r="N38" t="s">
        <v>266</v>
      </c>
      <c r="O38" t="s">
        <v>51</v>
      </c>
      <c r="P38" t="s">
        <v>272</v>
      </c>
      <c r="Q38" t="s">
        <v>52</v>
      </c>
      <c r="R38" t="s">
        <v>278</v>
      </c>
      <c r="S38" t="s">
        <v>53</v>
      </c>
      <c r="T38" t="s">
        <v>284</v>
      </c>
      <c r="U38" t="s">
        <v>306</v>
      </c>
      <c r="V38" t="s">
        <v>295</v>
      </c>
      <c r="W38">
        <v>36</v>
      </c>
      <c r="X38" t="s">
        <v>301</v>
      </c>
      <c r="Y38">
        <v>36</v>
      </c>
      <c r="Z38" t="s">
        <v>307</v>
      </c>
      <c r="AA38">
        <v>36</v>
      </c>
      <c r="AB38" t="s">
        <v>308</v>
      </c>
      <c r="AC38" s="2" t="str">
        <f>Settings!$B$5 &amp;  "?s=" &amp; D38 &amp; "&amp;platform=ftx"</f>
        <v>https://tokensol.nfluent.io?s=symbol35&amp;platform=ftx</v>
      </c>
      <c r="AD38" s="24" t="s">
        <v>25</v>
      </c>
      <c r="AE38" s="24">
        <v>10</v>
      </c>
      <c r="AF38" s="24" t="s">
        <v>26</v>
      </c>
      <c r="AG38" s="24">
        <v>60</v>
      </c>
      <c r="AH38" s="24" t="s">
        <v>27</v>
      </c>
      <c r="AI38" s="24">
        <v>30</v>
      </c>
      <c r="AJ38" s="2"/>
      <c r="AP38" t="s">
        <v>467</v>
      </c>
      <c r="AQ38" t="s">
        <v>68</v>
      </c>
      <c r="AW38" s="24" t="s">
        <v>26</v>
      </c>
    </row>
    <row r="39" spans="2:49" ht="18.75" customHeight="1" x14ac:dyDescent="0.25">
      <c r="B39" s="24">
        <v>36</v>
      </c>
      <c r="C39" s="26" t="s">
        <v>309</v>
      </c>
      <c r="D39" t="s">
        <v>310</v>
      </c>
      <c r="E39" s="36" t="s">
        <v>311</v>
      </c>
      <c r="F39" s="24">
        <v>5032</v>
      </c>
      <c r="G39" s="15" t="s">
        <v>435</v>
      </c>
      <c r="H39" s="27" t="s">
        <v>25</v>
      </c>
      <c r="J39" t="s">
        <v>42</v>
      </c>
      <c r="K39" t="s">
        <v>43</v>
      </c>
      <c r="L39" t="s">
        <v>266</v>
      </c>
      <c r="M39" t="s">
        <v>50</v>
      </c>
      <c r="N39" t="s">
        <v>272</v>
      </c>
      <c r="O39" t="s">
        <v>51</v>
      </c>
      <c r="P39" t="s">
        <v>278</v>
      </c>
      <c r="Q39" t="s">
        <v>52</v>
      </c>
      <c r="R39" t="s">
        <v>284</v>
      </c>
      <c r="S39" t="s">
        <v>53</v>
      </c>
      <c r="T39" t="s">
        <v>290</v>
      </c>
      <c r="U39" t="s">
        <v>312</v>
      </c>
      <c r="V39" t="s">
        <v>301</v>
      </c>
      <c r="W39">
        <v>37</v>
      </c>
      <c r="X39" t="s">
        <v>307</v>
      </c>
      <c r="Y39">
        <v>37</v>
      </c>
      <c r="Z39" t="s">
        <v>313</v>
      </c>
      <c r="AA39">
        <v>37</v>
      </c>
      <c r="AB39" t="s">
        <v>314</v>
      </c>
      <c r="AC39" s="2" t="str">
        <f>Settings!$B$5 &amp;  "?s=" &amp; D39 &amp; "&amp;platform=ftx"</f>
        <v>https://tokensol.nfluent.io?s=symbol36&amp;platform=ftx</v>
      </c>
      <c r="AD39" s="24" t="s">
        <v>25</v>
      </c>
      <c r="AE39" s="24">
        <v>10</v>
      </c>
      <c r="AF39" s="24" t="s">
        <v>26</v>
      </c>
      <c r="AG39" s="24">
        <v>60</v>
      </c>
      <c r="AH39" s="24" t="s">
        <v>27</v>
      </c>
      <c r="AI39" s="24">
        <v>30</v>
      </c>
      <c r="AJ39" s="2"/>
      <c r="AP39" t="s">
        <v>467</v>
      </c>
      <c r="AQ39" t="s">
        <v>68</v>
      </c>
      <c r="AW39" s="24" t="s">
        <v>26</v>
      </c>
    </row>
    <row r="40" spans="2:49" ht="18.75" customHeight="1" x14ac:dyDescent="0.25">
      <c r="B40" s="24">
        <v>37</v>
      </c>
      <c r="C40" s="26" t="s">
        <v>315</v>
      </c>
      <c r="D40" t="s">
        <v>316</v>
      </c>
      <c r="E40" s="36" t="s">
        <v>317</v>
      </c>
      <c r="F40" s="24">
        <v>5033</v>
      </c>
      <c r="G40" s="15" t="s">
        <v>436</v>
      </c>
      <c r="H40" s="27" t="s">
        <v>25</v>
      </c>
      <c r="J40" t="s">
        <v>42</v>
      </c>
      <c r="K40" t="s">
        <v>43</v>
      </c>
      <c r="L40" t="s">
        <v>272</v>
      </c>
      <c r="M40" t="s">
        <v>50</v>
      </c>
      <c r="N40" t="s">
        <v>278</v>
      </c>
      <c r="O40" t="s">
        <v>51</v>
      </c>
      <c r="P40" t="s">
        <v>284</v>
      </c>
      <c r="Q40" t="s">
        <v>52</v>
      </c>
      <c r="R40" t="s">
        <v>290</v>
      </c>
      <c r="S40" t="s">
        <v>53</v>
      </c>
      <c r="T40" t="s">
        <v>296</v>
      </c>
      <c r="U40" t="s">
        <v>318</v>
      </c>
      <c r="V40" t="s">
        <v>307</v>
      </c>
      <c r="W40">
        <v>38</v>
      </c>
      <c r="X40" t="s">
        <v>313</v>
      </c>
      <c r="Y40">
        <v>38</v>
      </c>
      <c r="Z40" t="s">
        <v>319</v>
      </c>
      <c r="AA40">
        <v>38</v>
      </c>
      <c r="AB40" t="s">
        <v>320</v>
      </c>
      <c r="AC40" s="2" t="str">
        <f>Settings!$B$5 &amp;  "?s=" &amp; D40 &amp; "&amp;platform=ftx"</f>
        <v>https://tokensol.nfluent.io?s=symbol37&amp;platform=ftx</v>
      </c>
      <c r="AD40" s="24" t="s">
        <v>25</v>
      </c>
      <c r="AE40" s="24">
        <v>10</v>
      </c>
      <c r="AF40" s="24" t="s">
        <v>26</v>
      </c>
      <c r="AG40" s="24">
        <v>60</v>
      </c>
      <c r="AH40" s="24" t="s">
        <v>27</v>
      </c>
      <c r="AI40" s="24">
        <v>30</v>
      </c>
      <c r="AJ40" s="2"/>
      <c r="AP40" t="s">
        <v>467</v>
      </c>
      <c r="AQ40" t="s">
        <v>68</v>
      </c>
      <c r="AW40" s="24" t="s">
        <v>26</v>
      </c>
    </row>
    <row r="41" spans="2:49" ht="18.75" customHeight="1" x14ac:dyDescent="0.25">
      <c r="B41" s="24">
        <v>38</v>
      </c>
      <c r="C41" s="26" t="s">
        <v>321</v>
      </c>
      <c r="D41" t="s">
        <v>322</v>
      </c>
      <c r="E41" s="36" t="s">
        <v>323</v>
      </c>
      <c r="F41" s="24">
        <v>5034</v>
      </c>
      <c r="G41" s="15" t="s">
        <v>437</v>
      </c>
      <c r="H41" s="27" t="s">
        <v>25</v>
      </c>
      <c r="J41" t="s">
        <v>42</v>
      </c>
      <c r="K41" t="s">
        <v>43</v>
      </c>
      <c r="L41" t="s">
        <v>278</v>
      </c>
      <c r="M41" t="s">
        <v>50</v>
      </c>
      <c r="N41" t="s">
        <v>284</v>
      </c>
      <c r="O41" t="s">
        <v>51</v>
      </c>
      <c r="P41" t="s">
        <v>290</v>
      </c>
      <c r="Q41" t="s">
        <v>52</v>
      </c>
      <c r="R41" t="s">
        <v>296</v>
      </c>
      <c r="S41" t="s">
        <v>53</v>
      </c>
      <c r="T41" t="s">
        <v>302</v>
      </c>
      <c r="U41" t="s">
        <v>324</v>
      </c>
      <c r="V41" t="s">
        <v>313</v>
      </c>
      <c r="W41">
        <v>39</v>
      </c>
      <c r="X41" t="s">
        <v>319</v>
      </c>
      <c r="Y41">
        <v>39</v>
      </c>
      <c r="Z41" t="s">
        <v>325</v>
      </c>
      <c r="AA41">
        <v>39</v>
      </c>
      <c r="AB41" t="s">
        <v>326</v>
      </c>
      <c r="AC41" s="2" t="str">
        <f>Settings!$B$5 &amp;  "?s=" &amp; D41 &amp; "&amp;platform=ftx"</f>
        <v>https://tokensol.nfluent.io?s=symbol38&amp;platform=ftx</v>
      </c>
      <c r="AD41" s="24" t="s">
        <v>25</v>
      </c>
      <c r="AE41" s="24">
        <v>10</v>
      </c>
      <c r="AF41" s="24" t="s">
        <v>26</v>
      </c>
      <c r="AG41" s="24">
        <v>60</v>
      </c>
      <c r="AH41" s="24" t="s">
        <v>27</v>
      </c>
      <c r="AI41" s="24">
        <v>30</v>
      </c>
      <c r="AJ41" s="2"/>
      <c r="AP41" t="s">
        <v>467</v>
      </c>
      <c r="AQ41" t="s">
        <v>68</v>
      </c>
      <c r="AW41" s="24" t="s">
        <v>26</v>
      </c>
    </row>
    <row r="42" spans="2:49" ht="18.75" customHeight="1" x14ac:dyDescent="0.25">
      <c r="B42" s="24">
        <v>39</v>
      </c>
      <c r="C42" s="26" t="s">
        <v>327</v>
      </c>
      <c r="D42" t="s">
        <v>328</v>
      </c>
      <c r="E42" s="36" t="s">
        <v>329</v>
      </c>
      <c r="F42" s="24">
        <v>5035</v>
      </c>
      <c r="G42" s="15" t="s">
        <v>438</v>
      </c>
      <c r="H42" s="27" t="s">
        <v>25</v>
      </c>
      <c r="J42" t="s">
        <v>42</v>
      </c>
      <c r="K42" t="s">
        <v>43</v>
      </c>
      <c r="L42" t="s">
        <v>284</v>
      </c>
      <c r="M42" t="s">
        <v>50</v>
      </c>
      <c r="N42" t="s">
        <v>290</v>
      </c>
      <c r="O42" t="s">
        <v>51</v>
      </c>
      <c r="P42" t="s">
        <v>296</v>
      </c>
      <c r="Q42" t="s">
        <v>52</v>
      </c>
      <c r="R42" t="s">
        <v>302</v>
      </c>
      <c r="S42" t="s">
        <v>53</v>
      </c>
      <c r="T42" t="s">
        <v>308</v>
      </c>
      <c r="U42" t="s">
        <v>330</v>
      </c>
      <c r="V42" t="s">
        <v>319</v>
      </c>
      <c r="W42">
        <v>40</v>
      </c>
      <c r="X42" t="s">
        <v>325</v>
      </c>
      <c r="Y42">
        <v>40</v>
      </c>
      <c r="Z42" t="s">
        <v>331</v>
      </c>
      <c r="AA42">
        <v>40</v>
      </c>
      <c r="AB42" t="s">
        <v>332</v>
      </c>
      <c r="AC42" s="2" t="str">
        <f>Settings!$B$5 &amp;  "?s=" &amp; D42 &amp; "&amp;platform=ftx"</f>
        <v>https://tokensol.nfluent.io?s=symbol39&amp;platform=ftx</v>
      </c>
      <c r="AD42" s="24" t="s">
        <v>25</v>
      </c>
      <c r="AE42" s="24">
        <v>10</v>
      </c>
      <c r="AF42" s="24" t="s">
        <v>26</v>
      </c>
      <c r="AG42" s="24">
        <v>60</v>
      </c>
      <c r="AH42" s="24" t="s">
        <v>27</v>
      </c>
      <c r="AI42" s="24">
        <v>30</v>
      </c>
      <c r="AJ42" s="2"/>
      <c r="AP42" t="s">
        <v>467</v>
      </c>
      <c r="AQ42" t="s">
        <v>68</v>
      </c>
      <c r="AW42" s="24" t="s">
        <v>26</v>
      </c>
    </row>
    <row r="43" spans="2:49" ht="18.75" customHeight="1" x14ac:dyDescent="0.25">
      <c r="B43" s="24">
        <v>40</v>
      </c>
      <c r="C43" s="26" t="s">
        <v>333</v>
      </c>
      <c r="D43" t="s">
        <v>334</v>
      </c>
      <c r="E43" s="36" t="s">
        <v>335</v>
      </c>
      <c r="F43" s="24">
        <v>5036</v>
      </c>
      <c r="G43" s="15" t="s">
        <v>439</v>
      </c>
      <c r="H43" s="27" t="s">
        <v>25</v>
      </c>
      <c r="J43" t="s">
        <v>42</v>
      </c>
      <c r="K43" t="s">
        <v>43</v>
      </c>
      <c r="L43" t="s">
        <v>290</v>
      </c>
      <c r="M43" t="s">
        <v>50</v>
      </c>
      <c r="N43" t="s">
        <v>296</v>
      </c>
      <c r="O43" t="s">
        <v>51</v>
      </c>
      <c r="P43" t="s">
        <v>302</v>
      </c>
      <c r="Q43" t="s">
        <v>52</v>
      </c>
      <c r="R43" t="s">
        <v>308</v>
      </c>
      <c r="S43" t="s">
        <v>53</v>
      </c>
      <c r="T43" t="s">
        <v>314</v>
      </c>
      <c r="U43" t="s">
        <v>336</v>
      </c>
      <c r="V43" t="s">
        <v>325</v>
      </c>
      <c r="W43">
        <v>41</v>
      </c>
      <c r="X43" t="s">
        <v>331</v>
      </c>
      <c r="Y43">
        <v>41</v>
      </c>
      <c r="Z43" t="s">
        <v>337</v>
      </c>
      <c r="AA43">
        <v>41</v>
      </c>
      <c r="AB43" t="s">
        <v>338</v>
      </c>
      <c r="AC43" s="2" t="str">
        <f>Settings!$B$5 &amp;  "?s=" &amp; D43 &amp; "&amp;platform=ftx"</f>
        <v>https://tokensol.nfluent.io?s=symbol40&amp;platform=ftx</v>
      </c>
      <c r="AD43" s="24" t="s">
        <v>25</v>
      </c>
      <c r="AE43" s="24">
        <v>10</v>
      </c>
      <c r="AF43" s="24" t="s">
        <v>26</v>
      </c>
      <c r="AG43" s="24">
        <v>60</v>
      </c>
      <c r="AH43" s="24" t="s">
        <v>27</v>
      </c>
      <c r="AI43" s="24">
        <v>30</v>
      </c>
      <c r="AJ43" s="2"/>
      <c r="AP43" t="s">
        <v>467</v>
      </c>
      <c r="AQ43" t="s">
        <v>68</v>
      </c>
      <c r="AW43" s="24" t="s">
        <v>26</v>
      </c>
    </row>
    <row r="44" spans="2:49" ht="18.75" customHeight="1" x14ac:dyDescent="0.25">
      <c r="B44" s="24">
        <v>41</v>
      </c>
      <c r="C44" s="26" t="s">
        <v>339</v>
      </c>
      <c r="D44" t="s">
        <v>340</v>
      </c>
      <c r="E44" s="36" t="s">
        <v>341</v>
      </c>
      <c r="F44" s="24">
        <v>5037</v>
      </c>
      <c r="G44" s="15" t="s">
        <v>440</v>
      </c>
      <c r="H44" s="27" t="s">
        <v>25</v>
      </c>
      <c r="J44" t="s">
        <v>42</v>
      </c>
      <c r="K44" t="s">
        <v>43</v>
      </c>
      <c r="L44" t="s">
        <v>296</v>
      </c>
      <c r="M44" t="s">
        <v>50</v>
      </c>
      <c r="N44" t="s">
        <v>302</v>
      </c>
      <c r="O44" t="s">
        <v>51</v>
      </c>
      <c r="P44" t="s">
        <v>308</v>
      </c>
      <c r="Q44" t="s">
        <v>52</v>
      </c>
      <c r="R44" t="s">
        <v>314</v>
      </c>
      <c r="S44" t="s">
        <v>53</v>
      </c>
      <c r="T44" t="s">
        <v>320</v>
      </c>
      <c r="U44" t="s">
        <v>342</v>
      </c>
      <c r="V44" t="s">
        <v>331</v>
      </c>
      <c r="W44">
        <v>42</v>
      </c>
      <c r="X44" t="s">
        <v>337</v>
      </c>
      <c r="Y44">
        <v>42</v>
      </c>
      <c r="Z44" t="s">
        <v>343</v>
      </c>
      <c r="AA44">
        <v>42</v>
      </c>
      <c r="AB44" t="s">
        <v>344</v>
      </c>
      <c r="AC44" s="2" t="str">
        <f>Settings!$B$5 &amp;  "?s=" &amp; D44 &amp; "&amp;platform=ftx"</f>
        <v>https://tokensol.nfluent.io?s=symbol41&amp;platform=ftx</v>
      </c>
      <c r="AD44" s="24" t="s">
        <v>25</v>
      </c>
      <c r="AE44" s="24">
        <v>10</v>
      </c>
      <c r="AF44" s="24" t="s">
        <v>26</v>
      </c>
      <c r="AG44" s="24">
        <v>60</v>
      </c>
      <c r="AH44" s="24" t="s">
        <v>27</v>
      </c>
      <c r="AI44" s="24">
        <v>30</v>
      </c>
      <c r="AJ44" s="2"/>
      <c r="AP44" t="s">
        <v>467</v>
      </c>
      <c r="AQ44" t="s">
        <v>68</v>
      </c>
      <c r="AW44" s="24" t="s">
        <v>26</v>
      </c>
    </row>
    <row r="45" spans="2:49" ht="18.75" customHeight="1" x14ac:dyDescent="0.25">
      <c r="B45" s="24">
        <v>42</v>
      </c>
      <c r="C45" s="26" t="s">
        <v>345</v>
      </c>
      <c r="D45" t="s">
        <v>346</v>
      </c>
      <c r="E45" s="36" t="s">
        <v>347</v>
      </c>
      <c r="F45" s="24">
        <v>5038</v>
      </c>
      <c r="G45" s="15" t="s">
        <v>441</v>
      </c>
      <c r="H45" s="27" t="s">
        <v>25</v>
      </c>
      <c r="J45" t="s">
        <v>42</v>
      </c>
      <c r="K45" t="s">
        <v>43</v>
      </c>
      <c r="L45" t="s">
        <v>302</v>
      </c>
      <c r="M45" t="s">
        <v>50</v>
      </c>
      <c r="N45" t="s">
        <v>308</v>
      </c>
      <c r="O45" t="s">
        <v>51</v>
      </c>
      <c r="P45" t="s">
        <v>314</v>
      </c>
      <c r="Q45" t="s">
        <v>52</v>
      </c>
      <c r="R45" t="s">
        <v>320</v>
      </c>
      <c r="S45" t="s">
        <v>53</v>
      </c>
      <c r="T45" t="s">
        <v>326</v>
      </c>
      <c r="U45" t="s">
        <v>348</v>
      </c>
      <c r="V45" t="s">
        <v>337</v>
      </c>
      <c r="W45">
        <v>43</v>
      </c>
      <c r="X45" t="s">
        <v>343</v>
      </c>
      <c r="Y45">
        <v>43</v>
      </c>
      <c r="Z45" t="s">
        <v>349</v>
      </c>
      <c r="AA45">
        <v>43</v>
      </c>
      <c r="AB45" t="s">
        <v>350</v>
      </c>
      <c r="AC45" s="2" t="str">
        <f>Settings!$B$5 &amp;  "?s=" &amp; D45 &amp; "&amp;platform=ftx"</f>
        <v>https://tokensol.nfluent.io?s=symbol42&amp;platform=ftx</v>
      </c>
      <c r="AD45" s="24" t="s">
        <v>25</v>
      </c>
      <c r="AE45" s="24">
        <v>10</v>
      </c>
      <c r="AF45" s="24" t="s">
        <v>26</v>
      </c>
      <c r="AG45" s="24">
        <v>60</v>
      </c>
      <c r="AH45" s="24" t="s">
        <v>27</v>
      </c>
      <c r="AI45" s="24">
        <v>30</v>
      </c>
      <c r="AJ45" s="2"/>
      <c r="AP45" t="s">
        <v>467</v>
      </c>
      <c r="AQ45" t="s">
        <v>68</v>
      </c>
      <c r="AW45" s="24" t="s">
        <v>26</v>
      </c>
    </row>
    <row r="46" spans="2:49" ht="18.75" customHeight="1" x14ac:dyDescent="0.25">
      <c r="B46" s="24">
        <v>43</v>
      </c>
      <c r="C46" s="26" t="s">
        <v>351</v>
      </c>
      <c r="D46" t="s">
        <v>352</v>
      </c>
      <c r="E46" s="36" t="s">
        <v>353</v>
      </c>
      <c r="F46" s="24">
        <v>5039</v>
      </c>
      <c r="G46" s="15" t="s">
        <v>442</v>
      </c>
      <c r="H46" s="27" t="s">
        <v>25</v>
      </c>
      <c r="J46" t="s">
        <v>42</v>
      </c>
      <c r="K46" t="s">
        <v>43</v>
      </c>
      <c r="L46" t="s">
        <v>308</v>
      </c>
      <c r="M46" t="s">
        <v>50</v>
      </c>
      <c r="N46" t="s">
        <v>314</v>
      </c>
      <c r="O46" t="s">
        <v>51</v>
      </c>
      <c r="P46" t="s">
        <v>320</v>
      </c>
      <c r="Q46" t="s">
        <v>52</v>
      </c>
      <c r="R46" t="s">
        <v>326</v>
      </c>
      <c r="S46" t="s">
        <v>53</v>
      </c>
      <c r="T46" t="s">
        <v>332</v>
      </c>
      <c r="U46" t="s">
        <v>354</v>
      </c>
      <c r="V46" t="s">
        <v>343</v>
      </c>
      <c r="W46">
        <v>44</v>
      </c>
      <c r="X46" t="s">
        <v>349</v>
      </c>
      <c r="Y46">
        <v>44</v>
      </c>
      <c r="Z46" t="s">
        <v>355</v>
      </c>
      <c r="AA46">
        <v>44</v>
      </c>
      <c r="AB46" t="s">
        <v>356</v>
      </c>
      <c r="AC46" s="2" t="str">
        <f>Settings!$B$5 &amp;  "?s=" &amp; D46 &amp; "&amp;platform=ftx"</f>
        <v>https://tokensol.nfluent.io?s=symbol43&amp;platform=ftx</v>
      </c>
      <c r="AD46" s="24" t="s">
        <v>25</v>
      </c>
      <c r="AE46" s="24">
        <v>10</v>
      </c>
      <c r="AF46" s="24" t="s">
        <v>26</v>
      </c>
      <c r="AG46" s="24">
        <v>60</v>
      </c>
      <c r="AH46" s="24" t="s">
        <v>27</v>
      </c>
      <c r="AI46" s="24">
        <v>30</v>
      </c>
      <c r="AJ46" s="2"/>
      <c r="AP46" t="s">
        <v>467</v>
      </c>
      <c r="AQ46" t="s">
        <v>68</v>
      </c>
      <c r="AW46" s="24" t="s">
        <v>26</v>
      </c>
    </row>
    <row r="47" spans="2:49" ht="18.75" customHeight="1" x14ac:dyDescent="0.25">
      <c r="B47" s="24">
        <v>44</v>
      </c>
      <c r="C47" s="26" t="s">
        <v>357</v>
      </c>
      <c r="D47" t="s">
        <v>358</v>
      </c>
      <c r="E47" s="36" t="s">
        <v>359</v>
      </c>
      <c r="F47" s="24">
        <v>5040</v>
      </c>
      <c r="G47" s="15" t="s">
        <v>443</v>
      </c>
      <c r="H47" s="27" t="s">
        <v>25</v>
      </c>
      <c r="J47" t="s">
        <v>42</v>
      </c>
      <c r="K47" t="s">
        <v>43</v>
      </c>
      <c r="L47" t="s">
        <v>314</v>
      </c>
      <c r="M47" t="s">
        <v>50</v>
      </c>
      <c r="N47" t="s">
        <v>320</v>
      </c>
      <c r="O47" t="s">
        <v>51</v>
      </c>
      <c r="P47" t="s">
        <v>326</v>
      </c>
      <c r="Q47" t="s">
        <v>52</v>
      </c>
      <c r="R47" t="s">
        <v>332</v>
      </c>
      <c r="S47" t="s">
        <v>53</v>
      </c>
      <c r="T47" t="s">
        <v>338</v>
      </c>
      <c r="U47" t="s">
        <v>360</v>
      </c>
      <c r="V47" t="s">
        <v>349</v>
      </c>
      <c r="W47">
        <v>45</v>
      </c>
      <c r="X47" t="s">
        <v>355</v>
      </c>
      <c r="Y47">
        <v>45</v>
      </c>
      <c r="Z47" t="s">
        <v>361</v>
      </c>
      <c r="AA47">
        <v>45</v>
      </c>
      <c r="AB47" t="s">
        <v>362</v>
      </c>
      <c r="AC47" s="2" t="str">
        <f>Settings!$B$5 &amp;  "?s=" &amp; D47 &amp; "&amp;platform=ftx"</f>
        <v>https://tokensol.nfluent.io?s=symbol44&amp;platform=ftx</v>
      </c>
      <c r="AD47" s="24" t="s">
        <v>25</v>
      </c>
      <c r="AE47" s="24">
        <v>10</v>
      </c>
      <c r="AF47" s="24" t="s">
        <v>26</v>
      </c>
      <c r="AG47" s="24">
        <v>60</v>
      </c>
      <c r="AH47" s="24" t="s">
        <v>27</v>
      </c>
      <c r="AI47" s="24">
        <v>30</v>
      </c>
      <c r="AJ47" s="2"/>
      <c r="AP47" t="s">
        <v>467</v>
      </c>
      <c r="AQ47" t="s">
        <v>68</v>
      </c>
      <c r="AW47" s="24" t="s">
        <v>26</v>
      </c>
    </row>
    <row r="48" spans="2:49" ht="18.75" customHeight="1" x14ac:dyDescent="0.25">
      <c r="B48" s="24">
        <v>45</v>
      </c>
      <c r="C48" s="26" t="s">
        <v>363</v>
      </c>
      <c r="D48" t="s">
        <v>364</v>
      </c>
      <c r="E48" s="36" t="s">
        <v>365</v>
      </c>
      <c r="F48" s="24">
        <v>5041</v>
      </c>
      <c r="G48" s="15" t="s">
        <v>444</v>
      </c>
      <c r="H48" s="27" t="s">
        <v>25</v>
      </c>
      <c r="J48" t="s">
        <v>42</v>
      </c>
      <c r="K48" t="s">
        <v>43</v>
      </c>
      <c r="L48" t="s">
        <v>320</v>
      </c>
      <c r="M48" t="s">
        <v>50</v>
      </c>
      <c r="N48" t="s">
        <v>326</v>
      </c>
      <c r="O48" t="s">
        <v>51</v>
      </c>
      <c r="P48" t="s">
        <v>332</v>
      </c>
      <c r="Q48" t="s">
        <v>52</v>
      </c>
      <c r="R48" t="s">
        <v>338</v>
      </c>
      <c r="S48" t="s">
        <v>53</v>
      </c>
      <c r="T48" t="s">
        <v>344</v>
      </c>
      <c r="U48" t="s">
        <v>366</v>
      </c>
      <c r="V48" t="s">
        <v>355</v>
      </c>
      <c r="W48">
        <v>46</v>
      </c>
      <c r="X48" t="s">
        <v>361</v>
      </c>
      <c r="Y48">
        <v>46</v>
      </c>
      <c r="Z48" t="s">
        <v>367</v>
      </c>
      <c r="AA48">
        <v>46</v>
      </c>
      <c r="AB48" t="s">
        <v>368</v>
      </c>
      <c r="AC48" s="2" t="str">
        <f>Settings!$B$5 &amp;  "?s=" &amp; D48 &amp; "&amp;platform=ftx"</f>
        <v>https://tokensol.nfluent.io?s=symbol45&amp;platform=ftx</v>
      </c>
      <c r="AD48" s="24" t="s">
        <v>25</v>
      </c>
      <c r="AE48" s="24">
        <v>10</v>
      </c>
      <c r="AF48" s="24" t="s">
        <v>26</v>
      </c>
      <c r="AG48" s="24">
        <v>60</v>
      </c>
      <c r="AH48" s="24" t="s">
        <v>27</v>
      </c>
      <c r="AI48" s="24">
        <v>30</v>
      </c>
      <c r="AJ48" s="2"/>
      <c r="AP48" t="s">
        <v>467</v>
      </c>
      <c r="AQ48" t="s">
        <v>68</v>
      </c>
      <c r="AW48" s="24" t="s">
        <v>26</v>
      </c>
    </row>
    <row r="49" spans="2:49" ht="18.75" customHeight="1" x14ac:dyDescent="0.25">
      <c r="B49" s="24">
        <v>46</v>
      </c>
      <c r="C49" s="26" t="s">
        <v>369</v>
      </c>
      <c r="D49" t="s">
        <v>370</v>
      </c>
      <c r="E49" s="36" t="s">
        <v>371</v>
      </c>
      <c r="F49" s="24">
        <v>5042</v>
      </c>
      <c r="G49" s="15" t="s">
        <v>445</v>
      </c>
      <c r="H49" s="27" t="s">
        <v>25</v>
      </c>
      <c r="J49" t="s">
        <v>42</v>
      </c>
      <c r="K49" t="s">
        <v>43</v>
      </c>
      <c r="L49" t="s">
        <v>326</v>
      </c>
      <c r="M49" t="s">
        <v>50</v>
      </c>
      <c r="N49" t="s">
        <v>332</v>
      </c>
      <c r="O49" t="s">
        <v>51</v>
      </c>
      <c r="P49" t="s">
        <v>338</v>
      </c>
      <c r="Q49" t="s">
        <v>52</v>
      </c>
      <c r="R49" t="s">
        <v>344</v>
      </c>
      <c r="S49" t="s">
        <v>53</v>
      </c>
      <c r="T49" t="s">
        <v>350</v>
      </c>
      <c r="U49" t="s">
        <v>372</v>
      </c>
      <c r="V49" t="s">
        <v>361</v>
      </c>
      <c r="W49">
        <v>47</v>
      </c>
      <c r="X49" t="s">
        <v>367</v>
      </c>
      <c r="Y49">
        <v>47</v>
      </c>
      <c r="Z49" t="s">
        <v>373</v>
      </c>
      <c r="AA49">
        <v>47</v>
      </c>
      <c r="AB49" t="s">
        <v>374</v>
      </c>
      <c r="AC49" s="2" t="str">
        <f>Settings!$B$5 &amp;  "?s=" &amp; D49 &amp; "&amp;platform=ftx"</f>
        <v>https://tokensol.nfluent.io?s=symbol46&amp;platform=ftx</v>
      </c>
      <c r="AD49" s="24" t="s">
        <v>25</v>
      </c>
      <c r="AE49" s="24">
        <v>10</v>
      </c>
      <c r="AF49" s="24" t="s">
        <v>26</v>
      </c>
      <c r="AG49" s="24">
        <v>60</v>
      </c>
      <c r="AH49" s="24" t="s">
        <v>27</v>
      </c>
      <c r="AI49" s="24">
        <v>30</v>
      </c>
      <c r="AJ49" s="2"/>
      <c r="AP49" t="s">
        <v>467</v>
      </c>
      <c r="AQ49" t="s">
        <v>68</v>
      </c>
      <c r="AW49" s="24" t="s">
        <v>26</v>
      </c>
    </row>
    <row r="50" spans="2:49" ht="18.75" customHeight="1" x14ac:dyDescent="0.25">
      <c r="B50" s="24">
        <v>47</v>
      </c>
      <c r="C50" s="26" t="s">
        <v>375</v>
      </c>
      <c r="D50" t="s">
        <v>376</v>
      </c>
      <c r="E50" s="36" t="s">
        <v>377</v>
      </c>
      <c r="F50" s="24">
        <v>5043</v>
      </c>
      <c r="G50" s="15" t="s">
        <v>446</v>
      </c>
      <c r="H50" s="27" t="s">
        <v>25</v>
      </c>
      <c r="J50" t="s">
        <v>42</v>
      </c>
      <c r="K50" t="s">
        <v>43</v>
      </c>
      <c r="L50" t="s">
        <v>332</v>
      </c>
      <c r="M50" t="s">
        <v>50</v>
      </c>
      <c r="N50" t="s">
        <v>338</v>
      </c>
      <c r="O50" t="s">
        <v>51</v>
      </c>
      <c r="P50" t="s">
        <v>344</v>
      </c>
      <c r="Q50" t="s">
        <v>52</v>
      </c>
      <c r="R50" t="s">
        <v>350</v>
      </c>
      <c r="S50" t="s">
        <v>53</v>
      </c>
      <c r="T50" t="s">
        <v>356</v>
      </c>
      <c r="U50" t="s">
        <v>378</v>
      </c>
      <c r="V50" t="s">
        <v>367</v>
      </c>
      <c r="W50">
        <v>48</v>
      </c>
      <c r="X50" t="s">
        <v>373</v>
      </c>
      <c r="Y50">
        <v>48</v>
      </c>
      <c r="Z50" t="s">
        <v>379</v>
      </c>
      <c r="AA50">
        <v>48</v>
      </c>
      <c r="AB50" t="s">
        <v>380</v>
      </c>
      <c r="AC50" s="2" t="str">
        <f>Settings!$B$5 &amp;  "?s=" &amp; D50 &amp; "&amp;platform=ftx"</f>
        <v>https://tokensol.nfluent.io?s=symbol47&amp;platform=ftx</v>
      </c>
      <c r="AD50" s="24" t="s">
        <v>25</v>
      </c>
      <c r="AE50" s="24">
        <v>10</v>
      </c>
      <c r="AF50" s="24" t="s">
        <v>26</v>
      </c>
      <c r="AG50" s="24">
        <v>60</v>
      </c>
      <c r="AH50" s="24" t="s">
        <v>27</v>
      </c>
      <c r="AI50" s="24">
        <v>30</v>
      </c>
      <c r="AJ50" s="2"/>
      <c r="AP50" t="s">
        <v>467</v>
      </c>
      <c r="AQ50" t="s">
        <v>68</v>
      </c>
      <c r="AW50" s="24" t="s">
        <v>26</v>
      </c>
    </row>
    <row r="51" spans="2:49" ht="19.5" customHeight="1" x14ac:dyDescent="0.25">
      <c r="B51" s="24">
        <v>48</v>
      </c>
      <c r="C51" s="26" t="s">
        <v>381</v>
      </c>
      <c r="D51" t="s">
        <v>382</v>
      </c>
      <c r="E51" s="36" t="s">
        <v>383</v>
      </c>
      <c r="F51" s="24">
        <v>5044</v>
      </c>
      <c r="G51" s="15" t="s">
        <v>447</v>
      </c>
      <c r="H51" s="27" t="s">
        <v>25</v>
      </c>
      <c r="J51" t="s">
        <v>42</v>
      </c>
      <c r="K51" t="s">
        <v>43</v>
      </c>
      <c r="L51" t="s">
        <v>338</v>
      </c>
      <c r="M51" t="s">
        <v>50</v>
      </c>
      <c r="N51" t="s">
        <v>344</v>
      </c>
      <c r="O51" t="s">
        <v>51</v>
      </c>
      <c r="P51" t="s">
        <v>350</v>
      </c>
      <c r="Q51" t="s">
        <v>52</v>
      </c>
      <c r="R51" t="s">
        <v>356</v>
      </c>
      <c r="S51" t="s">
        <v>53</v>
      </c>
      <c r="T51" t="s">
        <v>362</v>
      </c>
      <c r="U51" t="s">
        <v>384</v>
      </c>
      <c r="V51" t="s">
        <v>373</v>
      </c>
      <c r="W51">
        <v>49</v>
      </c>
      <c r="X51" t="s">
        <v>379</v>
      </c>
      <c r="Y51">
        <v>49</v>
      </c>
      <c r="Z51" t="s">
        <v>385</v>
      </c>
      <c r="AA51">
        <v>49</v>
      </c>
      <c r="AB51" t="s">
        <v>386</v>
      </c>
      <c r="AC51" s="2" t="str">
        <f>Settings!$B$5 &amp;  "?s=" &amp; D51 &amp; "&amp;platform=ftx"</f>
        <v>https://tokensol.nfluent.io?s=symbol48&amp;platform=ftx</v>
      </c>
      <c r="AD51" s="24" t="s">
        <v>25</v>
      </c>
      <c r="AE51" s="24">
        <v>10</v>
      </c>
      <c r="AF51" s="24" t="s">
        <v>26</v>
      </c>
      <c r="AG51" s="24">
        <v>60</v>
      </c>
      <c r="AH51" s="24" t="s">
        <v>27</v>
      </c>
      <c r="AI51" s="24">
        <v>30</v>
      </c>
      <c r="AJ51" s="2"/>
      <c r="AP51" t="s">
        <v>467</v>
      </c>
      <c r="AQ51" t="s">
        <v>68</v>
      </c>
      <c r="AW51" s="24" t="s">
        <v>26</v>
      </c>
    </row>
    <row r="52" spans="2:49" ht="19.5" customHeight="1" x14ac:dyDescent="0.25">
      <c r="B52" s="24">
        <v>49</v>
      </c>
      <c r="C52" s="26" t="s">
        <v>387</v>
      </c>
      <c r="D52" t="s">
        <v>388</v>
      </c>
      <c r="E52" s="36" t="s">
        <v>389</v>
      </c>
      <c r="F52" s="24">
        <v>5045</v>
      </c>
      <c r="G52" s="15" t="s">
        <v>448</v>
      </c>
      <c r="H52" s="27" t="s">
        <v>25</v>
      </c>
      <c r="J52" t="s">
        <v>42</v>
      </c>
      <c r="K52" t="s">
        <v>43</v>
      </c>
      <c r="L52" t="s">
        <v>344</v>
      </c>
      <c r="M52" t="s">
        <v>50</v>
      </c>
      <c r="N52" t="s">
        <v>350</v>
      </c>
      <c r="O52" t="s">
        <v>51</v>
      </c>
      <c r="P52" t="s">
        <v>356</v>
      </c>
      <c r="Q52" t="s">
        <v>52</v>
      </c>
      <c r="R52" t="s">
        <v>362</v>
      </c>
      <c r="S52" t="s">
        <v>53</v>
      </c>
      <c r="T52" t="s">
        <v>368</v>
      </c>
      <c r="U52" t="s">
        <v>390</v>
      </c>
      <c r="V52" t="s">
        <v>379</v>
      </c>
      <c r="W52">
        <v>50</v>
      </c>
      <c r="X52" t="s">
        <v>385</v>
      </c>
      <c r="Y52">
        <v>50</v>
      </c>
      <c r="Z52" t="s">
        <v>391</v>
      </c>
      <c r="AA52">
        <v>50</v>
      </c>
      <c r="AB52" t="s">
        <v>392</v>
      </c>
      <c r="AC52" s="2" t="str">
        <f>Settings!$B$5 &amp;  "?s=" &amp; D52 &amp; "&amp;platform=ftx"</f>
        <v>https://tokensol.nfluent.io?s=symbol49&amp;platform=ftx</v>
      </c>
      <c r="AD52" s="24" t="s">
        <v>25</v>
      </c>
      <c r="AE52" s="24">
        <v>10</v>
      </c>
      <c r="AF52" s="24" t="s">
        <v>26</v>
      </c>
      <c r="AG52" s="24">
        <v>60</v>
      </c>
      <c r="AH52" s="24" t="s">
        <v>27</v>
      </c>
      <c r="AI52" s="24">
        <v>30</v>
      </c>
      <c r="AJ52" s="2"/>
      <c r="AP52" t="s">
        <v>467</v>
      </c>
      <c r="AQ52" t="s">
        <v>68</v>
      </c>
      <c r="AW52" s="24" t="s">
        <v>26</v>
      </c>
    </row>
    <row r="53" spans="2:49" ht="19.5" customHeight="1" x14ac:dyDescent="0.25">
      <c r="B53" s="24">
        <v>50</v>
      </c>
      <c r="C53" s="26" t="s">
        <v>393</v>
      </c>
      <c r="D53" t="s">
        <v>394</v>
      </c>
      <c r="E53" s="36" t="s">
        <v>395</v>
      </c>
      <c r="F53" s="24">
        <v>5046</v>
      </c>
      <c r="G53" s="15" t="s">
        <v>449</v>
      </c>
      <c r="H53" s="27" t="s">
        <v>25</v>
      </c>
      <c r="J53" t="s">
        <v>42</v>
      </c>
      <c r="K53" t="s">
        <v>43</v>
      </c>
      <c r="L53" t="s">
        <v>350</v>
      </c>
      <c r="M53" t="s">
        <v>50</v>
      </c>
      <c r="N53" t="s">
        <v>356</v>
      </c>
      <c r="O53" t="s">
        <v>51</v>
      </c>
      <c r="P53" t="s">
        <v>362</v>
      </c>
      <c r="Q53" t="s">
        <v>52</v>
      </c>
      <c r="R53" t="s">
        <v>368</v>
      </c>
      <c r="S53" t="s">
        <v>53</v>
      </c>
      <c r="T53" t="s">
        <v>374</v>
      </c>
      <c r="U53" t="s">
        <v>396</v>
      </c>
      <c r="V53" t="s">
        <v>385</v>
      </c>
      <c r="W53">
        <v>51</v>
      </c>
      <c r="X53" t="s">
        <v>391</v>
      </c>
      <c r="Y53">
        <v>51</v>
      </c>
      <c r="Z53" t="s">
        <v>397</v>
      </c>
      <c r="AA53">
        <v>51</v>
      </c>
      <c r="AB53" t="s">
        <v>398</v>
      </c>
      <c r="AC53" s="2" t="str">
        <f>Settings!$B$5 &amp;  "?s=" &amp; D53 &amp; "&amp;platform=ftx"</f>
        <v>https://tokensol.nfluent.io?s=symbol50&amp;platform=ftx</v>
      </c>
      <c r="AD53" s="24" t="s">
        <v>25</v>
      </c>
      <c r="AE53" s="24">
        <v>10</v>
      </c>
      <c r="AF53" s="24" t="s">
        <v>26</v>
      </c>
      <c r="AG53" s="24">
        <v>60</v>
      </c>
      <c r="AH53" s="24" t="s">
        <v>27</v>
      </c>
      <c r="AI53" s="24">
        <v>30</v>
      </c>
      <c r="AJ53" s="2"/>
      <c r="AP53" t="s">
        <v>467</v>
      </c>
      <c r="AQ53" t="s">
        <v>68</v>
      </c>
      <c r="AW53" s="24" t="s">
        <v>26</v>
      </c>
    </row>
  </sheetData>
  <mergeCells count="6">
    <mergeCell ref="C1:I1"/>
    <mergeCell ref="AS1:AV1"/>
    <mergeCell ref="AD1:AI1"/>
    <mergeCell ref="AJ1:AO1"/>
    <mergeCell ref="AP1:AQ1"/>
    <mergeCell ref="J1:U1"/>
  </mergeCells>
  <phoneticPr fontId="1" type="noConversion"/>
  <hyperlinks>
    <hyperlink ref="A17" r:id="rId1" xr:uid="{5F15B98F-46C7-4D67-A198-9D39BDAA58EA}"/>
    <hyperlink ref="AC4:AC21" r:id="rId2" display="https://tokensol.nfluent.io/validate?" xr:uid="{A0C02C0F-FA0C-4976-9993-D2DB5A70D0B9}"/>
    <hyperlink ref="AC5:AC53" r:id="rId3" display="https://tokensol.nfluent.io/validate?" xr:uid="{9A0D3FEA-B8CD-4421-9B11-F5FC82D3C4AA}"/>
  </hyperlinks>
  <pageMargins left="0.7" right="0.7" top="0.75" bottom="0.75" header="0.3" footer="0.3"/>
  <pageSetup paperSize="9" orientation="portrait" r:id="rId4"/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000"/>
  <sheetViews>
    <sheetView showGridLines="0" tabSelected="1" zoomScale="115" zoomScaleNormal="115" workbookViewId="0">
      <selection activeCell="P4" sqref="P4"/>
    </sheetView>
  </sheetViews>
  <sheetFormatPr baseColWidth="10" defaultRowHeight="14.25" customHeight="1" x14ac:dyDescent="0.25"/>
  <cols>
    <col min="1" max="1" width="18.7109375" customWidth="1"/>
    <col min="2" max="2" width="29.140625" customWidth="1"/>
    <col min="3" max="3" width="3.140625" customWidth="1"/>
    <col min="4" max="4" width="3.85546875" customWidth="1"/>
    <col min="5" max="5" width="22.7109375" style="17" customWidth="1"/>
    <col min="6" max="6" width="24.28515625" style="14" customWidth="1"/>
    <col min="7" max="7" width="12" style="14" customWidth="1"/>
    <col min="8" max="8" width="15.140625" style="14" customWidth="1"/>
    <col min="9" max="9" width="26.42578125" style="11" customWidth="1"/>
    <col min="10" max="10" width="17" style="11" customWidth="1"/>
    <col min="11" max="11" width="13.140625" style="12" customWidth="1"/>
    <col min="12" max="12" width="9.7109375" style="14" customWidth="1"/>
    <col min="13" max="13" width="11.5703125" style="14" hidden="1" customWidth="1"/>
    <col min="14" max="15" width="9.7109375" style="14" hidden="1" customWidth="1"/>
    <col min="16" max="16" width="9.7109375" style="14" customWidth="1"/>
    <col min="17" max="17" width="11.42578125" style="12" customWidth="1"/>
    <col min="18" max="18" width="16.7109375" style="12" customWidth="1"/>
    <col min="19" max="19" width="15.5703125" style="12" customWidth="1"/>
    <col min="20" max="20" width="18.5703125" customWidth="1"/>
    <col min="21" max="21" width="100.28515625" customWidth="1"/>
    <col min="22" max="22" width="20.28515625" customWidth="1"/>
    <col min="23" max="23" width="49" customWidth="1"/>
    <col min="24" max="24" width="71.42578125" customWidth="1"/>
    <col min="25" max="25" width="14.7109375" customWidth="1"/>
    <col min="26" max="26" width="11.28515625" customWidth="1"/>
    <col min="29" max="29" width="27.42578125" customWidth="1"/>
  </cols>
  <sheetData>
    <row r="1" spans="1:31" ht="57" customHeight="1" x14ac:dyDescent="0.25">
      <c r="K1" s="2" t="s">
        <v>66</v>
      </c>
      <c r="L1" s="16">
        <v>80</v>
      </c>
      <c r="M1" s="16"/>
      <c r="N1" s="16"/>
      <c r="O1" s="16"/>
      <c r="P1" s="16"/>
    </row>
    <row r="2" spans="1:31" ht="15.75" customHeight="1" x14ac:dyDescent="0.25">
      <c r="K2" s="12" t="s">
        <v>67</v>
      </c>
      <c r="L2" s="16">
        <f>SUM(L4:L99)</f>
        <v>0</v>
      </c>
      <c r="M2" s="16"/>
      <c r="N2" s="16"/>
      <c r="O2" s="16"/>
      <c r="P2" s="16"/>
    </row>
    <row r="3" spans="1:31" ht="14.25" customHeight="1" x14ac:dyDescent="0.25">
      <c r="E3" s="18" t="s">
        <v>20</v>
      </c>
      <c r="F3" s="13" t="s">
        <v>21</v>
      </c>
      <c r="G3" s="13" t="s">
        <v>64</v>
      </c>
      <c r="H3" s="13" t="s">
        <v>65</v>
      </c>
      <c r="I3" s="20" t="s">
        <v>465</v>
      </c>
      <c r="J3" s="20" t="s">
        <v>75</v>
      </c>
      <c r="K3" s="13" t="s">
        <v>466</v>
      </c>
      <c r="L3" s="13" t="s">
        <v>60</v>
      </c>
      <c r="M3" s="13"/>
      <c r="N3" s="13"/>
      <c r="O3" s="13"/>
      <c r="P3" s="13" t="s">
        <v>76</v>
      </c>
      <c r="Q3" s="13" t="s">
        <v>463</v>
      </c>
      <c r="S3"/>
      <c r="T3" s="22" t="s">
        <v>471</v>
      </c>
      <c r="U3" s="22" t="s">
        <v>19</v>
      </c>
      <c r="V3" s="22" t="s">
        <v>11</v>
      </c>
      <c r="W3" s="22" t="s">
        <v>12</v>
      </c>
      <c r="X3" s="22" t="s">
        <v>13</v>
      </c>
      <c r="Y3" s="22" t="s">
        <v>17</v>
      </c>
      <c r="Z3" s="22"/>
      <c r="AA3" s="22"/>
      <c r="AB3" s="22"/>
      <c r="AC3" s="22" t="s">
        <v>18</v>
      </c>
    </row>
    <row r="4" spans="1:31" s="1" customFormat="1" ht="16.5" customHeight="1" x14ac:dyDescent="0.25">
      <c r="E4" s="19" t="str">
        <f>IF(Tokens!C4="","",Tokens!C4)</f>
        <v>MyRealTest1</v>
      </c>
      <c r="F4"/>
      <c r="G4"/>
      <c r="H4"/>
      <c r="I4"/>
      <c r="J4"/>
      <c r="K4"/>
      <c r="L4" s="16"/>
      <c r="M4" s="16"/>
      <c r="N4" s="16"/>
      <c r="O4" s="16"/>
      <c r="P4" s="21" t="str">
        <f>IF(F4&lt;&gt;"",HYPERLINK(Settings!$B$5 &amp; "/manage/?network=" &amp; B$8 &amp; "&amp;search=token&amp;account=" &amp; ToMint!$B$5 &amp; "&amp;view=" &amp; ToMint!J4,"TokenSol"),"")</f>
        <v/>
      </c>
      <c r="Q4" s="2"/>
      <c r="R4" s="2"/>
      <c r="S4" s="11"/>
      <c r="T4" s="1" t="str">
        <f>"owner=" &amp; Tokens!AW4</f>
        <v>owner=sophie</v>
      </c>
      <c r="U4" s="1" t="str">
        <f>"{" &amp; V4 &amp; "," &amp; W4 &amp; "," &amp; """properties"":{" &amp; X4 &amp; "," &amp; Y4 &amp; "}," &amp; AC4 &amp; "}"</f>
        <v>{"name":"MyRealTest1",_x000D_
"symbol":"symbol1",_x000D_
"description":"description1",_x000D_
"seller_fee_basis_points":5000,_x000D_
"image":"https://ipfs.io/ipfs/QmbLP4fECy1THhs73LAb1ksU2JZA3DRi3rE4wz3cBmLt6R?visual0.png",_x000D_
"Issuer":"paul",_x000D_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numérotée"},{"trait_type":"nombre de Pass2022",_x000D_
"value":2},{"trait_type":"nombre de Pass2023",_x000D_
"value":2},{"trait_type":"nombre de Pass2024",_x000D_
"value":2},{"trait_type":"Validation",_x000D_
"value":"https://tokensol.nfluent.io?s=symbol1&amp;platform=ftx"}],"properties":{"creators":[{"address":"paul",_x000D_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" s="1" t="str">
        <f>formatRow(Tokens!C$2:I$2,Tokens!C4:I4)</f>
        <v>"name":"MyRealTest1",_x000D_
"symbol":"symbol1",_x000D_
"description":"description1",_x000D_
"seller_fee_basis_points":5000,_x000D_
"image":"https://ipfs.io/ipfs/QmbLP4fECy1THhs73LAb1ksU2JZA3DRi3rE4wz3cBmLt6R?visual0.png",_x000D_
"Issuer":"paul",_x000D_
"external_url":""</v>
      </c>
      <c r="W4" s="1" t="str">
        <f>formatRow(Tokens!J$2:AC$2,Tokens!J4:AC4,2,"attributes")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numérotée"},{"trait_type":"nombre de Pass2022",_x000D_
"value":2},{"trait_type":"nombre de Pass2023",_x000D_
"value":2},{"trait_type":"nombre de Pass2024",_x000D_
"value":2},{"trait_type":"Validation",_x000D_
"value":"https://tokensol.nfluent.io?s=symbol1&amp;platform=ftx"}]</v>
      </c>
      <c r="X4" s="1" t="str">
        <f>formatRow(Tokens!AD$2:AI$2,Tokens!AD4:AI4,2,"creators")</f>
        <v>"creators":[{"address":"paul",_x000D_
"share":10},{"address":"sophie",_x000D_
"share":60},{"address":"roger",_x000D_
"share":30}]</v>
      </c>
      <c r="Y4" s="1" t="str">
        <f>formatRow(Tokens!AJ$2:AO$2,Tokens!AJ4:AO4,2,"files")</f>
        <v>"files":[]</v>
      </c>
      <c r="AC4" s="1" t="str">
        <f>formatRow(Tokens!AP$2:AQ$2,Tokens!AP4:AQ4,0,"collection")</f>
        <v>"collection":{"name":"MyTestCollection",_x000D_
"family":"NFluentCollection"}</v>
      </c>
    </row>
    <row r="5" spans="1:31" ht="15" customHeight="1" x14ac:dyDescent="0.25">
      <c r="A5" s="3" t="s">
        <v>31</v>
      </c>
      <c r="B5" t="s">
        <v>33</v>
      </c>
      <c r="E5" s="19" t="str">
        <f>IF(Tokens!C5="","",Tokens!C5)</f>
        <v>MyRealTest2</v>
      </c>
      <c r="F5"/>
      <c r="G5"/>
      <c r="H5"/>
      <c r="I5"/>
      <c r="J5"/>
      <c r="K5"/>
      <c r="L5" s="16"/>
      <c r="M5" s="16"/>
      <c r="N5" s="16"/>
      <c r="O5" s="16"/>
      <c r="P5" s="21" t="str">
        <f>IF(F5&lt;&gt;"",HYPERLINK(Settings!$B$5 &amp; "/manage/?network=" &amp; B$8 &amp; "&amp;search=token&amp;account=" &amp; ToMint!$B$5 &amp; "&amp;view=" &amp; ToMint!J5,"TokenSol"),"")</f>
        <v/>
      </c>
      <c r="T5" s="1" t="str">
        <f>"owner=" &amp; Tokens!AW5</f>
        <v>owner=sophie</v>
      </c>
      <c r="U5" s="1" t="str">
        <f t="shared" ref="U5:U68" si="0">"{" &amp; V5 &amp; "," &amp; W5 &amp; "," &amp; """properties"":{" &amp; X5 &amp; "," &amp; Y5 &amp; "}," &amp; AC5 &amp; "}"</f>
        <v>{"name":"MyRealTest2",_x000D_
"symbol":"symbol2",_x000D_
"description":"description2",_x000D_
"seller_fee_basis_points":5000,_x000D_
"image":"https://ipfs.io/ipfs/QmW4FCg3JTvqNjvEVMgEmz2uNpkWskNYPfe9kdcEhp7Ffj?visual1.png",_x000D_
"Issuer":"paul",_x000D_
"external_url":"","attributes":[{"trait_type":"Pass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numérotée"},{"trait_type":"nombre de Pass2023",_x000D_
"value":3},{"trait_type":"nombre de Pass2024",_x000D_
"value":3},{"trait_type":"nombre de Pass2025",_x000D_
"value":3},{"trait_type":"avantage10",_x000D_
"value":"https://tokensol.nfluent.io?s=symbol2&amp;platform=ftx"}],"properties":{"creators":[{"address":"paul",_x000D_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5" s="1" t="str">
        <f>formatRow(Tokens!C$2:I$2,Tokens!C5:I5)</f>
        <v>"name":"MyRealTest2",_x000D_
"symbol":"symbol2",_x000D_
"description":"description2",_x000D_
"seller_fee_basis_points":5000,_x000D_
"image":"https://ipfs.io/ipfs/QmW4FCg3JTvqNjvEVMgEmz2uNpkWskNYPfe9kdcEhp7Ffj?visual1.png",_x000D_
"Issuer":"paul",_x000D_
"external_url":""</v>
      </c>
      <c r="W5" s="1" t="str">
        <f>formatRow(Tokens!J$2:AC$2,Tokens!J5:AC5,2,"attributes")</f>
        <v>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numérotée"},{"trait_type":"nombre de Pass2023",_x000D_
"value":3},{"trait_type":"nombre de Pass2024",_x000D_
"value":3},{"trait_type":"nombre de Pass2025",_x000D_
"value":3},{"trait_type":"avantage10",_x000D_
"value":"https://tokensol.nfluent.io?s=symbol2&amp;platform=ftx"}]</v>
      </c>
      <c r="X5" s="1" t="str">
        <f>formatRow(Tokens!AD$2:AI$2,Tokens!AD5:AI5,2,"creators")</f>
        <v>"creators":[{"address":"paul",_x000D_
"share":10},{"address":"sophie",_x000D_
"share":60},{"address":"roger",_x000D_
"share":30}]</v>
      </c>
      <c r="Y5" s="1" t="str">
        <f>formatRow(Tokens!AJ$2:AO$2,Tokens!AJ5:AO5,2,"files")</f>
        <v>"files":[]</v>
      </c>
      <c r="Z5" s="1"/>
      <c r="AA5" s="1"/>
      <c r="AB5" s="1"/>
      <c r="AC5" s="1" t="str">
        <f>formatRow(Tokens!AP$2:AQ$2,Tokens!AP5:AQ5,0,"collection")</f>
        <v>"collection":{"name":"MyTestCollection",_x000D_
"family":"NFluentCollection"}</v>
      </c>
      <c r="AD5" s="1"/>
      <c r="AE5" s="1"/>
    </row>
    <row r="6" spans="1:31" ht="15" customHeight="1" x14ac:dyDescent="0.25">
      <c r="A6" s="3" t="s">
        <v>450</v>
      </c>
      <c r="B6" t="s">
        <v>102</v>
      </c>
      <c r="E6" s="19" t="str">
        <f>IF(Tokens!C6="","",Tokens!C6)</f>
        <v>MyRealTest3</v>
      </c>
      <c r="F6"/>
      <c r="G6"/>
      <c r="H6"/>
      <c r="I6"/>
      <c r="J6"/>
      <c r="K6"/>
      <c r="L6" s="16"/>
      <c r="M6" s="16"/>
      <c r="N6" s="16"/>
      <c r="O6" s="16"/>
      <c r="P6" s="21" t="str">
        <f>IF(F6&lt;&gt;"",HYPERLINK(Settings!$B$5 &amp; "/manage/?network=" &amp; B$8 &amp; "&amp;search=token&amp;account=" &amp; ToMint!$B$5 &amp; "&amp;view=" &amp; ToMint!J6,"TokenSol"),"")</f>
        <v/>
      </c>
      <c r="T6" s="1" t="str">
        <f>"owner=" &amp; Tokens!AW6</f>
        <v>owner=sophie</v>
      </c>
      <c r="U6" s="1" t="str">
        <f t="shared" si="0"/>
        <v>{"name":"MyRealTest3",_x000D_
"symbol":"symbol3",_x000D_
"description":"description3",_x000D_
"seller_fee_basis_points":5000,_x000D_
"image":"https://ipfs.io/ipfs/QmXi2hxYGLA5ie2CpcCdfBZTJCZjg98DrWMpBDpqJ7PEaz?visual2.png",_x000D_
"Issuer":"paul",_x000D_
"external_url":"","attributes":[{"trait_type":"Pass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numérotée"},{"trait_type":"nombre de Pass2024",_x000D_
"value":4},{"trait_type":"nombre de Pass2025",_x000D_
"value":4},{"trait_type":"nombre de Pass2026",_x000D_
"value":4},{"trait_type":"avantage11",_x000D_
"value":"https://tokensol.nfluent.io?s=symbol3&amp;platform=ftx"}],"properties":{"creators":[{"address":"paul",_x000D_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6" s="1" t="str">
        <f>formatRow(Tokens!C$2:I$2,Tokens!C6:I6)</f>
        <v>"name":"MyRealTest3",_x000D_
"symbol":"symbol3",_x000D_
"description":"description3",_x000D_
"seller_fee_basis_points":5000,_x000D_
"image":"https://ipfs.io/ipfs/QmXi2hxYGLA5ie2CpcCdfBZTJCZjg98DrWMpBDpqJ7PEaz?visual2.png",_x000D_
"Issuer":"paul",_x000D_
"external_url":""</v>
      </c>
      <c r="W6" s="1" t="str">
        <f>formatRow(Tokens!J$2:AC$2,Tokens!J6:AC6,2,"attributes")</f>
        <v>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numérotée"},{"trait_type":"nombre de Pass2024",_x000D_
"value":4},{"trait_type":"nombre de Pass2025",_x000D_
"value":4},{"trait_type":"nombre de Pass2026",_x000D_
"value":4},{"trait_type":"avantage11",_x000D_
"value":"https://tokensol.nfluent.io?s=symbol3&amp;platform=ftx"}]</v>
      </c>
      <c r="X6" s="1" t="str">
        <f>formatRow(Tokens!AD$2:AI$2,Tokens!AD6:AI6,2,"creators")</f>
        <v>"creators":[{"address":"paul",_x000D_
"share":10},{"address":"sophie",_x000D_
"share":60},{"address":"roger",_x000D_
"share":30}]</v>
      </c>
      <c r="Y6" s="1" t="str">
        <f>formatRow(Tokens!AJ$2:AO$2,Tokens!AJ6:AO6,2,"files")</f>
        <v>"files":[]</v>
      </c>
      <c r="Z6" s="1"/>
      <c r="AA6" s="1"/>
      <c r="AB6" s="1"/>
      <c r="AC6" s="1" t="str">
        <f>formatRow(Tokens!AP$2:AQ$2,Tokens!AP6:AQ6,0,"collection")</f>
        <v>"collection":{"name":"MyTestCollection",_x000D_
"family":"NFluentCollection"}</v>
      </c>
      <c r="AD6" s="1"/>
      <c r="AE6" s="1"/>
    </row>
    <row r="7" spans="1:31" ht="14.25" customHeight="1" x14ac:dyDescent="0.25">
      <c r="A7" s="3" t="s">
        <v>462</v>
      </c>
      <c r="B7" t="s">
        <v>102</v>
      </c>
      <c r="E7" s="19" t="str">
        <f>IF(Tokens!C7="","",Tokens!C7)</f>
        <v>MyRealTest4</v>
      </c>
      <c r="F7"/>
      <c r="G7"/>
      <c r="H7"/>
      <c r="I7"/>
      <c r="J7"/>
      <c r="K7"/>
      <c r="L7" s="16"/>
      <c r="M7" s="16"/>
      <c r="N7" s="16"/>
      <c r="O7" s="16"/>
      <c r="P7" s="21" t="str">
        <f>IF(F7&lt;&gt;"",HYPERLINK(Settings!$B$5 &amp; "/manage/?network=" &amp; B$8 &amp; "&amp;search=token&amp;account=" &amp; ToMint!$B$5 &amp; "&amp;view=" &amp; ToMint!J7,"TokenSol"),"")</f>
        <v/>
      </c>
      <c r="Q7" s="2"/>
      <c r="R7" s="2"/>
      <c r="T7" s="1" t="str">
        <f>"owner=" &amp; Tokens!AW7</f>
        <v>owner=sophie</v>
      </c>
      <c r="U7" s="1" t="str">
        <f t="shared" si="0"/>
        <v>{"name":"MyRealTest4",_x000D_
"symbol":"symbol4",_x000D_
"description":"description4",_x000D_
"seller_fee_basis_points":5000,_x000D_
"image":"https://ipfs.io/ipfs/QmfDh6PUBPumVkUSCgiFqw9fQ5LWDL1dMHY4p2id3ykHKM?visual3.png",_x000D_
"Issuer":"paul",_x000D_
"external_url":"","attributes":[{"trait_type":"Pass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numérotée"},{"trait_type":"nombre de Pass2025",_x000D_
"value":5},{"trait_type":"nombre de Pass2026",_x000D_
"value":5},{"trait_type":"nombre de Pass2027",_x000D_
"value":5},{"trait_type":"avantage12",_x000D_
"value":"https://tokensol.nfluent.io?s=symbol4&amp;platform=ftx"}],"properties":{"creators":[{"address":"paul",_x000D_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7" s="1" t="str">
        <f>formatRow(Tokens!C$2:I$2,Tokens!C7:I7)</f>
        <v>"name":"MyRealTest4",_x000D_
"symbol":"symbol4",_x000D_
"description":"description4",_x000D_
"seller_fee_basis_points":5000,_x000D_
"image":"https://ipfs.io/ipfs/QmfDh6PUBPumVkUSCgiFqw9fQ5LWDL1dMHY4p2id3ykHKM?visual3.png",_x000D_
"Issuer":"paul",_x000D_
"external_url":""</v>
      </c>
      <c r="W7" s="1" t="str">
        <f>formatRow(Tokens!J$2:AC$2,Tokens!J7:AC7,2,"attributes")</f>
        <v>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numérotée"},{"trait_type":"nombre de Pass2025",_x000D_
"value":5},{"trait_type":"nombre de Pass2026",_x000D_
"value":5},{"trait_type":"nombre de Pass2027",_x000D_
"value":5},{"trait_type":"avantage12",_x000D_
"value":"https://tokensol.nfluent.io?s=symbol4&amp;platform=ftx"}]</v>
      </c>
      <c r="X7" s="1" t="str">
        <f>formatRow(Tokens!AD$2:AI$2,Tokens!AD7:AI7,2,"creators")</f>
        <v>"creators":[{"address":"paul",_x000D_
"share":10},{"address":"sophie",_x000D_
"share":60},{"address":"roger",_x000D_
"share":30}]</v>
      </c>
      <c r="Y7" s="1" t="str">
        <f>formatRow(Tokens!AJ$2:AO$2,Tokens!AJ7:AO7,2,"files")</f>
        <v>"files":[]</v>
      </c>
      <c r="Z7" s="1"/>
      <c r="AA7" s="1"/>
      <c r="AB7" s="1"/>
      <c r="AC7" s="1" t="str">
        <f>formatRow(Tokens!AP$2:AQ$2,Tokens!AP7:AQ7,0,"collection")</f>
        <v>"collection":{"name":"MyTestCollection",_x000D_
"family":"NFluentCollection"}</v>
      </c>
      <c r="AD7" s="1"/>
      <c r="AE7" s="1"/>
    </row>
    <row r="8" spans="1:31" ht="14.25" customHeight="1" x14ac:dyDescent="0.25">
      <c r="A8" s="3" t="s">
        <v>23</v>
      </c>
      <c r="B8" t="s">
        <v>24</v>
      </c>
      <c r="E8" s="19" t="str">
        <f>IF(Tokens!C8="","",Tokens!C8)</f>
        <v>MyRealTest5</v>
      </c>
      <c r="F8"/>
      <c r="G8"/>
      <c r="H8"/>
      <c r="I8"/>
      <c r="J8"/>
      <c r="K8"/>
      <c r="L8" s="16" t="str">
        <f t="shared" ref="L5:L68" si="1">IF(AND(ISNUMBER(K7),ISNUMBER(K8)),(K8-K7)*$L$1,"_")</f>
        <v>_</v>
      </c>
      <c r="M8" s="16"/>
      <c r="N8" s="16"/>
      <c r="O8" s="16"/>
      <c r="P8" s="21" t="str">
        <f>IF(F8&lt;&gt;"",HYPERLINK(Settings!$B$5 &amp; "/manage/?network=" &amp; B$8 &amp; "&amp;search=token&amp;account=" &amp; ToMint!$B$5 &amp; "&amp;view=" &amp; ToMint!J8,"TokenSol"),"")</f>
        <v/>
      </c>
      <c r="Q8" s="2"/>
      <c r="R8" s="2"/>
      <c r="T8" s="1" t="str">
        <f>"owner=" &amp; Tokens!AW8</f>
        <v>owner=sophie</v>
      </c>
      <c r="U8" s="1" t="str">
        <f t="shared" si="0"/>
        <v>{"name":"MyRealTest5",_x000D_
"symbol":"symbol5",_x000D_
"description":"description5",_x000D_
"seller_fee_basis_points":5001,_x000D_
"image":"https://ipfs.io/ipfs/QmWZD7eAcgyEftHMX9znzzpd4tKTFrnMcMKjdiRbNhBNmM?visual4.png",_x000D_
"Issuer":"paul",_x000D_
"external_url":"","attributes":[{"trait_type":"Pass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numérotée"},{"trait_type":"nombre de Pass2026",_x000D_
"value":6},{"trait_type":"nombre de Pass2027",_x000D_
"value":6},{"trait_type":"nombre de Pass2028",_x000D_
"value":6},{"trait_type":"avantage13",_x000D_
"value":"https://tokensol.nfluent.io?s=symbol5&amp;platform=ftx"}],"properties":{"creators":[{"address":"paul",_x000D_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8" s="1" t="str">
        <f>formatRow(Tokens!C$2:I$2,Tokens!C8:I8)</f>
        <v>"name":"MyRealTest5",_x000D_
"symbol":"symbol5",_x000D_
"description":"description5",_x000D_
"seller_fee_basis_points":5001,_x000D_
"image":"https://ipfs.io/ipfs/QmWZD7eAcgyEftHMX9znzzpd4tKTFrnMcMKjdiRbNhBNmM?visual4.png",_x000D_
"Issuer":"paul",_x000D_
"external_url":""</v>
      </c>
      <c r="W8" s="1" t="str">
        <f>formatRow(Tokens!J$2:AC$2,Tokens!J8:AC8,2,"attributes")</f>
        <v>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numérotée"},{"trait_type":"nombre de Pass2026",_x000D_
"value":6},{"trait_type":"nombre de Pass2027",_x000D_
"value":6},{"trait_type":"nombre de Pass2028",_x000D_
"value":6},{"trait_type":"avantage13",_x000D_
"value":"https://tokensol.nfluent.io?s=symbol5&amp;platform=ftx"}]</v>
      </c>
      <c r="X8" s="1" t="str">
        <f>formatRow(Tokens!AD$2:AI$2,Tokens!AD8:AI8,2,"creators")</f>
        <v>"creators":[{"address":"paul",_x000D_
"share":10},{"address":"sophie",_x000D_
"share":60},{"address":"roger",_x000D_
"share":30}]</v>
      </c>
      <c r="Y8" s="1" t="str">
        <f>formatRow(Tokens!AJ$2:AO$2,Tokens!AJ8:AO8,2,"files")</f>
        <v>"files":[]</v>
      </c>
      <c r="Z8" s="1"/>
      <c r="AA8" s="1"/>
      <c r="AB8" s="1"/>
      <c r="AC8" s="1" t="str">
        <f>formatRow(Tokens!AP$2:AQ$2,Tokens!AP8:AQ8,0,"collection")</f>
        <v>"collection":{"name":"MyTestCollection",_x000D_
"family":"NFluentCollection"}</v>
      </c>
      <c r="AD8" s="1"/>
      <c r="AE8" s="1"/>
    </row>
    <row r="9" spans="1:31" ht="14.25" customHeight="1" x14ac:dyDescent="0.25">
      <c r="E9" s="19" t="str">
        <f>IF(Tokens!C9="","",Tokens!C9)</f>
        <v>MyRealTest6</v>
      </c>
      <c r="F9"/>
      <c r="G9"/>
      <c r="H9"/>
      <c r="I9"/>
      <c r="J9"/>
      <c r="K9"/>
      <c r="L9" s="16" t="str">
        <f t="shared" si="1"/>
        <v>_</v>
      </c>
      <c r="M9" s="16"/>
      <c r="N9" s="16"/>
      <c r="O9" s="16"/>
      <c r="P9" s="21" t="str">
        <f>IF(F9&lt;&gt;"",HYPERLINK(Settings!$B$5 &amp; "/manage/?network=" &amp; B$8 &amp; "&amp;search=token&amp;account=" &amp; ToMint!$B$5 &amp; "&amp;view=" &amp; ToMint!J9,"TokenSol"),"")</f>
        <v/>
      </c>
      <c r="T9" s="1" t="str">
        <f>"owner=" &amp; Tokens!AW9</f>
        <v>owner=sophie</v>
      </c>
      <c r="U9" s="1" t="str">
        <f t="shared" si="0"/>
        <v>{"name":"MyRealTest6",_x000D_
"symbol":"symbol6",_x000D_
"description":"description6",_x000D_
"seller_fee_basis_points":5002,_x000D_
"image":"https://ipfs.io/ipfs/QmPky7SPfNvTGYxd2LNMTGXPY7CJkwdwtuxbLuV2Bqkwo4?visual5.png",_x000D_
"Issuer":"paul",_x000D_
"external_url":"","attributes":[{"trait_type":"Pass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numérotée"},{"trait_type":"nombre de Pass2027",_x000D_
"value":7},{"trait_type":"nombre de Pass2028",_x000D_
"value":7},{"trait_type":"nombre de Pass2029",_x000D_
"value":7},{"trait_type":"avantage14",_x000D_
"value":"https://tokensol.nfluent.io?s=symbol6&amp;platform=ftx"}],"properties":{"creators":[{"address":"paul",_x000D_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9" s="1" t="str">
        <f>formatRow(Tokens!C$2:I$2,Tokens!C9:I9)</f>
        <v>"name":"MyRealTest6",_x000D_
"symbol":"symbol6",_x000D_
"description":"description6",_x000D_
"seller_fee_basis_points":5002,_x000D_
"image":"https://ipfs.io/ipfs/QmPky7SPfNvTGYxd2LNMTGXPY7CJkwdwtuxbLuV2Bqkwo4?visual5.png",_x000D_
"Issuer":"paul",_x000D_
"external_url":""</v>
      </c>
      <c r="W9" s="1" t="str">
        <f>formatRow(Tokens!J$2:AC$2,Tokens!J9:AC9,2,"attributes")</f>
        <v>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numérotée"},{"trait_type":"nombre de Pass2027",_x000D_
"value":7},{"trait_type":"nombre de Pass2028",_x000D_
"value":7},{"trait_type":"nombre de Pass2029",_x000D_
"value":7},{"trait_type":"avantage14",_x000D_
"value":"https://tokensol.nfluent.io?s=symbol6&amp;platform=ftx"}]</v>
      </c>
      <c r="X9" s="1" t="str">
        <f>formatRow(Tokens!AD$2:AI$2,Tokens!AD9:AI9,2,"creators")</f>
        <v>"creators":[{"address":"paul",_x000D_
"share":10},{"address":"sophie",_x000D_
"share":60},{"address":"roger",_x000D_
"share":30}]</v>
      </c>
      <c r="Y9" s="1" t="str">
        <f>formatRow(Tokens!AJ$2:AO$2,Tokens!AJ9:AO9,2,"files")</f>
        <v>"files":[]</v>
      </c>
      <c r="Z9" s="1"/>
      <c r="AA9" s="1"/>
      <c r="AB9" s="1"/>
      <c r="AC9" s="1" t="str">
        <f>formatRow(Tokens!AP$2:AQ$2,Tokens!AP9:AQ9,0,"collection")</f>
        <v>"collection":{"name":"MyTestCollection",_x000D_
"family":"NFluentCollection"}</v>
      </c>
      <c r="AD9" s="1"/>
      <c r="AE9" s="1"/>
    </row>
    <row r="10" spans="1:31" ht="14.25" customHeight="1" x14ac:dyDescent="0.25">
      <c r="A10" s="3" t="s">
        <v>74</v>
      </c>
      <c r="B10" s="12" t="s">
        <v>399</v>
      </c>
      <c r="E10" s="19" t="str">
        <f>IF(Tokens!C10="","",Tokens!C10)</f>
        <v>MyRealTest7</v>
      </c>
      <c r="F10"/>
      <c r="G10"/>
      <c r="H10"/>
      <c r="I10"/>
      <c r="J10"/>
      <c r="K10"/>
      <c r="L10" s="16" t="str">
        <f t="shared" si="1"/>
        <v>_</v>
      </c>
      <c r="M10" s="16"/>
      <c r="N10" s="16"/>
      <c r="O10" s="16"/>
      <c r="P10" s="21" t="str">
        <f>IF(F10&lt;&gt;"",HYPERLINK(Settings!$B$5 &amp; "/manage/?network=" &amp; B$8 &amp; "&amp;search=token&amp;account=" &amp; ToMint!$B$5 &amp; "&amp;view=" &amp; ToMint!J10,"TokenSol"),"")</f>
        <v/>
      </c>
      <c r="Q10" s="2"/>
      <c r="R10" s="2"/>
      <c r="T10" s="1" t="str">
        <f>"owner=" &amp; Tokens!AW10</f>
        <v>owner=sophie</v>
      </c>
      <c r="U10" s="1" t="str">
        <f t="shared" si="0"/>
        <v>{"name":"MyRealTest7",_x000D_
"symbol":"symbol7",_x000D_
"description":"description7",_x000D_
"seller_fee_basis_points":5003,_x000D_
"image":"https://ipfs.io/ipfs/QmZwkeQgiGg4RayRK2HWoTW15SMXCFC5CEyzFUqLVfdiwF?visual6.png",_x000D_
"Issuer":"paul",_x000D_
"external_url":"","attributes":[{"trait_type":"Pass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numérotée"},{"trait_type":"nombre de Pass2028",_x000D_
"value":8},{"trait_type":"nombre de Pass2029",_x000D_
"value":8},{"trait_type":"nombre de Pass2030",_x000D_
"value":8},{"trait_type":"avantage15",_x000D_
"value":"https://tokensol.nfluent.io?s=symbol7&amp;platform=ftx"}],"properties":{"creators":[{"address":"paul",_x000D_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0" s="1" t="str">
        <f>formatRow(Tokens!C$2:I$2,Tokens!C10:I10)</f>
        <v>"name":"MyRealTest7",_x000D_
"symbol":"symbol7",_x000D_
"description":"description7",_x000D_
"seller_fee_basis_points":5003,_x000D_
"image":"https://ipfs.io/ipfs/QmZwkeQgiGg4RayRK2HWoTW15SMXCFC5CEyzFUqLVfdiwF?visual6.png",_x000D_
"Issuer":"paul",_x000D_
"external_url":""</v>
      </c>
      <c r="W10" s="1" t="str">
        <f>formatRow(Tokens!J$2:AC$2,Tokens!J10:AC10,2,"attributes")</f>
        <v>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numérotée"},{"trait_type":"nombre de Pass2028",_x000D_
"value":8},{"trait_type":"nombre de Pass2029",_x000D_
"value":8},{"trait_type":"nombre de Pass2030",_x000D_
"value":8},{"trait_type":"avantage15",_x000D_
"value":"https://tokensol.nfluent.io?s=symbol7&amp;platform=ftx"}]</v>
      </c>
      <c r="X10" s="1" t="str">
        <f>formatRow(Tokens!AD$2:AI$2,Tokens!AD10:AI10,2,"creators")</f>
        <v>"creators":[{"address":"paul",_x000D_
"share":10},{"address":"sophie",_x000D_
"share":60},{"address":"roger",_x000D_
"share":30}]</v>
      </c>
      <c r="Y10" s="1" t="str">
        <f>formatRow(Tokens!AJ$2:AO$2,Tokens!AJ10:AO10,2,"files")</f>
        <v>"files":[]</v>
      </c>
      <c r="Z10" s="1"/>
      <c r="AA10" s="1"/>
      <c r="AB10" s="1"/>
      <c r="AC10" s="1" t="str">
        <f>formatRow(Tokens!AP$2:AQ$2,Tokens!AP10:AQ10,0,"collection")</f>
        <v>"collection":{"name":"MyTestCollection",_x000D_
"family":"NFluentCollection"}</v>
      </c>
      <c r="AD10" s="1"/>
      <c r="AE10" s="1"/>
    </row>
    <row r="11" spans="1:31" ht="14.25" customHeight="1" x14ac:dyDescent="0.25">
      <c r="E11" s="19" t="str">
        <f>IF(Tokens!C11="","",Tokens!C11)</f>
        <v>MyRealTest8</v>
      </c>
      <c r="F11"/>
      <c r="G11"/>
      <c r="H11"/>
      <c r="I11"/>
      <c r="J11"/>
      <c r="K11"/>
      <c r="L11" s="16" t="str">
        <f t="shared" si="1"/>
        <v>_</v>
      </c>
      <c r="M11" s="16"/>
      <c r="N11" s="16"/>
      <c r="O11" s="16"/>
      <c r="P11" s="21" t="str">
        <f>IF(F11&lt;&gt;"",HYPERLINK(Settings!$B$5 &amp; "/manage/?network=" &amp; B$8 &amp; "&amp;search=token&amp;account=" &amp; ToMint!$B$5 &amp; "&amp;view=" &amp; ToMint!J11,"TokenSol"),"")</f>
        <v/>
      </c>
      <c r="T11" s="1" t="str">
        <f>"owner=" &amp; Tokens!AW11</f>
        <v>owner=sophie</v>
      </c>
      <c r="U11" s="1" t="str">
        <f t="shared" si="0"/>
        <v>{"name":"MyRealTest8",_x000D_
"symbol":"symbol8",_x000D_
"description":"description8",_x000D_
"seller_fee_basis_points":5004,_x000D_
"image":"https://ipfs.io/ipfs/QmXBEdKu2zdu6PwXs5oaKK1oyFNtE1UTgsaLnuLpB7ZTw9?visual7.png",_x000D_
"Issuer":"paul",_x000D_
"external_url":"","attributes":[{"trait_type":"Pass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numérotée"},{"trait_type":"nombre de Pass2029",_x000D_
"value":9},{"trait_type":"nombre de Pass2030",_x000D_
"value":9},{"trait_type":"nombre de Pass2031",_x000D_
"value":9},{"trait_type":"avantage16",_x000D_
"value":"https://tokensol.nfluent.io?s=symbol8&amp;platform=ftx"}],"properties":{"creators":[{"address":"paul",_x000D_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1" s="1" t="str">
        <f>formatRow(Tokens!C$2:I$2,Tokens!C11:I11)</f>
        <v>"name":"MyRealTest8",_x000D_
"symbol":"symbol8",_x000D_
"description":"description8",_x000D_
"seller_fee_basis_points":5004,_x000D_
"image":"https://ipfs.io/ipfs/QmXBEdKu2zdu6PwXs5oaKK1oyFNtE1UTgsaLnuLpB7ZTw9?visual7.png",_x000D_
"Issuer":"paul",_x000D_
"external_url":""</v>
      </c>
      <c r="W11" s="1" t="str">
        <f>formatRow(Tokens!J$2:AC$2,Tokens!J11:AC11,2,"attributes")</f>
        <v>"attributes":[{"trait_type":"Pass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numérotée"},{"trait_type":"nombre de Pass2029",_x000D_
"value":9},{"trait_type":"nombre de Pass2030",_x000D_
"value":9},{"trait_type":"nombre de Pass2031",_x000D_
"value":9},{"trait_type":"avantage16",_x000D_
"value":"https://tokensol.nfluent.io?s=symbol8&amp;platform=ftx"}]</v>
      </c>
      <c r="X11" s="1" t="str">
        <f>formatRow(Tokens!AD$2:AI$2,Tokens!AD11:AI11,2,"creators")</f>
        <v>"creators":[{"address":"paul",_x000D_
"share":10},{"address":"sophie",_x000D_
"share":60},{"address":"roger",_x000D_
"share":30}]</v>
      </c>
      <c r="Y11" s="1" t="str">
        <f>formatRow(Tokens!AJ$2:AO$2,Tokens!AJ11:AO11,2,"files")</f>
        <v>"files":[]</v>
      </c>
      <c r="Z11" s="1"/>
      <c r="AA11" s="1"/>
      <c r="AB11" s="1"/>
      <c r="AC11" s="1" t="str">
        <f>formatRow(Tokens!AP$2:AQ$2,Tokens!AP11:AQ11,0,"collection")</f>
        <v>"collection":{"name":"MyTestCollection",_x000D_
"family":"NFluentCollection"}</v>
      </c>
      <c r="AD11" s="1"/>
      <c r="AE11" s="1"/>
    </row>
    <row r="12" spans="1:31" ht="14.25" customHeight="1" x14ac:dyDescent="0.25">
      <c r="E12" s="19" t="str">
        <f>IF(Tokens!C12="","",Tokens!C12)</f>
        <v>MyRealTest9</v>
      </c>
      <c r="F12"/>
      <c r="G12"/>
      <c r="H12"/>
      <c r="I12"/>
      <c r="J12"/>
      <c r="K12"/>
      <c r="L12" s="16" t="str">
        <f t="shared" si="1"/>
        <v>_</v>
      </c>
      <c r="M12" s="16"/>
      <c r="N12" s="16"/>
      <c r="O12" s="16"/>
      <c r="P12" s="21" t="str">
        <f>IF(F12&lt;&gt;"",HYPERLINK(Settings!$B$5 &amp; "/manage/?network=" &amp; B$8 &amp; "&amp;search=token&amp;account=" &amp; ToMint!$B$5 &amp; "&amp;view=" &amp; ToMint!J12,"TokenSol"),"")</f>
        <v/>
      </c>
      <c r="T12" s="1" t="str">
        <f>"owner=" &amp; Tokens!AW12</f>
        <v>owner=sophie</v>
      </c>
      <c r="U12" s="1" t="str">
        <f t="shared" si="0"/>
        <v>{"name":"MyRealTest9",_x000D_
"symbol":"symbol9",_x000D_
"description":"description9",_x000D_
"seller_fee_basis_points":5005,_x000D_
"image":"https://ipfs.io/ipfs/QmbEgQkbC3PfcarJYehkHpe6R7AtMSdq1KerNe3r7uzin7?visual8.png",_x000D_
"Issuer":"paul",_x000D_
"external_url":"","attributes":[{"trait_type":"Pass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numérotée"},{"trait_type":"nombre de Pass2030",_x000D_
"value":10},{"trait_type":"nombre de Pass2031",_x000D_
"value":10},{"trait_type":"nombre de Pass2032",_x000D_
"value":10},{"trait_type":"avantage17",_x000D_
"value":"https://tokensol.nfluent.io?s=symbol9&amp;platform=ftx"}],"properties":{"creators":[{"address":"paul",_x000D_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2" s="1" t="str">
        <f>formatRow(Tokens!C$2:I$2,Tokens!C12:I12)</f>
        <v>"name":"MyRealTest9",_x000D_
"symbol":"symbol9",_x000D_
"description":"description9",_x000D_
"seller_fee_basis_points":5005,_x000D_
"image":"https://ipfs.io/ipfs/QmbEgQkbC3PfcarJYehkHpe6R7AtMSdq1KerNe3r7uzin7?visual8.png",_x000D_
"Issuer":"paul",_x000D_
"external_url":""</v>
      </c>
      <c r="W12" s="1" t="str">
        <f>formatRow(Tokens!J$2:AC$2,Tokens!J12:AC12,2,"attributes")</f>
        <v>"attributes":[{"trait_type":"Pass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numérotée"},{"trait_type":"nombre de Pass2030",_x000D_
"value":10},{"trait_type":"nombre de Pass2031",_x000D_
"value":10},{"trait_type":"nombre de Pass2032",_x000D_
"value":10},{"trait_type":"avantage17",_x000D_
"value":"https://tokensol.nfluent.io?s=symbol9&amp;platform=ftx"}]</v>
      </c>
      <c r="X12" s="1" t="str">
        <f>formatRow(Tokens!AD$2:AI$2,Tokens!AD12:AI12,2,"creators")</f>
        <v>"creators":[{"address":"paul",_x000D_
"share":10},{"address":"sophie",_x000D_
"share":60},{"address":"roger",_x000D_
"share":30}]</v>
      </c>
      <c r="Y12" s="1" t="str">
        <f>formatRow(Tokens!AJ$2:AO$2,Tokens!AJ12:AO12,2,"files")</f>
        <v>"files":[]</v>
      </c>
      <c r="Z12" s="1"/>
      <c r="AA12" s="1"/>
      <c r="AB12" s="1"/>
      <c r="AC12" s="1" t="str">
        <f>formatRow(Tokens!AP$2:AQ$2,Tokens!AP12:AQ12,0,"collection")</f>
        <v>"collection":{"name":"MyTestCollection",_x000D_
"family":"NFluentCollection"}</v>
      </c>
      <c r="AD12" s="1"/>
      <c r="AE12" s="1"/>
    </row>
    <row r="13" spans="1:31" ht="14.25" customHeight="1" x14ac:dyDescent="0.25">
      <c r="E13" s="19" t="str">
        <f>IF(Tokens!C13="","",Tokens!C13)</f>
        <v>MyRealTest10</v>
      </c>
      <c r="F13"/>
      <c r="G13"/>
      <c r="H13"/>
      <c r="I13"/>
      <c r="J13"/>
      <c r="K13"/>
      <c r="L13" s="16" t="str">
        <f t="shared" si="1"/>
        <v>_</v>
      </c>
      <c r="M13" s="16"/>
      <c r="N13" s="16"/>
      <c r="O13" s="16"/>
      <c r="P13" s="21" t="str">
        <f>IF(F13&lt;&gt;"",HYPERLINK(Settings!$B$5 &amp; "/manage/?network=" &amp; B$8 &amp; "&amp;search=token&amp;account=" &amp; ToMint!$B$5 &amp; "&amp;view=" &amp; ToMint!J13,"TokenSol"),"")</f>
        <v/>
      </c>
      <c r="T13" s="1" t="str">
        <f>"owner=" &amp; Tokens!AW13</f>
        <v>owner=sophie</v>
      </c>
      <c r="U13" s="1" t="str">
        <f t="shared" si="0"/>
        <v>{"name":"MyRealTest10",_x000D_
"symbol":"symbol10",_x000D_
"description":"description10",_x000D_
"seller_fee_basis_points":5006,_x000D_
"image":"https://ipfs.io/ipfs/QmNqu2GLCNN6Kyw1u47RM4RRTNFo7HN2ECHj1Fpz1LwpVE?visual9.png",_x000D_
"Issuer":"paul",_x000D_
"external_url":"","attributes":[{"trait_type":"Pass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numérotée"},{"trait_type":"nombre de Pass2031",_x000D_
"value":11},{"trait_type":"nombre de Pass2032",_x000D_
"value":11},{"trait_type":"nombre de Pass2033",_x000D_
"value":11},{"trait_type":"avantage18",_x000D_
"value":"https://tokensol.nfluent.io?s=symbol10&amp;platform=ftx"}],"properties":{"creators":[{"address":"paul",_x000D_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3" s="1" t="str">
        <f>formatRow(Tokens!C$2:I$2,Tokens!C13:I13)</f>
        <v>"name":"MyRealTest10",_x000D_
"symbol":"symbol10",_x000D_
"description":"description10",_x000D_
"seller_fee_basis_points":5006,_x000D_
"image":"https://ipfs.io/ipfs/QmNqu2GLCNN6Kyw1u47RM4RRTNFo7HN2ECHj1Fpz1LwpVE?visual9.png",_x000D_
"Issuer":"paul",_x000D_
"external_url":""</v>
      </c>
      <c r="W13" s="1" t="str">
        <f>formatRow(Tokens!J$2:AC$2,Tokens!J13:AC13,2,"attributes")</f>
        <v>"attributes":[{"trait_type":"Pass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numérotée"},{"trait_type":"nombre de Pass2031",_x000D_
"value":11},{"trait_type":"nombre de Pass2032",_x000D_
"value":11},{"trait_type":"nombre de Pass2033",_x000D_
"value":11},{"trait_type":"avantage18",_x000D_
"value":"https://tokensol.nfluent.io?s=symbol10&amp;platform=ftx"}]</v>
      </c>
      <c r="X13" s="1" t="str">
        <f>formatRow(Tokens!AD$2:AI$2,Tokens!AD13:AI13,2,"creators")</f>
        <v>"creators":[{"address":"paul",_x000D_
"share":10},{"address":"sophie",_x000D_
"share":60},{"address":"roger",_x000D_
"share":30}]</v>
      </c>
      <c r="Y13" s="1" t="str">
        <f>formatRow(Tokens!AJ$2:AO$2,Tokens!AJ13:AO13,2,"files")</f>
        <v>"files":[]</v>
      </c>
      <c r="Z13" s="1"/>
      <c r="AA13" s="1"/>
      <c r="AB13" s="1"/>
      <c r="AC13" s="1" t="str">
        <f>formatRow(Tokens!AP$2:AQ$2,Tokens!AP13:AQ13,0,"collection")</f>
        <v>"collection":{"name":"MyTestCollection",_x000D_
"family":"NFluentCollection"}</v>
      </c>
      <c r="AD13" s="1"/>
      <c r="AE13" s="1"/>
    </row>
    <row r="14" spans="1:31" ht="14.25" customHeight="1" x14ac:dyDescent="0.25">
      <c r="E14" s="19" t="str">
        <f>IF(Tokens!C14="","",Tokens!C14)</f>
        <v>MyRealTest11</v>
      </c>
      <c r="F14"/>
      <c r="G14"/>
      <c r="H14"/>
      <c r="I14"/>
      <c r="J14"/>
      <c r="K14"/>
      <c r="L14" s="16" t="str">
        <f t="shared" si="1"/>
        <v>_</v>
      </c>
      <c r="M14" s="16"/>
      <c r="N14" s="16"/>
      <c r="O14" s="16"/>
      <c r="P14" s="21" t="str">
        <f>IF(F14&lt;&gt;"",HYPERLINK(Settings!$B$5 &amp; "/manage/?network=" &amp; B$8 &amp; "&amp;search=token&amp;account=" &amp; ToMint!$B$5 &amp; "&amp;view=" &amp; ToMint!J14,"TokenSol"),"")</f>
        <v/>
      </c>
      <c r="T14" s="1" t="str">
        <f>"owner=" &amp; Tokens!AW14</f>
        <v>owner=sophie</v>
      </c>
      <c r="U14" s="1" t="str">
        <f t="shared" si="0"/>
        <v>{"name":"MyRealTest11",_x000D_
"symbol":"symbol11",_x000D_
"description":"description11",_x000D_
"seller_fee_basis_points":5007,_x000D_
"image":"https://ipfs.io/ipfs/QmdAcsvKTy2AbGLceAgygCNWuJikVSvSqQoud82XVWM2MP?visual10.png",_x000D_
"Issuer":"paul",_x000D_
"external_url":"","attributes":[{"trait_type":"Pass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numérotée"},{"trait_type":"nombre de Pass2032",_x000D_
"value":12},{"trait_type":"nombre de Pass2033",_x000D_
"value":12},{"trait_type":"nombre de Pass2034",_x000D_
"value":12},{"trait_type":"avantage19",_x000D_
"value":"https://tokensol.nfluent.io?s=symbol11&amp;platform=ftx"}],"properties":{"creators":[{"address":"paul",_x000D_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4" s="1" t="str">
        <f>formatRow(Tokens!C$2:I$2,Tokens!C14:I14)</f>
        <v>"name":"MyRealTest11",_x000D_
"symbol":"symbol11",_x000D_
"description":"description11",_x000D_
"seller_fee_basis_points":5007,_x000D_
"image":"https://ipfs.io/ipfs/QmdAcsvKTy2AbGLceAgygCNWuJikVSvSqQoud82XVWM2MP?visual10.png",_x000D_
"Issuer":"paul",_x000D_
"external_url":""</v>
      </c>
      <c r="W14" s="1" t="str">
        <f>formatRow(Tokens!J$2:AC$2,Tokens!J14:AC14,2,"attributes")</f>
        <v>"attributes":[{"trait_type":"Pass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numérotée"},{"trait_type":"nombre de Pass2032",_x000D_
"value":12},{"trait_type":"nombre de Pass2033",_x000D_
"value":12},{"trait_type":"nombre de Pass2034",_x000D_
"value":12},{"trait_type":"avantage19",_x000D_
"value":"https://tokensol.nfluent.io?s=symbol11&amp;platform=ftx"}]</v>
      </c>
      <c r="X14" s="1" t="str">
        <f>formatRow(Tokens!AD$2:AI$2,Tokens!AD14:AI14,2,"creators")</f>
        <v>"creators":[{"address":"paul",_x000D_
"share":10},{"address":"sophie",_x000D_
"share":60},{"address":"roger",_x000D_
"share":30}]</v>
      </c>
      <c r="Y14" s="1" t="str">
        <f>formatRow(Tokens!AJ$2:AO$2,Tokens!AJ14:AO14,2,"files")</f>
        <v>"files":[]</v>
      </c>
      <c r="Z14" s="1"/>
      <c r="AA14" s="1"/>
      <c r="AB14" s="1"/>
      <c r="AC14" s="1" t="str">
        <f>formatRow(Tokens!AP$2:AQ$2,Tokens!AP14:AQ14,0,"collection")</f>
        <v>"collection":{"name":"MyTestCollection",_x000D_
"family":"NFluentCollection"}</v>
      </c>
      <c r="AD14" s="1"/>
      <c r="AE14" s="1"/>
    </row>
    <row r="15" spans="1:31" ht="14.25" customHeight="1" x14ac:dyDescent="0.25">
      <c r="E15" s="19" t="str">
        <f>IF(Tokens!C15="","",Tokens!C15)</f>
        <v>MyRealTest12</v>
      </c>
      <c r="F15"/>
      <c r="G15"/>
      <c r="H15"/>
      <c r="I15"/>
      <c r="J15"/>
      <c r="K15"/>
      <c r="L15" s="16" t="str">
        <f t="shared" si="1"/>
        <v>_</v>
      </c>
      <c r="M15" s="16"/>
      <c r="N15" s="16"/>
      <c r="O15" s="16"/>
      <c r="P15" s="21" t="str">
        <f>IF(F15&lt;&gt;"",HYPERLINK(Settings!$B$5 &amp; "/manage/?network=" &amp; B$8 &amp; "&amp;search=token&amp;account=" &amp; ToMint!$B$5 &amp; "&amp;view=" &amp; ToMint!J15,"TokenSol"),"")</f>
        <v/>
      </c>
      <c r="T15" s="1" t="str">
        <f>"owner=" &amp; Tokens!AW15</f>
        <v>owner=sophie</v>
      </c>
      <c r="U15" s="1" t="str">
        <f t="shared" si="0"/>
        <v>{"name":"MyRealTest12",_x000D_
"symbol":"symbol12",_x000D_
"description":"description12",_x000D_
"seller_fee_basis_points":5008,_x000D_
"image":"https://ipfs.io/ipfs/QmYvpxAGdix9eCHBGDW1bEzXXJ1NcBua7hRe5C26NuL558?visual11.png",_x000D_
"Issuer":"paul",_x000D_
"external_url":"","attributes":[{"trait_type":"Pass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numérotée"},{"trait_type":"nombre de Pass2033",_x000D_
"value":13},{"trait_type":"nombre de Pass2034",_x000D_
"value":13},{"trait_type":"nombre de Pass2035",_x000D_
"value":13},{"trait_type":"avantage20",_x000D_
"value":"https://tokensol.nfluent.io?s=symbol12&amp;platform=ftx"}],"properties":{"creators":[{"address":"paul",_x000D_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5" s="1" t="str">
        <f>formatRow(Tokens!C$2:I$2,Tokens!C15:I15)</f>
        <v>"name":"MyRealTest12",_x000D_
"symbol":"symbol12",_x000D_
"description":"description12",_x000D_
"seller_fee_basis_points":5008,_x000D_
"image":"https://ipfs.io/ipfs/QmYvpxAGdix9eCHBGDW1bEzXXJ1NcBua7hRe5C26NuL558?visual11.png",_x000D_
"Issuer":"paul",_x000D_
"external_url":""</v>
      </c>
      <c r="W15" s="1" t="str">
        <f>formatRow(Tokens!J$2:AC$2,Tokens!J15:AC15,2,"attributes")</f>
        <v>"attributes":[{"trait_type":"Pass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numérotée"},{"trait_type":"nombre de Pass2033",_x000D_
"value":13},{"trait_type":"nombre de Pass2034",_x000D_
"value":13},{"trait_type":"nombre de Pass2035",_x000D_
"value":13},{"trait_type":"avantage20",_x000D_
"value":"https://tokensol.nfluent.io?s=symbol12&amp;platform=ftx"}]</v>
      </c>
      <c r="X15" s="1" t="str">
        <f>formatRow(Tokens!AD$2:AI$2,Tokens!AD15:AI15,2,"creators")</f>
        <v>"creators":[{"address":"paul",_x000D_
"share":10},{"address":"sophie",_x000D_
"share":60},{"address":"roger",_x000D_
"share":30}]</v>
      </c>
      <c r="Y15" s="1" t="str">
        <f>formatRow(Tokens!AJ$2:AO$2,Tokens!AJ15:AO15,2,"files")</f>
        <v>"files":[]</v>
      </c>
      <c r="Z15" s="1"/>
      <c r="AA15" s="1"/>
      <c r="AB15" s="1"/>
      <c r="AC15" s="1" t="str">
        <f>formatRow(Tokens!AP$2:AQ$2,Tokens!AP15:AQ15,0,"collection")</f>
        <v>"collection":{"name":"MyTestCollection",_x000D_
"family":"NFluentCollection"}</v>
      </c>
      <c r="AD15" s="1"/>
      <c r="AE15" s="1"/>
    </row>
    <row r="16" spans="1:31" ht="14.25" customHeight="1" x14ac:dyDescent="0.25">
      <c r="A16" s="3" t="s">
        <v>101</v>
      </c>
      <c r="B16" t="s">
        <v>71</v>
      </c>
      <c r="E16" s="19" t="str">
        <f>IF(Tokens!C16="","",Tokens!C16)</f>
        <v>MyRealTest13</v>
      </c>
      <c r="F16"/>
      <c r="G16"/>
      <c r="H16"/>
      <c r="I16"/>
      <c r="J16"/>
      <c r="K16"/>
      <c r="L16" s="16" t="str">
        <f t="shared" si="1"/>
        <v>_</v>
      </c>
      <c r="M16" s="16"/>
      <c r="N16" s="16"/>
      <c r="O16" s="16"/>
      <c r="P16" s="21" t="str">
        <f>IF(F16&lt;&gt;"",HYPERLINK(Settings!$B$5 &amp; "/manage/?network=" &amp; B$8 &amp; "&amp;search=token&amp;account=" &amp; ToMint!$B$5 &amp; "&amp;view=" &amp; ToMint!J16,"TokenSol"),"")</f>
        <v/>
      </c>
      <c r="T16" s="1" t="str">
        <f>"owner=" &amp; Tokens!AW16</f>
        <v>owner=sophie</v>
      </c>
      <c r="U16" s="1" t="str">
        <f t="shared" si="0"/>
        <v>{"name":"MyRealTest13",_x000D_
"symbol":"symbol13",_x000D_
"description":"description13",_x000D_
"seller_fee_basis_points":5009,_x000D_
"image":"https://ipfs.io/ipfs/QmRX69yodAyscucMY29HDLZtXRjKtqg5WPuq4PMgFiMpqs?visual12.png",_x000D_
"Issuer":"paul",_x000D_
"external_url":"","attributes":[{"trait_type":"Pass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numérotée"},{"trait_type":"nombre de Pass2034",_x000D_
"value":14},{"trait_type":"nombre de Pass2035",_x000D_
"value":14},{"trait_type":"nombre de Pass2036",_x000D_
"value":14},{"trait_type":"avantage21",_x000D_
"value":"https://tokensol.nfluent.io?s=symbol13&amp;platform=ftx"}],"properties":{"creators":[{"address":"paul",_x000D_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6" s="1" t="str">
        <f>formatRow(Tokens!C$2:I$2,Tokens!C16:I16)</f>
        <v>"name":"MyRealTest13",_x000D_
"symbol":"symbol13",_x000D_
"description":"description13",_x000D_
"seller_fee_basis_points":5009,_x000D_
"image":"https://ipfs.io/ipfs/QmRX69yodAyscucMY29HDLZtXRjKtqg5WPuq4PMgFiMpqs?visual12.png",_x000D_
"Issuer":"paul",_x000D_
"external_url":""</v>
      </c>
      <c r="W16" s="1" t="str">
        <f>formatRow(Tokens!J$2:AC$2,Tokens!J16:AC16,2,"attributes")</f>
        <v>"attributes":[{"trait_type":"Pass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numérotée"},{"trait_type":"nombre de Pass2034",_x000D_
"value":14},{"trait_type":"nombre de Pass2035",_x000D_
"value":14},{"trait_type":"nombre de Pass2036",_x000D_
"value":14},{"trait_type":"avantage21",_x000D_
"value":"https://tokensol.nfluent.io?s=symbol13&amp;platform=ftx"}]</v>
      </c>
      <c r="X16" s="1" t="str">
        <f>formatRow(Tokens!AD$2:AI$2,Tokens!AD16:AI16,2,"creators")</f>
        <v>"creators":[{"address":"paul",_x000D_
"share":10},{"address":"sophie",_x000D_
"share":60},{"address":"roger",_x000D_
"share":30}]</v>
      </c>
      <c r="Y16" s="1" t="str">
        <f>formatRow(Tokens!AJ$2:AO$2,Tokens!AJ16:AO16,2,"files")</f>
        <v>"files":[]</v>
      </c>
      <c r="Z16" s="1"/>
      <c r="AA16" s="1"/>
      <c r="AB16" s="1"/>
      <c r="AC16" s="1" t="str">
        <f>formatRow(Tokens!AP$2:AQ$2,Tokens!AP16:AQ16,0,"collection")</f>
        <v>"collection":{"name":"MyTestCollection",_x000D_
"family":"NFluentCollection"}</v>
      </c>
      <c r="AD16" s="1"/>
      <c r="AE16" s="1"/>
    </row>
    <row r="17" spans="5:31" ht="14.25" customHeight="1" x14ac:dyDescent="0.25">
      <c r="E17" s="19" t="str">
        <f>IF(Tokens!C17="","",Tokens!C17)</f>
        <v>MyRealTest14</v>
      </c>
      <c r="F17"/>
      <c r="G17"/>
      <c r="H17"/>
      <c r="I17"/>
      <c r="J17"/>
      <c r="K17"/>
      <c r="L17" s="16" t="str">
        <f t="shared" si="1"/>
        <v>_</v>
      </c>
      <c r="M17" s="16"/>
      <c r="N17" s="16"/>
      <c r="O17" s="16"/>
      <c r="P17" s="21" t="str">
        <f>IF(F17&lt;&gt;"",HYPERLINK(Settings!$B$5 &amp; "/manage/?network=" &amp; B$8 &amp; "&amp;search=token&amp;account=" &amp; ToMint!$B$5 &amp; "&amp;view=" &amp; ToMint!J17,"TokenSol"),"")</f>
        <v/>
      </c>
      <c r="T17" s="1" t="str">
        <f>"owner=" &amp; Tokens!AW17</f>
        <v>owner=sophie</v>
      </c>
      <c r="U17" s="1" t="str">
        <f t="shared" si="0"/>
        <v>{"name":"MyRealTest14",_x000D_
"symbol":"symbol14",_x000D_
"description":"description14",_x000D_
"seller_fee_basis_points":5010,_x000D_
"image":"https://ipfs.io/ipfs/QmPkfq7Jpk7ryS6pL2EyNTMMy8tPwgZF9NEFdPoorNqntV?visual13.png",_x000D_
"Issuer":"paul",_x000D_
"external_url":"","attributes":[{"trait_type":"Pass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numérotée"},{"trait_type":"nombre de Pass2035",_x000D_
"value":15},{"trait_type":"nombre de Pass2036",_x000D_
"value":15},{"trait_type":"nombre de Pass2037",_x000D_
"value":15},{"trait_type":"avantage22",_x000D_
"value":"https://tokensol.nfluent.io?s=symbol14&amp;platform=ftx"}],"properties":{"creators":[{"address":"paul",_x000D_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7" s="1" t="str">
        <f>formatRow(Tokens!C$2:I$2,Tokens!C17:I17)</f>
        <v>"name":"MyRealTest14",_x000D_
"symbol":"symbol14",_x000D_
"description":"description14",_x000D_
"seller_fee_basis_points":5010,_x000D_
"image":"https://ipfs.io/ipfs/QmPkfq7Jpk7ryS6pL2EyNTMMy8tPwgZF9NEFdPoorNqntV?visual13.png",_x000D_
"Issuer":"paul",_x000D_
"external_url":""</v>
      </c>
      <c r="W17" s="1" t="str">
        <f>formatRow(Tokens!J$2:AC$2,Tokens!J17:AC17,2,"attributes")</f>
        <v>"attributes":[{"trait_type":"Pass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numérotée"},{"trait_type":"nombre de Pass2035",_x000D_
"value":15},{"trait_type":"nombre de Pass2036",_x000D_
"value":15},{"trait_type":"nombre de Pass2037",_x000D_
"value":15},{"trait_type":"avantage22",_x000D_
"value":"https://tokensol.nfluent.io?s=symbol14&amp;platform=ftx"}]</v>
      </c>
      <c r="X17" s="1" t="str">
        <f>formatRow(Tokens!AD$2:AI$2,Tokens!AD17:AI17,2,"creators")</f>
        <v>"creators":[{"address":"paul",_x000D_
"share":10},{"address":"sophie",_x000D_
"share":60},{"address":"roger",_x000D_
"share":30}]</v>
      </c>
      <c r="Y17" s="1" t="str">
        <f>formatRow(Tokens!AJ$2:AO$2,Tokens!AJ17:AO17,2,"files")</f>
        <v>"files":[]</v>
      </c>
      <c r="Z17" s="1"/>
      <c r="AA17" s="1"/>
      <c r="AB17" s="1"/>
      <c r="AC17" s="1" t="str">
        <f>formatRow(Tokens!AP$2:AQ$2,Tokens!AP17:AQ17,0,"collection")</f>
        <v>"collection":{"name":"MyTestCollection",_x000D_
"family":"NFluentCollection"}</v>
      </c>
      <c r="AD17" s="1"/>
      <c r="AE17" s="1"/>
    </row>
    <row r="18" spans="5:31" ht="14.25" customHeight="1" x14ac:dyDescent="0.25">
      <c r="E18" s="19" t="str">
        <f>IF(Tokens!C18="","",Tokens!C18)</f>
        <v>MyRealTest15</v>
      </c>
      <c r="F18"/>
      <c r="G18"/>
      <c r="H18"/>
      <c r="I18"/>
      <c r="J18"/>
      <c r="K18"/>
      <c r="L18" s="16" t="str">
        <f t="shared" si="1"/>
        <v>_</v>
      </c>
      <c r="M18" s="16"/>
      <c r="N18" s="16"/>
      <c r="O18" s="16"/>
      <c r="P18" s="21" t="str">
        <f>IF(F18&lt;&gt;"",HYPERLINK(Settings!$B$5 &amp; "/manage/?network=" &amp; B$8 &amp; "&amp;search=token&amp;account=" &amp; ToMint!$B$5 &amp; "&amp;view=" &amp; ToMint!J18,"TokenSol"),"")</f>
        <v/>
      </c>
      <c r="T18" s="1" t="str">
        <f>"owner=" &amp; Tokens!AW18</f>
        <v>owner=sophie</v>
      </c>
      <c r="U18" s="1" t="str">
        <f t="shared" si="0"/>
        <v>{"name":"MyRealTest15",_x000D_
"symbol":"symbol15",_x000D_
"description":"description15",_x000D_
"seller_fee_basis_points":5011,_x000D_
"image":"https://ipfs.io/ipfs/QmTbQeuNvxGwGen33fkrdBVdxausDs1QBwPR9T9JaUxKLQ?visual14.png",_x000D_
"Issuer":"paul",_x000D_
"external_url":"","attributes":[{"trait_type":"Pass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numérotée"},{"trait_type":"nombre de Pass2036",_x000D_
"value":16},{"trait_type":"nombre de Pass2037",_x000D_
"value":16},{"trait_type":"nombre de Pass2038",_x000D_
"value":16},{"trait_type":"avantage23",_x000D_
"value":"https://tokensol.nfluent.io?s=symbol15&amp;platform=ftx"}],"properties":{"creators":[{"address":"paul",_x000D_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8" s="1" t="str">
        <f>formatRow(Tokens!C$2:I$2,Tokens!C18:I18)</f>
        <v>"name":"MyRealTest15",_x000D_
"symbol":"symbol15",_x000D_
"description":"description15",_x000D_
"seller_fee_basis_points":5011,_x000D_
"image":"https://ipfs.io/ipfs/QmTbQeuNvxGwGen33fkrdBVdxausDs1QBwPR9T9JaUxKLQ?visual14.png",_x000D_
"Issuer":"paul",_x000D_
"external_url":""</v>
      </c>
      <c r="W18" s="1" t="str">
        <f>formatRow(Tokens!J$2:AC$2,Tokens!J18:AC18,2,"attributes")</f>
        <v>"attributes":[{"trait_type":"Pass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numérotée"},{"trait_type":"nombre de Pass2036",_x000D_
"value":16},{"trait_type":"nombre de Pass2037",_x000D_
"value":16},{"trait_type":"nombre de Pass2038",_x000D_
"value":16},{"trait_type":"avantage23",_x000D_
"value":"https://tokensol.nfluent.io?s=symbol15&amp;platform=ftx"}]</v>
      </c>
      <c r="X18" s="1" t="str">
        <f>formatRow(Tokens!AD$2:AI$2,Tokens!AD18:AI18,2,"creators")</f>
        <v>"creators":[{"address":"paul",_x000D_
"share":10},{"address":"sophie",_x000D_
"share":60},{"address":"roger",_x000D_
"share":30}]</v>
      </c>
      <c r="Y18" s="1" t="str">
        <f>formatRow(Tokens!AJ$2:AO$2,Tokens!AJ18:AO18,2,"files")</f>
        <v>"files":[]</v>
      </c>
      <c r="Z18" s="1"/>
      <c r="AA18" s="1"/>
      <c r="AB18" s="1"/>
      <c r="AC18" s="1" t="str">
        <f>formatRow(Tokens!AP$2:AQ$2,Tokens!AP18:AQ18,0,"collection")</f>
        <v>"collection":{"name":"MyTestCollection",_x000D_
"family":"NFluentCollection"}</v>
      </c>
      <c r="AD18" s="1"/>
      <c r="AE18" s="1"/>
    </row>
    <row r="19" spans="5:31" ht="14.25" customHeight="1" x14ac:dyDescent="0.25">
      <c r="E19" s="19" t="str">
        <f>IF(Tokens!C19="","",Tokens!C19)</f>
        <v>MyRealTest16</v>
      </c>
      <c r="F19"/>
      <c r="G19"/>
      <c r="H19"/>
      <c r="I19"/>
      <c r="J19"/>
      <c r="K19"/>
      <c r="L19" s="16" t="str">
        <f t="shared" si="1"/>
        <v>_</v>
      </c>
      <c r="M19" s="16"/>
      <c r="N19" s="16"/>
      <c r="O19" s="16"/>
      <c r="P19" s="21" t="str">
        <f>IF(F19&lt;&gt;"",HYPERLINK(Settings!$B$5 &amp; "/manage/?network=" &amp; B$8 &amp; "&amp;search=token&amp;account=" &amp; ToMint!$B$5 &amp; "&amp;view=" &amp; ToMint!J19,"TokenSol"),"")</f>
        <v/>
      </c>
      <c r="T19" s="1" t="str">
        <f>"owner=" &amp; Tokens!AW19</f>
        <v>owner=sophie</v>
      </c>
      <c r="U19" s="1" t="str">
        <f t="shared" si="0"/>
        <v>{"name":"MyRealTest16",_x000D_
"symbol":"symbol16",_x000D_
"description":"description16",_x000D_
"seller_fee_basis_points":5012,_x000D_
"image":"https://ipfs.io/ipfs/QmX3BQrWxM9gxrBgvvMpHpoBs5SAUkeC1V1kUV1X2Ky1nw?visual15.png",_x000D_
"Issuer":"paul",_x000D_
"external_url":"","attributes":[{"trait_type":"Pass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numérotée"},{"trait_type":"nombre de Pass2037",_x000D_
"value":17},{"trait_type":"nombre de Pass2038",_x000D_
"value":17},{"trait_type":"nombre de Pass2039",_x000D_
"value":17},{"trait_type":"avantage24",_x000D_
"value":"https://tokensol.nfluent.io?s=symbol16&amp;platform=ftx"}],"properties":{"creators":[{"address":"paul",_x000D_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19" s="1" t="str">
        <f>formatRow(Tokens!C$2:I$2,Tokens!C19:I19)</f>
        <v>"name":"MyRealTest16",_x000D_
"symbol":"symbol16",_x000D_
"description":"description16",_x000D_
"seller_fee_basis_points":5012,_x000D_
"image":"https://ipfs.io/ipfs/QmX3BQrWxM9gxrBgvvMpHpoBs5SAUkeC1V1kUV1X2Ky1nw?visual15.png",_x000D_
"Issuer":"paul",_x000D_
"external_url":""</v>
      </c>
      <c r="W19" s="1" t="str">
        <f>formatRow(Tokens!J$2:AC$2,Tokens!J19:AC19,2,"attributes")</f>
        <v>"attributes":[{"trait_type":"Pass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numérotée"},{"trait_type":"nombre de Pass2037",_x000D_
"value":17},{"trait_type":"nombre de Pass2038",_x000D_
"value":17},{"trait_type":"nombre de Pass2039",_x000D_
"value":17},{"trait_type":"avantage24",_x000D_
"value":"https://tokensol.nfluent.io?s=symbol16&amp;platform=ftx"}]</v>
      </c>
      <c r="X19" s="1" t="str">
        <f>formatRow(Tokens!AD$2:AI$2,Tokens!AD19:AI19,2,"creators")</f>
        <v>"creators":[{"address":"paul",_x000D_
"share":10},{"address":"sophie",_x000D_
"share":60},{"address":"roger",_x000D_
"share":30}]</v>
      </c>
      <c r="Y19" s="1" t="str">
        <f>formatRow(Tokens!AJ$2:AO$2,Tokens!AJ19:AO19,2,"files")</f>
        <v>"files":[]</v>
      </c>
      <c r="Z19" s="1"/>
      <c r="AA19" s="1"/>
      <c r="AB19" s="1"/>
      <c r="AC19" s="1" t="str">
        <f>formatRow(Tokens!AP$2:AQ$2,Tokens!AP19:AQ19,0,"collection")</f>
        <v>"collection":{"name":"MyTestCollection",_x000D_
"family":"NFluentCollection"}</v>
      </c>
      <c r="AD19" s="1"/>
      <c r="AE19" s="1"/>
    </row>
    <row r="20" spans="5:31" ht="14.25" customHeight="1" x14ac:dyDescent="0.25">
      <c r="E20" s="19" t="str">
        <f>IF(Tokens!C20="","",Tokens!C20)</f>
        <v>MyRealTest17</v>
      </c>
      <c r="F20"/>
      <c r="G20"/>
      <c r="H20"/>
      <c r="I20"/>
      <c r="J20"/>
      <c r="K20"/>
      <c r="L20" s="16" t="str">
        <f t="shared" si="1"/>
        <v>_</v>
      </c>
      <c r="M20" s="16"/>
      <c r="N20" s="16"/>
      <c r="O20" s="16"/>
      <c r="P20" s="21" t="str">
        <f>IF(F20&lt;&gt;"",HYPERLINK(Settings!$B$5 &amp; "/manage/?network=" &amp; B$8 &amp; "&amp;search=token&amp;account=" &amp; ToMint!$B$5 &amp; "&amp;view=" &amp; ToMint!J20,"TokenSol"),"")</f>
        <v/>
      </c>
      <c r="T20" s="1" t="str">
        <f>"owner=" &amp; Tokens!AW20</f>
        <v>owner=sophie</v>
      </c>
      <c r="U20" s="1" t="str">
        <f t="shared" si="0"/>
        <v>{"name":"MyRealTest17",_x000D_
"symbol":"symbol17",_x000D_
"description":"description17",_x000D_
"seller_fee_basis_points":5013,_x000D_
"image":"https://ipfs.io/ipfs/QmZNZ9zGGr9KoXNQ4XbLL9jtoBtywspJPjdx8vWm3ACw55?visual16.png",_x000D_
"Issuer":"paul",_x000D_
"external_url":"","attributes":[{"trait_type":"Pass festival",_x000D_
"value":"pour deux(2) personnes"},{"trait_type":"avantage17",_x000D_
"value":"accès pour deux (2) personnes à un (1) événement partenaire officiel de Calvi on the Rocks"},{"trait_type":"avantage18",_x000D_
"value":"invitation à la “Soirée off” réservée aux membres NFT pour deux (2) personnes"},{"trait_type":"avantage19",_x000D_
"value":"accès membre pour les after party officielles pour deux (2) personnes"},{"trait_type":"avantage20",_x000D_
"value":"accès prioritaire et bar dédié (consommation à la charge du festivalier) - tables réservées à l'avance pour les « NFT member » pour deux (2) personnes"},{"trait_type":"avantage21",_x000D_
"value":"17 affiche dédicacée et numérotée"},{"trait_type":"nombre de Pass2038",_x000D_
"value":18},{"trait_type":"nombre de Pass2039",_x000D_
"value":18},{"trait_type":"nombre de Pass2040",_x000D_
"value":18},{"trait_type":"avantage25",_x000D_
"value":"https://tokensol.nfluent.io?s=symbol17&amp;platform=ftx"}],"properties":{"creators":[{"address":"paul",_x000D_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0" s="1" t="str">
        <f>formatRow(Tokens!C$2:I$2,Tokens!C20:I20)</f>
        <v>"name":"MyRealTest17",_x000D_
"symbol":"symbol17",_x000D_
"description":"description17",_x000D_
"seller_fee_basis_points":5013,_x000D_
"image":"https://ipfs.io/ipfs/QmZNZ9zGGr9KoXNQ4XbLL9jtoBtywspJPjdx8vWm3ACw55?visual16.png",_x000D_
"Issuer":"paul",_x000D_
"external_url":""</v>
      </c>
      <c r="W20" s="1" t="str">
        <f>formatRow(Tokens!J$2:AC$2,Tokens!J20:AC20,2,"attributes")</f>
        <v>"attributes":[{"trait_type":"Pass festival",_x000D_
"value":"pour deux(2) personnes"},{"trait_type":"avantage17",_x000D_
"value":"accès pour deux (2) personnes à un (1) événement partenaire officiel de Calvi on the Rocks"},{"trait_type":"avantage18",_x000D_
"value":"invitation à la “Soirée off” réservée aux membres NFT pour deux (2) personnes"},{"trait_type":"avantage19",_x000D_
"value":"accès membre pour les after party officielles pour deux (2) personnes"},{"trait_type":"avantage20",_x000D_
"value":"accès prioritaire et bar dédié (consommation à la charge du festivalier) - tables réservées à l'avance pour les « NFT member » pour deux (2) personnes"},{"trait_type":"avantage21",_x000D_
"value":"17 affiche dédicacée et numérotée"},{"trait_type":"nombre de Pass2038",_x000D_
"value":18},{"trait_type":"nombre de Pass2039",_x000D_
"value":18},{"trait_type":"nombre de Pass2040",_x000D_
"value":18},{"trait_type":"avantage25",_x000D_
"value":"https://tokensol.nfluent.io?s=symbol17&amp;platform=ftx"}]</v>
      </c>
      <c r="X20" s="1" t="str">
        <f>formatRow(Tokens!AD$2:AI$2,Tokens!AD20:AI20,2,"creators")</f>
        <v>"creators":[{"address":"paul",_x000D_
"share":10},{"address":"sophie",_x000D_
"share":60},{"address":"roger",_x000D_
"share":30}]</v>
      </c>
      <c r="Y20" s="1" t="str">
        <f>formatRow(Tokens!AJ$2:AO$2,Tokens!AJ20:AO20,2,"files")</f>
        <v>"files":[]</v>
      </c>
      <c r="Z20" s="1"/>
      <c r="AA20" s="1"/>
      <c r="AB20" s="1"/>
      <c r="AC20" s="1" t="str">
        <f>formatRow(Tokens!AP$2:AQ$2,Tokens!AP20:AQ20,0,"collection")</f>
        <v>"collection":{"name":"MyTestCollection",_x000D_
"family":"NFluentCollection"}</v>
      </c>
      <c r="AD20" s="1"/>
      <c r="AE20" s="1"/>
    </row>
    <row r="21" spans="5:31" ht="14.25" customHeight="1" x14ac:dyDescent="0.25">
      <c r="E21" s="19" t="str">
        <f>IF(Tokens!C21="","",Tokens!C21)</f>
        <v>MyRealTest18</v>
      </c>
      <c r="F21"/>
      <c r="G21"/>
      <c r="H21"/>
      <c r="I21"/>
      <c r="J21"/>
      <c r="K21"/>
      <c r="L21" s="16" t="str">
        <f t="shared" si="1"/>
        <v>_</v>
      </c>
      <c r="M21" s="16"/>
      <c r="N21" s="16"/>
      <c r="O21" s="16"/>
      <c r="P21" s="21" t="str">
        <f>IF(F21&lt;&gt;"",HYPERLINK(Settings!$B$5 &amp; "/manage/?network=" &amp; B$8 &amp; "&amp;search=token&amp;account=" &amp; ToMint!$B$5 &amp; "&amp;view=" &amp; ToMint!J21,"TokenSol"),"")</f>
        <v/>
      </c>
      <c r="T21" s="1" t="str">
        <f>"owner=" &amp; Tokens!AW21</f>
        <v>owner=sophie</v>
      </c>
      <c r="U21" s="1" t="str">
        <f t="shared" si="0"/>
        <v>{"name":"MyRealTest18",_x000D_
"symbol":"symbol18",_x000D_
"description":"description18",_x000D_
"seller_fee_basis_points":5014,_x000D_
"image":"https://ipfs.io/ipfs/QmNqkfP94eTwUVRwt4tFzVx6npp1Rytig6HoKDavoSNk8H?visual17.png",_x000D_
"Issuer":"paul",_x000D_
"external_url":"","attributes":[{"trait_type":"Pass festival",_x000D_
"value":"pour deux(2) personnes"},{"trait_type":"avantage18",_x000D_
"value":"accès pour deux (2) personnes à un (1) événement partenaire officiel de Calvi on the Rocks"},{"trait_type":"avantage19",_x000D_
"value":"invitation à la “Soirée off” réservée aux membres NFT pour deux (2) personnes"},{"trait_type":"avantage20",_x000D_
"value":"accès membre pour les after party officielles pour deux (2) personnes"},{"trait_type":"avantage21",_x000D_
"value":"accès prioritaire et bar dédié (consommation à la charge du festivalier) - tables réservées à l'avance pour les « NFT member » pour deux (2) personnes"},{"trait_type":"avantage22",_x000D_
"value":"18 affiche dédicacée et numérotée"},{"trait_type":"nombre de Pass2039",_x000D_
"value":19},{"trait_type":"nombre de Pass2040",_x000D_
"value":19},{"trait_type":"nombre de Pass2041",_x000D_
"value":19},{"trait_type":"avantage26",_x000D_
"value":"https://tokensol.nfluent.io?s=symbol18&amp;platform=ftx"}],"properties":{"creators":[{"address":"paul",_x000D_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1" s="1" t="str">
        <f>formatRow(Tokens!C$2:I$2,Tokens!C21:I21)</f>
        <v>"name":"MyRealTest18",_x000D_
"symbol":"symbol18",_x000D_
"description":"description18",_x000D_
"seller_fee_basis_points":5014,_x000D_
"image":"https://ipfs.io/ipfs/QmNqkfP94eTwUVRwt4tFzVx6npp1Rytig6HoKDavoSNk8H?visual17.png",_x000D_
"Issuer":"paul",_x000D_
"external_url":""</v>
      </c>
      <c r="W21" s="1" t="str">
        <f>formatRow(Tokens!J$2:AC$2,Tokens!J21:AC21,2,"attributes")</f>
        <v>"attributes":[{"trait_type":"Pass festival",_x000D_
"value":"pour deux(2) personnes"},{"trait_type":"avantage18",_x000D_
"value":"accès pour deux (2) personnes à un (1) événement partenaire officiel de Calvi on the Rocks"},{"trait_type":"avantage19",_x000D_
"value":"invitation à la “Soirée off” réservée aux membres NFT pour deux (2) personnes"},{"trait_type":"avantage20",_x000D_
"value":"accès membre pour les after party officielles pour deux (2) personnes"},{"trait_type":"avantage21",_x000D_
"value":"accès prioritaire et bar dédié (consommation à la charge du festivalier) - tables réservées à l'avance pour les « NFT member » pour deux (2) personnes"},{"trait_type":"avantage22",_x000D_
"value":"18 affiche dédicacée et numérotée"},{"trait_type":"nombre de Pass2039",_x000D_
"value":19},{"trait_type":"nombre de Pass2040",_x000D_
"value":19},{"trait_type":"nombre de Pass2041",_x000D_
"value":19},{"trait_type":"avantage26",_x000D_
"value":"https://tokensol.nfluent.io?s=symbol18&amp;platform=ftx"}]</v>
      </c>
      <c r="X21" s="1" t="str">
        <f>formatRow(Tokens!AD$2:AI$2,Tokens!AD21:AI21,2,"creators")</f>
        <v>"creators":[{"address":"paul",_x000D_
"share":10},{"address":"sophie",_x000D_
"share":60},{"address":"roger",_x000D_
"share":30}]</v>
      </c>
      <c r="Y21" s="1" t="str">
        <f>formatRow(Tokens!AJ$2:AO$2,Tokens!AJ21:AO21,2,"files")</f>
        <v>"files":[]</v>
      </c>
      <c r="Z21" s="1"/>
      <c r="AA21" s="1"/>
      <c r="AB21" s="1"/>
      <c r="AC21" s="1" t="str">
        <f>formatRow(Tokens!AP$2:AQ$2,Tokens!AP21:AQ21,0,"collection")</f>
        <v>"collection":{"name":"MyTestCollection",_x000D_
"family":"NFluentCollection"}</v>
      </c>
      <c r="AD21" s="1"/>
      <c r="AE21" s="1"/>
    </row>
    <row r="22" spans="5:31" ht="14.25" customHeight="1" x14ac:dyDescent="0.25">
      <c r="E22" s="19" t="str">
        <f>IF(Tokens!C22="","",Tokens!C22)</f>
        <v>MyRealTest19</v>
      </c>
      <c r="F22"/>
      <c r="G22"/>
      <c r="H22"/>
      <c r="I22"/>
      <c r="J22"/>
      <c r="K22"/>
      <c r="L22" s="16" t="str">
        <f t="shared" si="1"/>
        <v>_</v>
      </c>
      <c r="M22" s="16"/>
      <c r="N22" s="16"/>
      <c r="O22" s="16"/>
      <c r="P22" s="21" t="str">
        <f>IF(F22&lt;&gt;"",HYPERLINK(Settings!$B$5 &amp; "/manage/?network=" &amp; B$8 &amp; "&amp;search=token&amp;account=" &amp; ToMint!$B$5 &amp; "&amp;view=" &amp; ToMint!J22,"TokenSol"),"")</f>
        <v/>
      </c>
      <c r="T22" s="1" t="str">
        <f>"owner=" &amp; Tokens!AW22</f>
        <v>owner=sophie</v>
      </c>
      <c r="U22" s="1" t="str">
        <f t="shared" si="0"/>
        <v>{"name":"MyRealTest19",_x000D_
"symbol":"symbol19",_x000D_
"description":"description19",_x000D_
"seller_fee_basis_points":5015,_x000D_
"image":"https://ipfs.io/ipfs/QmayzhCjiQ5vHXBFbZMRMR6r2NyugVACjNZfMzyb4rgGQZ?visual18.png",_x000D_
"Issuer":"paul",_x000D_
"external_url":"","attributes":[{"trait_type":"Pass festival",_x000D_
"value":"pour deux(2) personnes"},{"trait_type":"avantage19",_x000D_
"value":"accès pour deux (2) personnes à un (1) événement partenaire officiel de Calvi on the Rocks"},{"trait_type":"avantage20",_x000D_
"value":"invitation à la “Soirée off” réservée aux membres NFT pour deux (2) personnes"},{"trait_type":"avantage21",_x000D_
"value":"accès membre pour les after party officielles pour deux (2) personnes"},{"trait_type":"avantage22",_x000D_
"value":"accès prioritaire et bar dédié (consommation à la charge du festivalier) - tables réservées à l'avance pour les « NFT member » pour deux (2) personnes"},{"trait_type":"avantage23",_x000D_
"value":"19 affiche dédicacée et numérotée"},{"trait_type":"nombre de Pass2040",_x000D_
"value":20},{"trait_type":"nombre de Pass2041",_x000D_
"value":20},{"trait_type":"nombre de Pass2042",_x000D_
"value":20},{"trait_type":"avantage27",_x000D_
"value":"https://tokensol.nfluent.io?s=symbol19&amp;platform=ftx"}],"properties":{"creators":[{"address":"paul",_x000D_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2" s="1" t="str">
        <f>formatRow(Tokens!C$2:I$2,Tokens!C22:I22)</f>
        <v>"name":"MyRealTest19",_x000D_
"symbol":"symbol19",_x000D_
"description":"description19",_x000D_
"seller_fee_basis_points":5015,_x000D_
"image":"https://ipfs.io/ipfs/QmayzhCjiQ5vHXBFbZMRMR6r2NyugVACjNZfMzyb4rgGQZ?visual18.png",_x000D_
"Issuer":"paul",_x000D_
"external_url":""</v>
      </c>
      <c r="W22" s="1" t="str">
        <f>formatRow(Tokens!J$2:AC$2,Tokens!J22:AC22,2,"attributes")</f>
        <v>"attributes":[{"trait_type":"Pass festival",_x000D_
"value":"pour deux(2) personnes"},{"trait_type":"avantage19",_x000D_
"value":"accès pour deux (2) personnes à un (1) événement partenaire officiel de Calvi on the Rocks"},{"trait_type":"avantage20",_x000D_
"value":"invitation à la “Soirée off” réservée aux membres NFT pour deux (2) personnes"},{"trait_type":"avantage21",_x000D_
"value":"accès membre pour les after party officielles pour deux (2) personnes"},{"trait_type":"avantage22",_x000D_
"value":"accès prioritaire et bar dédié (consommation à la charge du festivalier) - tables réservées à l'avance pour les « NFT member » pour deux (2) personnes"},{"trait_type":"avantage23",_x000D_
"value":"19 affiche dédicacée et numérotée"},{"trait_type":"nombre de Pass2040",_x000D_
"value":20},{"trait_type":"nombre de Pass2041",_x000D_
"value":20},{"trait_type":"nombre de Pass2042",_x000D_
"value":20},{"trait_type":"avantage27",_x000D_
"value":"https://tokensol.nfluent.io?s=symbol19&amp;platform=ftx"}]</v>
      </c>
      <c r="X22" s="1" t="str">
        <f>formatRow(Tokens!AD$2:AI$2,Tokens!AD22:AI22,2,"creators")</f>
        <v>"creators":[{"address":"paul",_x000D_
"share":10},{"address":"sophie",_x000D_
"share":60},{"address":"roger",_x000D_
"share":30}]</v>
      </c>
      <c r="Y22" s="1" t="str">
        <f>formatRow(Tokens!AJ$2:AO$2,Tokens!AJ22:AO22,2,"files")</f>
        <v>"files":[]</v>
      </c>
      <c r="Z22" s="1"/>
      <c r="AA22" s="1"/>
      <c r="AB22" s="1"/>
      <c r="AC22" s="1" t="str">
        <f>formatRow(Tokens!AP$2:AQ$2,Tokens!AP22:AQ22,0,"collection")</f>
        <v>"collection":{"name":"MyTestCollection",_x000D_
"family":"NFluentCollection"}</v>
      </c>
      <c r="AD22" s="1"/>
      <c r="AE22" s="1"/>
    </row>
    <row r="23" spans="5:31" ht="14.25" customHeight="1" x14ac:dyDescent="0.25">
      <c r="E23" s="19" t="str">
        <f>IF(Tokens!C23="","",Tokens!C23)</f>
        <v>MyRealTest20</v>
      </c>
      <c r="F23"/>
      <c r="G23"/>
      <c r="H23"/>
      <c r="I23"/>
      <c r="J23"/>
      <c r="K23"/>
      <c r="L23" s="16" t="str">
        <f t="shared" si="1"/>
        <v>_</v>
      </c>
      <c r="M23" s="16"/>
      <c r="N23" s="16"/>
      <c r="O23" s="16"/>
      <c r="P23" s="21" t="str">
        <f>IF(F23&lt;&gt;"",HYPERLINK(Settings!$B$5 &amp; "/manage/?network=" &amp; B$8 &amp; "&amp;search=token&amp;account=" &amp; ToMint!$B$5 &amp; "&amp;view=" &amp; ToMint!J23,"TokenSol"),"")</f>
        <v/>
      </c>
      <c r="T23" s="1" t="str">
        <f>"owner=" &amp; Tokens!AW23</f>
        <v>owner=sophie</v>
      </c>
      <c r="U23" s="1" t="str">
        <f t="shared" si="0"/>
        <v>{"name":"MyRealTest20",_x000D_
"symbol":"symbol20",_x000D_
"description":"description20",_x000D_
"seller_fee_basis_points":5016,_x000D_
"image":"https://ipfs.io/ipfs/QmadTv332gnvYWtfemArzL4RG17iQNrCwfpoD6eqQU8D1E?visual19.png",_x000D_
"Issuer":"paul",_x000D_
"external_url":"","attributes":[{"trait_type":"Pass festival",_x000D_
"value":"pour deux(2) personnes"},{"trait_type":"avantage20",_x000D_
"value":"accès pour deux (2) personnes à un (1) événement partenaire officiel de Calvi on the Rocks"},{"trait_type":"avantage21",_x000D_
"value":"invitation à la “Soirée off” réservée aux membres NFT pour deux (2) personnes"},{"trait_type":"avantage22",_x000D_
"value":"accès membre pour les after party officielles pour deux (2) personnes"},{"trait_type":"avantage23",_x000D_
"value":"accès prioritaire et bar dédié (consommation à la charge du festivalier) - tables réservées à l'avance pour les « NFT member » pour deux (2) personnes"},{"trait_type":"avantage24",_x000D_
"value":"20 affiche dédicacée et numérotée"},{"trait_type":"nombre de Pass2041",_x000D_
"value":21},{"trait_type":"nombre de Pass2042",_x000D_
"value":21},{"trait_type":"nombre de Pass2043",_x000D_
"value":21},{"trait_type":"avantage28",_x000D_
"value":"https://tokensol.nfluent.io?s=symbol20&amp;platform=ftx"}],"properties":{"creators":[{"address":"paul",_x000D_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3" s="1" t="str">
        <f>formatRow(Tokens!C$2:I$2,Tokens!C23:I23)</f>
        <v>"name":"MyRealTest20",_x000D_
"symbol":"symbol20",_x000D_
"description":"description20",_x000D_
"seller_fee_basis_points":5016,_x000D_
"image":"https://ipfs.io/ipfs/QmadTv332gnvYWtfemArzL4RG17iQNrCwfpoD6eqQU8D1E?visual19.png",_x000D_
"Issuer":"paul",_x000D_
"external_url":""</v>
      </c>
      <c r="W23" s="1" t="str">
        <f>formatRow(Tokens!J$2:AC$2,Tokens!J23:AC23,2,"attributes")</f>
        <v>"attributes":[{"trait_type":"Pass festival",_x000D_
"value":"pour deux(2) personnes"},{"trait_type":"avantage20",_x000D_
"value":"accès pour deux (2) personnes à un (1) événement partenaire officiel de Calvi on the Rocks"},{"trait_type":"avantage21",_x000D_
"value":"invitation à la “Soirée off” réservée aux membres NFT pour deux (2) personnes"},{"trait_type":"avantage22",_x000D_
"value":"accès membre pour les after party officielles pour deux (2) personnes"},{"trait_type":"avantage23",_x000D_
"value":"accès prioritaire et bar dédié (consommation à la charge du festivalier) - tables réservées à l'avance pour les « NFT member » pour deux (2) personnes"},{"trait_type":"avantage24",_x000D_
"value":"20 affiche dédicacée et numérotée"},{"trait_type":"nombre de Pass2041",_x000D_
"value":21},{"trait_type":"nombre de Pass2042",_x000D_
"value":21},{"trait_type":"nombre de Pass2043",_x000D_
"value":21},{"trait_type":"avantage28",_x000D_
"value":"https://tokensol.nfluent.io?s=symbol20&amp;platform=ftx"}]</v>
      </c>
      <c r="X23" s="1" t="str">
        <f>formatRow(Tokens!AD$2:AI$2,Tokens!AD23:AI23,2,"creators")</f>
        <v>"creators":[{"address":"paul",_x000D_
"share":10},{"address":"sophie",_x000D_
"share":60},{"address":"roger",_x000D_
"share":30}]</v>
      </c>
      <c r="Y23" s="1" t="str">
        <f>formatRow(Tokens!AJ$2:AO$2,Tokens!AJ23:AO23,2,"files")</f>
        <v>"files":[]</v>
      </c>
      <c r="Z23" s="1"/>
      <c r="AA23" s="1"/>
      <c r="AB23" s="1"/>
      <c r="AC23" s="1" t="str">
        <f>formatRow(Tokens!AP$2:AQ$2,Tokens!AP23:AQ23,0,"collection")</f>
        <v>"collection":{"name":"MyTestCollection",_x000D_
"family":"NFluentCollection"}</v>
      </c>
      <c r="AD23" s="1"/>
      <c r="AE23" s="1"/>
    </row>
    <row r="24" spans="5:31" ht="14.25" customHeight="1" x14ac:dyDescent="0.25">
      <c r="E24" s="19" t="str">
        <f>IF(Tokens!C24="","",Tokens!C24)</f>
        <v>MyRealTest21</v>
      </c>
      <c r="F24"/>
      <c r="G24"/>
      <c r="H24"/>
      <c r="I24"/>
      <c r="J24"/>
      <c r="K24"/>
      <c r="L24" s="16" t="str">
        <f t="shared" si="1"/>
        <v>_</v>
      </c>
      <c r="M24" s="16"/>
      <c r="N24" s="16"/>
      <c r="O24" s="16"/>
      <c r="P24" s="21" t="str">
        <f>IF(F24&lt;&gt;"",HYPERLINK(Settings!$B$5 &amp; "/manage/?network=" &amp; B$8 &amp; "&amp;search=token&amp;account=" &amp; ToMint!$B$5 &amp; "&amp;view=" &amp; ToMint!J24,"TokenSol"),"")</f>
        <v/>
      </c>
      <c r="T24" s="1" t="str">
        <f>"owner=" &amp; Tokens!AW24</f>
        <v>owner=sophie</v>
      </c>
      <c r="U24" s="1" t="str">
        <f t="shared" si="0"/>
        <v>{"name":"MyRealTest21",_x000D_
"symbol":"symbol21",_x000D_
"description":"description21",_x000D_
"seller_fee_basis_points":5017,_x000D_
"image":"https://ipfs.io/ipfs/QmSgeKvQ6F8KoWaiRT4EtedwEAEQJkNmGtQ35meH5tkPXC?visual20.png",_x000D_
"Issuer":"paul",_x000D_
"external_url":"","attributes":[{"trait_type":"Pass festival",_x000D_
"value":"pour deux(2) personnes"},{"trait_type":"avantage21",_x000D_
"value":"accès pour deux (2) personnes à un (1) événement partenaire officiel de Calvi on the Rocks"},{"trait_type":"avantage22",_x000D_
"value":"invitation à la “Soirée off” réservée aux membres NFT pour deux (2) personnes"},{"trait_type":"avantage23",_x000D_
"value":"accès membre pour les after party officielles pour deux (2) personnes"},{"trait_type":"avantage24",_x000D_
"value":"accès prioritaire et bar dédié (consommation à la charge du festivalier) - tables réservées à l'avance pour les « NFT member » pour deux (2) personnes"},{"trait_type":"avantage25",_x000D_
"value":"21 affiche dédicacée et numérotée"},{"trait_type":"nombre de Pass2042",_x000D_
"value":22},{"trait_type":"nombre de Pass2043",_x000D_
"value":22},{"trait_type":"nombre de Pass2044",_x000D_
"value":22},{"trait_type":"avantage29",_x000D_
"value":"https://tokensol.nfluent.io?s=symbol21&amp;platform=ftx"}],"properties":{"creators":[{"address":"paul",_x000D_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4" s="1" t="str">
        <f>formatRow(Tokens!C$2:I$2,Tokens!C24:I24)</f>
        <v>"name":"MyRealTest21",_x000D_
"symbol":"symbol21",_x000D_
"description":"description21",_x000D_
"seller_fee_basis_points":5017,_x000D_
"image":"https://ipfs.io/ipfs/QmSgeKvQ6F8KoWaiRT4EtedwEAEQJkNmGtQ35meH5tkPXC?visual20.png",_x000D_
"Issuer":"paul",_x000D_
"external_url":""</v>
      </c>
      <c r="W24" s="1" t="str">
        <f>formatRow(Tokens!J$2:AC$2,Tokens!J24:AC24,2,"attributes")</f>
        <v>"attributes":[{"trait_type":"Pass festival",_x000D_
"value":"pour deux(2) personnes"},{"trait_type":"avantage21",_x000D_
"value":"accès pour deux (2) personnes à un (1) événement partenaire officiel de Calvi on the Rocks"},{"trait_type":"avantage22",_x000D_
"value":"invitation à la “Soirée off” réservée aux membres NFT pour deux (2) personnes"},{"trait_type":"avantage23",_x000D_
"value":"accès membre pour les after party officielles pour deux (2) personnes"},{"trait_type":"avantage24",_x000D_
"value":"accès prioritaire et bar dédié (consommation à la charge du festivalier) - tables réservées à l'avance pour les « NFT member » pour deux (2) personnes"},{"trait_type":"avantage25",_x000D_
"value":"21 affiche dédicacée et numérotée"},{"trait_type":"nombre de Pass2042",_x000D_
"value":22},{"trait_type":"nombre de Pass2043",_x000D_
"value":22},{"trait_type":"nombre de Pass2044",_x000D_
"value":22},{"trait_type":"avantage29",_x000D_
"value":"https://tokensol.nfluent.io?s=symbol21&amp;platform=ftx"}]</v>
      </c>
      <c r="X24" s="1" t="str">
        <f>formatRow(Tokens!AD$2:AI$2,Tokens!AD24:AI24,2,"creators")</f>
        <v>"creators":[{"address":"paul",_x000D_
"share":10},{"address":"sophie",_x000D_
"share":60},{"address":"roger",_x000D_
"share":30}]</v>
      </c>
      <c r="Y24" s="1" t="str">
        <f>formatRow(Tokens!AJ$2:AO$2,Tokens!AJ24:AO24,2,"files")</f>
        <v>"files":[]</v>
      </c>
      <c r="Z24" s="1"/>
      <c r="AA24" s="1"/>
      <c r="AB24" s="1"/>
      <c r="AC24" s="1" t="str">
        <f>formatRow(Tokens!AP$2:AQ$2,Tokens!AP24:AQ24,0,"collection")</f>
        <v>"collection":{"name":"MyTestCollection",_x000D_
"family":"NFluentCollection"}</v>
      </c>
      <c r="AD24" s="1"/>
      <c r="AE24" s="1"/>
    </row>
    <row r="25" spans="5:31" ht="14.25" customHeight="1" x14ac:dyDescent="0.25">
      <c r="E25" s="19" t="str">
        <f>IF(Tokens!C25="","",Tokens!C25)</f>
        <v>MyRealTest22</v>
      </c>
      <c r="F25"/>
      <c r="G25"/>
      <c r="H25"/>
      <c r="I25"/>
      <c r="J25"/>
      <c r="K25"/>
      <c r="L25" s="16" t="str">
        <f t="shared" si="1"/>
        <v>_</v>
      </c>
      <c r="M25" s="16"/>
      <c r="N25" s="16"/>
      <c r="O25" s="16"/>
      <c r="P25" s="21" t="str">
        <f>IF(F25&lt;&gt;"",HYPERLINK(Settings!$B$5 &amp; "/manage/?network=" &amp; B$8 &amp; "&amp;search=token&amp;account=" &amp; ToMint!$B$5 &amp; "&amp;view=" &amp; ToMint!J25,"TokenSol"),"")</f>
        <v/>
      </c>
      <c r="T25" s="1" t="str">
        <f>"owner=" &amp; Tokens!AW25</f>
        <v>owner=sophie</v>
      </c>
      <c r="U25" s="1" t="str">
        <f t="shared" si="0"/>
        <v>{"name":"MyRealTest22",_x000D_
"symbol":"symbol22",_x000D_
"description":"description22",_x000D_
"seller_fee_basis_points":5018,_x000D_
"image":"https://ipfs.io/ipfs/QmeY6eKQEprT437ensGN16pbEr7rFQwMoXLNELaSoUorap?visual21.png",_x000D_
"Issuer":"paul",_x000D_
"external_url":"","attributes":[{"trait_type":"Pass festival",_x000D_
"value":"pour deux(2) personnes"},{"trait_type":"avantage22",_x000D_
"value":"accès pour deux (2) personnes à un (1) événement partenaire officiel de Calvi on the Rocks"},{"trait_type":"avantage23",_x000D_
"value":"invitation à la “Soirée off” réservée aux membres NFT pour deux (2) personnes"},{"trait_type":"avantage24",_x000D_
"value":"accès membre pour les after party officielles pour deux (2) personnes"},{"trait_type":"avantage25",_x000D_
"value":"accès prioritaire et bar dédié (consommation à la charge du festivalier) - tables réservées à l'avance pour les « NFT member » pour deux (2) personnes"},{"trait_type":"avantage26",_x000D_
"value":"22 affiche dédicacée et numérotée"},{"trait_type":"nombre de Pass2043",_x000D_
"value":23},{"trait_type":"nombre de Pass2044",_x000D_
"value":23},{"trait_type":"nombre de Pass2045",_x000D_
"value":23},{"trait_type":"avantage30",_x000D_
"value":"https://tokensol.nfluent.io?s=symbol22&amp;platform=ftx"}],"properties":{"creators":[{"address":"paul",_x000D_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5" s="1" t="str">
        <f>formatRow(Tokens!C$2:I$2,Tokens!C25:I25)</f>
        <v>"name":"MyRealTest22",_x000D_
"symbol":"symbol22",_x000D_
"description":"description22",_x000D_
"seller_fee_basis_points":5018,_x000D_
"image":"https://ipfs.io/ipfs/QmeY6eKQEprT437ensGN16pbEr7rFQwMoXLNELaSoUorap?visual21.png",_x000D_
"Issuer":"paul",_x000D_
"external_url":""</v>
      </c>
      <c r="W25" s="1" t="str">
        <f>formatRow(Tokens!J$2:AC$2,Tokens!J25:AC25,2,"attributes")</f>
        <v>"attributes":[{"trait_type":"Pass festival",_x000D_
"value":"pour deux(2) personnes"},{"trait_type":"avantage22",_x000D_
"value":"accès pour deux (2) personnes à un (1) événement partenaire officiel de Calvi on the Rocks"},{"trait_type":"avantage23",_x000D_
"value":"invitation à la “Soirée off” réservée aux membres NFT pour deux (2) personnes"},{"trait_type":"avantage24",_x000D_
"value":"accès membre pour les after party officielles pour deux (2) personnes"},{"trait_type":"avantage25",_x000D_
"value":"accès prioritaire et bar dédié (consommation à la charge du festivalier) - tables réservées à l'avance pour les « NFT member » pour deux (2) personnes"},{"trait_type":"avantage26",_x000D_
"value":"22 affiche dédicacée et numérotée"},{"trait_type":"nombre de Pass2043",_x000D_
"value":23},{"trait_type":"nombre de Pass2044",_x000D_
"value":23},{"trait_type":"nombre de Pass2045",_x000D_
"value":23},{"trait_type":"avantage30",_x000D_
"value":"https://tokensol.nfluent.io?s=symbol22&amp;platform=ftx"}]</v>
      </c>
      <c r="X25" s="1" t="str">
        <f>formatRow(Tokens!AD$2:AI$2,Tokens!AD25:AI25,2,"creators")</f>
        <v>"creators":[{"address":"paul",_x000D_
"share":10},{"address":"sophie",_x000D_
"share":60},{"address":"roger",_x000D_
"share":30}]</v>
      </c>
      <c r="Y25" s="1" t="str">
        <f>formatRow(Tokens!AJ$2:AO$2,Tokens!AJ25:AO25,2,"files")</f>
        <v>"files":[]</v>
      </c>
      <c r="Z25" s="1"/>
      <c r="AA25" s="1"/>
      <c r="AB25" s="1"/>
      <c r="AC25" s="1" t="str">
        <f>formatRow(Tokens!AP$2:AQ$2,Tokens!AP25:AQ25,0,"collection")</f>
        <v>"collection":{"name":"MyTestCollection",_x000D_
"family":"NFluentCollection"}</v>
      </c>
      <c r="AD25" s="1"/>
      <c r="AE25" s="1"/>
    </row>
    <row r="26" spans="5:31" ht="14.25" customHeight="1" x14ac:dyDescent="0.25">
      <c r="E26" s="19" t="str">
        <f>IF(Tokens!C26="","",Tokens!C26)</f>
        <v>MyRealTest23</v>
      </c>
      <c r="F26"/>
      <c r="G26"/>
      <c r="H26"/>
      <c r="I26"/>
      <c r="J26"/>
      <c r="K26"/>
      <c r="L26" s="16" t="str">
        <f t="shared" si="1"/>
        <v>_</v>
      </c>
      <c r="M26" s="16"/>
      <c r="N26" s="16"/>
      <c r="O26" s="16"/>
      <c r="P26" s="21" t="str">
        <f>IF(F26&lt;&gt;"",HYPERLINK(Settings!$B$5 &amp; "/manage/?network=" &amp; B$8 &amp; "&amp;search=token&amp;account=" &amp; ToMint!$B$5 &amp; "&amp;view=" &amp; ToMint!J26,"TokenSol"),"")</f>
        <v/>
      </c>
      <c r="T26" s="1" t="str">
        <f>"owner=" &amp; Tokens!AW26</f>
        <v>owner=sophie</v>
      </c>
      <c r="U26" s="1" t="str">
        <f t="shared" si="0"/>
        <v>{"name":"MyRealTest23",_x000D_
"symbol":"symbol23",_x000D_
"description":"description23",_x000D_
"seller_fee_basis_points":5019,_x000D_
"image":"https://ipfs.io/ipfs/Qmf8S4JLmWVrgXinfmCmZQCAyZvmSexf6utjmiSkYcE5xe?visual22.png",_x000D_
"Issuer":"paul",_x000D_
"external_url":"","attributes":[{"trait_type":"Pass festival",_x000D_
"value":"pour deux(2) personnes"},{"trait_type":"avantage23",_x000D_
"value":"accès pour deux (2) personnes à un (1) événement partenaire officiel de Calvi on the Rocks"},{"trait_type":"avantage24",_x000D_
"value":"invitation à la “Soirée off” réservée aux membres NFT pour deux (2) personnes"},{"trait_type":"avantage25",_x000D_
"value":"accès membre pour les after party officielles pour deux (2) personnes"},{"trait_type":"avantage26",_x000D_
"value":"accès prioritaire et bar dédié (consommation à la charge du festivalier) - tables réservées à l'avance pour les « NFT member » pour deux (2) personnes"},{"trait_type":"avantage27",_x000D_
"value":"23 affiche dédicacée et numérotée"},{"trait_type":"nombre de Pass2044",_x000D_
"value":24},{"trait_type":"nombre de Pass2045",_x000D_
"value":24},{"trait_type":"nombre de Pass2046",_x000D_
"value":24},{"trait_type":"avantage31",_x000D_
"value":"https://tokensol.nfluent.io?s=symbol23&amp;platform=ftx"}],"properties":{"creators":[{"address":"paul",_x000D_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6" s="1" t="str">
        <f>formatRow(Tokens!C$2:I$2,Tokens!C26:I26)</f>
        <v>"name":"MyRealTest23",_x000D_
"symbol":"symbol23",_x000D_
"description":"description23",_x000D_
"seller_fee_basis_points":5019,_x000D_
"image":"https://ipfs.io/ipfs/Qmf8S4JLmWVrgXinfmCmZQCAyZvmSexf6utjmiSkYcE5xe?visual22.png",_x000D_
"Issuer":"paul",_x000D_
"external_url":""</v>
      </c>
      <c r="W26" s="1" t="str">
        <f>formatRow(Tokens!J$2:AC$2,Tokens!J26:AC26,2,"attributes")</f>
        <v>"attributes":[{"trait_type":"Pass festival",_x000D_
"value":"pour deux(2) personnes"},{"trait_type":"avantage23",_x000D_
"value":"accès pour deux (2) personnes à un (1) événement partenaire officiel de Calvi on the Rocks"},{"trait_type":"avantage24",_x000D_
"value":"invitation à la “Soirée off” réservée aux membres NFT pour deux (2) personnes"},{"trait_type":"avantage25",_x000D_
"value":"accès membre pour les after party officielles pour deux (2) personnes"},{"trait_type":"avantage26",_x000D_
"value":"accès prioritaire et bar dédié (consommation à la charge du festivalier) - tables réservées à l'avance pour les « NFT member » pour deux (2) personnes"},{"trait_type":"avantage27",_x000D_
"value":"23 affiche dédicacée et numérotée"},{"trait_type":"nombre de Pass2044",_x000D_
"value":24},{"trait_type":"nombre de Pass2045",_x000D_
"value":24},{"trait_type":"nombre de Pass2046",_x000D_
"value":24},{"trait_type":"avantage31",_x000D_
"value":"https://tokensol.nfluent.io?s=symbol23&amp;platform=ftx"}]</v>
      </c>
      <c r="X26" s="1" t="str">
        <f>formatRow(Tokens!AD$2:AI$2,Tokens!AD26:AI26,2,"creators")</f>
        <v>"creators":[{"address":"paul",_x000D_
"share":10},{"address":"sophie",_x000D_
"share":60},{"address":"roger",_x000D_
"share":30}]</v>
      </c>
      <c r="Y26" s="1" t="str">
        <f>formatRow(Tokens!AJ$2:AO$2,Tokens!AJ26:AO26,2,"files")</f>
        <v>"files":[]</v>
      </c>
      <c r="Z26" s="1"/>
      <c r="AA26" s="1"/>
      <c r="AB26" s="1"/>
      <c r="AC26" s="1" t="str">
        <f>formatRow(Tokens!AP$2:AQ$2,Tokens!AP26:AQ26,0,"collection")</f>
        <v>"collection":{"name":"MyTestCollection",_x000D_
"family":"NFluentCollection"}</v>
      </c>
      <c r="AD26" s="1"/>
      <c r="AE26" s="1"/>
    </row>
    <row r="27" spans="5:31" ht="14.25" customHeight="1" x14ac:dyDescent="0.25">
      <c r="E27" s="19" t="str">
        <f>IF(Tokens!C27="","",Tokens!C27)</f>
        <v>MyRealTest24</v>
      </c>
      <c r="F27"/>
      <c r="G27"/>
      <c r="H27"/>
      <c r="I27"/>
      <c r="J27"/>
      <c r="K27"/>
      <c r="L27" s="16" t="str">
        <f t="shared" si="1"/>
        <v>_</v>
      </c>
      <c r="M27" s="16"/>
      <c r="N27" s="16"/>
      <c r="O27" s="16"/>
      <c r="P27" s="21" t="str">
        <f>IF(F27&lt;&gt;"",HYPERLINK(Settings!$B$5 &amp; "/manage/?network=" &amp; B$8 &amp; "&amp;search=token&amp;account=" &amp; ToMint!$B$5 &amp; "&amp;view=" &amp; ToMint!J27,"TokenSol"),"")</f>
        <v/>
      </c>
      <c r="T27" s="1" t="str">
        <f>"owner=" &amp; Tokens!AW27</f>
        <v>owner=sophie</v>
      </c>
      <c r="U27" s="1" t="str">
        <f t="shared" si="0"/>
        <v>{"name":"MyRealTest24",_x000D_
"symbol":"symbol24",_x000D_
"description":"description24",_x000D_
"seller_fee_basis_points":5020,_x000D_
"image":"https://ipfs.io/ipfs/QmWqiQwVmJaRMLq3zandGyJ2EnDNf6xG55rGqaxfBxXQXe?visual23.png",_x000D_
"Issuer":"paul",_x000D_
"external_url":"","attributes":[{"trait_type":"Pass festival",_x000D_
"value":"pour deux(2) personnes"},{"trait_type":"avantage24",_x000D_
"value":"accès pour deux (2) personnes à un (1) événement partenaire officiel de Calvi on the Rocks"},{"trait_type":"avantage25",_x000D_
"value":"invitation à la “Soirée off” réservée aux membres NFT pour deux (2) personnes"},{"trait_type":"avantage26",_x000D_
"value":"accès membre pour les after party officielles pour deux (2) personnes"},{"trait_type":"avantage27",_x000D_
"value":"accès prioritaire et bar dédié (consommation à la charge du festivalier) - tables réservées à l'avance pour les « NFT member » pour deux (2) personnes"},{"trait_type":"avantage28",_x000D_
"value":"24 affiche dédicacée et numérotée"},{"trait_type":"nombre de Pass2045",_x000D_
"value":25},{"trait_type":"nombre de Pass2046",_x000D_
"value":25},{"trait_type":"nombre de Pass2047",_x000D_
"value":25},{"trait_type":"avantage32",_x000D_
"value":"https://tokensol.nfluent.io?s=symbol24&amp;platform=ftx"}],"properties":{"creators":[{"address":"paul",_x000D_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7" s="1" t="str">
        <f>formatRow(Tokens!C$2:I$2,Tokens!C27:I27)</f>
        <v>"name":"MyRealTest24",_x000D_
"symbol":"symbol24",_x000D_
"description":"description24",_x000D_
"seller_fee_basis_points":5020,_x000D_
"image":"https://ipfs.io/ipfs/QmWqiQwVmJaRMLq3zandGyJ2EnDNf6xG55rGqaxfBxXQXe?visual23.png",_x000D_
"Issuer":"paul",_x000D_
"external_url":""</v>
      </c>
      <c r="W27" s="1" t="str">
        <f>formatRow(Tokens!J$2:AC$2,Tokens!J27:AC27,2,"attributes")</f>
        <v>"attributes":[{"trait_type":"Pass festival",_x000D_
"value":"pour deux(2) personnes"},{"trait_type":"avantage24",_x000D_
"value":"accès pour deux (2) personnes à un (1) événement partenaire officiel de Calvi on the Rocks"},{"trait_type":"avantage25",_x000D_
"value":"invitation à la “Soirée off” réservée aux membres NFT pour deux (2) personnes"},{"trait_type":"avantage26",_x000D_
"value":"accès membre pour les after party officielles pour deux (2) personnes"},{"trait_type":"avantage27",_x000D_
"value":"accès prioritaire et bar dédié (consommation à la charge du festivalier) - tables réservées à l'avance pour les « NFT member » pour deux (2) personnes"},{"trait_type":"avantage28",_x000D_
"value":"24 affiche dédicacée et numérotée"},{"trait_type":"nombre de Pass2045",_x000D_
"value":25},{"trait_type":"nombre de Pass2046",_x000D_
"value":25},{"trait_type":"nombre de Pass2047",_x000D_
"value":25},{"trait_type":"avantage32",_x000D_
"value":"https://tokensol.nfluent.io?s=symbol24&amp;platform=ftx"}]</v>
      </c>
      <c r="X27" s="1" t="str">
        <f>formatRow(Tokens!AD$2:AI$2,Tokens!AD27:AI27,2,"creators")</f>
        <v>"creators":[{"address":"paul",_x000D_
"share":10},{"address":"sophie",_x000D_
"share":60},{"address":"roger",_x000D_
"share":30}]</v>
      </c>
      <c r="Y27" s="1" t="str">
        <f>formatRow(Tokens!AJ$2:AO$2,Tokens!AJ27:AO27,2,"files")</f>
        <v>"files":[]</v>
      </c>
      <c r="Z27" s="1"/>
      <c r="AA27" s="1"/>
      <c r="AB27" s="1"/>
      <c r="AC27" s="1" t="str">
        <f>formatRow(Tokens!AP$2:AQ$2,Tokens!AP27:AQ27,0,"collection")</f>
        <v>"collection":{"name":"MyTestCollection",_x000D_
"family":"NFluentCollection"}</v>
      </c>
      <c r="AD27" s="1"/>
      <c r="AE27" s="1"/>
    </row>
    <row r="28" spans="5:31" ht="14.25" customHeight="1" x14ac:dyDescent="0.25">
      <c r="E28" s="19" t="str">
        <f>IF(Tokens!C28="","",Tokens!C28)</f>
        <v>MyRealTest25</v>
      </c>
      <c r="F28"/>
      <c r="G28"/>
      <c r="H28"/>
      <c r="I28"/>
      <c r="J28"/>
      <c r="K28"/>
      <c r="L28" s="16" t="str">
        <f t="shared" si="1"/>
        <v>_</v>
      </c>
      <c r="M28" s="16"/>
      <c r="N28" s="16"/>
      <c r="O28" s="16"/>
      <c r="P28" s="21" t="str">
        <f>IF(F28&lt;&gt;"",HYPERLINK(Settings!$B$5 &amp; "/manage/?network=" &amp; B$8 &amp; "&amp;search=token&amp;account=" &amp; ToMint!$B$5 &amp; "&amp;view=" &amp; ToMint!J28,"TokenSol"),"")</f>
        <v/>
      </c>
      <c r="T28" s="1" t="str">
        <f>"owner=" &amp; Tokens!AW28</f>
        <v>owner=sophie</v>
      </c>
      <c r="U28" s="1" t="str">
        <f t="shared" si="0"/>
        <v>{"name":"MyRealTest25",_x000D_
"symbol":"symbol25",_x000D_
"description":"description25",_x000D_
"seller_fee_basis_points":5021,_x000D_
"image":"https://ipfs.io/ipfs/QmU2eggWnhykUtBdXZjbfGpEoELtv17zZqL2gfthmeSp98?visual24.png",_x000D_
"Issuer":"paul",_x000D_
"external_url":"","attributes":[{"trait_type":"Pass festival",_x000D_
"value":"pour deux(2) personnes"},{"trait_type":"avantage25",_x000D_
"value":"accès pour deux (2) personnes à un (1) événement partenaire officiel de Calvi on the Rocks"},{"trait_type":"avantage26",_x000D_
"value":"invitation à la “Soirée off” réservée aux membres NFT pour deux (2) personnes"},{"trait_type":"avantage27",_x000D_
"value":"accès membre pour les after party officielles pour deux (2) personnes"},{"trait_type":"avantage28",_x000D_
"value":"accès prioritaire et bar dédié (consommation à la charge du festivalier) - tables réservées à l'avance pour les « NFT member » pour deux (2) personnes"},{"trait_type":"avantage29",_x000D_
"value":"25 affiche dédicacée et numérotée"},{"trait_type":"nombre de Pass2046",_x000D_
"value":26},{"trait_type":"nombre de Pass2047",_x000D_
"value":26},{"trait_type":"nombre de Pass2048",_x000D_
"value":26},{"trait_type":"avantage33",_x000D_
"value":"https://tokensol.nfluent.io?s=symbol25&amp;platform=ftx"}],"properties":{"creators":[{"address":"paul",_x000D_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8" s="1" t="str">
        <f>formatRow(Tokens!C$2:I$2,Tokens!C28:I28)</f>
        <v>"name":"MyRealTest25",_x000D_
"symbol":"symbol25",_x000D_
"description":"description25",_x000D_
"seller_fee_basis_points":5021,_x000D_
"image":"https://ipfs.io/ipfs/QmU2eggWnhykUtBdXZjbfGpEoELtv17zZqL2gfthmeSp98?visual24.png",_x000D_
"Issuer":"paul",_x000D_
"external_url":""</v>
      </c>
      <c r="W28" s="1" t="str">
        <f>formatRow(Tokens!J$2:AC$2,Tokens!J28:AC28,2,"attributes")</f>
        <v>"attributes":[{"trait_type":"Pass festival",_x000D_
"value":"pour deux(2) personnes"},{"trait_type":"avantage25",_x000D_
"value":"accès pour deux (2) personnes à un (1) événement partenaire officiel de Calvi on the Rocks"},{"trait_type":"avantage26",_x000D_
"value":"invitation à la “Soirée off” réservée aux membres NFT pour deux (2) personnes"},{"trait_type":"avantage27",_x000D_
"value":"accès membre pour les after party officielles pour deux (2) personnes"},{"trait_type":"avantage28",_x000D_
"value":"accès prioritaire et bar dédié (consommation à la charge du festivalier) - tables réservées à l'avance pour les « NFT member » pour deux (2) personnes"},{"trait_type":"avantage29",_x000D_
"value":"25 affiche dédicacée et numérotée"},{"trait_type":"nombre de Pass2046",_x000D_
"value":26},{"trait_type":"nombre de Pass2047",_x000D_
"value":26},{"trait_type":"nombre de Pass2048",_x000D_
"value":26},{"trait_type":"avantage33",_x000D_
"value":"https://tokensol.nfluent.io?s=symbol25&amp;platform=ftx"}]</v>
      </c>
      <c r="X28" s="1" t="str">
        <f>formatRow(Tokens!AD$2:AI$2,Tokens!AD28:AI28,2,"creators")</f>
        <v>"creators":[{"address":"paul",_x000D_
"share":10},{"address":"sophie",_x000D_
"share":60},{"address":"roger",_x000D_
"share":30}]</v>
      </c>
      <c r="Y28" s="1" t="str">
        <f>formatRow(Tokens!AJ$2:AO$2,Tokens!AJ28:AO28,2,"files")</f>
        <v>"files":[]</v>
      </c>
      <c r="Z28" s="1"/>
      <c r="AA28" s="1"/>
      <c r="AB28" s="1"/>
      <c r="AC28" s="1" t="str">
        <f>formatRow(Tokens!AP$2:AQ$2,Tokens!AP28:AQ28,0,"collection")</f>
        <v>"collection":{"name":"MyTestCollection",_x000D_
"family":"NFluentCollection"}</v>
      </c>
      <c r="AD28" s="1"/>
      <c r="AE28" s="1"/>
    </row>
    <row r="29" spans="5:31" ht="14.25" customHeight="1" x14ac:dyDescent="0.25">
      <c r="E29" s="19" t="str">
        <f>IF(Tokens!C29="","",Tokens!C29)</f>
        <v>MyRealTest26</v>
      </c>
      <c r="F29"/>
      <c r="G29"/>
      <c r="H29"/>
      <c r="I29"/>
      <c r="J29"/>
      <c r="K29"/>
      <c r="L29" s="16" t="str">
        <f t="shared" si="1"/>
        <v>_</v>
      </c>
      <c r="M29" s="16"/>
      <c r="N29" s="16"/>
      <c r="O29" s="16"/>
      <c r="P29" s="21" t="str">
        <f>IF(F29&lt;&gt;"",HYPERLINK(Settings!$B$5 &amp; "/manage/?network=" &amp; B$8 &amp; "&amp;search=token&amp;account=" &amp; ToMint!$B$5 &amp; "&amp;view=" &amp; ToMint!J29,"TokenSol"),"")</f>
        <v/>
      </c>
      <c r="T29" s="1" t="str">
        <f>"owner=" &amp; Tokens!AW29</f>
        <v>owner=sophie</v>
      </c>
      <c r="U29" s="1" t="str">
        <f t="shared" si="0"/>
        <v>{"name":"MyRealTest26",_x000D_
"symbol":"symbol26",_x000D_
"description":"description26",_x000D_
"seller_fee_basis_points":5022,_x000D_
"image":"https://ipfs.io/ipfs/QmYy5vPfLvar2Z8x9yh5kCPYQ1gQGCo4PodwtG7fy8VnHJ?visual25.png",_x000D_
"Issuer":"paul",_x000D_
"external_url":"","attributes":[{"trait_type":"Pass festival",_x000D_
"value":"pour deux(2) personnes"},{"trait_type":"avantage26",_x000D_
"value":"accès pour deux (2) personnes à un (1) événement partenaire officiel de Calvi on the Rocks"},{"trait_type":"avantage27",_x000D_
"value":"invitation à la “Soirée off” réservée aux membres NFT pour deux (2) personnes"},{"trait_type":"avantage28",_x000D_
"value":"accès membre pour les after party officielles pour deux (2) personnes"},{"trait_type":"avantage29",_x000D_
"value":"accès prioritaire et bar dédié (consommation à la charge du festivalier) - tables réservées à l'avance pour les « NFT member » pour deux (2) personnes"},{"trait_type":"avantage30",_x000D_
"value":"26 affiche dédicacée et numérotée"},{"trait_type":"nombre de Pass2047",_x000D_
"value":27},{"trait_type":"nombre de Pass2048",_x000D_
"value":27},{"trait_type":"nombre de Pass2049",_x000D_
"value":27},{"trait_type":"avantage34",_x000D_
"value":"https://tokensol.nfluent.io?s=symbol26&amp;platform=ftx"}],"properties":{"creators":[{"address":"paul",_x000D_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29" s="1" t="str">
        <f>formatRow(Tokens!C$2:I$2,Tokens!C29:I29)</f>
        <v>"name":"MyRealTest26",_x000D_
"symbol":"symbol26",_x000D_
"description":"description26",_x000D_
"seller_fee_basis_points":5022,_x000D_
"image":"https://ipfs.io/ipfs/QmYy5vPfLvar2Z8x9yh5kCPYQ1gQGCo4PodwtG7fy8VnHJ?visual25.png",_x000D_
"Issuer":"paul",_x000D_
"external_url":""</v>
      </c>
      <c r="W29" s="1" t="str">
        <f>formatRow(Tokens!J$2:AC$2,Tokens!J29:AC29,2,"attributes")</f>
        <v>"attributes":[{"trait_type":"Pass festival",_x000D_
"value":"pour deux(2) personnes"},{"trait_type":"avantage26",_x000D_
"value":"accès pour deux (2) personnes à un (1) événement partenaire officiel de Calvi on the Rocks"},{"trait_type":"avantage27",_x000D_
"value":"invitation à la “Soirée off” réservée aux membres NFT pour deux (2) personnes"},{"trait_type":"avantage28",_x000D_
"value":"accès membre pour les after party officielles pour deux (2) personnes"},{"trait_type":"avantage29",_x000D_
"value":"accès prioritaire et bar dédié (consommation à la charge du festivalier) - tables réservées à l'avance pour les « NFT member » pour deux (2) personnes"},{"trait_type":"avantage30",_x000D_
"value":"26 affiche dédicacée et numérotée"},{"trait_type":"nombre de Pass2047",_x000D_
"value":27},{"trait_type":"nombre de Pass2048",_x000D_
"value":27},{"trait_type":"nombre de Pass2049",_x000D_
"value":27},{"trait_type":"avantage34",_x000D_
"value":"https://tokensol.nfluent.io?s=symbol26&amp;platform=ftx"}]</v>
      </c>
      <c r="X29" s="1" t="str">
        <f>formatRow(Tokens!AD$2:AI$2,Tokens!AD29:AI29,2,"creators")</f>
        <v>"creators":[{"address":"paul",_x000D_
"share":10},{"address":"sophie",_x000D_
"share":60},{"address":"roger",_x000D_
"share":30}]</v>
      </c>
      <c r="Y29" s="1" t="str">
        <f>formatRow(Tokens!AJ$2:AO$2,Tokens!AJ29:AO29,2,"files")</f>
        <v>"files":[]</v>
      </c>
      <c r="Z29" s="1"/>
      <c r="AA29" s="1"/>
      <c r="AB29" s="1"/>
      <c r="AC29" s="1" t="str">
        <f>formatRow(Tokens!AP$2:AQ$2,Tokens!AP29:AQ29,0,"collection")</f>
        <v>"collection":{"name":"MyTestCollection",_x000D_
"family":"NFluentCollection"}</v>
      </c>
      <c r="AD29" s="1"/>
      <c r="AE29" s="1"/>
    </row>
    <row r="30" spans="5:31" ht="14.25" customHeight="1" x14ac:dyDescent="0.25">
      <c r="E30" s="19" t="str">
        <f>IF(Tokens!C30="","",Tokens!C30)</f>
        <v>MyRealTest27</v>
      </c>
      <c r="F30"/>
      <c r="G30"/>
      <c r="H30"/>
      <c r="I30"/>
      <c r="J30"/>
      <c r="K30"/>
      <c r="L30" s="16" t="str">
        <f t="shared" si="1"/>
        <v>_</v>
      </c>
      <c r="M30" s="16"/>
      <c r="N30" s="16"/>
      <c r="O30" s="16"/>
      <c r="P30" s="21" t="str">
        <f>IF(F30&lt;&gt;"",HYPERLINK(Settings!$B$5 &amp; "/manage/?network=" &amp; B$8 &amp; "&amp;search=token&amp;account=" &amp; ToMint!$B$5 &amp; "&amp;view=" &amp; ToMint!J30,"TokenSol"),"")</f>
        <v/>
      </c>
      <c r="T30" s="1" t="str">
        <f>"owner=" &amp; Tokens!AW30</f>
        <v>owner=sophie</v>
      </c>
      <c r="U30" s="1" t="str">
        <f t="shared" si="0"/>
        <v>{"name":"MyRealTest27",_x000D_
"symbol":"symbol27",_x000D_
"description":"description27",_x000D_
"seller_fee_basis_points":5023,_x000D_
"image":"https://ipfs.io/ipfs/QmZd4sMEvfH3LcGhornmDz74XbWCPFpkoFt8KHrWsYKy5T?visual26.png",_x000D_
"Issuer":"paul",_x000D_
"external_url":"","attributes":[{"trait_type":"Pass festival",_x000D_
"value":"pour deux(2) personnes"},{"trait_type":"avantage27",_x000D_
"value":"accès pour deux (2) personnes à un (1) événement partenaire officiel de Calvi on the Rocks"},{"trait_type":"avantage28",_x000D_
"value":"invitation à la “Soirée off” réservée aux membres NFT pour deux (2) personnes"},{"trait_type":"avantage29",_x000D_
"value":"accès membre pour les after party officielles pour deux (2) personnes"},{"trait_type":"avantage30",_x000D_
"value":"accès prioritaire et bar dédié (consommation à la charge du festivalier) - tables réservées à l'avance pour les « NFT member » pour deux (2) personnes"},{"trait_type":"avantage31",_x000D_
"value":"27 affiche dédicacée et numérotée"},{"trait_type":"nombre de Pass2048",_x000D_
"value":28},{"trait_type":"nombre de Pass2049",_x000D_
"value":28},{"trait_type":"nombre de Pass2050",_x000D_
"value":28},{"trait_type":"avantage35",_x000D_
"value":"https://tokensol.nfluent.io?s=symbol27&amp;platform=ftx"}],"properties":{"creators":[{"address":"paul",_x000D_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0" s="1" t="str">
        <f>formatRow(Tokens!C$2:I$2,Tokens!C30:I30)</f>
        <v>"name":"MyRealTest27",_x000D_
"symbol":"symbol27",_x000D_
"description":"description27",_x000D_
"seller_fee_basis_points":5023,_x000D_
"image":"https://ipfs.io/ipfs/QmZd4sMEvfH3LcGhornmDz74XbWCPFpkoFt8KHrWsYKy5T?visual26.png",_x000D_
"Issuer":"paul",_x000D_
"external_url":""</v>
      </c>
      <c r="W30" s="1" t="str">
        <f>formatRow(Tokens!J$2:AC$2,Tokens!J30:AC30,2,"attributes")</f>
        <v>"attributes":[{"trait_type":"Pass festival",_x000D_
"value":"pour deux(2) personnes"},{"trait_type":"avantage27",_x000D_
"value":"accès pour deux (2) personnes à un (1) événement partenaire officiel de Calvi on the Rocks"},{"trait_type":"avantage28",_x000D_
"value":"invitation à la “Soirée off” réservée aux membres NFT pour deux (2) personnes"},{"trait_type":"avantage29",_x000D_
"value":"accès membre pour les after party officielles pour deux (2) personnes"},{"trait_type":"avantage30",_x000D_
"value":"accès prioritaire et bar dédié (consommation à la charge du festivalier) - tables réservées à l'avance pour les « NFT member » pour deux (2) personnes"},{"trait_type":"avantage31",_x000D_
"value":"27 affiche dédicacée et numérotée"},{"trait_type":"nombre de Pass2048",_x000D_
"value":28},{"trait_type":"nombre de Pass2049",_x000D_
"value":28},{"trait_type":"nombre de Pass2050",_x000D_
"value":28},{"trait_type":"avantage35",_x000D_
"value":"https://tokensol.nfluent.io?s=symbol27&amp;platform=ftx"}]</v>
      </c>
      <c r="X30" s="1" t="str">
        <f>formatRow(Tokens!AD$2:AI$2,Tokens!AD30:AI30,2,"creators")</f>
        <v>"creators":[{"address":"paul",_x000D_
"share":10},{"address":"sophie",_x000D_
"share":60},{"address":"roger",_x000D_
"share":30}]</v>
      </c>
      <c r="Y30" s="1" t="str">
        <f>formatRow(Tokens!AJ$2:AO$2,Tokens!AJ30:AO30,2,"files")</f>
        <v>"files":[]</v>
      </c>
      <c r="Z30" s="1"/>
      <c r="AA30" s="1"/>
      <c r="AB30" s="1"/>
      <c r="AC30" s="1" t="str">
        <f>formatRow(Tokens!AP$2:AQ$2,Tokens!AP30:AQ30,0,"collection")</f>
        <v>"collection":{"name":"MyTestCollection",_x000D_
"family":"NFluentCollection"}</v>
      </c>
      <c r="AD30" s="1"/>
      <c r="AE30" s="1"/>
    </row>
    <row r="31" spans="5:31" ht="14.25" customHeight="1" x14ac:dyDescent="0.25">
      <c r="E31" s="19" t="str">
        <f>IF(Tokens!C31="","",Tokens!C31)</f>
        <v>MyRealTest28</v>
      </c>
      <c r="F31"/>
      <c r="G31"/>
      <c r="H31"/>
      <c r="I31"/>
      <c r="J31"/>
      <c r="K31"/>
      <c r="L31" s="16" t="str">
        <f t="shared" si="1"/>
        <v>_</v>
      </c>
      <c r="M31" s="16"/>
      <c r="N31" s="16"/>
      <c r="O31" s="16"/>
      <c r="P31" s="21" t="str">
        <f>IF(F31&lt;&gt;"",HYPERLINK(Settings!$B$5 &amp; "/manage/?network=" &amp; B$8 &amp; "&amp;search=token&amp;account=" &amp; ToMint!$B$5 &amp; "&amp;view=" &amp; ToMint!J31,"TokenSol"),"")</f>
        <v/>
      </c>
      <c r="T31" s="1" t="str">
        <f>"owner=" &amp; Tokens!AW31</f>
        <v>owner=sophie</v>
      </c>
      <c r="U31" s="1" t="str">
        <f t="shared" si="0"/>
        <v>{"name":"MyRealTest28",_x000D_
"symbol":"symbol28",_x000D_
"description":"description28",_x000D_
"seller_fee_basis_points":5024,_x000D_
"image":"https://ipfs.io/ipfs/QmYiKmEGqHQ7zKGpsKpKQhA324sYVkgbmt5StGRgKhPfnT?visual27.png",_x000D_
"Issuer":"paul",_x000D_
"external_url":"","attributes":[{"trait_type":"Pass festival",_x000D_
"value":"pour deux(2) personnes"},{"trait_type":"avantage28",_x000D_
"value":"accès pour deux (2) personnes à un (1) événement partenaire officiel de Calvi on the Rocks"},{"trait_type":"avantage29",_x000D_
"value":"invitation à la “Soirée off” réservée aux membres NFT pour deux (2) personnes"},{"trait_type":"avantage30",_x000D_
"value":"accès membre pour les after party officielles pour deux (2) personnes"},{"trait_type":"avantage31",_x000D_
"value":"accès prioritaire et bar dédié (consommation à la charge du festivalier) - tables réservées à l'avance pour les « NFT member » pour deux (2) personnes"},{"trait_type":"avantage32",_x000D_
"value":"28 affiche dédicacée et numérotée"},{"trait_type":"nombre de Pass2049",_x000D_
"value":29},{"trait_type":"nombre de Pass2050",_x000D_
"value":29},{"trait_type":"nombre de Pass2051",_x000D_
"value":29},{"trait_type":"avantage36",_x000D_
"value":"https://tokensol.nfluent.io?s=symbol28&amp;platform=ftx"}],"properties":{"creators":[{"address":"paul",_x000D_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1" s="1" t="str">
        <f>formatRow(Tokens!C$2:I$2,Tokens!C31:I31)</f>
        <v>"name":"MyRealTest28",_x000D_
"symbol":"symbol28",_x000D_
"description":"description28",_x000D_
"seller_fee_basis_points":5024,_x000D_
"image":"https://ipfs.io/ipfs/QmYiKmEGqHQ7zKGpsKpKQhA324sYVkgbmt5StGRgKhPfnT?visual27.png",_x000D_
"Issuer":"paul",_x000D_
"external_url":""</v>
      </c>
      <c r="W31" s="1" t="str">
        <f>formatRow(Tokens!J$2:AC$2,Tokens!J31:AC31,2,"attributes")</f>
        <v>"attributes":[{"trait_type":"Pass festival",_x000D_
"value":"pour deux(2) personnes"},{"trait_type":"avantage28",_x000D_
"value":"accès pour deux (2) personnes à un (1) événement partenaire officiel de Calvi on the Rocks"},{"trait_type":"avantage29",_x000D_
"value":"invitation à la “Soirée off” réservée aux membres NFT pour deux (2) personnes"},{"trait_type":"avantage30",_x000D_
"value":"accès membre pour les after party officielles pour deux (2) personnes"},{"trait_type":"avantage31",_x000D_
"value":"accès prioritaire et bar dédié (consommation à la charge du festivalier) - tables réservées à l'avance pour les « NFT member » pour deux (2) personnes"},{"trait_type":"avantage32",_x000D_
"value":"28 affiche dédicacée et numérotée"},{"trait_type":"nombre de Pass2049",_x000D_
"value":29},{"trait_type":"nombre de Pass2050",_x000D_
"value":29},{"trait_type":"nombre de Pass2051",_x000D_
"value":29},{"trait_type":"avantage36",_x000D_
"value":"https://tokensol.nfluent.io?s=symbol28&amp;platform=ftx"}]</v>
      </c>
      <c r="X31" s="1" t="str">
        <f>formatRow(Tokens!AD$2:AI$2,Tokens!AD31:AI31,2,"creators")</f>
        <v>"creators":[{"address":"paul",_x000D_
"share":10},{"address":"sophie",_x000D_
"share":60},{"address":"roger",_x000D_
"share":30}]</v>
      </c>
      <c r="Y31" s="1" t="str">
        <f>formatRow(Tokens!AJ$2:AO$2,Tokens!AJ31:AO31,2,"files")</f>
        <v>"files":[]</v>
      </c>
      <c r="Z31" s="1"/>
      <c r="AA31" s="1"/>
      <c r="AB31" s="1"/>
      <c r="AC31" s="1" t="str">
        <f>formatRow(Tokens!AP$2:AQ$2,Tokens!AP31:AQ31,0,"collection")</f>
        <v>"collection":{"name":"MyTestCollection",_x000D_
"family":"NFluentCollection"}</v>
      </c>
      <c r="AD31" s="1"/>
      <c r="AE31" s="1"/>
    </row>
    <row r="32" spans="5:31" ht="14.25" customHeight="1" x14ac:dyDescent="0.25">
      <c r="E32" s="19" t="str">
        <f>IF(Tokens!C32="","",Tokens!C32)</f>
        <v>MyRealTest29</v>
      </c>
      <c r="F32"/>
      <c r="G32"/>
      <c r="H32"/>
      <c r="I32"/>
      <c r="J32"/>
      <c r="K32"/>
      <c r="L32" s="16" t="str">
        <f t="shared" si="1"/>
        <v>_</v>
      </c>
      <c r="M32" s="16"/>
      <c r="N32" s="16"/>
      <c r="O32" s="16"/>
      <c r="P32" s="21" t="str">
        <f>IF(F32&lt;&gt;"",HYPERLINK(Settings!$B$5 &amp; "/manage/?network=" &amp; B$8 &amp; "&amp;search=token&amp;account=" &amp; ToMint!$B$5 &amp; "&amp;view=" &amp; ToMint!J32,"TokenSol"),"")</f>
        <v/>
      </c>
      <c r="T32" s="1" t="str">
        <f>"owner=" &amp; Tokens!AW32</f>
        <v>owner=sophie</v>
      </c>
      <c r="U32" s="1" t="str">
        <f t="shared" si="0"/>
        <v>{"name":"MyRealTest29",_x000D_
"symbol":"symbol29",_x000D_
"description":"description29",_x000D_
"seller_fee_basis_points":5025,_x000D_
"image":"https://ipfs.io/ipfs/QmcFmscxnQuzDqDzCup2Qi7qp8XjSbsXtwZZ5PhxngGuKP?visual28.png",_x000D_
"Issuer":"paul",_x000D_
"external_url":"","attributes":[{"trait_type":"Pass festival",_x000D_
"value":"pour deux(2) personnes"},{"trait_type":"avantage29",_x000D_
"value":"accès pour deux (2) personnes à un (1) événement partenaire officiel de Calvi on the Rocks"},{"trait_type":"avantage30",_x000D_
"value":"invitation à la “Soirée off” réservée aux membres NFT pour deux (2) personnes"},{"trait_type":"avantage31",_x000D_
"value":"accès membre pour les after party officielles pour deux (2) personnes"},{"trait_type":"avantage32",_x000D_
"value":"accès prioritaire et bar dédié (consommation à la charge du festivalier) - tables réservées à l'avance pour les « NFT member » pour deux (2) personnes"},{"trait_type":"avantage33",_x000D_
"value":"29 affiche dédicacée et numérotée"},{"trait_type":"nombre de Pass2050",_x000D_
"value":30},{"trait_type":"nombre de Pass2051",_x000D_
"value":30},{"trait_type":"nombre de Pass2052",_x000D_
"value":30},{"trait_type":"avantage37",_x000D_
"value":"https://tokensol.nfluent.io?s=symbol29&amp;platform=ftx"}],"properties":{"creators":[{"address":"paul",_x000D_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2" s="1" t="str">
        <f>formatRow(Tokens!C$2:I$2,Tokens!C32:I32)</f>
        <v>"name":"MyRealTest29",_x000D_
"symbol":"symbol29",_x000D_
"description":"description29",_x000D_
"seller_fee_basis_points":5025,_x000D_
"image":"https://ipfs.io/ipfs/QmcFmscxnQuzDqDzCup2Qi7qp8XjSbsXtwZZ5PhxngGuKP?visual28.png",_x000D_
"Issuer":"paul",_x000D_
"external_url":""</v>
      </c>
      <c r="W32" s="1" t="str">
        <f>formatRow(Tokens!J$2:AC$2,Tokens!J32:AC32,2,"attributes")</f>
        <v>"attributes":[{"trait_type":"Pass festival",_x000D_
"value":"pour deux(2) personnes"},{"trait_type":"avantage29",_x000D_
"value":"accès pour deux (2) personnes à un (1) événement partenaire officiel de Calvi on the Rocks"},{"trait_type":"avantage30",_x000D_
"value":"invitation à la “Soirée off” réservée aux membres NFT pour deux (2) personnes"},{"trait_type":"avantage31",_x000D_
"value":"accès membre pour les after party officielles pour deux (2) personnes"},{"trait_type":"avantage32",_x000D_
"value":"accès prioritaire et bar dédié (consommation à la charge du festivalier) - tables réservées à l'avance pour les « NFT member » pour deux (2) personnes"},{"trait_type":"avantage33",_x000D_
"value":"29 affiche dédicacée et numérotée"},{"trait_type":"nombre de Pass2050",_x000D_
"value":30},{"trait_type":"nombre de Pass2051",_x000D_
"value":30},{"trait_type":"nombre de Pass2052",_x000D_
"value":30},{"trait_type":"avantage37",_x000D_
"value":"https://tokensol.nfluent.io?s=symbol29&amp;platform=ftx"}]</v>
      </c>
      <c r="X32" s="1" t="str">
        <f>formatRow(Tokens!AD$2:AI$2,Tokens!AD32:AI32,2,"creators")</f>
        <v>"creators":[{"address":"paul",_x000D_
"share":10},{"address":"sophie",_x000D_
"share":60},{"address":"roger",_x000D_
"share":30}]</v>
      </c>
      <c r="Y32" s="1" t="str">
        <f>formatRow(Tokens!AJ$2:AO$2,Tokens!AJ32:AO32,2,"files")</f>
        <v>"files":[]</v>
      </c>
      <c r="Z32" s="1"/>
      <c r="AA32" s="1"/>
      <c r="AB32" s="1"/>
      <c r="AC32" s="1" t="str">
        <f>formatRow(Tokens!AP$2:AQ$2,Tokens!AP32:AQ32,0,"collection")</f>
        <v>"collection":{"name":"MyTestCollection",_x000D_
"family":"NFluentCollection"}</v>
      </c>
      <c r="AD32" s="1"/>
      <c r="AE32" s="1"/>
    </row>
    <row r="33" spans="5:31" ht="14.25" customHeight="1" x14ac:dyDescent="0.25">
      <c r="E33" s="19" t="str">
        <f>IF(Tokens!C33="","",Tokens!C33)</f>
        <v>MyRealTest30</v>
      </c>
      <c r="F33"/>
      <c r="G33"/>
      <c r="H33"/>
      <c r="I33"/>
      <c r="J33"/>
      <c r="K33"/>
      <c r="L33" s="16" t="str">
        <f t="shared" si="1"/>
        <v>_</v>
      </c>
      <c r="M33" s="16"/>
      <c r="N33" s="16"/>
      <c r="O33" s="16"/>
      <c r="P33" s="21" t="str">
        <f>IF(F33&lt;&gt;"",HYPERLINK(Settings!$B$5 &amp; "/manage/?network=" &amp; B$8 &amp; "&amp;search=token&amp;account=" &amp; ToMint!$B$5 &amp; "&amp;view=" &amp; ToMint!J33,"TokenSol"),"")</f>
        <v/>
      </c>
      <c r="T33" s="1" t="str">
        <f>"owner=" &amp; Tokens!AW33</f>
        <v>owner=sophie</v>
      </c>
      <c r="U33" s="1" t="str">
        <f t="shared" si="0"/>
        <v>{"name":"MyRealTest30",_x000D_
"symbol":"symbol30",_x000D_
"description":"description30",_x000D_
"seller_fee_basis_points":5026,_x000D_
"image":"https://ipfs.io/ipfs/QmUJBJ68jLSd34W3XRrKESXGd2CYpJY7QUzGr25AeuR1eP?visual29.png",_x000D_
"Issuer":"paul",_x000D_
"external_url":"","attributes":[{"trait_type":"Pass festival",_x000D_
"value":"pour deux(2) personnes"},{"trait_type":"avantage30",_x000D_
"value":"accès pour deux (2) personnes à un (1) événement partenaire officiel de Calvi on the Rocks"},{"trait_type":"avantage31",_x000D_
"value":"invitation à la “Soirée off” réservée aux membres NFT pour deux (2) personnes"},{"trait_type":"avantage32",_x000D_
"value":"accès membre pour les after party officielles pour deux (2) personnes"},{"trait_type":"avantage33",_x000D_
"value":"accès prioritaire et bar dédié (consommation à la charge du festivalier) - tables réservées à l'avance pour les « NFT member » pour deux (2) personnes"},{"trait_type":"avantage34",_x000D_
"value":"30 affiche dédicacée et numérotée"},{"trait_type":"nombre de Pass2051",_x000D_
"value":31},{"trait_type":"nombre de Pass2052",_x000D_
"value":31},{"trait_type":"nombre de Pass2053",_x000D_
"value":31},{"trait_type":"avantage38",_x000D_
"value":"https://tokensol.nfluent.io?s=symbol30&amp;platform=ftx"}],"properties":{"creators":[{"address":"paul",_x000D_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3" s="1" t="str">
        <f>formatRow(Tokens!C$2:I$2,Tokens!C33:I33)</f>
        <v>"name":"MyRealTest30",_x000D_
"symbol":"symbol30",_x000D_
"description":"description30",_x000D_
"seller_fee_basis_points":5026,_x000D_
"image":"https://ipfs.io/ipfs/QmUJBJ68jLSd34W3XRrKESXGd2CYpJY7QUzGr25AeuR1eP?visual29.png",_x000D_
"Issuer":"paul",_x000D_
"external_url":""</v>
      </c>
      <c r="W33" s="1" t="str">
        <f>formatRow(Tokens!J$2:AC$2,Tokens!J33:AC33,2,"attributes")</f>
        <v>"attributes":[{"trait_type":"Pass festival",_x000D_
"value":"pour deux(2) personnes"},{"trait_type":"avantage30",_x000D_
"value":"accès pour deux (2) personnes à un (1) événement partenaire officiel de Calvi on the Rocks"},{"trait_type":"avantage31",_x000D_
"value":"invitation à la “Soirée off” réservée aux membres NFT pour deux (2) personnes"},{"trait_type":"avantage32",_x000D_
"value":"accès membre pour les after party officielles pour deux (2) personnes"},{"trait_type":"avantage33",_x000D_
"value":"accès prioritaire et bar dédié (consommation à la charge du festivalier) - tables réservées à l'avance pour les « NFT member » pour deux (2) personnes"},{"trait_type":"avantage34",_x000D_
"value":"30 affiche dédicacée et numérotée"},{"trait_type":"nombre de Pass2051",_x000D_
"value":31},{"trait_type":"nombre de Pass2052",_x000D_
"value":31},{"trait_type":"nombre de Pass2053",_x000D_
"value":31},{"trait_type":"avantage38",_x000D_
"value":"https://tokensol.nfluent.io?s=symbol30&amp;platform=ftx"}]</v>
      </c>
      <c r="X33" s="1" t="str">
        <f>formatRow(Tokens!AD$2:AI$2,Tokens!AD33:AI33,2,"creators")</f>
        <v>"creators":[{"address":"paul",_x000D_
"share":10},{"address":"sophie",_x000D_
"share":60},{"address":"roger",_x000D_
"share":30}]</v>
      </c>
      <c r="Y33" s="1" t="str">
        <f>formatRow(Tokens!AJ$2:AO$2,Tokens!AJ33:AO33,2,"files")</f>
        <v>"files":[]</v>
      </c>
      <c r="Z33" s="1"/>
      <c r="AA33" s="1"/>
      <c r="AB33" s="1"/>
      <c r="AC33" s="1" t="str">
        <f>formatRow(Tokens!AP$2:AQ$2,Tokens!AP33:AQ33,0,"collection")</f>
        <v>"collection":{"name":"MyTestCollection",_x000D_
"family":"NFluentCollection"}</v>
      </c>
      <c r="AD33" s="1"/>
      <c r="AE33" s="1"/>
    </row>
    <row r="34" spans="5:31" ht="14.25" customHeight="1" x14ac:dyDescent="0.25">
      <c r="E34" s="19" t="str">
        <f>IF(Tokens!C34="","",Tokens!C34)</f>
        <v>MyRealTest31</v>
      </c>
      <c r="F34"/>
      <c r="G34"/>
      <c r="H34"/>
      <c r="I34"/>
      <c r="J34"/>
      <c r="K34"/>
      <c r="L34" s="16" t="str">
        <f t="shared" si="1"/>
        <v>_</v>
      </c>
      <c r="M34" s="16"/>
      <c r="N34" s="16"/>
      <c r="O34" s="16"/>
      <c r="P34" s="21" t="str">
        <f>IF(F34&lt;&gt;"",HYPERLINK(Settings!$B$5 &amp; "/manage/?network=" &amp; B$8 &amp; "&amp;search=token&amp;account=" &amp; ToMint!$B$5 &amp; "&amp;view=" &amp; ToMint!J34,"TokenSol"),"")</f>
        <v/>
      </c>
      <c r="T34" s="1" t="str">
        <f>"owner=" &amp; Tokens!AW34</f>
        <v>owner=sophie</v>
      </c>
      <c r="U34" s="1" t="str">
        <f t="shared" si="0"/>
        <v>{"name":"MyRealTest31",_x000D_
"symbol":"symbol31",_x000D_
"description":"description31",_x000D_
"seller_fee_basis_points":5027,_x000D_
"image":"https://ipfs.io/ipfs/QmdNHSu4Fzum341KdRR2mKxezCNoDGRTcCogJWxAnEd8bG?visual30.png",_x000D_
"Issuer":"paul",_x000D_
"external_url":"","attributes":[{"trait_type":"Pass festival",_x000D_
"value":"pour deux(2) personnes"},{"trait_type":"avantage31",_x000D_
"value":"accès pour deux (2) personnes à un (1) événement partenaire officiel de Calvi on the Rocks"},{"trait_type":"avantage32",_x000D_
"value":"invitation à la “Soirée off” réservée aux membres NFT pour deux (2) personnes"},{"trait_type":"avantage33",_x000D_
"value":"accès membre pour les after party officielles pour deux (2) personnes"},{"trait_type":"avantage34",_x000D_
"value":"accès prioritaire et bar dédié (consommation à la charge du festivalier) - tables réservées à l'avance pour les « NFT member » pour deux (2) personnes"},{"trait_type":"avantage35",_x000D_
"value":"31 affiche dédicacée et numérotée"},{"trait_type":"nombre de Pass2052",_x000D_
"value":32},{"trait_type":"nombre de Pass2053",_x000D_
"value":32},{"trait_type":"nombre de Pass2054",_x000D_
"value":32},{"trait_type":"avantage39",_x000D_
"value":"https://tokensol.nfluent.io?s=symbol31&amp;platform=ftx"}],"properties":{"creators":[{"address":"paul",_x000D_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4" s="1" t="str">
        <f>formatRow(Tokens!C$2:I$2,Tokens!C34:I34)</f>
        <v>"name":"MyRealTest31",_x000D_
"symbol":"symbol31",_x000D_
"description":"description31",_x000D_
"seller_fee_basis_points":5027,_x000D_
"image":"https://ipfs.io/ipfs/QmdNHSu4Fzum341KdRR2mKxezCNoDGRTcCogJWxAnEd8bG?visual30.png",_x000D_
"Issuer":"paul",_x000D_
"external_url":""</v>
      </c>
      <c r="W34" s="1" t="str">
        <f>formatRow(Tokens!J$2:AC$2,Tokens!J34:AC34,2,"attributes")</f>
        <v>"attributes":[{"trait_type":"Pass festival",_x000D_
"value":"pour deux(2) personnes"},{"trait_type":"avantage31",_x000D_
"value":"accès pour deux (2) personnes à un (1) événement partenaire officiel de Calvi on the Rocks"},{"trait_type":"avantage32",_x000D_
"value":"invitation à la “Soirée off” réservée aux membres NFT pour deux (2) personnes"},{"trait_type":"avantage33",_x000D_
"value":"accès membre pour les after party officielles pour deux (2) personnes"},{"trait_type":"avantage34",_x000D_
"value":"accès prioritaire et bar dédié (consommation à la charge du festivalier) - tables réservées à l'avance pour les « NFT member » pour deux (2) personnes"},{"trait_type":"avantage35",_x000D_
"value":"31 affiche dédicacée et numérotée"},{"trait_type":"nombre de Pass2052",_x000D_
"value":32},{"trait_type":"nombre de Pass2053",_x000D_
"value":32},{"trait_type":"nombre de Pass2054",_x000D_
"value":32},{"trait_type":"avantage39",_x000D_
"value":"https://tokensol.nfluent.io?s=symbol31&amp;platform=ftx"}]</v>
      </c>
      <c r="X34" s="1" t="str">
        <f>formatRow(Tokens!AD$2:AI$2,Tokens!AD34:AI34,2,"creators")</f>
        <v>"creators":[{"address":"paul",_x000D_
"share":10},{"address":"sophie",_x000D_
"share":60},{"address":"roger",_x000D_
"share":30}]</v>
      </c>
      <c r="Y34" s="1" t="str">
        <f>formatRow(Tokens!AJ$2:AO$2,Tokens!AJ34:AO34,2,"files")</f>
        <v>"files":[]</v>
      </c>
      <c r="Z34" s="1"/>
      <c r="AA34" s="1"/>
      <c r="AB34" s="1"/>
      <c r="AC34" s="1" t="str">
        <f>formatRow(Tokens!AP$2:AQ$2,Tokens!AP34:AQ34,0,"collection")</f>
        <v>"collection":{"name":"MyTestCollection",_x000D_
"family":"NFluentCollection"}</v>
      </c>
      <c r="AD34" s="1"/>
      <c r="AE34" s="1"/>
    </row>
    <row r="35" spans="5:31" ht="14.25" customHeight="1" x14ac:dyDescent="0.25">
      <c r="E35" s="19" t="str">
        <f>IF(Tokens!C35="","",Tokens!C35)</f>
        <v>MyRealTest32</v>
      </c>
      <c r="F35"/>
      <c r="G35"/>
      <c r="H35"/>
      <c r="I35"/>
      <c r="J35"/>
      <c r="K35"/>
      <c r="L35" s="16" t="str">
        <f t="shared" si="1"/>
        <v>_</v>
      </c>
      <c r="M35" s="16"/>
      <c r="N35" s="16"/>
      <c r="O35" s="16"/>
      <c r="P35" s="21" t="str">
        <f>IF(F35&lt;&gt;"",HYPERLINK(Settings!$B$5 &amp; "/manage/?network=" &amp; B$8 &amp; "&amp;search=token&amp;account=" &amp; ToMint!$B$5 &amp; "&amp;view=" &amp; ToMint!J35,"TokenSol"),"")</f>
        <v/>
      </c>
      <c r="T35" s="1" t="str">
        <f>"owner=" &amp; Tokens!AW35</f>
        <v>owner=sophie</v>
      </c>
      <c r="U35" s="1" t="str">
        <f t="shared" si="0"/>
        <v>{"name":"MyRealTest32",_x000D_
"symbol":"symbol32",_x000D_
"description":"description32",_x000D_
"seller_fee_basis_points":5028,_x000D_
"image":"https://ipfs.io/ipfs/QmZb7GGhm9GmDfxFFemAf9xqQnumqAd8H6o98qZH6m7uxe?visual31.png",_x000D_
"Issuer":"paul",_x000D_
"external_url":"","attributes":[{"trait_type":"Pass festival",_x000D_
"value":"pour deux(2) personnes"},{"trait_type":"avantage32",_x000D_
"value":"accès pour deux (2) personnes à un (1) événement partenaire officiel de Calvi on the Rocks"},{"trait_type":"avantage33",_x000D_
"value":"invitation à la “Soirée off” réservée aux membres NFT pour deux (2) personnes"},{"trait_type":"avantage34",_x000D_
"value":"accès membre pour les after party officielles pour deux (2) personnes"},{"trait_type":"avantage35",_x000D_
"value":"accès prioritaire et bar dédié (consommation à la charge du festivalier) - tables réservées à l'avance pour les « NFT member » pour deux (2) personnes"},{"trait_type":"avantage36",_x000D_
"value":"32 affiche dédicacée et numérotée"},{"trait_type":"nombre de Pass2053",_x000D_
"value":33},{"trait_type":"nombre de Pass2054",_x000D_
"value":33},{"trait_type":"nombre de Pass2055",_x000D_
"value":33},{"trait_type":"avantage40",_x000D_
"value":"https://tokensol.nfluent.io?s=symbol32&amp;platform=ftx"}],"properties":{"creators":[{"address":"paul",_x000D_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5" s="1" t="str">
        <f>formatRow(Tokens!C$2:I$2,Tokens!C35:I35)</f>
        <v>"name":"MyRealTest32",_x000D_
"symbol":"symbol32",_x000D_
"description":"description32",_x000D_
"seller_fee_basis_points":5028,_x000D_
"image":"https://ipfs.io/ipfs/QmZb7GGhm9GmDfxFFemAf9xqQnumqAd8H6o98qZH6m7uxe?visual31.png",_x000D_
"Issuer":"paul",_x000D_
"external_url":""</v>
      </c>
      <c r="W35" s="1" t="str">
        <f>formatRow(Tokens!J$2:AC$2,Tokens!J35:AC35,2,"attributes")</f>
        <v>"attributes":[{"trait_type":"Pass festival",_x000D_
"value":"pour deux(2) personnes"},{"trait_type":"avantage32",_x000D_
"value":"accès pour deux (2) personnes à un (1) événement partenaire officiel de Calvi on the Rocks"},{"trait_type":"avantage33",_x000D_
"value":"invitation à la “Soirée off” réservée aux membres NFT pour deux (2) personnes"},{"trait_type":"avantage34",_x000D_
"value":"accès membre pour les after party officielles pour deux (2) personnes"},{"trait_type":"avantage35",_x000D_
"value":"accès prioritaire et bar dédié (consommation à la charge du festivalier) - tables réservées à l'avance pour les « NFT member » pour deux (2) personnes"},{"trait_type":"avantage36",_x000D_
"value":"32 affiche dédicacée et numérotée"},{"trait_type":"nombre de Pass2053",_x000D_
"value":33},{"trait_type":"nombre de Pass2054",_x000D_
"value":33},{"trait_type":"nombre de Pass2055",_x000D_
"value":33},{"trait_type":"avantage40",_x000D_
"value":"https://tokensol.nfluent.io?s=symbol32&amp;platform=ftx"}]</v>
      </c>
      <c r="X35" s="1" t="str">
        <f>formatRow(Tokens!AD$2:AI$2,Tokens!AD35:AI35,2,"creators")</f>
        <v>"creators":[{"address":"paul",_x000D_
"share":10},{"address":"sophie",_x000D_
"share":60},{"address":"roger",_x000D_
"share":30}]</v>
      </c>
      <c r="Y35" s="1" t="str">
        <f>formatRow(Tokens!AJ$2:AO$2,Tokens!AJ35:AO35,2,"files")</f>
        <v>"files":[]</v>
      </c>
      <c r="Z35" s="1"/>
      <c r="AA35" s="1"/>
      <c r="AB35" s="1"/>
      <c r="AC35" s="1" t="str">
        <f>formatRow(Tokens!AP$2:AQ$2,Tokens!AP35:AQ35,0,"collection")</f>
        <v>"collection":{"name":"MyTestCollection",_x000D_
"family":"NFluentCollection"}</v>
      </c>
      <c r="AD35" s="1"/>
      <c r="AE35" s="1"/>
    </row>
    <row r="36" spans="5:31" ht="14.25" customHeight="1" x14ac:dyDescent="0.25">
      <c r="E36" s="19" t="str">
        <f>IF(Tokens!C36="","",Tokens!C36)</f>
        <v>MyRealTest33</v>
      </c>
      <c r="F36"/>
      <c r="G36"/>
      <c r="H36"/>
      <c r="I36"/>
      <c r="J36"/>
      <c r="K36"/>
      <c r="L36" s="16" t="str">
        <f t="shared" si="1"/>
        <v>_</v>
      </c>
      <c r="M36" s="16"/>
      <c r="N36" s="16"/>
      <c r="O36" s="16"/>
      <c r="P36" s="21" t="str">
        <f>IF(F36&lt;&gt;"",HYPERLINK(Settings!$B$5 &amp; "/manage/?network=" &amp; B$8 &amp; "&amp;search=token&amp;account=" &amp; ToMint!$B$5 &amp; "&amp;view=" &amp; ToMint!J36,"TokenSol"),"")</f>
        <v/>
      </c>
      <c r="T36" s="1" t="str">
        <f>"owner=" &amp; Tokens!AW36</f>
        <v>owner=sophie</v>
      </c>
      <c r="U36" s="1" t="str">
        <f t="shared" si="0"/>
        <v>{"name":"MyRealTest33",_x000D_
"symbol":"symbol33",_x000D_
"description":"description33",_x000D_
"seller_fee_basis_points":5029,_x000D_
"image":"https://ipfs.io/ipfs/QmQNFmyJVn1hWzTCefuULo4XMT11N3VwHJmuVai47fDoyB?visual32.png",_x000D_
"Issuer":"paul",_x000D_
"external_url":"","attributes":[{"trait_type":"Pass festival",_x000D_
"value":"pour deux(2) personnes"},{"trait_type":"avantage33",_x000D_
"value":"accès pour deux (2) personnes à un (1) événement partenaire officiel de Calvi on the Rocks"},{"trait_type":"avantage34",_x000D_
"value":"invitation à la “Soirée off” réservée aux membres NFT pour deux (2) personnes"},{"trait_type":"avantage35",_x000D_
"value":"accès membre pour les after party officielles pour deux (2) personnes"},{"trait_type":"avantage36",_x000D_
"value":"accès prioritaire et bar dédié (consommation à la charge du festivalier) - tables réservées à l'avance pour les « NFT member » pour deux (2) personnes"},{"trait_type":"avantage37",_x000D_
"value":"33 affiche dédicacée et numérotée"},{"trait_type":"nombre de Pass2054",_x000D_
"value":34},{"trait_type":"nombre de Pass2055",_x000D_
"value":34},{"trait_type":"nombre de Pass2056",_x000D_
"value":34},{"trait_type":"avantage41",_x000D_
"value":"https://tokensol.nfluent.io?s=symbol33&amp;platform=ftx"}],"properties":{"creators":[{"address":"paul",_x000D_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6" s="1" t="str">
        <f>formatRow(Tokens!C$2:I$2,Tokens!C36:I36)</f>
        <v>"name":"MyRealTest33",_x000D_
"symbol":"symbol33",_x000D_
"description":"description33",_x000D_
"seller_fee_basis_points":5029,_x000D_
"image":"https://ipfs.io/ipfs/QmQNFmyJVn1hWzTCefuULo4XMT11N3VwHJmuVai47fDoyB?visual32.png",_x000D_
"Issuer":"paul",_x000D_
"external_url":""</v>
      </c>
      <c r="W36" s="1" t="str">
        <f>formatRow(Tokens!J$2:AC$2,Tokens!J36:AC36,2,"attributes")</f>
        <v>"attributes":[{"trait_type":"Pass festival",_x000D_
"value":"pour deux(2) personnes"},{"trait_type":"avantage33",_x000D_
"value":"accès pour deux (2) personnes à un (1) événement partenaire officiel de Calvi on the Rocks"},{"trait_type":"avantage34",_x000D_
"value":"invitation à la “Soirée off” réservée aux membres NFT pour deux (2) personnes"},{"trait_type":"avantage35",_x000D_
"value":"accès membre pour les after party officielles pour deux (2) personnes"},{"trait_type":"avantage36",_x000D_
"value":"accès prioritaire et bar dédié (consommation à la charge du festivalier) - tables réservées à l'avance pour les « NFT member » pour deux (2) personnes"},{"trait_type":"avantage37",_x000D_
"value":"33 affiche dédicacée et numérotée"},{"trait_type":"nombre de Pass2054",_x000D_
"value":34},{"trait_type":"nombre de Pass2055",_x000D_
"value":34},{"trait_type":"nombre de Pass2056",_x000D_
"value":34},{"trait_type":"avantage41",_x000D_
"value":"https://tokensol.nfluent.io?s=symbol33&amp;platform=ftx"}]</v>
      </c>
      <c r="X36" s="1" t="str">
        <f>formatRow(Tokens!AD$2:AI$2,Tokens!AD36:AI36,2,"creators")</f>
        <v>"creators":[{"address":"paul",_x000D_
"share":10},{"address":"sophie",_x000D_
"share":60},{"address":"roger",_x000D_
"share":30}]</v>
      </c>
      <c r="Y36" s="1" t="str">
        <f>formatRow(Tokens!AJ$2:AO$2,Tokens!AJ36:AO36,2,"files")</f>
        <v>"files":[]</v>
      </c>
      <c r="Z36" s="1"/>
      <c r="AA36" s="1"/>
      <c r="AB36" s="1"/>
      <c r="AC36" s="1" t="str">
        <f>formatRow(Tokens!AP$2:AQ$2,Tokens!AP36:AQ36,0,"collection")</f>
        <v>"collection":{"name":"MyTestCollection",_x000D_
"family":"NFluentCollection"}</v>
      </c>
      <c r="AD36" s="1"/>
      <c r="AE36" s="1"/>
    </row>
    <row r="37" spans="5:31" ht="14.25" customHeight="1" x14ac:dyDescent="0.25">
      <c r="E37" s="19" t="str">
        <f>IF(Tokens!C37="","",Tokens!C37)</f>
        <v>MyRealTest34</v>
      </c>
      <c r="F37"/>
      <c r="G37"/>
      <c r="H37"/>
      <c r="I37"/>
      <c r="J37"/>
      <c r="K37"/>
      <c r="L37" s="16" t="str">
        <f t="shared" si="1"/>
        <v>_</v>
      </c>
      <c r="M37" s="16"/>
      <c r="N37" s="16"/>
      <c r="O37" s="16"/>
      <c r="P37" s="21" t="str">
        <f>IF(F37&lt;&gt;"",HYPERLINK(Settings!$B$5 &amp; "/manage/?network=" &amp; B$8 &amp; "&amp;search=token&amp;account=" &amp; ToMint!$B$5 &amp; "&amp;view=" &amp; ToMint!J37,"TokenSol"),"")</f>
        <v/>
      </c>
      <c r="T37" s="1" t="str">
        <f>"owner=" &amp; Tokens!AW37</f>
        <v>owner=sophie</v>
      </c>
      <c r="U37" s="1" t="str">
        <f t="shared" si="0"/>
        <v>{"name":"MyRealTest34",_x000D_
"symbol":"symbol34",_x000D_
"description":"description34",_x000D_
"seller_fee_basis_points":5030,_x000D_
"image":"https://ipfs.io/ipfs/QmcrgjFTJQBc1Z4EErLCzNoin1u6BSTTAYABXFyCEsJTzQ?visual33.png",_x000D_
"Issuer":"paul",_x000D_
"external_url":"","attributes":[{"trait_type":"Pass festival",_x000D_
"value":"pour deux(2) personnes"},{"trait_type":"avantage34",_x000D_
"value":"accès pour deux (2) personnes à un (1) événement partenaire officiel de Calvi on the Rocks"},{"trait_type":"avantage35",_x000D_
"value":"invitation à la “Soirée off” réservée aux membres NFT pour deux (2) personnes"},{"trait_type":"avantage36",_x000D_
"value":"accès membre pour les after party officielles pour deux (2) personnes"},{"trait_type":"avantage37",_x000D_
"value":"accès prioritaire et bar dédié (consommation à la charge du festivalier) - tables réservées à l'avance pour les « NFT member » pour deux (2) personnes"},{"trait_type":"avantage38",_x000D_
"value":"34 affiche dédicacée et numérotée"},{"trait_type":"nombre de Pass2055",_x000D_
"value":35},{"trait_type":"nombre de Pass2056",_x000D_
"value":35},{"trait_type":"nombre de Pass2057",_x000D_
"value":35},{"trait_type":"avantage42",_x000D_
"value":"https://tokensol.nfluent.io?s=symbol34&amp;platform=ftx"}],"properties":{"creators":[{"address":"paul",_x000D_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7" s="1" t="str">
        <f>formatRow(Tokens!C$2:I$2,Tokens!C37:I37)</f>
        <v>"name":"MyRealTest34",_x000D_
"symbol":"symbol34",_x000D_
"description":"description34",_x000D_
"seller_fee_basis_points":5030,_x000D_
"image":"https://ipfs.io/ipfs/QmcrgjFTJQBc1Z4EErLCzNoin1u6BSTTAYABXFyCEsJTzQ?visual33.png",_x000D_
"Issuer":"paul",_x000D_
"external_url":""</v>
      </c>
      <c r="W37" s="1" t="str">
        <f>formatRow(Tokens!J$2:AC$2,Tokens!J37:AC37,2,"attributes")</f>
        <v>"attributes":[{"trait_type":"Pass festival",_x000D_
"value":"pour deux(2) personnes"},{"trait_type":"avantage34",_x000D_
"value":"accès pour deux (2) personnes à un (1) événement partenaire officiel de Calvi on the Rocks"},{"trait_type":"avantage35",_x000D_
"value":"invitation à la “Soirée off” réservée aux membres NFT pour deux (2) personnes"},{"trait_type":"avantage36",_x000D_
"value":"accès membre pour les after party officielles pour deux (2) personnes"},{"trait_type":"avantage37",_x000D_
"value":"accès prioritaire et bar dédié (consommation à la charge du festivalier) - tables réservées à l'avance pour les « NFT member » pour deux (2) personnes"},{"trait_type":"avantage38",_x000D_
"value":"34 affiche dédicacée et numérotée"},{"trait_type":"nombre de Pass2055",_x000D_
"value":35},{"trait_type":"nombre de Pass2056",_x000D_
"value":35},{"trait_type":"nombre de Pass2057",_x000D_
"value":35},{"trait_type":"avantage42",_x000D_
"value":"https://tokensol.nfluent.io?s=symbol34&amp;platform=ftx"}]</v>
      </c>
      <c r="X37" s="1" t="str">
        <f>formatRow(Tokens!AD$2:AI$2,Tokens!AD37:AI37,2,"creators")</f>
        <v>"creators":[{"address":"paul",_x000D_
"share":10},{"address":"sophie",_x000D_
"share":60},{"address":"roger",_x000D_
"share":30}]</v>
      </c>
      <c r="Y37" s="1" t="str">
        <f>formatRow(Tokens!AJ$2:AO$2,Tokens!AJ37:AO37,2,"files")</f>
        <v>"files":[]</v>
      </c>
      <c r="Z37" s="1"/>
      <c r="AA37" s="1"/>
      <c r="AB37" s="1"/>
      <c r="AC37" s="1" t="str">
        <f>formatRow(Tokens!AP$2:AQ$2,Tokens!AP37:AQ37,0,"collection")</f>
        <v>"collection":{"name":"MyTestCollection",_x000D_
"family":"NFluentCollection"}</v>
      </c>
      <c r="AD37" s="1"/>
      <c r="AE37" s="1"/>
    </row>
    <row r="38" spans="5:31" ht="14.25" customHeight="1" x14ac:dyDescent="0.25">
      <c r="E38" s="19" t="str">
        <f>IF(Tokens!C38="","",Tokens!C38)</f>
        <v>MyRealTest35</v>
      </c>
      <c r="F38"/>
      <c r="G38"/>
      <c r="H38"/>
      <c r="I38"/>
      <c r="J38"/>
      <c r="K38"/>
      <c r="L38" s="16" t="str">
        <f t="shared" si="1"/>
        <v>_</v>
      </c>
      <c r="M38" s="16"/>
      <c r="N38" s="16"/>
      <c r="O38" s="16"/>
      <c r="P38" s="21" t="str">
        <f>IF(F38&lt;&gt;"",HYPERLINK(Settings!$B$5 &amp; "/manage/?network=" &amp; B$8 &amp; "&amp;search=token&amp;account=" &amp; ToMint!$B$5 &amp; "&amp;view=" &amp; ToMint!J38,"TokenSol"),"")</f>
        <v/>
      </c>
      <c r="T38" s="1" t="str">
        <f>"owner=" &amp; Tokens!AW38</f>
        <v>owner=sophie</v>
      </c>
      <c r="U38" s="1" t="str">
        <f t="shared" si="0"/>
        <v>{"name":"MyRealTest35",_x000D_
"symbol":"symbol35",_x000D_
"description":"description35",_x000D_
"seller_fee_basis_points":5031,_x000D_
"image":"https://ipfs.io/ipfs/QmZjxPCpDtx9X7ETgDcwCdwd53az1iaHkri7FuCuzS18q5?visual34.png",_x000D_
"Issuer":"paul",_x000D_
"external_url":"","attributes":[{"trait_type":"Pass festival",_x000D_
"value":"pour deux(2) personnes"},{"trait_type":"avantage35",_x000D_
"value":"accès pour deux (2) personnes à un (1) événement partenaire officiel de Calvi on the Rocks"},{"trait_type":"avantage36",_x000D_
"value":"invitation à la “Soirée off” réservée aux membres NFT pour deux (2) personnes"},{"trait_type":"avantage37",_x000D_
"value":"accès membre pour les after party officielles pour deux (2) personnes"},{"trait_type":"avantage38",_x000D_
"value":"accès prioritaire et bar dédié (consommation à la charge du festivalier) - tables réservées à l'avance pour les « NFT member » pour deux (2) personnes"},{"trait_type":"avantage39",_x000D_
"value":"35 affiche dédicacée et numérotée"},{"trait_type":"nombre de Pass2056",_x000D_
"value":36},{"trait_type":"nombre de Pass2057",_x000D_
"value":36},{"trait_type":"nombre de Pass2058",_x000D_
"value":36},{"trait_type":"avantage43",_x000D_
"value":"https://tokensol.nfluent.io?s=symbol35&amp;platform=ftx"}],"properties":{"creators":[{"address":"paul",_x000D_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8" s="1" t="str">
        <f>formatRow(Tokens!C$2:I$2,Tokens!C38:I38)</f>
        <v>"name":"MyRealTest35",_x000D_
"symbol":"symbol35",_x000D_
"description":"description35",_x000D_
"seller_fee_basis_points":5031,_x000D_
"image":"https://ipfs.io/ipfs/QmZjxPCpDtx9X7ETgDcwCdwd53az1iaHkri7FuCuzS18q5?visual34.png",_x000D_
"Issuer":"paul",_x000D_
"external_url":""</v>
      </c>
      <c r="W38" s="1" t="str">
        <f>formatRow(Tokens!J$2:AC$2,Tokens!J38:AC38,2,"attributes")</f>
        <v>"attributes":[{"trait_type":"Pass festival",_x000D_
"value":"pour deux(2) personnes"},{"trait_type":"avantage35",_x000D_
"value":"accès pour deux (2) personnes à un (1) événement partenaire officiel de Calvi on the Rocks"},{"trait_type":"avantage36",_x000D_
"value":"invitation à la “Soirée off” réservée aux membres NFT pour deux (2) personnes"},{"trait_type":"avantage37",_x000D_
"value":"accès membre pour les after party officielles pour deux (2) personnes"},{"trait_type":"avantage38",_x000D_
"value":"accès prioritaire et bar dédié (consommation à la charge du festivalier) - tables réservées à l'avance pour les « NFT member » pour deux (2) personnes"},{"trait_type":"avantage39",_x000D_
"value":"35 affiche dédicacée et numérotée"},{"trait_type":"nombre de Pass2056",_x000D_
"value":36},{"trait_type":"nombre de Pass2057",_x000D_
"value":36},{"trait_type":"nombre de Pass2058",_x000D_
"value":36},{"trait_type":"avantage43",_x000D_
"value":"https://tokensol.nfluent.io?s=symbol35&amp;platform=ftx"}]</v>
      </c>
      <c r="X38" s="1" t="str">
        <f>formatRow(Tokens!AD$2:AI$2,Tokens!AD38:AI38,2,"creators")</f>
        <v>"creators":[{"address":"paul",_x000D_
"share":10},{"address":"sophie",_x000D_
"share":60},{"address":"roger",_x000D_
"share":30}]</v>
      </c>
      <c r="Y38" s="1" t="str">
        <f>formatRow(Tokens!AJ$2:AO$2,Tokens!AJ38:AO38,2,"files")</f>
        <v>"files":[]</v>
      </c>
      <c r="Z38" s="1"/>
      <c r="AA38" s="1"/>
      <c r="AB38" s="1"/>
      <c r="AC38" s="1" t="str">
        <f>formatRow(Tokens!AP$2:AQ$2,Tokens!AP38:AQ38,0,"collection")</f>
        <v>"collection":{"name":"MyTestCollection",_x000D_
"family":"NFluentCollection"}</v>
      </c>
      <c r="AD38" s="1"/>
      <c r="AE38" s="1"/>
    </row>
    <row r="39" spans="5:31" ht="14.25" customHeight="1" x14ac:dyDescent="0.25">
      <c r="E39" s="19" t="str">
        <f>IF(Tokens!C39="","",Tokens!C39)</f>
        <v>MyRealTest36</v>
      </c>
      <c r="F39"/>
      <c r="G39"/>
      <c r="H39"/>
      <c r="I39"/>
      <c r="J39"/>
      <c r="K39"/>
      <c r="L39" s="16" t="str">
        <f t="shared" si="1"/>
        <v>_</v>
      </c>
      <c r="M39" s="16"/>
      <c r="N39" s="16"/>
      <c r="O39" s="16"/>
      <c r="P39" s="21" t="str">
        <f>IF(F39&lt;&gt;"",HYPERLINK(Settings!$B$5 &amp; "/manage/?network=" &amp; B$8 &amp; "&amp;search=token&amp;account=" &amp; ToMint!$B$5 &amp; "&amp;view=" &amp; ToMint!J39,"TokenSol"),"")</f>
        <v/>
      </c>
      <c r="T39" s="1" t="str">
        <f>"owner=" &amp; Tokens!AW39</f>
        <v>owner=sophie</v>
      </c>
      <c r="U39" s="1" t="str">
        <f t="shared" si="0"/>
        <v>{"name":"MyRealTest36",_x000D_
"symbol":"symbol36",_x000D_
"description":"description36",_x000D_
"seller_fee_basis_points":5032,_x000D_
"image":"https://ipfs.io/ipfs/Qmct8aSzV77Qq7x5mdyvSG1ugxy8DL9rPVt384YV31KvQB?visual35.png",_x000D_
"Issuer":"paul",_x000D_
"external_url":"","attributes":[{"trait_type":"Pass festival",_x000D_
"value":"pour deux(2) personnes"},{"trait_type":"avantage36",_x000D_
"value":"accès pour deux (2) personnes à un (1) événement partenaire officiel de Calvi on the Rocks"},{"trait_type":"avantage37",_x000D_
"value":"invitation à la “Soirée off” réservée aux membres NFT pour deux (2) personnes"},{"trait_type":"avantage38",_x000D_
"value":"accès membre pour les after party officielles pour deux (2) personnes"},{"trait_type":"avantage39",_x000D_
"value":"accès prioritaire et bar dédié (consommation à la charge du festivalier) - tables réservées à l'avance pour les « NFT member » pour deux (2) personnes"},{"trait_type":"avantage40",_x000D_
"value":"36 affiche dédicacée et numérotée"},{"trait_type":"nombre de Pass2057",_x000D_
"value":37},{"trait_type":"nombre de Pass2058",_x000D_
"value":37},{"trait_type":"nombre de Pass2059",_x000D_
"value":37},{"trait_type":"avantage44",_x000D_
"value":"https://tokensol.nfluent.io?s=symbol36&amp;platform=ftx"}],"properties":{"creators":[{"address":"paul",_x000D_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39" s="1" t="str">
        <f>formatRow(Tokens!C$2:I$2,Tokens!C39:I39)</f>
        <v>"name":"MyRealTest36",_x000D_
"symbol":"symbol36",_x000D_
"description":"description36",_x000D_
"seller_fee_basis_points":5032,_x000D_
"image":"https://ipfs.io/ipfs/Qmct8aSzV77Qq7x5mdyvSG1ugxy8DL9rPVt384YV31KvQB?visual35.png",_x000D_
"Issuer":"paul",_x000D_
"external_url":""</v>
      </c>
      <c r="W39" s="1" t="str">
        <f>formatRow(Tokens!J$2:AC$2,Tokens!J39:AC39,2,"attributes")</f>
        <v>"attributes":[{"trait_type":"Pass festival",_x000D_
"value":"pour deux(2) personnes"},{"trait_type":"avantage36",_x000D_
"value":"accès pour deux (2) personnes à un (1) événement partenaire officiel de Calvi on the Rocks"},{"trait_type":"avantage37",_x000D_
"value":"invitation à la “Soirée off” réservée aux membres NFT pour deux (2) personnes"},{"trait_type":"avantage38",_x000D_
"value":"accès membre pour les after party officielles pour deux (2) personnes"},{"trait_type":"avantage39",_x000D_
"value":"accès prioritaire et bar dédié (consommation à la charge du festivalier) - tables réservées à l'avance pour les « NFT member » pour deux (2) personnes"},{"trait_type":"avantage40",_x000D_
"value":"36 affiche dédicacée et numérotée"},{"trait_type":"nombre de Pass2057",_x000D_
"value":37},{"trait_type":"nombre de Pass2058",_x000D_
"value":37},{"trait_type":"nombre de Pass2059",_x000D_
"value":37},{"trait_type":"avantage44",_x000D_
"value":"https://tokensol.nfluent.io?s=symbol36&amp;platform=ftx"}]</v>
      </c>
      <c r="X39" s="1" t="str">
        <f>formatRow(Tokens!AD$2:AI$2,Tokens!AD39:AI39,2,"creators")</f>
        <v>"creators":[{"address":"paul",_x000D_
"share":10},{"address":"sophie",_x000D_
"share":60},{"address":"roger",_x000D_
"share":30}]</v>
      </c>
      <c r="Y39" s="1" t="str">
        <f>formatRow(Tokens!AJ$2:AO$2,Tokens!AJ39:AO39,2,"files")</f>
        <v>"files":[]</v>
      </c>
      <c r="Z39" s="1"/>
      <c r="AA39" s="1"/>
      <c r="AB39" s="1"/>
      <c r="AC39" s="1" t="str">
        <f>formatRow(Tokens!AP$2:AQ$2,Tokens!AP39:AQ39,0,"collection")</f>
        <v>"collection":{"name":"MyTestCollection",_x000D_
"family":"NFluentCollection"}</v>
      </c>
      <c r="AD39" s="1"/>
      <c r="AE39" s="1"/>
    </row>
    <row r="40" spans="5:31" ht="14.25" customHeight="1" x14ac:dyDescent="0.25">
      <c r="E40" s="19" t="str">
        <f>IF(Tokens!C40="","",Tokens!C40)</f>
        <v>MyRealTest37</v>
      </c>
      <c r="F40"/>
      <c r="G40"/>
      <c r="H40"/>
      <c r="I40"/>
      <c r="J40"/>
      <c r="K40"/>
      <c r="L40" s="16" t="str">
        <f t="shared" si="1"/>
        <v>_</v>
      </c>
      <c r="M40" s="16"/>
      <c r="N40" s="16"/>
      <c r="O40" s="16"/>
      <c r="P40" s="21" t="str">
        <f>IF(F40&lt;&gt;"",HYPERLINK(Settings!$B$5 &amp; "/manage/?network=" &amp; B$8 &amp; "&amp;search=token&amp;account=" &amp; ToMint!$B$5 &amp; "&amp;view=" &amp; ToMint!J40,"TokenSol"),"")</f>
        <v/>
      </c>
      <c r="T40" s="1" t="str">
        <f>"owner=" &amp; Tokens!AW40</f>
        <v>owner=sophie</v>
      </c>
      <c r="U40" s="1" t="str">
        <f t="shared" si="0"/>
        <v>{"name":"MyRealTest37",_x000D_
"symbol":"symbol37",_x000D_
"description":"description37",_x000D_
"seller_fee_basis_points":5033,_x000D_
"image":"https://ipfs.io/ipfs/QmSVo4QKEzSbLGF1q4VwV7ncNM6bjDNa3ByHMxzLJ6W4wJ?visual36.png",_x000D_
"Issuer":"paul",_x000D_
"external_url":"","attributes":[{"trait_type":"Pass festival",_x000D_
"value":"pour deux(2) personnes"},{"trait_type":"avantage37",_x000D_
"value":"accès pour deux (2) personnes à un (1) événement partenaire officiel de Calvi on the Rocks"},{"trait_type":"avantage38",_x000D_
"value":"invitation à la “Soirée off” réservée aux membres NFT pour deux (2) personnes"},{"trait_type":"avantage39",_x000D_
"value":"accès membre pour les after party officielles pour deux (2) personnes"},{"trait_type":"avantage40",_x000D_
"value":"accès prioritaire et bar dédié (consommation à la charge du festivalier) - tables réservées à l'avance pour les « NFT member » pour deux (2) personnes"},{"trait_type":"avantage41",_x000D_
"value":"37 affiche dédicacée et numérotée"},{"trait_type":"nombre de Pass2058",_x000D_
"value":38},{"trait_type":"nombre de Pass2059",_x000D_
"value":38},{"trait_type":"nombre de Pass2060",_x000D_
"value":38},{"trait_type":"avantage45",_x000D_
"value":"https://tokensol.nfluent.io?s=symbol37&amp;platform=ftx"}],"properties":{"creators":[{"address":"paul",_x000D_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0" s="1" t="str">
        <f>formatRow(Tokens!C$2:I$2,Tokens!C40:I40)</f>
        <v>"name":"MyRealTest37",_x000D_
"symbol":"symbol37",_x000D_
"description":"description37",_x000D_
"seller_fee_basis_points":5033,_x000D_
"image":"https://ipfs.io/ipfs/QmSVo4QKEzSbLGF1q4VwV7ncNM6bjDNa3ByHMxzLJ6W4wJ?visual36.png",_x000D_
"Issuer":"paul",_x000D_
"external_url":""</v>
      </c>
      <c r="W40" s="1" t="str">
        <f>formatRow(Tokens!J$2:AC$2,Tokens!J40:AC40,2,"attributes")</f>
        <v>"attributes":[{"trait_type":"Pass festival",_x000D_
"value":"pour deux(2) personnes"},{"trait_type":"avantage37",_x000D_
"value":"accès pour deux (2) personnes à un (1) événement partenaire officiel de Calvi on the Rocks"},{"trait_type":"avantage38",_x000D_
"value":"invitation à la “Soirée off” réservée aux membres NFT pour deux (2) personnes"},{"trait_type":"avantage39",_x000D_
"value":"accès membre pour les after party officielles pour deux (2) personnes"},{"trait_type":"avantage40",_x000D_
"value":"accès prioritaire et bar dédié (consommation à la charge du festivalier) - tables réservées à l'avance pour les « NFT member » pour deux (2) personnes"},{"trait_type":"avantage41",_x000D_
"value":"37 affiche dédicacée et numérotée"},{"trait_type":"nombre de Pass2058",_x000D_
"value":38},{"trait_type":"nombre de Pass2059",_x000D_
"value":38},{"trait_type":"nombre de Pass2060",_x000D_
"value":38},{"trait_type":"avantage45",_x000D_
"value":"https://tokensol.nfluent.io?s=symbol37&amp;platform=ftx"}]</v>
      </c>
      <c r="X40" s="1" t="str">
        <f>formatRow(Tokens!AD$2:AI$2,Tokens!AD40:AI40,2,"creators")</f>
        <v>"creators":[{"address":"paul",_x000D_
"share":10},{"address":"sophie",_x000D_
"share":60},{"address":"roger",_x000D_
"share":30}]</v>
      </c>
      <c r="Y40" s="1" t="str">
        <f>formatRow(Tokens!AJ$2:AO$2,Tokens!AJ40:AO40,2,"files")</f>
        <v>"files":[]</v>
      </c>
      <c r="Z40" s="1"/>
      <c r="AA40" s="1"/>
      <c r="AB40" s="1"/>
      <c r="AC40" s="1" t="str">
        <f>formatRow(Tokens!AP$2:AQ$2,Tokens!AP40:AQ40,0,"collection")</f>
        <v>"collection":{"name":"MyTestCollection",_x000D_
"family":"NFluentCollection"}</v>
      </c>
      <c r="AD40" s="1"/>
      <c r="AE40" s="1"/>
    </row>
    <row r="41" spans="5:31" ht="14.25" customHeight="1" x14ac:dyDescent="0.25">
      <c r="E41" s="19" t="str">
        <f>IF(Tokens!C41="","",Tokens!C41)</f>
        <v>MyRealTest38</v>
      </c>
      <c r="F41"/>
      <c r="G41"/>
      <c r="H41"/>
      <c r="I41"/>
      <c r="J41"/>
      <c r="K41"/>
      <c r="L41" s="16" t="str">
        <f t="shared" si="1"/>
        <v>_</v>
      </c>
      <c r="M41" s="16"/>
      <c r="N41" s="16"/>
      <c r="O41" s="16"/>
      <c r="P41" s="21" t="str">
        <f>IF(F41&lt;&gt;"",HYPERLINK(Settings!$B$5 &amp; "/manage/?network=" &amp; B$8 &amp; "&amp;search=token&amp;account=" &amp; ToMint!$B$5 &amp; "&amp;view=" &amp; ToMint!J41,"TokenSol"),"")</f>
        <v/>
      </c>
      <c r="T41" s="1" t="str">
        <f>"owner=" &amp; Tokens!AW41</f>
        <v>owner=sophie</v>
      </c>
      <c r="U41" s="1" t="str">
        <f t="shared" si="0"/>
        <v>{"name":"MyRealTest38",_x000D_
"symbol":"symbol38",_x000D_
"description":"description38",_x000D_
"seller_fee_basis_points":5034,_x000D_
"image":"https://ipfs.io/ipfs/QmRipmPYHTX7DhS9qsDserMyaQeQdLyFSn3CUbFnbCY2xb?visual37.png",_x000D_
"Issuer":"paul",_x000D_
"external_url":"","attributes":[{"trait_type":"Pass festival",_x000D_
"value":"pour deux(2) personnes"},{"trait_type":"avantage38",_x000D_
"value":"accès pour deux (2) personnes à un (1) événement partenaire officiel de Calvi on the Rocks"},{"trait_type":"avantage39",_x000D_
"value":"invitation à la “Soirée off” réservée aux membres NFT pour deux (2) personnes"},{"trait_type":"avantage40",_x000D_
"value":"accès membre pour les after party officielles pour deux (2) personnes"},{"trait_type":"avantage41",_x000D_
"value":"accès prioritaire et bar dédié (consommation à la charge du festivalier) - tables réservées à l'avance pour les « NFT member » pour deux (2) personnes"},{"trait_type":"avantage42",_x000D_
"value":"38 affiche dédicacée et numérotée"},{"trait_type":"nombre de Pass2059",_x000D_
"value":39},{"trait_type":"nombre de Pass2060",_x000D_
"value":39},{"trait_type":"nombre de Pass2061",_x000D_
"value":39},{"trait_type":"avantage46",_x000D_
"value":"https://tokensol.nfluent.io?s=symbol38&amp;platform=ftx"}],"properties":{"creators":[{"address":"paul",_x000D_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1" s="1" t="str">
        <f>formatRow(Tokens!C$2:I$2,Tokens!C41:I41)</f>
        <v>"name":"MyRealTest38",_x000D_
"symbol":"symbol38",_x000D_
"description":"description38",_x000D_
"seller_fee_basis_points":5034,_x000D_
"image":"https://ipfs.io/ipfs/QmRipmPYHTX7DhS9qsDserMyaQeQdLyFSn3CUbFnbCY2xb?visual37.png",_x000D_
"Issuer":"paul",_x000D_
"external_url":""</v>
      </c>
      <c r="W41" s="1" t="str">
        <f>formatRow(Tokens!J$2:AC$2,Tokens!J41:AC41,2,"attributes")</f>
        <v>"attributes":[{"trait_type":"Pass festival",_x000D_
"value":"pour deux(2) personnes"},{"trait_type":"avantage38",_x000D_
"value":"accès pour deux (2) personnes à un (1) événement partenaire officiel de Calvi on the Rocks"},{"trait_type":"avantage39",_x000D_
"value":"invitation à la “Soirée off” réservée aux membres NFT pour deux (2) personnes"},{"trait_type":"avantage40",_x000D_
"value":"accès membre pour les after party officielles pour deux (2) personnes"},{"trait_type":"avantage41",_x000D_
"value":"accès prioritaire et bar dédié (consommation à la charge du festivalier) - tables réservées à l'avance pour les « NFT member » pour deux (2) personnes"},{"trait_type":"avantage42",_x000D_
"value":"38 affiche dédicacée et numérotée"},{"trait_type":"nombre de Pass2059",_x000D_
"value":39},{"trait_type":"nombre de Pass2060",_x000D_
"value":39},{"trait_type":"nombre de Pass2061",_x000D_
"value":39},{"trait_type":"avantage46",_x000D_
"value":"https://tokensol.nfluent.io?s=symbol38&amp;platform=ftx"}]</v>
      </c>
      <c r="X41" s="1" t="str">
        <f>formatRow(Tokens!AD$2:AI$2,Tokens!AD41:AI41,2,"creators")</f>
        <v>"creators":[{"address":"paul",_x000D_
"share":10},{"address":"sophie",_x000D_
"share":60},{"address":"roger",_x000D_
"share":30}]</v>
      </c>
      <c r="Y41" s="1" t="str">
        <f>formatRow(Tokens!AJ$2:AO$2,Tokens!AJ41:AO41,2,"files")</f>
        <v>"files":[]</v>
      </c>
      <c r="Z41" s="1"/>
      <c r="AA41" s="1"/>
      <c r="AB41" s="1"/>
      <c r="AC41" s="1" t="str">
        <f>formatRow(Tokens!AP$2:AQ$2,Tokens!AP41:AQ41,0,"collection")</f>
        <v>"collection":{"name":"MyTestCollection",_x000D_
"family":"NFluentCollection"}</v>
      </c>
      <c r="AD41" s="1"/>
      <c r="AE41" s="1"/>
    </row>
    <row r="42" spans="5:31" ht="14.25" customHeight="1" x14ac:dyDescent="0.25">
      <c r="E42" s="19" t="str">
        <f>IF(Tokens!C42="","",Tokens!C42)</f>
        <v>MyRealTest39</v>
      </c>
      <c r="F42"/>
      <c r="G42"/>
      <c r="H42"/>
      <c r="I42"/>
      <c r="J42"/>
      <c r="K42"/>
      <c r="L42" s="16" t="str">
        <f t="shared" si="1"/>
        <v>_</v>
      </c>
      <c r="M42" s="16"/>
      <c r="N42" s="16"/>
      <c r="O42" s="16"/>
      <c r="P42" s="21" t="str">
        <f>IF(F42&lt;&gt;"",HYPERLINK(Settings!$B$5 &amp; "/manage/?network=" &amp; B$8 &amp; "&amp;search=token&amp;account=" &amp; ToMint!$B$5 &amp; "&amp;view=" &amp; ToMint!J42,"TokenSol"),"")</f>
        <v/>
      </c>
      <c r="T42" s="1" t="str">
        <f>"owner=" &amp; Tokens!AW42</f>
        <v>owner=sophie</v>
      </c>
      <c r="U42" s="1" t="str">
        <f t="shared" si="0"/>
        <v>{"name":"MyRealTest39",_x000D_
"symbol":"symbol39",_x000D_
"description":"description39",_x000D_
"seller_fee_basis_points":5035,_x000D_
"image":"https://ipfs.io/ipfs/QmPQ9WGncZWkhrwma7PsCJA41MD6UCW6HYy2KwDYN5YWFD?visual38.png",_x000D_
"Issuer":"paul",_x000D_
"external_url":"","attributes":[{"trait_type":"Pass festival",_x000D_
"value":"pour deux(2) personnes"},{"trait_type":"avantage39",_x000D_
"value":"accès pour deux (2) personnes à un (1) événement partenaire officiel de Calvi on the Rocks"},{"trait_type":"avantage40",_x000D_
"value":"invitation à la “Soirée off” réservée aux membres NFT pour deux (2) personnes"},{"trait_type":"avantage41",_x000D_
"value":"accès membre pour les after party officielles pour deux (2) personnes"},{"trait_type":"avantage42",_x000D_
"value":"accès prioritaire et bar dédié (consommation à la charge du festivalier) - tables réservées à l'avance pour les « NFT member » pour deux (2) personnes"},{"trait_type":"avantage43",_x000D_
"value":"39 affiche dédicacée et numérotée"},{"trait_type":"nombre de Pass2060",_x000D_
"value":40},{"trait_type":"nombre de Pass2061",_x000D_
"value":40},{"trait_type":"nombre de Pass2062",_x000D_
"value":40},{"trait_type":"avantage47",_x000D_
"value":"https://tokensol.nfluent.io?s=symbol39&amp;platform=ftx"}],"properties":{"creators":[{"address":"paul",_x000D_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2" s="1" t="str">
        <f>formatRow(Tokens!C$2:I$2,Tokens!C42:I42)</f>
        <v>"name":"MyRealTest39",_x000D_
"symbol":"symbol39",_x000D_
"description":"description39",_x000D_
"seller_fee_basis_points":5035,_x000D_
"image":"https://ipfs.io/ipfs/QmPQ9WGncZWkhrwma7PsCJA41MD6UCW6HYy2KwDYN5YWFD?visual38.png",_x000D_
"Issuer":"paul",_x000D_
"external_url":""</v>
      </c>
      <c r="W42" s="1" t="str">
        <f>formatRow(Tokens!J$2:AC$2,Tokens!J42:AC42,2,"attributes")</f>
        <v>"attributes":[{"trait_type":"Pass festival",_x000D_
"value":"pour deux(2) personnes"},{"trait_type":"avantage39",_x000D_
"value":"accès pour deux (2) personnes à un (1) événement partenaire officiel de Calvi on the Rocks"},{"trait_type":"avantage40",_x000D_
"value":"invitation à la “Soirée off” réservée aux membres NFT pour deux (2) personnes"},{"trait_type":"avantage41",_x000D_
"value":"accès membre pour les after party officielles pour deux (2) personnes"},{"trait_type":"avantage42",_x000D_
"value":"accès prioritaire et bar dédié (consommation à la charge du festivalier) - tables réservées à l'avance pour les « NFT member » pour deux (2) personnes"},{"trait_type":"avantage43",_x000D_
"value":"39 affiche dédicacée et numérotée"},{"trait_type":"nombre de Pass2060",_x000D_
"value":40},{"trait_type":"nombre de Pass2061",_x000D_
"value":40},{"trait_type":"nombre de Pass2062",_x000D_
"value":40},{"trait_type":"avantage47",_x000D_
"value":"https://tokensol.nfluent.io?s=symbol39&amp;platform=ftx"}]</v>
      </c>
      <c r="X42" s="1" t="str">
        <f>formatRow(Tokens!AD$2:AI$2,Tokens!AD42:AI42,2,"creators")</f>
        <v>"creators":[{"address":"paul",_x000D_
"share":10},{"address":"sophie",_x000D_
"share":60},{"address":"roger",_x000D_
"share":30}]</v>
      </c>
      <c r="Y42" s="1" t="str">
        <f>formatRow(Tokens!AJ$2:AO$2,Tokens!AJ42:AO42,2,"files")</f>
        <v>"files":[]</v>
      </c>
      <c r="Z42" s="1"/>
      <c r="AA42" s="1"/>
      <c r="AB42" s="1"/>
      <c r="AC42" s="1" t="str">
        <f>formatRow(Tokens!AP$2:AQ$2,Tokens!AP42:AQ42,0,"collection")</f>
        <v>"collection":{"name":"MyTestCollection",_x000D_
"family":"NFluentCollection"}</v>
      </c>
      <c r="AD42" s="1"/>
      <c r="AE42" s="1"/>
    </row>
    <row r="43" spans="5:31" ht="14.25" customHeight="1" x14ac:dyDescent="0.25">
      <c r="E43" s="19" t="str">
        <f>IF(Tokens!C43="","",Tokens!C43)</f>
        <v>MyRealTest40</v>
      </c>
      <c r="F43"/>
      <c r="G43"/>
      <c r="H43"/>
      <c r="I43"/>
      <c r="J43"/>
      <c r="K43"/>
      <c r="L43" s="16" t="str">
        <f t="shared" si="1"/>
        <v>_</v>
      </c>
      <c r="M43" s="16"/>
      <c r="N43" s="16"/>
      <c r="O43" s="16"/>
      <c r="P43" s="21" t="str">
        <f>IF(F43&lt;&gt;"",HYPERLINK(Settings!$B$5 &amp; "/manage/?network=" &amp; B$8 &amp; "&amp;search=token&amp;account=" &amp; ToMint!$B$5 &amp; "&amp;view=" &amp; ToMint!J43,"TokenSol"),"")</f>
        <v/>
      </c>
      <c r="T43" s="1" t="str">
        <f>"owner=" &amp; Tokens!AW43</f>
        <v>owner=sophie</v>
      </c>
      <c r="U43" s="1" t="str">
        <f t="shared" si="0"/>
        <v>{"name":"MyRealTest40",_x000D_
"symbol":"symbol40",_x000D_
"description":"description40",_x000D_
"seller_fee_basis_points":5036,_x000D_
"image":"https://ipfs.io/ipfs/QmZYx4KdZJx3GVzsdfN1f1LV5hnzSnzjtaPJeoQQJ8DnJE?visual39.png",_x000D_
"Issuer":"paul",_x000D_
"external_url":"","attributes":[{"trait_type":"Pass festival",_x000D_
"value":"pour deux(2) personnes"},{"trait_type":"avantage40",_x000D_
"value":"accès pour deux (2) personnes à un (1) événement partenaire officiel de Calvi on the Rocks"},{"trait_type":"avantage41",_x000D_
"value":"invitation à la “Soirée off” réservée aux membres NFT pour deux (2) personnes"},{"trait_type":"avantage42",_x000D_
"value":"accès membre pour les after party officielles pour deux (2) personnes"},{"trait_type":"avantage43",_x000D_
"value":"accès prioritaire et bar dédié (consommation à la charge du festivalier) - tables réservées à l'avance pour les « NFT member » pour deux (2) personnes"},{"trait_type":"avantage44",_x000D_
"value":"40 affiche dédicacée et numérotée"},{"trait_type":"nombre de Pass2061",_x000D_
"value":41},{"trait_type":"nombre de Pass2062",_x000D_
"value":41},{"trait_type":"nombre de Pass2063",_x000D_
"value":41},{"trait_type":"avantage48",_x000D_
"value":"https://tokensol.nfluent.io?s=symbol40&amp;platform=ftx"}],"properties":{"creators":[{"address":"paul",_x000D_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3" s="1" t="str">
        <f>formatRow(Tokens!C$2:I$2,Tokens!C43:I43)</f>
        <v>"name":"MyRealTest40",_x000D_
"symbol":"symbol40",_x000D_
"description":"description40",_x000D_
"seller_fee_basis_points":5036,_x000D_
"image":"https://ipfs.io/ipfs/QmZYx4KdZJx3GVzsdfN1f1LV5hnzSnzjtaPJeoQQJ8DnJE?visual39.png",_x000D_
"Issuer":"paul",_x000D_
"external_url":""</v>
      </c>
      <c r="W43" s="1" t="str">
        <f>formatRow(Tokens!J$2:AC$2,Tokens!J43:AC43,2,"attributes")</f>
        <v>"attributes":[{"trait_type":"Pass festival",_x000D_
"value":"pour deux(2) personnes"},{"trait_type":"avantage40",_x000D_
"value":"accès pour deux (2) personnes à un (1) événement partenaire officiel de Calvi on the Rocks"},{"trait_type":"avantage41",_x000D_
"value":"invitation à la “Soirée off” réservée aux membres NFT pour deux (2) personnes"},{"trait_type":"avantage42",_x000D_
"value":"accès membre pour les after party officielles pour deux (2) personnes"},{"trait_type":"avantage43",_x000D_
"value":"accès prioritaire et bar dédié (consommation à la charge du festivalier) - tables réservées à l'avance pour les « NFT member » pour deux (2) personnes"},{"trait_type":"avantage44",_x000D_
"value":"40 affiche dédicacée et numérotée"},{"trait_type":"nombre de Pass2061",_x000D_
"value":41},{"trait_type":"nombre de Pass2062",_x000D_
"value":41},{"trait_type":"nombre de Pass2063",_x000D_
"value":41},{"trait_type":"avantage48",_x000D_
"value":"https://tokensol.nfluent.io?s=symbol40&amp;platform=ftx"}]</v>
      </c>
      <c r="X43" s="1" t="str">
        <f>formatRow(Tokens!AD$2:AI$2,Tokens!AD43:AI43,2,"creators")</f>
        <v>"creators":[{"address":"paul",_x000D_
"share":10},{"address":"sophie",_x000D_
"share":60},{"address":"roger",_x000D_
"share":30}]</v>
      </c>
      <c r="Y43" s="1" t="str">
        <f>formatRow(Tokens!AJ$2:AO$2,Tokens!AJ43:AO43,2,"files")</f>
        <v>"files":[]</v>
      </c>
      <c r="Z43" s="1"/>
      <c r="AA43" s="1"/>
      <c r="AB43" s="1"/>
      <c r="AC43" s="1" t="str">
        <f>formatRow(Tokens!AP$2:AQ$2,Tokens!AP43:AQ43,0,"collection")</f>
        <v>"collection":{"name":"MyTestCollection",_x000D_
"family":"NFluentCollection"}</v>
      </c>
      <c r="AD43" s="1"/>
      <c r="AE43" s="1"/>
    </row>
    <row r="44" spans="5:31" ht="14.25" customHeight="1" x14ac:dyDescent="0.25">
      <c r="E44" s="19" t="str">
        <f>IF(Tokens!C44="","",Tokens!C44)</f>
        <v>MyRealTest41</v>
      </c>
      <c r="F44"/>
      <c r="G44"/>
      <c r="H44"/>
      <c r="I44"/>
      <c r="J44"/>
      <c r="K44"/>
      <c r="L44" s="16" t="str">
        <f t="shared" si="1"/>
        <v>_</v>
      </c>
      <c r="M44" s="16"/>
      <c r="N44" s="16"/>
      <c r="O44" s="16"/>
      <c r="P44" s="21" t="str">
        <f>IF(F44&lt;&gt;"",HYPERLINK(Settings!$B$5 &amp; "/manage/?network=" &amp; B$8 &amp; "&amp;search=token&amp;account=" &amp; ToMint!$B$5 &amp; "&amp;view=" &amp; ToMint!J44,"TokenSol"),"")</f>
        <v/>
      </c>
      <c r="T44" s="1" t="str">
        <f>"owner=" &amp; Tokens!AW44</f>
        <v>owner=sophie</v>
      </c>
      <c r="U44" s="1" t="str">
        <f t="shared" si="0"/>
        <v>{"name":"MyRealTest41",_x000D_
"symbol":"symbol41",_x000D_
"description":"description41",_x000D_
"seller_fee_basis_points":5037,_x000D_
"image":"https://ipfs.io/ipfs/QmY1veYzryMhx9rfTAeQamHdaBTsxQNi6tVuHXwnhFrgA1?visual40.png",_x000D_
"Issuer":"paul",_x000D_
"external_url":"","attributes":[{"trait_type":"Pass festival",_x000D_
"value":"pour deux(2) personnes"},{"trait_type":"avantage41",_x000D_
"value":"accès pour deux (2) personnes à un (1) événement partenaire officiel de Calvi on the Rocks"},{"trait_type":"avantage42",_x000D_
"value":"invitation à la “Soirée off” réservée aux membres NFT pour deux (2) personnes"},{"trait_type":"avantage43",_x000D_
"value":"accès membre pour les after party officielles pour deux (2) personnes"},{"trait_type":"avantage44",_x000D_
"value":"accès prioritaire et bar dédié (consommation à la charge du festivalier) - tables réservées à l'avance pour les « NFT member » pour deux (2) personnes"},{"trait_type":"avantage45",_x000D_
"value":"41 affiche dédicacée et numérotée"},{"trait_type":"nombre de Pass2062",_x000D_
"value":42},{"trait_type":"nombre de Pass2063",_x000D_
"value":42},{"trait_type":"nombre de Pass2064",_x000D_
"value":42},{"trait_type":"avantage49",_x000D_
"value":"https://tokensol.nfluent.io?s=symbol41&amp;platform=ftx"}],"properties":{"creators":[{"address":"paul",_x000D_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4" s="1" t="str">
        <f>formatRow(Tokens!C$2:I$2,Tokens!C44:I44)</f>
        <v>"name":"MyRealTest41",_x000D_
"symbol":"symbol41",_x000D_
"description":"description41",_x000D_
"seller_fee_basis_points":5037,_x000D_
"image":"https://ipfs.io/ipfs/QmY1veYzryMhx9rfTAeQamHdaBTsxQNi6tVuHXwnhFrgA1?visual40.png",_x000D_
"Issuer":"paul",_x000D_
"external_url":""</v>
      </c>
      <c r="W44" s="1" t="str">
        <f>formatRow(Tokens!J$2:AC$2,Tokens!J44:AC44,2,"attributes")</f>
        <v>"attributes":[{"trait_type":"Pass festival",_x000D_
"value":"pour deux(2) personnes"},{"trait_type":"avantage41",_x000D_
"value":"accès pour deux (2) personnes à un (1) événement partenaire officiel de Calvi on the Rocks"},{"trait_type":"avantage42",_x000D_
"value":"invitation à la “Soirée off” réservée aux membres NFT pour deux (2) personnes"},{"trait_type":"avantage43",_x000D_
"value":"accès membre pour les after party officielles pour deux (2) personnes"},{"trait_type":"avantage44",_x000D_
"value":"accès prioritaire et bar dédié (consommation à la charge du festivalier) - tables réservées à l'avance pour les « NFT member » pour deux (2) personnes"},{"trait_type":"avantage45",_x000D_
"value":"41 affiche dédicacée et numérotée"},{"trait_type":"nombre de Pass2062",_x000D_
"value":42},{"trait_type":"nombre de Pass2063",_x000D_
"value":42},{"trait_type":"nombre de Pass2064",_x000D_
"value":42},{"trait_type":"avantage49",_x000D_
"value":"https://tokensol.nfluent.io?s=symbol41&amp;platform=ftx"}]</v>
      </c>
      <c r="X44" s="1" t="str">
        <f>formatRow(Tokens!AD$2:AI$2,Tokens!AD44:AI44,2,"creators")</f>
        <v>"creators":[{"address":"paul",_x000D_
"share":10},{"address":"sophie",_x000D_
"share":60},{"address":"roger",_x000D_
"share":30}]</v>
      </c>
      <c r="Y44" s="1" t="str">
        <f>formatRow(Tokens!AJ$2:AO$2,Tokens!AJ44:AO44,2,"files")</f>
        <v>"files":[]</v>
      </c>
      <c r="Z44" s="1"/>
      <c r="AA44" s="1"/>
      <c r="AB44" s="1"/>
      <c r="AC44" s="1" t="str">
        <f>formatRow(Tokens!AP$2:AQ$2,Tokens!AP44:AQ44,0,"collection")</f>
        <v>"collection":{"name":"MyTestCollection",_x000D_
"family":"NFluentCollection"}</v>
      </c>
      <c r="AD44" s="1"/>
      <c r="AE44" s="1"/>
    </row>
    <row r="45" spans="5:31" ht="14.25" customHeight="1" x14ac:dyDescent="0.25">
      <c r="E45" s="19" t="str">
        <f>IF(Tokens!C45="","",Tokens!C45)</f>
        <v>MyRealTest42</v>
      </c>
      <c r="F45"/>
      <c r="G45"/>
      <c r="H45"/>
      <c r="I45"/>
      <c r="J45"/>
      <c r="K45"/>
      <c r="L45" s="16" t="str">
        <f t="shared" si="1"/>
        <v>_</v>
      </c>
      <c r="M45" s="16"/>
      <c r="N45" s="16"/>
      <c r="O45" s="16"/>
      <c r="P45" s="21" t="str">
        <f>IF(F45&lt;&gt;"",HYPERLINK(Settings!$B$5 &amp; "/manage/?network=" &amp; B$8 &amp; "&amp;search=token&amp;account=" &amp; ToMint!$B$5 &amp; "&amp;view=" &amp; ToMint!J45,"TokenSol"),"")</f>
        <v/>
      </c>
      <c r="T45" s="1" t="str">
        <f>"owner=" &amp; Tokens!AW45</f>
        <v>owner=sophie</v>
      </c>
      <c r="U45" s="1" t="str">
        <f t="shared" si="0"/>
        <v>{"name":"MyRealTest42",_x000D_
"symbol":"symbol42",_x000D_
"description":"description42",_x000D_
"seller_fee_basis_points":5038,_x000D_
"image":"https://ipfs.io/ipfs/Qmd3rvr6K4TEqxpSL71nWda4Z3EsUQSs4bdb2j4hrfa2yx?visual41.png",_x000D_
"Issuer":"paul",_x000D_
"external_url":"","attributes":[{"trait_type":"Pass festival",_x000D_
"value":"pour deux(2) personnes"},{"trait_type":"avantage42",_x000D_
"value":"accès pour deux (2) personnes à un (1) événement partenaire officiel de Calvi on the Rocks"},{"trait_type":"avantage43",_x000D_
"value":"invitation à la “Soirée off” réservée aux membres NFT pour deux (2) personnes"},{"trait_type":"avantage44",_x000D_
"value":"accès membre pour les after party officielles pour deux (2) personnes"},{"trait_type":"avantage45",_x000D_
"value":"accès prioritaire et bar dédié (consommation à la charge du festivalier) - tables réservées à l'avance pour les « NFT member » pour deux (2) personnes"},{"trait_type":"avantage46",_x000D_
"value":"42 affiche dédicacée et numérotée"},{"trait_type":"nombre de Pass2063",_x000D_
"value":43},{"trait_type":"nombre de Pass2064",_x000D_
"value":43},{"trait_type":"nombre de Pass2065",_x000D_
"value":43},{"trait_type":"avantage50",_x000D_
"value":"https://tokensol.nfluent.io?s=symbol42&amp;platform=ftx"}],"properties":{"creators":[{"address":"paul",_x000D_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5" s="1" t="str">
        <f>formatRow(Tokens!C$2:I$2,Tokens!C45:I45)</f>
        <v>"name":"MyRealTest42",_x000D_
"symbol":"symbol42",_x000D_
"description":"description42",_x000D_
"seller_fee_basis_points":5038,_x000D_
"image":"https://ipfs.io/ipfs/Qmd3rvr6K4TEqxpSL71nWda4Z3EsUQSs4bdb2j4hrfa2yx?visual41.png",_x000D_
"Issuer":"paul",_x000D_
"external_url":""</v>
      </c>
      <c r="W45" s="1" t="str">
        <f>formatRow(Tokens!J$2:AC$2,Tokens!J45:AC45,2,"attributes")</f>
        <v>"attributes":[{"trait_type":"Pass festival",_x000D_
"value":"pour deux(2) personnes"},{"trait_type":"avantage42",_x000D_
"value":"accès pour deux (2) personnes à un (1) événement partenaire officiel de Calvi on the Rocks"},{"trait_type":"avantage43",_x000D_
"value":"invitation à la “Soirée off” réservée aux membres NFT pour deux (2) personnes"},{"trait_type":"avantage44",_x000D_
"value":"accès membre pour les after party officielles pour deux (2) personnes"},{"trait_type":"avantage45",_x000D_
"value":"accès prioritaire et bar dédié (consommation à la charge du festivalier) - tables réservées à l'avance pour les « NFT member » pour deux (2) personnes"},{"trait_type":"avantage46",_x000D_
"value":"42 affiche dédicacée et numérotée"},{"trait_type":"nombre de Pass2063",_x000D_
"value":43},{"trait_type":"nombre de Pass2064",_x000D_
"value":43},{"trait_type":"nombre de Pass2065",_x000D_
"value":43},{"trait_type":"avantage50",_x000D_
"value":"https://tokensol.nfluent.io?s=symbol42&amp;platform=ftx"}]</v>
      </c>
      <c r="X45" s="1" t="str">
        <f>formatRow(Tokens!AD$2:AI$2,Tokens!AD45:AI45,2,"creators")</f>
        <v>"creators":[{"address":"paul",_x000D_
"share":10},{"address":"sophie",_x000D_
"share":60},{"address":"roger",_x000D_
"share":30}]</v>
      </c>
      <c r="Y45" s="1" t="str">
        <f>formatRow(Tokens!AJ$2:AO$2,Tokens!AJ45:AO45,2,"files")</f>
        <v>"files":[]</v>
      </c>
      <c r="Z45" s="1"/>
      <c r="AA45" s="1"/>
      <c r="AB45" s="1"/>
      <c r="AC45" s="1" t="str">
        <f>formatRow(Tokens!AP$2:AQ$2,Tokens!AP45:AQ45,0,"collection")</f>
        <v>"collection":{"name":"MyTestCollection",_x000D_
"family":"NFluentCollection"}</v>
      </c>
      <c r="AD45" s="1"/>
      <c r="AE45" s="1"/>
    </row>
    <row r="46" spans="5:31" ht="14.25" customHeight="1" x14ac:dyDescent="0.25">
      <c r="E46" s="19" t="str">
        <f>IF(Tokens!C46="","",Tokens!C46)</f>
        <v>MyRealTest43</v>
      </c>
      <c r="F46"/>
      <c r="G46"/>
      <c r="H46"/>
      <c r="I46"/>
      <c r="J46"/>
      <c r="K46"/>
      <c r="L46" s="16" t="str">
        <f t="shared" si="1"/>
        <v>_</v>
      </c>
      <c r="M46" s="16"/>
      <c r="N46" s="16"/>
      <c r="O46" s="16"/>
      <c r="P46" s="21" t="str">
        <f>IF(F46&lt;&gt;"",HYPERLINK(Settings!$B$5 &amp; "/manage/?network=" &amp; B$8 &amp; "&amp;search=token&amp;account=" &amp; ToMint!$B$5 &amp; "&amp;view=" &amp; ToMint!J46,"TokenSol"),"")</f>
        <v/>
      </c>
      <c r="T46" s="1" t="str">
        <f>"owner=" &amp; Tokens!AW46</f>
        <v>owner=sophie</v>
      </c>
      <c r="U46" s="1" t="str">
        <f t="shared" si="0"/>
        <v>{"name":"MyRealTest43",_x000D_
"symbol":"symbol43",_x000D_
"description":"description43",_x000D_
"seller_fee_basis_points":5039,_x000D_
"image":"https://ipfs.io/ipfs/QmY5E24Td8FuPUutFCNV2z7ZDFyTwX6okKRwxv4fn8fV2Y?visual42.png",_x000D_
"Issuer":"paul",_x000D_
"external_url":"","attributes":[{"trait_type":"Pass festival",_x000D_
"value":"pour deux(2) personnes"},{"trait_type":"avantage43",_x000D_
"value":"accès pour deux (2) personnes à un (1) événement partenaire officiel de Calvi on the Rocks"},{"trait_type":"avantage44",_x000D_
"value":"invitation à la “Soirée off” réservée aux membres NFT pour deux (2) personnes"},{"trait_type":"avantage45",_x000D_
"value":"accès membre pour les after party officielles pour deux (2) personnes"},{"trait_type":"avantage46",_x000D_
"value":"accès prioritaire et bar dédié (consommation à la charge du festivalier) - tables réservées à l'avance pour les « NFT member » pour deux (2) personnes"},{"trait_type":"avantage47",_x000D_
"value":"43 affiche dédicacée et numérotée"},{"trait_type":"nombre de Pass2064",_x000D_
"value":44},{"trait_type":"nombre de Pass2065",_x000D_
"value":44},{"trait_type":"nombre de Pass2066",_x000D_
"value":44},{"trait_type":"avantage51",_x000D_
"value":"https://tokensol.nfluent.io?s=symbol43&amp;platform=ftx"}],"properties":{"creators":[{"address":"paul",_x000D_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6" s="1" t="str">
        <f>formatRow(Tokens!C$2:I$2,Tokens!C46:I46)</f>
        <v>"name":"MyRealTest43",_x000D_
"symbol":"symbol43",_x000D_
"description":"description43",_x000D_
"seller_fee_basis_points":5039,_x000D_
"image":"https://ipfs.io/ipfs/QmY5E24Td8FuPUutFCNV2z7ZDFyTwX6okKRwxv4fn8fV2Y?visual42.png",_x000D_
"Issuer":"paul",_x000D_
"external_url":""</v>
      </c>
      <c r="W46" s="1" t="str">
        <f>formatRow(Tokens!J$2:AC$2,Tokens!J46:AC46,2,"attributes")</f>
        <v>"attributes":[{"trait_type":"Pass festival",_x000D_
"value":"pour deux(2) personnes"},{"trait_type":"avantage43",_x000D_
"value":"accès pour deux (2) personnes à un (1) événement partenaire officiel de Calvi on the Rocks"},{"trait_type":"avantage44",_x000D_
"value":"invitation à la “Soirée off” réservée aux membres NFT pour deux (2) personnes"},{"trait_type":"avantage45",_x000D_
"value":"accès membre pour les after party officielles pour deux (2) personnes"},{"trait_type":"avantage46",_x000D_
"value":"accès prioritaire et bar dédié (consommation à la charge du festivalier) - tables réservées à l'avance pour les « NFT member » pour deux (2) personnes"},{"trait_type":"avantage47",_x000D_
"value":"43 affiche dédicacée et numérotée"},{"trait_type":"nombre de Pass2064",_x000D_
"value":44},{"trait_type":"nombre de Pass2065",_x000D_
"value":44},{"trait_type":"nombre de Pass2066",_x000D_
"value":44},{"trait_type":"avantage51",_x000D_
"value":"https://tokensol.nfluent.io?s=symbol43&amp;platform=ftx"}]</v>
      </c>
      <c r="X46" s="1" t="str">
        <f>formatRow(Tokens!AD$2:AI$2,Tokens!AD46:AI46,2,"creators")</f>
        <v>"creators":[{"address":"paul",_x000D_
"share":10},{"address":"sophie",_x000D_
"share":60},{"address":"roger",_x000D_
"share":30}]</v>
      </c>
      <c r="Y46" s="1" t="str">
        <f>formatRow(Tokens!AJ$2:AO$2,Tokens!AJ46:AO46,2,"files")</f>
        <v>"files":[]</v>
      </c>
      <c r="Z46" s="1"/>
      <c r="AA46" s="1"/>
      <c r="AB46" s="1"/>
      <c r="AC46" s="1" t="str">
        <f>formatRow(Tokens!AP$2:AQ$2,Tokens!AP46:AQ46,0,"collection")</f>
        <v>"collection":{"name":"MyTestCollection",_x000D_
"family":"NFluentCollection"}</v>
      </c>
      <c r="AD46" s="1"/>
      <c r="AE46" s="1"/>
    </row>
    <row r="47" spans="5:31" ht="14.25" customHeight="1" x14ac:dyDescent="0.25">
      <c r="E47" s="19" t="str">
        <f>IF(Tokens!C47="","",Tokens!C47)</f>
        <v>MyRealTest44</v>
      </c>
      <c r="F47"/>
      <c r="G47"/>
      <c r="H47"/>
      <c r="I47"/>
      <c r="J47"/>
      <c r="K47"/>
      <c r="L47" s="16" t="str">
        <f t="shared" si="1"/>
        <v>_</v>
      </c>
      <c r="M47" s="16"/>
      <c r="N47" s="16"/>
      <c r="O47" s="16"/>
      <c r="P47" s="21" t="str">
        <f>IF(F47&lt;&gt;"",HYPERLINK(Settings!$B$5 &amp; "/manage/?network=" &amp; B$8 &amp; "&amp;search=token&amp;account=" &amp; ToMint!$B$5 &amp; "&amp;view=" &amp; ToMint!J47,"TokenSol"),"")</f>
        <v/>
      </c>
      <c r="T47" s="1" t="str">
        <f>"owner=" &amp; Tokens!AW47</f>
        <v>owner=sophie</v>
      </c>
      <c r="U47" s="1" t="str">
        <f t="shared" si="0"/>
        <v>{"name":"MyRealTest44",_x000D_
"symbol":"symbol44",_x000D_
"description":"description44",_x000D_
"seller_fee_basis_points":5040,_x000D_
"image":"https://ipfs.io/ipfs/QmTKUSigx7rqUpbJRbg2FNUsWF4qAqRy5u9pvCHJHnYmZN?visual43.png",_x000D_
"Issuer":"paul",_x000D_
"external_url":"","attributes":[{"trait_type":"Pass festival",_x000D_
"value":"pour deux(2) personnes"},{"trait_type":"avantage44",_x000D_
"value":"accès pour deux (2) personnes à un (1) événement partenaire officiel de Calvi on the Rocks"},{"trait_type":"avantage45",_x000D_
"value":"invitation à la “Soirée off” réservée aux membres NFT pour deux (2) personnes"},{"trait_type":"avantage46",_x000D_
"value":"accès membre pour les after party officielles pour deux (2) personnes"},{"trait_type":"avantage47",_x000D_
"value":"accès prioritaire et bar dédié (consommation à la charge du festivalier) - tables réservées à l'avance pour les « NFT member » pour deux (2) personnes"},{"trait_type":"avantage48",_x000D_
"value":"44 affiche dédicacée et numérotée"},{"trait_type":"nombre de Pass2065",_x000D_
"value":45},{"trait_type":"nombre de Pass2066",_x000D_
"value":45},{"trait_type":"nombre de Pass2067",_x000D_
"value":45},{"trait_type":"avantage52",_x000D_
"value":"https://tokensol.nfluent.io?s=symbol44&amp;platform=ftx"}],"properties":{"creators":[{"address":"paul",_x000D_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7" s="1" t="str">
        <f>formatRow(Tokens!C$2:I$2,Tokens!C47:I47)</f>
        <v>"name":"MyRealTest44",_x000D_
"symbol":"symbol44",_x000D_
"description":"description44",_x000D_
"seller_fee_basis_points":5040,_x000D_
"image":"https://ipfs.io/ipfs/QmTKUSigx7rqUpbJRbg2FNUsWF4qAqRy5u9pvCHJHnYmZN?visual43.png",_x000D_
"Issuer":"paul",_x000D_
"external_url":""</v>
      </c>
      <c r="W47" s="1" t="str">
        <f>formatRow(Tokens!J$2:AC$2,Tokens!J47:AC47,2,"attributes")</f>
        <v>"attributes":[{"trait_type":"Pass festival",_x000D_
"value":"pour deux(2) personnes"},{"trait_type":"avantage44",_x000D_
"value":"accès pour deux (2) personnes à un (1) événement partenaire officiel de Calvi on the Rocks"},{"trait_type":"avantage45",_x000D_
"value":"invitation à la “Soirée off” réservée aux membres NFT pour deux (2) personnes"},{"trait_type":"avantage46",_x000D_
"value":"accès membre pour les after party officielles pour deux (2) personnes"},{"trait_type":"avantage47",_x000D_
"value":"accès prioritaire et bar dédié (consommation à la charge du festivalier) - tables réservées à l'avance pour les « NFT member » pour deux (2) personnes"},{"trait_type":"avantage48",_x000D_
"value":"44 affiche dédicacée et numérotée"},{"trait_type":"nombre de Pass2065",_x000D_
"value":45},{"trait_type":"nombre de Pass2066",_x000D_
"value":45},{"trait_type":"nombre de Pass2067",_x000D_
"value":45},{"trait_type":"avantage52",_x000D_
"value":"https://tokensol.nfluent.io?s=symbol44&amp;platform=ftx"}]</v>
      </c>
      <c r="X47" s="1" t="str">
        <f>formatRow(Tokens!AD$2:AI$2,Tokens!AD47:AI47,2,"creators")</f>
        <v>"creators":[{"address":"paul",_x000D_
"share":10},{"address":"sophie",_x000D_
"share":60},{"address":"roger",_x000D_
"share":30}]</v>
      </c>
      <c r="Y47" s="1" t="str">
        <f>formatRow(Tokens!AJ$2:AO$2,Tokens!AJ47:AO47,2,"files")</f>
        <v>"files":[]</v>
      </c>
      <c r="Z47" s="1"/>
      <c r="AA47" s="1"/>
      <c r="AB47" s="1"/>
      <c r="AC47" s="1" t="str">
        <f>formatRow(Tokens!AP$2:AQ$2,Tokens!AP47:AQ47,0,"collection")</f>
        <v>"collection":{"name":"MyTestCollection",_x000D_
"family":"NFluentCollection"}</v>
      </c>
      <c r="AD47" s="1"/>
      <c r="AE47" s="1"/>
    </row>
    <row r="48" spans="5:31" ht="14.25" customHeight="1" x14ac:dyDescent="0.25">
      <c r="E48" s="19" t="str">
        <f>IF(Tokens!C48="","",Tokens!C48)</f>
        <v>MyRealTest45</v>
      </c>
      <c r="F48"/>
      <c r="G48"/>
      <c r="H48"/>
      <c r="I48"/>
      <c r="J48"/>
      <c r="K48"/>
      <c r="L48" s="16" t="str">
        <f t="shared" si="1"/>
        <v>_</v>
      </c>
      <c r="M48" s="16"/>
      <c r="N48" s="16"/>
      <c r="O48" s="16"/>
      <c r="P48" s="21" t="str">
        <f>IF(F48&lt;&gt;"",HYPERLINK(Settings!$B$5 &amp; "/manage/?network=" &amp; B$8 &amp; "&amp;search=token&amp;account=" &amp; ToMint!$B$5 &amp; "&amp;view=" &amp; ToMint!J48,"TokenSol"),"")</f>
        <v/>
      </c>
      <c r="T48" s="1" t="str">
        <f>"owner=" &amp; Tokens!AW48</f>
        <v>owner=sophie</v>
      </c>
      <c r="U48" s="1" t="str">
        <f t="shared" si="0"/>
        <v>{"name":"MyRealTest45",_x000D_
"symbol":"symbol45",_x000D_
"description":"description45",_x000D_
"seller_fee_basis_points":5041,_x000D_
"image":"https://ipfs.io/ipfs/QmRRAhvFuMHjFfTgutTAumQsy9NHbLmk2kGSS5cYXLZPJv?visual44.png",_x000D_
"Issuer":"paul",_x000D_
"external_url":"","attributes":[{"trait_type":"Pass festival",_x000D_
"value":"pour deux(2) personnes"},{"trait_type":"avantage45",_x000D_
"value":"accès pour deux (2) personnes à un (1) événement partenaire officiel de Calvi on the Rocks"},{"trait_type":"avantage46",_x000D_
"value":"invitation à la “Soirée off” réservée aux membres NFT pour deux (2) personnes"},{"trait_type":"avantage47",_x000D_
"value":"accès membre pour les after party officielles pour deux (2) personnes"},{"trait_type":"avantage48",_x000D_
"value":"accès prioritaire et bar dédié (consommation à la charge du festivalier) - tables réservées à l'avance pour les « NFT member » pour deux (2) personnes"},{"trait_type":"avantage49",_x000D_
"value":"45 affiche dédicacée et numérotée"},{"trait_type":"nombre de Pass2066",_x000D_
"value":46},{"trait_type":"nombre de Pass2067",_x000D_
"value":46},{"trait_type":"nombre de Pass2068",_x000D_
"value":46},{"trait_type":"avantage53",_x000D_
"value":"https://tokensol.nfluent.io?s=symbol45&amp;platform=ftx"}],"properties":{"creators":[{"address":"paul",_x000D_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8" s="1" t="str">
        <f>formatRow(Tokens!C$2:I$2,Tokens!C48:I48)</f>
        <v>"name":"MyRealTest45",_x000D_
"symbol":"symbol45",_x000D_
"description":"description45",_x000D_
"seller_fee_basis_points":5041,_x000D_
"image":"https://ipfs.io/ipfs/QmRRAhvFuMHjFfTgutTAumQsy9NHbLmk2kGSS5cYXLZPJv?visual44.png",_x000D_
"Issuer":"paul",_x000D_
"external_url":""</v>
      </c>
      <c r="W48" s="1" t="str">
        <f>formatRow(Tokens!J$2:AC$2,Tokens!J48:AC48,2,"attributes")</f>
        <v>"attributes":[{"trait_type":"Pass festival",_x000D_
"value":"pour deux(2) personnes"},{"trait_type":"avantage45",_x000D_
"value":"accès pour deux (2) personnes à un (1) événement partenaire officiel de Calvi on the Rocks"},{"trait_type":"avantage46",_x000D_
"value":"invitation à la “Soirée off” réservée aux membres NFT pour deux (2) personnes"},{"trait_type":"avantage47",_x000D_
"value":"accès membre pour les after party officielles pour deux (2) personnes"},{"trait_type":"avantage48",_x000D_
"value":"accès prioritaire et bar dédié (consommation à la charge du festivalier) - tables réservées à l'avance pour les « NFT member » pour deux (2) personnes"},{"trait_type":"avantage49",_x000D_
"value":"45 affiche dédicacée et numérotée"},{"trait_type":"nombre de Pass2066",_x000D_
"value":46},{"trait_type":"nombre de Pass2067",_x000D_
"value":46},{"trait_type":"nombre de Pass2068",_x000D_
"value":46},{"trait_type":"avantage53",_x000D_
"value":"https://tokensol.nfluent.io?s=symbol45&amp;platform=ftx"}]</v>
      </c>
      <c r="X48" s="1" t="str">
        <f>formatRow(Tokens!AD$2:AI$2,Tokens!AD48:AI48,2,"creators")</f>
        <v>"creators":[{"address":"paul",_x000D_
"share":10},{"address":"sophie",_x000D_
"share":60},{"address":"roger",_x000D_
"share":30}]</v>
      </c>
      <c r="Y48" s="1" t="str">
        <f>formatRow(Tokens!AJ$2:AO$2,Tokens!AJ48:AO48,2,"files")</f>
        <v>"files":[]</v>
      </c>
      <c r="Z48" s="1"/>
      <c r="AA48" s="1"/>
      <c r="AB48" s="1"/>
      <c r="AC48" s="1" t="str">
        <f>formatRow(Tokens!AP$2:AQ$2,Tokens!AP48:AQ48,0,"collection")</f>
        <v>"collection":{"name":"MyTestCollection",_x000D_
"family":"NFluentCollection"}</v>
      </c>
      <c r="AD48" s="1"/>
      <c r="AE48" s="1"/>
    </row>
    <row r="49" spans="5:31" ht="14.25" customHeight="1" x14ac:dyDescent="0.25">
      <c r="E49" s="19" t="str">
        <f>IF(Tokens!C49="","",Tokens!C49)</f>
        <v>MyRealTest46</v>
      </c>
      <c r="F49"/>
      <c r="G49"/>
      <c r="H49"/>
      <c r="I49"/>
      <c r="J49"/>
      <c r="K49"/>
      <c r="L49" s="16" t="str">
        <f t="shared" si="1"/>
        <v>_</v>
      </c>
      <c r="M49" s="16"/>
      <c r="N49" s="16"/>
      <c r="O49" s="16"/>
      <c r="P49" s="21" t="str">
        <f>IF(F49&lt;&gt;"",HYPERLINK(Settings!$B$5 &amp; "/manage/?network=" &amp; B$8 &amp; "&amp;search=token&amp;account=" &amp; ToMint!$B$5 &amp; "&amp;view=" &amp; ToMint!J49,"TokenSol"),"")</f>
        <v/>
      </c>
      <c r="T49" s="1" t="str">
        <f>"owner=" &amp; Tokens!AW49</f>
        <v>owner=sophie</v>
      </c>
      <c r="U49" s="1" t="str">
        <f t="shared" si="0"/>
        <v>{"name":"MyRealTest46",_x000D_
"symbol":"symbol46",_x000D_
"description":"description46",_x000D_
"seller_fee_basis_points":5042,_x000D_
"image":"https://ipfs.io/ipfs/QmdzyHWz2A3ngYefGaQowJa9vCdrTELmoCyPqJA3eoB1BW?visual45.png",_x000D_
"Issuer":"paul",_x000D_
"external_url":"","attributes":[{"trait_type":"Pass festival",_x000D_
"value":"pour deux(2) personnes"},{"trait_type":"avantage46",_x000D_
"value":"accès pour deux (2) personnes à un (1) événement partenaire officiel de Calvi on the Rocks"},{"trait_type":"avantage47",_x000D_
"value":"invitation à la “Soirée off” réservée aux membres NFT pour deux (2) personnes"},{"trait_type":"avantage48",_x000D_
"value":"accès membre pour les after party officielles pour deux (2) personnes"},{"trait_type":"avantage49",_x000D_
"value":"accès prioritaire et bar dédié (consommation à la charge du festivalier) - tables réservées à l'avance pour les « NFT member » pour deux (2) personnes"},{"trait_type":"avantage50",_x000D_
"value":"46 affiche dédicacée et numérotée"},{"trait_type":"nombre de Pass2067",_x000D_
"value":47},{"trait_type":"nombre de Pass2068",_x000D_
"value":47},{"trait_type":"nombre de Pass2069",_x000D_
"value":47},{"trait_type":"avantage54",_x000D_
"value":"https://tokensol.nfluent.io?s=symbol46&amp;platform=ftx"}],"properties":{"creators":[{"address":"paul",_x000D_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49" s="1" t="str">
        <f>formatRow(Tokens!C$2:I$2,Tokens!C49:I49)</f>
        <v>"name":"MyRealTest46",_x000D_
"symbol":"symbol46",_x000D_
"description":"description46",_x000D_
"seller_fee_basis_points":5042,_x000D_
"image":"https://ipfs.io/ipfs/QmdzyHWz2A3ngYefGaQowJa9vCdrTELmoCyPqJA3eoB1BW?visual45.png",_x000D_
"Issuer":"paul",_x000D_
"external_url":""</v>
      </c>
      <c r="W49" s="1" t="str">
        <f>formatRow(Tokens!J$2:AC$2,Tokens!J49:AC49,2,"attributes")</f>
        <v>"attributes":[{"trait_type":"Pass festival",_x000D_
"value":"pour deux(2) personnes"},{"trait_type":"avantage46",_x000D_
"value":"accès pour deux (2) personnes à un (1) événement partenaire officiel de Calvi on the Rocks"},{"trait_type":"avantage47",_x000D_
"value":"invitation à la “Soirée off” réservée aux membres NFT pour deux (2) personnes"},{"trait_type":"avantage48",_x000D_
"value":"accès membre pour les after party officielles pour deux (2) personnes"},{"trait_type":"avantage49",_x000D_
"value":"accès prioritaire et bar dédié (consommation à la charge du festivalier) - tables réservées à l'avance pour les « NFT member » pour deux (2) personnes"},{"trait_type":"avantage50",_x000D_
"value":"46 affiche dédicacée et numérotée"},{"trait_type":"nombre de Pass2067",_x000D_
"value":47},{"trait_type":"nombre de Pass2068",_x000D_
"value":47},{"trait_type":"nombre de Pass2069",_x000D_
"value":47},{"trait_type":"avantage54",_x000D_
"value":"https://tokensol.nfluent.io?s=symbol46&amp;platform=ftx"}]</v>
      </c>
      <c r="X49" s="1" t="str">
        <f>formatRow(Tokens!AD$2:AI$2,Tokens!AD49:AI49,2,"creators")</f>
        <v>"creators":[{"address":"paul",_x000D_
"share":10},{"address":"sophie",_x000D_
"share":60},{"address":"roger",_x000D_
"share":30}]</v>
      </c>
      <c r="Y49" s="1" t="str">
        <f>formatRow(Tokens!AJ$2:AO$2,Tokens!AJ49:AO49,2,"files")</f>
        <v>"files":[]</v>
      </c>
      <c r="Z49" s="1"/>
      <c r="AA49" s="1"/>
      <c r="AB49" s="1"/>
      <c r="AC49" s="1" t="str">
        <f>formatRow(Tokens!AP$2:AQ$2,Tokens!AP49:AQ49,0,"collection")</f>
        <v>"collection":{"name":"MyTestCollection",_x000D_
"family":"NFluentCollection"}</v>
      </c>
      <c r="AD49" s="1"/>
      <c r="AE49" s="1"/>
    </row>
    <row r="50" spans="5:31" ht="14.25" customHeight="1" x14ac:dyDescent="0.25">
      <c r="E50" s="19" t="str">
        <f>IF(Tokens!C50="","",Tokens!C50)</f>
        <v>MyRealTest47</v>
      </c>
      <c r="F50"/>
      <c r="G50"/>
      <c r="H50"/>
      <c r="I50"/>
      <c r="J50"/>
      <c r="K50"/>
      <c r="L50" s="16" t="str">
        <f t="shared" si="1"/>
        <v>_</v>
      </c>
      <c r="M50" s="16"/>
      <c r="N50" s="16"/>
      <c r="O50" s="16"/>
      <c r="P50" s="21" t="str">
        <f>IF(F50&lt;&gt;"",HYPERLINK(Settings!$B$5 &amp; "/manage/?network=" &amp; B$8 &amp; "&amp;search=token&amp;account=" &amp; ToMint!$B$5 &amp; "&amp;view=" &amp; ToMint!J50,"TokenSol"),"")</f>
        <v/>
      </c>
      <c r="T50" s="1" t="str">
        <f>"owner=" &amp; Tokens!AW50</f>
        <v>owner=sophie</v>
      </c>
      <c r="U50" s="1" t="str">
        <f t="shared" si="0"/>
        <v>{"name":"MyRealTest47",_x000D_
"symbol":"symbol47",_x000D_
"description":"description47",_x000D_
"seller_fee_basis_points":5043,_x000D_
"image":"https://ipfs.io/ipfs/QmdPviDiH7W6tis66DE9GkMRKX9q32KLyA2BQsRcf6JUar?visual46.png",_x000D_
"Issuer":"paul",_x000D_
"external_url":"","attributes":[{"trait_type":"Pass festival",_x000D_
"value":"pour deux(2) personnes"},{"trait_type":"avantage47",_x000D_
"value":"accès pour deux (2) personnes à un (1) événement partenaire officiel de Calvi on the Rocks"},{"trait_type":"avantage48",_x000D_
"value":"invitation à la “Soirée off” réservée aux membres NFT pour deux (2) personnes"},{"trait_type":"avantage49",_x000D_
"value":"accès membre pour les after party officielles pour deux (2) personnes"},{"trait_type":"avantage50",_x000D_
"value":"accès prioritaire et bar dédié (consommation à la charge du festivalier) - tables réservées à l'avance pour les « NFT member » pour deux (2) personnes"},{"trait_type":"avantage51",_x000D_
"value":"47 affiche dédicacée et numérotée"},{"trait_type":"nombre de Pass2068",_x000D_
"value":48},{"trait_type":"nombre de Pass2069",_x000D_
"value":48},{"trait_type":"nombre de Pass2070",_x000D_
"value":48},{"trait_type":"avantage55",_x000D_
"value":"https://tokensol.nfluent.io?s=symbol47&amp;platform=ftx"}],"properties":{"creators":[{"address":"paul",_x000D_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50" s="1" t="str">
        <f>formatRow(Tokens!C$2:I$2,Tokens!C50:I50)</f>
        <v>"name":"MyRealTest47",_x000D_
"symbol":"symbol47",_x000D_
"description":"description47",_x000D_
"seller_fee_basis_points":5043,_x000D_
"image":"https://ipfs.io/ipfs/QmdPviDiH7W6tis66DE9GkMRKX9q32KLyA2BQsRcf6JUar?visual46.png",_x000D_
"Issuer":"paul",_x000D_
"external_url":""</v>
      </c>
      <c r="W50" s="1" t="str">
        <f>formatRow(Tokens!J$2:AC$2,Tokens!J50:AC50,2,"attributes")</f>
        <v>"attributes":[{"trait_type":"Pass festival",_x000D_
"value":"pour deux(2) personnes"},{"trait_type":"avantage47",_x000D_
"value":"accès pour deux (2) personnes à un (1) événement partenaire officiel de Calvi on the Rocks"},{"trait_type":"avantage48",_x000D_
"value":"invitation à la “Soirée off” réservée aux membres NFT pour deux (2) personnes"},{"trait_type":"avantage49",_x000D_
"value":"accès membre pour les after party officielles pour deux (2) personnes"},{"trait_type":"avantage50",_x000D_
"value":"accès prioritaire et bar dédié (consommation à la charge du festivalier) - tables réservées à l'avance pour les « NFT member » pour deux (2) personnes"},{"trait_type":"avantage51",_x000D_
"value":"47 affiche dédicacée et numérotée"},{"trait_type":"nombre de Pass2068",_x000D_
"value":48},{"trait_type":"nombre de Pass2069",_x000D_
"value":48},{"trait_type":"nombre de Pass2070",_x000D_
"value":48},{"trait_type":"avantage55",_x000D_
"value":"https://tokensol.nfluent.io?s=symbol47&amp;platform=ftx"}]</v>
      </c>
      <c r="X50" s="1" t="str">
        <f>formatRow(Tokens!AD$2:AI$2,Tokens!AD50:AI50,2,"creators")</f>
        <v>"creators":[{"address":"paul",_x000D_
"share":10},{"address":"sophie",_x000D_
"share":60},{"address":"roger",_x000D_
"share":30}]</v>
      </c>
      <c r="Y50" s="1" t="str">
        <f>formatRow(Tokens!AJ$2:AO$2,Tokens!AJ50:AO50,2,"files")</f>
        <v>"files":[]</v>
      </c>
      <c r="Z50" s="1"/>
      <c r="AA50" s="1"/>
      <c r="AB50" s="1"/>
      <c r="AC50" s="1" t="str">
        <f>formatRow(Tokens!AP$2:AQ$2,Tokens!AP50:AQ50,0,"collection")</f>
        <v>"collection":{"name":"MyTestCollection",_x000D_
"family":"NFluentCollection"}</v>
      </c>
      <c r="AD50" s="1"/>
      <c r="AE50" s="1"/>
    </row>
    <row r="51" spans="5:31" ht="14.25" customHeight="1" x14ac:dyDescent="0.25">
      <c r="E51" s="19" t="str">
        <f>IF(Tokens!C51="","",Tokens!C51)</f>
        <v>MyRealTest48</v>
      </c>
      <c r="F51"/>
      <c r="G51"/>
      <c r="H51"/>
      <c r="I51"/>
      <c r="J51"/>
      <c r="K51"/>
      <c r="L51" s="16" t="str">
        <f t="shared" si="1"/>
        <v>_</v>
      </c>
      <c r="M51" s="16"/>
      <c r="N51" s="16"/>
      <c r="O51" s="16"/>
      <c r="P51" s="21" t="str">
        <f>IF(F51&lt;&gt;"",HYPERLINK(Settings!$B$5 &amp; "/manage/?network=" &amp; B$8 &amp; "&amp;search=token&amp;account=" &amp; ToMint!$B$5 &amp; "&amp;view=" &amp; ToMint!J51,"TokenSol"),"")</f>
        <v/>
      </c>
      <c r="T51" s="1" t="str">
        <f>"owner=" &amp; Tokens!AW51</f>
        <v>owner=sophie</v>
      </c>
      <c r="U51" s="1" t="str">
        <f t="shared" si="0"/>
        <v>{"name":"MyRealTest48",_x000D_
"symbol":"symbol48",_x000D_
"description":"description48",_x000D_
"seller_fee_basis_points":5044,_x000D_
"image":"https://ipfs.io/ipfs/QmUaPaJZiM1r76By2G7hnEJ3m1kzyGqnRZeBDGsJ13qhnp?visual47.png",_x000D_
"Issuer":"paul",_x000D_
"external_url":"","attributes":[{"trait_type":"Pass festival",_x000D_
"value":"pour deux(2) personnes"},{"trait_type":"avantage48",_x000D_
"value":"accès pour deux (2) personnes à un (1) événement partenaire officiel de Calvi on the Rocks"},{"trait_type":"avantage49",_x000D_
"value":"invitation à la “Soirée off” réservée aux membres NFT pour deux (2) personnes"},{"trait_type":"avantage50",_x000D_
"value":"accès membre pour les after party officielles pour deux (2) personnes"},{"trait_type":"avantage51",_x000D_
"value":"accès prioritaire et bar dédié (consommation à la charge du festivalier) - tables réservées à l'avance pour les « NFT member » pour deux (2) personnes"},{"trait_type":"avantage52",_x000D_
"value":"48 affiche dédicacée et numérotée"},{"trait_type":"nombre de Pass2069",_x000D_
"value":49},{"trait_type":"nombre de Pass2070",_x000D_
"value":49},{"trait_type":"nombre de Pass2071",_x000D_
"value":49},{"trait_type":"avantage56",_x000D_
"value":"https://tokensol.nfluent.io?s=symbol48&amp;platform=ftx"}],"properties":{"creators":[{"address":"paul",_x000D_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51" s="1" t="str">
        <f>formatRow(Tokens!C$2:I$2,Tokens!C51:I51)</f>
        <v>"name":"MyRealTest48",_x000D_
"symbol":"symbol48",_x000D_
"description":"description48",_x000D_
"seller_fee_basis_points":5044,_x000D_
"image":"https://ipfs.io/ipfs/QmUaPaJZiM1r76By2G7hnEJ3m1kzyGqnRZeBDGsJ13qhnp?visual47.png",_x000D_
"Issuer":"paul",_x000D_
"external_url":""</v>
      </c>
      <c r="W51" s="1" t="str">
        <f>formatRow(Tokens!J$2:AC$2,Tokens!J51:AC51,2,"attributes")</f>
        <v>"attributes":[{"trait_type":"Pass festival",_x000D_
"value":"pour deux(2) personnes"},{"trait_type":"avantage48",_x000D_
"value":"accès pour deux (2) personnes à un (1) événement partenaire officiel de Calvi on the Rocks"},{"trait_type":"avantage49",_x000D_
"value":"invitation à la “Soirée off” réservée aux membres NFT pour deux (2) personnes"},{"trait_type":"avantage50",_x000D_
"value":"accès membre pour les after party officielles pour deux (2) personnes"},{"trait_type":"avantage51",_x000D_
"value":"accès prioritaire et bar dédié (consommation à la charge du festivalier) - tables réservées à l'avance pour les « NFT member » pour deux (2) personnes"},{"trait_type":"avantage52",_x000D_
"value":"48 affiche dédicacée et numérotée"},{"trait_type":"nombre de Pass2069",_x000D_
"value":49},{"trait_type":"nombre de Pass2070",_x000D_
"value":49},{"trait_type":"nombre de Pass2071",_x000D_
"value":49},{"trait_type":"avantage56",_x000D_
"value":"https://tokensol.nfluent.io?s=symbol48&amp;platform=ftx"}]</v>
      </c>
      <c r="X51" s="1" t="str">
        <f>formatRow(Tokens!AD$2:AI$2,Tokens!AD51:AI51,2,"creators")</f>
        <v>"creators":[{"address":"paul",_x000D_
"share":10},{"address":"sophie",_x000D_
"share":60},{"address":"roger",_x000D_
"share":30}]</v>
      </c>
      <c r="Y51" s="1" t="str">
        <f>formatRow(Tokens!AJ$2:AO$2,Tokens!AJ51:AO51,2,"files")</f>
        <v>"files":[]</v>
      </c>
      <c r="Z51" s="1"/>
      <c r="AA51" s="1"/>
      <c r="AB51" s="1"/>
      <c r="AC51" s="1" t="str">
        <f>formatRow(Tokens!AP$2:AQ$2,Tokens!AP51:AQ51,0,"collection")</f>
        <v>"collection":{"name":"MyTestCollection",_x000D_
"family":"NFluentCollection"}</v>
      </c>
    </row>
    <row r="52" spans="5:31" ht="14.25" customHeight="1" x14ac:dyDescent="0.25">
      <c r="E52" s="19" t="str">
        <f>IF(Tokens!C52="","",Tokens!C52)</f>
        <v>MyRealTest49</v>
      </c>
      <c r="F52"/>
      <c r="G52"/>
      <c r="H52"/>
      <c r="I52"/>
      <c r="J52"/>
      <c r="K52"/>
      <c r="L52" s="16" t="str">
        <f t="shared" si="1"/>
        <v>_</v>
      </c>
      <c r="M52" s="16"/>
      <c r="N52" s="16"/>
      <c r="O52" s="16"/>
      <c r="P52" s="21" t="str">
        <f>IF(F52&lt;&gt;"",HYPERLINK(Settings!$B$5 &amp; "/manage/?network=" &amp; B$8 &amp; "&amp;search=token&amp;account=" &amp; ToMint!$B$5 &amp; "&amp;view=" &amp; ToMint!J52,"TokenSol"),"")</f>
        <v/>
      </c>
      <c r="T52" s="1" t="str">
        <f>"owner=" &amp; Tokens!AW52</f>
        <v>owner=sophie</v>
      </c>
      <c r="U52" s="1" t="str">
        <f t="shared" si="0"/>
        <v>{"name":"MyRealTest49",_x000D_
"symbol":"symbol49",_x000D_
"description":"description49",_x000D_
"seller_fee_basis_points":5045,_x000D_
"image":"https://ipfs.io/ipfs/QmakaCSizurxV7RKbTVfPRKFigZNLxGREixudF8mdQ56p4?visual48.png",_x000D_
"Issuer":"paul",_x000D_
"external_url":"","attributes":[{"trait_type":"Pass festival",_x000D_
"value":"pour deux(2) personnes"},{"trait_type":"avantage49",_x000D_
"value":"accès pour deux (2) personnes à un (1) événement partenaire officiel de Calvi on the Rocks"},{"trait_type":"avantage50",_x000D_
"value":"invitation à la “Soirée off” réservée aux membres NFT pour deux (2) personnes"},{"trait_type":"avantage51",_x000D_
"value":"accès membre pour les after party officielles pour deux (2) personnes"},{"trait_type":"avantage52",_x000D_
"value":"accès prioritaire et bar dédié (consommation à la charge du festivalier) - tables réservées à l'avance pour les « NFT member » pour deux (2) personnes"},{"trait_type":"avantage53",_x000D_
"value":"49 affiche dédicacée et numérotée"},{"trait_type":"nombre de Pass2070",_x000D_
"value":50},{"trait_type":"nombre de Pass2071",_x000D_
"value":50},{"trait_type":"nombre de Pass2072",_x000D_
"value":50},{"trait_type":"avantage57",_x000D_
"value":"https://tokensol.nfluent.io?s=symbol49&amp;platform=ftx"}],"properties":{"creators":[{"address":"paul",_x000D_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52" s="1" t="str">
        <f>formatRow(Tokens!C$2:I$2,Tokens!C52:I52)</f>
        <v>"name":"MyRealTest49",_x000D_
"symbol":"symbol49",_x000D_
"description":"description49",_x000D_
"seller_fee_basis_points":5045,_x000D_
"image":"https://ipfs.io/ipfs/QmakaCSizurxV7RKbTVfPRKFigZNLxGREixudF8mdQ56p4?visual48.png",_x000D_
"Issuer":"paul",_x000D_
"external_url":""</v>
      </c>
      <c r="W52" s="1" t="str">
        <f>formatRow(Tokens!J$2:AC$2,Tokens!J52:AC52,2,"attributes")</f>
        <v>"attributes":[{"trait_type":"Pass festival",_x000D_
"value":"pour deux(2) personnes"},{"trait_type":"avantage49",_x000D_
"value":"accès pour deux (2) personnes à un (1) événement partenaire officiel de Calvi on the Rocks"},{"trait_type":"avantage50",_x000D_
"value":"invitation à la “Soirée off” réservée aux membres NFT pour deux (2) personnes"},{"trait_type":"avantage51",_x000D_
"value":"accès membre pour les after party officielles pour deux (2) personnes"},{"trait_type":"avantage52",_x000D_
"value":"accès prioritaire et bar dédié (consommation à la charge du festivalier) - tables réservées à l'avance pour les « NFT member » pour deux (2) personnes"},{"trait_type":"avantage53",_x000D_
"value":"49 affiche dédicacée et numérotée"},{"trait_type":"nombre de Pass2070",_x000D_
"value":50},{"trait_type":"nombre de Pass2071",_x000D_
"value":50},{"trait_type":"nombre de Pass2072",_x000D_
"value":50},{"trait_type":"avantage57",_x000D_
"value":"https://tokensol.nfluent.io?s=symbol49&amp;platform=ftx"}]</v>
      </c>
      <c r="X52" s="1" t="str">
        <f>formatRow(Tokens!AD$2:AI$2,Tokens!AD52:AI52,2,"creators")</f>
        <v>"creators":[{"address":"paul",_x000D_
"share":10},{"address":"sophie",_x000D_
"share":60},{"address":"roger",_x000D_
"share":30}]</v>
      </c>
      <c r="Y52" s="1" t="str">
        <f>formatRow(Tokens!AJ$2:AO$2,Tokens!AJ52:AO52,2,"files")</f>
        <v>"files":[]</v>
      </c>
      <c r="Z52" s="1"/>
      <c r="AA52" s="1"/>
      <c r="AB52" s="1"/>
      <c r="AC52" s="1" t="str">
        <f>formatRow(Tokens!AP$2:AQ$2,Tokens!AP52:AQ52,0,"collection")</f>
        <v>"collection":{"name":"MyTestCollection",_x000D_
"family":"NFluentCollection"}</v>
      </c>
    </row>
    <row r="53" spans="5:31" ht="14.25" customHeight="1" x14ac:dyDescent="0.25">
      <c r="E53" s="19" t="str">
        <f>IF(Tokens!C53="","",Tokens!C53)</f>
        <v>MyRealTest50</v>
      </c>
      <c r="F53"/>
      <c r="G53"/>
      <c r="H53"/>
      <c r="I53"/>
      <c r="J53"/>
      <c r="K53"/>
      <c r="L53" s="16" t="str">
        <f t="shared" si="1"/>
        <v>_</v>
      </c>
      <c r="M53" s="16"/>
      <c r="N53" s="16"/>
      <c r="O53" s="16"/>
      <c r="P53" s="21" t="str">
        <f>IF(F53&lt;&gt;"",HYPERLINK(Settings!$B$5 &amp; "/manage/?network=" &amp; B$8 &amp; "&amp;search=token&amp;account=" &amp; ToMint!$B$5 &amp; "&amp;view=" &amp; ToMint!J53,"TokenSol"),"")</f>
        <v/>
      </c>
      <c r="T53" s="1" t="str">
        <f>"owner=" &amp; Tokens!AW53</f>
        <v>owner=sophie</v>
      </c>
      <c r="U53" s="1" t="str">
        <f t="shared" si="0"/>
        <v>{"name":"MyRealTest50",_x000D_
"symbol":"symbol50",_x000D_
"description":"description50",_x000D_
"seller_fee_basis_points":5046,_x000D_
"image":"https://ipfs.io/ipfs/QmdKyYmqLoTDttAftP3Gx5KLoLj14ek2MVvUAgox1PAWBG?visual49.png",_x000D_
"Issuer":"paul",_x000D_
"external_url":"","attributes":[{"trait_type":"Pass festival",_x000D_
"value":"pour deux(2) personnes"},{"trait_type":"avantage50",_x000D_
"value":"accès pour deux (2) personnes à un (1) événement partenaire officiel de Calvi on the Rocks"},{"trait_type":"avantage51",_x000D_
"value":"invitation à la “Soirée off” réservée aux membres NFT pour deux (2) personnes"},{"trait_type":"avantage52",_x000D_
"value":"accès membre pour les after party officielles pour deux (2) personnes"},{"trait_type":"avantage53",_x000D_
"value":"accès prioritaire et bar dédié (consommation à la charge du festivalier) - tables réservées à l'avance pour les « NFT member » pour deux (2) personnes"},{"trait_type":"avantage54",_x000D_
"value":"50 affiche dédicacée et numérotée"},{"trait_type":"nombre de Pass2071",_x000D_
"value":51},{"trait_type":"nombre de Pass2072",_x000D_
"value":51},{"trait_type":"nombre de Pass2073",_x000D_
"value":51},{"trait_type":"avantage58",_x000D_
"value":"https://tokensol.nfluent.io?s=symbol50&amp;platform=ftx"}],"properties":{"creators":[{"address":"paul",_x000D_
"share":10},{"address":"sophie",_x000D_
"share":60},{"address":"roger",_x000D_
"share":30}],"files":[]},"collection":{"name":"MyTestCollection",_x000D_
"family":"NFluentCollection"}}</v>
      </c>
      <c r="V53" s="1" t="str">
        <f>formatRow(Tokens!C$2:I$2,Tokens!C53:I53)</f>
        <v>"name":"MyRealTest50",_x000D_
"symbol":"symbol50",_x000D_
"description":"description50",_x000D_
"seller_fee_basis_points":5046,_x000D_
"image":"https://ipfs.io/ipfs/QmdKyYmqLoTDttAftP3Gx5KLoLj14ek2MVvUAgox1PAWBG?visual49.png",_x000D_
"Issuer":"paul",_x000D_
"external_url":""</v>
      </c>
      <c r="W53" s="1" t="str">
        <f>formatRow(Tokens!J$2:AC$2,Tokens!J53:AC53,2,"attributes")</f>
        <v>"attributes":[{"trait_type":"Pass festival",_x000D_
"value":"pour deux(2) personnes"},{"trait_type":"avantage50",_x000D_
"value":"accès pour deux (2) personnes à un (1) événement partenaire officiel de Calvi on the Rocks"},{"trait_type":"avantage51",_x000D_
"value":"invitation à la “Soirée off” réservée aux membres NFT pour deux (2) personnes"},{"trait_type":"avantage52",_x000D_
"value":"accès membre pour les after party officielles pour deux (2) personnes"},{"trait_type":"avantage53",_x000D_
"value":"accès prioritaire et bar dédié (consommation à la charge du festivalier) - tables réservées à l'avance pour les « NFT member » pour deux (2) personnes"},{"trait_type":"avantage54",_x000D_
"value":"50 affiche dédicacée et numérotée"},{"trait_type":"nombre de Pass2071",_x000D_
"value":51},{"trait_type":"nombre de Pass2072",_x000D_
"value":51},{"trait_type":"nombre de Pass2073",_x000D_
"value":51},{"trait_type":"avantage58",_x000D_
"value":"https://tokensol.nfluent.io?s=symbol50&amp;platform=ftx"}]</v>
      </c>
      <c r="X53" s="1" t="str">
        <f>formatRow(Tokens!AD$2:AI$2,Tokens!AD53:AI53,2,"creators")</f>
        <v>"creators":[{"address":"paul",_x000D_
"share":10},{"address":"sophie",_x000D_
"share":60},{"address":"roger",_x000D_
"share":30}]</v>
      </c>
      <c r="Y53" s="1" t="str">
        <f>formatRow(Tokens!AJ$2:AO$2,Tokens!AJ53:AO53,2,"files")</f>
        <v>"files":[]</v>
      </c>
      <c r="Z53" s="1"/>
      <c r="AA53" s="1"/>
      <c r="AB53" s="1"/>
      <c r="AC53" s="1" t="str">
        <f>formatRow(Tokens!AP$2:AQ$2,Tokens!AP53:AQ53,0,"collection")</f>
        <v>"collection":{"name":"MyTestCollection",_x000D_
"family":"NFluentCollection"}</v>
      </c>
    </row>
    <row r="54" spans="5:31" ht="14.25" customHeight="1" x14ac:dyDescent="0.25">
      <c r="E54" s="19" t="str">
        <f>IF(Tokens!C54="","",Tokens!C54)</f>
        <v/>
      </c>
      <c r="F54"/>
      <c r="G54"/>
      <c r="H54"/>
      <c r="I54"/>
      <c r="J54"/>
      <c r="K54"/>
      <c r="L54" s="16" t="str">
        <f t="shared" si="1"/>
        <v>_</v>
      </c>
      <c r="M54" s="16"/>
      <c r="N54" s="16"/>
      <c r="O54" s="16"/>
      <c r="P54" s="21" t="str">
        <f>IF(F54&lt;&gt;"",HYPERLINK(Settings!$B$5 &amp; "/manage/?network=" &amp; B$8 &amp; "&amp;search=token&amp;account=" &amp; ToMint!$B$5 &amp; "&amp;view=" &amp; ToMint!J54,"TokenSol"),"")</f>
        <v/>
      </c>
      <c r="T54" s="1" t="str">
        <f>"owner=" &amp; Tokens!AW54</f>
        <v>owner=</v>
      </c>
      <c r="U54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4" s="1" t="str">
        <f>formatRow(Tokens!C$2:I$2,Tokens!C54:I54)</f>
        <v>"name":"",_x000D_
"symbol":"",_x000D_
"description":"",_x000D_
"seller_fee_basis_points":"",_x000D_
"image":"",_x000D_
"Issuer":"",_x000D_
"external_url":""</v>
      </c>
      <c r="W54" s="1" t="str">
        <f>formatRow(Tokens!J$2:AC$2,Tokens!J54:AC54,2,"attributes")</f>
        <v>"attributes":[]</v>
      </c>
      <c r="X54" s="1" t="str">
        <f>formatRow(Tokens!AD$2:AI$2,Tokens!AD54:AI54,2,"creators")</f>
        <v>"creators":[]</v>
      </c>
      <c r="Y54" s="1" t="str">
        <f>formatRow(Tokens!AJ$2:AO$2,Tokens!AJ54:AO54,2,"files")</f>
        <v>"files":[]</v>
      </c>
      <c r="Z54" s="1"/>
      <c r="AA54" s="1"/>
      <c r="AB54" s="1"/>
      <c r="AC54" s="1" t="str">
        <f>formatRow(Tokens!AP$2:AQ$2,Tokens!AP54:AQ54,0,"collection")</f>
        <v>"collection":{"name":"",_x000D_
"family":""}</v>
      </c>
    </row>
    <row r="55" spans="5:31" ht="14.25" customHeight="1" x14ac:dyDescent="0.25">
      <c r="E55" s="19" t="str">
        <f>IF(Tokens!C55="","",Tokens!C55)</f>
        <v/>
      </c>
      <c r="F55"/>
      <c r="G55"/>
      <c r="H55"/>
      <c r="I55"/>
      <c r="J55"/>
      <c r="K55"/>
      <c r="L55" s="16" t="str">
        <f t="shared" si="1"/>
        <v>_</v>
      </c>
      <c r="M55" s="16"/>
      <c r="N55" s="16"/>
      <c r="O55" s="16"/>
      <c r="P55" s="21" t="str">
        <f>IF(F55&lt;&gt;"",HYPERLINK(Settings!$B$5 &amp; "/manage/?network=" &amp; B$8 &amp; "&amp;search=token&amp;account=" &amp; ToMint!$B$5 &amp; "&amp;view=" &amp; ToMint!J55,"TokenSol"),"")</f>
        <v/>
      </c>
      <c r="T55" s="1" t="str">
        <f>"owner=" &amp; Tokens!AW55</f>
        <v>owner=</v>
      </c>
      <c r="U55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5" s="1" t="str">
        <f>formatRow(Tokens!C$2:I$2,Tokens!C55:I55)</f>
        <v>"name":"",_x000D_
"symbol":"",_x000D_
"description":"",_x000D_
"seller_fee_basis_points":"",_x000D_
"image":"",_x000D_
"Issuer":"",_x000D_
"external_url":""</v>
      </c>
      <c r="W55" s="1" t="str">
        <f>formatRow(Tokens!J$2:AC$2,Tokens!J55:AC55,2,"attributes")</f>
        <v>"attributes":[]</v>
      </c>
      <c r="X55" s="1" t="str">
        <f>formatRow(Tokens!AD$2:AI$2,Tokens!AD55:AI55,2,"creators")</f>
        <v>"creators":[]</v>
      </c>
      <c r="Y55" s="1" t="str">
        <f>formatRow(Tokens!AJ$2:AO$2,Tokens!AJ55:AO55,2,"files")</f>
        <v>"files":[]</v>
      </c>
      <c r="Z55" s="1"/>
      <c r="AA55" s="1"/>
      <c r="AB55" s="1"/>
      <c r="AC55" s="1" t="str">
        <f>formatRow(Tokens!AP$2:AQ$2,Tokens!AP55:AQ55,0,"collection")</f>
        <v>"collection":{"name":"",_x000D_
"family":""}</v>
      </c>
    </row>
    <row r="56" spans="5:31" ht="14.25" customHeight="1" x14ac:dyDescent="0.25">
      <c r="E56" s="19" t="str">
        <f>IF(Tokens!C56="","",Tokens!C56)</f>
        <v/>
      </c>
      <c r="F56"/>
      <c r="G56"/>
      <c r="H56"/>
      <c r="I56"/>
      <c r="J56"/>
      <c r="K56"/>
      <c r="L56" s="16" t="str">
        <f t="shared" si="1"/>
        <v>_</v>
      </c>
      <c r="M56" s="16"/>
      <c r="N56" s="16"/>
      <c r="O56" s="16"/>
      <c r="P56" s="21" t="str">
        <f>IF(F56&lt;&gt;"",HYPERLINK(Settings!$B$5 &amp; "/manage/?network=" &amp; B$8 &amp; "&amp;search=token&amp;account=" &amp; ToMint!$B$5 &amp; "&amp;view=" &amp; ToMint!J56,"TokenSol"),"")</f>
        <v/>
      </c>
      <c r="T56" s="1" t="str">
        <f>"owner=" &amp; Tokens!AW56</f>
        <v>owner=</v>
      </c>
      <c r="U56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6" s="1" t="str">
        <f>formatRow(Tokens!C$2:I$2,Tokens!C56:I56)</f>
        <v>"name":"",_x000D_
"symbol":"",_x000D_
"description":"",_x000D_
"seller_fee_basis_points":"",_x000D_
"image":"",_x000D_
"Issuer":"",_x000D_
"external_url":""</v>
      </c>
      <c r="W56" s="1" t="str">
        <f>formatRow(Tokens!J$2:AC$2,Tokens!J56:AC56,2,"attributes")</f>
        <v>"attributes":[]</v>
      </c>
      <c r="X56" s="1" t="str">
        <f>formatRow(Tokens!AD$2:AI$2,Tokens!AD56:AI56,2,"creators")</f>
        <v>"creators":[]</v>
      </c>
      <c r="Y56" s="1" t="str">
        <f>formatRow(Tokens!AJ$2:AO$2,Tokens!AJ56:AO56,2,"files")</f>
        <v>"files":[]</v>
      </c>
      <c r="Z56" s="1"/>
      <c r="AA56" s="1"/>
      <c r="AB56" s="1"/>
      <c r="AC56" s="1" t="str">
        <f>formatRow(Tokens!AP$2:AQ$2,Tokens!AP56:AQ56,0,"collection")</f>
        <v>"collection":{"name":"",_x000D_
"family":""}</v>
      </c>
    </row>
    <row r="57" spans="5:31" ht="14.25" customHeight="1" x14ac:dyDescent="0.25">
      <c r="E57" s="19" t="str">
        <f>IF(Tokens!C57="","",Tokens!C57)</f>
        <v/>
      </c>
      <c r="F57"/>
      <c r="G57"/>
      <c r="H57"/>
      <c r="I57"/>
      <c r="J57"/>
      <c r="K57"/>
      <c r="L57" s="16" t="str">
        <f t="shared" si="1"/>
        <v>_</v>
      </c>
      <c r="M57" s="16"/>
      <c r="N57" s="16"/>
      <c r="O57" s="16"/>
      <c r="P57" s="21" t="str">
        <f>IF(F57&lt;&gt;"",HYPERLINK(Settings!$B$5 &amp; "/manage/?network=" &amp; B$8 &amp; "&amp;search=token&amp;account=" &amp; ToMint!$B$5 &amp; "&amp;view=" &amp; ToMint!J57,"TokenSol"),"")</f>
        <v/>
      </c>
      <c r="T57" s="1" t="str">
        <f>"owner=" &amp; Tokens!AW57</f>
        <v>owner=</v>
      </c>
      <c r="U57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7" s="1" t="str">
        <f>formatRow(Tokens!C$2:I$2,Tokens!C57:I57)</f>
        <v>"name":"",_x000D_
"symbol":"",_x000D_
"description":"",_x000D_
"seller_fee_basis_points":"",_x000D_
"image":"",_x000D_
"Issuer":"",_x000D_
"external_url":""</v>
      </c>
      <c r="W57" s="1" t="str">
        <f>formatRow(Tokens!J$2:AC$2,Tokens!J57:AC57,2,"attributes")</f>
        <v>"attributes":[]</v>
      </c>
      <c r="X57" s="1" t="str">
        <f>formatRow(Tokens!AD$2:AI$2,Tokens!AD57:AI57,2,"creators")</f>
        <v>"creators":[]</v>
      </c>
      <c r="Y57" s="1" t="str">
        <f>formatRow(Tokens!AJ$2:AO$2,Tokens!AJ57:AO57,2,"files")</f>
        <v>"files":[]</v>
      </c>
      <c r="Z57" s="1"/>
      <c r="AA57" s="1"/>
      <c r="AB57" s="1"/>
      <c r="AC57" s="1" t="str">
        <f>formatRow(Tokens!AP$2:AQ$2,Tokens!AP57:AQ57,0,"collection")</f>
        <v>"collection":{"name":"",_x000D_
"family":""}</v>
      </c>
    </row>
    <row r="58" spans="5:31" ht="14.25" customHeight="1" x14ac:dyDescent="0.25">
      <c r="E58" s="19" t="str">
        <f>IF(Tokens!C58="","",Tokens!C58)</f>
        <v/>
      </c>
      <c r="F58"/>
      <c r="G58"/>
      <c r="H58"/>
      <c r="I58"/>
      <c r="J58"/>
      <c r="K58"/>
      <c r="L58" s="16" t="str">
        <f t="shared" si="1"/>
        <v>_</v>
      </c>
      <c r="M58" s="16"/>
      <c r="N58" s="16"/>
      <c r="O58" s="16"/>
      <c r="P58" s="21" t="str">
        <f>IF(F58&lt;&gt;"",HYPERLINK(Settings!$B$5 &amp; "/manage/?network=" &amp; B$8 &amp; "&amp;search=token&amp;account=" &amp; ToMint!$B$5 &amp; "&amp;view=" &amp; ToMint!J58,"TokenSol"),"")</f>
        <v/>
      </c>
      <c r="T58" s="1" t="str">
        <f>"owner=" &amp; Tokens!AW58</f>
        <v>owner=</v>
      </c>
      <c r="U58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8" s="1" t="str">
        <f>formatRow(Tokens!C$2:I$2,Tokens!C58:I58)</f>
        <v>"name":"",_x000D_
"symbol":"",_x000D_
"description":"",_x000D_
"seller_fee_basis_points":"",_x000D_
"image":"",_x000D_
"Issuer":"",_x000D_
"external_url":""</v>
      </c>
      <c r="W58" s="1" t="str">
        <f>formatRow(Tokens!J$2:AC$2,Tokens!J58:AC58,2,"attributes")</f>
        <v>"attributes":[]</v>
      </c>
      <c r="X58" s="1" t="str">
        <f>formatRow(Tokens!AD$2:AI$2,Tokens!AD58:AI58,2,"creators")</f>
        <v>"creators":[]</v>
      </c>
      <c r="Y58" s="1" t="str">
        <f>formatRow(Tokens!AJ$2:AO$2,Tokens!AJ58:AO58,2,"files")</f>
        <v>"files":[]</v>
      </c>
      <c r="Z58" s="1"/>
      <c r="AA58" s="1"/>
      <c r="AB58" s="1"/>
      <c r="AC58" s="1" t="str">
        <f>formatRow(Tokens!AP$2:AQ$2,Tokens!AP58:AQ58,0,"collection")</f>
        <v>"collection":{"name":"",_x000D_
"family":""}</v>
      </c>
    </row>
    <row r="59" spans="5:31" ht="14.25" customHeight="1" x14ac:dyDescent="0.25">
      <c r="E59" s="19" t="str">
        <f>IF(Tokens!C59="","",Tokens!C59)</f>
        <v/>
      </c>
      <c r="F59"/>
      <c r="G59"/>
      <c r="H59"/>
      <c r="I59"/>
      <c r="J59"/>
      <c r="K59"/>
      <c r="L59" s="16" t="str">
        <f t="shared" si="1"/>
        <v>_</v>
      </c>
      <c r="M59" s="16"/>
      <c r="N59" s="16"/>
      <c r="O59" s="16"/>
      <c r="P59" s="21" t="str">
        <f>IF(F59&lt;&gt;"",HYPERLINK(Settings!$B$5 &amp; "/manage/?network=" &amp; B$8 &amp; "&amp;search=token&amp;account=" &amp; ToMint!$B$5 &amp; "&amp;view=" &amp; ToMint!J59,"TokenSol"),"")</f>
        <v/>
      </c>
      <c r="T59" s="1" t="str">
        <f>"owner=" &amp; Tokens!AW59</f>
        <v>owner=</v>
      </c>
      <c r="U59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9" s="1" t="str">
        <f>formatRow(Tokens!C$2:I$2,Tokens!C59:I59)</f>
        <v>"name":"",_x000D_
"symbol":"",_x000D_
"description":"",_x000D_
"seller_fee_basis_points":"",_x000D_
"image":"",_x000D_
"Issuer":"",_x000D_
"external_url":""</v>
      </c>
      <c r="W59" s="1" t="str">
        <f>formatRow(Tokens!J$2:AC$2,Tokens!J59:AC59,2,"attributes")</f>
        <v>"attributes":[]</v>
      </c>
      <c r="X59" s="1" t="str">
        <f>formatRow(Tokens!AD$2:AI$2,Tokens!AD59:AI59,2,"creators")</f>
        <v>"creators":[]</v>
      </c>
      <c r="Y59" s="1" t="str">
        <f>formatRow(Tokens!AJ$2:AO$2,Tokens!AJ59:AO59,2,"files")</f>
        <v>"files":[]</v>
      </c>
      <c r="Z59" s="1"/>
      <c r="AA59" s="1"/>
      <c r="AB59" s="1"/>
      <c r="AC59" s="1" t="str">
        <f>formatRow(Tokens!AP$2:AQ$2,Tokens!AP59:AQ59,0,"collection")</f>
        <v>"collection":{"name":"",_x000D_
"family":""}</v>
      </c>
    </row>
    <row r="60" spans="5:31" ht="14.25" customHeight="1" x14ac:dyDescent="0.25">
      <c r="E60" s="19" t="str">
        <f>IF(Tokens!C60="","",Tokens!C60)</f>
        <v/>
      </c>
      <c r="F60"/>
      <c r="G60"/>
      <c r="H60"/>
      <c r="I60"/>
      <c r="J60"/>
      <c r="K60"/>
      <c r="L60" s="16" t="str">
        <f t="shared" si="1"/>
        <v>_</v>
      </c>
      <c r="M60" s="16"/>
      <c r="N60" s="16"/>
      <c r="O60" s="16"/>
      <c r="P60" s="21" t="str">
        <f>IF(F60&lt;&gt;"",HYPERLINK(Settings!$B$5 &amp; "/manage/?network=" &amp; B$8 &amp; "&amp;search=token&amp;account=" &amp; ToMint!$B$5 &amp; "&amp;view=" &amp; ToMint!J60,"TokenSol"),"")</f>
        <v/>
      </c>
      <c r="T60" s="1" t="str">
        <f>"owner=" &amp; Tokens!AW60</f>
        <v>owner=</v>
      </c>
      <c r="U60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0" s="1" t="str">
        <f>formatRow(Tokens!C$2:I$2,Tokens!C60:I60)</f>
        <v>"name":"",_x000D_
"symbol":"",_x000D_
"description":"",_x000D_
"seller_fee_basis_points":"",_x000D_
"image":"",_x000D_
"Issuer":"",_x000D_
"external_url":""</v>
      </c>
      <c r="W60" s="1" t="str">
        <f>formatRow(Tokens!J$2:AC$2,Tokens!J60:AC60,2,"attributes")</f>
        <v>"attributes":[]</v>
      </c>
      <c r="X60" s="1" t="str">
        <f>formatRow(Tokens!AD$2:AI$2,Tokens!AD60:AI60,2,"creators")</f>
        <v>"creators":[]</v>
      </c>
      <c r="Y60" s="1" t="str">
        <f>formatRow(Tokens!AJ$2:AO$2,Tokens!AJ60:AO60,2,"files")</f>
        <v>"files":[]</v>
      </c>
      <c r="Z60" s="1"/>
      <c r="AA60" s="1"/>
      <c r="AB60" s="1"/>
      <c r="AC60" s="1" t="str">
        <f>formatRow(Tokens!AP$2:AQ$2,Tokens!AP60:AQ60,0,"collection")</f>
        <v>"collection":{"name":"",_x000D_
"family":""}</v>
      </c>
    </row>
    <row r="61" spans="5:31" ht="14.25" customHeight="1" x14ac:dyDescent="0.25">
      <c r="E61" s="19" t="str">
        <f>IF(Tokens!C61="","",Tokens!C61)</f>
        <v/>
      </c>
      <c r="F61"/>
      <c r="G61"/>
      <c r="H61"/>
      <c r="I61"/>
      <c r="J61"/>
      <c r="K61"/>
      <c r="L61" s="16" t="str">
        <f t="shared" si="1"/>
        <v>_</v>
      </c>
      <c r="M61" s="16"/>
      <c r="N61" s="16"/>
      <c r="O61" s="16"/>
      <c r="P61" s="21" t="str">
        <f>IF(F61&lt;&gt;"",HYPERLINK(Settings!$B$5 &amp; "/manage/?network=" &amp; B$8 &amp; "&amp;search=token&amp;account=" &amp; ToMint!$B$5 &amp; "&amp;view=" &amp; ToMint!J61,"TokenSol"),"")</f>
        <v/>
      </c>
      <c r="T61" s="1" t="str">
        <f>"owner=" &amp; Tokens!AW61</f>
        <v>owner=</v>
      </c>
      <c r="U61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1" s="1" t="str">
        <f>formatRow(Tokens!C$2:I$2,Tokens!C61:I61)</f>
        <v>"name":"",_x000D_
"symbol":"",_x000D_
"description":"",_x000D_
"seller_fee_basis_points":"",_x000D_
"image":"",_x000D_
"Issuer":"",_x000D_
"external_url":""</v>
      </c>
      <c r="W61" s="1" t="str">
        <f>formatRow(Tokens!J$2:AC$2,Tokens!J61:AC61,2,"attributes")</f>
        <v>"attributes":[]</v>
      </c>
      <c r="X61" s="1" t="str">
        <f>formatRow(Tokens!AD$2:AI$2,Tokens!AD61:AI61,2,"creators")</f>
        <v>"creators":[]</v>
      </c>
      <c r="Y61" s="1" t="str">
        <f>formatRow(Tokens!AJ$2:AO$2,Tokens!AJ61:AO61,2,"files")</f>
        <v>"files":[]</v>
      </c>
      <c r="Z61" s="1"/>
      <c r="AA61" s="1"/>
      <c r="AB61" s="1"/>
      <c r="AC61" s="1" t="str">
        <f>formatRow(Tokens!AP$2:AQ$2,Tokens!AP61:AQ61,0,"collection")</f>
        <v>"collection":{"name":"",_x000D_
"family":""}</v>
      </c>
    </row>
    <row r="62" spans="5:31" ht="14.25" customHeight="1" x14ac:dyDescent="0.25">
      <c r="E62" s="19" t="str">
        <f>IF(Tokens!C62="","",Tokens!C62)</f>
        <v/>
      </c>
      <c r="F62"/>
      <c r="G62"/>
      <c r="H62"/>
      <c r="I62"/>
      <c r="J62"/>
      <c r="K62"/>
      <c r="L62" s="16" t="str">
        <f t="shared" si="1"/>
        <v>_</v>
      </c>
      <c r="M62" s="16"/>
      <c r="N62" s="16"/>
      <c r="O62" s="16"/>
      <c r="P62" s="21" t="str">
        <f>IF(F62&lt;&gt;"",HYPERLINK(Settings!$B$5 &amp; "/manage/?network=" &amp; B$8 &amp; "&amp;search=token&amp;account=" &amp; ToMint!$B$5 &amp; "&amp;view=" &amp; ToMint!J62,"TokenSol"),"")</f>
        <v/>
      </c>
      <c r="T62" s="1" t="str">
        <f>"owner=" &amp; Tokens!AW62</f>
        <v>owner=</v>
      </c>
      <c r="U62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2" s="1" t="str">
        <f>formatRow(Tokens!C$2:I$2,Tokens!C62:I62)</f>
        <v>"name":"",_x000D_
"symbol":"",_x000D_
"description":"",_x000D_
"seller_fee_basis_points":"",_x000D_
"image":"",_x000D_
"Issuer":"",_x000D_
"external_url":""</v>
      </c>
      <c r="W62" s="1" t="str">
        <f>formatRow(Tokens!J$2:AC$2,Tokens!J62:AC62,2,"attributes")</f>
        <v>"attributes":[]</v>
      </c>
      <c r="X62" s="1" t="str">
        <f>formatRow(Tokens!AD$2:AI$2,Tokens!AD62:AI62,2,"creators")</f>
        <v>"creators":[]</v>
      </c>
      <c r="Y62" s="1" t="str">
        <f>formatRow(Tokens!AJ$2:AO$2,Tokens!AJ62:AO62,2,"files")</f>
        <v>"files":[]</v>
      </c>
      <c r="Z62" s="1"/>
      <c r="AA62" s="1"/>
      <c r="AB62" s="1"/>
      <c r="AC62" s="1" t="str">
        <f>formatRow(Tokens!AP$2:AQ$2,Tokens!AP62:AQ62,0,"collection")</f>
        <v>"collection":{"name":"",_x000D_
"family":""}</v>
      </c>
    </row>
    <row r="63" spans="5:31" ht="14.25" customHeight="1" x14ac:dyDescent="0.25">
      <c r="E63" s="19" t="str">
        <f>IF(Tokens!C63="","",Tokens!C63)</f>
        <v/>
      </c>
      <c r="F63"/>
      <c r="G63"/>
      <c r="H63"/>
      <c r="I63"/>
      <c r="J63"/>
      <c r="K63"/>
      <c r="L63" s="16" t="str">
        <f t="shared" si="1"/>
        <v>_</v>
      </c>
      <c r="M63" s="16"/>
      <c r="N63" s="16"/>
      <c r="O63" s="16"/>
      <c r="P63" s="21" t="str">
        <f>IF(F63&lt;&gt;"",HYPERLINK(Settings!$B$5 &amp; "/manage/?network=" &amp; B$8 &amp; "&amp;search=token&amp;account=" &amp; ToMint!$B$5 &amp; "&amp;view=" &amp; ToMint!J63,"TokenSol"),"")</f>
        <v/>
      </c>
      <c r="T63" s="1" t="str">
        <f>"owner=" &amp; Tokens!AW63</f>
        <v>owner=</v>
      </c>
      <c r="U63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3" s="1" t="str">
        <f>formatRow(Tokens!C$2:I$2,Tokens!C63:I63)</f>
        <v>"name":"",_x000D_
"symbol":"",_x000D_
"description":"",_x000D_
"seller_fee_basis_points":"",_x000D_
"image":"",_x000D_
"Issuer":"",_x000D_
"external_url":""</v>
      </c>
      <c r="W63" s="1" t="str">
        <f>formatRow(Tokens!J$2:AC$2,Tokens!J63:AC63,2,"attributes")</f>
        <v>"attributes":[]</v>
      </c>
      <c r="X63" s="1" t="str">
        <f>formatRow(Tokens!AD$2:AI$2,Tokens!AD63:AI63,2,"creators")</f>
        <v>"creators":[]</v>
      </c>
      <c r="Y63" s="1" t="str">
        <f>formatRow(Tokens!AJ$2:AO$2,Tokens!AJ63:AO63,2,"files")</f>
        <v>"files":[]</v>
      </c>
      <c r="Z63" s="1"/>
      <c r="AA63" s="1"/>
      <c r="AB63" s="1"/>
      <c r="AC63" s="1" t="str">
        <f>formatRow(Tokens!AP$2:AQ$2,Tokens!AP63:AQ63,0,"collection")</f>
        <v>"collection":{"name":"",_x000D_
"family":""}</v>
      </c>
    </row>
    <row r="64" spans="5:31" ht="14.25" customHeight="1" x14ac:dyDescent="0.25">
      <c r="E64" s="19" t="str">
        <f>IF(Tokens!C64="","",Tokens!C64)</f>
        <v/>
      </c>
      <c r="F64"/>
      <c r="G64"/>
      <c r="H64"/>
      <c r="I64"/>
      <c r="J64"/>
      <c r="K64"/>
      <c r="L64" s="16" t="str">
        <f t="shared" si="1"/>
        <v>_</v>
      </c>
      <c r="M64" s="16"/>
      <c r="N64" s="16"/>
      <c r="O64" s="16"/>
      <c r="P64" s="21" t="str">
        <f>IF(F64&lt;&gt;"",HYPERLINK(Settings!$B$5 &amp; "/manage/?network=" &amp; B$8 &amp; "&amp;search=token&amp;account=" &amp; ToMint!$B$5 &amp; "&amp;view=" &amp; ToMint!J64,"TokenSol"),"")</f>
        <v/>
      </c>
      <c r="T64" s="1" t="str">
        <f>"owner=" &amp; Tokens!AW64</f>
        <v>owner=</v>
      </c>
      <c r="U64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4" s="1" t="str">
        <f>formatRow(Tokens!C$2:I$2,Tokens!C64:I64)</f>
        <v>"name":"",_x000D_
"symbol":"",_x000D_
"description":"",_x000D_
"seller_fee_basis_points":"",_x000D_
"image":"",_x000D_
"Issuer":"",_x000D_
"external_url":""</v>
      </c>
      <c r="W64" s="1" t="str">
        <f>formatRow(Tokens!J$2:AC$2,Tokens!J64:AC64,2,"attributes")</f>
        <v>"attributes":[]</v>
      </c>
      <c r="X64" s="1" t="str">
        <f>formatRow(Tokens!AD$2:AI$2,Tokens!AD64:AI64,2,"creators")</f>
        <v>"creators":[]</v>
      </c>
      <c r="Y64" s="1" t="str">
        <f>formatRow(Tokens!AJ$2:AO$2,Tokens!AJ64:AO64,2,"files")</f>
        <v>"files":[]</v>
      </c>
      <c r="Z64" s="1"/>
      <c r="AA64" s="1"/>
      <c r="AB64" s="1"/>
      <c r="AC64" s="1" t="str">
        <f>formatRow(Tokens!AP$2:AQ$2,Tokens!AP64:AQ64,0,"collection")</f>
        <v>"collection":{"name":"",_x000D_
"family":""}</v>
      </c>
    </row>
    <row r="65" spans="5:29" ht="14.25" customHeight="1" x14ac:dyDescent="0.25">
      <c r="E65" s="19" t="str">
        <f>IF(Tokens!C65="","",Tokens!C65)</f>
        <v/>
      </c>
      <c r="F65"/>
      <c r="G65"/>
      <c r="H65"/>
      <c r="I65"/>
      <c r="J65"/>
      <c r="K65"/>
      <c r="L65" s="16" t="str">
        <f t="shared" si="1"/>
        <v>_</v>
      </c>
      <c r="M65" s="16"/>
      <c r="N65" s="16"/>
      <c r="O65" s="16"/>
      <c r="P65" s="21" t="str">
        <f>IF(F65&lt;&gt;"",HYPERLINK(Settings!$B$5 &amp; "/manage/?network=" &amp; B$8 &amp; "&amp;search=token&amp;account=" &amp; ToMint!$B$5 &amp; "&amp;view=" &amp; ToMint!J65,"TokenSol"),"")</f>
        <v/>
      </c>
      <c r="T65" s="1" t="str">
        <f>"owner=" &amp; Tokens!AW65</f>
        <v>owner=</v>
      </c>
      <c r="U65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5" s="1" t="str">
        <f>formatRow(Tokens!C$2:I$2,Tokens!C65:I65)</f>
        <v>"name":"",_x000D_
"symbol":"",_x000D_
"description":"",_x000D_
"seller_fee_basis_points":"",_x000D_
"image":"",_x000D_
"Issuer":"",_x000D_
"external_url":""</v>
      </c>
      <c r="W65" s="1" t="str">
        <f>formatRow(Tokens!J$2:AC$2,Tokens!J65:AC65,2,"attributes")</f>
        <v>"attributes":[]</v>
      </c>
      <c r="X65" s="1" t="str">
        <f>formatRow(Tokens!AD$2:AI$2,Tokens!AD65:AI65,2,"creators")</f>
        <v>"creators":[]</v>
      </c>
      <c r="Y65" s="1" t="str">
        <f>formatRow(Tokens!AJ$2:AO$2,Tokens!AJ65:AO65,2,"files")</f>
        <v>"files":[]</v>
      </c>
      <c r="Z65" s="1"/>
      <c r="AA65" s="1"/>
      <c r="AB65" s="1"/>
      <c r="AC65" s="1" t="str">
        <f>formatRow(Tokens!AP$2:AQ$2,Tokens!AP65:AQ65,0,"collection")</f>
        <v>"collection":{"name":"",_x000D_
"family":""}</v>
      </c>
    </row>
    <row r="66" spans="5:29" ht="14.25" customHeight="1" x14ac:dyDescent="0.25">
      <c r="E66" s="19" t="str">
        <f>IF(Tokens!C66="","",Tokens!C66)</f>
        <v/>
      </c>
      <c r="F66"/>
      <c r="G66"/>
      <c r="H66"/>
      <c r="I66"/>
      <c r="J66"/>
      <c r="K66"/>
      <c r="L66" s="16" t="str">
        <f t="shared" si="1"/>
        <v>_</v>
      </c>
      <c r="M66" s="16"/>
      <c r="N66" s="16"/>
      <c r="O66" s="16"/>
      <c r="P66" s="21" t="str">
        <f>IF(F66&lt;&gt;"",HYPERLINK(Settings!$B$5 &amp; "/manage/?network=" &amp; B$8 &amp; "&amp;search=token&amp;account=" &amp; ToMint!$B$5 &amp; "&amp;view=" &amp; ToMint!J66,"TokenSol"),"")</f>
        <v/>
      </c>
      <c r="T66" s="1" t="str">
        <f>"owner=" &amp; Tokens!AW66</f>
        <v>owner=</v>
      </c>
      <c r="U66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6" s="1" t="str">
        <f>formatRow(Tokens!C$2:I$2,Tokens!C66:I66)</f>
        <v>"name":"",_x000D_
"symbol":"",_x000D_
"description":"",_x000D_
"seller_fee_basis_points":"",_x000D_
"image":"",_x000D_
"Issuer":"",_x000D_
"external_url":""</v>
      </c>
      <c r="W66" s="1" t="str">
        <f>formatRow(Tokens!J$2:AC$2,Tokens!J66:AC66,2,"attributes")</f>
        <v>"attributes":[]</v>
      </c>
      <c r="X66" s="1" t="str">
        <f>formatRow(Tokens!AD$2:AI$2,Tokens!AD66:AI66,2,"creators")</f>
        <v>"creators":[]</v>
      </c>
      <c r="Y66" s="1" t="str">
        <f>formatRow(Tokens!AJ$2:AO$2,Tokens!AJ66:AO66,2,"files")</f>
        <v>"files":[]</v>
      </c>
      <c r="Z66" s="1"/>
      <c r="AA66" s="1"/>
      <c r="AB66" s="1"/>
      <c r="AC66" s="1" t="str">
        <f>formatRow(Tokens!AP$2:AQ$2,Tokens!AP66:AQ66,0,"collection")</f>
        <v>"collection":{"name":"",_x000D_
"family":""}</v>
      </c>
    </row>
    <row r="67" spans="5:29" ht="14.25" customHeight="1" x14ac:dyDescent="0.25">
      <c r="E67" s="19" t="str">
        <f>IF(Tokens!C67="","",Tokens!C67)</f>
        <v/>
      </c>
      <c r="F67"/>
      <c r="G67"/>
      <c r="H67"/>
      <c r="I67"/>
      <c r="J67"/>
      <c r="K67"/>
      <c r="L67" s="16" t="str">
        <f t="shared" si="1"/>
        <v>_</v>
      </c>
      <c r="M67" s="16"/>
      <c r="N67" s="16"/>
      <c r="O67" s="16"/>
      <c r="P67" s="21" t="str">
        <f>IF(F67&lt;&gt;"",HYPERLINK(Settings!$B$5 &amp; "/manage/?network=" &amp; B$8 &amp; "&amp;search=token&amp;account=" &amp; ToMint!$B$5 &amp; "&amp;view=" &amp; ToMint!J67,"TokenSol"),"")</f>
        <v/>
      </c>
      <c r="T67" s="1" t="str">
        <f>"owner=" &amp; Tokens!AW67</f>
        <v>owner=</v>
      </c>
      <c r="U67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7" s="1" t="str">
        <f>formatRow(Tokens!C$2:I$2,Tokens!C67:I67)</f>
        <v>"name":"",_x000D_
"symbol":"",_x000D_
"description":"",_x000D_
"seller_fee_basis_points":"",_x000D_
"image":"",_x000D_
"Issuer":"",_x000D_
"external_url":""</v>
      </c>
      <c r="W67" s="1" t="str">
        <f>formatRow(Tokens!J$2:AC$2,Tokens!J67:AC67,2,"attributes")</f>
        <v>"attributes":[]</v>
      </c>
      <c r="X67" s="1" t="str">
        <f>formatRow(Tokens!AD$2:AI$2,Tokens!AD67:AI67,2,"creators")</f>
        <v>"creators":[]</v>
      </c>
      <c r="Y67" s="1" t="str">
        <f>formatRow(Tokens!AJ$2:AO$2,Tokens!AJ67:AO67,2,"files")</f>
        <v>"files":[]</v>
      </c>
      <c r="Z67" s="1"/>
      <c r="AA67" s="1"/>
      <c r="AB67" s="1"/>
      <c r="AC67" s="1" t="str">
        <f>formatRow(Tokens!AP$2:AQ$2,Tokens!AP67:AQ67,0,"collection")</f>
        <v>"collection":{"name":"",_x000D_
"family":""}</v>
      </c>
    </row>
    <row r="68" spans="5:29" ht="14.25" customHeight="1" x14ac:dyDescent="0.25">
      <c r="E68" s="19" t="str">
        <f>IF(Tokens!C68="","",Tokens!C68)</f>
        <v/>
      </c>
      <c r="F68"/>
      <c r="G68"/>
      <c r="H68"/>
      <c r="I68"/>
      <c r="J68"/>
      <c r="K68"/>
      <c r="L68" s="16" t="str">
        <f t="shared" si="1"/>
        <v>_</v>
      </c>
      <c r="M68" s="16"/>
      <c r="N68" s="16"/>
      <c r="O68" s="16"/>
      <c r="P68" s="21" t="str">
        <f>IF(F68&lt;&gt;"",HYPERLINK(Settings!$B$5 &amp; "/manage/?network=" &amp; B$8 &amp; "&amp;search=token&amp;account=" &amp; ToMint!$B$5 &amp; "&amp;view=" &amp; ToMint!J68,"TokenSol"),"")</f>
        <v/>
      </c>
      <c r="T68" s="1" t="str">
        <f>"owner=" &amp; Tokens!AW68</f>
        <v>owner=</v>
      </c>
      <c r="U68" s="1" t="str">
        <f t="shared" si="0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8" s="1" t="str">
        <f>formatRow(Tokens!C$2:I$2,Tokens!C68:I68)</f>
        <v>"name":"",_x000D_
"symbol":"",_x000D_
"description":"",_x000D_
"seller_fee_basis_points":"",_x000D_
"image":"",_x000D_
"Issuer":"",_x000D_
"external_url":""</v>
      </c>
      <c r="W68" s="1" t="str">
        <f>formatRow(Tokens!J$2:AC$2,Tokens!J68:AC68,2,"attributes")</f>
        <v>"attributes":[]</v>
      </c>
      <c r="X68" s="1" t="str">
        <f>formatRow(Tokens!AD$2:AI$2,Tokens!AD68:AI68,2,"creators")</f>
        <v>"creators":[]</v>
      </c>
      <c r="Y68" s="1" t="str">
        <f>formatRow(Tokens!AJ$2:AO$2,Tokens!AJ68:AO68,2,"files")</f>
        <v>"files":[]</v>
      </c>
      <c r="Z68" s="1"/>
      <c r="AA68" s="1"/>
      <c r="AB68" s="1"/>
      <c r="AC68" s="1" t="str">
        <f>formatRow(Tokens!AP$2:AQ$2,Tokens!AP68:AQ68,0,"collection")</f>
        <v>"collection":{"name":"",_x000D_
"family":""}</v>
      </c>
    </row>
    <row r="69" spans="5:29" ht="14.25" customHeight="1" x14ac:dyDescent="0.25">
      <c r="E69" s="19" t="str">
        <f>IF(Tokens!C69="","",Tokens!C69)</f>
        <v/>
      </c>
      <c r="F69"/>
      <c r="G69"/>
      <c r="H69"/>
      <c r="I69"/>
      <c r="J69"/>
      <c r="K69"/>
      <c r="L69" s="16" t="str">
        <f t="shared" ref="L69:L72" si="2">IF(AND(ISNUMBER(K68),ISNUMBER(K69)),(K69-K68)*$L$1,"_")</f>
        <v>_</v>
      </c>
      <c r="M69" s="16"/>
      <c r="N69" s="16"/>
      <c r="O69" s="16"/>
      <c r="P69" s="21" t="str">
        <f>IF(F69&lt;&gt;"",HYPERLINK(Settings!$B$5 &amp; "/manage/?network=" &amp; B$8 &amp; "&amp;search=token&amp;account=" &amp; ToMint!$B$5 &amp; "&amp;view=" &amp; ToMint!J69,"TokenSol"),"")</f>
        <v/>
      </c>
      <c r="T69" s="1" t="str">
        <f>"owner=" &amp; Tokens!AW69</f>
        <v>owner=</v>
      </c>
      <c r="U69" s="1" t="str">
        <f t="shared" ref="U69:U132" si="3">"{" &amp; V69 &amp; "," &amp; W69 &amp; "," &amp; """properties"":{" &amp; X69 &amp; "," &amp; Y69 &amp; "}," &amp; AC69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9" s="1" t="str">
        <f>formatRow(Tokens!C$2:I$2,Tokens!C69:I69)</f>
        <v>"name":"",_x000D_
"symbol":"",_x000D_
"description":"",_x000D_
"seller_fee_basis_points":"",_x000D_
"image":"",_x000D_
"Issuer":"",_x000D_
"external_url":""</v>
      </c>
      <c r="W69" s="1" t="str">
        <f>formatRow(Tokens!J$2:AC$2,Tokens!J69:AC69,2,"attributes")</f>
        <v>"attributes":[]</v>
      </c>
      <c r="X69" s="1" t="str">
        <f>formatRow(Tokens!AD$2:AI$2,Tokens!AD69:AI69,2,"creators")</f>
        <v>"creators":[]</v>
      </c>
      <c r="Y69" s="1" t="str">
        <f>formatRow(Tokens!AJ$2:AO$2,Tokens!AJ69:AO69,2,"files")</f>
        <v>"files":[]</v>
      </c>
      <c r="Z69" s="1"/>
      <c r="AA69" s="1"/>
      <c r="AB69" s="1"/>
      <c r="AC69" s="1" t="str">
        <f>formatRow(Tokens!AP$2:AQ$2,Tokens!AP69:AQ69,0,"collection")</f>
        <v>"collection":{"name":"",_x000D_
"family":""}</v>
      </c>
    </row>
    <row r="70" spans="5:29" ht="14.25" customHeight="1" x14ac:dyDescent="0.25">
      <c r="E70" s="19" t="str">
        <f>IF(Tokens!C70="","",Tokens!C70)</f>
        <v/>
      </c>
      <c r="F70"/>
      <c r="G70"/>
      <c r="H70"/>
      <c r="I70"/>
      <c r="J70"/>
      <c r="K70"/>
      <c r="L70" s="16" t="str">
        <f t="shared" si="2"/>
        <v>_</v>
      </c>
      <c r="M70" s="16"/>
      <c r="N70" s="16"/>
      <c r="O70" s="16"/>
      <c r="P70" s="21" t="str">
        <f>IF(F70&lt;&gt;"",HYPERLINK(Settings!$B$5 &amp; "/manage/?network=" &amp; B$8 &amp; "&amp;search=token&amp;account=" &amp; ToMint!$B$5 &amp; "&amp;view=" &amp; ToMint!J70,"TokenSol"),"")</f>
        <v/>
      </c>
      <c r="T70" s="1" t="str">
        <f>"owner=" &amp; Tokens!AW70</f>
        <v>owner=</v>
      </c>
      <c r="U7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0" s="1" t="str">
        <f>formatRow(Tokens!C$2:I$2,Tokens!C70:I70)</f>
        <v>"name":"",_x000D_
"symbol":"",_x000D_
"description":"",_x000D_
"seller_fee_basis_points":"",_x000D_
"image":"",_x000D_
"Issuer":"",_x000D_
"external_url":""</v>
      </c>
      <c r="W70" s="1" t="str">
        <f>formatRow(Tokens!J$2:AC$2,Tokens!J70:AC70,2,"attributes")</f>
        <v>"attributes":[]</v>
      </c>
      <c r="X70" s="1" t="str">
        <f>formatRow(Tokens!AD$2:AI$2,Tokens!AD70:AI70,2,"creators")</f>
        <v>"creators":[]</v>
      </c>
      <c r="Y70" s="1" t="str">
        <f>formatRow(Tokens!AJ$2:AO$2,Tokens!AJ70:AO70,2,"files")</f>
        <v>"files":[]</v>
      </c>
      <c r="Z70" s="1"/>
      <c r="AA70" s="1"/>
      <c r="AB70" s="1"/>
      <c r="AC70" s="1" t="str">
        <f>formatRow(Tokens!AP$2:AQ$2,Tokens!AP70:AQ70,0,"collection")</f>
        <v>"collection":{"name":"",_x000D_
"family":""}</v>
      </c>
    </row>
    <row r="71" spans="5:29" ht="14.25" customHeight="1" x14ac:dyDescent="0.25">
      <c r="E71" s="19" t="str">
        <f>IF(Tokens!C71="","",Tokens!C71)</f>
        <v/>
      </c>
      <c r="F71"/>
      <c r="G71"/>
      <c r="H71"/>
      <c r="I71"/>
      <c r="J71"/>
      <c r="K71"/>
      <c r="L71" s="16" t="str">
        <f t="shared" si="2"/>
        <v>_</v>
      </c>
      <c r="M71" s="16"/>
      <c r="N71" s="16"/>
      <c r="O71" s="16"/>
      <c r="P71" s="21" t="str">
        <f>IF(F71&lt;&gt;"",HYPERLINK(Settings!$B$5 &amp; "/manage/?network=" &amp; B$8 &amp; "&amp;search=token&amp;account=" &amp; ToMint!$B$5 &amp; "&amp;view=" &amp; ToMint!J71,"TokenSol"),"")</f>
        <v/>
      </c>
      <c r="T71" s="1" t="str">
        <f>"owner=" &amp; Tokens!AW71</f>
        <v>owner=</v>
      </c>
      <c r="U7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1" s="1" t="str">
        <f>formatRow(Tokens!C$2:I$2,Tokens!C71:I71)</f>
        <v>"name":"",_x000D_
"symbol":"",_x000D_
"description":"",_x000D_
"seller_fee_basis_points":"",_x000D_
"image":"",_x000D_
"Issuer":"",_x000D_
"external_url":""</v>
      </c>
      <c r="W71" s="1" t="str">
        <f>formatRow(Tokens!J$2:AC$2,Tokens!J71:AC71,2,"attributes")</f>
        <v>"attributes":[]</v>
      </c>
      <c r="X71" s="1" t="str">
        <f>formatRow(Tokens!AD$2:AI$2,Tokens!AD71:AI71,2,"creators")</f>
        <v>"creators":[]</v>
      </c>
      <c r="Y71" s="1" t="str">
        <f>formatRow(Tokens!AJ$2:AO$2,Tokens!AJ71:AO71,2,"files")</f>
        <v>"files":[]</v>
      </c>
      <c r="Z71" s="1"/>
      <c r="AA71" s="1"/>
      <c r="AB71" s="1"/>
      <c r="AC71" s="1" t="str">
        <f>formatRow(Tokens!AP$2:AQ$2,Tokens!AP71:AQ71,0,"collection")</f>
        <v>"collection":{"name":"",_x000D_
"family":""}</v>
      </c>
    </row>
    <row r="72" spans="5:29" ht="14.25" customHeight="1" x14ac:dyDescent="0.25">
      <c r="E72" s="19" t="str">
        <f>IF(Tokens!C72="","",Tokens!C72)</f>
        <v/>
      </c>
      <c r="F72"/>
      <c r="G72"/>
      <c r="H72"/>
      <c r="I72"/>
      <c r="J72"/>
      <c r="K72"/>
      <c r="L72" s="16" t="str">
        <f t="shared" si="2"/>
        <v>_</v>
      </c>
      <c r="M72" s="16"/>
      <c r="N72" s="16"/>
      <c r="O72" s="16"/>
      <c r="P72" s="21" t="str">
        <f>IF(F72&lt;&gt;"",HYPERLINK(Settings!$B$5 &amp; "/manage/?network=" &amp; B$8 &amp; "&amp;search=token&amp;account=" &amp; ToMint!$B$5 &amp; "&amp;view=" &amp; ToMint!J72,"TokenSol"),"")</f>
        <v/>
      </c>
      <c r="T72" s="1" t="str">
        <f>"owner=" &amp; Tokens!AW72</f>
        <v>owner=</v>
      </c>
      <c r="U7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2" s="1" t="str">
        <f>formatRow(Tokens!C$2:I$2,Tokens!C72:I72)</f>
        <v>"name":"",_x000D_
"symbol":"",_x000D_
"description":"",_x000D_
"seller_fee_basis_points":"",_x000D_
"image":"",_x000D_
"Issuer":"",_x000D_
"external_url":""</v>
      </c>
      <c r="W72" s="1" t="str">
        <f>formatRow(Tokens!J$2:AC$2,Tokens!J72:AC72,2,"attributes")</f>
        <v>"attributes":[]</v>
      </c>
      <c r="X72" s="1" t="str">
        <f>formatRow(Tokens!AD$2:AI$2,Tokens!AD72:AI72,2,"creators")</f>
        <v>"creators":[]</v>
      </c>
      <c r="Y72" s="1" t="str">
        <f>formatRow(Tokens!AJ$2:AO$2,Tokens!AJ72:AO72,2,"files")</f>
        <v>"files":[]</v>
      </c>
      <c r="Z72" s="1"/>
      <c r="AA72" s="1"/>
      <c r="AB72" s="1"/>
      <c r="AC72" s="1" t="str">
        <f>formatRow(Tokens!AP$2:AQ$2,Tokens!AP72:AQ72,0,"collection")</f>
        <v>"collection":{"name":"",_x000D_
"family":""}</v>
      </c>
    </row>
    <row r="73" spans="5:29" ht="14.25" customHeight="1" x14ac:dyDescent="0.25">
      <c r="E73" s="19" t="str">
        <f>IF(Tokens!C64="","",Tokens!C64)</f>
        <v/>
      </c>
      <c r="F73"/>
      <c r="G73"/>
      <c r="H73"/>
      <c r="I73"/>
      <c r="J73"/>
      <c r="K73"/>
      <c r="L73" s="16" t="str">
        <f t="shared" ref="L73:L74" si="4">IF(AND(ISNUMBER(K72),ISNUMBER(K73)),(K73-K72)*$L$1,"")</f>
        <v/>
      </c>
      <c r="M73" s="16"/>
      <c r="N73" s="16"/>
      <c r="O73" s="16"/>
      <c r="P73" s="16"/>
      <c r="T73" s="1" t="str">
        <f>"owner=" &amp; Tokens!AW73</f>
        <v>owner=</v>
      </c>
      <c r="U7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3" s="1" t="str">
        <f>formatRow(Tokens!C$2:I$2,Tokens!C73:I73)</f>
        <v>"name":"",_x000D_
"symbol":"",_x000D_
"description":"",_x000D_
"seller_fee_basis_points":"",_x000D_
"image":"",_x000D_
"Issuer":"",_x000D_
"external_url":""</v>
      </c>
      <c r="W73" s="1" t="str">
        <f>formatRow(Tokens!J$2:AC$2,Tokens!J73:AC73,2,"attributes")</f>
        <v>"attributes":[]</v>
      </c>
      <c r="X73" s="1" t="str">
        <f>formatRow(Tokens!AD$2:AI$2,Tokens!AD73:AI73,2,"creators")</f>
        <v>"creators":[]</v>
      </c>
      <c r="Y73" s="1" t="str">
        <f>formatRow(Tokens!AJ$2:AO$2,Tokens!AJ73:AO73,2,"files")</f>
        <v>"files":[]</v>
      </c>
      <c r="Z73" s="1"/>
      <c r="AA73" s="1"/>
      <c r="AB73" s="1"/>
      <c r="AC73" s="1" t="str">
        <f>formatRow(Tokens!AP$2:AQ$2,Tokens!AP73:AQ73,0,"collection")</f>
        <v>"collection":{"name":"",_x000D_
"family":""}</v>
      </c>
    </row>
    <row r="74" spans="5:29" ht="14.25" customHeight="1" x14ac:dyDescent="0.25">
      <c r="E74" s="19" t="str">
        <f>IF(Tokens!C65="","",Tokens!C65)</f>
        <v/>
      </c>
      <c r="F74"/>
      <c r="G74"/>
      <c r="H74"/>
      <c r="I74"/>
      <c r="J74"/>
      <c r="K74"/>
      <c r="L74" s="16" t="str">
        <f t="shared" si="4"/>
        <v/>
      </c>
      <c r="M74" s="16"/>
      <c r="N74" s="16"/>
      <c r="O74" s="16"/>
      <c r="P74" s="16"/>
      <c r="T74" s="1" t="str">
        <f>"owner=" &amp; Tokens!AW74</f>
        <v>owner=</v>
      </c>
      <c r="U7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4" s="1" t="str">
        <f>formatRow(Tokens!C$2:I$2,Tokens!C74:I74)</f>
        <v>"name":"",_x000D_
"symbol":"",_x000D_
"description":"",_x000D_
"seller_fee_basis_points":"",_x000D_
"image":"",_x000D_
"Issuer":"",_x000D_
"external_url":""</v>
      </c>
      <c r="W74" s="1" t="str">
        <f>formatRow(Tokens!J$2:AC$2,Tokens!J74:AC74,2,"attributes")</f>
        <v>"attributes":[]</v>
      </c>
      <c r="X74" s="1" t="str">
        <f>formatRow(Tokens!AD$2:AI$2,Tokens!AD74:AI74,2,"creators")</f>
        <v>"creators":[]</v>
      </c>
      <c r="Y74" s="1" t="str">
        <f>formatRow(Tokens!AJ$2:AO$2,Tokens!AJ74:AO74,2,"files")</f>
        <v>"files":[]</v>
      </c>
      <c r="Z74" s="1"/>
      <c r="AA74" s="1"/>
      <c r="AB74" s="1"/>
      <c r="AC74" s="1" t="str">
        <f>formatRow(Tokens!AP$2:AQ$2,Tokens!AP74:AQ74,0,"collection")</f>
        <v>"collection":{"name":"",_x000D_
"family":""}</v>
      </c>
    </row>
    <row r="75" spans="5:29" ht="14.25" customHeight="1" x14ac:dyDescent="0.25">
      <c r="F75"/>
      <c r="G75"/>
      <c r="H75"/>
      <c r="I75"/>
      <c r="J75"/>
      <c r="K75"/>
      <c r="T75" s="1" t="str">
        <f>"owner=" &amp; Tokens!AW75</f>
        <v>owner=</v>
      </c>
      <c r="U75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5" s="1" t="str">
        <f>formatRow(Tokens!C$2:I$2,Tokens!C75:I75)</f>
        <v>"name":"",_x000D_
"symbol":"",_x000D_
"description":"",_x000D_
"seller_fee_basis_points":"",_x000D_
"image":"",_x000D_
"Issuer":"",_x000D_
"external_url":""</v>
      </c>
      <c r="W75" s="1" t="str">
        <f>formatRow(Tokens!J$2:AC$2,Tokens!J75:AC75,2,"attributes")</f>
        <v>"attributes":[]</v>
      </c>
      <c r="X75" s="1" t="str">
        <f>formatRow(Tokens!AD$2:AI$2,Tokens!AD75:AI75,2,"creators")</f>
        <v>"creators":[]</v>
      </c>
      <c r="Y75" s="1" t="str">
        <f>formatRow(Tokens!AJ$2:AO$2,Tokens!AJ75:AO75,2,"files")</f>
        <v>"files":[]</v>
      </c>
      <c r="Z75" s="1"/>
      <c r="AA75" s="1"/>
      <c r="AB75" s="1"/>
      <c r="AC75" s="1" t="str">
        <f>formatRow(Tokens!AP$2:AQ$2,Tokens!AP75:AQ75,0,"collection")</f>
        <v>"collection":{"name":"",_x000D_
"family":""}</v>
      </c>
    </row>
    <row r="76" spans="5:29" ht="14.25" customHeight="1" x14ac:dyDescent="0.25">
      <c r="F76"/>
      <c r="G76"/>
      <c r="H76"/>
      <c r="I76"/>
      <c r="J76"/>
      <c r="K76"/>
      <c r="T76" s="1" t="str">
        <f>"owner=" &amp; Tokens!AW76</f>
        <v>owner=</v>
      </c>
      <c r="U76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6" s="1" t="str">
        <f>formatRow(Tokens!C$2:I$2,Tokens!C76:I76)</f>
        <v>"name":"",_x000D_
"symbol":"",_x000D_
"description":"",_x000D_
"seller_fee_basis_points":"",_x000D_
"image":"",_x000D_
"Issuer":"",_x000D_
"external_url":""</v>
      </c>
      <c r="W76" s="1" t="str">
        <f>formatRow(Tokens!J$2:AC$2,Tokens!J76:AC76,2,"attributes")</f>
        <v>"attributes":[]</v>
      </c>
      <c r="X76" s="1" t="str">
        <f>formatRow(Tokens!AD$2:AI$2,Tokens!AD76:AI76,2,"creators")</f>
        <v>"creators":[]</v>
      </c>
      <c r="Y76" s="1" t="str">
        <f>formatRow(Tokens!AJ$2:AO$2,Tokens!AJ76:AO76,2,"files")</f>
        <v>"files":[]</v>
      </c>
      <c r="Z76" s="1"/>
      <c r="AA76" s="1"/>
      <c r="AB76" s="1"/>
      <c r="AC76" s="1" t="str">
        <f>formatRow(Tokens!AP$2:AQ$2,Tokens!AP76:AQ76,0,"collection")</f>
        <v>"collection":{"name":"",_x000D_
"family":""}</v>
      </c>
    </row>
    <row r="77" spans="5:29" ht="14.25" customHeight="1" x14ac:dyDescent="0.25">
      <c r="F77"/>
      <c r="G77"/>
      <c r="H77"/>
      <c r="I77"/>
      <c r="J77"/>
      <c r="K77"/>
      <c r="T77" s="1" t="str">
        <f>"owner=" &amp; Tokens!AW77</f>
        <v>owner=</v>
      </c>
      <c r="U77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7" s="1" t="str">
        <f>formatRow(Tokens!C$2:I$2,Tokens!C77:I77)</f>
        <v>"name":"",_x000D_
"symbol":"",_x000D_
"description":"",_x000D_
"seller_fee_basis_points":"",_x000D_
"image":"",_x000D_
"Issuer":"",_x000D_
"external_url":""</v>
      </c>
      <c r="W77" s="1" t="str">
        <f>formatRow(Tokens!J$2:AC$2,Tokens!J77:AC77,2,"attributes")</f>
        <v>"attributes":[]</v>
      </c>
      <c r="X77" s="1" t="str">
        <f>formatRow(Tokens!AD$2:AI$2,Tokens!AD77:AI77,2,"creators")</f>
        <v>"creators":[]</v>
      </c>
      <c r="Y77" s="1" t="str">
        <f>formatRow(Tokens!AJ$2:AO$2,Tokens!AJ77:AO77,2,"files")</f>
        <v>"files":[]</v>
      </c>
      <c r="Z77" s="1"/>
      <c r="AA77" s="1"/>
      <c r="AB77" s="1"/>
      <c r="AC77" s="1" t="str">
        <f>formatRow(Tokens!AP$2:AQ$2,Tokens!AP77:AQ77,0,"collection")</f>
        <v>"collection":{"name":"",_x000D_
"family":""}</v>
      </c>
    </row>
    <row r="78" spans="5:29" ht="14.25" customHeight="1" x14ac:dyDescent="0.25">
      <c r="F78"/>
      <c r="G78"/>
      <c r="H78"/>
      <c r="I78"/>
      <c r="J78"/>
      <c r="K78"/>
      <c r="T78" s="1" t="str">
        <f>"owner=" &amp; Tokens!AW78</f>
        <v>owner=</v>
      </c>
      <c r="U78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8" s="1" t="str">
        <f>formatRow(Tokens!C$2:I$2,Tokens!C78:I78)</f>
        <v>"name":"",_x000D_
"symbol":"",_x000D_
"description":"",_x000D_
"seller_fee_basis_points":"",_x000D_
"image":"",_x000D_
"Issuer":"",_x000D_
"external_url":""</v>
      </c>
      <c r="W78" s="1" t="str">
        <f>formatRow(Tokens!J$2:AC$2,Tokens!J78:AC78,2,"attributes")</f>
        <v>"attributes":[]</v>
      </c>
      <c r="X78" s="1" t="str">
        <f>formatRow(Tokens!AD$2:AI$2,Tokens!AD78:AI78,2,"creators")</f>
        <v>"creators":[]</v>
      </c>
      <c r="Y78" s="1" t="str">
        <f>formatRow(Tokens!AJ$2:AO$2,Tokens!AJ78:AO78,2,"files")</f>
        <v>"files":[]</v>
      </c>
      <c r="Z78" s="1"/>
      <c r="AA78" s="1"/>
      <c r="AB78" s="1"/>
      <c r="AC78" s="1" t="str">
        <f>formatRow(Tokens!AP$2:AQ$2,Tokens!AP78:AQ78,0,"collection")</f>
        <v>"collection":{"name":"",_x000D_
"family":""}</v>
      </c>
    </row>
    <row r="79" spans="5:29" ht="14.25" customHeight="1" x14ac:dyDescent="0.25">
      <c r="F79"/>
      <c r="G79"/>
      <c r="H79"/>
      <c r="I79"/>
      <c r="J79"/>
      <c r="K79"/>
      <c r="T79" s="1" t="str">
        <f>"owner=" &amp; Tokens!AW79</f>
        <v>owner=</v>
      </c>
      <c r="U79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9" s="1" t="str">
        <f>formatRow(Tokens!C$2:I$2,Tokens!C79:I79)</f>
        <v>"name":"",_x000D_
"symbol":"",_x000D_
"description":"",_x000D_
"seller_fee_basis_points":"",_x000D_
"image":"",_x000D_
"Issuer":"",_x000D_
"external_url":""</v>
      </c>
      <c r="W79" s="1" t="str">
        <f>formatRow(Tokens!J$2:AC$2,Tokens!J79:AC79,2,"attributes")</f>
        <v>"attributes":[]</v>
      </c>
      <c r="X79" s="1" t="str">
        <f>formatRow(Tokens!AD$2:AI$2,Tokens!AD79:AI79,2,"creators")</f>
        <v>"creators":[]</v>
      </c>
      <c r="Y79" s="1" t="str">
        <f>formatRow(Tokens!AJ$2:AO$2,Tokens!AJ79:AO79,2,"files")</f>
        <v>"files":[]</v>
      </c>
      <c r="Z79" s="1"/>
      <c r="AA79" s="1"/>
      <c r="AB79" s="1"/>
      <c r="AC79" s="1" t="str">
        <f>formatRow(Tokens!AP$2:AQ$2,Tokens!AP79:AQ79,0,"collection")</f>
        <v>"collection":{"name":"",_x000D_
"family":""}</v>
      </c>
    </row>
    <row r="80" spans="5:29" ht="14.25" customHeight="1" x14ac:dyDescent="0.25">
      <c r="F80"/>
      <c r="G80"/>
      <c r="H80"/>
      <c r="I80"/>
      <c r="J80"/>
      <c r="K80"/>
      <c r="T80" s="1" t="str">
        <f>"owner=" &amp; Tokens!AW80</f>
        <v>owner=</v>
      </c>
      <c r="U8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0" s="1" t="str">
        <f>formatRow(Tokens!C$2:I$2,Tokens!C80:I80)</f>
        <v>"name":"",_x000D_
"symbol":"",_x000D_
"description":"",_x000D_
"seller_fee_basis_points":"",_x000D_
"image":"",_x000D_
"Issuer":"",_x000D_
"external_url":""</v>
      </c>
      <c r="W80" s="1" t="str">
        <f>formatRow(Tokens!J$2:AC$2,Tokens!J80:AC80,2,"attributes")</f>
        <v>"attributes":[]</v>
      </c>
      <c r="X80" s="1" t="str">
        <f>formatRow(Tokens!AD$2:AI$2,Tokens!AD80:AI80,2,"creators")</f>
        <v>"creators":[]</v>
      </c>
      <c r="Y80" s="1" t="str">
        <f>formatRow(Tokens!AJ$2:AO$2,Tokens!AJ80:AO80,2,"files")</f>
        <v>"files":[]</v>
      </c>
      <c r="Z80" s="1"/>
      <c r="AA80" s="1"/>
      <c r="AB80" s="1"/>
      <c r="AC80" s="1" t="str">
        <f>formatRow(Tokens!AP$2:AQ$2,Tokens!AP80:AQ80,0,"collection")</f>
        <v>"collection":{"name":"",_x000D_
"family":""}</v>
      </c>
    </row>
    <row r="81" spans="6:29" ht="14.25" customHeight="1" x14ac:dyDescent="0.25">
      <c r="F81"/>
      <c r="G81"/>
      <c r="H81"/>
      <c r="I81"/>
      <c r="J81"/>
      <c r="K81"/>
      <c r="T81" s="1" t="str">
        <f>"owner=" &amp; Tokens!AW81</f>
        <v>owner=</v>
      </c>
      <c r="U8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1" s="1" t="str">
        <f>formatRow(Tokens!C$2:I$2,Tokens!C81:I81)</f>
        <v>"name":"",_x000D_
"symbol":"",_x000D_
"description":"",_x000D_
"seller_fee_basis_points":"",_x000D_
"image":"",_x000D_
"Issuer":"",_x000D_
"external_url":""</v>
      </c>
      <c r="W81" s="1" t="str">
        <f>formatRow(Tokens!J$2:AC$2,Tokens!J81:AC81,2,"attributes")</f>
        <v>"attributes":[]</v>
      </c>
      <c r="X81" s="1" t="str">
        <f>formatRow(Tokens!AD$2:AI$2,Tokens!AD81:AI81,2,"creators")</f>
        <v>"creators":[]</v>
      </c>
      <c r="Y81" s="1" t="str">
        <f>formatRow(Tokens!AJ$2:AO$2,Tokens!AJ81:AO81,2,"files")</f>
        <v>"files":[]</v>
      </c>
      <c r="Z81" s="1"/>
      <c r="AA81" s="1"/>
      <c r="AB81" s="1"/>
      <c r="AC81" s="1" t="str">
        <f>formatRow(Tokens!AP$2:AQ$2,Tokens!AP81:AQ81,0,"collection")</f>
        <v>"collection":{"name":"",_x000D_
"family":""}</v>
      </c>
    </row>
    <row r="82" spans="6:29" ht="14.25" customHeight="1" x14ac:dyDescent="0.25">
      <c r="F82"/>
      <c r="G82"/>
      <c r="H82"/>
      <c r="I82"/>
      <c r="J82"/>
      <c r="K82"/>
      <c r="T82" s="1" t="str">
        <f>"owner=" &amp; Tokens!AW82</f>
        <v>owner=</v>
      </c>
      <c r="U8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2" s="1" t="str">
        <f>formatRow(Tokens!C$2:I$2,Tokens!C82:I82)</f>
        <v>"name":"",_x000D_
"symbol":"",_x000D_
"description":"",_x000D_
"seller_fee_basis_points":"",_x000D_
"image":"",_x000D_
"Issuer":"",_x000D_
"external_url":""</v>
      </c>
      <c r="W82" s="1" t="str">
        <f>formatRow(Tokens!J$2:AC$2,Tokens!J82:AC82,2,"attributes")</f>
        <v>"attributes":[]</v>
      </c>
      <c r="X82" s="1" t="str">
        <f>formatRow(Tokens!AD$2:AI$2,Tokens!AD82:AI82,2,"creators")</f>
        <v>"creators":[]</v>
      </c>
      <c r="Y82" s="1" t="str">
        <f>formatRow(Tokens!AJ$2:AO$2,Tokens!AJ82:AO82,2,"files")</f>
        <v>"files":[]</v>
      </c>
      <c r="Z82" s="1"/>
      <c r="AA82" s="1"/>
      <c r="AB82" s="1"/>
      <c r="AC82" s="1" t="str">
        <f>formatRow(Tokens!AP$2:AQ$2,Tokens!AP82:AQ82,0,"collection")</f>
        <v>"collection":{"name":"",_x000D_
"family":""}</v>
      </c>
    </row>
    <row r="83" spans="6:29" ht="14.25" customHeight="1" x14ac:dyDescent="0.25">
      <c r="F83"/>
      <c r="G83"/>
      <c r="H83"/>
      <c r="I83"/>
      <c r="J83"/>
      <c r="K83"/>
      <c r="T83" s="1" t="str">
        <f>"owner=" &amp; Tokens!AW83</f>
        <v>owner=</v>
      </c>
      <c r="U8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3" s="1" t="str">
        <f>formatRow(Tokens!C$2:I$2,Tokens!C83:I83)</f>
        <v>"name":"",_x000D_
"symbol":"",_x000D_
"description":"",_x000D_
"seller_fee_basis_points":"",_x000D_
"image":"",_x000D_
"Issuer":"",_x000D_
"external_url":""</v>
      </c>
      <c r="W83" s="1" t="str">
        <f>formatRow(Tokens!J$2:AC$2,Tokens!J83:AC83,2,"attributes")</f>
        <v>"attributes":[]</v>
      </c>
      <c r="X83" s="1" t="str">
        <f>formatRow(Tokens!AD$2:AI$2,Tokens!AD83:AI83,2,"creators")</f>
        <v>"creators":[]</v>
      </c>
      <c r="Y83" s="1" t="str">
        <f>formatRow(Tokens!AJ$2:AO$2,Tokens!AJ83:AO83,2,"files")</f>
        <v>"files":[]</v>
      </c>
      <c r="Z83" s="1"/>
      <c r="AA83" s="1"/>
      <c r="AB83" s="1"/>
      <c r="AC83" s="1" t="str">
        <f>formatRow(Tokens!AP$2:AQ$2,Tokens!AP83:AQ83,0,"collection")</f>
        <v>"collection":{"name":"",_x000D_
"family":""}</v>
      </c>
    </row>
    <row r="84" spans="6:29" ht="14.25" customHeight="1" x14ac:dyDescent="0.25">
      <c r="F84"/>
      <c r="G84"/>
      <c r="H84"/>
      <c r="I84"/>
      <c r="J84"/>
      <c r="K84"/>
      <c r="T84" s="1" t="str">
        <f>"owner=" &amp; Tokens!AW84</f>
        <v>owner=</v>
      </c>
      <c r="U8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4" s="1" t="str">
        <f>formatRow(Tokens!C$2:I$2,Tokens!C84:I84)</f>
        <v>"name":"",_x000D_
"symbol":"",_x000D_
"description":"",_x000D_
"seller_fee_basis_points":"",_x000D_
"image":"",_x000D_
"Issuer":"",_x000D_
"external_url":""</v>
      </c>
      <c r="W84" s="1" t="str">
        <f>formatRow(Tokens!J$2:AC$2,Tokens!J84:AC84,2,"attributes")</f>
        <v>"attributes":[]</v>
      </c>
      <c r="X84" s="1" t="str">
        <f>formatRow(Tokens!AD$2:AI$2,Tokens!AD84:AI84,2,"creators")</f>
        <v>"creators":[]</v>
      </c>
      <c r="Y84" s="1" t="str">
        <f>formatRow(Tokens!AJ$2:AO$2,Tokens!AJ84:AO84,2,"files")</f>
        <v>"files":[]</v>
      </c>
      <c r="Z84" s="1"/>
      <c r="AA84" s="1"/>
      <c r="AB84" s="1"/>
      <c r="AC84" s="1" t="str">
        <f>formatRow(Tokens!AP$2:AQ$2,Tokens!AP84:AQ84,0,"collection")</f>
        <v>"collection":{"name":"",_x000D_
"family":""}</v>
      </c>
    </row>
    <row r="85" spans="6:29" ht="14.25" customHeight="1" x14ac:dyDescent="0.25">
      <c r="F85"/>
      <c r="G85"/>
      <c r="H85"/>
      <c r="I85"/>
      <c r="J85"/>
      <c r="K85"/>
      <c r="T85" s="1" t="str">
        <f>"owner=" &amp; Tokens!AW85</f>
        <v>owner=</v>
      </c>
      <c r="U85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5" s="1" t="str">
        <f>formatRow(Tokens!C$2:I$2,Tokens!C85:I85)</f>
        <v>"name":"",_x000D_
"symbol":"",_x000D_
"description":"",_x000D_
"seller_fee_basis_points":"",_x000D_
"image":"",_x000D_
"Issuer":"",_x000D_
"external_url":""</v>
      </c>
      <c r="W85" s="1" t="str">
        <f>formatRow(Tokens!J$2:AC$2,Tokens!J85:AC85,2,"attributes")</f>
        <v>"attributes":[]</v>
      </c>
      <c r="X85" s="1" t="str">
        <f>formatRow(Tokens!AD$2:AI$2,Tokens!AD85:AI85,2,"creators")</f>
        <v>"creators":[]</v>
      </c>
      <c r="Y85" s="1" t="str">
        <f>formatRow(Tokens!AJ$2:AO$2,Tokens!AJ85:AO85,2,"files")</f>
        <v>"files":[]</v>
      </c>
      <c r="Z85" s="1"/>
      <c r="AA85" s="1"/>
      <c r="AB85" s="1"/>
      <c r="AC85" s="1" t="str">
        <f>formatRow(Tokens!AP$2:AQ$2,Tokens!AP85:AQ85,0,"collection")</f>
        <v>"collection":{"name":"",_x000D_
"family":""}</v>
      </c>
    </row>
    <row r="86" spans="6:29" ht="14.25" customHeight="1" x14ac:dyDescent="0.25">
      <c r="F86"/>
      <c r="G86"/>
      <c r="H86"/>
      <c r="I86"/>
      <c r="J86"/>
      <c r="K86"/>
      <c r="T86" s="1" t="str">
        <f>"owner=" &amp; Tokens!AW86</f>
        <v>owner=</v>
      </c>
      <c r="U86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6" s="1" t="str">
        <f>formatRow(Tokens!C$2:I$2,Tokens!C86:I86)</f>
        <v>"name":"",_x000D_
"symbol":"",_x000D_
"description":"",_x000D_
"seller_fee_basis_points":"",_x000D_
"image":"",_x000D_
"Issuer":"",_x000D_
"external_url":""</v>
      </c>
      <c r="W86" s="1" t="str">
        <f>formatRow(Tokens!J$2:AC$2,Tokens!J86:AC86,2,"attributes")</f>
        <v>"attributes":[]</v>
      </c>
      <c r="X86" s="1" t="str">
        <f>formatRow(Tokens!AD$2:AI$2,Tokens!AD86:AI86,2,"creators")</f>
        <v>"creators":[]</v>
      </c>
      <c r="Y86" s="1" t="str">
        <f>formatRow(Tokens!AJ$2:AO$2,Tokens!AJ86:AO86,2,"files")</f>
        <v>"files":[]</v>
      </c>
      <c r="Z86" s="1"/>
      <c r="AA86" s="1"/>
      <c r="AB86" s="1"/>
      <c r="AC86" s="1" t="str">
        <f>formatRow(Tokens!AP$2:AQ$2,Tokens!AP86:AQ86,0,"collection")</f>
        <v>"collection":{"name":"",_x000D_
"family":""}</v>
      </c>
    </row>
    <row r="87" spans="6:29" ht="14.25" customHeight="1" x14ac:dyDescent="0.25">
      <c r="F87"/>
      <c r="G87"/>
      <c r="H87"/>
      <c r="I87"/>
      <c r="J87"/>
      <c r="K87"/>
      <c r="T87" s="1" t="str">
        <f>"owner=" &amp; Tokens!AW87</f>
        <v>owner=</v>
      </c>
      <c r="U87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7" s="1" t="str">
        <f>formatRow(Tokens!C$2:I$2,Tokens!C87:I87)</f>
        <v>"name":"",_x000D_
"symbol":"",_x000D_
"description":"",_x000D_
"seller_fee_basis_points":"",_x000D_
"image":"",_x000D_
"Issuer":"",_x000D_
"external_url":""</v>
      </c>
      <c r="W87" s="1" t="str">
        <f>formatRow(Tokens!J$2:AC$2,Tokens!J87:AC87,2,"attributes")</f>
        <v>"attributes":[]</v>
      </c>
      <c r="X87" s="1" t="str">
        <f>formatRow(Tokens!AD$2:AI$2,Tokens!AD87:AI87,2,"creators")</f>
        <v>"creators":[]</v>
      </c>
      <c r="Y87" s="1" t="str">
        <f>formatRow(Tokens!AJ$2:AO$2,Tokens!AJ87:AO87,2,"files")</f>
        <v>"files":[]</v>
      </c>
      <c r="Z87" s="1"/>
      <c r="AA87" s="1"/>
      <c r="AB87" s="1"/>
      <c r="AC87" s="1" t="str">
        <f>formatRow(Tokens!AP$2:AQ$2,Tokens!AP87:AQ87,0,"collection")</f>
        <v>"collection":{"name":"",_x000D_
"family":""}</v>
      </c>
    </row>
    <row r="88" spans="6:29" ht="14.25" customHeight="1" x14ac:dyDescent="0.25">
      <c r="F88"/>
      <c r="G88"/>
      <c r="H88"/>
      <c r="I88"/>
      <c r="J88"/>
      <c r="K88"/>
      <c r="T88" s="1" t="str">
        <f>"owner=" &amp; Tokens!AW88</f>
        <v>owner=</v>
      </c>
      <c r="U88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8" s="1" t="str">
        <f>formatRow(Tokens!C$2:I$2,Tokens!C88:I88)</f>
        <v>"name":"",_x000D_
"symbol":"",_x000D_
"description":"",_x000D_
"seller_fee_basis_points":"",_x000D_
"image":"",_x000D_
"Issuer":"",_x000D_
"external_url":""</v>
      </c>
      <c r="W88" s="1" t="str">
        <f>formatRow(Tokens!J$2:AC$2,Tokens!J88:AC88,2,"attributes")</f>
        <v>"attributes":[]</v>
      </c>
      <c r="X88" s="1" t="str">
        <f>formatRow(Tokens!AD$2:AI$2,Tokens!AD88:AI88,2,"creators")</f>
        <v>"creators":[]</v>
      </c>
      <c r="Y88" s="1" t="str">
        <f>formatRow(Tokens!AJ$2:AO$2,Tokens!AJ88:AO88,2,"files")</f>
        <v>"files":[]</v>
      </c>
      <c r="Z88" s="1"/>
      <c r="AA88" s="1"/>
      <c r="AB88" s="1"/>
      <c r="AC88" s="1" t="str">
        <f>formatRow(Tokens!AP$2:AQ$2,Tokens!AP88:AQ88,0,"collection")</f>
        <v>"collection":{"name":"",_x000D_
"family":""}</v>
      </c>
    </row>
    <row r="89" spans="6:29" ht="14.25" customHeight="1" x14ac:dyDescent="0.25">
      <c r="F89"/>
      <c r="G89"/>
      <c r="H89"/>
      <c r="I89"/>
      <c r="J89"/>
      <c r="K89"/>
      <c r="T89" s="1" t="str">
        <f>"owner=" &amp; Tokens!AW89</f>
        <v>owner=</v>
      </c>
      <c r="U89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9" s="1" t="str">
        <f>formatRow(Tokens!C$2:I$2,Tokens!C89:I89)</f>
        <v>"name":"",_x000D_
"symbol":"",_x000D_
"description":"",_x000D_
"seller_fee_basis_points":"",_x000D_
"image":"",_x000D_
"Issuer":"",_x000D_
"external_url":""</v>
      </c>
      <c r="W89" s="1" t="str">
        <f>formatRow(Tokens!J$2:AC$2,Tokens!J89:AC89,2,"attributes")</f>
        <v>"attributes":[]</v>
      </c>
      <c r="X89" s="1" t="str">
        <f>formatRow(Tokens!AD$2:AI$2,Tokens!AD89:AI89,2,"creators")</f>
        <v>"creators":[]</v>
      </c>
      <c r="Y89" s="1" t="str">
        <f>formatRow(Tokens!AJ$2:AO$2,Tokens!AJ89:AO89,2,"files")</f>
        <v>"files":[]</v>
      </c>
      <c r="Z89" s="1"/>
      <c r="AA89" s="1"/>
      <c r="AB89" s="1"/>
      <c r="AC89" s="1" t="str">
        <f>formatRow(Tokens!AP$2:AQ$2,Tokens!AP89:AQ89,0,"collection")</f>
        <v>"collection":{"name":"",_x000D_
"family":""}</v>
      </c>
    </row>
    <row r="90" spans="6:29" ht="14.25" customHeight="1" x14ac:dyDescent="0.25">
      <c r="F90"/>
      <c r="G90"/>
      <c r="H90"/>
      <c r="I90"/>
      <c r="J90"/>
      <c r="K90"/>
      <c r="T90" s="1" t="str">
        <f>"owner=" &amp; Tokens!AW90</f>
        <v>owner=</v>
      </c>
      <c r="U9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0" s="1" t="str">
        <f>formatRow(Tokens!C$2:I$2,Tokens!C90:I90)</f>
        <v>"name":"",_x000D_
"symbol":"",_x000D_
"description":"",_x000D_
"seller_fee_basis_points":"",_x000D_
"image":"",_x000D_
"Issuer":"",_x000D_
"external_url":""</v>
      </c>
      <c r="W90" s="1" t="str">
        <f>formatRow(Tokens!J$2:AC$2,Tokens!J90:AC90,2,"attributes")</f>
        <v>"attributes":[]</v>
      </c>
      <c r="X90" s="1" t="str">
        <f>formatRow(Tokens!AD$2:AI$2,Tokens!AD90:AI90,2,"creators")</f>
        <v>"creators":[]</v>
      </c>
      <c r="Y90" s="1" t="str">
        <f>formatRow(Tokens!AJ$2:AO$2,Tokens!AJ90:AO90,2,"files")</f>
        <v>"files":[]</v>
      </c>
      <c r="Z90" s="1"/>
      <c r="AA90" s="1"/>
      <c r="AB90" s="1"/>
      <c r="AC90" s="1" t="str">
        <f>formatRow(Tokens!AP$2:AQ$2,Tokens!AP90:AQ90,0,"collection")</f>
        <v>"collection":{"name":"",_x000D_
"family":""}</v>
      </c>
    </row>
    <row r="91" spans="6:29" ht="14.25" customHeight="1" x14ac:dyDescent="0.25">
      <c r="F91"/>
      <c r="G91"/>
      <c r="H91"/>
      <c r="I91"/>
      <c r="J91"/>
      <c r="K91"/>
      <c r="T91" s="1" t="str">
        <f>"owner=" &amp; Tokens!AW91</f>
        <v>owner=</v>
      </c>
      <c r="U9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1" s="1" t="str">
        <f>formatRow(Tokens!C$2:I$2,Tokens!C91:I91)</f>
        <v>"name":"",_x000D_
"symbol":"",_x000D_
"description":"",_x000D_
"seller_fee_basis_points":"",_x000D_
"image":"",_x000D_
"Issuer":"",_x000D_
"external_url":""</v>
      </c>
      <c r="W91" s="1" t="str">
        <f>formatRow(Tokens!J$2:AC$2,Tokens!J91:AC91,2,"attributes")</f>
        <v>"attributes":[]</v>
      </c>
      <c r="X91" s="1" t="str">
        <f>formatRow(Tokens!AD$2:AI$2,Tokens!AD91:AI91,2,"creators")</f>
        <v>"creators":[]</v>
      </c>
      <c r="Y91" s="1" t="str">
        <f>formatRow(Tokens!AJ$2:AO$2,Tokens!AJ91:AO91,2,"files")</f>
        <v>"files":[]</v>
      </c>
      <c r="Z91" s="1"/>
      <c r="AA91" s="1"/>
      <c r="AB91" s="1"/>
      <c r="AC91" s="1" t="str">
        <f>formatRow(Tokens!AP$2:AQ$2,Tokens!AP91:AQ91,0,"collection")</f>
        <v>"collection":{"name":"",_x000D_
"family":""}</v>
      </c>
    </row>
    <row r="92" spans="6:29" ht="14.25" customHeight="1" x14ac:dyDescent="0.25">
      <c r="F92"/>
      <c r="G92"/>
      <c r="H92"/>
      <c r="I92"/>
      <c r="J92"/>
      <c r="K92"/>
      <c r="T92" s="1" t="str">
        <f>"owner=" &amp; Tokens!AW92</f>
        <v>owner=</v>
      </c>
      <c r="U9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2" s="1" t="str">
        <f>formatRow(Tokens!C$2:I$2,Tokens!C92:I92)</f>
        <v>"name":"",_x000D_
"symbol":"",_x000D_
"description":"",_x000D_
"seller_fee_basis_points":"",_x000D_
"image":"",_x000D_
"Issuer":"",_x000D_
"external_url":""</v>
      </c>
      <c r="W92" s="1" t="str">
        <f>formatRow(Tokens!J$2:AC$2,Tokens!J92:AC92,2,"attributes")</f>
        <v>"attributes":[]</v>
      </c>
      <c r="X92" s="1" t="str">
        <f>formatRow(Tokens!AD$2:AI$2,Tokens!AD92:AI92,2,"creators")</f>
        <v>"creators":[]</v>
      </c>
      <c r="Y92" s="1" t="str">
        <f>formatRow(Tokens!AJ$2:AO$2,Tokens!AJ92:AO92,2,"files")</f>
        <v>"files":[]</v>
      </c>
      <c r="Z92" s="1"/>
      <c r="AA92" s="1"/>
      <c r="AB92" s="1"/>
      <c r="AC92" s="1" t="str">
        <f>formatRow(Tokens!AP$2:AQ$2,Tokens!AP92:AQ92,0,"collection")</f>
        <v>"collection":{"name":"",_x000D_
"family":""}</v>
      </c>
    </row>
    <row r="93" spans="6:29" ht="14.25" customHeight="1" x14ac:dyDescent="0.25">
      <c r="F93"/>
      <c r="G93"/>
      <c r="H93"/>
      <c r="I93"/>
      <c r="J93"/>
      <c r="K93"/>
      <c r="T93" s="1" t="str">
        <f>"owner=" &amp; Tokens!AW93</f>
        <v>owner=</v>
      </c>
      <c r="U9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3" s="1" t="str">
        <f>formatRow(Tokens!C$2:I$2,Tokens!C93:I93)</f>
        <v>"name":"",_x000D_
"symbol":"",_x000D_
"description":"",_x000D_
"seller_fee_basis_points":"",_x000D_
"image":"",_x000D_
"Issuer":"",_x000D_
"external_url":""</v>
      </c>
      <c r="W93" s="1" t="str">
        <f>formatRow(Tokens!J$2:AC$2,Tokens!J93:AC93,2,"attributes")</f>
        <v>"attributes":[]</v>
      </c>
      <c r="X93" s="1" t="str">
        <f>formatRow(Tokens!AD$2:AI$2,Tokens!AD93:AI93,2,"creators")</f>
        <v>"creators":[]</v>
      </c>
      <c r="Y93" s="1" t="str">
        <f>formatRow(Tokens!AJ$2:AO$2,Tokens!AJ93:AO93,2,"files")</f>
        <v>"files":[]</v>
      </c>
      <c r="Z93" s="1"/>
      <c r="AA93" s="1"/>
      <c r="AB93" s="1"/>
      <c r="AC93" s="1" t="str">
        <f>formatRow(Tokens!AP$2:AQ$2,Tokens!AP93:AQ93,0,"collection")</f>
        <v>"collection":{"name":"",_x000D_
"family":""}</v>
      </c>
    </row>
    <row r="94" spans="6:29" ht="14.25" customHeight="1" x14ac:dyDescent="0.25">
      <c r="F94"/>
      <c r="G94"/>
      <c r="H94"/>
      <c r="I94"/>
      <c r="J94"/>
      <c r="K94"/>
      <c r="T94" s="1" t="str">
        <f>"owner=" &amp; Tokens!AW94</f>
        <v>owner=</v>
      </c>
      <c r="U9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4" s="1" t="str">
        <f>formatRow(Tokens!C$2:I$2,Tokens!C94:I94)</f>
        <v>"name":"",_x000D_
"symbol":"",_x000D_
"description":"",_x000D_
"seller_fee_basis_points":"",_x000D_
"image":"",_x000D_
"Issuer":"",_x000D_
"external_url":""</v>
      </c>
      <c r="W94" s="1" t="str">
        <f>formatRow(Tokens!J$2:AC$2,Tokens!J94:AC94,2,"attributes")</f>
        <v>"attributes":[]</v>
      </c>
      <c r="X94" s="1" t="str">
        <f>formatRow(Tokens!AD$2:AI$2,Tokens!AD94:AI94,2,"creators")</f>
        <v>"creators":[]</v>
      </c>
      <c r="Y94" s="1" t="str">
        <f>formatRow(Tokens!AJ$2:AO$2,Tokens!AJ94:AO94,2,"files")</f>
        <v>"files":[]</v>
      </c>
      <c r="Z94" s="1"/>
      <c r="AA94" s="1"/>
      <c r="AB94" s="1"/>
      <c r="AC94" s="1" t="str">
        <f>formatRow(Tokens!AP$2:AQ$2,Tokens!AP94:AQ94,0,"collection")</f>
        <v>"collection":{"name":"",_x000D_
"family":""}</v>
      </c>
    </row>
    <row r="95" spans="6:29" ht="14.25" customHeight="1" x14ac:dyDescent="0.25">
      <c r="F95"/>
      <c r="G95"/>
      <c r="H95"/>
      <c r="I95"/>
      <c r="J95"/>
      <c r="K95"/>
      <c r="T95" s="1" t="str">
        <f>"owner=" &amp; Tokens!AW95</f>
        <v>owner=</v>
      </c>
      <c r="U95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5" s="1" t="str">
        <f>formatRow(Tokens!C$2:I$2,Tokens!C95:I95)</f>
        <v>"name":"",_x000D_
"symbol":"",_x000D_
"description":"",_x000D_
"seller_fee_basis_points":"",_x000D_
"image":"",_x000D_
"Issuer":"",_x000D_
"external_url":""</v>
      </c>
      <c r="W95" s="1" t="str">
        <f>formatRow(Tokens!J$2:AC$2,Tokens!J95:AC95,2,"attributes")</f>
        <v>"attributes":[]</v>
      </c>
      <c r="X95" s="1" t="str">
        <f>formatRow(Tokens!AD$2:AI$2,Tokens!AD95:AI95,2,"creators")</f>
        <v>"creators":[]</v>
      </c>
      <c r="Y95" s="1" t="str">
        <f>formatRow(Tokens!AJ$2:AO$2,Tokens!AJ95:AO95,2,"files")</f>
        <v>"files":[]</v>
      </c>
      <c r="Z95" s="1"/>
      <c r="AA95" s="1"/>
      <c r="AB95" s="1"/>
      <c r="AC95" s="1" t="str">
        <f>formatRow(Tokens!AP$2:AQ$2,Tokens!AP95:AQ95,0,"collection")</f>
        <v>"collection":{"name":"",_x000D_
"family":""}</v>
      </c>
    </row>
    <row r="96" spans="6:29" ht="14.25" customHeight="1" x14ac:dyDescent="0.25">
      <c r="F96"/>
      <c r="G96"/>
      <c r="H96"/>
      <c r="I96"/>
      <c r="J96"/>
      <c r="K96"/>
      <c r="T96" s="1" t="str">
        <f>"owner=" &amp; Tokens!AW96</f>
        <v>owner=</v>
      </c>
      <c r="U96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6" s="1" t="str">
        <f>formatRow(Tokens!C$2:I$2,Tokens!C96:I96)</f>
        <v>"name":"",_x000D_
"symbol":"",_x000D_
"description":"",_x000D_
"seller_fee_basis_points":"",_x000D_
"image":"",_x000D_
"Issuer":"",_x000D_
"external_url":""</v>
      </c>
      <c r="W96" s="1" t="str">
        <f>formatRow(Tokens!J$2:AC$2,Tokens!J96:AC96,2,"attributes")</f>
        <v>"attributes":[]</v>
      </c>
      <c r="X96" s="1" t="str">
        <f>formatRow(Tokens!AD$2:AI$2,Tokens!AD96:AI96,2,"creators")</f>
        <v>"creators":[]</v>
      </c>
      <c r="Y96" s="1" t="str">
        <f>formatRow(Tokens!AJ$2:AO$2,Tokens!AJ96:AO96,2,"files")</f>
        <v>"files":[]</v>
      </c>
      <c r="Z96" s="1"/>
      <c r="AA96" s="1"/>
      <c r="AB96" s="1"/>
      <c r="AC96" s="1" t="str">
        <f>formatRow(Tokens!AP$2:AQ$2,Tokens!AP96:AQ96,0,"collection")</f>
        <v>"collection":{"name":"",_x000D_
"family":""}</v>
      </c>
    </row>
    <row r="97" spans="6:29" ht="14.25" customHeight="1" x14ac:dyDescent="0.25">
      <c r="F97"/>
      <c r="G97"/>
      <c r="H97"/>
      <c r="I97"/>
      <c r="J97"/>
      <c r="K97"/>
      <c r="T97" s="1" t="str">
        <f>"owner=" &amp; Tokens!AW97</f>
        <v>owner=</v>
      </c>
      <c r="U97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7" s="1" t="str">
        <f>formatRow(Tokens!C$2:I$2,Tokens!C97:I97)</f>
        <v>"name":"",_x000D_
"symbol":"",_x000D_
"description":"",_x000D_
"seller_fee_basis_points":"",_x000D_
"image":"",_x000D_
"Issuer":"",_x000D_
"external_url":""</v>
      </c>
      <c r="W97" s="1" t="str">
        <f>formatRow(Tokens!J$2:AC$2,Tokens!J97:AC97,2,"attributes")</f>
        <v>"attributes":[]</v>
      </c>
      <c r="X97" s="1" t="str">
        <f>formatRow(Tokens!AD$2:AI$2,Tokens!AD97:AI97,2,"creators")</f>
        <v>"creators":[]</v>
      </c>
      <c r="Y97" s="1" t="str">
        <f>formatRow(Tokens!AJ$2:AO$2,Tokens!AJ97:AO97,2,"files")</f>
        <v>"files":[]</v>
      </c>
      <c r="Z97" s="1"/>
      <c r="AA97" s="1"/>
      <c r="AB97" s="1"/>
      <c r="AC97" s="1" t="str">
        <f>formatRow(Tokens!AP$2:AQ$2,Tokens!AP97:AQ97,0,"collection")</f>
        <v>"collection":{"name":"",_x000D_
"family":""}</v>
      </c>
    </row>
    <row r="98" spans="6:29" ht="14.25" customHeight="1" x14ac:dyDescent="0.25">
      <c r="F98"/>
      <c r="G98"/>
      <c r="H98"/>
      <c r="I98"/>
      <c r="J98"/>
      <c r="K98"/>
      <c r="T98" s="1" t="str">
        <f>"owner=" &amp; Tokens!AW98</f>
        <v>owner=</v>
      </c>
      <c r="U98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8" s="1" t="str">
        <f>formatRow(Tokens!C$2:I$2,Tokens!C98:I98)</f>
        <v>"name":"",_x000D_
"symbol":"",_x000D_
"description":"",_x000D_
"seller_fee_basis_points":"",_x000D_
"image":"",_x000D_
"Issuer":"",_x000D_
"external_url":""</v>
      </c>
      <c r="W98" s="1" t="str">
        <f>formatRow(Tokens!J$2:AC$2,Tokens!J98:AC98,2,"attributes")</f>
        <v>"attributes":[]</v>
      </c>
      <c r="X98" s="1" t="str">
        <f>formatRow(Tokens!AD$2:AI$2,Tokens!AD98:AI98,2,"creators")</f>
        <v>"creators":[]</v>
      </c>
      <c r="Y98" s="1" t="str">
        <f>formatRow(Tokens!AJ$2:AO$2,Tokens!AJ98:AO98,2,"files")</f>
        <v>"files":[]</v>
      </c>
      <c r="Z98" s="1"/>
      <c r="AA98" s="1"/>
      <c r="AB98" s="1"/>
      <c r="AC98" s="1" t="str">
        <f>formatRow(Tokens!AP$2:AQ$2,Tokens!AP98:AQ98,0,"collection")</f>
        <v>"collection":{"name":"",_x000D_
"family":""}</v>
      </c>
    </row>
    <row r="99" spans="6:29" ht="14.25" customHeight="1" x14ac:dyDescent="0.25">
      <c r="F99"/>
      <c r="G99"/>
      <c r="H99"/>
      <c r="I99"/>
      <c r="J99"/>
      <c r="K99"/>
      <c r="T99" s="1" t="str">
        <f>"owner=" &amp; Tokens!AW99</f>
        <v>owner=</v>
      </c>
      <c r="U99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9" s="1" t="str">
        <f>formatRow(Tokens!C$2:I$2,Tokens!C99:I99)</f>
        <v>"name":"",_x000D_
"symbol":"",_x000D_
"description":"",_x000D_
"seller_fee_basis_points":"",_x000D_
"image":"",_x000D_
"Issuer":"",_x000D_
"external_url":""</v>
      </c>
      <c r="W99" s="1" t="str">
        <f>formatRow(Tokens!J$2:AC$2,Tokens!J99:AC99,2,"attributes")</f>
        <v>"attributes":[]</v>
      </c>
      <c r="X99" s="1" t="str">
        <f>formatRow(Tokens!AD$2:AI$2,Tokens!AD99:AI99,2,"creators")</f>
        <v>"creators":[]</v>
      </c>
      <c r="Y99" s="1" t="str">
        <f>formatRow(Tokens!AJ$2:AO$2,Tokens!AJ99:AO99,2,"files")</f>
        <v>"files":[]</v>
      </c>
      <c r="Z99" s="1"/>
      <c r="AA99" s="1"/>
      <c r="AB99" s="1"/>
      <c r="AC99" s="1" t="str">
        <f>formatRow(Tokens!AP$2:AQ$2,Tokens!AP99:AQ99,0,"collection")</f>
        <v>"collection":{"name":"",_x000D_
"family":""}</v>
      </c>
    </row>
    <row r="100" spans="6:29" ht="14.25" customHeight="1" x14ac:dyDescent="0.25">
      <c r="F100"/>
      <c r="G100"/>
      <c r="H100"/>
      <c r="I100"/>
      <c r="J100"/>
      <c r="K100"/>
      <c r="T100" s="1" t="str">
        <f>"owner=" &amp; Tokens!AW100</f>
        <v>owner=</v>
      </c>
      <c r="U10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0" s="1" t="str">
        <f>formatRow(Tokens!C$2:I$2,Tokens!C100:I100)</f>
        <v>"name":"",_x000D_
"symbol":"",_x000D_
"description":"",_x000D_
"seller_fee_basis_points":"",_x000D_
"image":"",_x000D_
"Issuer":"",_x000D_
"external_url":""</v>
      </c>
      <c r="W100" s="1" t="str">
        <f>formatRow(Tokens!J$2:AC$2,Tokens!J100:AC100,2,"attributes")</f>
        <v>"attributes":[]</v>
      </c>
      <c r="X100" s="1" t="str">
        <f>formatRow(Tokens!AD$2:AI$2,Tokens!AD100:AI100,2,"creators")</f>
        <v>"creators":[]</v>
      </c>
      <c r="Y100" s="1" t="str">
        <f>formatRow(Tokens!AJ$2:AO$2,Tokens!AJ100:AO100,2,"files")</f>
        <v>"files":[]</v>
      </c>
      <c r="Z100" s="1"/>
      <c r="AA100" s="1"/>
      <c r="AB100" s="1"/>
      <c r="AC100" s="1" t="str">
        <f>formatRow(Tokens!AP$2:AQ$2,Tokens!AP100:AQ100,0,"collection")</f>
        <v>"collection":{"name":"",_x000D_
"family":""}</v>
      </c>
    </row>
    <row r="101" spans="6:29" ht="14.25" customHeight="1" x14ac:dyDescent="0.25">
      <c r="F101"/>
      <c r="G101"/>
      <c r="H101"/>
      <c r="I101"/>
      <c r="J101"/>
      <c r="K101"/>
      <c r="T101" s="1" t="str">
        <f>"owner=" &amp; Tokens!AW101</f>
        <v>owner=</v>
      </c>
      <c r="U10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1" s="1" t="str">
        <f>formatRow(Tokens!C$2:I$2,Tokens!C101:I101)</f>
        <v>"name":"",_x000D_
"symbol":"",_x000D_
"description":"",_x000D_
"seller_fee_basis_points":"",_x000D_
"image":"",_x000D_
"Issuer":"",_x000D_
"external_url":""</v>
      </c>
      <c r="W101" s="1" t="str">
        <f>formatRow(Tokens!J$2:AC$2,Tokens!J101:AC101,2,"attributes")</f>
        <v>"attributes":[]</v>
      </c>
      <c r="X101" s="1" t="str">
        <f>formatRow(Tokens!AD$2:AI$2,Tokens!AD101:AI101,2,"creators")</f>
        <v>"creators":[]</v>
      </c>
      <c r="Y101" s="1" t="str">
        <f>formatRow(Tokens!AJ$2:AO$2,Tokens!AJ101:AO101,2,"files")</f>
        <v>"files":[]</v>
      </c>
      <c r="Z101" s="1"/>
      <c r="AA101" s="1"/>
      <c r="AB101" s="1"/>
      <c r="AC101" s="1" t="str">
        <f>formatRow(Tokens!AP$2:AQ$2,Tokens!AP101:AQ101,0,"collection")</f>
        <v>"collection":{"name":"",_x000D_
"family":""}</v>
      </c>
    </row>
    <row r="102" spans="6:29" ht="14.25" customHeight="1" x14ac:dyDescent="0.25">
      <c r="F102"/>
      <c r="G102"/>
      <c r="H102"/>
      <c r="I102"/>
      <c r="J102"/>
      <c r="K102"/>
      <c r="T102" s="1" t="str">
        <f>"owner=" &amp; Tokens!AW102</f>
        <v>owner=</v>
      </c>
      <c r="U10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2" s="1" t="str">
        <f>formatRow(Tokens!C$2:I$2,Tokens!C102:I102)</f>
        <v>"name":"",_x000D_
"symbol":"",_x000D_
"description":"",_x000D_
"seller_fee_basis_points":"",_x000D_
"image":"",_x000D_
"Issuer":"",_x000D_
"external_url":""</v>
      </c>
      <c r="W102" s="1" t="str">
        <f>formatRow(Tokens!J$2:AC$2,Tokens!J102:AC102,2,"attributes")</f>
        <v>"attributes":[]</v>
      </c>
      <c r="X102" s="1" t="str">
        <f>formatRow(Tokens!AD$2:AI$2,Tokens!AD102:AI102,2,"creators")</f>
        <v>"creators":[]</v>
      </c>
      <c r="Y102" s="1" t="str">
        <f>formatRow(Tokens!AJ$2:AO$2,Tokens!AJ102:AO102,2,"files")</f>
        <v>"files":[]</v>
      </c>
      <c r="Z102" s="1"/>
      <c r="AA102" s="1"/>
      <c r="AB102" s="1"/>
      <c r="AC102" s="1" t="str">
        <f>formatRow(Tokens!AP$2:AQ$2,Tokens!AP102:AQ102,0,"collection")</f>
        <v>"collection":{"name":"",_x000D_
"family":""}</v>
      </c>
    </row>
    <row r="103" spans="6:29" ht="14.25" customHeight="1" x14ac:dyDescent="0.25">
      <c r="F103"/>
      <c r="G103"/>
      <c r="H103"/>
      <c r="I103"/>
      <c r="J103"/>
      <c r="K103"/>
      <c r="T103" s="1" t="str">
        <f>"owner=" &amp; Tokens!AW103</f>
        <v>owner=</v>
      </c>
      <c r="U10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3" s="1" t="str">
        <f>formatRow(Tokens!C$2:I$2,Tokens!C103:I103)</f>
        <v>"name":"",_x000D_
"symbol":"",_x000D_
"description":"",_x000D_
"seller_fee_basis_points":"",_x000D_
"image":"",_x000D_
"Issuer":"",_x000D_
"external_url":""</v>
      </c>
      <c r="W103" s="1" t="str">
        <f>formatRow(Tokens!J$2:AC$2,Tokens!J103:AC103,2,"attributes")</f>
        <v>"attributes":[]</v>
      </c>
      <c r="X103" s="1" t="str">
        <f>formatRow(Tokens!AD$2:AI$2,Tokens!AD103:AI103,2,"creators")</f>
        <v>"creators":[]</v>
      </c>
      <c r="Y103" s="1" t="str">
        <f>formatRow(Tokens!AJ$2:AO$2,Tokens!AJ103:AO103,2,"files")</f>
        <v>"files":[]</v>
      </c>
      <c r="Z103" s="1"/>
      <c r="AA103" s="1"/>
      <c r="AB103" s="1"/>
      <c r="AC103" s="1" t="str">
        <f>formatRow(Tokens!AP$2:AQ$2,Tokens!AP103:AQ103,0,"collection")</f>
        <v>"collection":{"name":"",_x000D_
"family":""}</v>
      </c>
    </row>
    <row r="104" spans="6:29" ht="14.25" customHeight="1" x14ac:dyDescent="0.25">
      <c r="F104"/>
      <c r="G104"/>
      <c r="H104"/>
      <c r="I104"/>
      <c r="J104"/>
      <c r="K104"/>
      <c r="T104" s="1" t="str">
        <f>"owner=" &amp; Tokens!AW104</f>
        <v>owner=</v>
      </c>
      <c r="U10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4" s="1" t="str">
        <f>formatRow(Tokens!C$2:I$2,Tokens!C104:I104)</f>
        <v>"name":"",_x000D_
"symbol":"",_x000D_
"description":"",_x000D_
"seller_fee_basis_points":"",_x000D_
"image":"",_x000D_
"Issuer":"",_x000D_
"external_url":""</v>
      </c>
      <c r="W104" s="1" t="str">
        <f>formatRow(Tokens!J$2:AC$2,Tokens!J104:AC104,2,"attributes")</f>
        <v>"attributes":[]</v>
      </c>
      <c r="X104" s="1" t="str">
        <f>formatRow(Tokens!AD$2:AI$2,Tokens!AD104:AI104,2,"creators")</f>
        <v>"creators":[]</v>
      </c>
      <c r="Y104" s="1" t="str">
        <f>formatRow(Tokens!AJ$2:AO$2,Tokens!AJ104:AO104,2,"files")</f>
        <v>"files":[]</v>
      </c>
      <c r="Z104" s="1"/>
      <c r="AA104" s="1"/>
      <c r="AB104" s="1"/>
      <c r="AC104" s="1" t="str">
        <f>formatRow(Tokens!AP$2:AQ$2,Tokens!AP104:AQ104,0,"collection")</f>
        <v>"collection":{"name":"",_x000D_
"family":""}</v>
      </c>
    </row>
    <row r="105" spans="6:29" ht="14.25" customHeight="1" x14ac:dyDescent="0.25">
      <c r="F105"/>
      <c r="G105"/>
      <c r="H105"/>
      <c r="I105"/>
      <c r="J105"/>
      <c r="K105"/>
      <c r="T105" s="1" t="str">
        <f>"owner=" &amp; Tokens!AW105</f>
        <v>owner=</v>
      </c>
      <c r="U105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5" s="1" t="str">
        <f>formatRow(Tokens!C$2:I$2,Tokens!C105:I105)</f>
        <v>"name":"",_x000D_
"symbol":"",_x000D_
"description":"",_x000D_
"seller_fee_basis_points":"",_x000D_
"image":"",_x000D_
"Issuer":"",_x000D_
"external_url":""</v>
      </c>
      <c r="W105" s="1" t="str">
        <f>formatRow(Tokens!J$2:AC$2,Tokens!J105:AC105,2,"attributes")</f>
        <v>"attributes":[]</v>
      </c>
      <c r="X105" s="1" t="str">
        <f>formatRow(Tokens!AD$2:AI$2,Tokens!AD105:AI105,2,"creators")</f>
        <v>"creators":[]</v>
      </c>
      <c r="Y105" s="1" t="str">
        <f>formatRow(Tokens!AJ$2:AO$2,Tokens!AJ105:AO105,2,"files")</f>
        <v>"files":[]</v>
      </c>
      <c r="Z105" s="1"/>
      <c r="AA105" s="1"/>
      <c r="AB105" s="1"/>
      <c r="AC105" s="1" t="str">
        <f>formatRow(Tokens!AP$2:AQ$2,Tokens!AP105:AQ105,0,"collection")</f>
        <v>"collection":{"name":"",_x000D_
"family":""}</v>
      </c>
    </row>
    <row r="106" spans="6:29" ht="14.25" customHeight="1" x14ac:dyDescent="0.25">
      <c r="F106"/>
      <c r="G106"/>
      <c r="H106"/>
      <c r="I106"/>
      <c r="J106"/>
      <c r="K106"/>
      <c r="T106" s="1" t="str">
        <f>"owner=" &amp; Tokens!AW106</f>
        <v>owner=</v>
      </c>
      <c r="U106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6" s="1" t="str">
        <f>formatRow(Tokens!C$2:I$2,Tokens!C106:I106)</f>
        <v>"name":"",_x000D_
"symbol":"",_x000D_
"description":"",_x000D_
"seller_fee_basis_points":"",_x000D_
"image":"",_x000D_
"Issuer":"",_x000D_
"external_url":""</v>
      </c>
      <c r="W106" s="1" t="str">
        <f>formatRow(Tokens!J$2:AC$2,Tokens!J106:AC106,2,"attributes")</f>
        <v>"attributes":[]</v>
      </c>
      <c r="X106" s="1" t="str">
        <f>formatRow(Tokens!AD$2:AI$2,Tokens!AD106:AI106,2,"creators")</f>
        <v>"creators":[]</v>
      </c>
      <c r="Y106" s="1" t="str">
        <f>formatRow(Tokens!AJ$2:AO$2,Tokens!AJ106:AO106,2,"files")</f>
        <v>"files":[]</v>
      </c>
      <c r="Z106" s="1"/>
      <c r="AA106" s="1"/>
      <c r="AB106" s="1"/>
      <c r="AC106" s="1" t="str">
        <f>formatRow(Tokens!AP$2:AQ$2,Tokens!AP106:AQ106,0,"collection")</f>
        <v>"collection":{"name":"",_x000D_
"family":""}</v>
      </c>
    </row>
    <row r="107" spans="6:29" ht="14.25" customHeight="1" x14ac:dyDescent="0.25">
      <c r="F107"/>
      <c r="G107"/>
      <c r="H107"/>
      <c r="I107"/>
      <c r="J107"/>
      <c r="K107"/>
      <c r="T107" s="1" t="str">
        <f>"owner=" &amp; Tokens!AW107</f>
        <v>owner=</v>
      </c>
      <c r="U107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7" s="1" t="str">
        <f>formatRow(Tokens!C$2:I$2,Tokens!C107:I107)</f>
        <v>"name":"",_x000D_
"symbol":"",_x000D_
"description":"",_x000D_
"seller_fee_basis_points":"",_x000D_
"image":"",_x000D_
"Issuer":"",_x000D_
"external_url":""</v>
      </c>
      <c r="W107" s="1" t="str">
        <f>formatRow(Tokens!J$2:AC$2,Tokens!J107:AC107,2,"attributes")</f>
        <v>"attributes":[]</v>
      </c>
      <c r="X107" s="1" t="str">
        <f>formatRow(Tokens!AD$2:AI$2,Tokens!AD107:AI107,2,"creators")</f>
        <v>"creators":[]</v>
      </c>
      <c r="Y107" s="1" t="str">
        <f>formatRow(Tokens!AJ$2:AO$2,Tokens!AJ107:AO107,2,"files")</f>
        <v>"files":[]</v>
      </c>
      <c r="Z107" s="1"/>
      <c r="AA107" s="1"/>
      <c r="AB107" s="1"/>
      <c r="AC107" s="1" t="str">
        <f>formatRow(Tokens!AP$2:AQ$2,Tokens!AP107:AQ107,0,"collection")</f>
        <v>"collection":{"name":"",_x000D_
"family":""}</v>
      </c>
    </row>
    <row r="108" spans="6:29" ht="14.25" customHeight="1" x14ac:dyDescent="0.25">
      <c r="F108"/>
      <c r="G108"/>
      <c r="H108"/>
      <c r="I108"/>
      <c r="J108"/>
      <c r="K108"/>
      <c r="T108" s="1" t="str">
        <f>"owner=" &amp; Tokens!AW108</f>
        <v>owner=</v>
      </c>
      <c r="U108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8" s="1" t="str">
        <f>formatRow(Tokens!C$2:I$2,Tokens!C108:I108)</f>
        <v>"name":"",_x000D_
"symbol":"",_x000D_
"description":"",_x000D_
"seller_fee_basis_points":"",_x000D_
"image":"",_x000D_
"Issuer":"",_x000D_
"external_url":""</v>
      </c>
      <c r="W108" s="1" t="str">
        <f>formatRow(Tokens!J$2:AC$2,Tokens!J108:AC108,2,"attributes")</f>
        <v>"attributes":[]</v>
      </c>
      <c r="X108" s="1" t="str">
        <f>formatRow(Tokens!AD$2:AI$2,Tokens!AD108:AI108,2,"creators")</f>
        <v>"creators":[]</v>
      </c>
      <c r="Y108" s="1" t="str">
        <f>formatRow(Tokens!AJ$2:AO$2,Tokens!AJ108:AO108,2,"files")</f>
        <v>"files":[]</v>
      </c>
      <c r="Z108" s="1"/>
      <c r="AA108" s="1"/>
      <c r="AB108" s="1"/>
      <c r="AC108" s="1" t="str">
        <f>formatRow(Tokens!AP$2:AQ$2,Tokens!AP108:AQ108,0,"collection")</f>
        <v>"collection":{"name":"",_x000D_
"family":""}</v>
      </c>
    </row>
    <row r="109" spans="6:29" ht="14.25" customHeight="1" x14ac:dyDescent="0.25">
      <c r="F109"/>
      <c r="G109"/>
      <c r="H109"/>
      <c r="I109"/>
      <c r="J109"/>
      <c r="K109"/>
      <c r="T109" s="1" t="str">
        <f>"owner=" &amp; Tokens!AW109</f>
        <v>owner=</v>
      </c>
      <c r="U109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9" s="1" t="str">
        <f>formatRow(Tokens!C$2:I$2,Tokens!C109:I109)</f>
        <v>"name":"",_x000D_
"symbol":"",_x000D_
"description":"",_x000D_
"seller_fee_basis_points":"",_x000D_
"image":"",_x000D_
"Issuer":"",_x000D_
"external_url":""</v>
      </c>
      <c r="W109" s="1" t="str">
        <f>formatRow(Tokens!J$2:AC$2,Tokens!J109:AC109,2,"attributes")</f>
        <v>"attributes":[]</v>
      </c>
      <c r="X109" s="1" t="str">
        <f>formatRow(Tokens!AD$2:AI$2,Tokens!AD109:AI109,2,"creators")</f>
        <v>"creators":[]</v>
      </c>
      <c r="Y109" s="1" t="str">
        <f>formatRow(Tokens!AJ$2:AO$2,Tokens!AJ109:AO109,2,"files")</f>
        <v>"files":[]</v>
      </c>
      <c r="Z109" s="1"/>
      <c r="AA109" s="1"/>
      <c r="AB109" s="1"/>
      <c r="AC109" s="1" t="str">
        <f>formatRow(Tokens!AP$2:AQ$2,Tokens!AP109:AQ109,0,"collection")</f>
        <v>"collection":{"name":"",_x000D_
"family":""}</v>
      </c>
    </row>
    <row r="110" spans="6:29" ht="14.25" customHeight="1" x14ac:dyDescent="0.25">
      <c r="F110"/>
      <c r="G110"/>
      <c r="H110"/>
      <c r="I110"/>
      <c r="J110"/>
      <c r="K110"/>
      <c r="T110" s="1" t="str">
        <f>"owner=" &amp; Tokens!AW110</f>
        <v>owner=</v>
      </c>
      <c r="U11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0" s="1" t="str">
        <f>formatRow(Tokens!C$2:I$2,Tokens!C110:I110)</f>
        <v>"name":"",_x000D_
"symbol":"",_x000D_
"description":"",_x000D_
"seller_fee_basis_points":"",_x000D_
"image":"",_x000D_
"Issuer":"",_x000D_
"external_url":""</v>
      </c>
      <c r="W110" s="1" t="str">
        <f>formatRow(Tokens!J$2:AC$2,Tokens!J110:AC110,2,"attributes")</f>
        <v>"attributes":[]</v>
      </c>
      <c r="X110" s="1" t="str">
        <f>formatRow(Tokens!AD$2:AI$2,Tokens!AD110:AI110,2,"creators")</f>
        <v>"creators":[]</v>
      </c>
      <c r="Y110" s="1" t="str">
        <f>formatRow(Tokens!AJ$2:AO$2,Tokens!AJ110:AO110,2,"files")</f>
        <v>"files":[]</v>
      </c>
      <c r="Z110" s="1"/>
      <c r="AA110" s="1"/>
      <c r="AB110" s="1"/>
      <c r="AC110" s="1" t="str">
        <f>formatRow(Tokens!AP$2:AQ$2,Tokens!AP110:AQ110,0,"collection")</f>
        <v>"collection":{"name":"",_x000D_
"family":""}</v>
      </c>
    </row>
    <row r="111" spans="6:29" ht="14.25" customHeight="1" x14ac:dyDescent="0.25">
      <c r="F111"/>
      <c r="G111"/>
      <c r="H111"/>
      <c r="I111"/>
      <c r="J111"/>
      <c r="K111"/>
      <c r="T111" s="1" t="str">
        <f>"owner=" &amp; Tokens!AW111</f>
        <v>owner=</v>
      </c>
      <c r="U11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1" s="1" t="str">
        <f>formatRow(Tokens!C$2:I$2,Tokens!C111:I111)</f>
        <v>"name":"",_x000D_
"symbol":"",_x000D_
"description":"",_x000D_
"seller_fee_basis_points":"",_x000D_
"image":"",_x000D_
"Issuer":"",_x000D_
"external_url":""</v>
      </c>
      <c r="W111" s="1" t="str">
        <f>formatRow(Tokens!J$2:AC$2,Tokens!J111:AC111,2,"attributes")</f>
        <v>"attributes":[]</v>
      </c>
      <c r="X111" s="1" t="str">
        <f>formatRow(Tokens!AD$2:AI$2,Tokens!AD111:AI111,2,"creators")</f>
        <v>"creators":[]</v>
      </c>
      <c r="Y111" s="1" t="str">
        <f>formatRow(Tokens!AJ$2:AO$2,Tokens!AJ111:AO111,2,"files")</f>
        <v>"files":[]</v>
      </c>
      <c r="Z111" s="1"/>
      <c r="AA111" s="1"/>
      <c r="AB111" s="1"/>
      <c r="AC111" s="1" t="str">
        <f>formatRow(Tokens!AP$2:AQ$2,Tokens!AP111:AQ111,0,"collection")</f>
        <v>"collection":{"name":"",_x000D_
"family":""}</v>
      </c>
    </row>
    <row r="112" spans="6:29" ht="14.25" customHeight="1" x14ac:dyDescent="0.25">
      <c r="F112"/>
      <c r="G112"/>
      <c r="H112"/>
      <c r="I112"/>
      <c r="J112"/>
      <c r="K112"/>
      <c r="T112" s="1" t="str">
        <f>"owner=" &amp; Tokens!AW112</f>
        <v>owner=</v>
      </c>
      <c r="U11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2" s="1" t="str">
        <f>formatRow(Tokens!C$2:I$2,Tokens!C112:I112)</f>
        <v>"name":"",_x000D_
"symbol":"",_x000D_
"description":"",_x000D_
"seller_fee_basis_points":"",_x000D_
"image":"",_x000D_
"Issuer":"",_x000D_
"external_url":""</v>
      </c>
      <c r="W112" s="1" t="str">
        <f>formatRow(Tokens!J$2:AC$2,Tokens!J112:AC112,2,"attributes")</f>
        <v>"attributes":[]</v>
      </c>
      <c r="X112" s="1" t="str">
        <f>formatRow(Tokens!AD$2:AI$2,Tokens!AD112:AI112,2,"creators")</f>
        <v>"creators":[]</v>
      </c>
      <c r="Y112" s="1" t="str">
        <f>formatRow(Tokens!AJ$2:AO$2,Tokens!AJ112:AO112,2,"files")</f>
        <v>"files":[]</v>
      </c>
      <c r="Z112" s="1"/>
      <c r="AA112" s="1"/>
      <c r="AB112" s="1"/>
      <c r="AC112" s="1" t="str">
        <f>formatRow(Tokens!AP$2:AQ$2,Tokens!AP112:AQ112,0,"collection")</f>
        <v>"collection":{"name":"",_x000D_
"family":""}</v>
      </c>
    </row>
    <row r="113" spans="6:29" ht="14.25" customHeight="1" x14ac:dyDescent="0.25">
      <c r="F113"/>
      <c r="G113"/>
      <c r="H113"/>
      <c r="I113"/>
      <c r="J113"/>
      <c r="K113"/>
      <c r="T113" s="1" t="str">
        <f>"owner=" &amp; Tokens!AW113</f>
        <v>owner=</v>
      </c>
      <c r="U11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3" s="1" t="str">
        <f>formatRow(Tokens!C$2:I$2,Tokens!C113:I113)</f>
        <v>"name":"",_x000D_
"symbol":"",_x000D_
"description":"",_x000D_
"seller_fee_basis_points":"",_x000D_
"image":"",_x000D_
"Issuer":"",_x000D_
"external_url":""</v>
      </c>
      <c r="W113" s="1" t="str">
        <f>formatRow(Tokens!J$2:AC$2,Tokens!J113:AC113,2,"attributes")</f>
        <v>"attributes":[]</v>
      </c>
      <c r="X113" s="1" t="str">
        <f>formatRow(Tokens!AD$2:AI$2,Tokens!AD113:AI113,2,"creators")</f>
        <v>"creators":[]</v>
      </c>
      <c r="Y113" s="1" t="str">
        <f>formatRow(Tokens!AJ$2:AO$2,Tokens!AJ113:AO113,2,"files")</f>
        <v>"files":[]</v>
      </c>
      <c r="Z113" s="1"/>
      <c r="AA113" s="1"/>
      <c r="AB113" s="1"/>
      <c r="AC113" s="1" t="str">
        <f>formatRow(Tokens!AP$2:AQ$2,Tokens!AP113:AQ113,0,"collection")</f>
        <v>"collection":{"name":"",_x000D_
"family":""}</v>
      </c>
    </row>
    <row r="114" spans="6:29" ht="14.25" customHeight="1" x14ac:dyDescent="0.25">
      <c r="F114"/>
      <c r="G114"/>
      <c r="H114"/>
      <c r="I114"/>
      <c r="J114"/>
      <c r="K114"/>
      <c r="T114" s="1" t="str">
        <f>"owner=" &amp; Tokens!AW114</f>
        <v>owner=</v>
      </c>
      <c r="U11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4" s="1" t="str">
        <f>formatRow(Tokens!C$2:I$2,Tokens!C114:I114)</f>
        <v>"name":"",_x000D_
"symbol":"",_x000D_
"description":"",_x000D_
"seller_fee_basis_points":"",_x000D_
"image":"",_x000D_
"Issuer":"",_x000D_
"external_url":""</v>
      </c>
      <c r="W114" s="1" t="str">
        <f>formatRow(Tokens!J$2:AC$2,Tokens!J114:AC114,2,"attributes")</f>
        <v>"attributes":[]</v>
      </c>
      <c r="X114" s="1" t="str">
        <f>formatRow(Tokens!AD$2:AI$2,Tokens!AD114:AI114,2,"creators")</f>
        <v>"creators":[]</v>
      </c>
      <c r="Y114" s="1" t="str">
        <f>formatRow(Tokens!AJ$2:AO$2,Tokens!AJ114:AO114,2,"files")</f>
        <v>"files":[]</v>
      </c>
      <c r="Z114" s="1"/>
      <c r="AA114" s="1"/>
      <c r="AB114" s="1"/>
      <c r="AC114" s="1" t="str">
        <f>formatRow(Tokens!AP$2:AQ$2,Tokens!AP114:AQ114,0,"collection")</f>
        <v>"collection":{"name":"",_x000D_
"family":""}</v>
      </c>
    </row>
    <row r="115" spans="6:29" ht="14.25" customHeight="1" x14ac:dyDescent="0.25">
      <c r="F115"/>
      <c r="G115"/>
      <c r="H115"/>
      <c r="I115"/>
      <c r="J115"/>
      <c r="K115"/>
      <c r="T115" s="1" t="str">
        <f>"owner=" &amp; Tokens!AW115</f>
        <v>owner=</v>
      </c>
      <c r="U115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5" s="1" t="str">
        <f>formatRow(Tokens!C$2:I$2,Tokens!C115:I115)</f>
        <v>"name":"",_x000D_
"symbol":"",_x000D_
"description":"",_x000D_
"seller_fee_basis_points":"",_x000D_
"image":"",_x000D_
"Issuer":"",_x000D_
"external_url":""</v>
      </c>
      <c r="W115" s="1" t="str">
        <f>formatRow(Tokens!J$2:AC$2,Tokens!J115:AC115,2,"attributes")</f>
        <v>"attributes":[]</v>
      </c>
      <c r="X115" s="1" t="str">
        <f>formatRow(Tokens!AD$2:AI$2,Tokens!AD115:AI115,2,"creators")</f>
        <v>"creators":[]</v>
      </c>
      <c r="Y115" s="1" t="str">
        <f>formatRow(Tokens!AJ$2:AO$2,Tokens!AJ115:AO115,2,"files")</f>
        <v>"files":[]</v>
      </c>
      <c r="Z115" s="1"/>
      <c r="AA115" s="1"/>
      <c r="AB115" s="1"/>
      <c r="AC115" s="1" t="str">
        <f>formatRow(Tokens!AP$2:AQ$2,Tokens!AP115:AQ115,0,"collection")</f>
        <v>"collection":{"name":"",_x000D_
"family":""}</v>
      </c>
    </row>
    <row r="116" spans="6:29" ht="14.25" customHeight="1" x14ac:dyDescent="0.25">
      <c r="F116"/>
      <c r="G116"/>
      <c r="H116"/>
      <c r="I116"/>
      <c r="J116"/>
      <c r="K116"/>
      <c r="T116" s="1" t="str">
        <f>"owner=" &amp; Tokens!AW116</f>
        <v>owner=</v>
      </c>
      <c r="U116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" s="1" t="str">
        <f>formatRow(Tokens!C$2:I$2,Tokens!C116:I116)</f>
        <v>"name":"",_x000D_
"symbol":"",_x000D_
"description":"",_x000D_
"seller_fee_basis_points":"",_x000D_
"image":"",_x000D_
"Issuer":"",_x000D_
"external_url":""</v>
      </c>
      <c r="W116" s="1" t="str">
        <f>formatRow(Tokens!J$2:AC$2,Tokens!J116:AC116,2,"attributes")</f>
        <v>"attributes":[]</v>
      </c>
      <c r="X116" s="1" t="str">
        <f>formatRow(Tokens!AD$2:AI$2,Tokens!AD116:AI116,2,"creators")</f>
        <v>"creators":[]</v>
      </c>
      <c r="Y116" s="1" t="str">
        <f>formatRow(Tokens!AJ$2:AO$2,Tokens!AJ116:AO116,2,"files")</f>
        <v>"files":[]</v>
      </c>
      <c r="Z116" s="1"/>
      <c r="AA116" s="1"/>
      <c r="AB116" s="1"/>
      <c r="AC116" s="1" t="str">
        <f>formatRow(Tokens!AP$2:AQ$2,Tokens!AP116:AQ116,0,"collection")</f>
        <v>"collection":{"name":"",_x000D_
"family":""}</v>
      </c>
    </row>
    <row r="117" spans="6:29" ht="14.25" customHeight="1" x14ac:dyDescent="0.25">
      <c r="F117"/>
      <c r="G117"/>
      <c r="H117"/>
      <c r="I117"/>
      <c r="J117"/>
      <c r="K117"/>
      <c r="T117" s="1" t="str">
        <f>"owner=" &amp; Tokens!AW117</f>
        <v>owner=</v>
      </c>
      <c r="U117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" s="1" t="str">
        <f>formatRow(Tokens!C$2:I$2,Tokens!C117:I117)</f>
        <v>"name":"",_x000D_
"symbol":"",_x000D_
"description":"",_x000D_
"seller_fee_basis_points":"",_x000D_
"image":"",_x000D_
"Issuer":"",_x000D_
"external_url":""</v>
      </c>
      <c r="W117" s="1" t="str">
        <f>formatRow(Tokens!J$2:AC$2,Tokens!J117:AC117,2,"attributes")</f>
        <v>"attributes":[]</v>
      </c>
      <c r="X117" s="1" t="str">
        <f>formatRow(Tokens!AD$2:AI$2,Tokens!AD117:AI117,2,"creators")</f>
        <v>"creators":[]</v>
      </c>
      <c r="Y117" s="1" t="str">
        <f>formatRow(Tokens!AJ$2:AO$2,Tokens!AJ117:AO117,2,"files")</f>
        <v>"files":[]</v>
      </c>
      <c r="Z117" s="1"/>
      <c r="AA117" s="1"/>
      <c r="AB117" s="1"/>
      <c r="AC117" s="1" t="str">
        <f>formatRow(Tokens!AP$2:AQ$2,Tokens!AP117:AQ117,0,"collection")</f>
        <v>"collection":{"name":"",_x000D_
"family":""}</v>
      </c>
    </row>
    <row r="118" spans="6:29" ht="14.25" customHeight="1" x14ac:dyDescent="0.25">
      <c r="F118"/>
      <c r="G118"/>
      <c r="H118"/>
      <c r="I118"/>
      <c r="J118"/>
      <c r="K118"/>
      <c r="T118" s="1" t="str">
        <f>"owner=" &amp; Tokens!AW118</f>
        <v>owner=</v>
      </c>
      <c r="U118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" s="1" t="str">
        <f>formatRow(Tokens!C$2:I$2,Tokens!C118:I118)</f>
        <v>"name":"",_x000D_
"symbol":"",_x000D_
"description":"",_x000D_
"seller_fee_basis_points":"",_x000D_
"image":"",_x000D_
"Issuer":"",_x000D_
"external_url":""</v>
      </c>
      <c r="W118" s="1" t="str">
        <f>formatRow(Tokens!J$2:AC$2,Tokens!J118:AC118,2,"attributes")</f>
        <v>"attributes":[]</v>
      </c>
      <c r="X118" s="1" t="str">
        <f>formatRow(Tokens!AD$2:AI$2,Tokens!AD118:AI118,2,"creators")</f>
        <v>"creators":[]</v>
      </c>
      <c r="Y118" s="1" t="str">
        <f>formatRow(Tokens!AJ$2:AO$2,Tokens!AJ118:AO118,2,"files")</f>
        <v>"files":[]</v>
      </c>
      <c r="Z118" s="1"/>
      <c r="AA118" s="1"/>
      <c r="AB118" s="1"/>
      <c r="AC118" s="1" t="str">
        <f>formatRow(Tokens!AP$2:AQ$2,Tokens!AP118:AQ118,0,"collection")</f>
        <v>"collection":{"name":"",_x000D_
"family":""}</v>
      </c>
    </row>
    <row r="119" spans="6:29" ht="14.25" customHeight="1" x14ac:dyDescent="0.25">
      <c r="F119"/>
      <c r="G119"/>
      <c r="H119"/>
      <c r="I119"/>
      <c r="J119"/>
      <c r="K119"/>
      <c r="T119" s="1" t="str">
        <f>"owner=" &amp; Tokens!AW119</f>
        <v>owner=</v>
      </c>
      <c r="U119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" s="1" t="str">
        <f>formatRow(Tokens!C$2:I$2,Tokens!C119:I119)</f>
        <v>"name":"",_x000D_
"symbol":"",_x000D_
"description":"",_x000D_
"seller_fee_basis_points":"",_x000D_
"image":"",_x000D_
"Issuer":"",_x000D_
"external_url":""</v>
      </c>
      <c r="W119" s="1" t="str">
        <f>formatRow(Tokens!J$2:AC$2,Tokens!J119:AC119,2,"attributes")</f>
        <v>"attributes":[]</v>
      </c>
      <c r="X119" s="1" t="str">
        <f>formatRow(Tokens!AD$2:AI$2,Tokens!AD119:AI119,2,"creators")</f>
        <v>"creators":[]</v>
      </c>
      <c r="Y119" s="1" t="str">
        <f>formatRow(Tokens!AJ$2:AO$2,Tokens!AJ119:AO119,2,"files")</f>
        <v>"files":[]</v>
      </c>
      <c r="Z119" s="1"/>
      <c r="AA119" s="1"/>
      <c r="AB119" s="1"/>
      <c r="AC119" s="1" t="str">
        <f>formatRow(Tokens!AP$2:AQ$2,Tokens!AP119:AQ119,0,"collection")</f>
        <v>"collection":{"name":"",_x000D_
"family":""}</v>
      </c>
    </row>
    <row r="120" spans="6:29" ht="14.25" customHeight="1" x14ac:dyDescent="0.25">
      <c r="F120"/>
      <c r="G120"/>
      <c r="H120"/>
      <c r="I120"/>
      <c r="J120"/>
      <c r="K120"/>
      <c r="T120" s="1" t="str">
        <f>"owner=" &amp; Tokens!AW120</f>
        <v>owner=</v>
      </c>
      <c r="U12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" s="1" t="str">
        <f>formatRow(Tokens!C$2:I$2,Tokens!C120:I120)</f>
        <v>"name":"",_x000D_
"symbol":"",_x000D_
"description":"",_x000D_
"seller_fee_basis_points":"",_x000D_
"image":"",_x000D_
"Issuer":"",_x000D_
"external_url":""</v>
      </c>
      <c r="W120" s="1" t="str">
        <f>formatRow(Tokens!J$2:AC$2,Tokens!J120:AC120,2,"attributes")</f>
        <v>"attributes":[]</v>
      </c>
      <c r="X120" s="1" t="str">
        <f>formatRow(Tokens!AD$2:AI$2,Tokens!AD120:AI120,2,"creators")</f>
        <v>"creators":[]</v>
      </c>
      <c r="Y120" s="1" t="str">
        <f>formatRow(Tokens!AJ$2:AO$2,Tokens!AJ120:AO120,2,"files")</f>
        <v>"files":[]</v>
      </c>
      <c r="Z120" s="1"/>
      <c r="AA120" s="1"/>
      <c r="AB120" s="1"/>
      <c r="AC120" s="1" t="str">
        <f>formatRow(Tokens!AP$2:AQ$2,Tokens!AP120:AQ120,0,"collection")</f>
        <v>"collection":{"name":"",_x000D_
"family":""}</v>
      </c>
    </row>
    <row r="121" spans="6:29" ht="14.25" customHeight="1" x14ac:dyDescent="0.25">
      <c r="F121"/>
      <c r="G121"/>
      <c r="H121"/>
      <c r="I121"/>
      <c r="J121"/>
      <c r="K121"/>
      <c r="T121" s="1" t="str">
        <f>"owner=" &amp; Tokens!AW121</f>
        <v>owner=</v>
      </c>
      <c r="U12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" s="1" t="str">
        <f>formatRow(Tokens!C$2:I$2,Tokens!C121:I121)</f>
        <v>"name":"",_x000D_
"symbol":"",_x000D_
"description":"",_x000D_
"seller_fee_basis_points":"",_x000D_
"image":"",_x000D_
"Issuer":"",_x000D_
"external_url":""</v>
      </c>
      <c r="W121" s="1" t="str">
        <f>formatRow(Tokens!J$2:AC$2,Tokens!J121:AC121,2,"attributes")</f>
        <v>"attributes":[]</v>
      </c>
      <c r="X121" s="1" t="str">
        <f>formatRow(Tokens!AD$2:AI$2,Tokens!AD121:AI121,2,"creators")</f>
        <v>"creators":[]</v>
      </c>
      <c r="Y121" s="1" t="str">
        <f>formatRow(Tokens!AJ$2:AO$2,Tokens!AJ121:AO121,2,"files")</f>
        <v>"files":[]</v>
      </c>
      <c r="Z121" s="1"/>
      <c r="AA121" s="1"/>
      <c r="AB121" s="1"/>
      <c r="AC121" s="1" t="str">
        <f>formatRow(Tokens!AP$2:AQ$2,Tokens!AP121:AQ121,0,"collection")</f>
        <v>"collection":{"name":"",_x000D_
"family":""}</v>
      </c>
    </row>
    <row r="122" spans="6:29" ht="14.25" customHeight="1" x14ac:dyDescent="0.25">
      <c r="F122"/>
      <c r="G122"/>
      <c r="H122"/>
      <c r="I122"/>
      <c r="J122"/>
      <c r="K122"/>
      <c r="T122" s="1" t="str">
        <f>"owner=" &amp; Tokens!AW122</f>
        <v>owner=</v>
      </c>
      <c r="U12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" s="1" t="str">
        <f>formatRow(Tokens!C$2:I$2,Tokens!C122:I122)</f>
        <v>"name":"",_x000D_
"symbol":"",_x000D_
"description":"",_x000D_
"seller_fee_basis_points":"",_x000D_
"image":"",_x000D_
"Issuer":"",_x000D_
"external_url":""</v>
      </c>
      <c r="W122" s="1" t="str">
        <f>formatRow(Tokens!J$2:AC$2,Tokens!J122:AC122,2,"attributes")</f>
        <v>"attributes":[]</v>
      </c>
      <c r="X122" s="1" t="str">
        <f>formatRow(Tokens!AD$2:AI$2,Tokens!AD122:AI122,2,"creators")</f>
        <v>"creators":[]</v>
      </c>
      <c r="Y122" s="1" t="str">
        <f>formatRow(Tokens!AJ$2:AO$2,Tokens!AJ122:AO122,2,"files")</f>
        <v>"files":[]</v>
      </c>
      <c r="Z122" s="1"/>
      <c r="AA122" s="1"/>
      <c r="AB122" s="1"/>
      <c r="AC122" s="1" t="str">
        <f>formatRow(Tokens!AP$2:AQ$2,Tokens!AP122:AQ122,0,"collection")</f>
        <v>"collection":{"name":"",_x000D_
"family":""}</v>
      </c>
    </row>
    <row r="123" spans="6:29" ht="14.25" customHeight="1" x14ac:dyDescent="0.25">
      <c r="F123"/>
      <c r="G123"/>
      <c r="H123"/>
      <c r="I123"/>
      <c r="J123"/>
      <c r="K123"/>
      <c r="T123" s="1" t="str">
        <f>"owner=" &amp; Tokens!AW123</f>
        <v>owner=</v>
      </c>
      <c r="U12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" s="1" t="str">
        <f>formatRow(Tokens!C$2:I$2,Tokens!C123:I123)</f>
        <v>"name":"",_x000D_
"symbol":"",_x000D_
"description":"",_x000D_
"seller_fee_basis_points":"",_x000D_
"image":"",_x000D_
"Issuer":"",_x000D_
"external_url":""</v>
      </c>
      <c r="W123" s="1" t="str">
        <f>formatRow(Tokens!J$2:AC$2,Tokens!J123:AC123,2,"attributes")</f>
        <v>"attributes":[]</v>
      </c>
      <c r="X123" s="1" t="str">
        <f>formatRow(Tokens!AD$2:AI$2,Tokens!AD123:AI123,2,"creators")</f>
        <v>"creators":[]</v>
      </c>
      <c r="Y123" s="1" t="str">
        <f>formatRow(Tokens!AJ$2:AO$2,Tokens!AJ123:AO123,2,"files")</f>
        <v>"files":[]</v>
      </c>
      <c r="Z123" s="1"/>
      <c r="AA123" s="1"/>
      <c r="AB123" s="1"/>
      <c r="AC123" s="1" t="str">
        <f>formatRow(Tokens!AP$2:AQ$2,Tokens!AP123:AQ123,0,"collection")</f>
        <v>"collection":{"name":"",_x000D_
"family":""}</v>
      </c>
    </row>
    <row r="124" spans="6:29" ht="14.25" customHeight="1" x14ac:dyDescent="0.25">
      <c r="F124"/>
      <c r="G124"/>
      <c r="H124"/>
      <c r="I124"/>
      <c r="J124"/>
      <c r="K124"/>
      <c r="T124" s="1" t="str">
        <f>"owner=" &amp; Tokens!AW124</f>
        <v>owner=</v>
      </c>
      <c r="U12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" s="1" t="str">
        <f>formatRow(Tokens!C$2:I$2,Tokens!C124:I124)</f>
        <v>"name":"",_x000D_
"symbol":"",_x000D_
"description":"",_x000D_
"seller_fee_basis_points":"",_x000D_
"image":"",_x000D_
"Issuer":"",_x000D_
"external_url":""</v>
      </c>
      <c r="W124" s="1" t="str">
        <f>formatRow(Tokens!J$2:AC$2,Tokens!J124:AC124,2,"attributes")</f>
        <v>"attributes":[]</v>
      </c>
      <c r="X124" s="1" t="str">
        <f>formatRow(Tokens!AD$2:AI$2,Tokens!AD124:AI124,2,"creators")</f>
        <v>"creators":[]</v>
      </c>
      <c r="Y124" s="1" t="str">
        <f>formatRow(Tokens!AJ$2:AO$2,Tokens!AJ124:AO124,2,"files")</f>
        <v>"files":[]</v>
      </c>
      <c r="Z124" s="1"/>
      <c r="AA124" s="1"/>
      <c r="AB124" s="1"/>
      <c r="AC124" s="1" t="str">
        <f>formatRow(Tokens!AP$2:AQ$2,Tokens!AP124:AQ124,0,"collection")</f>
        <v>"collection":{"name":"",_x000D_
"family":""}</v>
      </c>
    </row>
    <row r="125" spans="6:29" ht="14.25" customHeight="1" x14ac:dyDescent="0.25">
      <c r="F125"/>
      <c r="G125"/>
      <c r="H125"/>
      <c r="I125"/>
      <c r="J125"/>
      <c r="K125"/>
      <c r="T125" s="1" t="str">
        <f>"owner=" &amp; Tokens!AW125</f>
        <v>owner=</v>
      </c>
      <c r="U125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" s="1" t="str">
        <f>formatRow(Tokens!C$2:I$2,Tokens!C125:I125)</f>
        <v>"name":"",_x000D_
"symbol":"",_x000D_
"description":"",_x000D_
"seller_fee_basis_points":"",_x000D_
"image":"",_x000D_
"Issuer":"",_x000D_
"external_url":""</v>
      </c>
      <c r="W125" s="1" t="str">
        <f>formatRow(Tokens!J$2:AC$2,Tokens!J125:AC125,2,"attributes")</f>
        <v>"attributes":[]</v>
      </c>
      <c r="X125" s="1" t="str">
        <f>formatRow(Tokens!AD$2:AI$2,Tokens!AD125:AI125,2,"creators")</f>
        <v>"creators":[]</v>
      </c>
      <c r="Y125" s="1" t="str">
        <f>formatRow(Tokens!AJ$2:AO$2,Tokens!AJ125:AO125,2,"files")</f>
        <v>"files":[]</v>
      </c>
      <c r="Z125" s="1"/>
      <c r="AA125" s="1"/>
      <c r="AB125" s="1"/>
      <c r="AC125" s="1" t="str">
        <f>formatRow(Tokens!AP$2:AQ$2,Tokens!AP125:AQ125,0,"collection")</f>
        <v>"collection":{"name":"",_x000D_
"family":""}</v>
      </c>
    </row>
    <row r="126" spans="6:29" ht="14.25" customHeight="1" x14ac:dyDescent="0.25">
      <c r="F126"/>
      <c r="G126"/>
      <c r="H126"/>
      <c r="I126"/>
      <c r="J126"/>
      <c r="K126"/>
      <c r="T126" s="1" t="str">
        <f>"owner=" &amp; Tokens!AW126</f>
        <v>owner=</v>
      </c>
      <c r="U126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" s="1" t="str">
        <f>formatRow(Tokens!C$2:I$2,Tokens!C126:I126)</f>
        <v>"name":"",_x000D_
"symbol":"",_x000D_
"description":"",_x000D_
"seller_fee_basis_points":"",_x000D_
"image":"",_x000D_
"Issuer":"",_x000D_
"external_url":""</v>
      </c>
      <c r="W126" s="1" t="str">
        <f>formatRow(Tokens!J$2:AC$2,Tokens!J126:AC126,2,"attributes")</f>
        <v>"attributes":[]</v>
      </c>
      <c r="X126" s="1" t="str">
        <f>formatRow(Tokens!AD$2:AI$2,Tokens!AD126:AI126,2,"creators")</f>
        <v>"creators":[]</v>
      </c>
      <c r="Y126" s="1" t="str">
        <f>formatRow(Tokens!AJ$2:AO$2,Tokens!AJ126:AO126,2,"files")</f>
        <v>"files":[]</v>
      </c>
      <c r="Z126" s="1"/>
      <c r="AA126" s="1"/>
      <c r="AB126" s="1"/>
      <c r="AC126" s="1" t="str">
        <f>formatRow(Tokens!AP$2:AQ$2,Tokens!AP126:AQ126,0,"collection")</f>
        <v>"collection":{"name":"",_x000D_
"family":""}</v>
      </c>
    </row>
    <row r="127" spans="6:29" ht="14.25" customHeight="1" x14ac:dyDescent="0.25">
      <c r="F127"/>
      <c r="G127"/>
      <c r="H127"/>
      <c r="I127"/>
      <c r="J127"/>
      <c r="K127"/>
      <c r="T127" s="1" t="str">
        <f>"owner=" &amp; Tokens!AW127</f>
        <v>owner=</v>
      </c>
      <c r="U127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" s="1" t="str">
        <f>formatRow(Tokens!C$2:I$2,Tokens!C127:I127)</f>
        <v>"name":"",_x000D_
"symbol":"",_x000D_
"description":"",_x000D_
"seller_fee_basis_points":"",_x000D_
"image":"",_x000D_
"Issuer":"",_x000D_
"external_url":""</v>
      </c>
      <c r="W127" s="1" t="str">
        <f>formatRow(Tokens!J$2:AC$2,Tokens!J127:AC127,2,"attributes")</f>
        <v>"attributes":[]</v>
      </c>
      <c r="X127" s="1" t="str">
        <f>formatRow(Tokens!AD$2:AI$2,Tokens!AD127:AI127,2,"creators")</f>
        <v>"creators":[]</v>
      </c>
      <c r="Y127" s="1" t="str">
        <f>formatRow(Tokens!AJ$2:AO$2,Tokens!AJ127:AO127,2,"files")</f>
        <v>"files":[]</v>
      </c>
      <c r="Z127" s="1"/>
      <c r="AA127" s="1"/>
      <c r="AB127" s="1"/>
      <c r="AC127" s="1" t="str">
        <f>formatRow(Tokens!AP$2:AQ$2,Tokens!AP127:AQ127,0,"collection")</f>
        <v>"collection":{"name":"",_x000D_
"family":""}</v>
      </c>
    </row>
    <row r="128" spans="6:29" ht="14.25" customHeight="1" x14ac:dyDescent="0.25">
      <c r="F128"/>
      <c r="G128"/>
      <c r="H128"/>
      <c r="I128"/>
      <c r="J128"/>
      <c r="K128"/>
      <c r="T128" s="1" t="str">
        <f>"owner=" &amp; Tokens!AW128</f>
        <v>owner=</v>
      </c>
      <c r="U128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" s="1" t="str">
        <f>formatRow(Tokens!C$2:I$2,Tokens!C128:I128)</f>
        <v>"name":"",_x000D_
"symbol":"",_x000D_
"description":"",_x000D_
"seller_fee_basis_points":"",_x000D_
"image":"",_x000D_
"Issuer":"",_x000D_
"external_url":""</v>
      </c>
      <c r="W128" s="1" t="str">
        <f>formatRow(Tokens!J$2:AC$2,Tokens!J128:AC128,2,"attributes")</f>
        <v>"attributes":[]</v>
      </c>
      <c r="X128" s="1" t="str">
        <f>formatRow(Tokens!AD$2:AI$2,Tokens!AD128:AI128,2,"creators")</f>
        <v>"creators":[]</v>
      </c>
      <c r="Y128" s="1" t="str">
        <f>formatRow(Tokens!AJ$2:AO$2,Tokens!AJ128:AO128,2,"files")</f>
        <v>"files":[]</v>
      </c>
      <c r="Z128" s="1"/>
      <c r="AA128" s="1"/>
      <c r="AB128" s="1"/>
      <c r="AC128" s="1" t="str">
        <f>formatRow(Tokens!AP$2:AQ$2,Tokens!AP128:AQ128,0,"collection")</f>
        <v>"collection":{"name":"",_x000D_
"family":""}</v>
      </c>
    </row>
    <row r="129" spans="6:29" ht="14.25" customHeight="1" x14ac:dyDescent="0.25">
      <c r="F129"/>
      <c r="G129"/>
      <c r="H129"/>
      <c r="I129"/>
      <c r="J129"/>
      <c r="K129"/>
      <c r="T129" s="1" t="str">
        <f>"owner=" &amp; Tokens!AW129</f>
        <v>owner=</v>
      </c>
      <c r="U129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" s="1" t="str">
        <f>formatRow(Tokens!C$2:I$2,Tokens!C129:I129)</f>
        <v>"name":"",_x000D_
"symbol":"",_x000D_
"description":"",_x000D_
"seller_fee_basis_points":"",_x000D_
"image":"",_x000D_
"Issuer":"",_x000D_
"external_url":""</v>
      </c>
      <c r="W129" s="1" t="str">
        <f>formatRow(Tokens!J$2:AC$2,Tokens!J129:AC129,2,"attributes")</f>
        <v>"attributes":[]</v>
      </c>
      <c r="X129" s="1" t="str">
        <f>formatRow(Tokens!AD$2:AI$2,Tokens!AD129:AI129,2,"creators")</f>
        <v>"creators":[]</v>
      </c>
      <c r="Y129" s="1" t="str">
        <f>formatRow(Tokens!AJ$2:AO$2,Tokens!AJ129:AO129,2,"files")</f>
        <v>"files":[]</v>
      </c>
      <c r="Z129" s="1"/>
      <c r="AA129" s="1"/>
      <c r="AB129" s="1"/>
      <c r="AC129" s="1" t="str">
        <f>formatRow(Tokens!AP$2:AQ$2,Tokens!AP129:AQ129,0,"collection")</f>
        <v>"collection":{"name":"",_x000D_
"family":""}</v>
      </c>
    </row>
    <row r="130" spans="6:29" ht="14.25" customHeight="1" x14ac:dyDescent="0.25">
      <c r="F130"/>
      <c r="G130"/>
      <c r="H130"/>
      <c r="I130"/>
      <c r="J130"/>
      <c r="K130"/>
      <c r="T130" s="1" t="str">
        <f>"owner=" &amp; Tokens!AW130</f>
        <v>owner=</v>
      </c>
      <c r="U13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" s="1" t="str">
        <f>formatRow(Tokens!C$2:I$2,Tokens!C130:I130)</f>
        <v>"name":"",_x000D_
"symbol":"",_x000D_
"description":"",_x000D_
"seller_fee_basis_points":"",_x000D_
"image":"",_x000D_
"Issuer":"",_x000D_
"external_url":""</v>
      </c>
      <c r="W130" s="1" t="str">
        <f>formatRow(Tokens!J$2:AC$2,Tokens!J130:AC130,2,"attributes")</f>
        <v>"attributes":[]</v>
      </c>
      <c r="X130" s="1" t="str">
        <f>formatRow(Tokens!AD$2:AI$2,Tokens!AD130:AI130,2,"creators")</f>
        <v>"creators":[]</v>
      </c>
      <c r="Y130" s="1" t="str">
        <f>formatRow(Tokens!AJ$2:AO$2,Tokens!AJ130:AO130,2,"files")</f>
        <v>"files":[]</v>
      </c>
      <c r="Z130" s="1"/>
      <c r="AA130" s="1"/>
      <c r="AB130" s="1"/>
      <c r="AC130" s="1" t="str">
        <f>formatRow(Tokens!AP$2:AQ$2,Tokens!AP130:AQ130,0,"collection")</f>
        <v>"collection":{"name":"",_x000D_
"family":""}</v>
      </c>
    </row>
    <row r="131" spans="6:29" ht="14.25" customHeight="1" x14ac:dyDescent="0.25">
      <c r="F131"/>
      <c r="G131"/>
      <c r="H131"/>
      <c r="I131"/>
      <c r="J131"/>
      <c r="K131"/>
      <c r="T131" s="1" t="str">
        <f>"owner=" &amp; Tokens!AW131</f>
        <v>owner=</v>
      </c>
      <c r="U13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" s="1" t="str">
        <f>formatRow(Tokens!C$2:I$2,Tokens!C131:I131)</f>
        <v>"name":"",_x000D_
"symbol":"",_x000D_
"description":"",_x000D_
"seller_fee_basis_points":"",_x000D_
"image":"",_x000D_
"Issuer":"",_x000D_
"external_url":""</v>
      </c>
      <c r="W131" s="1" t="str">
        <f>formatRow(Tokens!J$2:AC$2,Tokens!J131:AC131,2,"attributes")</f>
        <v>"attributes":[]</v>
      </c>
      <c r="X131" s="1" t="str">
        <f>formatRow(Tokens!AD$2:AI$2,Tokens!AD131:AI131,2,"creators")</f>
        <v>"creators":[]</v>
      </c>
      <c r="Y131" s="1" t="str">
        <f>formatRow(Tokens!AJ$2:AO$2,Tokens!AJ131:AO131,2,"files")</f>
        <v>"files":[]</v>
      </c>
      <c r="Z131" s="1"/>
      <c r="AA131" s="1"/>
      <c r="AB131" s="1"/>
      <c r="AC131" s="1" t="str">
        <f>formatRow(Tokens!AP$2:AQ$2,Tokens!AP131:AQ131,0,"collection")</f>
        <v>"collection":{"name":"",_x000D_
"family":""}</v>
      </c>
    </row>
    <row r="132" spans="6:29" ht="14.25" customHeight="1" x14ac:dyDescent="0.25">
      <c r="F132"/>
      <c r="G132"/>
      <c r="H132"/>
      <c r="I132"/>
      <c r="J132"/>
      <c r="K132"/>
      <c r="T132" s="1" t="str">
        <f>"owner=" &amp; Tokens!AW132</f>
        <v>owner=</v>
      </c>
      <c r="U13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" s="1" t="str">
        <f>formatRow(Tokens!C$2:I$2,Tokens!C132:I132)</f>
        <v>"name":"",_x000D_
"symbol":"",_x000D_
"description":"",_x000D_
"seller_fee_basis_points":"",_x000D_
"image":"",_x000D_
"Issuer":"",_x000D_
"external_url":""</v>
      </c>
      <c r="W132" s="1" t="str">
        <f>formatRow(Tokens!J$2:AC$2,Tokens!J132:AC132,2,"attributes")</f>
        <v>"attributes":[]</v>
      </c>
      <c r="X132" s="1" t="str">
        <f>formatRow(Tokens!AD$2:AI$2,Tokens!AD132:AI132,2,"creators")</f>
        <v>"creators":[]</v>
      </c>
      <c r="Y132" s="1" t="str">
        <f>formatRow(Tokens!AJ$2:AO$2,Tokens!AJ132:AO132,2,"files")</f>
        <v>"files":[]</v>
      </c>
      <c r="Z132" s="1"/>
      <c r="AA132" s="1"/>
      <c r="AB132" s="1"/>
      <c r="AC132" s="1" t="str">
        <f>formatRow(Tokens!AP$2:AQ$2,Tokens!AP132:AQ132,0,"collection")</f>
        <v>"collection":{"name":"",_x000D_
"family":""}</v>
      </c>
    </row>
    <row r="133" spans="6:29" ht="14.25" customHeight="1" x14ac:dyDescent="0.25">
      <c r="F133"/>
      <c r="G133"/>
      <c r="H133"/>
      <c r="I133"/>
      <c r="J133"/>
      <c r="K133"/>
      <c r="T133" s="1" t="str">
        <f>"owner=" &amp; Tokens!AW133</f>
        <v>owner=</v>
      </c>
      <c r="U133" s="1" t="str">
        <f t="shared" ref="U133:U151" si="5">"{" &amp; V133 &amp; "," &amp; W133 &amp; "," &amp; """properties"":{" &amp; X133 &amp; "," &amp; Y133 &amp; "}," &amp; AC133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" s="1" t="str">
        <f>formatRow(Tokens!C$2:I$2,Tokens!C133:I133)</f>
        <v>"name":"",_x000D_
"symbol":"",_x000D_
"description":"",_x000D_
"seller_fee_basis_points":"",_x000D_
"image":"",_x000D_
"Issuer":"",_x000D_
"external_url":""</v>
      </c>
      <c r="W133" s="1" t="str">
        <f>formatRow(Tokens!J$2:AC$2,Tokens!J133:AC133,2,"attributes")</f>
        <v>"attributes":[]</v>
      </c>
      <c r="X133" s="1" t="str">
        <f>formatRow(Tokens!AD$2:AI$2,Tokens!AD133:AI133,2,"creators")</f>
        <v>"creators":[]</v>
      </c>
      <c r="Y133" s="1" t="str">
        <f>formatRow(Tokens!AJ$2:AO$2,Tokens!AJ133:AO133,2,"files")</f>
        <v>"files":[]</v>
      </c>
      <c r="Z133" s="1"/>
      <c r="AA133" s="1"/>
      <c r="AB133" s="1"/>
      <c r="AC133" s="1" t="str">
        <f>formatRow(Tokens!AP$2:AQ$2,Tokens!AP133:AQ133,0,"collection")</f>
        <v>"collection":{"name":"",_x000D_
"family":""}</v>
      </c>
    </row>
    <row r="134" spans="6:29" ht="14.25" customHeight="1" x14ac:dyDescent="0.25">
      <c r="F134"/>
      <c r="G134"/>
      <c r="H134"/>
      <c r="I134"/>
      <c r="J134"/>
      <c r="K134"/>
      <c r="T134" s="1" t="str">
        <f>"owner=" &amp; Tokens!AW134</f>
        <v>owner=</v>
      </c>
      <c r="U134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" s="1" t="str">
        <f>formatRow(Tokens!C$2:I$2,Tokens!C134:I134)</f>
        <v>"name":"",_x000D_
"symbol":"",_x000D_
"description":"",_x000D_
"seller_fee_basis_points":"",_x000D_
"image":"",_x000D_
"Issuer":"",_x000D_
"external_url":""</v>
      </c>
      <c r="W134" s="1" t="str">
        <f>formatRow(Tokens!J$2:AC$2,Tokens!J134:AC134,2,"attributes")</f>
        <v>"attributes":[]</v>
      </c>
      <c r="X134" s="1" t="str">
        <f>formatRow(Tokens!AD$2:AI$2,Tokens!AD134:AI134,2,"creators")</f>
        <v>"creators":[]</v>
      </c>
      <c r="Y134" s="1" t="str">
        <f>formatRow(Tokens!AJ$2:AO$2,Tokens!AJ134:AO134,2,"files")</f>
        <v>"files":[]</v>
      </c>
      <c r="Z134" s="1"/>
      <c r="AA134" s="1"/>
      <c r="AB134" s="1"/>
      <c r="AC134" s="1" t="str">
        <f>formatRow(Tokens!AP$2:AQ$2,Tokens!AP134:AQ134,0,"collection")</f>
        <v>"collection":{"name":"",_x000D_
"family":""}</v>
      </c>
    </row>
    <row r="135" spans="6:29" ht="14.25" customHeight="1" x14ac:dyDescent="0.25">
      <c r="F135"/>
      <c r="G135"/>
      <c r="H135"/>
      <c r="I135"/>
      <c r="J135"/>
      <c r="K135"/>
      <c r="T135" s="1" t="str">
        <f>"owner=" &amp; Tokens!AW135</f>
        <v>owner=</v>
      </c>
      <c r="U135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" s="1" t="str">
        <f>formatRow(Tokens!C$2:I$2,Tokens!C135:I135)</f>
        <v>"name":"",_x000D_
"symbol":"",_x000D_
"description":"",_x000D_
"seller_fee_basis_points":"",_x000D_
"image":"",_x000D_
"Issuer":"",_x000D_
"external_url":""</v>
      </c>
      <c r="W135" s="1" t="str">
        <f>formatRow(Tokens!J$2:AC$2,Tokens!J135:AC135,2,"attributes")</f>
        <v>"attributes":[]</v>
      </c>
      <c r="X135" s="1" t="str">
        <f>formatRow(Tokens!AD$2:AI$2,Tokens!AD135:AI135,2,"creators")</f>
        <v>"creators":[]</v>
      </c>
      <c r="Y135" s="1" t="str">
        <f>formatRow(Tokens!AJ$2:AO$2,Tokens!AJ135:AO135,2,"files")</f>
        <v>"files":[]</v>
      </c>
      <c r="Z135" s="1"/>
      <c r="AA135" s="1"/>
      <c r="AB135" s="1"/>
      <c r="AC135" s="1" t="str">
        <f>formatRow(Tokens!AP$2:AQ$2,Tokens!AP135:AQ135,0,"collection")</f>
        <v>"collection":{"name":"",_x000D_
"family":""}</v>
      </c>
    </row>
    <row r="136" spans="6:29" ht="14.25" customHeight="1" x14ac:dyDescent="0.25">
      <c r="F136"/>
      <c r="G136"/>
      <c r="H136"/>
      <c r="I136"/>
      <c r="J136"/>
      <c r="K136"/>
      <c r="T136" s="1" t="str">
        <f>"owner=" &amp; Tokens!AW136</f>
        <v>owner=</v>
      </c>
      <c r="U136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" s="1" t="str">
        <f>formatRow(Tokens!C$2:I$2,Tokens!C136:I136)</f>
        <v>"name":"",_x000D_
"symbol":"",_x000D_
"description":"",_x000D_
"seller_fee_basis_points":"",_x000D_
"image":"",_x000D_
"Issuer":"",_x000D_
"external_url":""</v>
      </c>
      <c r="W136" s="1" t="str">
        <f>formatRow(Tokens!J$2:AC$2,Tokens!J136:AC136,2,"attributes")</f>
        <v>"attributes":[]</v>
      </c>
      <c r="X136" s="1" t="str">
        <f>formatRow(Tokens!AD$2:AI$2,Tokens!AD136:AI136,2,"creators")</f>
        <v>"creators":[]</v>
      </c>
      <c r="Y136" s="1" t="str">
        <f>formatRow(Tokens!AJ$2:AO$2,Tokens!AJ136:AO136,2,"files")</f>
        <v>"files":[]</v>
      </c>
      <c r="Z136" s="1"/>
      <c r="AA136" s="1"/>
      <c r="AB136" s="1"/>
      <c r="AC136" s="1" t="str">
        <f>formatRow(Tokens!AP$2:AQ$2,Tokens!AP136:AQ136,0,"collection")</f>
        <v>"collection":{"name":"",_x000D_
"family":""}</v>
      </c>
    </row>
    <row r="137" spans="6:29" ht="14.25" customHeight="1" x14ac:dyDescent="0.25">
      <c r="F137"/>
      <c r="G137"/>
      <c r="H137"/>
      <c r="I137"/>
      <c r="J137"/>
      <c r="K137"/>
      <c r="T137" s="1" t="str">
        <f>"owner=" &amp; Tokens!AW137</f>
        <v>owner=</v>
      </c>
      <c r="U137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" s="1" t="str">
        <f>formatRow(Tokens!C$2:I$2,Tokens!C137:I137)</f>
        <v>"name":"",_x000D_
"symbol":"",_x000D_
"description":"",_x000D_
"seller_fee_basis_points":"",_x000D_
"image":"",_x000D_
"Issuer":"",_x000D_
"external_url":""</v>
      </c>
      <c r="W137" s="1" t="str">
        <f>formatRow(Tokens!J$2:AC$2,Tokens!J137:AC137,2,"attributes")</f>
        <v>"attributes":[]</v>
      </c>
      <c r="X137" s="1" t="str">
        <f>formatRow(Tokens!AD$2:AI$2,Tokens!AD137:AI137,2,"creators")</f>
        <v>"creators":[]</v>
      </c>
      <c r="Y137" s="1" t="str">
        <f>formatRow(Tokens!AJ$2:AO$2,Tokens!AJ137:AO137,2,"files")</f>
        <v>"files":[]</v>
      </c>
      <c r="Z137" s="1"/>
      <c r="AA137" s="1"/>
      <c r="AB137" s="1"/>
      <c r="AC137" s="1" t="str">
        <f>formatRow(Tokens!AP$2:AQ$2,Tokens!AP137:AQ137,0,"collection")</f>
        <v>"collection":{"name":"",_x000D_
"family":""}</v>
      </c>
    </row>
    <row r="138" spans="6:29" ht="14.25" customHeight="1" x14ac:dyDescent="0.25">
      <c r="F138"/>
      <c r="G138"/>
      <c r="H138"/>
      <c r="I138"/>
      <c r="J138"/>
      <c r="K138"/>
      <c r="T138" s="1" t="str">
        <f>"owner=" &amp; Tokens!AW138</f>
        <v>owner=</v>
      </c>
      <c r="U138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" s="1" t="str">
        <f>formatRow(Tokens!C$2:I$2,Tokens!C138:I138)</f>
        <v>"name":"",_x000D_
"symbol":"",_x000D_
"description":"",_x000D_
"seller_fee_basis_points":"",_x000D_
"image":"",_x000D_
"Issuer":"",_x000D_
"external_url":""</v>
      </c>
      <c r="W138" s="1" t="str">
        <f>formatRow(Tokens!J$2:AC$2,Tokens!J138:AC138,2,"attributes")</f>
        <v>"attributes":[]</v>
      </c>
      <c r="X138" s="1" t="str">
        <f>formatRow(Tokens!AD$2:AI$2,Tokens!AD138:AI138,2,"creators")</f>
        <v>"creators":[]</v>
      </c>
      <c r="Y138" s="1" t="str">
        <f>formatRow(Tokens!AJ$2:AO$2,Tokens!AJ138:AO138,2,"files")</f>
        <v>"files":[]</v>
      </c>
      <c r="Z138" s="1"/>
      <c r="AA138" s="1"/>
      <c r="AB138" s="1"/>
      <c r="AC138" s="1" t="str">
        <f>formatRow(Tokens!AP$2:AQ$2,Tokens!AP138:AQ138,0,"collection")</f>
        <v>"collection":{"name":"",_x000D_
"family":""}</v>
      </c>
    </row>
    <row r="139" spans="6:29" ht="14.25" customHeight="1" x14ac:dyDescent="0.25">
      <c r="F139"/>
      <c r="G139"/>
      <c r="H139"/>
      <c r="I139"/>
      <c r="J139"/>
      <c r="K139"/>
      <c r="T139" s="1" t="str">
        <f>"owner=" &amp; Tokens!AW139</f>
        <v>owner=</v>
      </c>
      <c r="U139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" s="1" t="str">
        <f>formatRow(Tokens!C$2:I$2,Tokens!C139:I139)</f>
        <v>"name":"",_x000D_
"symbol":"",_x000D_
"description":"",_x000D_
"seller_fee_basis_points":"",_x000D_
"image":"",_x000D_
"Issuer":"",_x000D_
"external_url":""</v>
      </c>
      <c r="W139" s="1" t="str">
        <f>formatRow(Tokens!J$2:AC$2,Tokens!J139:AC139,2,"attributes")</f>
        <v>"attributes":[]</v>
      </c>
      <c r="X139" s="1" t="str">
        <f>formatRow(Tokens!AD$2:AI$2,Tokens!AD139:AI139,2,"creators")</f>
        <v>"creators":[]</v>
      </c>
      <c r="Y139" s="1" t="str">
        <f>formatRow(Tokens!AJ$2:AO$2,Tokens!AJ139:AO139,2,"files")</f>
        <v>"files":[]</v>
      </c>
      <c r="Z139" s="1"/>
      <c r="AA139" s="1"/>
      <c r="AB139" s="1"/>
      <c r="AC139" s="1" t="str">
        <f>formatRow(Tokens!AP$2:AQ$2,Tokens!AP139:AQ139,0,"collection")</f>
        <v>"collection":{"name":"",_x000D_
"family":""}</v>
      </c>
    </row>
    <row r="140" spans="6:29" ht="14.25" customHeight="1" x14ac:dyDescent="0.25">
      <c r="F140"/>
      <c r="G140"/>
      <c r="H140"/>
      <c r="I140"/>
      <c r="J140"/>
      <c r="K140"/>
      <c r="T140" s="1" t="str">
        <f>"owner=" &amp; Tokens!AW140</f>
        <v>owner=</v>
      </c>
      <c r="U140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" s="1" t="str">
        <f>formatRow(Tokens!C$2:I$2,Tokens!C140:I140)</f>
        <v>"name":"",_x000D_
"symbol":"",_x000D_
"description":"",_x000D_
"seller_fee_basis_points":"",_x000D_
"image":"",_x000D_
"Issuer":"",_x000D_
"external_url":""</v>
      </c>
      <c r="W140" s="1" t="str">
        <f>formatRow(Tokens!J$2:AC$2,Tokens!J140:AC140,2,"attributes")</f>
        <v>"attributes":[]</v>
      </c>
      <c r="X140" s="1" t="str">
        <f>formatRow(Tokens!AD$2:AI$2,Tokens!AD140:AI140,2,"creators")</f>
        <v>"creators":[]</v>
      </c>
      <c r="Y140" s="1" t="str">
        <f>formatRow(Tokens!AJ$2:AO$2,Tokens!AJ140:AO140,2,"files")</f>
        <v>"files":[]</v>
      </c>
      <c r="Z140" s="1"/>
      <c r="AA140" s="1"/>
      <c r="AB140" s="1"/>
      <c r="AC140" s="1" t="str">
        <f>formatRow(Tokens!AP$2:AQ$2,Tokens!AP140:AQ140,0,"collection")</f>
        <v>"collection":{"name":"",_x000D_
"family":""}</v>
      </c>
    </row>
    <row r="141" spans="6:29" ht="14.25" customHeight="1" x14ac:dyDescent="0.25">
      <c r="F141"/>
      <c r="G141"/>
      <c r="H141"/>
      <c r="I141"/>
      <c r="J141"/>
      <c r="K141"/>
      <c r="T141" s="1" t="str">
        <f>"owner=" &amp; Tokens!AW141</f>
        <v>owner=</v>
      </c>
      <c r="U141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" s="1" t="str">
        <f>formatRow(Tokens!C$2:I$2,Tokens!C141:I141)</f>
        <v>"name":"",_x000D_
"symbol":"",_x000D_
"description":"",_x000D_
"seller_fee_basis_points":"",_x000D_
"image":"",_x000D_
"Issuer":"",_x000D_
"external_url":""</v>
      </c>
      <c r="W141" s="1" t="str">
        <f>formatRow(Tokens!J$2:AC$2,Tokens!J141:AC141,2,"attributes")</f>
        <v>"attributes":[]</v>
      </c>
      <c r="X141" s="1" t="str">
        <f>formatRow(Tokens!AD$2:AI$2,Tokens!AD141:AI141,2,"creators")</f>
        <v>"creators":[]</v>
      </c>
      <c r="Y141" s="1" t="str">
        <f>formatRow(Tokens!AJ$2:AO$2,Tokens!AJ141:AO141,2,"files")</f>
        <v>"files":[]</v>
      </c>
      <c r="Z141" s="1"/>
      <c r="AA141" s="1"/>
      <c r="AB141" s="1"/>
      <c r="AC141" s="1" t="str">
        <f>formatRow(Tokens!AP$2:AQ$2,Tokens!AP141:AQ141,0,"collection")</f>
        <v>"collection":{"name":"",_x000D_
"family":""}</v>
      </c>
    </row>
    <row r="142" spans="6:29" ht="14.25" customHeight="1" x14ac:dyDescent="0.25">
      <c r="F142"/>
      <c r="G142"/>
      <c r="H142"/>
      <c r="I142"/>
      <c r="J142"/>
      <c r="K142"/>
      <c r="T142" s="1" t="str">
        <f>"owner=" &amp; Tokens!AW142</f>
        <v>owner=</v>
      </c>
      <c r="U142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" s="1" t="str">
        <f>formatRow(Tokens!C$2:I$2,Tokens!C142:I142)</f>
        <v>"name":"",_x000D_
"symbol":"",_x000D_
"description":"",_x000D_
"seller_fee_basis_points":"",_x000D_
"image":"",_x000D_
"Issuer":"",_x000D_
"external_url":""</v>
      </c>
      <c r="W142" s="1" t="str">
        <f>formatRow(Tokens!J$2:AC$2,Tokens!J142:AC142,2,"attributes")</f>
        <v>"attributes":[]</v>
      </c>
      <c r="X142" s="1" t="str">
        <f>formatRow(Tokens!AD$2:AI$2,Tokens!AD142:AI142,2,"creators")</f>
        <v>"creators":[]</v>
      </c>
      <c r="Y142" s="1" t="str">
        <f>formatRow(Tokens!AJ$2:AO$2,Tokens!AJ142:AO142,2,"files")</f>
        <v>"files":[]</v>
      </c>
      <c r="Z142" s="1"/>
      <c r="AA142" s="1"/>
      <c r="AB142" s="1"/>
      <c r="AC142" s="1" t="str">
        <f>formatRow(Tokens!AP$2:AQ$2,Tokens!AP142:AQ142,0,"collection")</f>
        <v>"collection":{"name":"",_x000D_
"family":""}</v>
      </c>
    </row>
    <row r="143" spans="6:29" ht="14.25" customHeight="1" x14ac:dyDescent="0.25">
      <c r="F143"/>
      <c r="G143"/>
      <c r="H143"/>
      <c r="I143"/>
      <c r="J143"/>
      <c r="K143"/>
      <c r="T143" s="1" t="str">
        <f>"owner=" &amp; Tokens!AW143</f>
        <v>owner=</v>
      </c>
      <c r="U143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" s="1" t="str">
        <f>formatRow(Tokens!C$2:I$2,Tokens!C143:I143)</f>
        <v>"name":"",_x000D_
"symbol":"",_x000D_
"description":"",_x000D_
"seller_fee_basis_points":"",_x000D_
"image":"",_x000D_
"Issuer":"",_x000D_
"external_url":""</v>
      </c>
      <c r="W143" s="1" t="str">
        <f>formatRow(Tokens!J$2:AC$2,Tokens!J143:AC143,2,"attributes")</f>
        <v>"attributes":[]</v>
      </c>
      <c r="X143" s="1" t="str">
        <f>formatRow(Tokens!AD$2:AI$2,Tokens!AD143:AI143,2,"creators")</f>
        <v>"creators":[]</v>
      </c>
      <c r="Y143" s="1" t="str">
        <f>formatRow(Tokens!AJ$2:AO$2,Tokens!AJ143:AO143,2,"files")</f>
        <v>"files":[]</v>
      </c>
      <c r="Z143" s="1"/>
      <c r="AA143" s="1"/>
      <c r="AB143" s="1"/>
      <c r="AC143" s="1" t="str">
        <f>formatRow(Tokens!AP$2:AQ$2,Tokens!AP143:AQ143,0,"collection")</f>
        <v>"collection":{"name":"",_x000D_
"family":""}</v>
      </c>
    </row>
    <row r="144" spans="6:29" ht="14.25" customHeight="1" x14ac:dyDescent="0.25">
      <c r="F144"/>
      <c r="G144"/>
      <c r="H144"/>
      <c r="I144"/>
      <c r="J144"/>
      <c r="K144"/>
      <c r="T144" s="1" t="str">
        <f>"owner=" &amp; Tokens!AW144</f>
        <v>owner=</v>
      </c>
      <c r="U144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" s="1" t="str">
        <f>formatRow(Tokens!C$2:I$2,Tokens!C144:I144)</f>
        <v>"name":"",_x000D_
"symbol":"",_x000D_
"description":"",_x000D_
"seller_fee_basis_points":"",_x000D_
"image":"",_x000D_
"Issuer":"",_x000D_
"external_url":""</v>
      </c>
      <c r="W144" s="1" t="str">
        <f>formatRow(Tokens!J$2:AC$2,Tokens!J144:AC144,2,"attributes")</f>
        <v>"attributes":[]</v>
      </c>
      <c r="X144" s="1" t="str">
        <f>formatRow(Tokens!AD$2:AI$2,Tokens!AD144:AI144,2,"creators")</f>
        <v>"creators":[]</v>
      </c>
      <c r="Y144" s="1" t="str">
        <f>formatRow(Tokens!AJ$2:AO$2,Tokens!AJ144:AO144,2,"files")</f>
        <v>"files":[]</v>
      </c>
      <c r="Z144" s="1"/>
      <c r="AA144" s="1"/>
      <c r="AB144" s="1"/>
      <c r="AC144" s="1" t="str">
        <f>formatRow(Tokens!AP$2:AQ$2,Tokens!AP144:AQ144,0,"collection")</f>
        <v>"collection":{"name":"",_x000D_
"family":""}</v>
      </c>
    </row>
    <row r="145" spans="6:29" ht="14.25" customHeight="1" x14ac:dyDescent="0.25">
      <c r="F145"/>
      <c r="G145"/>
      <c r="H145"/>
      <c r="I145"/>
      <c r="J145"/>
      <c r="K145"/>
      <c r="T145" s="1" t="str">
        <f>"owner=" &amp; Tokens!AW145</f>
        <v>owner=</v>
      </c>
      <c r="U145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" s="1" t="str">
        <f>formatRow(Tokens!C$2:I$2,Tokens!C145:I145)</f>
        <v>"name":"",_x000D_
"symbol":"",_x000D_
"description":"",_x000D_
"seller_fee_basis_points":"",_x000D_
"image":"",_x000D_
"Issuer":"",_x000D_
"external_url":""</v>
      </c>
      <c r="W145" s="1" t="str">
        <f>formatRow(Tokens!J$2:AC$2,Tokens!J145:AC145,2,"attributes")</f>
        <v>"attributes":[]</v>
      </c>
      <c r="X145" s="1" t="str">
        <f>formatRow(Tokens!AD$2:AI$2,Tokens!AD145:AI145,2,"creators")</f>
        <v>"creators":[]</v>
      </c>
      <c r="Y145" s="1" t="str">
        <f>formatRow(Tokens!AJ$2:AO$2,Tokens!AJ145:AO145,2,"files")</f>
        <v>"files":[]</v>
      </c>
      <c r="Z145" s="1"/>
      <c r="AA145" s="1"/>
      <c r="AB145" s="1"/>
      <c r="AC145" s="1" t="str">
        <f>formatRow(Tokens!AP$2:AQ$2,Tokens!AP145:AQ145,0,"collection")</f>
        <v>"collection":{"name":"",_x000D_
"family":""}</v>
      </c>
    </row>
    <row r="146" spans="6:29" ht="14.25" customHeight="1" x14ac:dyDescent="0.25">
      <c r="F146"/>
      <c r="G146"/>
      <c r="H146"/>
      <c r="I146"/>
      <c r="J146"/>
      <c r="K146"/>
      <c r="T146" s="1" t="str">
        <f>"owner=" &amp; Tokens!AW146</f>
        <v>owner=</v>
      </c>
      <c r="U146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" s="1" t="str">
        <f>formatRow(Tokens!C$2:I$2,Tokens!C146:I146)</f>
        <v>"name":"",_x000D_
"symbol":"",_x000D_
"description":"",_x000D_
"seller_fee_basis_points":"",_x000D_
"image":"",_x000D_
"Issuer":"",_x000D_
"external_url":""</v>
      </c>
      <c r="W146" s="1" t="str">
        <f>formatRow(Tokens!J$2:AC$2,Tokens!J146:AC146,2,"attributes")</f>
        <v>"attributes":[]</v>
      </c>
      <c r="X146" s="1" t="str">
        <f>formatRow(Tokens!AD$2:AI$2,Tokens!AD146:AI146,2,"creators")</f>
        <v>"creators":[]</v>
      </c>
      <c r="Y146" s="1" t="str">
        <f>formatRow(Tokens!AJ$2:AO$2,Tokens!AJ146:AO146,2,"files")</f>
        <v>"files":[]</v>
      </c>
      <c r="Z146" s="1"/>
      <c r="AA146" s="1"/>
      <c r="AB146" s="1"/>
      <c r="AC146" s="1" t="str">
        <f>formatRow(Tokens!AP$2:AQ$2,Tokens!AP146:AQ146,0,"collection")</f>
        <v>"collection":{"name":"",_x000D_
"family":""}</v>
      </c>
    </row>
    <row r="147" spans="6:29" ht="14.25" customHeight="1" x14ac:dyDescent="0.25">
      <c r="F147"/>
      <c r="G147"/>
      <c r="H147"/>
      <c r="I147"/>
      <c r="J147"/>
      <c r="K147"/>
      <c r="T147" s="1" t="str">
        <f>"owner=" &amp; Tokens!AW147</f>
        <v>owner=</v>
      </c>
      <c r="U147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" s="1" t="str">
        <f>formatRow(Tokens!C$2:I$2,Tokens!C147:I147)</f>
        <v>"name":"",_x000D_
"symbol":"",_x000D_
"description":"",_x000D_
"seller_fee_basis_points":"",_x000D_
"image":"",_x000D_
"Issuer":"",_x000D_
"external_url":""</v>
      </c>
      <c r="W147" s="1" t="str">
        <f>formatRow(Tokens!J$2:AC$2,Tokens!J147:AC147,2,"attributes")</f>
        <v>"attributes":[]</v>
      </c>
      <c r="X147" s="1" t="str">
        <f>formatRow(Tokens!AD$2:AI$2,Tokens!AD147:AI147,2,"creators")</f>
        <v>"creators":[]</v>
      </c>
      <c r="Y147" s="1" t="str">
        <f>formatRow(Tokens!AJ$2:AO$2,Tokens!AJ147:AO147,2,"files")</f>
        <v>"files":[]</v>
      </c>
      <c r="Z147" s="1"/>
      <c r="AA147" s="1"/>
      <c r="AB147" s="1"/>
      <c r="AC147" s="1" t="str">
        <f>formatRow(Tokens!AP$2:AQ$2,Tokens!AP147:AQ147,0,"collection")</f>
        <v>"collection":{"name":"",_x000D_
"family":""}</v>
      </c>
    </row>
    <row r="148" spans="6:29" ht="14.25" customHeight="1" x14ac:dyDescent="0.25">
      <c r="F148"/>
      <c r="G148"/>
      <c r="H148"/>
      <c r="I148"/>
      <c r="J148"/>
      <c r="K148"/>
      <c r="T148" s="1" t="str">
        <f>"owner=" &amp; Tokens!AW148</f>
        <v>owner=</v>
      </c>
      <c r="U148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" s="1" t="str">
        <f>formatRow(Tokens!C$2:I$2,Tokens!C148:I148)</f>
        <v>"name":"",_x000D_
"symbol":"",_x000D_
"description":"",_x000D_
"seller_fee_basis_points":"",_x000D_
"image":"",_x000D_
"Issuer":"",_x000D_
"external_url":""</v>
      </c>
      <c r="W148" s="1" t="str">
        <f>formatRow(Tokens!J$2:AC$2,Tokens!J148:AC148,2,"attributes")</f>
        <v>"attributes":[]</v>
      </c>
      <c r="X148" s="1" t="str">
        <f>formatRow(Tokens!AD$2:AI$2,Tokens!AD148:AI148,2,"creators")</f>
        <v>"creators":[]</v>
      </c>
      <c r="Y148" s="1" t="str">
        <f>formatRow(Tokens!AJ$2:AO$2,Tokens!AJ148:AO148,2,"files")</f>
        <v>"files":[]</v>
      </c>
      <c r="Z148" s="1"/>
      <c r="AA148" s="1"/>
      <c r="AB148" s="1"/>
      <c r="AC148" s="1" t="str">
        <f>formatRow(Tokens!AP$2:AQ$2,Tokens!AP148:AQ148,0,"collection")</f>
        <v>"collection":{"name":"",_x000D_
"family":""}</v>
      </c>
    </row>
    <row r="149" spans="6:29" ht="14.25" customHeight="1" x14ac:dyDescent="0.25">
      <c r="F149"/>
      <c r="G149"/>
      <c r="H149"/>
      <c r="I149"/>
      <c r="J149"/>
      <c r="K149"/>
      <c r="T149" s="1" t="str">
        <f>"owner=" &amp; Tokens!AW149</f>
        <v>owner=</v>
      </c>
      <c r="U149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" s="1" t="str">
        <f>formatRow(Tokens!C$2:I$2,Tokens!C149:I149)</f>
        <v>"name":"",_x000D_
"symbol":"",_x000D_
"description":"",_x000D_
"seller_fee_basis_points":"",_x000D_
"image":"",_x000D_
"Issuer":"",_x000D_
"external_url":""</v>
      </c>
      <c r="W149" s="1" t="str">
        <f>formatRow(Tokens!J$2:AC$2,Tokens!J149:AC149,2,"attributes")</f>
        <v>"attributes":[]</v>
      </c>
      <c r="X149" s="1" t="str">
        <f>formatRow(Tokens!AD$2:AI$2,Tokens!AD149:AI149,2,"creators")</f>
        <v>"creators":[]</v>
      </c>
      <c r="Y149" s="1" t="str">
        <f>formatRow(Tokens!AJ$2:AO$2,Tokens!AJ149:AO149,2,"files")</f>
        <v>"files":[]</v>
      </c>
      <c r="Z149" s="1"/>
      <c r="AA149" s="1"/>
      <c r="AB149" s="1"/>
      <c r="AC149" s="1" t="str">
        <f>formatRow(Tokens!AP$2:AQ$2,Tokens!AP149:AQ149,0,"collection")</f>
        <v>"collection":{"name":"",_x000D_
"family":""}</v>
      </c>
    </row>
    <row r="150" spans="6:29" ht="14.25" customHeight="1" x14ac:dyDescent="0.25">
      <c r="F150"/>
      <c r="G150"/>
      <c r="H150"/>
      <c r="I150"/>
      <c r="J150"/>
      <c r="K150"/>
      <c r="T150" s="1" t="str">
        <f>"owner=" &amp; Tokens!AW150</f>
        <v>owner=</v>
      </c>
      <c r="U150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0" s="1" t="str">
        <f>formatRow(Tokens!C$2:I$2,Tokens!C150:I150)</f>
        <v>"name":"",_x000D_
"symbol":"",_x000D_
"description":"",_x000D_
"seller_fee_basis_points":"",_x000D_
"image":"",_x000D_
"Issuer":"",_x000D_
"external_url":""</v>
      </c>
      <c r="W150" s="1" t="str">
        <f>formatRow(Tokens!J$2:AC$2,Tokens!J150:AC150,2,"attributes")</f>
        <v>"attributes":[]</v>
      </c>
      <c r="X150" s="1" t="str">
        <f>formatRow(Tokens!AD$2:AI$2,Tokens!AD150:AI150,2,"creators")</f>
        <v>"creators":[]</v>
      </c>
      <c r="Y150" s="1" t="str">
        <f>formatRow(Tokens!AJ$2:AO$2,Tokens!AJ150:AO150,2,"files")</f>
        <v>"files":[]</v>
      </c>
      <c r="Z150" s="1"/>
      <c r="AA150" s="1"/>
      <c r="AB150" s="1"/>
      <c r="AC150" s="1" t="str">
        <f>formatRow(Tokens!AP$2:AQ$2,Tokens!AP150:AQ150,0,"collection")</f>
        <v>"collection":{"name":"",_x000D_
"family":""}</v>
      </c>
    </row>
    <row r="151" spans="6:29" ht="14.25" customHeight="1" x14ac:dyDescent="0.25">
      <c r="F151"/>
      <c r="G151"/>
      <c r="H151"/>
      <c r="I151"/>
      <c r="J151"/>
      <c r="K151"/>
      <c r="T151" s="1" t="str">
        <f>"owner=" &amp; Tokens!AW151</f>
        <v>owner=</v>
      </c>
      <c r="U151" s="1" t="str">
        <f t="shared" si="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1" s="1" t="str">
        <f>formatRow(Tokens!C$2:I$2,Tokens!C151:I151)</f>
        <v>"name":"",_x000D_
"symbol":"",_x000D_
"description":"",_x000D_
"seller_fee_basis_points":"",_x000D_
"image":"",_x000D_
"Issuer":"",_x000D_
"external_url":""</v>
      </c>
      <c r="W151" s="1" t="str">
        <f>formatRow(Tokens!J$2:AC$2,Tokens!J151:AC151,2,"attributes")</f>
        <v>"attributes":[]</v>
      </c>
      <c r="X151" s="1" t="str">
        <f>formatRow(Tokens!AD$2:AI$2,Tokens!AD151:AI151,2,"creators")</f>
        <v>"creators":[]</v>
      </c>
      <c r="Y151" s="1" t="str">
        <f>formatRow(Tokens!AJ$2:AO$2,Tokens!AJ151:AO151,2,"files")</f>
        <v>"files":[]</v>
      </c>
      <c r="Z151" s="1"/>
      <c r="AA151" s="1"/>
      <c r="AB151" s="1"/>
      <c r="AC151" s="1" t="str">
        <f>formatRow(Tokens!AP$2:AQ$2,Tokens!AP151:AQ151,0,"collection")</f>
        <v>"collection":{"name":"",_x000D_
"family":""}</v>
      </c>
    </row>
    <row r="152" spans="6:29" ht="14.25" customHeight="1" x14ac:dyDescent="0.25">
      <c r="F152"/>
      <c r="G152"/>
      <c r="H152"/>
      <c r="I152"/>
      <c r="J152"/>
      <c r="K152"/>
    </row>
    <row r="153" spans="6:29" ht="14.25" customHeight="1" x14ac:dyDescent="0.25">
      <c r="F153"/>
      <c r="G153"/>
      <c r="H153"/>
      <c r="I153"/>
      <c r="J153"/>
      <c r="K153"/>
    </row>
    <row r="154" spans="6:29" ht="14.25" customHeight="1" x14ac:dyDescent="0.25">
      <c r="F154"/>
      <c r="G154"/>
      <c r="H154"/>
      <c r="I154"/>
      <c r="J154"/>
      <c r="K154"/>
    </row>
    <row r="155" spans="6:29" ht="14.25" customHeight="1" x14ac:dyDescent="0.25">
      <c r="F155"/>
      <c r="G155"/>
      <c r="H155"/>
      <c r="I155"/>
      <c r="J155"/>
      <c r="K155"/>
    </row>
    <row r="156" spans="6:29" ht="14.25" customHeight="1" x14ac:dyDescent="0.25">
      <c r="F156"/>
      <c r="G156"/>
      <c r="H156"/>
      <c r="I156"/>
      <c r="J156"/>
      <c r="K156"/>
    </row>
    <row r="157" spans="6:29" ht="14.25" customHeight="1" x14ac:dyDescent="0.25">
      <c r="F157"/>
      <c r="G157"/>
      <c r="H157"/>
      <c r="I157"/>
      <c r="J157"/>
      <c r="K157"/>
    </row>
    <row r="158" spans="6:29" ht="14.25" customHeight="1" x14ac:dyDescent="0.25">
      <c r="F158"/>
      <c r="G158"/>
      <c r="H158"/>
      <c r="I158"/>
      <c r="J158"/>
      <c r="K158"/>
    </row>
    <row r="159" spans="6:29" ht="14.25" customHeight="1" x14ac:dyDescent="0.25">
      <c r="F159"/>
      <c r="G159"/>
      <c r="H159"/>
      <c r="I159"/>
      <c r="J159"/>
      <c r="K159"/>
    </row>
    <row r="160" spans="6:29" ht="14.25" customHeight="1" x14ac:dyDescent="0.25">
      <c r="F160"/>
      <c r="G160"/>
      <c r="H160"/>
      <c r="I160"/>
      <c r="J160"/>
      <c r="K160"/>
    </row>
    <row r="161" spans="6:11" ht="14.25" customHeight="1" x14ac:dyDescent="0.25">
      <c r="F161"/>
      <c r="G161"/>
      <c r="H161"/>
      <c r="I161"/>
      <c r="J161"/>
      <c r="K161"/>
    </row>
    <row r="162" spans="6:11" ht="14.25" customHeight="1" x14ac:dyDescent="0.25">
      <c r="F162"/>
      <c r="G162"/>
      <c r="H162"/>
      <c r="I162"/>
      <c r="J162"/>
      <c r="K162"/>
    </row>
    <row r="163" spans="6:11" ht="14.25" customHeight="1" x14ac:dyDescent="0.25">
      <c r="F163"/>
      <c r="G163"/>
      <c r="H163"/>
      <c r="I163"/>
      <c r="J163"/>
      <c r="K163"/>
    </row>
    <row r="164" spans="6:11" ht="14.25" customHeight="1" x14ac:dyDescent="0.25">
      <c r="F164"/>
      <c r="G164"/>
      <c r="H164"/>
      <c r="I164"/>
      <c r="J164"/>
      <c r="K164"/>
    </row>
    <row r="165" spans="6:11" ht="14.25" customHeight="1" x14ac:dyDescent="0.25">
      <c r="F165"/>
      <c r="G165"/>
      <c r="H165"/>
      <c r="I165"/>
      <c r="J165"/>
      <c r="K165"/>
    </row>
    <row r="166" spans="6:11" ht="14.25" customHeight="1" x14ac:dyDescent="0.25">
      <c r="F166"/>
      <c r="G166"/>
      <c r="H166"/>
      <c r="I166"/>
      <c r="J166"/>
      <c r="K166"/>
    </row>
    <row r="167" spans="6:11" ht="14.25" customHeight="1" x14ac:dyDescent="0.25">
      <c r="F167"/>
      <c r="G167"/>
      <c r="H167"/>
      <c r="I167"/>
      <c r="J167"/>
      <c r="K167"/>
    </row>
    <row r="168" spans="6:11" ht="14.25" customHeight="1" x14ac:dyDescent="0.25">
      <c r="F168"/>
      <c r="G168"/>
      <c r="H168"/>
      <c r="I168"/>
      <c r="J168"/>
      <c r="K168"/>
    </row>
    <row r="169" spans="6:11" ht="14.25" customHeight="1" x14ac:dyDescent="0.25">
      <c r="F169"/>
      <c r="G169"/>
      <c r="H169"/>
      <c r="I169"/>
      <c r="J169"/>
      <c r="K169"/>
    </row>
    <row r="170" spans="6:11" ht="14.25" customHeight="1" x14ac:dyDescent="0.25">
      <c r="F170"/>
      <c r="G170"/>
      <c r="H170"/>
      <c r="I170"/>
      <c r="J170"/>
      <c r="K170"/>
    </row>
    <row r="171" spans="6:11" ht="14.25" customHeight="1" x14ac:dyDescent="0.25">
      <c r="F171"/>
      <c r="G171"/>
      <c r="H171"/>
      <c r="I171"/>
      <c r="J171"/>
      <c r="K171"/>
    </row>
    <row r="172" spans="6:11" ht="14.25" customHeight="1" x14ac:dyDescent="0.25">
      <c r="F172"/>
      <c r="G172"/>
      <c r="H172"/>
      <c r="I172"/>
      <c r="J172"/>
      <c r="K172"/>
    </row>
    <row r="173" spans="6:11" ht="14.25" customHeight="1" x14ac:dyDescent="0.25">
      <c r="F173"/>
      <c r="G173"/>
      <c r="H173"/>
      <c r="I173"/>
      <c r="J173"/>
      <c r="K173"/>
    </row>
    <row r="174" spans="6:11" ht="14.25" customHeight="1" x14ac:dyDescent="0.25">
      <c r="F174"/>
      <c r="G174"/>
      <c r="H174"/>
      <c r="I174"/>
      <c r="J174"/>
      <c r="K174"/>
    </row>
    <row r="175" spans="6:11" ht="14.25" customHeight="1" x14ac:dyDescent="0.25">
      <c r="F175"/>
      <c r="G175"/>
      <c r="H175"/>
      <c r="I175"/>
      <c r="J175"/>
      <c r="K175"/>
    </row>
    <row r="176" spans="6:11" ht="14.25" customHeight="1" x14ac:dyDescent="0.25">
      <c r="F176"/>
      <c r="G176"/>
      <c r="H176"/>
      <c r="I176"/>
      <c r="J176"/>
      <c r="K176"/>
    </row>
    <row r="177" spans="6:11" ht="14.25" customHeight="1" x14ac:dyDescent="0.25">
      <c r="F177"/>
      <c r="G177"/>
      <c r="H177"/>
      <c r="I177"/>
      <c r="J177"/>
      <c r="K177"/>
    </row>
    <row r="178" spans="6:11" ht="14.25" customHeight="1" x14ac:dyDescent="0.25">
      <c r="F178"/>
      <c r="G178"/>
      <c r="H178"/>
      <c r="I178"/>
      <c r="J178"/>
      <c r="K178"/>
    </row>
    <row r="179" spans="6:11" ht="14.25" customHeight="1" x14ac:dyDescent="0.25">
      <c r="F179"/>
      <c r="G179"/>
      <c r="H179"/>
      <c r="I179"/>
      <c r="J179"/>
      <c r="K179"/>
    </row>
    <row r="180" spans="6:11" ht="14.25" customHeight="1" x14ac:dyDescent="0.25">
      <c r="F180"/>
      <c r="G180"/>
      <c r="H180"/>
      <c r="I180"/>
      <c r="J180"/>
      <c r="K180"/>
    </row>
    <row r="181" spans="6:11" ht="14.25" customHeight="1" x14ac:dyDescent="0.25">
      <c r="F181"/>
      <c r="G181"/>
      <c r="H181"/>
      <c r="I181"/>
      <c r="J181"/>
      <c r="K181"/>
    </row>
    <row r="182" spans="6:11" ht="14.25" customHeight="1" x14ac:dyDescent="0.25">
      <c r="F182"/>
      <c r="G182"/>
      <c r="H182"/>
      <c r="I182"/>
      <c r="J182"/>
      <c r="K182"/>
    </row>
    <row r="183" spans="6:11" ht="14.25" customHeight="1" x14ac:dyDescent="0.25">
      <c r="F183"/>
      <c r="G183"/>
      <c r="H183"/>
      <c r="I183"/>
      <c r="J183"/>
      <c r="K183"/>
    </row>
    <row r="184" spans="6:11" ht="14.25" customHeight="1" x14ac:dyDescent="0.25">
      <c r="F184"/>
      <c r="G184"/>
      <c r="H184"/>
      <c r="I184"/>
      <c r="J184"/>
      <c r="K184"/>
    </row>
    <row r="185" spans="6:11" ht="14.25" customHeight="1" x14ac:dyDescent="0.25">
      <c r="F185"/>
      <c r="G185"/>
      <c r="H185"/>
      <c r="I185"/>
      <c r="J185"/>
      <c r="K185"/>
    </row>
    <row r="186" spans="6:11" ht="14.25" customHeight="1" x14ac:dyDescent="0.25">
      <c r="F186"/>
      <c r="G186"/>
      <c r="H186"/>
      <c r="I186"/>
      <c r="J186"/>
      <c r="K186"/>
    </row>
    <row r="187" spans="6:11" ht="14.25" customHeight="1" x14ac:dyDescent="0.25">
      <c r="F187"/>
      <c r="G187"/>
      <c r="H187"/>
      <c r="I187"/>
      <c r="J187"/>
      <c r="K187"/>
    </row>
    <row r="188" spans="6:11" ht="14.25" customHeight="1" x14ac:dyDescent="0.25">
      <c r="F188"/>
      <c r="G188"/>
      <c r="H188"/>
      <c r="I188"/>
      <c r="J188"/>
      <c r="K188"/>
    </row>
    <row r="189" spans="6:11" ht="14.25" customHeight="1" x14ac:dyDescent="0.25">
      <c r="F189"/>
      <c r="G189"/>
      <c r="H189"/>
      <c r="I189"/>
      <c r="J189"/>
      <c r="K189"/>
    </row>
    <row r="190" spans="6:11" ht="14.25" customHeight="1" x14ac:dyDescent="0.25">
      <c r="F190"/>
      <c r="G190"/>
      <c r="H190"/>
      <c r="I190"/>
      <c r="J190"/>
      <c r="K190"/>
    </row>
    <row r="191" spans="6:11" ht="14.25" customHeight="1" x14ac:dyDescent="0.25">
      <c r="F191"/>
      <c r="G191"/>
      <c r="H191"/>
      <c r="I191"/>
      <c r="J191"/>
      <c r="K191"/>
    </row>
    <row r="192" spans="6:11" ht="14.25" customHeight="1" x14ac:dyDescent="0.25">
      <c r="F192"/>
      <c r="G192"/>
      <c r="H192"/>
      <c r="I192"/>
      <c r="J192"/>
      <c r="K192"/>
    </row>
    <row r="193" spans="6:11" ht="14.25" customHeight="1" x14ac:dyDescent="0.25">
      <c r="F193"/>
      <c r="G193"/>
      <c r="H193"/>
      <c r="I193"/>
      <c r="J193"/>
      <c r="K193"/>
    </row>
    <row r="194" spans="6:11" ht="14.25" customHeight="1" x14ac:dyDescent="0.25">
      <c r="F194"/>
      <c r="G194"/>
      <c r="H194"/>
      <c r="I194"/>
      <c r="J194"/>
      <c r="K194"/>
    </row>
    <row r="195" spans="6:11" ht="14.25" customHeight="1" x14ac:dyDescent="0.25">
      <c r="F195"/>
      <c r="G195"/>
      <c r="H195"/>
      <c r="I195"/>
      <c r="J195"/>
      <c r="K195"/>
    </row>
    <row r="196" spans="6:11" ht="14.25" customHeight="1" x14ac:dyDescent="0.25">
      <c r="F196"/>
      <c r="G196"/>
      <c r="H196"/>
      <c r="I196"/>
      <c r="J196"/>
      <c r="K196"/>
    </row>
    <row r="197" spans="6:11" ht="14.25" customHeight="1" x14ac:dyDescent="0.25">
      <c r="F197"/>
      <c r="G197"/>
      <c r="H197"/>
      <c r="I197"/>
      <c r="J197"/>
      <c r="K197"/>
    </row>
    <row r="198" spans="6:11" ht="14.25" customHeight="1" x14ac:dyDescent="0.25">
      <c r="F198"/>
      <c r="G198"/>
      <c r="H198"/>
      <c r="I198"/>
      <c r="J198"/>
      <c r="K198"/>
    </row>
    <row r="199" spans="6:11" ht="14.25" customHeight="1" x14ac:dyDescent="0.25">
      <c r="F199"/>
      <c r="G199"/>
      <c r="H199"/>
      <c r="I199"/>
      <c r="J199"/>
      <c r="K199"/>
    </row>
    <row r="200" spans="6:11" ht="14.25" customHeight="1" x14ac:dyDescent="0.25">
      <c r="F200"/>
      <c r="G200"/>
      <c r="H200"/>
      <c r="I200"/>
      <c r="J200"/>
      <c r="K200"/>
    </row>
    <row r="201" spans="6:11" ht="14.25" customHeight="1" x14ac:dyDescent="0.25">
      <c r="F201"/>
      <c r="G201"/>
      <c r="H201"/>
      <c r="I201"/>
      <c r="J201"/>
      <c r="K201"/>
    </row>
    <row r="202" spans="6:11" ht="14.25" customHeight="1" x14ac:dyDescent="0.25">
      <c r="F202"/>
      <c r="G202"/>
      <c r="H202"/>
      <c r="I202"/>
      <c r="J202"/>
      <c r="K202"/>
    </row>
    <row r="203" spans="6:11" ht="14.25" customHeight="1" x14ac:dyDescent="0.25">
      <c r="F203"/>
      <c r="G203"/>
      <c r="H203"/>
      <c r="I203"/>
      <c r="J203"/>
      <c r="K203"/>
    </row>
    <row r="204" spans="6:11" ht="14.25" customHeight="1" x14ac:dyDescent="0.25">
      <c r="F204"/>
      <c r="G204"/>
      <c r="H204"/>
      <c r="I204"/>
      <c r="J204"/>
      <c r="K204"/>
    </row>
    <row r="205" spans="6:11" ht="14.25" customHeight="1" x14ac:dyDescent="0.25">
      <c r="F205"/>
      <c r="G205"/>
      <c r="H205"/>
      <c r="I205"/>
      <c r="J205"/>
      <c r="K205"/>
    </row>
    <row r="206" spans="6:11" ht="14.25" customHeight="1" x14ac:dyDescent="0.25">
      <c r="F206"/>
      <c r="G206"/>
      <c r="H206"/>
      <c r="I206"/>
      <c r="J206"/>
      <c r="K206"/>
    </row>
    <row r="207" spans="6:11" ht="14.25" customHeight="1" x14ac:dyDescent="0.25">
      <c r="F207"/>
      <c r="G207"/>
      <c r="H207"/>
      <c r="I207"/>
      <c r="J207"/>
      <c r="K207"/>
    </row>
    <row r="208" spans="6:11" ht="14.25" customHeight="1" x14ac:dyDescent="0.25">
      <c r="F208"/>
      <c r="G208"/>
      <c r="H208"/>
      <c r="I208"/>
      <c r="J208"/>
      <c r="K208"/>
    </row>
    <row r="209" spans="6:11" ht="14.25" customHeight="1" x14ac:dyDescent="0.25">
      <c r="F209"/>
      <c r="G209"/>
      <c r="H209"/>
      <c r="I209"/>
      <c r="J209"/>
      <c r="K209"/>
    </row>
    <row r="210" spans="6:11" ht="14.25" customHeight="1" x14ac:dyDescent="0.25">
      <c r="F210"/>
      <c r="G210"/>
      <c r="H210"/>
      <c r="I210"/>
      <c r="J210"/>
      <c r="K210"/>
    </row>
    <row r="211" spans="6:11" ht="14.25" customHeight="1" x14ac:dyDescent="0.25">
      <c r="F211"/>
      <c r="G211"/>
      <c r="H211"/>
      <c r="I211"/>
      <c r="J211"/>
      <c r="K211"/>
    </row>
    <row r="212" spans="6:11" ht="14.25" customHeight="1" x14ac:dyDescent="0.25">
      <c r="F212"/>
      <c r="G212"/>
      <c r="H212"/>
      <c r="I212"/>
      <c r="J212"/>
      <c r="K212"/>
    </row>
    <row r="213" spans="6:11" ht="14.25" customHeight="1" x14ac:dyDescent="0.25">
      <c r="F213"/>
      <c r="G213"/>
      <c r="H213"/>
      <c r="I213"/>
      <c r="J213"/>
      <c r="K213"/>
    </row>
    <row r="214" spans="6:11" ht="14.25" customHeight="1" x14ac:dyDescent="0.25">
      <c r="F214"/>
      <c r="G214"/>
      <c r="H214"/>
      <c r="I214"/>
      <c r="J214"/>
      <c r="K214"/>
    </row>
    <row r="215" spans="6:11" ht="14.25" customHeight="1" x14ac:dyDescent="0.25">
      <c r="F215"/>
      <c r="G215"/>
      <c r="H215"/>
      <c r="I215"/>
      <c r="J215"/>
      <c r="K215"/>
    </row>
    <row r="216" spans="6:11" ht="14.25" customHeight="1" x14ac:dyDescent="0.25">
      <c r="F216"/>
      <c r="G216"/>
      <c r="H216"/>
      <c r="I216"/>
      <c r="J216"/>
      <c r="K216"/>
    </row>
    <row r="217" spans="6:11" ht="14.25" customHeight="1" x14ac:dyDescent="0.25">
      <c r="F217"/>
      <c r="G217"/>
      <c r="H217"/>
      <c r="I217"/>
      <c r="J217"/>
      <c r="K217"/>
    </row>
    <row r="218" spans="6:11" ht="14.25" customHeight="1" x14ac:dyDescent="0.25">
      <c r="F218"/>
      <c r="G218"/>
      <c r="H218"/>
      <c r="I218"/>
      <c r="J218"/>
      <c r="K218"/>
    </row>
    <row r="219" spans="6:11" ht="14.25" customHeight="1" x14ac:dyDescent="0.25">
      <c r="F219"/>
      <c r="G219"/>
      <c r="H219"/>
      <c r="I219"/>
      <c r="J219"/>
      <c r="K219"/>
    </row>
    <row r="220" spans="6:11" ht="14.25" customHeight="1" x14ac:dyDescent="0.25">
      <c r="F220"/>
      <c r="G220"/>
      <c r="H220"/>
      <c r="I220"/>
      <c r="J220"/>
      <c r="K220"/>
    </row>
    <row r="221" spans="6:11" ht="14.25" customHeight="1" x14ac:dyDescent="0.25">
      <c r="F221"/>
      <c r="G221"/>
      <c r="H221"/>
      <c r="I221"/>
      <c r="J221"/>
      <c r="K221"/>
    </row>
    <row r="222" spans="6:11" ht="14.25" customHeight="1" x14ac:dyDescent="0.25">
      <c r="F222"/>
      <c r="G222"/>
      <c r="H222"/>
      <c r="I222"/>
      <c r="J222"/>
      <c r="K222"/>
    </row>
    <row r="223" spans="6:11" ht="14.25" customHeight="1" x14ac:dyDescent="0.25">
      <c r="F223"/>
      <c r="G223"/>
      <c r="H223"/>
      <c r="I223"/>
      <c r="J223"/>
      <c r="K223"/>
    </row>
    <row r="224" spans="6:11" ht="14.25" customHeight="1" x14ac:dyDescent="0.25">
      <c r="F224"/>
      <c r="G224"/>
      <c r="H224"/>
      <c r="I224"/>
      <c r="J224"/>
      <c r="K224"/>
    </row>
    <row r="225" spans="6:11" ht="14.25" customHeight="1" x14ac:dyDescent="0.25">
      <c r="F225"/>
      <c r="G225"/>
      <c r="H225"/>
      <c r="I225"/>
      <c r="J225"/>
      <c r="K225"/>
    </row>
    <row r="226" spans="6:11" ht="14.25" customHeight="1" x14ac:dyDescent="0.25">
      <c r="F226"/>
      <c r="G226"/>
      <c r="H226"/>
      <c r="I226"/>
      <c r="J226"/>
      <c r="K226"/>
    </row>
    <row r="227" spans="6:11" ht="14.25" customHeight="1" x14ac:dyDescent="0.25">
      <c r="F227"/>
      <c r="G227"/>
      <c r="H227"/>
      <c r="I227"/>
      <c r="J227"/>
      <c r="K227"/>
    </row>
    <row r="228" spans="6:11" ht="14.25" customHeight="1" x14ac:dyDescent="0.25">
      <c r="F228"/>
      <c r="G228"/>
      <c r="H228"/>
      <c r="I228"/>
      <c r="J228"/>
      <c r="K228"/>
    </row>
    <row r="229" spans="6:11" ht="14.25" customHeight="1" x14ac:dyDescent="0.25">
      <c r="F229"/>
      <c r="G229"/>
      <c r="H229"/>
      <c r="I229"/>
      <c r="J229"/>
      <c r="K229"/>
    </row>
    <row r="230" spans="6:11" ht="14.25" customHeight="1" x14ac:dyDescent="0.25">
      <c r="F230"/>
      <c r="G230"/>
      <c r="H230"/>
      <c r="I230"/>
      <c r="J230"/>
      <c r="K230"/>
    </row>
    <row r="231" spans="6:11" ht="14.25" customHeight="1" x14ac:dyDescent="0.25">
      <c r="F231"/>
      <c r="G231"/>
      <c r="H231"/>
      <c r="I231"/>
      <c r="J231"/>
      <c r="K231"/>
    </row>
    <row r="232" spans="6:11" ht="14.25" customHeight="1" x14ac:dyDescent="0.25">
      <c r="F232"/>
      <c r="G232"/>
      <c r="H232"/>
      <c r="I232"/>
      <c r="J232"/>
      <c r="K232"/>
    </row>
    <row r="233" spans="6:11" ht="14.25" customHeight="1" x14ac:dyDescent="0.25">
      <c r="F233"/>
      <c r="G233"/>
      <c r="H233"/>
      <c r="I233"/>
      <c r="J233"/>
      <c r="K233"/>
    </row>
    <row r="234" spans="6:11" ht="14.25" customHeight="1" x14ac:dyDescent="0.25">
      <c r="F234"/>
      <c r="G234"/>
      <c r="H234"/>
      <c r="I234"/>
      <c r="J234"/>
      <c r="K234"/>
    </row>
    <row r="235" spans="6:11" ht="14.25" customHeight="1" x14ac:dyDescent="0.25">
      <c r="F235"/>
      <c r="G235"/>
      <c r="H235"/>
      <c r="I235"/>
      <c r="J235"/>
      <c r="K235"/>
    </row>
    <row r="236" spans="6:11" ht="14.25" customHeight="1" x14ac:dyDescent="0.25">
      <c r="F236"/>
      <c r="G236"/>
      <c r="H236"/>
      <c r="I236"/>
      <c r="J236"/>
      <c r="K236"/>
    </row>
    <row r="237" spans="6:11" ht="14.25" customHeight="1" x14ac:dyDescent="0.25">
      <c r="F237"/>
      <c r="G237"/>
      <c r="H237"/>
      <c r="I237"/>
      <c r="J237"/>
      <c r="K237"/>
    </row>
    <row r="238" spans="6:11" ht="14.25" customHeight="1" x14ac:dyDescent="0.25">
      <c r="F238"/>
      <c r="G238"/>
      <c r="H238"/>
      <c r="I238"/>
      <c r="J238"/>
      <c r="K238"/>
    </row>
    <row r="239" spans="6:11" ht="14.25" customHeight="1" x14ac:dyDescent="0.25">
      <c r="F239"/>
      <c r="G239"/>
      <c r="H239"/>
      <c r="I239"/>
      <c r="J239"/>
      <c r="K239"/>
    </row>
    <row r="240" spans="6:11" ht="14.25" customHeight="1" x14ac:dyDescent="0.25">
      <c r="F240"/>
      <c r="G240"/>
      <c r="H240"/>
      <c r="I240"/>
      <c r="J240"/>
      <c r="K240"/>
    </row>
    <row r="241" spans="6:11" ht="14.25" customHeight="1" x14ac:dyDescent="0.25">
      <c r="F241"/>
      <c r="G241"/>
      <c r="H241"/>
      <c r="I241"/>
      <c r="J241"/>
      <c r="K241"/>
    </row>
    <row r="242" spans="6:11" ht="14.25" customHeight="1" x14ac:dyDescent="0.25">
      <c r="F242"/>
      <c r="G242"/>
      <c r="H242"/>
      <c r="I242"/>
      <c r="J242"/>
      <c r="K242"/>
    </row>
    <row r="243" spans="6:11" ht="14.25" customHeight="1" x14ac:dyDescent="0.25">
      <c r="F243"/>
      <c r="G243"/>
      <c r="H243"/>
      <c r="I243"/>
      <c r="J243"/>
      <c r="K243"/>
    </row>
    <row r="244" spans="6:11" ht="14.25" customHeight="1" x14ac:dyDescent="0.25">
      <c r="F244"/>
      <c r="G244"/>
      <c r="H244"/>
      <c r="I244"/>
      <c r="J244"/>
      <c r="K244"/>
    </row>
    <row r="245" spans="6:11" ht="14.25" customHeight="1" x14ac:dyDescent="0.25">
      <c r="F245"/>
      <c r="G245"/>
      <c r="H245"/>
      <c r="I245"/>
      <c r="J245"/>
      <c r="K245"/>
    </row>
    <row r="246" spans="6:11" ht="14.25" customHeight="1" x14ac:dyDescent="0.25">
      <c r="F246"/>
      <c r="G246"/>
      <c r="H246"/>
      <c r="I246"/>
      <c r="J246"/>
      <c r="K246"/>
    </row>
    <row r="247" spans="6:11" ht="14.25" customHeight="1" x14ac:dyDescent="0.25">
      <c r="F247"/>
      <c r="G247"/>
      <c r="H247"/>
      <c r="I247"/>
      <c r="J247"/>
      <c r="K247"/>
    </row>
    <row r="248" spans="6:11" ht="14.25" customHeight="1" x14ac:dyDescent="0.25">
      <c r="F248"/>
      <c r="G248"/>
      <c r="H248"/>
      <c r="I248"/>
      <c r="J248"/>
      <c r="K248"/>
    </row>
    <row r="249" spans="6:11" ht="14.25" customHeight="1" x14ac:dyDescent="0.25">
      <c r="F249"/>
      <c r="G249"/>
      <c r="H249"/>
      <c r="I249"/>
      <c r="J249"/>
      <c r="K249"/>
    </row>
    <row r="250" spans="6:11" ht="14.25" customHeight="1" x14ac:dyDescent="0.25">
      <c r="F250"/>
      <c r="G250"/>
      <c r="H250"/>
      <c r="I250"/>
      <c r="J250"/>
      <c r="K250"/>
    </row>
    <row r="251" spans="6:11" ht="14.25" customHeight="1" x14ac:dyDescent="0.25">
      <c r="F251"/>
      <c r="G251"/>
      <c r="H251"/>
      <c r="I251"/>
      <c r="J251"/>
      <c r="K251"/>
    </row>
    <row r="252" spans="6:11" ht="14.25" customHeight="1" x14ac:dyDescent="0.25">
      <c r="F252"/>
      <c r="G252"/>
      <c r="H252"/>
      <c r="I252"/>
      <c r="J252"/>
      <c r="K252"/>
    </row>
    <row r="253" spans="6:11" ht="14.25" customHeight="1" x14ac:dyDescent="0.25">
      <c r="F253"/>
      <c r="G253"/>
      <c r="H253"/>
      <c r="I253"/>
      <c r="J253"/>
      <c r="K253"/>
    </row>
    <row r="254" spans="6:11" ht="14.25" customHeight="1" x14ac:dyDescent="0.25">
      <c r="F254"/>
      <c r="G254"/>
      <c r="H254"/>
      <c r="I254"/>
      <c r="J254"/>
      <c r="K254"/>
    </row>
    <row r="255" spans="6:11" ht="14.25" customHeight="1" x14ac:dyDescent="0.25">
      <c r="F255"/>
      <c r="G255"/>
      <c r="H255"/>
      <c r="I255"/>
      <c r="J255"/>
      <c r="K255"/>
    </row>
    <row r="256" spans="6:11" ht="14.25" customHeight="1" x14ac:dyDescent="0.25">
      <c r="F256"/>
      <c r="G256"/>
      <c r="H256"/>
      <c r="I256"/>
      <c r="J256"/>
      <c r="K256"/>
    </row>
    <row r="257" spans="6:11" ht="14.25" customHeight="1" x14ac:dyDescent="0.25">
      <c r="F257"/>
      <c r="G257"/>
      <c r="H257"/>
      <c r="I257"/>
      <c r="J257"/>
      <c r="K257"/>
    </row>
    <row r="258" spans="6:11" ht="14.25" customHeight="1" x14ac:dyDescent="0.25">
      <c r="F258"/>
      <c r="G258"/>
      <c r="H258"/>
      <c r="I258"/>
      <c r="J258"/>
      <c r="K258"/>
    </row>
    <row r="259" spans="6:11" ht="14.25" customHeight="1" x14ac:dyDescent="0.25">
      <c r="F259"/>
      <c r="G259"/>
      <c r="H259"/>
      <c r="I259"/>
      <c r="J259"/>
      <c r="K259"/>
    </row>
    <row r="260" spans="6:11" ht="14.25" customHeight="1" x14ac:dyDescent="0.25">
      <c r="F260"/>
      <c r="G260"/>
      <c r="H260"/>
      <c r="I260"/>
      <c r="J260"/>
      <c r="K260"/>
    </row>
    <row r="261" spans="6:11" ht="14.25" customHeight="1" x14ac:dyDescent="0.25">
      <c r="F261"/>
      <c r="G261"/>
      <c r="H261"/>
      <c r="I261"/>
      <c r="J261"/>
      <c r="K261"/>
    </row>
    <row r="262" spans="6:11" ht="14.25" customHeight="1" x14ac:dyDescent="0.25">
      <c r="F262"/>
      <c r="G262"/>
      <c r="H262"/>
      <c r="I262"/>
      <c r="J262"/>
      <c r="K262"/>
    </row>
    <row r="263" spans="6:11" ht="14.25" customHeight="1" x14ac:dyDescent="0.25">
      <c r="F263"/>
      <c r="G263"/>
      <c r="H263"/>
      <c r="I263"/>
      <c r="J263"/>
      <c r="K263"/>
    </row>
    <row r="264" spans="6:11" ht="14.25" customHeight="1" x14ac:dyDescent="0.25">
      <c r="F264"/>
      <c r="G264"/>
      <c r="H264"/>
      <c r="I264"/>
      <c r="J264"/>
      <c r="K264"/>
    </row>
    <row r="265" spans="6:11" ht="14.25" customHeight="1" x14ac:dyDescent="0.25">
      <c r="F265"/>
      <c r="G265"/>
      <c r="H265"/>
      <c r="I265"/>
      <c r="J265"/>
      <c r="K265"/>
    </row>
    <row r="266" spans="6:11" ht="14.25" customHeight="1" x14ac:dyDescent="0.25">
      <c r="F266"/>
      <c r="G266"/>
      <c r="H266"/>
      <c r="I266"/>
      <c r="J266"/>
      <c r="K266"/>
    </row>
    <row r="267" spans="6:11" ht="14.25" customHeight="1" x14ac:dyDescent="0.25">
      <c r="F267"/>
      <c r="G267"/>
      <c r="H267"/>
      <c r="I267"/>
      <c r="J267"/>
      <c r="K267"/>
    </row>
    <row r="268" spans="6:11" ht="14.25" customHeight="1" x14ac:dyDescent="0.25">
      <c r="F268"/>
      <c r="G268"/>
      <c r="H268"/>
      <c r="I268"/>
      <c r="J268"/>
      <c r="K268"/>
    </row>
    <row r="269" spans="6:11" ht="14.25" customHeight="1" x14ac:dyDescent="0.25">
      <c r="F269"/>
      <c r="G269"/>
      <c r="H269"/>
      <c r="I269"/>
      <c r="J269"/>
      <c r="K269"/>
    </row>
    <row r="270" spans="6:11" ht="14.25" customHeight="1" x14ac:dyDescent="0.25">
      <c r="F270"/>
      <c r="G270"/>
      <c r="H270"/>
      <c r="I270"/>
      <c r="J270"/>
      <c r="K270"/>
    </row>
    <row r="271" spans="6:11" ht="14.25" customHeight="1" x14ac:dyDescent="0.25">
      <c r="F271"/>
      <c r="G271"/>
      <c r="H271"/>
      <c r="I271"/>
      <c r="J271"/>
      <c r="K271"/>
    </row>
    <row r="272" spans="6:11" ht="14.25" customHeight="1" x14ac:dyDescent="0.25">
      <c r="F272"/>
      <c r="G272"/>
      <c r="H272"/>
      <c r="I272"/>
      <c r="J272"/>
      <c r="K272"/>
    </row>
    <row r="273" spans="6:11" ht="14.25" customHeight="1" x14ac:dyDescent="0.25">
      <c r="F273"/>
      <c r="G273"/>
      <c r="H273"/>
      <c r="I273"/>
      <c r="J273"/>
      <c r="K273"/>
    </row>
    <row r="274" spans="6:11" ht="14.25" customHeight="1" x14ac:dyDescent="0.25">
      <c r="F274"/>
      <c r="G274"/>
      <c r="H274"/>
      <c r="I274"/>
      <c r="J274"/>
      <c r="K274"/>
    </row>
    <row r="275" spans="6:11" ht="14.25" customHeight="1" x14ac:dyDescent="0.25">
      <c r="F275"/>
      <c r="G275"/>
      <c r="H275"/>
      <c r="I275"/>
      <c r="J275"/>
      <c r="K275"/>
    </row>
    <row r="276" spans="6:11" ht="14.25" customHeight="1" x14ac:dyDescent="0.25">
      <c r="F276"/>
      <c r="G276"/>
      <c r="H276"/>
      <c r="I276"/>
      <c r="J276"/>
      <c r="K276"/>
    </row>
    <row r="277" spans="6:11" ht="14.25" customHeight="1" x14ac:dyDescent="0.25">
      <c r="F277"/>
      <c r="G277"/>
      <c r="H277"/>
      <c r="I277"/>
      <c r="J277"/>
      <c r="K277"/>
    </row>
    <row r="278" spans="6:11" ht="14.25" customHeight="1" x14ac:dyDescent="0.25">
      <c r="F278"/>
      <c r="G278"/>
      <c r="H278"/>
      <c r="I278"/>
      <c r="J278"/>
      <c r="K278"/>
    </row>
    <row r="279" spans="6:11" ht="14.25" customHeight="1" x14ac:dyDescent="0.25">
      <c r="F279"/>
      <c r="G279"/>
      <c r="H279"/>
      <c r="I279"/>
      <c r="J279"/>
      <c r="K279"/>
    </row>
    <row r="280" spans="6:11" ht="14.25" customHeight="1" x14ac:dyDescent="0.25">
      <c r="F280"/>
      <c r="G280"/>
      <c r="H280"/>
      <c r="I280"/>
      <c r="J280"/>
      <c r="K280"/>
    </row>
    <row r="281" spans="6:11" ht="14.25" customHeight="1" x14ac:dyDescent="0.25">
      <c r="F281"/>
      <c r="G281"/>
      <c r="H281"/>
      <c r="I281"/>
      <c r="J281"/>
      <c r="K281"/>
    </row>
    <row r="282" spans="6:11" ht="14.25" customHeight="1" x14ac:dyDescent="0.25">
      <c r="F282"/>
      <c r="G282"/>
      <c r="H282"/>
      <c r="I282"/>
      <c r="J282"/>
      <c r="K282"/>
    </row>
    <row r="283" spans="6:11" ht="14.25" customHeight="1" x14ac:dyDescent="0.25">
      <c r="F283"/>
      <c r="G283"/>
      <c r="H283"/>
      <c r="I283"/>
      <c r="J283"/>
      <c r="K283"/>
    </row>
    <row r="284" spans="6:11" ht="14.25" customHeight="1" x14ac:dyDescent="0.25">
      <c r="F284"/>
      <c r="G284"/>
      <c r="H284"/>
      <c r="I284"/>
      <c r="J284"/>
      <c r="K284"/>
    </row>
    <row r="285" spans="6:11" ht="14.25" customHeight="1" x14ac:dyDescent="0.25">
      <c r="F285"/>
      <c r="G285"/>
      <c r="H285"/>
      <c r="I285"/>
      <c r="J285"/>
      <c r="K285"/>
    </row>
    <row r="286" spans="6:11" ht="14.25" customHeight="1" x14ac:dyDescent="0.25">
      <c r="F286"/>
      <c r="G286"/>
      <c r="H286"/>
      <c r="I286"/>
      <c r="J286"/>
      <c r="K286"/>
    </row>
    <row r="287" spans="6:11" ht="14.25" customHeight="1" x14ac:dyDescent="0.25">
      <c r="F287"/>
      <c r="G287"/>
      <c r="H287"/>
      <c r="I287"/>
      <c r="J287"/>
      <c r="K287"/>
    </row>
    <row r="288" spans="6:11" ht="14.25" customHeight="1" x14ac:dyDescent="0.25">
      <c r="F288"/>
      <c r="G288"/>
      <c r="H288"/>
      <c r="I288"/>
      <c r="J288"/>
      <c r="K288"/>
    </row>
    <row r="289" spans="6:11" ht="14.25" customHeight="1" x14ac:dyDescent="0.25">
      <c r="F289"/>
      <c r="G289"/>
      <c r="H289"/>
      <c r="I289"/>
      <c r="J289"/>
      <c r="K289"/>
    </row>
    <row r="290" spans="6:11" ht="14.25" customHeight="1" x14ac:dyDescent="0.25">
      <c r="F290"/>
      <c r="G290"/>
      <c r="H290"/>
      <c r="I290"/>
      <c r="J290"/>
      <c r="K290"/>
    </row>
    <row r="291" spans="6:11" ht="14.25" customHeight="1" x14ac:dyDescent="0.25">
      <c r="F291"/>
      <c r="G291"/>
      <c r="H291"/>
      <c r="I291"/>
      <c r="J291"/>
      <c r="K291"/>
    </row>
    <row r="292" spans="6:11" ht="14.25" customHeight="1" x14ac:dyDescent="0.25">
      <c r="F292"/>
      <c r="G292"/>
      <c r="H292"/>
      <c r="I292"/>
      <c r="J292"/>
      <c r="K292"/>
    </row>
    <row r="293" spans="6:11" ht="14.25" customHeight="1" x14ac:dyDescent="0.25">
      <c r="F293"/>
      <c r="G293"/>
      <c r="H293"/>
      <c r="I293"/>
      <c r="J293"/>
      <c r="K293"/>
    </row>
    <row r="294" spans="6:11" ht="14.25" customHeight="1" x14ac:dyDescent="0.25">
      <c r="F294"/>
      <c r="G294"/>
      <c r="H294"/>
      <c r="I294"/>
      <c r="J294"/>
      <c r="K294"/>
    </row>
    <row r="295" spans="6:11" ht="14.25" customHeight="1" x14ac:dyDescent="0.25">
      <c r="F295"/>
      <c r="G295"/>
      <c r="H295"/>
      <c r="I295"/>
      <c r="J295"/>
      <c r="K295"/>
    </row>
    <row r="296" spans="6:11" ht="14.25" customHeight="1" x14ac:dyDescent="0.25">
      <c r="F296"/>
      <c r="G296"/>
      <c r="H296"/>
      <c r="I296"/>
      <c r="J296"/>
      <c r="K296"/>
    </row>
    <row r="297" spans="6:11" ht="14.25" customHeight="1" x14ac:dyDescent="0.25">
      <c r="F297"/>
      <c r="G297"/>
      <c r="H297"/>
      <c r="I297"/>
      <c r="J297"/>
      <c r="K297"/>
    </row>
    <row r="298" spans="6:11" ht="14.25" customHeight="1" x14ac:dyDescent="0.25">
      <c r="F298"/>
      <c r="G298"/>
      <c r="H298"/>
      <c r="I298"/>
      <c r="J298"/>
      <c r="K298"/>
    </row>
    <row r="299" spans="6:11" ht="14.25" customHeight="1" x14ac:dyDescent="0.25">
      <c r="F299"/>
      <c r="G299"/>
      <c r="H299"/>
      <c r="I299"/>
      <c r="J299"/>
      <c r="K299"/>
    </row>
    <row r="300" spans="6:11" ht="14.25" customHeight="1" x14ac:dyDescent="0.25">
      <c r="F300"/>
      <c r="G300"/>
      <c r="H300"/>
      <c r="I300"/>
      <c r="J300"/>
      <c r="K300"/>
    </row>
    <row r="301" spans="6:11" ht="14.25" customHeight="1" x14ac:dyDescent="0.25">
      <c r="F301"/>
      <c r="G301"/>
      <c r="H301"/>
      <c r="I301"/>
      <c r="J301"/>
      <c r="K301"/>
    </row>
    <row r="302" spans="6:11" ht="14.25" customHeight="1" x14ac:dyDescent="0.25">
      <c r="F302"/>
      <c r="G302"/>
      <c r="H302"/>
      <c r="I302"/>
      <c r="J302"/>
      <c r="K302"/>
    </row>
    <row r="303" spans="6:11" ht="14.25" customHeight="1" x14ac:dyDescent="0.25">
      <c r="F303"/>
      <c r="G303"/>
      <c r="H303"/>
      <c r="I303"/>
      <c r="J303"/>
      <c r="K303"/>
    </row>
    <row r="304" spans="6:11" ht="14.25" customHeight="1" x14ac:dyDescent="0.25">
      <c r="F304"/>
      <c r="G304"/>
      <c r="H304"/>
      <c r="I304"/>
      <c r="J304"/>
      <c r="K304"/>
    </row>
    <row r="305" spans="6:11" ht="14.25" customHeight="1" x14ac:dyDescent="0.25">
      <c r="F305"/>
      <c r="G305"/>
      <c r="H305"/>
      <c r="I305"/>
      <c r="J305"/>
      <c r="K305"/>
    </row>
    <row r="306" spans="6:11" ht="14.25" customHeight="1" x14ac:dyDescent="0.25">
      <c r="F306"/>
      <c r="G306"/>
      <c r="H306"/>
      <c r="I306"/>
      <c r="J306"/>
      <c r="K306"/>
    </row>
    <row r="307" spans="6:11" ht="14.25" customHeight="1" x14ac:dyDescent="0.25">
      <c r="F307"/>
      <c r="G307"/>
      <c r="H307"/>
      <c r="I307"/>
      <c r="J307"/>
      <c r="K307"/>
    </row>
    <row r="308" spans="6:11" ht="14.25" customHeight="1" x14ac:dyDescent="0.25">
      <c r="F308"/>
      <c r="G308"/>
      <c r="H308"/>
      <c r="I308"/>
      <c r="J308"/>
      <c r="K308"/>
    </row>
    <row r="309" spans="6:11" ht="14.25" customHeight="1" x14ac:dyDescent="0.25">
      <c r="F309"/>
      <c r="G309"/>
      <c r="H309"/>
      <c r="I309"/>
      <c r="J309"/>
      <c r="K309"/>
    </row>
    <row r="310" spans="6:11" ht="14.25" customHeight="1" x14ac:dyDescent="0.25">
      <c r="F310"/>
      <c r="G310"/>
      <c r="H310"/>
      <c r="I310"/>
      <c r="J310"/>
      <c r="K310"/>
    </row>
    <row r="311" spans="6:11" ht="14.25" customHeight="1" x14ac:dyDescent="0.25">
      <c r="F311"/>
      <c r="G311"/>
      <c r="H311"/>
      <c r="I311"/>
      <c r="J311"/>
      <c r="K311"/>
    </row>
    <row r="312" spans="6:11" ht="14.25" customHeight="1" x14ac:dyDescent="0.25">
      <c r="F312"/>
      <c r="G312"/>
      <c r="H312"/>
      <c r="I312"/>
      <c r="J312"/>
      <c r="K312"/>
    </row>
    <row r="313" spans="6:11" ht="14.25" customHeight="1" x14ac:dyDescent="0.25">
      <c r="F313"/>
      <c r="G313"/>
      <c r="H313"/>
      <c r="I313"/>
      <c r="J313"/>
      <c r="K313"/>
    </row>
    <row r="314" spans="6:11" ht="14.25" customHeight="1" x14ac:dyDescent="0.25">
      <c r="F314"/>
      <c r="G314"/>
      <c r="H314"/>
      <c r="I314"/>
      <c r="J314"/>
      <c r="K314"/>
    </row>
    <row r="315" spans="6:11" ht="14.25" customHeight="1" x14ac:dyDescent="0.25">
      <c r="F315"/>
      <c r="G315"/>
      <c r="H315"/>
      <c r="I315"/>
      <c r="J315"/>
      <c r="K315"/>
    </row>
    <row r="316" spans="6:11" ht="14.25" customHeight="1" x14ac:dyDescent="0.25">
      <c r="F316"/>
      <c r="G316"/>
      <c r="H316"/>
      <c r="I316"/>
      <c r="J316"/>
      <c r="K316"/>
    </row>
    <row r="317" spans="6:11" ht="14.25" customHeight="1" x14ac:dyDescent="0.25">
      <c r="F317"/>
      <c r="G317"/>
      <c r="H317"/>
      <c r="I317"/>
      <c r="J317"/>
      <c r="K317"/>
    </row>
    <row r="318" spans="6:11" ht="14.25" customHeight="1" x14ac:dyDescent="0.25">
      <c r="F318"/>
      <c r="G318"/>
      <c r="H318"/>
      <c r="I318"/>
      <c r="J318"/>
      <c r="K318"/>
    </row>
    <row r="319" spans="6:11" ht="14.25" customHeight="1" x14ac:dyDescent="0.25">
      <c r="F319"/>
      <c r="G319"/>
      <c r="H319"/>
      <c r="I319"/>
      <c r="J319"/>
      <c r="K319"/>
    </row>
    <row r="320" spans="6:11" ht="14.25" customHeight="1" x14ac:dyDescent="0.25">
      <c r="F320"/>
      <c r="G320"/>
      <c r="H320"/>
      <c r="I320"/>
      <c r="J320"/>
      <c r="K320"/>
    </row>
    <row r="321" spans="6:11" ht="14.25" customHeight="1" x14ac:dyDescent="0.25">
      <c r="F321"/>
      <c r="G321"/>
      <c r="H321"/>
      <c r="I321"/>
      <c r="J321"/>
      <c r="K321"/>
    </row>
    <row r="322" spans="6:11" ht="14.25" customHeight="1" x14ac:dyDescent="0.25">
      <c r="F322"/>
      <c r="G322"/>
      <c r="H322"/>
      <c r="I322"/>
      <c r="J322"/>
      <c r="K322"/>
    </row>
    <row r="323" spans="6:11" ht="14.25" customHeight="1" x14ac:dyDescent="0.25">
      <c r="F323"/>
      <c r="G323"/>
      <c r="H323"/>
      <c r="I323"/>
      <c r="J323"/>
      <c r="K323"/>
    </row>
    <row r="324" spans="6:11" ht="14.25" customHeight="1" x14ac:dyDescent="0.25">
      <c r="F324"/>
      <c r="G324"/>
      <c r="H324"/>
      <c r="I324"/>
      <c r="J324"/>
      <c r="K324"/>
    </row>
    <row r="325" spans="6:11" ht="14.25" customHeight="1" x14ac:dyDescent="0.25">
      <c r="F325"/>
      <c r="G325"/>
      <c r="H325"/>
      <c r="I325"/>
      <c r="J325"/>
      <c r="K325"/>
    </row>
    <row r="326" spans="6:11" ht="14.25" customHeight="1" x14ac:dyDescent="0.25">
      <c r="F326"/>
      <c r="G326"/>
      <c r="H326"/>
      <c r="I326"/>
      <c r="J326"/>
      <c r="K326"/>
    </row>
    <row r="327" spans="6:11" ht="14.25" customHeight="1" x14ac:dyDescent="0.25">
      <c r="F327"/>
      <c r="G327"/>
      <c r="H327"/>
      <c r="I327"/>
      <c r="J327"/>
      <c r="K327"/>
    </row>
    <row r="328" spans="6:11" ht="14.25" customHeight="1" x14ac:dyDescent="0.25">
      <c r="F328"/>
      <c r="G328"/>
      <c r="H328"/>
      <c r="I328"/>
      <c r="J328"/>
      <c r="K328"/>
    </row>
    <row r="329" spans="6:11" ht="14.25" customHeight="1" x14ac:dyDescent="0.25">
      <c r="F329"/>
      <c r="G329"/>
      <c r="H329"/>
      <c r="I329"/>
      <c r="J329"/>
      <c r="K329"/>
    </row>
    <row r="330" spans="6:11" ht="14.25" customHeight="1" x14ac:dyDescent="0.25">
      <c r="F330"/>
      <c r="G330"/>
      <c r="H330"/>
      <c r="I330"/>
      <c r="J330"/>
      <c r="K330"/>
    </row>
    <row r="331" spans="6:11" ht="14.25" customHeight="1" x14ac:dyDescent="0.25">
      <c r="F331"/>
      <c r="G331"/>
      <c r="H331"/>
      <c r="I331"/>
      <c r="J331"/>
      <c r="K331"/>
    </row>
    <row r="332" spans="6:11" ht="14.25" customHeight="1" x14ac:dyDescent="0.25">
      <c r="F332"/>
      <c r="G332"/>
      <c r="H332"/>
      <c r="I332"/>
      <c r="J332"/>
      <c r="K332"/>
    </row>
    <row r="333" spans="6:11" ht="14.25" customHeight="1" x14ac:dyDescent="0.25">
      <c r="F333"/>
      <c r="G333"/>
      <c r="H333"/>
      <c r="I333"/>
      <c r="J333"/>
      <c r="K333"/>
    </row>
    <row r="334" spans="6:11" ht="14.25" customHeight="1" x14ac:dyDescent="0.25">
      <c r="F334"/>
      <c r="G334"/>
      <c r="H334"/>
      <c r="I334"/>
      <c r="J334"/>
      <c r="K334"/>
    </row>
    <row r="335" spans="6:11" ht="14.25" customHeight="1" x14ac:dyDescent="0.25">
      <c r="F335"/>
      <c r="G335"/>
      <c r="H335"/>
      <c r="I335"/>
      <c r="J335"/>
      <c r="K335"/>
    </row>
    <row r="336" spans="6:11" ht="14.25" customHeight="1" x14ac:dyDescent="0.25">
      <c r="F336"/>
      <c r="G336"/>
      <c r="H336"/>
      <c r="I336"/>
      <c r="J336"/>
      <c r="K336"/>
    </row>
    <row r="337" spans="6:11" ht="14.25" customHeight="1" x14ac:dyDescent="0.25">
      <c r="F337"/>
      <c r="G337"/>
      <c r="H337"/>
      <c r="I337"/>
      <c r="J337"/>
      <c r="K337"/>
    </row>
    <row r="338" spans="6:11" ht="14.25" customHeight="1" x14ac:dyDescent="0.25">
      <c r="F338"/>
      <c r="G338"/>
      <c r="H338"/>
      <c r="I338"/>
      <c r="J338"/>
      <c r="K338"/>
    </row>
    <row r="339" spans="6:11" ht="14.25" customHeight="1" x14ac:dyDescent="0.25">
      <c r="F339"/>
      <c r="G339"/>
      <c r="H339"/>
      <c r="I339"/>
      <c r="J339"/>
      <c r="K339"/>
    </row>
    <row r="340" spans="6:11" ht="14.25" customHeight="1" x14ac:dyDescent="0.25">
      <c r="F340"/>
      <c r="G340"/>
      <c r="H340"/>
      <c r="I340"/>
      <c r="J340"/>
      <c r="K340"/>
    </row>
    <row r="341" spans="6:11" ht="14.25" customHeight="1" x14ac:dyDescent="0.25">
      <c r="F341"/>
      <c r="G341"/>
      <c r="H341"/>
      <c r="I341"/>
      <c r="J341"/>
      <c r="K341"/>
    </row>
    <row r="342" spans="6:11" ht="14.25" customHeight="1" x14ac:dyDescent="0.25">
      <c r="F342"/>
      <c r="G342"/>
      <c r="H342"/>
      <c r="I342"/>
      <c r="J342"/>
      <c r="K342"/>
    </row>
    <row r="343" spans="6:11" ht="14.25" customHeight="1" x14ac:dyDescent="0.25">
      <c r="F343"/>
      <c r="G343"/>
      <c r="H343"/>
      <c r="I343"/>
      <c r="J343"/>
      <c r="K343"/>
    </row>
    <row r="344" spans="6:11" ht="14.25" customHeight="1" x14ac:dyDescent="0.25">
      <c r="F344"/>
      <c r="G344"/>
      <c r="H344"/>
      <c r="I344"/>
      <c r="J344"/>
      <c r="K344"/>
    </row>
    <row r="345" spans="6:11" ht="14.25" customHeight="1" x14ac:dyDescent="0.25">
      <c r="F345"/>
      <c r="G345"/>
      <c r="H345"/>
      <c r="I345"/>
      <c r="J345"/>
      <c r="K345"/>
    </row>
    <row r="346" spans="6:11" ht="14.25" customHeight="1" x14ac:dyDescent="0.25">
      <c r="F346"/>
      <c r="G346"/>
      <c r="H346"/>
      <c r="I346"/>
      <c r="J346"/>
      <c r="K346"/>
    </row>
    <row r="347" spans="6:11" ht="14.25" customHeight="1" x14ac:dyDescent="0.25">
      <c r="F347"/>
      <c r="G347"/>
      <c r="H347"/>
      <c r="I347"/>
      <c r="J347"/>
      <c r="K347"/>
    </row>
    <row r="348" spans="6:11" ht="14.25" customHeight="1" x14ac:dyDescent="0.25">
      <c r="F348"/>
      <c r="G348"/>
      <c r="H348"/>
      <c r="I348"/>
      <c r="J348"/>
      <c r="K348"/>
    </row>
    <row r="349" spans="6:11" ht="14.25" customHeight="1" x14ac:dyDescent="0.25">
      <c r="F349"/>
      <c r="G349"/>
      <c r="H349"/>
      <c r="I349"/>
      <c r="J349"/>
      <c r="K349"/>
    </row>
    <row r="350" spans="6:11" ht="14.25" customHeight="1" x14ac:dyDescent="0.25">
      <c r="F350"/>
      <c r="G350"/>
      <c r="H350"/>
      <c r="I350"/>
      <c r="J350"/>
      <c r="K350"/>
    </row>
    <row r="351" spans="6:11" ht="14.25" customHeight="1" x14ac:dyDescent="0.25">
      <c r="F351"/>
      <c r="G351"/>
      <c r="H351"/>
      <c r="I351"/>
      <c r="J351"/>
      <c r="K351"/>
    </row>
    <row r="352" spans="6:11" ht="14.25" customHeight="1" x14ac:dyDescent="0.25">
      <c r="F352"/>
      <c r="G352"/>
      <c r="H352"/>
      <c r="I352"/>
      <c r="J352"/>
      <c r="K352"/>
    </row>
    <row r="353" spans="6:11" ht="14.25" customHeight="1" x14ac:dyDescent="0.25">
      <c r="F353"/>
      <c r="G353"/>
      <c r="H353"/>
      <c r="I353"/>
      <c r="J353"/>
      <c r="K353"/>
    </row>
    <row r="354" spans="6:11" ht="14.25" customHeight="1" x14ac:dyDescent="0.25">
      <c r="F354"/>
      <c r="G354"/>
      <c r="H354"/>
      <c r="I354"/>
      <c r="J354"/>
      <c r="K354"/>
    </row>
    <row r="355" spans="6:11" ht="14.25" customHeight="1" x14ac:dyDescent="0.25">
      <c r="F355"/>
      <c r="G355"/>
      <c r="H355"/>
      <c r="I355"/>
      <c r="J355"/>
      <c r="K355"/>
    </row>
    <row r="356" spans="6:11" ht="14.25" customHeight="1" x14ac:dyDescent="0.25">
      <c r="F356"/>
      <c r="G356"/>
      <c r="H356"/>
      <c r="I356"/>
      <c r="J356"/>
      <c r="K356"/>
    </row>
    <row r="357" spans="6:11" ht="14.25" customHeight="1" x14ac:dyDescent="0.25">
      <c r="F357"/>
      <c r="G357"/>
      <c r="H357"/>
      <c r="I357"/>
      <c r="J357"/>
      <c r="K357"/>
    </row>
    <row r="358" spans="6:11" ht="14.25" customHeight="1" x14ac:dyDescent="0.25">
      <c r="F358"/>
      <c r="G358"/>
      <c r="H358"/>
      <c r="I358"/>
      <c r="J358"/>
      <c r="K358"/>
    </row>
    <row r="359" spans="6:11" ht="14.25" customHeight="1" x14ac:dyDescent="0.25">
      <c r="F359"/>
      <c r="G359"/>
      <c r="H359"/>
      <c r="I359"/>
      <c r="J359"/>
      <c r="K359"/>
    </row>
    <row r="360" spans="6:11" ht="14.25" customHeight="1" x14ac:dyDescent="0.25">
      <c r="F360"/>
      <c r="G360"/>
      <c r="H360"/>
      <c r="I360"/>
      <c r="J360"/>
      <c r="K360"/>
    </row>
    <row r="361" spans="6:11" ht="14.25" customHeight="1" x14ac:dyDescent="0.25">
      <c r="F361"/>
      <c r="G361"/>
      <c r="H361"/>
      <c r="I361"/>
      <c r="J361"/>
      <c r="K361"/>
    </row>
    <row r="362" spans="6:11" ht="14.25" customHeight="1" x14ac:dyDescent="0.25">
      <c r="F362"/>
      <c r="G362"/>
      <c r="H362"/>
      <c r="I362"/>
      <c r="J362"/>
      <c r="K362"/>
    </row>
    <row r="363" spans="6:11" ht="14.25" customHeight="1" x14ac:dyDescent="0.25">
      <c r="F363"/>
      <c r="G363"/>
      <c r="H363"/>
      <c r="I363"/>
      <c r="J363"/>
      <c r="K363"/>
    </row>
    <row r="364" spans="6:11" ht="14.25" customHeight="1" x14ac:dyDescent="0.25">
      <c r="F364"/>
      <c r="G364"/>
      <c r="H364"/>
      <c r="I364"/>
      <c r="J364"/>
      <c r="K364"/>
    </row>
    <row r="365" spans="6:11" ht="14.25" customHeight="1" x14ac:dyDescent="0.25">
      <c r="F365"/>
      <c r="G365"/>
      <c r="H365"/>
      <c r="I365"/>
      <c r="J365"/>
      <c r="K365"/>
    </row>
    <row r="366" spans="6:11" ht="14.25" customHeight="1" x14ac:dyDescent="0.25">
      <c r="F366"/>
      <c r="G366"/>
      <c r="H366"/>
      <c r="I366"/>
      <c r="J366"/>
      <c r="K366"/>
    </row>
    <row r="367" spans="6:11" ht="14.25" customHeight="1" x14ac:dyDescent="0.25">
      <c r="F367"/>
      <c r="G367"/>
      <c r="H367"/>
      <c r="I367"/>
      <c r="J367"/>
      <c r="K367"/>
    </row>
    <row r="368" spans="6:11" ht="14.25" customHeight="1" x14ac:dyDescent="0.25">
      <c r="F368"/>
      <c r="G368"/>
      <c r="H368"/>
      <c r="I368"/>
      <c r="J368"/>
      <c r="K368"/>
    </row>
    <row r="369" spans="6:11" ht="14.25" customHeight="1" x14ac:dyDescent="0.25">
      <c r="F369"/>
      <c r="G369"/>
      <c r="H369"/>
      <c r="I369"/>
      <c r="J369"/>
      <c r="K369"/>
    </row>
    <row r="370" spans="6:11" ht="14.25" customHeight="1" x14ac:dyDescent="0.25">
      <c r="F370"/>
      <c r="G370"/>
      <c r="H370"/>
      <c r="I370"/>
      <c r="J370"/>
      <c r="K370"/>
    </row>
    <row r="371" spans="6:11" ht="14.25" customHeight="1" x14ac:dyDescent="0.25">
      <c r="F371"/>
      <c r="G371"/>
      <c r="H371"/>
      <c r="I371"/>
      <c r="J371"/>
      <c r="K371"/>
    </row>
    <row r="372" spans="6:11" ht="14.25" customHeight="1" x14ac:dyDescent="0.25">
      <c r="F372"/>
      <c r="G372"/>
      <c r="H372"/>
      <c r="I372"/>
      <c r="J372"/>
      <c r="K372"/>
    </row>
    <row r="373" spans="6:11" ht="14.25" customHeight="1" x14ac:dyDescent="0.25">
      <c r="F373"/>
      <c r="G373"/>
      <c r="H373"/>
      <c r="I373"/>
      <c r="J373"/>
      <c r="K373"/>
    </row>
    <row r="374" spans="6:11" ht="14.25" customHeight="1" x14ac:dyDescent="0.25">
      <c r="F374"/>
      <c r="G374"/>
      <c r="H374"/>
      <c r="I374"/>
      <c r="J374"/>
      <c r="K374"/>
    </row>
    <row r="375" spans="6:11" ht="14.25" customHeight="1" x14ac:dyDescent="0.25">
      <c r="F375"/>
      <c r="G375"/>
      <c r="H375"/>
      <c r="I375"/>
      <c r="J375"/>
      <c r="K375"/>
    </row>
    <row r="376" spans="6:11" ht="14.25" customHeight="1" x14ac:dyDescent="0.25">
      <c r="F376"/>
      <c r="G376"/>
      <c r="H376"/>
      <c r="I376"/>
      <c r="J376"/>
      <c r="K376"/>
    </row>
    <row r="377" spans="6:11" ht="14.25" customHeight="1" x14ac:dyDescent="0.25">
      <c r="F377"/>
      <c r="G377"/>
      <c r="H377"/>
      <c r="I377"/>
      <c r="J377"/>
      <c r="K377"/>
    </row>
    <row r="378" spans="6:11" ht="14.25" customHeight="1" x14ac:dyDescent="0.25">
      <c r="F378"/>
      <c r="G378"/>
      <c r="H378"/>
      <c r="I378"/>
      <c r="J378"/>
      <c r="K378"/>
    </row>
    <row r="379" spans="6:11" ht="14.25" customHeight="1" x14ac:dyDescent="0.25">
      <c r="F379"/>
      <c r="G379"/>
      <c r="H379"/>
      <c r="I379"/>
      <c r="J379"/>
      <c r="K379"/>
    </row>
    <row r="380" spans="6:11" ht="14.25" customHeight="1" x14ac:dyDescent="0.25">
      <c r="F380"/>
      <c r="G380"/>
      <c r="H380"/>
      <c r="I380"/>
      <c r="J380"/>
      <c r="K380"/>
    </row>
    <row r="381" spans="6:11" ht="14.25" customHeight="1" x14ac:dyDescent="0.25">
      <c r="F381"/>
      <c r="G381"/>
      <c r="H381"/>
      <c r="I381"/>
      <c r="J381"/>
      <c r="K381"/>
    </row>
    <row r="382" spans="6:11" ht="14.25" customHeight="1" x14ac:dyDescent="0.25">
      <c r="F382"/>
      <c r="G382"/>
      <c r="H382"/>
      <c r="I382"/>
      <c r="J382"/>
      <c r="K382"/>
    </row>
    <row r="383" spans="6:11" ht="14.25" customHeight="1" x14ac:dyDescent="0.25">
      <c r="F383"/>
      <c r="G383"/>
      <c r="H383"/>
      <c r="I383"/>
      <c r="J383"/>
      <c r="K383"/>
    </row>
    <row r="384" spans="6:11" ht="14.25" customHeight="1" x14ac:dyDescent="0.25">
      <c r="F384"/>
      <c r="G384"/>
      <c r="H384"/>
      <c r="I384"/>
      <c r="J384"/>
      <c r="K384"/>
    </row>
    <row r="385" spans="6:11" ht="14.25" customHeight="1" x14ac:dyDescent="0.25">
      <c r="F385"/>
      <c r="G385"/>
      <c r="H385"/>
      <c r="I385"/>
      <c r="J385"/>
      <c r="K385"/>
    </row>
    <row r="386" spans="6:11" ht="14.25" customHeight="1" x14ac:dyDescent="0.25">
      <c r="F386"/>
      <c r="G386"/>
      <c r="H386"/>
      <c r="I386"/>
      <c r="J386"/>
      <c r="K386"/>
    </row>
    <row r="387" spans="6:11" ht="14.25" customHeight="1" x14ac:dyDescent="0.25">
      <c r="F387"/>
      <c r="G387"/>
      <c r="H387"/>
      <c r="I387"/>
      <c r="J387"/>
      <c r="K387"/>
    </row>
    <row r="388" spans="6:11" ht="14.25" customHeight="1" x14ac:dyDescent="0.25">
      <c r="F388"/>
      <c r="G388"/>
      <c r="H388"/>
      <c r="I388"/>
      <c r="J388"/>
      <c r="K388"/>
    </row>
    <row r="389" spans="6:11" ht="14.25" customHeight="1" x14ac:dyDescent="0.25">
      <c r="F389"/>
      <c r="G389"/>
      <c r="H389"/>
      <c r="I389"/>
      <c r="J389"/>
      <c r="K389"/>
    </row>
    <row r="390" spans="6:11" ht="14.25" customHeight="1" x14ac:dyDescent="0.25">
      <c r="F390"/>
      <c r="G390"/>
      <c r="H390"/>
      <c r="I390"/>
      <c r="J390"/>
      <c r="K390"/>
    </row>
    <row r="391" spans="6:11" ht="14.25" customHeight="1" x14ac:dyDescent="0.25">
      <c r="F391"/>
      <c r="G391"/>
      <c r="H391"/>
      <c r="I391"/>
      <c r="J391"/>
      <c r="K391"/>
    </row>
    <row r="392" spans="6:11" ht="14.25" customHeight="1" x14ac:dyDescent="0.25">
      <c r="F392"/>
      <c r="G392"/>
      <c r="H392"/>
      <c r="I392"/>
      <c r="J392"/>
      <c r="K392"/>
    </row>
    <row r="393" spans="6:11" ht="14.25" customHeight="1" x14ac:dyDescent="0.25">
      <c r="F393"/>
      <c r="G393"/>
      <c r="H393"/>
      <c r="I393"/>
      <c r="J393"/>
      <c r="K393"/>
    </row>
    <row r="394" spans="6:11" ht="14.25" customHeight="1" x14ac:dyDescent="0.25">
      <c r="F394"/>
      <c r="G394"/>
      <c r="H394"/>
      <c r="I394"/>
      <c r="J394"/>
      <c r="K394"/>
    </row>
    <row r="395" spans="6:11" ht="14.25" customHeight="1" x14ac:dyDescent="0.25">
      <c r="F395"/>
      <c r="G395"/>
      <c r="H395"/>
      <c r="I395"/>
      <c r="J395"/>
      <c r="K395"/>
    </row>
    <row r="396" spans="6:11" ht="14.25" customHeight="1" x14ac:dyDescent="0.25">
      <c r="F396"/>
      <c r="G396"/>
      <c r="H396"/>
      <c r="I396"/>
      <c r="J396"/>
      <c r="K396"/>
    </row>
    <row r="397" spans="6:11" ht="14.25" customHeight="1" x14ac:dyDescent="0.25">
      <c r="F397"/>
      <c r="G397"/>
      <c r="H397"/>
      <c r="I397"/>
      <c r="J397"/>
      <c r="K397"/>
    </row>
    <row r="398" spans="6:11" ht="14.25" customHeight="1" x14ac:dyDescent="0.25">
      <c r="F398"/>
      <c r="G398"/>
      <c r="H398"/>
      <c r="I398"/>
      <c r="J398"/>
      <c r="K398"/>
    </row>
    <row r="399" spans="6:11" ht="14.25" customHeight="1" x14ac:dyDescent="0.25">
      <c r="F399"/>
      <c r="G399"/>
      <c r="H399"/>
      <c r="I399"/>
      <c r="J399"/>
      <c r="K399"/>
    </row>
    <row r="400" spans="6:11" ht="14.25" customHeight="1" x14ac:dyDescent="0.25">
      <c r="F400"/>
      <c r="G400"/>
      <c r="H400"/>
      <c r="I400"/>
      <c r="J400"/>
      <c r="K400"/>
    </row>
    <row r="401" spans="6:11" ht="14.25" customHeight="1" x14ac:dyDescent="0.25">
      <c r="F401"/>
      <c r="G401"/>
      <c r="H401"/>
      <c r="I401"/>
      <c r="J401"/>
      <c r="K401"/>
    </row>
    <row r="402" spans="6:11" ht="14.25" customHeight="1" x14ac:dyDescent="0.25">
      <c r="F402"/>
      <c r="G402"/>
      <c r="H402"/>
      <c r="I402"/>
      <c r="J402"/>
      <c r="K402"/>
    </row>
    <row r="403" spans="6:11" ht="14.25" customHeight="1" x14ac:dyDescent="0.25">
      <c r="F403"/>
      <c r="G403"/>
      <c r="H403"/>
      <c r="I403"/>
      <c r="J403"/>
      <c r="K403"/>
    </row>
    <row r="404" spans="6:11" ht="14.25" customHeight="1" x14ac:dyDescent="0.25">
      <c r="F404"/>
      <c r="G404"/>
      <c r="H404"/>
      <c r="I404"/>
      <c r="J404"/>
      <c r="K404"/>
    </row>
    <row r="405" spans="6:11" ht="14.25" customHeight="1" x14ac:dyDescent="0.25">
      <c r="F405"/>
      <c r="G405"/>
      <c r="H405"/>
      <c r="I405"/>
      <c r="J405"/>
      <c r="K405"/>
    </row>
    <row r="406" spans="6:11" ht="14.25" customHeight="1" x14ac:dyDescent="0.25">
      <c r="F406"/>
      <c r="G406"/>
      <c r="H406"/>
      <c r="I406"/>
      <c r="J406"/>
      <c r="K406"/>
    </row>
    <row r="407" spans="6:11" ht="14.25" customHeight="1" x14ac:dyDescent="0.25">
      <c r="F407"/>
      <c r="G407"/>
      <c r="H407"/>
      <c r="I407"/>
      <c r="J407"/>
      <c r="K407"/>
    </row>
    <row r="408" spans="6:11" ht="14.25" customHeight="1" x14ac:dyDescent="0.25">
      <c r="F408"/>
      <c r="G408"/>
      <c r="H408"/>
      <c r="I408"/>
      <c r="J408"/>
      <c r="K408"/>
    </row>
    <row r="409" spans="6:11" ht="14.25" customHeight="1" x14ac:dyDescent="0.25">
      <c r="F409"/>
      <c r="G409"/>
      <c r="H409"/>
      <c r="I409"/>
      <c r="J409"/>
      <c r="K409"/>
    </row>
    <row r="410" spans="6:11" ht="14.25" customHeight="1" x14ac:dyDescent="0.25">
      <c r="F410"/>
      <c r="G410"/>
      <c r="H410"/>
      <c r="I410"/>
      <c r="J410"/>
      <c r="K410"/>
    </row>
    <row r="411" spans="6:11" ht="14.25" customHeight="1" x14ac:dyDescent="0.25">
      <c r="F411"/>
      <c r="G411"/>
      <c r="H411"/>
      <c r="I411"/>
      <c r="J411"/>
      <c r="K411"/>
    </row>
    <row r="412" spans="6:11" ht="14.25" customHeight="1" x14ac:dyDescent="0.25">
      <c r="F412"/>
      <c r="G412"/>
      <c r="H412"/>
      <c r="I412"/>
      <c r="J412"/>
      <c r="K412"/>
    </row>
    <row r="413" spans="6:11" ht="14.25" customHeight="1" x14ac:dyDescent="0.25">
      <c r="F413"/>
      <c r="G413"/>
      <c r="H413"/>
      <c r="I413"/>
      <c r="J413"/>
      <c r="K413"/>
    </row>
    <row r="414" spans="6:11" ht="14.25" customHeight="1" x14ac:dyDescent="0.25">
      <c r="F414"/>
      <c r="G414"/>
      <c r="H414"/>
      <c r="I414"/>
      <c r="J414"/>
      <c r="K414"/>
    </row>
    <row r="415" spans="6:11" ht="14.25" customHeight="1" x14ac:dyDescent="0.25">
      <c r="F415"/>
      <c r="G415"/>
      <c r="H415"/>
      <c r="I415"/>
      <c r="J415"/>
      <c r="K415"/>
    </row>
    <row r="416" spans="6:11" ht="14.25" customHeight="1" x14ac:dyDescent="0.25">
      <c r="F416"/>
      <c r="G416"/>
      <c r="H416"/>
      <c r="I416"/>
      <c r="J416"/>
      <c r="K416"/>
    </row>
    <row r="417" spans="6:11" ht="14.25" customHeight="1" x14ac:dyDescent="0.25">
      <c r="F417"/>
      <c r="G417"/>
      <c r="H417"/>
      <c r="I417"/>
      <c r="J417"/>
      <c r="K417"/>
    </row>
    <row r="418" spans="6:11" ht="14.25" customHeight="1" x14ac:dyDescent="0.25">
      <c r="F418"/>
      <c r="G418"/>
      <c r="H418"/>
      <c r="I418"/>
      <c r="J418"/>
      <c r="K418"/>
    </row>
    <row r="419" spans="6:11" ht="14.25" customHeight="1" x14ac:dyDescent="0.25">
      <c r="F419"/>
      <c r="G419"/>
      <c r="H419"/>
      <c r="I419"/>
      <c r="J419"/>
      <c r="K419"/>
    </row>
    <row r="420" spans="6:11" ht="14.25" customHeight="1" x14ac:dyDescent="0.25">
      <c r="F420"/>
      <c r="G420"/>
      <c r="H420"/>
      <c r="I420"/>
      <c r="J420"/>
      <c r="K420"/>
    </row>
    <row r="421" spans="6:11" ht="14.25" customHeight="1" x14ac:dyDescent="0.25">
      <c r="F421"/>
      <c r="G421"/>
      <c r="H421"/>
      <c r="I421"/>
      <c r="J421"/>
      <c r="K421"/>
    </row>
    <row r="422" spans="6:11" ht="14.25" customHeight="1" x14ac:dyDescent="0.25">
      <c r="F422"/>
      <c r="G422"/>
      <c r="H422"/>
      <c r="I422"/>
      <c r="J422"/>
      <c r="K422"/>
    </row>
    <row r="423" spans="6:11" ht="14.25" customHeight="1" x14ac:dyDescent="0.25">
      <c r="F423"/>
      <c r="G423"/>
      <c r="H423"/>
      <c r="I423"/>
      <c r="J423"/>
      <c r="K423"/>
    </row>
    <row r="424" spans="6:11" ht="14.25" customHeight="1" x14ac:dyDescent="0.25">
      <c r="F424"/>
      <c r="G424"/>
      <c r="H424"/>
      <c r="I424"/>
      <c r="J424"/>
      <c r="K424"/>
    </row>
    <row r="425" spans="6:11" ht="14.25" customHeight="1" x14ac:dyDescent="0.25">
      <c r="F425"/>
      <c r="G425"/>
      <c r="H425"/>
      <c r="I425"/>
      <c r="J425"/>
      <c r="K425"/>
    </row>
    <row r="426" spans="6:11" ht="14.25" customHeight="1" x14ac:dyDescent="0.25">
      <c r="F426"/>
      <c r="G426"/>
      <c r="H426"/>
      <c r="I426"/>
      <c r="J426"/>
      <c r="K426"/>
    </row>
    <row r="427" spans="6:11" ht="14.25" customHeight="1" x14ac:dyDescent="0.25">
      <c r="F427"/>
      <c r="G427"/>
      <c r="H427"/>
      <c r="I427"/>
      <c r="J427"/>
      <c r="K427"/>
    </row>
    <row r="428" spans="6:11" ht="14.25" customHeight="1" x14ac:dyDescent="0.25">
      <c r="F428"/>
      <c r="G428"/>
      <c r="H428"/>
      <c r="I428"/>
      <c r="J428"/>
      <c r="K428"/>
    </row>
    <row r="429" spans="6:11" ht="14.25" customHeight="1" x14ac:dyDescent="0.25">
      <c r="F429"/>
      <c r="G429"/>
      <c r="H429"/>
      <c r="I429"/>
      <c r="J429"/>
      <c r="K429"/>
    </row>
    <row r="430" spans="6:11" ht="14.25" customHeight="1" x14ac:dyDescent="0.25">
      <c r="F430"/>
      <c r="G430"/>
      <c r="H430"/>
      <c r="I430"/>
      <c r="J430"/>
      <c r="K430"/>
    </row>
    <row r="431" spans="6:11" ht="14.25" customHeight="1" x14ac:dyDescent="0.25">
      <c r="F431"/>
      <c r="G431"/>
      <c r="H431"/>
      <c r="I431"/>
      <c r="J431"/>
      <c r="K431"/>
    </row>
    <row r="432" spans="6:11" ht="14.25" customHeight="1" x14ac:dyDescent="0.25">
      <c r="F432"/>
      <c r="G432"/>
      <c r="H432"/>
      <c r="I432"/>
      <c r="J432"/>
      <c r="K432"/>
    </row>
    <row r="433" spans="6:11" ht="14.25" customHeight="1" x14ac:dyDescent="0.25">
      <c r="F433"/>
      <c r="G433"/>
      <c r="H433"/>
      <c r="I433"/>
      <c r="J433"/>
      <c r="K433"/>
    </row>
    <row r="434" spans="6:11" ht="14.25" customHeight="1" x14ac:dyDescent="0.25">
      <c r="F434"/>
      <c r="G434"/>
      <c r="H434"/>
      <c r="I434"/>
      <c r="J434"/>
      <c r="K434"/>
    </row>
    <row r="435" spans="6:11" ht="14.25" customHeight="1" x14ac:dyDescent="0.25">
      <c r="F435"/>
      <c r="G435"/>
      <c r="H435"/>
      <c r="I435"/>
      <c r="J435"/>
      <c r="K435"/>
    </row>
    <row r="436" spans="6:11" ht="14.25" customHeight="1" x14ac:dyDescent="0.25">
      <c r="F436"/>
      <c r="G436"/>
      <c r="H436"/>
      <c r="I436"/>
      <c r="J436"/>
      <c r="K436"/>
    </row>
    <row r="437" spans="6:11" ht="14.25" customHeight="1" x14ac:dyDescent="0.25">
      <c r="F437"/>
      <c r="G437"/>
      <c r="H437"/>
      <c r="I437"/>
      <c r="J437"/>
      <c r="K437"/>
    </row>
    <row r="438" spans="6:11" ht="14.25" customHeight="1" x14ac:dyDescent="0.25">
      <c r="F438"/>
      <c r="G438"/>
      <c r="H438"/>
      <c r="I438"/>
      <c r="J438"/>
      <c r="K438"/>
    </row>
    <row r="439" spans="6:11" ht="14.25" customHeight="1" x14ac:dyDescent="0.25">
      <c r="F439"/>
      <c r="G439"/>
      <c r="H439"/>
      <c r="I439"/>
      <c r="J439"/>
      <c r="K439"/>
    </row>
    <row r="440" spans="6:11" ht="14.25" customHeight="1" x14ac:dyDescent="0.25">
      <c r="F440"/>
      <c r="G440"/>
      <c r="H440"/>
      <c r="I440"/>
      <c r="J440"/>
      <c r="K440"/>
    </row>
    <row r="441" spans="6:11" ht="14.25" customHeight="1" x14ac:dyDescent="0.25">
      <c r="F441"/>
      <c r="G441"/>
      <c r="H441"/>
      <c r="I441"/>
      <c r="J441"/>
      <c r="K441"/>
    </row>
    <row r="442" spans="6:11" ht="14.25" customHeight="1" x14ac:dyDescent="0.25">
      <c r="F442"/>
      <c r="G442"/>
      <c r="H442"/>
      <c r="I442"/>
      <c r="J442"/>
      <c r="K442"/>
    </row>
    <row r="443" spans="6:11" ht="14.25" customHeight="1" x14ac:dyDescent="0.25">
      <c r="F443"/>
      <c r="G443"/>
      <c r="H443"/>
      <c r="I443"/>
      <c r="J443"/>
      <c r="K443"/>
    </row>
    <row r="444" spans="6:11" ht="14.25" customHeight="1" x14ac:dyDescent="0.25">
      <c r="F444"/>
      <c r="G444"/>
      <c r="H444"/>
      <c r="I444"/>
      <c r="J444"/>
      <c r="K444"/>
    </row>
    <row r="445" spans="6:11" ht="14.25" customHeight="1" x14ac:dyDescent="0.25">
      <c r="F445"/>
      <c r="G445"/>
      <c r="H445"/>
      <c r="I445"/>
      <c r="J445"/>
      <c r="K445"/>
    </row>
    <row r="446" spans="6:11" ht="14.25" customHeight="1" x14ac:dyDescent="0.25">
      <c r="F446"/>
      <c r="G446"/>
      <c r="H446"/>
      <c r="I446"/>
      <c r="J446"/>
      <c r="K446"/>
    </row>
    <row r="447" spans="6:11" ht="14.25" customHeight="1" x14ac:dyDescent="0.25">
      <c r="F447"/>
      <c r="G447"/>
      <c r="H447"/>
      <c r="I447"/>
      <c r="J447"/>
      <c r="K447"/>
    </row>
    <row r="448" spans="6:11" ht="14.25" customHeight="1" x14ac:dyDescent="0.25">
      <c r="F448"/>
      <c r="G448"/>
      <c r="H448"/>
      <c r="I448"/>
      <c r="J448"/>
      <c r="K448"/>
    </row>
    <row r="449" spans="6:11" ht="14.25" customHeight="1" x14ac:dyDescent="0.25">
      <c r="F449"/>
      <c r="G449"/>
      <c r="H449"/>
      <c r="I449"/>
      <c r="J449"/>
      <c r="K449"/>
    </row>
    <row r="450" spans="6:11" ht="14.25" customHeight="1" x14ac:dyDescent="0.25">
      <c r="F450"/>
      <c r="G450"/>
      <c r="H450"/>
      <c r="I450"/>
      <c r="J450"/>
      <c r="K450"/>
    </row>
    <row r="451" spans="6:11" ht="14.25" customHeight="1" x14ac:dyDescent="0.25">
      <c r="F451"/>
      <c r="G451"/>
      <c r="H451"/>
      <c r="I451"/>
      <c r="J451"/>
      <c r="K451"/>
    </row>
    <row r="452" spans="6:11" ht="14.25" customHeight="1" x14ac:dyDescent="0.25">
      <c r="F452"/>
      <c r="G452"/>
      <c r="H452"/>
      <c r="I452"/>
      <c r="J452"/>
      <c r="K452"/>
    </row>
    <row r="453" spans="6:11" ht="14.25" customHeight="1" x14ac:dyDescent="0.25">
      <c r="F453"/>
      <c r="G453"/>
      <c r="H453"/>
      <c r="I453"/>
      <c r="J453"/>
      <c r="K453"/>
    </row>
    <row r="454" spans="6:11" ht="14.25" customHeight="1" x14ac:dyDescent="0.25">
      <c r="F454"/>
      <c r="G454"/>
      <c r="H454"/>
      <c r="I454"/>
      <c r="J454"/>
      <c r="K454"/>
    </row>
    <row r="455" spans="6:11" ht="14.25" customHeight="1" x14ac:dyDescent="0.25">
      <c r="F455"/>
      <c r="G455"/>
      <c r="H455"/>
      <c r="I455"/>
      <c r="J455"/>
      <c r="K455"/>
    </row>
    <row r="456" spans="6:11" ht="14.25" customHeight="1" x14ac:dyDescent="0.25">
      <c r="F456"/>
      <c r="G456"/>
      <c r="H456"/>
      <c r="I456"/>
      <c r="J456"/>
      <c r="K456"/>
    </row>
    <row r="457" spans="6:11" ht="14.25" customHeight="1" x14ac:dyDescent="0.25">
      <c r="F457"/>
      <c r="G457"/>
      <c r="H457"/>
      <c r="I457"/>
      <c r="J457"/>
      <c r="K457"/>
    </row>
    <row r="458" spans="6:11" ht="14.25" customHeight="1" x14ac:dyDescent="0.25">
      <c r="F458"/>
      <c r="G458"/>
      <c r="H458"/>
      <c r="I458"/>
      <c r="J458"/>
      <c r="K458"/>
    </row>
    <row r="459" spans="6:11" ht="14.25" customHeight="1" x14ac:dyDescent="0.25">
      <c r="F459"/>
      <c r="G459"/>
      <c r="H459"/>
      <c r="I459"/>
      <c r="J459"/>
      <c r="K459"/>
    </row>
    <row r="460" spans="6:11" ht="14.25" customHeight="1" x14ac:dyDescent="0.25">
      <c r="F460"/>
      <c r="G460"/>
      <c r="H460"/>
      <c r="I460"/>
      <c r="J460"/>
      <c r="K460"/>
    </row>
    <row r="461" spans="6:11" ht="14.25" customHeight="1" x14ac:dyDescent="0.25">
      <c r="F461"/>
      <c r="G461"/>
      <c r="H461"/>
      <c r="I461"/>
      <c r="J461"/>
      <c r="K461"/>
    </row>
    <row r="462" spans="6:11" ht="14.25" customHeight="1" x14ac:dyDescent="0.25">
      <c r="F462"/>
      <c r="G462"/>
      <c r="H462"/>
      <c r="I462"/>
      <c r="J462"/>
      <c r="K462"/>
    </row>
    <row r="463" spans="6:11" ht="14.25" customHeight="1" x14ac:dyDescent="0.25">
      <c r="F463"/>
      <c r="G463"/>
      <c r="H463"/>
      <c r="I463"/>
      <c r="J463"/>
      <c r="K463"/>
    </row>
    <row r="464" spans="6:11" ht="14.25" customHeight="1" x14ac:dyDescent="0.25">
      <c r="F464"/>
      <c r="G464"/>
      <c r="H464"/>
      <c r="I464"/>
      <c r="J464"/>
      <c r="K464"/>
    </row>
    <row r="465" spans="6:11" ht="14.25" customHeight="1" x14ac:dyDescent="0.25">
      <c r="F465"/>
      <c r="G465"/>
      <c r="H465"/>
      <c r="I465"/>
      <c r="J465"/>
      <c r="K465"/>
    </row>
    <row r="466" spans="6:11" ht="14.25" customHeight="1" x14ac:dyDescent="0.25">
      <c r="F466"/>
      <c r="G466"/>
      <c r="H466"/>
      <c r="I466"/>
      <c r="J466"/>
      <c r="K466"/>
    </row>
    <row r="467" spans="6:11" ht="14.25" customHeight="1" x14ac:dyDescent="0.25">
      <c r="F467"/>
      <c r="G467"/>
      <c r="H467"/>
      <c r="I467"/>
      <c r="J467"/>
      <c r="K467"/>
    </row>
    <row r="468" spans="6:11" ht="14.25" customHeight="1" x14ac:dyDescent="0.25">
      <c r="F468"/>
      <c r="G468"/>
      <c r="H468"/>
      <c r="I468"/>
      <c r="J468"/>
      <c r="K468"/>
    </row>
    <row r="469" spans="6:11" ht="14.25" customHeight="1" x14ac:dyDescent="0.25">
      <c r="F469"/>
      <c r="G469"/>
      <c r="H469"/>
      <c r="I469"/>
      <c r="J469"/>
      <c r="K469"/>
    </row>
    <row r="470" spans="6:11" ht="14.25" customHeight="1" x14ac:dyDescent="0.25">
      <c r="F470"/>
      <c r="G470"/>
      <c r="H470"/>
      <c r="I470"/>
      <c r="J470"/>
      <c r="K470"/>
    </row>
    <row r="471" spans="6:11" ht="14.25" customHeight="1" x14ac:dyDescent="0.25">
      <c r="F471"/>
      <c r="G471"/>
      <c r="H471"/>
      <c r="I471"/>
      <c r="J471"/>
      <c r="K471"/>
    </row>
    <row r="472" spans="6:11" ht="14.25" customHeight="1" x14ac:dyDescent="0.25">
      <c r="F472"/>
      <c r="G472"/>
      <c r="H472"/>
      <c r="I472"/>
      <c r="J472"/>
      <c r="K472"/>
    </row>
    <row r="473" spans="6:11" ht="14.25" customHeight="1" x14ac:dyDescent="0.25">
      <c r="F473"/>
      <c r="G473"/>
      <c r="H473"/>
      <c r="I473"/>
      <c r="J473"/>
      <c r="K473"/>
    </row>
    <row r="474" spans="6:11" ht="14.25" customHeight="1" x14ac:dyDescent="0.25">
      <c r="F474"/>
      <c r="G474"/>
      <c r="H474"/>
      <c r="I474"/>
      <c r="J474"/>
      <c r="K474"/>
    </row>
    <row r="475" spans="6:11" ht="14.25" customHeight="1" x14ac:dyDescent="0.25">
      <c r="F475"/>
      <c r="G475"/>
      <c r="H475"/>
      <c r="I475"/>
      <c r="J475"/>
      <c r="K475"/>
    </row>
    <row r="476" spans="6:11" ht="14.25" customHeight="1" x14ac:dyDescent="0.25">
      <c r="F476"/>
      <c r="G476"/>
      <c r="H476"/>
      <c r="I476"/>
      <c r="J476"/>
      <c r="K476"/>
    </row>
    <row r="477" spans="6:11" ht="14.25" customHeight="1" x14ac:dyDescent="0.25">
      <c r="F477"/>
      <c r="G477"/>
      <c r="H477"/>
      <c r="I477"/>
      <c r="J477"/>
      <c r="K477"/>
    </row>
    <row r="478" spans="6:11" ht="14.25" customHeight="1" x14ac:dyDescent="0.25">
      <c r="F478"/>
      <c r="G478"/>
      <c r="H478"/>
      <c r="I478"/>
      <c r="J478"/>
      <c r="K478"/>
    </row>
    <row r="479" spans="6:11" ht="14.25" customHeight="1" x14ac:dyDescent="0.25">
      <c r="F479"/>
      <c r="G479"/>
      <c r="H479"/>
      <c r="I479"/>
      <c r="J479"/>
      <c r="K479"/>
    </row>
    <row r="480" spans="6:11" ht="14.25" customHeight="1" x14ac:dyDescent="0.25">
      <c r="F480"/>
      <c r="G480"/>
      <c r="H480"/>
      <c r="I480"/>
      <c r="J480"/>
      <c r="K480"/>
    </row>
    <row r="481" spans="6:11" ht="14.25" customHeight="1" x14ac:dyDescent="0.25">
      <c r="F481"/>
      <c r="G481"/>
      <c r="H481"/>
      <c r="I481"/>
      <c r="J481"/>
      <c r="K481"/>
    </row>
    <row r="482" spans="6:11" ht="14.25" customHeight="1" x14ac:dyDescent="0.25">
      <c r="F482"/>
      <c r="G482"/>
      <c r="H482"/>
      <c r="I482"/>
      <c r="J482"/>
      <c r="K482"/>
    </row>
    <row r="483" spans="6:11" ht="14.25" customHeight="1" x14ac:dyDescent="0.25">
      <c r="F483"/>
      <c r="G483"/>
      <c r="H483"/>
      <c r="I483"/>
      <c r="J483"/>
      <c r="K483"/>
    </row>
    <row r="484" spans="6:11" ht="14.25" customHeight="1" x14ac:dyDescent="0.25">
      <c r="F484"/>
      <c r="G484"/>
      <c r="H484"/>
      <c r="I484"/>
      <c r="J484"/>
      <c r="K484"/>
    </row>
    <row r="485" spans="6:11" ht="14.25" customHeight="1" x14ac:dyDescent="0.25">
      <c r="F485"/>
      <c r="G485"/>
      <c r="H485"/>
      <c r="I485"/>
      <c r="J485"/>
      <c r="K485"/>
    </row>
    <row r="486" spans="6:11" ht="14.25" customHeight="1" x14ac:dyDescent="0.25">
      <c r="F486"/>
      <c r="G486"/>
      <c r="H486"/>
      <c r="I486"/>
      <c r="J486"/>
      <c r="K486"/>
    </row>
    <row r="487" spans="6:11" ht="14.25" customHeight="1" x14ac:dyDescent="0.25">
      <c r="F487"/>
      <c r="G487"/>
      <c r="H487"/>
      <c r="I487"/>
      <c r="J487"/>
      <c r="K487"/>
    </row>
    <row r="488" spans="6:11" ht="14.25" customHeight="1" x14ac:dyDescent="0.25">
      <c r="F488"/>
      <c r="G488"/>
      <c r="H488"/>
      <c r="I488"/>
      <c r="J488"/>
      <c r="K488"/>
    </row>
    <row r="489" spans="6:11" ht="14.25" customHeight="1" x14ac:dyDescent="0.25">
      <c r="F489"/>
      <c r="G489"/>
      <c r="H489"/>
      <c r="I489"/>
      <c r="J489"/>
      <c r="K489"/>
    </row>
    <row r="490" spans="6:11" ht="14.25" customHeight="1" x14ac:dyDescent="0.25">
      <c r="F490"/>
      <c r="G490"/>
      <c r="H490"/>
      <c r="I490"/>
      <c r="J490"/>
      <c r="K490"/>
    </row>
    <row r="491" spans="6:11" ht="14.25" customHeight="1" x14ac:dyDescent="0.25">
      <c r="F491"/>
      <c r="G491"/>
      <c r="H491"/>
      <c r="I491"/>
      <c r="J491"/>
      <c r="K491"/>
    </row>
    <row r="492" spans="6:11" ht="14.25" customHeight="1" x14ac:dyDescent="0.25">
      <c r="F492"/>
      <c r="G492"/>
      <c r="H492"/>
      <c r="I492"/>
      <c r="J492"/>
      <c r="K492"/>
    </row>
    <row r="493" spans="6:11" ht="14.25" customHeight="1" x14ac:dyDescent="0.25">
      <c r="F493"/>
      <c r="G493"/>
      <c r="H493"/>
      <c r="I493"/>
      <c r="J493"/>
      <c r="K493"/>
    </row>
    <row r="494" spans="6:11" ht="14.25" customHeight="1" x14ac:dyDescent="0.25">
      <c r="F494"/>
      <c r="G494"/>
      <c r="H494"/>
      <c r="I494"/>
      <c r="J494"/>
      <c r="K494"/>
    </row>
    <row r="495" spans="6:11" ht="14.25" customHeight="1" x14ac:dyDescent="0.25">
      <c r="F495"/>
      <c r="G495"/>
      <c r="H495"/>
      <c r="I495"/>
      <c r="J495"/>
      <c r="K495"/>
    </row>
    <row r="496" spans="6:11" ht="14.25" customHeight="1" x14ac:dyDescent="0.25">
      <c r="F496"/>
      <c r="G496"/>
      <c r="H496"/>
      <c r="I496"/>
      <c r="J496"/>
      <c r="K496"/>
    </row>
    <row r="497" spans="6:11" ht="14.25" customHeight="1" x14ac:dyDescent="0.25">
      <c r="F497"/>
      <c r="G497"/>
      <c r="H497"/>
      <c r="I497"/>
      <c r="J497"/>
      <c r="K497"/>
    </row>
    <row r="498" spans="6:11" ht="14.25" customHeight="1" x14ac:dyDescent="0.25">
      <c r="F498"/>
      <c r="G498"/>
      <c r="H498"/>
      <c r="I498"/>
      <c r="J498"/>
      <c r="K498"/>
    </row>
    <row r="499" spans="6:11" ht="14.25" customHeight="1" x14ac:dyDescent="0.25">
      <c r="F499"/>
      <c r="G499"/>
      <c r="H499"/>
      <c r="I499"/>
      <c r="J499"/>
      <c r="K499"/>
    </row>
    <row r="500" spans="6:11" ht="14.25" customHeight="1" x14ac:dyDescent="0.25">
      <c r="F500"/>
      <c r="G500"/>
      <c r="H500"/>
      <c r="I500"/>
      <c r="J500"/>
      <c r="K500"/>
    </row>
    <row r="501" spans="6:11" ht="14.25" customHeight="1" x14ac:dyDescent="0.25">
      <c r="F501"/>
      <c r="G501"/>
      <c r="H501"/>
      <c r="I501"/>
      <c r="J501"/>
      <c r="K501"/>
    </row>
    <row r="502" spans="6:11" ht="14.25" customHeight="1" x14ac:dyDescent="0.25">
      <c r="F502"/>
      <c r="G502"/>
      <c r="H502"/>
      <c r="I502"/>
      <c r="J502"/>
      <c r="K502"/>
    </row>
    <row r="503" spans="6:11" ht="14.25" customHeight="1" x14ac:dyDescent="0.25">
      <c r="F503"/>
      <c r="G503"/>
      <c r="H503"/>
      <c r="I503"/>
      <c r="J503"/>
      <c r="K503"/>
    </row>
    <row r="504" spans="6:11" ht="14.25" customHeight="1" x14ac:dyDescent="0.25">
      <c r="F504"/>
      <c r="G504"/>
      <c r="H504"/>
      <c r="I504"/>
      <c r="J504"/>
      <c r="K504"/>
    </row>
    <row r="505" spans="6:11" ht="14.25" customHeight="1" x14ac:dyDescent="0.25">
      <c r="F505"/>
      <c r="G505"/>
      <c r="H505"/>
      <c r="I505"/>
      <c r="J505"/>
      <c r="K505"/>
    </row>
    <row r="506" spans="6:11" ht="14.25" customHeight="1" x14ac:dyDescent="0.25">
      <c r="F506"/>
      <c r="G506"/>
      <c r="H506"/>
      <c r="I506"/>
      <c r="J506"/>
      <c r="K506"/>
    </row>
    <row r="507" spans="6:11" ht="14.25" customHeight="1" x14ac:dyDescent="0.25">
      <c r="F507"/>
      <c r="G507"/>
      <c r="H507"/>
      <c r="I507"/>
      <c r="J507"/>
      <c r="K507"/>
    </row>
    <row r="508" spans="6:11" ht="14.25" customHeight="1" x14ac:dyDescent="0.25">
      <c r="F508"/>
      <c r="G508"/>
      <c r="H508"/>
      <c r="I508"/>
      <c r="J508"/>
      <c r="K508"/>
    </row>
    <row r="509" spans="6:11" ht="14.25" customHeight="1" x14ac:dyDescent="0.25">
      <c r="F509"/>
      <c r="G509"/>
      <c r="H509"/>
      <c r="I509"/>
      <c r="J509"/>
      <c r="K509"/>
    </row>
    <row r="510" spans="6:11" ht="14.25" customHeight="1" x14ac:dyDescent="0.25">
      <c r="F510"/>
      <c r="G510"/>
      <c r="H510"/>
      <c r="I510"/>
      <c r="J510"/>
      <c r="K510"/>
    </row>
    <row r="511" spans="6:11" ht="14.25" customHeight="1" x14ac:dyDescent="0.25">
      <c r="F511"/>
      <c r="G511"/>
      <c r="H511"/>
      <c r="I511"/>
      <c r="J511"/>
      <c r="K511"/>
    </row>
    <row r="512" spans="6:11" ht="14.25" customHeight="1" x14ac:dyDescent="0.25">
      <c r="F512"/>
      <c r="G512"/>
      <c r="H512"/>
      <c r="I512"/>
      <c r="J512"/>
      <c r="K512"/>
    </row>
    <row r="513" spans="6:11" ht="14.25" customHeight="1" x14ac:dyDescent="0.25">
      <c r="F513"/>
      <c r="G513"/>
      <c r="H513"/>
      <c r="I513"/>
      <c r="J513"/>
      <c r="K513"/>
    </row>
    <row r="514" spans="6:11" ht="14.25" customHeight="1" x14ac:dyDescent="0.25">
      <c r="F514"/>
      <c r="G514"/>
      <c r="H514"/>
      <c r="I514"/>
      <c r="J514"/>
      <c r="K514"/>
    </row>
    <row r="515" spans="6:11" ht="14.25" customHeight="1" x14ac:dyDescent="0.25">
      <c r="F515"/>
      <c r="G515"/>
      <c r="H515"/>
      <c r="I515"/>
      <c r="J515"/>
      <c r="K515"/>
    </row>
    <row r="516" spans="6:11" ht="14.25" customHeight="1" x14ac:dyDescent="0.25">
      <c r="F516"/>
      <c r="G516"/>
      <c r="H516"/>
      <c r="I516"/>
      <c r="J516"/>
      <c r="K516"/>
    </row>
    <row r="517" spans="6:11" ht="14.25" customHeight="1" x14ac:dyDescent="0.25">
      <c r="F517"/>
      <c r="G517"/>
      <c r="H517"/>
      <c r="I517"/>
      <c r="J517"/>
      <c r="K517"/>
    </row>
    <row r="518" spans="6:11" ht="14.25" customHeight="1" x14ac:dyDescent="0.25">
      <c r="F518"/>
      <c r="G518"/>
      <c r="H518"/>
      <c r="I518"/>
      <c r="J518"/>
      <c r="K518"/>
    </row>
    <row r="519" spans="6:11" ht="14.25" customHeight="1" x14ac:dyDescent="0.25">
      <c r="F519"/>
      <c r="G519"/>
      <c r="H519"/>
      <c r="I519"/>
      <c r="J519"/>
      <c r="K519"/>
    </row>
    <row r="520" spans="6:11" ht="14.25" customHeight="1" x14ac:dyDescent="0.25">
      <c r="F520"/>
      <c r="G520"/>
      <c r="H520"/>
      <c r="I520"/>
      <c r="J520"/>
      <c r="K520"/>
    </row>
    <row r="521" spans="6:11" ht="14.25" customHeight="1" x14ac:dyDescent="0.25">
      <c r="F521"/>
      <c r="G521"/>
      <c r="H521"/>
      <c r="I521"/>
      <c r="J521"/>
      <c r="K521"/>
    </row>
    <row r="522" spans="6:11" ht="14.25" customHeight="1" x14ac:dyDescent="0.25">
      <c r="F522"/>
      <c r="G522"/>
      <c r="H522"/>
      <c r="I522"/>
      <c r="J522"/>
      <c r="K522"/>
    </row>
    <row r="523" spans="6:11" ht="14.25" customHeight="1" x14ac:dyDescent="0.25">
      <c r="F523"/>
      <c r="G523"/>
      <c r="H523"/>
      <c r="I523"/>
      <c r="J523"/>
      <c r="K523"/>
    </row>
    <row r="524" spans="6:11" ht="14.25" customHeight="1" x14ac:dyDescent="0.25">
      <c r="F524"/>
      <c r="G524"/>
      <c r="H524"/>
      <c r="I524"/>
      <c r="J524"/>
      <c r="K524"/>
    </row>
    <row r="525" spans="6:11" ht="14.25" customHeight="1" x14ac:dyDescent="0.25">
      <c r="F525"/>
      <c r="G525"/>
      <c r="H525"/>
      <c r="I525"/>
      <c r="J525"/>
      <c r="K525"/>
    </row>
    <row r="526" spans="6:11" ht="14.25" customHeight="1" x14ac:dyDescent="0.25">
      <c r="F526"/>
      <c r="G526"/>
      <c r="H526"/>
      <c r="I526"/>
      <c r="J526"/>
      <c r="K526"/>
    </row>
    <row r="527" spans="6:11" ht="14.25" customHeight="1" x14ac:dyDescent="0.25">
      <c r="F527"/>
      <c r="G527"/>
      <c r="H527"/>
      <c r="I527"/>
      <c r="J527"/>
      <c r="K527"/>
    </row>
    <row r="528" spans="6:11" ht="14.25" customHeight="1" x14ac:dyDescent="0.25">
      <c r="F528"/>
      <c r="G528"/>
      <c r="H528"/>
      <c r="I528"/>
      <c r="J528"/>
      <c r="K528"/>
    </row>
    <row r="529" spans="6:11" ht="14.25" customHeight="1" x14ac:dyDescent="0.25">
      <c r="F529"/>
      <c r="G529"/>
      <c r="H529"/>
      <c r="I529"/>
      <c r="J529"/>
      <c r="K529"/>
    </row>
    <row r="530" spans="6:11" ht="14.25" customHeight="1" x14ac:dyDescent="0.25">
      <c r="F530"/>
      <c r="G530"/>
      <c r="H530"/>
      <c r="I530"/>
      <c r="J530"/>
      <c r="K530"/>
    </row>
    <row r="531" spans="6:11" ht="14.25" customHeight="1" x14ac:dyDescent="0.25">
      <c r="F531"/>
      <c r="G531"/>
      <c r="H531"/>
      <c r="I531"/>
      <c r="J531"/>
      <c r="K531"/>
    </row>
    <row r="532" spans="6:11" ht="14.25" customHeight="1" x14ac:dyDescent="0.25">
      <c r="F532"/>
      <c r="G532"/>
      <c r="H532"/>
      <c r="I532"/>
      <c r="J532"/>
      <c r="K532"/>
    </row>
    <row r="533" spans="6:11" ht="14.25" customHeight="1" x14ac:dyDescent="0.25">
      <c r="F533"/>
      <c r="G533"/>
      <c r="H533"/>
      <c r="I533"/>
      <c r="J533"/>
      <c r="K533"/>
    </row>
    <row r="534" spans="6:11" ht="14.25" customHeight="1" x14ac:dyDescent="0.25">
      <c r="F534"/>
      <c r="G534"/>
      <c r="H534"/>
      <c r="I534"/>
      <c r="J534"/>
      <c r="K534"/>
    </row>
    <row r="535" spans="6:11" ht="14.25" customHeight="1" x14ac:dyDescent="0.25">
      <c r="F535"/>
      <c r="G535"/>
      <c r="H535"/>
      <c r="I535"/>
      <c r="J535"/>
      <c r="K535"/>
    </row>
    <row r="536" spans="6:11" ht="14.25" customHeight="1" x14ac:dyDescent="0.25">
      <c r="F536"/>
      <c r="G536"/>
      <c r="H536"/>
      <c r="I536"/>
      <c r="J536"/>
      <c r="K536"/>
    </row>
    <row r="537" spans="6:11" ht="14.25" customHeight="1" x14ac:dyDescent="0.25">
      <c r="F537"/>
      <c r="G537"/>
      <c r="H537"/>
      <c r="I537"/>
      <c r="J537"/>
      <c r="K537"/>
    </row>
    <row r="538" spans="6:11" ht="14.25" customHeight="1" x14ac:dyDescent="0.25">
      <c r="F538"/>
      <c r="G538"/>
      <c r="H538"/>
      <c r="I538"/>
      <c r="J538"/>
      <c r="K538"/>
    </row>
    <row r="539" spans="6:11" ht="14.25" customHeight="1" x14ac:dyDescent="0.25">
      <c r="F539"/>
      <c r="G539"/>
      <c r="H539"/>
      <c r="I539"/>
      <c r="J539"/>
      <c r="K539"/>
    </row>
    <row r="540" spans="6:11" ht="14.25" customHeight="1" x14ac:dyDescent="0.25">
      <c r="F540"/>
      <c r="G540"/>
      <c r="H540"/>
      <c r="I540"/>
      <c r="J540"/>
      <c r="K540"/>
    </row>
    <row r="541" spans="6:11" ht="14.25" customHeight="1" x14ac:dyDescent="0.25">
      <c r="F541"/>
      <c r="G541"/>
      <c r="H541"/>
      <c r="I541"/>
      <c r="J541"/>
      <c r="K541"/>
    </row>
    <row r="542" spans="6:11" ht="14.25" customHeight="1" x14ac:dyDescent="0.25">
      <c r="F542"/>
      <c r="G542"/>
      <c r="H542"/>
      <c r="I542"/>
      <c r="J542"/>
      <c r="K542"/>
    </row>
    <row r="543" spans="6:11" ht="14.25" customHeight="1" x14ac:dyDescent="0.25">
      <c r="F543"/>
      <c r="G543"/>
      <c r="H543"/>
      <c r="I543"/>
      <c r="J543"/>
      <c r="K543"/>
    </row>
    <row r="544" spans="6:11" ht="14.25" customHeight="1" x14ac:dyDescent="0.25">
      <c r="F544"/>
      <c r="G544"/>
      <c r="H544"/>
      <c r="I544"/>
      <c r="J544"/>
      <c r="K544"/>
    </row>
    <row r="545" spans="6:11" ht="14.25" customHeight="1" x14ac:dyDescent="0.25">
      <c r="F545"/>
      <c r="G545"/>
      <c r="H545"/>
      <c r="I545"/>
      <c r="J545"/>
      <c r="K545"/>
    </row>
    <row r="546" spans="6:11" ht="14.25" customHeight="1" x14ac:dyDescent="0.25">
      <c r="F546"/>
      <c r="G546"/>
      <c r="H546"/>
      <c r="I546"/>
      <c r="J546"/>
      <c r="K546"/>
    </row>
    <row r="547" spans="6:11" ht="14.25" customHeight="1" x14ac:dyDescent="0.25">
      <c r="F547"/>
      <c r="G547"/>
      <c r="H547"/>
      <c r="I547"/>
      <c r="J547"/>
      <c r="K547"/>
    </row>
    <row r="548" spans="6:11" ht="14.25" customHeight="1" x14ac:dyDescent="0.25">
      <c r="F548"/>
      <c r="G548"/>
      <c r="H548"/>
      <c r="I548"/>
      <c r="J548"/>
      <c r="K548"/>
    </row>
    <row r="549" spans="6:11" ht="14.25" customHeight="1" x14ac:dyDescent="0.25">
      <c r="F549"/>
      <c r="G549"/>
      <c r="H549"/>
      <c r="I549"/>
      <c r="J549"/>
      <c r="K549"/>
    </row>
    <row r="550" spans="6:11" ht="14.25" customHeight="1" x14ac:dyDescent="0.25">
      <c r="F550"/>
      <c r="G550"/>
      <c r="H550"/>
      <c r="I550"/>
      <c r="J550"/>
      <c r="K550"/>
    </row>
    <row r="551" spans="6:11" ht="14.25" customHeight="1" x14ac:dyDescent="0.25">
      <c r="F551"/>
      <c r="G551"/>
      <c r="H551"/>
      <c r="I551"/>
      <c r="J551"/>
      <c r="K551"/>
    </row>
    <row r="552" spans="6:11" ht="14.25" customHeight="1" x14ac:dyDescent="0.25">
      <c r="F552"/>
      <c r="G552"/>
      <c r="H552"/>
      <c r="I552"/>
      <c r="J552"/>
      <c r="K552"/>
    </row>
    <row r="553" spans="6:11" ht="14.25" customHeight="1" x14ac:dyDescent="0.25">
      <c r="F553"/>
      <c r="G553"/>
      <c r="H553"/>
      <c r="I553"/>
      <c r="J553"/>
      <c r="K553"/>
    </row>
    <row r="554" spans="6:11" ht="14.25" customHeight="1" x14ac:dyDescent="0.25">
      <c r="F554"/>
      <c r="G554"/>
      <c r="H554"/>
      <c r="I554"/>
      <c r="J554"/>
      <c r="K554"/>
    </row>
    <row r="555" spans="6:11" ht="14.25" customHeight="1" x14ac:dyDescent="0.25">
      <c r="F555"/>
      <c r="G555"/>
      <c r="H555"/>
      <c r="I555"/>
      <c r="J555"/>
      <c r="K555"/>
    </row>
    <row r="556" spans="6:11" ht="14.25" customHeight="1" x14ac:dyDescent="0.25">
      <c r="F556"/>
      <c r="G556"/>
      <c r="H556"/>
      <c r="I556"/>
      <c r="J556"/>
      <c r="K556"/>
    </row>
    <row r="557" spans="6:11" ht="14.25" customHeight="1" x14ac:dyDescent="0.25">
      <c r="F557"/>
      <c r="G557"/>
      <c r="H557"/>
      <c r="I557"/>
      <c r="J557"/>
      <c r="K557"/>
    </row>
    <row r="558" spans="6:11" ht="14.25" customHeight="1" x14ac:dyDescent="0.25">
      <c r="F558"/>
      <c r="G558"/>
      <c r="H558"/>
      <c r="I558"/>
      <c r="J558"/>
      <c r="K558"/>
    </row>
    <row r="559" spans="6:11" ht="14.25" customHeight="1" x14ac:dyDescent="0.25">
      <c r="F559"/>
      <c r="G559"/>
      <c r="H559"/>
      <c r="I559"/>
      <c r="J559"/>
      <c r="K559"/>
    </row>
    <row r="560" spans="6:11" ht="14.25" customHeight="1" x14ac:dyDescent="0.25">
      <c r="F560"/>
      <c r="G560"/>
      <c r="H560"/>
      <c r="I560"/>
      <c r="J560"/>
      <c r="K560"/>
    </row>
    <row r="561" spans="6:11" ht="14.25" customHeight="1" x14ac:dyDescent="0.25">
      <c r="F561"/>
      <c r="G561"/>
      <c r="H561"/>
      <c r="I561"/>
      <c r="J561"/>
      <c r="K561"/>
    </row>
    <row r="562" spans="6:11" ht="14.25" customHeight="1" x14ac:dyDescent="0.25">
      <c r="F562"/>
      <c r="G562"/>
      <c r="H562"/>
      <c r="I562"/>
      <c r="J562"/>
      <c r="K562"/>
    </row>
    <row r="563" spans="6:11" ht="14.25" customHeight="1" x14ac:dyDescent="0.25">
      <c r="F563"/>
      <c r="G563"/>
      <c r="H563"/>
      <c r="I563"/>
      <c r="J563"/>
      <c r="K563"/>
    </row>
    <row r="564" spans="6:11" ht="14.25" customHeight="1" x14ac:dyDescent="0.25">
      <c r="F564"/>
      <c r="G564"/>
      <c r="H564"/>
      <c r="I564"/>
      <c r="J564"/>
      <c r="K564"/>
    </row>
    <row r="565" spans="6:11" ht="14.25" customHeight="1" x14ac:dyDescent="0.25">
      <c r="F565"/>
      <c r="G565"/>
      <c r="H565"/>
      <c r="I565"/>
      <c r="J565"/>
      <c r="K565"/>
    </row>
    <row r="566" spans="6:11" ht="14.25" customHeight="1" x14ac:dyDescent="0.25">
      <c r="F566"/>
      <c r="G566"/>
      <c r="H566"/>
      <c r="I566"/>
      <c r="J566"/>
      <c r="K566"/>
    </row>
    <row r="567" spans="6:11" ht="14.25" customHeight="1" x14ac:dyDescent="0.25">
      <c r="F567"/>
      <c r="G567"/>
      <c r="H567"/>
      <c r="I567"/>
      <c r="J567"/>
      <c r="K567"/>
    </row>
    <row r="568" spans="6:11" ht="14.25" customHeight="1" x14ac:dyDescent="0.25">
      <c r="F568"/>
      <c r="G568"/>
      <c r="H568"/>
      <c r="I568"/>
      <c r="J568"/>
      <c r="K568"/>
    </row>
    <row r="569" spans="6:11" ht="14.25" customHeight="1" x14ac:dyDescent="0.25">
      <c r="F569"/>
      <c r="G569"/>
      <c r="H569"/>
      <c r="I569"/>
      <c r="J569"/>
      <c r="K569"/>
    </row>
    <row r="570" spans="6:11" ht="14.25" customHeight="1" x14ac:dyDescent="0.25">
      <c r="F570"/>
      <c r="G570"/>
      <c r="H570"/>
      <c r="I570"/>
      <c r="J570"/>
      <c r="K570"/>
    </row>
    <row r="571" spans="6:11" ht="14.25" customHeight="1" x14ac:dyDescent="0.25">
      <c r="F571"/>
      <c r="G571"/>
      <c r="H571"/>
      <c r="I571"/>
      <c r="J571"/>
      <c r="K571"/>
    </row>
    <row r="572" spans="6:11" ht="14.25" customHeight="1" x14ac:dyDescent="0.25">
      <c r="F572"/>
      <c r="G572"/>
      <c r="H572"/>
      <c r="I572"/>
      <c r="J572"/>
      <c r="K572"/>
    </row>
    <row r="573" spans="6:11" ht="14.25" customHeight="1" x14ac:dyDescent="0.25">
      <c r="F573"/>
      <c r="G573"/>
      <c r="H573"/>
      <c r="I573"/>
      <c r="J573"/>
      <c r="K573"/>
    </row>
    <row r="574" spans="6:11" ht="14.25" customHeight="1" x14ac:dyDescent="0.25">
      <c r="F574"/>
      <c r="G574"/>
      <c r="H574"/>
      <c r="I574"/>
      <c r="J574"/>
      <c r="K574"/>
    </row>
    <row r="575" spans="6:11" ht="14.25" customHeight="1" x14ac:dyDescent="0.25">
      <c r="F575"/>
      <c r="G575"/>
      <c r="H575"/>
      <c r="I575"/>
      <c r="J575"/>
      <c r="K575"/>
    </row>
    <row r="576" spans="6:11" ht="14.25" customHeight="1" x14ac:dyDescent="0.25">
      <c r="F576"/>
      <c r="G576"/>
      <c r="H576"/>
      <c r="I576"/>
      <c r="J576"/>
      <c r="K576"/>
    </row>
    <row r="577" spans="6:11" ht="14.25" customHeight="1" x14ac:dyDescent="0.25">
      <c r="F577"/>
      <c r="G577"/>
      <c r="H577"/>
      <c r="I577"/>
      <c r="J577"/>
      <c r="K577"/>
    </row>
    <row r="578" spans="6:11" ht="14.25" customHeight="1" x14ac:dyDescent="0.25">
      <c r="F578"/>
      <c r="G578"/>
      <c r="H578"/>
      <c r="I578"/>
      <c r="J578"/>
      <c r="K578"/>
    </row>
    <row r="579" spans="6:11" ht="14.25" customHeight="1" x14ac:dyDescent="0.25">
      <c r="F579"/>
      <c r="G579"/>
      <c r="H579"/>
      <c r="I579"/>
      <c r="J579"/>
      <c r="K579"/>
    </row>
    <row r="580" spans="6:11" ht="14.25" customHeight="1" x14ac:dyDescent="0.25">
      <c r="F580"/>
      <c r="G580"/>
      <c r="H580"/>
      <c r="I580"/>
      <c r="J580"/>
      <c r="K580"/>
    </row>
    <row r="581" spans="6:11" ht="14.25" customHeight="1" x14ac:dyDescent="0.25">
      <c r="F581"/>
      <c r="G581"/>
      <c r="H581"/>
      <c r="I581"/>
      <c r="J581"/>
      <c r="K581"/>
    </row>
    <row r="582" spans="6:11" ht="14.25" customHeight="1" x14ac:dyDescent="0.25">
      <c r="F582"/>
      <c r="G582"/>
      <c r="H582"/>
      <c r="I582"/>
      <c r="J582"/>
      <c r="K582"/>
    </row>
    <row r="583" spans="6:11" ht="14.25" customHeight="1" x14ac:dyDescent="0.25">
      <c r="F583"/>
      <c r="G583"/>
      <c r="H583"/>
      <c r="I583"/>
      <c r="J583"/>
      <c r="K583"/>
    </row>
    <row r="584" spans="6:11" ht="14.25" customHeight="1" x14ac:dyDescent="0.25">
      <c r="F584"/>
      <c r="G584"/>
      <c r="H584"/>
      <c r="I584"/>
      <c r="J584"/>
      <c r="K584"/>
    </row>
    <row r="585" spans="6:11" ht="14.25" customHeight="1" x14ac:dyDescent="0.25">
      <c r="F585"/>
      <c r="G585"/>
      <c r="H585"/>
      <c r="I585"/>
      <c r="J585"/>
      <c r="K585"/>
    </row>
    <row r="586" spans="6:11" ht="14.25" customHeight="1" x14ac:dyDescent="0.25">
      <c r="F586"/>
      <c r="G586"/>
      <c r="H586"/>
      <c r="I586"/>
      <c r="J586"/>
      <c r="K586"/>
    </row>
    <row r="587" spans="6:11" ht="14.25" customHeight="1" x14ac:dyDescent="0.25">
      <c r="F587"/>
      <c r="G587"/>
      <c r="H587"/>
      <c r="I587"/>
      <c r="J587"/>
      <c r="K587"/>
    </row>
    <row r="588" spans="6:11" ht="14.25" customHeight="1" x14ac:dyDescent="0.25">
      <c r="F588"/>
      <c r="G588"/>
      <c r="H588"/>
      <c r="I588"/>
      <c r="J588"/>
      <c r="K588"/>
    </row>
    <row r="589" spans="6:11" ht="14.25" customHeight="1" x14ac:dyDescent="0.25">
      <c r="F589"/>
      <c r="G589"/>
      <c r="H589"/>
      <c r="I589"/>
      <c r="J589"/>
      <c r="K589"/>
    </row>
    <row r="590" spans="6:11" ht="14.25" customHeight="1" x14ac:dyDescent="0.25">
      <c r="F590"/>
      <c r="G590"/>
      <c r="H590"/>
      <c r="I590"/>
      <c r="J590"/>
      <c r="K590"/>
    </row>
    <row r="591" spans="6:11" ht="14.25" customHeight="1" x14ac:dyDescent="0.25">
      <c r="F591"/>
      <c r="G591"/>
      <c r="H591"/>
      <c r="I591"/>
      <c r="J591"/>
      <c r="K591"/>
    </row>
    <row r="592" spans="6:11" ht="14.25" customHeight="1" x14ac:dyDescent="0.25">
      <c r="F592"/>
      <c r="G592"/>
      <c r="H592"/>
      <c r="I592"/>
      <c r="J592"/>
      <c r="K592"/>
    </row>
    <row r="593" spans="6:11" ht="14.25" customHeight="1" x14ac:dyDescent="0.25">
      <c r="F593"/>
      <c r="G593"/>
      <c r="H593"/>
      <c r="I593"/>
      <c r="J593"/>
      <c r="K593"/>
    </row>
    <row r="594" spans="6:11" ht="14.25" customHeight="1" x14ac:dyDescent="0.25">
      <c r="F594"/>
      <c r="G594"/>
      <c r="H594"/>
      <c r="I594"/>
      <c r="J594"/>
      <c r="K594"/>
    </row>
    <row r="595" spans="6:11" ht="14.25" customHeight="1" x14ac:dyDescent="0.25">
      <c r="F595"/>
      <c r="G595"/>
      <c r="H595"/>
      <c r="I595"/>
      <c r="J595"/>
      <c r="K595"/>
    </row>
    <row r="596" spans="6:11" ht="14.25" customHeight="1" x14ac:dyDescent="0.25">
      <c r="F596"/>
      <c r="G596"/>
      <c r="H596"/>
      <c r="I596"/>
      <c r="J596"/>
      <c r="K596"/>
    </row>
    <row r="597" spans="6:11" ht="14.25" customHeight="1" x14ac:dyDescent="0.25">
      <c r="F597"/>
      <c r="G597"/>
      <c r="H597"/>
      <c r="I597"/>
      <c r="J597"/>
      <c r="K597"/>
    </row>
    <row r="598" spans="6:11" ht="14.25" customHeight="1" x14ac:dyDescent="0.25">
      <c r="F598"/>
      <c r="G598"/>
      <c r="H598"/>
      <c r="I598"/>
      <c r="J598"/>
      <c r="K598"/>
    </row>
    <row r="599" spans="6:11" ht="14.25" customHeight="1" x14ac:dyDescent="0.25">
      <c r="F599"/>
      <c r="G599"/>
      <c r="H599"/>
      <c r="I599"/>
      <c r="J599"/>
      <c r="K599"/>
    </row>
    <row r="600" spans="6:11" ht="14.25" customHeight="1" x14ac:dyDescent="0.25">
      <c r="F600"/>
      <c r="G600"/>
      <c r="H600"/>
      <c r="I600"/>
      <c r="J600"/>
      <c r="K600"/>
    </row>
    <row r="601" spans="6:11" ht="14.25" customHeight="1" x14ac:dyDescent="0.25">
      <c r="F601"/>
      <c r="G601"/>
      <c r="H601"/>
      <c r="I601"/>
      <c r="J601"/>
      <c r="K601"/>
    </row>
    <row r="602" spans="6:11" ht="14.25" customHeight="1" x14ac:dyDescent="0.25">
      <c r="F602"/>
      <c r="G602"/>
      <c r="H602"/>
      <c r="I602"/>
      <c r="J602"/>
      <c r="K602"/>
    </row>
    <row r="603" spans="6:11" ht="14.25" customHeight="1" x14ac:dyDescent="0.25">
      <c r="F603"/>
      <c r="G603"/>
      <c r="H603"/>
      <c r="I603"/>
      <c r="J603"/>
      <c r="K603"/>
    </row>
    <row r="604" spans="6:11" ht="14.25" customHeight="1" x14ac:dyDescent="0.25">
      <c r="F604"/>
      <c r="G604"/>
      <c r="H604"/>
      <c r="I604"/>
      <c r="J604"/>
      <c r="K604"/>
    </row>
    <row r="605" spans="6:11" ht="14.25" customHeight="1" x14ac:dyDescent="0.25">
      <c r="F605"/>
      <c r="G605"/>
      <c r="H605"/>
      <c r="I605"/>
      <c r="J605"/>
      <c r="K605"/>
    </row>
    <row r="606" spans="6:11" ht="14.25" customHeight="1" x14ac:dyDescent="0.25">
      <c r="F606"/>
      <c r="G606"/>
      <c r="H606"/>
      <c r="I606"/>
      <c r="J606"/>
      <c r="K606"/>
    </row>
    <row r="607" spans="6:11" ht="14.25" customHeight="1" x14ac:dyDescent="0.25">
      <c r="F607"/>
      <c r="G607"/>
      <c r="H607"/>
      <c r="I607"/>
      <c r="J607"/>
      <c r="K607"/>
    </row>
    <row r="608" spans="6:11" ht="14.25" customHeight="1" x14ac:dyDescent="0.25">
      <c r="F608"/>
      <c r="G608"/>
      <c r="H608"/>
      <c r="I608"/>
      <c r="J608"/>
      <c r="K608"/>
    </row>
    <row r="609" spans="6:11" ht="14.25" customHeight="1" x14ac:dyDescent="0.25">
      <c r="F609"/>
      <c r="G609"/>
      <c r="H609"/>
      <c r="I609"/>
      <c r="J609"/>
      <c r="K609"/>
    </row>
    <row r="610" spans="6:11" ht="14.25" customHeight="1" x14ac:dyDescent="0.25">
      <c r="F610"/>
      <c r="G610"/>
      <c r="H610"/>
      <c r="I610"/>
      <c r="J610"/>
      <c r="K610"/>
    </row>
    <row r="611" spans="6:11" ht="14.25" customHeight="1" x14ac:dyDescent="0.25">
      <c r="F611"/>
      <c r="G611"/>
      <c r="H611"/>
      <c r="I611"/>
      <c r="J611"/>
      <c r="K611"/>
    </row>
    <row r="612" spans="6:11" ht="14.25" customHeight="1" x14ac:dyDescent="0.25">
      <c r="F612"/>
      <c r="G612"/>
      <c r="H612"/>
      <c r="I612"/>
      <c r="J612"/>
      <c r="K612"/>
    </row>
    <row r="613" spans="6:11" ht="14.25" customHeight="1" x14ac:dyDescent="0.25">
      <c r="F613"/>
      <c r="G613"/>
      <c r="H613"/>
      <c r="I613"/>
      <c r="J613"/>
      <c r="K613"/>
    </row>
    <row r="614" spans="6:11" ht="14.25" customHeight="1" x14ac:dyDescent="0.25">
      <c r="F614"/>
      <c r="G614"/>
      <c r="H614"/>
      <c r="I614"/>
      <c r="J614"/>
      <c r="K614"/>
    </row>
    <row r="615" spans="6:11" ht="14.25" customHeight="1" x14ac:dyDescent="0.25">
      <c r="F615"/>
      <c r="G615"/>
      <c r="H615"/>
      <c r="I615"/>
      <c r="J615"/>
      <c r="K615"/>
    </row>
    <row r="616" spans="6:11" ht="14.25" customHeight="1" x14ac:dyDescent="0.25">
      <c r="F616"/>
      <c r="G616"/>
      <c r="H616"/>
      <c r="I616"/>
      <c r="J616"/>
      <c r="K616"/>
    </row>
    <row r="617" spans="6:11" ht="14.25" customHeight="1" x14ac:dyDescent="0.25">
      <c r="F617"/>
      <c r="G617"/>
      <c r="H617"/>
      <c r="I617"/>
      <c r="J617"/>
      <c r="K617"/>
    </row>
    <row r="618" spans="6:11" ht="14.25" customHeight="1" x14ac:dyDescent="0.25">
      <c r="F618"/>
      <c r="G618"/>
      <c r="H618"/>
      <c r="I618"/>
      <c r="J618"/>
      <c r="K618"/>
    </row>
    <row r="619" spans="6:11" ht="14.25" customHeight="1" x14ac:dyDescent="0.25">
      <c r="F619"/>
      <c r="G619"/>
      <c r="H619"/>
      <c r="I619"/>
      <c r="J619"/>
      <c r="K619"/>
    </row>
    <row r="620" spans="6:11" ht="14.25" customHeight="1" x14ac:dyDescent="0.25">
      <c r="F620"/>
      <c r="G620"/>
      <c r="H620"/>
      <c r="I620"/>
      <c r="J620"/>
      <c r="K620"/>
    </row>
    <row r="621" spans="6:11" ht="14.25" customHeight="1" x14ac:dyDescent="0.25">
      <c r="F621"/>
      <c r="G621"/>
      <c r="H621"/>
      <c r="I621"/>
      <c r="J621"/>
      <c r="K621"/>
    </row>
    <row r="622" spans="6:11" ht="14.25" customHeight="1" x14ac:dyDescent="0.25">
      <c r="F622"/>
      <c r="G622"/>
      <c r="H622"/>
      <c r="I622"/>
      <c r="J622"/>
      <c r="K622"/>
    </row>
    <row r="623" spans="6:11" ht="14.25" customHeight="1" x14ac:dyDescent="0.25">
      <c r="F623"/>
      <c r="G623"/>
      <c r="H623"/>
      <c r="I623"/>
      <c r="J623"/>
      <c r="K623"/>
    </row>
    <row r="624" spans="6:11" ht="14.25" customHeight="1" x14ac:dyDescent="0.25">
      <c r="F624"/>
      <c r="G624"/>
      <c r="H624"/>
      <c r="I624"/>
      <c r="J624"/>
      <c r="K624"/>
    </row>
    <row r="625" spans="6:11" ht="14.25" customHeight="1" x14ac:dyDescent="0.25">
      <c r="F625"/>
      <c r="G625"/>
      <c r="H625"/>
      <c r="I625"/>
      <c r="J625"/>
      <c r="K625"/>
    </row>
    <row r="626" spans="6:11" ht="14.25" customHeight="1" x14ac:dyDescent="0.25">
      <c r="F626"/>
      <c r="G626"/>
      <c r="H626"/>
      <c r="I626"/>
      <c r="J626"/>
      <c r="K626"/>
    </row>
    <row r="627" spans="6:11" ht="14.25" customHeight="1" x14ac:dyDescent="0.25">
      <c r="F627"/>
      <c r="G627"/>
      <c r="H627"/>
      <c r="I627"/>
      <c r="J627"/>
      <c r="K627"/>
    </row>
    <row r="628" spans="6:11" ht="14.25" customHeight="1" x14ac:dyDescent="0.25">
      <c r="F628"/>
      <c r="G628"/>
      <c r="H628"/>
      <c r="I628"/>
      <c r="J628"/>
      <c r="K628"/>
    </row>
    <row r="629" spans="6:11" ht="14.25" customHeight="1" x14ac:dyDescent="0.25">
      <c r="F629"/>
      <c r="G629"/>
      <c r="H629"/>
      <c r="I629"/>
      <c r="J629"/>
      <c r="K629"/>
    </row>
    <row r="630" spans="6:11" ht="14.25" customHeight="1" x14ac:dyDescent="0.25">
      <c r="F630"/>
      <c r="G630"/>
      <c r="H630"/>
      <c r="I630"/>
      <c r="J630"/>
      <c r="K630"/>
    </row>
    <row r="631" spans="6:11" ht="14.25" customHeight="1" x14ac:dyDescent="0.25">
      <c r="F631"/>
      <c r="G631"/>
      <c r="H631"/>
      <c r="I631"/>
      <c r="J631"/>
      <c r="K631"/>
    </row>
    <row r="632" spans="6:11" ht="14.25" customHeight="1" x14ac:dyDescent="0.25">
      <c r="F632"/>
      <c r="G632"/>
      <c r="H632"/>
      <c r="I632"/>
      <c r="J632"/>
      <c r="K632"/>
    </row>
    <row r="633" spans="6:11" ht="14.25" customHeight="1" x14ac:dyDescent="0.25">
      <c r="F633"/>
      <c r="G633"/>
      <c r="H633"/>
      <c r="I633"/>
      <c r="J633"/>
      <c r="K633"/>
    </row>
    <row r="634" spans="6:11" ht="14.25" customHeight="1" x14ac:dyDescent="0.25">
      <c r="F634"/>
      <c r="G634"/>
      <c r="H634"/>
      <c r="I634"/>
      <c r="J634"/>
      <c r="K634"/>
    </row>
    <row r="635" spans="6:11" ht="14.25" customHeight="1" x14ac:dyDescent="0.25">
      <c r="F635"/>
      <c r="G635"/>
      <c r="H635"/>
      <c r="I635"/>
      <c r="J635"/>
      <c r="K635"/>
    </row>
    <row r="636" spans="6:11" ht="14.25" customHeight="1" x14ac:dyDescent="0.25">
      <c r="F636"/>
      <c r="G636"/>
      <c r="H636"/>
      <c r="I636"/>
      <c r="J636"/>
      <c r="K636"/>
    </row>
    <row r="637" spans="6:11" ht="14.25" customHeight="1" x14ac:dyDescent="0.25">
      <c r="F637"/>
      <c r="G637"/>
      <c r="H637"/>
      <c r="I637"/>
      <c r="J637"/>
      <c r="K637"/>
    </row>
    <row r="638" spans="6:11" ht="14.25" customHeight="1" x14ac:dyDescent="0.25">
      <c r="F638"/>
      <c r="G638"/>
      <c r="H638"/>
      <c r="I638"/>
      <c r="J638"/>
      <c r="K638"/>
    </row>
    <row r="639" spans="6:11" ht="14.25" customHeight="1" x14ac:dyDescent="0.25">
      <c r="F639"/>
      <c r="G639"/>
      <c r="H639"/>
      <c r="I639"/>
      <c r="J639"/>
      <c r="K639"/>
    </row>
    <row r="640" spans="6:11" ht="14.25" customHeight="1" x14ac:dyDescent="0.25">
      <c r="F640"/>
      <c r="G640"/>
      <c r="H640"/>
      <c r="I640"/>
      <c r="J640"/>
      <c r="K640"/>
    </row>
    <row r="641" spans="6:11" ht="14.25" customHeight="1" x14ac:dyDescent="0.25">
      <c r="F641"/>
      <c r="G641"/>
      <c r="H641"/>
      <c r="I641"/>
      <c r="J641"/>
      <c r="K641"/>
    </row>
    <row r="642" spans="6:11" ht="14.25" customHeight="1" x14ac:dyDescent="0.25">
      <c r="F642"/>
      <c r="G642"/>
      <c r="H642"/>
      <c r="I642"/>
      <c r="J642"/>
      <c r="K642"/>
    </row>
    <row r="643" spans="6:11" ht="14.25" customHeight="1" x14ac:dyDescent="0.25">
      <c r="F643"/>
      <c r="G643"/>
      <c r="H643"/>
      <c r="I643"/>
      <c r="J643"/>
      <c r="K643"/>
    </row>
    <row r="644" spans="6:11" ht="14.25" customHeight="1" x14ac:dyDescent="0.25">
      <c r="F644"/>
      <c r="G644"/>
      <c r="H644"/>
      <c r="I644"/>
      <c r="J644"/>
      <c r="K644"/>
    </row>
    <row r="645" spans="6:11" ht="14.25" customHeight="1" x14ac:dyDescent="0.25">
      <c r="F645"/>
      <c r="G645"/>
      <c r="H645"/>
      <c r="I645"/>
      <c r="J645"/>
      <c r="K645"/>
    </row>
    <row r="646" spans="6:11" ht="14.25" customHeight="1" x14ac:dyDescent="0.25">
      <c r="F646"/>
      <c r="G646"/>
      <c r="H646"/>
      <c r="I646"/>
      <c r="J646"/>
      <c r="K646"/>
    </row>
    <row r="647" spans="6:11" ht="14.25" customHeight="1" x14ac:dyDescent="0.25">
      <c r="F647"/>
      <c r="G647"/>
      <c r="H647"/>
      <c r="I647"/>
      <c r="J647"/>
      <c r="K647"/>
    </row>
    <row r="648" spans="6:11" ht="14.25" customHeight="1" x14ac:dyDescent="0.25">
      <c r="F648"/>
      <c r="G648"/>
      <c r="H648"/>
      <c r="I648"/>
      <c r="J648"/>
      <c r="K648"/>
    </row>
    <row r="649" spans="6:11" ht="14.25" customHeight="1" x14ac:dyDescent="0.25">
      <c r="F649"/>
      <c r="G649"/>
      <c r="H649"/>
      <c r="I649"/>
      <c r="J649"/>
      <c r="K649"/>
    </row>
    <row r="650" spans="6:11" ht="14.25" customHeight="1" x14ac:dyDescent="0.25">
      <c r="F650"/>
      <c r="G650"/>
      <c r="H650"/>
      <c r="I650"/>
      <c r="J650"/>
      <c r="K650"/>
    </row>
    <row r="651" spans="6:11" ht="14.25" customHeight="1" x14ac:dyDescent="0.25">
      <c r="F651"/>
      <c r="G651"/>
      <c r="H651"/>
      <c r="I651"/>
      <c r="J651"/>
      <c r="K651"/>
    </row>
    <row r="652" spans="6:11" ht="14.25" customHeight="1" x14ac:dyDescent="0.25">
      <c r="F652"/>
      <c r="G652"/>
      <c r="H652"/>
      <c r="I652"/>
      <c r="J652"/>
      <c r="K652"/>
    </row>
    <row r="653" spans="6:11" ht="14.25" customHeight="1" x14ac:dyDescent="0.25">
      <c r="F653"/>
      <c r="G653"/>
      <c r="H653"/>
      <c r="I653"/>
      <c r="J653"/>
      <c r="K653"/>
    </row>
    <row r="654" spans="6:11" ht="14.25" customHeight="1" x14ac:dyDescent="0.25">
      <c r="F654"/>
      <c r="G654"/>
      <c r="H654"/>
      <c r="I654"/>
      <c r="J654"/>
      <c r="K654"/>
    </row>
    <row r="655" spans="6:11" ht="14.25" customHeight="1" x14ac:dyDescent="0.25">
      <c r="F655"/>
      <c r="G655"/>
      <c r="H655"/>
      <c r="I655"/>
      <c r="J655"/>
      <c r="K655"/>
    </row>
    <row r="656" spans="6:11" ht="14.25" customHeight="1" x14ac:dyDescent="0.25">
      <c r="F656"/>
      <c r="G656"/>
      <c r="H656"/>
      <c r="I656"/>
      <c r="J656"/>
      <c r="K656"/>
    </row>
    <row r="657" spans="6:11" ht="14.25" customHeight="1" x14ac:dyDescent="0.25">
      <c r="F657"/>
      <c r="G657"/>
      <c r="H657"/>
      <c r="I657"/>
      <c r="J657"/>
      <c r="K657"/>
    </row>
    <row r="658" spans="6:11" ht="14.25" customHeight="1" x14ac:dyDescent="0.25">
      <c r="F658"/>
      <c r="G658"/>
      <c r="H658"/>
      <c r="I658"/>
      <c r="J658"/>
      <c r="K658"/>
    </row>
    <row r="659" spans="6:11" ht="14.25" customHeight="1" x14ac:dyDescent="0.25">
      <c r="F659"/>
      <c r="G659"/>
      <c r="H659"/>
      <c r="I659"/>
      <c r="J659"/>
      <c r="K659"/>
    </row>
    <row r="660" spans="6:11" ht="14.25" customHeight="1" x14ac:dyDescent="0.25">
      <c r="F660"/>
      <c r="G660"/>
      <c r="H660"/>
      <c r="I660"/>
      <c r="J660"/>
      <c r="K660"/>
    </row>
    <row r="661" spans="6:11" ht="14.25" customHeight="1" x14ac:dyDescent="0.25">
      <c r="F661"/>
      <c r="G661"/>
      <c r="H661"/>
      <c r="I661"/>
      <c r="J661"/>
      <c r="K661"/>
    </row>
    <row r="662" spans="6:11" ht="14.25" customHeight="1" x14ac:dyDescent="0.25">
      <c r="F662"/>
      <c r="G662"/>
      <c r="H662"/>
      <c r="I662"/>
      <c r="J662"/>
      <c r="K662"/>
    </row>
    <row r="663" spans="6:11" ht="14.25" customHeight="1" x14ac:dyDescent="0.25">
      <c r="F663"/>
      <c r="G663"/>
      <c r="H663"/>
      <c r="I663"/>
      <c r="J663"/>
      <c r="K663"/>
    </row>
    <row r="664" spans="6:11" ht="14.25" customHeight="1" x14ac:dyDescent="0.25">
      <c r="F664"/>
      <c r="G664"/>
      <c r="H664"/>
      <c r="I664"/>
      <c r="J664"/>
      <c r="K664"/>
    </row>
    <row r="665" spans="6:11" ht="14.25" customHeight="1" x14ac:dyDescent="0.25">
      <c r="F665"/>
      <c r="G665"/>
      <c r="H665"/>
      <c r="I665"/>
      <c r="J665"/>
      <c r="K665"/>
    </row>
    <row r="666" spans="6:11" ht="14.25" customHeight="1" x14ac:dyDescent="0.25">
      <c r="F666"/>
      <c r="G666"/>
      <c r="H666"/>
      <c r="I666"/>
      <c r="J666"/>
      <c r="K666"/>
    </row>
    <row r="667" spans="6:11" ht="14.25" customHeight="1" x14ac:dyDescent="0.25">
      <c r="F667"/>
      <c r="G667"/>
      <c r="H667"/>
      <c r="I667"/>
      <c r="J667"/>
      <c r="K667"/>
    </row>
    <row r="668" spans="6:11" ht="14.25" customHeight="1" x14ac:dyDescent="0.25">
      <c r="F668"/>
      <c r="G668"/>
      <c r="H668"/>
      <c r="I668"/>
      <c r="J668"/>
      <c r="K668"/>
    </row>
    <row r="669" spans="6:11" ht="14.25" customHeight="1" x14ac:dyDescent="0.25">
      <c r="F669"/>
      <c r="G669"/>
      <c r="H669"/>
      <c r="I669"/>
      <c r="J669"/>
      <c r="K669"/>
    </row>
    <row r="670" spans="6:11" ht="14.25" customHeight="1" x14ac:dyDescent="0.25">
      <c r="F670"/>
      <c r="G670"/>
      <c r="H670"/>
      <c r="I670"/>
      <c r="J670"/>
      <c r="K670"/>
    </row>
    <row r="671" spans="6:11" ht="14.25" customHeight="1" x14ac:dyDescent="0.25">
      <c r="F671"/>
      <c r="G671"/>
      <c r="H671"/>
      <c r="I671"/>
      <c r="J671"/>
      <c r="K671"/>
    </row>
    <row r="672" spans="6:11" ht="14.25" customHeight="1" x14ac:dyDescent="0.25">
      <c r="F672"/>
      <c r="G672"/>
      <c r="H672"/>
      <c r="I672"/>
      <c r="J672"/>
      <c r="K672"/>
    </row>
    <row r="673" spans="6:11" ht="14.25" customHeight="1" x14ac:dyDescent="0.25">
      <c r="F673"/>
      <c r="G673"/>
      <c r="H673"/>
      <c r="I673"/>
      <c r="J673"/>
      <c r="K673"/>
    </row>
    <row r="674" spans="6:11" ht="14.25" customHeight="1" x14ac:dyDescent="0.25">
      <c r="F674"/>
      <c r="G674"/>
      <c r="H674"/>
      <c r="I674"/>
      <c r="J674"/>
      <c r="K674"/>
    </row>
    <row r="675" spans="6:11" ht="14.25" customHeight="1" x14ac:dyDescent="0.25">
      <c r="F675"/>
      <c r="G675"/>
      <c r="H675"/>
      <c r="I675"/>
      <c r="J675"/>
      <c r="K675"/>
    </row>
    <row r="676" spans="6:11" ht="14.25" customHeight="1" x14ac:dyDescent="0.25">
      <c r="F676"/>
      <c r="G676"/>
      <c r="H676"/>
      <c r="I676"/>
      <c r="J676"/>
      <c r="K676"/>
    </row>
    <row r="677" spans="6:11" ht="14.25" customHeight="1" x14ac:dyDescent="0.25">
      <c r="F677"/>
      <c r="G677"/>
      <c r="H677"/>
      <c r="I677"/>
      <c r="J677"/>
      <c r="K677"/>
    </row>
    <row r="678" spans="6:11" ht="14.25" customHeight="1" x14ac:dyDescent="0.25">
      <c r="F678"/>
      <c r="G678"/>
      <c r="H678"/>
      <c r="I678"/>
      <c r="J678"/>
      <c r="K678"/>
    </row>
    <row r="679" spans="6:11" ht="14.25" customHeight="1" x14ac:dyDescent="0.25">
      <c r="F679"/>
      <c r="G679"/>
      <c r="H679"/>
      <c r="I679"/>
      <c r="J679"/>
      <c r="K679"/>
    </row>
    <row r="680" spans="6:11" ht="14.25" customHeight="1" x14ac:dyDescent="0.25">
      <c r="F680"/>
      <c r="G680"/>
      <c r="H680"/>
      <c r="I680"/>
      <c r="J680"/>
      <c r="K680"/>
    </row>
    <row r="681" spans="6:11" ht="14.25" customHeight="1" x14ac:dyDescent="0.25">
      <c r="F681"/>
      <c r="G681"/>
      <c r="H681"/>
      <c r="I681"/>
      <c r="J681"/>
      <c r="K681"/>
    </row>
    <row r="682" spans="6:11" ht="14.25" customHeight="1" x14ac:dyDescent="0.25">
      <c r="F682"/>
      <c r="G682"/>
      <c r="H682"/>
      <c r="I682"/>
      <c r="J682"/>
      <c r="K682"/>
    </row>
    <row r="683" spans="6:11" ht="14.25" customHeight="1" x14ac:dyDescent="0.25">
      <c r="F683"/>
      <c r="G683"/>
      <c r="H683"/>
      <c r="I683"/>
      <c r="J683"/>
      <c r="K683"/>
    </row>
    <row r="684" spans="6:11" ht="14.25" customHeight="1" x14ac:dyDescent="0.25">
      <c r="F684"/>
      <c r="G684"/>
      <c r="H684"/>
      <c r="I684"/>
      <c r="J684"/>
      <c r="K684"/>
    </row>
    <row r="685" spans="6:11" ht="14.25" customHeight="1" x14ac:dyDescent="0.25">
      <c r="F685"/>
      <c r="G685"/>
      <c r="H685"/>
      <c r="I685"/>
      <c r="J685"/>
      <c r="K685"/>
    </row>
    <row r="686" spans="6:11" ht="14.25" customHeight="1" x14ac:dyDescent="0.25">
      <c r="F686"/>
      <c r="G686"/>
      <c r="H686"/>
      <c r="I686"/>
      <c r="J686"/>
      <c r="K686"/>
    </row>
    <row r="687" spans="6:11" ht="14.25" customHeight="1" x14ac:dyDescent="0.25">
      <c r="F687"/>
      <c r="G687"/>
      <c r="H687"/>
      <c r="I687"/>
      <c r="J687"/>
      <c r="K687"/>
    </row>
    <row r="688" spans="6:11" ht="14.25" customHeight="1" x14ac:dyDescent="0.25">
      <c r="F688"/>
      <c r="G688"/>
      <c r="H688"/>
      <c r="I688"/>
      <c r="J688"/>
      <c r="K688"/>
    </row>
    <row r="689" spans="6:11" ht="14.25" customHeight="1" x14ac:dyDescent="0.25">
      <c r="F689"/>
      <c r="G689"/>
      <c r="H689"/>
      <c r="I689"/>
      <c r="J689"/>
      <c r="K689"/>
    </row>
    <row r="690" spans="6:11" ht="14.25" customHeight="1" x14ac:dyDescent="0.25">
      <c r="F690"/>
      <c r="G690"/>
      <c r="H690"/>
      <c r="I690"/>
      <c r="J690"/>
      <c r="K690"/>
    </row>
    <row r="691" spans="6:11" ht="14.25" customHeight="1" x14ac:dyDescent="0.25">
      <c r="F691"/>
      <c r="G691"/>
      <c r="H691"/>
      <c r="I691"/>
      <c r="J691"/>
      <c r="K691"/>
    </row>
    <row r="692" spans="6:11" ht="14.25" customHeight="1" x14ac:dyDescent="0.25">
      <c r="F692"/>
      <c r="G692"/>
      <c r="H692"/>
      <c r="I692"/>
      <c r="J692"/>
      <c r="K692"/>
    </row>
    <row r="693" spans="6:11" ht="14.25" customHeight="1" x14ac:dyDescent="0.25">
      <c r="F693"/>
      <c r="G693"/>
      <c r="H693"/>
      <c r="I693"/>
      <c r="J693"/>
      <c r="K693"/>
    </row>
    <row r="694" spans="6:11" ht="14.25" customHeight="1" x14ac:dyDescent="0.25">
      <c r="F694"/>
      <c r="G694"/>
      <c r="H694"/>
      <c r="I694"/>
      <c r="J694"/>
      <c r="K694"/>
    </row>
    <row r="695" spans="6:11" ht="14.25" customHeight="1" x14ac:dyDescent="0.25">
      <c r="F695"/>
      <c r="G695"/>
      <c r="H695"/>
      <c r="I695"/>
      <c r="J695"/>
      <c r="K695"/>
    </row>
    <row r="696" spans="6:11" ht="14.25" customHeight="1" x14ac:dyDescent="0.25">
      <c r="F696"/>
      <c r="G696"/>
      <c r="H696"/>
      <c r="I696"/>
      <c r="J696"/>
      <c r="K696"/>
    </row>
    <row r="697" spans="6:11" ht="14.25" customHeight="1" x14ac:dyDescent="0.25">
      <c r="F697"/>
      <c r="G697"/>
      <c r="H697"/>
      <c r="I697"/>
      <c r="J697"/>
      <c r="K697"/>
    </row>
    <row r="698" spans="6:11" ht="14.25" customHeight="1" x14ac:dyDescent="0.25">
      <c r="F698"/>
      <c r="G698"/>
      <c r="H698"/>
      <c r="I698"/>
      <c r="J698"/>
      <c r="K698"/>
    </row>
    <row r="699" spans="6:11" ht="14.25" customHeight="1" x14ac:dyDescent="0.25">
      <c r="F699"/>
      <c r="G699"/>
      <c r="H699"/>
      <c r="I699"/>
      <c r="J699"/>
      <c r="K699"/>
    </row>
    <row r="700" spans="6:11" ht="14.25" customHeight="1" x14ac:dyDescent="0.25">
      <c r="F700"/>
      <c r="G700"/>
      <c r="H700"/>
      <c r="I700"/>
      <c r="J700"/>
      <c r="K700"/>
    </row>
    <row r="701" spans="6:11" ht="14.25" customHeight="1" x14ac:dyDescent="0.25">
      <c r="F701"/>
      <c r="G701"/>
      <c r="H701"/>
      <c r="I701"/>
      <c r="J701"/>
      <c r="K701"/>
    </row>
    <row r="702" spans="6:11" ht="14.25" customHeight="1" x14ac:dyDescent="0.25">
      <c r="F702"/>
      <c r="G702"/>
      <c r="H702"/>
      <c r="I702"/>
      <c r="J702"/>
      <c r="K702"/>
    </row>
    <row r="703" spans="6:11" ht="14.25" customHeight="1" x14ac:dyDescent="0.25">
      <c r="F703"/>
      <c r="G703"/>
      <c r="H703"/>
      <c r="I703"/>
      <c r="J703"/>
      <c r="K703"/>
    </row>
    <row r="704" spans="6:11" ht="14.25" customHeight="1" x14ac:dyDescent="0.25">
      <c r="F704"/>
      <c r="G704"/>
      <c r="H704"/>
      <c r="I704"/>
      <c r="J704"/>
      <c r="K704"/>
    </row>
    <row r="705" spans="6:11" ht="14.25" customHeight="1" x14ac:dyDescent="0.25">
      <c r="F705"/>
      <c r="G705"/>
      <c r="H705"/>
      <c r="I705"/>
      <c r="J705"/>
      <c r="K705"/>
    </row>
    <row r="706" spans="6:11" ht="14.25" customHeight="1" x14ac:dyDescent="0.25">
      <c r="F706"/>
      <c r="G706"/>
      <c r="H706"/>
      <c r="I706"/>
      <c r="J706"/>
      <c r="K706"/>
    </row>
    <row r="707" spans="6:11" ht="14.25" customHeight="1" x14ac:dyDescent="0.25">
      <c r="F707"/>
      <c r="G707"/>
      <c r="H707"/>
      <c r="I707"/>
      <c r="J707"/>
      <c r="K707"/>
    </row>
    <row r="708" spans="6:11" ht="14.25" customHeight="1" x14ac:dyDescent="0.25">
      <c r="F708"/>
      <c r="G708"/>
      <c r="H708"/>
      <c r="I708"/>
      <c r="J708"/>
      <c r="K708"/>
    </row>
    <row r="709" spans="6:11" ht="14.25" customHeight="1" x14ac:dyDescent="0.25">
      <c r="F709"/>
      <c r="G709"/>
      <c r="H709"/>
      <c r="I709"/>
      <c r="J709"/>
      <c r="K709"/>
    </row>
    <row r="710" spans="6:11" ht="14.25" customHeight="1" x14ac:dyDescent="0.25">
      <c r="F710"/>
      <c r="G710"/>
      <c r="H710"/>
      <c r="I710"/>
      <c r="J710"/>
      <c r="K710"/>
    </row>
    <row r="711" spans="6:11" ht="14.25" customHeight="1" x14ac:dyDescent="0.25">
      <c r="F711"/>
      <c r="G711"/>
      <c r="H711"/>
      <c r="I711"/>
      <c r="J711"/>
      <c r="K711"/>
    </row>
    <row r="712" spans="6:11" ht="14.25" customHeight="1" x14ac:dyDescent="0.25">
      <c r="F712"/>
      <c r="G712"/>
      <c r="H712"/>
      <c r="I712"/>
      <c r="J712"/>
      <c r="K712"/>
    </row>
    <row r="713" spans="6:11" ht="14.25" customHeight="1" x14ac:dyDescent="0.25">
      <c r="F713"/>
      <c r="G713"/>
      <c r="H713"/>
      <c r="I713"/>
      <c r="J713"/>
      <c r="K713"/>
    </row>
    <row r="714" spans="6:11" ht="14.25" customHeight="1" x14ac:dyDescent="0.25">
      <c r="F714"/>
      <c r="G714"/>
      <c r="H714"/>
      <c r="I714"/>
      <c r="J714"/>
      <c r="K714"/>
    </row>
    <row r="715" spans="6:11" ht="14.25" customHeight="1" x14ac:dyDescent="0.25">
      <c r="F715"/>
      <c r="G715"/>
      <c r="H715"/>
      <c r="I715"/>
      <c r="J715"/>
      <c r="K715"/>
    </row>
    <row r="716" spans="6:11" ht="14.25" customHeight="1" x14ac:dyDescent="0.25">
      <c r="F716"/>
      <c r="G716"/>
      <c r="H716"/>
      <c r="I716"/>
      <c r="J716"/>
      <c r="K716"/>
    </row>
    <row r="717" spans="6:11" ht="14.25" customHeight="1" x14ac:dyDescent="0.25">
      <c r="F717"/>
      <c r="G717"/>
      <c r="H717"/>
      <c r="I717"/>
      <c r="J717"/>
      <c r="K717"/>
    </row>
    <row r="718" spans="6:11" ht="14.25" customHeight="1" x14ac:dyDescent="0.25">
      <c r="F718"/>
      <c r="G718"/>
      <c r="H718"/>
      <c r="I718"/>
      <c r="J718"/>
      <c r="K718"/>
    </row>
    <row r="719" spans="6:11" ht="14.25" customHeight="1" x14ac:dyDescent="0.25">
      <c r="F719"/>
      <c r="G719"/>
      <c r="H719"/>
      <c r="I719"/>
      <c r="J719"/>
      <c r="K719"/>
    </row>
    <row r="720" spans="6:11" ht="14.25" customHeight="1" x14ac:dyDescent="0.25">
      <c r="F720"/>
      <c r="G720"/>
      <c r="H720"/>
      <c r="I720"/>
      <c r="J720"/>
      <c r="K720"/>
    </row>
    <row r="721" spans="6:11" ht="14.25" customHeight="1" x14ac:dyDescent="0.25">
      <c r="F721"/>
      <c r="G721"/>
      <c r="H721"/>
      <c r="I721"/>
      <c r="J721"/>
      <c r="K721"/>
    </row>
    <row r="722" spans="6:11" ht="14.25" customHeight="1" x14ac:dyDescent="0.25">
      <c r="F722"/>
      <c r="G722"/>
      <c r="H722"/>
      <c r="I722"/>
      <c r="J722"/>
      <c r="K722"/>
    </row>
    <row r="723" spans="6:11" ht="14.25" customHeight="1" x14ac:dyDescent="0.25">
      <c r="F723"/>
      <c r="G723"/>
      <c r="H723"/>
      <c r="I723"/>
      <c r="J723"/>
      <c r="K723"/>
    </row>
    <row r="724" spans="6:11" ht="14.25" customHeight="1" x14ac:dyDescent="0.25">
      <c r="F724"/>
      <c r="G724"/>
      <c r="H724"/>
      <c r="I724"/>
      <c r="J724"/>
      <c r="K724"/>
    </row>
    <row r="725" spans="6:11" ht="14.25" customHeight="1" x14ac:dyDescent="0.25">
      <c r="F725"/>
      <c r="G725"/>
      <c r="H725"/>
      <c r="I725"/>
      <c r="J725"/>
      <c r="K725"/>
    </row>
    <row r="726" spans="6:11" ht="14.25" customHeight="1" x14ac:dyDescent="0.25">
      <c r="F726"/>
      <c r="G726"/>
      <c r="H726"/>
      <c r="I726"/>
      <c r="J726"/>
      <c r="K726"/>
    </row>
    <row r="727" spans="6:11" ht="14.25" customHeight="1" x14ac:dyDescent="0.25">
      <c r="F727"/>
      <c r="G727"/>
      <c r="H727"/>
      <c r="I727"/>
      <c r="J727"/>
      <c r="K727"/>
    </row>
    <row r="728" spans="6:11" ht="14.25" customHeight="1" x14ac:dyDescent="0.25">
      <c r="F728"/>
      <c r="G728"/>
      <c r="H728"/>
      <c r="I728"/>
      <c r="J728"/>
      <c r="K728"/>
    </row>
    <row r="729" spans="6:11" ht="14.25" customHeight="1" x14ac:dyDescent="0.25">
      <c r="F729"/>
      <c r="G729"/>
      <c r="H729"/>
      <c r="I729"/>
      <c r="J729"/>
      <c r="K729"/>
    </row>
    <row r="730" spans="6:11" ht="14.25" customHeight="1" x14ac:dyDescent="0.25">
      <c r="F730"/>
      <c r="G730"/>
      <c r="H730"/>
      <c r="I730"/>
      <c r="J730"/>
      <c r="K730"/>
    </row>
    <row r="731" spans="6:11" ht="14.25" customHeight="1" x14ac:dyDescent="0.25">
      <c r="F731"/>
      <c r="G731"/>
      <c r="H731"/>
      <c r="I731"/>
      <c r="J731"/>
      <c r="K731"/>
    </row>
    <row r="732" spans="6:11" ht="14.25" customHeight="1" x14ac:dyDescent="0.25">
      <c r="F732"/>
      <c r="G732"/>
      <c r="H732"/>
      <c r="I732"/>
      <c r="J732"/>
      <c r="K732"/>
    </row>
    <row r="733" spans="6:11" ht="14.25" customHeight="1" x14ac:dyDescent="0.25">
      <c r="F733"/>
      <c r="G733"/>
      <c r="H733"/>
      <c r="I733"/>
      <c r="J733"/>
      <c r="K733"/>
    </row>
    <row r="734" spans="6:11" ht="14.25" customHeight="1" x14ac:dyDescent="0.25">
      <c r="F734"/>
      <c r="G734"/>
      <c r="H734"/>
      <c r="I734"/>
      <c r="J734"/>
      <c r="K734"/>
    </row>
    <row r="735" spans="6:11" ht="14.25" customHeight="1" x14ac:dyDescent="0.25">
      <c r="F735"/>
      <c r="G735"/>
      <c r="H735"/>
      <c r="I735"/>
      <c r="J735"/>
      <c r="K735"/>
    </row>
    <row r="736" spans="6:11" ht="14.25" customHeight="1" x14ac:dyDescent="0.25">
      <c r="F736"/>
      <c r="G736"/>
      <c r="H736"/>
      <c r="I736"/>
      <c r="J736"/>
      <c r="K736"/>
    </row>
    <row r="737" spans="6:11" ht="14.25" customHeight="1" x14ac:dyDescent="0.25">
      <c r="F737"/>
      <c r="G737"/>
      <c r="H737"/>
      <c r="I737"/>
      <c r="J737"/>
      <c r="K737"/>
    </row>
    <row r="738" spans="6:11" ht="14.25" customHeight="1" x14ac:dyDescent="0.25">
      <c r="F738"/>
      <c r="G738"/>
      <c r="H738"/>
      <c r="I738"/>
      <c r="J738"/>
      <c r="K738"/>
    </row>
    <row r="739" spans="6:11" ht="14.25" customHeight="1" x14ac:dyDescent="0.25">
      <c r="F739"/>
      <c r="G739"/>
      <c r="H739"/>
      <c r="I739"/>
      <c r="J739"/>
      <c r="K739"/>
    </row>
    <row r="740" spans="6:11" ht="14.25" customHeight="1" x14ac:dyDescent="0.25">
      <c r="F740"/>
      <c r="G740"/>
      <c r="H740"/>
      <c r="I740"/>
      <c r="J740"/>
      <c r="K740"/>
    </row>
    <row r="741" spans="6:11" ht="14.25" customHeight="1" x14ac:dyDescent="0.25">
      <c r="F741"/>
      <c r="G741"/>
      <c r="H741"/>
      <c r="I741"/>
      <c r="J741"/>
      <c r="K741"/>
    </row>
    <row r="742" spans="6:11" ht="14.25" customHeight="1" x14ac:dyDescent="0.25">
      <c r="F742"/>
      <c r="G742"/>
      <c r="H742"/>
      <c r="I742"/>
      <c r="J742"/>
      <c r="K742"/>
    </row>
    <row r="743" spans="6:11" ht="14.25" customHeight="1" x14ac:dyDescent="0.25">
      <c r="F743"/>
      <c r="G743"/>
      <c r="H743"/>
      <c r="I743"/>
      <c r="J743"/>
      <c r="K743"/>
    </row>
    <row r="744" spans="6:11" ht="14.25" customHeight="1" x14ac:dyDescent="0.25">
      <c r="F744"/>
      <c r="G744"/>
      <c r="H744"/>
      <c r="I744"/>
      <c r="J744"/>
      <c r="K744"/>
    </row>
    <row r="745" spans="6:11" ht="14.25" customHeight="1" x14ac:dyDescent="0.25">
      <c r="F745"/>
      <c r="G745"/>
      <c r="H745"/>
      <c r="I745"/>
      <c r="J745"/>
      <c r="K745"/>
    </row>
    <row r="746" spans="6:11" ht="14.25" customHeight="1" x14ac:dyDescent="0.25">
      <c r="F746"/>
      <c r="G746"/>
      <c r="H746"/>
      <c r="I746"/>
      <c r="J746"/>
      <c r="K746"/>
    </row>
    <row r="747" spans="6:11" ht="14.25" customHeight="1" x14ac:dyDescent="0.25">
      <c r="F747"/>
      <c r="G747"/>
      <c r="H747"/>
      <c r="I747"/>
      <c r="J747"/>
      <c r="K747"/>
    </row>
    <row r="748" spans="6:11" ht="14.25" customHeight="1" x14ac:dyDescent="0.25">
      <c r="F748"/>
      <c r="G748"/>
      <c r="H748"/>
      <c r="I748"/>
      <c r="J748"/>
      <c r="K748"/>
    </row>
    <row r="749" spans="6:11" ht="14.25" customHeight="1" x14ac:dyDescent="0.25">
      <c r="F749"/>
      <c r="G749"/>
      <c r="H749"/>
      <c r="I749"/>
      <c r="J749"/>
      <c r="K749"/>
    </row>
    <row r="750" spans="6:11" ht="14.25" customHeight="1" x14ac:dyDescent="0.25">
      <c r="F750"/>
      <c r="G750"/>
      <c r="H750"/>
      <c r="I750"/>
      <c r="J750"/>
      <c r="K750"/>
    </row>
    <row r="751" spans="6:11" ht="14.25" customHeight="1" x14ac:dyDescent="0.25">
      <c r="F751"/>
      <c r="G751"/>
      <c r="H751"/>
      <c r="I751"/>
      <c r="J751"/>
      <c r="K751"/>
    </row>
    <row r="752" spans="6:11" ht="14.25" customHeight="1" x14ac:dyDescent="0.25">
      <c r="F752"/>
      <c r="G752"/>
      <c r="H752"/>
      <c r="I752"/>
      <c r="J752"/>
      <c r="K752"/>
    </row>
    <row r="753" spans="6:11" ht="14.25" customHeight="1" x14ac:dyDescent="0.25">
      <c r="F753"/>
      <c r="G753"/>
      <c r="H753"/>
      <c r="I753"/>
      <c r="J753"/>
      <c r="K753"/>
    </row>
    <row r="754" spans="6:11" ht="14.25" customHeight="1" x14ac:dyDescent="0.25">
      <c r="F754"/>
      <c r="G754"/>
      <c r="H754"/>
      <c r="I754"/>
      <c r="J754"/>
      <c r="K754"/>
    </row>
    <row r="755" spans="6:11" ht="14.25" customHeight="1" x14ac:dyDescent="0.25">
      <c r="F755"/>
      <c r="G755"/>
      <c r="H755"/>
      <c r="I755"/>
      <c r="J755"/>
      <c r="K755"/>
    </row>
    <row r="756" spans="6:11" ht="14.25" customHeight="1" x14ac:dyDescent="0.25">
      <c r="F756"/>
      <c r="G756"/>
      <c r="H756"/>
      <c r="I756"/>
      <c r="J756"/>
      <c r="K756"/>
    </row>
    <row r="757" spans="6:11" ht="14.25" customHeight="1" x14ac:dyDescent="0.25">
      <c r="F757"/>
      <c r="G757"/>
      <c r="H757"/>
      <c r="I757"/>
      <c r="J757"/>
      <c r="K757"/>
    </row>
    <row r="758" spans="6:11" ht="14.25" customHeight="1" x14ac:dyDescent="0.25">
      <c r="F758"/>
      <c r="G758"/>
      <c r="H758"/>
      <c r="I758"/>
      <c r="J758"/>
      <c r="K758"/>
    </row>
    <row r="759" spans="6:11" ht="14.25" customHeight="1" x14ac:dyDescent="0.25">
      <c r="F759"/>
      <c r="G759"/>
      <c r="H759"/>
      <c r="I759"/>
      <c r="J759"/>
      <c r="K759"/>
    </row>
    <row r="760" spans="6:11" ht="14.25" customHeight="1" x14ac:dyDescent="0.25">
      <c r="F760"/>
      <c r="G760"/>
      <c r="H760"/>
      <c r="I760"/>
      <c r="J760"/>
      <c r="K760"/>
    </row>
    <row r="761" spans="6:11" ht="14.25" customHeight="1" x14ac:dyDescent="0.25">
      <c r="F761"/>
      <c r="G761"/>
      <c r="H761"/>
      <c r="I761"/>
      <c r="J761"/>
      <c r="K761"/>
    </row>
    <row r="762" spans="6:11" ht="14.25" customHeight="1" x14ac:dyDescent="0.25">
      <c r="F762"/>
      <c r="G762"/>
      <c r="H762"/>
      <c r="I762"/>
      <c r="J762"/>
      <c r="K762"/>
    </row>
    <row r="763" spans="6:11" ht="14.25" customHeight="1" x14ac:dyDescent="0.25">
      <c r="F763"/>
      <c r="G763"/>
      <c r="H763"/>
      <c r="I763"/>
      <c r="J763"/>
      <c r="K763"/>
    </row>
    <row r="764" spans="6:11" ht="14.25" customHeight="1" x14ac:dyDescent="0.25">
      <c r="F764"/>
      <c r="G764"/>
      <c r="H764"/>
      <c r="I764"/>
      <c r="J764"/>
      <c r="K764"/>
    </row>
    <row r="765" spans="6:11" ht="14.25" customHeight="1" x14ac:dyDescent="0.25">
      <c r="F765"/>
      <c r="G765"/>
      <c r="H765"/>
      <c r="I765"/>
      <c r="J765"/>
      <c r="K765"/>
    </row>
    <row r="766" spans="6:11" ht="14.25" customHeight="1" x14ac:dyDescent="0.25">
      <c r="F766"/>
      <c r="G766"/>
      <c r="H766"/>
      <c r="I766"/>
      <c r="J766"/>
      <c r="K766"/>
    </row>
    <row r="767" spans="6:11" ht="14.25" customHeight="1" x14ac:dyDescent="0.25">
      <c r="F767"/>
      <c r="G767"/>
      <c r="H767"/>
      <c r="I767"/>
      <c r="J767"/>
      <c r="K767"/>
    </row>
    <row r="768" spans="6:11" ht="14.25" customHeight="1" x14ac:dyDescent="0.25">
      <c r="F768"/>
      <c r="G768"/>
      <c r="H768"/>
      <c r="I768"/>
      <c r="J768"/>
      <c r="K768"/>
    </row>
    <row r="769" spans="6:11" ht="14.25" customHeight="1" x14ac:dyDescent="0.25">
      <c r="F769"/>
      <c r="G769"/>
      <c r="H769"/>
      <c r="I769"/>
      <c r="J769"/>
      <c r="K769"/>
    </row>
    <row r="770" spans="6:11" ht="14.25" customHeight="1" x14ac:dyDescent="0.25">
      <c r="F770"/>
      <c r="G770"/>
      <c r="H770"/>
      <c r="I770"/>
      <c r="J770"/>
      <c r="K770"/>
    </row>
    <row r="771" spans="6:11" ht="14.25" customHeight="1" x14ac:dyDescent="0.25">
      <c r="F771"/>
      <c r="G771"/>
      <c r="H771"/>
      <c r="I771"/>
      <c r="J771"/>
      <c r="K771"/>
    </row>
    <row r="772" spans="6:11" ht="14.25" customHeight="1" x14ac:dyDescent="0.25">
      <c r="F772"/>
      <c r="G772"/>
      <c r="H772"/>
      <c r="I772"/>
      <c r="J772"/>
      <c r="K772"/>
    </row>
    <row r="773" spans="6:11" ht="14.25" customHeight="1" x14ac:dyDescent="0.25">
      <c r="F773"/>
      <c r="G773"/>
      <c r="H773"/>
      <c r="I773"/>
      <c r="J773"/>
      <c r="K773"/>
    </row>
    <row r="774" spans="6:11" ht="14.25" customHeight="1" x14ac:dyDescent="0.25">
      <c r="F774"/>
      <c r="G774"/>
      <c r="H774"/>
      <c r="I774"/>
      <c r="J774"/>
      <c r="K774"/>
    </row>
    <row r="775" spans="6:11" ht="14.25" customHeight="1" x14ac:dyDescent="0.25">
      <c r="F775"/>
      <c r="G775"/>
      <c r="H775"/>
      <c r="I775"/>
      <c r="J775"/>
      <c r="K775"/>
    </row>
    <row r="776" spans="6:11" ht="14.25" customHeight="1" x14ac:dyDescent="0.25">
      <c r="F776"/>
      <c r="G776"/>
      <c r="H776"/>
      <c r="I776"/>
      <c r="J776"/>
      <c r="K776"/>
    </row>
    <row r="777" spans="6:11" ht="14.25" customHeight="1" x14ac:dyDescent="0.25">
      <c r="F777"/>
      <c r="G777"/>
      <c r="H777"/>
      <c r="I777"/>
      <c r="J777"/>
      <c r="K777"/>
    </row>
    <row r="778" spans="6:11" ht="14.25" customHeight="1" x14ac:dyDescent="0.25">
      <c r="F778"/>
      <c r="G778"/>
      <c r="H778"/>
      <c r="I778"/>
      <c r="J778"/>
      <c r="K778"/>
    </row>
    <row r="779" spans="6:11" ht="14.25" customHeight="1" x14ac:dyDescent="0.25">
      <c r="F779"/>
      <c r="G779"/>
      <c r="H779"/>
      <c r="I779"/>
      <c r="J779"/>
      <c r="K779"/>
    </row>
    <row r="780" spans="6:11" ht="14.25" customHeight="1" x14ac:dyDescent="0.25">
      <c r="F780"/>
      <c r="G780"/>
      <c r="H780"/>
      <c r="I780"/>
      <c r="J780"/>
      <c r="K780"/>
    </row>
    <row r="781" spans="6:11" ht="14.25" customHeight="1" x14ac:dyDescent="0.25">
      <c r="F781"/>
      <c r="G781"/>
      <c r="H781"/>
      <c r="I781"/>
      <c r="J781"/>
      <c r="K781"/>
    </row>
    <row r="782" spans="6:11" ht="14.25" customHeight="1" x14ac:dyDescent="0.25">
      <c r="F782"/>
      <c r="G782"/>
      <c r="H782"/>
      <c r="I782"/>
      <c r="J782"/>
      <c r="K782"/>
    </row>
    <row r="783" spans="6:11" ht="14.25" customHeight="1" x14ac:dyDescent="0.25">
      <c r="F783"/>
      <c r="G783"/>
      <c r="H783"/>
      <c r="I783"/>
      <c r="J783"/>
      <c r="K783"/>
    </row>
    <row r="784" spans="6:11" ht="14.25" customHeight="1" x14ac:dyDescent="0.25">
      <c r="F784"/>
      <c r="G784"/>
      <c r="H784"/>
      <c r="I784"/>
      <c r="J784"/>
      <c r="K784"/>
    </row>
    <row r="785" spans="6:11" ht="14.25" customHeight="1" x14ac:dyDescent="0.25">
      <c r="F785"/>
      <c r="G785"/>
      <c r="H785"/>
      <c r="I785"/>
      <c r="J785"/>
      <c r="K785"/>
    </row>
    <row r="786" spans="6:11" ht="14.25" customHeight="1" x14ac:dyDescent="0.25">
      <c r="F786"/>
      <c r="G786"/>
      <c r="H786"/>
      <c r="I786"/>
      <c r="J786"/>
      <c r="K786"/>
    </row>
    <row r="787" spans="6:11" ht="14.25" customHeight="1" x14ac:dyDescent="0.25">
      <c r="F787"/>
      <c r="G787"/>
      <c r="H787"/>
      <c r="I787"/>
      <c r="J787"/>
      <c r="K787"/>
    </row>
    <row r="788" spans="6:11" ht="14.25" customHeight="1" x14ac:dyDescent="0.25">
      <c r="F788"/>
      <c r="G788"/>
      <c r="H788"/>
      <c r="I788"/>
      <c r="J788"/>
      <c r="K788"/>
    </row>
    <row r="789" spans="6:11" ht="14.25" customHeight="1" x14ac:dyDescent="0.25">
      <c r="F789"/>
      <c r="G789"/>
      <c r="H789"/>
      <c r="I789"/>
      <c r="J789"/>
      <c r="K789"/>
    </row>
    <row r="790" spans="6:11" ht="14.25" customHeight="1" x14ac:dyDescent="0.25">
      <c r="F790"/>
      <c r="G790"/>
      <c r="H790"/>
      <c r="I790"/>
      <c r="J790"/>
      <c r="K790"/>
    </row>
    <row r="791" spans="6:11" ht="14.25" customHeight="1" x14ac:dyDescent="0.25">
      <c r="F791"/>
      <c r="G791"/>
      <c r="H791"/>
      <c r="I791"/>
      <c r="J791"/>
      <c r="K791"/>
    </row>
    <row r="792" spans="6:11" ht="14.25" customHeight="1" x14ac:dyDescent="0.25">
      <c r="F792"/>
      <c r="G792"/>
      <c r="H792"/>
      <c r="I792"/>
      <c r="J792"/>
      <c r="K792"/>
    </row>
    <row r="793" spans="6:11" ht="14.25" customHeight="1" x14ac:dyDescent="0.25">
      <c r="F793"/>
      <c r="G793"/>
      <c r="H793"/>
      <c r="I793"/>
      <c r="J793"/>
      <c r="K793"/>
    </row>
    <row r="794" spans="6:11" ht="14.25" customHeight="1" x14ac:dyDescent="0.25">
      <c r="F794"/>
      <c r="G794"/>
      <c r="H794"/>
      <c r="I794"/>
      <c r="J794"/>
      <c r="K794"/>
    </row>
    <row r="795" spans="6:11" ht="14.25" customHeight="1" x14ac:dyDescent="0.25">
      <c r="F795"/>
      <c r="G795"/>
      <c r="H795"/>
      <c r="I795"/>
      <c r="J795"/>
      <c r="K795"/>
    </row>
    <row r="796" spans="6:11" ht="14.25" customHeight="1" x14ac:dyDescent="0.25">
      <c r="F796"/>
      <c r="G796"/>
      <c r="H796"/>
      <c r="I796"/>
      <c r="J796"/>
      <c r="K796"/>
    </row>
    <row r="797" spans="6:11" ht="14.25" customHeight="1" x14ac:dyDescent="0.25">
      <c r="F797"/>
      <c r="G797"/>
      <c r="H797"/>
      <c r="I797"/>
      <c r="J797"/>
      <c r="K797"/>
    </row>
    <row r="798" spans="6:11" ht="14.25" customHeight="1" x14ac:dyDescent="0.25">
      <c r="F798"/>
      <c r="G798"/>
      <c r="H798"/>
      <c r="I798"/>
      <c r="J798"/>
      <c r="K798"/>
    </row>
    <row r="799" spans="6:11" ht="14.25" customHeight="1" x14ac:dyDescent="0.25">
      <c r="F799"/>
      <c r="G799"/>
      <c r="H799"/>
      <c r="I799"/>
      <c r="J799"/>
      <c r="K799"/>
    </row>
    <row r="800" spans="6:11" ht="14.25" customHeight="1" x14ac:dyDescent="0.25">
      <c r="F800"/>
      <c r="G800"/>
      <c r="H800"/>
      <c r="I800"/>
      <c r="J800"/>
      <c r="K800"/>
    </row>
    <row r="801" spans="6:11" ht="14.25" customHeight="1" x14ac:dyDescent="0.25">
      <c r="F801"/>
      <c r="G801"/>
      <c r="H801"/>
      <c r="I801"/>
      <c r="J801"/>
      <c r="K801"/>
    </row>
    <row r="802" spans="6:11" ht="14.25" customHeight="1" x14ac:dyDescent="0.25">
      <c r="F802"/>
      <c r="G802"/>
      <c r="H802"/>
      <c r="I802"/>
      <c r="J802"/>
      <c r="K802"/>
    </row>
    <row r="803" spans="6:11" ht="14.25" customHeight="1" x14ac:dyDescent="0.25">
      <c r="F803"/>
      <c r="G803"/>
      <c r="H803"/>
      <c r="I803"/>
      <c r="J803"/>
      <c r="K803"/>
    </row>
    <row r="804" spans="6:11" ht="14.25" customHeight="1" x14ac:dyDescent="0.25">
      <c r="F804"/>
      <c r="G804"/>
      <c r="H804"/>
      <c r="I804"/>
      <c r="J804"/>
      <c r="K804"/>
    </row>
    <row r="805" spans="6:11" ht="14.25" customHeight="1" x14ac:dyDescent="0.25">
      <c r="F805"/>
      <c r="G805"/>
      <c r="H805"/>
      <c r="I805"/>
      <c r="J805"/>
      <c r="K805"/>
    </row>
    <row r="806" spans="6:11" ht="14.25" customHeight="1" x14ac:dyDescent="0.25">
      <c r="F806"/>
      <c r="G806"/>
      <c r="H806"/>
      <c r="I806"/>
      <c r="J806"/>
      <c r="K806"/>
    </row>
    <row r="807" spans="6:11" ht="14.25" customHeight="1" x14ac:dyDescent="0.25">
      <c r="F807"/>
      <c r="G807"/>
      <c r="H807"/>
      <c r="I807"/>
      <c r="J807"/>
      <c r="K807"/>
    </row>
    <row r="808" spans="6:11" ht="14.25" customHeight="1" x14ac:dyDescent="0.25">
      <c r="F808"/>
      <c r="G808"/>
      <c r="H808"/>
      <c r="I808"/>
      <c r="J808"/>
      <c r="K808"/>
    </row>
    <row r="809" spans="6:11" ht="14.25" customHeight="1" x14ac:dyDescent="0.25">
      <c r="F809"/>
      <c r="G809"/>
      <c r="H809"/>
      <c r="I809"/>
      <c r="J809"/>
      <c r="K809"/>
    </row>
    <row r="810" spans="6:11" ht="14.25" customHeight="1" x14ac:dyDescent="0.25">
      <c r="F810"/>
      <c r="G810"/>
      <c r="H810"/>
      <c r="I810"/>
      <c r="J810"/>
      <c r="K810"/>
    </row>
    <row r="811" spans="6:11" ht="14.25" customHeight="1" x14ac:dyDescent="0.25">
      <c r="F811"/>
      <c r="G811"/>
      <c r="H811"/>
      <c r="I811"/>
      <c r="J811"/>
      <c r="K811"/>
    </row>
    <row r="812" spans="6:11" ht="14.25" customHeight="1" x14ac:dyDescent="0.25">
      <c r="F812"/>
      <c r="G812"/>
      <c r="H812"/>
      <c r="I812"/>
      <c r="J812"/>
      <c r="K812"/>
    </row>
    <row r="813" spans="6:11" ht="14.25" customHeight="1" x14ac:dyDescent="0.25">
      <c r="F813"/>
      <c r="G813"/>
      <c r="H813"/>
      <c r="I813"/>
      <c r="J813"/>
      <c r="K813"/>
    </row>
    <row r="814" spans="6:11" ht="14.25" customHeight="1" x14ac:dyDescent="0.25">
      <c r="F814"/>
      <c r="G814"/>
      <c r="H814"/>
      <c r="I814"/>
      <c r="J814"/>
      <c r="K814"/>
    </row>
    <row r="815" spans="6:11" ht="14.25" customHeight="1" x14ac:dyDescent="0.25">
      <c r="F815"/>
      <c r="G815"/>
      <c r="H815"/>
      <c r="I815"/>
      <c r="J815"/>
      <c r="K815"/>
    </row>
    <row r="816" spans="6:11" ht="14.25" customHeight="1" x14ac:dyDescent="0.25">
      <c r="F816"/>
      <c r="G816"/>
      <c r="H816"/>
      <c r="I816"/>
      <c r="J816"/>
      <c r="K816"/>
    </row>
    <row r="817" spans="6:11" ht="14.25" customHeight="1" x14ac:dyDescent="0.25">
      <c r="F817"/>
      <c r="G817"/>
      <c r="H817"/>
      <c r="I817"/>
      <c r="J817"/>
      <c r="K817"/>
    </row>
    <row r="818" spans="6:11" ht="14.25" customHeight="1" x14ac:dyDescent="0.25">
      <c r="F818"/>
      <c r="G818"/>
      <c r="H818"/>
      <c r="I818"/>
      <c r="J818"/>
      <c r="K818"/>
    </row>
    <row r="819" spans="6:11" ht="14.25" customHeight="1" x14ac:dyDescent="0.25">
      <c r="F819"/>
      <c r="G819"/>
      <c r="H819"/>
      <c r="I819"/>
      <c r="J819"/>
      <c r="K819"/>
    </row>
    <row r="820" spans="6:11" ht="14.25" customHeight="1" x14ac:dyDescent="0.25">
      <c r="F820"/>
      <c r="G820"/>
      <c r="H820"/>
      <c r="I820"/>
      <c r="J820"/>
      <c r="K820"/>
    </row>
    <row r="821" spans="6:11" ht="14.25" customHeight="1" x14ac:dyDescent="0.25">
      <c r="F821"/>
      <c r="G821"/>
      <c r="H821"/>
      <c r="I821"/>
      <c r="J821"/>
      <c r="K821"/>
    </row>
    <row r="822" spans="6:11" ht="14.25" customHeight="1" x14ac:dyDescent="0.25">
      <c r="F822"/>
      <c r="G822"/>
      <c r="H822"/>
      <c r="I822"/>
      <c r="J822"/>
      <c r="K822"/>
    </row>
    <row r="823" spans="6:11" ht="14.25" customHeight="1" x14ac:dyDescent="0.25">
      <c r="F823"/>
      <c r="G823"/>
      <c r="H823"/>
      <c r="I823"/>
      <c r="J823"/>
      <c r="K823"/>
    </row>
    <row r="824" spans="6:11" ht="14.25" customHeight="1" x14ac:dyDescent="0.25">
      <c r="F824"/>
      <c r="G824"/>
      <c r="H824"/>
      <c r="I824"/>
      <c r="J824"/>
      <c r="K824"/>
    </row>
    <row r="825" spans="6:11" ht="14.25" customHeight="1" x14ac:dyDescent="0.25">
      <c r="F825"/>
      <c r="G825"/>
      <c r="H825"/>
      <c r="I825"/>
      <c r="J825"/>
      <c r="K825"/>
    </row>
    <row r="826" spans="6:11" ht="14.25" customHeight="1" x14ac:dyDescent="0.25">
      <c r="F826"/>
      <c r="G826"/>
      <c r="H826"/>
      <c r="I826"/>
      <c r="J826"/>
      <c r="K826"/>
    </row>
    <row r="827" spans="6:11" ht="14.25" customHeight="1" x14ac:dyDescent="0.25">
      <c r="F827"/>
      <c r="G827"/>
      <c r="H827"/>
      <c r="I827"/>
      <c r="J827"/>
      <c r="K827"/>
    </row>
    <row r="828" spans="6:11" ht="14.25" customHeight="1" x14ac:dyDescent="0.25">
      <c r="F828"/>
      <c r="G828"/>
      <c r="H828"/>
      <c r="I828"/>
      <c r="J828"/>
      <c r="K828"/>
    </row>
    <row r="829" spans="6:11" ht="14.25" customHeight="1" x14ac:dyDescent="0.25">
      <c r="F829"/>
      <c r="G829"/>
      <c r="H829"/>
      <c r="I829"/>
      <c r="J829"/>
      <c r="K829"/>
    </row>
    <row r="830" spans="6:11" ht="14.25" customHeight="1" x14ac:dyDescent="0.25">
      <c r="F830"/>
      <c r="G830"/>
      <c r="H830"/>
      <c r="I830"/>
      <c r="J830"/>
      <c r="K830"/>
    </row>
    <row r="831" spans="6:11" ht="14.25" customHeight="1" x14ac:dyDescent="0.25">
      <c r="F831"/>
      <c r="G831"/>
      <c r="H831"/>
      <c r="I831"/>
      <c r="J831"/>
      <c r="K831"/>
    </row>
    <row r="832" spans="6:11" ht="14.25" customHeight="1" x14ac:dyDescent="0.25">
      <c r="F832"/>
      <c r="G832"/>
      <c r="H832"/>
      <c r="I832"/>
      <c r="J832"/>
      <c r="K832"/>
    </row>
    <row r="833" spans="6:11" ht="14.25" customHeight="1" x14ac:dyDescent="0.25">
      <c r="F833"/>
      <c r="G833"/>
      <c r="H833"/>
      <c r="I833"/>
      <c r="J833"/>
      <c r="K833"/>
    </row>
    <row r="834" spans="6:11" ht="14.25" customHeight="1" x14ac:dyDescent="0.25">
      <c r="F834"/>
      <c r="G834"/>
      <c r="H834"/>
      <c r="I834"/>
      <c r="J834"/>
      <c r="K834"/>
    </row>
    <row r="835" spans="6:11" ht="14.25" customHeight="1" x14ac:dyDescent="0.25">
      <c r="F835"/>
      <c r="G835"/>
      <c r="H835"/>
      <c r="I835"/>
      <c r="J835"/>
      <c r="K835"/>
    </row>
    <row r="836" spans="6:11" ht="14.25" customHeight="1" x14ac:dyDescent="0.25">
      <c r="F836"/>
      <c r="G836"/>
      <c r="H836"/>
      <c r="I836"/>
      <c r="J836"/>
      <c r="K836"/>
    </row>
    <row r="837" spans="6:11" ht="14.25" customHeight="1" x14ac:dyDescent="0.25">
      <c r="F837"/>
      <c r="G837"/>
      <c r="H837"/>
      <c r="I837"/>
      <c r="J837"/>
      <c r="K837"/>
    </row>
    <row r="838" spans="6:11" ht="14.25" customHeight="1" x14ac:dyDescent="0.25">
      <c r="F838"/>
      <c r="G838"/>
      <c r="H838"/>
      <c r="I838"/>
      <c r="J838"/>
      <c r="K838"/>
    </row>
    <row r="839" spans="6:11" ht="14.25" customHeight="1" x14ac:dyDescent="0.25">
      <c r="F839"/>
      <c r="G839"/>
      <c r="H839"/>
      <c r="I839"/>
      <c r="J839"/>
      <c r="K839"/>
    </row>
    <row r="840" spans="6:11" ht="14.25" customHeight="1" x14ac:dyDescent="0.25">
      <c r="F840"/>
      <c r="G840"/>
      <c r="H840"/>
      <c r="I840"/>
      <c r="J840"/>
      <c r="K840"/>
    </row>
    <row r="841" spans="6:11" ht="14.25" customHeight="1" x14ac:dyDescent="0.25">
      <c r="F841"/>
      <c r="G841"/>
      <c r="H841"/>
      <c r="I841"/>
      <c r="J841"/>
      <c r="K841"/>
    </row>
    <row r="842" spans="6:11" ht="14.25" customHeight="1" x14ac:dyDescent="0.25">
      <c r="F842"/>
      <c r="G842"/>
      <c r="H842"/>
      <c r="I842"/>
      <c r="J842"/>
      <c r="K842"/>
    </row>
    <row r="843" spans="6:11" ht="14.25" customHeight="1" x14ac:dyDescent="0.25">
      <c r="F843"/>
      <c r="G843"/>
      <c r="H843"/>
      <c r="I843"/>
      <c r="J843"/>
      <c r="K843"/>
    </row>
    <row r="844" spans="6:11" ht="14.25" customHeight="1" x14ac:dyDescent="0.25">
      <c r="F844"/>
      <c r="G844"/>
      <c r="H844"/>
      <c r="I844"/>
      <c r="J844"/>
      <c r="K844"/>
    </row>
    <row r="845" spans="6:11" ht="14.25" customHeight="1" x14ac:dyDescent="0.25">
      <c r="F845"/>
      <c r="G845"/>
      <c r="H845"/>
      <c r="I845"/>
      <c r="J845"/>
      <c r="K845"/>
    </row>
    <row r="846" spans="6:11" ht="14.25" customHeight="1" x14ac:dyDescent="0.25">
      <c r="F846"/>
      <c r="G846"/>
      <c r="H846"/>
      <c r="I846"/>
      <c r="J846"/>
      <c r="K846"/>
    </row>
    <row r="847" spans="6:11" ht="14.25" customHeight="1" x14ac:dyDescent="0.25">
      <c r="F847"/>
      <c r="G847"/>
      <c r="H847"/>
      <c r="I847"/>
      <c r="J847"/>
      <c r="K847"/>
    </row>
    <row r="848" spans="6:11" ht="14.25" customHeight="1" x14ac:dyDescent="0.25">
      <c r="F848"/>
      <c r="G848"/>
      <c r="H848"/>
      <c r="I848"/>
      <c r="J848"/>
      <c r="K848"/>
    </row>
    <row r="849" spans="6:11" ht="14.25" customHeight="1" x14ac:dyDescent="0.25">
      <c r="F849"/>
      <c r="G849"/>
      <c r="H849"/>
      <c r="I849"/>
      <c r="J849"/>
      <c r="K849"/>
    </row>
    <row r="850" spans="6:11" ht="14.25" customHeight="1" x14ac:dyDescent="0.25">
      <c r="F850"/>
      <c r="G850"/>
      <c r="H850"/>
      <c r="I850"/>
      <c r="J850"/>
      <c r="K850"/>
    </row>
    <row r="851" spans="6:11" ht="14.25" customHeight="1" x14ac:dyDescent="0.25">
      <c r="F851"/>
      <c r="G851"/>
      <c r="H851"/>
      <c r="I851"/>
      <c r="J851"/>
      <c r="K851"/>
    </row>
    <row r="852" spans="6:11" ht="14.25" customHeight="1" x14ac:dyDescent="0.25">
      <c r="F852"/>
      <c r="G852"/>
      <c r="H852"/>
      <c r="I852"/>
      <c r="J852"/>
      <c r="K852"/>
    </row>
    <row r="853" spans="6:11" ht="14.25" customHeight="1" x14ac:dyDescent="0.25">
      <c r="F853"/>
      <c r="G853"/>
      <c r="H853"/>
      <c r="I853"/>
      <c r="J853"/>
      <c r="K853"/>
    </row>
    <row r="854" spans="6:11" ht="14.25" customHeight="1" x14ac:dyDescent="0.25">
      <c r="F854"/>
      <c r="G854"/>
      <c r="H854"/>
      <c r="I854"/>
      <c r="J854"/>
      <c r="K854"/>
    </row>
    <row r="855" spans="6:11" ht="14.25" customHeight="1" x14ac:dyDescent="0.25">
      <c r="F855"/>
      <c r="G855"/>
      <c r="H855"/>
      <c r="I855"/>
      <c r="J855"/>
      <c r="K855"/>
    </row>
    <row r="856" spans="6:11" ht="14.25" customHeight="1" x14ac:dyDescent="0.25">
      <c r="F856"/>
      <c r="G856"/>
      <c r="H856"/>
      <c r="I856"/>
      <c r="J856"/>
      <c r="K856"/>
    </row>
    <row r="857" spans="6:11" ht="14.25" customHeight="1" x14ac:dyDescent="0.25">
      <c r="F857"/>
      <c r="G857"/>
      <c r="H857"/>
      <c r="I857"/>
      <c r="J857"/>
      <c r="K857"/>
    </row>
    <row r="858" spans="6:11" ht="14.25" customHeight="1" x14ac:dyDescent="0.25">
      <c r="F858"/>
      <c r="G858"/>
      <c r="H858"/>
      <c r="I858"/>
      <c r="J858"/>
      <c r="K858"/>
    </row>
    <row r="859" spans="6:11" ht="14.25" customHeight="1" x14ac:dyDescent="0.25">
      <c r="F859"/>
      <c r="G859"/>
      <c r="H859"/>
      <c r="I859"/>
      <c r="J859"/>
      <c r="K859"/>
    </row>
    <row r="860" spans="6:11" ht="14.25" customHeight="1" x14ac:dyDescent="0.25">
      <c r="F860"/>
      <c r="G860"/>
      <c r="H860"/>
      <c r="I860"/>
      <c r="J860"/>
      <c r="K860"/>
    </row>
    <row r="861" spans="6:11" ht="14.25" customHeight="1" x14ac:dyDescent="0.25">
      <c r="F861"/>
      <c r="G861"/>
      <c r="H861"/>
      <c r="I861"/>
      <c r="J861"/>
      <c r="K861"/>
    </row>
    <row r="862" spans="6:11" ht="14.25" customHeight="1" x14ac:dyDescent="0.25">
      <c r="F862"/>
      <c r="G862"/>
      <c r="H862"/>
      <c r="I862"/>
      <c r="J862"/>
      <c r="K862"/>
    </row>
    <row r="863" spans="6:11" ht="14.25" customHeight="1" x14ac:dyDescent="0.25">
      <c r="F863"/>
      <c r="G863"/>
      <c r="H863"/>
      <c r="I863"/>
      <c r="J863"/>
      <c r="K863"/>
    </row>
    <row r="864" spans="6:11" ht="14.25" customHeight="1" x14ac:dyDescent="0.25">
      <c r="F864"/>
      <c r="G864"/>
      <c r="H864"/>
      <c r="I864"/>
      <c r="J864"/>
      <c r="K864"/>
    </row>
    <row r="865" spans="6:11" ht="14.25" customHeight="1" x14ac:dyDescent="0.25">
      <c r="F865"/>
      <c r="G865"/>
      <c r="H865"/>
      <c r="I865"/>
      <c r="J865"/>
      <c r="K865"/>
    </row>
    <row r="866" spans="6:11" ht="14.25" customHeight="1" x14ac:dyDescent="0.25">
      <c r="F866"/>
      <c r="G866"/>
      <c r="H866"/>
      <c r="I866"/>
      <c r="J866"/>
      <c r="K866"/>
    </row>
    <row r="867" spans="6:11" ht="14.25" customHeight="1" x14ac:dyDescent="0.25">
      <c r="F867"/>
      <c r="G867"/>
      <c r="H867"/>
      <c r="I867"/>
      <c r="J867"/>
      <c r="K867"/>
    </row>
    <row r="868" spans="6:11" ht="14.25" customHeight="1" x14ac:dyDescent="0.25">
      <c r="F868"/>
      <c r="G868"/>
      <c r="H868"/>
      <c r="I868"/>
      <c r="J868"/>
      <c r="K868"/>
    </row>
    <row r="869" spans="6:11" ht="14.25" customHeight="1" x14ac:dyDescent="0.25">
      <c r="F869"/>
      <c r="G869"/>
      <c r="H869"/>
      <c r="I869"/>
      <c r="J869"/>
      <c r="K869"/>
    </row>
    <row r="870" spans="6:11" ht="14.25" customHeight="1" x14ac:dyDescent="0.25">
      <c r="F870"/>
      <c r="G870"/>
      <c r="H870"/>
      <c r="I870"/>
      <c r="J870"/>
      <c r="K870"/>
    </row>
    <row r="871" spans="6:11" ht="14.25" customHeight="1" x14ac:dyDescent="0.25">
      <c r="F871"/>
      <c r="G871"/>
      <c r="H871"/>
      <c r="I871"/>
      <c r="J871"/>
      <c r="K871"/>
    </row>
    <row r="872" spans="6:11" ht="14.25" customHeight="1" x14ac:dyDescent="0.25">
      <c r="F872"/>
      <c r="G872"/>
      <c r="H872"/>
      <c r="I872"/>
      <c r="J872"/>
      <c r="K872"/>
    </row>
    <row r="873" spans="6:11" ht="14.25" customHeight="1" x14ac:dyDescent="0.25">
      <c r="F873"/>
      <c r="G873"/>
      <c r="H873"/>
      <c r="I873"/>
      <c r="J873"/>
      <c r="K873"/>
    </row>
    <row r="874" spans="6:11" ht="14.25" customHeight="1" x14ac:dyDescent="0.25">
      <c r="F874"/>
      <c r="G874"/>
      <c r="H874"/>
      <c r="I874"/>
      <c r="J874"/>
      <c r="K874"/>
    </row>
    <row r="875" spans="6:11" ht="14.25" customHeight="1" x14ac:dyDescent="0.25">
      <c r="F875"/>
      <c r="G875"/>
      <c r="H875"/>
      <c r="I875"/>
      <c r="J875"/>
      <c r="K875"/>
    </row>
    <row r="876" spans="6:11" ht="14.25" customHeight="1" x14ac:dyDescent="0.25">
      <c r="F876"/>
      <c r="G876"/>
      <c r="H876"/>
      <c r="I876"/>
      <c r="J876"/>
      <c r="K876"/>
    </row>
    <row r="877" spans="6:11" ht="14.25" customHeight="1" x14ac:dyDescent="0.25">
      <c r="F877"/>
      <c r="G877"/>
      <c r="H877"/>
      <c r="I877"/>
      <c r="J877"/>
      <c r="K877"/>
    </row>
    <row r="878" spans="6:11" ht="14.25" customHeight="1" x14ac:dyDescent="0.25">
      <c r="F878"/>
      <c r="G878"/>
      <c r="H878"/>
      <c r="I878"/>
      <c r="J878"/>
      <c r="K878"/>
    </row>
    <row r="879" spans="6:11" ht="14.25" customHeight="1" x14ac:dyDescent="0.25">
      <c r="F879"/>
      <c r="G879"/>
      <c r="H879"/>
      <c r="I879"/>
      <c r="J879"/>
      <c r="K879"/>
    </row>
    <row r="880" spans="6:11" ht="14.25" customHeight="1" x14ac:dyDescent="0.25">
      <c r="F880"/>
      <c r="G880"/>
      <c r="H880"/>
      <c r="I880"/>
      <c r="J880"/>
      <c r="K880"/>
    </row>
    <row r="881" spans="6:11" ht="14.25" customHeight="1" x14ac:dyDescent="0.25">
      <c r="F881"/>
      <c r="G881"/>
      <c r="H881"/>
      <c r="I881"/>
      <c r="J881"/>
      <c r="K881"/>
    </row>
    <row r="882" spans="6:11" ht="14.25" customHeight="1" x14ac:dyDescent="0.25">
      <c r="F882"/>
      <c r="G882"/>
      <c r="H882"/>
      <c r="I882"/>
      <c r="J882"/>
      <c r="K882"/>
    </row>
    <row r="883" spans="6:11" ht="14.25" customHeight="1" x14ac:dyDescent="0.25">
      <c r="F883"/>
      <c r="G883"/>
      <c r="H883"/>
      <c r="I883"/>
      <c r="J883"/>
      <c r="K883"/>
    </row>
    <row r="884" spans="6:11" ht="14.25" customHeight="1" x14ac:dyDescent="0.25">
      <c r="F884"/>
      <c r="G884"/>
      <c r="H884"/>
      <c r="I884"/>
      <c r="J884"/>
      <c r="K884"/>
    </row>
    <row r="885" spans="6:11" ht="14.25" customHeight="1" x14ac:dyDescent="0.25">
      <c r="F885"/>
      <c r="G885"/>
      <c r="H885"/>
      <c r="I885"/>
      <c r="J885"/>
      <c r="K885"/>
    </row>
    <row r="886" spans="6:11" ht="14.25" customHeight="1" x14ac:dyDescent="0.25">
      <c r="F886"/>
      <c r="G886"/>
      <c r="H886"/>
      <c r="I886"/>
      <c r="J886"/>
      <c r="K886"/>
    </row>
    <row r="887" spans="6:11" ht="14.25" customHeight="1" x14ac:dyDescent="0.25">
      <c r="F887"/>
      <c r="G887"/>
      <c r="H887"/>
      <c r="I887"/>
      <c r="J887"/>
      <c r="K887"/>
    </row>
    <row r="888" spans="6:11" ht="14.25" customHeight="1" x14ac:dyDescent="0.25">
      <c r="F888"/>
      <c r="G888"/>
      <c r="H888"/>
      <c r="I888"/>
      <c r="J888"/>
      <c r="K888"/>
    </row>
    <row r="889" spans="6:11" ht="14.25" customHeight="1" x14ac:dyDescent="0.25">
      <c r="F889"/>
      <c r="G889"/>
      <c r="H889"/>
      <c r="I889"/>
      <c r="J889"/>
      <c r="K889"/>
    </row>
    <row r="890" spans="6:11" ht="14.25" customHeight="1" x14ac:dyDescent="0.25">
      <c r="F890"/>
      <c r="G890"/>
      <c r="H890"/>
      <c r="I890"/>
      <c r="J890"/>
      <c r="K890"/>
    </row>
    <row r="891" spans="6:11" ht="14.25" customHeight="1" x14ac:dyDescent="0.25">
      <c r="F891"/>
      <c r="G891"/>
      <c r="H891"/>
      <c r="I891"/>
      <c r="J891"/>
      <c r="K891"/>
    </row>
    <row r="892" spans="6:11" ht="14.25" customHeight="1" x14ac:dyDescent="0.25">
      <c r="F892"/>
      <c r="G892"/>
      <c r="H892"/>
      <c r="I892"/>
      <c r="J892"/>
      <c r="K892"/>
    </row>
    <row r="893" spans="6:11" ht="14.25" customHeight="1" x14ac:dyDescent="0.25">
      <c r="F893"/>
      <c r="G893"/>
      <c r="H893"/>
      <c r="I893"/>
      <c r="J893"/>
      <c r="K893"/>
    </row>
    <row r="894" spans="6:11" ht="14.25" customHeight="1" x14ac:dyDescent="0.25">
      <c r="F894"/>
      <c r="G894"/>
      <c r="H894"/>
      <c r="I894"/>
      <c r="J894"/>
      <c r="K894"/>
    </row>
    <row r="895" spans="6:11" ht="14.25" customHeight="1" x14ac:dyDescent="0.25">
      <c r="F895"/>
      <c r="G895"/>
      <c r="H895"/>
      <c r="I895"/>
      <c r="J895"/>
      <c r="K895"/>
    </row>
    <row r="896" spans="6:11" ht="14.25" customHeight="1" x14ac:dyDescent="0.25">
      <c r="F896"/>
      <c r="G896"/>
      <c r="H896"/>
      <c r="I896"/>
      <c r="J896"/>
      <c r="K896"/>
    </row>
    <row r="897" spans="6:11" ht="14.25" customHeight="1" x14ac:dyDescent="0.25">
      <c r="F897"/>
      <c r="G897"/>
      <c r="H897"/>
      <c r="I897"/>
      <c r="J897"/>
      <c r="K897"/>
    </row>
    <row r="898" spans="6:11" ht="14.25" customHeight="1" x14ac:dyDescent="0.25">
      <c r="F898"/>
      <c r="G898"/>
      <c r="H898"/>
      <c r="I898"/>
      <c r="J898"/>
      <c r="K898"/>
    </row>
    <row r="899" spans="6:11" ht="14.25" customHeight="1" x14ac:dyDescent="0.25">
      <c r="F899"/>
      <c r="G899"/>
      <c r="H899"/>
      <c r="I899"/>
      <c r="J899"/>
      <c r="K899"/>
    </row>
    <row r="900" spans="6:11" ht="14.25" customHeight="1" x14ac:dyDescent="0.25">
      <c r="F900"/>
      <c r="G900"/>
      <c r="H900"/>
      <c r="I900"/>
      <c r="J900"/>
      <c r="K900"/>
    </row>
    <row r="901" spans="6:11" ht="14.25" customHeight="1" x14ac:dyDescent="0.25">
      <c r="F901"/>
      <c r="G901"/>
      <c r="H901"/>
      <c r="I901"/>
      <c r="J901"/>
      <c r="K901"/>
    </row>
    <row r="902" spans="6:11" ht="14.25" customHeight="1" x14ac:dyDescent="0.25">
      <c r="F902"/>
      <c r="G902"/>
      <c r="H902"/>
      <c r="I902"/>
      <c r="J902"/>
      <c r="K902"/>
    </row>
    <row r="903" spans="6:11" ht="14.25" customHeight="1" x14ac:dyDescent="0.25">
      <c r="F903"/>
      <c r="G903"/>
      <c r="H903"/>
      <c r="I903"/>
      <c r="J903"/>
      <c r="K903"/>
    </row>
    <row r="904" spans="6:11" ht="14.25" customHeight="1" x14ac:dyDescent="0.25">
      <c r="F904"/>
      <c r="G904"/>
      <c r="H904"/>
      <c r="I904"/>
      <c r="J904"/>
      <c r="K904"/>
    </row>
    <row r="905" spans="6:11" ht="14.25" customHeight="1" x14ac:dyDescent="0.25">
      <c r="F905"/>
      <c r="G905"/>
      <c r="H905"/>
      <c r="I905"/>
      <c r="J905"/>
      <c r="K905"/>
    </row>
    <row r="906" spans="6:11" ht="14.25" customHeight="1" x14ac:dyDescent="0.25">
      <c r="F906"/>
      <c r="G906"/>
      <c r="H906"/>
      <c r="I906"/>
      <c r="J906"/>
      <c r="K906"/>
    </row>
    <row r="907" spans="6:11" ht="14.25" customHeight="1" x14ac:dyDescent="0.25">
      <c r="F907"/>
      <c r="G907"/>
      <c r="H907"/>
      <c r="I907"/>
      <c r="J907"/>
      <c r="K907"/>
    </row>
    <row r="908" spans="6:11" ht="14.25" customHeight="1" x14ac:dyDescent="0.25">
      <c r="F908"/>
      <c r="G908"/>
      <c r="H908"/>
      <c r="I908"/>
      <c r="J908"/>
      <c r="K908"/>
    </row>
    <row r="909" spans="6:11" ht="14.25" customHeight="1" x14ac:dyDescent="0.25">
      <c r="F909"/>
      <c r="G909"/>
      <c r="H909"/>
      <c r="I909"/>
      <c r="J909"/>
      <c r="K909"/>
    </row>
    <row r="910" spans="6:11" ht="14.25" customHeight="1" x14ac:dyDescent="0.25">
      <c r="F910"/>
      <c r="G910"/>
      <c r="H910"/>
      <c r="I910"/>
      <c r="J910"/>
      <c r="K910"/>
    </row>
    <row r="911" spans="6:11" ht="14.25" customHeight="1" x14ac:dyDescent="0.25">
      <c r="F911"/>
      <c r="G911"/>
      <c r="H911"/>
      <c r="I911"/>
      <c r="J911"/>
      <c r="K911"/>
    </row>
    <row r="912" spans="6:11" ht="14.25" customHeight="1" x14ac:dyDescent="0.25">
      <c r="F912"/>
      <c r="G912"/>
      <c r="H912"/>
      <c r="I912"/>
      <c r="J912"/>
      <c r="K912"/>
    </row>
    <row r="913" spans="6:11" ht="14.25" customHeight="1" x14ac:dyDescent="0.25">
      <c r="F913"/>
      <c r="G913"/>
      <c r="H913"/>
      <c r="I913"/>
      <c r="J913"/>
      <c r="K913"/>
    </row>
    <row r="914" spans="6:11" ht="14.25" customHeight="1" x14ac:dyDescent="0.25">
      <c r="F914"/>
      <c r="G914"/>
      <c r="H914"/>
      <c r="I914"/>
      <c r="J914"/>
      <c r="K914"/>
    </row>
    <row r="915" spans="6:11" ht="14.25" customHeight="1" x14ac:dyDescent="0.25">
      <c r="F915"/>
      <c r="G915"/>
      <c r="H915"/>
      <c r="I915"/>
      <c r="J915"/>
      <c r="K915"/>
    </row>
    <row r="916" spans="6:11" ht="14.25" customHeight="1" x14ac:dyDescent="0.25">
      <c r="F916"/>
      <c r="G916"/>
      <c r="H916"/>
      <c r="I916"/>
      <c r="J916"/>
      <c r="K916"/>
    </row>
    <row r="917" spans="6:11" ht="14.25" customHeight="1" x14ac:dyDescent="0.25">
      <c r="F917"/>
      <c r="G917"/>
      <c r="H917"/>
      <c r="I917"/>
      <c r="J917"/>
      <c r="K917"/>
    </row>
    <row r="918" spans="6:11" ht="14.25" customHeight="1" x14ac:dyDescent="0.25">
      <c r="F918"/>
      <c r="G918"/>
      <c r="H918"/>
      <c r="I918"/>
      <c r="J918"/>
      <c r="K918"/>
    </row>
    <row r="919" spans="6:11" ht="14.25" customHeight="1" x14ac:dyDescent="0.25">
      <c r="F919"/>
      <c r="G919"/>
      <c r="H919"/>
      <c r="I919"/>
      <c r="J919"/>
      <c r="K919"/>
    </row>
    <row r="920" spans="6:11" ht="14.25" customHeight="1" x14ac:dyDescent="0.25">
      <c r="F920"/>
      <c r="G920"/>
      <c r="H920"/>
      <c r="I920"/>
      <c r="J920"/>
      <c r="K920"/>
    </row>
    <row r="921" spans="6:11" ht="14.25" customHeight="1" x14ac:dyDescent="0.25">
      <c r="F921"/>
      <c r="G921"/>
      <c r="H921"/>
      <c r="I921"/>
      <c r="J921"/>
      <c r="K921"/>
    </row>
    <row r="922" spans="6:11" ht="14.25" customHeight="1" x14ac:dyDescent="0.25">
      <c r="F922"/>
      <c r="G922"/>
      <c r="H922"/>
      <c r="I922"/>
      <c r="J922"/>
      <c r="K922"/>
    </row>
    <row r="923" spans="6:11" ht="14.25" customHeight="1" x14ac:dyDescent="0.25">
      <c r="F923"/>
      <c r="G923"/>
      <c r="H923"/>
      <c r="I923"/>
      <c r="J923"/>
      <c r="K923"/>
    </row>
    <row r="924" spans="6:11" ht="14.25" customHeight="1" x14ac:dyDescent="0.25">
      <c r="F924"/>
      <c r="G924"/>
      <c r="H924"/>
      <c r="I924"/>
      <c r="J924"/>
      <c r="K924"/>
    </row>
    <row r="925" spans="6:11" ht="14.25" customHeight="1" x14ac:dyDescent="0.25">
      <c r="F925"/>
      <c r="G925"/>
      <c r="H925"/>
      <c r="I925"/>
      <c r="J925"/>
      <c r="K925"/>
    </row>
    <row r="926" spans="6:11" ht="14.25" customHeight="1" x14ac:dyDescent="0.25">
      <c r="F926"/>
      <c r="G926"/>
      <c r="H926"/>
      <c r="I926"/>
      <c r="J926"/>
      <c r="K926"/>
    </row>
    <row r="927" spans="6:11" ht="14.25" customHeight="1" x14ac:dyDescent="0.25">
      <c r="F927"/>
      <c r="G927"/>
      <c r="H927"/>
      <c r="I927"/>
      <c r="J927"/>
      <c r="K927"/>
    </row>
    <row r="928" spans="6:11" ht="14.25" customHeight="1" x14ac:dyDescent="0.25">
      <c r="F928"/>
      <c r="G928"/>
      <c r="H928"/>
      <c r="I928"/>
      <c r="J928"/>
      <c r="K928"/>
    </row>
    <row r="929" spans="6:11" ht="14.25" customHeight="1" x14ac:dyDescent="0.25">
      <c r="F929"/>
      <c r="G929"/>
      <c r="H929"/>
      <c r="I929"/>
      <c r="J929"/>
      <c r="K929"/>
    </row>
    <row r="930" spans="6:11" ht="14.25" customHeight="1" x14ac:dyDescent="0.25">
      <c r="F930"/>
      <c r="G930"/>
      <c r="H930"/>
      <c r="I930"/>
      <c r="J930"/>
      <c r="K930"/>
    </row>
    <row r="931" spans="6:11" ht="14.25" customHeight="1" x14ac:dyDescent="0.25">
      <c r="F931"/>
      <c r="G931"/>
      <c r="H931"/>
      <c r="I931"/>
      <c r="J931"/>
      <c r="K931"/>
    </row>
    <row r="932" spans="6:11" ht="14.25" customHeight="1" x14ac:dyDescent="0.25">
      <c r="F932"/>
      <c r="G932"/>
      <c r="H932"/>
      <c r="I932"/>
      <c r="J932"/>
      <c r="K932"/>
    </row>
    <row r="933" spans="6:11" ht="14.25" customHeight="1" x14ac:dyDescent="0.25">
      <c r="F933"/>
      <c r="G933"/>
      <c r="H933"/>
      <c r="I933"/>
      <c r="J933"/>
      <c r="K933"/>
    </row>
    <row r="934" spans="6:11" ht="14.25" customHeight="1" x14ac:dyDescent="0.25">
      <c r="F934"/>
      <c r="G934"/>
      <c r="H934"/>
      <c r="I934"/>
      <c r="J934"/>
      <c r="K934"/>
    </row>
    <row r="935" spans="6:11" ht="14.25" customHeight="1" x14ac:dyDescent="0.25">
      <c r="F935"/>
      <c r="G935"/>
      <c r="H935"/>
      <c r="I935"/>
      <c r="J935"/>
      <c r="K935"/>
    </row>
    <row r="936" spans="6:11" ht="14.25" customHeight="1" x14ac:dyDescent="0.25">
      <c r="F936"/>
      <c r="G936"/>
      <c r="H936"/>
      <c r="I936"/>
      <c r="J936"/>
      <c r="K936"/>
    </row>
    <row r="937" spans="6:11" ht="14.25" customHeight="1" x14ac:dyDescent="0.25">
      <c r="F937"/>
      <c r="G937"/>
      <c r="H937"/>
      <c r="I937"/>
      <c r="J937"/>
      <c r="K937"/>
    </row>
    <row r="938" spans="6:11" ht="14.25" customHeight="1" x14ac:dyDescent="0.25">
      <c r="F938"/>
      <c r="G938"/>
      <c r="H938"/>
      <c r="I938"/>
      <c r="J938"/>
      <c r="K938"/>
    </row>
    <row r="939" spans="6:11" ht="14.25" customHeight="1" x14ac:dyDescent="0.25">
      <c r="F939"/>
      <c r="G939"/>
      <c r="H939"/>
      <c r="I939"/>
      <c r="J939"/>
      <c r="K939"/>
    </row>
    <row r="940" spans="6:11" ht="14.25" customHeight="1" x14ac:dyDescent="0.25">
      <c r="F940"/>
      <c r="G940"/>
      <c r="H940"/>
      <c r="I940"/>
      <c r="J940"/>
      <c r="K940"/>
    </row>
    <row r="941" spans="6:11" ht="14.25" customHeight="1" x14ac:dyDescent="0.25">
      <c r="F941"/>
      <c r="G941"/>
      <c r="H941"/>
      <c r="I941"/>
      <c r="J941"/>
      <c r="K941"/>
    </row>
    <row r="942" spans="6:11" ht="14.25" customHeight="1" x14ac:dyDescent="0.25">
      <c r="F942"/>
      <c r="G942"/>
      <c r="H942"/>
      <c r="I942"/>
      <c r="J942"/>
      <c r="K942"/>
    </row>
    <row r="943" spans="6:11" ht="14.25" customHeight="1" x14ac:dyDescent="0.25">
      <c r="F943"/>
      <c r="G943"/>
      <c r="H943"/>
      <c r="I943"/>
      <c r="J943"/>
      <c r="K943"/>
    </row>
    <row r="944" spans="6:11" ht="14.25" customHeight="1" x14ac:dyDescent="0.25">
      <c r="F944"/>
      <c r="G944"/>
      <c r="H944"/>
      <c r="I944"/>
      <c r="J944"/>
      <c r="K944"/>
    </row>
    <row r="945" spans="6:11" ht="14.25" customHeight="1" x14ac:dyDescent="0.25">
      <c r="F945"/>
      <c r="G945"/>
      <c r="H945"/>
      <c r="I945"/>
      <c r="J945"/>
      <c r="K945"/>
    </row>
    <row r="946" spans="6:11" ht="14.25" customHeight="1" x14ac:dyDescent="0.25">
      <c r="F946"/>
      <c r="G946"/>
      <c r="H946"/>
      <c r="I946"/>
      <c r="J946"/>
      <c r="K946"/>
    </row>
    <row r="947" spans="6:11" ht="14.25" customHeight="1" x14ac:dyDescent="0.25">
      <c r="F947"/>
      <c r="G947"/>
      <c r="H947"/>
      <c r="I947"/>
      <c r="J947"/>
      <c r="K947"/>
    </row>
    <row r="948" spans="6:11" ht="14.25" customHeight="1" x14ac:dyDescent="0.25">
      <c r="F948"/>
      <c r="G948"/>
      <c r="H948"/>
      <c r="I948"/>
      <c r="J948"/>
      <c r="K948"/>
    </row>
    <row r="949" spans="6:11" ht="14.25" customHeight="1" x14ac:dyDescent="0.25">
      <c r="F949"/>
      <c r="G949"/>
      <c r="H949"/>
      <c r="I949"/>
      <c r="J949"/>
      <c r="K949"/>
    </row>
    <row r="950" spans="6:11" ht="14.25" customHeight="1" x14ac:dyDescent="0.25">
      <c r="F950"/>
      <c r="G950"/>
      <c r="H950"/>
      <c r="I950"/>
      <c r="J950"/>
      <c r="K950"/>
    </row>
    <row r="951" spans="6:11" ht="14.25" customHeight="1" x14ac:dyDescent="0.25">
      <c r="F951"/>
      <c r="G951"/>
      <c r="H951"/>
      <c r="I951"/>
      <c r="J951"/>
      <c r="K951"/>
    </row>
    <row r="952" spans="6:11" ht="14.25" customHeight="1" x14ac:dyDescent="0.25">
      <c r="F952"/>
      <c r="G952"/>
      <c r="H952"/>
      <c r="I952"/>
      <c r="J952"/>
      <c r="K952"/>
    </row>
    <row r="953" spans="6:11" ht="14.25" customHeight="1" x14ac:dyDescent="0.25">
      <c r="F953"/>
      <c r="G953"/>
      <c r="H953"/>
      <c r="I953"/>
      <c r="J953"/>
      <c r="K953"/>
    </row>
    <row r="954" spans="6:11" ht="14.25" customHeight="1" x14ac:dyDescent="0.25">
      <c r="F954"/>
      <c r="G954"/>
      <c r="H954"/>
      <c r="I954"/>
      <c r="J954"/>
      <c r="K954"/>
    </row>
    <row r="955" spans="6:11" ht="14.25" customHeight="1" x14ac:dyDescent="0.25">
      <c r="F955"/>
      <c r="G955"/>
      <c r="H955"/>
      <c r="I955"/>
      <c r="J955"/>
      <c r="K955"/>
    </row>
    <row r="956" spans="6:11" ht="14.25" customHeight="1" x14ac:dyDescent="0.25">
      <c r="F956"/>
      <c r="G956"/>
      <c r="H956"/>
      <c r="I956"/>
      <c r="J956"/>
      <c r="K956"/>
    </row>
    <row r="957" spans="6:11" ht="14.25" customHeight="1" x14ac:dyDescent="0.25">
      <c r="F957"/>
      <c r="G957"/>
      <c r="H957"/>
      <c r="I957"/>
      <c r="J957"/>
      <c r="K957"/>
    </row>
    <row r="958" spans="6:11" ht="14.25" customHeight="1" x14ac:dyDescent="0.25">
      <c r="F958"/>
      <c r="G958"/>
      <c r="H958"/>
      <c r="I958"/>
      <c r="J958"/>
      <c r="K958"/>
    </row>
    <row r="959" spans="6:11" ht="14.25" customHeight="1" x14ac:dyDescent="0.25">
      <c r="F959"/>
      <c r="G959"/>
      <c r="H959"/>
      <c r="I959"/>
      <c r="J959"/>
      <c r="K959"/>
    </row>
    <row r="960" spans="6:11" ht="14.25" customHeight="1" x14ac:dyDescent="0.25">
      <c r="F960"/>
      <c r="G960"/>
      <c r="H960"/>
      <c r="I960"/>
      <c r="J960"/>
      <c r="K960"/>
    </row>
    <row r="961" spans="6:11" ht="14.25" customHeight="1" x14ac:dyDescent="0.25">
      <c r="F961"/>
      <c r="G961"/>
      <c r="H961"/>
      <c r="I961"/>
      <c r="J961"/>
      <c r="K961"/>
    </row>
    <row r="962" spans="6:11" ht="14.25" customHeight="1" x14ac:dyDescent="0.25">
      <c r="F962"/>
      <c r="G962"/>
      <c r="H962"/>
      <c r="I962"/>
      <c r="J962"/>
      <c r="K962"/>
    </row>
    <row r="963" spans="6:11" ht="14.25" customHeight="1" x14ac:dyDescent="0.25">
      <c r="F963"/>
      <c r="G963"/>
      <c r="H963"/>
      <c r="I963"/>
      <c r="J963"/>
      <c r="K963"/>
    </row>
    <row r="964" spans="6:11" ht="14.25" customHeight="1" x14ac:dyDescent="0.25">
      <c r="F964"/>
      <c r="G964"/>
      <c r="H964"/>
      <c r="I964"/>
      <c r="J964"/>
      <c r="K964"/>
    </row>
    <row r="965" spans="6:11" ht="14.25" customHeight="1" x14ac:dyDescent="0.25">
      <c r="F965"/>
      <c r="G965"/>
      <c r="H965"/>
      <c r="I965"/>
      <c r="J965"/>
      <c r="K965"/>
    </row>
    <row r="966" spans="6:11" ht="14.25" customHeight="1" x14ac:dyDescent="0.25">
      <c r="F966"/>
      <c r="G966"/>
      <c r="H966"/>
      <c r="I966"/>
      <c r="J966"/>
      <c r="K966"/>
    </row>
    <row r="967" spans="6:11" ht="14.25" customHeight="1" x14ac:dyDescent="0.25">
      <c r="F967"/>
      <c r="G967"/>
      <c r="H967"/>
      <c r="I967"/>
      <c r="J967"/>
      <c r="K967"/>
    </row>
    <row r="968" spans="6:11" ht="14.25" customHeight="1" x14ac:dyDescent="0.25">
      <c r="F968"/>
      <c r="G968"/>
      <c r="H968"/>
      <c r="I968"/>
      <c r="J968"/>
      <c r="K968"/>
    </row>
    <row r="969" spans="6:11" ht="14.25" customHeight="1" x14ac:dyDescent="0.25">
      <c r="F969"/>
      <c r="G969"/>
      <c r="H969"/>
      <c r="I969"/>
      <c r="J969"/>
      <c r="K969"/>
    </row>
    <row r="970" spans="6:11" ht="14.25" customHeight="1" x14ac:dyDescent="0.25">
      <c r="F970"/>
      <c r="G970"/>
      <c r="H970"/>
      <c r="I970"/>
      <c r="J970"/>
      <c r="K970"/>
    </row>
    <row r="971" spans="6:11" ht="14.25" customHeight="1" x14ac:dyDescent="0.25">
      <c r="F971"/>
      <c r="G971"/>
      <c r="H971"/>
      <c r="I971"/>
      <c r="J971"/>
      <c r="K971"/>
    </row>
    <row r="972" spans="6:11" ht="14.25" customHeight="1" x14ac:dyDescent="0.25">
      <c r="F972"/>
      <c r="G972"/>
      <c r="H972"/>
      <c r="I972"/>
      <c r="J972"/>
      <c r="K972"/>
    </row>
    <row r="973" spans="6:11" ht="14.25" customHeight="1" x14ac:dyDescent="0.25">
      <c r="F973"/>
      <c r="G973"/>
      <c r="H973"/>
      <c r="I973"/>
      <c r="J973"/>
      <c r="K973"/>
    </row>
    <row r="974" spans="6:11" ht="14.25" customHeight="1" x14ac:dyDescent="0.25">
      <c r="F974"/>
      <c r="G974"/>
      <c r="H974"/>
      <c r="I974"/>
      <c r="J974"/>
      <c r="K974"/>
    </row>
    <row r="975" spans="6:11" ht="14.25" customHeight="1" x14ac:dyDescent="0.25">
      <c r="F975"/>
      <c r="G975"/>
      <c r="H975"/>
      <c r="I975"/>
      <c r="J975"/>
      <c r="K975"/>
    </row>
    <row r="976" spans="6:11" ht="14.25" customHeight="1" x14ac:dyDescent="0.25">
      <c r="F976"/>
      <c r="G976"/>
      <c r="H976"/>
      <c r="I976"/>
      <c r="J976"/>
      <c r="K976"/>
    </row>
    <row r="977" spans="6:11" ht="14.25" customHeight="1" x14ac:dyDescent="0.25">
      <c r="F977"/>
      <c r="G977"/>
      <c r="H977"/>
      <c r="I977"/>
      <c r="J977"/>
      <c r="K977"/>
    </row>
    <row r="978" spans="6:11" ht="14.25" customHeight="1" x14ac:dyDescent="0.25">
      <c r="F978"/>
      <c r="G978"/>
      <c r="H978"/>
      <c r="I978"/>
      <c r="J978"/>
      <c r="K978"/>
    </row>
    <row r="979" spans="6:11" ht="14.25" customHeight="1" x14ac:dyDescent="0.25">
      <c r="F979"/>
      <c r="G979"/>
      <c r="H979"/>
      <c r="I979"/>
      <c r="J979"/>
      <c r="K979"/>
    </row>
    <row r="980" spans="6:11" ht="14.25" customHeight="1" x14ac:dyDescent="0.25">
      <c r="F980"/>
      <c r="G980"/>
      <c r="H980"/>
      <c r="I980"/>
      <c r="J980"/>
      <c r="K980"/>
    </row>
    <row r="981" spans="6:11" ht="14.25" customHeight="1" x14ac:dyDescent="0.25">
      <c r="F981"/>
      <c r="G981"/>
      <c r="H981"/>
      <c r="I981"/>
      <c r="J981"/>
      <c r="K981"/>
    </row>
    <row r="982" spans="6:11" ht="14.25" customHeight="1" x14ac:dyDescent="0.25">
      <c r="F982"/>
      <c r="G982"/>
      <c r="H982"/>
      <c r="I982"/>
      <c r="J982"/>
      <c r="K982"/>
    </row>
    <row r="983" spans="6:11" ht="14.25" customHeight="1" x14ac:dyDescent="0.25">
      <c r="F983"/>
      <c r="G983"/>
      <c r="H983"/>
      <c r="I983"/>
      <c r="J983"/>
      <c r="K983"/>
    </row>
    <row r="984" spans="6:11" ht="14.25" customHeight="1" x14ac:dyDescent="0.25">
      <c r="F984"/>
      <c r="G984"/>
      <c r="H984"/>
      <c r="I984"/>
      <c r="J984"/>
      <c r="K984"/>
    </row>
    <row r="985" spans="6:11" ht="14.25" customHeight="1" x14ac:dyDescent="0.25">
      <c r="F985"/>
      <c r="G985"/>
      <c r="H985"/>
      <c r="I985"/>
      <c r="J985"/>
      <c r="K985"/>
    </row>
    <row r="986" spans="6:11" ht="14.25" customHeight="1" x14ac:dyDescent="0.25">
      <c r="F986"/>
      <c r="G986"/>
      <c r="H986"/>
      <c r="I986"/>
      <c r="J986"/>
      <c r="K986"/>
    </row>
    <row r="987" spans="6:11" ht="14.25" customHeight="1" x14ac:dyDescent="0.25">
      <c r="F987"/>
      <c r="G987"/>
      <c r="H987"/>
      <c r="I987"/>
      <c r="J987"/>
      <c r="K987"/>
    </row>
    <row r="988" spans="6:11" ht="14.25" customHeight="1" x14ac:dyDescent="0.25">
      <c r="F988"/>
      <c r="G988"/>
      <c r="H988"/>
      <c r="I988"/>
      <c r="J988"/>
      <c r="K988"/>
    </row>
    <row r="989" spans="6:11" ht="14.25" customHeight="1" x14ac:dyDescent="0.25">
      <c r="F989"/>
      <c r="G989"/>
      <c r="H989"/>
      <c r="I989"/>
      <c r="J989"/>
      <c r="K989"/>
    </row>
    <row r="990" spans="6:11" ht="14.25" customHeight="1" x14ac:dyDescent="0.25">
      <c r="F990"/>
      <c r="G990"/>
      <c r="H990"/>
      <c r="I990"/>
      <c r="J990"/>
      <c r="K990"/>
    </row>
    <row r="991" spans="6:11" ht="14.25" customHeight="1" x14ac:dyDescent="0.25">
      <c r="F991"/>
      <c r="G991"/>
      <c r="H991"/>
      <c r="I991"/>
      <c r="J991"/>
      <c r="K991"/>
    </row>
    <row r="992" spans="6:11" ht="14.25" customHeight="1" x14ac:dyDescent="0.25">
      <c r="F992"/>
      <c r="G992"/>
      <c r="H992"/>
      <c r="I992"/>
      <c r="J992"/>
      <c r="K992"/>
    </row>
    <row r="993" spans="6:11" ht="14.25" customHeight="1" x14ac:dyDescent="0.25">
      <c r="F993"/>
      <c r="G993"/>
      <c r="H993"/>
      <c r="I993"/>
      <c r="J993"/>
      <c r="K993"/>
    </row>
    <row r="994" spans="6:11" ht="14.25" customHeight="1" x14ac:dyDescent="0.25">
      <c r="F994"/>
      <c r="G994"/>
      <c r="H994"/>
      <c r="I994"/>
      <c r="J994"/>
      <c r="K994"/>
    </row>
    <row r="995" spans="6:11" ht="14.25" customHeight="1" x14ac:dyDescent="0.25">
      <c r="F995"/>
      <c r="G995"/>
      <c r="H995"/>
      <c r="I995"/>
      <c r="J995"/>
      <c r="K995"/>
    </row>
    <row r="996" spans="6:11" ht="14.25" customHeight="1" x14ac:dyDescent="0.25">
      <c r="F996"/>
      <c r="G996"/>
      <c r="H996"/>
      <c r="I996"/>
      <c r="J996"/>
      <c r="K996"/>
    </row>
    <row r="997" spans="6:11" ht="14.25" customHeight="1" x14ac:dyDescent="0.25">
      <c r="F997"/>
      <c r="G997"/>
      <c r="H997"/>
      <c r="I997"/>
      <c r="J997"/>
      <c r="K997"/>
    </row>
    <row r="998" spans="6:11" ht="14.25" customHeight="1" x14ac:dyDescent="0.25">
      <c r="F998"/>
      <c r="G998"/>
      <c r="H998"/>
      <c r="I998"/>
      <c r="J998"/>
      <c r="K998"/>
    </row>
    <row r="999" spans="6:11" ht="14.25" customHeight="1" x14ac:dyDescent="0.25">
      <c r="F999"/>
      <c r="G999"/>
      <c r="H999"/>
      <c r="I999"/>
      <c r="J999"/>
      <c r="K999"/>
    </row>
    <row r="1000" spans="6:11" ht="14.25" customHeight="1" x14ac:dyDescent="0.25">
      <c r="F1000"/>
      <c r="G1000"/>
      <c r="H1000"/>
      <c r="I1000"/>
      <c r="J1000"/>
      <c r="K1000"/>
    </row>
  </sheetData>
  <hyperlinks>
    <hyperlink ref="K1" r:id="rId1" xr:uid="{68085E72-B424-4B49-A53C-D615D6DA72F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inage">
                <anchor moveWithCells="1" sizeWithCells="1">
                  <from>
                    <xdr:col>1</xdr:col>
                    <xdr:colOff>1266825</xdr:colOff>
                    <xdr:row>0</xdr:row>
                    <xdr:rowOff>352425</xdr:rowOff>
                  </from>
                  <to>
                    <xdr:col>3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Upload">
                <anchor moveWithCells="1" sizeWithCells="1">
                  <from>
                    <xdr:col>0</xdr:col>
                    <xdr:colOff>771525</xdr:colOff>
                    <xdr:row>11</xdr:row>
                    <xdr:rowOff>57150</xdr:rowOff>
                  </from>
                  <to>
                    <xdr:col>1</xdr:col>
                    <xdr:colOff>542925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85725</xdr:colOff>
                    <xdr:row>0</xdr:row>
                    <xdr:rowOff>333375</xdr:rowOff>
                  </from>
                  <to>
                    <xdr:col>4</xdr:col>
                    <xdr:colOff>1162050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D2EA649-0F1A-4DB0-B46B-414AC1867165}">
          <x14:formula1>
            <xm:f>Settings!$J$2:$J$12</xm:f>
          </x14:formula1>
          <xm:sqref>B5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B6:B7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C15-45FB-4A94-8A81-4712D99B5625}">
  <sheetPr codeName="Feuil5"/>
  <dimension ref="C3:I260"/>
  <sheetViews>
    <sheetView showGridLines="0" workbookViewId="0">
      <selection activeCell="E4" sqref="E4"/>
    </sheetView>
  </sheetViews>
  <sheetFormatPr baseColWidth="10" defaultRowHeight="15" x14ac:dyDescent="0.25"/>
  <cols>
    <col min="3" max="3" width="12.28515625" bestFit="1" customWidth="1"/>
    <col min="4" max="4" width="24.140625" customWidth="1"/>
    <col min="5" max="5" width="51.42578125" bestFit="1" customWidth="1"/>
    <col min="6" max="6" width="20.42578125" style="44" customWidth="1"/>
    <col min="7" max="7" width="21.140625" style="44" customWidth="1"/>
    <col min="8" max="8" width="21.5703125" customWidth="1"/>
    <col min="9" max="9" width="24.42578125" customWidth="1"/>
  </cols>
  <sheetData>
    <row r="3" spans="3:9" x14ac:dyDescent="0.25">
      <c r="C3" s="10" t="s">
        <v>20</v>
      </c>
      <c r="D3" s="10" t="s">
        <v>7</v>
      </c>
      <c r="E3" s="10" t="s">
        <v>461</v>
      </c>
      <c r="F3" s="43" t="str">
        <f>Tokens!AS3</f>
        <v>Initial Price</v>
      </c>
      <c r="G3" s="43" t="str">
        <f>Tokens!AT3</f>
        <v>Reservation price</v>
      </c>
      <c r="H3" s="10" t="str">
        <f>Tokens!AU3</f>
        <v>Duration (en H)</v>
      </c>
      <c r="I3" s="10" t="str">
        <f>Tokens!AV3</f>
        <v>Date de mise en vente</v>
      </c>
    </row>
    <row r="4" spans="3:9" x14ac:dyDescent="0.25">
      <c r="C4" t="str">
        <f>Tokens!C4</f>
        <v>MyRealTest1</v>
      </c>
      <c r="D4" t="str">
        <f>Tokens!AP4</f>
        <v>MyTestCollection</v>
      </c>
      <c r="E4" t="str">
        <f>IF(ToMint!J4="","",ToMint!J4)</f>
        <v/>
      </c>
      <c r="F4" s="44">
        <f>Tokens!AS4</f>
        <v>0</v>
      </c>
    </row>
    <row r="5" spans="3:9" x14ac:dyDescent="0.25">
      <c r="C5" t="str">
        <f>Tokens!C5</f>
        <v>MyRealTest2</v>
      </c>
      <c r="D5" t="str">
        <f>Tokens!AP5</f>
        <v>MyTestCollection</v>
      </c>
      <c r="E5" t="str">
        <f>IF(ToMint!J5="","",ToMint!J5)</f>
        <v/>
      </c>
      <c r="F5" s="44">
        <f>Tokens!AS5</f>
        <v>0</v>
      </c>
    </row>
    <row r="6" spans="3:9" x14ac:dyDescent="0.25">
      <c r="C6" t="str">
        <f>Tokens!C6</f>
        <v>MyRealTest3</v>
      </c>
      <c r="D6" t="str">
        <f>Tokens!AP6</f>
        <v>MyTestCollection</v>
      </c>
      <c r="E6" t="str">
        <f>IF(ToMint!J6="","",ToMint!J6)</f>
        <v/>
      </c>
      <c r="F6" s="44">
        <f>Tokens!AS6</f>
        <v>0</v>
      </c>
    </row>
    <row r="7" spans="3:9" x14ac:dyDescent="0.25">
      <c r="C7" t="str">
        <f>Tokens!C7</f>
        <v>MyRealTest4</v>
      </c>
      <c r="D7" t="str">
        <f>Tokens!AP7</f>
        <v>MyTestCollection</v>
      </c>
      <c r="E7" t="str">
        <f>IF(ToMint!J7="","",ToMint!J7)</f>
        <v/>
      </c>
      <c r="F7" s="44">
        <f>Tokens!AS7</f>
        <v>0</v>
      </c>
    </row>
    <row r="8" spans="3:9" x14ac:dyDescent="0.25">
      <c r="C8" t="str">
        <f>Tokens!C8</f>
        <v>MyRealTest5</v>
      </c>
      <c r="D8" t="str">
        <f>Tokens!AP8</f>
        <v>MyTestCollection</v>
      </c>
      <c r="E8" t="str">
        <f>IF(ToMint!J8="","",ToMint!J8)</f>
        <v/>
      </c>
      <c r="F8" s="44">
        <f>Tokens!AS8</f>
        <v>0</v>
      </c>
    </row>
    <row r="9" spans="3:9" x14ac:dyDescent="0.25">
      <c r="C9" t="str">
        <f>Tokens!C9</f>
        <v>MyRealTest6</v>
      </c>
      <c r="D9" t="str">
        <f>Tokens!AP9</f>
        <v>MyTestCollection</v>
      </c>
      <c r="E9" t="str">
        <f>IF(ToMint!J9="","",ToMint!J9)</f>
        <v/>
      </c>
      <c r="F9" s="44">
        <f>Tokens!AS9</f>
        <v>0</v>
      </c>
    </row>
    <row r="10" spans="3:9" x14ac:dyDescent="0.25">
      <c r="C10" t="str">
        <f>Tokens!C10</f>
        <v>MyRealTest7</v>
      </c>
      <c r="D10" t="str">
        <f>Tokens!AP10</f>
        <v>MyTestCollection</v>
      </c>
      <c r="E10" t="str">
        <f>IF(ToMint!J10="","",ToMint!J10)</f>
        <v/>
      </c>
      <c r="F10" s="44">
        <f>Tokens!AS10</f>
        <v>0</v>
      </c>
    </row>
    <row r="11" spans="3:9" x14ac:dyDescent="0.25">
      <c r="C11" t="str">
        <f>Tokens!C11</f>
        <v>MyRealTest8</v>
      </c>
      <c r="D11" t="str">
        <f>Tokens!AP11</f>
        <v>MyTestCollection</v>
      </c>
      <c r="E11" t="str">
        <f>IF(ToMint!J11="","",ToMint!J11)</f>
        <v/>
      </c>
      <c r="F11" s="44">
        <f>Tokens!AS11</f>
        <v>0</v>
      </c>
    </row>
    <row r="12" spans="3:9" x14ac:dyDescent="0.25">
      <c r="C12" t="str">
        <f>Tokens!C12</f>
        <v>MyRealTest9</v>
      </c>
      <c r="D12" t="str">
        <f>Tokens!AP12</f>
        <v>MyTestCollection</v>
      </c>
      <c r="E12" t="str">
        <f>IF(ToMint!J12="","",ToMint!J12)</f>
        <v/>
      </c>
      <c r="F12" s="44">
        <f>Tokens!AS12</f>
        <v>0</v>
      </c>
    </row>
    <row r="13" spans="3:9" x14ac:dyDescent="0.25">
      <c r="C13" t="str">
        <f>Tokens!C13</f>
        <v>MyRealTest10</v>
      </c>
      <c r="D13" t="str">
        <f>Tokens!AP13</f>
        <v>MyTestCollection</v>
      </c>
      <c r="E13" t="str">
        <f>IF(ToMint!J13="","",ToMint!J13)</f>
        <v/>
      </c>
      <c r="F13" s="44">
        <f>Tokens!AS13</f>
        <v>0</v>
      </c>
    </row>
    <row r="14" spans="3:9" x14ac:dyDescent="0.25">
      <c r="C14" t="str">
        <f>Tokens!C14</f>
        <v>MyRealTest11</v>
      </c>
      <c r="D14" t="str">
        <f>Tokens!AP14</f>
        <v>MyTestCollection</v>
      </c>
      <c r="E14" t="str">
        <f>IF(ToMint!J14="","",ToMint!J14)</f>
        <v/>
      </c>
      <c r="F14" s="44">
        <f>Tokens!AS14</f>
        <v>0</v>
      </c>
    </row>
    <row r="15" spans="3:9" x14ac:dyDescent="0.25">
      <c r="C15" t="str">
        <f>Tokens!C15</f>
        <v>MyRealTest12</v>
      </c>
      <c r="D15" t="str">
        <f>Tokens!AP15</f>
        <v>MyTestCollection</v>
      </c>
      <c r="E15" t="str">
        <f>IF(ToMint!J15="","",ToMint!J15)</f>
        <v/>
      </c>
      <c r="F15" s="44">
        <f>Tokens!AS15</f>
        <v>0</v>
      </c>
    </row>
    <row r="16" spans="3:9" x14ac:dyDescent="0.25">
      <c r="C16" t="str">
        <f>Tokens!C16</f>
        <v>MyRealTest13</v>
      </c>
      <c r="D16" t="str">
        <f>Tokens!AP16</f>
        <v>MyTestCollection</v>
      </c>
      <c r="E16" t="str">
        <f>IF(ToMint!J16="","",ToMint!J16)</f>
        <v/>
      </c>
      <c r="F16" s="44">
        <f>Tokens!AS16</f>
        <v>0</v>
      </c>
    </row>
    <row r="17" spans="3:6" x14ac:dyDescent="0.25">
      <c r="C17" t="str">
        <f>Tokens!C17</f>
        <v>MyRealTest14</v>
      </c>
      <c r="D17" t="str">
        <f>Tokens!AP17</f>
        <v>MyTestCollection</v>
      </c>
      <c r="E17" t="str">
        <f>IF(ToMint!J17="","",ToMint!J17)</f>
        <v/>
      </c>
      <c r="F17" s="44">
        <f>Tokens!AS17</f>
        <v>0</v>
      </c>
    </row>
    <row r="18" spans="3:6" x14ac:dyDescent="0.25">
      <c r="C18" t="str">
        <f>Tokens!C18</f>
        <v>MyRealTest15</v>
      </c>
      <c r="D18" t="str">
        <f>Tokens!AP18</f>
        <v>MyTestCollection</v>
      </c>
      <c r="E18" t="str">
        <f>IF(ToMint!J18="","",ToMint!J18)</f>
        <v/>
      </c>
      <c r="F18" s="44">
        <f>Tokens!AS18</f>
        <v>0</v>
      </c>
    </row>
    <row r="19" spans="3:6" x14ac:dyDescent="0.25">
      <c r="C19" t="str">
        <f>Tokens!C19</f>
        <v>MyRealTest16</v>
      </c>
      <c r="D19" t="str">
        <f>Tokens!AP19</f>
        <v>MyTestCollection</v>
      </c>
      <c r="E19" t="str">
        <f>IF(ToMint!J19="","",ToMint!J19)</f>
        <v/>
      </c>
      <c r="F19" s="44">
        <f>Tokens!AS19</f>
        <v>0</v>
      </c>
    </row>
    <row r="20" spans="3:6" x14ac:dyDescent="0.25">
      <c r="C20" t="str">
        <f>Tokens!C20</f>
        <v>MyRealTest17</v>
      </c>
      <c r="D20" t="str">
        <f>Tokens!AP20</f>
        <v>MyTestCollection</v>
      </c>
      <c r="E20" t="str">
        <f>IF(ToMint!J20="","",ToMint!J20)</f>
        <v/>
      </c>
      <c r="F20" s="44">
        <f>Tokens!AS20</f>
        <v>0</v>
      </c>
    </row>
    <row r="21" spans="3:6" x14ac:dyDescent="0.25">
      <c r="C21" t="str">
        <f>Tokens!C21</f>
        <v>MyRealTest18</v>
      </c>
      <c r="D21" t="str">
        <f>Tokens!AP21</f>
        <v>MyTestCollection</v>
      </c>
      <c r="E21" t="str">
        <f>IF(ToMint!J21="","",ToMint!J21)</f>
        <v/>
      </c>
      <c r="F21" s="44">
        <f>Tokens!AS21</f>
        <v>0</v>
      </c>
    </row>
    <row r="22" spans="3:6" x14ac:dyDescent="0.25">
      <c r="C22" t="str">
        <f>Tokens!C22</f>
        <v>MyRealTest19</v>
      </c>
      <c r="D22" t="str">
        <f>Tokens!AP22</f>
        <v>MyTestCollection</v>
      </c>
      <c r="E22" t="str">
        <f>IF(ToMint!J22="","",ToMint!J22)</f>
        <v/>
      </c>
      <c r="F22" s="44">
        <f>Tokens!AS22</f>
        <v>0</v>
      </c>
    </row>
    <row r="23" spans="3:6" x14ac:dyDescent="0.25">
      <c r="C23" t="str">
        <f>Tokens!C23</f>
        <v>MyRealTest20</v>
      </c>
      <c r="D23" t="str">
        <f>Tokens!AP23</f>
        <v>MyTestCollection</v>
      </c>
      <c r="E23" t="str">
        <f>IF(ToMint!J23="","",ToMint!J23)</f>
        <v/>
      </c>
      <c r="F23" s="44">
        <f>Tokens!AS23</f>
        <v>0</v>
      </c>
    </row>
    <row r="24" spans="3:6" x14ac:dyDescent="0.25">
      <c r="C24" t="str">
        <f>Tokens!C24</f>
        <v>MyRealTest21</v>
      </c>
      <c r="D24" t="str">
        <f>Tokens!AP24</f>
        <v>MyTestCollection</v>
      </c>
      <c r="E24" t="str">
        <f>IF(ToMint!J24="","",ToMint!J24)</f>
        <v/>
      </c>
      <c r="F24" s="44">
        <f>Tokens!AS24</f>
        <v>0</v>
      </c>
    </row>
    <row r="25" spans="3:6" x14ac:dyDescent="0.25">
      <c r="C25" t="str">
        <f>Tokens!C25</f>
        <v>MyRealTest22</v>
      </c>
      <c r="D25" t="str">
        <f>Tokens!AP25</f>
        <v>MyTestCollection</v>
      </c>
      <c r="E25" t="str">
        <f>IF(ToMint!J25="","",ToMint!J25)</f>
        <v/>
      </c>
      <c r="F25" s="44">
        <f>Tokens!AS25</f>
        <v>0</v>
      </c>
    </row>
    <row r="26" spans="3:6" x14ac:dyDescent="0.25">
      <c r="C26" t="str">
        <f>Tokens!C26</f>
        <v>MyRealTest23</v>
      </c>
      <c r="D26" t="str">
        <f>Tokens!AP26</f>
        <v>MyTestCollection</v>
      </c>
      <c r="E26" t="str">
        <f>IF(ToMint!J26="","",ToMint!J26)</f>
        <v/>
      </c>
      <c r="F26" s="44">
        <f>Tokens!AS26</f>
        <v>0</v>
      </c>
    </row>
    <row r="27" spans="3:6" x14ac:dyDescent="0.25">
      <c r="C27" t="str">
        <f>Tokens!C27</f>
        <v>MyRealTest24</v>
      </c>
      <c r="D27" t="str">
        <f>Tokens!AP27</f>
        <v>MyTestCollection</v>
      </c>
      <c r="E27" t="str">
        <f>IF(ToMint!J27="","",ToMint!J27)</f>
        <v/>
      </c>
      <c r="F27" s="44">
        <f>Tokens!AS27</f>
        <v>0</v>
      </c>
    </row>
    <row r="28" spans="3:6" x14ac:dyDescent="0.25">
      <c r="C28" t="str">
        <f>Tokens!C28</f>
        <v>MyRealTest25</v>
      </c>
      <c r="D28" t="str">
        <f>Tokens!AP28</f>
        <v>MyTestCollection</v>
      </c>
      <c r="E28" t="str">
        <f>IF(ToMint!J28="","",ToMint!J28)</f>
        <v/>
      </c>
      <c r="F28" s="44">
        <f>Tokens!AS28</f>
        <v>0</v>
      </c>
    </row>
    <row r="29" spans="3:6" x14ac:dyDescent="0.25">
      <c r="C29" t="str">
        <f>Tokens!C29</f>
        <v>MyRealTest26</v>
      </c>
      <c r="D29" t="str">
        <f>Tokens!AP29</f>
        <v>MyTestCollection</v>
      </c>
      <c r="E29" t="str">
        <f>IF(ToMint!J29="","",ToMint!J29)</f>
        <v/>
      </c>
      <c r="F29" s="44">
        <f>Tokens!AS29</f>
        <v>0</v>
      </c>
    </row>
    <row r="30" spans="3:6" x14ac:dyDescent="0.25">
      <c r="C30" t="str">
        <f>Tokens!C30</f>
        <v>MyRealTest27</v>
      </c>
      <c r="D30" t="str">
        <f>Tokens!AP30</f>
        <v>MyTestCollection</v>
      </c>
      <c r="E30" t="str">
        <f>IF(ToMint!J30="","",ToMint!J30)</f>
        <v/>
      </c>
      <c r="F30" s="44">
        <f>Tokens!AS30</f>
        <v>0</v>
      </c>
    </row>
    <row r="31" spans="3:6" x14ac:dyDescent="0.25">
      <c r="C31" t="str">
        <f>Tokens!C31</f>
        <v>MyRealTest28</v>
      </c>
      <c r="D31" t="str">
        <f>Tokens!AP31</f>
        <v>MyTestCollection</v>
      </c>
      <c r="E31" t="str">
        <f>IF(ToMint!J31="","",ToMint!J31)</f>
        <v/>
      </c>
      <c r="F31" s="44">
        <f>Tokens!AS31</f>
        <v>0</v>
      </c>
    </row>
    <row r="32" spans="3:6" x14ac:dyDescent="0.25">
      <c r="C32" t="str">
        <f>Tokens!C32</f>
        <v>MyRealTest29</v>
      </c>
      <c r="D32" t="str">
        <f>Tokens!AP32</f>
        <v>MyTestCollection</v>
      </c>
      <c r="E32" t="str">
        <f>IF(ToMint!J32="","",ToMint!J32)</f>
        <v/>
      </c>
      <c r="F32" s="44">
        <f>Tokens!AS32</f>
        <v>0</v>
      </c>
    </row>
    <row r="33" spans="3:6" x14ac:dyDescent="0.25">
      <c r="C33" t="str">
        <f>Tokens!C33</f>
        <v>MyRealTest30</v>
      </c>
      <c r="D33" t="str">
        <f>Tokens!AP33</f>
        <v>MyTestCollection</v>
      </c>
      <c r="E33" t="str">
        <f>IF(ToMint!J33="","",ToMint!J33)</f>
        <v/>
      </c>
      <c r="F33" s="44">
        <f>Tokens!AS33</f>
        <v>0</v>
      </c>
    </row>
    <row r="34" spans="3:6" x14ac:dyDescent="0.25">
      <c r="C34" t="str">
        <f>Tokens!C34</f>
        <v>MyRealTest31</v>
      </c>
      <c r="D34" t="str">
        <f>Tokens!AP34</f>
        <v>MyTestCollection</v>
      </c>
      <c r="E34" t="str">
        <f>IF(ToMint!J34="","",ToMint!J34)</f>
        <v/>
      </c>
      <c r="F34" s="44">
        <f>Tokens!AS34</f>
        <v>0</v>
      </c>
    </row>
    <row r="35" spans="3:6" x14ac:dyDescent="0.25">
      <c r="C35" t="str">
        <f>Tokens!C35</f>
        <v>MyRealTest32</v>
      </c>
      <c r="D35" t="str">
        <f>Tokens!AP35</f>
        <v>MyTestCollection</v>
      </c>
      <c r="E35" t="str">
        <f>IF(ToMint!J35="","",ToMint!J35)</f>
        <v/>
      </c>
      <c r="F35" s="44">
        <f>Tokens!AS35</f>
        <v>0</v>
      </c>
    </row>
    <row r="36" spans="3:6" x14ac:dyDescent="0.25">
      <c r="C36" t="str">
        <f>Tokens!C36</f>
        <v>MyRealTest33</v>
      </c>
      <c r="D36" t="str">
        <f>Tokens!AP36</f>
        <v>MyTestCollection</v>
      </c>
      <c r="E36" t="str">
        <f>IF(ToMint!J36="","",ToMint!J36)</f>
        <v/>
      </c>
      <c r="F36" s="44">
        <f>Tokens!AS36</f>
        <v>0</v>
      </c>
    </row>
    <row r="37" spans="3:6" x14ac:dyDescent="0.25">
      <c r="C37" t="str">
        <f>Tokens!C37</f>
        <v>MyRealTest34</v>
      </c>
      <c r="D37" t="str">
        <f>Tokens!AP37</f>
        <v>MyTestCollection</v>
      </c>
      <c r="E37" t="str">
        <f>IF(ToMint!J37="","",ToMint!J37)</f>
        <v/>
      </c>
      <c r="F37" s="44">
        <f>Tokens!AS37</f>
        <v>0</v>
      </c>
    </row>
    <row r="38" spans="3:6" x14ac:dyDescent="0.25">
      <c r="C38" t="str">
        <f>Tokens!C38</f>
        <v>MyRealTest35</v>
      </c>
      <c r="D38" t="str">
        <f>Tokens!AP38</f>
        <v>MyTestCollection</v>
      </c>
      <c r="E38" t="str">
        <f>IF(ToMint!J38="","",ToMint!J38)</f>
        <v/>
      </c>
      <c r="F38" s="44">
        <f>Tokens!AS38</f>
        <v>0</v>
      </c>
    </row>
    <row r="39" spans="3:6" x14ac:dyDescent="0.25">
      <c r="C39" t="str">
        <f>Tokens!C39</f>
        <v>MyRealTest36</v>
      </c>
      <c r="D39" t="str">
        <f>Tokens!AP39</f>
        <v>MyTestCollection</v>
      </c>
      <c r="E39" t="str">
        <f>IF(ToMint!J39="","",ToMint!J39)</f>
        <v/>
      </c>
      <c r="F39" s="44">
        <f>Tokens!AS39</f>
        <v>0</v>
      </c>
    </row>
    <row r="40" spans="3:6" x14ac:dyDescent="0.25">
      <c r="C40" t="str">
        <f>Tokens!C40</f>
        <v>MyRealTest37</v>
      </c>
      <c r="D40" t="str">
        <f>Tokens!AP40</f>
        <v>MyTestCollection</v>
      </c>
      <c r="E40" t="str">
        <f>IF(ToMint!J40="","",ToMint!J40)</f>
        <v/>
      </c>
      <c r="F40" s="44">
        <f>Tokens!AS40</f>
        <v>0</v>
      </c>
    </row>
    <row r="41" spans="3:6" x14ac:dyDescent="0.25">
      <c r="C41" t="str">
        <f>Tokens!C41</f>
        <v>MyRealTest38</v>
      </c>
      <c r="D41" t="str">
        <f>Tokens!AP41</f>
        <v>MyTestCollection</v>
      </c>
      <c r="E41" t="str">
        <f>IF(ToMint!J41="","",ToMint!J41)</f>
        <v/>
      </c>
      <c r="F41" s="44">
        <f>Tokens!AS41</f>
        <v>0</v>
      </c>
    </row>
    <row r="42" spans="3:6" x14ac:dyDescent="0.25">
      <c r="C42" t="str">
        <f>Tokens!C42</f>
        <v>MyRealTest39</v>
      </c>
      <c r="D42" t="str">
        <f>Tokens!AP42</f>
        <v>MyTestCollection</v>
      </c>
      <c r="E42" t="str">
        <f>IF(ToMint!J42="","",ToMint!J42)</f>
        <v/>
      </c>
      <c r="F42" s="44">
        <f>Tokens!AS42</f>
        <v>0</v>
      </c>
    </row>
    <row r="43" spans="3:6" x14ac:dyDescent="0.25">
      <c r="C43" t="str">
        <f>Tokens!C43</f>
        <v>MyRealTest40</v>
      </c>
      <c r="D43" t="str">
        <f>Tokens!AP43</f>
        <v>MyTestCollection</v>
      </c>
      <c r="E43" t="str">
        <f>IF(ToMint!J43="","",ToMint!J43)</f>
        <v/>
      </c>
      <c r="F43" s="44">
        <f>Tokens!AS43</f>
        <v>0</v>
      </c>
    </row>
    <row r="44" spans="3:6" x14ac:dyDescent="0.25">
      <c r="C44" t="str">
        <f>Tokens!C44</f>
        <v>MyRealTest41</v>
      </c>
      <c r="D44" t="str">
        <f>Tokens!AP44</f>
        <v>MyTestCollection</v>
      </c>
      <c r="E44" t="str">
        <f>IF(ToMint!J44="","",ToMint!J44)</f>
        <v/>
      </c>
      <c r="F44" s="44">
        <f>Tokens!AS44</f>
        <v>0</v>
      </c>
    </row>
    <row r="45" spans="3:6" x14ac:dyDescent="0.25">
      <c r="C45" t="str">
        <f>Tokens!C45</f>
        <v>MyRealTest42</v>
      </c>
      <c r="D45" t="str">
        <f>Tokens!AP45</f>
        <v>MyTestCollection</v>
      </c>
      <c r="E45" t="str">
        <f>IF(ToMint!J45="","",ToMint!J45)</f>
        <v/>
      </c>
      <c r="F45" s="44">
        <f>Tokens!AS45</f>
        <v>0</v>
      </c>
    </row>
    <row r="46" spans="3:6" x14ac:dyDescent="0.25">
      <c r="C46" t="str">
        <f>Tokens!C46</f>
        <v>MyRealTest43</v>
      </c>
      <c r="D46" t="str">
        <f>Tokens!AP46</f>
        <v>MyTestCollection</v>
      </c>
      <c r="E46" t="str">
        <f>IF(ToMint!J46="","",ToMint!J46)</f>
        <v/>
      </c>
      <c r="F46" s="44">
        <f>Tokens!AS46</f>
        <v>0</v>
      </c>
    </row>
    <row r="47" spans="3:6" x14ac:dyDescent="0.25">
      <c r="C47" t="str">
        <f>Tokens!C47</f>
        <v>MyRealTest44</v>
      </c>
      <c r="D47" t="str">
        <f>Tokens!AP47</f>
        <v>MyTestCollection</v>
      </c>
      <c r="E47" t="str">
        <f>IF(ToMint!J47="","",ToMint!J47)</f>
        <v/>
      </c>
      <c r="F47" s="44">
        <f>Tokens!AS47</f>
        <v>0</v>
      </c>
    </row>
    <row r="48" spans="3:6" x14ac:dyDescent="0.25">
      <c r="C48" t="str">
        <f>Tokens!C48</f>
        <v>MyRealTest45</v>
      </c>
      <c r="D48" t="str">
        <f>Tokens!AP48</f>
        <v>MyTestCollection</v>
      </c>
      <c r="E48" t="str">
        <f>IF(ToMint!J48="","",ToMint!J48)</f>
        <v/>
      </c>
      <c r="F48" s="44">
        <f>Tokens!AS48</f>
        <v>0</v>
      </c>
    </row>
    <row r="49" spans="3:6" x14ac:dyDescent="0.25">
      <c r="C49" t="str">
        <f>Tokens!C49</f>
        <v>MyRealTest46</v>
      </c>
      <c r="D49" t="str">
        <f>Tokens!AP49</f>
        <v>MyTestCollection</v>
      </c>
      <c r="E49" t="str">
        <f>IF(ToMint!J49="","",ToMint!J49)</f>
        <v/>
      </c>
      <c r="F49" s="44">
        <f>Tokens!AS49</f>
        <v>0</v>
      </c>
    </row>
    <row r="50" spans="3:6" x14ac:dyDescent="0.25">
      <c r="C50" t="str">
        <f>Tokens!C50</f>
        <v>MyRealTest47</v>
      </c>
      <c r="D50" t="str">
        <f>Tokens!AP50</f>
        <v>MyTestCollection</v>
      </c>
      <c r="E50" t="str">
        <f>IF(ToMint!J50="","",ToMint!J50)</f>
        <v/>
      </c>
      <c r="F50" s="44">
        <f>Tokens!AS50</f>
        <v>0</v>
      </c>
    </row>
    <row r="51" spans="3:6" x14ac:dyDescent="0.25">
      <c r="C51" t="str">
        <f>Tokens!C51</f>
        <v>MyRealTest48</v>
      </c>
      <c r="D51" t="str">
        <f>Tokens!AP51</f>
        <v>MyTestCollection</v>
      </c>
      <c r="E51" t="str">
        <f>IF(ToMint!J51="","",ToMint!J51)</f>
        <v/>
      </c>
      <c r="F51" s="44">
        <f>Tokens!AS51</f>
        <v>0</v>
      </c>
    </row>
    <row r="52" spans="3:6" x14ac:dyDescent="0.25">
      <c r="C52" t="str">
        <f>Tokens!C52</f>
        <v>MyRealTest49</v>
      </c>
      <c r="D52" t="str">
        <f>Tokens!AP52</f>
        <v>MyTestCollection</v>
      </c>
      <c r="E52" t="str">
        <f>IF(ToMint!J52="","",ToMint!J52)</f>
        <v/>
      </c>
      <c r="F52" s="44">
        <f>Tokens!AS52</f>
        <v>0</v>
      </c>
    </row>
    <row r="53" spans="3:6" x14ac:dyDescent="0.25">
      <c r="C53" t="str">
        <f>Tokens!C53</f>
        <v>MyRealTest50</v>
      </c>
      <c r="D53" t="str">
        <f>Tokens!AP53</f>
        <v>MyTestCollection</v>
      </c>
      <c r="E53" t="str">
        <f>IF(ToMint!J53="","",ToMint!J53)</f>
        <v/>
      </c>
      <c r="F53" s="44">
        <f>Tokens!AS53</f>
        <v>0</v>
      </c>
    </row>
    <row r="54" spans="3:6" x14ac:dyDescent="0.25">
      <c r="C54">
        <f>Tokens!C54</f>
        <v>0</v>
      </c>
      <c r="D54">
        <f>Tokens!AP54</f>
        <v>0</v>
      </c>
      <c r="E54" t="str">
        <f>IF(ToMint!J54="","",ToMint!J54)</f>
        <v/>
      </c>
      <c r="F54" s="44">
        <f>Tokens!AS54</f>
        <v>0</v>
      </c>
    </row>
    <row r="55" spans="3:6" x14ac:dyDescent="0.25">
      <c r="C55">
        <f>Tokens!C55</f>
        <v>0</v>
      </c>
      <c r="D55">
        <f>Tokens!AP55</f>
        <v>0</v>
      </c>
      <c r="E55" t="str">
        <f>IF(ToMint!J55="","",ToMint!J55)</f>
        <v/>
      </c>
      <c r="F55" s="44">
        <f>Tokens!AS55</f>
        <v>0</v>
      </c>
    </row>
    <row r="56" spans="3:6" x14ac:dyDescent="0.25">
      <c r="C56">
        <f>Tokens!C56</f>
        <v>0</v>
      </c>
      <c r="D56">
        <f>Tokens!AP56</f>
        <v>0</v>
      </c>
      <c r="E56" t="str">
        <f>IF(ToMint!J56="","",ToMint!J56)</f>
        <v/>
      </c>
      <c r="F56" s="44">
        <f>Tokens!AS56</f>
        <v>0</v>
      </c>
    </row>
    <row r="57" spans="3:6" x14ac:dyDescent="0.25">
      <c r="C57">
        <f>Tokens!C57</f>
        <v>0</v>
      </c>
      <c r="D57">
        <f>Tokens!AP57</f>
        <v>0</v>
      </c>
      <c r="E57" t="str">
        <f>IF(ToMint!J57="","",ToMint!J57)</f>
        <v/>
      </c>
      <c r="F57" s="44">
        <f>Tokens!AS57</f>
        <v>0</v>
      </c>
    </row>
    <row r="58" spans="3:6" x14ac:dyDescent="0.25">
      <c r="C58">
        <f>Tokens!C58</f>
        <v>0</v>
      </c>
      <c r="D58">
        <f>Tokens!AP58</f>
        <v>0</v>
      </c>
      <c r="E58" t="str">
        <f>IF(ToMint!J58="","",ToMint!J58)</f>
        <v/>
      </c>
      <c r="F58" s="44">
        <f>Tokens!AS58</f>
        <v>0</v>
      </c>
    </row>
    <row r="59" spans="3:6" x14ac:dyDescent="0.25">
      <c r="C59">
        <f>Tokens!C59</f>
        <v>0</v>
      </c>
      <c r="D59">
        <f>Tokens!AP59</f>
        <v>0</v>
      </c>
      <c r="E59" t="str">
        <f>IF(ToMint!J59="","",ToMint!J59)</f>
        <v/>
      </c>
      <c r="F59" s="44">
        <f>Tokens!AS59</f>
        <v>0</v>
      </c>
    </row>
    <row r="60" spans="3:6" x14ac:dyDescent="0.25">
      <c r="C60">
        <f>Tokens!C60</f>
        <v>0</v>
      </c>
      <c r="D60">
        <f>Tokens!AP60</f>
        <v>0</v>
      </c>
      <c r="E60" t="str">
        <f>IF(ToMint!J60="","",ToMint!J60)</f>
        <v/>
      </c>
      <c r="F60" s="44">
        <f>Tokens!AS60</f>
        <v>0</v>
      </c>
    </row>
    <row r="61" spans="3:6" x14ac:dyDescent="0.25">
      <c r="C61">
        <f>Tokens!C61</f>
        <v>0</v>
      </c>
      <c r="D61">
        <f>Tokens!AP61</f>
        <v>0</v>
      </c>
      <c r="E61" t="str">
        <f>IF(ToMint!J61="","",ToMint!J61)</f>
        <v/>
      </c>
      <c r="F61" s="44">
        <f>Tokens!AS61</f>
        <v>0</v>
      </c>
    </row>
    <row r="62" spans="3:6" x14ac:dyDescent="0.25">
      <c r="C62">
        <f>Tokens!C62</f>
        <v>0</v>
      </c>
      <c r="D62">
        <f>Tokens!AP62</f>
        <v>0</v>
      </c>
      <c r="E62" t="str">
        <f>IF(ToMint!J62="","",ToMint!J62)</f>
        <v/>
      </c>
      <c r="F62" s="44">
        <f>Tokens!AS62</f>
        <v>0</v>
      </c>
    </row>
    <row r="63" spans="3:6" x14ac:dyDescent="0.25">
      <c r="C63">
        <f>Tokens!C63</f>
        <v>0</v>
      </c>
      <c r="D63">
        <f>Tokens!AP63</f>
        <v>0</v>
      </c>
      <c r="E63" t="str">
        <f>IF(ToMint!J63="","",ToMint!J63)</f>
        <v/>
      </c>
      <c r="F63" s="44">
        <f>Tokens!AS63</f>
        <v>0</v>
      </c>
    </row>
    <row r="64" spans="3:6" x14ac:dyDescent="0.25">
      <c r="C64">
        <f>Tokens!C64</f>
        <v>0</v>
      </c>
      <c r="D64">
        <f>Tokens!AP64</f>
        <v>0</v>
      </c>
      <c r="E64" t="str">
        <f>IF(ToMint!J64="","",ToMint!J64)</f>
        <v/>
      </c>
      <c r="F64" s="44">
        <f>Tokens!AS64</f>
        <v>0</v>
      </c>
    </row>
    <row r="65" spans="3:6" x14ac:dyDescent="0.25">
      <c r="C65">
        <f>Tokens!C65</f>
        <v>0</v>
      </c>
      <c r="D65">
        <f>Tokens!AP65</f>
        <v>0</v>
      </c>
      <c r="E65" t="str">
        <f>IF(ToMint!J65="","",ToMint!J65)</f>
        <v/>
      </c>
      <c r="F65" s="44">
        <f>Tokens!AS65</f>
        <v>0</v>
      </c>
    </row>
    <row r="66" spans="3:6" x14ac:dyDescent="0.25">
      <c r="C66">
        <f>Tokens!C66</f>
        <v>0</v>
      </c>
      <c r="D66">
        <f>Tokens!AP66</f>
        <v>0</v>
      </c>
      <c r="E66" t="str">
        <f>IF(ToMint!J66="","",ToMint!J66)</f>
        <v/>
      </c>
      <c r="F66" s="44">
        <f>Tokens!AS66</f>
        <v>0</v>
      </c>
    </row>
    <row r="67" spans="3:6" x14ac:dyDescent="0.25">
      <c r="C67">
        <f>Tokens!C67</f>
        <v>0</v>
      </c>
      <c r="D67">
        <f>Tokens!AP67</f>
        <v>0</v>
      </c>
      <c r="E67" t="str">
        <f>IF(ToMint!J67="","",ToMint!J67)</f>
        <v/>
      </c>
      <c r="F67" s="44">
        <f>Tokens!AS67</f>
        <v>0</v>
      </c>
    </row>
    <row r="68" spans="3:6" x14ac:dyDescent="0.25">
      <c r="C68">
        <f>Tokens!C68</f>
        <v>0</v>
      </c>
      <c r="D68">
        <f>Tokens!AP68</f>
        <v>0</v>
      </c>
      <c r="E68" t="str">
        <f>IF(ToMint!J68="","",ToMint!J68)</f>
        <v/>
      </c>
      <c r="F68" s="44">
        <f>Tokens!AS68</f>
        <v>0</v>
      </c>
    </row>
    <row r="69" spans="3:6" x14ac:dyDescent="0.25">
      <c r="C69">
        <f>Tokens!C69</f>
        <v>0</v>
      </c>
      <c r="D69">
        <f>Tokens!AP69</f>
        <v>0</v>
      </c>
      <c r="E69" t="str">
        <f>IF(ToMint!J69="","",ToMint!J69)</f>
        <v/>
      </c>
      <c r="F69" s="44">
        <f>Tokens!AS69</f>
        <v>0</v>
      </c>
    </row>
    <row r="70" spans="3:6" x14ac:dyDescent="0.25">
      <c r="C70">
        <f>Tokens!C70</f>
        <v>0</v>
      </c>
      <c r="D70">
        <f>Tokens!AP70</f>
        <v>0</v>
      </c>
      <c r="E70" t="str">
        <f>IF(ToMint!J70="","",ToMint!J70)</f>
        <v/>
      </c>
      <c r="F70" s="44">
        <f>Tokens!AS70</f>
        <v>0</v>
      </c>
    </row>
    <row r="71" spans="3:6" x14ac:dyDescent="0.25">
      <c r="C71">
        <f>Tokens!C71</f>
        <v>0</v>
      </c>
      <c r="D71">
        <f>Tokens!AP71</f>
        <v>0</v>
      </c>
      <c r="E71" t="str">
        <f>IF(ToMint!J71="","",ToMint!J71)</f>
        <v/>
      </c>
      <c r="F71" s="44">
        <f>Tokens!AS71</f>
        <v>0</v>
      </c>
    </row>
    <row r="72" spans="3:6" x14ac:dyDescent="0.25">
      <c r="C72">
        <f>Tokens!C72</f>
        <v>0</v>
      </c>
      <c r="D72">
        <f>Tokens!AP72</f>
        <v>0</v>
      </c>
      <c r="E72" t="str">
        <f>IF(ToMint!J72="","",ToMint!J72)</f>
        <v/>
      </c>
      <c r="F72" s="44">
        <f>Tokens!AS72</f>
        <v>0</v>
      </c>
    </row>
    <row r="73" spans="3:6" x14ac:dyDescent="0.25">
      <c r="C73">
        <f>Tokens!C73</f>
        <v>0</v>
      </c>
      <c r="D73">
        <f>Tokens!AP73</f>
        <v>0</v>
      </c>
      <c r="E73" t="str">
        <f>IF(ToMint!J73="","",ToMint!J73)</f>
        <v/>
      </c>
      <c r="F73" s="44">
        <f>Tokens!AS73</f>
        <v>0</v>
      </c>
    </row>
    <row r="74" spans="3:6" x14ac:dyDescent="0.25">
      <c r="C74">
        <f>Tokens!C74</f>
        <v>0</v>
      </c>
      <c r="D74">
        <f>Tokens!AP74</f>
        <v>0</v>
      </c>
      <c r="E74" t="str">
        <f>IF(ToMint!J74="","",ToMint!J74)</f>
        <v/>
      </c>
      <c r="F74" s="44">
        <f>Tokens!AS74</f>
        <v>0</v>
      </c>
    </row>
    <row r="75" spans="3:6" x14ac:dyDescent="0.25">
      <c r="C75">
        <f>Tokens!C75</f>
        <v>0</v>
      </c>
      <c r="D75">
        <f>Tokens!AP75</f>
        <v>0</v>
      </c>
      <c r="E75" t="str">
        <f>IF(ToMint!J75="","",ToMint!J75)</f>
        <v/>
      </c>
      <c r="F75" s="44">
        <f>Tokens!AS75</f>
        <v>0</v>
      </c>
    </row>
    <row r="76" spans="3:6" x14ac:dyDescent="0.25">
      <c r="C76">
        <f>Tokens!C76</f>
        <v>0</v>
      </c>
      <c r="D76">
        <f>Tokens!AP76</f>
        <v>0</v>
      </c>
      <c r="E76" t="str">
        <f>IF(ToMint!J76="","",ToMint!J76)</f>
        <v/>
      </c>
      <c r="F76" s="44">
        <f>Tokens!AS76</f>
        <v>0</v>
      </c>
    </row>
    <row r="77" spans="3:6" x14ac:dyDescent="0.25">
      <c r="C77">
        <f>Tokens!C77</f>
        <v>0</v>
      </c>
      <c r="D77">
        <f>Tokens!AP77</f>
        <v>0</v>
      </c>
      <c r="E77" t="str">
        <f>IF(ToMint!J77="","",ToMint!J77)</f>
        <v/>
      </c>
      <c r="F77" s="44">
        <f>Tokens!AS77</f>
        <v>0</v>
      </c>
    </row>
    <row r="78" spans="3:6" x14ac:dyDescent="0.25">
      <c r="C78">
        <f>Tokens!C78</f>
        <v>0</v>
      </c>
      <c r="D78">
        <f>Tokens!AP78</f>
        <v>0</v>
      </c>
      <c r="E78" t="str">
        <f>IF(ToMint!J78="","",ToMint!J78)</f>
        <v/>
      </c>
      <c r="F78" s="44">
        <f>Tokens!AS78</f>
        <v>0</v>
      </c>
    </row>
    <row r="79" spans="3:6" x14ac:dyDescent="0.25">
      <c r="C79">
        <f>Tokens!C79</f>
        <v>0</v>
      </c>
      <c r="D79">
        <f>Tokens!AP79</f>
        <v>0</v>
      </c>
      <c r="E79" t="str">
        <f>IF(ToMint!J79="","",ToMint!J79)</f>
        <v/>
      </c>
      <c r="F79" s="44">
        <f>Tokens!AS79</f>
        <v>0</v>
      </c>
    </row>
    <row r="80" spans="3:6" x14ac:dyDescent="0.25">
      <c r="C80">
        <f>Tokens!C80</f>
        <v>0</v>
      </c>
      <c r="D80">
        <f>Tokens!AP80</f>
        <v>0</v>
      </c>
      <c r="E80" t="str">
        <f>IF(ToMint!J80="","",ToMint!J80)</f>
        <v/>
      </c>
      <c r="F80" s="44">
        <f>Tokens!AS80</f>
        <v>0</v>
      </c>
    </row>
    <row r="81" spans="3:6" x14ac:dyDescent="0.25">
      <c r="C81">
        <f>Tokens!C81</f>
        <v>0</v>
      </c>
      <c r="D81">
        <f>Tokens!AP81</f>
        <v>0</v>
      </c>
      <c r="E81" t="str">
        <f>IF(ToMint!J81="","",ToMint!J81)</f>
        <v/>
      </c>
      <c r="F81" s="44">
        <f>Tokens!AS81</f>
        <v>0</v>
      </c>
    </row>
    <row r="82" spans="3:6" x14ac:dyDescent="0.25">
      <c r="C82">
        <f>Tokens!C82</f>
        <v>0</v>
      </c>
      <c r="D82">
        <f>Tokens!AP82</f>
        <v>0</v>
      </c>
      <c r="E82" t="str">
        <f>IF(ToMint!J82="","",ToMint!J82)</f>
        <v/>
      </c>
      <c r="F82" s="44">
        <f>Tokens!AS82</f>
        <v>0</v>
      </c>
    </row>
    <row r="83" spans="3:6" x14ac:dyDescent="0.25">
      <c r="C83">
        <f>Tokens!C83</f>
        <v>0</v>
      </c>
      <c r="D83">
        <f>Tokens!AP83</f>
        <v>0</v>
      </c>
      <c r="E83" t="str">
        <f>IF(ToMint!J83="","",ToMint!J83)</f>
        <v/>
      </c>
      <c r="F83" s="44">
        <f>Tokens!AS83</f>
        <v>0</v>
      </c>
    </row>
    <row r="84" spans="3:6" x14ac:dyDescent="0.25">
      <c r="C84">
        <f>Tokens!C84</f>
        <v>0</v>
      </c>
      <c r="D84">
        <f>Tokens!AP84</f>
        <v>0</v>
      </c>
      <c r="E84" t="str">
        <f>IF(ToMint!J84="","",ToMint!J84)</f>
        <v/>
      </c>
      <c r="F84" s="44">
        <f>Tokens!AS84</f>
        <v>0</v>
      </c>
    </row>
    <row r="85" spans="3:6" x14ac:dyDescent="0.25">
      <c r="C85">
        <f>Tokens!C85</f>
        <v>0</v>
      </c>
      <c r="D85">
        <f>Tokens!AP85</f>
        <v>0</v>
      </c>
      <c r="E85" t="str">
        <f>IF(ToMint!J85="","",ToMint!J85)</f>
        <v/>
      </c>
      <c r="F85" s="44">
        <f>Tokens!AS85</f>
        <v>0</v>
      </c>
    </row>
    <row r="86" spans="3:6" x14ac:dyDescent="0.25">
      <c r="C86">
        <f>Tokens!C86</f>
        <v>0</v>
      </c>
      <c r="D86">
        <f>Tokens!AP86</f>
        <v>0</v>
      </c>
      <c r="E86" t="str">
        <f>IF(ToMint!J86="","",ToMint!J86)</f>
        <v/>
      </c>
      <c r="F86" s="44">
        <f>Tokens!AS86</f>
        <v>0</v>
      </c>
    </row>
    <row r="87" spans="3:6" x14ac:dyDescent="0.25">
      <c r="C87">
        <f>Tokens!C87</f>
        <v>0</v>
      </c>
      <c r="D87">
        <f>Tokens!AP87</f>
        <v>0</v>
      </c>
      <c r="E87" t="str">
        <f>IF(ToMint!J87="","",ToMint!J87)</f>
        <v/>
      </c>
      <c r="F87" s="44">
        <f>Tokens!AS87</f>
        <v>0</v>
      </c>
    </row>
    <row r="88" spans="3:6" x14ac:dyDescent="0.25">
      <c r="C88">
        <f>Tokens!C88</f>
        <v>0</v>
      </c>
      <c r="D88">
        <f>Tokens!AP88</f>
        <v>0</v>
      </c>
      <c r="E88" t="str">
        <f>IF(ToMint!J88="","",ToMint!J88)</f>
        <v/>
      </c>
      <c r="F88" s="44">
        <f>Tokens!AS88</f>
        <v>0</v>
      </c>
    </row>
    <row r="89" spans="3:6" x14ac:dyDescent="0.25">
      <c r="C89">
        <f>Tokens!C89</f>
        <v>0</v>
      </c>
      <c r="D89">
        <f>Tokens!AP89</f>
        <v>0</v>
      </c>
      <c r="E89" t="str">
        <f>IF(ToMint!J89="","",ToMint!J89)</f>
        <v/>
      </c>
      <c r="F89" s="44">
        <f>Tokens!AS89</f>
        <v>0</v>
      </c>
    </row>
    <row r="90" spans="3:6" x14ac:dyDescent="0.25">
      <c r="C90">
        <f>Tokens!C90</f>
        <v>0</v>
      </c>
      <c r="D90">
        <f>Tokens!AP90</f>
        <v>0</v>
      </c>
      <c r="E90" t="str">
        <f>IF(ToMint!J90="","",ToMint!J90)</f>
        <v/>
      </c>
      <c r="F90" s="44">
        <f>Tokens!AS90</f>
        <v>0</v>
      </c>
    </row>
    <row r="91" spans="3:6" x14ac:dyDescent="0.25">
      <c r="C91">
        <f>Tokens!C91</f>
        <v>0</v>
      </c>
      <c r="D91">
        <f>Tokens!AP91</f>
        <v>0</v>
      </c>
      <c r="E91" t="str">
        <f>IF(ToMint!J91="","",ToMint!J91)</f>
        <v/>
      </c>
      <c r="F91" s="44">
        <f>Tokens!AS91</f>
        <v>0</v>
      </c>
    </row>
    <row r="92" spans="3:6" x14ac:dyDescent="0.25">
      <c r="C92">
        <f>Tokens!C92</f>
        <v>0</v>
      </c>
      <c r="D92">
        <f>Tokens!AP92</f>
        <v>0</v>
      </c>
      <c r="E92" t="str">
        <f>IF(ToMint!J92="","",ToMint!J92)</f>
        <v/>
      </c>
      <c r="F92" s="44">
        <f>Tokens!AS92</f>
        <v>0</v>
      </c>
    </row>
    <row r="93" spans="3:6" x14ac:dyDescent="0.25">
      <c r="C93">
        <f>Tokens!C93</f>
        <v>0</v>
      </c>
      <c r="D93">
        <f>Tokens!AP93</f>
        <v>0</v>
      </c>
      <c r="E93" t="str">
        <f>IF(ToMint!J93="","",ToMint!J93)</f>
        <v/>
      </c>
      <c r="F93" s="44">
        <f>Tokens!AS93</f>
        <v>0</v>
      </c>
    </row>
    <row r="94" spans="3:6" x14ac:dyDescent="0.25">
      <c r="C94">
        <f>Tokens!C94</f>
        <v>0</v>
      </c>
      <c r="D94">
        <f>Tokens!AP94</f>
        <v>0</v>
      </c>
      <c r="E94" t="str">
        <f>IF(ToMint!J94="","",ToMint!J94)</f>
        <v/>
      </c>
      <c r="F94" s="44">
        <f>Tokens!AS94</f>
        <v>0</v>
      </c>
    </row>
    <row r="95" spans="3:6" x14ac:dyDescent="0.25">
      <c r="C95">
        <f>Tokens!C95</f>
        <v>0</v>
      </c>
      <c r="D95">
        <f>Tokens!AP95</f>
        <v>0</v>
      </c>
      <c r="E95" t="str">
        <f>IF(ToMint!J95="","",ToMint!J95)</f>
        <v/>
      </c>
      <c r="F95" s="44">
        <f>Tokens!AS95</f>
        <v>0</v>
      </c>
    </row>
    <row r="96" spans="3:6" x14ac:dyDescent="0.25">
      <c r="C96">
        <f>Tokens!C96</f>
        <v>0</v>
      </c>
      <c r="D96">
        <f>Tokens!AP96</f>
        <v>0</v>
      </c>
      <c r="E96" t="str">
        <f>IF(ToMint!J96="","",ToMint!J96)</f>
        <v/>
      </c>
      <c r="F96" s="44">
        <f>Tokens!AS96</f>
        <v>0</v>
      </c>
    </row>
    <row r="97" spans="3:6" x14ac:dyDescent="0.25">
      <c r="C97">
        <f>Tokens!C97</f>
        <v>0</v>
      </c>
      <c r="D97">
        <f>Tokens!AP97</f>
        <v>0</v>
      </c>
      <c r="E97" t="str">
        <f>IF(ToMint!J97="","",ToMint!J97)</f>
        <v/>
      </c>
      <c r="F97" s="44">
        <f>Tokens!AS97</f>
        <v>0</v>
      </c>
    </row>
    <row r="98" spans="3:6" x14ac:dyDescent="0.25">
      <c r="C98">
        <f>Tokens!C98</f>
        <v>0</v>
      </c>
      <c r="D98">
        <f>Tokens!AP98</f>
        <v>0</v>
      </c>
      <c r="E98" t="str">
        <f>IF(ToMint!J98="","",ToMint!J98)</f>
        <v/>
      </c>
      <c r="F98" s="44">
        <f>Tokens!AS98</f>
        <v>0</v>
      </c>
    </row>
    <row r="99" spans="3:6" x14ac:dyDescent="0.25">
      <c r="C99">
        <f>Tokens!C99</f>
        <v>0</v>
      </c>
      <c r="D99">
        <f>Tokens!AP99</f>
        <v>0</v>
      </c>
      <c r="E99" t="str">
        <f>IF(ToMint!J99="","",ToMint!J99)</f>
        <v/>
      </c>
      <c r="F99" s="44">
        <f>Tokens!AS99</f>
        <v>0</v>
      </c>
    </row>
    <row r="100" spans="3:6" x14ac:dyDescent="0.25">
      <c r="C100">
        <f>Tokens!C100</f>
        <v>0</v>
      </c>
      <c r="D100">
        <f>Tokens!AP100</f>
        <v>0</v>
      </c>
      <c r="E100" t="str">
        <f>IF(ToMint!J100="","",ToMint!J100)</f>
        <v/>
      </c>
      <c r="F100" s="44">
        <f>Tokens!AS100</f>
        <v>0</v>
      </c>
    </row>
    <row r="101" spans="3:6" x14ac:dyDescent="0.25">
      <c r="C101">
        <f>Tokens!C101</f>
        <v>0</v>
      </c>
      <c r="D101">
        <f>Tokens!AP101</f>
        <v>0</v>
      </c>
      <c r="E101" t="str">
        <f>IF(ToMint!J101="","",ToMint!J101)</f>
        <v/>
      </c>
      <c r="F101" s="44">
        <f>Tokens!AS101</f>
        <v>0</v>
      </c>
    </row>
    <row r="102" spans="3:6" x14ac:dyDescent="0.25">
      <c r="C102">
        <f>Tokens!C102</f>
        <v>0</v>
      </c>
      <c r="D102">
        <f>Tokens!AP102</f>
        <v>0</v>
      </c>
      <c r="E102" t="str">
        <f>IF(ToMint!J102="","",ToMint!J102)</f>
        <v/>
      </c>
      <c r="F102" s="44">
        <f>Tokens!AS102</f>
        <v>0</v>
      </c>
    </row>
    <row r="103" spans="3:6" x14ac:dyDescent="0.25">
      <c r="C103">
        <f>Tokens!C103</f>
        <v>0</v>
      </c>
      <c r="D103">
        <f>Tokens!AP103</f>
        <v>0</v>
      </c>
      <c r="E103" t="str">
        <f>IF(ToMint!J103="","",ToMint!J103)</f>
        <v/>
      </c>
      <c r="F103" s="44">
        <f>Tokens!AS103</f>
        <v>0</v>
      </c>
    </row>
    <row r="104" spans="3:6" x14ac:dyDescent="0.25">
      <c r="C104">
        <f>Tokens!C104</f>
        <v>0</v>
      </c>
      <c r="D104">
        <f>Tokens!AP104</f>
        <v>0</v>
      </c>
      <c r="E104" t="str">
        <f>IF(ToMint!J104="","",ToMint!J104)</f>
        <v/>
      </c>
      <c r="F104" s="44">
        <f>Tokens!AS104</f>
        <v>0</v>
      </c>
    </row>
    <row r="105" spans="3:6" x14ac:dyDescent="0.25">
      <c r="C105">
        <f>Tokens!C105</f>
        <v>0</v>
      </c>
      <c r="D105">
        <f>Tokens!AP105</f>
        <v>0</v>
      </c>
      <c r="E105" t="str">
        <f>IF(ToMint!J105="","",ToMint!J105)</f>
        <v/>
      </c>
      <c r="F105" s="44">
        <f>Tokens!AS105</f>
        <v>0</v>
      </c>
    </row>
    <row r="106" spans="3:6" x14ac:dyDescent="0.25">
      <c r="C106">
        <f>Tokens!C106</f>
        <v>0</v>
      </c>
      <c r="D106">
        <f>Tokens!AP106</f>
        <v>0</v>
      </c>
      <c r="E106" t="str">
        <f>IF(ToMint!J106="","",ToMint!J106)</f>
        <v/>
      </c>
      <c r="F106" s="44">
        <f>Tokens!AS106</f>
        <v>0</v>
      </c>
    </row>
    <row r="107" spans="3:6" x14ac:dyDescent="0.25">
      <c r="C107">
        <f>Tokens!C107</f>
        <v>0</v>
      </c>
      <c r="D107">
        <f>Tokens!AP107</f>
        <v>0</v>
      </c>
      <c r="E107" t="str">
        <f>IF(ToMint!J107="","",ToMint!J107)</f>
        <v/>
      </c>
      <c r="F107" s="44">
        <f>Tokens!AS107</f>
        <v>0</v>
      </c>
    </row>
    <row r="108" spans="3:6" x14ac:dyDescent="0.25">
      <c r="C108">
        <f>Tokens!C108</f>
        <v>0</v>
      </c>
      <c r="D108">
        <f>Tokens!AP108</f>
        <v>0</v>
      </c>
      <c r="E108" t="str">
        <f>IF(ToMint!J108="","",ToMint!J108)</f>
        <v/>
      </c>
      <c r="F108" s="44">
        <f>Tokens!AS108</f>
        <v>0</v>
      </c>
    </row>
    <row r="109" spans="3:6" x14ac:dyDescent="0.25">
      <c r="C109">
        <f>Tokens!C109</f>
        <v>0</v>
      </c>
      <c r="D109">
        <f>Tokens!AP109</f>
        <v>0</v>
      </c>
      <c r="E109" t="str">
        <f>IF(ToMint!J109="","",ToMint!J109)</f>
        <v/>
      </c>
      <c r="F109" s="44">
        <f>Tokens!AS109</f>
        <v>0</v>
      </c>
    </row>
    <row r="110" spans="3:6" x14ac:dyDescent="0.25">
      <c r="C110">
        <f>Tokens!C110</f>
        <v>0</v>
      </c>
      <c r="D110">
        <f>Tokens!AP110</f>
        <v>0</v>
      </c>
      <c r="E110" t="str">
        <f>IF(ToMint!J110="","",ToMint!J110)</f>
        <v/>
      </c>
      <c r="F110" s="44">
        <f>Tokens!AS110</f>
        <v>0</v>
      </c>
    </row>
    <row r="111" spans="3:6" x14ac:dyDescent="0.25">
      <c r="C111">
        <f>Tokens!C111</f>
        <v>0</v>
      </c>
      <c r="D111">
        <f>Tokens!AP111</f>
        <v>0</v>
      </c>
      <c r="E111" t="str">
        <f>IF(ToMint!J111="","",ToMint!J111)</f>
        <v/>
      </c>
      <c r="F111" s="44">
        <f>Tokens!AS111</f>
        <v>0</v>
      </c>
    </row>
    <row r="112" spans="3:6" x14ac:dyDescent="0.25">
      <c r="C112">
        <f>Tokens!C112</f>
        <v>0</v>
      </c>
      <c r="D112">
        <f>Tokens!AP112</f>
        <v>0</v>
      </c>
      <c r="E112" t="str">
        <f>IF(ToMint!J112="","",ToMint!J112)</f>
        <v/>
      </c>
      <c r="F112" s="44">
        <f>Tokens!AS112</f>
        <v>0</v>
      </c>
    </row>
    <row r="113" spans="3:6" x14ac:dyDescent="0.25">
      <c r="C113">
        <f>Tokens!C113</f>
        <v>0</v>
      </c>
      <c r="D113">
        <f>Tokens!AP113</f>
        <v>0</v>
      </c>
      <c r="E113" t="str">
        <f>IF(ToMint!J113="","",ToMint!J113)</f>
        <v/>
      </c>
      <c r="F113" s="44">
        <f>Tokens!AS113</f>
        <v>0</v>
      </c>
    </row>
    <row r="114" spans="3:6" x14ac:dyDescent="0.25">
      <c r="C114">
        <f>Tokens!C114</f>
        <v>0</v>
      </c>
      <c r="D114">
        <f>Tokens!AP114</f>
        <v>0</v>
      </c>
      <c r="E114" t="str">
        <f>IF(ToMint!J114="","",ToMint!J114)</f>
        <v/>
      </c>
      <c r="F114" s="44">
        <f>Tokens!AS114</f>
        <v>0</v>
      </c>
    </row>
    <row r="115" spans="3:6" x14ac:dyDescent="0.25">
      <c r="C115">
        <f>Tokens!C115</f>
        <v>0</v>
      </c>
      <c r="D115">
        <f>Tokens!AP115</f>
        <v>0</v>
      </c>
      <c r="E115" t="str">
        <f>IF(ToMint!J115="","",ToMint!J115)</f>
        <v/>
      </c>
      <c r="F115" s="44">
        <f>Tokens!AS115</f>
        <v>0</v>
      </c>
    </row>
    <row r="116" spans="3:6" x14ac:dyDescent="0.25">
      <c r="C116">
        <f>Tokens!C116</f>
        <v>0</v>
      </c>
      <c r="D116">
        <f>Tokens!AP116</f>
        <v>0</v>
      </c>
      <c r="E116" t="str">
        <f>IF(ToMint!J116="","",ToMint!J116)</f>
        <v/>
      </c>
      <c r="F116" s="44">
        <f>Tokens!AS116</f>
        <v>0</v>
      </c>
    </row>
    <row r="117" spans="3:6" x14ac:dyDescent="0.25">
      <c r="C117">
        <f>Tokens!C117</f>
        <v>0</v>
      </c>
      <c r="D117">
        <f>Tokens!AP117</f>
        <v>0</v>
      </c>
      <c r="E117" t="str">
        <f>IF(ToMint!J117="","",ToMint!J117)</f>
        <v/>
      </c>
      <c r="F117" s="44">
        <f>Tokens!AS117</f>
        <v>0</v>
      </c>
    </row>
    <row r="118" spans="3:6" x14ac:dyDescent="0.25">
      <c r="C118">
        <f>Tokens!C118</f>
        <v>0</v>
      </c>
      <c r="D118">
        <f>Tokens!AP118</f>
        <v>0</v>
      </c>
      <c r="E118" t="str">
        <f>IF(ToMint!J118="","",ToMint!J118)</f>
        <v/>
      </c>
      <c r="F118" s="44">
        <f>Tokens!AS118</f>
        <v>0</v>
      </c>
    </row>
    <row r="119" spans="3:6" x14ac:dyDescent="0.25">
      <c r="C119">
        <f>Tokens!C119</f>
        <v>0</v>
      </c>
      <c r="D119">
        <f>Tokens!AP119</f>
        <v>0</v>
      </c>
      <c r="E119" t="str">
        <f>IF(ToMint!J119="","",ToMint!J119)</f>
        <v/>
      </c>
      <c r="F119" s="44">
        <f>Tokens!AS119</f>
        <v>0</v>
      </c>
    </row>
    <row r="120" spans="3:6" x14ac:dyDescent="0.25">
      <c r="C120">
        <f>Tokens!C120</f>
        <v>0</v>
      </c>
      <c r="D120">
        <f>Tokens!AP120</f>
        <v>0</v>
      </c>
      <c r="E120" t="str">
        <f>IF(ToMint!J120="","",ToMint!J120)</f>
        <v/>
      </c>
      <c r="F120" s="44">
        <f>Tokens!AS120</f>
        <v>0</v>
      </c>
    </row>
    <row r="121" spans="3:6" x14ac:dyDescent="0.25">
      <c r="C121">
        <f>Tokens!C121</f>
        <v>0</v>
      </c>
      <c r="D121">
        <f>Tokens!AP121</f>
        <v>0</v>
      </c>
      <c r="E121" t="str">
        <f>IF(ToMint!J121="","",ToMint!J121)</f>
        <v/>
      </c>
      <c r="F121" s="44">
        <f>Tokens!AS121</f>
        <v>0</v>
      </c>
    </row>
    <row r="122" spans="3:6" x14ac:dyDescent="0.25">
      <c r="C122">
        <f>Tokens!C122</f>
        <v>0</v>
      </c>
      <c r="D122">
        <f>Tokens!AP122</f>
        <v>0</v>
      </c>
      <c r="E122" t="str">
        <f>IF(ToMint!J122="","",ToMint!J122)</f>
        <v/>
      </c>
      <c r="F122" s="44">
        <f>Tokens!AS122</f>
        <v>0</v>
      </c>
    </row>
    <row r="123" spans="3:6" x14ac:dyDescent="0.25">
      <c r="C123">
        <f>Tokens!C123</f>
        <v>0</v>
      </c>
      <c r="D123">
        <f>Tokens!AP123</f>
        <v>0</v>
      </c>
      <c r="E123" t="str">
        <f>IF(ToMint!J123="","",ToMint!J123)</f>
        <v/>
      </c>
      <c r="F123" s="44">
        <f>Tokens!AS123</f>
        <v>0</v>
      </c>
    </row>
    <row r="124" spans="3:6" x14ac:dyDescent="0.25">
      <c r="C124">
        <f>Tokens!C124</f>
        <v>0</v>
      </c>
      <c r="D124">
        <f>Tokens!AP124</f>
        <v>0</v>
      </c>
      <c r="E124" t="str">
        <f>IF(ToMint!J124="","",ToMint!J124)</f>
        <v/>
      </c>
      <c r="F124" s="44">
        <f>Tokens!AS124</f>
        <v>0</v>
      </c>
    </row>
    <row r="125" spans="3:6" x14ac:dyDescent="0.25">
      <c r="C125">
        <f>Tokens!C125</f>
        <v>0</v>
      </c>
      <c r="D125">
        <f>Tokens!AP125</f>
        <v>0</v>
      </c>
      <c r="E125" t="str">
        <f>IF(ToMint!J125="","",ToMint!J125)</f>
        <v/>
      </c>
      <c r="F125" s="44">
        <f>Tokens!AS125</f>
        <v>0</v>
      </c>
    </row>
    <row r="126" spans="3:6" x14ac:dyDescent="0.25">
      <c r="C126">
        <f>Tokens!C126</f>
        <v>0</v>
      </c>
      <c r="D126">
        <f>Tokens!AP126</f>
        <v>0</v>
      </c>
      <c r="E126" t="str">
        <f>IF(ToMint!J126="","",ToMint!J126)</f>
        <v/>
      </c>
      <c r="F126" s="44">
        <f>Tokens!AS126</f>
        <v>0</v>
      </c>
    </row>
    <row r="127" spans="3:6" x14ac:dyDescent="0.25">
      <c r="C127">
        <f>Tokens!C127</f>
        <v>0</v>
      </c>
      <c r="D127">
        <f>Tokens!AP127</f>
        <v>0</v>
      </c>
      <c r="E127" t="str">
        <f>IF(ToMint!J127="","",ToMint!J127)</f>
        <v/>
      </c>
      <c r="F127" s="44">
        <f>Tokens!AS127</f>
        <v>0</v>
      </c>
    </row>
    <row r="128" spans="3:6" x14ac:dyDescent="0.25">
      <c r="C128">
        <f>Tokens!C128</f>
        <v>0</v>
      </c>
      <c r="D128">
        <f>Tokens!AP128</f>
        <v>0</v>
      </c>
      <c r="E128" t="str">
        <f>IF(ToMint!J128="","",ToMint!J128)</f>
        <v/>
      </c>
      <c r="F128" s="44">
        <f>Tokens!AS128</f>
        <v>0</v>
      </c>
    </row>
    <row r="129" spans="3:6" x14ac:dyDescent="0.25">
      <c r="C129">
        <f>Tokens!C129</f>
        <v>0</v>
      </c>
      <c r="D129">
        <f>Tokens!AP129</f>
        <v>0</v>
      </c>
      <c r="E129" t="str">
        <f>IF(ToMint!J129="","",ToMint!J129)</f>
        <v/>
      </c>
      <c r="F129" s="44">
        <f>Tokens!AS129</f>
        <v>0</v>
      </c>
    </row>
    <row r="130" spans="3:6" x14ac:dyDescent="0.25">
      <c r="C130">
        <f>Tokens!C130</f>
        <v>0</v>
      </c>
      <c r="D130">
        <f>Tokens!AP130</f>
        <v>0</v>
      </c>
      <c r="E130" t="str">
        <f>IF(ToMint!J130="","",ToMint!J130)</f>
        <v/>
      </c>
      <c r="F130" s="44">
        <f>Tokens!AS130</f>
        <v>0</v>
      </c>
    </row>
    <row r="131" spans="3:6" x14ac:dyDescent="0.25">
      <c r="C131">
        <f>Tokens!C131</f>
        <v>0</v>
      </c>
      <c r="D131">
        <f>Tokens!AP131</f>
        <v>0</v>
      </c>
      <c r="E131" t="str">
        <f>IF(ToMint!J131="","",ToMint!J131)</f>
        <v/>
      </c>
      <c r="F131" s="44">
        <f>Tokens!AS131</f>
        <v>0</v>
      </c>
    </row>
    <row r="132" spans="3:6" x14ac:dyDescent="0.25">
      <c r="C132">
        <f>Tokens!C132</f>
        <v>0</v>
      </c>
      <c r="D132">
        <f>Tokens!AP132</f>
        <v>0</v>
      </c>
      <c r="E132" t="str">
        <f>IF(ToMint!J132="","",ToMint!J132)</f>
        <v/>
      </c>
      <c r="F132" s="44">
        <f>Tokens!AS132</f>
        <v>0</v>
      </c>
    </row>
    <row r="133" spans="3:6" x14ac:dyDescent="0.25">
      <c r="C133">
        <f>Tokens!C133</f>
        <v>0</v>
      </c>
      <c r="D133">
        <f>Tokens!AP133</f>
        <v>0</v>
      </c>
      <c r="E133" t="str">
        <f>IF(ToMint!J133="","",ToMint!J133)</f>
        <v/>
      </c>
      <c r="F133" s="44">
        <f>Tokens!AS133</f>
        <v>0</v>
      </c>
    </row>
    <row r="134" spans="3:6" x14ac:dyDescent="0.25">
      <c r="C134">
        <f>Tokens!C134</f>
        <v>0</v>
      </c>
      <c r="D134">
        <f>Tokens!AP134</f>
        <v>0</v>
      </c>
      <c r="E134" t="str">
        <f>IF(ToMint!J134="","",ToMint!J134)</f>
        <v/>
      </c>
      <c r="F134" s="44">
        <f>Tokens!AS134</f>
        <v>0</v>
      </c>
    </row>
    <row r="135" spans="3:6" x14ac:dyDescent="0.25">
      <c r="C135">
        <f>Tokens!C135</f>
        <v>0</v>
      </c>
      <c r="D135">
        <f>Tokens!AP135</f>
        <v>0</v>
      </c>
      <c r="E135" t="str">
        <f>IF(ToMint!J135="","",ToMint!J135)</f>
        <v/>
      </c>
      <c r="F135" s="44">
        <f>Tokens!AS135</f>
        <v>0</v>
      </c>
    </row>
    <row r="136" spans="3:6" x14ac:dyDescent="0.25">
      <c r="C136">
        <f>Tokens!C136</f>
        <v>0</v>
      </c>
      <c r="D136">
        <f>Tokens!AP136</f>
        <v>0</v>
      </c>
      <c r="E136" t="str">
        <f>IF(ToMint!J136="","",ToMint!J136)</f>
        <v/>
      </c>
      <c r="F136" s="44">
        <f>Tokens!AS136</f>
        <v>0</v>
      </c>
    </row>
    <row r="137" spans="3:6" x14ac:dyDescent="0.25">
      <c r="C137">
        <f>Tokens!C137</f>
        <v>0</v>
      </c>
      <c r="D137">
        <f>Tokens!AP137</f>
        <v>0</v>
      </c>
      <c r="E137" t="str">
        <f>IF(ToMint!J137="","",ToMint!J137)</f>
        <v/>
      </c>
      <c r="F137" s="44">
        <f>Tokens!AS137</f>
        <v>0</v>
      </c>
    </row>
    <row r="138" spans="3:6" x14ac:dyDescent="0.25">
      <c r="C138">
        <f>Tokens!C138</f>
        <v>0</v>
      </c>
      <c r="D138">
        <f>Tokens!AP138</f>
        <v>0</v>
      </c>
      <c r="E138" t="str">
        <f>IF(ToMint!J138="","",ToMint!J138)</f>
        <v/>
      </c>
      <c r="F138" s="44">
        <f>Tokens!AS138</f>
        <v>0</v>
      </c>
    </row>
    <row r="139" spans="3:6" x14ac:dyDescent="0.25">
      <c r="C139">
        <f>Tokens!C139</f>
        <v>0</v>
      </c>
      <c r="D139">
        <f>Tokens!AP139</f>
        <v>0</v>
      </c>
      <c r="E139" t="str">
        <f>IF(ToMint!J139="","",ToMint!J139)</f>
        <v/>
      </c>
      <c r="F139" s="44">
        <f>Tokens!AS139</f>
        <v>0</v>
      </c>
    </row>
    <row r="140" spans="3:6" x14ac:dyDescent="0.25">
      <c r="C140">
        <f>Tokens!C140</f>
        <v>0</v>
      </c>
      <c r="D140">
        <f>Tokens!AP140</f>
        <v>0</v>
      </c>
      <c r="E140" t="str">
        <f>IF(ToMint!J140="","",ToMint!J140)</f>
        <v/>
      </c>
      <c r="F140" s="44">
        <f>Tokens!AS140</f>
        <v>0</v>
      </c>
    </row>
    <row r="141" spans="3:6" x14ac:dyDescent="0.25">
      <c r="C141">
        <f>Tokens!C141</f>
        <v>0</v>
      </c>
      <c r="D141">
        <f>Tokens!AP141</f>
        <v>0</v>
      </c>
      <c r="E141" t="str">
        <f>IF(ToMint!J141="","",ToMint!J141)</f>
        <v/>
      </c>
      <c r="F141" s="44">
        <f>Tokens!AS141</f>
        <v>0</v>
      </c>
    </row>
    <row r="142" spans="3:6" x14ac:dyDescent="0.25">
      <c r="C142">
        <f>Tokens!C142</f>
        <v>0</v>
      </c>
      <c r="D142">
        <f>Tokens!AP142</f>
        <v>0</v>
      </c>
      <c r="E142" t="str">
        <f>IF(ToMint!J142="","",ToMint!J142)</f>
        <v/>
      </c>
      <c r="F142" s="44">
        <f>Tokens!AS142</f>
        <v>0</v>
      </c>
    </row>
    <row r="143" spans="3:6" x14ac:dyDescent="0.25">
      <c r="C143">
        <f>Tokens!C143</f>
        <v>0</v>
      </c>
      <c r="D143">
        <f>Tokens!AP143</f>
        <v>0</v>
      </c>
      <c r="E143" t="str">
        <f>IF(ToMint!J143="","",ToMint!J143)</f>
        <v/>
      </c>
      <c r="F143" s="44">
        <f>Tokens!AS143</f>
        <v>0</v>
      </c>
    </row>
    <row r="144" spans="3:6" x14ac:dyDescent="0.25">
      <c r="C144">
        <f>Tokens!C144</f>
        <v>0</v>
      </c>
      <c r="D144">
        <f>Tokens!AP144</f>
        <v>0</v>
      </c>
      <c r="E144" t="str">
        <f>IF(ToMint!J144="","",ToMint!J144)</f>
        <v/>
      </c>
      <c r="F144" s="44">
        <f>Tokens!AS144</f>
        <v>0</v>
      </c>
    </row>
    <row r="145" spans="3:6" x14ac:dyDescent="0.25">
      <c r="C145">
        <f>Tokens!C145</f>
        <v>0</v>
      </c>
      <c r="D145">
        <f>Tokens!AP145</f>
        <v>0</v>
      </c>
      <c r="E145" t="str">
        <f>IF(ToMint!J145="","",ToMint!J145)</f>
        <v/>
      </c>
      <c r="F145" s="44">
        <f>Tokens!AS145</f>
        <v>0</v>
      </c>
    </row>
    <row r="146" spans="3:6" x14ac:dyDescent="0.25">
      <c r="C146">
        <f>Tokens!C146</f>
        <v>0</v>
      </c>
      <c r="D146">
        <f>Tokens!AP146</f>
        <v>0</v>
      </c>
      <c r="E146" t="str">
        <f>IF(ToMint!J146="","",ToMint!J146)</f>
        <v/>
      </c>
      <c r="F146" s="44">
        <f>Tokens!AS146</f>
        <v>0</v>
      </c>
    </row>
    <row r="147" spans="3:6" x14ac:dyDescent="0.25">
      <c r="C147">
        <f>Tokens!C147</f>
        <v>0</v>
      </c>
      <c r="D147">
        <f>Tokens!AP147</f>
        <v>0</v>
      </c>
      <c r="E147" t="str">
        <f>IF(ToMint!J147="","",ToMint!J147)</f>
        <v/>
      </c>
      <c r="F147" s="44">
        <f>Tokens!AS147</f>
        <v>0</v>
      </c>
    </row>
    <row r="148" spans="3:6" x14ac:dyDescent="0.25">
      <c r="C148">
        <f>Tokens!C148</f>
        <v>0</v>
      </c>
      <c r="D148">
        <f>Tokens!AP148</f>
        <v>0</v>
      </c>
      <c r="E148" t="str">
        <f>IF(ToMint!J148="","",ToMint!J148)</f>
        <v/>
      </c>
      <c r="F148" s="44">
        <f>Tokens!AS148</f>
        <v>0</v>
      </c>
    </row>
    <row r="149" spans="3:6" x14ac:dyDescent="0.25">
      <c r="C149">
        <f>Tokens!C149</f>
        <v>0</v>
      </c>
      <c r="D149">
        <f>Tokens!AP149</f>
        <v>0</v>
      </c>
      <c r="E149" t="str">
        <f>IF(ToMint!J149="","",ToMint!J149)</f>
        <v/>
      </c>
      <c r="F149" s="44">
        <f>Tokens!AS149</f>
        <v>0</v>
      </c>
    </row>
    <row r="150" spans="3:6" x14ac:dyDescent="0.25">
      <c r="C150">
        <f>Tokens!C150</f>
        <v>0</v>
      </c>
      <c r="D150">
        <f>Tokens!AP150</f>
        <v>0</v>
      </c>
      <c r="E150" t="str">
        <f>IF(ToMint!J150="","",ToMint!J150)</f>
        <v/>
      </c>
      <c r="F150" s="44">
        <f>Tokens!AS150</f>
        <v>0</v>
      </c>
    </row>
    <row r="151" spans="3:6" x14ac:dyDescent="0.25">
      <c r="C151">
        <f>Tokens!C151</f>
        <v>0</v>
      </c>
      <c r="D151">
        <f>Tokens!AP151</f>
        <v>0</v>
      </c>
      <c r="E151" t="str">
        <f>IF(ToMint!J151="","",ToMint!J151)</f>
        <v/>
      </c>
      <c r="F151" s="44">
        <f>Tokens!AS151</f>
        <v>0</v>
      </c>
    </row>
    <row r="152" spans="3:6" x14ac:dyDescent="0.25">
      <c r="C152">
        <f>Tokens!C152</f>
        <v>0</v>
      </c>
      <c r="D152">
        <f>Tokens!AP152</f>
        <v>0</v>
      </c>
      <c r="E152" t="str">
        <f>IF(ToMint!J152="","",ToMint!J152)</f>
        <v/>
      </c>
      <c r="F152" s="44">
        <f>Tokens!AS152</f>
        <v>0</v>
      </c>
    </row>
    <row r="153" spans="3:6" x14ac:dyDescent="0.25">
      <c r="C153">
        <f>Tokens!C153</f>
        <v>0</v>
      </c>
      <c r="D153">
        <f>Tokens!AP153</f>
        <v>0</v>
      </c>
      <c r="E153" t="str">
        <f>IF(ToMint!J153="","",ToMint!J153)</f>
        <v/>
      </c>
      <c r="F153" s="44">
        <f>Tokens!AS153</f>
        <v>0</v>
      </c>
    </row>
    <row r="154" spans="3:6" x14ac:dyDescent="0.25">
      <c r="C154">
        <f>Tokens!C154</f>
        <v>0</v>
      </c>
      <c r="D154">
        <f>Tokens!AP154</f>
        <v>0</v>
      </c>
      <c r="E154" t="str">
        <f>IF(ToMint!J154="","",ToMint!J154)</f>
        <v/>
      </c>
      <c r="F154" s="44">
        <f>Tokens!AS154</f>
        <v>0</v>
      </c>
    </row>
    <row r="155" spans="3:6" x14ac:dyDescent="0.25">
      <c r="C155">
        <f>Tokens!C155</f>
        <v>0</v>
      </c>
      <c r="D155">
        <f>Tokens!AP155</f>
        <v>0</v>
      </c>
      <c r="E155" t="str">
        <f>IF(ToMint!J155="","",ToMint!J155)</f>
        <v/>
      </c>
      <c r="F155" s="44">
        <f>Tokens!AS155</f>
        <v>0</v>
      </c>
    </row>
    <row r="156" spans="3:6" x14ac:dyDescent="0.25">
      <c r="C156">
        <f>Tokens!C156</f>
        <v>0</v>
      </c>
      <c r="D156">
        <f>Tokens!AP156</f>
        <v>0</v>
      </c>
      <c r="E156" t="str">
        <f>IF(ToMint!J156="","",ToMint!J156)</f>
        <v/>
      </c>
      <c r="F156" s="44">
        <f>Tokens!AS156</f>
        <v>0</v>
      </c>
    </row>
    <row r="157" spans="3:6" x14ac:dyDescent="0.25">
      <c r="C157">
        <f>Tokens!C157</f>
        <v>0</v>
      </c>
      <c r="D157">
        <f>Tokens!AP157</f>
        <v>0</v>
      </c>
      <c r="E157" t="str">
        <f>IF(ToMint!J157="","",ToMint!J157)</f>
        <v/>
      </c>
      <c r="F157" s="44">
        <f>Tokens!AS157</f>
        <v>0</v>
      </c>
    </row>
    <row r="158" spans="3:6" x14ac:dyDescent="0.25">
      <c r="C158">
        <f>Tokens!C158</f>
        <v>0</v>
      </c>
      <c r="D158">
        <f>Tokens!AP158</f>
        <v>0</v>
      </c>
      <c r="E158" t="str">
        <f>IF(ToMint!J158="","",ToMint!J158)</f>
        <v/>
      </c>
      <c r="F158" s="44">
        <f>Tokens!AS158</f>
        <v>0</v>
      </c>
    </row>
    <row r="159" spans="3:6" x14ac:dyDescent="0.25">
      <c r="C159">
        <f>Tokens!C159</f>
        <v>0</v>
      </c>
      <c r="D159">
        <f>Tokens!AP159</f>
        <v>0</v>
      </c>
      <c r="E159" t="str">
        <f>IF(ToMint!J159="","",ToMint!J159)</f>
        <v/>
      </c>
      <c r="F159" s="44">
        <f>Tokens!AS159</f>
        <v>0</v>
      </c>
    </row>
    <row r="160" spans="3:6" x14ac:dyDescent="0.25">
      <c r="C160">
        <f>Tokens!C160</f>
        <v>0</v>
      </c>
      <c r="D160">
        <f>Tokens!AP160</f>
        <v>0</v>
      </c>
      <c r="E160" t="str">
        <f>IF(ToMint!J160="","",ToMint!J160)</f>
        <v/>
      </c>
      <c r="F160" s="44">
        <f>Tokens!AS160</f>
        <v>0</v>
      </c>
    </row>
    <row r="161" spans="3:6" x14ac:dyDescent="0.25">
      <c r="C161">
        <f>Tokens!C161</f>
        <v>0</v>
      </c>
      <c r="D161">
        <f>Tokens!AP161</f>
        <v>0</v>
      </c>
      <c r="E161" t="str">
        <f>IF(ToMint!J161="","",ToMint!J161)</f>
        <v/>
      </c>
      <c r="F161" s="44">
        <f>Tokens!AS161</f>
        <v>0</v>
      </c>
    </row>
    <row r="162" spans="3:6" x14ac:dyDescent="0.25">
      <c r="C162">
        <f>Tokens!C162</f>
        <v>0</v>
      </c>
      <c r="D162">
        <f>Tokens!AP162</f>
        <v>0</v>
      </c>
      <c r="E162" t="str">
        <f>IF(ToMint!J162="","",ToMint!J162)</f>
        <v/>
      </c>
      <c r="F162" s="44">
        <f>Tokens!AS162</f>
        <v>0</v>
      </c>
    </row>
    <row r="163" spans="3:6" x14ac:dyDescent="0.25">
      <c r="C163">
        <f>Tokens!C163</f>
        <v>0</v>
      </c>
      <c r="D163">
        <f>Tokens!AP163</f>
        <v>0</v>
      </c>
      <c r="E163" t="str">
        <f>IF(ToMint!J163="","",ToMint!J163)</f>
        <v/>
      </c>
      <c r="F163" s="44">
        <f>Tokens!AS163</f>
        <v>0</v>
      </c>
    </row>
    <row r="164" spans="3:6" x14ac:dyDescent="0.25">
      <c r="C164">
        <f>Tokens!C164</f>
        <v>0</v>
      </c>
      <c r="D164">
        <f>Tokens!AP164</f>
        <v>0</v>
      </c>
      <c r="E164" t="str">
        <f>IF(ToMint!J164="","",ToMint!J164)</f>
        <v/>
      </c>
      <c r="F164" s="44">
        <f>Tokens!AS164</f>
        <v>0</v>
      </c>
    </row>
    <row r="165" spans="3:6" x14ac:dyDescent="0.25">
      <c r="C165">
        <f>Tokens!C165</f>
        <v>0</v>
      </c>
      <c r="D165">
        <f>Tokens!AP165</f>
        <v>0</v>
      </c>
      <c r="E165" t="str">
        <f>IF(ToMint!J165="","",ToMint!J165)</f>
        <v/>
      </c>
      <c r="F165" s="44">
        <f>Tokens!AS165</f>
        <v>0</v>
      </c>
    </row>
    <row r="166" spans="3:6" x14ac:dyDescent="0.25">
      <c r="C166">
        <f>Tokens!C166</f>
        <v>0</v>
      </c>
      <c r="D166">
        <f>Tokens!AP166</f>
        <v>0</v>
      </c>
      <c r="E166" t="str">
        <f>IF(ToMint!J166="","",ToMint!J166)</f>
        <v/>
      </c>
      <c r="F166" s="44">
        <f>Tokens!AS166</f>
        <v>0</v>
      </c>
    </row>
    <row r="167" spans="3:6" x14ac:dyDescent="0.25">
      <c r="C167">
        <f>Tokens!C167</f>
        <v>0</v>
      </c>
      <c r="D167">
        <f>Tokens!AP167</f>
        <v>0</v>
      </c>
      <c r="E167" t="str">
        <f>IF(ToMint!J167="","",ToMint!J167)</f>
        <v/>
      </c>
      <c r="F167" s="44">
        <f>Tokens!AS167</f>
        <v>0</v>
      </c>
    </row>
    <row r="168" spans="3:6" x14ac:dyDescent="0.25">
      <c r="C168">
        <f>Tokens!C168</f>
        <v>0</v>
      </c>
      <c r="D168">
        <f>Tokens!AP168</f>
        <v>0</v>
      </c>
      <c r="E168" t="str">
        <f>IF(ToMint!J168="","",ToMint!J168)</f>
        <v/>
      </c>
      <c r="F168" s="44">
        <f>Tokens!AS168</f>
        <v>0</v>
      </c>
    </row>
    <row r="169" spans="3:6" x14ac:dyDescent="0.25">
      <c r="C169">
        <f>Tokens!C169</f>
        <v>0</v>
      </c>
      <c r="D169">
        <f>Tokens!AP169</f>
        <v>0</v>
      </c>
      <c r="E169" t="str">
        <f>IF(ToMint!J169="","",ToMint!J169)</f>
        <v/>
      </c>
      <c r="F169" s="44">
        <f>Tokens!AS169</f>
        <v>0</v>
      </c>
    </row>
    <row r="170" spans="3:6" x14ac:dyDescent="0.25">
      <c r="C170">
        <f>Tokens!C170</f>
        <v>0</v>
      </c>
      <c r="D170">
        <f>Tokens!AP170</f>
        <v>0</v>
      </c>
      <c r="E170" t="str">
        <f>IF(ToMint!J170="","",ToMint!J170)</f>
        <v/>
      </c>
      <c r="F170" s="44">
        <f>Tokens!AS170</f>
        <v>0</v>
      </c>
    </row>
    <row r="171" spans="3:6" x14ac:dyDescent="0.25">
      <c r="C171">
        <f>Tokens!C171</f>
        <v>0</v>
      </c>
      <c r="D171">
        <f>Tokens!AP171</f>
        <v>0</v>
      </c>
      <c r="E171" t="str">
        <f>IF(ToMint!J171="","",ToMint!J171)</f>
        <v/>
      </c>
      <c r="F171" s="44">
        <f>Tokens!AS171</f>
        <v>0</v>
      </c>
    </row>
    <row r="172" spans="3:6" x14ac:dyDescent="0.25">
      <c r="C172">
        <f>Tokens!C172</f>
        <v>0</v>
      </c>
      <c r="D172">
        <f>Tokens!AP172</f>
        <v>0</v>
      </c>
      <c r="E172" t="str">
        <f>IF(ToMint!J172="","",ToMint!J172)</f>
        <v/>
      </c>
      <c r="F172" s="44">
        <f>Tokens!AS172</f>
        <v>0</v>
      </c>
    </row>
    <row r="173" spans="3:6" x14ac:dyDescent="0.25">
      <c r="C173">
        <f>Tokens!C173</f>
        <v>0</v>
      </c>
      <c r="D173">
        <f>Tokens!AP173</f>
        <v>0</v>
      </c>
      <c r="E173" t="str">
        <f>IF(ToMint!J173="","",ToMint!J173)</f>
        <v/>
      </c>
      <c r="F173" s="44">
        <f>Tokens!AS173</f>
        <v>0</v>
      </c>
    </row>
    <row r="174" spans="3:6" x14ac:dyDescent="0.25">
      <c r="C174">
        <f>Tokens!C174</f>
        <v>0</v>
      </c>
      <c r="D174">
        <f>Tokens!AP174</f>
        <v>0</v>
      </c>
      <c r="E174" t="str">
        <f>IF(ToMint!J174="","",ToMint!J174)</f>
        <v/>
      </c>
      <c r="F174" s="44">
        <f>Tokens!AS174</f>
        <v>0</v>
      </c>
    </row>
    <row r="175" spans="3:6" x14ac:dyDescent="0.25">
      <c r="C175">
        <f>Tokens!C175</f>
        <v>0</v>
      </c>
      <c r="D175">
        <f>Tokens!AP175</f>
        <v>0</v>
      </c>
      <c r="E175" t="str">
        <f>IF(ToMint!J175="","",ToMint!J175)</f>
        <v/>
      </c>
      <c r="F175" s="44">
        <f>Tokens!AS175</f>
        <v>0</v>
      </c>
    </row>
    <row r="176" spans="3:6" x14ac:dyDescent="0.25">
      <c r="C176">
        <f>Tokens!C176</f>
        <v>0</v>
      </c>
      <c r="D176">
        <f>Tokens!AP176</f>
        <v>0</v>
      </c>
      <c r="E176" t="str">
        <f>IF(ToMint!J176="","",ToMint!J176)</f>
        <v/>
      </c>
      <c r="F176" s="44">
        <f>Tokens!AS176</f>
        <v>0</v>
      </c>
    </row>
    <row r="177" spans="3:6" x14ac:dyDescent="0.25">
      <c r="C177">
        <f>Tokens!C177</f>
        <v>0</v>
      </c>
      <c r="D177">
        <f>Tokens!AP177</f>
        <v>0</v>
      </c>
      <c r="E177" t="str">
        <f>IF(ToMint!J177="","",ToMint!J177)</f>
        <v/>
      </c>
      <c r="F177" s="44">
        <f>Tokens!AS177</f>
        <v>0</v>
      </c>
    </row>
    <row r="178" spans="3:6" x14ac:dyDescent="0.25">
      <c r="C178">
        <f>Tokens!C178</f>
        <v>0</v>
      </c>
      <c r="D178">
        <f>Tokens!AP178</f>
        <v>0</v>
      </c>
      <c r="E178" t="str">
        <f>IF(ToMint!J178="","",ToMint!J178)</f>
        <v/>
      </c>
      <c r="F178" s="44">
        <f>Tokens!AS178</f>
        <v>0</v>
      </c>
    </row>
    <row r="179" spans="3:6" x14ac:dyDescent="0.25">
      <c r="C179">
        <f>Tokens!C179</f>
        <v>0</v>
      </c>
      <c r="D179">
        <f>Tokens!AP179</f>
        <v>0</v>
      </c>
      <c r="E179" t="str">
        <f>IF(ToMint!J179="","",ToMint!J179)</f>
        <v/>
      </c>
      <c r="F179" s="44">
        <f>Tokens!AS179</f>
        <v>0</v>
      </c>
    </row>
    <row r="180" spans="3:6" x14ac:dyDescent="0.25">
      <c r="C180">
        <f>Tokens!C180</f>
        <v>0</v>
      </c>
      <c r="D180">
        <f>Tokens!AP180</f>
        <v>0</v>
      </c>
      <c r="E180" t="str">
        <f>IF(ToMint!J180="","",ToMint!J180)</f>
        <v/>
      </c>
      <c r="F180" s="44">
        <f>Tokens!AS180</f>
        <v>0</v>
      </c>
    </row>
    <row r="181" spans="3:6" x14ac:dyDescent="0.25">
      <c r="C181">
        <f>Tokens!C181</f>
        <v>0</v>
      </c>
      <c r="D181">
        <f>Tokens!AP181</f>
        <v>0</v>
      </c>
      <c r="E181" t="str">
        <f>IF(ToMint!J181="","",ToMint!J181)</f>
        <v/>
      </c>
      <c r="F181" s="44">
        <f>Tokens!AS181</f>
        <v>0</v>
      </c>
    </row>
    <row r="182" spans="3:6" x14ac:dyDescent="0.25">
      <c r="C182">
        <f>Tokens!C182</f>
        <v>0</v>
      </c>
      <c r="D182">
        <f>Tokens!AP182</f>
        <v>0</v>
      </c>
      <c r="E182" t="str">
        <f>IF(ToMint!J182="","",ToMint!J182)</f>
        <v/>
      </c>
      <c r="F182" s="44">
        <f>Tokens!AS182</f>
        <v>0</v>
      </c>
    </row>
    <row r="183" spans="3:6" x14ac:dyDescent="0.25">
      <c r="C183">
        <f>Tokens!C183</f>
        <v>0</v>
      </c>
      <c r="D183">
        <f>Tokens!AP183</f>
        <v>0</v>
      </c>
      <c r="E183" t="str">
        <f>IF(ToMint!J183="","",ToMint!J183)</f>
        <v/>
      </c>
      <c r="F183" s="44">
        <f>Tokens!AS183</f>
        <v>0</v>
      </c>
    </row>
    <row r="184" spans="3:6" x14ac:dyDescent="0.25">
      <c r="C184">
        <f>Tokens!C184</f>
        <v>0</v>
      </c>
      <c r="D184">
        <f>Tokens!AP184</f>
        <v>0</v>
      </c>
      <c r="E184" t="str">
        <f>IF(ToMint!J184="","",ToMint!J184)</f>
        <v/>
      </c>
      <c r="F184" s="44">
        <f>Tokens!AS184</f>
        <v>0</v>
      </c>
    </row>
    <row r="185" spans="3:6" x14ac:dyDescent="0.25">
      <c r="C185">
        <f>Tokens!C185</f>
        <v>0</v>
      </c>
      <c r="D185">
        <f>Tokens!AP185</f>
        <v>0</v>
      </c>
      <c r="E185" t="str">
        <f>IF(ToMint!J185="","",ToMint!J185)</f>
        <v/>
      </c>
      <c r="F185" s="44">
        <f>Tokens!AS185</f>
        <v>0</v>
      </c>
    </row>
    <row r="186" spans="3:6" x14ac:dyDescent="0.25">
      <c r="C186">
        <f>Tokens!C186</f>
        <v>0</v>
      </c>
      <c r="D186">
        <f>Tokens!AP186</f>
        <v>0</v>
      </c>
      <c r="E186" t="str">
        <f>IF(ToMint!J186="","",ToMint!J186)</f>
        <v/>
      </c>
      <c r="F186" s="44">
        <f>Tokens!AS186</f>
        <v>0</v>
      </c>
    </row>
    <row r="187" spans="3:6" x14ac:dyDescent="0.25">
      <c r="C187">
        <f>Tokens!C187</f>
        <v>0</v>
      </c>
      <c r="D187">
        <f>Tokens!AP187</f>
        <v>0</v>
      </c>
      <c r="E187" t="str">
        <f>IF(ToMint!J187="","",ToMint!J187)</f>
        <v/>
      </c>
      <c r="F187" s="44">
        <f>Tokens!AS187</f>
        <v>0</v>
      </c>
    </row>
    <row r="188" spans="3:6" x14ac:dyDescent="0.25">
      <c r="C188">
        <f>Tokens!C188</f>
        <v>0</v>
      </c>
      <c r="D188">
        <f>Tokens!AP188</f>
        <v>0</v>
      </c>
      <c r="E188" t="str">
        <f>IF(ToMint!J188="","",ToMint!J188)</f>
        <v/>
      </c>
      <c r="F188" s="44">
        <f>Tokens!AS188</f>
        <v>0</v>
      </c>
    </row>
    <row r="189" spans="3:6" x14ac:dyDescent="0.25">
      <c r="C189">
        <f>Tokens!C189</f>
        <v>0</v>
      </c>
      <c r="D189">
        <f>Tokens!AP189</f>
        <v>0</v>
      </c>
      <c r="E189" t="str">
        <f>IF(ToMint!J189="","",ToMint!J189)</f>
        <v/>
      </c>
      <c r="F189" s="44">
        <f>Tokens!AS189</f>
        <v>0</v>
      </c>
    </row>
    <row r="190" spans="3:6" x14ac:dyDescent="0.25">
      <c r="C190">
        <f>Tokens!C190</f>
        <v>0</v>
      </c>
      <c r="D190">
        <f>Tokens!AP190</f>
        <v>0</v>
      </c>
      <c r="E190" t="str">
        <f>IF(ToMint!J190="","",ToMint!J190)</f>
        <v/>
      </c>
      <c r="F190" s="44">
        <f>Tokens!AS190</f>
        <v>0</v>
      </c>
    </row>
    <row r="191" spans="3:6" x14ac:dyDescent="0.25">
      <c r="C191">
        <f>Tokens!C191</f>
        <v>0</v>
      </c>
      <c r="D191">
        <f>Tokens!AP191</f>
        <v>0</v>
      </c>
      <c r="E191" t="str">
        <f>IF(ToMint!J191="","",ToMint!J191)</f>
        <v/>
      </c>
      <c r="F191" s="44">
        <f>Tokens!AS191</f>
        <v>0</v>
      </c>
    </row>
    <row r="192" spans="3:6" x14ac:dyDescent="0.25">
      <c r="C192">
        <f>Tokens!C192</f>
        <v>0</v>
      </c>
      <c r="D192">
        <f>Tokens!AP192</f>
        <v>0</v>
      </c>
      <c r="E192" t="str">
        <f>IF(ToMint!J192="","",ToMint!J192)</f>
        <v/>
      </c>
      <c r="F192" s="44">
        <f>Tokens!AS192</f>
        <v>0</v>
      </c>
    </row>
    <row r="193" spans="3:6" x14ac:dyDescent="0.25">
      <c r="C193">
        <f>Tokens!C193</f>
        <v>0</v>
      </c>
      <c r="D193">
        <f>Tokens!AP193</f>
        <v>0</v>
      </c>
      <c r="E193" t="str">
        <f>IF(ToMint!J193="","",ToMint!J193)</f>
        <v/>
      </c>
      <c r="F193" s="44">
        <f>Tokens!AS193</f>
        <v>0</v>
      </c>
    </row>
    <row r="194" spans="3:6" x14ac:dyDescent="0.25">
      <c r="C194">
        <f>Tokens!C194</f>
        <v>0</v>
      </c>
      <c r="D194">
        <f>Tokens!AP194</f>
        <v>0</v>
      </c>
      <c r="E194" t="str">
        <f>IF(ToMint!J194="","",ToMint!J194)</f>
        <v/>
      </c>
      <c r="F194" s="44">
        <f>Tokens!AS194</f>
        <v>0</v>
      </c>
    </row>
    <row r="195" spans="3:6" x14ac:dyDescent="0.25">
      <c r="C195">
        <f>Tokens!C195</f>
        <v>0</v>
      </c>
      <c r="D195">
        <f>Tokens!AP195</f>
        <v>0</v>
      </c>
      <c r="E195" t="str">
        <f>IF(ToMint!J195="","",ToMint!J195)</f>
        <v/>
      </c>
      <c r="F195" s="44">
        <f>Tokens!AS195</f>
        <v>0</v>
      </c>
    </row>
    <row r="196" spans="3:6" x14ac:dyDescent="0.25">
      <c r="C196">
        <f>Tokens!C196</f>
        <v>0</v>
      </c>
      <c r="D196">
        <f>Tokens!AP196</f>
        <v>0</v>
      </c>
      <c r="E196" t="str">
        <f>IF(ToMint!J196="","",ToMint!J196)</f>
        <v/>
      </c>
      <c r="F196" s="44">
        <f>Tokens!AS196</f>
        <v>0</v>
      </c>
    </row>
    <row r="197" spans="3:6" x14ac:dyDescent="0.25">
      <c r="C197">
        <f>Tokens!C197</f>
        <v>0</v>
      </c>
      <c r="D197">
        <f>Tokens!AP197</f>
        <v>0</v>
      </c>
      <c r="E197" t="str">
        <f>IF(ToMint!J197="","",ToMint!J197)</f>
        <v/>
      </c>
      <c r="F197" s="44">
        <f>Tokens!AS197</f>
        <v>0</v>
      </c>
    </row>
    <row r="198" spans="3:6" x14ac:dyDescent="0.25">
      <c r="C198">
        <f>Tokens!C198</f>
        <v>0</v>
      </c>
      <c r="D198">
        <f>Tokens!AP198</f>
        <v>0</v>
      </c>
      <c r="E198" t="str">
        <f>IF(ToMint!J198="","",ToMint!J198)</f>
        <v/>
      </c>
      <c r="F198" s="44">
        <f>Tokens!AS198</f>
        <v>0</v>
      </c>
    </row>
    <row r="199" spans="3:6" x14ac:dyDescent="0.25">
      <c r="C199">
        <f>Tokens!C199</f>
        <v>0</v>
      </c>
      <c r="D199">
        <f>Tokens!AP199</f>
        <v>0</v>
      </c>
      <c r="E199" t="str">
        <f>IF(ToMint!J199="","",ToMint!J199)</f>
        <v/>
      </c>
      <c r="F199" s="44">
        <f>Tokens!AS199</f>
        <v>0</v>
      </c>
    </row>
    <row r="200" spans="3:6" x14ac:dyDescent="0.25">
      <c r="C200">
        <f>Tokens!C200</f>
        <v>0</v>
      </c>
      <c r="D200">
        <f>Tokens!AP200</f>
        <v>0</v>
      </c>
      <c r="E200" t="str">
        <f>IF(ToMint!J200="","",ToMint!J200)</f>
        <v/>
      </c>
      <c r="F200" s="44">
        <f>Tokens!AS200</f>
        <v>0</v>
      </c>
    </row>
    <row r="201" spans="3:6" x14ac:dyDescent="0.25">
      <c r="C201">
        <f>Tokens!C201</f>
        <v>0</v>
      </c>
      <c r="D201">
        <f>Tokens!AP201</f>
        <v>0</v>
      </c>
      <c r="E201" t="str">
        <f>IF(ToMint!J201="","",ToMint!J201)</f>
        <v/>
      </c>
      <c r="F201" s="44">
        <f>Tokens!AS201</f>
        <v>0</v>
      </c>
    </row>
    <row r="202" spans="3:6" x14ac:dyDescent="0.25">
      <c r="C202">
        <f>Tokens!C202</f>
        <v>0</v>
      </c>
      <c r="D202">
        <f>Tokens!AP202</f>
        <v>0</v>
      </c>
      <c r="E202" t="str">
        <f>IF(ToMint!J202="","",ToMint!J202)</f>
        <v/>
      </c>
      <c r="F202" s="44">
        <f>Tokens!AS202</f>
        <v>0</v>
      </c>
    </row>
    <row r="203" spans="3:6" x14ac:dyDescent="0.25">
      <c r="C203">
        <f>Tokens!C203</f>
        <v>0</v>
      </c>
      <c r="D203">
        <f>Tokens!AP203</f>
        <v>0</v>
      </c>
      <c r="E203" t="str">
        <f>IF(ToMint!J203="","",ToMint!J203)</f>
        <v/>
      </c>
      <c r="F203" s="44">
        <f>Tokens!AS203</f>
        <v>0</v>
      </c>
    </row>
    <row r="204" spans="3:6" x14ac:dyDescent="0.25">
      <c r="C204">
        <f>Tokens!C204</f>
        <v>0</v>
      </c>
      <c r="D204">
        <f>Tokens!AP204</f>
        <v>0</v>
      </c>
      <c r="E204" t="str">
        <f>IF(ToMint!J204="","",ToMint!J204)</f>
        <v/>
      </c>
      <c r="F204" s="44">
        <f>Tokens!AS204</f>
        <v>0</v>
      </c>
    </row>
    <row r="205" spans="3:6" x14ac:dyDescent="0.25">
      <c r="C205">
        <f>Tokens!C205</f>
        <v>0</v>
      </c>
      <c r="D205">
        <f>Tokens!AP205</f>
        <v>0</v>
      </c>
      <c r="E205" t="str">
        <f>IF(ToMint!J205="","",ToMint!J205)</f>
        <v/>
      </c>
      <c r="F205" s="44">
        <f>Tokens!AS205</f>
        <v>0</v>
      </c>
    </row>
    <row r="206" spans="3:6" x14ac:dyDescent="0.25">
      <c r="C206">
        <f>Tokens!C206</f>
        <v>0</v>
      </c>
      <c r="D206">
        <f>Tokens!AP206</f>
        <v>0</v>
      </c>
      <c r="E206" t="str">
        <f>IF(ToMint!J206="","",ToMint!J206)</f>
        <v/>
      </c>
      <c r="F206" s="44">
        <f>Tokens!AS206</f>
        <v>0</v>
      </c>
    </row>
    <row r="207" spans="3:6" x14ac:dyDescent="0.25">
      <c r="C207">
        <f>Tokens!C207</f>
        <v>0</v>
      </c>
      <c r="D207">
        <f>Tokens!AP207</f>
        <v>0</v>
      </c>
      <c r="E207" t="str">
        <f>IF(ToMint!J207="","",ToMint!J207)</f>
        <v/>
      </c>
      <c r="F207" s="44">
        <f>Tokens!AS207</f>
        <v>0</v>
      </c>
    </row>
    <row r="208" spans="3:6" x14ac:dyDescent="0.25">
      <c r="C208">
        <f>Tokens!C208</f>
        <v>0</v>
      </c>
      <c r="D208">
        <f>Tokens!AP208</f>
        <v>0</v>
      </c>
      <c r="E208" t="str">
        <f>IF(ToMint!J208="","",ToMint!J208)</f>
        <v/>
      </c>
      <c r="F208" s="44">
        <f>Tokens!AS208</f>
        <v>0</v>
      </c>
    </row>
    <row r="209" spans="3:6" x14ac:dyDescent="0.25">
      <c r="C209">
        <f>Tokens!C209</f>
        <v>0</v>
      </c>
      <c r="D209">
        <f>Tokens!AP209</f>
        <v>0</v>
      </c>
      <c r="E209" t="str">
        <f>IF(ToMint!J209="","",ToMint!J209)</f>
        <v/>
      </c>
      <c r="F209" s="44">
        <f>Tokens!AS209</f>
        <v>0</v>
      </c>
    </row>
    <row r="210" spans="3:6" x14ac:dyDescent="0.25">
      <c r="C210">
        <f>Tokens!C210</f>
        <v>0</v>
      </c>
      <c r="D210">
        <f>Tokens!AP210</f>
        <v>0</v>
      </c>
      <c r="E210" t="str">
        <f>IF(ToMint!J210="","",ToMint!J210)</f>
        <v/>
      </c>
      <c r="F210" s="44">
        <f>Tokens!AS210</f>
        <v>0</v>
      </c>
    </row>
    <row r="211" spans="3:6" x14ac:dyDescent="0.25">
      <c r="C211">
        <f>Tokens!C211</f>
        <v>0</v>
      </c>
      <c r="D211">
        <f>Tokens!AP211</f>
        <v>0</v>
      </c>
      <c r="E211" t="str">
        <f>IF(ToMint!J211="","",ToMint!J211)</f>
        <v/>
      </c>
      <c r="F211" s="44">
        <f>Tokens!AS211</f>
        <v>0</v>
      </c>
    </row>
    <row r="212" spans="3:6" x14ac:dyDescent="0.25">
      <c r="C212">
        <f>Tokens!C212</f>
        <v>0</v>
      </c>
      <c r="D212">
        <f>Tokens!AP212</f>
        <v>0</v>
      </c>
      <c r="E212" t="str">
        <f>IF(ToMint!J212="","",ToMint!J212)</f>
        <v/>
      </c>
      <c r="F212" s="44">
        <f>Tokens!AS212</f>
        <v>0</v>
      </c>
    </row>
    <row r="213" spans="3:6" x14ac:dyDescent="0.25">
      <c r="C213">
        <f>Tokens!C213</f>
        <v>0</v>
      </c>
      <c r="D213">
        <f>Tokens!AP213</f>
        <v>0</v>
      </c>
      <c r="E213" t="str">
        <f>IF(ToMint!J213="","",ToMint!J213)</f>
        <v/>
      </c>
      <c r="F213" s="44">
        <f>Tokens!AS213</f>
        <v>0</v>
      </c>
    </row>
    <row r="214" spans="3:6" x14ac:dyDescent="0.25">
      <c r="C214">
        <f>Tokens!C214</f>
        <v>0</v>
      </c>
      <c r="D214">
        <f>Tokens!AP214</f>
        <v>0</v>
      </c>
      <c r="E214" t="str">
        <f>IF(ToMint!J214="","",ToMint!J214)</f>
        <v/>
      </c>
      <c r="F214" s="44">
        <f>Tokens!AS214</f>
        <v>0</v>
      </c>
    </row>
    <row r="215" spans="3:6" x14ac:dyDescent="0.25">
      <c r="C215">
        <f>Tokens!C215</f>
        <v>0</v>
      </c>
      <c r="D215">
        <f>Tokens!AP215</f>
        <v>0</v>
      </c>
      <c r="E215" t="str">
        <f>IF(ToMint!J215="","",ToMint!J215)</f>
        <v/>
      </c>
      <c r="F215" s="44">
        <f>Tokens!AS215</f>
        <v>0</v>
      </c>
    </row>
    <row r="216" spans="3:6" x14ac:dyDescent="0.25">
      <c r="C216">
        <f>Tokens!C216</f>
        <v>0</v>
      </c>
      <c r="D216">
        <f>Tokens!AP216</f>
        <v>0</v>
      </c>
      <c r="E216" t="str">
        <f>IF(ToMint!J216="","",ToMint!J216)</f>
        <v/>
      </c>
      <c r="F216" s="44">
        <f>Tokens!AS216</f>
        <v>0</v>
      </c>
    </row>
    <row r="217" spans="3:6" x14ac:dyDescent="0.25">
      <c r="C217">
        <f>Tokens!C217</f>
        <v>0</v>
      </c>
      <c r="D217">
        <f>Tokens!AP217</f>
        <v>0</v>
      </c>
      <c r="E217" t="str">
        <f>IF(ToMint!J217="","",ToMint!J217)</f>
        <v/>
      </c>
      <c r="F217" s="44">
        <f>Tokens!AS217</f>
        <v>0</v>
      </c>
    </row>
    <row r="218" spans="3:6" x14ac:dyDescent="0.25">
      <c r="C218">
        <f>Tokens!C218</f>
        <v>0</v>
      </c>
      <c r="D218">
        <f>Tokens!AP218</f>
        <v>0</v>
      </c>
      <c r="E218" t="str">
        <f>IF(ToMint!J218="","",ToMint!J218)</f>
        <v/>
      </c>
      <c r="F218" s="44">
        <f>Tokens!AS218</f>
        <v>0</v>
      </c>
    </row>
    <row r="219" spans="3:6" x14ac:dyDescent="0.25">
      <c r="C219">
        <f>Tokens!C219</f>
        <v>0</v>
      </c>
      <c r="D219">
        <f>Tokens!AP219</f>
        <v>0</v>
      </c>
      <c r="E219" t="str">
        <f>IF(ToMint!J219="","",ToMint!J219)</f>
        <v/>
      </c>
      <c r="F219" s="44">
        <f>Tokens!AS219</f>
        <v>0</v>
      </c>
    </row>
    <row r="220" spans="3:6" x14ac:dyDescent="0.25">
      <c r="C220">
        <f>Tokens!C220</f>
        <v>0</v>
      </c>
      <c r="D220">
        <f>Tokens!AP220</f>
        <v>0</v>
      </c>
      <c r="E220" t="str">
        <f>IF(ToMint!J220="","",ToMint!J220)</f>
        <v/>
      </c>
      <c r="F220" s="44">
        <f>Tokens!AS220</f>
        <v>0</v>
      </c>
    </row>
    <row r="221" spans="3:6" x14ac:dyDescent="0.25">
      <c r="C221">
        <f>Tokens!C221</f>
        <v>0</v>
      </c>
      <c r="D221">
        <f>Tokens!AP221</f>
        <v>0</v>
      </c>
      <c r="E221" t="str">
        <f>IF(ToMint!J221="","",ToMint!J221)</f>
        <v/>
      </c>
      <c r="F221" s="44">
        <f>Tokens!AS221</f>
        <v>0</v>
      </c>
    </row>
    <row r="222" spans="3:6" x14ac:dyDescent="0.25">
      <c r="C222">
        <f>Tokens!C222</f>
        <v>0</v>
      </c>
      <c r="D222">
        <f>Tokens!AP222</f>
        <v>0</v>
      </c>
      <c r="E222" t="str">
        <f>IF(ToMint!J222="","",ToMint!J222)</f>
        <v/>
      </c>
      <c r="F222" s="44">
        <f>Tokens!AS222</f>
        <v>0</v>
      </c>
    </row>
    <row r="223" spans="3:6" x14ac:dyDescent="0.25">
      <c r="C223">
        <f>Tokens!C223</f>
        <v>0</v>
      </c>
      <c r="D223">
        <f>Tokens!AP223</f>
        <v>0</v>
      </c>
      <c r="E223" t="str">
        <f>IF(ToMint!J223="","",ToMint!J223)</f>
        <v/>
      </c>
      <c r="F223" s="44">
        <f>Tokens!AS223</f>
        <v>0</v>
      </c>
    </row>
    <row r="224" spans="3:6" x14ac:dyDescent="0.25">
      <c r="C224">
        <f>Tokens!C224</f>
        <v>0</v>
      </c>
      <c r="D224">
        <f>Tokens!AP224</f>
        <v>0</v>
      </c>
      <c r="E224" t="str">
        <f>IF(ToMint!J224="","",ToMint!J224)</f>
        <v/>
      </c>
      <c r="F224" s="44">
        <f>Tokens!AS224</f>
        <v>0</v>
      </c>
    </row>
    <row r="225" spans="3:6" x14ac:dyDescent="0.25">
      <c r="C225">
        <f>Tokens!C225</f>
        <v>0</v>
      </c>
      <c r="D225">
        <f>Tokens!AP225</f>
        <v>0</v>
      </c>
      <c r="E225" t="str">
        <f>IF(ToMint!J225="","",ToMint!J225)</f>
        <v/>
      </c>
      <c r="F225" s="44">
        <f>Tokens!AS225</f>
        <v>0</v>
      </c>
    </row>
    <row r="226" spans="3:6" x14ac:dyDescent="0.25">
      <c r="C226">
        <f>Tokens!C226</f>
        <v>0</v>
      </c>
      <c r="D226">
        <f>Tokens!AP226</f>
        <v>0</v>
      </c>
      <c r="E226" t="str">
        <f>IF(ToMint!J226="","",ToMint!J226)</f>
        <v/>
      </c>
      <c r="F226" s="44">
        <f>Tokens!AS226</f>
        <v>0</v>
      </c>
    </row>
    <row r="227" spans="3:6" x14ac:dyDescent="0.25">
      <c r="C227">
        <f>Tokens!C227</f>
        <v>0</v>
      </c>
      <c r="D227">
        <f>Tokens!AP227</f>
        <v>0</v>
      </c>
      <c r="E227" t="str">
        <f>IF(ToMint!J227="","",ToMint!J227)</f>
        <v/>
      </c>
      <c r="F227" s="44">
        <f>Tokens!AS227</f>
        <v>0</v>
      </c>
    </row>
    <row r="228" spans="3:6" x14ac:dyDescent="0.25">
      <c r="C228">
        <f>Tokens!C228</f>
        <v>0</v>
      </c>
      <c r="D228">
        <f>Tokens!AP228</f>
        <v>0</v>
      </c>
      <c r="E228" t="str">
        <f>IF(ToMint!J228="","",ToMint!J228)</f>
        <v/>
      </c>
      <c r="F228" s="44">
        <f>Tokens!AS228</f>
        <v>0</v>
      </c>
    </row>
    <row r="229" spans="3:6" x14ac:dyDescent="0.25">
      <c r="C229">
        <f>Tokens!C229</f>
        <v>0</v>
      </c>
      <c r="D229">
        <f>Tokens!AP229</f>
        <v>0</v>
      </c>
      <c r="E229" t="str">
        <f>IF(ToMint!J229="","",ToMint!J229)</f>
        <v/>
      </c>
      <c r="F229" s="44">
        <f>Tokens!AS229</f>
        <v>0</v>
      </c>
    </row>
    <row r="230" spans="3:6" x14ac:dyDescent="0.25">
      <c r="C230">
        <f>Tokens!C230</f>
        <v>0</v>
      </c>
      <c r="D230">
        <f>Tokens!AP230</f>
        <v>0</v>
      </c>
      <c r="E230" t="str">
        <f>IF(ToMint!J230="","",ToMint!J230)</f>
        <v/>
      </c>
      <c r="F230" s="44">
        <f>Tokens!AS230</f>
        <v>0</v>
      </c>
    </row>
    <row r="231" spans="3:6" x14ac:dyDescent="0.25">
      <c r="C231">
        <f>Tokens!C231</f>
        <v>0</v>
      </c>
      <c r="D231">
        <f>Tokens!AP231</f>
        <v>0</v>
      </c>
      <c r="E231" t="str">
        <f>IF(ToMint!J231="","",ToMint!J231)</f>
        <v/>
      </c>
      <c r="F231" s="44">
        <f>Tokens!AS231</f>
        <v>0</v>
      </c>
    </row>
    <row r="232" spans="3:6" x14ac:dyDescent="0.25">
      <c r="C232">
        <f>Tokens!C232</f>
        <v>0</v>
      </c>
      <c r="D232">
        <f>Tokens!AP232</f>
        <v>0</v>
      </c>
      <c r="E232" t="str">
        <f>IF(ToMint!J232="","",ToMint!J232)</f>
        <v/>
      </c>
      <c r="F232" s="44">
        <f>Tokens!AS232</f>
        <v>0</v>
      </c>
    </row>
    <row r="233" spans="3:6" x14ac:dyDescent="0.25">
      <c r="C233">
        <f>Tokens!C233</f>
        <v>0</v>
      </c>
      <c r="D233">
        <f>Tokens!AP233</f>
        <v>0</v>
      </c>
      <c r="E233" t="str">
        <f>IF(ToMint!J233="","",ToMint!J233)</f>
        <v/>
      </c>
      <c r="F233" s="44">
        <f>Tokens!AS233</f>
        <v>0</v>
      </c>
    </row>
    <row r="234" spans="3:6" x14ac:dyDescent="0.25">
      <c r="C234">
        <f>Tokens!C234</f>
        <v>0</v>
      </c>
      <c r="D234">
        <f>Tokens!AP234</f>
        <v>0</v>
      </c>
      <c r="E234" t="str">
        <f>IF(ToMint!J234="","",ToMint!J234)</f>
        <v/>
      </c>
      <c r="F234" s="44">
        <f>Tokens!AS234</f>
        <v>0</v>
      </c>
    </row>
    <row r="235" spans="3:6" x14ac:dyDescent="0.25">
      <c r="C235">
        <f>Tokens!C235</f>
        <v>0</v>
      </c>
      <c r="D235">
        <f>Tokens!AP235</f>
        <v>0</v>
      </c>
      <c r="E235" t="str">
        <f>IF(ToMint!J235="","",ToMint!J235)</f>
        <v/>
      </c>
      <c r="F235" s="44">
        <f>Tokens!AS235</f>
        <v>0</v>
      </c>
    </row>
    <row r="236" spans="3:6" x14ac:dyDescent="0.25">
      <c r="C236">
        <f>Tokens!C236</f>
        <v>0</v>
      </c>
      <c r="D236">
        <f>Tokens!AP236</f>
        <v>0</v>
      </c>
      <c r="E236" t="str">
        <f>IF(ToMint!J236="","",ToMint!J236)</f>
        <v/>
      </c>
      <c r="F236" s="44">
        <f>Tokens!AS236</f>
        <v>0</v>
      </c>
    </row>
    <row r="237" spans="3:6" x14ac:dyDescent="0.25">
      <c r="C237">
        <f>Tokens!C237</f>
        <v>0</v>
      </c>
      <c r="D237">
        <f>Tokens!AP237</f>
        <v>0</v>
      </c>
      <c r="E237" t="str">
        <f>IF(ToMint!J237="","",ToMint!J237)</f>
        <v/>
      </c>
      <c r="F237" s="44">
        <f>Tokens!AS237</f>
        <v>0</v>
      </c>
    </row>
    <row r="238" spans="3:6" x14ac:dyDescent="0.25">
      <c r="C238">
        <f>Tokens!C238</f>
        <v>0</v>
      </c>
      <c r="D238">
        <f>Tokens!AP238</f>
        <v>0</v>
      </c>
      <c r="E238" t="str">
        <f>IF(ToMint!J238="","",ToMint!J238)</f>
        <v/>
      </c>
      <c r="F238" s="44">
        <f>Tokens!AS238</f>
        <v>0</v>
      </c>
    </row>
    <row r="239" spans="3:6" x14ac:dyDescent="0.25">
      <c r="C239">
        <f>Tokens!C239</f>
        <v>0</v>
      </c>
      <c r="D239">
        <f>Tokens!AP239</f>
        <v>0</v>
      </c>
      <c r="E239" t="str">
        <f>IF(ToMint!J239="","",ToMint!J239)</f>
        <v/>
      </c>
      <c r="F239" s="44">
        <f>Tokens!AS239</f>
        <v>0</v>
      </c>
    </row>
    <row r="240" spans="3:6" x14ac:dyDescent="0.25">
      <c r="C240">
        <f>Tokens!C240</f>
        <v>0</v>
      </c>
      <c r="D240">
        <f>Tokens!AP240</f>
        <v>0</v>
      </c>
      <c r="E240" t="str">
        <f>IF(ToMint!J240="","",ToMint!J240)</f>
        <v/>
      </c>
      <c r="F240" s="44">
        <f>Tokens!AS240</f>
        <v>0</v>
      </c>
    </row>
    <row r="241" spans="3:6" x14ac:dyDescent="0.25">
      <c r="C241">
        <f>Tokens!C241</f>
        <v>0</v>
      </c>
      <c r="D241">
        <f>Tokens!AP241</f>
        <v>0</v>
      </c>
      <c r="E241" t="str">
        <f>IF(ToMint!J241="","",ToMint!J241)</f>
        <v/>
      </c>
      <c r="F241" s="44">
        <f>Tokens!AS241</f>
        <v>0</v>
      </c>
    </row>
    <row r="242" spans="3:6" x14ac:dyDescent="0.25">
      <c r="C242">
        <f>Tokens!C242</f>
        <v>0</v>
      </c>
      <c r="D242">
        <f>Tokens!AP242</f>
        <v>0</v>
      </c>
      <c r="E242" t="str">
        <f>IF(ToMint!J242="","",ToMint!J242)</f>
        <v/>
      </c>
      <c r="F242" s="44">
        <f>Tokens!AS242</f>
        <v>0</v>
      </c>
    </row>
    <row r="243" spans="3:6" x14ac:dyDescent="0.25">
      <c r="C243">
        <f>Tokens!C243</f>
        <v>0</v>
      </c>
      <c r="D243">
        <f>Tokens!AP243</f>
        <v>0</v>
      </c>
      <c r="E243" t="str">
        <f>IF(ToMint!J243="","",ToMint!J243)</f>
        <v/>
      </c>
      <c r="F243" s="44">
        <f>Tokens!AS243</f>
        <v>0</v>
      </c>
    </row>
    <row r="244" spans="3:6" x14ac:dyDescent="0.25">
      <c r="C244">
        <f>Tokens!C244</f>
        <v>0</v>
      </c>
      <c r="D244">
        <f>Tokens!AP244</f>
        <v>0</v>
      </c>
      <c r="E244" t="str">
        <f>IF(ToMint!J244="","",ToMint!J244)</f>
        <v/>
      </c>
      <c r="F244" s="44">
        <f>Tokens!AS244</f>
        <v>0</v>
      </c>
    </row>
    <row r="245" spans="3:6" x14ac:dyDescent="0.25">
      <c r="C245">
        <f>Tokens!C245</f>
        <v>0</v>
      </c>
      <c r="D245">
        <f>Tokens!AP245</f>
        <v>0</v>
      </c>
      <c r="E245" t="str">
        <f>IF(ToMint!J245="","",ToMint!J245)</f>
        <v/>
      </c>
      <c r="F245" s="44">
        <f>Tokens!AS245</f>
        <v>0</v>
      </c>
    </row>
    <row r="246" spans="3:6" x14ac:dyDescent="0.25">
      <c r="C246">
        <f>Tokens!C246</f>
        <v>0</v>
      </c>
      <c r="D246">
        <f>Tokens!AP246</f>
        <v>0</v>
      </c>
      <c r="E246" t="str">
        <f>IF(ToMint!J246="","",ToMint!J246)</f>
        <v/>
      </c>
      <c r="F246" s="44">
        <f>Tokens!AS246</f>
        <v>0</v>
      </c>
    </row>
    <row r="247" spans="3:6" x14ac:dyDescent="0.25">
      <c r="C247">
        <f>Tokens!C247</f>
        <v>0</v>
      </c>
      <c r="D247">
        <f>Tokens!AP247</f>
        <v>0</v>
      </c>
      <c r="E247" t="str">
        <f>IF(ToMint!J247="","",ToMint!J247)</f>
        <v/>
      </c>
      <c r="F247" s="44">
        <f>Tokens!AS247</f>
        <v>0</v>
      </c>
    </row>
    <row r="248" spans="3:6" x14ac:dyDescent="0.25">
      <c r="C248">
        <f>Tokens!C248</f>
        <v>0</v>
      </c>
      <c r="D248">
        <f>Tokens!AP248</f>
        <v>0</v>
      </c>
      <c r="E248" t="str">
        <f>IF(ToMint!J248="","",ToMint!J248)</f>
        <v/>
      </c>
      <c r="F248" s="44">
        <f>Tokens!AS248</f>
        <v>0</v>
      </c>
    </row>
    <row r="249" spans="3:6" x14ac:dyDescent="0.25">
      <c r="C249">
        <f>Tokens!C249</f>
        <v>0</v>
      </c>
      <c r="D249">
        <f>Tokens!AP249</f>
        <v>0</v>
      </c>
      <c r="E249" t="str">
        <f>IF(ToMint!J249="","",ToMint!J249)</f>
        <v/>
      </c>
      <c r="F249" s="44">
        <f>Tokens!AS249</f>
        <v>0</v>
      </c>
    </row>
    <row r="250" spans="3:6" x14ac:dyDescent="0.25">
      <c r="C250">
        <f>Tokens!C250</f>
        <v>0</v>
      </c>
      <c r="D250">
        <f>Tokens!AP250</f>
        <v>0</v>
      </c>
      <c r="E250" t="str">
        <f>IF(ToMint!J250="","",ToMint!J250)</f>
        <v/>
      </c>
      <c r="F250" s="44">
        <f>Tokens!AS250</f>
        <v>0</v>
      </c>
    </row>
    <row r="251" spans="3:6" x14ac:dyDescent="0.25">
      <c r="C251">
        <f>Tokens!C251</f>
        <v>0</v>
      </c>
      <c r="D251">
        <f>Tokens!AP251</f>
        <v>0</v>
      </c>
      <c r="E251" t="str">
        <f>IF(ToMint!J251="","",ToMint!J251)</f>
        <v/>
      </c>
      <c r="F251" s="44">
        <f>Tokens!AS251</f>
        <v>0</v>
      </c>
    </row>
    <row r="252" spans="3:6" x14ac:dyDescent="0.25">
      <c r="C252">
        <f>Tokens!C252</f>
        <v>0</v>
      </c>
      <c r="D252">
        <f>Tokens!AP252</f>
        <v>0</v>
      </c>
      <c r="E252" t="str">
        <f>IF(ToMint!J252="","",ToMint!J252)</f>
        <v/>
      </c>
      <c r="F252" s="44">
        <f>Tokens!AS252</f>
        <v>0</v>
      </c>
    </row>
    <row r="253" spans="3:6" x14ac:dyDescent="0.25">
      <c r="C253">
        <f>Tokens!C253</f>
        <v>0</v>
      </c>
      <c r="D253">
        <f>Tokens!AP253</f>
        <v>0</v>
      </c>
      <c r="E253" t="str">
        <f>IF(ToMint!J253="","",ToMint!J253)</f>
        <v/>
      </c>
      <c r="F253" s="44">
        <f>Tokens!AS253</f>
        <v>0</v>
      </c>
    </row>
    <row r="254" spans="3:6" x14ac:dyDescent="0.25">
      <c r="C254">
        <f>Tokens!C254</f>
        <v>0</v>
      </c>
      <c r="D254">
        <f>Tokens!AP254</f>
        <v>0</v>
      </c>
      <c r="E254" t="str">
        <f>IF(ToMint!J254="","",ToMint!J254)</f>
        <v/>
      </c>
      <c r="F254" s="44">
        <f>Tokens!AS254</f>
        <v>0</v>
      </c>
    </row>
    <row r="255" spans="3:6" x14ac:dyDescent="0.25">
      <c r="C255">
        <f>Tokens!C255</f>
        <v>0</v>
      </c>
      <c r="D255">
        <f>Tokens!AP255</f>
        <v>0</v>
      </c>
      <c r="E255" t="str">
        <f>IF(ToMint!J255="","",ToMint!J255)</f>
        <v/>
      </c>
      <c r="F255" s="44">
        <f>Tokens!AS255</f>
        <v>0</v>
      </c>
    </row>
    <row r="256" spans="3:6" x14ac:dyDescent="0.25">
      <c r="C256">
        <f>Tokens!C256</f>
        <v>0</v>
      </c>
      <c r="D256">
        <f>Tokens!AP256</f>
        <v>0</v>
      </c>
      <c r="E256" t="str">
        <f>IF(ToMint!J256="","",ToMint!J256)</f>
        <v/>
      </c>
      <c r="F256" s="44">
        <f>Tokens!AS256</f>
        <v>0</v>
      </c>
    </row>
    <row r="257" spans="3:6" x14ac:dyDescent="0.25">
      <c r="C257">
        <f>Tokens!C257</f>
        <v>0</v>
      </c>
      <c r="D257">
        <f>Tokens!AP257</f>
        <v>0</v>
      </c>
      <c r="E257" t="str">
        <f>IF(ToMint!J257="","",ToMint!J257)</f>
        <v/>
      </c>
      <c r="F257" s="44">
        <f>Tokens!AS257</f>
        <v>0</v>
      </c>
    </row>
    <row r="258" spans="3:6" x14ac:dyDescent="0.25">
      <c r="C258">
        <f>Tokens!C258</f>
        <v>0</v>
      </c>
      <c r="D258">
        <f>Tokens!AP258</f>
        <v>0</v>
      </c>
      <c r="E258" t="str">
        <f>IF(ToMint!J258="","",ToMint!J258)</f>
        <v/>
      </c>
      <c r="F258" s="44">
        <f>Tokens!AS258</f>
        <v>0</v>
      </c>
    </row>
    <row r="259" spans="3:6" x14ac:dyDescent="0.25">
      <c r="C259">
        <f>Tokens!C259</f>
        <v>0</v>
      </c>
      <c r="D259">
        <f>Tokens!AP259</f>
        <v>0</v>
      </c>
      <c r="E259" t="str">
        <f>IF(ToMint!J259="","",ToMint!J259)</f>
        <v/>
      </c>
      <c r="F259" s="44">
        <f>Tokens!AS259</f>
        <v>0</v>
      </c>
    </row>
    <row r="260" spans="3:6" x14ac:dyDescent="0.25">
      <c r="C260">
        <f>Tokens!C260</f>
        <v>0</v>
      </c>
      <c r="D260">
        <f>Tokens!AP260</f>
        <v>0</v>
      </c>
      <c r="E260" t="str">
        <f>IF(ToMint!J260="","",ToMint!J260)</f>
        <v/>
      </c>
      <c r="F260" s="44">
        <f>Tokens!AS260</f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L7"/>
  <sheetViews>
    <sheetView workbookViewId="0">
      <selection activeCell="B1" sqref="B1"/>
    </sheetView>
  </sheetViews>
  <sheetFormatPr baseColWidth="10" defaultRowHeight="18.75" x14ac:dyDescent="0.3"/>
  <cols>
    <col min="1" max="1" width="41.42578125" style="31" customWidth="1"/>
    <col min="2" max="2" width="37.85546875" style="32" customWidth="1"/>
    <col min="3" max="6" width="11.42578125" style="31"/>
    <col min="7" max="7" width="24.7109375" style="31" customWidth="1"/>
    <col min="8" max="8" width="34.42578125" style="31" customWidth="1"/>
    <col min="9" max="9" width="22.5703125" style="31" customWidth="1"/>
    <col min="10" max="16384" width="11.42578125" style="31"/>
  </cols>
  <sheetData>
    <row r="1" spans="1:12" x14ac:dyDescent="0.3">
      <c r="A1" s="49" t="s">
        <v>22</v>
      </c>
      <c r="B1" s="32" t="s">
        <v>29</v>
      </c>
      <c r="C1" s="50" t="str">
        <f>HYPERLINK(B1,"Ouvrir")</f>
        <v>Ouvrir</v>
      </c>
      <c r="G1" s="51" t="s">
        <v>78</v>
      </c>
      <c r="H1" s="51" t="s">
        <v>28</v>
      </c>
      <c r="I1" s="51" t="s">
        <v>23</v>
      </c>
      <c r="J1" s="51" t="s">
        <v>32</v>
      </c>
      <c r="K1" s="51" t="s">
        <v>70</v>
      </c>
      <c r="L1" s="51" t="s">
        <v>103</v>
      </c>
    </row>
    <row r="2" spans="1:12" x14ac:dyDescent="0.3">
      <c r="A2" s="49"/>
      <c r="G2" s="50" t="s">
        <v>79</v>
      </c>
      <c r="H2" s="50" t="s">
        <v>29</v>
      </c>
      <c r="I2" s="31" t="s">
        <v>24</v>
      </c>
      <c r="J2" s="31" t="s">
        <v>33</v>
      </c>
      <c r="K2" s="31" t="s">
        <v>71</v>
      </c>
      <c r="L2" s="31" t="s">
        <v>102</v>
      </c>
    </row>
    <row r="3" spans="1:12" x14ac:dyDescent="0.3">
      <c r="A3" s="49" t="s">
        <v>39</v>
      </c>
      <c r="B3" s="32">
        <v>600000</v>
      </c>
      <c r="G3" s="50" t="s">
        <v>80</v>
      </c>
      <c r="H3" s="50" t="s">
        <v>69</v>
      </c>
      <c r="I3" s="31" t="s">
        <v>30</v>
      </c>
      <c r="J3" s="31" t="s">
        <v>34</v>
      </c>
      <c r="K3" s="31" t="s">
        <v>72</v>
      </c>
      <c r="L3" s="31" t="s">
        <v>40</v>
      </c>
    </row>
    <row r="4" spans="1:12" x14ac:dyDescent="0.3">
      <c r="C4" s="50" t="str">
        <f>HYPERLINK("file://" &amp; ToMint!B10,"Ouvrir")</f>
        <v>Ouvrir</v>
      </c>
      <c r="I4" s="31" t="s">
        <v>58</v>
      </c>
      <c r="J4" s="31" t="s">
        <v>24</v>
      </c>
      <c r="K4" s="31" t="s">
        <v>73</v>
      </c>
    </row>
    <row r="5" spans="1:12" x14ac:dyDescent="0.3">
      <c r="A5" s="49" t="s">
        <v>77</v>
      </c>
      <c r="B5" s="32" t="s">
        <v>79</v>
      </c>
      <c r="C5" s="50" t="str">
        <f>HYPERLINK(B5,"Ouvrir")</f>
        <v>Ouvrir</v>
      </c>
      <c r="I5" s="31" t="s">
        <v>59</v>
      </c>
      <c r="J5" s="31" t="s">
        <v>35</v>
      </c>
    </row>
    <row r="6" spans="1:12" x14ac:dyDescent="0.3">
      <c r="A6" s="49" t="s">
        <v>464</v>
      </c>
      <c r="J6" s="31" t="s">
        <v>36</v>
      </c>
    </row>
    <row r="7" spans="1:12" x14ac:dyDescent="0.3">
      <c r="J7" s="31" t="s">
        <v>37</v>
      </c>
    </row>
  </sheetData>
  <phoneticPr fontId="1" type="noConversion"/>
  <dataValidations count="3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workbookViewId="0">
      <selection activeCell="F4" sqref="F4"/>
    </sheetView>
  </sheetViews>
  <sheetFormatPr baseColWidth="10" defaultRowHeight="15" x14ac:dyDescent="0.25"/>
  <cols>
    <col min="6" max="6" width="54.5703125" customWidth="1"/>
    <col min="7" max="7" width="51" bestFit="1" customWidth="1"/>
  </cols>
  <sheetData>
    <row r="3" spans="1:18" x14ac:dyDescent="0.25">
      <c r="E3" s="23" t="s">
        <v>116</v>
      </c>
      <c r="F3" s="23" t="s">
        <v>114</v>
      </c>
      <c r="G3" s="23" t="s">
        <v>115</v>
      </c>
      <c r="H3" s="23" t="s">
        <v>117</v>
      </c>
      <c r="I3" s="23" t="s">
        <v>118</v>
      </c>
      <c r="J3" s="23"/>
      <c r="K3" s="23"/>
      <c r="L3" s="23"/>
      <c r="M3" s="23"/>
      <c r="N3" s="23"/>
      <c r="O3" s="23"/>
      <c r="P3" s="23"/>
      <c r="Q3" s="23"/>
      <c r="R3" s="23"/>
    </row>
    <row r="4" spans="1:18" x14ac:dyDescent="0.25">
      <c r="A4" s="3" t="s">
        <v>31</v>
      </c>
      <c r="B4" t="s">
        <v>33</v>
      </c>
      <c r="E4" t="s">
        <v>105</v>
      </c>
      <c r="F4" t="s">
        <v>109</v>
      </c>
      <c r="G4" t="s">
        <v>113</v>
      </c>
      <c r="H4">
        <v>1</v>
      </c>
      <c r="I4">
        <v>0</v>
      </c>
    </row>
    <row r="5" spans="1:18" x14ac:dyDescent="0.25">
      <c r="E5" t="s">
        <v>106</v>
      </c>
      <c r="F5" t="s">
        <v>110</v>
      </c>
      <c r="G5" t="s">
        <v>113</v>
      </c>
      <c r="H5">
        <v>1</v>
      </c>
      <c r="I5">
        <v>0</v>
      </c>
    </row>
    <row r="6" spans="1:18" x14ac:dyDescent="0.25">
      <c r="E6" t="s">
        <v>107</v>
      </c>
      <c r="F6" t="s">
        <v>111</v>
      </c>
      <c r="G6" t="s">
        <v>113</v>
      </c>
      <c r="H6">
        <v>1</v>
      </c>
      <c r="I6">
        <v>0</v>
      </c>
    </row>
    <row r="7" spans="1:18" x14ac:dyDescent="0.25">
      <c r="E7" t="s">
        <v>108</v>
      </c>
      <c r="F7" t="s">
        <v>112</v>
      </c>
      <c r="G7" t="s">
        <v>113</v>
      </c>
      <c r="H7">
        <v>1</v>
      </c>
      <c r="I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Tokens</vt:lpstr>
      <vt:lpstr>ToMint</vt:lpstr>
      <vt:lpstr>Mise en vente</vt:lpstr>
      <vt:lpstr>Settings</vt:lpstr>
      <vt:lpstr>Explorer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2022-05-12T08:43:06Z</dcterms:modified>
</cp:coreProperties>
</file>
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3C81DD5B-1F86-4D0D-B01D-024DE7BF5911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s" sheetId="1" r:id="rId1"/>
    <sheet name="ToMint" sheetId="2" r:id="rId2"/>
    <sheet name="Explorer" sheetId="4" r:id="rId3"/>
    <sheet name="Settin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3" i="1"/>
  <c r="AU3" i="1" s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4" i="2"/>
  <c r="C1" i="3"/>
  <c r="C5" i="3"/>
  <c r="C4" i="3"/>
  <c r="E4" i="2" l="1"/>
  <c r="E7" i="2"/>
  <c r="E12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4" i="2"/>
  <c r="L73" i="2"/>
  <c r="L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X15" i="2"/>
  <c r="Y57" i="2"/>
  <c r="W52" i="2"/>
  <c r="AC56" i="2"/>
  <c r="AC60" i="2"/>
  <c r="W12" i="2"/>
  <c r="V43" i="2"/>
  <c r="V15" i="2"/>
  <c r="AC50" i="2"/>
  <c r="W61" i="2"/>
  <c r="X31" i="2"/>
  <c r="W4" i="2"/>
  <c r="V45" i="2"/>
  <c r="V39" i="2"/>
  <c r="V69" i="2"/>
  <c r="Y59" i="2"/>
  <c r="W40" i="2"/>
  <c r="X25" i="2"/>
  <c r="AC41" i="2"/>
  <c r="Y43" i="2"/>
  <c r="W31" i="2"/>
  <c r="W9" i="2"/>
  <c r="AC34" i="2"/>
  <c r="V19" i="2"/>
  <c r="W46" i="2"/>
  <c r="Y56" i="2"/>
  <c r="AC72" i="2"/>
  <c r="AC62" i="2"/>
  <c r="X22" i="2"/>
  <c r="V32" i="2"/>
  <c r="AC74" i="2"/>
  <c r="X74" i="2"/>
  <c r="W54" i="2"/>
  <c r="W21" i="2"/>
  <c r="Y58" i="2"/>
  <c r="X58" i="2"/>
  <c r="AC37" i="2"/>
  <c r="Y74" i="2"/>
  <c r="Y71" i="2"/>
  <c r="AC28" i="2"/>
  <c r="Y38" i="2"/>
  <c r="V40" i="2"/>
  <c r="X38" i="2"/>
  <c r="Y39" i="2"/>
  <c r="X63" i="2"/>
  <c r="W47" i="2"/>
  <c r="W72" i="2"/>
  <c r="X20" i="2"/>
  <c r="Y64" i="2"/>
  <c r="W42" i="2"/>
  <c r="Y40" i="2"/>
  <c r="Y47" i="2"/>
  <c r="Y18" i="2"/>
  <c r="V29" i="2"/>
  <c r="AC69" i="2"/>
  <c r="X27" i="2"/>
  <c r="W17" i="2"/>
  <c r="V73" i="2"/>
  <c r="Y51" i="2"/>
  <c r="AC30" i="2"/>
  <c r="AC10" i="2"/>
  <c r="V36" i="2"/>
  <c r="V74" i="2"/>
  <c r="AC6" i="2"/>
  <c r="X50" i="2"/>
  <c r="X19" i="2"/>
  <c r="AC47" i="2"/>
  <c r="X55" i="2"/>
  <c r="V26" i="2"/>
  <c r="Y23" i="2"/>
  <c r="V22" i="2"/>
  <c r="V41" i="2"/>
  <c r="X29" i="2"/>
  <c r="X42" i="2"/>
  <c r="W63" i="2"/>
  <c r="Y15" i="2"/>
  <c r="V57" i="2"/>
  <c r="Y25" i="2"/>
  <c r="X71" i="2"/>
  <c r="X53" i="2"/>
  <c r="W18" i="2"/>
  <c r="W5" i="2"/>
  <c r="Y68" i="2"/>
  <c r="Y31" i="2"/>
  <c r="X21" i="2"/>
  <c r="AC24" i="2"/>
  <c r="Y14" i="2"/>
  <c r="AC64" i="2"/>
  <c r="Y22" i="2"/>
  <c r="X44" i="2"/>
  <c r="V64" i="2"/>
  <c r="V21" i="2"/>
  <c r="AC18" i="2"/>
  <c r="W8" i="2"/>
  <c r="AC7" i="2"/>
  <c r="X62" i="2"/>
  <c r="V13" i="2"/>
  <c r="Y35" i="2"/>
  <c r="Y63" i="2"/>
  <c r="V46" i="2"/>
  <c r="Y10" i="2"/>
  <c r="V24" i="2"/>
  <c r="X69" i="2"/>
  <c r="AC22" i="2"/>
  <c r="X5" i="2"/>
  <c r="Y37" i="2"/>
  <c r="X51" i="2"/>
  <c r="X40" i="2"/>
  <c r="AC67" i="2"/>
  <c r="X61" i="2"/>
  <c r="W74" i="2"/>
  <c r="AC29" i="2"/>
  <c r="Y29" i="2"/>
  <c r="W66" i="2"/>
  <c r="AC58" i="2"/>
  <c r="W6" i="2"/>
  <c r="AC31" i="2"/>
  <c r="W51" i="2"/>
  <c r="V11" i="2"/>
  <c r="X8" i="2"/>
  <c r="V71" i="2"/>
  <c r="W71" i="2"/>
  <c r="V35" i="2"/>
  <c r="Y11" i="2"/>
  <c r="V55" i="2"/>
  <c r="X34" i="2"/>
  <c r="AC13" i="2"/>
  <c r="V27" i="2"/>
  <c r="AC26" i="2"/>
  <c r="Y27" i="2"/>
  <c r="W65" i="2"/>
  <c r="W48" i="2"/>
  <c r="Y60" i="2"/>
  <c r="Y33" i="2"/>
  <c r="W45" i="2"/>
  <c r="W25" i="2"/>
  <c r="X23" i="2"/>
  <c r="X37" i="2"/>
  <c r="Y69" i="2"/>
  <c r="W32" i="2"/>
  <c r="X36" i="2"/>
  <c r="W62" i="2"/>
  <c r="Y49" i="2"/>
  <c r="X64" i="2"/>
  <c r="W55" i="2"/>
  <c r="AC45" i="2"/>
  <c r="W29" i="2"/>
  <c r="W10" i="2"/>
  <c r="W15" i="2"/>
  <c r="Y50" i="2"/>
  <c r="V70" i="2"/>
  <c r="V23" i="2"/>
  <c r="X46" i="2"/>
  <c r="Y26" i="2"/>
  <c r="W13" i="2"/>
  <c r="X9" i="2"/>
  <c r="W73" i="2"/>
  <c r="V12" i="2"/>
  <c r="X30" i="2"/>
  <c r="AC17" i="2"/>
  <c r="AC9" i="2"/>
  <c r="Y66" i="2"/>
  <c r="W60" i="2"/>
  <c r="Y53" i="2"/>
  <c r="V34" i="2"/>
  <c r="W24" i="2"/>
  <c r="Y46" i="2"/>
  <c r="AC19" i="2"/>
  <c r="W59" i="2"/>
  <c r="AC27" i="2"/>
  <c r="V60" i="2"/>
  <c r="V18" i="2"/>
  <c r="AC5" i="2"/>
  <c r="AC65" i="2"/>
  <c r="Y32" i="2"/>
  <c r="AC11" i="2"/>
  <c r="W56" i="2"/>
  <c r="V48" i="2"/>
  <c r="V33" i="2"/>
  <c r="Y61" i="2"/>
  <c r="X24" i="2"/>
  <c r="W23" i="2"/>
  <c r="Y24" i="2"/>
  <c r="Y16" i="2"/>
  <c r="X70" i="2"/>
  <c r="V42" i="2"/>
  <c r="W57" i="2"/>
  <c r="Y44" i="2"/>
  <c r="V10" i="2"/>
  <c r="Y20" i="2"/>
  <c r="AC73" i="2"/>
  <c r="V54" i="2"/>
  <c r="AC21" i="2"/>
  <c r="X18" i="2"/>
  <c r="Y45" i="2"/>
  <c r="V31" i="2"/>
  <c r="W69" i="2"/>
  <c r="AC59" i="2"/>
  <c r="W41" i="2"/>
  <c r="AC71" i="2"/>
  <c r="AC55" i="2"/>
  <c r="V16" i="2"/>
  <c r="W53" i="2"/>
  <c r="W70" i="2"/>
  <c r="V61" i="2"/>
  <c r="AC40" i="2"/>
  <c r="Y36" i="2"/>
  <c r="Y5" i="2"/>
  <c r="Y62" i="2"/>
  <c r="X68" i="2"/>
  <c r="AC4" i="2"/>
  <c r="W37" i="2"/>
  <c r="AC15" i="2"/>
  <c r="X12" i="2"/>
  <c r="AC61" i="2"/>
  <c r="X48" i="2"/>
  <c r="W28" i="2"/>
  <c r="W50" i="2"/>
  <c r="W19" i="2"/>
  <c r="W7" i="2"/>
  <c r="W16" i="2"/>
  <c r="X10" i="2"/>
  <c r="V20" i="2"/>
  <c r="Y12" i="2"/>
  <c r="X73" i="2"/>
  <c r="X45" i="2"/>
  <c r="AC36" i="2"/>
  <c r="V58" i="2"/>
  <c r="V37" i="2"/>
  <c r="Y6" i="2"/>
  <c r="Y55" i="2"/>
  <c r="X52" i="2"/>
  <c r="Y17" i="2"/>
  <c r="AC48" i="2"/>
  <c r="X47" i="2"/>
  <c r="AC53" i="2"/>
  <c r="AC8" i="2"/>
  <c r="X49" i="2"/>
  <c r="W33" i="2"/>
  <c r="X32" i="2"/>
  <c r="W30" i="2"/>
  <c r="V38" i="2"/>
  <c r="V30" i="2"/>
  <c r="V59" i="2"/>
  <c r="V51" i="2"/>
  <c r="AC66" i="2"/>
  <c r="W22" i="2"/>
  <c r="W20" i="2"/>
  <c r="AC63" i="2"/>
  <c r="V25" i="2"/>
  <c r="X33" i="2"/>
  <c r="AC52" i="2"/>
  <c r="Y7" i="2"/>
  <c r="Y65" i="2"/>
  <c r="Y4" i="2"/>
  <c r="V62" i="2"/>
  <c r="W39" i="2"/>
  <c r="X28" i="2"/>
  <c r="X17" i="2"/>
  <c r="X56" i="2"/>
  <c r="X41" i="2"/>
  <c r="V72" i="2"/>
  <c r="AC38" i="2"/>
  <c r="X14" i="2"/>
  <c r="AC70" i="2"/>
  <c r="AC54" i="2"/>
  <c r="Y67" i="2"/>
  <c r="V28" i="2"/>
  <c r="X66" i="2"/>
  <c r="AC12" i="2"/>
  <c r="Y8" i="2"/>
  <c r="X13" i="2"/>
  <c r="W26" i="2"/>
  <c r="AC23" i="2"/>
  <c r="AC16" i="2"/>
  <c r="AC46" i="2"/>
  <c r="Y19" i="2"/>
  <c r="W38" i="2"/>
  <c r="V63" i="2"/>
  <c r="Y21" i="2"/>
  <c r="Y41" i="2"/>
  <c r="V14" i="2"/>
  <c r="Y34" i="2"/>
  <c r="X67" i="2"/>
  <c r="X16" i="2"/>
  <c r="AC43" i="2"/>
  <c r="AC49" i="2"/>
  <c r="X7" i="2"/>
  <c r="W67" i="2"/>
  <c r="Y54" i="2"/>
  <c r="AC44" i="2"/>
  <c r="V17" i="2"/>
  <c r="X4" i="2"/>
  <c r="W34" i="2"/>
  <c r="AC35" i="2"/>
  <c r="X54" i="2"/>
  <c r="W58" i="2"/>
  <c r="Y13" i="2"/>
  <c r="X57" i="2"/>
  <c r="W27" i="2"/>
  <c r="Y30" i="2"/>
  <c r="Y70" i="2"/>
  <c r="Y9" i="2"/>
  <c r="V68" i="2"/>
  <c r="V47" i="2"/>
  <c r="AC57" i="2"/>
  <c r="AC68" i="2"/>
  <c r="AC20" i="2"/>
  <c r="V65" i="2"/>
  <c r="Y52" i="2"/>
  <c r="AC42" i="2"/>
  <c r="AC33" i="2"/>
  <c r="W36" i="2"/>
  <c r="Y48" i="2"/>
  <c r="X39" i="2"/>
  <c r="V56" i="2"/>
  <c r="V67" i="2"/>
  <c r="V8" i="2"/>
  <c r="X26" i="2"/>
  <c r="Y28" i="2"/>
  <c r="V53" i="2"/>
  <c r="V66" i="2"/>
  <c r="X6" i="2"/>
  <c r="X35" i="2"/>
  <c r="V52" i="2"/>
  <c r="AC39" i="2"/>
  <c r="W14" i="2"/>
  <c r="Y72" i="2"/>
  <c r="X60" i="2"/>
  <c r="Y42" i="2"/>
  <c r="X11" i="2"/>
  <c r="V49" i="2"/>
  <c r="W11" i="2"/>
  <c r="X65" i="2"/>
  <c r="W35" i="2"/>
  <c r="AC51" i="2"/>
  <c r="AC14" i="2"/>
  <c r="W44" i="2"/>
  <c r="W49" i="2"/>
  <c r="V9" i="2"/>
  <c r="X59" i="2"/>
  <c r="W64" i="2"/>
  <c r="V44" i="2"/>
  <c r="W68" i="2"/>
  <c r="AC25" i="2"/>
  <c r="X43" i="2"/>
  <c r="AC32" i="2"/>
  <c r="X72" i="2"/>
  <c r="V50" i="2"/>
  <c r="Y73" i="2"/>
  <c r="W43" i="2"/>
  <c r="V5" i="2"/>
  <c r="V7" i="2"/>
  <c r="V6" i="2"/>
  <c r="V4" i="2"/>
  <c r="L2" i="2" l="1"/>
  <c r="U63" i="2"/>
  <c r="U47" i="2"/>
  <c r="U39" i="2"/>
  <c r="U31" i="2"/>
  <c r="U23" i="2"/>
  <c r="U15" i="2"/>
  <c r="U7" i="2"/>
  <c r="U55" i="2"/>
  <c r="U26" i="2"/>
  <c r="U60" i="2"/>
  <c r="U52" i="2"/>
  <c r="U44" i="2"/>
  <c r="U36" i="2"/>
  <c r="U28" i="2"/>
  <c r="U20" i="2"/>
  <c r="U12" i="2"/>
  <c r="U58" i="2"/>
  <c r="U10" i="2"/>
  <c r="U71" i="2"/>
  <c r="U65" i="2"/>
  <c r="U57" i="2"/>
  <c r="U49" i="2"/>
  <c r="U41" i="2"/>
  <c r="U33" i="2"/>
  <c r="U25" i="2"/>
  <c r="U17" i="2"/>
  <c r="U9" i="2"/>
  <c r="U34" i="2"/>
  <c r="U68" i="2"/>
  <c r="U73" i="2"/>
  <c r="U70" i="2"/>
  <c r="U62" i="2"/>
  <c r="U54" i="2"/>
  <c r="U46" i="2"/>
  <c r="U38" i="2"/>
  <c r="U30" i="2"/>
  <c r="U22" i="2"/>
  <c r="U14" i="2"/>
  <c r="U6" i="2"/>
  <c r="U50" i="2"/>
  <c r="U18" i="2"/>
  <c r="U35" i="2"/>
  <c r="U27" i="2"/>
  <c r="U19" i="2"/>
  <c r="U11" i="2"/>
  <c r="U66" i="2"/>
  <c r="U43" i="2"/>
  <c r="U74" i="2"/>
  <c r="U42" i="2"/>
  <c r="U64" i="2"/>
  <c r="U56" i="2"/>
  <c r="U48" i="2"/>
  <c r="U40" i="2"/>
  <c r="U32" i="2"/>
  <c r="U24" i="2"/>
  <c r="U16" i="2"/>
  <c r="U8" i="2"/>
  <c r="U67" i="2"/>
  <c r="U51" i="2"/>
  <c r="U72" i="2"/>
  <c r="U69" i="2"/>
  <c r="U61" i="2"/>
  <c r="U53" i="2"/>
  <c r="U45" i="2"/>
  <c r="U37" i="2"/>
  <c r="U29" i="2"/>
  <c r="U21" i="2"/>
  <c r="U13" i="2"/>
  <c r="U5" i="2"/>
  <c r="U59" i="2"/>
  <c r="U4" i="2"/>
</calcChain>
</file>

<file path=xl/sharedStrings.xml><?xml version="1.0" encoding="utf-8"?>
<sst xmlns="http://schemas.openxmlformats.org/spreadsheetml/2006/main" count="258" uniqueCount="158">
  <si>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</si>
  <si>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</si>
  <si>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</si>
  <si>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</si>
  <si>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</si>
  <si>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</si>
  <si>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</si>
  <si>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</si>
  <si>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</si>
  <si>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</si>
  <si>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</si>
  <si>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</si>
  <si>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</si>
  <si>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</si>
  <si>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</si>
  <si>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</si>
  <si>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</si>
  <si>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</si>
  <si>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</si>
  <si>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</si>
  <si>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</si>
  <si>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</si>
  <si>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</si>
  <si>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</si>
  <si>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</si>
  <si>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</si>
  <si>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</si>
  <si>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</si>
  <si>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</si>
  <si>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</si>
  <si>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</si>
  <si>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</si>
  <si>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</si>
  <si>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</si>
  <si>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</si>
  <si>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</si>
  <si>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</si>
  <si>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</si>
  <si>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</si>
  <si>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</si>
  <si>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</si>
  <si>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</si>
  <si>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</si>
  <si>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</si>
  <si>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</si>
  <si>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</si>
  <si>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</si>
  <si>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</si>
  <si>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</si>
  <si>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</si>
  <si>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</si>
  <si>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</si>
  <si>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</si>
  <si>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</si>
  <si>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</si>
  <si>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</si>
  <si>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</si>
  <si>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</si>
  <si>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</si>
  <si>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</si>
  <si>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video/mp4</t>
  </si>
  <si>
    <t>Résultat d'execution</t>
  </si>
  <si>
    <t>Elrond_devnet</t>
  </si>
  <si>
    <t>Elrond_mainnet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</si>
  <si>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</si>
  <si>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</si>
  <si>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</si>
  <si>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</si>
  <si>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</si>
  <si>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</si>
  <si>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</si>
  <si>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</si>
  <si>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</si>
  <si>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MaSuperCollec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</si>
  <si>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</si>
  <si>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</si>
  <si>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</si>
  <si>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</si>
  <si>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</si>
  <si>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</si>
  <si>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</si>
  <si>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</si>
  <si>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</si>
  <si>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</si>
  <si>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</si>
  <si>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</si>
  <si>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Solde (SOL)</t>
  </si>
  <si>
    <t>symbol1</t>
  </si>
  <si>
    <t>description1</t>
  </si>
  <si>
    <t>img/jpeg</t>
  </si>
  <si>
    <t>C:\Users\hhoar\Pictures\temp</t>
  </si>
  <si>
    <t>symbol2</t>
  </si>
  <si>
    <t>description2</t>
  </si>
  <si>
    <t>avantage6</t>
  </si>
  <si>
    <t>2 affiche dédicacée et numérotée</t>
  </si>
  <si>
    <t>nombre de Pass2025</t>
  </si>
  <si>
    <t>avantage10</t>
  </si>
  <si>
    <t>video/mp5</t>
  </si>
  <si>
    <t>symbol3</t>
  </si>
  <si>
    <t>description3</t>
  </si>
  <si>
    <t>avantage7</t>
  </si>
  <si>
    <t>3 affiche dédicacée et numérotée</t>
  </si>
  <si>
    <t>nombre de Pass2026</t>
  </si>
  <si>
    <t>avantage11</t>
  </si>
  <si>
    <t>video/mp6</t>
  </si>
  <si>
    <t>symbol4</t>
  </si>
  <si>
    <t>description4</t>
  </si>
  <si>
    <t>avantage8</t>
  </si>
  <si>
    <t>4 affiche dédicacée et numérotée</t>
  </si>
  <si>
    <t>nombre de Pass2027</t>
  </si>
  <si>
    <t>avantage12</t>
  </si>
  <si>
    <t>video/mp7</t>
  </si>
  <si>
    <t>Storage</t>
  </si>
  <si>
    <t>True</t>
  </si>
  <si>
    <t>Boolean</t>
  </si>
  <si>
    <t>https://bafkreifbxapixkroieyos76hkaape34vmjpw2e7kccmctnofdtnkn42d4m.ipfs.nftstorage.link?image1.jpg</t>
  </si>
  <si>
    <t>https://bafkreig74b3lix4pnhd7h3v6lwplmseg4724iigdqopatl5ewuw26r4lri.ipfs.nftstorage.link?file1.jpg</t>
  </si>
  <si>
    <t>https://bafybeihw3wzs7hewgurjc7vnuirjxrluwjc35qs7uov7mjv6jglbttbzai.ipfs.nftstorage.link?video1.mp4</t>
  </si>
  <si>
    <t>https://bafkreifbxapixkroieyos76hkaape34vmjpw2e7kccmctnofdtnkn42d4m.ipfs.nftstorage.link?image2.jpg</t>
  </si>
  <si>
    <t>https://bafkreig74b3lix4pnhd7h3v6lwplmseg4724iigdqopatl5ewuw26r4lri.ipfs.nftstorage.link?file2.jpg</t>
  </si>
  <si>
    <t>https://bafybeihw3wzs7hewgurjc7vnuirjxrluwjc35qs7uov7mjv6jglbttbzai.ipfs.nftstorage.link?video2.mp4</t>
  </si>
  <si>
    <t>https://bafkreifbxapixkroieyos76hkaape34vmjpw2e7kccmctnofdtnkn42d4m.ipfs.nftstorage.link?image3.jpg</t>
  </si>
  <si>
    <t>https://bafkreig74b3lix4pnhd7h3v6lwplmseg4724iigdqopatl5ewuw26r4lri.ipfs.nftstorage.link?file3.jpg</t>
  </si>
  <si>
    <t>QRCode</t>
  </si>
  <si>
    <t>https://bafybeihw3wzs7hewgurjc7vnuirjxrluwjc35qs7uov7mjv6jglbttbzai.ipfs.nftstorage.link?video3.mp4</t>
  </si>
  <si>
    <t>https://bafkreifbxapixkroieyos76hkaape34vmjpw2e7kccmctnofdtnkn42d4m.ipfs.nftstorage.link?image4.jpg</t>
  </si>
  <si>
    <t>https://bafkreig74b3lix4pnhd7h3v6lwplmseg4724iigdqopatl5ewuw26r4lri.ipfs.nftstorage.link?file4.jpg</t>
  </si>
  <si>
    <t>https://bafybeihw3wzs7hewgurjc7vnuirjxrluwjc35qs7uov7mjv6jglbttbzai.ipfs.nftstorage.link?video4.mp4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</si>
  <si>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</si>
  <si>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</si>
  <si>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</si>
  <si>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</si>
  <si>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</si>
  <si>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</si>
  <si>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</si>
  <si>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</si>
  <si>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</si>
  <si>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</si>
  <si>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</si>
  <si>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</si>
  <si>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</si>
  <si>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</si>
  <si>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metaboss.exe mint one  --keypair ./Keys/roger.json -r https://api.devnet.solana.com --nft-data-file ./Temp/to_mint_1651708481.716104.json --sign</t>
  </si>
  <si>
    <t xml:space="preserve">[2022-05-04T23:54:41Z WARN  metaboss] Using a public RPC URL is not recommended for heavy tasks as you will be rate-limited and suffer a performance hit._x000D_
            Please use a private RPC endpoint for best performance results._x000D_
Tx id: 22Uob5WfmtzYJVgs4t96WijkqomQUFRAz7vy7gA2B7TMAn3B3HN1YmxdN7UAjc1dZ9c2mUQYZqGd3AK27ykJRVVM_x000D_
Mint account: 3WLZbv4znAyVj2pNHTxQzbCXPwLhDSzkqo4q2mmGR7ux_x000D_
Tx sig: iNQPy3Vx5fXgEVgfnAzLk1uFg7CMwwdF41hQHqa3uqLpSeGvHBt3Y7xXYSRnc7NSFh1Mg7aqzYDwa21PyZHmq2u_x000D_
Done!_x000D_
</t>
  </si>
  <si>
    <t>22Uob5WfmtzYJVgs4t96WijkqomQUFRAz7vy7gA2B7TMAn3B3HN1YmxdN7UAjc1dZ9c2mUQYZqGd3AK27ykJRVVM</t>
  </si>
  <si>
    <t>3WLZbv4znAyVj2pNHTxQzbCXPwLhDSzkqo4q2mmGR7ux</t>
  </si>
  <si>
    <t>metaboss.exe mint one  --keypair ./Keys/roger.json -r https://api.devnet.solana.com --nft-data-file ./Temp/to_mint_1651708486.70232.json --sign</t>
  </si>
  <si>
    <t xml:space="preserve">[2022-05-04T23:54:46Z WARN  metaboss] Using a public RPC URL is not recommended for heavy tasks as you will be rate-limited and suffer a performance hit._x000D_
            Please use a private RPC endpoint for best performance results._x000D_
Tx id: eonQb7Mten4VxwqLugyDVngVj5UKSm8vbWmkquJbBoipMcv7xvMLvCW7R5G9aBNTS1UG9yFzmijvzrkfRPoZgJN_x000D_
Mint account: 63bLPYYiEmxdPbHWu9fbkTb9sKULA5MUSGEYuozPWdXm_x000D_
Tx sig: 2L5cZfcasz6eV9HPPVnBfHGKrxALxNWzZ3yosJzgAqsVTrwqeHe3wd98ootEFumgBSaT2QRKTV4ubyJbjgUcczyL_x000D_
Done!_x000D_
</t>
  </si>
  <si>
    <t>eonQb7Mten4VxwqLugyDVngVj5UKSm8vbWmkquJbBoipMcv7xvMLvCW7R5G9aBNTS1UG9yFzmijvzrkfRPoZgJN</t>
  </si>
  <si>
    <t>63bLPYYiEmxdPbHWu9fbkTb9sKULA5MUSGEYuozPWdXm</t>
  </si>
  <si>
    <t>metaboss.exe mint one  --keypair ./Keys/roger.json -r https://api.devnet.solana.com --nft-data-file ./Temp/to_mint_1651708491.19687.json --sign</t>
  </si>
  <si>
    <t xml:space="preserve">[2022-05-04T23:54:51Z WARN  metaboss] Using a public RPC URL is not recommended for heavy tasks as you will be rate-limited and suffer a performance hit._x000D_
            Please use a private RPC endpoint for best performance results._x000D_
Tx id: 4ESt2JGg31CYHSxshRXRWE3h71xjFxp3DHhjBVsMzhmo38SCvw5pznZk2jTgrudaCrZ1nYMvK3i3q23V3Mx6LoT4_x000D_
Mint account: CKdUEBDwj3gUF6ejYGKgcmxrm2ERHNc9mPqpgFkuwr7Z_x000D_
Tx sig: 563uEoZYum9u987944Ktd7znzwqXVZAEk3mBD86WezvEHHUwLqKY6PwKiEYqCgcysY1UK8cxa13HmKRZebKvoemX_x000D_
Done!_x000D_
</t>
  </si>
  <si>
    <t>4ESt2JGg31CYHSxshRXRWE3h71xjFxp3DHhjBVsMzhmo38SCvw5pznZk2jTgrudaCrZ1nYMvK3i3q23V3Mx6LoT4</t>
  </si>
  <si>
    <t>CKdUEBDwj3gUF6ejYGKgcmxrm2ERHNc9mPqpgFkuwr7Z</t>
  </si>
  <si>
    <t>metaboss.exe mint one  --keypair ./Keys/roger.json -r https://api.devnet.solana.com --nft-data-file ./Temp/to_mint_1651708495.632744.json --sign</t>
  </si>
  <si>
    <t xml:space="preserve">[2022-05-04T23:54:55Z WARN  metaboss] Using a public RPC URL is not recommended for heavy tasks as you will be rate-limited and suffer a performance hit._x000D_
            Please use a private RPC endpoint for best performance results._x000D_
Tx id: 5ViZYjsHFnEbFNFStXHWSpbMXcEZVq5LV4fiWCayXWsK6dxUsDcZ1sRZoAarC3rE2krS6aXkg3Yfr5gG34H2yNGY_x000D_
Mint account: Cv9SiHeVb2kdJJXcBteg4YBjgR6WABz4UWaseHoEe4hC_x000D_
Tx sig: 2UhD8tskhYd65KF1vLDuPkVZmFsEkMRZGxdaeVJQtdg4XxQLajRiUnQ8fnMvrCDowe2gd74cVDYttS6GYQFWhJ3g_x000D_
Done!_x000D_
</t>
  </si>
  <si>
    <t>5ViZYjsHFnEbFNFStXHWSpbMXcEZVq5LV4fiWCayXWsK6dxUsDcZ1sRZoAarC3rE2krS6aXkg3Yfr5gG34H2yNGY</t>
  </si>
  <si>
    <t>Cv9SiHeVb2kdJJXcBteg4YBjgR6WABz4UWaseHoEe4hC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</si>
</sst>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33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6" fillId="5" borderId="0" xfId="3" applyFont="1" applyAlignment="1">
      <alignment horizontal="center" wrapText="1"/>
    </xf>
    <xf numFmtId="0" fontId="0" fillId="7" borderId="0" xfId="0" applyFill="1" applyAlignment="1">
      <alignment horizontal="right" vertical="center" wrapText="1"/>
    </xf>
    <xf numFmtId="0" fontId="0" fillId="0" borderId="0" xfId="0" applyAlignment="1">
      <alignment wrapText="1"/>
    </xf>
    <xf numFmtId="164" fontId="4" fillId="0" borderId="0" xfId="2" applyNumberFormat="1" applyAlignment="1">
      <alignment horizontal="center"/>
    </xf>
    <xf numFmtId="0" fontId="0" fillId="15" borderId="0" xfId="0" applyFill="1"/>
    <xf numFmtId="22" fontId="0" fillId="0" borderId="0" xfId="0" applyNumberFormat="1"/>
    <xf numFmtId="0" fontId="2" fillId="5" borderId="0" xfId="3"/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168088</xdr:colOff>
      <xdr:row>0</xdr:row>
      <xdr:rowOff>78441</xdr:rowOff>
    </xdr:from>
    <xdr:to>
      <xdr:col>2</xdr:col>
      <xdr:colOff>526676</xdr:colOff>
      <xdr:row>1</xdr:row>
      <xdr:rowOff>324971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8088" y="78441"/>
          <a:ext cx="1199029" cy="582706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100"/>
            <a:t>TokenSheet</a:t>
          </a:r>
          <a:br>
            <a:rPr lang="fr-FR" sz="1100"/>
          </a:br>
          <a:r>
            <a:rPr lang="fr-FR" sz="1100"/>
            <a:t>Version 0.1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0</xdr:row>
          <xdr:rowOff>504825</xdr:rowOff>
        </xdr:from>
        <xdr:to>
          <xdr:col>4</xdr:col>
          <xdr:colOff>276225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11</xdr:row>
          <xdr:rowOff>57150</xdr:rowOff>
        </xdr:from>
        <xdr:to>
          <xdr:col>1</xdr:col>
          <xdr:colOff>942975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1747630</xdr:colOff>
      <xdr:row>1</xdr:row>
      <xdr:rowOff>140804</xdr:rowOff>
    </xdr:from>
    <xdr:to>
      <xdr:col>3</xdr:col>
      <xdr:colOff>149086</xdr:colOff>
      <xdr:row>5</xdr:row>
      <xdr:rowOff>74542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V="1">
          <a:off x="2799521" y="861391"/>
          <a:ext cx="554935" cy="662608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256760</xdr:colOff>
      <xdr:row>0</xdr:row>
      <xdr:rowOff>173934</xdr:rowOff>
    </xdr:from>
    <xdr:to>
      <xdr:col>6</xdr:col>
      <xdr:colOff>145773</xdr:colOff>
      <xdr:row>2</xdr:row>
      <xdr:rowOff>41413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234608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Pour déclencher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le mint, effacer la date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495300</xdr:rowOff>
        </xdr:from>
        <xdr:to>
          <xdr:col>5</xdr:col>
          <xdr:colOff>104775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bafybeihvjr73zcwvfbsqzy5odznulrtgntk5fe33b6mhj4d73batj67cxq.ipfs.nftstorage.link/?ext=mp4" TargetMode="External"/><Relationship Id="rId2" Type="http://schemas.openxmlformats.org/officeDocument/2006/relationships/hyperlink" Target="https://ipfs.io/ipfs/QmV7Twmqu3WV11GBmLDkFzyMe2erPe8tgw33KijzZefc93?video1.mp4" TargetMode="External"/><Relationship Id="rId1" Type="http://schemas.openxmlformats.org/officeDocument/2006/relationships/hyperlink" Target="https://bafybeihvjr73zcwvfbsqzy5odznulrtgntk5fe33b6mhj4d73batj67cxq.ipfs.nftstorage.link/?ext=mp4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ipfs.io/ipfs/QmV7Twmqu3WV11GBmLDkFzyMe2erPe8tgw33KijzZefc93?video1.mp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x/5ViZYjsHFnEbFNFStXHWSpbMXcEZVq5LV4fiWCayXWsK6dxUsDcZ1sRZoAarC3rE2krS6aXkg3Yfr5gG34H2yNGY?cluster=devnet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https://solscan.io/token/3WLZbv4znAyVj2pNHTxQzbCXPwLhDSzkqo4q2mmGR7ux?cluster=devnet" TargetMode="External"/><Relationship Id="rId7" Type="http://schemas.openxmlformats.org/officeDocument/2006/relationships/hyperlink" Target="https://solscan.io/token/CKdUEBDwj3gUF6ejYGKgcmxrm2ERHNc9mPqpgFkuwr7Z?cluster=devnet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https://solscan.io/tx/22Uob5WfmtzYJVgs4t96WijkqomQUFRAz7vy7gA2B7TMAn3B3HN1YmxdN7UAjc1dZ9c2mUQYZqGd3AK27ykJRVVM?cluster=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hyperlink" Target="https://solscan.io/tx/4ESt2JGg31CYHSxshRXRWE3h71xjFxp3DHhjBVsMzhmo38SCvw5pznZk2jTgrudaCrZ1nYMvK3i3q23V3Mx6LoT4?cluster=devnet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solscan.io/token/63bLPYYiEmxdPbHWu9fbkTb9sKULA5MUSGEYuozPWdXm?cluster=devnet" TargetMode="External"/><Relationship Id="rId15" Type="http://schemas.openxmlformats.org/officeDocument/2006/relationships/ctrlProp" Target="../ctrlProps/ctrlProp3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solscan.io/tx/eonQb7Mten4VxwqLugyDVngVj5UKSm8vbWmkquJbBoipMcv7xvMLvCW7R5G9aBNTS1UG9yFzmijvzrkfRPoZgJN?cluster=devnet" TargetMode="External"/><Relationship Id="rId9" Type="http://schemas.openxmlformats.org/officeDocument/2006/relationships/hyperlink" Target="https://solscan.io/token/Cv9SiHeVb2kdJJXcBteg4YBjgR6WABz4UWaseHoEe4hC?cluster=devnet" TargetMode="External"/><Relationship Id="rId1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4" Type="http://schemas.openxmlformats.org/officeDocument/2006/relationships/hyperlink" Target="http://127.0.0.1:420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B1:AU9"/>
  <sheetViews>
    <sheetView zoomScale="85" zoomScaleNormal="85" workbookViewId="0">
      <selection activeCell="C5" sqref="C5"/>
    </sheetView>
  </sheetViews>
  <sheetFormatPr baseColWidth="10" defaultRowHeight="15" outlineLevelCol="1" x14ac:dyDescent="0.25"/>
  <cols>
    <col min="1" max="1" width="6.7109375" customWidth="1"/>
    <col min="2" max="2" width="5.85546875" customWidth="1"/>
    <col min="3" max="3" width="19.140625" customWidth="1"/>
    <col min="4" max="4" width="10.5703125" customWidth="1"/>
    <col min="5" max="5" width="13" customWidth="1"/>
    <col min="6" max="6" width="14.5703125" customWidth="1"/>
    <col min="7" max="7" width="118.42578125" customWidth="1"/>
    <col min="8" max="8" width="12" customWidth="1"/>
    <col min="9" max="9" width="9.7109375" customWidth="1"/>
    <col min="10" max="10" width="15.5703125" customWidth="1"/>
    <col min="11" max="11" width="21.140625" customWidth="1"/>
    <col min="12" max="12" width="12.85546875" customWidth="1"/>
    <col min="13" max="13" width="21.140625" customWidth="1"/>
    <col min="14" max="14" width="12.7109375" customWidth="1"/>
    <col min="15" max="15" width="21.140625" customWidth="1"/>
    <col min="16" max="29" width="21.140625" hidden="1" customWidth="1" outlineLevel="1"/>
    <col min="30" max="30" width="9.5703125" customWidth="1" collapsed="1"/>
    <col min="31" max="32" width="5.85546875" customWidth="1"/>
    <col min="33" max="33" width="7.85546875" bestFit="1" customWidth="1"/>
    <col min="34" max="34" width="8" bestFit="1" customWidth="1"/>
    <col min="35" max="35" width="5.85546875" bestFit="1" customWidth="1"/>
    <col min="36" max="38" width="8.7109375" customWidth="1"/>
    <col min="39" max="39" width="96.42578125" bestFit="1" customWidth="1"/>
    <col min="40" max="40" width="26.85546875" customWidth="1"/>
    <col min="41" max="44" width="10.28515625" bestFit="1" customWidth="1"/>
    <col min="45" max="45" width="14.85546875" customWidth="1"/>
    <col min="46" max="46" width="22.85546875" customWidth="1"/>
    <col min="47" max="47" width="17" customWidth="1"/>
    <col min="48" max="50" width="5.85546875" bestFit="1" customWidth="1"/>
    <col min="51" max="51" width="10" bestFit="1" customWidth="1"/>
    <col min="52" max="52" width="7.85546875" bestFit="1" customWidth="1"/>
  </cols>
  <sheetData>
    <row r="1" spans="2:47" ht="26.25" customHeight="1" x14ac:dyDescent="0.25">
      <c r="C1" s="32" t="s">
        <v>65</v>
      </c>
      <c r="D1" s="32"/>
      <c r="E1" s="32"/>
      <c r="F1" s="32"/>
      <c r="G1" s="32"/>
      <c r="H1" s="32"/>
      <c r="I1" s="32"/>
      <c r="J1" s="31" t="s">
        <v>67</v>
      </c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4"/>
      <c r="W1" s="4"/>
      <c r="X1" s="4"/>
      <c r="Y1" s="4"/>
      <c r="Z1" s="4"/>
      <c r="AA1" s="4"/>
      <c r="AB1" s="4"/>
      <c r="AC1" s="4"/>
      <c r="AD1" s="28" t="s">
        <v>15</v>
      </c>
      <c r="AE1" s="28"/>
      <c r="AF1" s="28"/>
      <c r="AG1" s="28"/>
      <c r="AH1" s="28"/>
      <c r="AI1" s="28"/>
      <c r="AJ1" s="28"/>
      <c r="AK1" s="28"/>
      <c r="AL1" s="28"/>
      <c r="AM1" s="29" t="s">
        <v>17</v>
      </c>
      <c r="AN1" s="29"/>
      <c r="AO1" s="29"/>
      <c r="AP1" s="29"/>
      <c r="AQ1" s="29"/>
      <c r="AR1" s="29"/>
      <c r="AS1" s="30" t="s">
        <v>8</v>
      </c>
      <c r="AT1" s="30"/>
      <c r="AU1" t="s">
        <v>123</v>
      </c>
    </row>
    <row r="2" spans="2:47" s="10" customFormat="1" ht="33" customHeight="1" x14ac:dyDescent="0.25">
      <c r="C2" s="22" t="s">
        <v>9</v>
      </c>
      <c r="D2" s="5" t="s">
        <v>10</v>
      </c>
      <c r="E2" s="5" t="s">
        <v>11</v>
      </c>
      <c r="F2" s="5" t="s">
        <v>0</v>
      </c>
      <c r="G2" s="5" t="s">
        <v>1</v>
      </c>
      <c r="H2" s="5" t="s">
        <v>66</v>
      </c>
      <c r="I2" s="5" t="s">
        <v>39</v>
      </c>
      <c r="J2" s="6" t="s">
        <v>2</v>
      </c>
      <c r="K2" s="6" t="s">
        <v>3</v>
      </c>
      <c r="L2" s="6" t="s">
        <v>2</v>
      </c>
      <c r="M2" s="6" t="s">
        <v>3</v>
      </c>
      <c r="N2" s="6" t="s">
        <v>2</v>
      </c>
      <c r="O2" s="6" t="s">
        <v>3</v>
      </c>
      <c r="P2" s="6" t="s">
        <v>2</v>
      </c>
      <c r="Q2" s="6" t="s">
        <v>3</v>
      </c>
      <c r="R2" s="6" t="s">
        <v>2</v>
      </c>
      <c r="S2" s="6" t="s">
        <v>3</v>
      </c>
      <c r="T2" s="6" t="s">
        <v>2</v>
      </c>
      <c r="U2" s="6" t="s">
        <v>3</v>
      </c>
      <c r="V2" s="6" t="s">
        <v>2</v>
      </c>
      <c r="W2" s="6" t="s">
        <v>3</v>
      </c>
      <c r="X2" s="6" t="s">
        <v>2</v>
      </c>
      <c r="Y2" s="6" t="s">
        <v>3</v>
      </c>
      <c r="Z2" s="6" t="s">
        <v>2</v>
      </c>
      <c r="AA2" s="6" t="s">
        <v>3</v>
      </c>
      <c r="AB2" s="6" t="s">
        <v>2</v>
      </c>
      <c r="AC2" s="6" t="s">
        <v>3</v>
      </c>
      <c r="AD2" s="7" t="s">
        <v>4</v>
      </c>
      <c r="AE2" s="7" t="s">
        <v>5</v>
      </c>
      <c r="AF2" s="7" t="s">
        <v>6</v>
      </c>
      <c r="AG2" s="7" t="s">
        <v>4</v>
      </c>
      <c r="AH2" s="7" t="s">
        <v>5</v>
      </c>
      <c r="AI2" s="7" t="s">
        <v>6</v>
      </c>
      <c r="AJ2" s="7" t="s">
        <v>4</v>
      </c>
      <c r="AK2" s="7" t="s">
        <v>5</v>
      </c>
      <c r="AL2" s="7" t="s">
        <v>6</v>
      </c>
      <c r="AM2" s="8" t="s">
        <v>16</v>
      </c>
      <c r="AN2" s="8" t="s">
        <v>7</v>
      </c>
      <c r="AO2" s="8" t="s">
        <v>16</v>
      </c>
      <c r="AP2" s="8" t="s">
        <v>7</v>
      </c>
      <c r="AQ2" s="8" t="s">
        <v>16</v>
      </c>
      <c r="AR2" s="8" t="s">
        <v>7</v>
      </c>
      <c r="AS2" s="9" t="s">
        <v>9</v>
      </c>
      <c r="AT2" s="9" t="s">
        <v>43</v>
      </c>
    </row>
    <row r="3" spans="2:47" ht="18.75" customHeight="1" x14ac:dyDescent="0.25">
      <c r="B3">
        <v>1</v>
      </c>
      <c r="C3" t="str">
        <f>"MyNewFromServer" &amp; B3</f>
        <v>MyNewFromServer1</v>
      </c>
      <c r="D3" t="s">
        <v>87</v>
      </c>
      <c r="E3" t="s">
        <v>88</v>
      </c>
      <c r="F3">
        <v>5000</v>
      </c>
      <c r="G3" s="16" t="s">
        <v>115</v>
      </c>
      <c r="H3" s="2" t="s">
        <v>26</v>
      </c>
      <c r="J3" t="s">
        <v>44</v>
      </c>
      <c r="K3" t="s">
        <v>45</v>
      </c>
      <c r="L3" t="s">
        <v>46</v>
      </c>
      <c r="M3" t="s">
        <v>52</v>
      </c>
      <c r="N3" t="s">
        <v>47</v>
      </c>
      <c r="O3" t="s">
        <v>53</v>
      </c>
      <c r="P3" t="s">
        <v>48</v>
      </c>
      <c r="Q3" t="s">
        <v>54</v>
      </c>
      <c r="R3" t="s">
        <v>49</v>
      </c>
      <c r="S3" t="s">
        <v>55</v>
      </c>
      <c r="T3" t="s">
        <v>50</v>
      </c>
      <c r="U3" t="s">
        <v>56</v>
      </c>
      <c r="V3" t="s">
        <v>57</v>
      </c>
      <c r="W3">
        <v>2</v>
      </c>
      <c r="X3" t="s">
        <v>58</v>
      </c>
      <c r="Y3">
        <v>2</v>
      </c>
      <c r="Z3" t="s">
        <v>59</v>
      </c>
      <c r="AA3">
        <v>2</v>
      </c>
      <c r="AB3" t="s">
        <v>51</v>
      </c>
      <c r="AD3" t="s">
        <v>26</v>
      </c>
      <c r="AE3">
        <v>1</v>
      </c>
      <c r="AF3">
        <v>10</v>
      </c>
      <c r="AG3" t="s">
        <v>27</v>
      </c>
      <c r="AH3">
        <v>0</v>
      </c>
      <c r="AI3">
        <v>60</v>
      </c>
      <c r="AJ3" t="s">
        <v>28</v>
      </c>
      <c r="AK3">
        <v>1</v>
      </c>
      <c r="AL3">
        <v>30</v>
      </c>
      <c r="AM3" s="2" t="s">
        <v>116</v>
      </c>
      <c r="AN3" t="s">
        <v>89</v>
      </c>
      <c r="AO3" s="2" t="s">
        <v>117</v>
      </c>
      <c r="AP3" t="s">
        <v>60</v>
      </c>
      <c r="AS3" t="s">
        <v>73</v>
      </c>
      <c r="AT3" t="s">
        <v>72</v>
      </c>
      <c r="AU3" t="str">
        <f>C3 &amp; D3</f>
        <v>MyNewFromServer1symbol1</v>
      </c>
    </row>
    <row r="4" spans="2:47" ht="18.75" customHeight="1" x14ac:dyDescent="0.25">
      <c r="B4">
        <v>2</v>
      </c>
      <c r="C4" t="str">
        <f t="shared" ref="C4:C6" si="0">"MyNewFromServer" &amp; B4</f>
        <v>MyNewFromServer2</v>
      </c>
      <c r="D4" t="s">
        <v>91</v>
      </c>
      <c r="E4" t="s">
        <v>92</v>
      </c>
      <c r="F4">
        <v>5000</v>
      </c>
      <c r="G4" s="16" t="s">
        <v>118</v>
      </c>
      <c r="H4" s="2" t="s">
        <v>26</v>
      </c>
      <c r="J4" t="s">
        <v>44</v>
      </c>
      <c r="K4" t="s">
        <v>45</v>
      </c>
      <c r="L4" t="s">
        <v>47</v>
      </c>
      <c r="M4" t="s">
        <v>52</v>
      </c>
      <c r="N4" t="s">
        <v>48</v>
      </c>
      <c r="O4" t="s">
        <v>53</v>
      </c>
      <c r="P4" t="s">
        <v>49</v>
      </c>
      <c r="Q4" t="s">
        <v>54</v>
      </c>
      <c r="R4" t="s">
        <v>50</v>
      </c>
      <c r="S4" t="s">
        <v>55</v>
      </c>
      <c r="T4" t="s">
        <v>93</v>
      </c>
      <c r="U4" t="s">
        <v>94</v>
      </c>
      <c r="V4" t="s">
        <v>58</v>
      </c>
      <c r="W4">
        <v>3</v>
      </c>
      <c r="X4" t="s">
        <v>59</v>
      </c>
      <c r="Y4">
        <v>3</v>
      </c>
      <c r="Z4" t="s">
        <v>95</v>
      </c>
      <c r="AA4">
        <v>3</v>
      </c>
      <c r="AB4" t="s">
        <v>96</v>
      </c>
      <c r="AD4" t="s">
        <v>26</v>
      </c>
      <c r="AE4">
        <v>1</v>
      </c>
      <c r="AF4">
        <v>10</v>
      </c>
      <c r="AG4" t="s">
        <v>27</v>
      </c>
      <c r="AH4">
        <v>0</v>
      </c>
      <c r="AI4">
        <v>60</v>
      </c>
      <c r="AJ4" t="s">
        <v>28</v>
      </c>
      <c r="AK4">
        <v>1</v>
      </c>
      <c r="AL4">
        <v>30</v>
      </c>
      <c r="AM4" s="2" t="s">
        <v>119</v>
      </c>
      <c r="AN4" t="s">
        <v>89</v>
      </c>
      <c r="AO4" s="2" t="s">
        <v>120</v>
      </c>
      <c r="AP4" t="s">
        <v>97</v>
      </c>
      <c r="AS4" t="s">
        <v>73</v>
      </c>
      <c r="AT4" t="s">
        <v>72</v>
      </c>
    </row>
    <row r="5" spans="2:47" ht="18.75" customHeight="1" x14ac:dyDescent="0.25">
      <c r="B5">
        <v>3</v>
      </c>
      <c r="C5" t="str">
        <f t="shared" si="0"/>
        <v>MyNewFromServer3</v>
      </c>
      <c r="D5" t="s">
        <v>98</v>
      </c>
      <c r="E5" t="s">
        <v>99</v>
      </c>
      <c r="F5">
        <v>5000</v>
      </c>
      <c r="G5" s="16" t="s">
        <v>121</v>
      </c>
      <c r="H5" s="2" t="s">
        <v>26</v>
      </c>
      <c r="J5" t="s">
        <v>44</v>
      </c>
      <c r="K5" t="s">
        <v>45</v>
      </c>
      <c r="L5" t="s">
        <v>48</v>
      </c>
      <c r="M5" t="s">
        <v>52</v>
      </c>
      <c r="N5" t="s">
        <v>49</v>
      </c>
      <c r="O5" t="s">
        <v>53</v>
      </c>
      <c r="P5" t="s">
        <v>50</v>
      </c>
      <c r="Q5" t="s">
        <v>54</v>
      </c>
      <c r="R5" t="s">
        <v>93</v>
      </c>
      <c r="S5" t="s">
        <v>55</v>
      </c>
      <c r="T5" t="s">
        <v>100</v>
      </c>
      <c r="U5" t="s">
        <v>101</v>
      </c>
      <c r="V5" t="s">
        <v>59</v>
      </c>
      <c r="W5">
        <v>4</v>
      </c>
      <c r="X5" t="s">
        <v>95</v>
      </c>
      <c r="Y5">
        <v>4</v>
      </c>
      <c r="Z5" t="s">
        <v>102</v>
      </c>
      <c r="AA5">
        <v>4</v>
      </c>
      <c r="AB5" t="s">
        <v>103</v>
      </c>
      <c r="AD5" t="s">
        <v>26</v>
      </c>
      <c r="AE5">
        <v>1</v>
      </c>
      <c r="AF5">
        <v>10</v>
      </c>
      <c r="AG5" t="s">
        <v>27</v>
      </c>
      <c r="AH5">
        <v>0</v>
      </c>
      <c r="AI5">
        <v>60</v>
      </c>
      <c r="AJ5" t="s">
        <v>28</v>
      </c>
      <c r="AK5">
        <v>1</v>
      </c>
      <c r="AL5">
        <v>30</v>
      </c>
      <c r="AM5" s="2" t="s">
        <v>122</v>
      </c>
      <c r="AN5" t="s">
        <v>89</v>
      </c>
      <c r="AO5" s="2" t="s">
        <v>124</v>
      </c>
      <c r="AP5" t="s">
        <v>104</v>
      </c>
      <c r="AS5" t="s">
        <v>73</v>
      </c>
      <c r="AT5" t="s">
        <v>72</v>
      </c>
    </row>
    <row r="6" spans="2:47" ht="18.75" customHeight="1" x14ac:dyDescent="0.25">
      <c r="B6">
        <v>4</v>
      </c>
      <c r="C6" t="str">
        <f t="shared" si="0"/>
        <v>MyNewFromServer4</v>
      </c>
      <c r="D6" t="s">
        <v>105</v>
      </c>
      <c r="E6" t="s">
        <v>106</v>
      </c>
      <c r="F6">
        <v>5000</v>
      </c>
      <c r="G6" s="16" t="s">
        <v>125</v>
      </c>
      <c r="H6" s="2" t="s">
        <v>26</v>
      </c>
      <c r="J6" t="s">
        <v>44</v>
      </c>
      <c r="K6" t="s">
        <v>45</v>
      </c>
      <c r="L6" t="s">
        <v>49</v>
      </c>
      <c r="M6" t="s">
        <v>52</v>
      </c>
      <c r="N6" t="s">
        <v>50</v>
      </c>
      <c r="O6" t="s">
        <v>53</v>
      </c>
      <c r="P6" t="s">
        <v>93</v>
      </c>
      <c r="Q6" t="s">
        <v>54</v>
      </c>
      <c r="R6" t="s">
        <v>100</v>
      </c>
      <c r="S6" t="s">
        <v>55</v>
      </c>
      <c r="T6" t="s">
        <v>107</v>
      </c>
      <c r="U6" t="s">
        <v>108</v>
      </c>
      <c r="V6" t="s">
        <v>95</v>
      </c>
      <c r="W6">
        <v>5</v>
      </c>
      <c r="X6" t="s">
        <v>102</v>
      </c>
      <c r="Y6">
        <v>5</v>
      </c>
      <c r="Z6" t="s">
        <v>109</v>
      </c>
      <c r="AA6">
        <v>5</v>
      </c>
      <c r="AB6" t="s">
        <v>110</v>
      </c>
      <c r="AD6" t="s">
        <v>26</v>
      </c>
      <c r="AE6">
        <v>1</v>
      </c>
      <c r="AF6">
        <v>10</v>
      </c>
      <c r="AG6" t="s">
        <v>27</v>
      </c>
      <c r="AH6">
        <v>0</v>
      </c>
      <c r="AI6">
        <v>60</v>
      </c>
      <c r="AJ6" t="s">
        <v>28</v>
      </c>
      <c r="AK6">
        <v>1</v>
      </c>
      <c r="AL6">
        <v>30</v>
      </c>
      <c r="AM6" s="2" t="s">
        <v>126</v>
      </c>
      <c r="AN6" t="s">
        <v>89</v>
      </c>
      <c r="AO6" s="2" t="s">
        <v>127</v>
      </c>
      <c r="AP6" t="s">
        <v>111</v>
      </c>
      <c r="AS6" t="s">
        <v>73</v>
      </c>
      <c r="AT6" t="s">
        <v>72</v>
      </c>
    </row>
    <row r="7" spans="2:47" x14ac:dyDescent="0.25">
      <c r="G7" s="2"/>
      <c r="H7" s="2"/>
      <c r="AM7" s="2"/>
      <c r="AO7" s="2"/>
    </row>
    <row r="8" spans="2:47" x14ac:dyDescent="0.25">
      <c r="G8" s="2"/>
      <c r="H8" s="2"/>
      <c r="AM8" s="2"/>
      <c r="AO8" s="2"/>
    </row>
    <row r="9" spans="2:47" x14ac:dyDescent="0.25">
      <c r="G9" s="2"/>
      <c r="H9" s="2"/>
      <c r="AM9" s="2"/>
      <c r="AO9" s="2"/>
    </row>
  </sheetData>
  <mergeCells count="5">
    <mergeCell ref="AD1:AL1"/>
    <mergeCell ref="AM1:AR1"/>
    <mergeCell ref="AS1:AT1"/>
    <mergeCell ref="J1:U1"/>
    <mergeCell ref="C1:I1"/>
  </mergeCells>
  <phoneticPr fontId="1" type="noConversion"/>
  <hyperlinks>
    <hyperlink ref="AM3" r:id="rId1" display="https://bafybeihvjr73zcwvfbsqzy5odznulrtgntk5fe33b6mhj4d73batj67cxq.ipfs.nftstorage.link?ext=mp4" xr:uid="{61D69628-F08F-44B4-B660-450F37E36077}"/>
    <hyperlink ref="AO3" r:id="rId2" display="https://ipfs.io/ipfs/QmV7Twmqu3WV11GBmLDkFzyMe2erPe8tgw33KijzZefc93?video1.mp4" xr:uid="{98B066DE-04A9-4ECB-9741-34D6D3C74B31}"/>
    <hyperlink ref="AM4:AM6" r:id="rId3" display="https://bafybeihvjr73zcwvfbsqzy5odznulrtgntk5fe33b6mhj4d73batj67cxq.ipfs.nftstorage.link?ext=mp4" xr:uid="{4704F22A-80BB-4324-81F6-F067C5055B4C}"/>
    <hyperlink ref="AO4:AO6" r:id="rId4" display="https://ipfs.io/ipfs/QmV7Twmqu3WV11GBmLDkFzyMe2erPe8tgw33KijzZefc93?video1.mp4" xr:uid="{90D75C56-9DC3-4BC4-8BEB-92ABD2BD62DD}"/>
  </hyperlink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"/>
  <sheetViews>
    <sheetView showGridLines="0" tabSelected="1" zoomScale="115" zoomScaleNormal="115" workbookViewId="0">
      <selection activeCell="J9" sqref="J4:J9"/>
    </sheetView>
  </sheetViews>
  <sheetFormatPr baseColWidth="10" defaultRowHeight="14.25" customHeight="1" x14ac:dyDescent="0.25"/>
  <cols>
    <col min="1" max="1" width="15.7109375" bestFit="1" customWidth="1"/>
    <col min="2" max="2" width="29.140625" customWidth="1"/>
    <col min="3" max="3" width="3.140625" customWidth="1"/>
    <col min="4" max="4" width="3.85546875" customWidth="1"/>
    <col min="5" max="5" width="22.7109375" style="18" customWidth="1"/>
    <col min="6" max="6" width="17.7109375" style="15" customWidth="1"/>
    <col min="7" max="7" width="12.28515625" style="15" customWidth="1"/>
    <col min="8" max="8" width="16.42578125" style="15" customWidth="1"/>
    <col min="9" max="9" width="26.42578125" style="12" customWidth="1"/>
    <col min="10" max="10" width="17" style="12" customWidth="1"/>
    <col min="11" max="11" width="13.140625" style="13" customWidth="1"/>
    <col min="12" max="12" width="9.7109375" style="15" customWidth="1"/>
    <col min="13" max="13" width="11.5703125" style="15" hidden="1" customWidth="1"/>
    <col min="14" max="15" width="9.7109375" style="15" hidden="1" customWidth="1"/>
    <col min="16" max="16" width="9.7109375" style="15" customWidth="1"/>
    <col min="17" max="18" width="16.7109375" style="13" customWidth="1"/>
    <col min="19" max="19" width="15.5703125" style="13" customWidth="1"/>
    <col min="20" max="20" width="18.5703125" customWidth="1"/>
    <col min="21" max="21" width="28.7109375" customWidth="1"/>
    <col min="22" max="22" width="20.28515625" customWidth="1"/>
    <col min="23" max="23" width="49" customWidth="1"/>
    <col min="24" max="24" width="25.5703125" customWidth="1"/>
    <col min="25" max="25" width="50.7109375" customWidth="1"/>
    <col min="26" max="26" width="11.28515625" customWidth="1"/>
    <col min="29" max="29" width="27.42578125" customWidth="1"/>
  </cols>
  <sheetData>
    <row r="1" spans="1:31" ht="57" customHeight="1" x14ac:dyDescent="0.25">
      <c r="K1" s="2" t="s">
        <v>70</v>
      </c>
      <c r="L1" s="17">
        <v>105.25</v>
      </c>
      <c r="M1" s="17"/>
      <c r="N1" s="17"/>
      <c r="O1" s="17"/>
      <c r="P1" s="17"/>
    </row>
    <row r="2" spans="1:31" ht="15.75" customHeight="1" x14ac:dyDescent="0.25">
      <c r="K2" s="13" t="s">
        <v>71</v>
      </c>
      <c r="L2" s="17">
        <f>SUM(L4:L99)</f>
        <v>-3.7846426499999835</v>
      </c>
      <c r="M2" s="17"/>
      <c r="N2" s="17"/>
      <c r="O2" s="17"/>
      <c r="P2" s="17"/>
    </row>
    <row r="3" spans="1:31" ht="14.25" customHeight="1" x14ac:dyDescent="0.25">
      <c r="E3" s="19" t="s">
        <v>21</v>
      </c>
      <c r="F3" s="14" t="s">
        <v>22</v>
      </c>
      <c r="G3" s="14" t="s">
        <v>68</v>
      </c>
      <c r="H3" s="14" t="s">
        <v>69</v>
      </c>
      <c r="I3" s="21" t="s">
        <v>61</v>
      </c>
      <c r="J3" s="21" t="s">
        <v>80</v>
      </c>
      <c r="K3" s="14" t="s">
        <v>86</v>
      </c>
      <c r="L3" s="14" t="s">
        <v>64</v>
      </c>
      <c r="M3" s="14"/>
      <c r="N3" s="14"/>
      <c r="O3" s="14"/>
      <c r="P3" s="14" t="s">
        <v>81</v>
      </c>
      <c r="S3"/>
      <c r="U3" s="25" t="s">
        <v>20</v>
      </c>
      <c r="V3" s="25" t="s">
        <v>12</v>
      </c>
      <c r="W3" s="25" t="s">
        <v>13</v>
      </c>
      <c r="X3" s="25" t="s">
        <v>14</v>
      </c>
      <c r="Y3" s="25" t="s">
        <v>18</v>
      </c>
      <c r="Z3" s="25"/>
      <c r="AA3" s="25"/>
      <c r="AB3" s="25"/>
      <c r="AC3" s="25" t="s">
        <v>19</v>
      </c>
    </row>
    <row r="4" spans="1:31" s="1" customFormat="1" ht="14.25" customHeight="1" x14ac:dyDescent="0.25">
      <c r="E4" s="20" t="str">
        <f>IF(Tokens!C3="","",Tokens!C3)</f>
        <v>MyNewFromServer1</v>
      </c>
      <c r="F4" s="26">
        <v>44686.079699074071</v>
      </c>
      <c r="G4" t="s">
        <v>142</v>
      </c>
      <c r="H4" s="23" t="s">
        <v>143</v>
      </c>
      <c r="I4" s="2" t="s">
        <v>144</v>
      </c>
      <c r="J4" s="2" t="s">
        <v>145</v>
      </c>
      <c r="K4">
        <v>6.8309436400000001</v>
      </c>
      <c r="L4" s="17" t="str">
        <f>IF(AND(ISNUMBER(K3),ISNUMBER(K4)),(K4-K3)*$L$1,"_")</f>
        <v>_</v>
      </c>
      <c r="M4" s="17"/>
      <c r="N4" s="17"/>
      <c r="O4" s="17"/>
      <c r="P4" s="24" t="str">
        <f>IF(F4&lt;&gt;"",HYPERLINK(Settings!$B$5 &amp; "/manage/?search=token&amp;account=" &amp; ToMint!$B$6 &amp; "&amp;view=" &amp; ToMint!J4,"TokenSol"),"")</f>
        <v>TokenSol</v>
      </c>
      <c r="Q4" s="2"/>
      <c r="R4" s="2"/>
      <c r="S4" s="12"/>
      <c r="U4" s="1" t="str">
        <f>"{" &amp; V4 &amp; "," &amp; W4 &amp; "," &amp; """properties"":{" &amp; X4 &amp; "," &amp; Y4 &amp; "}," &amp; AC4 &amp; "}"</f>
        <v>{"name":"MyNewFromServer1",_x000D_
"symbol":"symbol1",_x000D_
"description":"description1",_x000D_
"seller_fee_basis_points":5000,_x000D_
"image":"https://bafkreifbxapixkroieyos76hkaape34vmjpw2e7kccmctnofdtnkn42d4m.ipfs.nftstorage.link?image1.jpg",_x000D_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"share":30}],"files":[{"files":"https://bafkreig74b3lix4pnhd7h3v6lwplmseg4724iigdqopatl5ewuw26r4lri.ipfs.nftstorage.link?file1.jpg",_x000D_
"type":"img/jpeg"},{"files":"https://bafybeihw3wzs7hewgurjc7vnuirjxrluwjc35qs7uov7mjv6jglbttbzai.ipfs.nftstorage.link?video1.mp4",_x000D_
"type":"video/mp4"}]},"collection":{"name":"MaSuperCollec",_x000D_
"family":"NFluentCollection"}}</v>
      </c>
      <c r="V4" s="1" t="str">
        <f>formatRow(Tokens!C$2:I$2,Tokens!C3:I3)</f>
        <v>"name":"MyNewFromServer1",_x000D_
"symbol":"symbol1",_x000D_
"description":"description1",_x000D_
"seller_fee_basis_points":5000,_x000D_
"image":"https://bafkreifbxapixkroieyos76hkaape34vmjpw2e7kccmctnofdtnkn42d4m.ipfs.nftstorage.link?image1.jpg",_x000D_
"Issuer":"paul",_x000D_
"external_url":""</v>
      </c>
      <c r="W4" s="1" t="str">
        <f>formatRow(Tokens!J$2:U$2,Tokens!J3:U3,2,"attributes")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X4" s="1" t="str">
        <f>formatRow(Tokens!AD$2:AL$2,Tokens!AD3:AL3,3,"creators")</f>
        <v>"creators":[{"address":"paul",_x000D_
"verified":1,_x000D_
"share":10},{"address":"sophie",_x000D_
"verified":0,_x000D_
"share":60},{"address":"roger",_x000D_
"verified":1,_x000D_
"share":30}]</v>
      </c>
      <c r="Y4" s="1" t="str">
        <f>formatRow(Tokens!AM$2:AR$2,Tokens!AM3:AR3,2,"files")</f>
        <v>"files":[{"files":"https://bafkreig74b3lix4pnhd7h3v6lwplmseg4724iigdqopatl5ewuw26r4lri.ipfs.nftstorage.link?file1.jpg",_x000D_
"type":"img/jpeg"},{"files":"https://bafybeihw3wzs7hewgurjc7vnuirjxrluwjc35qs7uov7mjv6jglbttbzai.ipfs.nftstorage.link?video1.mp4",_x000D_
"type":"video/mp4"}]</v>
      </c>
      <c r="AC4" s="1" t="str">
        <f>formatRow(Tokens!AS$2:AT$2,Tokens!AS3:AT3,0,"collection")</f>
        <v>"collection":{"name":"MaSuperCollec",_x000D_
"family":"NFluentCollection"}</v>
      </c>
    </row>
    <row r="5" spans="1:31" ht="12.75" customHeight="1" x14ac:dyDescent="0.25">
      <c r="E5" s="20" t="str">
        <f>IF(Tokens!C4="","",Tokens!C4)</f>
        <v>MyNewFromServer2</v>
      </c>
      <c r="F5" s="26">
        <v>44686.079756944448</v>
      </c>
      <c r="G5" t="s">
        <v>146</v>
      </c>
      <c r="H5" s="23" t="s">
        <v>147</v>
      </c>
      <c r="I5" s="2" t="s">
        <v>148</v>
      </c>
      <c r="J5" s="2" t="s">
        <v>149</v>
      </c>
      <c r="K5">
        <v>6.8189574400000001</v>
      </c>
      <c r="L5" s="17">
        <f t="shared" ref="L5:L68" si="0">IF(AND(ISNUMBER(K4),ISNUMBER(K5)),(K5-K4)*$L$1,"_")</f>
        <v>-1.2615475499999944</v>
      </c>
      <c r="M5" s="17"/>
      <c r="N5" s="17"/>
      <c r="O5" s="17"/>
      <c r="P5" s="24" t="str">
        <f>IF(F5&lt;&gt;"",HYPERLINK(Settings!$B$5 &amp; "/manage/?search=token&amp;account=" &amp; ToMint!$B$6 &amp; "&amp;view=" &amp; ToMint!J5,"TokenSol"),"")</f>
        <v>TokenSol</v>
      </c>
      <c r="U5" s="1" t="str">
        <f t="shared" ref="U5:U68" si="1">"{" &amp; V5 &amp; "," &amp; W5 &amp; "," &amp; """properties"":{" &amp; X5 &amp; "," &amp; Y5 &amp; "}," &amp; AC5 &amp; "}"</f>
        <v>{"name":"MyNewFromServer2",_x000D_
"symbol":"symbol2",_x000D_
"description":"description2",_x000D_
"seller_fee_basis_points":5000,_x000D_
"image":"https://bafkreifbxapixkroieyos76hkaape34vmjpw2e7kccmctnofdtnkn42d4m.ipfs.nftstorage.link?image2.jpg",_x000D_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numérotée"}],"properties":{"creators":[{"address":"paul",_x000D_
"verified":1,_x000D_
"share":10},{"address":"sophie",_x000D_
"verified":0,_x000D_
"share":60},{"address":"roger",_x000D_
"verified":1,_x000D_
"share":30}],"files":[{"files":"https://bafkreig74b3lix4pnhd7h3v6lwplmseg4724iigdqopatl5ewuw26r4lri.ipfs.nftstorage.link?file2.jpg",_x000D_
"type":"img/jpeg"},{"files":"https://bafybeihw3wzs7hewgurjc7vnuirjxrluwjc35qs7uov7mjv6jglbttbzai.ipfs.nftstorage.link?video2.mp4",_x000D_
"type":"video/mp5"}]},"collection":{"name":"MaSuperCollec",_x000D_
"family":"NFluentCollection"}}</v>
      </c>
      <c r="V5" s="1" t="str">
        <f>formatRow(Tokens!C$2:I$2,Tokens!C4:I4)</f>
        <v>"name":"MyNewFromServer2",_x000D_
"symbol":"symbol2",_x000D_
"description":"description2",_x000D_
"seller_fee_basis_points":5000,_x000D_
"image":"https://bafkreifbxapixkroieyos76hkaape34vmjpw2e7kccmctnofdtnkn42d4m.ipfs.nftstorage.link?image2.jpg",_x000D_
"Issuer":"paul",_x000D_
"external_url":""</v>
      </c>
      <c r="W5" s="1" t="str">
        <f>formatRow(Tokens!J$2:U$2,Tokens!J4:U4,2,"attributes")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</v>
      </c>
      <c r="X5" s="1" t="str">
        <f>formatRow(Tokens!AD$2:AL$2,Tokens!AD4:AL4,3,"creators")</f>
        <v>"creators":[{"address":"paul",_x000D_
"verified":1,_x000D_
"share":10},{"address":"sophie",_x000D_
"verified":0,_x000D_
"share":60},{"address":"roger",_x000D_
"verified":1,_x000D_
"share":30}]</v>
      </c>
      <c r="Y5" s="1" t="str">
        <f>formatRow(Tokens!AM$2:AR$2,Tokens!AM4:AR4,2,"files")</f>
        <v>"files":[{"files":"https://bafkreig74b3lix4pnhd7h3v6lwplmseg4724iigdqopatl5ewuw26r4lri.ipfs.nftstorage.link?file2.jpg",_x000D_
"type":"img/jpeg"},{"files":"https://bafybeihw3wzs7hewgurjc7vnuirjxrluwjc35qs7uov7mjv6jglbttbzai.ipfs.nftstorage.link?video2.mp4",_x000D_
"type":"video/mp5"}]</v>
      </c>
      <c r="Z5" s="1"/>
      <c r="AA5" s="1"/>
      <c r="AB5" s="1"/>
      <c r="AC5" s="1" t="str">
        <f>formatRow(Tokens!AS$2:AT$2,Tokens!AS4:AT4,0,"collection")</f>
        <v>"collection":{"name":"MaSuperCollec",_x000D_
"family":"NFluentCollection"}</v>
      </c>
      <c r="AD5" s="1"/>
      <c r="AE5" s="1"/>
    </row>
    <row r="6" spans="1:31" ht="15" customHeight="1" x14ac:dyDescent="0.25">
      <c r="A6" s="3" t="s">
        <v>32</v>
      </c>
      <c r="B6" t="s">
        <v>35</v>
      </c>
      <c r="E6" s="20" t="str">
        <f>IF(Tokens!C5="","",Tokens!C5)</f>
        <v>MyNewFromServer3</v>
      </c>
      <c r="F6" s="26">
        <v>44686.07980324074</v>
      </c>
      <c r="G6" t="s">
        <v>150</v>
      </c>
      <c r="H6" s="23" t="s">
        <v>151</v>
      </c>
      <c r="I6" s="2" t="s">
        <v>152</v>
      </c>
      <c r="J6" s="2" t="s">
        <v>153</v>
      </c>
      <c r="K6">
        <v>6.8069712400000002</v>
      </c>
      <c r="L6" s="17">
        <f t="shared" si="0"/>
        <v>-1.2615475499999944</v>
      </c>
      <c r="M6" s="17"/>
      <c r="N6" s="17"/>
      <c r="O6" s="17"/>
      <c r="P6" s="24" t="str">
        <f>IF(F6&lt;&gt;"",HYPERLINK(Settings!$B$5 &amp; "/manage/?search=token&amp;account=" &amp; ToMint!$B$6 &amp; "&amp;view=" &amp; ToMint!J6,"TokenSol"),"")</f>
        <v>TokenSol</v>
      </c>
      <c r="U6" s="1" t="str">
        <f t="shared" si="1"/>
        <v>{"name":"MyNewFromServer3",_x000D_
"symbol":"symbol3",_x000D_
"description":"description3",_x000D_
"seller_fee_basis_points":5000,_x000D_
"image":"https://bafkreifbxapixkroieyos76hkaape34vmjpw2e7kccmctnofdtnkn42d4m.ipfs.nftstorage.link?image3.jpg",_x000D_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numérotée"}],"properties":{"creators":[{"address":"paul",_x000D_
"verified":1,_x000D_
"share":10},{"address":"sophie",_x000D_
"verified":0,_x000D_
"share":60},{"address":"roger",_x000D_
"verified":1,_x000D_
"share":30}],"files":[{"files":"https://bafkreig74b3lix4pnhd7h3v6lwplmseg4724iigdqopatl5ewuw26r4lri.ipfs.nftstorage.link?file3.jpg",_x000D_
"type":"img/jpeg"},{"files":"https://bafybeihw3wzs7hewgurjc7vnuirjxrluwjc35qs7uov7mjv6jglbttbzai.ipfs.nftstorage.link?video3.mp4",_x000D_
"type":"video/mp6"}]},"collection":{"name":"MaSuperCollec",_x000D_
"family":"NFluentCollection"}}</v>
      </c>
      <c r="V6" s="1" t="str">
        <f>formatRow(Tokens!C$2:I$2,Tokens!C5:I5)</f>
        <v>"name":"MyNewFromServer3",_x000D_
"symbol":"symbol3",_x000D_
"description":"description3",_x000D_
"seller_fee_basis_points":5000,_x000D_
"image":"https://bafkreifbxapixkroieyos76hkaape34vmjpw2e7kccmctnofdtnkn42d4m.ipfs.nftstorage.link?image3.jpg",_x000D_
"Issuer":"paul",_x000D_
"external_url":""</v>
      </c>
      <c r="W6" s="1" t="str">
        <f>formatRow(Tokens!J$2:U$2,Tokens!J5:U5,2,"attributes")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</v>
      </c>
      <c r="X6" s="1" t="str">
        <f>formatRow(Tokens!AD$2:AL$2,Tokens!AD5:AL5,3,"creators")</f>
        <v>"creators":[{"address":"paul",_x000D_
"verified":1,_x000D_
"share":10},{"address":"sophie",_x000D_
"verified":0,_x000D_
"share":60},{"address":"roger",_x000D_
"verified":1,_x000D_
"share":30}]</v>
      </c>
      <c r="Y6" s="1" t="str">
        <f>formatRow(Tokens!AM$2:AR$2,Tokens!AM5:AR5,2,"files")</f>
        <v>"files":[{"files":"https://bafkreig74b3lix4pnhd7h3v6lwplmseg4724iigdqopatl5ewuw26r4lri.ipfs.nftstorage.link?file3.jpg",_x000D_
"type":"img/jpeg"},{"files":"https://bafybeihw3wzs7hewgurjc7vnuirjxrluwjc35qs7uov7mjv6jglbttbzai.ipfs.nftstorage.link?video3.mp4",_x000D_
"type":"video/mp6"}]</v>
      </c>
      <c r="Z6" s="1"/>
      <c r="AA6" s="1"/>
      <c r="AB6" s="1"/>
      <c r="AC6" s="1" t="str">
        <f>formatRow(Tokens!AS$2:AT$2,Tokens!AS5:AT5,0,"collection")</f>
        <v>"collection":{"name":"MaSuperCollec",_x000D_
"family":"NFluentCollection"}</v>
      </c>
      <c r="AD6" s="1"/>
      <c r="AE6" s="1"/>
    </row>
    <row r="7" spans="1:31" ht="14.25" customHeight="1" x14ac:dyDescent="0.25">
      <c r="A7" s="3" t="s">
        <v>41</v>
      </c>
      <c r="B7" t="s">
        <v>113</v>
      </c>
      <c r="E7" s="20" t="str">
        <f>IF(Tokens!C6="","",Tokens!C6)</f>
        <v>MyNewFromServer4</v>
      </c>
      <c r="F7" s="26">
        <v>44686.079861111109</v>
      </c>
      <c r="G7" t="s">
        <v>154</v>
      </c>
      <c r="H7" s="23" t="s">
        <v>155</v>
      </c>
      <c r="I7" s="2" t="s">
        <v>156</v>
      </c>
      <c r="J7" s="2" t="s">
        <v>157</v>
      </c>
      <c r="K7">
        <v>6.7949850400000003</v>
      </c>
      <c r="L7" s="17">
        <f t="shared" si="0"/>
        <v>-1.2615475499999944</v>
      </c>
      <c r="M7" s="17"/>
      <c r="N7" s="17"/>
      <c r="O7" s="17"/>
      <c r="P7" s="24" t="str">
        <f>IF(F7&lt;&gt;"",HYPERLINK(Settings!$B$5 &amp; "/manage/?search=token&amp;account=" &amp; ToMint!$B$6 &amp; "&amp;view=" &amp; ToMint!J7,"TokenSol"),"")</f>
        <v>TokenSol</v>
      </c>
      <c r="Q7" s="2"/>
      <c r="R7" s="2"/>
      <c r="U7" s="1" t="str">
        <f t="shared" si="1"/>
        <v>{"name":"MyNewFromServer4",_x000D_
"symbol":"symbol4",_x000D_
"description":"description4",_x000D_
"seller_fee_basis_points":5000,_x000D_
"image":"https://bafkreifbxapixkroieyos76hkaape34vmjpw2e7kccmctnofdtnkn42d4m.ipfs.nftstorage.link?image4.jpg",_x000D_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numérotée"}],"properties":{"creators":[{"address":"paul",_x000D_
"verified":1,_x000D_
"share":10},{"address":"sophie",_x000D_
"verified":0,_x000D_
"share":60},{"address":"roger",_x000D_
"verified":1,_x000D_
"share":30}],"files":[{"files":"https://bafkreig74b3lix4pnhd7h3v6lwplmseg4724iigdqopatl5ewuw26r4lri.ipfs.nftstorage.link?file4.jpg",_x000D_
"type":"img/jpeg"},{"files":"https://bafybeihw3wzs7hewgurjc7vnuirjxrluwjc35qs7uov7mjv6jglbttbzai.ipfs.nftstorage.link?video4.mp4",_x000D_
"type":"video/mp7"}]},"collection":{"name":"MaSuperCollec",_x000D_
"family":"NFluentCollection"}}</v>
      </c>
      <c r="V7" s="1" t="str">
        <f>formatRow(Tokens!C$2:I$2,Tokens!C6:I6)</f>
        <v>"name":"MyNewFromServer4",_x000D_
"symbol":"symbol4",_x000D_
"description":"description4",_x000D_
"seller_fee_basis_points":5000,_x000D_
"image":"https://bafkreifbxapixkroieyos76hkaape34vmjpw2e7kccmctnofdtnkn42d4m.ipfs.nftstorage.link?image4.jpg",_x000D_
"Issuer":"paul",_x000D_
"external_url":""</v>
      </c>
      <c r="W7" s="1" t="str">
        <f>formatRow(Tokens!J$2:U$2,Tokens!J6:U6,2,"attributes")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</v>
      </c>
      <c r="X7" s="1" t="str">
        <f>formatRow(Tokens!AD$2:AL$2,Tokens!AD6:AL6,3,"creators")</f>
        <v>"creators":[{"address":"paul",_x000D_
"verified":1,_x000D_
"share":10},{"address":"sophie",_x000D_
"verified":0,_x000D_
"share":60},{"address":"roger",_x000D_
"verified":1,_x000D_
"share":30}]</v>
      </c>
      <c r="Y7" s="1" t="str">
        <f>formatRow(Tokens!AM$2:AR$2,Tokens!AM6:AR6,2,"files")</f>
        <v>"files":[{"files":"https://bafkreig74b3lix4pnhd7h3v6lwplmseg4724iigdqopatl5ewuw26r4lri.ipfs.nftstorage.link?file4.jpg",_x000D_
"type":"img/jpeg"},{"files":"https://bafybeihw3wzs7hewgurjc7vnuirjxrluwjc35qs7uov7mjv6jglbttbzai.ipfs.nftstorage.link?video4.mp4",_x000D_
"type":"video/mp7"}]</v>
      </c>
      <c r="Z7" s="1"/>
      <c r="AA7" s="1"/>
      <c r="AB7" s="1"/>
      <c r="AC7" s="1" t="str">
        <f>formatRow(Tokens!AS$2:AT$2,Tokens!AS6:AT6,0,"collection")</f>
        <v>"collection":{"name":"MaSuperCollec",_x000D_
"family":"NFluentCollection"}</v>
      </c>
      <c r="AD7" s="1"/>
      <c r="AE7" s="1"/>
    </row>
    <row r="8" spans="1:31" ht="14.25" customHeight="1" x14ac:dyDescent="0.25">
      <c r="A8" s="3" t="s">
        <v>24</v>
      </c>
      <c r="B8" t="s">
        <v>25</v>
      </c>
      <c r="E8" s="20" t="str">
        <f>IF(Tokens!C7="","",Tokens!C7)</f>
        <v/>
      </c>
      <c r="F8"/>
      <c r="G8"/>
      <c r="H8"/>
      <c r="I8"/>
      <c r="J8"/>
      <c r="K8"/>
      <c r="L8" s="17" t="str">
        <f t="shared" si="0"/>
        <v>_</v>
      </c>
      <c r="M8" s="17"/>
      <c r="N8" s="17"/>
      <c r="O8" s="17"/>
      <c r="P8" s="24" t="str">
        <f>IF(F8&lt;&gt;"",HYPERLINK(Settings!$B$5 &amp; "/manage/?search=token&amp;account=" &amp; ToMint!$B$6 &amp; "&amp;view=" &amp; ToMint!J8,"TokenSol"),"")</f>
        <v/>
      </c>
      <c r="Q8" s="2"/>
      <c r="R8" s="2"/>
      <c r="U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8" s="1" t="str">
        <f>formatRow(Tokens!C$2:I$2,Tokens!C7:I7)</f>
        <v>"name":"",_x000D_
"symbol":"",_x000D_
"description":"",_x000D_
"seller_fee_basis_points":"",_x000D_
"image":"",_x000D_
"Issuer":"",_x000D_
"external_url":""</v>
      </c>
      <c r="W8" s="1" t="str">
        <f>formatRow(Tokens!J$2:U$2,Tokens!J7:U7,2,"attributes")</f>
        <v>"attributes":[]</v>
      </c>
      <c r="X8" s="1" t="str">
        <f>formatRow(Tokens!AD$2:AL$2,Tokens!AD7:AL7,3,"creators")</f>
        <v>"creators":[]</v>
      </c>
      <c r="Y8" s="1" t="str">
        <f>formatRow(Tokens!AM$2:AR$2,Tokens!AM7:AR7,2,"files")</f>
        <v>"files":[]</v>
      </c>
      <c r="Z8" s="1"/>
      <c r="AA8" s="1"/>
      <c r="AB8" s="1"/>
      <c r="AC8" s="1" t="str">
        <f>formatRow(Tokens!AS$2:AT$2,Tokens!AS7:AT7,0,"collection")</f>
        <v>"collection":{"name":"",_x000D_
"family":""}</v>
      </c>
      <c r="AD8" s="1"/>
      <c r="AE8" s="1"/>
    </row>
    <row r="9" spans="1:31" ht="14.25" customHeight="1" x14ac:dyDescent="0.25">
      <c r="E9" s="20" t="str">
        <f>IF(Tokens!C8="","",Tokens!C8)</f>
        <v/>
      </c>
      <c r="F9"/>
      <c r="G9"/>
      <c r="H9"/>
      <c r="I9"/>
      <c r="J9"/>
      <c r="K9"/>
      <c r="L9" s="17" t="str">
        <f t="shared" si="0"/>
        <v>_</v>
      </c>
      <c r="M9" s="17"/>
      <c r="N9" s="17"/>
      <c r="O9" s="17"/>
      <c r="P9" s="24" t="str">
        <f>IF(F9&lt;&gt;"",HYPERLINK(Settings!$B$5 &amp; "/manage/?search=token&amp;account=" &amp; ToMint!$B$6 &amp; "&amp;view=" &amp; ToMint!J9,"TokenSol"),"")</f>
        <v/>
      </c>
      <c r="U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9" s="1" t="str">
        <f>formatRow(Tokens!C$2:I$2,Tokens!C8:I8)</f>
        <v>"name":"",_x000D_
"symbol":"",_x000D_
"description":"",_x000D_
"seller_fee_basis_points":"",_x000D_
"image":"",_x000D_
"Issuer":"",_x000D_
"external_url":""</v>
      </c>
      <c r="W9" s="1" t="str">
        <f>formatRow(Tokens!J$2:U$2,Tokens!J8:U8,2,"attributes")</f>
        <v>"attributes":[]</v>
      </c>
      <c r="X9" s="1" t="str">
        <f>formatRow(Tokens!AD$2:AL$2,Tokens!AD8:AL8,3,"creators")</f>
        <v>"creators":[]</v>
      </c>
      <c r="Y9" s="1" t="str">
        <f>formatRow(Tokens!AM$2:AR$2,Tokens!AM8:AR8,2,"files")</f>
        <v>"files":[]</v>
      </c>
      <c r="Z9" s="1"/>
      <c r="AA9" s="1"/>
      <c r="AB9" s="1"/>
      <c r="AC9" s="1" t="str">
        <f>formatRow(Tokens!AS$2:AT$2,Tokens!AS8:AT8,0,"collection")</f>
        <v>"collection":{"name":"",_x000D_
"family":""}</v>
      </c>
      <c r="AD9" s="1"/>
      <c r="AE9" s="1"/>
    </row>
    <row r="10" spans="1:31" ht="14.25" customHeight="1" x14ac:dyDescent="0.25">
      <c r="A10" s="3" t="s">
        <v>79</v>
      </c>
      <c r="B10" s="13" t="s">
        <v>90</v>
      </c>
      <c r="E10" s="20" t="str">
        <f>IF(Tokens!C9="","",Tokens!C9)</f>
        <v/>
      </c>
      <c r="F10"/>
      <c r="G10"/>
      <c r="H10"/>
      <c r="I10"/>
      <c r="J10"/>
      <c r="K10"/>
      <c r="L10" s="17" t="str">
        <f t="shared" si="0"/>
        <v>_</v>
      </c>
      <c r="M10" s="17"/>
      <c r="N10" s="17"/>
      <c r="O10" s="17"/>
      <c r="P10" s="24" t="str">
        <f>IF(F10&lt;&gt;"",HYPERLINK(Settings!$B$5 &amp; "/manage/?search=token&amp;account=" &amp; ToMint!$B$6 &amp; "&amp;view=" &amp; ToMint!J10,"TokenSol"),"")</f>
        <v/>
      </c>
      <c r="Q10" s="2"/>
      <c r="R10" s="2"/>
      <c r="U1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0" s="1" t="str">
        <f>formatRow(Tokens!C$2:I$2,Tokens!C9:I9)</f>
        <v>"name":"",_x000D_
"symbol":"",_x000D_
"description":"",_x000D_
"seller_fee_basis_points":"",_x000D_
"image":"",_x000D_
"Issuer":"",_x000D_
"external_url":""</v>
      </c>
      <c r="W10" s="1" t="str">
        <f>formatRow(Tokens!J$2:U$2,Tokens!J9:U9,2,"attributes")</f>
        <v>"attributes":[]</v>
      </c>
      <c r="X10" s="1" t="str">
        <f>formatRow(Tokens!AD$2:AL$2,Tokens!AD9:AL9,3,"creators")</f>
        <v>"creators":[]</v>
      </c>
      <c r="Y10" s="1" t="str">
        <f>formatRow(Tokens!AM$2:AR$2,Tokens!AM9:AR9,2,"files")</f>
        <v>"files":[]</v>
      </c>
      <c r="Z10" s="1"/>
      <c r="AA10" s="1"/>
      <c r="AB10" s="1"/>
      <c r="AC10" s="1" t="str">
        <f>formatRow(Tokens!AS$2:AT$2,Tokens!AS9:AT9,0,"collection")</f>
        <v>"collection":{"name":"",_x000D_
"family":""}</v>
      </c>
      <c r="AD10" s="1"/>
      <c r="AE10" s="1"/>
    </row>
    <row r="11" spans="1:31" ht="14.25" customHeight="1" x14ac:dyDescent="0.25">
      <c r="E11" s="20" t="str">
        <f>IF(Tokens!C10="","",Tokens!C10)</f>
        <v/>
      </c>
      <c r="F11"/>
      <c r="G11"/>
      <c r="H11"/>
      <c r="I11"/>
      <c r="J11"/>
      <c r="K11"/>
      <c r="L11" s="17" t="str">
        <f t="shared" si="0"/>
        <v>_</v>
      </c>
      <c r="M11" s="17"/>
      <c r="N11" s="17"/>
      <c r="O11" s="17"/>
      <c r="P11" s="24" t="str">
        <f>IF(F11&lt;&gt;"",HYPERLINK(Settings!$B$5 &amp; "/manage/?search=token&amp;account=" &amp; ToMint!$B$6 &amp; "&amp;view=" &amp; ToMint!J11,"TokenSol"),"")</f>
        <v/>
      </c>
      <c r="U1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" s="1" t="str">
        <f>formatRow(Tokens!C$2:I$2,Tokens!C10:I10)</f>
        <v>"name":"",_x000D_
"symbol":"",_x000D_
"description":"",_x000D_
"seller_fee_basis_points":"",_x000D_
"image":"",_x000D_
"Issuer":"",_x000D_
"external_url":""</v>
      </c>
      <c r="W11" s="1" t="str">
        <f>formatRow(Tokens!J$2:U$2,Tokens!J10:U10,2,"attributes")</f>
        <v>"attributes":[]</v>
      </c>
      <c r="X11" s="1" t="str">
        <f>formatRow(Tokens!AD$2:AL$2,Tokens!AD10:AL10,3,"creators")</f>
        <v>"creators":[]</v>
      </c>
      <c r="Y11" s="1" t="str">
        <f>formatRow(Tokens!AM$2:AR$2,Tokens!AM10:AR10,2,"files")</f>
        <v>"files":[]</v>
      </c>
      <c r="Z11" s="1"/>
      <c r="AA11" s="1"/>
      <c r="AB11" s="1"/>
      <c r="AC11" s="1" t="str">
        <f>formatRow(Tokens!AS$2:AT$2,Tokens!AS10:AT10,0,"collection")</f>
        <v>"collection":{"name":"",_x000D_
"family":""}</v>
      </c>
      <c r="AD11" s="1"/>
      <c r="AE11" s="1"/>
    </row>
    <row r="12" spans="1:31" ht="14.25" customHeight="1" x14ac:dyDescent="0.25">
      <c r="E12" s="20" t="str">
        <f>IF(Tokens!C11="","",Tokens!C11)</f>
        <v/>
      </c>
      <c r="F12"/>
      <c r="G12"/>
      <c r="H12"/>
      <c r="I12"/>
      <c r="J12"/>
      <c r="K12"/>
      <c r="L12" s="17" t="str">
        <f t="shared" si="0"/>
        <v>_</v>
      </c>
      <c r="M12" s="17"/>
      <c r="N12" s="17"/>
      <c r="O12" s="17"/>
      <c r="P12" s="24" t="str">
        <f>IF(F12&lt;&gt;"",HYPERLINK(Settings!$B$5 &amp; "/manage/?search=token&amp;account=" &amp; ToMint!$B$6 &amp; "&amp;view=" &amp; ToMint!J12,"TokenSol"),"")</f>
        <v/>
      </c>
      <c r="U1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" s="1" t="str">
        <f>formatRow(Tokens!C$2:I$2,Tokens!C11:I11)</f>
        <v>"name":"",_x000D_
"symbol":"",_x000D_
"description":"",_x000D_
"seller_fee_basis_points":"",_x000D_
"image":"",_x000D_
"Issuer":"",_x000D_
"external_url":""</v>
      </c>
      <c r="W12" s="1" t="str">
        <f>formatRow(Tokens!J$2:U$2,Tokens!J11:U11,2,"attributes")</f>
        <v>"attributes":[]</v>
      </c>
      <c r="X12" s="1" t="str">
        <f>formatRow(Tokens!AD$2:AL$2,Tokens!AD11:AL11,3,"creators")</f>
        <v>"creators":[]</v>
      </c>
      <c r="Y12" s="1" t="str">
        <f>formatRow(Tokens!AM$2:AR$2,Tokens!AM11:AR11,2,"files")</f>
        <v>"files":[]</v>
      </c>
      <c r="Z12" s="1"/>
      <c r="AA12" s="1"/>
      <c r="AB12" s="1"/>
      <c r="AC12" s="1" t="str">
        <f>formatRow(Tokens!AS$2:AT$2,Tokens!AS11:AT11,0,"collection")</f>
        <v>"collection":{"name":"",_x000D_
"family":""}</v>
      </c>
      <c r="AD12" s="1"/>
      <c r="AE12" s="1"/>
    </row>
    <row r="13" spans="1:31" ht="14.25" customHeight="1" x14ac:dyDescent="0.25">
      <c r="E13" s="20" t="str">
        <f>IF(Tokens!C12="","",Tokens!C12)</f>
        <v/>
      </c>
      <c r="F13"/>
      <c r="G13"/>
      <c r="H13"/>
      <c r="I13"/>
      <c r="J13"/>
      <c r="K13"/>
      <c r="L13" s="17" t="str">
        <f t="shared" si="0"/>
        <v>_</v>
      </c>
      <c r="M13" s="17"/>
      <c r="N13" s="17"/>
      <c r="O13" s="17"/>
      <c r="P13" s="24" t="str">
        <f>IF(F13&lt;&gt;"",HYPERLINK(Settings!$B$5 &amp; "/manage/?search=token&amp;account=" &amp; ToMint!$B$6 &amp; "&amp;view=" &amp; ToMint!J13,"TokenSol"),"")</f>
        <v/>
      </c>
      <c r="U1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" s="1" t="str">
        <f>formatRow(Tokens!C$2:I$2,Tokens!C12:I12)</f>
        <v>"name":"",_x000D_
"symbol":"",_x000D_
"description":"",_x000D_
"seller_fee_basis_points":"",_x000D_
"image":"",_x000D_
"Issuer":"",_x000D_
"external_url":""</v>
      </c>
      <c r="W13" s="1" t="str">
        <f>formatRow(Tokens!J$2:U$2,Tokens!J12:U12,2,"attributes")</f>
        <v>"attributes":[]</v>
      </c>
      <c r="X13" s="1" t="str">
        <f>formatRow(Tokens!AD$2:AL$2,Tokens!AD12:AL12,3,"creators")</f>
        <v>"creators":[]</v>
      </c>
      <c r="Y13" s="1" t="str">
        <f>formatRow(Tokens!AM$2:AR$2,Tokens!AM12:AR12,2,"files")</f>
        <v>"files":[]</v>
      </c>
      <c r="Z13" s="1"/>
      <c r="AA13" s="1"/>
      <c r="AB13" s="1"/>
      <c r="AC13" s="1" t="str">
        <f>formatRow(Tokens!AS$2:AT$2,Tokens!AS12:AT12,0,"collection")</f>
        <v>"collection":{"name":"",_x000D_
"family":""}</v>
      </c>
      <c r="AD13" s="1"/>
      <c r="AE13" s="1"/>
    </row>
    <row r="14" spans="1:31" ht="14.25" customHeight="1" x14ac:dyDescent="0.25">
      <c r="E14" s="20" t="str">
        <f>IF(Tokens!C13="","",Tokens!C13)</f>
        <v/>
      </c>
      <c r="F14"/>
      <c r="G14"/>
      <c r="H14"/>
      <c r="I14"/>
      <c r="J14"/>
      <c r="K14"/>
      <c r="L14" s="17" t="str">
        <f t="shared" si="0"/>
        <v>_</v>
      </c>
      <c r="M14" s="17"/>
      <c r="N14" s="17"/>
      <c r="O14" s="17"/>
      <c r="P14" s="24" t="str">
        <f>IF(F14&lt;&gt;"",HYPERLINK(Settings!$B$5 &amp; "/manage/?search=token&amp;account=" &amp; ToMint!$B$6 &amp; "&amp;view=" &amp; ToMint!J14,"TokenSol"),"")</f>
        <v/>
      </c>
      <c r="U1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" s="1" t="str">
        <f>formatRow(Tokens!C$2:I$2,Tokens!C13:I13)</f>
        <v>"name":"",_x000D_
"symbol":"",_x000D_
"description":"",_x000D_
"seller_fee_basis_points":"",_x000D_
"image":"",_x000D_
"Issuer":"",_x000D_
"external_url":""</v>
      </c>
      <c r="W14" s="1" t="str">
        <f>formatRow(Tokens!J$2:U$2,Tokens!J13:U13,2,"attributes")</f>
        <v>"attributes":[]</v>
      </c>
      <c r="X14" s="1" t="str">
        <f>formatRow(Tokens!AD$2:AL$2,Tokens!AD13:AL13,3,"creators")</f>
        <v>"creators":[]</v>
      </c>
      <c r="Y14" s="1" t="str">
        <f>formatRow(Tokens!AM$2:AR$2,Tokens!AM13:AR13,2,"files")</f>
        <v>"files":[]</v>
      </c>
      <c r="Z14" s="1"/>
      <c r="AA14" s="1"/>
      <c r="AB14" s="1"/>
      <c r="AC14" s="1" t="str">
        <f>formatRow(Tokens!AS$2:AT$2,Tokens!AS13:AT13,0,"collection")</f>
        <v>"collection":{"name":"",_x000D_
"family":""}</v>
      </c>
      <c r="AD14" s="1"/>
      <c r="AE14" s="1"/>
    </row>
    <row r="15" spans="1:31" ht="14.25" customHeight="1" x14ac:dyDescent="0.25">
      <c r="E15" s="20" t="str">
        <f>IF(Tokens!C14="","",Tokens!C14)</f>
        <v/>
      </c>
      <c r="F15"/>
      <c r="G15"/>
      <c r="H15"/>
      <c r="I15"/>
      <c r="J15"/>
      <c r="K15"/>
      <c r="L15" s="17" t="str">
        <f t="shared" si="0"/>
        <v>_</v>
      </c>
      <c r="M15" s="17"/>
      <c r="N15" s="17"/>
      <c r="O15" s="17"/>
      <c r="P15" s="24" t="str">
        <f>IF(F15&lt;&gt;"",HYPERLINK(Settings!$B$5 &amp; "/manage/?search=token&amp;account=" &amp; ToMint!$B$6 &amp; "&amp;view=" &amp; ToMint!J15,"TokenSol"),"")</f>
        <v/>
      </c>
      <c r="U1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" s="1" t="str">
        <f>formatRow(Tokens!C$2:I$2,Tokens!C14:I14)</f>
        <v>"name":"",_x000D_
"symbol":"",_x000D_
"description":"",_x000D_
"seller_fee_basis_points":"",_x000D_
"image":"",_x000D_
"Issuer":"",_x000D_
"external_url":""</v>
      </c>
      <c r="W15" s="1" t="str">
        <f>formatRow(Tokens!J$2:U$2,Tokens!J14:U14,2,"attributes")</f>
        <v>"attributes":[]</v>
      </c>
      <c r="X15" s="1" t="str">
        <f>formatRow(Tokens!AD$2:AL$2,Tokens!AD14:AL14,3,"creators")</f>
        <v>"creators":[]</v>
      </c>
      <c r="Y15" s="1" t="str">
        <f>formatRow(Tokens!AM$2:AR$2,Tokens!AM14:AR14,2,"files")</f>
        <v>"files":[]</v>
      </c>
      <c r="Z15" s="1"/>
      <c r="AA15" s="1"/>
      <c r="AB15" s="1"/>
      <c r="AC15" s="1" t="str">
        <f>formatRow(Tokens!AS$2:AT$2,Tokens!AS14:AT14,0,"collection")</f>
        <v>"collection":{"name":"",_x000D_
"family":""}</v>
      </c>
      <c r="AD15" s="1"/>
      <c r="AE15" s="1"/>
    </row>
    <row r="16" spans="1:31" ht="14.25" customHeight="1" x14ac:dyDescent="0.25">
      <c r="A16" s="3" t="s">
        <v>112</v>
      </c>
      <c r="B16" t="s">
        <v>78</v>
      </c>
      <c r="E16" s="20" t="str">
        <f>IF(Tokens!C15="","",Tokens!C15)</f>
        <v/>
      </c>
      <c r="F16"/>
      <c r="G16"/>
      <c r="H16"/>
      <c r="I16"/>
      <c r="J16"/>
      <c r="K16"/>
      <c r="L16" s="17" t="str">
        <f t="shared" si="0"/>
        <v>_</v>
      </c>
      <c r="M16" s="17"/>
      <c r="N16" s="17"/>
      <c r="O16" s="17"/>
      <c r="P16" s="24" t="str">
        <f>IF(F16&lt;&gt;"",HYPERLINK(Settings!$B$5 &amp; "/manage/?search=token&amp;account=" &amp; ToMint!$B$6 &amp; "&amp;view=" &amp; ToMint!J16,"TokenSol"),"")</f>
        <v/>
      </c>
      <c r="U1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6" s="1" t="str">
        <f>formatRow(Tokens!C$2:I$2,Tokens!C15:I15)</f>
        <v>"name":"",_x000D_
"symbol":"",_x000D_
"description":"",_x000D_
"seller_fee_basis_points":"",_x000D_
"image":"",_x000D_
"Issuer":"",_x000D_
"external_url":""</v>
      </c>
      <c r="W16" s="1" t="str">
        <f>formatRow(Tokens!J$2:U$2,Tokens!J15:U15,2,"attributes")</f>
        <v>"attributes":[]</v>
      </c>
      <c r="X16" s="1" t="str">
        <f>formatRow(Tokens!AD$2:AL$2,Tokens!AD15:AL15,3,"creators")</f>
        <v>"creators":[]</v>
      </c>
      <c r="Y16" s="1" t="str">
        <f>formatRow(Tokens!AM$2:AR$2,Tokens!AM15:AR15,2,"files")</f>
        <v>"files":[]</v>
      </c>
      <c r="Z16" s="1"/>
      <c r="AA16" s="1"/>
      <c r="AB16" s="1"/>
      <c r="AC16" s="1" t="str">
        <f>formatRow(Tokens!AS$2:AT$2,Tokens!AS15:AT15,0,"collection")</f>
        <v>"collection":{"name":"",_x000D_
"family":""}</v>
      </c>
      <c r="AD16" s="1"/>
      <c r="AE16" s="1"/>
    </row>
    <row r="17" spans="5:31" ht="14.25" customHeight="1" x14ac:dyDescent="0.25">
      <c r="E17" s="20" t="str">
        <f>IF(Tokens!C16="","",Tokens!C16)</f>
        <v/>
      </c>
      <c r="F17"/>
      <c r="G17"/>
      <c r="H17"/>
      <c r="I17"/>
      <c r="J17"/>
      <c r="K17"/>
      <c r="L17" s="17" t="str">
        <f t="shared" si="0"/>
        <v>_</v>
      </c>
      <c r="M17" s="17"/>
      <c r="N17" s="17"/>
      <c r="O17" s="17"/>
      <c r="P17" s="24" t="str">
        <f>IF(F17&lt;&gt;"",HYPERLINK(Settings!$B$5 &amp; "/manage/?search=token&amp;account=" &amp; ToMint!$B$6 &amp; "&amp;view=" &amp; ToMint!J17,"TokenSol"),"")</f>
        <v/>
      </c>
      <c r="U1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7" s="1" t="str">
        <f>formatRow(Tokens!C$2:I$2,Tokens!C16:I16)</f>
        <v>"name":"",_x000D_
"symbol":"",_x000D_
"description":"",_x000D_
"seller_fee_basis_points":"",_x000D_
"image":"",_x000D_
"Issuer":"",_x000D_
"external_url":""</v>
      </c>
      <c r="W17" s="1" t="str">
        <f>formatRow(Tokens!J$2:U$2,Tokens!J16:U16,2,"attributes")</f>
        <v>"attributes":[]</v>
      </c>
      <c r="X17" s="1" t="str">
        <f>formatRow(Tokens!AD$2:AL$2,Tokens!AD16:AL16,3,"creators")</f>
        <v>"creators":[]</v>
      </c>
      <c r="Y17" s="1" t="str">
        <f>formatRow(Tokens!AM$2:AR$2,Tokens!AM16:AR16,2,"files")</f>
        <v>"files":[]</v>
      </c>
      <c r="Z17" s="1"/>
      <c r="AA17" s="1"/>
      <c r="AB17" s="1"/>
      <c r="AC17" s="1" t="str">
        <f>formatRow(Tokens!AS$2:AT$2,Tokens!AS16:AT16,0,"collection")</f>
        <v>"collection":{"name":"",_x000D_
"family":""}</v>
      </c>
      <c r="AD17" s="1"/>
      <c r="AE17" s="1"/>
    </row>
    <row r="18" spans="5:31" ht="14.25" customHeight="1" x14ac:dyDescent="0.25">
      <c r="E18" s="20" t="str">
        <f>IF(Tokens!C17="","",Tokens!C17)</f>
        <v/>
      </c>
      <c r="F18"/>
      <c r="G18"/>
      <c r="H18"/>
      <c r="I18"/>
      <c r="J18"/>
      <c r="K18"/>
      <c r="L18" s="17" t="str">
        <f t="shared" si="0"/>
        <v>_</v>
      </c>
      <c r="M18" s="17"/>
      <c r="N18" s="17"/>
      <c r="O18" s="17"/>
      <c r="P18" s="24" t="str">
        <f>IF(F18&lt;&gt;"",HYPERLINK(Settings!$B$5 &amp; "/manage/?search=token&amp;account=" &amp; ToMint!$B$6 &amp; "&amp;view=" &amp; ToMint!J18,"TokenSol"),"")</f>
        <v/>
      </c>
      <c r="U1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8" s="1" t="str">
        <f>formatRow(Tokens!C$2:I$2,Tokens!C17:I17)</f>
        <v>"name":"",_x000D_
"symbol":"",_x000D_
"description":"",_x000D_
"seller_fee_basis_points":"",_x000D_
"image":"",_x000D_
"Issuer":"",_x000D_
"external_url":""</v>
      </c>
      <c r="W18" s="1" t="str">
        <f>formatRow(Tokens!J$2:U$2,Tokens!J17:U17,2,"attributes")</f>
        <v>"attributes":[]</v>
      </c>
      <c r="X18" s="1" t="str">
        <f>formatRow(Tokens!AD$2:AL$2,Tokens!AD17:AL17,3,"creators")</f>
        <v>"creators":[]</v>
      </c>
      <c r="Y18" s="1" t="str">
        <f>formatRow(Tokens!AM$2:AR$2,Tokens!AM17:AR17,2,"files")</f>
        <v>"files":[]</v>
      </c>
      <c r="Z18" s="1"/>
      <c r="AA18" s="1"/>
      <c r="AB18" s="1"/>
      <c r="AC18" s="1" t="str">
        <f>formatRow(Tokens!AS$2:AT$2,Tokens!AS17:AT17,0,"collection")</f>
        <v>"collection":{"name":"",_x000D_
"family":""}</v>
      </c>
      <c r="AD18" s="1"/>
      <c r="AE18" s="1"/>
    </row>
    <row r="19" spans="5:31" ht="14.25" customHeight="1" x14ac:dyDescent="0.25">
      <c r="E19" s="20" t="str">
        <f>IF(Tokens!C18="","",Tokens!C18)</f>
        <v/>
      </c>
      <c r="F19"/>
      <c r="G19"/>
      <c r="H19"/>
      <c r="I19"/>
      <c r="J19"/>
      <c r="K19"/>
      <c r="L19" s="17" t="str">
        <f t="shared" si="0"/>
        <v>_</v>
      </c>
      <c r="M19" s="17"/>
      <c r="N19" s="17"/>
      <c r="O19" s="17"/>
      <c r="P19" s="24" t="str">
        <f>IF(F19&lt;&gt;"",HYPERLINK(Settings!$B$5 &amp; "/manage/?search=token&amp;account=" &amp; ToMint!$B$6 &amp; "&amp;view=" &amp; ToMint!J19,"TokenSol"),"")</f>
        <v/>
      </c>
      <c r="U1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9" s="1" t="str">
        <f>formatRow(Tokens!C$2:I$2,Tokens!C18:I18)</f>
        <v>"name":"",_x000D_
"symbol":"",_x000D_
"description":"",_x000D_
"seller_fee_basis_points":"",_x000D_
"image":"",_x000D_
"Issuer":"",_x000D_
"external_url":""</v>
      </c>
      <c r="W19" s="1" t="str">
        <f>formatRow(Tokens!J$2:U$2,Tokens!J18:U18,2,"attributes")</f>
        <v>"attributes":[]</v>
      </c>
      <c r="X19" s="1" t="str">
        <f>formatRow(Tokens!AD$2:AL$2,Tokens!AD18:AL18,3,"creators")</f>
        <v>"creators":[]</v>
      </c>
      <c r="Y19" s="1" t="str">
        <f>formatRow(Tokens!AM$2:AR$2,Tokens!AM18:AR18,2,"files")</f>
        <v>"files":[]</v>
      </c>
      <c r="Z19" s="1"/>
      <c r="AA19" s="1"/>
      <c r="AB19" s="1"/>
      <c r="AC19" s="1" t="str">
        <f>formatRow(Tokens!AS$2:AT$2,Tokens!AS18:AT18,0,"collection")</f>
        <v>"collection":{"name":"",_x000D_
"family":""}</v>
      </c>
      <c r="AD19" s="1"/>
      <c r="AE19" s="1"/>
    </row>
    <row r="20" spans="5:31" ht="14.25" customHeight="1" x14ac:dyDescent="0.25">
      <c r="E20" s="20" t="str">
        <f>IF(Tokens!C19="","",Tokens!C19)</f>
        <v/>
      </c>
      <c r="F20"/>
      <c r="G20"/>
      <c r="H20"/>
      <c r="I20"/>
      <c r="J20"/>
      <c r="K20"/>
      <c r="L20" s="17" t="str">
        <f t="shared" si="0"/>
        <v>_</v>
      </c>
      <c r="M20" s="17"/>
      <c r="N20" s="17"/>
      <c r="O20" s="17"/>
      <c r="P20" s="24" t="str">
        <f>IF(F20&lt;&gt;"",HYPERLINK(Settings!$B$5 &amp; "/manage/?search=token&amp;account=" &amp; ToMint!$B$6 &amp; "&amp;view=" &amp; ToMint!J20,"TokenSol"),"")</f>
        <v/>
      </c>
      <c r="U2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0" s="1" t="str">
        <f>formatRow(Tokens!C$2:I$2,Tokens!C19:I19)</f>
        <v>"name":"",_x000D_
"symbol":"",_x000D_
"description":"",_x000D_
"seller_fee_basis_points":"",_x000D_
"image":"",_x000D_
"Issuer":"",_x000D_
"external_url":""</v>
      </c>
      <c r="W20" s="1" t="str">
        <f>formatRow(Tokens!J$2:U$2,Tokens!J19:U19,2,"attributes")</f>
        <v>"attributes":[]</v>
      </c>
      <c r="X20" s="1" t="str">
        <f>formatRow(Tokens!AD$2:AL$2,Tokens!AD19:AL19,3,"creators")</f>
        <v>"creators":[]</v>
      </c>
      <c r="Y20" s="1" t="str">
        <f>formatRow(Tokens!AM$2:AR$2,Tokens!AM19:AR19,2,"files")</f>
        <v>"files":[]</v>
      </c>
      <c r="Z20" s="1"/>
      <c r="AA20" s="1"/>
      <c r="AB20" s="1"/>
      <c r="AC20" s="1" t="str">
        <f>formatRow(Tokens!AS$2:AT$2,Tokens!AS19:AT19,0,"collection")</f>
        <v>"collection":{"name":"",_x000D_
"family":""}</v>
      </c>
      <c r="AD20" s="1"/>
      <c r="AE20" s="1"/>
    </row>
    <row r="21" spans="5:31" ht="14.25" customHeight="1" x14ac:dyDescent="0.25">
      <c r="E21" s="20" t="str">
        <f>IF(Tokens!C20="","",Tokens!C20)</f>
        <v/>
      </c>
      <c r="F21"/>
      <c r="G21"/>
      <c r="H21"/>
      <c r="I21"/>
      <c r="J21"/>
      <c r="K21"/>
      <c r="L21" s="17" t="str">
        <f t="shared" si="0"/>
        <v>_</v>
      </c>
      <c r="M21" s="17"/>
      <c r="N21" s="17"/>
      <c r="O21" s="17"/>
      <c r="P21" s="24" t="str">
        <f>IF(F21&lt;&gt;"",HYPERLINK(Settings!$B$5 &amp; "/manage/?search=token&amp;account=" &amp; ToMint!$B$6 &amp; "&amp;view=" &amp; ToMint!J21,"TokenSol"),"")</f>
        <v/>
      </c>
      <c r="U2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1" s="1" t="str">
        <f>formatRow(Tokens!C$2:I$2,Tokens!C20:I20)</f>
        <v>"name":"",_x000D_
"symbol":"",_x000D_
"description":"",_x000D_
"seller_fee_basis_points":"",_x000D_
"image":"",_x000D_
"Issuer":"",_x000D_
"external_url":""</v>
      </c>
      <c r="W21" s="1" t="str">
        <f>formatRow(Tokens!J$2:U$2,Tokens!J20:U20,2,"attributes")</f>
        <v>"attributes":[]</v>
      </c>
      <c r="X21" s="1" t="str">
        <f>formatRow(Tokens!AD$2:AL$2,Tokens!AD20:AL20,3,"creators")</f>
        <v>"creators":[]</v>
      </c>
      <c r="Y21" s="1" t="str">
        <f>formatRow(Tokens!AM$2:AR$2,Tokens!AM20:AR20,2,"files")</f>
        <v>"files":[]</v>
      </c>
      <c r="Z21" s="1"/>
      <c r="AA21" s="1"/>
      <c r="AB21" s="1"/>
      <c r="AC21" s="1" t="str">
        <f>formatRow(Tokens!AS$2:AT$2,Tokens!AS20:AT20,0,"collection")</f>
        <v>"collection":{"name":"",_x000D_
"family":""}</v>
      </c>
      <c r="AD21" s="1"/>
      <c r="AE21" s="1"/>
    </row>
    <row r="22" spans="5:31" ht="14.25" customHeight="1" x14ac:dyDescent="0.25">
      <c r="E22" s="20" t="str">
        <f>IF(Tokens!C21="","",Tokens!C21)</f>
        <v/>
      </c>
      <c r="F22"/>
      <c r="G22"/>
      <c r="H22"/>
      <c r="I22"/>
      <c r="J22"/>
      <c r="K22"/>
      <c r="L22" s="17" t="str">
        <f t="shared" si="0"/>
        <v>_</v>
      </c>
      <c r="M22" s="17"/>
      <c r="N22" s="17"/>
      <c r="O22" s="17"/>
      <c r="P22" s="24" t="str">
        <f>IF(F22&lt;&gt;"",HYPERLINK(Settings!$B$5 &amp; "/manage/?search=token&amp;account=" &amp; ToMint!$B$6 &amp; "&amp;view=" &amp; ToMint!J22,"TokenSol"),"")</f>
        <v/>
      </c>
      <c r="U2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2" s="1" t="str">
        <f>formatRow(Tokens!C$2:I$2,Tokens!C21:I21)</f>
        <v>"name":"",_x000D_
"symbol":"",_x000D_
"description":"",_x000D_
"seller_fee_basis_points":"",_x000D_
"image":"",_x000D_
"Issuer":"",_x000D_
"external_url":""</v>
      </c>
      <c r="W22" s="1" t="str">
        <f>formatRow(Tokens!J$2:U$2,Tokens!J21:U21,2,"attributes")</f>
        <v>"attributes":[]</v>
      </c>
      <c r="X22" s="1" t="str">
        <f>formatRow(Tokens!AD$2:AL$2,Tokens!AD21:AL21,3,"creators")</f>
        <v>"creators":[]</v>
      </c>
      <c r="Y22" s="1" t="str">
        <f>formatRow(Tokens!AM$2:AR$2,Tokens!AM21:AR21,2,"files")</f>
        <v>"files":[]</v>
      </c>
      <c r="Z22" s="1"/>
      <c r="AA22" s="1"/>
      <c r="AB22" s="1"/>
      <c r="AC22" s="1" t="str">
        <f>formatRow(Tokens!AS$2:AT$2,Tokens!AS21:AT21,0,"collection")</f>
        <v>"collection":{"name":"",_x000D_
"family":""}</v>
      </c>
      <c r="AD22" s="1"/>
      <c r="AE22" s="1"/>
    </row>
    <row r="23" spans="5:31" ht="14.25" customHeight="1" x14ac:dyDescent="0.25">
      <c r="E23" s="20" t="str">
        <f>IF(Tokens!C22="","",Tokens!C22)</f>
        <v/>
      </c>
      <c r="F23"/>
      <c r="G23"/>
      <c r="H23"/>
      <c r="I23"/>
      <c r="J23"/>
      <c r="K23"/>
      <c r="L23" s="17" t="str">
        <f t="shared" si="0"/>
        <v>_</v>
      </c>
      <c r="M23" s="17"/>
      <c r="N23" s="17"/>
      <c r="O23" s="17"/>
      <c r="P23" s="24" t="str">
        <f>IF(F23&lt;&gt;"",HYPERLINK(Settings!$B$5 &amp; "/manage/?search=token&amp;account=" &amp; ToMint!$B$6 &amp; "&amp;view=" &amp; ToMint!J23,"TokenSol"),"")</f>
        <v/>
      </c>
      <c r="U2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3" s="1" t="str">
        <f>formatRow(Tokens!C$2:I$2,Tokens!C22:I22)</f>
        <v>"name":"",_x000D_
"symbol":"",_x000D_
"description":"",_x000D_
"seller_fee_basis_points":"",_x000D_
"image":"",_x000D_
"Issuer":"",_x000D_
"external_url":""</v>
      </c>
      <c r="W23" s="1" t="str">
        <f>formatRow(Tokens!J$2:U$2,Tokens!J22:U22,2,"attributes")</f>
        <v>"attributes":[]</v>
      </c>
      <c r="X23" s="1" t="str">
        <f>formatRow(Tokens!AD$2:AL$2,Tokens!AD22:AL22,3,"creators")</f>
        <v>"creators":[]</v>
      </c>
      <c r="Y23" s="1" t="str">
        <f>formatRow(Tokens!AM$2:AR$2,Tokens!AM22:AR22,2,"files")</f>
        <v>"files":[]</v>
      </c>
      <c r="Z23" s="1"/>
      <c r="AA23" s="1"/>
      <c r="AB23" s="1"/>
      <c r="AC23" s="1" t="str">
        <f>formatRow(Tokens!AS$2:AT$2,Tokens!AS22:AT22,0,"collection")</f>
        <v>"collection":{"name":"",_x000D_
"family":""}</v>
      </c>
      <c r="AD23" s="1"/>
      <c r="AE23" s="1"/>
    </row>
    <row r="24" spans="5:31" ht="14.25" customHeight="1" x14ac:dyDescent="0.25">
      <c r="E24" s="20" t="str">
        <f>IF(Tokens!C23="","",Tokens!C23)</f>
        <v/>
      </c>
      <c r="F24"/>
      <c r="G24"/>
      <c r="H24"/>
      <c r="I24"/>
      <c r="J24"/>
      <c r="K24"/>
      <c r="L24" s="17" t="str">
        <f t="shared" si="0"/>
        <v>_</v>
      </c>
      <c r="M24" s="17"/>
      <c r="N24" s="17"/>
      <c r="O24" s="17"/>
      <c r="P24" s="24" t="str">
        <f>IF(F24&lt;&gt;"",HYPERLINK(Settings!$B$5 &amp; "/manage/?search=token&amp;account=" &amp; ToMint!$B$6 &amp; "&amp;view=" &amp; ToMint!J24,"TokenSol"),"")</f>
        <v/>
      </c>
      <c r="U2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4" s="1" t="str">
        <f>formatRow(Tokens!C$2:I$2,Tokens!C23:I23)</f>
        <v>"name":"",_x000D_
"symbol":"",_x000D_
"description":"",_x000D_
"seller_fee_basis_points":"",_x000D_
"image":"",_x000D_
"Issuer":"",_x000D_
"external_url":""</v>
      </c>
      <c r="W24" s="1" t="str">
        <f>formatRow(Tokens!J$2:U$2,Tokens!J23:U23,2,"attributes")</f>
        <v>"attributes":[]</v>
      </c>
      <c r="X24" s="1" t="str">
        <f>formatRow(Tokens!AD$2:AL$2,Tokens!AD23:AL23,3,"creators")</f>
        <v>"creators":[]</v>
      </c>
      <c r="Y24" s="1" t="str">
        <f>formatRow(Tokens!AM$2:AR$2,Tokens!AM23:AR23,2,"files")</f>
        <v>"files":[]</v>
      </c>
      <c r="Z24" s="1"/>
      <c r="AA24" s="1"/>
      <c r="AB24" s="1"/>
      <c r="AC24" s="1" t="str">
        <f>formatRow(Tokens!AS$2:AT$2,Tokens!AS23:AT23,0,"collection")</f>
        <v>"collection":{"name":"",_x000D_
"family":""}</v>
      </c>
      <c r="AD24" s="1"/>
      <c r="AE24" s="1"/>
    </row>
    <row r="25" spans="5:31" ht="14.25" customHeight="1" x14ac:dyDescent="0.25">
      <c r="E25" s="20" t="str">
        <f>IF(Tokens!C24="","",Tokens!C24)</f>
        <v/>
      </c>
      <c r="F25"/>
      <c r="G25"/>
      <c r="H25"/>
      <c r="I25"/>
      <c r="J25"/>
      <c r="K25"/>
      <c r="L25" s="17" t="str">
        <f t="shared" si="0"/>
        <v>_</v>
      </c>
      <c r="M25" s="17"/>
      <c r="N25" s="17"/>
      <c r="O25" s="17"/>
      <c r="P25" s="24" t="str">
        <f>IF(F25&lt;&gt;"",HYPERLINK(Settings!$B$5 &amp; "/manage/?search=token&amp;account=" &amp; ToMint!$B$6 &amp; "&amp;view=" &amp; ToMint!J25,"TokenSol"),"")</f>
        <v/>
      </c>
      <c r="U2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5" s="1" t="str">
        <f>formatRow(Tokens!C$2:I$2,Tokens!C24:I24)</f>
        <v>"name":"",_x000D_
"symbol":"",_x000D_
"description":"",_x000D_
"seller_fee_basis_points":"",_x000D_
"image":"",_x000D_
"Issuer":"",_x000D_
"external_url":""</v>
      </c>
      <c r="W25" s="1" t="str">
        <f>formatRow(Tokens!J$2:U$2,Tokens!J24:U24,2,"attributes")</f>
        <v>"attributes":[]</v>
      </c>
      <c r="X25" s="1" t="str">
        <f>formatRow(Tokens!AD$2:AL$2,Tokens!AD24:AL24,3,"creators")</f>
        <v>"creators":[]</v>
      </c>
      <c r="Y25" s="1" t="str">
        <f>formatRow(Tokens!AM$2:AR$2,Tokens!AM24:AR24,2,"files")</f>
        <v>"files":[]</v>
      </c>
      <c r="Z25" s="1"/>
      <c r="AA25" s="1"/>
      <c r="AB25" s="1"/>
      <c r="AC25" s="1" t="str">
        <f>formatRow(Tokens!AS$2:AT$2,Tokens!AS24:AT24,0,"collection")</f>
        <v>"collection":{"name":"",_x000D_
"family":""}</v>
      </c>
      <c r="AD25" s="1"/>
      <c r="AE25" s="1"/>
    </row>
    <row r="26" spans="5:31" ht="14.25" customHeight="1" x14ac:dyDescent="0.25">
      <c r="E26" s="20" t="str">
        <f>IF(Tokens!C25="","",Tokens!C25)</f>
        <v/>
      </c>
      <c r="F26"/>
      <c r="G26"/>
      <c r="H26"/>
      <c r="I26"/>
      <c r="J26"/>
      <c r="K26"/>
      <c r="L26" s="17" t="str">
        <f t="shared" si="0"/>
        <v>_</v>
      </c>
      <c r="M26" s="17"/>
      <c r="N26" s="17"/>
      <c r="O26" s="17"/>
      <c r="P26" s="24" t="str">
        <f>IF(F26&lt;&gt;"",HYPERLINK(Settings!$B$5 &amp; "/manage/?search=token&amp;account=" &amp; ToMint!$B$6 &amp; "&amp;view=" &amp; ToMint!J26,"TokenSol"),"")</f>
        <v/>
      </c>
      <c r="U2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6" s="1" t="str">
        <f>formatRow(Tokens!C$2:I$2,Tokens!C25:I25)</f>
        <v>"name":"",_x000D_
"symbol":"",_x000D_
"description":"",_x000D_
"seller_fee_basis_points":"",_x000D_
"image":"",_x000D_
"Issuer":"",_x000D_
"external_url":""</v>
      </c>
      <c r="W26" s="1" t="str">
        <f>formatRow(Tokens!J$2:U$2,Tokens!J25:U25,2,"attributes")</f>
        <v>"attributes":[]</v>
      </c>
      <c r="X26" s="1" t="str">
        <f>formatRow(Tokens!AD$2:AL$2,Tokens!AD25:AL25,3,"creators")</f>
        <v>"creators":[]</v>
      </c>
      <c r="Y26" s="1" t="str">
        <f>formatRow(Tokens!AM$2:AR$2,Tokens!AM25:AR25,2,"files")</f>
        <v>"files":[]</v>
      </c>
      <c r="Z26" s="1"/>
      <c r="AA26" s="1"/>
      <c r="AB26" s="1"/>
      <c r="AC26" s="1" t="str">
        <f>formatRow(Tokens!AS$2:AT$2,Tokens!AS25:AT25,0,"collection")</f>
        <v>"collection":{"name":"",_x000D_
"family":""}</v>
      </c>
      <c r="AD26" s="1"/>
      <c r="AE26" s="1"/>
    </row>
    <row r="27" spans="5:31" ht="14.25" customHeight="1" x14ac:dyDescent="0.25">
      <c r="E27" s="20" t="str">
        <f>IF(Tokens!C26="","",Tokens!C26)</f>
        <v/>
      </c>
      <c r="F27"/>
      <c r="G27"/>
      <c r="H27"/>
      <c r="I27"/>
      <c r="J27"/>
      <c r="K27"/>
      <c r="L27" s="17" t="str">
        <f t="shared" si="0"/>
        <v>_</v>
      </c>
      <c r="M27" s="17"/>
      <c r="N27" s="17"/>
      <c r="O27" s="17"/>
      <c r="P27" s="24" t="str">
        <f>IF(F27&lt;&gt;"",HYPERLINK(Settings!$B$5 &amp; "/manage/?search=token&amp;account=" &amp; ToMint!$B$6 &amp; "&amp;view=" &amp; ToMint!J27,"TokenSol"),"")</f>
        <v/>
      </c>
      <c r="U2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7" s="1" t="str">
        <f>formatRow(Tokens!C$2:I$2,Tokens!C26:I26)</f>
        <v>"name":"",_x000D_
"symbol":"",_x000D_
"description":"",_x000D_
"seller_fee_basis_points":"",_x000D_
"image":"",_x000D_
"Issuer":"",_x000D_
"external_url":""</v>
      </c>
      <c r="W27" s="1" t="str">
        <f>formatRow(Tokens!J$2:U$2,Tokens!J26:U26,2,"attributes")</f>
        <v>"attributes":[]</v>
      </c>
      <c r="X27" s="1" t="str">
        <f>formatRow(Tokens!AD$2:AL$2,Tokens!AD26:AL26,3,"creators")</f>
        <v>"creators":[]</v>
      </c>
      <c r="Y27" s="1" t="str">
        <f>formatRow(Tokens!AM$2:AR$2,Tokens!AM26:AR26,2,"files")</f>
        <v>"files":[]</v>
      </c>
      <c r="Z27" s="1"/>
      <c r="AA27" s="1"/>
      <c r="AB27" s="1"/>
      <c r="AC27" s="1" t="str">
        <f>formatRow(Tokens!AS$2:AT$2,Tokens!AS26:AT26,0,"collection")</f>
        <v>"collection":{"name":"",_x000D_
"family":""}</v>
      </c>
      <c r="AD27" s="1"/>
      <c r="AE27" s="1"/>
    </row>
    <row r="28" spans="5:31" ht="14.25" customHeight="1" x14ac:dyDescent="0.25">
      <c r="E28" s="20" t="str">
        <f>IF(Tokens!C27="","",Tokens!C27)</f>
        <v/>
      </c>
      <c r="F28"/>
      <c r="G28"/>
      <c r="H28"/>
      <c r="I28"/>
      <c r="J28"/>
      <c r="K28"/>
      <c r="L28" s="17" t="str">
        <f t="shared" si="0"/>
        <v>_</v>
      </c>
      <c r="M28" s="17"/>
      <c r="N28" s="17"/>
      <c r="O28" s="17"/>
      <c r="P28" s="24" t="str">
        <f>IF(F28&lt;&gt;"",HYPERLINK(Settings!$B$5 &amp; "/manage/?search=token&amp;account=" &amp; ToMint!$B$6 &amp; "&amp;view=" &amp; ToMint!J28,"TokenSol"),"")</f>
        <v/>
      </c>
      <c r="U2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8" s="1" t="str">
        <f>formatRow(Tokens!C$2:I$2,Tokens!C27:I27)</f>
        <v>"name":"",_x000D_
"symbol":"",_x000D_
"description":"",_x000D_
"seller_fee_basis_points":"",_x000D_
"image":"",_x000D_
"Issuer":"",_x000D_
"external_url":""</v>
      </c>
      <c r="W28" s="1" t="str">
        <f>formatRow(Tokens!J$2:U$2,Tokens!J27:U27,2,"attributes")</f>
        <v>"attributes":[]</v>
      </c>
      <c r="X28" s="1" t="str">
        <f>formatRow(Tokens!AD$2:AL$2,Tokens!AD27:AL27,3,"creators")</f>
        <v>"creators":[]</v>
      </c>
      <c r="Y28" s="1" t="str">
        <f>formatRow(Tokens!AM$2:AR$2,Tokens!AM27:AR27,2,"files")</f>
        <v>"files":[]</v>
      </c>
      <c r="Z28" s="1"/>
      <c r="AA28" s="1"/>
      <c r="AB28" s="1"/>
      <c r="AC28" s="1" t="str">
        <f>formatRow(Tokens!AS$2:AT$2,Tokens!AS27:AT27,0,"collection")</f>
        <v>"collection":{"name":"",_x000D_
"family":""}</v>
      </c>
      <c r="AD28" s="1"/>
      <c r="AE28" s="1"/>
    </row>
    <row r="29" spans="5:31" ht="14.25" customHeight="1" x14ac:dyDescent="0.25">
      <c r="E29" s="20" t="str">
        <f>IF(Tokens!C28="","",Tokens!C28)</f>
        <v/>
      </c>
      <c r="F29"/>
      <c r="G29"/>
      <c r="H29"/>
      <c r="I29"/>
      <c r="J29"/>
      <c r="K29"/>
      <c r="L29" s="17" t="str">
        <f t="shared" si="0"/>
        <v>_</v>
      </c>
      <c r="M29" s="17"/>
      <c r="N29" s="17"/>
      <c r="O29" s="17"/>
      <c r="P29" s="24" t="str">
        <f>IF(F29&lt;&gt;"",HYPERLINK(Settings!$B$5 &amp; "/manage/?search=token&amp;account=" &amp; ToMint!$B$6 &amp; "&amp;view=" &amp; ToMint!J29,"TokenSol"),"")</f>
        <v/>
      </c>
      <c r="U2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29" s="1" t="str">
        <f>formatRow(Tokens!C$2:I$2,Tokens!C28:I28)</f>
        <v>"name":"",_x000D_
"symbol":"",_x000D_
"description":"",_x000D_
"seller_fee_basis_points":"",_x000D_
"image":"",_x000D_
"Issuer":"",_x000D_
"external_url":""</v>
      </c>
      <c r="W29" s="1" t="str">
        <f>formatRow(Tokens!J$2:U$2,Tokens!J28:U28,2,"attributes")</f>
        <v>"attributes":[]</v>
      </c>
      <c r="X29" s="1" t="str">
        <f>formatRow(Tokens!AD$2:AL$2,Tokens!AD28:AL28,3,"creators")</f>
        <v>"creators":[]</v>
      </c>
      <c r="Y29" s="1" t="str">
        <f>formatRow(Tokens!AM$2:AR$2,Tokens!AM28:AR28,2,"files")</f>
        <v>"files":[]</v>
      </c>
      <c r="Z29" s="1"/>
      <c r="AA29" s="1"/>
      <c r="AB29" s="1"/>
      <c r="AC29" s="1" t="str">
        <f>formatRow(Tokens!AS$2:AT$2,Tokens!AS28:AT28,0,"collection")</f>
        <v>"collection":{"name":"",_x000D_
"family":""}</v>
      </c>
      <c r="AD29" s="1"/>
      <c r="AE29" s="1"/>
    </row>
    <row r="30" spans="5:31" ht="14.25" customHeight="1" x14ac:dyDescent="0.25">
      <c r="E30" s="20" t="str">
        <f>IF(Tokens!C29="","",Tokens!C29)</f>
        <v/>
      </c>
      <c r="F30"/>
      <c r="G30"/>
      <c r="H30"/>
      <c r="I30"/>
      <c r="J30"/>
      <c r="K30"/>
      <c r="L30" s="17" t="str">
        <f t="shared" si="0"/>
        <v>_</v>
      </c>
      <c r="M30" s="17"/>
      <c r="N30" s="17"/>
      <c r="O30" s="17"/>
      <c r="P30" s="24" t="str">
        <f>IF(F30&lt;&gt;"",HYPERLINK(Settings!$B$5 &amp; "/manage/?search=token&amp;account=" &amp; ToMint!$B$6 &amp; "&amp;view=" &amp; ToMint!J30,"TokenSol"),"")</f>
        <v/>
      </c>
      <c r="U3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0" s="1" t="str">
        <f>formatRow(Tokens!C$2:I$2,Tokens!C29:I29)</f>
        <v>"name":"",_x000D_
"symbol":"",_x000D_
"description":"",_x000D_
"seller_fee_basis_points":"",_x000D_
"image":"",_x000D_
"Issuer":"",_x000D_
"external_url":""</v>
      </c>
      <c r="W30" s="1" t="str">
        <f>formatRow(Tokens!J$2:U$2,Tokens!J29:U29,2,"attributes")</f>
        <v>"attributes":[]</v>
      </c>
      <c r="X30" s="1" t="str">
        <f>formatRow(Tokens!AD$2:AL$2,Tokens!AD29:AL29,3,"creators")</f>
        <v>"creators":[]</v>
      </c>
      <c r="Y30" s="1" t="str">
        <f>formatRow(Tokens!AM$2:AR$2,Tokens!AM29:AR29,2,"files")</f>
        <v>"files":[]</v>
      </c>
      <c r="Z30" s="1"/>
      <c r="AA30" s="1"/>
      <c r="AB30" s="1"/>
      <c r="AC30" s="1" t="str">
        <f>formatRow(Tokens!AS$2:AT$2,Tokens!AS29:AT29,0,"collection")</f>
        <v>"collection":{"name":"",_x000D_
"family":""}</v>
      </c>
      <c r="AD30" s="1"/>
      <c r="AE30" s="1"/>
    </row>
    <row r="31" spans="5:31" ht="14.25" customHeight="1" x14ac:dyDescent="0.25">
      <c r="E31" s="20" t="str">
        <f>IF(Tokens!C30="","",Tokens!C30)</f>
        <v/>
      </c>
      <c r="F31"/>
      <c r="G31"/>
      <c r="H31"/>
      <c r="I31"/>
      <c r="J31"/>
      <c r="K31"/>
      <c r="L31" s="17" t="str">
        <f t="shared" si="0"/>
        <v>_</v>
      </c>
      <c r="M31" s="17"/>
      <c r="N31" s="17"/>
      <c r="O31" s="17"/>
      <c r="P31" s="24" t="str">
        <f>IF(F31&lt;&gt;"",HYPERLINK(Settings!$B$5 &amp; "/manage/?search=token&amp;account=" &amp; ToMint!$B$6 &amp; "&amp;view=" &amp; ToMint!J31,"TokenSol"),"")</f>
        <v/>
      </c>
      <c r="U3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1" s="1" t="str">
        <f>formatRow(Tokens!C$2:I$2,Tokens!C30:I30)</f>
        <v>"name":"",_x000D_
"symbol":"",_x000D_
"description":"",_x000D_
"seller_fee_basis_points":"",_x000D_
"image":"",_x000D_
"Issuer":"",_x000D_
"external_url":""</v>
      </c>
      <c r="W31" s="1" t="str">
        <f>formatRow(Tokens!J$2:U$2,Tokens!J30:U30,2,"attributes")</f>
        <v>"attributes":[]</v>
      </c>
      <c r="X31" s="1" t="str">
        <f>formatRow(Tokens!AD$2:AL$2,Tokens!AD30:AL30,3,"creators")</f>
        <v>"creators":[]</v>
      </c>
      <c r="Y31" s="1" t="str">
        <f>formatRow(Tokens!AM$2:AR$2,Tokens!AM30:AR30,2,"files")</f>
        <v>"files":[]</v>
      </c>
      <c r="Z31" s="1"/>
      <c r="AA31" s="1"/>
      <c r="AB31" s="1"/>
      <c r="AC31" s="1" t="str">
        <f>formatRow(Tokens!AS$2:AT$2,Tokens!AS30:AT30,0,"collection")</f>
        <v>"collection":{"name":"",_x000D_
"family":""}</v>
      </c>
      <c r="AD31" s="1"/>
      <c r="AE31" s="1"/>
    </row>
    <row r="32" spans="5:31" ht="14.25" customHeight="1" x14ac:dyDescent="0.25">
      <c r="E32" s="20" t="str">
        <f>IF(Tokens!C31="","",Tokens!C31)</f>
        <v/>
      </c>
      <c r="F32"/>
      <c r="G32"/>
      <c r="H32"/>
      <c r="I32"/>
      <c r="J32"/>
      <c r="K32"/>
      <c r="L32" s="17" t="str">
        <f t="shared" si="0"/>
        <v>_</v>
      </c>
      <c r="M32" s="17"/>
      <c r="N32" s="17"/>
      <c r="O32" s="17"/>
      <c r="P32" s="24" t="str">
        <f>IF(F32&lt;&gt;"",HYPERLINK(Settings!$B$5 &amp; "/manage/?search=token&amp;account=" &amp; ToMint!$B$6 &amp; "&amp;view=" &amp; ToMint!J32,"TokenSol"),"")</f>
        <v/>
      </c>
      <c r="U3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2" s="1" t="str">
        <f>formatRow(Tokens!C$2:I$2,Tokens!C31:I31)</f>
        <v>"name":"",_x000D_
"symbol":"",_x000D_
"description":"",_x000D_
"seller_fee_basis_points":"",_x000D_
"image":"",_x000D_
"Issuer":"",_x000D_
"external_url":""</v>
      </c>
      <c r="W32" s="1" t="str">
        <f>formatRow(Tokens!J$2:U$2,Tokens!J31:U31,2,"attributes")</f>
        <v>"attributes":[]</v>
      </c>
      <c r="X32" s="1" t="str">
        <f>formatRow(Tokens!AD$2:AL$2,Tokens!AD31:AL31,3,"creators")</f>
        <v>"creators":[]</v>
      </c>
      <c r="Y32" s="1" t="str">
        <f>formatRow(Tokens!AM$2:AR$2,Tokens!AM31:AR31,2,"files")</f>
        <v>"files":[]</v>
      </c>
      <c r="Z32" s="1"/>
      <c r="AA32" s="1"/>
      <c r="AB32" s="1"/>
      <c r="AC32" s="1" t="str">
        <f>formatRow(Tokens!AS$2:AT$2,Tokens!AS31:AT31,0,"collection")</f>
        <v>"collection":{"name":"",_x000D_
"family":""}</v>
      </c>
      <c r="AD32" s="1"/>
      <c r="AE32" s="1"/>
    </row>
    <row r="33" spans="5:31" ht="14.25" customHeight="1" x14ac:dyDescent="0.25">
      <c r="E33" s="20" t="str">
        <f>IF(Tokens!C32="","",Tokens!C32)</f>
        <v/>
      </c>
      <c r="F33"/>
      <c r="G33"/>
      <c r="H33"/>
      <c r="I33"/>
      <c r="J33"/>
      <c r="K33"/>
      <c r="L33" s="17" t="str">
        <f t="shared" si="0"/>
        <v>_</v>
      </c>
      <c r="M33" s="17"/>
      <c r="N33" s="17"/>
      <c r="O33" s="17"/>
      <c r="P33" s="24" t="str">
        <f>IF(F33&lt;&gt;"",HYPERLINK(Settings!$B$5 &amp; "/manage/?search=token&amp;account=" &amp; ToMint!$B$6 &amp; "&amp;view=" &amp; ToMint!J33,"TokenSol"),"")</f>
        <v/>
      </c>
      <c r="U3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3" s="1" t="str">
        <f>formatRow(Tokens!C$2:I$2,Tokens!C32:I32)</f>
        <v>"name":"",_x000D_
"symbol":"",_x000D_
"description":"",_x000D_
"seller_fee_basis_points":"",_x000D_
"image":"",_x000D_
"Issuer":"",_x000D_
"external_url":""</v>
      </c>
      <c r="W33" s="1" t="str">
        <f>formatRow(Tokens!J$2:U$2,Tokens!J32:U32,2,"attributes")</f>
        <v>"attributes":[]</v>
      </c>
      <c r="X33" s="1" t="str">
        <f>formatRow(Tokens!AD$2:AL$2,Tokens!AD32:AL32,3,"creators")</f>
        <v>"creators":[]</v>
      </c>
      <c r="Y33" s="1" t="str">
        <f>formatRow(Tokens!AM$2:AR$2,Tokens!AM32:AR32,2,"files")</f>
        <v>"files":[]</v>
      </c>
      <c r="Z33" s="1"/>
      <c r="AA33" s="1"/>
      <c r="AB33" s="1"/>
      <c r="AC33" s="1" t="str">
        <f>formatRow(Tokens!AS$2:AT$2,Tokens!AS32:AT32,0,"collection")</f>
        <v>"collection":{"name":"",_x000D_
"family":""}</v>
      </c>
      <c r="AD33" s="1"/>
      <c r="AE33" s="1"/>
    </row>
    <row r="34" spans="5:31" ht="14.25" customHeight="1" x14ac:dyDescent="0.25">
      <c r="E34" s="20" t="str">
        <f>IF(Tokens!C33="","",Tokens!C33)</f>
        <v/>
      </c>
      <c r="F34"/>
      <c r="G34"/>
      <c r="H34"/>
      <c r="I34"/>
      <c r="J34"/>
      <c r="K34"/>
      <c r="L34" s="17" t="str">
        <f t="shared" si="0"/>
        <v>_</v>
      </c>
      <c r="M34" s="17"/>
      <c r="N34" s="17"/>
      <c r="O34" s="17"/>
      <c r="P34" s="24" t="str">
        <f>IF(F34&lt;&gt;"",HYPERLINK(Settings!$B$5 &amp; "/manage/?search=token&amp;account=" &amp; ToMint!$B$6 &amp; "&amp;view=" &amp; ToMint!J34,"TokenSol"),"")</f>
        <v/>
      </c>
      <c r="U3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4" s="1" t="str">
        <f>formatRow(Tokens!C$2:I$2,Tokens!C33:I33)</f>
        <v>"name":"",_x000D_
"symbol":"",_x000D_
"description":"",_x000D_
"seller_fee_basis_points":"",_x000D_
"image":"",_x000D_
"Issuer":"",_x000D_
"external_url":""</v>
      </c>
      <c r="W34" s="1" t="str">
        <f>formatRow(Tokens!J$2:U$2,Tokens!J33:U33,2,"attributes")</f>
        <v>"attributes":[]</v>
      </c>
      <c r="X34" s="1" t="str">
        <f>formatRow(Tokens!AD$2:AL$2,Tokens!AD33:AL33,3,"creators")</f>
        <v>"creators":[]</v>
      </c>
      <c r="Y34" s="1" t="str">
        <f>formatRow(Tokens!AM$2:AR$2,Tokens!AM33:AR33,2,"files")</f>
        <v>"files":[]</v>
      </c>
      <c r="Z34" s="1"/>
      <c r="AA34" s="1"/>
      <c r="AB34" s="1"/>
      <c r="AC34" s="1" t="str">
        <f>formatRow(Tokens!AS$2:AT$2,Tokens!AS33:AT33,0,"collection")</f>
        <v>"collection":{"name":"",_x000D_
"family":""}</v>
      </c>
      <c r="AD34" s="1"/>
      <c r="AE34" s="1"/>
    </row>
    <row r="35" spans="5:31" ht="14.25" customHeight="1" x14ac:dyDescent="0.25">
      <c r="E35" s="20" t="str">
        <f>IF(Tokens!C34="","",Tokens!C34)</f>
        <v/>
      </c>
      <c r="F35"/>
      <c r="G35"/>
      <c r="H35"/>
      <c r="I35"/>
      <c r="J35"/>
      <c r="K35"/>
      <c r="L35" s="17" t="str">
        <f t="shared" si="0"/>
        <v>_</v>
      </c>
      <c r="M35" s="17"/>
      <c r="N35" s="17"/>
      <c r="O35" s="17"/>
      <c r="P35" s="24" t="str">
        <f>IF(F35&lt;&gt;"",HYPERLINK(Settings!$B$5 &amp; "/manage/?search=token&amp;account=" &amp; ToMint!$B$6 &amp; "&amp;view=" &amp; ToMint!J35,"TokenSol"),"")</f>
        <v/>
      </c>
      <c r="U3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5" s="1" t="str">
        <f>formatRow(Tokens!C$2:I$2,Tokens!C34:I34)</f>
        <v>"name":"",_x000D_
"symbol":"",_x000D_
"description":"",_x000D_
"seller_fee_basis_points":"",_x000D_
"image":"",_x000D_
"Issuer":"",_x000D_
"external_url":""</v>
      </c>
      <c r="W35" s="1" t="str">
        <f>formatRow(Tokens!J$2:U$2,Tokens!J34:U34,2,"attributes")</f>
        <v>"attributes":[]</v>
      </c>
      <c r="X35" s="1" t="str">
        <f>formatRow(Tokens!AD$2:AL$2,Tokens!AD34:AL34,3,"creators")</f>
        <v>"creators":[]</v>
      </c>
      <c r="Y35" s="1" t="str">
        <f>formatRow(Tokens!AM$2:AR$2,Tokens!AM34:AR34,2,"files")</f>
        <v>"files":[]</v>
      </c>
      <c r="Z35" s="1"/>
      <c r="AA35" s="1"/>
      <c r="AB35" s="1"/>
      <c r="AC35" s="1" t="str">
        <f>formatRow(Tokens!AS$2:AT$2,Tokens!AS34:AT34,0,"collection")</f>
        <v>"collection":{"name":"",_x000D_
"family":""}</v>
      </c>
      <c r="AD35" s="1"/>
      <c r="AE35" s="1"/>
    </row>
    <row r="36" spans="5:31" ht="14.25" customHeight="1" x14ac:dyDescent="0.25">
      <c r="E36" s="20" t="str">
        <f>IF(Tokens!C35="","",Tokens!C35)</f>
        <v/>
      </c>
      <c r="F36"/>
      <c r="G36"/>
      <c r="H36"/>
      <c r="I36"/>
      <c r="J36"/>
      <c r="K36"/>
      <c r="L36" s="17" t="str">
        <f t="shared" si="0"/>
        <v>_</v>
      </c>
      <c r="M36" s="17"/>
      <c r="N36" s="17"/>
      <c r="O36" s="17"/>
      <c r="P36" s="24" t="str">
        <f>IF(F36&lt;&gt;"",HYPERLINK(Settings!$B$5 &amp; "/manage/?search=token&amp;account=" &amp; ToMint!$B$6 &amp; "&amp;view=" &amp; ToMint!J36,"TokenSol"),"")</f>
        <v/>
      </c>
      <c r="U3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6" s="1" t="str">
        <f>formatRow(Tokens!C$2:I$2,Tokens!C35:I35)</f>
        <v>"name":"",_x000D_
"symbol":"",_x000D_
"description":"",_x000D_
"seller_fee_basis_points":"",_x000D_
"image":"",_x000D_
"Issuer":"",_x000D_
"external_url":""</v>
      </c>
      <c r="W36" s="1" t="str">
        <f>formatRow(Tokens!J$2:U$2,Tokens!J35:U35,2,"attributes")</f>
        <v>"attributes":[]</v>
      </c>
      <c r="X36" s="1" t="str">
        <f>formatRow(Tokens!AD$2:AL$2,Tokens!AD35:AL35,3,"creators")</f>
        <v>"creators":[]</v>
      </c>
      <c r="Y36" s="1" t="str">
        <f>formatRow(Tokens!AM$2:AR$2,Tokens!AM35:AR35,2,"files")</f>
        <v>"files":[]</v>
      </c>
      <c r="Z36" s="1"/>
      <c r="AA36" s="1"/>
      <c r="AB36" s="1"/>
      <c r="AC36" s="1" t="str">
        <f>formatRow(Tokens!AS$2:AT$2,Tokens!AS35:AT35,0,"collection")</f>
        <v>"collection":{"name":"",_x000D_
"family":""}</v>
      </c>
      <c r="AD36" s="1"/>
      <c r="AE36" s="1"/>
    </row>
    <row r="37" spans="5:31" ht="14.25" customHeight="1" x14ac:dyDescent="0.25">
      <c r="E37" s="20" t="str">
        <f>IF(Tokens!C36="","",Tokens!C36)</f>
        <v/>
      </c>
      <c r="F37"/>
      <c r="G37"/>
      <c r="H37"/>
      <c r="I37"/>
      <c r="J37"/>
      <c r="K37"/>
      <c r="L37" s="17" t="str">
        <f t="shared" si="0"/>
        <v>_</v>
      </c>
      <c r="M37" s="17"/>
      <c r="N37" s="17"/>
      <c r="O37" s="17"/>
      <c r="P37" s="24" t="str">
        <f>IF(F37&lt;&gt;"",HYPERLINK(Settings!$B$5 &amp; "/manage/?search=token&amp;account=" &amp; ToMint!$B$6 &amp; "&amp;view=" &amp; ToMint!J37,"TokenSol"),"")</f>
        <v/>
      </c>
      <c r="U3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7" s="1" t="str">
        <f>formatRow(Tokens!C$2:I$2,Tokens!C36:I36)</f>
        <v>"name":"",_x000D_
"symbol":"",_x000D_
"description":"",_x000D_
"seller_fee_basis_points":"",_x000D_
"image":"",_x000D_
"Issuer":"",_x000D_
"external_url":""</v>
      </c>
      <c r="W37" s="1" t="str">
        <f>formatRow(Tokens!J$2:U$2,Tokens!J36:U36,2,"attributes")</f>
        <v>"attributes":[]</v>
      </c>
      <c r="X37" s="1" t="str">
        <f>formatRow(Tokens!AD$2:AL$2,Tokens!AD36:AL36,3,"creators")</f>
        <v>"creators":[]</v>
      </c>
      <c r="Y37" s="1" t="str">
        <f>formatRow(Tokens!AM$2:AR$2,Tokens!AM36:AR36,2,"files")</f>
        <v>"files":[]</v>
      </c>
      <c r="Z37" s="1"/>
      <c r="AA37" s="1"/>
      <c r="AB37" s="1"/>
      <c r="AC37" s="1" t="str">
        <f>formatRow(Tokens!AS$2:AT$2,Tokens!AS36:AT36,0,"collection")</f>
        <v>"collection":{"name":"",_x000D_
"family":""}</v>
      </c>
      <c r="AD37" s="1"/>
      <c r="AE37" s="1"/>
    </row>
    <row r="38" spans="5:31" ht="14.25" customHeight="1" x14ac:dyDescent="0.25">
      <c r="E38" s="20" t="str">
        <f>IF(Tokens!C37="","",Tokens!C37)</f>
        <v/>
      </c>
      <c r="F38"/>
      <c r="G38"/>
      <c r="H38"/>
      <c r="I38"/>
      <c r="J38"/>
      <c r="K38"/>
      <c r="L38" s="17" t="str">
        <f t="shared" si="0"/>
        <v>_</v>
      </c>
      <c r="M38" s="17"/>
      <c r="N38" s="17"/>
      <c r="O38" s="17"/>
      <c r="P38" s="24" t="str">
        <f>IF(F38&lt;&gt;"",HYPERLINK(Settings!$B$5 &amp; "/manage/?search=token&amp;account=" &amp; ToMint!$B$6 &amp; "&amp;view=" &amp; ToMint!J38,"TokenSol"),"")</f>
        <v/>
      </c>
      <c r="U3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8" s="1" t="str">
        <f>formatRow(Tokens!C$2:I$2,Tokens!C37:I37)</f>
        <v>"name":"",_x000D_
"symbol":"",_x000D_
"description":"",_x000D_
"seller_fee_basis_points":"",_x000D_
"image":"",_x000D_
"Issuer":"",_x000D_
"external_url":""</v>
      </c>
      <c r="W38" s="1" t="str">
        <f>formatRow(Tokens!J$2:U$2,Tokens!J37:U37,2,"attributes")</f>
        <v>"attributes":[]</v>
      </c>
      <c r="X38" s="1" t="str">
        <f>formatRow(Tokens!AD$2:AL$2,Tokens!AD37:AL37,3,"creators")</f>
        <v>"creators":[]</v>
      </c>
      <c r="Y38" s="1" t="str">
        <f>formatRow(Tokens!AM$2:AR$2,Tokens!AM37:AR37,2,"files")</f>
        <v>"files":[]</v>
      </c>
      <c r="Z38" s="1"/>
      <c r="AA38" s="1"/>
      <c r="AB38" s="1"/>
      <c r="AC38" s="1" t="str">
        <f>formatRow(Tokens!AS$2:AT$2,Tokens!AS37:AT37,0,"collection")</f>
        <v>"collection":{"name":"",_x000D_
"family":""}</v>
      </c>
      <c r="AD38" s="1"/>
      <c r="AE38" s="1"/>
    </row>
    <row r="39" spans="5:31" ht="14.25" customHeight="1" x14ac:dyDescent="0.25">
      <c r="E39" s="20" t="str">
        <f>IF(Tokens!C38="","",Tokens!C38)</f>
        <v/>
      </c>
      <c r="F39"/>
      <c r="G39"/>
      <c r="H39"/>
      <c r="I39"/>
      <c r="J39"/>
      <c r="K39"/>
      <c r="L39" s="17" t="str">
        <f t="shared" si="0"/>
        <v>_</v>
      </c>
      <c r="M39" s="17"/>
      <c r="N39" s="17"/>
      <c r="O39" s="17"/>
      <c r="P39" s="24" t="str">
        <f>IF(F39&lt;&gt;"",HYPERLINK(Settings!$B$5 &amp; "/manage/?search=token&amp;account=" &amp; ToMint!$B$6 &amp; "&amp;view=" &amp; ToMint!J39,"TokenSol"),"")</f>
        <v/>
      </c>
      <c r="U3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39" s="1" t="str">
        <f>formatRow(Tokens!C$2:I$2,Tokens!C38:I38)</f>
        <v>"name":"",_x000D_
"symbol":"",_x000D_
"description":"",_x000D_
"seller_fee_basis_points":"",_x000D_
"image":"",_x000D_
"Issuer":"",_x000D_
"external_url":""</v>
      </c>
      <c r="W39" s="1" t="str">
        <f>formatRow(Tokens!J$2:U$2,Tokens!J38:U38,2,"attributes")</f>
        <v>"attributes":[]</v>
      </c>
      <c r="X39" s="1" t="str">
        <f>formatRow(Tokens!AD$2:AL$2,Tokens!AD38:AL38,3,"creators")</f>
        <v>"creators":[]</v>
      </c>
      <c r="Y39" s="1" t="str">
        <f>formatRow(Tokens!AM$2:AR$2,Tokens!AM38:AR38,2,"files")</f>
        <v>"files":[]</v>
      </c>
      <c r="Z39" s="1"/>
      <c r="AA39" s="1"/>
      <c r="AB39" s="1"/>
      <c r="AC39" s="1" t="str">
        <f>formatRow(Tokens!AS$2:AT$2,Tokens!AS38:AT38,0,"collection")</f>
        <v>"collection":{"name":"",_x000D_
"family":""}</v>
      </c>
      <c r="AD39" s="1"/>
      <c r="AE39" s="1"/>
    </row>
    <row r="40" spans="5:31" ht="14.25" customHeight="1" x14ac:dyDescent="0.25">
      <c r="E40" s="20" t="str">
        <f>IF(Tokens!C39="","",Tokens!C39)</f>
        <v/>
      </c>
      <c r="F40"/>
      <c r="G40"/>
      <c r="H40"/>
      <c r="I40"/>
      <c r="J40"/>
      <c r="K40"/>
      <c r="L40" s="17" t="str">
        <f t="shared" si="0"/>
        <v>_</v>
      </c>
      <c r="M40" s="17"/>
      <c r="N40" s="17"/>
      <c r="O40" s="17"/>
      <c r="P40" s="24" t="str">
        <f>IF(F40&lt;&gt;"",HYPERLINK(Settings!$B$5 &amp; "/manage/?search=token&amp;account=" &amp; ToMint!$B$6 &amp; "&amp;view=" &amp; ToMint!J40,"TokenSol"),"")</f>
        <v/>
      </c>
      <c r="U4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0" s="1" t="str">
        <f>formatRow(Tokens!C$2:I$2,Tokens!C39:I39)</f>
        <v>"name":"",_x000D_
"symbol":"",_x000D_
"description":"",_x000D_
"seller_fee_basis_points":"",_x000D_
"image":"",_x000D_
"Issuer":"",_x000D_
"external_url":""</v>
      </c>
      <c r="W40" s="1" t="str">
        <f>formatRow(Tokens!J$2:U$2,Tokens!J39:U39,2,"attributes")</f>
        <v>"attributes":[]</v>
      </c>
      <c r="X40" s="1" t="str">
        <f>formatRow(Tokens!AD$2:AL$2,Tokens!AD39:AL39,3,"creators")</f>
        <v>"creators":[]</v>
      </c>
      <c r="Y40" s="1" t="str">
        <f>formatRow(Tokens!AM$2:AR$2,Tokens!AM39:AR39,2,"files")</f>
        <v>"files":[]</v>
      </c>
      <c r="Z40" s="1"/>
      <c r="AA40" s="1"/>
      <c r="AB40" s="1"/>
      <c r="AC40" s="1" t="str">
        <f>formatRow(Tokens!AS$2:AT$2,Tokens!AS39:AT39,0,"collection")</f>
        <v>"collection":{"name":"",_x000D_
"family":""}</v>
      </c>
      <c r="AD40" s="1"/>
      <c r="AE40" s="1"/>
    </row>
    <row r="41" spans="5:31" ht="14.25" customHeight="1" x14ac:dyDescent="0.25">
      <c r="E41" s="20" t="str">
        <f>IF(Tokens!C40="","",Tokens!C40)</f>
        <v/>
      </c>
      <c r="F41"/>
      <c r="G41"/>
      <c r="H41"/>
      <c r="I41"/>
      <c r="J41"/>
      <c r="K41"/>
      <c r="L41" s="17" t="str">
        <f t="shared" si="0"/>
        <v>_</v>
      </c>
      <c r="M41" s="17"/>
      <c r="N41" s="17"/>
      <c r="O41" s="17"/>
      <c r="P41" s="24" t="str">
        <f>IF(F41&lt;&gt;"",HYPERLINK(Settings!$B$5 &amp; "/manage/?search=token&amp;account=" &amp; ToMint!$B$6 &amp; "&amp;view=" &amp; ToMint!J41,"TokenSol"),"")</f>
        <v/>
      </c>
      <c r="U4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1" s="1" t="str">
        <f>formatRow(Tokens!C$2:I$2,Tokens!C40:I40)</f>
        <v>"name":"",_x000D_
"symbol":"",_x000D_
"description":"",_x000D_
"seller_fee_basis_points":"",_x000D_
"image":"",_x000D_
"Issuer":"",_x000D_
"external_url":""</v>
      </c>
      <c r="W41" s="1" t="str">
        <f>formatRow(Tokens!J$2:U$2,Tokens!J40:U40,2,"attributes")</f>
        <v>"attributes":[]</v>
      </c>
      <c r="X41" s="1" t="str">
        <f>formatRow(Tokens!AD$2:AL$2,Tokens!AD40:AL40,3,"creators")</f>
        <v>"creators":[]</v>
      </c>
      <c r="Y41" s="1" t="str">
        <f>formatRow(Tokens!AM$2:AR$2,Tokens!AM40:AR40,2,"files")</f>
        <v>"files":[]</v>
      </c>
      <c r="Z41" s="1"/>
      <c r="AA41" s="1"/>
      <c r="AB41" s="1"/>
      <c r="AC41" s="1" t="str">
        <f>formatRow(Tokens!AS$2:AT$2,Tokens!AS40:AT40,0,"collection")</f>
        <v>"collection":{"name":"",_x000D_
"family":""}</v>
      </c>
      <c r="AD41" s="1"/>
      <c r="AE41" s="1"/>
    </row>
    <row r="42" spans="5:31" ht="14.25" customHeight="1" x14ac:dyDescent="0.25">
      <c r="E42" s="20" t="str">
        <f>IF(Tokens!C41="","",Tokens!C41)</f>
        <v/>
      </c>
      <c r="F42"/>
      <c r="G42"/>
      <c r="H42"/>
      <c r="I42"/>
      <c r="J42"/>
      <c r="K42"/>
      <c r="L42" s="17" t="str">
        <f t="shared" si="0"/>
        <v>_</v>
      </c>
      <c r="M42" s="17"/>
      <c r="N42" s="17"/>
      <c r="O42" s="17"/>
      <c r="P42" s="24" t="str">
        <f>IF(F42&lt;&gt;"",HYPERLINK(Settings!$B$5 &amp; "/manage/?search=token&amp;account=" &amp; ToMint!$B$6 &amp; "&amp;view=" &amp; ToMint!J42,"TokenSol"),"")</f>
        <v/>
      </c>
      <c r="U4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2" s="1" t="str">
        <f>formatRow(Tokens!C$2:I$2,Tokens!C41:I41)</f>
        <v>"name":"",_x000D_
"symbol":"",_x000D_
"description":"",_x000D_
"seller_fee_basis_points":"",_x000D_
"image":"",_x000D_
"Issuer":"",_x000D_
"external_url":""</v>
      </c>
      <c r="W42" s="1" t="str">
        <f>formatRow(Tokens!J$2:U$2,Tokens!J41:U41,2,"attributes")</f>
        <v>"attributes":[]</v>
      </c>
      <c r="X42" s="1" t="str">
        <f>formatRow(Tokens!AD$2:AL$2,Tokens!AD41:AL41,3,"creators")</f>
        <v>"creators":[]</v>
      </c>
      <c r="Y42" s="1" t="str">
        <f>formatRow(Tokens!AM$2:AR$2,Tokens!AM41:AR41,2,"files")</f>
        <v>"files":[]</v>
      </c>
      <c r="Z42" s="1"/>
      <c r="AA42" s="1"/>
      <c r="AB42" s="1"/>
      <c r="AC42" s="1" t="str">
        <f>formatRow(Tokens!AS$2:AT$2,Tokens!AS41:AT41,0,"collection")</f>
        <v>"collection":{"name":"",_x000D_
"family":""}</v>
      </c>
      <c r="AD42" s="1"/>
      <c r="AE42" s="1"/>
    </row>
    <row r="43" spans="5:31" ht="14.25" customHeight="1" x14ac:dyDescent="0.25">
      <c r="E43" s="20" t="str">
        <f>IF(Tokens!C42="","",Tokens!C42)</f>
        <v/>
      </c>
      <c r="F43"/>
      <c r="G43"/>
      <c r="H43"/>
      <c r="I43"/>
      <c r="J43"/>
      <c r="K43"/>
      <c r="L43" s="17" t="str">
        <f t="shared" si="0"/>
        <v>_</v>
      </c>
      <c r="M43" s="17"/>
      <c r="N43" s="17"/>
      <c r="O43" s="17"/>
      <c r="P43" s="24" t="str">
        <f>IF(F43&lt;&gt;"",HYPERLINK(Settings!$B$5 &amp; "/manage/?search=token&amp;account=" &amp; ToMint!$B$6 &amp; "&amp;view=" &amp; ToMint!J43,"TokenSol"),"")</f>
        <v/>
      </c>
      <c r="U4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3" s="1" t="str">
        <f>formatRow(Tokens!C$2:I$2,Tokens!C42:I42)</f>
        <v>"name":"",_x000D_
"symbol":"",_x000D_
"description":"",_x000D_
"seller_fee_basis_points":"",_x000D_
"image":"",_x000D_
"Issuer":"",_x000D_
"external_url":""</v>
      </c>
      <c r="W43" s="1" t="str">
        <f>formatRow(Tokens!J$2:U$2,Tokens!J42:U42,2,"attributes")</f>
        <v>"attributes":[]</v>
      </c>
      <c r="X43" s="1" t="str">
        <f>formatRow(Tokens!AD$2:AL$2,Tokens!AD42:AL42,3,"creators")</f>
        <v>"creators":[]</v>
      </c>
      <c r="Y43" s="1" t="str">
        <f>formatRow(Tokens!AM$2:AR$2,Tokens!AM42:AR42,2,"files")</f>
        <v>"files":[]</v>
      </c>
      <c r="Z43" s="1"/>
      <c r="AA43" s="1"/>
      <c r="AB43" s="1"/>
      <c r="AC43" s="1" t="str">
        <f>formatRow(Tokens!AS$2:AT$2,Tokens!AS42:AT42,0,"collection")</f>
        <v>"collection":{"name":"",_x000D_
"family":""}</v>
      </c>
      <c r="AD43" s="1"/>
      <c r="AE43" s="1"/>
    </row>
    <row r="44" spans="5:31" ht="14.25" customHeight="1" x14ac:dyDescent="0.25">
      <c r="E44" s="20" t="str">
        <f>IF(Tokens!C43="","",Tokens!C43)</f>
        <v/>
      </c>
      <c r="F44"/>
      <c r="G44"/>
      <c r="H44"/>
      <c r="I44"/>
      <c r="J44"/>
      <c r="K44"/>
      <c r="L44" s="17" t="str">
        <f t="shared" si="0"/>
        <v>_</v>
      </c>
      <c r="M44" s="17"/>
      <c r="N44" s="17"/>
      <c r="O44" s="17"/>
      <c r="P44" s="24" t="str">
        <f>IF(F44&lt;&gt;"",HYPERLINK(Settings!$B$5 &amp; "/manage/?search=token&amp;account=" &amp; ToMint!$B$6 &amp; "&amp;view=" &amp; ToMint!J44,"TokenSol"),"")</f>
        <v/>
      </c>
      <c r="U4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4" s="1" t="str">
        <f>formatRow(Tokens!C$2:I$2,Tokens!C43:I43)</f>
        <v>"name":"",_x000D_
"symbol":"",_x000D_
"description":"",_x000D_
"seller_fee_basis_points":"",_x000D_
"image":"",_x000D_
"Issuer":"",_x000D_
"external_url":""</v>
      </c>
      <c r="W44" s="1" t="str">
        <f>formatRow(Tokens!J$2:U$2,Tokens!J43:U43,2,"attributes")</f>
        <v>"attributes":[]</v>
      </c>
      <c r="X44" s="1" t="str">
        <f>formatRow(Tokens!AD$2:AL$2,Tokens!AD43:AL43,3,"creators")</f>
        <v>"creators":[]</v>
      </c>
      <c r="Y44" s="1" t="str">
        <f>formatRow(Tokens!AM$2:AR$2,Tokens!AM43:AR43,2,"files")</f>
        <v>"files":[]</v>
      </c>
      <c r="Z44" s="1"/>
      <c r="AA44" s="1"/>
      <c r="AB44" s="1"/>
      <c r="AC44" s="1" t="str">
        <f>formatRow(Tokens!AS$2:AT$2,Tokens!AS43:AT43,0,"collection")</f>
        <v>"collection":{"name":"",_x000D_
"family":""}</v>
      </c>
      <c r="AD44" s="1"/>
      <c r="AE44" s="1"/>
    </row>
    <row r="45" spans="5:31" ht="14.25" customHeight="1" x14ac:dyDescent="0.25">
      <c r="E45" s="20" t="str">
        <f>IF(Tokens!C44="","",Tokens!C44)</f>
        <v/>
      </c>
      <c r="F45"/>
      <c r="G45"/>
      <c r="H45"/>
      <c r="I45"/>
      <c r="J45"/>
      <c r="K45"/>
      <c r="L45" s="17" t="str">
        <f t="shared" si="0"/>
        <v>_</v>
      </c>
      <c r="M45" s="17"/>
      <c r="N45" s="17"/>
      <c r="O45" s="17"/>
      <c r="P45" s="24" t="str">
        <f>IF(F45&lt;&gt;"",HYPERLINK(Settings!$B$5 &amp; "/manage/?search=token&amp;account=" &amp; ToMint!$B$6 &amp; "&amp;view=" &amp; ToMint!J45,"TokenSol"),"")</f>
        <v/>
      </c>
      <c r="U4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5" s="1" t="str">
        <f>formatRow(Tokens!C$2:I$2,Tokens!C44:I44)</f>
        <v>"name":"",_x000D_
"symbol":"",_x000D_
"description":"",_x000D_
"seller_fee_basis_points":"",_x000D_
"image":"",_x000D_
"Issuer":"",_x000D_
"external_url":""</v>
      </c>
      <c r="W45" s="1" t="str">
        <f>formatRow(Tokens!J$2:U$2,Tokens!J44:U44,2,"attributes")</f>
        <v>"attributes":[]</v>
      </c>
      <c r="X45" s="1" t="str">
        <f>formatRow(Tokens!AD$2:AL$2,Tokens!AD44:AL44,3,"creators")</f>
        <v>"creators":[]</v>
      </c>
      <c r="Y45" s="1" t="str">
        <f>formatRow(Tokens!AM$2:AR$2,Tokens!AM44:AR44,2,"files")</f>
        <v>"files":[]</v>
      </c>
      <c r="Z45" s="1"/>
      <c r="AA45" s="1"/>
      <c r="AB45" s="1"/>
      <c r="AC45" s="1" t="str">
        <f>formatRow(Tokens!AS$2:AT$2,Tokens!AS44:AT44,0,"collection")</f>
        <v>"collection":{"name":"",_x000D_
"family":""}</v>
      </c>
      <c r="AD45" s="1"/>
      <c r="AE45" s="1"/>
    </row>
    <row r="46" spans="5:31" ht="14.25" customHeight="1" x14ac:dyDescent="0.25">
      <c r="E46" s="20" t="str">
        <f>IF(Tokens!C45="","",Tokens!C45)</f>
        <v/>
      </c>
      <c r="F46"/>
      <c r="G46"/>
      <c r="H46"/>
      <c r="I46"/>
      <c r="J46"/>
      <c r="K46"/>
      <c r="L46" s="17" t="str">
        <f t="shared" si="0"/>
        <v>_</v>
      </c>
      <c r="M46" s="17"/>
      <c r="N46" s="17"/>
      <c r="O46" s="17"/>
      <c r="P46" s="24" t="str">
        <f>IF(F46&lt;&gt;"",HYPERLINK(Settings!$B$5 &amp; "/manage/?search=token&amp;account=" &amp; ToMint!$B$6 &amp; "&amp;view=" &amp; ToMint!J46,"TokenSol"),"")</f>
        <v/>
      </c>
      <c r="U4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6" s="1" t="str">
        <f>formatRow(Tokens!C$2:I$2,Tokens!C45:I45)</f>
        <v>"name":"",_x000D_
"symbol":"",_x000D_
"description":"",_x000D_
"seller_fee_basis_points":"",_x000D_
"image":"",_x000D_
"Issuer":"",_x000D_
"external_url":""</v>
      </c>
      <c r="W46" s="1" t="str">
        <f>formatRow(Tokens!J$2:U$2,Tokens!J45:U45,2,"attributes")</f>
        <v>"attributes":[]</v>
      </c>
      <c r="X46" s="1" t="str">
        <f>formatRow(Tokens!AD$2:AL$2,Tokens!AD45:AL45,3,"creators")</f>
        <v>"creators":[]</v>
      </c>
      <c r="Y46" s="1" t="str">
        <f>formatRow(Tokens!AM$2:AR$2,Tokens!AM45:AR45,2,"files")</f>
        <v>"files":[]</v>
      </c>
      <c r="Z46" s="1"/>
      <c r="AA46" s="1"/>
      <c r="AB46" s="1"/>
      <c r="AC46" s="1" t="str">
        <f>formatRow(Tokens!AS$2:AT$2,Tokens!AS45:AT45,0,"collection")</f>
        <v>"collection":{"name":"",_x000D_
"family":""}</v>
      </c>
      <c r="AD46" s="1"/>
      <c r="AE46" s="1"/>
    </row>
    <row r="47" spans="5:31" ht="14.25" customHeight="1" x14ac:dyDescent="0.25">
      <c r="E47" s="20" t="str">
        <f>IF(Tokens!C46="","",Tokens!C46)</f>
        <v/>
      </c>
      <c r="F47"/>
      <c r="G47"/>
      <c r="H47"/>
      <c r="I47"/>
      <c r="J47"/>
      <c r="K47"/>
      <c r="L47" s="17" t="str">
        <f t="shared" si="0"/>
        <v>_</v>
      </c>
      <c r="M47" s="17"/>
      <c r="N47" s="17"/>
      <c r="O47" s="17"/>
      <c r="P47" s="24" t="str">
        <f>IF(F47&lt;&gt;"",HYPERLINK(Settings!$B$5 &amp; "/manage/?search=token&amp;account=" &amp; ToMint!$B$6 &amp; "&amp;view=" &amp; ToMint!J47,"TokenSol"),"")</f>
        <v/>
      </c>
      <c r="U4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7" s="1" t="str">
        <f>formatRow(Tokens!C$2:I$2,Tokens!C46:I46)</f>
        <v>"name":"",_x000D_
"symbol":"",_x000D_
"description":"",_x000D_
"seller_fee_basis_points":"",_x000D_
"image":"",_x000D_
"Issuer":"",_x000D_
"external_url":""</v>
      </c>
      <c r="W47" s="1" t="str">
        <f>formatRow(Tokens!J$2:U$2,Tokens!J46:U46,2,"attributes")</f>
        <v>"attributes":[]</v>
      </c>
      <c r="X47" s="1" t="str">
        <f>formatRow(Tokens!AD$2:AL$2,Tokens!AD46:AL46,3,"creators")</f>
        <v>"creators":[]</v>
      </c>
      <c r="Y47" s="1" t="str">
        <f>formatRow(Tokens!AM$2:AR$2,Tokens!AM46:AR46,2,"files")</f>
        <v>"files":[]</v>
      </c>
      <c r="Z47" s="1"/>
      <c r="AA47" s="1"/>
      <c r="AB47" s="1"/>
      <c r="AC47" s="1" t="str">
        <f>formatRow(Tokens!AS$2:AT$2,Tokens!AS46:AT46,0,"collection")</f>
        <v>"collection":{"name":"",_x000D_
"family":""}</v>
      </c>
      <c r="AD47" s="1"/>
      <c r="AE47" s="1"/>
    </row>
    <row r="48" spans="5:31" ht="14.25" customHeight="1" x14ac:dyDescent="0.25">
      <c r="E48" s="20" t="str">
        <f>IF(Tokens!C47="","",Tokens!C47)</f>
        <v/>
      </c>
      <c r="F48"/>
      <c r="G48"/>
      <c r="H48"/>
      <c r="I48"/>
      <c r="J48"/>
      <c r="K48"/>
      <c r="L48" s="17" t="str">
        <f t="shared" si="0"/>
        <v>_</v>
      </c>
      <c r="M48" s="17"/>
      <c r="N48" s="17"/>
      <c r="O48" s="17"/>
      <c r="P48" s="24" t="str">
        <f>IF(F48&lt;&gt;"",HYPERLINK(Settings!$B$5 &amp; "/manage/?search=token&amp;account=" &amp; ToMint!$B$6 &amp; "&amp;view=" &amp; ToMint!J48,"TokenSol"),"")</f>
        <v/>
      </c>
      <c r="U4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8" s="1" t="str">
        <f>formatRow(Tokens!C$2:I$2,Tokens!C47:I47)</f>
        <v>"name":"",_x000D_
"symbol":"",_x000D_
"description":"",_x000D_
"seller_fee_basis_points":"",_x000D_
"image":"",_x000D_
"Issuer":"",_x000D_
"external_url":""</v>
      </c>
      <c r="W48" s="1" t="str">
        <f>formatRow(Tokens!J$2:U$2,Tokens!J47:U47,2,"attributes")</f>
        <v>"attributes":[]</v>
      </c>
      <c r="X48" s="1" t="str">
        <f>formatRow(Tokens!AD$2:AL$2,Tokens!AD47:AL47,3,"creators")</f>
        <v>"creators":[]</v>
      </c>
      <c r="Y48" s="1" t="str">
        <f>formatRow(Tokens!AM$2:AR$2,Tokens!AM47:AR47,2,"files")</f>
        <v>"files":[]</v>
      </c>
      <c r="Z48" s="1"/>
      <c r="AA48" s="1"/>
      <c r="AB48" s="1"/>
      <c r="AC48" s="1" t="str">
        <f>formatRow(Tokens!AS$2:AT$2,Tokens!AS47:AT47,0,"collection")</f>
        <v>"collection":{"name":"",_x000D_
"family":""}</v>
      </c>
      <c r="AD48" s="1"/>
      <c r="AE48" s="1"/>
    </row>
    <row r="49" spans="5:31" ht="14.25" customHeight="1" x14ac:dyDescent="0.25">
      <c r="E49" s="20" t="str">
        <f>IF(Tokens!C48="","",Tokens!C48)</f>
        <v/>
      </c>
      <c r="F49"/>
      <c r="G49"/>
      <c r="H49"/>
      <c r="I49"/>
      <c r="J49"/>
      <c r="K49"/>
      <c r="L49" s="17" t="str">
        <f t="shared" si="0"/>
        <v>_</v>
      </c>
      <c r="M49" s="17"/>
      <c r="N49" s="17"/>
      <c r="O49" s="17"/>
      <c r="P49" s="24" t="str">
        <f>IF(F49&lt;&gt;"",HYPERLINK(Settings!$B$5 &amp; "/manage/?search=token&amp;account=" &amp; ToMint!$B$6 &amp; "&amp;view=" &amp; ToMint!J49,"TokenSol"),"")</f>
        <v/>
      </c>
      <c r="U4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49" s="1" t="str">
        <f>formatRow(Tokens!C$2:I$2,Tokens!C48:I48)</f>
        <v>"name":"",_x000D_
"symbol":"",_x000D_
"description":"",_x000D_
"seller_fee_basis_points":"",_x000D_
"image":"",_x000D_
"Issuer":"",_x000D_
"external_url":""</v>
      </c>
      <c r="W49" s="1" t="str">
        <f>formatRow(Tokens!J$2:U$2,Tokens!J48:U48,2,"attributes")</f>
        <v>"attributes":[]</v>
      </c>
      <c r="X49" s="1" t="str">
        <f>formatRow(Tokens!AD$2:AL$2,Tokens!AD48:AL48,3,"creators")</f>
        <v>"creators":[]</v>
      </c>
      <c r="Y49" s="1" t="str">
        <f>formatRow(Tokens!AM$2:AR$2,Tokens!AM48:AR48,2,"files")</f>
        <v>"files":[]</v>
      </c>
      <c r="Z49" s="1"/>
      <c r="AA49" s="1"/>
      <c r="AB49" s="1"/>
      <c r="AC49" s="1" t="str">
        <f>formatRow(Tokens!AS$2:AT$2,Tokens!AS48:AT48,0,"collection")</f>
        <v>"collection":{"name":"",_x000D_
"family":""}</v>
      </c>
      <c r="AD49" s="1"/>
      <c r="AE49" s="1"/>
    </row>
    <row r="50" spans="5:31" ht="14.25" customHeight="1" x14ac:dyDescent="0.25">
      <c r="E50" s="20" t="str">
        <f>IF(Tokens!C49="","",Tokens!C49)</f>
        <v/>
      </c>
      <c r="F50"/>
      <c r="G50"/>
      <c r="H50"/>
      <c r="I50"/>
      <c r="J50"/>
      <c r="K50"/>
      <c r="L50" s="17" t="str">
        <f t="shared" si="0"/>
        <v>_</v>
      </c>
      <c r="M50" s="17"/>
      <c r="N50" s="17"/>
      <c r="O50" s="17"/>
      <c r="P50" s="24" t="str">
        <f>IF(F50&lt;&gt;"",HYPERLINK(Settings!$B$5 &amp; "/manage/?search=token&amp;account=" &amp; ToMint!$B$6 &amp; "&amp;view=" &amp; ToMint!J50,"TokenSol"),"")</f>
        <v/>
      </c>
      <c r="U5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0" s="1" t="str">
        <f>formatRow(Tokens!C$2:I$2,Tokens!C49:I49)</f>
        <v>"name":"",_x000D_
"symbol":"",_x000D_
"description":"",_x000D_
"seller_fee_basis_points":"",_x000D_
"image":"",_x000D_
"Issuer":"",_x000D_
"external_url":""</v>
      </c>
      <c r="W50" s="1" t="str">
        <f>formatRow(Tokens!J$2:U$2,Tokens!J49:U49,2,"attributes")</f>
        <v>"attributes":[]</v>
      </c>
      <c r="X50" s="1" t="str">
        <f>formatRow(Tokens!AD$2:AL$2,Tokens!AD49:AL49,3,"creators")</f>
        <v>"creators":[]</v>
      </c>
      <c r="Y50" s="1" t="str">
        <f>formatRow(Tokens!AM$2:AR$2,Tokens!AM49:AR49,2,"files")</f>
        <v>"files":[]</v>
      </c>
      <c r="Z50" s="1"/>
      <c r="AA50" s="1"/>
      <c r="AB50" s="1"/>
      <c r="AC50" s="1" t="str">
        <f>formatRow(Tokens!AS$2:AT$2,Tokens!AS49:AT49,0,"collection")</f>
        <v>"collection":{"name":"",_x000D_
"family":""}</v>
      </c>
      <c r="AD50" s="1"/>
      <c r="AE50" s="1"/>
    </row>
    <row r="51" spans="5:31" ht="14.25" customHeight="1" x14ac:dyDescent="0.25">
      <c r="E51" s="20" t="str">
        <f>IF(Tokens!C50="","",Tokens!C50)</f>
        <v/>
      </c>
      <c r="F51"/>
      <c r="G51"/>
      <c r="H51"/>
      <c r="I51"/>
      <c r="J51"/>
      <c r="K51"/>
      <c r="L51" s="17" t="str">
        <f t="shared" si="0"/>
        <v>_</v>
      </c>
      <c r="M51" s="17"/>
      <c r="N51" s="17"/>
      <c r="O51" s="17"/>
      <c r="P51" s="24" t="str">
        <f>IF(F51&lt;&gt;"",HYPERLINK(Settings!$B$5 &amp; "/manage/?search=token&amp;account=" &amp; ToMint!$B$6 &amp; "&amp;view=" &amp; ToMint!J51,"TokenSol"),"")</f>
        <v/>
      </c>
      <c r="U5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1" s="1" t="str">
        <f>formatRow(Tokens!C$2:I$2,Tokens!C50:I50)</f>
        <v>"name":"",_x000D_
"symbol":"",_x000D_
"description":"",_x000D_
"seller_fee_basis_points":"",_x000D_
"image":"",_x000D_
"Issuer":"",_x000D_
"external_url":""</v>
      </c>
      <c r="W51" s="1" t="str">
        <f>formatRow(Tokens!J$2:U$2,Tokens!J50:U50,2,"attributes")</f>
        <v>"attributes":[]</v>
      </c>
      <c r="X51" s="1" t="str">
        <f>formatRow(Tokens!AD$2:AL$2,Tokens!AD50:AL50,3,"creators")</f>
        <v>"creators":[]</v>
      </c>
      <c r="Y51" s="1" t="str">
        <f>formatRow(Tokens!AM$2:AR$2,Tokens!AM50:AR50,2,"files")</f>
        <v>"files":[]</v>
      </c>
      <c r="Z51" s="1"/>
      <c r="AA51" s="1"/>
      <c r="AB51" s="1"/>
      <c r="AC51" s="1" t="str">
        <f>formatRow(Tokens!AS$2:AT$2,Tokens!AS50:AT50,0,"collection")</f>
        <v>"collection":{"name":"",_x000D_
"family":""}</v>
      </c>
    </row>
    <row r="52" spans="5:31" ht="14.25" customHeight="1" x14ac:dyDescent="0.25">
      <c r="E52" s="20" t="str">
        <f>IF(Tokens!C51="","",Tokens!C51)</f>
        <v/>
      </c>
      <c r="F52"/>
      <c r="G52"/>
      <c r="H52"/>
      <c r="I52"/>
      <c r="J52"/>
      <c r="K52"/>
      <c r="L52" s="17" t="str">
        <f t="shared" si="0"/>
        <v>_</v>
      </c>
      <c r="M52" s="17"/>
      <c r="N52" s="17"/>
      <c r="O52" s="17"/>
      <c r="P52" s="24" t="str">
        <f>IF(F52&lt;&gt;"",HYPERLINK(Settings!$B$5 &amp; "/manage/?search=token&amp;account=" &amp; ToMint!$B$6 &amp; "&amp;view=" &amp; ToMint!J52,"TokenSol"),"")</f>
        <v/>
      </c>
      <c r="U5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2" s="1" t="str">
        <f>formatRow(Tokens!C$2:I$2,Tokens!C51:I51)</f>
        <v>"name":"",_x000D_
"symbol":"",_x000D_
"description":"",_x000D_
"seller_fee_basis_points":"",_x000D_
"image":"",_x000D_
"Issuer":"",_x000D_
"external_url":""</v>
      </c>
      <c r="W52" s="1" t="str">
        <f>formatRow(Tokens!J$2:U$2,Tokens!J51:U51,2,"attributes")</f>
        <v>"attributes":[]</v>
      </c>
      <c r="X52" s="1" t="str">
        <f>formatRow(Tokens!AD$2:AL$2,Tokens!AD51:AL51,3,"creators")</f>
        <v>"creators":[]</v>
      </c>
      <c r="Y52" s="1" t="str">
        <f>formatRow(Tokens!AM$2:AR$2,Tokens!AM51:AR51,2,"files")</f>
        <v>"files":[]</v>
      </c>
      <c r="Z52" s="1"/>
      <c r="AA52" s="1"/>
      <c r="AB52" s="1"/>
      <c r="AC52" s="1" t="str">
        <f>formatRow(Tokens!AS$2:AT$2,Tokens!AS51:AT51,0,"collection")</f>
        <v>"collection":{"name":"",_x000D_
"family":""}</v>
      </c>
    </row>
    <row r="53" spans="5:31" ht="14.25" customHeight="1" x14ac:dyDescent="0.25">
      <c r="E53" s="20" t="str">
        <f>IF(Tokens!C52="","",Tokens!C52)</f>
        <v/>
      </c>
      <c r="F53"/>
      <c r="G53"/>
      <c r="H53"/>
      <c r="I53"/>
      <c r="J53"/>
      <c r="K53"/>
      <c r="L53" s="17" t="str">
        <f t="shared" si="0"/>
        <v>_</v>
      </c>
      <c r="M53" s="17"/>
      <c r="N53" s="17"/>
      <c r="O53" s="17"/>
      <c r="P53" s="24" t="str">
        <f>IF(F53&lt;&gt;"",HYPERLINK(Settings!$B$5 &amp; "/manage/?search=token&amp;account=" &amp; ToMint!$B$6 &amp; "&amp;view=" &amp; ToMint!J53,"TokenSol"),"")</f>
        <v/>
      </c>
      <c r="U5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3" s="1" t="str">
        <f>formatRow(Tokens!C$2:I$2,Tokens!C52:I52)</f>
        <v>"name":"",_x000D_
"symbol":"",_x000D_
"description":"",_x000D_
"seller_fee_basis_points":"",_x000D_
"image":"",_x000D_
"Issuer":"",_x000D_
"external_url":""</v>
      </c>
      <c r="W53" s="1" t="str">
        <f>formatRow(Tokens!J$2:U$2,Tokens!J52:U52,2,"attributes")</f>
        <v>"attributes":[]</v>
      </c>
      <c r="X53" s="1" t="str">
        <f>formatRow(Tokens!AD$2:AL$2,Tokens!AD52:AL52,3,"creators")</f>
        <v>"creators":[]</v>
      </c>
      <c r="Y53" s="1" t="str">
        <f>formatRow(Tokens!AM$2:AR$2,Tokens!AM52:AR52,2,"files")</f>
        <v>"files":[]</v>
      </c>
      <c r="Z53" s="1"/>
      <c r="AA53" s="1"/>
      <c r="AB53" s="1"/>
      <c r="AC53" s="1" t="str">
        <f>formatRow(Tokens!AS$2:AT$2,Tokens!AS52:AT52,0,"collection")</f>
        <v>"collection":{"name":"",_x000D_
"family":""}</v>
      </c>
    </row>
    <row r="54" spans="5:31" ht="14.25" customHeight="1" x14ac:dyDescent="0.25">
      <c r="E54" s="20" t="str">
        <f>IF(Tokens!C53="","",Tokens!C53)</f>
        <v/>
      </c>
      <c r="F54"/>
      <c r="G54"/>
      <c r="H54"/>
      <c r="I54"/>
      <c r="J54"/>
      <c r="K54"/>
      <c r="L54" s="17" t="str">
        <f t="shared" si="0"/>
        <v>_</v>
      </c>
      <c r="M54" s="17"/>
      <c r="N54" s="17"/>
      <c r="O54" s="17"/>
      <c r="P54" s="24" t="str">
        <f>IF(F54&lt;&gt;"",HYPERLINK(Settings!$B$5 &amp; "/manage/?search=token&amp;account=" &amp; ToMint!$B$6 &amp; "&amp;view=" &amp; ToMint!J54,"TokenSol"),"")</f>
        <v/>
      </c>
      <c r="U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4" s="1" t="str">
        <f>formatRow(Tokens!C$2:I$2,Tokens!C53:I53)</f>
        <v>"name":"",_x000D_
"symbol":"",_x000D_
"description":"",_x000D_
"seller_fee_basis_points":"",_x000D_
"image":"",_x000D_
"Issuer":"",_x000D_
"external_url":""</v>
      </c>
      <c r="W54" s="1" t="str">
        <f>formatRow(Tokens!J$2:U$2,Tokens!J53:U53,2,"attributes")</f>
        <v>"attributes":[]</v>
      </c>
      <c r="X54" s="1" t="str">
        <f>formatRow(Tokens!AD$2:AL$2,Tokens!AD53:AL53,3,"creators")</f>
        <v>"creators":[]</v>
      </c>
      <c r="Y54" s="1" t="str">
        <f>formatRow(Tokens!AM$2:AR$2,Tokens!AM53:AR53,2,"files")</f>
        <v>"files":[]</v>
      </c>
      <c r="Z54" s="1"/>
      <c r="AA54" s="1"/>
      <c r="AB54" s="1"/>
      <c r="AC54" s="1" t="str">
        <f>formatRow(Tokens!AS$2:AT$2,Tokens!AS53:AT53,0,"collection")</f>
        <v>"collection":{"name":"",_x000D_
"family":""}</v>
      </c>
    </row>
    <row r="55" spans="5:31" ht="14.25" customHeight="1" x14ac:dyDescent="0.25">
      <c r="E55" s="20" t="str">
        <f>IF(Tokens!C54="","",Tokens!C54)</f>
        <v/>
      </c>
      <c r="F55"/>
      <c r="G55"/>
      <c r="H55"/>
      <c r="I55"/>
      <c r="J55"/>
      <c r="K55"/>
      <c r="L55" s="17" t="str">
        <f t="shared" si="0"/>
        <v>_</v>
      </c>
      <c r="M55" s="17"/>
      <c r="N55" s="17"/>
      <c r="O55" s="17"/>
      <c r="P55" s="24" t="str">
        <f>IF(F55&lt;&gt;"",HYPERLINK(Settings!$B$5 &amp; "/manage/?search=token&amp;account=" &amp; ToMint!$B$6 &amp; "&amp;view=" &amp; ToMint!J55,"TokenSol"),"")</f>
        <v/>
      </c>
      <c r="U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5" s="1" t="str">
        <f>formatRow(Tokens!C$2:I$2,Tokens!C54:I54)</f>
        <v>"name":"",_x000D_
"symbol":"",_x000D_
"description":"",_x000D_
"seller_fee_basis_points":"",_x000D_
"image":"",_x000D_
"Issuer":"",_x000D_
"external_url":""</v>
      </c>
      <c r="W55" s="1" t="str">
        <f>formatRow(Tokens!J$2:U$2,Tokens!J54:U54,2,"attributes")</f>
        <v>"attributes":[]</v>
      </c>
      <c r="X55" s="1" t="str">
        <f>formatRow(Tokens!AD$2:AL$2,Tokens!AD54:AL54,3,"creators")</f>
        <v>"creators":[]</v>
      </c>
      <c r="Y55" s="1" t="str">
        <f>formatRow(Tokens!AM$2:AR$2,Tokens!AM54:AR54,2,"files")</f>
        <v>"files":[]</v>
      </c>
      <c r="Z55" s="1"/>
      <c r="AA55" s="1"/>
      <c r="AB55" s="1"/>
      <c r="AC55" s="1" t="str">
        <f>formatRow(Tokens!AS$2:AT$2,Tokens!AS54:AT54,0,"collection")</f>
        <v>"collection":{"name":"",_x000D_
"family":""}</v>
      </c>
    </row>
    <row r="56" spans="5:31" ht="14.25" customHeight="1" x14ac:dyDescent="0.25">
      <c r="E56" s="20" t="str">
        <f>IF(Tokens!C55="","",Tokens!C55)</f>
        <v/>
      </c>
      <c r="F56"/>
      <c r="G56"/>
      <c r="H56"/>
      <c r="I56"/>
      <c r="J56"/>
      <c r="K56"/>
      <c r="L56" s="17" t="str">
        <f t="shared" si="0"/>
        <v>_</v>
      </c>
      <c r="M56" s="17"/>
      <c r="N56" s="17"/>
      <c r="O56" s="17"/>
      <c r="P56" s="24" t="str">
        <f>IF(F56&lt;&gt;"",HYPERLINK(Settings!$B$5 &amp; "/manage/?search=token&amp;account=" &amp; ToMint!$B$6 &amp; "&amp;view=" &amp; ToMint!J56,"TokenSol"),"")</f>
        <v/>
      </c>
      <c r="U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6" s="1" t="str">
        <f>formatRow(Tokens!C$2:I$2,Tokens!C55:I55)</f>
        <v>"name":"",_x000D_
"symbol":"",_x000D_
"description":"",_x000D_
"seller_fee_basis_points":"",_x000D_
"image":"",_x000D_
"Issuer":"",_x000D_
"external_url":""</v>
      </c>
      <c r="W56" s="1" t="str">
        <f>formatRow(Tokens!J$2:U$2,Tokens!J55:U55,2,"attributes")</f>
        <v>"attributes":[]</v>
      </c>
      <c r="X56" s="1" t="str">
        <f>formatRow(Tokens!AD$2:AL$2,Tokens!AD55:AL55,3,"creators")</f>
        <v>"creators":[]</v>
      </c>
      <c r="Y56" s="1" t="str">
        <f>formatRow(Tokens!AM$2:AR$2,Tokens!AM55:AR55,2,"files")</f>
        <v>"files":[]</v>
      </c>
      <c r="Z56" s="1"/>
      <c r="AA56" s="1"/>
      <c r="AB56" s="1"/>
      <c r="AC56" s="1" t="str">
        <f>formatRow(Tokens!AS$2:AT$2,Tokens!AS55:AT55,0,"collection")</f>
        <v>"collection":{"name":"",_x000D_
"family":""}</v>
      </c>
    </row>
    <row r="57" spans="5:31" ht="14.25" customHeight="1" x14ac:dyDescent="0.25">
      <c r="E57" s="20" t="str">
        <f>IF(Tokens!C56="","",Tokens!C56)</f>
        <v/>
      </c>
      <c r="F57"/>
      <c r="G57"/>
      <c r="H57"/>
      <c r="I57"/>
      <c r="J57"/>
      <c r="K57"/>
      <c r="L57" s="17" t="str">
        <f t="shared" si="0"/>
        <v>_</v>
      </c>
      <c r="M57" s="17"/>
      <c r="N57" s="17"/>
      <c r="O57" s="17"/>
      <c r="P57" s="24" t="str">
        <f>IF(F57&lt;&gt;"",HYPERLINK(Settings!$B$5 &amp; "/manage/?search=token&amp;account=" &amp; ToMint!$B$6 &amp; "&amp;view=" &amp; ToMint!J57,"TokenSol"),"")</f>
        <v/>
      </c>
      <c r="U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7" s="1" t="str">
        <f>formatRow(Tokens!C$2:I$2,Tokens!C56:I56)</f>
        <v>"name":"",_x000D_
"symbol":"",_x000D_
"description":"",_x000D_
"seller_fee_basis_points":"",_x000D_
"image":"",_x000D_
"Issuer":"",_x000D_
"external_url":""</v>
      </c>
      <c r="W57" s="1" t="str">
        <f>formatRow(Tokens!J$2:U$2,Tokens!J56:U56,2,"attributes")</f>
        <v>"attributes":[]</v>
      </c>
      <c r="X57" s="1" t="str">
        <f>formatRow(Tokens!AD$2:AL$2,Tokens!AD56:AL56,3,"creators")</f>
        <v>"creators":[]</v>
      </c>
      <c r="Y57" s="1" t="str">
        <f>formatRow(Tokens!AM$2:AR$2,Tokens!AM56:AR56,2,"files")</f>
        <v>"files":[]</v>
      </c>
      <c r="Z57" s="1"/>
      <c r="AA57" s="1"/>
      <c r="AB57" s="1"/>
      <c r="AC57" s="1" t="str">
        <f>formatRow(Tokens!AS$2:AT$2,Tokens!AS56:AT56,0,"collection")</f>
        <v>"collection":{"name":"",_x000D_
"family":""}</v>
      </c>
    </row>
    <row r="58" spans="5:31" ht="14.25" customHeight="1" x14ac:dyDescent="0.25">
      <c r="E58" s="20" t="str">
        <f>IF(Tokens!C57="","",Tokens!C57)</f>
        <v/>
      </c>
      <c r="F58"/>
      <c r="G58"/>
      <c r="H58"/>
      <c r="I58"/>
      <c r="J58"/>
      <c r="K58"/>
      <c r="L58" s="17" t="str">
        <f t="shared" si="0"/>
        <v>_</v>
      </c>
      <c r="M58" s="17"/>
      <c r="N58" s="17"/>
      <c r="O58" s="17"/>
      <c r="P58" s="24" t="str">
        <f>IF(F58&lt;&gt;"",HYPERLINK(Settings!$B$5 &amp; "/manage/?search=token&amp;account=" &amp; ToMint!$B$6 &amp; "&amp;view=" &amp; ToMint!J58,"TokenSol"),"")</f>
        <v/>
      </c>
      <c r="U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8" s="1" t="str">
        <f>formatRow(Tokens!C$2:I$2,Tokens!C57:I57)</f>
        <v>"name":"",_x000D_
"symbol":"",_x000D_
"description":"",_x000D_
"seller_fee_basis_points":"",_x000D_
"image":"",_x000D_
"Issuer":"",_x000D_
"external_url":""</v>
      </c>
      <c r="W58" s="1" t="str">
        <f>formatRow(Tokens!J$2:U$2,Tokens!J57:U57,2,"attributes")</f>
        <v>"attributes":[]</v>
      </c>
      <c r="X58" s="1" t="str">
        <f>formatRow(Tokens!AD$2:AL$2,Tokens!AD57:AL57,3,"creators")</f>
        <v>"creators":[]</v>
      </c>
      <c r="Y58" s="1" t="str">
        <f>formatRow(Tokens!AM$2:AR$2,Tokens!AM57:AR57,2,"files")</f>
        <v>"files":[]</v>
      </c>
      <c r="Z58" s="1"/>
      <c r="AA58" s="1"/>
      <c r="AB58" s="1"/>
      <c r="AC58" s="1" t="str">
        <f>formatRow(Tokens!AS$2:AT$2,Tokens!AS57:AT57,0,"collection")</f>
        <v>"collection":{"name":"",_x000D_
"family":""}</v>
      </c>
    </row>
    <row r="59" spans="5:31" ht="14.25" customHeight="1" x14ac:dyDescent="0.25">
      <c r="E59" s="20" t="str">
        <f>IF(Tokens!C58="","",Tokens!C58)</f>
        <v/>
      </c>
      <c r="F59"/>
      <c r="G59"/>
      <c r="H59"/>
      <c r="I59"/>
      <c r="J59"/>
      <c r="K59"/>
      <c r="L59" s="17" t="str">
        <f t="shared" si="0"/>
        <v>_</v>
      </c>
      <c r="M59" s="17"/>
      <c r="N59" s="17"/>
      <c r="O59" s="17"/>
      <c r="P59" s="24" t="str">
        <f>IF(F59&lt;&gt;"",HYPERLINK(Settings!$B$5 &amp; "/manage/?search=token&amp;account=" &amp; ToMint!$B$6 &amp; "&amp;view=" &amp; ToMint!J59,"TokenSol"),"")</f>
        <v/>
      </c>
      <c r="U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59" s="1" t="str">
        <f>formatRow(Tokens!C$2:I$2,Tokens!C58:I58)</f>
        <v>"name":"",_x000D_
"symbol":"",_x000D_
"description":"",_x000D_
"seller_fee_basis_points":"",_x000D_
"image":"",_x000D_
"Issuer":"",_x000D_
"external_url":""</v>
      </c>
      <c r="W59" s="1" t="str">
        <f>formatRow(Tokens!J$2:U$2,Tokens!J58:U58,2,"attributes")</f>
        <v>"attributes":[]</v>
      </c>
      <c r="X59" s="1" t="str">
        <f>formatRow(Tokens!AD$2:AL$2,Tokens!AD58:AL58,3,"creators")</f>
        <v>"creators":[]</v>
      </c>
      <c r="Y59" s="1" t="str">
        <f>formatRow(Tokens!AM$2:AR$2,Tokens!AM58:AR58,2,"files")</f>
        <v>"files":[]</v>
      </c>
      <c r="Z59" s="1"/>
      <c r="AA59" s="1"/>
      <c r="AB59" s="1"/>
      <c r="AC59" s="1" t="str">
        <f>formatRow(Tokens!AS$2:AT$2,Tokens!AS58:AT58,0,"collection")</f>
        <v>"collection":{"name":"",_x000D_
"family":""}</v>
      </c>
    </row>
    <row r="60" spans="5:31" ht="14.25" customHeight="1" x14ac:dyDescent="0.25">
      <c r="E60" s="20" t="str">
        <f>IF(Tokens!C59="","",Tokens!C59)</f>
        <v/>
      </c>
      <c r="F60"/>
      <c r="G60"/>
      <c r="H60"/>
      <c r="I60"/>
      <c r="J60"/>
      <c r="K60"/>
      <c r="L60" s="17" t="str">
        <f t="shared" si="0"/>
        <v>_</v>
      </c>
      <c r="M60" s="17"/>
      <c r="N60" s="17"/>
      <c r="O60" s="17"/>
      <c r="P60" s="24" t="str">
        <f>IF(F60&lt;&gt;"",HYPERLINK(Settings!$B$5 &amp; "/manage/?search=token&amp;account=" &amp; ToMint!$B$6 &amp; "&amp;view=" &amp; ToMint!J60,"TokenSol"),"")</f>
        <v/>
      </c>
      <c r="U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0" s="1" t="str">
        <f>formatRow(Tokens!C$2:I$2,Tokens!C59:I59)</f>
        <v>"name":"",_x000D_
"symbol":"",_x000D_
"description":"",_x000D_
"seller_fee_basis_points":"",_x000D_
"image":"",_x000D_
"Issuer":"",_x000D_
"external_url":""</v>
      </c>
      <c r="W60" s="1" t="str">
        <f>formatRow(Tokens!J$2:U$2,Tokens!J59:U59,2,"attributes")</f>
        <v>"attributes":[]</v>
      </c>
      <c r="X60" s="1" t="str">
        <f>formatRow(Tokens!AD$2:AL$2,Tokens!AD59:AL59,3,"creators")</f>
        <v>"creators":[]</v>
      </c>
      <c r="Y60" s="1" t="str">
        <f>formatRow(Tokens!AM$2:AR$2,Tokens!AM59:AR59,2,"files")</f>
        <v>"files":[]</v>
      </c>
      <c r="Z60" s="1"/>
      <c r="AA60" s="1"/>
      <c r="AB60" s="1"/>
      <c r="AC60" s="1" t="str">
        <f>formatRow(Tokens!AS$2:AT$2,Tokens!AS59:AT59,0,"collection")</f>
        <v>"collection":{"name":"",_x000D_
"family":""}</v>
      </c>
    </row>
    <row r="61" spans="5:31" ht="14.25" customHeight="1" x14ac:dyDescent="0.25">
      <c r="E61" s="20" t="str">
        <f>IF(Tokens!C60="","",Tokens!C60)</f>
        <v/>
      </c>
      <c r="F61"/>
      <c r="G61"/>
      <c r="H61"/>
      <c r="I61"/>
      <c r="J61"/>
      <c r="K61"/>
      <c r="L61" s="17" t="str">
        <f t="shared" si="0"/>
        <v>_</v>
      </c>
      <c r="M61" s="17"/>
      <c r="N61" s="17"/>
      <c r="O61" s="17"/>
      <c r="P61" s="24" t="str">
        <f>IF(F61&lt;&gt;"",HYPERLINK(Settings!$B$5 &amp; "/manage/?search=token&amp;account=" &amp; ToMint!$B$6 &amp; "&amp;view=" &amp; ToMint!J61,"TokenSol"),"")</f>
        <v/>
      </c>
      <c r="U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1" s="1" t="str">
        <f>formatRow(Tokens!C$2:I$2,Tokens!C60:I60)</f>
        <v>"name":"",_x000D_
"symbol":"",_x000D_
"description":"",_x000D_
"seller_fee_basis_points":"",_x000D_
"image":"",_x000D_
"Issuer":"",_x000D_
"external_url":""</v>
      </c>
      <c r="W61" s="1" t="str">
        <f>formatRow(Tokens!J$2:U$2,Tokens!J60:U60,2,"attributes")</f>
        <v>"attributes":[]</v>
      </c>
      <c r="X61" s="1" t="str">
        <f>formatRow(Tokens!AD$2:AL$2,Tokens!AD60:AL60,3,"creators")</f>
        <v>"creators":[]</v>
      </c>
      <c r="Y61" s="1" t="str">
        <f>formatRow(Tokens!AM$2:AR$2,Tokens!AM60:AR60,2,"files")</f>
        <v>"files":[]</v>
      </c>
      <c r="Z61" s="1"/>
      <c r="AA61" s="1"/>
      <c r="AB61" s="1"/>
      <c r="AC61" s="1" t="str">
        <f>formatRow(Tokens!AS$2:AT$2,Tokens!AS60:AT60,0,"collection")</f>
        <v>"collection":{"name":"",_x000D_
"family":""}</v>
      </c>
    </row>
    <row r="62" spans="5:31" ht="14.25" customHeight="1" x14ac:dyDescent="0.25">
      <c r="E62" s="20" t="str">
        <f>IF(Tokens!C61="","",Tokens!C61)</f>
        <v/>
      </c>
      <c r="F62"/>
      <c r="G62"/>
      <c r="H62"/>
      <c r="I62"/>
      <c r="J62"/>
      <c r="K62"/>
      <c r="L62" s="17" t="str">
        <f t="shared" si="0"/>
        <v>_</v>
      </c>
      <c r="M62" s="17"/>
      <c r="N62" s="17"/>
      <c r="O62" s="17"/>
      <c r="P62" s="24" t="str">
        <f>IF(F62&lt;&gt;"",HYPERLINK(Settings!$B$5 &amp; "/manage/?search=token&amp;account=" &amp; ToMint!$B$6 &amp; "&amp;view=" &amp; ToMint!J62,"TokenSol"),"")</f>
        <v/>
      </c>
      <c r="U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2" s="1" t="str">
        <f>formatRow(Tokens!C$2:I$2,Tokens!C61:I61)</f>
        <v>"name":"",_x000D_
"symbol":"",_x000D_
"description":"",_x000D_
"seller_fee_basis_points":"",_x000D_
"image":"",_x000D_
"Issuer":"",_x000D_
"external_url":""</v>
      </c>
      <c r="W62" s="1" t="str">
        <f>formatRow(Tokens!J$2:U$2,Tokens!J61:U61,2,"attributes")</f>
        <v>"attributes":[]</v>
      </c>
      <c r="X62" s="1" t="str">
        <f>formatRow(Tokens!AD$2:AL$2,Tokens!AD61:AL61,3,"creators")</f>
        <v>"creators":[]</v>
      </c>
      <c r="Y62" s="1" t="str">
        <f>formatRow(Tokens!AM$2:AR$2,Tokens!AM61:AR61,2,"files")</f>
        <v>"files":[]</v>
      </c>
      <c r="Z62" s="1"/>
      <c r="AA62" s="1"/>
      <c r="AB62" s="1"/>
      <c r="AC62" s="1" t="str">
        <f>formatRow(Tokens!AS$2:AT$2,Tokens!AS61:AT61,0,"collection")</f>
        <v>"collection":{"name":"",_x000D_
"family":""}</v>
      </c>
    </row>
    <row r="63" spans="5:31" ht="14.25" customHeight="1" x14ac:dyDescent="0.25">
      <c r="E63" s="20" t="str">
        <f>IF(Tokens!C62="","",Tokens!C62)</f>
        <v/>
      </c>
      <c r="F63"/>
      <c r="G63"/>
      <c r="H63"/>
      <c r="I63"/>
      <c r="J63"/>
      <c r="K63"/>
      <c r="L63" s="17" t="str">
        <f t="shared" si="0"/>
        <v>_</v>
      </c>
      <c r="M63" s="17"/>
      <c r="N63" s="17"/>
      <c r="O63" s="17"/>
      <c r="P63" s="24" t="str">
        <f>IF(F63&lt;&gt;"",HYPERLINK(Settings!$B$5 &amp; "/manage/?search=token&amp;account=" &amp; ToMint!$B$6 &amp; "&amp;view=" &amp; ToMint!J63,"TokenSol"),"")</f>
        <v/>
      </c>
      <c r="U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3" s="1" t="str">
        <f>formatRow(Tokens!C$2:I$2,Tokens!C62:I62)</f>
        <v>"name":"",_x000D_
"symbol":"",_x000D_
"description":"",_x000D_
"seller_fee_basis_points":"",_x000D_
"image":"",_x000D_
"Issuer":"",_x000D_
"external_url":""</v>
      </c>
      <c r="W63" s="1" t="str">
        <f>formatRow(Tokens!J$2:U$2,Tokens!J62:U62,2,"attributes")</f>
        <v>"attributes":[]</v>
      </c>
      <c r="X63" s="1" t="str">
        <f>formatRow(Tokens!AD$2:AL$2,Tokens!AD62:AL62,3,"creators")</f>
        <v>"creators":[]</v>
      </c>
      <c r="Y63" s="1" t="str">
        <f>formatRow(Tokens!AM$2:AR$2,Tokens!AM62:AR62,2,"files")</f>
        <v>"files":[]</v>
      </c>
      <c r="Z63" s="1"/>
      <c r="AA63" s="1"/>
      <c r="AB63" s="1"/>
      <c r="AC63" s="1" t="str">
        <f>formatRow(Tokens!AS$2:AT$2,Tokens!AS62:AT62,0,"collection")</f>
        <v>"collection":{"name":"",_x000D_
"family":""}</v>
      </c>
    </row>
    <row r="64" spans="5:31" ht="14.25" customHeight="1" x14ac:dyDescent="0.25">
      <c r="E64" s="20" t="str">
        <f>IF(Tokens!C63="","",Tokens!C63)</f>
        <v/>
      </c>
      <c r="F64"/>
      <c r="G64"/>
      <c r="H64"/>
      <c r="I64"/>
      <c r="J64"/>
      <c r="K64"/>
      <c r="L64" s="17" t="str">
        <f t="shared" si="0"/>
        <v>_</v>
      </c>
      <c r="M64" s="17"/>
      <c r="N64" s="17"/>
      <c r="O64" s="17"/>
      <c r="P64" s="24" t="str">
        <f>IF(F64&lt;&gt;"",HYPERLINK(Settings!$B$5 &amp; "/manage/?search=token&amp;account=" &amp; ToMint!$B$6 &amp; "&amp;view=" &amp; ToMint!J64,"TokenSol"),"")</f>
        <v/>
      </c>
      <c r="U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4" s="1" t="str">
        <f>formatRow(Tokens!C$2:I$2,Tokens!C63:I63)</f>
        <v>"name":"",_x000D_
"symbol":"",_x000D_
"description":"",_x000D_
"seller_fee_basis_points":"",_x000D_
"image":"",_x000D_
"Issuer":"",_x000D_
"external_url":""</v>
      </c>
      <c r="W64" s="1" t="str">
        <f>formatRow(Tokens!J$2:U$2,Tokens!J63:U63,2,"attributes")</f>
        <v>"attributes":[]</v>
      </c>
      <c r="X64" s="1" t="str">
        <f>formatRow(Tokens!AD$2:AL$2,Tokens!AD63:AL63,3,"creators")</f>
        <v>"creators":[]</v>
      </c>
      <c r="Y64" s="1" t="str">
        <f>formatRow(Tokens!AM$2:AR$2,Tokens!AM63:AR63,2,"files")</f>
        <v>"files":[]</v>
      </c>
      <c r="Z64" s="1"/>
      <c r="AA64" s="1"/>
      <c r="AB64" s="1"/>
      <c r="AC64" s="1" t="str">
        <f>formatRow(Tokens!AS$2:AT$2,Tokens!AS63:AT63,0,"collection")</f>
        <v>"collection":{"name":"",_x000D_
"family":""}</v>
      </c>
    </row>
    <row r="65" spans="5:29" ht="14.25" customHeight="1" x14ac:dyDescent="0.25">
      <c r="E65" s="20" t="str">
        <f>IF(Tokens!C64="","",Tokens!C64)</f>
        <v/>
      </c>
      <c r="F65"/>
      <c r="G65"/>
      <c r="H65"/>
      <c r="I65"/>
      <c r="J65"/>
      <c r="K65"/>
      <c r="L65" s="17" t="str">
        <f t="shared" si="0"/>
        <v>_</v>
      </c>
      <c r="M65" s="17"/>
      <c r="N65" s="17"/>
      <c r="O65" s="17"/>
      <c r="P65" s="24" t="str">
        <f>IF(F65&lt;&gt;"",HYPERLINK(Settings!$B$5 &amp; "/manage/?search=token&amp;account=" &amp; ToMint!$B$6 &amp; "&amp;view=" &amp; ToMint!J65,"TokenSol"),"")</f>
        <v/>
      </c>
      <c r="U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5" s="1" t="str">
        <f>formatRow(Tokens!C$2:I$2,Tokens!C64:I64)</f>
        <v>"name":"",_x000D_
"symbol":"",_x000D_
"description":"",_x000D_
"seller_fee_basis_points":"",_x000D_
"image":"",_x000D_
"Issuer":"",_x000D_
"external_url":""</v>
      </c>
      <c r="W65" s="1" t="str">
        <f>formatRow(Tokens!J$2:U$2,Tokens!J64:U64,2,"attributes")</f>
        <v>"attributes":[]</v>
      </c>
      <c r="X65" s="1" t="str">
        <f>formatRow(Tokens!AD$2:AL$2,Tokens!AD64:AL64,3,"creators")</f>
        <v>"creators":[]</v>
      </c>
      <c r="Y65" s="1" t="str">
        <f>formatRow(Tokens!AM$2:AR$2,Tokens!AM64:AR64,2,"files")</f>
        <v>"files":[]</v>
      </c>
      <c r="Z65" s="1"/>
      <c r="AA65" s="1"/>
      <c r="AB65" s="1"/>
      <c r="AC65" s="1" t="str">
        <f>formatRow(Tokens!AS$2:AT$2,Tokens!AS64:AT64,0,"collection")</f>
        <v>"collection":{"name":"",_x000D_
"family":""}</v>
      </c>
    </row>
    <row r="66" spans="5:29" ht="14.25" customHeight="1" x14ac:dyDescent="0.25">
      <c r="E66" s="20" t="str">
        <f>IF(Tokens!C65="","",Tokens!C65)</f>
        <v/>
      </c>
      <c r="F66"/>
      <c r="G66"/>
      <c r="H66"/>
      <c r="I66"/>
      <c r="J66"/>
      <c r="K66"/>
      <c r="L66" s="17" t="str">
        <f t="shared" si="0"/>
        <v>_</v>
      </c>
      <c r="M66" s="17"/>
      <c r="N66" s="17"/>
      <c r="O66" s="17"/>
      <c r="P66" s="24" t="str">
        <f>IF(F66&lt;&gt;"",HYPERLINK(Settings!$B$5 &amp; "/manage/?search=token&amp;account=" &amp; ToMint!$B$6 &amp; "&amp;view=" &amp; ToMint!J66,"TokenSol"),"")</f>
        <v/>
      </c>
      <c r="U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6" s="1" t="str">
        <f>formatRow(Tokens!C$2:I$2,Tokens!C65:I65)</f>
        <v>"name":"",_x000D_
"symbol":"",_x000D_
"description":"",_x000D_
"seller_fee_basis_points":"",_x000D_
"image":"",_x000D_
"Issuer":"",_x000D_
"external_url":""</v>
      </c>
      <c r="W66" s="1" t="str">
        <f>formatRow(Tokens!J$2:U$2,Tokens!J65:U65,2,"attributes")</f>
        <v>"attributes":[]</v>
      </c>
      <c r="X66" s="1" t="str">
        <f>formatRow(Tokens!AD$2:AL$2,Tokens!AD65:AL65,3,"creators")</f>
        <v>"creators":[]</v>
      </c>
      <c r="Y66" s="1" t="str">
        <f>formatRow(Tokens!AM$2:AR$2,Tokens!AM65:AR65,2,"files")</f>
        <v>"files":[]</v>
      </c>
      <c r="Z66" s="1"/>
      <c r="AA66" s="1"/>
      <c r="AB66" s="1"/>
      <c r="AC66" s="1" t="str">
        <f>formatRow(Tokens!AS$2:AT$2,Tokens!AS65:AT65,0,"collection")</f>
        <v>"collection":{"name":"",_x000D_
"family":""}</v>
      </c>
    </row>
    <row r="67" spans="5:29" ht="14.25" customHeight="1" x14ac:dyDescent="0.25">
      <c r="E67" s="20" t="str">
        <f>IF(Tokens!C66="","",Tokens!C66)</f>
        <v/>
      </c>
      <c r="F67"/>
      <c r="G67"/>
      <c r="H67"/>
      <c r="I67"/>
      <c r="J67"/>
      <c r="K67"/>
      <c r="L67" s="17" t="str">
        <f t="shared" si="0"/>
        <v>_</v>
      </c>
      <c r="M67" s="17"/>
      <c r="N67" s="17"/>
      <c r="O67" s="17"/>
      <c r="P67" s="24" t="str">
        <f>IF(F67&lt;&gt;"",HYPERLINK(Settings!$B$5 &amp; "/manage/?search=token&amp;account=" &amp; ToMint!$B$6 &amp; "&amp;view=" &amp; ToMint!J67,"TokenSol"),"")</f>
        <v/>
      </c>
      <c r="U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7" s="1" t="str">
        <f>formatRow(Tokens!C$2:I$2,Tokens!C66:I66)</f>
        <v>"name":"",_x000D_
"symbol":"",_x000D_
"description":"",_x000D_
"seller_fee_basis_points":"",_x000D_
"image":"",_x000D_
"Issuer":"",_x000D_
"external_url":""</v>
      </c>
      <c r="W67" s="1" t="str">
        <f>formatRow(Tokens!J$2:U$2,Tokens!J66:U66,2,"attributes")</f>
        <v>"attributes":[]</v>
      </c>
      <c r="X67" s="1" t="str">
        <f>formatRow(Tokens!AD$2:AL$2,Tokens!AD66:AL66,3,"creators")</f>
        <v>"creators":[]</v>
      </c>
      <c r="Y67" s="1" t="str">
        <f>formatRow(Tokens!AM$2:AR$2,Tokens!AM66:AR66,2,"files")</f>
        <v>"files":[]</v>
      </c>
      <c r="Z67" s="1"/>
      <c r="AA67" s="1"/>
      <c r="AB67" s="1"/>
      <c r="AC67" s="1" t="str">
        <f>formatRow(Tokens!AS$2:AT$2,Tokens!AS66:AT66,0,"collection")</f>
        <v>"collection":{"name":"",_x000D_
"family":""}</v>
      </c>
    </row>
    <row r="68" spans="5:29" ht="14.25" customHeight="1" x14ac:dyDescent="0.25">
      <c r="E68" s="20" t="str">
        <f>IF(Tokens!C67="","",Tokens!C67)</f>
        <v/>
      </c>
      <c r="F68"/>
      <c r="G68"/>
      <c r="H68"/>
      <c r="I68"/>
      <c r="J68"/>
      <c r="K68"/>
      <c r="L68" s="17" t="str">
        <f t="shared" si="0"/>
        <v>_</v>
      </c>
      <c r="M68" s="17"/>
      <c r="N68" s="17"/>
      <c r="O68" s="17"/>
      <c r="P68" s="24" t="str">
        <f>IF(F68&lt;&gt;"",HYPERLINK(Settings!$B$5 &amp; "/manage/?search=token&amp;account=" &amp; ToMint!$B$6 &amp; "&amp;view=" &amp; ToMint!J68,"TokenSol"),"")</f>
        <v/>
      </c>
      <c r="U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8" s="1" t="str">
        <f>formatRow(Tokens!C$2:I$2,Tokens!C67:I67)</f>
        <v>"name":"",_x000D_
"symbol":"",_x000D_
"description":"",_x000D_
"seller_fee_basis_points":"",_x000D_
"image":"",_x000D_
"Issuer":"",_x000D_
"external_url":""</v>
      </c>
      <c r="W68" s="1" t="str">
        <f>formatRow(Tokens!J$2:U$2,Tokens!J67:U67,2,"attributes")</f>
        <v>"attributes":[]</v>
      </c>
      <c r="X68" s="1" t="str">
        <f>formatRow(Tokens!AD$2:AL$2,Tokens!AD67:AL67,3,"creators")</f>
        <v>"creators":[]</v>
      </c>
      <c r="Y68" s="1" t="str">
        <f>formatRow(Tokens!AM$2:AR$2,Tokens!AM67:AR67,2,"files")</f>
        <v>"files":[]</v>
      </c>
      <c r="Z68" s="1"/>
      <c r="AA68" s="1"/>
      <c r="AB68" s="1"/>
      <c r="AC68" s="1" t="str">
        <f>formatRow(Tokens!AS$2:AT$2,Tokens!AS67:AT67,0,"collection")</f>
        <v>"collection":{"name":"",_x000D_
"family":""}</v>
      </c>
    </row>
    <row r="69" spans="5:29" ht="14.25" customHeight="1" x14ac:dyDescent="0.25">
      <c r="E69" s="20" t="str">
        <f>IF(Tokens!C68="","",Tokens!C68)</f>
        <v/>
      </c>
      <c r="F69"/>
      <c r="G69"/>
      <c r="H69"/>
      <c r="I69"/>
      <c r="J69"/>
      <c r="K69"/>
      <c r="L69" s="17" t="str">
        <f t="shared" ref="L69:L72" si="2">IF(AND(ISNUMBER(K68),ISNUMBER(K69)),(K69-K68)*$L$1,"_")</f>
        <v>_</v>
      </c>
      <c r="M69" s="17"/>
      <c r="N69" s="17"/>
      <c r="O69" s="17"/>
      <c r="P69" s="24" t="str">
        <f>IF(F69&lt;&gt;"",HYPERLINK(Settings!$B$5 &amp; "/manage/?search=token&amp;account=" &amp; ToMint!$B$6 &amp; "&amp;view=" &amp; ToMint!J69,"TokenSol"),"")</f>
        <v/>
      </c>
      <c r="U69" s="1" t="str">
        <f t="shared" ref="U69:U74" si="3">"{" &amp; V69 &amp; "," &amp; W69 &amp; "," &amp; """properties"":{" &amp; X69 &amp; "," &amp; Y69 &amp; "}," &amp; AC69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69" s="1" t="str">
        <f>formatRow(Tokens!C$2:I$2,Tokens!C68:I68)</f>
        <v>"name":"",_x000D_
"symbol":"",_x000D_
"description":"",_x000D_
"seller_fee_basis_points":"",_x000D_
"image":"",_x000D_
"Issuer":"",_x000D_
"external_url":""</v>
      </c>
      <c r="W69" s="1" t="str">
        <f>formatRow(Tokens!J$2:U$2,Tokens!J68:U68,2,"attributes")</f>
        <v>"attributes":[]</v>
      </c>
      <c r="X69" s="1" t="str">
        <f>formatRow(Tokens!AD$2:AL$2,Tokens!AD68:AL68,3,"creators")</f>
        <v>"creators":[]</v>
      </c>
      <c r="Y69" s="1" t="str">
        <f>formatRow(Tokens!AM$2:AR$2,Tokens!AM68:AR68,2,"files")</f>
        <v>"files":[]</v>
      </c>
      <c r="Z69" s="1"/>
      <c r="AA69" s="1"/>
      <c r="AB69" s="1"/>
      <c r="AC69" s="1" t="str">
        <f>formatRow(Tokens!AS$2:AT$2,Tokens!AS68:AT68,0,"collection")</f>
        <v>"collection":{"name":"",_x000D_
"family":""}</v>
      </c>
    </row>
    <row r="70" spans="5:29" ht="14.25" customHeight="1" x14ac:dyDescent="0.25">
      <c r="E70" s="20" t="str">
        <f>IF(Tokens!C69="","",Tokens!C69)</f>
        <v/>
      </c>
      <c r="F70"/>
      <c r="G70"/>
      <c r="H70"/>
      <c r="I70"/>
      <c r="J70"/>
      <c r="K70"/>
      <c r="L70" s="17" t="str">
        <f t="shared" si="2"/>
        <v>_</v>
      </c>
      <c r="M70" s="17"/>
      <c r="N70" s="17"/>
      <c r="O70" s="17"/>
      <c r="P70" s="24" t="str">
        <f>IF(F70&lt;&gt;"",HYPERLINK(Settings!$B$5 &amp; "/manage/?search=token&amp;account=" &amp; ToMint!$B$6 &amp; "&amp;view=" &amp; ToMint!J70,"TokenSol"),"")</f>
        <v/>
      </c>
      <c r="U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0" s="1" t="str">
        <f>formatRow(Tokens!C$2:I$2,Tokens!C69:I69)</f>
        <v>"name":"",_x000D_
"symbol":"",_x000D_
"description":"",_x000D_
"seller_fee_basis_points":"",_x000D_
"image":"",_x000D_
"Issuer":"",_x000D_
"external_url":""</v>
      </c>
      <c r="W70" s="1" t="str">
        <f>formatRow(Tokens!J$2:U$2,Tokens!J69:U69,2,"attributes")</f>
        <v>"attributes":[]</v>
      </c>
      <c r="X70" s="1" t="str">
        <f>formatRow(Tokens!AD$2:AL$2,Tokens!AD69:AL69,3,"creators")</f>
        <v>"creators":[]</v>
      </c>
      <c r="Y70" s="1" t="str">
        <f>formatRow(Tokens!AM$2:AR$2,Tokens!AM69:AR69,2,"files")</f>
        <v>"files":[]</v>
      </c>
      <c r="Z70" s="1"/>
      <c r="AA70" s="1"/>
      <c r="AB70" s="1"/>
      <c r="AC70" s="1" t="str">
        <f>formatRow(Tokens!AS$2:AT$2,Tokens!AS69:AT69,0,"collection")</f>
        <v>"collection":{"name":"",_x000D_
"family":""}</v>
      </c>
    </row>
    <row r="71" spans="5:29" ht="14.25" customHeight="1" x14ac:dyDescent="0.25">
      <c r="E71" s="20" t="str">
        <f>IF(Tokens!C70="","",Tokens!C70)</f>
        <v/>
      </c>
      <c r="F71"/>
      <c r="G71"/>
      <c r="H71"/>
      <c r="I71"/>
      <c r="J71"/>
      <c r="K71"/>
      <c r="L71" s="17" t="str">
        <f t="shared" si="2"/>
        <v>_</v>
      </c>
      <c r="M71" s="17"/>
      <c r="N71" s="17"/>
      <c r="O71" s="17"/>
      <c r="P71" s="24" t="str">
        <f>IF(F71&lt;&gt;"",HYPERLINK(Settings!$B$5 &amp; "/manage/?search=token&amp;account=" &amp; ToMint!$B$6 &amp; "&amp;view=" &amp; ToMint!J71,"TokenSol"),"")</f>
        <v/>
      </c>
      <c r="U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1" s="1" t="str">
        <f>formatRow(Tokens!C$2:I$2,Tokens!C70:I70)</f>
        <v>"name":"",_x000D_
"symbol":"",_x000D_
"description":"",_x000D_
"seller_fee_basis_points":"",_x000D_
"image":"",_x000D_
"Issuer":"",_x000D_
"external_url":""</v>
      </c>
      <c r="W71" s="1" t="str">
        <f>formatRow(Tokens!J$2:U$2,Tokens!J70:U70,2,"attributes")</f>
        <v>"attributes":[]</v>
      </c>
      <c r="X71" s="1" t="str">
        <f>formatRow(Tokens!AD$2:AL$2,Tokens!AD70:AL70,3,"creators")</f>
        <v>"creators":[]</v>
      </c>
      <c r="Y71" s="1" t="str">
        <f>formatRow(Tokens!AM$2:AR$2,Tokens!AM70:AR70,2,"files")</f>
        <v>"files":[]</v>
      </c>
      <c r="Z71" s="1"/>
      <c r="AA71" s="1"/>
      <c r="AB71" s="1"/>
      <c r="AC71" s="1" t="str">
        <f>formatRow(Tokens!AS$2:AT$2,Tokens!AS70:AT70,0,"collection")</f>
        <v>"collection":{"name":"",_x000D_
"family":""}</v>
      </c>
    </row>
    <row r="72" spans="5:29" ht="14.25" customHeight="1" x14ac:dyDescent="0.25">
      <c r="E72" s="20" t="str">
        <f>IF(Tokens!C71="","",Tokens!C71)</f>
        <v/>
      </c>
      <c r="F72"/>
      <c r="G72"/>
      <c r="H72"/>
      <c r="I72"/>
      <c r="J72"/>
      <c r="K72"/>
      <c r="L72" s="17" t="str">
        <f t="shared" si="2"/>
        <v>_</v>
      </c>
      <c r="M72" s="17"/>
      <c r="N72" s="17"/>
      <c r="O72" s="17"/>
      <c r="P72" s="24" t="str">
        <f>IF(F72&lt;&gt;"",HYPERLINK(Settings!$B$5 &amp; "/manage/?search=token&amp;account=" &amp; ToMint!$B$6 &amp; "&amp;view=" &amp; ToMint!J72,"TokenSol"),"")</f>
        <v/>
      </c>
      <c r="U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2" s="1" t="str">
        <f>formatRow(Tokens!C$2:I$2,Tokens!C71:I71)</f>
        <v>"name":"",_x000D_
"symbol":"",_x000D_
"description":"",_x000D_
"seller_fee_basis_points":"",_x000D_
"image":"",_x000D_
"Issuer":"",_x000D_
"external_url":""</v>
      </c>
      <c r="W72" s="1" t="str">
        <f>formatRow(Tokens!J$2:U$2,Tokens!J71:U71,2,"attributes")</f>
        <v>"attributes":[]</v>
      </c>
      <c r="X72" s="1" t="str">
        <f>formatRow(Tokens!AD$2:AL$2,Tokens!AD71:AL71,3,"creators")</f>
        <v>"creators":[]</v>
      </c>
      <c r="Y72" s="1" t="str">
        <f>formatRow(Tokens!AM$2:AR$2,Tokens!AM71:AR71,2,"files")</f>
        <v>"files":[]</v>
      </c>
      <c r="Z72" s="1"/>
      <c r="AA72" s="1"/>
      <c r="AB72" s="1"/>
      <c r="AC72" s="1" t="str">
        <f>formatRow(Tokens!AS$2:AT$2,Tokens!AS71:AT71,0,"collection")</f>
        <v>"collection":{"name":"",_x000D_
"family":""}</v>
      </c>
    </row>
    <row r="73" spans="5:29" ht="14.25" customHeight="1" x14ac:dyDescent="0.25">
      <c r="E73" s="20" t="str">
        <f>IF(Tokens!C63="","",Tokens!C63)</f>
        <v/>
      </c>
      <c r="F73"/>
      <c r="G73"/>
      <c r="H73"/>
      <c r="I73"/>
      <c r="J73"/>
      <c r="K73"/>
      <c r="L73" s="17" t="str">
        <f t="shared" ref="L73:L74" si="4">IF(AND(ISNUMBER(K72),ISNUMBER(K73)),(K73-K72)*$L$1,"")</f>
        <v/>
      </c>
      <c r="M73" s="17"/>
      <c r="N73" s="17"/>
      <c r="O73" s="17"/>
      <c r="P73" s="17"/>
      <c r="U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3" s="1" t="str">
        <f>formatRow(Tokens!C$2:I$2,Tokens!C72:I72)</f>
        <v>"name":"",_x000D_
"symbol":"",_x000D_
"description":"",_x000D_
"seller_fee_basis_points":"",_x000D_
"image":"",_x000D_
"Issuer":"",_x000D_
"external_url":""</v>
      </c>
      <c r="W73" s="1" t="str">
        <f>formatRow(Tokens!J$2:U$2,Tokens!J72:U72,2,"attributes")</f>
        <v>"attributes":[]</v>
      </c>
      <c r="X73" s="1" t="str">
        <f>formatRow(Tokens!AD$2:AL$2,Tokens!AD72:AL72,3,"creators")</f>
        <v>"creators":[]</v>
      </c>
      <c r="Y73" s="1" t="str">
        <f>formatRow(Tokens!AM$2:AR$2,Tokens!AM72:AR72,2,"files")</f>
        <v>"files":[]</v>
      </c>
      <c r="Z73" s="1"/>
      <c r="AA73" s="1"/>
      <c r="AB73" s="1"/>
      <c r="AC73" s="1" t="str">
        <f>formatRow(Tokens!AS$2:AT$2,Tokens!AS72:AT72,0,"collection")</f>
        <v>"collection":{"name":"",_x000D_
"family":""}</v>
      </c>
    </row>
    <row r="74" spans="5:29" ht="14.25" customHeight="1" x14ac:dyDescent="0.25">
      <c r="E74" s="20" t="str">
        <f>IF(Tokens!C64="","",Tokens!C64)</f>
        <v/>
      </c>
      <c r="F74"/>
      <c r="G74"/>
      <c r="H74"/>
      <c r="I74"/>
      <c r="J74"/>
      <c r="K74"/>
      <c r="L74" s="17" t="str">
        <f t="shared" si="4"/>
        <v/>
      </c>
      <c r="M74" s="17"/>
      <c r="N74" s="17"/>
      <c r="O74" s="17"/>
      <c r="P74" s="17"/>
      <c r="U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74" s="1" t="str">
        <f>formatRow(Tokens!C$2:I$2,Tokens!C73:I73)</f>
        <v>"name":"",_x000D_
"symbol":"",_x000D_
"description":"",_x000D_
"seller_fee_basis_points":"",_x000D_
"image":"",_x000D_
"Issuer":"",_x000D_
"external_url":""</v>
      </c>
      <c r="W74" s="1" t="str">
        <f>formatRow(Tokens!J$2:U$2,Tokens!J73:U73,2,"attributes")</f>
        <v>"attributes":[]</v>
      </c>
      <c r="X74" s="1" t="str">
        <f>formatRow(Tokens!AD$2:AL$2,Tokens!AD73:AL73,3,"creators")</f>
        <v>"creators":[]</v>
      </c>
      <c r="Y74" s="1" t="str">
        <f>formatRow(Tokens!AM$2:AR$2,Tokens!AM73:AR73,2,"files")</f>
        <v>"files":[]</v>
      </c>
      <c r="Z74" s="1"/>
      <c r="AA74" s="1"/>
      <c r="AB74" s="1"/>
      <c r="AC74" s="1" t="str">
        <f>formatRow(Tokens!AS$2:AT$2,Tokens!AS73:AT73,0,"collection")</f>
        <v>"collection":{"name":"",_x000D_
"family":""}</v>
      </c>
    </row>
    <row r="75" spans="5:29" ht="14.25" customHeight="1" x14ac:dyDescent="0.25">
      <c r="F75"/>
      <c r="G75"/>
      <c r="H75"/>
      <c r="I75"/>
      <c r="J75"/>
      <c r="K75"/>
    </row>
    <row r="76" spans="5:29" ht="14.25" customHeight="1" x14ac:dyDescent="0.25">
      <c r="F76"/>
      <c r="G76"/>
      <c r="H76"/>
      <c r="I76"/>
      <c r="J76"/>
      <c r="K76"/>
    </row>
    <row r="77" spans="5:29" ht="14.25" customHeight="1" x14ac:dyDescent="0.25">
      <c r="F77"/>
      <c r="G77"/>
      <c r="H77"/>
      <c r="I77"/>
      <c r="J77"/>
      <c r="K77"/>
    </row>
    <row r="78" spans="5:29" ht="14.25" customHeight="1" x14ac:dyDescent="0.25">
      <c r="F78"/>
      <c r="G78"/>
      <c r="H78"/>
      <c r="I78"/>
      <c r="J78"/>
      <c r="K78"/>
    </row>
    <row r="79" spans="5:29" ht="14.25" customHeight="1" x14ac:dyDescent="0.25">
      <c r="F79"/>
      <c r="G79"/>
      <c r="H79"/>
      <c r="I79"/>
      <c r="J79"/>
      <c r="K79"/>
    </row>
    <row r="80" spans="5:29" ht="14.25" customHeight="1" x14ac:dyDescent="0.25">
      <c r="F80"/>
      <c r="G80"/>
      <c r="H80"/>
      <c r="I80"/>
      <c r="J80"/>
      <c r="K80"/>
    </row>
    <row r="81" spans="6:11" ht="14.25" customHeight="1" x14ac:dyDescent="0.25">
      <c r="F81"/>
      <c r="G81"/>
      <c r="H81"/>
      <c r="I81"/>
      <c r="J81"/>
      <c r="K81"/>
    </row>
    <row r="82" spans="6:11" ht="14.25" customHeight="1" x14ac:dyDescent="0.25">
      <c r="F82"/>
      <c r="G82"/>
      <c r="H82"/>
      <c r="I82"/>
      <c r="J82"/>
      <c r="K82"/>
    </row>
    <row r="83" spans="6:11" ht="14.25" customHeight="1" x14ac:dyDescent="0.25">
      <c r="F83"/>
      <c r="G83"/>
      <c r="H83"/>
      <c r="I83"/>
      <c r="J83"/>
      <c r="K83"/>
    </row>
    <row r="84" spans="6:11" ht="14.25" customHeight="1" x14ac:dyDescent="0.25">
      <c r="F84"/>
      <c r="G84"/>
      <c r="H84"/>
      <c r="I84"/>
      <c r="J84"/>
      <c r="K84"/>
    </row>
    <row r="85" spans="6:11" ht="14.25" customHeight="1" x14ac:dyDescent="0.25">
      <c r="F85"/>
      <c r="G85"/>
      <c r="H85"/>
      <c r="I85"/>
      <c r="J85"/>
      <c r="K85"/>
    </row>
    <row r="86" spans="6:11" ht="14.25" customHeight="1" x14ac:dyDescent="0.25">
      <c r="F86"/>
      <c r="G86"/>
      <c r="H86"/>
      <c r="I86"/>
      <c r="J86"/>
      <c r="K86"/>
    </row>
    <row r="87" spans="6:11" ht="14.25" customHeight="1" x14ac:dyDescent="0.25">
      <c r="F87"/>
      <c r="G87"/>
      <c r="H87"/>
      <c r="I87"/>
      <c r="J87"/>
      <c r="K87"/>
    </row>
    <row r="88" spans="6:11" ht="14.25" customHeight="1" x14ac:dyDescent="0.25">
      <c r="F88"/>
      <c r="G88"/>
      <c r="H88"/>
      <c r="I88"/>
      <c r="J88"/>
      <c r="K88"/>
    </row>
    <row r="89" spans="6:11" ht="14.25" customHeight="1" x14ac:dyDescent="0.25">
      <c r="F89"/>
      <c r="G89"/>
      <c r="H89"/>
      <c r="I89"/>
      <c r="J89"/>
      <c r="K89"/>
    </row>
    <row r="90" spans="6:11" ht="14.25" customHeight="1" x14ac:dyDescent="0.25">
      <c r="F90"/>
      <c r="G90"/>
      <c r="H90"/>
      <c r="I90"/>
      <c r="J90"/>
      <c r="K90"/>
    </row>
    <row r="91" spans="6:11" ht="14.25" customHeight="1" x14ac:dyDescent="0.25">
      <c r="F91"/>
      <c r="G91"/>
      <c r="H91"/>
      <c r="I91"/>
      <c r="J91"/>
      <c r="K91"/>
    </row>
    <row r="92" spans="6:11" ht="14.25" customHeight="1" x14ac:dyDescent="0.25">
      <c r="F92"/>
      <c r="G92"/>
      <c r="H92"/>
      <c r="I92"/>
      <c r="J92"/>
      <c r="K92"/>
    </row>
    <row r="93" spans="6:11" ht="14.25" customHeight="1" x14ac:dyDescent="0.25">
      <c r="F93"/>
      <c r="G93"/>
      <c r="H93"/>
      <c r="I93"/>
      <c r="J93"/>
      <c r="K93"/>
    </row>
    <row r="94" spans="6:11" ht="14.25" customHeight="1" x14ac:dyDescent="0.25">
      <c r="F94"/>
      <c r="G94"/>
      <c r="H94"/>
      <c r="I94"/>
      <c r="J94"/>
      <c r="K94"/>
    </row>
    <row r="95" spans="6:11" ht="14.25" customHeight="1" x14ac:dyDescent="0.25">
      <c r="F95"/>
      <c r="G95"/>
      <c r="H95"/>
      <c r="I95"/>
      <c r="J95"/>
      <c r="K95"/>
    </row>
    <row r="96" spans="6:11" ht="14.25" customHeight="1" x14ac:dyDescent="0.25">
      <c r="F96"/>
      <c r="G96"/>
      <c r="H96"/>
      <c r="I96"/>
      <c r="J96"/>
      <c r="K96"/>
    </row>
    <row r="97" spans="6:11" ht="14.25" customHeight="1" x14ac:dyDescent="0.25">
      <c r="F97"/>
      <c r="G97"/>
      <c r="H97"/>
      <c r="I97"/>
      <c r="J97"/>
      <c r="K97"/>
    </row>
    <row r="98" spans="6:11" ht="14.25" customHeight="1" x14ac:dyDescent="0.25">
      <c r="F98"/>
      <c r="G98"/>
      <c r="H98"/>
      <c r="I98"/>
      <c r="J98"/>
      <c r="K98"/>
    </row>
    <row r="99" spans="6:11" ht="14.25" customHeight="1" x14ac:dyDescent="0.25">
      <c r="F99"/>
      <c r="G99"/>
      <c r="H99"/>
      <c r="I99"/>
      <c r="J99"/>
      <c r="K99"/>
    </row>
    <row r="100" spans="6:11" ht="14.25" customHeight="1" x14ac:dyDescent="0.25">
      <c r="F100"/>
      <c r="G100"/>
      <c r="H100"/>
      <c r="I100"/>
      <c r="J100"/>
      <c r="K100"/>
    </row>
    <row r="101" spans="6:11" ht="14.25" customHeight="1" x14ac:dyDescent="0.25">
      <c r="F101"/>
      <c r="G101"/>
      <c r="H101"/>
      <c r="I101"/>
      <c r="J101"/>
      <c r="K101"/>
    </row>
    <row r="102" spans="6:11" ht="14.25" customHeight="1" x14ac:dyDescent="0.25">
      <c r="F102"/>
      <c r="G102"/>
      <c r="H102"/>
      <c r="I102"/>
      <c r="J102"/>
      <c r="K102"/>
    </row>
    <row r="103" spans="6:11" ht="14.25" customHeight="1" x14ac:dyDescent="0.25">
      <c r="F103"/>
      <c r="G103"/>
      <c r="H103"/>
      <c r="I103"/>
      <c r="J103"/>
      <c r="K103"/>
    </row>
    <row r="104" spans="6:11" ht="14.25" customHeight="1" x14ac:dyDescent="0.25">
      <c r="F104"/>
      <c r="G104"/>
      <c r="H104"/>
      <c r="I104"/>
      <c r="J104"/>
      <c r="K104"/>
    </row>
    <row r="105" spans="6:11" ht="14.25" customHeight="1" x14ac:dyDescent="0.25">
      <c r="F105"/>
      <c r="G105"/>
      <c r="H105"/>
      <c r="I105"/>
      <c r="J105"/>
      <c r="K105"/>
    </row>
    <row r="106" spans="6:11" ht="14.25" customHeight="1" x14ac:dyDescent="0.25">
      <c r="F106"/>
      <c r="G106"/>
      <c r="H106"/>
      <c r="I106"/>
      <c r="J106"/>
      <c r="K106"/>
    </row>
    <row r="107" spans="6:11" ht="14.25" customHeight="1" x14ac:dyDescent="0.25">
      <c r="F107"/>
      <c r="G107"/>
      <c r="H107"/>
      <c r="I107"/>
      <c r="J107"/>
      <c r="K107"/>
    </row>
    <row r="108" spans="6:11" ht="14.25" customHeight="1" x14ac:dyDescent="0.25">
      <c r="F108"/>
      <c r="G108"/>
      <c r="H108"/>
      <c r="I108"/>
      <c r="J108"/>
      <c r="K108"/>
    </row>
    <row r="109" spans="6:11" ht="14.25" customHeight="1" x14ac:dyDescent="0.25">
      <c r="F109"/>
      <c r="G109"/>
      <c r="H109"/>
      <c r="I109"/>
      <c r="J109"/>
      <c r="K109"/>
    </row>
    <row r="110" spans="6:11" ht="14.25" customHeight="1" x14ac:dyDescent="0.25">
      <c r="F110"/>
      <c r="G110"/>
      <c r="H110"/>
      <c r="I110"/>
      <c r="J110"/>
      <c r="K110"/>
    </row>
    <row r="111" spans="6:11" ht="14.25" customHeight="1" x14ac:dyDescent="0.25">
      <c r="F111"/>
      <c r="G111"/>
      <c r="H111"/>
      <c r="I111"/>
      <c r="J111"/>
      <c r="K111"/>
    </row>
    <row r="112" spans="6:11" ht="14.25" customHeight="1" x14ac:dyDescent="0.25">
      <c r="F112"/>
      <c r="G112"/>
      <c r="H112"/>
      <c r="I112"/>
      <c r="J112"/>
      <c r="K112"/>
    </row>
    <row r="113" spans="6:11" ht="14.25" customHeight="1" x14ac:dyDescent="0.25">
      <c r="F113"/>
      <c r="G113"/>
      <c r="H113"/>
      <c r="I113"/>
      <c r="J113"/>
      <c r="K113"/>
    </row>
    <row r="114" spans="6:11" ht="14.25" customHeight="1" x14ac:dyDescent="0.25">
      <c r="F114"/>
      <c r="G114"/>
      <c r="H114"/>
      <c r="I114"/>
      <c r="J114"/>
      <c r="K114"/>
    </row>
    <row r="115" spans="6:11" ht="14.25" customHeight="1" x14ac:dyDescent="0.25">
      <c r="F115"/>
      <c r="G115"/>
      <c r="H115"/>
      <c r="I115"/>
      <c r="J115"/>
      <c r="K115"/>
    </row>
    <row r="116" spans="6:11" ht="14.25" customHeight="1" x14ac:dyDescent="0.25">
      <c r="F116"/>
      <c r="G116"/>
      <c r="H116"/>
      <c r="I116"/>
      <c r="J116"/>
      <c r="K116"/>
    </row>
    <row r="117" spans="6:11" ht="14.25" customHeight="1" x14ac:dyDescent="0.25">
      <c r="F117"/>
      <c r="G117"/>
      <c r="H117"/>
      <c r="I117"/>
      <c r="J117"/>
      <c r="K117"/>
    </row>
    <row r="118" spans="6:11" ht="14.25" customHeight="1" x14ac:dyDescent="0.25">
      <c r="F118"/>
      <c r="G118"/>
      <c r="H118"/>
      <c r="I118"/>
      <c r="J118"/>
      <c r="K118"/>
    </row>
    <row r="119" spans="6:11" ht="14.25" customHeight="1" x14ac:dyDescent="0.25">
      <c r="F119"/>
      <c r="G119"/>
      <c r="H119"/>
      <c r="I119"/>
      <c r="J119"/>
      <c r="K119"/>
    </row>
    <row r="120" spans="6:11" ht="14.25" customHeight="1" x14ac:dyDescent="0.25">
      <c r="F120"/>
      <c r="G120"/>
      <c r="H120"/>
      <c r="I120"/>
      <c r="J120"/>
      <c r="K120"/>
    </row>
    <row r="121" spans="6:11" ht="14.25" customHeight="1" x14ac:dyDescent="0.25">
      <c r="F121"/>
      <c r="G121"/>
      <c r="H121"/>
      <c r="I121"/>
      <c r="J121"/>
      <c r="K121"/>
    </row>
    <row r="122" spans="6:11" ht="14.25" customHeight="1" x14ac:dyDescent="0.25">
      <c r="F122"/>
      <c r="G122"/>
      <c r="H122"/>
      <c r="I122"/>
      <c r="J122"/>
      <c r="K122"/>
    </row>
    <row r="123" spans="6:11" ht="14.25" customHeight="1" x14ac:dyDescent="0.25">
      <c r="F123"/>
      <c r="G123"/>
      <c r="H123"/>
      <c r="I123"/>
      <c r="J123"/>
      <c r="K123"/>
    </row>
    <row r="124" spans="6:11" ht="14.25" customHeight="1" x14ac:dyDescent="0.25">
      <c r="F124"/>
      <c r="G124"/>
      <c r="H124"/>
      <c r="I124"/>
      <c r="J124"/>
      <c r="K124"/>
    </row>
    <row r="125" spans="6:11" ht="14.25" customHeight="1" x14ac:dyDescent="0.25">
      <c r="F125"/>
      <c r="G125"/>
      <c r="H125"/>
      <c r="I125"/>
      <c r="J125"/>
      <c r="K125"/>
    </row>
    <row r="126" spans="6:11" ht="14.25" customHeight="1" x14ac:dyDescent="0.25">
      <c r="F126"/>
      <c r="G126"/>
      <c r="H126"/>
      <c r="I126"/>
      <c r="J126"/>
      <c r="K126"/>
    </row>
    <row r="127" spans="6:11" ht="14.25" customHeight="1" x14ac:dyDescent="0.25">
      <c r="F127"/>
      <c r="G127"/>
      <c r="H127"/>
      <c r="I127"/>
      <c r="J127"/>
      <c r="K127"/>
    </row>
    <row r="128" spans="6:11" ht="14.25" customHeight="1" x14ac:dyDescent="0.25">
      <c r="F128"/>
      <c r="G128"/>
      <c r="H128"/>
      <c r="I128"/>
      <c r="J128"/>
      <c r="K128"/>
    </row>
    <row r="129" spans="6:11" ht="14.25" customHeight="1" x14ac:dyDescent="0.25">
      <c r="F129"/>
      <c r="G129"/>
      <c r="H129"/>
      <c r="I129"/>
      <c r="J129"/>
      <c r="K129"/>
    </row>
    <row r="130" spans="6:11" ht="14.25" customHeight="1" x14ac:dyDescent="0.25">
      <c r="F130"/>
      <c r="G130"/>
      <c r="H130"/>
      <c r="I130"/>
      <c r="J130"/>
      <c r="K130"/>
    </row>
    <row r="131" spans="6:11" ht="14.25" customHeight="1" x14ac:dyDescent="0.25">
      <c r="F131"/>
      <c r="G131"/>
      <c r="H131"/>
      <c r="I131"/>
      <c r="J131"/>
      <c r="K131"/>
    </row>
    <row r="132" spans="6:11" ht="14.25" customHeight="1" x14ac:dyDescent="0.25">
      <c r="F132"/>
      <c r="G132"/>
      <c r="H132"/>
      <c r="I132"/>
      <c r="J132"/>
      <c r="K132"/>
    </row>
    <row r="133" spans="6:11" ht="14.25" customHeight="1" x14ac:dyDescent="0.25">
      <c r="F133"/>
      <c r="G133"/>
      <c r="H133"/>
      <c r="I133"/>
      <c r="J133"/>
      <c r="K133"/>
    </row>
    <row r="134" spans="6:11" ht="14.25" customHeight="1" x14ac:dyDescent="0.25">
      <c r="F134"/>
      <c r="G134"/>
      <c r="H134"/>
      <c r="I134"/>
      <c r="J134"/>
      <c r="K134"/>
    </row>
    <row r="135" spans="6:11" ht="14.25" customHeight="1" x14ac:dyDescent="0.25">
      <c r="F135"/>
      <c r="G135"/>
      <c r="H135"/>
      <c r="I135"/>
      <c r="J135"/>
      <c r="K135"/>
    </row>
    <row r="136" spans="6:11" ht="14.25" customHeight="1" x14ac:dyDescent="0.25">
      <c r="F136"/>
      <c r="G136"/>
      <c r="H136"/>
      <c r="I136"/>
      <c r="J136"/>
      <c r="K136"/>
    </row>
    <row r="137" spans="6:11" ht="14.25" customHeight="1" x14ac:dyDescent="0.25">
      <c r="F137"/>
      <c r="G137"/>
      <c r="H137"/>
      <c r="I137"/>
      <c r="J137"/>
      <c r="K137"/>
    </row>
    <row r="138" spans="6:11" ht="14.25" customHeight="1" x14ac:dyDescent="0.25">
      <c r="F138"/>
      <c r="G138"/>
      <c r="H138"/>
      <c r="I138"/>
      <c r="J138"/>
      <c r="K138"/>
    </row>
    <row r="139" spans="6:11" ht="14.25" customHeight="1" x14ac:dyDescent="0.25">
      <c r="F139"/>
      <c r="G139"/>
      <c r="H139"/>
      <c r="I139"/>
      <c r="J139"/>
      <c r="K139"/>
    </row>
    <row r="140" spans="6:11" ht="14.25" customHeight="1" x14ac:dyDescent="0.25">
      <c r="F140"/>
      <c r="G140"/>
      <c r="H140"/>
      <c r="I140"/>
      <c r="J140"/>
      <c r="K140"/>
    </row>
    <row r="141" spans="6:11" ht="14.25" customHeight="1" x14ac:dyDescent="0.25">
      <c r="F141"/>
      <c r="G141"/>
      <c r="H141"/>
      <c r="I141"/>
      <c r="J141"/>
      <c r="K141"/>
    </row>
    <row r="142" spans="6:11" ht="14.25" customHeight="1" x14ac:dyDescent="0.25">
      <c r="F142"/>
      <c r="G142"/>
      <c r="H142"/>
      <c r="I142"/>
      <c r="J142"/>
      <c r="K142"/>
    </row>
    <row r="143" spans="6:11" ht="14.25" customHeight="1" x14ac:dyDescent="0.25">
      <c r="F143"/>
      <c r="G143"/>
      <c r="H143"/>
      <c r="I143"/>
      <c r="J143"/>
      <c r="K143"/>
    </row>
    <row r="144" spans="6:11" ht="14.25" customHeight="1" x14ac:dyDescent="0.25">
      <c r="F144"/>
      <c r="G144"/>
      <c r="H144"/>
      <c r="I144"/>
      <c r="J144"/>
      <c r="K144"/>
    </row>
    <row r="145" spans="6:11" ht="14.25" customHeight="1" x14ac:dyDescent="0.25">
      <c r="F145"/>
      <c r="G145"/>
      <c r="H145"/>
      <c r="I145"/>
      <c r="J145"/>
      <c r="K145"/>
    </row>
    <row r="146" spans="6:11" ht="14.25" customHeight="1" x14ac:dyDescent="0.25">
      <c r="F146"/>
      <c r="G146"/>
      <c r="H146"/>
      <c r="I146"/>
      <c r="J146"/>
      <c r="K146"/>
    </row>
    <row r="147" spans="6:11" ht="14.25" customHeight="1" x14ac:dyDescent="0.25">
      <c r="F147"/>
      <c r="G147"/>
      <c r="H147"/>
      <c r="I147"/>
      <c r="J147"/>
      <c r="K147"/>
    </row>
    <row r="148" spans="6:11" ht="14.25" customHeight="1" x14ac:dyDescent="0.25">
      <c r="F148"/>
      <c r="G148"/>
      <c r="H148"/>
      <c r="I148"/>
      <c r="J148"/>
      <c r="K148"/>
    </row>
    <row r="149" spans="6:11" ht="14.25" customHeight="1" x14ac:dyDescent="0.25">
      <c r="F149"/>
      <c r="G149"/>
      <c r="H149"/>
      <c r="I149"/>
      <c r="J149"/>
      <c r="K149"/>
    </row>
    <row r="150" spans="6:11" ht="14.25" customHeight="1" x14ac:dyDescent="0.25">
      <c r="F150"/>
      <c r="G150"/>
      <c r="H150"/>
      <c r="I150"/>
      <c r="J150"/>
      <c r="K150"/>
    </row>
    <row r="151" spans="6:11" ht="14.25" customHeight="1" x14ac:dyDescent="0.25">
      <c r="F151"/>
      <c r="G151"/>
      <c r="H151"/>
      <c r="I151"/>
      <c r="J151"/>
      <c r="K151"/>
    </row>
    <row r="152" spans="6:11" ht="14.25" customHeight="1" x14ac:dyDescent="0.25">
      <c r="F152"/>
      <c r="G152"/>
      <c r="H152"/>
      <c r="I152"/>
      <c r="J152"/>
      <c r="K152"/>
    </row>
    <row r="153" spans="6:11" ht="14.25" customHeight="1" x14ac:dyDescent="0.25">
      <c r="F153"/>
      <c r="G153"/>
      <c r="H153"/>
      <c r="I153"/>
      <c r="J153"/>
      <c r="K153"/>
    </row>
    <row r="154" spans="6:11" ht="14.25" customHeight="1" x14ac:dyDescent="0.25">
      <c r="F154"/>
      <c r="G154"/>
      <c r="H154"/>
      <c r="I154"/>
      <c r="J154"/>
      <c r="K154"/>
    </row>
    <row r="155" spans="6:11" ht="14.25" customHeight="1" x14ac:dyDescent="0.25">
      <c r="F155"/>
      <c r="G155"/>
      <c r="H155"/>
      <c r="I155"/>
      <c r="J155"/>
      <c r="K155"/>
    </row>
    <row r="156" spans="6:11" ht="14.25" customHeight="1" x14ac:dyDescent="0.25">
      <c r="F156"/>
      <c r="G156"/>
      <c r="H156"/>
      <c r="I156"/>
      <c r="J156"/>
      <c r="K156"/>
    </row>
    <row r="157" spans="6:11" ht="14.25" customHeight="1" x14ac:dyDescent="0.25">
      <c r="F157"/>
      <c r="G157"/>
      <c r="H157"/>
      <c r="I157"/>
      <c r="J157"/>
      <c r="K157"/>
    </row>
    <row r="158" spans="6:11" ht="14.25" customHeight="1" x14ac:dyDescent="0.25">
      <c r="F158"/>
      <c r="G158"/>
      <c r="H158"/>
      <c r="I158"/>
      <c r="J158"/>
      <c r="K158"/>
    </row>
    <row r="159" spans="6:11" ht="14.25" customHeight="1" x14ac:dyDescent="0.25">
      <c r="F159"/>
      <c r="G159"/>
      <c r="H159"/>
      <c r="I159"/>
      <c r="J159"/>
      <c r="K159"/>
    </row>
    <row r="160" spans="6:11" ht="14.25" customHeight="1" x14ac:dyDescent="0.25">
      <c r="F160"/>
      <c r="G160"/>
      <c r="H160"/>
      <c r="I160"/>
      <c r="J160"/>
      <c r="K160"/>
    </row>
    <row r="161" spans="6:11" ht="14.25" customHeight="1" x14ac:dyDescent="0.25">
      <c r="F161"/>
      <c r="G161"/>
      <c r="H161"/>
      <c r="I161"/>
      <c r="J161"/>
      <c r="K161"/>
    </row>
    <row r="162" spans="6:11" ht="14.25" customHeight="1" x14ac:dyDescent="0.25">
      <c r="F162"/>
      <c r="G162"/>
      <c r="H162"/>
      <c r="I162"/>
      <c r="J162"/>
      <c r="K162"/>
    </row>
    <row r="163" spans="6:11" ht="14.25" customHeight="1" x14ac:dyDescent="0.25">
      <c r="F163"/>
      <c r="G163"/>
      <c r="H163"/>
      <c r="I163"/>
      <c r="J163"/>
      <c r="K163"/>
    </row>
    <row r="164" spans="6:11" ht="14.25" customHeight="1" x14ac:dyDescent="0.25">
      <c r="F164"/>
      <c r="G164"/>
      <c r="H164"/>
      <c r="I164"/>
      <c r="J164"/>
      <c r="K164"/>
    </row>
    <row r="165" spans="6:11" ht="14.25" customHeight="1" x14ac:dyDescent="0.25">
      <c r="F165"/>
      <c r="G165"/>
      <c r="H165"/>
      <c r="I165"/>
      <c r="J165"/>
      <c r="K165"/>
    </row>
    <row r="166" spans="6:11" ht="14.25" customHeight="1" x14ac:dyDescent="0.25">
      <c r="F166"/>
      <c r="G166"/>
      <c r="H166"/>
      <c r="I166"/>
      <c r="J166"/>
      <c r="K166"/>
    </row>
    <row r="167" spans="6:11" ht="14.25" customHeight="1" x14ac:dyDescent="0.25">
      <c r="F167"/>
      <c r="G167"/>
      <c r="H167"/>
      <c r="I167"/>
      <c r="J167"/>
      <c r="K167"/>
    </row>
    <row r="168" spans="6:11" ht="14.25" customHeight="1" x14ac:dyDescent="0.25">
      <c r="F168"/>
      <c r="G168"/>
      <c r="H168"/>
      <c r="I168"/>
      <c r="J168"/>
      <c r="K168"/>
    </row>
    <row r="169" spans="6:11" ht="14.25" customHeight="1" x14ac:dyDescent="0.25">
      <c r="F169"/>
      <c r="G169"/>
      <c r="H169"/>
      <c r="I169"/>
      <c r="J169"/>
      <c r="K169"/>
    </row>
    <row r="170" spans="6:11" ht="14.25" customHeight="1" x14ac:dyDescent="0.25">
      <c r="F170"/>
      <c r="G170"/>
      <c r="H170"/>
      <c r="I170"/>
      <c r="J170"/>
      <c r="K170"/>
    </row>
    <row r="171" spans="6:11" ht="14.25" customHeight="1" x14ac:dyDescent="0.25">
      <c r="F171"/>
      <c r="G171"/>
      <c r="H171"/>
      <c r="I171"/>
      <c r="J171"/>
      <c r="K171"/>
    </row>
    <row r="172" spans="6:11" ht="14.25" customHeight="1" x14ac:dyDescent="0.25">
      <c r="F172"/>
      <c r="G172"/>
      <c r="H172"/>
      <c r="I172"/>
      <c r="J172"/>
      <c r="K172"/>
    </row>
    <row r="173" spans="6:11" ht="14.25" customHeight="1" x14ac:dyDescent="0.25">
      <c r="F173"/>
      <c r="G173"/>
      <c r="H173"/>
      <c r="I173"/>
      <c r="J173"/>
      <c r="K173"/>
    </row>
    <row r="174" spans="6:11" ht="14.25" customHeight="1" x14ac:dyDescent="0.25">
      <c r="F174"/>
      <c r="G174"/>
      <c r="H174"/>
      <c r="I174"/>
      <c r="J174"/>
      <c r="K174"/>
    </row>
    <row r="175" spans="6:11" ht="14.25" customHeight="1" x14ac:dyDescent="0.25">
      <c r="F175"/>
      <c r="G175"/>
      <c r="H175"/>
      <c r="I175"/>
      <c r="J175"/>
      <c r="K175"/>
    </row>
    <row r="176" spans="6:11" ht="14.25" customHeight="1" x14ac:dyDescent="0.25">
      <c r="F176"/>
      <c r="G176"/>
      <c r="H176"/>
      <c r="I176"/>
      <c r="J176"/>
      <c r="K176"/>
    </row>
    <row r="177" spans="6:11" ht="14.25" customHeight="1" x14ac:dyDescent="0.25">
      <c r="F177"/>
      <c r="G177"/>
      <c r="H177"/>
      <c r="I177"/>
      <c r="J177"/>
      <c r="K177"/>
    </row>
    <row r="178" spans="6:11" ht="14.25" customHeight="1" x14ac:dyDescent="0.25">
      <c r="F178"/>
      <c r="G178"/>
      <c r="H178"/>
      <c r="I178"/>
      <c r="J178"/>
      <c r="K178"/>
    </row>
    <row r="179" spans="6:11" ht="14.25" customHeight="1" x14ac:dyDescent="0.25">
      <c r="F179"/>
      <c r="G179"/>
      <c r="H179"/>
      <c r="I179"/>
      <c r="J179"/>
      <c r="K179"/>
    </row>
    <row r="180" spans="6:11" ht="14.25" customHeight="1" x14ac:dyDescent="0.25">
      <c r="F180"/>
      <c r="G180"/>
      <c r="H180"/>
      <c r="I180"/>
      <c r="J180"/>
      <c r="K180"/>
    </row>
    <row r="181" spans="6:11" ht="14.25" customHeight="1" x14ac:dyDescent="0.25">
      <c r="F181"/>
      <c r="G181"/>
      <c r="H181"/>
      <c r="I181"/>
      <c r="J181"/>
      <c r="K181"/>
    </row>
    <row r="182" spans="6:11" ht="14.25" customHeight="1" x14ac:dyDescent="0.25">
      <c r="F182"/>
      <c r="G182"/>
      <c r="H182"/>
      <c r="I182"/>
      <c r="J182"/>
      <c r="K182"/>
    </row>
    <row r="183" spans="6:11" ht="14.25" customHeight="1" x14ac:dyDescent="0.25">
      <c r="F183"/>
      <c r="G183"/>
      <c r="H183"/>
      <c r="I183"/>
      <c r="J183"/>
      <c r="K183"/>
    </row>
    <row r="184" spans="6:11" ht="14.25" customHeight="1" x14ac:dyDescent="0.25">
      <c r="F184"/>
      <c r="G184"/>
      <c r="H184"/>
      <c r="I184"/>
      <c r="J184"/>
      <c r="K184"/>
    </row>
    <row r="185" spans="6:11" ht="14.25" customHeight="1" x14ac:dyDescent="0.25">
      <c r="F185"/>
      <c r="G185"/>
      <c r="H185"/>
      <c r="I185"/>
      <c r="J185"/>
      <c r="K185"/>
    </row>
    <row r="186" spans="6:11" ht="14.25" customHeight="1" x14ac:dyDescent="0.25">
      <c r="F186"/>
      <c r="G186"/>
      <c r="H186"/>
      <c r="I186"/>
      <c r="J186"/>
      <c r="K186"/>
    </row>
    <row r="187" spans="6:11" ht="14.25" customHeight="1" x14ac:dyDescent="0.25">
      <c r="F187"/>
      <c r="G187"/>
      <c r="H187"/>
      <c r="I187"/>
      <c r="J187"/>
      <c r="K187"/>
    </row>
    <row r="188" spans="6:11" ht="14.25" customHeight="1" x14ac:dyDescent="0.25">
      <c r="F188"/>
      <c r="G188"/>
      <c r="H188"/>
      <c r="I188"/>
      <c r="J188"/>
      <c r="K188"/>
    </row>
    <row r="189" spans="6:11" ht="14.25" customHeight="1" x14ac:dyDescent="0.25">
      <c r="F189"/>
      <c r="G189"/>
      <c r="H189"/>
      <c r="I189"/>
      <c r="J189"/>
      <c r="K189"/>
    </row>
    <row r="190" spans="6:11" ht="14.25" customHeight="1" x14ac:dyDescent="0.25">
      <c r="F190"/>
      <c r="G190"/>
      <c r="H190"/>
      <c r="I190"/>
      <c r="J190"/>
      <c r="K190"/>
    </row>
    <row r="191" spans="6:11" ht="14.25" customHeight="1" x14ac:dyDescent="0.25">
      <c r="F191"/>
      <c r="G191"/>
      <c r="H191"/>
      <c r="I191"/>
      <c r="J191"/>
      <c r="K191"/>
    </row>
    <row r="192" spans="6:11" ht="14.25" customHeight="1" x14ac:dyDescent="0.25">
      <c r="F192"/>
      <c r="G192"/>
      <c r="H192"/>
      <c r="I192"/>
      <c r="J192"/>
      <c r="K192"/>
    </row>
    <row r="193" spans="6:11" ht="14.25" customHeight="1" x14ac:dyDescent="0.25">
      <c r="F193"/>
      <c r="G193"/>
      <c r="H193"/>
      <c r="I193"/>
      <c r="J193"/>
      <c r="K193"/>
    </row>
    <row r="194" spans="6:11" ht="14.25" customHeight="1" x14ac:dyDescent="0.25">
      <c r="F194"/>
      <c r="G194"/>
      <c r="H194"/>
      <c r="I194"/>
      <c r="J194"/>
      <c r="K194"/>
    </row>
    <row r="195" spans="6:11" ht="14.25" customHeight="1" x14ac:dyDescent="0.25">
      <c r="F195"/>
      <c r="G195"/>
      <c r="H195"/>
      <c r="I195"/>
      <c r="J195"/>
      <c r="K195"/>
    </row>
    <row r="196" spans="6:11" ht="14.25" customHeight="1" x14ac:dyDescent="0.25">
      <c r="F196"/>
      <c r="G196"/>
      <c r="H196"/>
      <c r="I196"/>
      <c r="J196"/>
      <c r="K196"/>
    </row>
    <row r="197" spans="6:11" ht="14.25" customHeight="1" x14ac:dyDescent="0.25">
      <c r="F197"/>
      <c r="G197"/>
      <c r="H197"/>
      <c r="I197"/>
      <c r="J197"/>
      <c r="K197"/>
    </row>
    <row r="198" spans="6:11" ht="14.25" customHeight="1" x14ac:dyDescent="0.25">
      <c r="F198"/>
      <c r="G198"/>
      <c r="H198"/>
      <c r="I198"/>
      <c r="J198"/>
      <c r="K198"/>
    </row>
    <row r="199" spans="6:11" ht="14.25" customHeight="1" x14ac:dyDescent="0.25">
      <c r="F199"/>
      <c r="G199"/>
      <c r="H199"/>
      <c r="I199"/>
      <c r="J199"/>
      <c r="K199"/>
    </row>
    <row r="200" spans="6:11" ht="14.25" customHeight="1" x14ac:dyDescent="0.25">
      <c r="F200"/>
      <c r="G200"/>
      <c r="H200"/>
      <c r="I200"/>
      <c r="J200"/>
      <c r="K200"/>
    </row>
    <row r="201" spans="6:11" ht="14.25" customHeight="1" x14ac:dyDescent="0.25">
      <c r="F201"/>
      <c r="G201"/>
      <c r="H201"/>
      <c r="I201"/>
      <c r="J201"/>
      <c r="K201"/>
    </row>
    <row r="202" spans="6:11" ht="14.25" customHeight="1" x14ac:dyDescent="0.25">
      <c r="F202"/>
      <c r="G202"/>
      <c r="H202"/>
      <c r="I202"/>
      <c r="J202"/>
      <c r="K202"/>
    </row>
    <row r="203" spans="6:11" ht="14.25" customHeight="1" x14ac:dyDescent="0.25">
      <c r="F203"/>
      <c r="G203"/>
      <c r="H203"/>
      <c r="I203"/>
      <c r="J203"/>
      <c r="K203"/>
    </row>
    <row r="204" spans="6:11" ht="14.25" customHeight="1" x14ac:dyDescent="0.25">
      <c r="F204"/>
      <c r="G204"/>
      <c r="H204"/>
      <c r="I204"/>
      <c r="J204"/>
      <c r="K204"/>
    </row>
    <row r="205" spans="6:11" ht="14.25" customHeight="1" x14ac:dyDescent="0.25">
      <c r="F205"/>
      <c r="G205"/>
      <c r="H205"/>
      <c r="I205"/>
      <c r="J205"/>
      <c r="K205"/>
    </row>
    <row r="206" spans="6:11" ht="14.25" customHeight="1" x14ac:dyDescent="0.25">
      <c r="F206"/>
      <c r="G206"/>
      <c r="H206"/>
      <c r="I206"/>
      <c r="J206"/>
      <c r="K206"/>
    </row>
    <row r="207" spans="6:11" ht="14.25" customHeight="1" x14ac:dyDescent="0.25">
      <c r="F207"/>
      <c r="G207"/>
      <c r="H207"/>
      <c r="I207"/>
      <c r="J207"/>
      <c r="K207"/>
    </row>
    <row r="208" spans="6:11" ht="14.25" customHeight="1" x14ac:dyDescent="0.25">
      <c r="F208"/>
      <c r="G208"/>
      <c r="H208"/>
      <c r="I208"/>
      <c r="J208"/>
      <c r="K208"/>
    </row>
    <row r="209" spans="6:11" ht="14.25" customHeight="1" x14ac:dyDescent="0.25">
      <c r="F209"/>
      <c r="G209"/>
      <c r="H209"/>
      <c r="I209"/>
      <c r="J209"/>
      <c r="K209"/>
    </row>
    <row r="210" spans="6:11" ht="14.25" customHeight="1" x14ac:dyDescent="0.25">
      <c r="F210"/>
      <c r="G210"/>
      <c r="H210"/>
      <c r="I210"/>
      <c r="J210"/>
      <c r="K210"/>
    </row>
    <row r="211" spans="6:11" ht="14.25" customHeight="1" x14ac:dyDescent="0.25">
      <c r="F211"/>
      <c r="G211"/>
      <c r="H211"/>
      <c r="I211"/>
      <c r="J211"/>
      <c r="K211"/>
    </row>
    <row r="212" spans="6:11" ht="14.25" customHeight="1" x14ac:dyDescent="0.25">
      <c r="F212"/>
      <c r="G212"/>
      <c r="H212"/>
      <c r="I212"/>
      <c r="J212"/>
      <c r="K212"/>
    </row>
    <row r="213" spans="6:11" ht="14.25" customHeight="1" x14ac:dyDescent="0.25">
      <c r="F213"/>
      <c r="G213"/>
      <c r="H213"/>
      <c r="I213"/>
      <c r="J213"/>
      <c r="K213"/>
    </row>
    <row r="214" spans="6:11" ht="14.25" customHeight="1" x14ac:dyDescent="0.25">
      <c r="F214"/>
      <c r="G214"/>
      <c r="H214"/>
      <c r="I214"/>
      <c r="J214"/>
      <c r="K214"/>
    </row>
    <row r="215" spans="6:11" ht="14.25" customHeight="1" x14ac:dyDescent="0.25">
      <c r="F215"/>
      <c r="G215"/>
      <c r="H215"/>
      <c r="I215"/>
      <c r="J215"/>
      <c r="K215"/>
    </row>
    <row r="216" spans="6:11" ht="14.25" customHeight="1" x14ac:dyDescent="0.25">
      <c r="F216"/>
      <c r="G216"/>
      <c r="H216"/>
      <c r="I216"/>
      <c r="J216"/>
      <c r="K216"/>
    </row>
    <row r="217" spans="6:11" ht="14.25" customHeight="1" x14ac:dyDescent="0.25">
      <c r="F217"/>
      <c r="G217"/>
      <c r="H217"/>
      <c r="I217"/>
      <c r="J217"/>
      <c r="K217"/>
    </row>
    <row r="218" spans="6:11" ht="14.25" customHeight="1" x14ac:dyDescent="0.25">
      <c r="F218"/>
      <c r="G218"/>
      <c r="H218"/>
      <c r="I218"/>
      <c r="J218"/>
      <c r="K218"/>
    </row>
    <row r="219" spans="6:11" ht="14.25" customHeight="1" x14ac:dyDescent="0.25">
      <c r="F219"/>
      <c r="G219"/>
      <c r="H219"/>
      <c r="I219"/>
      <c r="J219"/>
      <c r="K219"/>
    </row>
    <row r="220" spans="6:11" ht="14.25" customHeight="1" x14ac:dyDescent="0.25">
      <c r="F220"/>
      <c r="G220"/>
      <c r="H220"/>
      <c r="I220"/>
      <c r="J220"/>
      <c r="K220"/>
    </row>
    <row r="221" spans="6:11" ht="14.25" customHeight="1" x14ac:dyDescent="0.25">
      <c r="F221"/>
      <c r="G221"/>
      <c r="H221"/>
      <c r="I221"/>
      <c r="J221"/>
      <c r="K221"/>
    </row>
    <row r="222" spans="6:11" ht="14.25" customHeight="1" x14ac:dyDescent="0.25">
      <c r="F222"/>
      <c r="G222"/>
      <c r="H222"/>
      <c r="I222"/>
      <c r="J222"/>
      <c r="K222"/>
    </row>
    <row r="223" spans="6:11" ht="14.25" customHeight="1" x14ac:dyDescent="0.25">
      <c r="F223"/>
      <c r="G223"/>
      <c r="H223"/>
      <c r="I223"/>
      <c r="J223"/>
      <c r="K223"/>
    </row>
    <row r="224" spans="6:11" ht="14.25" customHeight="1" x14ac:dyDescent="0.25">
      <c r="F224"/>
      <c r="G224"/>
      <c r="H224"/>
      <c r="I224"/>
      <c r="J224"/>
      <c r="K224"/>
    </row>
    <row r="225" spans="6:11" ht="14.25" customHeight="1" x14ac:dyDescent="0.25">
      <c r="F225"/>
      <c r="G225"/>
      <c r="H225"/>
      <c r="I225"/>
      <c r="J225"/>
      <c r="K225"/>
    </row>
    <row r="226" spans="6:11" ht="14.25" customHeight="1" x14ac:dyDescent="0.25">
      <c r="F226"/>
      <c r="G226"/>
      <c r="H226"/>
      <c r="I226"/>
      <c r="J226"/>
      <c r="K226"/>
    </row>
    <row r="227" spans="6:11" ht="14.25" customHeight="1" x14ac:dyDescent="0.25">
      <c r="F227"/>
      <c r="G227"/>
      <c r="H227"/>
      <c r="I227"/>
      <c r="J227"/>
      <c r="K227"/>
    </row>
    <row r="228" spans="6:11" ht="14.25" customHeight="1" x14ac:dyDescent="0.25">
      <c r="F228"/>
      <c r="G228"/>
      <c r="H228"/>
      <c r="I228"/>
      <c r="J228"/>
      <c r="K228"/>
    </row>
    <row r="229" spans="6:11" ht="14.25" customHeight="1" x14ac:dyDescent="0.25">
      <c r="F229"/>
      <c r="G229"/>
      <c r="H229"/>
      <c r="I229"/>
      <c r="J229"/>
      <c r="K229"/>
    </row>
    <row r="230" spans="6:11" ht="14.25" customHeight="1" x14ac:dyDescent="0.25">
      <c r="F230"/>
      <c r="G230"/>
      <c r="H230"/>
      <c r="I230"/>
      <c r="J230"/>
      <c r="K230"/>
    </row>
    <row r="231" spans="6:11" ht="14.25" customHeight="1" x14ac:dyDescent="0.25">
      <c r="F231"/>
      <c r="G231"/>
      <c r="H231"/>
      <c r="I231"/>
      <c r="J231"/>
      <c r="K231"/>
    </row>
    <row r="232" spans="6:11" ht="14.25" customHeight="1" x14ac:dyDescent="0.25">
      <c r="F232"/>
      <c r="G232"/>
      <c r="H232"/>
      <c r="I232"/>
      <c r="J232"/>
      <c r="K232"/>
    </row>
    <row r="233" spans="6:11" ht="14.25" customHeight="1" x14ac:dyDescent="0.25">
      <c r="F233"/>
      <c r="G233"/>
      <c r="H233"/>
      <c r="I233"/>
      <c r="J233"/>
      <c r="K233"/>
    </row>
    <row r="234" spans="6:11" ht="14.25" customHeight="1" x14ac:dyDescent="0.25">
      <c r="F234"/>
      <c r="G234"/>
      <c r="H234"/>
      <c r="I234"/>
      <c r="J234"/>
      <c r="K234"/>
    </row>
    <row r="235" spans="6:11" ht="14.25" customHeight="1" x14ac:dyDescent="0.25">
      <c r="F235"/>
      <c r="G235"/>
      <c r="H235"/>
      <c r="I235"/>
      <c r="J235"/>
      <c r="K235"/>
    </row>
    <row r="236" spans="6:11" ht="14.25" customHeight="1" x14ac:dyDescent="0.25">
      <c r="F236"/>
      <c r="G236"/>
      <c r="H236"/>
      <c r="I236"/>
      <c r="J236"/>
      <c r="K236"/>
    </row>
    <row r="237" spans="6:11" ht="14.25" customHeight="1" x14ac:dyDescent="0.25">
      <c r="F237"/>
      <c r="G237"/>
      <c r="H237"/>
      <c r="I237"/>
      <c r="J237"/>
      <c r="K237"/>
    </row>
    <row r="238" spans="6:11" ht="14.25" customHeight="1" x14ac:dyDescent="0.25">
      <c r="F238"/>
      <c r="G238"/>
      <c r="H238"/>
      <c r="I238"/>
      <c r="J238"/>
      <c r="K238"/>
    </row>
    <row r="239" spans="6:11" ht="14.25" customHeight="1" x14ac:dyDescent="0.25">
      <c r="F239"/>
      <c r="G239"/>
      <c r="H239"/>
      <c r="I239"/>
      <c r="J239"/>
      <c r="K239"/>
    </row>
    <row r="240" spans="6:11" ht="14.25" customHeight="1" x14ac:dyDescent="0.25">
      <c r="F240"/>
      <c r="G240"/>
      <c r="H240"/>
      <c r="I240"/>
      <c r="J240"/>
      <c r="K240"/>
    </row>
    <row r="241" spans="6:11" ht="14.25" customHeight="1" x14ac:dyDescent="0.25">
      <c r="F241"/>
      <c r="G241"/>
      <c r="H241"/>
      <c r="I241"/>
      <c r="J241"/>
      <c r="K241"/>
    </row>
    <row r="242" spans="6:11" ht="14.25" customHeight="1" x14ac:dyDescent="0.25">
      <c r="F242"/>
      <c r="G242"/>
      <c r="H242"/>
      <c r="I242"/>
      <c r="J242"/>
      <c r="K242"/>
    </row>
    <row r="243" spans="6:11" ht="14.25" customHeight="1" x14ac:dyDescent="0.25">
      <c r="F243"/>
      <c r="G243"/>
      <c r="H243"/>
      <c r="I243"/>
      <c r="J243"/>
      <c r="K243"/>
    </row>
    <row r="244" spans="6:11" ht="14.25" customHeight="1" x14ac:dyDescent="0.25">
      <c r="F244"/>
      <c r="G244"/>
      <c r="H244"/>
      <c r="I244"/>
      <c r="J244"/>
      <c r="K244"/>
    </row>
    <row r="245" spans="6:11" ht="14.25" customHeight="1" x14ac:dyDescent="0.25">
      <c r="F245"/>
      <c r="G245"/>
      <c r="H245"/>
      <c r="I245"/>
      <c r="J245"/>
      <c r="K245"/>
    </row>
    <row r="246" spans="6:11" ht="14.25" customHeight="1" x14ac:dyDescent="0.25">
      <c r="F246"/>
      <c r="G246"/>
      <c r="H246"/>
      <c r="I246"/>
      <c r="J246"/>
      <c r="K246"/>
    </row>
    <row r="247" spans="6:11" ht="14.25" customHeight="1" x14ac:dyDescent="0.25">
      <c r="F247"/>
      <c r="G247"/>
      <c r="H247"/>
      <c r="I247"/>
      <c r="J247"/>
      <c r="K247"/>
    </row>
    <row r="248" spans="6:11" ht="14.25" customHeight="1" x14ac:dyDescent="0.25">
      <c r="F248"/>
      <c r="G248"/>
      <c r="H248"/>
      <c r="I248"/>
      <c r="J248"/>
      <c r="K248"/>
    </row>
    <row r="249" spans="6:11" ht="14.25" customHeight="1" x14ac:dyDescent="0.25">
      <c r="F249"/>
      <c r="G249"/>
      <c r="H249"/>
      <c r="I249"/>
      <c r="J249"/>
      <c r="K249"/>
    </row>
    <row r="250" spans="6:11" ht="14.25" customHeight="1" x14ac:dyDescent="0.25">
      <c r="F250"/>
      <c r="G250"/>
      <c r="H250"/>
      <c r="I250"/>
      <c r="J250"/>
      <c r="K250"/>
    </row>
    <row r="251" spans="6:11" ht="14.25" customHeight="1" x14ac:dyDescent="0.25">
      <c r="F251"/>
      <c r="G251"/>
      <c r="H251"/>
      <c r="I251"/>
      <c r="J251"/>
      <c r="K251"/>
    </row>
    <row r="252" spans="6:11" ht="14.25" customHeight="1" x14ac:dyDescent="0.25">
      <c r="F252"/>
      <c r="G252"/>
      <c r="H252"/>
      <c r="I252"/>
      <c r="J252"/>
      <c r="K252"/>
    </row>
    <row r="253" spans="6:11" ht="14.25" customHeight="1" x14ac:dyDescent="0.25">
      <c r="F253"/>
      <c r="G253"/>
      <c r="H253"/>
      <c r="I253"/>
      <c r="J253"/>
      <c r="K253"/>
    </row>
    <row r="254" spans="6:11" ht="14.25" customHeight="1" x14ac:dyDescent="0.25">
      <c r="F254"/>
      <c r="G254"/>
      <c r="H254"/>
      <c r="I254"/>
      <c r="J254"/>
      <c r="K254"/>
    </row>
    <row r="255" spans="6:11" ht="14.25" customHeight="1" x14ac:dyDescent="0.25">
      <c r="F255"/>
      <c r="G255"/>
      <c r="H255"/>
      <c r="I255"/>
      <c r="J255"/>
      <c r="K255"/>
    </row>
    <row r="256" spans="6:11" ht="14.25" customHeight="1" x14ac:dyDescent="0.25">
      <c r="F256"/>
      <c r="G256"/>
      <c r="H256"/>
      <c r="I256"/>
      <c r="J256"/>
      <c r="K256"/>
    </row>
    <row r="257" spans="6:11" ht="14.25" customHeight="1" x14ac:dyDescent="0.25">
      <c r="F257"/>
      <c r="G257"/>
      <c r="H257"/>
      <c r="I257"/>
      <c r="J257"/>
      <c r="K257"/>
    </row>
    <row r="258" spans="6:11" ht="14.25" customHeight="1" x14ac:dyDescent="0.25">
      <c r="F258"/>
      <c r="G258"/>
      <c r="H258"/>
      <c r="I258"/>
      <c r="J258"/>
      <c r="K258"/>
    </row>
    <row r="259" spans="6:11" ht="14.25" customHeight="1" x14ac:dyDescent="0.25">
      <c r="F259"/>
      <c r="G259"/>
      <c r="H259"/>
      <c r="I259"/>
      <c r="J259"/>
      <c r="K259"/>
    </row>
    <row r="260" spans="6:11" ht="14.25" customHeight="1" x14ac:dyDescent="0.25">
      <c r="F260"/>
      <c r="G260"/>
      <c r="H260"/>
      <c r="I260"/>
      <c r="J260"/>
      <c r="K260"/>
    </row>
    <row r="261" spans="6:11" ht="14.25" customHeight="1" x14ac:dyDescent="0.25">
      <c r="F261"/>
      <c r="G261"/>
      <c r="H261"/>
      <c r="I261"/>
      <c r="J261"/>
      <c r="K261"/>
    </row>
    <row r="262" spans="6:11" ht="14.25" customHeight="1" x14ac:dyDescent="0.25">
      <c r="F262"/>
      <c r="G262"/>
      <c r="H262"/>
      <c r="I262"/>
      <c r="J262"/>
      <c r="K262"/>
    </row>
    <row r="263" spans="6:11" ht="14.25" customHeight="1" x14ac:dyDescent="0.25">
      <c r="F263"/>
      <c r="G263"/>
      <c r="H263"/>
      <c r="I263"/>
      <c r="J263"/>
      <c r="K263"/>
    </row>
    <row r="264" spans="6:11" ht="14.25" customHeight="1" x14ac:dyDescent="0.25">
      <c r="F264"/>
      <c r="G264"/>
      <c r="H264"/>
      <c r="I264"/>
      <c r="J264"/>
      <c r="K264"/>
    </row>
    <row r="265" spans="6:11" ht="14.25" customHeight="1" x14ac:dyDescent="0.25">
      <c r="F265"/>
      <c r="G265"/>
      <c r="H265"/>
      <c r="I265"/>
      <c r="J265"/>
      <c r="K265"/>
    </row>
    <row r="266" spans="6:11" ht="14.25" customHeight="1" x14ac:dyDescent="0.25">
      <c r="F266"/>
      <c r="G266"/>
      <c r="H266"/>
      <c r="I266"/>
      <c r="J266"/>
      <c r="K266"/>
    </row>
    <row r="267" spans="6:11" ht="14.25" customHeight="1" x14ac:dyDescent="0.25">
      <c r="F267"/>
      <c r="G267"/>
      <c r="H267"/>
      <c r="I267"/>
      <c r="J267"/>
      <c r="K267"/>
    </row>
    <row r="268" spans="6:11" ht="14.25" customHeight="1" x14ac:dyDescent="0.25">
      <c r="F268"/>
      <c r="G268"/>
      <c r="H268"/>
      <c r="I268"/>
      <c r="J268"/>
      <c r="K268"/>
    </row>
    <row r="269" spans="6:11" ht="14.25" customHeight="1" x14ac:dyDescent="0.25">
      <c r="F269"/>
      <c r="G269"/>
      <c r="H269"/>
      <c r="I269"/>
      <c r="J269"/>
      <c r="K269"/>
    </row>
    <row r="270" spans="6:11" ht="14.25" customHeight="1" x14ac:dyDescent="0.25">
      <c r="F270"/>
      <c r="G270"/>
      <c r="H270"/>
      <c r="I270"/>
      <c r="J270"/>
      <c r="K270"/>
    </row>
    <row r="271" spans="6:11" ht="14.25" customHeight="1" x14ac:dyDescent="0.25">
      <c r="F271"/>
      <c r="G271"/>
      <c r="H271"/>
      <c r="I271"/>
      <c r="J271"/>
      <c r="K271"/>
    </row>
    <row r="272" spans="6:11" ht="14.25" customHeight="1" x14ac:dyDescent="0.25">
      <c r="F272"/>
      <c r="G272"/>
      <c r="H272"/>
      <c r="I272"/>
      <c r="J272"/>
      <c r="K272"/>
    </row>
    <row r="273" spans="6:11" ht="14.25" customHeight="1" x14ac:dyDescent="0.25">
      <c r="F273"/>
      <c r="G273"/>
      <c r="H273"/>
      <c r="I273"/>
      <c r="J273"/>
      <c r="K273"/>
    </row>
    <row r="274" spans="6:11" ht="14.25" customHeight="1" x14ac:dyDescent="0.25">
      <c r="F274"/>
      <c r="G274"/>
      <c r="H274"/>
      <c r="I274"/>
      <c r="J274"/>
      <c r="K274"/>
    </row>
    <row r="275" spans="6:11" ht="14.25" customHeight="1" x14ac:dyDescent="0.25">
      <c r="F275"/>
      <c r="G275"/>
      <c r="H275"/>
      <c r="I275"/>
      <c r="J275"/>
      <c r="K275"/>
    </row>
    <row r="276" spans="6:11" ht="14.25" customHeight="1" x14ac:dyDescent="0.25">
      <c r="F276"/>
      <c r="G276"/>
      <c r="H276"/>
      <c r="I276"/>
      <c r="J276"/>
      <c r="K276"/>
    </row>
    <row r="277" spans="6:11" ht="14.25" customHeight="1" x14ac:dyDescent="0.25">
      <c r="F277"/>
      <c r="G277"/>
      <c r="H277"/>
      <c r="I277"/>
      <c r="J277"/>
      <c r="K277"/>
    </row>
    <row r="278" spans="6:11" ht="14.25" customHeight="1" x14ac:dyDescent="0.25">
      <c r="F278"/>
      <c r="G278"/>
      <c r="H278"/>
      <c r="I278"/>
      <c r="J278"/>
      <c r="K278"/>
    </row>
    <row r="279" spans="6:11" ht="14.25" customHeight="1" x14ac:dyDescent="0.25">
      <c r="F279"/>
      <c r="G279"/>
      <c r="H279"/>
      <c r="I279"/>
      <c r="J279"/>
      <c r="K279"/>
    </row>
    <row r="280" spans="6:11" ht="14.25" customHeight="1" x14ac:dyDescent="0.25">
      <c r="F280"/>
      <c r="G280"/>
      <c r="H280"/>
      <c r="I280"/>
      <c r="J280"/>
      <c r="K280"/>
    </row>
    <row r="281" spans="6:11" ht="14.25" customHeight="1" x14ac:dyDescent="0.25">
      <c r="F281"/>
      <c r="G281"/>
      <c r="H281"/>
      <c r="I281"/>
      <c r="J281"/>
      <c r="K281"/>
    </row>
    <row r="282" spans="6:11" ht="14.25" customHeight="1" x14ac:dyDescent="0.25">
      <c r="F282"/>
      <c r="G282"/>
      <c r="H282"/>
      <c r="I282"/>
      <c r="J282"/>
      <c r="K282"/>
    </row>
    <row r="283" spans="6:11" ht="14.25" customHeight="1" x14ac:dyDescent="0.25">
      <c r="F283"/>
      <c r="G283"/>
      <c r="H283"/>
      <c r="I283"/>
      <c r="J283"/>
      <c r="K283"/>
    </row>
    <row r="284" spans="6:11" ht="14.25" customHeight="1" x14ac:dyDescent="0.25">
      <c r="F284"/>
      <c r="G284"/>
      <c r="H284"/>
      <c r="I284"/>
      <c r="J284"/>
      <c r="K284"/>
    </row>
    <row r="285" spans="6:11" ht="14.25" customHeight="1" x14ac:dyDescent="0.25">
      <c r="F285"/>
      <c r="G285"/>
      <c r="H285"/>
      <c r="I285"/>
      <c r="J285"/>
      <c r="K285"/>
    </row>
    <row r="286" spans="6:11" ht="14.25" customHeight="1" x14ac:dyDescent="0.25">
      <c r="F286"/>
      <c r="G286"/>
      <c r="H286"/>
      <c r="I286"/>
      <c r="J286"/>
      <c r="K286"/>
    </row>
    <row r="287" spans="6:11" ht="14.25" customHeight="1" x14ac:dyDescent="0.25">
      <c r="F287"/>
      <c r="G287"/>
      <c r="H287"/>
      <c r="I287"/>
      <c r="J287"/>
      <c r="K287"/>
    </row>
    <row r="288" spans="6:11" ht="14.25" customHeight="1" x14ac:dyDescent="0.25">
      <c r="F288"/>
      <c r="G288"/>
      <c r="H288"/>
      <c r="I288"/>
      <c r="J288"/>
      <c r="K288"/>
    </row>
    <row r="289" spans="6:11" ht="14.25" customHeight="1" x14ac:dyDescent="0.25">
      <c r="F289"/>
      <c r="G289"/>
      <c r="H289"/>
      <c r="I289"/>
      <c r="J289"/>
      <c r="K289"/>
    </row>
    <row r="290" spans="6:11" ht="14.25" customHeight="1" x14ac:dyDescent="0.25">
      <c r="F290"/>
      <c r="G290"/>
      <c r="H290"/>
      <c r="I290"/>
      <c r="J290"/>
      <c r="K290"/>
    </row>
    <row r="291" spans="6:11" ht="14.25" customHeight="1" x14ac:dyDescent="0.25">
      <c r="F291"/>
      <c r="G291"/>
      <c r="H291"/>
      <c r="I291"/>
      <c r="J291"/>
      <c r="K291"/>
    </row>
    <row r="292" spans="6:11" ht="14.25" customHeight="1" x14ac:dyDescent="0.25">
      <c r="F292"/>
      <c r="G292"/>
      <c r="H292"/>
      <c r="I292"/>
      <c r="J292"/>
      <c r="K292"/>
    </row>
    <row r="293" spans="6:11" ht="14.25" customHeight="1" x14ac:dyDescent="0.25">
      <c r="F293"/>
      <c r="G293"/>
      <c r="H293"/>
      <c r="I293"/>
      <c r="J293"/>
      <c r="K293"/>
    </row>
    <row r="294" spans="6:11" ht="14.25" customHeight="1" x14ac:dyDescent="0.25">
      <c r="F294"/>
      <c r="G294"/>
      <c r="H294"/>
      <c r="I294"/>
      <c r="J294"/>
      <c r="K294"/>
    </row>
    <row r="295" spans="6:11" ht="14.25" customHeight="1" x14ac:dyDescent="0.25">
      <c r="F295"/>
      <c r="G295"/>
      <c r="H295"/>
      <c r="I295"/>
      <c r="J295"/>
      <c r="K295"/>
    </row>
    <row r="296" spans="6:11" ht="14.25" customHeight="1" x14ac:dyDescent="0.25">
      <c r="F296"/>
      <c r="G296"/>
      <c r="H296"/>
      <c r="I296"/>
      <c r="J296"/>
      <c r="K296"/>
    </row>
    <row r="297" spans="6:11" ht="14.25" customHeight="1" x14ac:dyDescent="0.25">
      <c r="F297"/>
      <c r="G297"/>
      <c r="H297"/>
      <c r="I297"/>
      <c r="J297"/>
      <c r="K297"/>
    </row>
    <row r="298" spans="6:11" ht="14.25" customHeight="1" x14ac:dyDescent="0.25">
      <c r="F298"/>
      <c r="G298"/>
      <c r="H298"/>
      <c r="I298"/>
      <c r="J298"/>
      <c r="K298"/>
    </row>
    <row r="299" spans="6:11" ht="14.25" customHeight="1" x14ac:dyDescent="0.25">
      <c r="F299"/>
      <c r="G299"/>
      <c r="H299"/>
      <c r="I299"/>
      <c r="J299"/>
      <c r="K299"/>
    </row>
    <row r="300" spans="6:11" ht="14.25" customHeight="1" x14ac:dyDescent="0.25">
      <c r="F300"/>
      <c r="G300"/>
      <c r="H300"/>
      <c r="I300"/>
      <c r="J300"/>
      <c r="K300"/>
    </row>
    <row r="301" spans="6:11" ht="14.25" customHeight="1" x14ac:dyDescent="0.25">
      <c r="F301"/>
      <c r="G301"/>
      <c r="H301"/>
      <c r="I301"/>
      <c r="J301"/>
      <c r="K301"/>
    </row>
    <row r="302" spans="6:11" ht="14.25" customHeight="1" x14ac:dyDescent="0.25">
      <c r="F302"/>
      <c r="G302"/>
      <c r="H302"/>
      <c r="I302"/>
      <c r="J302"/>
      <c r="K302"/>
    </row>
    <row r="303" spans="6:11" ht="14.25" customHeight="1" x14ac:dyDescent="0.25">
      <c r="F303"/>
      <c r="G303"/>
      <c r="H303"/>
      <c r="I303"/>
      <c r="J303"/>
      <c r="K303"/>
    </row>
    <row r="304" spans="6:11" ht="14.25" customHeight="1" x14ac:dyDescent="0.25">
      <c r="F304"/>
      <c r="G304"/>
      <c r="H304"/>
      <c r="I304"/>
      <c r="J304"/>
      <c r="K304"/>
    </row>
    <row r="305" spans="6:11" ht="14.25" customHeight="1" x14ac:dyDescent="0.25">
      <c r="F305"/>
      <c r="G305"/>
      <c r="H305"/>
      <c r="I305"/>
      <c r="J305"/>
      <c r="K305"/>
    </row>
    <row r="306" spans="6:11" ht="14.25" customHeight="1" x14ac:dyDescent="0.25">
      <c r="F306"/>
      <c r="G306"/>
      <c r="H306"/>
      <c r="I306"/>
      <c r="J306"/>
      <c r="K306"/>
    </row>
    <row r="307" spans="6:11" ht="14.25" customHeight="1" x14ac:dyDescent="0.25">
      <c r="F307"/>
      <c r="G307"/>
      <c r="H307"/>
      <c r="I307"/>
      <c r="J307"/>
      <c r="K307"/>
    </row>
    <row r="308" spans="6:11" ht="14.25" customHeight="1" x14ac:dyDescent="0.25">
      <c r="F308"/>
      <c r="G308"/>
      <c r="H308"/>
      <c r="I308"/>
      <c r="J308"/>
      <c r="K308"/>
    </row>
    <row r="309" spans="6:11" ht="14.25" customHeight="1" x14ac:dyDescent="0.25">
      <c r="F309"/>
      <c r="G309"/>
      <c r="H309"/>
      <c r="I309"/>
      <c r="J309"/>
      <c r="K309"/>
    </row>
    <row r="310" spans="6:11" ht="14.25" customHeight="1" x14ac:dyDescent="0.25">
      <c r="F310"/>
      <c r="G310"/>
      <c r="H310"/>
      <c r="I310"/>
      <c r="J310"/>
      <c r="K310"/>
    </row>
    <row r="311" spans="6:11" ht="14.25" customHeight="1" x14ac:dyDescent="0.25">
      <c r="F311"/>
      <c r="G311"/>
      <c r="H311"/>
      <c r="I311"/>
      <c r="J311"/>
      <c r="K311"/>
    </row>
    <row r="312" spans="6:11" ht="14.25" customHeight="1" x14ac:dyDescent="0.25">
      <c r="F312"/>
      <c r="G312"/>
      <c r="H312"/>
      <c r="I312"/>
      <c r="J312"/>
      <c r="K312"/>
    </row>
    <row r="313" spans="6:11" ht="14.25" customHeight="1" x14ac:dyDescent="0.25">
      <c r="F313"/>
      <c r="G313"/>
      <c r="H313"/>
      <c r="I313"/>
      <c r="J313"/>
      <c r="K313"/>
    </row>
    <row r="314" spans="6:11" ht="14.25" customHeight="1" x14ac:dyDescent="0.25">
      <c r="F314"/>
      <c r="G314"/>
      <c r="H314"/>
      <c r="I314"/>
      <c r="J314"/>
      <c r="K314"/>
    </row>
    <row r="315" spans="6:11" ht="14.25" customHeight="1" x14ac:dyDescent="0.25">
      <c r="F315"/>
      <c r="G315"/>
      <c r="H315"/>
      <c r="I315"/>
      <c r="J315"/>
      <c r="K315"/>
    </row>
    <row r="316" spans="6:11" ht="14.25" customHeight="1" x14ac:dyDescent="0.25">
      <c r="F316"/>
      <c r="G316"/>
      <c r="H316"/>
      <c r="I316"/>
      <c r="J316"/>
      <c r="K316"/>
    </row>
    <row r="317" spans="6:11" ht="14.25" customHeight="1" x14ac:dyDescent="0.25">
      <c r="F317"/>
      <c r="G317"/>
      <c r="H317"/>
      <c r="I317"/>
      <c r="J317"/>
      <c r="K317"/>
    </row>
    <row r="318" spans="6:11" ht="14.25" customHeight="1" x14ac:dyDescent="0.25">
      <c r="F318"/>
      <c r="G318"/>
      <c r="H318"/>
      <c r="I318"/>
      <c r="J318"/>
      <c r="K318"/>
    </row>
    <row r="319" spans="6:11" ht="14.25" customHeight="1" x14ac:dyDescent="0.25">
      <c r="F319"/>
      <c r="G319"/>
      <c r="H319"/>
      <c r="I319"/>
      <c r="J319"/>
      <c r="K319"/>
    </row>
    <row r="320" spans="6:11" ht="14.25" customHeight="1" x14ac:dyDescent="0.25">
      <c r="F320"/>
      <c r="G320"/>
      <c r="H320"/>
      <c r="I320"/>
      <c r="J320"/>
      <c r="K320"/>
    </row>
    <row r="321" spans="6:11" ht="14.25" customHeight="1" x14ac:dyDescent="0.25">
      <c r="F321"/>
      <c r="G321"/>
      <c r="H321"/>
      <c r="I321"/>
      <c r="J321"/>
      <c r="K321"/>
    </row>
    <row r="322" spans="6:11" ht="14.25" customHeight="1" x14ac:dyDescent="0.25">
      <c r="F322"/>
      <c r="G322"/>
      <c r="H322"/>
      <c r="I322"/>
      <c r="J322"/>
      <c r="K322"/>
    </row>
    <row r="323" spans="6:11" ht="14.25" customHeight="1" x14ac:dyDescent="0.25">
      <c r="F323"/>
      <c r="G323"/>
      <c r="H323"/>
      <c r="I323"/>
      <c r="J323"/>
      <c r="K323"/>
    </row>
    <row r="324" spans="6:11" ht="14.25" customHeight="1" x14ac:dyDescent="0.25">
      <c r="F324"/>
      <c r="G324"/>
      <c r="H324"/>
      <c r="I324"/>
      <c r="J324"/>
      <c r="K324"/>
    </row>
    <row r="325" spans="6:11" ht="14.25" customHeight="1" x14ac:dyDescent="0.25">
      <c r="F325"/>
      <c r="G325"/>
      <c r="H325"/>
      <c r="I325"/>
      <c r="J325"/>
      <c r="K325"/>
    </row>
    <row r="326" spans="6:11" ht="14.25" customHeight="1" x14ac:dyDescent="0.25">
      <c r="F326"/>
      <c r="G326"/>
      <c r="H326"/>
      <c r="I326"/>
      <c r="J326"/>
      <c r="K326"/>
    </row>
    <row r="327" spans="6:11" ht="14.25" customHeight="1" x14ac:dyDescent="0.25">
      <c r="F327"/>
      <c r="G327"/>
      <c r="H327"/>
      <c r="I327"/>
      <c r="J327"/>
      <c r="K327"/>
    </row>
    <row r="328" spans="6:11" ht="14.25" customHeight="1" x14ac:dyDescent="0.25">
      <c r="F328"/>
      <c r="G328"/>
      <c r="H328"/>
      <c r="I328"/>
      <c r="J328"/>
      <c r="K328"/>
    </row>
    <row r="329" spans="6:11" ht="14.25" customHeight="1" x14ac:dyDescent="0.25">
      <c r="F329"/>
      <c r="G329"/>
      <c r="H329"/>
      <c r="I329"/>
      <c r="J329"/>
      <c r="K329"/>
    </row>
    <row r="330" spans="6:11" ht="14.25" customHeight="1" x14ac:dyDescent="0.25">
      <c r="F330"/>
      <c r="G330"/>
      <c r="H330"/>
      <c r="I330"/>
      <c r="J330"/>
      <c r="K330"/>
    </row>
    <row r="331" spans="6:11" ht="14.25" customHeight="1" x14ac:dyDescent="0.25">
      <c r="F331"/>
      <c r="G331"/>
      <c r="H331"/>
      <c r="I331"/>
      <c r="J331"/>
      <c r="K331"/>
    </row>
    <row r="332" spans="6:11" ht="14.25" customHeight="1" x14ac:dyDescent="0.25">
      <c r="F332"/>
      <c r="G332"/>
      <c r="H332"/>
      <c r="I332"/>
      <c r="J332"/>
      <c r="K332"/>
    </row>
    <row r="333" spans="6:11" ht="14.25" customHeight="1" x14ac:dyDescent="0.25">
      <c r="F333"/>
      <c r="G333"/>
      <c r="H333"/>
      <c r="I333"/>
      <c r="J333"/>
      <c r="K333"/>
    </row>
    <row r="334" spans="6:11" ht="14.25" customHeight="1" x14ac:dyDescent="0.25">
      <c r="F334"/>
      <c r="G334"/>
      <c r="H334"/>
      <c r="I334"/>
      <c r="J334"/>
      <c r="K334"/>
    </row>
    <row r="335" spans="6:11" ht="14.25" customHeight="1" x14ac:dyDescent="0.25">
      <c r="F335"/>
      <c r="G335"/>
      <c r="H335"/>
      <c r="I335"/>
      <c r="J335"/>
      <c r="K335"/>
    </row>
    <row r="336" spans="6:11" ht="14.25" customHeight="1" x14ac:dyDescent="0.25">
      <c r="F336"/>
      <c r="G336"/>
      <c r="H336"/>
      <c r="I336"/>
      <c r="J336"/>
      <c r="K336"/>
    </row>
    <row r="337" spans="6:11" ht="14.25" customHeight="1" x14ac:dyDescent="0.25">
      <c r="F337"/>
      <c r="G337"/>
      <c r="H337"/>
      <c r="I337"/>
      <c r="J337"/>
      <c r="K337"/>
    </row>
    <row r="338" spans="6:11" ht="14.25" customHeight="1" x14ac:dyDescent="0.25">
      <c r="F338"/>
      <c r="G338"/>
      <c r="H338"/>
      <c r="I338"/>
      <c r="J338"/>
      <c r="K338"/>
    </row>
    <row r="339" spans="6:11" ht="14.25" customHeight="1" x14ac:dyDescent="0.25">
      <c r="F339"/>
      <c r="G339"/>
      <c r="H339"/>
      <c r="I339"/>
      <c r="J339"/>
      <c r="K339"/>
    </row>
    <row r="340" spans="6:11" ht="14.25" customHeight="1" x14ac:dyDescent="0.25">
      <c r="F340"/>
      <c r="G340"/>
      <c r="H340"/>
      <c r="I340"/>
      <c r="J340"/>
      <c r="K340"/>
    </row>
    <row r="341" spans="6:11" ht="14.25" customHeight="1" x14ac:dyDescent="0.25">
      <c r="F341"/>
      <c r="G341"/>
      <c r="H341"/>
      <c r="I341"/>
      <c r="J341"/>
      <c r="K341"/>
    </row>
    <row r="342" spans="6:11" ht="14.25" customHeight="1" x14ac:dyDescent="0.25">
      <c r="F342"/>
      <c r="G342"/>
      <c r="H342"/>
      <c r="I342"/>
      <c r="J342"/>
      <c r="K342"/>
    </row>
    <row r="343" spans="6:11" ht="14.25" customHeight="1" x14ac:dyDescent="0.25">
      <c r="F343"/>
      <c r="G343"/>
      <c r="H343"/>
      <c r="I343"/>
      <c r="J343"/>
      <c r="K343"/>
    </row>
    <row r="344" spans="6:11" ht="14.25" customHeight="1" x14ac:dyDescent="0.25">
      <c r="F344"/>
      <c r="G344"/>
      <c r="H344"/>
      <c r="I344"/>
      <c r="J344"/>
      <c r="K344"/>
    </row>
    <row r="345" spans="6:11" ht="14.25" customHeight="1" x14ac:dyDescent="0.25">
      <c r="F345"/>
      <c r="G345"/>
      <c r="H345"/>
      <c r="I345"/>
      <c r="J345"/>
      <c r="K345"/>
    </row>
    <row r="346" spans="6:11" ht="14.25" customHeight="1" x14ac:dyDescent="0.25">
      <c r="F346"/>
      <c r="G346"/>
      <c r="H346"/>
      <c r="I346"/>
      <c r="J346"/>
      <c r="K346"/>
    </row>
    <row r="347" spans="6:11" ht="14.25" customHeight="1" x14ac:dyDescent="0.25">
      <c r="F347"/>
      <c r="G347"/>
      <c r="H347"/>
      <c r="I347"/>
      <c r="J347"/>
      <c r="K347"/>
    </row>
    <row r="348" spans="6:11" ht="14.25" customHeight="1" x14ac:dyDescent="0.25">
      <c r="F348"/>
      <c r="G348"/>
      <c r="H348"/>
      <c r="I348"/>
      <c r="J348"/>
      <c r="K348"/>
    </row>
    <row r="349" spans="6:11" ht="14.25" customHeight="1" x14ac:dyDescent="0.25">
      <c r="F349"/>
      <c r="G349"/>
      <c r="H349"/>
      <c r="I349"/>
      <c r="J349"/>
      <c r="K349"/>
    </row>
    <row r="350" spans="6:11" ht="14.25" customHeight="1" x14ac:dyDescent="0.25">
      <c r="F350"/>
      <c r="G350"/>
      <c r="H350"/>
      <c r="I350"/>
      <c r="J350"/>
      <c r="K350"/>
    </row>
    <row r="351" spans="6:11" ht="14.25" customHeight="1" x14ac:dyDescent="0.25">
      <c r="F351"/>
      <c r="G351"/>
      <c r="H351"/>
      <c r="I351"/>
      <c r="J351"/>
      <c r="K351"/>
    </row>
    <row r="352" spans="6:11" ht="14.25" customHeight="1" x14ac:dyDescent="0.25">
      <c r="F352"/>
      <c r="G352"/>
      <c r="H352"/>
      <c r="I352"/>
      <c r="J352"/>
      <c r="K352"/>
    </row>
    <row r="353" spans="6:11" ht="14.25" customHeight="1" x14ac:dyDescent="0.25">
      <c r="F353"/>
      <c r="G353"/>
      <c r="H353"/>
      <c r="I353"/>
      <c r="J353"/>
      <c r="K353"/>
    </row>
    <row r="354" spans="6:11" ht="14.25" customHeight="1" x14ac:dyDescent="0.25">
      <c r="F354"/>
      <c r="G354"/>
      <c r="H354"/>
      <c r="I354"/>
      <c r="J354"/>
      <c r="K354"/>
    </row>
    <row r="355" spans="6:11" ht="14.25" customHeight="1" x14ac:dyDescent="0.25">
      <c r="F355"/>
      <c r="G355"/>
      <c r="H355"/>
      <c r="I355"/>
      <c r="J355"/>
      <c r="K355"/>
    </row>
    <row r="356" spans="6:11" ht="14.25" customHeight="1" x14ac:dyDescent="0.25">
      <c r="F356"/>
      <c r="G356"/>
      <c r="H356"/>
      <c r="I356"/>
      <c r="J356"/>
      <c r="K356"/>
    </row>
    <row r="357" spans="6:11" ht="14.25" customHeight="1" x14ac:dyDescent="0.25">
      <c r="F357"/>
      <c r="G357"/>
      <c r="H357"/>
      <c r="I357"/>
      <c r="J357"/>
      <c r="K357"/>
    </row>
    <row r="358" spans="6:11" ht="14.25" customHeight="1" x14ac:dyDescent="0.25">
      <c r="F358"/>
      <c r="G358"/>
      <c r="H358"/>
      <c r="I358"/>
      <c r="J358"/>
      <c r="K358"/>
    </row>
    <row r="359" spans="6:11" ht="14.25" customHeight="1" x14ac:dyDescent="0.25">
      <c r="F359"/>
      <c r="G359"/>
      <c r="H359"/>
      <c r="I359"/>
      <c r="J359"/>
      <c r="K359"/>
    </row>
    <row r="360" spans="6:11" ht="14.25" customHeight="1" x14ac:dyDescent="0.25">
      <c r="F360"/>
      <c r="G360"/>
      <c r="H360"/>
      <c r="I360"/>
      <c r="J360"/>
      <c r="K360"/>
    </row>
    <row r="361" spans="6:11" ht="14.25" customHeight="1" x14ac:dyDescent="0.25">
      <c r="F361"/>
      <c r="G361"/>
      <c r="H361"/>
      <c r="I361"/>
      <c r="J361"/>
      <c r="K361"/>
    </row>
    <row r="362" spans="6:11" ht="14.25" customHeight="1" x14ac:dyDescent="0.25">
      <c r="F362"/>
      <c r="G362"/>
      <c r="H362"/>
      <c r="I362"/>
      <c r="J362"/>
      <c r="K362"/>
    </row>
    <row r="363" spans="6:11" ht="14.25" customHeight="1" x14ac:dyDescent="0.25">
      <c r="F363"/>
      <c r="G363"/>
      <c r="H363"/>
      <c r="I363"/>
      <c r="J363"/>
      <c r="K363"/>
    </row>
    <row r="364" spans="6:11" ht="14.25" customHeight="1" x14ac:dyDescent="0.25">
      <c r="F364"/>
      <c r="G364"/>
      <c r="H364"/>
      <c r="I364"/>
      <c r="J364"/>
      <c r="K364"/>
    </row>
    <row r="365" spans="6:11" ht="14.25" customHeight="1" x14ac:dyDescent="0.25">
      <c r="F365"/>
      <c r="G365"/>
      <c r="H365"/>
      <c r="I365"/>
      <c r="J365"/>
      <c r="K365"/>
    </row>
    <row r="366" spans="6:11" ht="14.25" customHeight="1" x14ac:dyDescent="0.25">
      <c r="F366"/>
      <c r="G366"/>
      <c r="H366"/>
      <c r="I366"/>
      <c r="J366"/>
      <c r="K366"/>
    </row>
    <row r="367" spans="6:11" ht="14.25" customHeight="1" x14ac:dyDescent="0.25">
      <c r="F367"/>
      <c r="G367"/>
      <c r="H367"/>
      <c r="I367"/>
      <c r="J367"/>
      <c r="K367"/>
    </row>
    <row r="368" spans="6:11" ht="14.25" customHeight="1" x14ac:dyDescent="0.25">
      <c r="F368"/>
      <c r="G368"/>
      <c r="H368"/>
      <c r="I368"/>
      <c r="J368"/>
      <c r="K368"/>
    </row>
    <row r="369" spans="6:11" ht="14.25" customHeight="1" x14ac:dyDescent="0.25">
      <c r="F369"/>
      <c r="G369"/>
      <c r="H369"/>
      <c r="I369"/>
      <c r="J369"/>
      <c r="K369"/>
    </row>
    <row r="370" spans="6:11" ht="14.25" customHeight="1" x14ac:dyDescent="0.25">
      <c r="F370"/>
      <c r="G370"/>
      <c r="H370"/>
      <c r="I370"/>
      <c r="J370"/>
      <c r="K370"/>
    </row>
    <row r="371" spans="6:11" ht="14.25" customHeight="1" x14ac:dyDescent="0.25">
      <c r="F371"/>
      <c r="G371"/>
      <c r="H371"/>
      <c r="I371"/>
      <c r="J371"/>
      <c r="K371"/>
    </row>
    <row r="372" spans="6:11" ht="14.25" customHeight="1" x14ac:dyDescent="0.25">
      <c r="F372"/>
      <c r="G372"/>
      <c r="H372"/>
      <c r="I372"/>
      <c r="J372"/>
      <c r="K372"/>
    </row>
    <row r="373" spans="6:11" ht="14.25" customHeight="1" x14ac:dyDescent="0.25">
      <c r="F373"/>
      <c r="G373"/>
      <c r="H373"/>
      <c r="I373"/>
      <c r="J373"/>
      <c r="K373"/>
    </row>
    <row r="374" spans="6:11" ht="14.25" customHeight="1" x14ac:dyDescent="0.25">
      <c r="F374"/>
      <c r="G374"/>
      <c r="H374"/>
      <c r="I374"/>
      <c r="J374"/>
      <c r="K374"/>
    </row>
    <row r="375" spans="6:11" ht="14.25" customHeight="1" x14ac:dyDescent="0.25">
      <c r="F375"/>
      <c r="G375"/>
      <c r="H375"/>
      <c r="I375"/>
      <c r="J375"/>
      <c r="K375"/>
    </row>
    <row r="376" spans="6:11" ht="14.25" customHeight="1" x14ac:dyDescent="0.25">
      <c r="F376"/>
      <c r="G376"/>
      <c r="H376"/>
      <c r="I376"/>
      <c r="J376"/>
      <c r="K376"/>
    </row>
    <row r="377" spans="6:11" ht="14.25" customHeight="1" x14ac:dyDescent="0.25">
      <c r="F377"/>
      <c r="G377"/>
      <c r="H377"/>
      <c r="I377"/>
      <c r="J377"/>
      <c r="K377"/>
    </row>
    <row r="378" spans="6:11" ht="14.25" customHeight="1" x14ac:dyDescent="0.25">
      <c r="F378"/>
      <c r="G378"/>
      <c r="H378"/>
      <c r="I378"/>
      <c r="J378"/>
      <c r="K378"/>
    </row>
    <row r="379" spans="6:11" ht="14.25" customHeight="1" x14ac:dyDescent="0.25">
      <c r="F379"/>
      <c r="G379"/>
      <c r="H379"/>
      <c r="I379"/>
      <c r="J379"/>
      <c r="K379"/>
    </row>
    <row r="380" spans="6:11" ht="14.25" customHeight="1" x14ac:dyDescent="0.25">
      <c r="F380"/>
      <c r="G380"/>
      <c r="H380"/>
      <c r="I380"/>
      <c r="J380"/>
      <c r="K380"/>
    </row>
    <row r="381" spans="6:11" ht="14.25" customHeight="1" x14ac:dyDescent="0.25">
      <c r="F381"/>
      <c r="G381"/>
      <c r="H381"/>
      <c r="I381"/>
      <c r="J381"/>
      <c r="K381"/>
    </row>
    <row r="382" spans="6:11" ht="14.25" customHeight="1" x14ac:dyDescent="0.25">
      <c r="F382"/>
      <c r="G382"/>
      <c r="H382"/>
      <c r="I382"/>
      <c r="J382"/>
      <c r="K382"/>
    </row>
    <row r="383" spans="6:11" ht="14.25" customHeight="1" x14ac:dyDescent="0.25">
      <c r="F383"/>
      <c r="G383"/>
      <c r="H383"/>
      <c r="I383"/>
      <c r="J383"/>
      <c r="K383"/>
    </row>
    <row r="384" spans="6:11" ht="14.25" customHeight="1" x14ac:dyDescent="0.25">
      <c r="F384"/>
      <c r="G384"/>
      <c r="H384"/>
      <c r="I384"/>
      <c r="J384"/>
      <c r="K384"/>
    </row>
    <row r="385" spans="6:11" ht="14.25" customHeight="1" x14ac:dyDescent="0.25">
      <c r="F385"/>
      <c r="G385"/>
      <c r="H385"/>
      <c r="I385"/>
      <c r="J385"/>
      <c r="K385"/>
    </row>
    <row r="386" spans="6:11" ht="14.25" customHeight="1" x14ac:dyDescent="0.25">
      <c r="F386"/>
      <c r="G386"/>
      <c r="H386"/>
      <c r="I386"/>
      <c r="J386"/>
      <c r="K386"/>
    </row>
    <row r="387" spans="6:11" ht="14.25" customHeight="1" x14ac:dyDescent="0.25">
      <c r="F387"/>
      <c r="G387"/>
      <c r="H387"/>
      <c r="I387"/>
      <c r="J387"/>
      <c r="K387"/>
    </row>
    <row r="388" spans="6:11" ht="14.25" customHeight="1" x14ac:dyDescent="0.25">
      <c r="F388"/>
      <c r="G388"/>
      <c r="H388"/>
      <c r="I388"/>
      <c r="J388"/>
      <c r="K388"/>
    </row>
    <row r="389" spans="6:11" ht="14.25" customHeight="1" x14ac:dyDescent="0.25">
      <c r="F389"/>
      <c r="G389"/>
      <c r="H389"/>
      <c r="I389"/>
      <c r="J389"/>
      <c r="K389"/>
    </row>
    <row r="390" spans="6:11" ht="14.25" customHeight="1" x14ac:dyDescent="0.25">
      <c r="F390"/>
      <c r="G390"/>
      <c r="H390"/>
      <c r="I390"/>
      <c r="J390"/>
      <c r="K390"/>
    </row>
    <row r="391" spans="6:11" ht="14.25" customHeight="1" x14ac:dyDescent="0.25">
      <c r="F391"/>
      <c r="G391"/>
      <c r="H391"/>
      <c r="I391"/>
      <c r="J391"/>
      <c r="K391"/>
    </row>
    <row r="392" spans="6:11" ht="14.25" customHeight="1" x14ac:dyDescent="0.25">
      <c r="F392"/>
      <c r="G392"/>
      <c r="H392"/>
      <c r="I392"/>
      <c r="J392"/>
      <c r="K392"/>
    </row>
    <row r="393" spans="6:11" ht="14.25" customHeight="1" x14ac:dyDescent="0.25">
      <c r="F393"/>
      <c r="G393"/>
      <c r="H393"/>
      <c r="I393"/>
      <c r="J393"/>
      <c r="K393"/>
    </row>
    <row r="394" spans="6:11" ht="14.25" customHeight="1" x14ac:dyDescent="0.25">
      <c r="F394"/>
      <c r="G394"/>
      <c r="H394"/>
      <c r="I394"/>
      <c r="J394"/>
      <c r="K394"/>
    </row>
    <row r="395" spans="6:11" ht="14.25" customHeight="1" x14ac:dyDescent="0.25">
      <c r="F395"/>
      <c r="G395"/>
      <c r="H395"/>
      <c r="I395"/>
      <c r="J395"/>
      <c r="K395"/>
    </row>
    <row r="396" spans="6:11" ht="14.25" customHeight="1" x14ac:dyDescent="0.25">
      <c r="F396"/>
      <c r="G396"/>
      <c r="H396"/>
      <c r="I396"/>
      <c r="J396"/>
      <c r="K396"/>
    </row>
    <row r="397" spans="6:11" ht="14.25" customHeight="1" x14ac:dyDescent="0.25">
      <c r="F397"/>
      <c r="G397"/>
      <c r="H397"/>
      <c r="I397"/>
      <c r="J397"/>
      <c r="K397"/>
    </row>
    <row r="398" spans="6:11" ht="14.25" customHeight="1" x14ac:dyDescent="0.25">
      <c r="F398"/>
      <c r="G398"/>
      <c r="H398"/>
      <c r="I398"/>
      <c r="J398"/>
      <c r="K398"/>
    </row>
    <row r="399" spans="6:11" ht="14.25" customHeight="1" x14ac:dyDescent="0.25">
      <c r="F399"/>
      <c r="G399"/>
      <c r="H399"/>
      <c r="I399"/>
      <c r="J399"/>
      <c r="K399"/>
    </row>
    <row r="400" spans="6:11" ht="14.25" customHeight="1" x14ac:dyDescent="0.25">
      <c r="F400"/>
      <c r="G400"/>
      <c r="H400"/>
      <c r="I400"/>
      <c r="J400"/>
      <c r="K400"/>
    </row>
    <row r="401" spans="6:11" ht="14.25" customHeight="1" x14ac:dyDescent="0.25">
      <c r="F401"/>
      <c r="G401"/>
      <c r="H401"/>
      <c r="I401"/>
      <c r="J401"/>
      <c r="K401"/>
    </row>
    <row r="402" spans="6:11" ht="14.25" customHeight="1" x14ac:dyDescent="0.25">
      <c r="F402"/>
      <c r="G402"/>
      <c r="H402"/>
      <c r="I402"/>
      <c r="J402"/>
      <c r="K402"/>
    </row>
    <row r="403" spans="6:11" ht="14.25" customHeight="1" x14ac:dyDescent="0.25">
      <c r="F403"/>
      <c r="G403"/>
      <c r="H403"/>
      <c r="I403"/>
      <c r="J403"/>
      <c r="K403"/>
    </row>
    <row r="404" spans="6:11" ht="14.25" customHeight="1" x14ac:dyDescent="0.25">
      <c r="F404"/>
      <c r="G404"/>
      <c r="H404"/>
      <c r="I404"/>
      <c r="J404"/>
      <c r="K404"/>
    </row>
    <row r="405" spans="6:11" ht="14.25" customHeight="1" x14ac:dyDescent="0.25">
      <c r="F405"/>
      <c r="G405"/>
      <c r="H405"/>
      <c r="I405"/>
      <c r="J405"/>
      <c r="K405"/>
    </row>
    <row r="406" spans="6:11" ht="14.25" customHeight="1" x14ac:dyDescent="0.25">
      <c r="F406"/>
      <c r="G406"/>
      <c r="H406"/>
      <c r="I406"/>
      <c r="J406"/>
      <c r="K406"/>
    </row>
    <row r="407" spans="6:11" ht="14.25" customHeight="1" x14ac:dyDescent="0.25">
      <c r="F407"/>
      <c r="G407"/>
      <c r="H407"/>
      <c r="I407"/>
      <c r="J407"/>
      <c r="K407"/>
    </row>
    <row r="408" spans="6:11" ht="14.25" customHeight="1" x14ac:dyDescent="0.25">
      <c r="F408"/>
      <c r="G408"/>
      <c r="H408"/>
      <c r="I408"/>
      <c r="J408"/>
      <c r="K408"/>
    </row>
    <row r="409" spans="6:11" ht="14.25" customHeight="1" x14ac:dyDescent="0.25">
      <c r="F409"/>
      <c r="G409"/>
      <c r="H409"/>
      <c r="I409"/>
      <c r="J409"/>
      <c r="K409"/>
    </row>
    <row r="410" spans="6:11" ht="14.25" customHeight="1" x14ac:dyDescent="0.25">
      <c r="F410"/>
      <c r="G410"/>
      <c r="H410"/>
      <c r="I410"/>
      <c r="J410"/>
      <c r="K410"/>
    </row>
    <row r="411" spans="6:11" ht="14.25" customHeight="1" x14ac:dyDescent="0.25">
      <c r="F411"/>
      <c r="G411"/>
      <c r="H411"/>
      <c r="I411"/>
      <c r="J411"/>
      <c r="K411"/>
    </row>
    <row r="412" spans="6:11" ht="14.25" customHeight="1" x14ac:dyDescent="0.25">
      <c r="F412"/>
      <c r="G412"/>
      <c r="H412"/>
      <c r="I412"/>
      <c r="J412"/>
      <c r="K412"/>
    </row>
    <row r="413" spans="6:11" ht="14.25" customHeight="1" x14ac:dyDescent="0.25">
      <c r="F413"/>
      <c r="G413"/>
      <c r="H413"/>
      <c r="I413"/>
      <c r="J413"/>
      <c r="K413"/>
    </row>
    <row r="414" spans="6:11" ht="14.25" customHeight="1" x14ac:dyDescent="0.25">
      <c r="F414"/>
      <c r="G414"/>
      <c r="H414"/>
      <c r="I414"/>
      <c r="J414"/>
      <c r="K414"/>
    </row>
    <row r="415" spans="6:11" ht="14.25" customHeight="1" x14ac:dyDescent="0.25">
      <c r="F415"/>
      <c r="G415"/>
      <c r="H415"/>
      <c r="I415"/>
      <c r="J415"/>
      <c r="K415"/>
    </row>
    <row r="416" spans="6:11" ht="14.25" customHeight="1" x14ac:dyDescent="0.25">
      <c r="F416"/>
      <c r="G416"/>
      <c r="H416"/>
      <c r="I416"/>
      <c r="J416"/>
      <c r="K416"/>
    </row>
    <row r="417" spans="6:11" ht="14.25" customHeight="1" x14ac:dyDescent="0.25">
      <c r="F417"/>
      <c r="G417"/>
      <c r="H417"/>
      <c r="I417"/>
      <c r="J417"/>
      <c r="K417"/>
    </row>
    <row r="418" spans="6:11" ht="14.25" customHeight="1" x14ac:dyDescent="0.25">
      <c r="F418"/>
      <c r="G418"/>
      <c r="H418"/>
      <c r="I418"/>
      <c r="J418"/>
      <c r="K418"/>
    </row>
    <row r="419" spans="6:11" ht="14.25" customHeight="1" x14ac:dyDescent="0.25">
      <c r="F419"/>
      <c r="G419"/>
      <c r="H419"/>
      <c r="I419"/>
      <c r="J419"/>
      <c r="K419"/>
    </row>
    <row r="420" spans="6:11" ht="14.25" customHeight="1" x14ac:dyDescent="0.25">
      <c r="F420"/>
      <c r="G420"/>
      <c r="H420"/>
      <c r="I420"/>
      <c r="J420"/>
      <c r="K420"/>
    </row>
    <row r="421" spans="6:11" ht="14.25" customHeight="1" x14ac:dyDescent="0.25">
      <c r="F421"/>
      <c r="G421"/>
      <c r="H421"/>
      <c r="I421"/>
      <c r="J421"/>
      <c r="K421"/>
    </row>
    <row r="422" spans="6:11" ht="14.25" customHeight="1" x14ac:dyDescent="0.25">
      <c r="F422"/>
      <c r="G422"/>
      <c r="H422"/>
      <c r="I422"/>
      <c r="J422"/>
      <c r="K422"/>
    </row>
    <row r="423" spans="6:11" ht="14.25" customHeight="1" x14ac:dyDescent="0.25">
      <c r="F423"/>
      <c r="G423"/>
      <c r="H423"/>
      <c r="I423"/>
      <c r="J423"/>
      <c r="K423"/>
    </row>
    <row r="424" spans="6:11" ht="14.25" customHeight="1" x14ac:dyDescent="0.25">
      <c r="F424"/>
      <c r="G424"/>
      <c r="H424"/>
      <c r="I424"/>
      <c r="J424"/>
      <c r="K424"/>
    </row>
    <row r="425" spans="6:11" ht="14.25" customHeight="1" x14ac:dyDescent="0.25">
      <c r="F425"/>
      <c r="G425"/>
      <c r="H425"/>
      <c r="I425"/>
      <c r="J425"/>
      <c r="K425"/>
    </row>
    <row r="426" spans="6:11" ht="14.25" customHeight="1" x14ac:dyDescent="0.25">
      <c r="F426"/>
      <c r="G426"/>
      <c r="H426"/>
      <c r="I426"/>
      <c r="J426"/>
      <c r="K426"/>
    </row>
    <row r="427" spans="6:11" ht="14.25" customHeight="1" x14ac:dyDescent="0.25">
      <c r="F427"/>
      <c r="G427"/>
      <c r="H427"/>
      <c r="I427"/>
      <c r="J427"/>
      <c r="K427"/>
    </row>
    <row r="428" spans="6:11" ht="14.25" customHeight="1" x14ac:dyDescent="0.25">
      <c r="F428"/>
      <c r="G428"/>
      <c r="H428"/>
      <c r="I428"/>
      <c r="J428"/>
      <c r="K428"/>
    </row>
    <row r="429" spans="6:11" ht="14.25" customHeight="1" x14ac:dyDescent="0.25">
      <c r="F429"/>
      <c r="G429"/>
      <c r="H429"/>
      <c r="I429"/>
      <c r="J429"/>
      <c r="K429"/>
    </row>
    <row r="430" spans="6:11" ht="14.25" customHeight="1" x14ac:dyDescent="0.25">
      <c r="F430"/>
      <c r="G430"/>
      <c r="H430"/>
      <c r="I430"/>
      <c r="J430"/>
      <c r="K430"/>
    </row>
    <row r="431" spans="6:11" ht="14.25" customHeight="1" x14ac:dyDescent="0.25">
      <c r="F431"/>
      <c r="G431"/>
      <c r="H431"/>
      <c r="I431"/>
      <c r="J431"/>
      <c r="K431"/>
    </row>
    <row r="432" spans="6:11" ht="14.25" customHeight="1" x14ac:dyDescent="0.25">
      <c r="F432"/>
      <c r="G432"/>
      <c r="H432"/>
      <c r="I432"/>
      <c r="J432"/>
      <c r="K432"/>
    </row>
    <row r="433" spans="6:11" ht="14.25" customHeight="1" x14ac:dyDescent="0.25">
      <c r="F433"/>
      <c r="G433"/>
      <c r="H433"/>
      <c r="I433"/>
      <c r="J433"/>
      <c r="K433"/>
    </row>
    <row r="434" spans="6:11" ht="14.25" customHeight="1" x14ac:dyDescent="0.25">
      <c r="F434"/>
      <c r="G434"/>
      <c r="H434"/>
      <c r="I434"/>
      <c r="J434"/>
      <c r="K434"/>
    </row>
    <row r="435" spans="6:11" ht="14.25" customHeight="1" x14ac:dyDescent="0.25">
      <c r="F435"/>
      <c r="G435"/>
      <c r="H435"/>
      <c r="I435"/>
      <c r="J435"/>
      <c r="K435"/>
    </row>
    <row r="436" spans="6:11" ht="14.25" customHeight="1" x14ac:dyDescent="0.25">
      <c r="F436"/>
      <c r="G436"/>
      <c r="H436"/>
      <c r="I436"/>
      <c r="J436"/>
      <c r="K436"/>
    </row>
    <row r="437" spans="6:11" ht="14.25" customHeight="1" x14ac:dyDescent="0.25">
      <c r="F437"/>
      <c r="G437"/>
      <c r="H437"/>
      <c r="I437"/>
      <c r="J437"/>
      <c r="K437"/>
    </row>
    <row r="438" spans="6:11" ht="14.25" customHeight="1" x14ac:dyDescent="0.25">
      <c r="F438"/>
      <c r="G438"/>
      <c r="H438"/>
      <c r="I438"/>
      <c r="J438"/>
      <c r="K438"/>
    </row>
    <row r="439" spans="6:11" ht="14.25" customHeight="1" x14ac:dyDescent="0.25">
      <c r="F439"/>
      <c r="G439"/>
      <c r="H439"/>
      <c r="I439"/>
      <c r="J439"/>
      <c r="K439"/>
    </row>
    <row r="440" spans="6:11" ht="14.25" customHeight="1" x14ac:dyDescent="0.25">
      <c r="F440"/>
      <c r="G440"/>
      <c r="H440"/>
      <c r="I440"/>
      <c r="J440"/>
      <c r="K440"/>
    </row>
    <row r="441" spans="6:11" ht="14.25" customHeight="1" x14ac:dyDescent="0.25">
      <c r="F441"/>
      <c r="G441"/>
      <c r="H441"/>
      <c r="I441"/>
      <c r="J441"/>
      <c r="K441"/>
    </row>
    <row r="442" spans="6:11" ht="14.25" customHeight="1" x14ac:dyDescent="0.25">
      <c r="F442"/>
      <c r="G442"/>
      <c r="H442"/>
      <c r="I442"/>
      <c r="J442"/>
      <c r="K442"/>
    </row>
    <row r="443" spans="6:11" ht="14.25" customHeight="1" x14ac:dyDescent="0.25">
      <c r="F443"/>
      <c r="G443"/>
      <c r="H443"/>
      <c r="I443"/>
      <c r="J443"/>
      <c r="K443"/>
    </row>
    <row r="444" spans="6:11" ht="14.25" customHeight="1" x14ac:dyDescent="0.25">
      <c r="F444"/>
      <c r="G444"/>
      <c r="H444"/>
      <c r="I444"/>
      <c r="J444"/>
      <c r="K444"/>
    </row>
    <row r="445" spans="6:11" ht="14.25" customHeight="1" x14ac:dyDescent="0.25">
      <c r="F445"/>
      <c r="G445"/>
      <c r="H445"/>
      <c r="I445"/>
      <c r="J445"/>
      <c r="K445"/>
    </row>
    <row r="446" spans="6:11" ht="14.25" customHeight="1" x14ac:dyDescent="0.25">
      <c r="F446"/>
      <c r="G446"/>
      <c r="H446"/>
      <c r="I446"/>
      <c r="J446"/>
      <c r="K446"/>
    </row>
    <row r="447" spans="6:11" ht="14.25" customHeight="1" x14ac:dyDescent="0.25">
      <c r="F447"/>
      <c r="G447"/>
      <c r="H447"/>
      <c r="I447"/>
      <c r="J447"/>
      <c r="K447"/>
    </row>
    <row r="448" spans="6:11" ht="14.25" customHeight="1" x14ac:dyDescent="0.25">
      <c r="F448"/>
      <c r="G448"/>
      <c r="H448"/>
      <c r="I448"/>
      <c r="J448"/>
      <c r="K448"/>
    </row>
    <row r="449" spans="6:11" ht="14.25" customHeight="1" x14ac:dyDescent="0.25">
      <c r="F449"/>
      <c r="G449"/>
      <c r="H449"/>
      <c r="I449"/>
      <c r="J449"/>
      <c r="K449"/>
    </row>
    <row r="450" spans="6:11" ht="14.25" customHeight="1" x14ac:dyDescent="0.25">
      <c r="F450"/>
      <c r="G450"/>
      <c r="H450"/>
      <c r="I450"/>
      <c r="J450"/>
      <c r="K450"/>
    </row>
    <row r="451" spans="6:11" ht="14.25" customHeight="1" x14ac:dyDescent="0.25">
      <c r="F451"/>
      <c r="G451"/>
      <c r="H451"/>
      <c r="I451"/>
      <c r="J451"/>
      <c r="K451"/>
    </row>
    <row r="452" spans="6:11" ht="14.25" customHeight="1" x14ac:dyDescent="0.25">
      <c r="F452"/>
      <c r="G452"/>
      <c r="H452"/>
      <c r="I452"/>
      <c r="J452"/>
      <c r="K452"/>
    </row>
    <row r="453" spans="6:11" ht="14.25" customHeight="1" x14ac:dyDescent="0.25">
      <c r="F453"/>
      <c r="G453"/>
      <c r="H453"/>
      <c r="I453"/>
      <c r="J453"/>
      <c r="K453"/>
    </row>
    <row r="454" spans="6:11" ht="14.25" customHeight="1" x14ac:dyDescent="0.25">
      <c r="F454"/>
      <c r="G454"/>
      <c r="H454"/>
      <c r="I454"/>
      <c r="J454"/>
      <c r="K454"/>
    </row>
    <row r="455" spans="6:11" ht="14.25" customHeight="1" x14ac:dyDescent="0.25">
      <c r="F455"/>
      <c r="G455"/>
      <c r="H455"/>
      <c r="I455"/>
      <c r="J455"/>
      <c r="K455"/>
    </row>
    <row r="456" spans="6:11" ht="14.25" customHeight="1" x14ac:dyDescent="0.25">
      <c r="F456"/>
      <c r="G456"/>
      <c r="H456"/>
      <c r="I456"/>
      <c r="J456"/>
      <c r="K456"/>
    </row>
    <row r="457" spans="6:11" ht="14.25" customHeight="1" x14ac:dyDescent="0.25">
      <c r="F457"/>
      <c r="G457"/>
      <c r="H457"/>
      <c r="I457"/>
      <c r="J457"/>
      <c r="K457"/>
    </row>
    <row r="458" spans="6:11" ht="14.25" customHeight="1" x14ac:dyDescent="0.25">
      <c r="F458"/>
      <c r="G458"/>
      <c r="H458"/>
      <c r="I458"/>
      <c r="J458"/>
      <c r="K458"/>
    </row>
    <row r="459" spans="6:11" ht="14.25" customHeight="1" x14ac:dyDescent="0.25">
      <c r="F459"/>
      <c r="G459"/>
      <c r="H459"/>
      <c r="I459"/>
      <c r="J459"/>
      <c r="K459"/>
    </row>
    <row r="460" spans="6:11" ht="14.25" customHeight="1" x14ac:dyDescent="0.25">
      <c r="F460"/>
      <c r="G460"/>
      <c r="H460"/>
      <c r="I460"/>
      <c r="J460"/>
      <c r="K460"/>
    </row>
    <row r="461" spans="6:11" ht="14.25" customHeight="1" x14ac:dyDescent="0.25">
      <c r="F461"/>
      <c r="G461"/>
      <c r="H461"/>
      <c r="I461"/>
      <c r="J461"/>
      <c r="K461"/>
    </row>
    <row r="462" spans="6:11" ht="14.25" customHeight="1" x14ac:dyDescent="0.25">
      <c r="F462"/>
      <c r="G462"/>
      <c r="H462"/>
      <c r="I462"/>
      <c r="J462"/>
      <c r="K462"/>
    </row>
    <row r="463" spans="6:11" ht="14.25" customHeight="1" x14ac:dyDescent="0.25">
      <c r="F463"/>
      <c r="G463"/>
      <c r="H463"/>
      <c r="I463"/>
      <c r="J463"/>
      <c r="K463"/>
    </row>
    <row r="464" spans="6:11" ht="14.25" customHeight="1" x14ac:dyDescent="0.25">
      <c r="F464"/>
      <c r="G464"/>
      <c r="H464"/>
      <c r="I464"/>
      <c r="J464"/>
      <c r="K464"/>
    </row>
    <row r="465" spans="6:11" ht="14.25" customHeight="1" x14ac:dyDescent="0.25">
      <c r="F465"/>
      <c r="G465"/>
      <c r="H465"/>
      <c r="I465"/>
      <c r="J465"/>
      <c r="K465"/>
    </row>
    <row r="466" spans="6:11" ht="14.25" customHeight="1" x14ac:dyDescent="0.25">
      <c r="F466"/>
      <c r="G466"/>
      <c r="H466"/>
      <c r="I466"/>
      <c r="J466"/>
      <c r="K466"/>
    </row>
    <row r="467" spans="6:11" ht="14.25" customHeight="1" x14ac:dyDescent="0.25">
      <c r="F467"/>
      <c r="G467"/>
      <c r="H467"/>
      <c r="I467"/>
      <c r="J467"/>
      <c r="K467"/>
    </row>
    <row r="468" spans="6:11" ht="14.25" customHeight="1" x14ac:dyDescent="0.25">
      <c r="F468"/>
      <c r="G468"/>
      <c r="H468"/>
      <c r="I468"/>
      <c r="J468"/>
      <c r="K468"/>
    </row>
    <row r="469" spans="6:11" ht="14.25" customHeight="1" x14ac:dyDescent="0.25">
      <c r="F469"/>
      <c r="G469"/>
      <c r="H469"/>
      <c r="I469"/>
      <c r="J469"/>
      <c r="K469"/>
    </row>
    <row r="470" spans="6:11" ht="14.25" customHeight="1" x14ac:dyDescent="0.25">
      <c r="F470"/>
      <c r="G470"/>
      <c r="H470"/>
      <c r="I470"/>
      <c r="J470"/>
      <c r="K470"/>
    </row>
    <row r="471" spans="6:11" ht="14.25" customHeight="1" x14ac:dyDescent="0.25">
      <c r="F471"/>
      <c r="G471"/>
      <c r="H471"/>
      <c r="I471"/>
      <c r="J471"/>
      <c r="K471"/>
    </row>
    <row r="472" spans="6:11" ht="14.25" customHeight="1" x14ac:dyDescent="0.25">
      <c r="F472"/>
      <c r="G472"/>
      <c r="H472"/>
      <c r="I472"/>
      <c r="J472"/>
      <c r="K472"/>
    </row>
    <row r="473" spans="6:11" ht="14.25" customHeight="1" x14ac:dyDescent="0.25">
      <c r="F473"/>
      <c r="G473"/>
      <c r="H473"/>
      <c r="I473"/>
      <c r="J473"/>
      <c r="K473"/>
    </row>
    <row r="474" spans="6:11" ht="14.25" customHeight="1" x14ac:dyDescent="0.25">
      <c r="F474"/>
      <c r="G474"/>
      <c r="H474"/>
      <c r="I474"/>
      <c r="J474"/>
      <c r="K474"/>
    </row>
    <row r="475" spans="6:11" ht="14.25" customHeight="1" x14ac:dyDescent="0.25">
      <c r="F475"/>
      <c r="G475"/>
      <c r="H475"/>
      <c r="I475"/>
      <c r="J475"/>
      <c r="K475"/>
    </row>
    <row r="476" spans="6:11" ht="14.25" customHeight="1" x14ac:dyDescent="0.25">
      <c r="F476"/>
      <c r="G476"/>
      <c r="H476"/>
      <c r="I476"/>
      <c r="J476"/>
      <c r="K476"/>
    </row>
    <row r="477" spans="6:11" ht="14.25" customHeight="1" x14ac:dyDescent="0.25">
      <c r="F477"/>
      <c r="G477"/>
      <c r="H477"/>
      <c r="I477"/>
      <c r="J477"/>
      <c r="K477"/>
    </row>
    <row r="478" spans="6:11" ht="14.25" customHeight="1" x14ac:dyDescent="0.25">
      <c r="F478"/>
      <c r="G478"/>
      <c r="H478"/>
      <c r="I478"/>
      <c r="J478"/>
      <c r="K478"/>
    </row>
    <row r="479" spans="6:11" ht="14.25" customHeight="1" x14ac:dyDescent="0.25">
      <c r="F479"/>
      <c r="G479"/>
      <c r="H479"/>
      <c r="I479"/>
      <c r="J479"/>
      <c r="K479"/>
    </row>
    <row r="480" spans="6:11" ht="14.25" customHeight="1" x14ac:dyDescent="0.25">
      <c r="F480"/>
      <c r="G480"/>
      <c r="H480"/>
      <c r="I480"/>
      <c r="J480"/>
      <c r="K480"/>
    </row>
    <row r="481" spans="6:11" ht="14.25" customHeight="1" x14ac:dyDescent="0.25">
      <c r="F481"/>
      <c r="G481"/>
      <c r="H481"/>
      <c r="I481"/>
      <c r="J481"/>
      <c r="K481"/>
    </row>
    <row r="482" spans="6:11" ht="14.25" customHeight="1" x14ac:dyDescent="0.25">
      <c r="F482"/>
      <c r="G482"/>
      <c r="H482"/>
      <c r="I482"/>
      <c r="J482"/>
      <c r="K482"/>
    </row>
    <row r="483" spans="6:11" ht="14.25" customHeight="1" x14ac:dyDescent="0.25">
      <c r="F483"/>
      <c r="G483"/>
      <c r="H483"/>
      <c r="I483"/>
      <c r="J483"/>
      <c r="K483"/>
    </row>
    <row r="484" spans="6:11" ht="14.25" customHeight="1" x14ac:dyDescent="0.25">
      <c r="F484"/>
      <c r="G484"/>
      <c r="H484"/>
      <c r="I484"/>
      <c r="J484"/>
      <c r="K484"/>
    </row>
    <row r="485" spans="6:11" ht="14.25" customHeight="1" x14ac:dyDescent="0.25">
      <c r="F485"/>
      <c r="G485"/>
      <c r="H485"/>
      <c r="I485"/>
      <c r="J485"/>
      <c r="K485"/>
    </row>
    <row r="486" spans="6:11" ht="14.25" customHeight="1" x14ac:dyDescent="0.25">
      <c r="F486"/>
      <c r="G486"/>
      <c r="H486"/>
      <c r="I486"/>
      <c r="J486"/>
      <c r="K486"/>
    </row>
    <row r="487" spans="6:11" ht="14.25" customHeight="1" x14ac:dyDescent="0.25">
      <c r="F487"/>
      <c r="G487"/>
      <c r="H487"/>
      <c r="I487"/>
      <c r="J487"/>
      <c r="K487"/>
    </row>
    <row r="488" spans="6:11" ht="14.25" customHeight="1" x14ac:dyDescent="0.25">
      <c r="F488"/>
      <c r="G488"/>
      <c r="H488"/>
      <c r="I488"/>
      <c r="J488"/>
      <c r="K488"/>
    </row>
    <row r="489" spans="6:11" ht="14.25" customHeight="1" x14ac:dyDescent="0.25">
      <c r="F489"/>
      <c r="G489"/>
      <c r="H489"/>
      <c r="I489"/>
      <c r="J489"/>
      <c r="K489"/>
    </row>
    <row r="490" spans="6:11" ht="14.25" customHeight="1" x14ac:dyDescent="0.25">
      <c r="F490"/>
      <c r="G490"/>
      <c r="H490"/>
      <c r="I490"/>
      <c r="J490"/>
      <c r="K490"/>
    </row>
    <row r="491" spans="6:11" ht="14.25" customHeight="1" x14ac:dyDescent="0.25">
      <c r="F491"/>
      <c r="G491"/>
      <c r="H491"/>
      <c r="I491"/>
      <c r="J491"/>
      <c r="K491"/>
    </row>
    <row r="492" spans="6:11" ht="14.25" customHeight="1" x14ac:dyDescent="0.25">
      <c r="F492"/>
      <c r="G492"/>
      <c r="H492"/>
      <c r="I492"/>
      <c r="J492"/>
      <c r="K492"/>
    </row>
    <row r="493" spans="6:11" ht="14.25" customHeight="1" x14ac:dyDescent="0.25">
      <c r="F493"/>
      <c r="G493"/>
      <c r="H493"/>
      <c r="I493"/>
      <c r="J493"/>
      <c r="K493"/>
    </row>
    <row r="494" spans="6:11" ht="14.25" customHeight="1" x14ac:dyDescent="0.25">
      <c r="F494"/>
      <c r="G494"/>
      <c r="H494"/>
      <c r="I494"/>
      <c r="J494"/>
      <c r="K494"/>
    </row>
    <row r="495" spans="6:11" ht="14.25" customHeight="1" x14ac:dyDescent="0.25">
      <c r="F495"/>
      <c r="G495"/>
      <c r="H495"/>
      <c r="I495"/>
      <c r="J495"/>
      <c r="K495"/>
    </row>
    <row r="496" spans="6:11" ht="14.25" customHeight="1" x14ac:dyDescent="0.25">
      <c r="F496"/>
      <c r="G496"/>
      <c r="H496"/>
      <c r="I496"/>
      <c r="J496"/>
      <c r="K496"/>
    </row>
    <row r="497" spans="6:11" ht="14.25" customHeight="1" x14ac:dyDescent="0.25">
      <c r="F497"/>
      <c r="G497"/>
      <c r="H497"/>
      <c r="I497"/>
      <c r="J497"/>
      <c r="K497"/>
    </row>
    <row r="498" spans="6:11" ht="14.25" customHeight="1" x14ac:dyDescent="0.25">
      <c r="F498"/>
      <c r="G498"/>
      <c r="H498"/>
      <c r="I498"/>
      <c r="J498"/>
      <c r="K498"/>
    </row>
    <row r="499" spans="6:11" ht="14.25" customHeight="1" x14ac:dyDescent="0.25">
      <c r="F499"/>
      <c r="G499"/>
      <c r="H499"/>
      <c r="I499"/>
      <c r="J499"/>
      <c r="K499"/>
    </row>
    <row r="500" spans="6:11" ht="14.25" customHeight="1" x14ac:dyDescent="0.25">
      <c r="F500"/>
      <c r="G500"/>
      <c r="H500"/>
      <c r="I500"/>
      <c r="J500"/>
      <c r="K500"/>
    </row>
    <row r="501" spans="6:11" ht="14.25" customHeight="1" x14ac:dyDescent="0.25">
      <c r="F501"/>
      <c r="G501"/>
      <c r="H501"/>
      <c r="I501"/>
      <c r="J501"/>
      <c r="K501"/>
    </row>
    <row r="502" spans="6:11" ht="14.25" customHeight="1" x14ac:dyDescent="0.25">
      <c r="F502"/>
      <c r="G502"/>
      <c r="H502"/>
      <c r="I502"/>
      <c r="J502"/>
      <c r="K502"/>
    </row>
    <row r="503" spans="6:11" ht="14.25" customHeight="1" x14ac:dyDescent="0.25">
      <c r="F503"/>
      <c r="G503"/>
      <c r="H503"/>
      <c r="I503"/>
      <c r="J503"/>
      <c r="K503"/>
    </row>
    <row r="504" spans="6:11" ht="14.25" customHeight="1" x14ac:dyDescent="0.25">
      <c r="F504"/>
      <c r="G504"/>
      <c r="H504"/>
      <c r="I504"/>
      <c r="J504"/>
      <c r="K504"/>
    </row>
    <row r="505" spans="6:11" ht="14.25" customHeight="1" x14ac:dyDescent="0.25">
      <c r="F505"/>
      <c r="G505"/>
      <c r="H505"/>
      <c r="I505"/>
      <c r="J505"/>
      <c r="K505"/>
    </row>
    <row r="506" spans="6:11" ht="14.25" customHeight="1" x14ac:dyDescent="0.25">
      <c r="F506"/>
      <c r="G506"/>
      <c r="H506"/>
      <c r="I506"/>
      <c r="J506"/>
      <c r="K506"/>
    </row>
    <row r="507" spans="6:11" ht="14.25" customHeight="1" x14ac:dyDescent="0.25">
      <c r="F507"/>
      <c r="G507"/>
      <c r="H507"/>
      <c r="I507"/>
      <c r="J507"/>
      <c r="K507"/>
    </row>
    <row r="508" spans="6:11" ht="14.25" customHeight="1" x14ac:dyDescent="0.25">
      <c r="F508"/>
      <c r="G508"/>
      <c r="H508"/>
      <c r="I508"/>
      <c r="J508"/>
      <c r="K508"/>
    </row>
    <row r="509" spans="6:11" ht="14.25" customHeight="1" x14ac:dyDescent="0.25">
      <c r="F509"/>
      <c r="G509"/>
      <c r="H509"/>
      <c r="I509"/>
      <c r="J509"/>
      <c r="K509"/>
    </row>
    <row r="510" spans="6:11" ht="14.25" customHeight="1" x14ac:dyDescent="0.25">
      <c r="F510"/>
      <c r="G510"/>
      <c r="H510"/>
      <c r="I510"/>
      <c r="J510"/>
      <c r="K510"/>
    </row>
    <row r="511" spans="6:11" ht="14.25" customHeight="1" x14ac:dyDescent="0.25">
      <c r="F511"/>
      <c r="G511"/>
      <c r="H511"/>
      <c r="I511"/>
      <c r="J511"/>
      <c r="K511"/>
    </row>
    <row r="512" spans="6:11" ht="14.25" customHeight="1" x14ac:dyDescent="0.25">
      <c r="F512"/>
      <c r="G512"/>
      <c r="H512"/>
      <c r="I512"/>
      <c r="J512"/>
      <c r="K512"/>
    </row>
    <row r="513" spans="6:11" ht="14.25" customHeight="1" x14ac:dyDescent="0.25">
      <c r="F513"/>
      <c r="G513"/>
      <c r="H513"/>
      <c r="I513"/>
      <c r="J513"/>
      <c r="K513"/>
    </row>
    <row r="514" spans="6:11" ht="14.25" customHeight="1" x14ac:dyDescent="0.25">
      <c r="F514"/>
      <c r="G514"/>
      <c r="H514"/>
      <c r="I514"/>
      <c r="J514"/>
      <c r="K514"/>
    </row>
    <row r="515" spans="6:11" ht="14.25" customHeight="1" x14ac:dyDescent="0.25">
      <c r="F515"/>
      <c r="G515"/>
      <c r="H515"/>
      <c r="I515"/>
      <c r="J515"/>
      <c r="K515"/>
    </row>
    <row r="516" spans="6:11" ht="14.25" customHeight="1" x14ac:dyDescent="0.25">
      <c r="F516"/>
      <c r="G516"/>
      <c r="H516"/>
      <c r="I516"/>
      <c r="J516"/>
      <c r="K516"/>
    </row>
    <row r="517" spans="6:11" ht="14.25" customHeight="1" x14ac:dyDescent="0.25">
      <c r="F517"/>
      <c r="G517"/>
      <c r="H517"/>
      <c r="I517"/>
      <c r="J517"/>
      <c r="K517"/>
    </row>
    <row r="518" spans="6:11" ht="14.25" customHeight="1" x14ac:dyDescent="0.25">
      <c r="F518"/>
      <c r="G518"/>
      <c r="H518"/>
      <c r="I518"/>
      <c r="J518"/>
      <c r="K518"/>
    </row>
    <row r="519" spans="6:11" ht="14.25" customHeight="1" x14ac:dyDescent="0.25">
      <c r="F519"/>
      <c r="G519"/>
      <c r="H519"/>
      <c r="I519"/>
      <c r="J519"/>
      <c r="K519"/>
    </row>
    <row r="520" spans="6:11" ht="14.25" customHeight="1" x14ac:dyDescent="0.25">
      <c r="F520"/>
      <c r="G520"/>
      <c r="H520"/>
      <c r="I520"/>
      <c r="J520"/>
      <c r="K520"/>
    </row>
    <row r="521" spans="6:11" ht="14.25" customHeight="1" x14ac:dyDescent="0.25">
      <c r="F521"/>
      <c r="G521"/>
      <c r="H521"/>
      <c r="I521"/>
      <c r="J521"/>
      <c r="K521"/>
    </row>
    <row r="522" spans="6:11" ht="14.25" customHeight="1" x14ac:dyDescent="0.25">
      <c r="F522"/>
      <c r="G522"/>
      <c r="H522"/>
      <c r="I522"/>
      <c r="J522"/>
      <c r="K522"/>
    </row>
    <row r="523" spans="6:11" ht="14.25" customHeight="1" x14ac:dyDescent="0.25">
      <c r="F523"/>
      <c r="G523"/>
      <c r="H523"/>
      <c r="I523"/>
      <c r="J523"/>
      <c r="K523"/>
    </row>
    <row r="524" spans="6:11" ht="14.25" customHeight="1" x14ac:dyDescent="0.25">
      <c r="F524"/>
      <c r="G524"/>
      <c r="H524"/>
      <c r="I524"/>
      <c r="J524"/>
      <c r="K524"/>
    </row>
    <row r="525" spans="6:11" ht="14.25" customHeight="1" x14ac:dyDescent="0.25">
      <c r="F525"/>
      <c r="G525"/>
      <c r="H525"/>
      <c r="I525"/>
      <c r="J525"/>
      <c r="K525"/>
    </row>
    <row r="526" spans="6:11" ht="14.25" customHeight="1" x14ac:dyDescent="0.25">
      <c r="F526"/>
      <c r="G526"/>
      <c r="H526"/>
      <c r="I526"/>
      <c r="J526"/>
      <c r="K526"/>
    </row>
    <row r="527" spans="6:11" ht="14.25" customHeight="1" x14ac:dyDescent="0.25">
      <c r="F527"/>
      <c r="G527"/>
      <c r="H527"/>
      <c r="I527"/>
      <c r="J527"/>
      <c r="K527"/>
    </row>
    <row r="528" spans="6:11" ht="14.25" customHeight="1" x14ac:dyDescent="0.25">
      <c r="F528"/>
      <c r="G528"/>
      <c r="H528"/>
      <c r="I528"/>
      <c r="J528"/>
      <c r="K528"/>
    </row>
    <row r="529" spans="6:11" ht="14.25" customHeight="1" x14ac:dyDescent="0.25">
      <c r="F529"/>
      <c r="G529"/>
      <c r="H529"/>
      <c r="I529"/>
      <c r="J529"/>
      <c r="K529"/>
    </row>
    <row r="530" spans="6:11" ht="14.25" customHeight="1" x14ac:dyDescent="0.25">
      <c r="F530"/>
      <c r="G530"/>
      <c r="H530"/>
      <c r="I530"/>
      <c r="J530"/>
      <c r="K530"/>
    </row>
    <row r="531" spans="6:11" ht="14.25" customHeight="1" x14ac:dyDescent="0.25">
      <c r="F531"/>
      <c r="G531"/>
      <c r="H531"/>
      <c r="I531"/>
      <c r="J531"/>
      <c r="K531"/>
    </row>
    <row r="532" spans="6:11" ht="14.25" customHeight="1" x14ac:dyDescent="0.25">
      <c r="F532"/>
      <c r="G532"/>
      <c r="H532"/>
      <c r="I532"/>
      <c r="J532"/>
      <c r="K532"/>
    </row>
    <row r="533" spans="6:11" ht="14.25" customHeight="1" x14ac:dyDescent="0.25">
      <c r="F533"/>
      <c r="G533"/>
      <c r="H533"/>
      <c r="I533"/>
      <c r="J533"/>
      <c r="K533"/>
    </row>
    <row r="534" spans="6:11" ht="14.25" customHeight="1" x14ac:dyDescent="0.25">
      <c r="F534"/>
      <c r="G534"/>
      <c r="H534"/>
      <c r="I534"/>
      <c r="J534"/>
      <c r="K534"/>
    </row>
    <row r="535" spans="6:11" ht="14.25" customHeight="1" x14ac:dyDescent="0.25">
      <c r="F535"/>
      <c r="G535"/>
      <c r="H535"/>
      <c r="I535"/>
      <c r="J535"/>
      <c r="K535"/>
    </row>
    <row r="536" spans="6:11" ht="14.25" customHeight="1" x14ac:dyDescent="0.25">
      <c r="F536"/>
      <c r="G536"/>
      <c r="H536"/>
      <c r="I536"/>
      <c r="J536"/>
      <c r="K536"/>
    </row>
    <row r="537" spans="6:11" ht="14.25" customHeight="1" x14ac:dyDescent="0.25">
      <c r="F537"/>
      <c r="G537"/>
      <c r="H537"/>
      <c r="I537"/>
      <c r="J537"/>
      <c r="K537"/>
    </row>
    <row r="538" spans="6:11" ht="14.25" customHeight="1" x14ac:dyDescent="0.25">
      <c r="F538"/>
      <c r="G538"/>
      <c r="H538"/>
      <c r="I538"/>
      <c r="J538"/>
      <c r="K538"/>
    </row>
    <row r="539" spans="6:11" ht="14.25" customHeight="1" x14ac:dyDescent="0.25">
      <c r="F539"/>
      <c r="G539"/>
      <c r="H539"/>
      <c r="I539"/>
      <c r="J539"/>
      <c r="K539"/>
    </row>
    <row r="540" spans="6:11" ht="14.25" customHeight="1" x14ac:dyDescent="0.25">
      <c r="F540"/>
      <c r="G540"/>
      <c r="H540"/>
      <c r="I540"/>
      <c r="J540"/>
      <c r="K540"/>
    </row>
    <row r="541" spans="6:11" ht="14.25" customHeight="1" x14ac:dyDescent="0.25">
      <c r="F541"/>
      <c r="G541"/>
      <c r="H541"/>
      <c r="I541"/>
      <c r="J541"/>
      <c r="K541"/>
    </row>
    <row r="542" spans="6:11" ht="14.25" customHeight="1" x14ac:dyDescent="0.25">
      <c r="F542"/>
      <c r="G542"/>
      <c r="H542"/>
      <c r="I542"/>
      <c r="J542"/>
      <c r="K542"/>
    </row>
    <row r="543" spans="6:11" ht="14.25" customHeight="1" x14ac:dyDescent="0.25">
      <c r="F543"/>
      <c r="G543"/>
      <c r="H543"/>
      <c r="I543"/>
      <c r="J543"/>
      <c r="K543"/>
    </row>
    <row r="544" spans="6:11" ht="14.25" customHeight="1" x14ac:dyDescent="0.25">
      <c r="F544"/>
      <c r="G544"/>
      <c r="H544"/>
      <c r="I544"/>
      <c r="J544"/>
      <c r="K544"/>
    </row>
    <row r="545" spans="6:11" ht="14.25" customHeight="1" x14ac:dyDescent="0.25">
      <c r="F545"/>
      <c r="G545"/>
      <c r="H545"/>
      <c r="I545"/>
      <c r="J545"/>
      <c r="K545"/>
    </row>
    <row r="546" spans="6:11" ht="14.25" customHeight="1" x14ac:dyDescent="0.25">
      <c r="F546"/>
      <c r="G546"/>
      <c r="H546"/>
      <c r="I546"/>
      <c r="J546"/>
      <c r="K546"/>
    </row>
    <row r="547" spans="6:11" ht="14.25" customHeight="1" x14ac:dyDescent="0.25">
      <c r="F547"/>
      <c r="G547"/>
      <c r="H547"/>
      <c r="I547"/>
      <c r="J547"/>
      <c r="K547"/>
    </row>
    <row r="548" spans="6:11" ht="14.25" customHeight="1" x14ac:dyDescent="0.25">
      <c r="F548"/>
      <c r="G548"/>
      <c r="H548"/>
      <c r="I548"/>
      <c r="J548"/>
      <c r="K548"/>
    </row>
    <row r="549" spans="6:11" ht="14.25" customHeight="1" x14ac:dyDescent="0.25">
      <c r="F549"/>
      <c r="G549"/>
      <c r="H549"/>
      <c r="I549"/>
      <c r="J549"/>
      <c r="K549"/>
    </row>
    <row r="550" spans="6:11" ht="14.25" customHeight="1" x14ac:dyDescent="0.25">
      <c r="F550"/>
      <c r="G550"/>
      <c r="H550"/>
      <c r="I550"/>
      <c r="J550"/>
      <c r="K550"/>
    </row>
    <row r="551" spans="6:11" ht="14.25" customHeight="1" x14ac:dyDescent="0.25">
      <c r="F551"/>
      <c r="G551"/>
      <c r="H551"/>
      <c r="I551"/>
      <c r="J551"/>
      <c r="K551"/>
    </row>
    <row r="552" spans="6:11" ht="14.25" customHeight="1" x14ac:dyDescent="0.25">
      <c r="F552"/>
      <c r="G552"/>
      <c r="H552"/>
      <c r="I552"/>
      <c r="J552"/>
      <c r="K552"/>
    </row>
    <row r="553" spans="6:11" ht="14.25" customHeight="1" x14ac:dyDescent="0.25">
      <c r="F553"/>
      <c r="G553"/>
      <c r="H553"/>
      <c r="I553"/>
      <c r="J553"/>
      <c r="K553"/>
    </row>
    <row r="554" spans="6:11" ht="14.25" customHeight="1" x14ac:dyDescent="0.25">
      <c r="F554"/>
      <c r="G554"/>
      <c r="H554"/>
      <c r="I554"/>
      <c r="J554"/>
      <c r="K554"/>
    </row>
    <row r="555" spans="6:11" ht="14.25" customHeight="1" x14ac:dyDescent="0.25">
      <c r="F555"/>
      <c r="G555"/>
      <c r="H555"/>
      <c r="I555"/>
      <c r="J555"/>
      <c r="K555"/>
    </row>
    <row r="556" spans="6:11" ht="14.25" customHeight="1" x14ac:dyDescent="0.25">
      <c r="F556"/>
      <c r="G556"/>
      <c r="H556"/>
      <c r="I556"/>
      <c r="J556"/>
      <c r="K556"/>
    </row>
    <row r="557" spans="6:11" ht="14.25" customHeight="1" x14ac:dyDescent="0.25">
      <c r="F557"/>
      <c r="G557"/>
      <c r="H557"/>
      <c r="I557"/>
      <c r="J557"/>
      <c r="K557"/>
    </row>
    <row r="558" spans="6:11" ht="14.25" customHeight="1" x14ac:dyDescent="0.25">
      <c r="F558"/>
      <c r="G558"/>
      <c r="H558"/>
      <c r="I558"/>
      <c r="J558"/>
      <c r="K558"/>
    </row>
    <row r="559" spans="6:11" ht="14.25" customHeight="1" x14ac:dyDescent="0.25">
      <c r="F559"/>
      <c r="G559"/>
      <c r="H559"/>
      <c r="I559"/>
      <c r="J559"/>
      <c r="K559"/>
    </row>
    <row r="560" spans="6:11" ht="14.25" customHeight="1" x14ac:dyDescent="0.25">
      <c r="F560"/>
      <c r="G560"/>
      <c r="H560"/>
      <c r="I560"/>
      <c r="J560"/>
      <c r="K560"/>
    </row>
    <row r="561" spans="6:11" ht="14.25" customHeight="1" x14ac:dyDescent="0.25">
      <c r="F561"/>
      <c r="G561"/>
      <c r="H561"/>
      <c r="I561"/>
      <c r="J561"/>
      <c r="K561"/>
    </row>
    <row r="562" spans="6:11" ht="14.25" customHeight="1" x14ac:dyDescent="0.25">
      <c r="F562"/>
      <c r="G562"/>
      <c r="H562"/>
      <c r="I562"/>
      <c r="J562"/>
      <c r="K562"/>
    </row>
    <row r="563" spans="6:11" ht="14.25" customHeight="1" x14ac:dyDescent="0.25">
      <c r="F563"/>
      <c r="G563"/>
      <c r="H563"/>
      <c r="I563"/>
      <c r="J563"/>
      <c r="K563"/>
    </row>
    <row r="564" spans="6:11" ht="14.25" customHeight="1" x14ac:dyDescent="0.25">
      <c r="F564"/>
      <c r="G564"/>
      <c r="H564"/>
      <c r="I564"/>
      <c r="J564"/>
      <c r="K564"/>
    </row>
    <row r="565" spans="6:11" ht="14.25" customHeight="1" x14ac:dyDescent="0.25">
      <c r="F565"/>
      <c r="G565"/>
      <c r="H565"/>
      <c r="I565"/>
      <c r="J565"/>
      <c r="K565"/>
    </row>
    <row r="566" spans="6:11" ht="14.25" customHeight="1" x14ac:dyDescent="0.25">
      <c r="F566"/>
      <c r="G566"/>
      <c r="H566"/>
      <c r="I566"/>
      <c r="J566"/>
      <c r="K566"/>
    </row>
    <row r="567" spans="6:11" ht="14.25" customHeight="1" x14ac:dyDescent="0.25">
      <c r="F567"/>
      <c r="G567"/>
      <c r="H567"/>
      <c r="I567"/>
      <c r="J567"/>
      <c r="K567"/>
    </row>
    <row r="568" spans="6:11" ht="14.25" customHeight="1" x14ac:dyDescent="0.25">
      <c r="F568"/>
      <c r="G568"/>
      <c r="H568"/>
      <c r="I568"/>
      <c r="J568"/>
      <c r="K568"/>
    </row>
    <row r="569" spans="6:11" ht="14.25" customHeight="1" x14ac:dyDescent="0.25">
      <c r="F569"/>
      <c r="G569"/>
      <c r="H569"/>
      <c r="I569"/>
      <c r="J569"/>
      <c r="K569"/>
    </row>
    <row r="570" spans="6:11" ht="14.25" customHeight="1" x14ac:dyDescent="0.25">
      <c r="F570"/>
      <c r="G570"/>
      <c r="H570"/>
      <c r="I570"/>
      <c r="J570"/>
      <c r="K570"/>
    </row>
    <row r="571" spans="6:11" ht="14.25" customHeight="1" x14ac:dyDescent="0.25">
      <c r="F571"/>
      <c r="G571"/>
      <c r="H571"/>
      <c r="I571"/>
      <c r="J571"/>
      <c r="K571"/>
    </row>
    <row r="572" spans="6:11" ht="14.25" customHeight="1" x14ac:dyDescent="0.25">
      <c r="F572"/>
      <c r="G572"/>
      <c r="H572"/>
      <c r="I572"/>
      <c r="J572"/>
      <c r="K572"/>
    </row>
    <row r="573" spans="6:11" ht="14.25" customHeight="1" x14ac:dyDescent="0.25">
      <c r="F573"/>
      <c r="G573"/>
      <c r="H573"/>
      <c r="I573"/>
      <c r="J573"/>
      <c r="K573"/>
    </row>
    <row r="574" spans="6:11" ht="14.25" customHeight="1" x14ac:dyDescent="0.25">
      <c r="F574"/>
      <c r="G574"/>
      <c r="H574"/>
      <c r="I574"/>
      <c r="J574"/>
      <c r="K574"/>
    </row>
    <row r="575" spans="6:11" ht="14.25" customHeight="1" x14ac:dyDescent="0.25">
      <c r="F575"/>
      <c r="G575"/>
      <c r="H575"/>
      <c r="I575"/>
      <c r="J575"/>
      <c r="K575"/>
    </row>
    <row r="576" spans="6:11" ht="14.25" customHeight="1" x14ac:dyDescent="0.25">
      <c r="F576"/>
      <c r="G576"/>
      <c r="H576"/>
      <c r="I576"/>
      <c r="J576"/>
      <c r="K576"/>
    </row>
    <row r="577" spans="6:11" ht="14.25" customHeight="1" x14ac:dyDescent="0.25">
      <c r="F577"/>
      <c r="G577"/>
      <c r="H577"/>
      <c r="I577"/>
      <c r="J577"/>
      <c r="K577"/>
    </row>
    <row r="578" spans="6:11" ht="14.25" customHeight="1" x14ac:dyDescent="0.25">
      <c r="F578"/>
      <c r="G578"/>
      <c r="H578"/>
      <c r="I578"/>
      <c r="J578"/>
      <c r="K578"/>
    </row>
    <row r="579" spans="6:11" ht="14.25" customHeight="1" x14ac:dyDescent="0.25">
      <c r="F579"/>
      <c r="G579"/>
      <c r="H579"/>
      <c r="I579"/>
      <c r="J579"/>
      <c r="K579"/>
    </row>
    <row r="580" spans="6:11" ht="14.25" customHeight="1" x14ac:dyDescent="0.25">
      <c r="F580"/>
      <c r="G580"/>
      <c r="H580"/>
      <c r="I580"/>
      <c r="J580"/>
      <c r="K580"/>
    </row>
    <row r="581" spans="6:11" ht="14.25" customHeight="1" x14ac:dyDescent="0.25">
      <c r="F581"/>
      <c r="G581"/>
      <c r="H581"/>
      <c r="I581"/>
      <c r="J581"/>
      <c r="K581"/>
    </row>
    <row r="582" spans="6:11" ht="14.25" customHeight="1" x14ac:dyDescent="0.25">
      <c r="F582"/>
      <c r="G582"/>
      <c r="H582"/>
      <c r="I582"/>
      <c r="J582"/>
      <c r="K582"/>
    </row>
    <row r="583" spans="6:11" ht="14.25" customHeight="1" x14ac:dyDescent="0.25">
      <c r="F583"/>
      <c r="G583"/>
      <c r="H583"/>
      <c r="I583"/>
      <c r="J583"/>
      <c r="K583"/>
    </row>
    <row r="584" spans="6:11" ht="14.25" customHeight="1" x14ac:dyDescent="0.25">
      <c r="F584"/>
      <c r="G584"/>
      <c r="H584"/>
      <c r="I584"/>
      <c r="J584"/>
      <c r="K584"/>
    </row>
    <row r="585" spans="6:11" ht="14.25" customHeight="1" x14ac:dyDescent="0.25">
      <c r="F585"/>
      <c r="G585"/>
      <c r="H585"/>
      <c r="I585"/>
      <c r="J585"/>
      <c r="K585"/>
    </row>
    <row r="586" spans="6:11" ht="14.25" customHeight="1" x14ac:dyDescent="0.25">
      <c r="F586"/>
      <c r="G586"/>
      <c r="H586"/>
      <c r="I586"/>
      <c r="J586"/>
      <c r="K586"/>
    </row>
    <row r="587" spans="6:11" ht="14.25" customHeight="1" x14ac:dyDescent="0.25">
      <c r="F587"/>
      <c r="G587"/>
      <c r="H587"/>
      <c r="I587"/>
      <c r="J587"/>
      <c r="K587"/>
    </row>
    <row r="588" spans="6:11" ht="14.25" customHeight="1" x14ac:dyDescent="0.25">
      <c r="F588"/>
      <c r="G588"/>
      <c r="H588"/>
      <c r="I588"/>
      <c r="J588"/>
      <c r="K588"/>
    </row>
    <row r="589" spans="6:11" ht="14.25" customHeight="1" x14ac:dyDescent="0.25">
      <c r="F589"/>
      <c r="G589"/>
      <c r="H589"/>
      <c r="I589"/>
      <c r="J589"/>
      <c r="K589"/>
    </row>
    <row r="590" spans="6:11" ht="14.25" customHeight="1" x14ac:dyDescent="0.25">
      <c r="F590"/>
      <c r="G590"/>
      <c r="H590"/>
      <c r="I590"/>
      <c r="J590"/>
      <c r="K590"/>
    </row>
    <row r="591" spans="6:11" ht="14.25" customHeight="1" x14ac:dyDescent="0.25">
      <c r="F591"/>
      <c r="G591"/>
      <c r="H591"/>
      <c r="I591"/>
      <c r="J591"/>
      <c r="K591"/>
    </row>
    <row r="592" spans="6:11" ht="14.25" customHeight="1" x14ac:dyDescent="0.25">
      <c r="F592"/>
      <c r="G592"/>
      <c r="H592"/>
      <c r="I592"/>
      <c r="J592"/>
      <c r="K592"/>
    </row>
    <row r="593" spans="6:11" ht="14.25" customHeight="1" x14ac:dyDescent="0.25">
      <c r="F593"/>
      <c r="G593"/>
      <c r="H593"/>
      <c r="I593"/>
      <c r="J593"/>
      <c r="K593"/>
    </row>
    <row r="594" spans="6:11" ht="14.25" customHeight="1" x14ac:dyDescent="0.25">
      <c r="F594"/>
      <c r="G594"/>
      <c r="H594"/>
      <c r="I594"/>
      <c r="J594"/>
      <c r="K594"/>
    </row>
    <row r="595" spans="6:11" ht="14.25" customHeight="1" x14ac:dyDescent="0.25">
      <c r="F595"/>
      <c r="G595"/>
      <c r="H595"/>
      <c r="I595"/>
      <c r="J595"/>
      <c r="K595"/>
    </row>
    <row r="596" spans="6:11" ht="14.25" customHeight="1" x14ac:dyDescent="0.25">
      <c r="F596"/>
      <c r="G596"/>
      <c r="H596"/>
      <c r="I596"/>
      <c r="J596"/>
      <c r="K596"/>
    </row>
    <row r="597" spans="6:11" ht="14.25" customHeight="1" x14ac:dyDescent="0.25">
      <c r="F597"/>
      <c r="G597"/>
      <c r="H597"/>
      <c r="I597"/>
      <c r="J597"/>
      <c r="K597"/>
    </row>
    <row r="598" spans="6:11" ht="14.25" customHeight="1" x14ac:dyDescent="0.25">
      <c r="F598"/>
      <c r="G598"/>
      <c r="H598"/>
      <c r="I598"/>
      <c r="J598"/>
      <c r="K598"/>
    </row>
    <row r="599" spans="6:11" ht="14.25" customHeight="1" x14ac:dyDescent="0.25">
      <c r="F599"/>
      <c r="G599"/>
      <c r="H599"/>
      <c r="I599"/>
      <c r="J599"/>
      <c r="K599"/>
    </row>
    <row r="600" spans="6:11" ht="14.25" customHeight="1" x14ac:dyDescent="0.25">
      <c r="F600"/>
      <c r="G600"/>
      <c r="H600"/>
      <c r="I600"/>
      <c r="J600"/>
      <c r="K600"/>
    </row>
    <row r="601" spans="6:11" ht="14.25" customHeight="1" x14ac:dyDescent="0.25">
      <c r="F601"/>
      <c r="G601"/>
      <c r="H601"/>
      <c r="I601"/>
      <c r="J601"/>
      <c r="K601"/>
    </row>
    <row r="602" spans="6:11" ht="14.25" customHeight="1" x14ac:dyDescent="0.25">
      <c r="F602"/>
      <c r="G602"/>
      <c r="H602"/>
      <c r="I602"/>
      <c r="J602"/>
      <c r="K602"/>
    </row>
    <row r="603" spans="6:11" ht="14.25" customHeight="1" x14ac:dyDescent="0.25">
      <c r="F603"/>
      <c r="G603"/>
      <c r="H603"/>
      <c r="I603"/>
      <c r="J603"/>
      <c r="K603"/>
    </row>
    <row r="604" spans="6:11" ht="14.25" customHeight="1" x14ac:dyDescent="0.25">
      <c r="F604"/>
      <c r="G604"/>
      <c r="H604"/>
      <c r="I604"/>
      <c r="J604"/>
      <c r="K604"/>
    </row>
    <row r="605" spans="6:11" ht="14.25" customHeight="1" x14ac:dyDescent="0.25">
      <c r="F605"/>
      <c r="G605"/>
      <c r="H605"/>
      <c r="I605"/>
      <c r="J605"/>
      <c r="K605"/>
    </row>
    <row r="606" spans="6:11" ht="14.25" customHeight="1" x14ac:dyDescent="0.25">
      <c r="F606"/>
      <c r="G606"/>
      <c r="H606"/>
      <c r="I606"/>
      <c r="J606"/>
      <c r="K606"/>
    </row>
    <row r="607" spans="6:11" ht="14.25" customHeight="1" x14ac:dyDescent="0.25">
      <c r="F607"/>
      <c r="G607"/>
      <c r="H607"/>
      <c r="I607"/>
      <c r="J607"/>
      <c r="K607"/>
    </row>
    <row r="608" spans="6:11" ht="14.25" customHeight="1" x14ac:dyDescent="0.25">
      <c r="F608"/>
      <c r="G608"/>
      <c r="H608"/>
      <c r="I608"/>
      <c r="J608"/>
      <c r="K608"/>
    </row>
    <row r="609" spans="6:11" ht="14.25" customHeight="1" x14ac:dyDescent="0.25">
      <c r="F609"/>
      <c r="G609"/>
      <c r="H609"/>
      <c r="I609"/>
      <c r="J609"/>
      <c r="K609"/>
    </row>
    <row r="610" spans="6:11" ht="14.25" customHeight="1" x14ac:dyDescent="0.25">
      <c r="F610"/>
      <c r="G610"/>
      <c r="H610"/>
      <c r="I610"/>
      <c r="J610"/>
      <c r="K610"/>
    </row>
    <row r="611" spans="6:11" ht="14.25" customHeight="1" x14ac:dyDescent="0.25">
      <c r="F611"/>
      <c r="G611"/>
      <c r="H611"/>
      <c r="I611"/>
      <c r="J611"/>
      <c r="K611"/>
    </row>
    <row r="612" spans="6:11" ht="14.25" customHeight="1" x14ac:dyDescent="0.25">
      <c r="F612"/>
      <c r="G612"/>
      <c r="H612"/>
      <c r="I612"/>
      <c r="J612"/>
      <c r="K612"/>
    </row>
    <row r="613" spans="6:11" ht="14.25" customHeight="1" x14ac:dyDescent="0.25">
      <c r="F613"/>
      <c r="G613"/>
      <c r="H613"/>
      <c r="I613"/>
      <c r="J613"/>
      <c r="K613"/>
    </row>
    <row r="614" spans="6:11" ht="14.25" customHeight="1" x14ac:dyDescent="0.25">
      <c r="F614"/>
      <c r="G614"/>
      <c r="H614"/>
      <c r="I614"/>
      <c r="J614"/>
      <c r="K614"/>
    </row>
    <row r="615" spans="6:11" ht="14.25" customHeight="1" x14ac:dyDescent="0.25">
      <c r="F615"/>
      <c r="G615"/>
      <c r="H615"/>
      <c r="I615"/>
      <c r="J615"/>
      <c r="K615"/>
    </row>
    <row r="616" spans="6:11" ht="14.25" customHeight="1" x14ac:dyDescent="0.25">
      <c r="F616"/>
      <c r="G616"/>
      <c r="H616"/>
      <c r="I616"/>
      <c r="J616"/>
      <c r="K616"/>
    </row>
    <row r="617" spans="6:11" ht="14.25" customHeight="1" x14ac:dyDescent="0.25">
      <c r="F617"/>
      <c r="G617"/>
      <c r="H617"/>
      <c r="I617"/>
      <c r="J617"/>
      <c r="K617"/>
    </row>
    <row r="618" spans="6:11" ht="14.25" customHeight="1" x14ac:dyDescent="0.25">
      <c r="F618"/>
      <c r="G618"/>
      <c r="H618"/>
      <c r="I618"/>
      <c r="J618"/>
      <c r="K618"/>
    </row>
    <row r="619" spans="6:11" ht="14.25" customHeight="1" x14ac:dyDescent="0.25">
      <c r="F619"/>
      <c r="G619"/>
      <c r="H619"/>
      <c r="I619"/>
      <c r="J619"/>
      <c r="K619"/>
    </row>
    <row r="620" spans="6:11" ht="14.25" customHeight="1" x14ac:dyDescent="0.25">
      <c r="F620"/>
      <c r="G620"/>
      <c r="H620"/>
      <c r="I620"/>
      <c r="J620"/>
      <c r="K620"/>
    </row>
    <row r="621" spans="6:11" ht="14.25" customHeight="1" x14ac:dyDescent="0.25">
      <c r="F621"/>
      <c r="G621"/>
      <c r="H621"/>
      <c r="I621"/>
      <c r="J621"/>
      <c r="K621"/>
    </row>
    <row r="622" spans="6:11" ht="14.25" customHeight="1" x14ac:dyDescent="0.25">
      <c r="F622"/>
      <c r="G622"/>
      <c r="H622"/>
      <c r="I622"/>
      <c r="J622"/>
      <c r="K622"/>
    </row>
    <row r="623" spans="6:11" ht="14.25" customHeight="1" x14ac:dyDescent="0.25">
      <c r="F623"/>
      <c r="G623"/>
      <c r="H623"/>
      <c r="I623"/>
      <c r="J623"/>
      <c r="K623"/>
    </row>
    <row r="624" spans="6:11" ht="14.25" customHeight="1" x14ac:dyDescent="0.25">
      <c r="F624"/>
      <c r="G624"/>
      <c r="H624"/>
      <c r="I624"/>
      <c r="J624"/>
      <c r="K624"/>
    </row>
    <row r="625" spans="6:11" ht="14.25" customHeight="1" x14ac:dyDescent="0.25">
      <c r="F625"/>
      <c r="G625"/>
      <c r="H625"/>
      <c r="I625"/>
      <c r="J625"/>
      <c r="K625"/>
    </row>
    <row r="626" spans="6:11" ht="14.25" customHeight="1" x14ac:dyDescent="0.25">
      <c r="F626"/>
      <c r="G626"/>
      <c r="H626"/>
      <c r="I626"/>
      <c r="J626"/>
      <c r="K626"/>
    </row>
    <row r="627" spans="6:11" ht="14.25" customHeight="1" x14ac:dyDescent="0.25">
      <c r="F627"/>
      <c r="G627"/>
      <c r="H627"/>
      <c r="I627"/>
      <c r="J627"/>
      <c r="K627"/>
    </row>
    <row r="628" spans="6:11" ht="14.25" customHeight="1" x14ac:dyDescent="0.25">
      <c r="F628"/>
      <c r="G628"/>
      <c r="H628"/>
      <c r="I628"/>
      <c r="J628"/>
      <c r="K628"/>
    </row>
    <row r="629" spans="6:11" ht="14.25" customHeight="1" x14ac:dyDescent="0.25">
      <c r="F629"/>
      <c r="G629"/>
      <c r="H629"/>
      <c r="I629"/>
      <c r="J629"/>
      <c r="K629"/>
    </row>
    <row r="630" spans="6:11" ht="14.25" customHeight="1" x14ac:dyDescent="0.25">
      <c r="F630"/>
      <c r="G630"/>
      <c r="H630"/>
      <c r="I630"/>
      <c r="J630"/>
      <c r="K630"/>
    </row>
    <row r="631" spans="6:11" ht="14.25" customHeight="1" x14ac:dyDescent="0.25">
      <c r="F631"/>
      <c r="G631"/>
      <c r="H631"/>
      <c r="I631"/>
      <c r="J631"/>
      <c r="K631"/>
    </row>
    <row r="632" spans="6:11" ht="14.25" customHeight="1" x14ac:dyDescent="0.25">
      <c r="F632"/>
      <c r="G632"/>
      <c r="H632"/>
      <c r="I632"/>
      <c r="J632"/>
      <c r="K632"/>
    </row>
    <row r="633" spans="6:11" ht="14.25" customHeight="1" x14ac:dyDescent="0.25">
      <c r="F633"/>
      <c r="G633"/>
      <c r="H633"/>
      <c r="I633"/>
      <c r="J633"/>
      <c r="K633"/>
    </row>
    <row r="634" spans="6:11" ht="14.25" customHeight="1" x14ac:dyDescent="0.25">
      <c r="F634"/>
      <c r="G634"/>
      <c r="H634"/>
      <c r="I634"/>
      <c r="J634"/>
      <c r="K634"/>
    </row>
    <row r="635" spans="6:11" ht="14.25" customHeight="1" x14ac:dyDescent="0.25">
      <c r="F635"/>
      <c r="G635"/>
      <c r="H635"/>
      <c r="I635"/>
      <c r="J635"/>
      <c r="K635"/>
    </row>
    <row r="636" spans="6:11" ht="14.25" customHeight="1" x14ac:dyDescent="0.25">
      <c r="F636"/>
      <c r="G636"/>
      <c r="H636"/>
      <c r="I636"/>
      <c r="J636"/>
      <c r="K636"/>
    </row>
    <row r="637" spans="6:11" ht="14.25" customHeight="1" x14ac:dyDescent="0.25">
      <c r="F637"/>
      <c r="G637"/>
      <c r="H637"/>
      <c r="I637"/>
      <c r="J637"/>
      <c r="K637"/>
    </row>
    <row r="638" spans="6:11" ht="14.25" customHeight="1" x14ac:dyDescent="0.25">
      <c r="F638"/>
      <c r="G638"/>
      <c r="H638"/>
      <c r="I638"/>
      <c r="J638"/>
      <c r="K638"/>
    </row>
    <row r="639" spans="6:11" ht="14.25" customHeight="1" x14ac:dyDescent="0.25">
      <c r="F639"/>
      <c r="G639"/>
      <c r="H639"/>
      <c r="I639"/>
      <c r="J639"/>
      <c r="K639"/>
    </row>
    <row r="640" spans="6:11" ht="14.25" customHeight="1" x14ac:dyDescent="0.25">
      <c r="F640"/>
      <c r="G640"/>
      <c r="H640"/>
      <c r="I640"/>
      <c r="J640"/>
      <c r="K640"/>
    </row>
    <row r="641" spans="6:11" ht="14.25" customHeight="1" x14ac:dyDescent="0.25">
      <c r="F641"/>
      <c r="G641"/>
      <c r="H641"/>
      <c r="I641"/>
      <c r="J641"/>
      <c r="K641"/>
    </row>
    <row r="642" spans="6:11" ht="14.25" customHeight="1" x14ac:dyDescent="0.25">
      <c r="F642"/>
      <c r="G642"/>
      <c r="H642"/>
      <c r="I642"/>
      <c r="J642"/>
      <c r="K642"/>
    </row>
    <row r="643" spans="6:11" ht="14.25" customHeight="1" x14ac:dyDescent="0.25">
      <c r="F643"/>
      <c r="G643"/>
      <c r="H643"/>
      <c r="I643"/>
      <c r="J643"/>
      <c r="K643"/>
    </row>
    <row r="644" spans="6:11" ht="14.25" customHeight="1" x14ac:dyDescent="0.25">
      <c r="F644"/>
      <c r="G644"/>
      <c r="H644"/>
      <c r="I644"/>
      <c r="J644"/>
      <c r="K644"/>
    </row>
    <row r="645" spans="6:11" ht="14.25" customHeight="1" x14ac:dyDescent="0.25">
      <c r="F645"/>
      <c r="G645"/>
      <c r="H645"/>
      <c r="I645"/>
      <c r="J645"/>
      <c r="K645"/>
    </row>
    <row r="646" spans="6:11" ht="14.25" customHeight="1" x14ac:dyDescent="0.25">
      <c r="F646"/>
      <c r="G646"/>
      <c r="H646"/>
      <c r="I646"/>
      <c r="J646"/>
      <c r="K646"/>
    </row>
    <row r="647" spans="6:11" ht="14.25" customHeight="1" x14ac:dyDescent="0.25">
      <c r="F647"/>
      <c r="G647"/>
      <c r="H647"/>
      <c r="I647"/>
      <c r="J647"/>
      <c r="K647"/>
    </row>
    <row r="648" spans="6:11" ht="14.25" customHeight="1" x14ac:dyDescent="0.25">
      <c r="F648"/>
      <c r="G648"/>
      <c r="H648"/>
      <c r="I648"/>
      <c r="J648"/>
      <c r="K648"/>
    </row>
    <row r="649" spans="6:11" ht="14.25" customHeight="1" x14ac:dyDescent="0.25">
      <c r="F649"/>
      <c r="G649"/>
      <c r="H649"/>
      <c r="I649"/>
      <c r="J649"/>
      <c r="K649"/>
    </row>
    <row r="650" spans="6:11" ht="14.25" customHeight="1" x14ac:dyDescent="0.25">
      <c r="F650"/>
      <c r="G650"/>
      <c r="H650"/>
      <c r="I650"/>
      <c r="J650"/>
      <c r="K650"/>
    </row>
    <row r="651" spans="6:11" ht="14.25" customHeight="1" x14ac:dyDescent="0.25">
      <c r="F651"/>
      <c r="G651"/>
      <c r="H651"/>
      <c r="I651"/>
      <c r="J651"/>
      <c r="K651"/>
    </row>
    <row r="652" spans="6:11" ht="14.25" customHeight="1" x14ac:dyDescent="0.25">
      <c r="F652"/>
      <c r="G652"/>
      <c r="H652"/>
      <c r="I652"/>
      <c r="J652"/>
      <c r="K652"/>
    </row>
    <row r="653" spans="6:11" ht="14.25" customHeight="1" x14ac:dyDescent="0.25">
      <c r="F653"/>
      <c r="G653"/>
      <c r="H653"/>
      <c r="I653"/>
      <c r="J653"/>
      <c r="K653"/>
    </row>
    <row r="654" spans="6:11" ht="14.25" customHeight="1" x14ac:dyDescent="0.25">
      <c r="F654"/>
      <c r="G654"/>
      <c r="H654"/>
      <c r="I654"/>
      <c r="J654"/>
      <c r="K654"/>
    </row>
    <row r="655" spans="6:11" ht="14.25" customHeight="1" x14ac:dyDescent="0.25">
      <c r="F655"/>
      <c r="G655"/>
      <c r="H655"/>
      <c r="I655"/>
      <c r="J655"/>
      <c r="K655"/>
    </row>
    <row r="656" spans="6:11" ht="14.25" customHeight="1" x14ac:dyDescent="0.25">
      <c r="F656"/>
      <c r="G656"/>
      <c r="H656"/>
      <c r="I656"/>
      <c r="J656"/>
      <c r="K656"/>
    </row>
    <row r="657" spans="6:11" ht="14.25" customHeight="1" x14ac:dyDescent="0.25">
      <c r="F657"/>
      <c r="G657"/>
      <c r="H657"/>
      <c r="I657"/>
      <c r="J657"/>
      <c r="K657"/>
    </row>
    <row r="658" spans="6:11" ht="14.25" customHeight="1" x14ac:dyDescent="0.25">
      <c r="F658"/>
      <c r="G658"/>
      <c r="H658"/>
      <c r="I658"/>
      <c r="J658"/>
      <c r="K658"/>
    </row>
    <row r="659" spans="6:11" ht="14.25" customHeight="1" x14ac:dyDescent="0.25">
      <c r="F659"/>
      <c r="G659"/>
      <c r="H659"/>
      <c r="I659"/>
      <c r="J659"/>
      <c r="K659"/>
    </row>
    <row r="660" spans="6:11" ht="14.25" customHeight="1" x14ac:dyDescent="0.25">
      <c r="F660"/>
      <c r="G660"/>
      <c r="H660"/>
      <c r="I660"/>
      <c r="J660"/>
      <c r="K660"/>
    </row>
    <row r="661" spans="6:11" ht="14.25" customHeight="1" x14ac:dyDescent="0.25">
      <c r="F661"/>
      <c r="G661"/>
      <c r="H661"/>
      <c r="I661"/>
      <c r="J661"/>
      <c r="K661"/>
    </row>
    <row r="662" spans="6:11" ht="14.25" customHeight="1" x14ac:dyDescent="0.25">
      <c r="F662"/>
      <c r="G662"/>
      <c r="H662"/>
      <c r="I662"/>
      <c r="J662"/>
      <c r="K662"/>
    </row>
    <row r="663" spans="6:11" ht="14.25" customHeight="1" x14ac:dyDescent="0.25">
      <c r="F663"/>
      <c r="G663"/>
      <c r="H663"/>
      <c r="I663"/>
      <c r="J663"/>
      <c r="K663"/>
    </row>
    <row r="664" spans="6:11" ht="14.25" customHeight="1" x14ac:dyDescent="0.25">
      <c r="F664"/>
      <c r="G664"/>
      <c r="H664"/>
      <c r="I664"/>
      <c r="J664"/>
      <c r="K664"/>
    </row>
    <row r="665" spans="6:11" ht="14.25" customHeight="1" x14ac:dyDescent="0.25">
      <c r="F665"/>
      <c r="G665"/>
      <c r="H665"/>
      <c r="I665"/>
      <c r="J665"/>
      <c r="K665"/>
    </row>
    <row r="666" spans="6:11" ht="14.25" customHeight="1" x14ac:dyDescent="0.25">
      <c r="F666"/>
      <c r="G666"/>
      <c r="H666"/>
      <c r="I666"/>
      <c r="J666"/>
      <c r="K666"/>
    </row>
    <row r="667" spans="6:11" ht="14.25" customHeight="1" x14ac:dyDescent="0.25">
      <c r="F667"/>
      <c r="G667"/>
      <c r="H667"/>
      <c r="I667"/>
      <c r="J667"/>
      <c r="K667"/>
    </row>
    <row r="668" spans="6:11" ht="14.25" customHeight="1" x14ac:dyDescent="0.25">
      <c r="F668"/>
      <c r="G668"/>
      <c r="H668"/>
      <c r="I668"/>
      <c r="J668"/>
      <c r="K668"/>
    </row>
    <row r="669" spans="6:11" ht="14.25" customHeight="1" x14ac:dyDescent="0.25">
      <c r="F669"/>
      <c r="G669"/>
      <c r="H669"/>
      <c r="I669"/>
      <c r="J669"/>
      <c r="K669"/>
    </row>
    <row r="670" spans="6:11" ht="14.25" customHeight="1" x14ac:dyDescent="0.25">
      <c r="F670"/>
      <c r="G670"/>
      <c r="H670"/>
      <c r="I670"/>
      <c r="J670"/>
      <c r="K670"/>
    </row>
    <row r="671" spans="6:11" ht="14.25" customHeight="1" x14ac:dyDescent="0.25">
      <c r="F671"/>
      <c r="G671"/>
      <c r="H671"/>
      <c r="I671"/>
      <c r="J671"/>
      <c r="K671"/>
    </row>
    <row r="672" spans="6:11" ht="14.25" customHeight="1" x14ac:dyDescent="0.25">
      <c r="F672"/>
      <c r="G672"/>
      <c r="H672"/>
      <c r="I672"/>
      <c r="J672"/>
      <c r="K672"/>
    </row>
    <row r="673" spans="6:11" ht="14.25" customHeight="1" x14ac:dyDescent="0.25">
      <c r="F673"/>
      <c r="G673"/>
      <c r="H673"/>
      <c r="I673"/>
      <c r="J673"/>
      <c r="K673"/>
    </row>
    <row r="674" spans="6:11" ht="14.25" customHeight="1" x14ac:dyDescent="0.25">
      <c r="F674"/>
      <c r="G674"/>
      <c r="H674"/>
      <c r="I674"/>
      <c r="J674"/>
      <c r="K674"/>
    </row>
    <row r="675" spans="6:11" ht="14.25" customHeight="1" x14ac:dyDescent="0.25">
      <c r="F675"/>
      <c r="G675"/>
      <c r="H675"/>
      <c r="I675"/>
      <c r="J675"/>
      <c r="K675"/>
    </row>
    <row r="676" spans="6:11" ht="14.25" customHeight="1" x14ac:dyDescent="0.25">
      <c r="F676"/>
      <c r="G676"/>
      <c r="H676"/>
      <c r="I676"/>
      <c r="J676"/>
      <c r="K676"/>
    </row>
    <row r="677" spans="6:11" ht="14.25" customHeight="1" x14ac:dyDescent="0.25">
      <c r="F677"/>
      <c r="G677"/>
      <c r="H677"/>
      <c r="I677"/>
      <c r="J677"/>
      <c r="K677"/>
    </row>
    <row r="678" spans="6:11" ht="14.25" customHeight="1" x14ac:dyDescent="0.25">
      <c r="F678"/>
      <c r="G678"/>
      <c r="H678"/>
      <c r="I678"/>
      <c r="J678"/>
      <c r="K678"/>
    </row>
    <row r="679" spans="6:11" ht="14.25" customHeight="1" x14ac:dyDescent="0.25">
      <c r="F679"/>
      <c r="G679"/>
      <c r="H679"/>
      <c r="I679"/>
      <c r="J679"/>
      <c r="K679"/>
    </row>
    <row r="680" spans="6:11" ht="14.25" customHeight="1" x14ac:dyDescent="0.25">
      <c r="F680"/>
      <c r="G680"/>
      <c r="H680"/>
      <c r="I680"/>
      <c r="J680"/>
      <c r="K680"/>
    </row>
    <row r="681" spans="6:11" ht="14.25" customHeight="1" x14ac:dyDescent="0.25">
      <c r="F681"/>
      <c r="G681"/>
      <c r="H681"/>
      <c r="I681"/>
      <c r="J681"/>
      <c r="K681"/>
    </row>
    <row r="682" spans="6:11" ht="14.25" customHeight="1" x14ac:dyDescent="0.25">
      <c r="F682"/>
      <c r="G682"/>
      <c r="H682"/>
      <c r="I682"/>
      <c r="J682"/>
      <c r="K682"/>
    </row>
    <row r="683" spans="6:11" ht="14.25" customHeight="1" x14ac:dyDescent="0.25">
      <c r="F683"/>
      <c r="G683"/>
      <c r="H683"/>
      <c r="I683"/>
      <c r="J683"/>
      <c r="K683"/>
    </row>
    <row r="684" spans="6:11" ht="14.25" customHeight="1" x14ac:dyDescent="0.25">
      <c r="F684"/>
      <c r="G684"/>
      <c r="H684"/>
      <c r="I684"/>
      <c r="J684"/>
      <c r="K684"/>
    </row>
    <row r="685" spans="6:11" ht="14.25" customHeight="1" x14ac:dyDescent="0.25">
      <c r="F685"/>
      <c r="G685"/>
      <c r="H685"/>
      <c r="I685"/>
      <c r="J685"/>
      <c r="K685"/>
    </row>
    <row r="686" spans="6:11" ht="14.25" customHeight="1" x14ac:dyDescent="0.25">
      <c r="F686"/>
      <c r="G686"/>
      <c r="H686"/>
      <c r="I686"/>
      <c r="J686"/>
      <c r="K686"/>
    </row>
    <row r="687" spans="6:11" ht="14.25" customHeight="1" x14ac:dyDescent="0.25">
      <c r="F687"/>
      <c r="G687"/>
      <c r="H687"/>
      <c r="I687"/>
      <c r="J687"/>
      <c r="K687"/>
    </row>
    <row r="688" spans="6:11" ht="14.25" customHeight="1" x14ac:dyDescent="0.25">
      <c r="F688"/>
      <c r="G688"/>
      <c r="H688"/>
      <c r="I688"/>
      <c r="J688"/>
      <c r="K688"/>
    </row>
    <row r="689" spans="6:11" ht="14.25" customHeight="1" x14ac:dyDescent="0.25">
      <c r="F689"/>
      <c r="G689"/>
      <c r="H689"/>
      <c r="I689"/>
      <c r="J689"/>
      <c r="K689"/>
    </row>
    <row r="690" spans="6:11" ht="14.25" customHeight="1" x14ac:dyDescent="0.25">
      <c r="F690"/>
      <c r="G690"/>
      <c r="H690"/>
      <c r="I690"/>
      <c r="J690"/>
      <c r="K690"/>
    </row>
    <row r="691" spans="6:11" ht="14.25" customHeight="1" x14ac:dyDescent="0.25">
      <c r="F691"/>
      <c r="G691"/>
      <c r="H691"/>
      <c r="I691"/>
      <c r="J691"/>
      <c r="K691"/>
    </row>
    <row r="692" spans="6:11" ht="14.25" customHeight="1" x14ac:dyDescent="0.25">
      <c r="F692"/>
      <c r="G692"/>
      <c r="H692"/>
      <c r="I692"/>
      <c r="J692"/>
      <c r="K692"/>
    </row>
    <row r="693" spans="6:11" ht="14.25" customHeight="1" x14ac:dyDescent="0.25">
      <c r="F693"/>
      <c r="G693"/>
      <c r="H693"/>
      <c r="I693"/>
      <c r="J693"/>
      <c r="K693"/>
    </row>
    <row r="694" spans="6:11" ht="14.25" customHeight="1" x14ac:dyDescent="0.25">
      <c r="F694"/>
      <c r="G694"/>
      <c r="H694"/>
      <c r="I694"/>
      <c r="J694"/>
      <c r="K694"/>
    </row>
    <row r="695" spans="6:11" ht="14.25" customHeight="1" x14ac:dyDescent="0.25">
      <c r="F695"/>
      <c r="G695"/>
      <c r="H695"/>
      <c r="I695"/>
      <c r="J695"/>
      <c r="K695"/>
    </row>
    <row r="696" spans="6:11" ht="14.25" customHeight="1" x14ac:dyDescent="0.25">
      <c r="F696"/>
      <c r="G696"/>
      <c r="H696"/>
      <c r="I696"/>
      <c r="J696"/>
      <c r="K696"/>
    </row>
    <row r="697" spans="6:11" ht="14.25" customHeight="1" x14ac:dyDescent="0.25">
      <c r="F697"/>
      <c r="G697"/>
      <c r="H697"/>
      <c r="I697"/>
      <c r="J697"/>
      <c r="K697"/>
    </row>
    <row r="698" spans="6:11" ht="14.25" customHeight="1" x14ac:dyDescent="0.25">
      <c r="F698"/>
      <c r="G698"/>
      <c r="H698"/>
      <c r="I698"/>
      <c r="J698"/>
      <c r="K698"/>
    </row>
    <row r="699" spans="6:11" ht="14.25" customHeight="1" x14ac:dyDescent="0.25">
      <c r="F699"/>
      <c r="G699"/>
      <c r="H699"/>
      <c r="I699"/>
      <c r="J699"/>
      <c r="K699"/>
    </row>
    <row r="700" spans="6:11" ht="14.25" customHeight="1" x14ac:dyDescent="0.25">
      <c r="F700"/>
      <c r="G700"/>
      <c r="H700"/>
      <c r="I700"/>
      <c r="J700"/>
      <c r="K700"/>
    </row>
    <row r="701" spans="6:11" ht="14.25" customHeight="1" x14ac:dyDescent="0.25">
      <c r="F701"/>
      <c r="G701"/>
      <c r="H701"/>
      <c r="I701"/>
      <c r="J701"/>
      <c r="K701"/>
    </row>
    <row r="702" spans="6:11" ht="14.25" customHeight="1" x14ac:dyDescent="0.25">
      <c r="F702"/>
      <c r="G702"/>
      <c r="H702"/>
      <c r="I702"/>
      <c r="J702"/>
      <c r="K702"/>
    </row>
    <row r="703" spans="6:11" ht="14.25" customHeight="1" x14ac:dyDescent="0.25">
      <c r="F703"/>
      <c r="G703"/>
      <c r="H703"/>
      <c r="I703"/>
      <c r="J703"/>
      <c r="K703"/>
    </row>
    <row r="704" spans="6:11" ht="14.25" customHeight="1" x14ac:dyDescent="0.25">
      <c r="F704"/>
      <c r="G704"/>
      <c r="H704"/>
      <c r="I704"/>
      <c r="J704"/>
      <c r="K704"/>
    </row>
    <row r="705" spans="6:11" ht="14.25" customHeight="1" x14ac:dyDescent="0.25">
      <c r="F705"/>
      <c r="G705"/>
      <c r="H705"/>
      <c r="I705"/>
      <c r="J705"/>
      <c r="K705"/>
    </row>
    <row r="706" spans="6:11" ht="14.25" customHeight="1" x14ac:dyDescent="0.25">
      <c r="F706"/>
      <c r="G706"/>
      <c r="H706"/>
      <c r="I706"/>
      <c r="J706"/>
      <c r="K706"/>
    </row>
    <row r="707" spans="6:11" ht="14.25" customHeight="1" x14ac:dyDescent="0.25">
      <c r="F707"/>
      <c r="G707"/>
      <c r="H707"/>
      <c r="I707"/>
      <c r="J707"/>
      <c r="K707"/>
    </row>
    <row r="708" spans="6:11" ht="14.25" customHeight="1" x14ac:dyDescent="0.25">
      <c r="F708"/>
      <c r="G708"/>
      <c r="H708"/>
      <c r="I708"/>
      <c r="J708"/>
      <c r="K708"/>
    </row>
    <row r="709" spans="6:11" ht="14.25" customHeight="1" x14ac:dyDescent="0.25">
      <c r="F709"/>
      <c r="G709"/>
      <c r="H709"/>
      <c r="I709"/>
      <c r="J709"/>
      <c r="K709"/>
    </row>
    <row r="710" spans="6:11" ht="14.25" customHeight="1" x14ac:dyDescent="0.25">
      <c r="F710"/>
      <c r="G710"/>
      <c r="H710"/>
      <c r="I710"/>
      <c r="J710"/>
      <c r="K710"/>
    </row>
    <row r="711" spans="6:11" ht="14.25" customHeight="1" x14ac:dyDescent="0.25">
      <c r="F711"/>
      <c r="G711"/>
      <c r="H711"/>
      <c r="I711"/>
      <c r="J711"/>
      <c r="K711"/>
    </row>
    <row r="712" spans="6:11" ht="14.25" customHeight="1" x14ac:dyDescent="0.25">
      <c r="F712"/>
      <c r="G712"/>
      <c r="H712"/>
      <c r="I712"/>
      <c r="J712"/>
      <c r="K712"/>
    </row>
    <row r="713" spans="6:11" ht="14.25" customHeight="1" x14ac:dyDescent="0.25">
      <c r="F713"/>
      <c r="G713"/>
      <c r="H713"/>
      <c r="I713"/>
      <c r="J713"/>
      <c r="K713"/>
    </row>
    <row r="714" spans="6:11" ht="14.25" customHeight="1" x14ac:dyDescent="0.25">
      <c r="F714"/>
      <c r="G714"/>
      <c r="H714"/>
      <c r="I714"/>
      <c r="J714"/>
      <c r="K714"/>
    </row>
    <row r="715" spans="6:11" ht="14.25" customHeight="1" x14ac:dyDescent="0.25">
      <c r="F715"/>
      <c r="G715"/>
      <c r="H715"/>
      <c r="I715"/>
      <c r="J715"/>
      <c r="K715"/>
    </row>
    <row r="716" spans="6:11" ht="14.25" customHeight="1" x14ac:dyDescent="0.25">
      <c r="F716"/>
      <c r="G716"/>
      <c r="H716"/>
      <c r="I716"/>
      <c r="J716"/>
      <c r="K716"/>
    </row>
    <row r="717" spans="6:11" ht="14.25" customHeight="1" x14ac:dyDescent="0.25">
      <c r="F717"/>
      <c r="G717"/>
      <c r="H717"/>
      <c r="I717"/>
      <c r="J717"/>
      <c r="K717"/>
    </row>
    <row r="718" spans="6:11" ht="14.25" customHeight="1" x14ac:dyDescent="0.25">
      <c r="F718"/>
      <c r="G718"/>
      <c r="H718"/>
      <c r="I718"/>
      <c r="J718"/>
      <c r="K718"/>
    </row>
    <row r="719" spans="6:11" ht="14.25" customHeight="1" x14ac:dyDescent="0.25">
      <c r="F719"/>
      <c r="G719"/>
      <c r="H719"/>
      <c r="I719"/>
      <c r="J719"/>
      <c r="K719"/>
    </row>
    <row r="720" spans="6:11" ht="14.25" customHeight="1" x14ac:dyDescent="0.25">
      <c r="F720"/>
      <c r="G720"/>
      <c r="H720"/>
      <c r="I720"/>
      <c r="J720"/>
      <c r="K720"/>
    </row>
    <row r="721" spans="6:11" ht="14.25" customHeight="1" x14ac:dyDescent="0.25">
      <c r="F721"/>
      <c r="G721"/>
      <c r="H721"/>
      <c r="I721"/>
      <c r="J721"/>
      <c r="K721"/>
    </row>
    <row r="722" spans="6:11" ht="14.25" customHeight="1" x14ac:dyDescent="0.25">
      <c r="F722"/>
      <c r="G722"/>
      <c r="H722"/>
      <c r="I722"/>
      <c r="J722"/>
      <c r="K722"/>
    </row>
    <row r="723" spans="6:11" ht="14.25" customHeight="1" x14ac:dyDescent="0.25">
      <c r="F723"/>
      <c r="G723"/>
      <c r="H723"/>
      <c r="I723"/>
      <c r="J723"/>
      <c r="K723"/>
    </row>
    <row r="724" spans="6:11" ht="14.25" customHeight="1" x14ac:dyDescent="0.25">
      <c r="F724"/>
      <c r="G724"/>
      <c r="H724"/>
      <c r="I724"/>
      <c r="J724"/>
      <c r="K724"/>
    </row>
    <row r="725" spans="6:11" ht="14.25" customHeight="1" x14ac:dyDescent="0.25">
      <c r="F725"/>
      <c r="G725"/>
      <c r="H725"/>
      <c r="I725"/>
      <c r="J725"/>
      <c r="K725"/>
    </row>
    <row r="726" spans="6:11" ht="14.25" customHeight="1" x14ac:dyDescent="0.25">
      <c r="F726"/>
      <c r="G726"/>
      <c r="H726"/>
      <c r="I726"/>
      <c r="J726"/>
      <c r="K726"/>
    </row>
    <row r="727" spans="6:11" ht="14.25" customHeight="1" x14ac:dyDescent="0.25">
      <c r="F727"/>
      <c r="G727"/>
      <c r="H727"/>
      <c r="I727"/>
      <c r="J727"/>
      <c r="K727"/>
    </row>
    <row r="728" spans="6:11" ht="14.25" customHeight="1" x14ac:dyDescent="0.25">
      <c r="F728"/>
      <c r="G728"/>
      <c r="H728"/>
      <c r="I728"/>
      <c r="J728"/>
      <c r="K728"/>
    </row>
    <row r="729" spans="6:11" ht="14.25" customHeight="1" x14ac:dyDescent="0.25">
      <c r="F729"/>
      <c r="G729"/>
      <c r="H729"/>
      <c r="I729"/>
      <c r="J729"/>
      <c r="K729"/>
    </row>
    <row r="730" spans="6:11" ht="14.25" customHeight="1" x14ac:dyDescent="0.25">
      <c r="F730"/>
      <c r="G730"/>
      <c r="H730"/>
      <c r="I730"/>
      <c r="J730"/>
      <c r="K730"/>
    </row>
    <row r="731" spans="6:11" ht="14.25" customHeight="1" x14ac:dyDescent="0.25">
      <c r="F731"/>
      <c r="G731"/>
      <c r="H731"/>
      <c r="I731"/>
      <c r="J731"/>
      <c r="K731"/>
    </row>
    <row r="732" spans="6:11" ht="14.25" customHeight="1" x14ac:dyDescent="0.25">
      <c r="F732"/>
      <c r="G732"/>
      <c r="H732"/>
      <c r="I732"/>
      <c r="J732"/>
      <c r="K732"/>
    </row>
    <row r="733" spans="6:11" ht="14.25" customHeight="1" x14ac:dyDescent="0.25">
      <c r="F733"/>
      <c r="G733"/>
      <c r="H733"/>
      <c r="I733"/>
      <c r="J733"/>
      <c r="K733"/>
    </row>
    <row r="734" spans="6:11" ht="14.25" customHeight="1" x14ac:dyDescent="0.25">
      <c r="F734"/>
      <c r="G734"/>
      <c r="H734"/>
      <c r="I734"/>
      <c r="J734"/>
      <c r="K734"/>
    </row>
    <row r="735" spans="6:11" ht="14.25" customHeight="1" x14ac:dyDescent="0.25">
      <c r="F735"/>
      <c r="G735"/>
      <c r="H735"/>
      <c r="I735"/>
      <c r="J735"/>
      <c r="K735"/>
    </row>
    <row r="736" spans="6:11" ht="14.25" customHeight="1" x14ac:dyDescent="0.25">
      <c r="F736"/>
      <c r="G736"/>
      <c r="H736"/>
      <c r="I736"/>
      <c r="J736"/>
      <c r="K736"/>
    </row>
    <row r="737" spans="6:11" ht="14.25" customHeight="1" x14ac:dyDescent="0.25">
      <c r="F737"/>
      <c r="G737"/>
      <c r="H737"/>
      <c r="I737"/>
      <c r="J737"/>
      <c r="K737"/>
    </row>
    <row r="738" spans="6:11" ht="14.25" customHeight="1" x14ac:dyDescent="0.25">
      <c r="F738"/>
      <c r="G738"/>
      <c r="H738"/>
      <c r="I738"/>
      <c r="J738"/>
      <c r="K738"/>
    </row>
    <row r="739" spans="6:11" ht="14.25" customHeight="1" x14ac:dyDescent="0.25">
      <c r="F739"/>
      <c r="G739"/>
      <c r="H739"/>
      <c r="I739"/>
      <c r="J739"/>
      <c r="K739"/>
    </row>
    <row r="740" spans="6:11" ht="14.25" customHeight="1" x14ac:dyDescent="0.25">
      <c r="F740"/>
      <c r="G740"/>
      <c r="H740"/>
      <c r="I740"/>
      <c r="J740"/>
      <c r="K740"/>
    </row>
    <row r="741" spans="6:11" ht="14.25" customHeight="1" x14ac:dyDescent="0.25">
      <c r="F741"/>
      <c r="G741"/>
      <c r="H741"/>
      <c r="I741"/>
      <c r="J741"/>
      <c r="K741"/>
    </row>
    <row r="742" spans="6:11" ht="14.25" customHeight="1" x14ac:dyDescent="0.25">
      <c r="F742"/>
      <c r="G742"/>
      <c r="H742"/>
      <c r="I742"/>
      <c r="J742"/>
      <c r="K742"/>
    </row>
    <row r="743" spans="6:11" ht="14.25" customHeight="1" x14ac:dyDescent="0.25">
      <c r="F743"/>
      <c r="G743"/>
      <c r="H743"/>
      <c r="I743"/>
      <c r="J743"/>
      <c r="K743"/>
    </row>
    <row r="744" spans="6:11" ht="14.25" customHeight="1" x14ac:dyDescent="0.25">
      <c r="F744"/>
      <c r="G744"/>
      <c r="H744"/>
      <c r="I744"/>
      <c r="J744"/>
      <c r="K744"/>
    </row>
    <row r="745" spans="6:11" ht="14.25" customHeight="1" x14ac:dyDescent="0.25">
      <c r="F745"/>
      <c r="G745"/>
      <c r="H745"/>
      <c r="I745"/>
      <c r="J745"/>
      <c r="K745"/>
    </row>
    <row r="746" spans="6:11" ht="14.25" customHeight="1" x14ac:dyDescent="0.25">
      <c r="F746"/>
      <c r="G746"/>
      <c r="H746"/>
      <c r="I746"/>
      <c r="J746"/>
      <c r="K746"/>
    </row>
    <row r="747" spans="6:11" ht="14.25" customHeight="1" x14ac:dyDescent="0.25">
      <c r="F747"/>
      <c r="G747"/>
      <c r="H747"/>
      <c r="I747"/>
      <c r="J747"/>
      <c r="K747"/>
    </row>
    <row r="748" spans="6:11" ht="14.25" customHeight="1" x14ac:dyDescent="0.25">
      <c r="F748"/>
      <c r="G748"/>
      <c r="H748"/>
      <c r="I748"/>
      <c r="J748"/>
      <c r="K748"/>
    </row>
    <row r="749" spans="6:11" ht="14.25" customHeight="1" x14ac:dyDescent="0.25">
      <c r="F749"/>
      <c r="G749"/>
      <c r="H749"/>
      <c r="I749"/>
      <c r="J749"/>
      <c r="K749"/>
    </row>
    <row r="750" spans="6:11" ht="14.25" customHeight="1" x14ac:dyDescent="0.25">
      <c r="F750"/>
      <c r="G750"/>
      <c r="H750"/>
      <c r="I750"/>
      <c r="J750"/>
      <c r="K750"/>
    </row>
    <row r="751" spans="6:11" ht="14.25" customHeight="1" x14ac:dyDescent="0.25">
      <c r="F751"/>
      <c r="G751"/>
      <c r="H751"/>
      <c r="I751"/>
      <c r="J751"/>
      <c r="K751"/>
    </row>
    <row r="752" spans="6:11" ht="14.25" customHeight="1" x14ac:dyDescent="0.25">
      <c r="F752"/>
      <c r="G752"/>
      <c r="H752"/>
      <c r="I752"/>
      <c r="J752"/>
      <c r="K752"/>
    </row>
    <row r="753" spans="6:11" ht="14.25" customHeight="1" x14ac:dyDescent="0.25">
      <c r="F753"/>
      <c r="G753"/>
      <c r="H753"/>
      <c r="I753"/>
      <c r="J753"/>
      <c r="K753"/>
    </row>
    <row r="754" spans="6:11" ht="14.25" customHeight="1" x14ac:dyDescent="0.25">
      <c r="F754"/>
      <c r="G754"/>
      <c r="H754"/>
      <c r="I754"/>
      <c r="J754"/>
      <c r="K754"/>
    </row>
    <row r="755" spans="6:11" ht="14.25" customHeight="1" x14ac:dyDescent="0.25">
      <c r="F755"/>
      <c r="G755"/>
      <c r="H755"/>
      <c r="I755"/>
      <c r="J755"/>
      <c r="K755"/>
    </row>
    <row r="756" spans="6:11" ht="14.25" customHeight="1" x14ac:dyDescent="0.25">
      <c r="F756"/>
      <c r="G756"/>
      <c r="H756"/>
      <c r="I756"/>
      <c r="J756"/>
      <c r="K756"/>
    </row>
    <row r="757" spans="6:11" ht="14.25" customHeight="1" x14ac:dyDescent="0.25">
      <c r="F757"/>
      <c r="G757"/>
      <c r="H757"/>
      <c r="I757"/>
      <c r="J757"/>
      <c r="K757"/>
    </row>
    <row r="758" spans="6:11" ht="14.25" customHeight="1" x14ac:dyDescent="0.25">
      <c r="F758"/>
      <c r="G758"/>
      <c r="H758"/>
      <c r="I758"/>
      <c r="J758"/>
      <c r="K758"/>
    </row>
    <row r="759" spans="6:11" ht="14.25" customHeight="1" x14ac:dyDescent="0.25">
      <c r="F759"/>
      <c r="G759"/>
      <c r="H759"/>
      <c r="I759"/>
      <c r="J759"/>
      <c r="K759"/>
    </row>
    <row r="760" spans="6:11" ht="14.25" customHeight="1" x14ac:dyDescent="0.25">
      <c r="F760"/>
      <c r="G760"/>
      <c r="H760"/>
      <c r="I760"/>
      <c r="J760"/>
      <c r="K760"/>
    </row>
    <row r="761" spans="6:11" ht="14.25" customHeight="1" x14ac:dyDescent="0.25">
      <c r="F761"/>
      <c r="G761"/>
      <c r="H761"/>
      <c r="I761"/>
      <c r="J761"/>
      <c r="K761"/>
    </row>
    <row r="762" spans="6:11" ht="14.25" customHeight="1" x14ac:dyDescent="0.25">
      <c r="F762"/>
      <c r="G762"/>
      <c r="H762"/>
      <c r="I762"/>
      <c r="J762"/>
      <c r="K762"/>
    </row>
    <row r="763" spans="6:11" ht="14.25" customHeight="1" x14ac:dyDescent="0.25">
      <c r="F763"/>
      <c r="G763"/>
      <c r="H763"/>
      <c r="I763"/>
      <c r="J763"/>
      <c r="K763"/>
    </row>
    <row r="764" spans="6:11" ht="14.25" customHeight="1" x14ac:dyDescent="0.25">
      <c r="F764"/>
      <c r="G764"/>
      <c r="H764"/>
      <c r="I764"/>
      <c r="J764"/>
      <c r="K764"/>
    </row>
    <row r="765" spans="6:11" ht="14.25" customHeight="1" x14ac:dyDescent="0.25">
      <c r="F765"/>
      <c r="G765"/>
      <c r="H765"/>
      <c r="I765"/>
      <c r="J765"/>
      <c r="K765"/>
    </row>
    <row r="766" spans="6:11" ht="14.25" customHeight="1" x14ac:dyDescent="0.25">
      <c r="F766"/>
      <c r="G766"/>
      <c r="H766"/>
      <c r="I766"/>
      <c r="J766"/>
      <c r="K766"/>
    </row>
    <row r="767" spans="6:11" ht="14.25" customHeight="1" x14ac:dyDescent="0.25">
      <c r="F767"/>
      <c r="G767"/>
      <c r="H767"/>
      <c r="I767"/>
      <c r="J767"/>
      <c r="K767"/>
    </row>
    <row r="768" spans="6:11" ht="14.25" customHeight="1" x14ac:dyDescent="0.25">
      <c r="F768"/>
      <c r="G768"/>
      <c r="H768"/>
      <c r="I768"/>
      <c r="J768"/>
      <c r="K768"/>
    </row>
    <row r="769" spans="6:11" ht="14.25" customHeight="1" x14ac:dyDescent="0.25">
      <c r="F769"/>
      <c r="G769"/>
      <c r="H769"/>
      <c r="I769"/>
      <c r="J769"/>
      <c r="K769"/>
    </row>
    <row r="770" spans="6:11" ht="14.25" customHeight="1" x14ac:dyDescent="0.25">
      <c r="F770"/>
      <c r="G770"/>
      <c r="H770"/>
      <c r="I770"/>
      <c r="J770"/>
      <c r="K770"/>
    </row>
    <row r="771" spans="6:11" ht="14.25" customHeight="1" x14ac:dyDescent="0.25">
      <c r="F771"/>
      <c r="G771"/>
      <c r="H771"/>
      <c r="I771"/>
      <c r="J771"/>
      <c r="K771"/>
    </row>
    <row r="772" spans="6:11" ht="14.25" customHeight="1" x14ac:dyDescent="0.25">
      <c r="F772"/>
      <c r="G772"/>
      <c r="H772"/>
      <c r="I772"/>
      <c r="J772"/>
      <c r="K772"/>
    </row>
    <row r="773" spans="6:11" ht="14.25" customHeight="1" x14ac:dyDescent="0.25">
      <c r="F773"/>
      <c r="G773"/>
      <c r="H773"/>
      <c r="I773"/>
      <c r="J773"/>
      <c r="K773"/>
    </row>
    <row r="774" spans="6:11" ht="14.25" customHeight="1" x14ac:dyDescent="0.25">
      <c r="F774"/>
      <c r="G774"/>
      <c r="H774"/>
      <c r="I774"/>
      <c r="J774"/>
      <c r="K774"/>
    </row>
    <row r="775" spans="6:11" ht="14.25" customHeight="1" x14ac:dyDescent="0.25">
      <c r="F775"/>
      <c r="G775"/>
      <c r="H775"/>
      <c r="I775"/>
      <c r="J775"/>
      <c r="K775"/>
    </row>
    <row r="776" spans="6:11" ht="14.25" customHeight="1" x14ac:dyDescent="0.25">
      <c r="F776"/>
      <c r="G776"/>
      <c r="H776"/>
      <c r="I776"/>
      <c r="J776"/>
      <c r="K776"/>
    </row>
    <row r="777" spans="6:11" ht="14.25" customHeight="1" x14ac:dyDescent="0.25">
      <c r="F777"/>
      <c r="G777"/>
      <c r="H777"/>
      <c r="I777"/>
      <c r="J777"/>
      <c r="K777"/>
    </row>
    <row r="778" spans="6:11" ht="14.25" customHeight="1" x14ac:dyDescent="0.25">
      <c r="F778"/>
      <c r="G778"/>
      <c r="H778"/>
      <c r="I778"/>
      <c r="J778"/>
      <c r="K778"/>
    </row>
    <row r="779" spans="6:11" ht="14.25" customHeight="1" x14ac:dyDescent="0.25">
      <c r="F779"/>
      <c r="G779"/>
      <c r="H779"/>
      <c r="I779"/>
      <c r="J779"/>
      <c r="K779"/>
    </row>
    <row r="780" spans="6:11" ht="14.25" customHeight="1" x14ac:dyDescent="0.25">
      <c r="F780"/>
      <c r="G780"/>
      <c r="H780"/>
      <c r="I780"/>
      <c r="J780"/>
      <c r="K780"/>
    </row>
    <row r="781" spans="6:11" ht="14.25" customHeight="1" x14ac:dyDescent="0.25">
      <c r="F781"/>
      <c r="G781"/>
      <c r="H781"/>
      <c r="I781"/>
      <c r="J781"/>
      <c r="K781"/>
    </row>
    <row r="782" spans="6:11" ht="14.25" customHeight="1" x14ac:dyDescent="0.25">
      <c r="F782"/>
      <c r="G782"/>
      <c r="H782"/>
      <c r="I782"/>
      <c r="J782"/>
      <c r="K782"/>
    </row>
    <row r="783" spans="6:11" ht="14.25" customHeight="1" x14ac:dyDescent="0.25">
      <c r="F783"/>
      <c r="G783"/>
      <c r="H783"/>
      <c r="I783"/>
      <c r="J783"/>
      <c r="K783"/>
    </row>
    <row r="784" spans="6:11" ht="14.25" customHeight="1" x14ac:dyDescent="0.25">
      <c r="F784"/>
      <c r="G784"/>
      <c r="H784"/>
      <c r="I784"/>
      <c r="J784"/>
      <c r="K784"/>
    </row>
    <row r="785" spans="6:11" ht="14.25" customHeight="1" x14ac:dyDescent="0.25">
      <c r="F785"/>
      <c r="G785"/>
      <c r="H785"/>
      <c r="I785"/>
      <c r="J785"/>
      <c r="K785"/>
    </row>
    <row r="786" spans="6:11" ht="14.25" customHeight="1" x14ac:dyDescent="0.25">
      <c r="F786"/>
      <c r="G786"/>
      <c r="H786"/>
      <c r="I786"/>
      <c r="J786"/>
      <c r="K786"/>
    </row>
    <row r="787" spans="6:11" ht="14.25" customHeight="1" x14ac:dyDescent="0.25">
      <c r="F787"/>
      <c r="G787"/>
      <c r="H787"/>
      <c r="I787"/>
      <c r="J787"/>
      <c r="K787"/>
    </row>
    <row r="788" spans="6:11" ht="14.25" customHeight="1" x14ac:dyDescent="0.25">
      <c r="F788"/>
      <c r="G788"/>
      <c r="H788"/>
      <c r="I788"/>
      <c r="J788"/>
      <c r="K788"/>
    </row>
    <row r="789" spans="6:11" ht="14.25" customHeight="1" x14ac:dyDescent="0.25">
      <c r="F789"/>
      <c r="G789"/>
      <c r="H789"/>
      <c r="I789"/>
      <c r="J789"/>
      <c r="K789"/>
    </row>
    <row r="790" spans="6:11" ht="14.25" customHeight="1" x14ac:dyDescent="0.25">
      <c r="F790"/>
      <c r="G790"/>
      <c r="H790"/>
      <c r="I790"/>
      <c r="J790"/>
      <c r="K790"/>
    </row>
    <row r="791" spans="6:11" ht="14.25" customHeight="1" x14ac:dyDescent="0.25">
      <c r="F791"/>
      <c r="G791"/>
      <c r="H791"/>
      <c r="I791"/>
      <c r="J791"/>
      <c r="K791"/>
    </row>
    <row r="792" spans="6:11" ht="14.25" customHeight="1" x14ac:dyDescent="0.25">
      <c r="F792"/>
      <c r="G792"/>
      <c r="H792"/>
      <c r="I792"/>
      <c r="J792"/>
      <c r="K792"/>
    </row>
    <row r="793" spans="6:11" ht="14.25" customHeight="1" x14ac:dyDescent="0.25">
      <c r="F793"/>
      <c r="G793"/>
      <c r="H793"/>
      <c r="I793"/>
      <c r="J793"/>
      <c r="K793"/>
    </row>
    <row r="794" spans="6:11" ht="14.25" customHeight="1" x14ac:dyDescent="0.25">
      <c r="F794"/>
      <c r="G794"/>
      <c r="H794"/>
      <c r="I794"/>
      <c r="J794"/>
      <c r="K794"/>
    </row>
    <row r="795" spans="6:11" ht="14.25" customHeight="1" x14ac:dyDescent="0.25">
      <c r="F795"/>
      <c r="G795"/>
      <c r="H795"/>
      <c r="I795"/>
      <c r="J795"/>
      <c r="K795"/>
    </row>
    <row r="796" spans="6:11" ht="14.25" customHeight="1" x14ac:dyDescent="0.25">
      <c r="F796"/>
      <c r="G796"/>
      <c r="H796"/>
      <c r="I796"/>
      <c r="J796"/>
      <c r="K796"/>
    </row>
    <row r="797" spans="6:11" ht="14.25" customHeight="1" x14ac:dyDescent="0.25">
      <c r="F797"/>
      <c r="G797"/>
      <c r="H797"/>
      <c r="I797"/>
      <c r="J797"/>
      <c r="K797"/>
    </row>
    <row r="798" spans="6:11" ht="14.25" customHeight="1" x14ac:dyDescent="0.25">
      <c r="F798"/>
      <c r="G798"/>
      <c r="H798"/>
      <c r="I798"/>
      <c r="J798"/>
      <c r="K798"/>
    </row>
    <row r="799" spans="6:11" ht="14.25" customHeight="1" x14ac:dyDescent="0.25">
      <c r="F799"/>
      <c r="G799"/>
      <c r="H799"/>
      <c r="I799"/>
      <c r="J799"/>
      <c r="K799"/>
    </row>
    <row r="800" spans="6:11" ht="14.25" customHeight="1" x14ac:dyDescent="0.25">
      <c r="F800"/>
      <c r="G800"/>
      <c r="H800"/>
      <c r="I800"/>
      <c r="J800"/>
      <c r="K800"/>
    </row>
    <row r="801" spans="6:11" ht="14.25" customHeight="1" x14ac:dyDescent="0.25">
      <c r="F801"/>
      <c r="G801"/>
      <c r="H801"/>
      <c r="I801"/>
      <c r="J801"/>
      <c r="K801"/>
    </row>
    <row r="802" spans="6:11" ht="14.25" customHeight="1" x14ac:dyDescent="0.25">
      <c r="F802"/>
      <c r="G802"/>
      <c r="H802"/>
      <c r="I802"/>
      <c r="J802"/>
      <c r="K802"/>
    </row>
    <row r="803" spans="6:11" ht="14.25" customHeight="1" x14ac:dyDescent="0.25">
      <c r="F803"/>
      <c r="G803"/>
      <c r="H803"/>
      <c r="I803"/>
      <c r="J803"/>
      <c r="K803"/>
    </row>
    <row r="804" spans="6:11" ht="14.25" customHeight="1" x14ac:dyDescent="0.25">
      <c r="F804"/>
      <c r="G804"/>
      <c r="H804"/>
      <c r="I804"/>
      <c r="J804"/>
      <c r="K804"/>
    </row>
    <row r="805" spans="6:11" ht="14.25" customHeight="1" x14ac:dyDescent="0.25">
      <c r="F805"/>
      <c r="G805"/>
      <c r="H805"/>
      <c r="I805"/>
      <c r="J805"/>
      <c r="K805"/>
    </row>
    <row r="806" spans="6:11" ht="14.25" customHeight="1" x14ac:dyDescent="0.25">
      <c r="F806"/>
      <c r="G806"/>
      <c r="H806"/>
      <c r="I806"/>
      <c r="J806"/>
      <c r="K806"/>
    </row>
    <row r="807" spans="6:11" ht="14.25" customHeight="1" x14ac:dyDescent="0.25">
      <c r="F807"/>
      <c r="G807"/>
      <c r="H807"/>
      <c r="I807"/>
      <c r="J807"/>
      <c r="K807"/>
    </row>
    <row r="808" spans="6:11" ht="14.25" customHeight="1" x14ac:dyDescent="0.25">
      <c r="F808"/>
      <c r="G808"/>
      <c r="H808"/>
      <c r="I808"/>
      <c r="J808"/>
      <c r="K808"/>
    </row>
    <row r="809" spans="6:11" ht="14.25" customHeight="1" x14ac:dyDescent="0.25">
      <c r="F809"/>
      <c r="G809"/>
      <c r="H809"/>
      <c r="I809"/>
      <c r="J809"/>
      <c r="K809"/>
    </row>
    <row r="810" spans="6:11" ht="14.25" customHeight="1" x14ac:dyDescent="0.25">
      <c r="F810"/>
      <c r="G810"/>
      <c r="H810"/>
      <c r="I810"/>
      <c r="J810"/>
      <c r="K810"/>
    </row>
    <row r="811" spans="6:11" ht="14.25" customHeight="1" x14ac:dyDescent="0.25">
      <c r="F811"/>
      <c r="G811"/>
      <c r="H811"/>
      <c r="I811"/>
      <c r="J811"/>
      <c r="K811"/>
    </row>
    <row r="812" spans="6:11" ht="14.25" customHeight="1" x14ac:dyDescent="0.25">
      <c r="F812"/>
      <c r="G812"/>
      <c r="H812"/>
      <c r="I812"/>
      <c r="J812"/>
      <c r="K812"/>
    </row>
    <row r="813" spans="6:11" ht="14.25" customHeight="1" x14ac:dyDescent="0.25">
      <c r="F813"/>
      <c r="G813"/>
      <c r="H813"/>
      <c r="I813"/>
      <c r="J813"/>
      <c r="K813"/>
    </row>
    <row r="814" spans="6:11" ht="14.25" customHeight="1" x14ac:dyDescent="0.25">
      <c r="F814"/>
      <c r="G814"/>
      <c r="H814"/>
      <c r="I814"/>
      <c r="J814"/>
      <c r="K814"/>
    </row>
    <row r="815" spans="6:11" ht="14.25" customHeight="1" x14ac:dyDescent="0.25">
      <c r="F815"/>
      <c r="G815"/>
      <c r="H815"/>
      <c r="I815"/>
      <c r="J815"/>
      <c r="K815"/>
    </row>
    <row r="816" spans="6:11" ht="14.25" customHeight="1" x14ac:dyDescent="0.25">
      <c r="F816"/>
      <c r="G816"/>
      <c r="H816"/>
      <c r="I816"/>
      <c r="J816"/>
      <c r="K816"/>
    </row>
    <row r="817" spans="6:11" ht="14.25" customHeight="1" x14ac:dyDescent="0.25">
      <c r="F817"/>
      <c r="G817"/>
      <c r="H817"/>
      <c r="I817"/>
      <c r="J817"/>
      <c r="K817"/>
    </row>
    <row r="818" spans="6:11" ht="14.25" customHeight="1" x14ac:dyDescent="0.25">
      <c r="F818"/>
      <c r="G818"/>
      <c r="H818"/>
      <c r="I818"/>
      <c r="J818"/>
      <c r="K818"/>
    </row>
    <row r="819" spans="6:11" ht="14.25" customHeight="1" x14ac:dyDescent="0.25">
      <c r="F819"/>
      <c r="G819"/>
      <c r="H819"/>
      <c r="I819"/>
      <c r="J819"/>
      <c r="K819"/>
    </row>
    <row r="820" spans="6:11" ht="14.25" customHeight="1" x14ac:dyDescent="0.25">
      <c r="F820"/>
      <c r="G820"/>
      <c r="H820"/>
      <c r="I820"/>
      <c r="J820"/>
      <c r="K820"/>
    </row>
    <row r="821" spans="6:11" ht="14.25" customHeight="1" x14ac:dyDescent="0.25">
      <c r="F821"/>
      <c r="G821"/>
      <c r="H821"/>
      <c r="I821"/>
      <c r="J821"/>
      <c r="K821"/>
    </row>
    <row r="822" spans="6:11" ht="14.25" customHeight="1" x14ac:dyDescent="0.25">
      <c r="F822"/>
      <c r="G822"/>
      <c r="H822"/>
      <c r="I822"/>
      <c r="J822"/>
      <c r="K822"/>
    </row>
    <row r="823" spans="6:11" ht="14.25" customHeight="1" x14ac:dyDescent="0.25">
      <c r="F823"/>
      <c r="G823"/>
      <c r="H823"/>
      <c r="I823"/>
      <c r="J823"/>
      <c r="K823"/>
    </row>
    <row r="824" spans="6:11" ht="14.25" customHeight="1" x14ac:dyDescent="0.25">
      <c r="F824"/>
      <c r="G824"/>
      <c r="H824"/>
      <c r="I824"/>
      <c r="J824"/>
      <c r="K824"/>
    </row>
    <row r="825" spans="6:11" ht="14.25" customHeight="1" x14ac:dyDescent="0.25">
      <c r="F825"/>
      <c r="G825"/>
      <c r="H825"/>
      <c r="I825"/>
      <c r="J825"/>
      <c r="K825"/>
    </row>
    <row r="826" spans="6:11" ht="14.25" customHeight="1" x14ac:dyDescent="0.25">
      <c r="F826"/>
      <c r="G826"/>
      <c r="H826"/>
      <c r="I826"/>
      <c r="J826"/>
      <c r="K826"/>
    </row>
    <row r="827" spans="6:11" ht="14.25" customHeight="1" x14ac:dyDescent="0.25">
      <c r="F827"/>
      <c r="G827"/>
      <c r="H827"/>
      <c r="I827"/>
      <c r="J827"/>
      <c r="K827"/>
    </row>
    <row r="828" spans="6:11" ht="14.25" customHeight="1" x14ac:dyDescent="0.25">
      <c r="F828"/>
      <c r="G828"/>
      <c r="H828"/>
      <c r="I828"/>
      <c r="J828"/>
      <c r="K828"/>
    </row>
    <row r="829" spans="6:11" ht="14.25" customHeight="1" x14ac:dyDescent="0.25">
      <c r="F829"/>
      <c r="G829"/>
      <c r="H829"/>
      <c r="I829"/>
      <c r="J829"/>
      <c r="K829"/>
    </row>
    <row r="830" spans="6:11" ht="14.25" customHeight="1" x14ac:dyDescent="0.25">
      <c r="F830"/>
      <c r="G830"/>
      <c r="H830"/>
      <c r="I830"/>
      <c r="J830"/>
      <c r="K830"/>
    </row>
    <row r="831" spans="6:11" ht="14.25" customHeight="1" x14ac:dyDescent="0.25">
      <c r="F831"/>
      <c r="G831"/>
      <c r="H831"/>
      <c r="I831"/>
      <c r="J831"/>
      <c r="K831"/>
    </row>
    <row r="832" spans="6:11" ht="14.25" customHeight="1" x14ac:dyDescent="0.25">
      <c r="F832"/>
      <c r="G832"/>
      <c r="H832"/>
      <c r="I832"/>
      <c r="J832"/>
      <c r="K832"/>
    </row>
    <row r="833" spans="6:11" ht="14.25" customHeight="1" x14ac:dyDescent="0.25">
      <c r="F833"/>
      <c r="G833"/>
      <c r="H833"/>
      <c r="I833"/>
      <c r="J833"/>
      <c r="K833"/>
    </row>
    <row r="834" spans="6:11" ht="14.25" customHeight="1" x14ac:dyDescent="0.25">
      <c r="F834"/>
      <c r="G834"/>
      <c r="H834"/>
      <c r="I834"/>
      <c r="J834"/>
      <c r="K834"/>
    </row>
    <row r="835" spans="6:11" ht="14.25" customHeight="1" x14ac:dyDescent="0.25">
      <c r="F835"/>
      <c r="G835"/>
      <c r="H835"/>
      <c r="I835"/>
      <c r="J835"/>
      <c r="K835"/>
    </row>
    <row r="836" spans="6:11" ht="14.25" customHeight="1" x14ac:dyDescent="0.25">
      <c r="F836"/>
      <c r="G836"/>
      <c r="H836"/>
      <c r="I836"/>
      <c r="J836"/>
      <c r="K836"/>
    </row>
    <row r="837" spans="6:11" ht="14.25" customHeight="1" x14ac:dyDescent="0.25">
      <c r="F837"/>
      <c r="G837"/>
      <c r="H837"/>
      <c r="I837"/>
      <c r="J837"/>
      <c r="K837"/>
    </row>
    <row r="838" spans="6:11" ht="14.25" customHeight="1" x14ac:dyDescent="0.25">
      <c r="F838"/>
      <c r="G838"/>
      <c r="H838"/>
      <c r="I838"/>
      <c r="J838"/>
      <c r="K838"/>
    </row>
    <row r="839" spans="6:11" ht="14.25" customHeight="1" x14ac:dyDescent="0.25">
      <c r="F839"/>
      <c r="G839"/>
      <c r="H839"/>
      <c r="I839"/>
      <c r="J839"/>
      <c r="K839"/>
    </row>
    <row r="840" spans="6:11" ht="14.25" customHeight="1" x14ac:dyDescent="0.25">
      <c r="F840"/>
      <c r="G840"/>
      <c r="H840"/>
      <c r="I840"/>
      <c r="J840"/>
      <c r="K840"/>
    </row>
    <row r="841" spans="6:11" ht="14.25" customHeight="1" x14ac:dyDescent="0.25">
      <c r="F841"/>
      <c r="G841"/>
      <c r="H841"/>
      <c r="I841"/>
      <c r="J841"/>
      <c r="K841"/>
    </row>
    <row r="842" spans="6:11" ht="14.25" customHeight="1" x14ac:dyDescent="0.25">
      <c r="F842"/>
      <c r="G842"/>
      <c r="H842"/>
      <c r="I842"/>
      <c r="J842"/>
      <c r="K842"/>
    </row>
    <row r="843" spans="6:11" ht="14.25" customHeight="1" x14ac:dyDescent="0.25">
      <c r="F843"/>
      <c r="G843"/>
      <c r="H843"/>
      <c r="I843"/>
      <c r="J843"/>
      <c r="K843"/>
    </row>
    <row r="844" spans="6:11" ht="14.25" customHeight="1" x14ac:dyDescent="0.25">
      <c r="F844"/>
      <c r="G844"/>
      <c r="H844"/>
      <c r="I844"/>
      <c r="J844"/>
      <c r="K844"/>
    </row>
    <row r="845" spans="6:11" ht="14.25" customHeight="1" x14ac:dyDescent="0.25">
      <c r="F845"/>
      <c r="G845"/>
      <c r="H845"/>
      <c r="I845"/>
      <c r="J845"/>
      <c r="K845"/>
    </row>
    <row r="846" spans="6:11" ht="14.25" customHeight="1" x14ac:dyDescent="0.25">
      <c r="F846"/>
      <c r="G846"/>
      <c r="H846"/>
      <c r="I846"/>
      <c r="J846"/>
      <c r="K846"/>
    </row>
    <row r="847" spans="6:11" ht="14.25" customHeight="1" x14ac:dyDescent="0.25">
      <c r="F847"/>
      <c r="G847"/>
      <c r="H847"/>
      <c r="I847"/>
      <c r="J847"/>
      <c r="K847"/>
    </row>
    <row r="848" spans="6:11" ht="14.25" customHeight="1" x14ac:dyDescent="0.25">
      <c r="F848"/>
      <c r="G848"/>
      <c r="H848"/>
      <c r="I848"/>
      <c r="J848"/>
      <c r="K848"/>
    </row>
    <row r="849" spans="6:11" ht="14.25" customHeight="1" x14ac:dyDescent="0.25">
      <c r="F849"/>
      <c r="G849"/>
      <c r="H849"/>
      <c r="I849"/>
      <c r="J849"/>
      <c r="K849"/>
    </row>
    <row r="850" spans="6:11" ht="14.25" customHeight="1" x14ac:dyDescent="0.25">
      <c r="F850"/>
      <c r="G850"/>
      <c r="H850"/>
      <c r="I850"/>
      <c r="J850"/>
      <c r="K850"/>
    </row>
    <row r="851" spans="6:11" ht="14.25" customHeight="1" x14ac:dyDescent="0.25">
      <c r="F851"/>
      <c r="G851"/>
      <c r="H851"/>
      <c r="I851"/>
      <c r="J851"/>
      <c r="K851"/>
    </row>
    <row r="852" spans="6:11" ht="14.25" customHeight="1" x14ac:dyDescent="0.25">
      <c r="F852"/>
      <c r="G852"/>
      <c r="H852"/>
      <c r="I852"/>
      <c r="J852"/>
      <c r="K852"/>
    </row>
    <row r="853" spans="6:11" ht="14.25" customHeight="1" x14ac:dyDescent="0.25">
      <c r="F853"/>
      <c r="G853"/>
      <c r="H853"/>
      <c r="I853"/>
      <c r="J853"/>
      <c r="K853"/>
    </row>
    <row r="854" spans="6:11" ht="14.25" customHeight="1" x14ac:dyDescent="0.25">
      <c r="F854"/>
      <c r="G854"/>
      <c r="H854"/>
      <c r="I854"/>
      <c r="J854"/>
      <c r="K854"/>
    </row>
    <row r="855" spans="6:11" ht="14.25" customHeight="1" x14ac:dyDescent="0.25">
      <c r="F855"/>
      <c r="G855"/>
      <c r="H855"/>
      <c r="I855"/>
      <c r="J855"/>
      <c r="K855"/>
    </row>
    <row r="856" spans="6:11" ht="14.25" customHeight="1" x14ac:dyDescent="0.25">
      <c r="F856"/>
      <c r="G856"/>
      <c r="H856"/>
      <c r="I856"/>
      <c r="J856"/>
      <c r="K856"/>
    </row>
    <row r="857" spans="6:11" ht="14.25" customHeight="1" x14ac:dyDescent="0.25">
      <c r="F857"/>
      <c r="G857"/>
      <c r="H857"/>
      <c r="I857"/>
      <c r="J857"/>
      <c r="K857"/>
    </row>
    <row r="858" spans="6:11" ht="14.25" customHeight="1" x14ac:dyDescent="0.25">
      <c r="F858"/>
      <c r="G858"/>
      <c r="H858"/>
      <c r="I858"/>
      <c r="J858"/>
      <c r="K858"/>
    </row>
    <row r="859" spans="6:11" ht="14.25" customHeight="1" x14ac:dyDescent="0.25">
      <c r="F859"/>
      <c r="G859"/>
      <c r="H859"/>
      <c r="I859"/>
      <c r="J859"/>
      <c r="K859"/>
    </row>
    <row r="860" spans="6:11" ht="14.25" customHeight="1" x14ac:dyDescent="0.25">
      <c r="F860"/>
      <c r="G860"/>
      <c r="H860"/>
      <c r="I860"/>
      <c r="J860"/>
      <c r="K860"/>
    </row>
    <row r="861" spans="6:11" ht="14.25" customHeight="1" x14ac:dyDescent="0.25">
      <c r="F861"/>
      <c r="G861"/>
      <c r="H861"/>
      <c r="I861"/>
      <c r="J861"/>
      <c r="K861"/>
    </row>
    <row r="862" spans="6:11" ht="14.25" customHeight="1" x14ac:dyDescent="0.25">
      <c r="F862"/>
      <c r="G862"/>
      <c r="H862"/>
      <c r="I862"/>
      <c r="J862"/>
      <c r="K862"/>
    </row>
    <row r="863" spans="6:11" ht="14.25" customHeight="1" x14ac:dyDescent="0.25">
      <c r="F863"/>
      <c r="G863"/>
      <c r="H863"/>
      <c r="I863"/>
      <c r="J863"/>
      <c r="K863"/>
    </row>
    <row r="864" spans="6:11" ht="14.25" customHeight="1" x14ac:dyDescent="0.25">
      <c r="F864"/>
      <c r="G864"/>
      <c r="H864"/>
      <c r="I864"/>
      <c r="J864"/>
      <c r="K864"/>
    </row>
    <row r="865" spans="6:11" ht="14.25" customHeight="1" x14ac:dyDescent="0.25">
      <c r="F865"/>
      <c r="G865"/>
      <c r="H865"/>
      <c r="I865"/>
      <c r="J865"/>
      <c r="K865"/>
    </row>
    <row r="866" spans="6:11" ht="14.25" customHeight="1" x14ac:dyDescent="0.25">
      <c r="F866"/>
      <c r="G866"/>
      <c r="H866"/>
      <c r="I866"/>
      <c r="J866"/>
      <c r="K866"/>
    </row>
    <row r="867" spans="6:11" ht="14.25" customHeight="1" x14ac:dyDescent="0.25">
      <c r="F867"/>
      <c r="G867"/>
      <c r="H867"/>
      <c r="I867"/>
      <c r="J867"/>
      <c r="K867"/>
    </row>
    <row r="868" spans="6:11" ht="14.25" customHeight="1" x14ac:dyDescent="0.25">
      <c r="F868"/>
      <c r="G868"/>
      <c r="H868"/>
      <c r="I868"/>
      <c r="J868"/>
      <c r="K868"/>
    </row>
    <row r="869" spans="6:11" ht="14.25" customHeight="1" x14ac:dyDescent="0.25">
      <c r="F869"/>
      <c r="G869"/>
      <c r="H869"/>
      <c r="I869"/>
      <c r="J869"/>
      <c r="K869"/>
    </row>
    <row r="870" spans="6:11" ht="14.25" customHeight="1" x14ac:dyDescent="0.25">
      <c r="F870"/>
      <c r="G870"/>
      <c r="H870"/>
      <c r="I870"/>
      <c r="J870"/>
      <c r="K870"/>
    </row>
    <row r="871" spans="6:11" ht="14.25" customHeight="1" x14ac:dyDescent="0.25">
      <c r="F871"/>
      <c r="G871"/>
      <c r="H871"/>
      <c r="I871"/>
      <c r="J871"/>
      <c r="K871"/>
    </row>
    <row r="872" spans="6:11" ht="14.25" customHeight="1" x14ac:dyDescent="0.25">
      <c r="F872"/>
      <c r="G872"/>
      <c r="H872"/>
      <c r="I872"/>
      <c r="J872"/>
      <c r="K872"/>
    </row>
    <row r="873" spans="6:11" ht="14.25" customHeight="1" x14ac:dyDescent="0.25">
      <c r="F873"/>
      <c r="G873"/>
      <c r="H873"/>
      <c r="I873"/>
      <c r="J873"/>
      <c r="K873"/>
    </row>
    <row r="874" spans="6:11" ht="14.25" customHeight="1" x14ac:dyDescent="0.25">
      <c r="F874"/>
      <c r="G874"/>
      <c r="H874"/>
      <c r="I874"/>
      <c r="J874"/>
      <c r="K874"/>
    </row>
    <row r="875" spans="6:11" ht="14.25" customHeight="1" x14ac:dyDescent="0.25">
      <c r="F875"/>
      <c r="G875"/>
      <c r="H875"/>
      <c r="I875"/>
      <c r="J875"/>
      <c r="K875"/>
    </row>
    <row r="876" spans="6:11" ht="14.25" customHeight="1" x14ac:dyDescent="0.25">
      <c r="F876"/>
      <c r="G876"/>
      <c r="H876"/>
      <c r="I876"/>
      <c r="J876"/>
      <c r="K876"/>
    </row>
    <row r="877" spans="6:11" ht="14.25" customHeight="1" x14ac:dyDescent="0.25">
      <c r="F877"/>
      <c r="G877"/>
      <c r="H877"/>
      <c r="I877"/>
      <c r="J877"/>
      <c r="K877"/>
    </row>
    <row r="878" spans="6:11" ht="14.25" customHeight="1" x14ac:dyDescent="0.25">
      <c r="F878"/>
      <c r="G878"/>
      <c r="H878"/>
      <c r="I878"/>
      <c r="J878"/>
      <c r="K878"/>
    </row>
    <row r="879" spans="6:11" ht="14.25" customHeight="1" x14ac:dyDescent="0.25">
      <c r="F879"/>
      <c r="G879"/>
      <c r="H879"/>
      <c r="I879"/>
      <c r="J879"/>
      <c r="K879"/>
    </row>
    <row r="880" spans="6:11" ht="14.25" customHeight="1" x14ac:dyDescent="0.25">
      <c r="F880"/>
      <c r="G880"/>
      <c r="H880"/>
      <c r="I880"/>
      <c r="J880"/>
      <c r="K880"/>
    </row>
    <row r="881" spans="6:11" ht="14.25" customHeight="1" x14ac:dyDescent="0.25">
      <c r="F881"/>
      <c r="G881"/>
      <c r="H881"/>
      <c r="I881"/>
      <c r="J881"/>
      <c r="K881"/>
    </row>
    <row r="882" spans="6:11" ht="14.25" customHeight="1" x14ac:dyDescent="0.25">
      <c r="F882"/>
      <c r="G882"/>
      <c r="H882"/>
      <c r="I882"/>
      <c r="J882"/>
      <c r="K882"/>
    </row>
    <row r="883" spans="6:11" ht="14.25" customHeight="1" x14ac:dyDescent="0.25">
      <c r="F883"/>
      <c r="G883"/>
      <c r="H883"/>
      <c r="I883"/>
      <c r="J883"/>
      <c r="K883"/>
    </row>
    <row r="884" spans="6:11" ht="14.25" customHeight="1" x14ac:dyDescent="0.25">
      <c r="F884"/>
      <c r="G884"/>
      <c r="H884"/>
      <c r="I884"/>
      <c r="J884"/>
      <c r="K884"/>
    </row>
    <row r="885" spans="6:11" ht="14.25" customHeight="1" x14ac:dyDescent="0.25">
      <c r="F885"/>
      <c r="G885"/>
      <c r="H885"/>
      <c r="I885"/>
      <c r="J885"/>
      <c r="K885"/>
    </row>
    <row r="886" spans="6:11" ht="14.25" customHeight="1" x14ac:dyDescent="0.25">
      <c r="F886"/>
      <c r="G886"/>
      <c r="H886"/>
      <c r="I886"/>
      <c r="J886"/>
      <c r="K886"/>
    </row>
    <row r="887" spans="6:11" ht="14.25" customHeight="1" x14ac:dyDescent="0.25">
      <c r="F887"/>
      <c r="G887"/>
      <c r="H887"/>
      <c r="I887"/>
      <c r="J887"/>
      <c r="K887"/>
    </row>
    <row r="888" spans="6:11" ht="14.25" customHeight="1" x14ac:dyDescent="0.25">
      <c r="F888"/>
      <c r="G888"/>
      <c r="H888"/>
      <c r="I888"/>
      <c r="J888"/>
      <c r="K888"/>
    </row>
    <row r="889" spans="6:11" ht="14.25" customHeight="1" x14ac:dyDescent="0.25">
      <c r="F889"/>
      <c r="G889"/>
      <c r="H889"/>
      <c r="I889"/>
      <c r="J889"/>
      <c r="K889"/>
    </row>
    <row r="890" spans="6:11" ht="14.25" customHeight="1" x14ac:dyDescent="0.25">
      <c r="F890"/>
      <c r="G890"/>
      <c r="H890"/>
      <c r="I890"/>
      <c r="J890"/>
      <c r="K890"/>
    </row>
    <row r="891" spans="6:11" ht="14.25" customHeight="1" x14ac:dyDescent="0.25">
      <c r="F891"/>
      <c r="G891"/>
      <c r="H891"/>
      <c r="I891"/>
      <c r="J891"/>
      <c r="K891"/>
    </row>
    <row r="892" spans="6:11" ht="14.25" customHeight="1" x14ac:dyDescent="0.25">
      <c r="F892"/>
      <c r="G892"/>
      <c r="H892"/>
      <c r="I892"/>
      <c r="J892"/>
      <c r="K892"/>
    </row>
    <row r="893" spans="6:11" ht="14.25" customHeight="1" x14ac:dyDescent="0.25">
      <c r="F893"/>
      <c r="G893"/>
      <c r="H893"/>
      <c r="I893"/>
      <c r="J893"/>
      <c r="K893"/>
    </row>
    <row r="894" spans="6:11" ht="14.25" customHeight="1" x14ac:dyDescent="0.25">
      <c r="F894"/>
      <c r="G894"/>
      <c r="H894"/>
      <c r="I894"/>
      <c r="J894"/>
      <c r="K894"/>
    </row>
    <row r="895" spans="6:11" ht="14.25" customHeight="1" x14ac:dyDescent="0.25">
      <c r="F895"/>
      <c r="G895"/>
      <c r="H895"/>
      <c r="I895"/>
      <c r="J895"/>
      <c r="K895"/>
    </row>
    <row r="896" spans="6:11" ht="14.25" customHeight="1" x14ac:dyDescent="0.25">
      <c r="F896"/>
      <c r="G896"/>
      <c r="H896"/>
      <c r="I896"/>
      <c r="J896"/>
      <c r="K896"/>
    </row>
    <row r="897" spans="6:11" ht="14.25" customHeight="1" x14ac:dyDescent="0.25">
      <c r="F897"/>
      <c r="G897"/>
      <c r="H897"/>
      <c r="I897"/>
      <c r="J897"/>
      <c r="K897"/>
    </row>
    <row r="898" spans="6:11" ht="14.25" customHeight="1" x14ac:dyDescent="0.25">
      <c r="F898"/>
      <c r="G898"/>
      <c r="H898"/>
      <c r="I898"/>
      <c r="J898"/>
      <c r="K898"/>
    </row>
    <row r="899" spans="6:11" ht="14.25" customHeight="1" x14ac:dyDescent="0.25">
      <c r="F899"/>
      <c r="G899"/>
      <c r="H899"/>
      <c r="I899"/>
      <c r="J899"/>
      <c r="K899"/>
    </row>
    <row r="900" spans="6:11" ht="14.25" customHeight="1" x14ac:dyDescent="0.25">
      <c r="F900"/>
      <c r="G900"/>
      <c r="H900"/>
      <c r="I900"/>
      <c r="J900"/>
      <c r="K900"/>
    </row>
    <row r="901" spans="6:11" ht="14.25" customHeight="1" x14ac:dyDescent="0.25">
      <c r="F901"/>
      <c r="G901"/>
      <c r="H901"/>
      <c r="I901"/>
      <c r="J901"/>
      <c r="K901"/>
    </row>
    <row r="902" spans="6:11" ht="14.25" customHeight="1" x14ac:dyDescent="0.25">
      <c r="F902"/>
      <c r="G902"/>
      <c r="H902"/>
      <c r="I902"/>
      <c r="J902"/>
      <c r="K902"/>
    </row>
    <row r="903" spans="6:11" ht="14.25" customHeight="1" x14ac:dyDescent="0.25">
      <c r="F903"/>
      <c r="G903"/>
      <c r="H903"/>
      <c r="I903"/>
      <c r="J903"/>
      <c r="K903"/>
    </row>
    <row r="904" spans="6:11" ht="14.25" customHeight="1" x14ac:dyDescent="0.25">
      <c r="F904"/>
      <c r="G904"/>
      <c r="H904"/>
      <c r="I904"/>
      <c r="J904"/>
      <c r="K904"/>
    </row>
    <row r="905" spans="6:11" ht="14.25" customHeight="1" x14ac:dyDescent="0.25">
      <c r="F905"/>
      <c r="G905"/>
      <c r="H905"/>
      <c r="I905"/>
      <c r="J905"/>
      <c r="K905"/>
    </row>
    <row r="906" spans="6:11" ht="14.25" customHeight="1" x14ac:dyDescent="0.25">
      <c r="F906"/>
      <c r="G906"/>
      <c r="H906"/>
      <c r="I906"/>
      <c r="J906"/>
      <c r="K906"/>
    </row>
    <row r="907" spans="6:11" ht="14.25" customHeight="1" x14ac:dyDescent="0.25">
      <c r="F907"/>
      <c r="G907"/>
      <c r="H907"/>
      <c r="I907"/>
      <c r="J907"/>
      <c r="K907"/>
    </row>
    <row r="908" spans="6:11" ht="14.25" customHeight="1" x14ac:dyDescent="0.25">
      <c r="F908"/>
      <c r="G908"/>
      <c r="H908"/>
      <c r="I908"/>
      <c r="J908"/>
      <c r="K908"/>
    </row>
    <row r="909" spans="6:11" ht="14.25" customHeight="1" x14ac:dyDescent="0.25">
      <c r="F909"/>
      <c r="G909"/>
      <c r="H909"/>
      <c r="I909"/>
      <c r="J909"/>
      <c r="K909"/>
    </row>
    <row r="910" spans="6:11" ht="14.25" customHeight="1" x14ac:dyDescent="0.25">
      <c r="F910"/>
      <c r="G910"/>
      <c r="H910"/>
      <c r="I910"/>
      <c r="J910"/>
      <c r="K910"/>
    </row>
    <row r="911" spans="6:11" ht="14.25" customHeight="1" x14ac:dyDescent="0.25">
      <c r="F911"/>
      <c r="G911"/>
      <c r="H911"/>
      <c r="I911"/>
      <c r="J911"/>
      <c r="K911"/>
    </row>
    <row r="912" spans="6:11" ht="14.25" customHeight="1" x14ac:dyDescent="0.25">
      <c r="F912"/>
      <c r="G912"/>
      <c r="H912"/>
      <c r="I912"/>
      <c r="J912"/>
      <c r="K912"/>
    </row>
    <row r="913" spans="6:11" ht="14.25" customHeight="1" x14ac:dyDescent="0.25">
      <c r="F913"/>
      <c r="G913"/>
      <c r="H913"/>
      <c r="I913"/>
      <c r="J913"/>
      <c r="K913"/>
    </row>
    <row r="914" spans="6:11" ht="14.25" customHeight="1" x14ac:dyDescent="0.25">
      <c r="F914"/>
      <c r="G914"/>
      <c r="H914"/>
      <c r="I914"/>
      <c r="J914"/>
      <c r="K914"/>
    </row>
    <row r="915" spans="6:11" ht="14.25" customHeight="1" x14ac:dyDescent="0.25">
      <c r="F915"/>
      <c r="G915"/>
      <c r="H915"/>
      <c r="I915"/>
      <c r="J915"/>
      <c r="K915"/>
    </row>
    <row r="916" spans="6:11" ht="14.25" customHeight="1" x14ac:dyDescent="0.25">
      <c r="F916"/>
      <c r="G916"/>
      <c r="H916"/>
      <c r="I916"/>
      <c r="J916"/>
      <c r="K916"/>
    </row>
    <row r="917" spans="6:11" ht="14.25" customHeight="1" x14ac:dyDescent="0.25">
      <c r="F917"/>
      <c r="G917"/>
      <c r="H917"/>
      <c r="I917"/>
      <c r="J917"/>
      <c r="K917"/>
    </row>
    <row r="918" spans="6:11" ht="14.25" customHeight="1" x14ac:dyDescent="0.25">
      <c r="F918"/>
      <c r="G918"/>
      <c r="H918"/>
      <c r="I918"/>
      <c r="J918"/>
      <c r="K918"/>
    </row>
    <row r="919" spans="6:11" ht="14.25" customHeight="1" x14ac:dyDescent="0.25">
      <c r="F919"/>
      <c r="G919"/>
      <c r="H919"/>
      <c r="I919"/>
      <c r="J919"/>
      <c r="K919"/>
    </row>
    <row r="920" spans="6:11" ht="14.25" customHeight="1" x14ac:dyDescent="0.25">
      <c r="F920"/>
      <c r="G920"/>
      <c r="H920"/>
      <c r="I920"/>
      <c r="J920"/>
      <c r="K920"/>
    </row>
    <row r="921" spans="6:11" ht="14.25" customHeight="1" x14ac:dyDescent="0.25">
      <c r="F921"/>
      <c r="G921"/>
      <c r="H921"/>
      <c r="I921"/>
      <c r="J921"/>
      <c r="K921"/>
    </row>
    <row r="922" spans="6:11" ht="14.25" customHeight="1" x14ac:dyDescent="0.25">
      <c r="F922"/>
      <c r="G922"/>
      <c r="H922"/>
      <c r="I922"/>
      <c r="J922"/>
      <c r="K922"/>
    </row>
    <row r="923" spans="6:11" ht="14.25" customHeight="1" x14ac:dyDescent="0.25">
      <c r="F923"/>
      <c r="G923"/>
      <c r="H923"/>
      <c r="I923"/>
      <c r="J923"/>
      <c r="K923"/>
    </row>
    <row r="924" spans="6:11" ht="14.25" customHeight="1" x14ac:dyDescent="0.25">
      <c r="F924"/>
      <c r="G924"/>
      <c r="H924"/>
      <c r="I924"/>
      <c r="J924"/>
      <c r="K924"/>
    </row>
    <row r="925" spans="6:11" ht="14.25" customHeight="1" x14ac:dyDescent="0.25">
      <c r="F925"/>
      <c r="G925"/>
      <c r="H925"/>
      <c r="I925"/>
      <c r="J925"/>
      <c r="K925"/>
    </row>
    <row r="926" spans="6:11" ht="14.25" customHeight="1" x14ac:dyDescent="0.25">
      <c r="F926"/>
      <c r="G926"/>
      <c r="H926"/>
      <c r="I926"/>
      <c r="J926"/>
      <c r="K926"/>
    </row>
    <row r="927" spans="6:11" ht="14.25" customHeight="1" x14ac:dyDescent="0.25">
      <c r="F927"/>
      <c r="G927"/>
      <c r="H927"/>
      <c r="I927"/>
      <c r="J927"/>
      <c r="K927"/>
    </row>
    <row r="928" spans="6:11" ht="14.25" customHeight="1" x14ac:dyDescent="0.25">
      <c r="F928"/>
      <c r="G928"/>
      <c r="H928"/>
      <c r="I928"/>
      <c r="J928"/>
      <c r="K928"/>
    </row>
    <row r="929" spans="6:11" ht="14.25" customHeight="1" x14ac:dyDescent="0.25">
      <c r="F929"/>
      <c r="G929"/>
      <c r="H929"/>
      <c r="I929"/>
      <c r="J929"/>
      <c r="K929"/>
    </row>
    <row r="930" spans="6:11" ht="14.25" customHeight="1" x14ac:dyDescent="0.25">
      <c r="F930"/>
      <c r="G930"/>
      <c r="H930"/>
      <c r="I930"/>
      <c r="J930"/>
      <c r="K930"/>
    </row>
    <row r="931" spans="6:11" ht="14.25" customHeight="1" x14ac:dyDescent="0.25">
      <c r="F931"/>
      <c r="G931"/>
      <c r="H931"/>
      <c r="I931"/>
      <c r="J931"/>
      <c r="K931"/>
    </row>
    <row r="932" spans="6:11" ht="14.25" customHeight="1" x14ac:dyDescent="0.25">
      <c r="F932"/>
      <c r="G932"/>
      <c r="H932"/>
      <c r="I932"/>
      <c r="J932"/>
      <c r="K932"/>
    </row>
    <row r="933" spans="6:11" ht="14.25" customHeight="1" x14ac:dyDescent="0.25">
      <c r="F933"/>
      <c r="G933"/>
      <c r="H933"/>
      <c r="I933"/>
      <c r="J933"/>
      <c r="K933"/>
    </row>
    <row r="934" spans="6:11" ht="14.25" customHeight="1" x14ac:dyDescent="0.25">
      <c r="F934"/>
      <c r="G934"/>
      <c r="H934"/>
      <c r="I934"/>
      <c r="J934"/>
      <c r="K934"/>
    </row>
    <row r="935" spans="6:11" ht="14.25" customHeight="1" x14ac:dyDescent="0.25">
      <c r="F935"/>
      <c r="G935"/>
      <c r="H935"/>
      <c r="I935"/>
      <c r="J935"/>
      <c r="K935"/>
    </row>
    <row r="936" spans="6:11" ht="14.25" customHeight="1" x14ac:dyDescent="0.25">
      <c r="F936"/>
      <c r="G936"/>
      <c r="H936"/>
      <c r="I936"/>
      <c r="J936"/>
      <c r="K936"/>
    </row>
    <row r="937" spans="6:11" ht="14.25" customHeight="1" x14ac:dyDescent="0.25">
      <c r="F937"/>
      <c r="G937"/>
      <c r="H937"/>
      <c r="I937"/>
      <c r="J937"/>
      <c r="K937"/>
    </row>
    <row r="938" spans="6:11" ht="14.25" customHeight="1" x14ac:dyDescent="0.25">
      <c r="F938"/>
      <c r="G938"/>
      <c r="H938"/>
      <c r="I938"/>
      <c r="J938"/>
      <c r="K938"/>
    </row>
    <row r="939" spans="6:11" ht="14.25" customHeight="1" x14ac:dyDescent="0.25">
      <c r="F939"/>
      <c r="G939"/>
      <c r="H939"/>
      <c r="I939"/>
      <c r="J939"/>
      <c r="K939"/>
    </row>
    <row r="940" spans="6:11" ht="14.25" customHeight="1" x14ac:dyDescent="0.25">
      <c r="F940"/>
      <c r="G940"/>
      <c r="H940"/>
      <c r="I940"/>
      <c r="J940"/>
      <c r="K940"/>
    </row>
    <row r="941" spans="6:11" ht="14.25" customHeight="1" x14ac:dyDescent="0.25">
      <c r="F941"/>
      <c r="G941"/>
      <c r="H941"/>
      <c r="I941"/>
      <c r="J941"/>
      <c r="K941"/>
    </row>
    <row r="942" spans="6:11" ht="14.25" customHeight="1" x14ac:dyDescent="0.25">
      <c r="F942"/>
      <c r="G942"/>
      <c r="H942"/>
      <c r="I942"/>
      <c r="J942"/>
      <c r="K942"/>
    </row>
    <row r="943" spans="6:11" ht="14.25" customHeight="1" x14ac:dyDescent="0.25">
      <c r="F943"/>
      <c r="G943"/>
      <c r="H943"/>
      <c r="I943"/>
      <c r="J943"/>
      <c r="K943"/>
    </row>
    <row r="944" spans="6:11" ht="14.25" customHeight="1" x14ac:dyDescent="0.25">
      <c r="F944"/>
      <c r="G944"/>
      <c r="H944"/>
      <c r="I944"/>
      <c r="J944"/>
      <c r="K944"/>
    </row>
    <row r="945" spans="6:11" ht="14.25" customHeight="1" x14ac:dyDescent="0.25">
      <c r="F945"/>
      <c r="G945"/>
      <c r="H945"/>
      <c r="I945"/>
      <c r="J945"/>
      <c r="K945"/>
    </row>
    <row r="946" spans="6:11" ht="14.25" customHeight="1" x14ac:dyDescent="0.25">
      <c r="F946"/>
      <c r="G946"/>
      <c r="H946"/>
      <c r="I946"/>
      <c r="J946"/>
      <c r="K946"/>
    </row>
    <row r="947" spans="6:11" ht="14.25" customHeight="1" x14ac:dyDescent="0.25">
      <c r="F947"/>
      <c r="G947"/>
      <c r="H947"/>
      <c r="I947"/>
      <c r="J947"/>
      <c r="K947"/>
    </row>
    <row r="948" spans="6:11" ht="14.25" customHeight="1" x14ac:dyDescent="0.25">
      <c r="F948"/>
      <c r="G948"/>
      <c r="H948"/>
      <c r="I948"/>
      <c r="J948"/>
      <c r="K948"/>
    </row>
    <row r="949" spans="6:11" ht="14.25" customHeight="1" x14ac:dyDescent="0.25">
      <c r="F949"/>
      <c r="G949"/>
      <c r="H949"/>
      <c r="I949"/>
      <c r="J949"/>
      <c r="K949"/>
    </row>
    <row r="950" spans="6:11" ht="14.25" customHeight="1" x14ac:dyDescent="0.25">
      <c r="F950"/>
      <c r="G950"/>
      <c r="H950"/>
      <c r="I950"/>
      <c r="J950"/>
      <c r="K950"/>
    </row>
    <row r="951" spans="6:11" ht="14.25" customHeight="1" x14ac:dyDescent="0.25">
      <c r="F951"/>
      <c r="G951"/>
      <c r="H951"/>
      <c r="I951"/>
      <c r="J951"/>
      <c r="K951"/>
    </row>
    <row r="952" spans="6:11" ht="14.25" customHeight="1" x14ac:dyDescent="0.25">
      <c r="F952"/>
      <c r="G952"/>
      <c r="H952"/>
      <c r="I952"/>
      <c r="J952"/>
      <c r="K952"/>
    </row>
    <row r="953" spans="6:11" ht="14.25" customHeight="1" x14ac:dyDescent="0.25">
      <c r="F953"/>
      <c r="G953"/>
      <c r="H953"/>
      <c r="I953"/>
      <c r="J953"/>
      <c r="K953"/>
    </row>
    <row r="954" spans="6:11" ht="14.25" customHeight="1" x14ac:dyDescent="0.25">
      <c r="F954"/>
      <c r="G954"/>
      <c r="H954"/>
      <c r="I954"/>
      <c r="J954"/>
      <c r="K954"/>
    </row>
    <row r="955" spans="6:11" ht="14.25" customHeight="1" x14ac:dyDescent="0.25">
      <c r="F955"/>
      <c r="G955"/>
      <c r="H955"/>
      <c r="I955"/>
      <c r="J955"/>
      <c r="K955"/>
    </row>
    <row r="956" spans="6:11" ht="14.25" customHeight="1" x14ac:dyDescent="0.25">
      <c r="F956"/>
      <c r="G956"/>
      <c r="H956"/>
      <c r="I956"/>
      <c r="J956"/>
      <c r="K956"/>
    </row>
    <row r="957" spans="6:11" ht="14.25" customHeight="1" x14ac:dyDescent="0.25">
      <c r="F957"/>
      <c r="G957"/>
      <c r="H957"/>
      <c r="I957"/>
      <c r="J957"/>
      <c r="K957"/>
    </row>
    <row r="958" spans="6:11" ht="14.25" customHeight="1" x14ac:dyDescent="0.25">
      <c r="F958"/>
      <c r="G958"/>
      <c r="H958"/>
      <c r="I958"/>
      <c r="J958"/>
      <c r="K958"/>
    </row>
    <row r="959" spans="6:11" ht="14.25" customHeight="1" x14ac:dyDescent="0.25">
      <c r="F959"/>
      <c r="G959"/>
      <c r="H959"/>
      <c r="I959"/>
      <c r="J959"/>
      <c r="K959"/>
    </row>
    <row r="960" spans="6:11" ht="14.25" customHeight="1" x14ac:dyDescent="0.25">
      <c r="F960"/>
      <c r="G960"/>
      <c r="H960"/>
      <c r="I960"/>
      <c r="J960"/>
      <c r="K960"/>
    </row>
    <row r="961" spans="6:11" ht="14.25" customHeight="1" x14ac:dyDescent="0.25">
      <c r="F961"/>
      <c r="G961"/>
      <c r="H961"/>
      <c r="I961"/>
      <c r="J961"/>
      <c r="K961"/>
    </row>
    <row r="962" spans="6:11" ht="14.25" customHeight="1" x14ac:dyDescent="0.25">
      <c r="F962"/>
      <c r="G962"/>
      <c r="H962"/>
      <c r="I962"/>
      <c r="J962"/>
      <c r="K962"/>
    </row>
    <row r="963" spans="6:11" ht="14.25" customHeight="1" x14ac:dyDescent="0.25">
      <c r="F963"/>
      <c r="G963"/>
      <c r="H963"/>
      <c r="I963"/>
      <c r="J963"/>
      <c r="K963"/>
    </row>
    <row r="964" spans="6:11" ht="14.25" customHeight="1" x14ac:dyDescent="0.25">
      <c r="F964"/>
      <c r="G964"/>
      <c r="H964"/>
      <c r="I964"/>
      <c r="J964"/>
      <c r="K964"/>
    </row>
    <row r="965" spans="6:11" ht="14.25" customHeight="1" x14ac:dyDescent="0.25">
      <c r="F965"/>
      <c r="G965"/>
      <c r="H965"/>
      <c r="I965"/>
      <c r="J965"/>
      <c r="K965"/>
    </row>
    <row r="966" spans="6:11" ht="14.25" customHeight="1" x14ac:dyDescent="0.25">
      <c r="F966"/>
      <c r="G966"/>
      <c r="H966"/>
      <c r="I966"/>
      <c r="J966"/>
      <c r="K966"/>
    </row>
    <row r="967" spans="6:11" ht="14.25" customHeight="1" x14ac:dyDescent="0.25">
      <c r="F967"/>
      <c r="G967"/>
      <c r="H967"/>
      <c r="I967"/>
      <c r="J967"/>
      <c r="K967"/>
    </row>
    <row r="968" spans="6:11" ht="14.25" customHeight="1" x14ac:dyDescent="0.25">
      <c r="F968"/>
      <c r="G968"/>
      <c r="H968"/>
      <c r="I968"/>
      <c r="J968"/>
      <c r="K968"/>
    </row>
    <row r="969" spans="6:11" ht="14.25" customHeight="1" x14ac:dyDescent="0.25">
      <c r="F969"/>
      <c r="G969"/>
      <c r="H969"/>
      <c r="I969"/>
      <c r="J969"/>
      <c r="K969"/>
    </row>
    <row r="970" spans="6:11" ht="14.25" customHeight="1" x14ac:dyDescent="0.25">
      <c r="F970"/>
      <c r="G970"/>
      <c r="H970"/>
      <c r="I970"/>
      <c r="J970"/>
      <c r="K970"/>
    </row>
    <row r="971" spans="6:11" ht="14.25" customHeight="1" x14ac:dyDescent="0.25">
      <c r="F971"/>
      <c r="G971"/>
      <c r="H971"/>
      <c r="I971"/>
      <c r="J971"/>
      <c r="K971"/>
    </row>
    <row r="972" spans="6:11" ht="14.25" customHeight="1" x14ac:dyDescent="0.25">
      <c r="F972"/>
      <c r="G972"/>
      <c r="H972"/>
      <c r="I972"/>
      <c r="J972"/>
      <c r="K972"/>
    </row>
    <row r="973" spans="6:11" ht="14.25" customHeight="1" x14ac:dyDescent="0.25">
      <c r="F973"/>
      <c r="G973"/>
      <c r="H973"/>
      <c r="I973"/>
      <c r="J973"/>
      <c r="K973"/>
    </row>
    <row r="974" spans="6:11" ht="14.25" customHeight="1" x14ac:dyDescent="0.25">
      <c r="F974"/>
      <c r="G974"/>
      <c r="H974"/>
      <c r="I974"/>
      <c r="J974"/>
      <c r="K974"/>
    </row>
    <row r="975" spans="6:11" ht="14.25" customHeight="1" x14ac:dyDescent="0.25">
      <c r="F975"/>
      <c r="G975"/>
      <c r="H975"/>
      <c r="I975"/>
      <c r="J975"/>
      <c r="K975"/>
    </row>
    <row r="976" spans="6:11" ht="14.25" customHeight="1" x14ac:dyDescent="0.25">
      <c r="F976"/>
      <c r="G976"/>
      <c r="H976"/>
      <c r="I976"/>
      <c r="J976"/>
      <c r="K976"/>
    </row>
    <row r="977" spans="6:11" ht="14.25" customHeight="1" x14ac:dyDescent="0.25">
      <c r="F977"/>
      <c r="G977"/>
      <c r="H977"/>
      <c r="I977"/>
      <c r="J977"/>
      <c r="K977"/>
    </row>
    <row r="978" spans="6:11" ht="14.25" customHeight="1" x14ac:dyDescent="0.25">
      <c r="F978"/>
      <c r="G978"/>
      <c r="H978"/>
      <c r="I978"/>
      <c r="J978"/>
      <c r="K978"/>
    </row>
    <row r="979" spans="6:11" ht="14.25" customHeight="1" x14ac:dyDescent="0.25">
      <c r="F979"/>
      <c r="G979"/>
      <c r="H979"/>
      <c r="I979"/>
      <c r="J979"/>
      <c r="K979"/>
    </row>
    <row r="980" spans="6:11" ht="14.25" customHeight="1" x14ac:dyDescent="0.25">
      <c r="F980"/>
      <c r="G980"/>
      <c r="H980"/>
      <c r="I980"/>
      <c r="J980"/>
      <c r="K980"/>
    </row>
    <row r="981" spans="6:11" ht="14.25" customHeight="1" x14ac:dyDescent="0.25">
      <c r="F981"/>
      <c r="G981"/>
      <c r="H981"/>
      <c r="I981"/>
      <c r="J981"/>
      <c r="K981"/>
    </row>
    <row r="982" spans="6:11" ht="14.25" customHeight="1" x14ac:dyDescent="0.25">
      <c r="F982"/>
      <c r="G982"/>
      <c r="H982"/>
      <c r="I982"/>
      <c r="J982"/>
      <c r="K982"/>
    </row>
    <row r="983" spans="6:11" ht="14.25" customHeight="1" x14ac:dyDescent="0.25">
      <c r="F983"/>
      <c r="G983"/>
      <c r="H983"/>
      <c r="I983"/>
      <c r="J983"/>
      <c r="K983"/>
    </row>
    <row r="984" spans="6:11" ht="14.25" customHeight="1" x14ac:dyDescent="0.25">
      <c r="F984"/>
      <c r="G984"/>
      <c r="H984"/>
      <c r="I984"/>
      <c r="J984"/>
      <c r="K984"/>
    </row>
    <row r="985" spans="6:11" ht="14.25" customHeight="1" x14ac:dyDescent="0.25">
      <c r="F985"/>
      <c r="G985"/>
      <c r="H985"/>
      <c r="I985"/>
      <c r="J985"/>
      <c r="K985"/>
    </row>
    <row r="986" spans="6:11" ht="14.25" customHeight="1" x14ac:dyDescent="0.25">
      <c r="F986"/>
      <c r="G986"/>
      <c r="H986"/>
      <c r="I986"/>
      <c r="J986"/>
      <c r="K986"/>
    </row>
    <row r="987" spans="6:11" ht="14.25" customHeight="1" x14ac:dyDescent="0.25">
      <c r="F987"/>
      <c r="G987"/>
      <c r="H987"/>
      <c r="I987"/>
      <c r="J987"/>
      <c r="K987"/>
    </row>
    <row r="988" spans="6:11" ht="14.25" customHeight="1" x14ac:dyDescent="0.25">
      <c r="F988"/>
      <c r="G988"/>
      <c r="H988"/>
      <c r="I988"/>
      <c r="J988"/>
      <c r="K988"/>
    </row>
    <row r="989" spans="6:11" ht="14.25" customHeight="1" x14ac:dyDescent="0.25">
      <c r="F989"/>
      <c r="G989"/>
      <c r="H989"/>
      <c r="I989"/>
      <c r="J989"/>
      <c r="K989"/>
    </row>
    <row r="990" spans="6:11" ht="14.25" customHeight="1" x14ac:dyDescent="0.25">
      <c r="F990"/>
      <c r="G990"/>
      <c r="H990"/>
      <c r="I990"/>
      <c r="J990"/>
      <c r="K990"/>
    </row>
    <row r="991" spans="6:11" ht="14.25" customHeight="1" x14ac:dyDescent="0.25">
      <c r="F991"/>
      <c r="G991"/>
      <c r="H991"/>
      <c r="I991"/>
      <c r="J991"/>
      <c r="K991"/>
    </row>
    <row r="992" spans="6:11" ht="14.25" customHeight="1" x14ac:dyDescent="0.25">
      <c r="F992"/>
      <c r="G992"/>
      <c r="H992"/>
      <c r="I992"/>
      <c r="J992"/>
      <c r="K992"/>
    </row>
    <row r="993" spans="6:11" ht="14.25" customHeight="1" x14ac:dyDescent="0.25">
      <c r="F993"/>
      <c r="G993"/>
      <c r="H993"/>
      <c r="I993"/>
      <c r="J993"/>
      <c r="K993"/>
    </row>
    <row r="994" spans="6:11" ht="14.25" customHeight="1" x14ac:dyDescent="0.25">
      <c r="F994"/>
      <c r="G994"/>
      <c r="H994"/>
      <c r="I994"/>
      <c r="J994"/>
      <c r="K994"/>
    </row>
    <row r="995" spans="6:11" ht="14.25" customHeight="1" x14ac:dyDescent="0.25">
      <c r="F995"/>
      <c r="G995"/>
      <c r="H995"/>
      <c r="I995"/>
      <c r="J995"/>
      <c r="K995"/>
    </row>
    <row r="996" spans="6:11" ht="14.25" customHeight="1" x14ac:dyDescent="0.25">
      <c r="F996"/>
      <c r="G996"/>
      <c r="H996"/>
      <c r="I996"/>
      <c r="J996"/>
      <c r="K996"/>
    </row>
    <row r="997" spans="6:11" ht="14.25" customHeight="1" x14ac:dyDescent="0.25">
      <c r="F997"/>
      <c r="G997"/>
      <c r="H997"/>
      <c r="I997"/>
      <c r="J997"/>
      <c r="K997"/>
    </row>
    <row r="998" spans="6:11" ht="14.25" customHeight="1" x14ac:dyDescent="0.25">
      <c r="F998"/>
      <c r="G998"/>
      <c r="H998"/>
      <c r="I998"/>
      <c r="J998"/>
      <c r="K998"/>
    </row>
    <row r="999" spans="6:11" ht="14.25" customHeight="1" x14ac:dyDescent="0.25">
      <c r="F999"/>
      <c r="G999"/>
      <c r="H999"/>
      <c r="I999"/>
      <c r="J999"/>
      <c r="K999"/>
    </row>
    <row r="1000" spans="6:11" ht="14.25" customHeight="1" x14ac:dyDescent="0.25">
      <c r="F1000"/>
      <c r="G1000"/>
      <c r="H1000"/>
      <c r="I1000"/>
      <c r="J1000"/>
      <c r="K1000"/>
    </row>
  </sheetData>
  <hyperlinks>
    <hyperlink ref="K1" r:id="rId1" xr:uid="{68085E72-B424-4B49-A53C-D615D6DA72FF}"/>
    <hyperlink ref="I4" r:id="rId2" display="https://solscan.io/tx/22Uob5WfmtzYJVgs4t96WijkqomQUFRAz7vy7gA2B7TMAn3B3HN1YmxdN7UAjc1dZ9c2mUQYZqGd3AK27ykJRVVM?cluster=devnet" xr:uid="{3AC487FA-6956-4CF7-B813-1E2D6657A742}"/>
    <hyperlink ref="J4" r:id="rId3" display="https://solscan.io/token/3WLZbv4znAyVj2pNHTxQzbCXPwLhDSzkqo4q2mmGR7ux?cluster=devnet" xr:uid="{AA587092-3E76-4DCA-8112-B531E4A8F217}"/>
    <hyperlink ref="I5" r:id="rId4" display="https://solscan.io/tx/eonQb7Mten4VxwqLugyDVngVj5UKSm8vbWmkquJbBoipMcv7xvMLvCW7R5G9aBNTS1UG9yFzmijvzrkfRPoZgJN?cluster=devnet" xr:uid="{8CEC93B1-C279-483F-8479-58FD209C5E13}"/>
    <hyperlink ref="J5" r:id="rId5" display="https://solscan.io/token/63bLPYYiEmxdPbHWu9fbkTb9sKULA5MUSGEYuozPWdXm?cluster=devnet" xr:uid="{19C2B526-E3D0-4D43-8DED-FED26D965187}"/>
    <hyperlink ref="I6" r:id="rId6" display="https://solscan.io/tx/4ESt2JGg31CYHSxshRXRWE3h71xjFxp3DHhjBVsMzhmo38SCvw5pznZk2jTgrudaCrZ1nYMvK3i3q23V3Mx6LoT4?cluster=devnet" xr:uid="{70DB8BC9-7746-4924-9D2E-F41734B4F97C}"/>
    <hyperlink ref="J6" r:id="rId7" display="https://solscan.io/token/CKdUEBDwj3gUF6ejYGKgcmxrm2ERHNc9mPqpgFkuwr7Z?cluster=devnet" xr:uid="{C2AF169D-2AEA-4F93-9053-E92A07151730}"/>
    <hyperlink ref="I7" r:id="rId8" display="https://solscan.io/tx/5ViZYjsHFnEbFNFStXHWSpbMXcEZVq5LV4fiWCayXWsK6dxUsDcZ1sRZoAarC3rE2krS6aXkg3Yfr5gG34H2yNGY?cluster=devnet" xr:uid="{32F2E854-AF47-446D-9950-CE93E8FCACF2}"/>
    <hyperlink ref="J7" r:id="rId9" display="https://solscan.io/token/Cv9SiHeVb2kdJJXcBteg4YBjgR6WABz4UWaseHoEe4hC?cluster=devnet" xr:uid="{D958A6EA-3E04-4A1B-9912-2BD8D0A25E26}"/>
  </hyperlinks>
  <pageMargins left="0.7" right="0.7" top="0.75" bottom="0.75" header="0.3" footer="0.3"/>
  <pageSetup paperSize="9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3" name="Button 1">
              <controlPr defaultSize="0" print="0" autoFill="0" autoPict="0" macro="[0]!Minage">
                <anchor moveWithCells="1" sizeWithCells="1">
                  <from>
                    <xdr:col>1</xdr:col>
                    <xdr:colOff>666750</xdr:colOff>
                    <xdr:row>0</xdr:row>
                    <xdr:rowOff>504825</xdr:rowOff>
                  </from>
                  <to>
                    <xdr:col>4</xdr:col>
                    <xdr:colOff>276225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4" name="Button 2">
              <controlPr defaultSize="0" print="0" autoFill="0" autoPict="0" macro="[0]!Upload">
                <anchor moveWithCells="1" sizeWithCells="1">
                  <from>
                    <xdr:col>0</xdr:col>
                    <xdr:colOff>771525</xdr:colOff>
                    <xdr:row>11</xdr:row>
                    <xdr:rowOff>57150</xdr:rowOff>
                  </from>
                  <to>
                    <xdr:col>1</xdr:col>
                    <xdr:colOff>942975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5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333375</xdr:colOff>
                    <xdr:row>0</xdr:row>
                    <xdr:rowOff>495300</xdr:rowOff>
                  </from>
                  <to>
                    <xdr:col>5</xdr:col>
                    <xdr:colOff>104775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27" t="s">
        <v>139</v>
      </c>
      <c r="F3" s="27" t="s">
        <v>137</v>
      </c>
      <c r="G3" s="27" t="s">
        <v>138</v>
      </c>
      <c r="H3" s="27" t="s">
        <v>140</v>
      </c>
      <c r="I3" s="27" t="s">
        <v>141</v>
      </c>
      <c r="J3" s="27"/>
      <c r="K3" s="27"/>
      <c r="L3" s="27"/>
      <c r="M3" s="27"/>
      <c r="N3" s="27"/>
      <c r="O3" s="27"/>
      <c r="P3" s="27"/>
      <c r="Q3" s="27"/>
      <c r="R3" s="27"/>
    </row>
    <row r="4" spans="1:18" x14ac:dyDescent="0.25">
      <c r="A4" s="3" t="s">
        <v>32</v>
      </c>
      <c r="B4" t="s">
        <v>34</v>
      </c>
      <c r="E4" t="s">
        <v>128</v>
      </c>
      <c r="F4" t="s">
        <v>132</v>
      </c>
      <c r="G4" t="s">
        <v>136</v>
      </c>
      <c r="H4">
        <v>1</v>
      </c>
      <c r="I4">
        <v>0</v>
      </c>
    </row>
    <row r="5" spans="1:18" x14ac:dyDescent="0.25">
      <c r="E5" t="s">
        <v>129</v>
      </c>
      <c r="F5" t="s">
        <v>133</v>
      </c>
      <c r="G5" t="s">
        <v>136</v>
      </c>
      <c r="H5">
        <v>1</v>
      </c>
      <c r="I5">
        <v>0</v>
      </c>
    </row>
    <row r="6" spans="1:18" x14ac:dyDescent="0.25">
      <c r="E6" t="s">
        <v>130</v>
      </c>
      <c r="F6" t="s">
        <v>134</v>
      </c>
      <c r="G6" t="s">
        <v>136</v>
      </c>
      <c r="H6">
        <v>1</v>
      </c>
      <c r="I6">
        <v>0</v>
      </c>
    </row>
    <row r="7" spans="1:18" x14ac:dyDescent="0.25">
      <c r="E7" t="s">
        <v>131</v>
      </c>
      <c r="F7" t="s">
        <v>135</v>
      </c>
      <c r="G7" t="s">
        <v>136</v>
      </c>
      <c r="H7">
        <v>1</v>
      </c>
      <c r="I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L7"/>
  <sheetViews>
    <sheetView workbookViewId="0">
      <selection activeCell="B5" sqref="B5"/>
    </sheetView>
  </sheetViews>
  <sheetFormatPr baseColWidth="10" defaultRowHeight="15" x14ac:dyDescent="0.25"/>
  <cols>
    <col min="1" max="1" width="21.5703125" customWidth="1"/>
    <col min="2" max="2" width="35.28515625" customWidth="1"/>
    <col min="7" max="7" width="24.7109375" customWidth="1"/>
    <col min="8" max="8" width="34.42578125" customWidth="1"/>
    <col min="9" max="9" width="22.5703125" customWidth="1"/>
  </cols>
  <sheetData>
    <row r="1" spans="1:12" x14ac:dyDescent="0.25">
      <c r="A1" s="3" t="s">
        <v>23</v>
      </c>
      <c r="B1" t="s">
        <v>74</v>
      </c>
      <c r="C1" s="2" t="str">
        <f>HYPERLINK(B1,"Ouvrir")</f>
        <v>Ouvrir</v>
      </c>
      <c r="G1" s="11" t="s">
        <v>83</v>
      </c>
      <c r="H1" s="11" t="s">
        <v>29</v>
      </c>
      <c r="I1" s="11" t="s">
        <v>24</v>
      </c>
      <c r="J1" s="11" t="s">
        <v>33</v>
      </c>
      <c r="K1" s="11" t="s">
        <v>75</v>
      </c>
      <c r="L1" s="11" t="s">
        <v>114</v>
      </c>
    </row>
    <row r="2" spans="1:12" x14ac:dyDescent="0.25">
      <c r="A2" s="3"/>
      <c r="G2" s="2" t="s">
        <v>84</v>
      </c>
      <c r="H2" s="2" t="s">
        <v>30</v>
      </c>
      <c r="I2" t="s">
        <v>25</v>
      </c>
      <c r="J2" t="s">
        <v>34</v>
      </c>
      <c r="K2" t="s">
        <v>76</v>
      </c>
      <c r="L2" t="s">
        <v>113</v>
      </c>
    </row>
    <row r="3" spans="1:12" x14ac:dyDescent="0.25">
      <c r="A3" s="3" t="s">
        <v>40</v>
      </c>
      <c r="B3">
        <v>600000</v>
      </c>
      <c r="G3" s="2" t="s">
        <v>85</v>
      </c>
      <c r="H3" s="2" t="s">
        <v>74</v>
      </c>
      <c r="I3" t="s">
        <v>31</v>
      </c>
      <c r="J3" t="s">
        <v>35</v>
      </c>
      <c r="K3" t="s">
        <v>77</v>
      </c>
      <c r="L3" t="s">
        <v>42</v>
      </c>
    </row>
    <row r="4" spans="1:12" x14ac:dyDescent="0.25">
      <c r="C4" s="2" t="str">
        <f>HYPERLINK("file://" &amp; ToMint!B10,"Ouvrir")</f>
        <v>Ouvrir</v>
      </c>
      <c r="I4" t="s">
        <v>62</v>
      </c>
      <c r="J4" t="s">
        <v>25</v>
      </c>
      <c r="K4" t="s">
        <v>78</v>
      </c>
    </row>
    <row r="5" spans="1:12" x14ac:dyDescent="0.25">
      <c r="A5" s="3" t="s">
        <v>82</v>
      </c>
      <c r="B5" t="s">
        <v>85</v>
      </c>
      <c r="C5" s="2" t="str">
        <f>HYPERLINK(B5,"Ouvrir")</f>
        <v>Ouvrir</v>
      </c>
      <c r="I5" t="s">
        <v>63</v>
      </c>
      <c r="J5" t="s">
        <v>36</v>
      </c>
    </row>
    <row r="6" spans="1:12" x14ac:dyDescent="0.25">
      <c r="J6" t="s">
        <v>37</v>
      </c>
    </row>
    <row r="7" spans="1:12" x14ac:dyDescent="0.25">
      <c r="J7" t="s">
        <v>38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Tokens</vt:lpstr>
      <vt:lpstr>ToMint</vt:lpstr>
      <vt:lpstr>Explorer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2022-05-04T23:57:57Z</dcterms:modified>
</cp:coreProperties>
</file>
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CF52FF44-9442-480A-8377-9F1CC0BA657A}" xr6:coauthVersionLast="47" xr6:coauthVersionMax="47" xr10:uidLastSave="{00000000-0000-0000-0000-000000000000}"/>
  <bookViews>
    <workbookView xWindow="28680" yWindow="-120" windowWidth="29040" windowHeight="15840" xr2:uid="{A46472A9-C1E5-4C6F-87BB-3A30BD91F622}"/>
  </bookViews>
  <sheets>
    <sheet name="Tokens" sheetId="1" r:id="rId1"/>
    <sheet name="ToExport" sheetId="7" r:id="rId2"/>
    <sheet name="ToMint" sheetId="2" r:id="rId3"/>
    <sheet name="Validate" sheetId="6" r:id="rId4"/>
    <sheet name="Mise en vente" sheetId="5" r:id="rId5"/>
    <sheet name="Settings" sheetId="3" r:id="rId6"/>
    <sheet name="Explorer" sheetId="4" r:id="rId7"/>
  </sheets>
  <functionGroups builtInGroupCount="19"/>
  <definedNames>
    <definedName name="_xlnm._FilterDatabase" localSheetId="0" hidden="1">Tokens!$C$3:$BS$3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 s="1"/>
  <c r="D5" i="2"/>
  <c r="D6" i="2"/>
  <c r="D7" i="2"/>
  <c r="D8" i="2"/>
  <c r="A3" i="7"/>
  <c r="B3" i="7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U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A72" i="7"/>
  <c r="B72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A80" i="7"/>
  <c r="B80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A83" i="7"/>
  <c r="B83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A84" i="7"/>
  <c r="B84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A85" i="7"/>
  <c r="B85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A86" i="7"/>
  <c r="B86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A87" i="7"/>
  <c r="B87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A88" i="7"/>
  <c r="B88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A89" i="7"/>
  <c r="B89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A90" i="7"/>
  <c r="B90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A91" i="7"/>
  <c r="B91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A92" i="7"/>
  <c r="B92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A93" i="7"/>
  <c r="B93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A94" i="7"/>
  <c r="B94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A95" i="7"/>
  <c r="B95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A96" i="7"/>
  <c r="B96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A97" i="7"/>
  <c r="B97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A98" i="7"/>
  <c r="B98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A99" i="7"/>
  <c r="B99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A100" i="7"/>
  <c r="B100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A101" i="7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A102" i="7"/>
  <c r="B102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A103" i="7"/>
  <c r="B103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A104" i="7"/>
  <c r="B104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Z104" i="7"/>
  <c r="AA104" i="7"/>
  <c r="AB104" i="7"/>
  <c r="AC104" i="7"/>
  <c r="AD104" i="7"/>
  <c r="AE104" i="7"/>
  <c r="AF104" i="7"/>
  <c r="AG104" i="7"/>
  <c r="AH104" i="7"/>
  <c r="AI104" i="7"/>
  <c r="AJ104" i="7"/>
  <c r="AK104" i="7"/>
  <c r="AL104" i="7"/>
  <c r="AM104" i="7"/>
  <c r="AN104" i="7"/>
  <c r="AO104" i="7"/>
  <c r="AP104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A105" i="7"/>
  <c r="B105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A106" i="7"/>
  <c r="B106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Z106" i="7"/>
  <c r="AA106" i="7"/>
  <c r="AB106" i="7"/>
  <c r="AC106" i="7"/>
  <c r="AD106" i="7"/>
  <c r="AE106" i="7"/>
  <c r="AF106" i="7"/>
  <c r="AG106" i="7"/>
  <c r="AH106" i="7"/>
  <c r="AI106" i="7"/>
  <c r="AJ106" i="7"/>
  <c r="AK106" i="7"/>
  <c r="AL106" i="7"/>
  <c r="AM106" i="7"/>
  <c r="AN106" i="7"/>
  <c r="AO106" i="7"/>
  <c r="AP106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A107" i="7"/>
  <c r="B107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A108" i="7"/>
  <c r="B108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A109" i="7"/>
  <c r="B109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A110" i="7"/>
  <c r="B110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A111" i="7"/>
  <c r="B111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AB111" i="7"/>
  <c r="AC111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A112" i="7"/>
  <c r="B112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Z112" i="7"/>
  <c r="AA112" i="7"/>
  <c r="AB112" i="7"/>
  <c r="AC112" i="7"/>
  <c r="AD112" i="7"/>
  <c r="AE112" i="7"/>
  <c r="AF112" i="7"/>
  <c r="AG112" i="7"/>
  <c r="AH112" i="7"/>
  <c r="AI112" i="7"/>
  <c r="AJ112" i="7"/>
  <c r="AK112" i="7"/>
  <c r="AL112" i="7"/>
  <c r="AM112" i="7"/>
  <c r="AN112" i="7"/>
  <c r="AO112" i="7"/>
  <c r="AP112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A113" i="7"/>
  <c r="B113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A114" i="7"/>
  <c r="B114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Z114" i="7"/>
  <c r="AA114" i="7"/>
  <c r="AB114" i="7"/>
  <c r="AC114" i="7"/>
  <c r="AD114" i="7"/>
  <c r="AE114" i="7"/>
  <c r="AF114" i="7"/>
  <c r="AG114" i="7"/>
  <c r="AH114" i="7"/>
  <c r="AI114" i="7"/>
  <c r="AJ114" i="7"/>
  <c r="AK114" i="7"/>
  <c r="AL114" i="7"/>
  <c r="AM114" i="7"/>
  <c r="AN114" i="7"/>
  <c r="AO114" i="7"/>
  <c r="AP114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A115" i="7"/>
  <c r="B115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A116" i="7"/>
  <c r="B116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Z116" i="7"/>
  <c r="AA116" i="7"/>
  <c r="AB116" i="7"/>
  <c r="AC116" i="7"/>
  <c r="AD116" i="7"/>
  <c r="AE116" i="7"/>
  <c r="AF116" i="7"/>
  <c r="AG116" i="7"/>
  <c r="AH116" i="7"/>
  <c r="AI116" i="7"/>
  <c r="AJ116" i="7"/>
  <c r="AK116" i="7"/>
  <c r="AL116" i="7"/>
  <c r="AM116" i="7"/>
  <c r="AN116" i="7"/>
  <c r="AO116" i="7"/>
  <c r="AP116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A117" i="7"/>
  <c r="B117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Z117" i="7"/>
  <c r="AA117" i="7"/>
  <c r="AB117" i="7"/>
  <c r="AC117" i="7"/>
  <c r="AD117" i="7"/>
  <c r="AE117" i="7"/>
  <c r="AF117" i="7"/>
  <c r="AG117" i="7"/>
  <c r="AH117" i="7"/>
  <c r="AI117" i="7"/>
  <c r="AJ117" i="7"/>
  <c r="AK117" i="7"/>
  <c r="AL117" i="7"/>
  <c r="AM117" i="7"/>
  <c r="AN117" i="7"/>
  <c r="AO117" i="7"/>
  <c r="AP117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A118" i="7"/>
  <c r="B118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A119" i="7"/>
  <c r="B119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A120" i="7"/>
  <c r="B120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A121" i="7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A122" i="7"/>
  <c r="B122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A123" i="7"/>
  <c r="B123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AB123" i="7"/>
  <c r="AC123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A124" i="7"/>
  <c r="B124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AB124" i="7"/>
  <c r="AC124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A125" i="7"/>
  <c r="B125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A126" i="7"/>
  <c r="B126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AB126" i="7"/>
  <c r="AC126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A127" i="7"/>
  <c r="B127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A128" i="7"/>
  <c r="B128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A129" i="7"/>
  <c r="B129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AB129" i="7"/>
  <c r="AC129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A130" i="7"/>
  <c r="B130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AB130" i="7"/>
  <c r="AC130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A131" i="7"/>
  <c r="B131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A132" i="7"/>
  <c r="B132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AB132" i="7"/>
  <c r="AC132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A133" i="7"/>
  <c r="B133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A134" i="7"/>
  <c r="B134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A135" i="7"/>
  <c r="B135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AB135" i="7"/>
  <c r="AC135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A136" i="7"/>
  <c r="B136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A137" i="7"/>
  <c r="B137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A138" i="7"/>
  <c r="B138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AB138" i="7"/>
  <c r="AC138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A139" i="7"/>
  <c r="B139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AB139" i="7"/>
  <c r="AC139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A140" i="7"/>
  <c r="B140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A141" i="7"/>
  <c r="B141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A142" i="7"/>
  <c r="B142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AB142" i="7"/>
  <c r="AC142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A143" i="7"/>
  <c r="B143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A144" i="7"/>
  <c r="B144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A145" i="7"/>
  <c r="B145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A146" i="7"/>
  <c r="B146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A147" i="7"/>
  <c r="B147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A148" i="7"/>
  <c r="B148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AB148" i="7"/>
  <c r="AC148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A149" i="7"/>
  <c r="B149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A150" i="7"/>
  <c r="B150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AB150" i="7"/>
  <c r="AC150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A151" i="7"/>
  <c r="B151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A152" i="7"/>
  <c r="B152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AB152" i="7"/>
  <c r="AC152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A153" i="7"/>
  <c r="B153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B153" i="7"/>
  <c r="AC153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A154" i="7"/>
  <c r="B154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AB154" i="7"/>
  <c r="AC154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A155" i="7"/>
  <c r="B155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A156" i="7"/>
  <c r="B156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A157" i="7"/>
  <c r="B157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A158" i="7"/>
  <c r="B158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Z158" i="7"/>
  <c r="AA158" i="7"/>
  <c r="AB158" i="7"/>
  <c r="AC158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A159" i="7"/>
  <c r="B159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A160" i="7"/>
  <c r="B160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Z160" i="7"/>
  <c r="AA160" i="7"/>
  <c r="AB160" i="7"/>
  <c r="AC160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A161" i="7"/>
  <c r="B161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A162" i="7"/>
  <c r="B162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A163" i="7"/>
  <c r="B163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Z163" i="7"/>
  <c r="AA163" i="7"/>
  <c r="AB163" i="7"/>
  <c r="AC163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A164" i="7"/>
  <c r="B164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Z164" i="7"/>
  <c r="AA164" i="7"/>
  <c r="AB164" i="7"/>
  <c r="AC164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A165" i="7"/>
  <c r="B165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Z165" i="7"/>
  <c r="AA165" i="7"/>
  <c r="AB165" i="7"/>
  <c r="AC165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A166" i="7"/>
  <c r="B166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Z166" i="7"/>
  <c r="AA166" i="7"/>
  <c r="AB166" i="7"/>
  <c r="AC166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A167" i="7"/>
  <c r="B167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Z167" i="7"/>
  <c r="AA167" i="7"/>
  <c r="AB167" i="7"/>
  <c r="AC167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A168" i="7"/>
  <c r="B168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Z168" i="7"/>
  <c r="AA168" i="7"/>
  <c r="AB168" i="7"/>
  <c r="AC168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A169" i="7"/>
  <c r="B169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A170" i="7"/>
  <c r="B170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Z170" i="7"/>
  <c r="AA170" i="7"/>
  <c r="AB170" i="7"/>
  <c r="AC170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A171" i="7"/>
  <c r="B171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Z171" i="7"/>
  <c r="AA171" i="7"/>
  <c r="AB171" i="7"/>
  <c r="AC171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A172" i="7"/>
  <c r="B172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Z172" i="7"/>
  <c r="AA172" i="7"/>
  <c r="AB172" i="7"/>
  <c r="AC172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A173" i="7"/>
  <c r="B173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A174" i="7"/>
  <c r="B174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Z174" i="7"/>
  <c r="AA174" i="7"/>
  <c r="AB174" i="7"/>
  <c r="AC174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A175" i="7"/>
  <c r="B175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Z175" i="7"/>
  <c r="AA175" i="7"/>
  <c r="AB175" i="7"/>
  <c r="AC175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A176" i="7"/>
  <c r="B176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Z176" i="7"/>
  <c r="AA176" i="7"/>
  <c r="AB176" i="7"/>
  <c r="AC176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A177" i="7"/>
  <c r="B177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Z177" i="7"/>
  <c r="AA177" i="7"/>
  <c r="AB177" i="7"/>
  <c r="AC177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A178" i="7"/>
  <c r="B178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Z178" i="7"/>
  <c r="AA178" i="7"/>
  <c r="AB178" i="7"/>
  <c r="AC178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A179" i="7"/>
  <c r="B179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A180" i="7"/>
  <c r="B180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Z180" i="7"/>
  <c r="AA180" i="7"/>
  <c r="AB180" i="7"/>
  <c r="AC180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A181" i="7"/>
  <c r="B181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Z181" i="7"/>
  <c r="AA181" i="7"/>
  <c r="AB181" i="7"/>
  <c r="AC181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A182" i="7"/>
  <c r="B182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Z182" i="7"/>
  <c r="AA182" i="7"/>
  <c r="AB182" i="7"/>
  <c r="AC182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A183" i="7"/>
  <c r="B183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A184" i="7"/>
  <c r="B184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Z184" i="7"/>
  <c r="AA184" i="7"/>
  <c r="AB184" i="7"/>
  <c r="AC184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A185" i="7"/>
  <c r="B185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A186" i="7"/>
  <c r="B186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A187" i="7"/>
  <c r="B187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A188" i="7"/>
  <c r="B188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A189" i="7"/>
  <c r="B189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A190" i="7"/>
  <c r="B190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A191" i="7"/>
  <c r="B191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A192" i="7"/>
  <c r="B192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A193" i="7"/>
  <c r="B193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A194" i="7"/>
  <c r="B194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A195" i="7"/>
  <c r="B195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A196" i="7"/>
  <c r="B196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A197" i="7"/>
  <c r="B197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Z197" i="7"/>
  <c r="AA197" i="7"/>
  <c r="AB197" i="7"/>
  <c r="AC197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A198" i="7"/>
  <c r="B198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A199" i="7"/>
  <c r="B199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Z199" i="7"/>
  <c r="AA199" i="7"/>
  <c r="AB199" i="7"/>
  <c r="AC199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A200" i="7"/>
  <c r="B200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A201" i="7"/>
  <c r="B201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A202" i="7"/>
  <c r="B202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A203" i="7"/>
  <c r="B203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Z203" i="7"/>
  <c r="AA203" i="7"/>
  <c r="AB203" i="7"/>
  <c r="AC203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A204" i="7"/>
  <c r="B204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A205" i="7"/>
  <c r="B205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A206" i="7"/>
  <c r="B206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Z206" i="7"/>
  <c r="AA206" i="7"/>
  <c r="AB206" i="7"/>
  <c r="AC206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A207" i="7"/>
  <c r="B207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A208" i="7"/>
  <c r="B208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Z208" i="7"/>
  <c r="AA208" i="7"/>
  <c r="AB208" i="7"/>
  <c r="AC208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A209" i="7"/>
  <c r="B209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Z209" i="7"/>
  <c r="AA209" i="7"/>
  <c r="AB209" i="7"/>
  <c r="AC209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A210" i="7"/>
  <c r="B210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A211" i="7"/>
  <c r="B211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Z211" i="7"/>
  <c r="AA211" i="7"/>
  <c r="AB211" i="7"/>
  <c r="AC211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A212" i="7"/>
  <c r="B212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Z212" i="7"/>
  <c r="AA212" i="7"/>
  <c r="AB212" i="7"/>
  <c r="AC212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A213" i="7"/>
  <c r="B213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Z213" i="7"/>
  <c r="AA213" i="7"/>
  <c r="AB213" i="7"/>
  <c r="AC213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A214" i="7"/>
  <c r="B214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A215" i="7"/>
  <c r="B215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A216" i="7"/>
  <c r="B216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A217" i="7"/>
  <c r="B217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A218" i="7"/>
  <c r="B218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Z218" i="7"/>
  <c r="AA218" i="7"/>
  <c r="AB218" i="7"/>
  <c r="AC218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A219" i="7"/>
  <c r="B219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Z219" i="7"/>
  <c r="AA219" i="7"/>
  <c r="AB219" i="7"/>
  <c r="AC219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A220" i="7"/>
  <c r="B220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Z220" i="7"/>
  <c r="AA220" i="7"/>
  <c r="AB220" i="7"/>
  <c r="AC220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A221" i="7"/>
  <c r="B221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Z221" i="7"/>
  <c r="AA221" i="7"/>
  <c r="AB221" i="7"/>
  <c r="AC221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A222" i="7"/>
  <c r="B222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Z222" i="7"/>
  <c r="AA222" i="7"/>
  <c r="AB222" i="7"/>
  <c r="AC222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A223" i="7"/>
  <c r="B223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Z223" i="7"/>
  <c r="AA223" i="7"/>
  <c r="AB223" i="7"/>
  <c r="AC223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A224" i="7"/>
  <c r="B224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Z224" i="7"/>
  <c r="AA224" i="7"/>
  <c r="AB224" i="7"/>
  <c r="AC224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A225" i="7"/>
  <c r="B225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Z225" i="7"/>
  <c r="AA225" i="7"/>
  <c r="AB225" i="7"/>
  <c r="AC225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A226" i="7"/>
  <c r="B226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Z226" i="7"/>
  <c r="AA226" i="7"/>
  <c r="AB226" i="7"/>
  <c r="AC226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A227" i="7"/>
  <c r="B227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Z227" i="7"/>
  <c r="AA227" i="7"/>
  <c r="AB227" i="7"/>
  <c r="AC227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A228" i="7"/>
  <c r="B228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Z228" i="7"/>
  <c r="AA228" i="7"/>
  <c r="AB228" i="7"/>
  <c r="AC228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A229" i="7"/>
  <c r="B229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Z229" i="7"/>
  <c r="AA229" i="7"/>
  <c r="AB229" i="7"/>
  <c r="AC229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A230" i="7"/>
  <c r="B230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Z230" i="7"/>
  <c r="AA230" i="7"/>
  <c r="AB230" i="7"/>
  <c r="AC230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A231" i="7"/>
  <c r="B231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Z231" i="7"/>
  <c r="AA231" i="7"/>
  <c r="AB231" i="7"/>
  <c r="AC231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A232" i="7"/>
  <c r="B232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Z232" i="7"/>
  <c r="AA232" i="7"/>
  <c r="AB232" i="7"/>
  <c r="AC232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A233" i="7"/>
  <c r="B233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Z233" i="7"/>
  <c r="AA233" i="7"/>
  <c r="AB233" i="7"/>
  <c r="AC233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A234" i="7"/>
  <c r="B234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Z234" i="7"/>
  <c r="AA234" i="7"/>
  <c r="AB234" i="7"/>
  <c r="AC234" i="7"/>
  <c r="AD234" i="7"/>
  <c r="AE234" i="7"/>
  <c r="AF234" i="7"/>
  <c r="AG234" i="7"/>
  <c r="AH234" i="7"/>
  <c r="AI234" i="7"/>
  <c r="AJ234" i="7"/>
  <c r="AK234" i="7"/>
  <c r="AL234" i="7"/>
  <c r="AM234" i="7"/>
  <c r="AN234" i="7"/>
  <c r="AO234" i="7"/>
  <c r="AP234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A235" i="7"/>
  <c r="B235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Z235" i="7"/>
  <c r="AA235" i="7"/>
  <c r="AB235" i="7"/>
  <c r="AC235" i="7"/>
  <c r="AD235" i="7"/>
  <c r="AE235" i="7"/>
  <c r="AF235" i="7"/>
  <c r="AG235" i="7"/>
  <c r="AH235" i="7"/>
  <c r="AI235" i="7"/>
  <c r="AJ235" i="7"/>
  <c r="AK235" i="7"/>
  <c r="AL235" i="7"/>
  <c r="AM235" i="7"/>
  <c r="AN235" i="7"/>
  <c r="AO235" i="7"/>
  <c r="AP235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A236" i="7"/>
  <c r="B236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Z236" i="7"/>
  <c r="AA236" i="7"/>
  <c r="AB236" i="7"/>
  <c r="AC236" i="7"/>
  <c r="AD236" i="7"/>
  <c r="AE236" i="7"/>
  <c r="AF236" i="7"/>
  <c r="AG236" i="7"/>
  <c r="AH236" i="7"/>
  <c r="AI236" i="7"/>
  <c r="AJ236" i="7"/>
  <c r="AK236" i="7"/>
  <c r="AL236" i="7"/>
  <c r="AM236" i="7"/>
  <c r="AN236" i="7"/>
  <c r="AO236" i="7"/>
  <c r="AP236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A237" i="7"/>
  <c r="B237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Z237" i="7"/>
  <c r="AA237" i="7"/>
  <c r="AB237" i="7"/>
  <c r="AC237" i="7"/>
  <c r="AD237" i="7"/>
  <c r="AE237" i="7"/>
  <c r="AF237" i="7"/>
  <c r="AG237" i="7"/>
  <c r="AH237" i="7"/>
  <c r="AI237" i="7"/>
  <c r="AJ237" i="7"/>
  <c r="AK237" i="7"/>
  <c r="AL237" i="7"/>
  <c r="AM237" i="7"/>
  <c r="AN237" i="7"/>
  <c r="AO237" i="7"/>
  <c r="AP237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A238" i="7"/>
  <c r="B238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Z238" i="7"/>
  <c r="AA238" i="7"/>
  <c r="AB238" i="7"/>
  <c r="AC238" i="7"/>
  <c r="AD238" i="7"/>
  <c r="AE238" i="7"/>
  <c r="AF238" i="7"/>
  <c r="AG238" i="7"/>
  <c r="AH238" i="7"/>
  <c r="AI238" i="7"/>
  <c r="AJ238" i="7"/>
  <c r="AK238" i="7"/>
  <c r="AL238" i="7"/>
  <c r="AM238" i="7"/>
  <c r="AN238" i="7"/>
  <c r="AO238" i="7"/>
  <c r="AP238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A239" i="7"/>
  <c r="B239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Z239" i="7"/>
  <c r="AA239" i="7"/>
  <c r="AB239" i="7"/>
  <c r="AC239" i="7"/>
  <c r="AD239" i="7"/>
  <c r="AE239" i="7"/>
  <c r="AF239" i="7"/>
  <c r="AG239" i="7"/>
  <c r="AH239" i="7"/>
  <c r="AI239" i="7"/>
  <c r="AJ239" i="7"/>
  <c r="AK239" i="7"/>
  <c r="AL239" i="7"/>
  <c r="AM239" i="7"/>
  <c r="AN239" i="7"/>
  <c r="AO239" i="7"/>
  <c r="AP239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A240" i="7"/>
  <c r="B240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Z240" i="7"/>
  <c r="AA240" i="7"/>
  <c r="AB240" i="7"/>
  <c r="AC240" i="7"/>
  <c r="AD240" i="7"/>
  <c r="AE240" i="7"/>
  <c r="AF240" i="7"/>
  <c r="AG240" i="7"/>
  <c r="AH240" i="7"/>
  <c r="AI240" i="7"/>
  <c r="AJ240" i="7"/>
  <c r="AK240" i="7"/>
  <c r="AL240" i="7"/>
  <c r="AM240" i="7"/>
  <c r="AN240" i="7"/>
  <c r="AO240" i="7"/>
  <c r="AP240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A241" i="7"/>
  <c r="B241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Z241" i="7"/>
  <c r="AA241" i="7"/>
  <c r="AB241" i="7"/>
  <c r="AC241" i="7"/>
  <c r="AD241" i="7"/>
  <c r="AE241" i="7"/>
  <c r="AF241" i="7"/>
  <c r="AG241" i="7"/>
  <c r="AH241" i="7"/>
  <c r="AI241" i="7"/>
  <c r="AJ241" i="7"/>
  <c r="AK241" i="7"/>
  <c r="AL241" i="7"/>
  <c r="AM241" i="7"/>
  <c r="AN241" i="7"/>
  <c r="AO241" i="7"/>
  <c r="AP241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A242" i="7"/>
  <c r="B242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Z242" i="7"/>
  <c r="AA242" i="7"/>
  <c r="AB242" i="7"/>
  <c r="AC242" i="7"/>
  <c r="AD242" i="7"/>
  <c r="AE242" i="7"/>
  <c r="AF242" i="7"/>
  <c r="AG242" i="7"/>
  <c r="AH242" i="7"/>
  <c r="AI242" i="7"/>
  <c r="AJ242" i="7"/>
  <c r="AK242" i="7"/>
  <c r="AL242" i="7"/>
  <c r="AM242" i="7"/>
  <c r="AN242" i="7"/>
  <c r="AO242" i="7"/>
  <c r="AP242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A243" i="7"/>
  <c r="B243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Z243" i="7"/>
  <c r="AA243" i="7"/>
  <c r="AB243" i="7"/>
  <c r="AC243" i="7"/>
  <c r="AD243" i="7"/>
  <c r="AE243" i="7"/>
  <c r="AF243" i="7"/>
  <c r="AG243" i="7"/>
  <c r="AH243" i="7"/>
  <c r="AI243" i="7"/>
  <c r="AJ243" i="7"/>
  <c r="AK243" i="7"/>
  <c r="AL243" i="7"/>
  <c r="AM243" i="7"/>
  <c r="AN243" i="7"/>
  <c r="AO243" i="7"/>
  <c r="AP243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A244" i="7"/>
  <c r="B244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Z244" i="7"/>
  <c r="AA244" i="7"/>
  <c r="AB244" i="7"/>
  <c r="AC244" i="7"/>
  <c r="AD244" i="7"/>
  <c r="AE244" i="7"/>
  <c r="AF244" i="7"/>
  <c r="AG244" i="7"/>
  <c r="AH244" i="7"/>
  <c r="AI244" i="7"/>
  <c r="AJ244" i="7"/>
  <c r="AK244" i="7"/>
  <c r="AL244" i="7"/>
  <c r="AM244" i="7"/>
  <c r="AN244" i="7"/>
  <c r="AO244" i="7"/>
  <c r="AP244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A245" i="7"/>
  <c r="B245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Z245" i="7"/>
  <c r="AA245" i="7"/>
  <c r="AB245" i="7"/>
  <c r="AC245" i="7"/>
  <c r="AD245" i="7"/>
  <c r="AE245" i="7"/>
  <c r="AF245" i="7"/>
  <c r="AG245" i="7"/>
  <c r="AH245" i="7"/>
  <c r="AI245" i="7"/>
  <c r="AJ245" i="7"/>
  <c r="AK245" i="7"/>
  <c r="AL245" i="7"/>
  <c r="AM245" i="7"/>
  <c r="AN245" i="7"/>
  <c r="AO245" i="7"/>
  <c r="AP245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A246" i="7"/>
  <c r="B246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Z246" i="7"/>
  <c r="AA246" i="7"/>
  <c r="AB246" i="7"/>
  <c r="AC246" i="7"/>
  <c r="AD246" i="7"/>
  <c r="AE246" i="7"/>
  <c r="AF246" i="7"/>
  <c r="AG246" i="7"/>
  <c r="AH246" i="7"/>
  <c r="AI246" i="7"/>
  <c r="AJ246" i="7"/>
  <c r="AK246" i="7"/>
  <c r="AL246" i="7"/>
  <c r="AM246" i="7"/>
  <c r="AN246" i="7"/>
  <c r="AO246" i="7"/>
  <c r="AP246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A247" i="7"/>
  <c r="B247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Z247" i="7"/>
  <c r="AA247" i="7"/>
  <c r="AB247" i="7"/>
  <c r="AC247" i="7"/>
  <c r="AD247" i="7"/>
  <c r="AE247" i="7"/>
  <c r="AF247" i="7"/>
  <c r="AG247" i="7"/>
  <c r="AH247" i="7"/>
  <c r="AI247" i="7"/>
  <c r="AJ247" i="7"/>
  <c r="AK247" i="7"/>
  <c r="AL247" i="7"/>
  <c r="AM247" i="7"/>
  <c r="AN247" i="7"/>
  <c r="AO247" i="7"/>
  <c r="AP247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A248" i="7"/>
  <c r="B248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Z248" i="7"/>
  <c r="AA248" i="7"/>
  <c r="AB248" i="7"/>
  <c r="AC248" i="7"/>
  <c r="AD248" i="7"/>
  <c r="AE248" i="7"/>
  <c r="AF248" i="7"/>
  <c r="AG248" i="7"/>
  <c r="AH248" i="7"/>
  <c r="AI248" i="7"/>
  <c r="AJ248" i="7"/>
  <c r="AK248" i="7"/>
  <c r="AL248" i="7"/>
  <c r="AM248" i="7"/>
  <c r="AN248" i="7"/>
  <c r="AO248" i="7"/>
  <c r="AP248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A249" i="7"/>
  <c r="B249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Z249" i="7"/>
  <c r="AA249" i="7"/>
  <c r="AB249" i="7"/>
  <c r="AC249" i="7"/>
  <c r="AD249" i="7"/>
  <c r="AE249" i="7"/>
  <c r="AF249" i="7"/>
  <c r="AG249" i="7"/>
  <c r="AH249" i="7"/>
  <c r="AI249" i="7"/>
  <c r="AJ249" i="7"/>
  <c r="AK249" i="7"/>
  <c r="AL249" i="7"/>
  <c r="AM249" i="7"/>
  <c r="AN249" i="7"/>
  <c r="AO249" i="7"/>
  <c r="AP249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2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A2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A1" i="7"/>
  <c r="BT4" i="1"/>
  <c r="BT5" i="1"/>
  <c r="B19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BT165" i="1"/>
  <c r="T165" i="2" s="1"/>
  <c r="D4" i="2"/>
  <c r="BP1163" i="1"/>
  <c r="BP1162" i="1"/>
  <c r="BP1161" i="1"/>
  <c r="BP1160" i="1"/>
  <c r="BP1159" i="1"/>
  <c r="BP1158" i="1"/>
  <c r="BP1157" i="1"/>
  <c r="BP1156" i="1"/>
  <c r="BP1155" i="1"/>
  <c r="BP1154" i="1"/>
  <c r="BP1153" i="1"/>
  <c r="BP1152" i="1"/>
  <c r="BP1151" i="1"/>
  <c r="BP1150" i="1"/>
  <c r="BP1149" i="1"/>
  <c r="BP1148" i="1"/>
  <c r="BP1147" i="1"/>
  <c r="BP1146" i="1"/>
  <c r="BP1145" i="1"/>
  <c r="BP1144" i="1"/>
  <c r="BP1143" i="1"/>
  <c r="BP1142" i="1"/>
  <c r="BP1141" i="1"/>
  <c r="BP1140" i="1"/>
  <c r="BP1139" i="1"/>
  <c r="BP1138" i="1"/>
  <c r="BP1137" i="1"/>
  <c r="BP1136" i="1"/>
  <c r="BP1135" i="1"/>
  <c r="BP1134" i="1"/>
  <c r="BP1133" i="1"/>
  <c r="BP1132" i="1"/>
  <c r="BP1131" i="1"/>
  <c r="BP1130" i="1"/>
  <c r="BP1129" i="1"/>
  <c r="BP1128" i="1"/>
  <c r="BP1127" i="1"/>
  <c r="BP1126" i="1"/>
  <c r="BP1125" i="1"/>
  <c r="BP1124" i="1"/>
  <c r="BP1123" i="1"/>
  <c r="BP1122" i="1"/>
  <c r="BP1121" i="1"/>
  <c r="BP1120" i="1"/>
  <c r="BP1119" i="1"/>
  <c r="BP1118" i="1"/>
  <c r="BP1117" i="1"/>
  <c r="BP1116" i="1"/>
  <c r="BP1115" i="1"/>
  <c r="BP1114" i="1"/>
  <c r="BP1113" i="1"/>
  <c r="BP1112" i="1"/>
  <c r="BP1111" i="1"/>
  <c r="BP1110" i="1"/>
  <c r="BP1109" i="1"/>
  <c r="BP1108" i="1"/>
  <c r="BP1107" i="1"/>
  <c r="BP1106" i="1"/>
  <c r="BP1105" i="1"/>
  <c r="BP1104" i="1"/>
  <c r="BP1103" i="1"/>
  <c r="BP1102" i="1"/>
  <c r="BP1101" i="1"/>
  <c r="BP1100" i="1"/>
  <c r="BP1099" i="1"/>
  <c r="BP1098" i="1"/>
  <c r="BP1097" i="1"/>
  <c r="BP1096" i="1"/>
  <c r="BP1095" i="1"/>
  <c r="BP1094" i="1"/>
  <c r="BP1093" i="1"/>
  <c r="BP1092" i="1"/>
  <c r="BP1091" i="1"/>
  <c r="BP1090" i="1"/>
  <c r="BP1089" i="1"/>
  <c r="BP1088" i="1"/>
  <c r="BP1087" i="1"/>
  <c r="BP1086" i="1"/>
  <c r="BP1085" i="1"/>
  <c r="BP1084" i="1"/>
  <c r="BP1083" i="1"/>
  <c r="BP1082" i="1"/>
  <c r="BP1081" i="1"/>
  <c r="BP1080" i="1"/>
  <c r="BP1079" i="1"/>
  <c r="BP1078" i="1"/>
  <c r="BP1077" i="1"/>
  <c r="BP1076" i="1"/>
  <c r="BP1075" i="1"/>
  <c r="BP1074" i="1"/>
  <c r="BP1073" i="1"/>
  <c r="BP1072" i="1"/>
  <c r="BP1071" i="1"/>
  <c r="BP1070" i="1"/>
  <c r="BP1069" i="1"/>
  <c r="BP1068" i="1"/>
  <c r="BP1067" i="1"/>
  <c r="BP1066" i="1"/>
  <c r="BP1065" i="1"/>
  <c r="BP1064" i="1"/>
  <c r="BP1063" i="1"/>
  <c r="BP1062" i="1"/>
  <c r="BP1061" i="1"/>
  <c r="BP1060" i="1"/>
  <c r="BP1059" i="1"/>
  <c r="BP1058" i="1"/>
  <c r="BP1057" i="1"/>
  <c r="BP1056" i="1"/>
  <c r="BP1055" i="1"/>
  <c r="BP1054" i="1"/>
  <c r="BP1053" i="1"/>
  <c r="BP1052" i="1"/>
  <c r="BP1051" i="1"/>
  <c r="BP1050" i="1"/>
  <c r="BP1049" i="1"/>
  <c r="BP1048" i="1"/>
  <c r="BP1047" i="1"/>
  <c r="BP1046" i="1"/>
  <c r="BP1045" i="1"/>
  <c r="BP1044" i="1"/>
  <c r="BP1043" i="1"/>
  <c r="BP1042" i="1"/>
  <c r="BP1041" i="1"/>
  <c r="BP1040" i="1"/>
  <c r="BP1039" i="1"/>
  <c r="BP1038" i="1"/>
  <c r="BP1037" i="1"/>
  <c r="BP1036" i="1"/>
  <c r="BP1035" i="1"/>
  <c r="BP1034" i="1"/>
  <c r="BP1033" i="1"/>
  <c r="BP1032" i="1"/>
  <c r="BP1031" i="1"/>
  <c r="BP1030" i="1"/>
  <c r="BP1029" i="1"/>
  <c r="BP1028" i="1"/>
  <c r="BP1027" i="1"/>
  <c r="BP1026" i="1"/>
  <c r="BP1025" i="1"/>
  <c r="BP1024" i="1"/>
  <c r="BP1023" i="1"/>
  <c r="BP1022" i="1"/>
  <c r="BP1021" i="1"/>
  <c r="BP1020" i="1"/>
  <c r="BP1019" i="1"/>
  <c r="BP1018" i="1"/>
  <c r="BP1017" i="1"/>
  <c r="BP1016" i="1"/>
  <c r="BP1015" i="1"/>
  <c r="BP1014" i="1"/>
  <c r="BP1013" i="1"/>
  <c r="BP1012" i="1"/>
  <c r="BP1011" i="1"/>
  <c r="BP1010" i="1"/>
  <c r="BP1009" i="1"/>
  <c r="BP1008" i="1"/>
  <c r="BP1007" i="1"/>
  <c r="BP1006" i="1"/>
  <c r="BP1005" i="1"/>
  <c r="BP1004" i="1"/>
  <c r="BP1003" i="1"/>
  <c r="BP1002" i="1"/>
  <c r="BP1001" i="1"/>
  <c r="BP1000" i="1"/>
  <c r="BP999" i="1"/>
  <c r="BP998" i="1"/>
  <c r="BP997" i="1"/>
  <c r="BP996" i="1"/>
  <c r="BP995" i="1"/>
  <c r="BP994" i="1"/>
  <c r="BP993" i="1"/>
  <c r="BP992" i="1"/>
  <c r="BP991" i="1"/>
  <c r="BP990" i="1"/>
  <c r="BP989" i="1"/>
  <c r="BP988" i="1"/>
  <c r="BP987" i="1"/>
  <c r="BP986" i="1"/>
  <c r="BP985" i="1"/>
  <c r="BP984" i="1"/>
  <c r="BP983" i="1"/>
  <c r="BP982" i="1"/>
  <c r="BP981" i="1"/>
  <c r="BP980" i="1"/>
  <c r="BP979" i="1"/>
  <c r="BP978" i="1"/>
  <c r="BP977" i="1"/>
  <c r="BP976" i="1"/>
  <c r="BP975" i="1"/>
  <c r="BP974" i="1"/>
  <c r="BP973" i="1"/>
  <c r="BP972" i="1"/>
  <c r="BP971" i="1"/>
  <c r="BP970" i="1"/>
  <c r="BP969" i="1"/>
  <c r="BP968" i="1"/>
  <c r="BP967" i="1"/>
  <c r="BP966" i="1"/>
  <c r="BP965" i="1"/>
  <c r="BP964" i="1"/>
  <c r="BP963" i="1"/>
  <c r="BP962" i="1"/>
  <c r="BP961" i="1"/>
  <c r="BP960" i="1"/>
  <c r="BP959" i="1"/>
  <c r="BP958" i="1"/>
  <c r="BP957" i="1"/>
  <c r="BP956" i="1"/>
  <c r="BP955" i="1"/>
  <c r="BP954" i="1"/>
  <c r="BP953" i="1"/>
  <c r="BP952" i="1"/>
  <c r="BP951" i="1"/>
  <c r="BP950" i="1"/>
  <c r="BP949" i="1"/>
  <c r="BP948" i="1"/>
  <c r="BP947" i="1"/>
  <c r="BP946" i="1"/>
  <c r="BP945" i="1"/>
  <c r="BP944" i="1"/>
  <c r="BP943" i="1"/>
  <c r="BP942" i="1"/>
  <c r="BP941" i="1"/>
  <c r="BP940" i="1"/>
  <c r="BP939" i="1"/>
  <c r="BP938" i="1"/>
  <c r="BP937" i="1"/>
  <c r="BP936" i="1"/>
  <c r="BP935" i="1"/>
  <c r="BP934" i="1"/>
  <c r="BP933" i="1"/>
  <c r="BP932" i="1"/>
  <c r="BP931" i="1"/>
  <c r="BP930" i="1"/>
  <c r="BP929" i="1"/>
  <c r="BP928" i="1"/>
  <c r="BP927" i="1"/>
  <c r="BP926" i="1"/>
  <c r="BP925" i="1"/>
  <c r="BP924" i="1"/>
  <c r="BP923" i="1"/>
  <c r="BP922" i="1"/>
  <c r="BP921" i="1"/>
  <c r="BP920" i="1"/>
  <c r="BP919" i="1"/>
  <c r="BP918" i="1"/>
  <c r="BP917" i="1"/>
  <c r="BP916" i="1"/>
  <c r="BP915" i="1"/>
  <c r="BP914" i="1"/>
  <c r="BP913" i="1"/>
  <c r="BP912" i="1"/>
  <c r="BP911" i="1"/>
  <c r="BP910" i="1"/>
  <c r="BP909" i="1"/>
  <c r="BP908" i="1"/>
  <c r="BP907" i="1"/>
  <c r="BP906" i="1"/>
  <c r="BP905" i="1"/>
  <c r="BP904" i="1"/>
  <c r="BP903" i="1"/>
  <c r="BP902" i="1"/>
  <c r="BP901" i="1"/>
  <c r="BP900" i="1"/>
  <c r="BP899" i="1"/>
  <c r="BP898" i="1"/>
  <c r="BP897" i="1"/>
  <c r="BP896" i="1"/>
  <c r="BP895" i="1"/>
  <c r="BP894" i="1"/>
  <c r="BP893" i="1"/>
  <c r="BP892" i="1"/>
  <c r="BP891" i="1"/>
  <c r="BP890" i="1"/>
  <c r="BP889" i="1"/>
  <c r="BP888" i="1"/>
  <c r="BP887" i="1"/>
  <c r="BP886" i="1"/>
  <c r="BP885" i="1"/>
  <c r="BP884" i="1"/>
  <c r="BP883" i="1"/>
  <c r="BP882" i="1"/>
  <c r="BP881" i="1"/>
  <c r="BP880" i="1"/>
  <c r="BP879" i="1"/>
  <c r="BP878" i="1"/>
  <c r="BP877" i="1"/>
  <c r="BP876" i="1"/>
  <c r="BP875" i="1"/>
  <c r="BP874" i="1"/>
  <c r="BP873" i="1"/>
  <c r="BP872" i="1"/>
  <c r="BP871" i="1"/>
  <c r="BP870" i="1"/>
  <c r="BP869" i="1"/>
  <c r="BP868" i="1"/>
  <c r="BP867" i="1"/>
  <c r="BP866" i="1"/>
  <c r="BP865" i="1"/>
  <c r="BP864" i="1"/>
  <c r="BP863" i="1"/>
  <c r="BP862" i="1"/>
  <c r="BP861" i="1"/>
  <c r="BP860" i="1"/>
  <c r="BP859" i="1"/>
  <c r="BP858" i="1"/>
  <c r="BP857" i="1"/>
  <c r="BP856" i="1"/>
  <c r="BP855" i="1"/>
  <c r="BP854" i="1"/>
  <c r="BP853" i="1"/>
  <c r="BP852" i="1"/>
  <c r="BP851" i="1"/>
  <c r="BP850" i="1"/>
  <c r="BP849" i="1"/>
  <c r="BP848" i="1"/>
  <c r="BP847" i="1"/>
  <c r="BP846" i="1"/>
  <c r="BP845" i="1"/>
  <c r="BP844" i="1"/>
  <c r="BP843" i="1"/>
  <c r="BP842" i="1"/>
  <c r="BP841" i="1"/>
  <c r="BP840" i="1"/>
  <c r="BP839" i="1"/>
  <c r="BP838" i="1"/>
  <c r="BP837" i="1"/>
  <c r="BP836" i="1"/>
  <c r="BP835" i="1"/>
  <c r="BP834" i="1"/>
  <c r="BP833" i="1"/>
  <c r="BP832" i="1"/>
  <c r="BP831" i="1"/>
  <c r="BP830" i="1"/>
  <c r="BP829" i="1"/>
  <c r="BP828" i="1"/>
  <c r="BP827" i="1"/>
  <c r="BP826" i="1"/>
  <c r="BP825" i="1"/>
  <c r="BP824" i="1"/>
  <c r="BP823" i="1"/>
  <c r="BP822" i="1"/>
  <c r="BP821" i="1"/>
  <c r="BP820" i="1"/>
  <c r="BP819" i="1"/>
  <c r="BP818" i="1"/>
  <c r="BP817" i="1"/>
  <c r="BP816" i="1"/>
  <c r="BP815" i="1"/>
  <c r="BP814" i="1"/>
  <c r="BP813" i="1"/>
  <c r="BP812" i="1"/>
  <c r="BP811" i="1"/>
  <c r="BP810" i="1"/>
  <c r="BP809" i="1"/>
  <c r="BP808" i="1"/>
  <c r="BP807" i="1"/>
  <c r="BP806" i="1"/>
  <c r="BP805" i="1"/>
  <c r="BP804" i="1"/>
  <c r="BP803" i="1"/>
  <c r="BP802" i="1"/>
  <c r="BP801" i="1"/>
  <c r="BP800" i="1"/>
  <c r="BP799" i="1"/>
  <c r="BP798" i="1"/>
  <c r="BP797" i="1"/>
  <c r="BP796" i="1"/>
  <c r="BP795" i="1"/>
  <c r="BP794" i="1"/>
  <c r="BP793" i="1"/>
  <c r="BP792" i="1"/>
  <c r="BP791" i="1"/>
  <c r="BP790" i="1"/>
  <c r="BP789" i="1"/>
  <c r="BP788" i="1"/>
  <c r="BP787" i="1"/>
  <c r="BP786" i="1"/>
  <c r="BP785" i="1"/>
  <c r="BP784" i="1"/>
  <c r="BP783" i="1"/>
  <c r="BP782" i="1"/>
  <c r="BP781" i="1"/>
  <c r="BP780" i="1"/>
  <c r="BP779" i="1"/>
  <c r="BP778" i="1"/>
  <c r="BP777" i="1"/>
  <c r="BP776" i="1"/>
  <c r="BP775" i="1"/>
  <c r="BP774" i="1"/>
  <c r="BP773" i="1"/>
  <c r="BP772" i="1"/>
  <c r="BP771" i="1"/>
  <c r="BP770" i="1"/>
  <c r="BP769" i="1"/>
  <c r="BP768" i="1"/>
  <c r="BP767" i="1"/>
  <c r="BP766" i="1"/>
  <c r="BP765" i="1"/>
  <c r="BP764" i="1"/>
  <c r="BP763" i="1"/>
  <c r="BP762" i="1"/>
  <c r="BP761" i="1"/>
  <c r="BP760" i="1"/>
  <c r="BP759" i="1"/>
  <c r="BP758" i="1"/>
  <c r="BP757" i="1"/>
  <c r="BP756" i="1"/>
  <c r="BP755" i="1"/>
  <c r="BP754" i="1"/>
  <c r="BP753" i="1"/>
  <c r="BP752" i="1"/>
  <c r="BP751" i="1"/>
  <c r="BP750" i="1"/>
  <c r="BP749" i="1"/>
  <c r="BP748" i="1"/>
  <c r="BP747" i="1"/>
  <c r="BP746" i="1"/>
  <c r="BP745" i="1"/>
  <c r="BP744" i="1"/>
  <c r="BP743" i="1"/>
  <c r="BP742" i="1"/>
  <c r="BP741" i="1"/>
  <c r="BP740" i="1"/>
  <c r="BP739" i="1"/>
  <c r="BP738" i="1"/>
  <c r="BP737" i="1"/>
  <c r="BP736" i="1"/>
  <c r="BP735" i="1"/>
  <c r="BP734" i="1"/>
  <c r="BP733" i="1"/>
  <c r="BP732" i="1"/>
  <c r="BP731" i="1"/>
  <c r="BP730" i="1"/>
  <c r="BP729" i="1"/>
  <c r="BP728" i="1"/>
  <c r="BP727" i="1"/>
  <c r="BP726" i="1"/>
  <c r="BP725" i="1"/>
  <c r="BP724" i="1"/>
  <c r="BP723" i="1"/>
  <c r="BP722" i="1"/>
  <c r="BP721" i="1"/>
  <c r="BP720" i="1"/>
  <c r="BP719" i="1"/>
  <c r="BP718" i="1"/>
  <c r="BP717" i="1"/>
  <c r="BP716" i="1"/>
  <c r="BP715" i="1"/>
  <c r="BP714" i="1"/>
  <c r="BP713" i="1"/>
  <c r="BP712" i="1"/>
  <c r="BP711" i="1"/>
  <c r="BP710" i="1"/>
  <c r="BP709" i="1"/>
  <c r="BP708" i="1"/>
  <c r="BP707" i="1"/>
  <c r="BP706" i="1"/>
  <c r="BP705" i="1"/>
  <c r="BP704" i="1"/>
  <c r="BP703" i="1"/>
  <c r="BP702" i="1"/>
  <c r="BP701" i="1"/>
  <c r="BP700" i="1"/>
  <c r="BP699" i="1"/>
  <c r="BP698" i="1"/>
  <c r="BP697" i="1"/>
  <c r="BP696" i="1"/>
  <c r="BP695" i="1"/>
  <c r="BP694" i="1"/>
  <c r="BP693" i="1"/>
  <c r="BP692" i="1"/>
  <c r="BP691" i="1"/>
  <c r="BP690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670" i="1"/>
  <c r="BP669" i="1"/>
  <c r="BP668" i="1"/>
  <c r="BP667" i="1"/>
  <c r="BP666" i="1"/>
  <c r="BP665" i="1"/>
  <c r="BP664" i="1"/>
  <c r="BP663" i="1"/>
  <c r="BP662" i="1"/>
  <c r="BP661" i="1"/>
  <c r="BP660" i="1"/>
  <c r="BP659" i="1"/>
  <c r="BP658" i="1"/>
  <c r="BP657" i="1"/>
  <c r="BP656" i="1"/>
  <c r="BP655" i="1"/>
  <c r="BP654" i="1"/>
  <c r="BP653" i="1"/>
  <c r="BP652" i="1"/>
  <c r="BP651" i="1"/>
  <c r="BP650" i="1"/>
  <c r="BP649" i="1"/>
  <c r="BP648" i="1"/>
  <c r="BP647" i="1"/>
  <c r="BP646" i="1"/>
  <c r="BP645" i="1"/>
  <c r="BP644" i="1"/>
  <c r="BP643" i="1"/>
  <c r="BP642" i="1"/>
  <c r="BP641" i="1"/>
  <c r="BP640" i="1"/>
  <c r="BP639" i="1"/>
  <c r="BP638" i="1"/>
  <c r="BP637" i="1"/>
  <c r="BP636" i="1"/>
  <c r="BP635" i="1"/>
  <c r="BP634" i="1"/>
  <c r="BP633" i="1"/>
  <c r="BP632" i="1"/>
  <c r="BP631" i="1"/>
  <c r="BP630" i="1"/>
  <c r="BP629" i="1"/>
  <c r="BP628" i="1"/>
  <c r="BP627" i="1"/>
  <c r="BP626" i="1"/>
  <c r="BP625" i="1"/>
  <c r="BP624" i="1"/>
  <c r="BP623" i="1"/>
  <c r="BP622" i="1"/>
  <c r="BP621" i="1"/>
  <c r="BP620" i="1"/>
  <c r="BP619" i="1"/>
  <c r="BP618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05" i="1"/>
  <c r="BP604" i="1"/>
  <c r="BP603" i="1"/>
  <c r="BP602" i="1"/>
  <c r="BP601" i="1"/>
  <c r="BP600" i="1"/>
  <c r="BP599" i="1"/>
  <c r="BP598" i="1"/>
  <c r="BP597" i="1"/>
  <c r="BP596" i="1"/>
  <c r="BP595" i="1"/>
  <c r="BP594" i="1"/>
  <c r="BP593" i="1"/>
  <c r="BP592" i="1"/>
  <c r="BP591" i="1"/>
  <c r="BP590" i="1"/>
  <c r="BP589" i="1"/>
  <c r="BP588" i="1"/>
  <c r="BP587" i="1"/>
  <c r="BP586" i="1"/>
  <c r="BP585" i="1"/>
  <c r="BP584" i="1"/>
  <c r="BP583" i="1"/>
  <c r="BP582" i="1"/>
  <c r="BP581" i="1"/>
  <c r="BP580" i="1"/>
  <c r="BP579" i="1"/>
  <c r="BP578" i="1"/>
  <c r="BP577" i="1"/>
  <c r="BP576" i="1"/>
  <c r="BP575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42" i="1"/>
  <c r="BP541" i="1"/>
  <c r="BP540" i="1"/>
  <c r="BP539" i="1"/>
  <c r="BP538" i="1"/>
  <c r="BP537" i="1"/>
  <c r="BP536" i="1"/>
  <c r="BP535" i="1"/>
  <c r="BP534" i="1"/>
  <c r="BP533" i="1"/>
  <c r="BP532" i="1"/>
  <c r="BP531" i="1"/>
  <c r="BP530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4" i="1"/>
  <c r="BP483" i="1"/>
  <c r="BP482" i="1"/>
  <c r="BP481" i="1"/>
  <c r="BP480" i="1"/>
  <c r="BP479" i="1"/>
  <c r="BP478" i="1"/>
  <c r="BP477" i="1"/>
  <c r="BP476" i="1"/>
  <c r="BP475" i="1"/>
  <c r="BP474" i="1"/>
  <c r="BP473" i="1"/>
  <c r="BP472" i="1"/>
  <c r="BP471" i="1"/>
  <c r="BP470" i="1"/>
  <c r="BP469" i="1"/>
  <c r="BP468" i="1"/>
  <c r="BP467" i="1"/>
  <c r="BP466" i="1"/>
  <c r="BP465" i="1"/>
  <c r="BP464" i="1"/>
  <c r="BP463" i="1"/>
  <c r="BP462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36" i="1"/>
  <c r="BP435" i="1"/>
  <c r="BP434" i="1"/>
  <c r="BP433" i="1"/>
  <c r="BP432" i="1"/>
  <c r="BP431" i="1"/>
  <c r="BP430" i="1"/>
  <c r="BP429" i="1"/>
  <c r="BP428" i="1"/>
  <c r="BP427" i="1"/>
  <c r="BP426" i="1"/>
  <c r="BP425" i="1"/>
  <c r="BP424" i="1"/>
  <c r="BP423" i="1"/>
  <c r="BP422" i="1"/>
  <c r="BP421" i="1"/>
  <c r="BP420" i="1"/>
  <c r="BP419" i="1"/>
  <c r="BP418" i="1"/>
  <c r="BP417" i="1"/>
  <c r="BP416" i="1"/>
  <c r="BP415" i="1"/>
  <c r="BP414" i="1"/>
  <c r="BP413" i="1"/>
  <c r="BP412" i="1"/>
  <c r="BP411" i="1"/>
  <c r="BP410" i="1"/>
  <c r="BP409" i="1"/>
  <c r="BP408" i="1"/>
  <c r="BP407" i="1"/>
  <c r="BP406" i="1"/>
  <c r="BP405" i="1"/>
  <c r="BP404" i="1"/>
  <c r="BP403" i="1"/>
  <c r="BP402" i="1"/>
  <c r="BP401" i="1"/>
  <c r="BP400" i="1"/>
  <c r="BP399" i="1"/>
  <c r="BP398" i="1"/>
  <c r="BP397" i="1"/>
  <c r="BP396" i="1"/>
  <c r="BP395" i="1"/>
  <c r="BP394" i="1"/>
  <c r="BP393" i="1"/>
  <c r="BP392" i="1"/>
  <c r="BP391" i="1"/>
  <c r="BP390" i="1"/>
  <c r="BP389" i="1"/>
  <c r="BP388" i="1"/>
  <c r="BP387" i="1"/>
  <c r="BP386" i="1"/>
  <c r="BP385" i="1"/>
  <c r="BP384" i="1"/>
  <c r="BP383" i="1"/>
  <c r="BP382" i="1"/>
  <c r="BP381" i="1"/>
  <c r="BP380" i="1"/>
  <c r="BP379" i="1"/>
  <c r="BP378" i="1"/>
  <c r="BP377" i="1"/>
  <c r="BP376" i="1"/>
  <c r="BP375" i="1"/>
  <c r="BP374" i="1"/>
  <c r="BP373" i="1"/>
  <c r="BP372" i="1"/>
  <c r="BP371" i="1"/>
  <c r="BP370" i="1"/>
  <c r="BP369" i="1"/>
  <c r="BP368" i="1"/>
  <c r="BP367" i="1"/>
  <c r="BP366" i="1"/>
  <c r="BP365" i="1"/>
  <c r="BP364" i="1"/>
  <c r="BP363" i="1"/>
  <c r="BP362" i="1"/>
  <c r="BP361" i="1"/>
  <c r="BP360" i="1"/>
  <c r="BP359" i="1"/>
  <c r="BP358" i="1"/>
  <c r="BP357" i="1"/>
  <c r="BP356" i="1"/>
  <c r="BP355" i="1"/>
  <c r="BP354" i="1"/>
  <c r="BP353" i="1"/>
  <c r="BP352" i="1"/>
  <c r="BP351" i="1"/>
  <c r="BP350" i="1"/>
  <c r="BP349" i="1"/>
  <c r="BP348" i="1"/>
  <c r="BP347" i="1"/>
  <c r="BP346" i="1"/>
  <c r="BP345" i="1"/>
  <c r="BP344" i="1"/>
  <c r="BP343" i="1"/>
  <c r="BP342" i="1"/>
  <c r="BP341" i="1"/>
  <c r="BP340" i="1"/>
  <c r="BP339" i="1"/>
  <c r="BP338" i="1"/>
  <c r="BP337" i="1"/>
  <c r="BP336" i="1"/>
  <c r="BP335" i="1"/>
  <c r="BP334" i="1"/>
  <c r="BP333" i="1"/>
  <c r="BP332" i="1"/>
  <c r="BP331" i="1"/>
  <c r="BP330" i="1"/>
  <c r="BP329" i="1"/>
  <c r="BP328" i="1"/>
  <c r="BP327" i="1"/>
  <c r="BP326" i="1"/>
  <c r="BP325" i="1"/>
  <c r="BP324" i="1"/>
  <c r="BP323" i="1"/>
  <c r="BP322" i="1"/>
  <c r="BP321" i="1"/>
  <c r="BP320" i="1"/>
  <c r="BP319" i="1"/>
  <c r="BP318" i="1"/>
  <c r="BP317" i="1"/>
  <c r="BP316" i="1"/>
  <c r="BP315" i="1"/>
  <c r="BP314" i="1"/>
  <c r="BP313" i="1"/>
  <c r="BP312" i="1"/>
  <c r="BP311" i="1"/>
  <c r="BP310" i="1"/>
  <c r="BP309" i="1"/>
  <c r="BP308" i="1"/>
  <c r="BP307" i="1"/>
  <c r="BP306" i="1"/>
  <c r="BP305" i="1"/>
  <c r="BP304" i="1"/>
  <c r="BP303" i="1"/>
  <c r="BP302" i="1"/>
  <c r="BP301" i="1"/>
  <c r="BP300" i="1"/>
  <c r="BP299" i="1"/>
  <c r="BP298" i="1"/>
  <c r="BP297" i="1"/>
  <c r="BP296" i="1"/>
  <c r="BP295" i="1"/>
  <c r="BP294" i="1"/>
  <c r="BP293" i="1"/>
  <c r="BP292" i="1"/>
  <c r="BP291" i="1"/>
  <c r="BP290" i="1"/>
  <c r="BP289" i="1"/>
  <c r="BP288" i="1"/>
  <c r="BP287" i="1"/>
  <c r="BP286" i="1"/>
  <c r="BP285" i="1"/>
  <c r="BP284" i="1"/>
  <c r="BP283" i="1"/>
  <c r="BP282" i="1"/>
  <c r="BP281" i="1"/>
  <c r="BP280" i="1"/>
  <c r="BP279" i="1"/>
  <c r="BP278" i="1"/>
  <c r="BP277" i="1"/>
  <c r="BP276" i="1"/>
  <c r="BP275" i="1"/>
  <c r="BP274" i="1"/>
  <c r="BP273" i="1"/>
  <c r="BP272" i="1"/>
  <c r="BP271" i="1"/>
  <c r="BP270" i="1"/>
  <c r="BP269" i="1"/>
  <c r="BP268" i="1"/>
  <c r="BP267" i="1"/>
  <c r="BP266" i="1"/>
  <c r="BP265" i="1"/>
  <c r="BP264" i="1"/>
  <c r="BP263" i="1"/>
  <c r="BP262" i="1"/>
  <c r="BP261" i="1"/>
  <c r="BP260" i="1"/>
  <c r="BP259" i="1"/>
  <c r="BP258" i="1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BP200" i="1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165" i="1"/>
  <c r="D165" i="1" s="1"/>
  <c r="AW165" i="1" s="1"/>
  <c r="BP164" i="1"/>
  <c r="D164" i="1"/>
  <c r="C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BP102" i="1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65" i="1"/>
  <c r="B66" i="1" s="1"/>
  <c r="B67" i="1" s="1"/>
  <c r="BP64" i="1"/>
  <c r="D64" i="1"/>
  <c r="AW64" i="1" s="1"/>
  <c r="C64" i="1"/>
  <c r="E64" i="2" s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6" i="1"/>
  <c r="BP5" i="1"/>
  <c r="D5" i="1"/>
  <c r="C5" i="1"/>
  <c r="E5" i="2" s="1"/>
  <c r="B5" i="1"/>
  <c r="D6" i="1" s="1"/>
  <c r="BT6" i="1" s="1"/>
  <c r="BP4" i="1"/>
  <c r="D4" i="1"/>
  <c r="C4" i="1"/>
  <c r="P1500" i="2"/>
  <c r="O1500" i="2"/>
  <c r="E1500" i="2"/>
  <c r="P1499" i="2"/>
  <c r="O1499" i="2"/>
  <c r="E1499" i="2"/>
  <c r="P1498" i="2"/>
  <c r="O1498" i="2"/>
  <c r="E1498" i="2"/>
  <c r="P1497" i="2"/>
  <c r="O1497" i="2"/>
  <c r="E1497" i="2"/>
  <c r="P1496" i="2"/>
  <c r="O1496" i="2"/>
  <c r="E1496" i="2"/>
  <c r="P1495" i="2"/>
  <c r="O1495" i="2"/>
  <c r="E1495" i="2"/>
  <c r="P1494" i="2"/>
  <c r="O1494" i="2"/>
  <c r="E1494" i="2"/>
  <c r="P1493" i="2"/>
  <c r="O1493" i="2"/>
  <c r="E1493" i="2"/>
  <c r="P1492" i="2"/>
  <c r="O1492" i="2"/>
  <c r="E1492" i="2"/>
  <c r="P1491" i="2"/>
  <c r="O1491" i="2"/>
  <c r="E1491" i="2"/>
  <c r="P1490" i="2"/>
  <c r="O1490" i="2"/>
  <c r="E1490" i="2"/>
  <c r="P1489" i="2"/>
  <c r="O1489" i="2"/>
  <c r="E1489" i="2"/>
  <c r="P1488" i="2"/>
  <c r="O1488" i="2"/>
  <c r="E1488" i="2"/>
  <c r="P1487" i="2"/>
  <c r="O1487" i="2"/>
  <c r="E1487" i="2"/>
  <c r="P1486" i="2"/>
  <c r="O1486" i="2"/>
  <c r="E1486" i="2"/>
  <c r="P1485" i="2"/>
  <c r="O1485" i="2"/>
  <c r="E1485" i="2"/>
  <c r="P1484" i="2"/>
  <c r="O1484" i="2"/>
  <c r="E1484" i="2"/>
  <c r="P1483" i="2"/>
  <c r="O1483" i="2"/>
  <c r="E1483" i="2"/>
  <c r="P1482" i="2"/>
  <c r="O1482" i="2"/>
  <c r="E1482" i="2"/>
  <c r="P1481" i="2"/>
  <c r="O1481" i="2"/>
  <c r="E1481" i="2"/>
  <c r="P1480" i="2"/>
  <c r="O1480" i="2"/>
  <c r="E1480" i="2"/>
  <c r="P1479" i="2"/>
  <c r="O1479" i="2"/>
  <c r="E1479" i="2"/>
  <c r="P1478" i="2"/>
  <c r="O1478" i="2"/>
  <c r="E1478" i="2"/>
  <c r="P1477" i="2"/>
  <c r="O1477" i="2"/>
  <c r="E1477" i="2"/>
  <c r="P1476" i="2"/>
  <c r="O1476" i="2"/>
  <c r="E1476" i="2"/>
  <c r="P1475" i="2"/>
  <c r="O1475" i="2"/>
  <c r="E1475" i="2"/>
  <c r="P1474" i="2"/>
  <c r="O1474" i="2"/>
  <c r="E1474" i="2"/>
  <c r="P1473" i="2"/>
  <c r="O1473" i="2"/>
  <c r="E1473" i="2"/>
  <c r="P1472" i="2"/>
  <c r="O1472" i="2"/>
  <c r="E1472" i="2"/>
  <c r="P1471" i="2"/>
  <c r="O1471" i="2"/>
  <c r="E1471" i="2"/>
  <c r="P1470" i="2"/>
  <c r="O1470" i="2"/>
  <c r="E1470" i="2"/>
  <c r="P1469" i="2"/>
  <c r="O1469" i="2"/>
  <c r="E1469" i="2"/>
  <c r="P1468" i="2"/>
  <c r="O1468" i="2"/>
  <c r="E1468" i="2"/>
  <c r="P1467" i="2"/>
  <c r="O1467" i="2"/>
  <c r="E1467" i="2"/>
  <c r="P1466" i="2"/>
  <c r="O1466" i="2"/>
  <c r="E1466" i="2"/>
  <c r="P1465" i="2"/>
  <c r="O1465" i="2"/>
  <c r="E1465" i="2"/>
  <c r="P1464" i="2"/>
  <c r="O1464" i="2"/>
  <c r="E1464" i="2"/>
  <c r="P1463" i="2"/>
  <c r="O1463" i="2"/>
  <c r="E1463" i="2"/>
  <c r="P1462" i="2"/>
  <c r="O1462" i="2"/>
  <c r="E1462" i="2"/>
  <c r="P1461" i="2"/>
  <c r="O1461" i="2"/>
  <c r="E1461" i="2"/>
  <c r="P1460" i="2"/>
  <c r="O1460" i="2"/>
  <c r="E1460" i="2"/>
  <c r="P1459" i="2"/>
  <c r="O1459" i="2"/>
  <c r="E1459" i="2"/>
  <c r="P1458" i="2"/>
  <c r="O1458" i="2"/>
  <c r="E1458" i="2"/>
  <c r="P1457" i="2"/>
  <c r="O1457" i="2"/>
  <c r="E1457" i="2"/>
  <c r="P1456" i="2"/>
  <c r="O1456" i="2"/>
  <c r="E1456" i="2"/>
  <c r="P1455" i="2"/>
  <c r="O1455" i="2"/>
  <c r="E1455" i="2"/>
  <c r="P1454" i="2"/>
  <c r="O1454" i="2"/>
  <c r="E1454" i="2"/>
  <c r="P1453" i="2"/>
  <c r="O1453" i="2"/>
  <c r="E1453" i="2"/>
  <c r="P1452" i="2"/>
  <c r="O1452" i="2"/>
  <c r="E1452" i="2"/>
  <c r="P1451" i="2"/>
  <c r="O1451" i="2"/>
  <c r="E1451" i="2"/>
  <c r="P1450" i="2"/>
  <c r="O1450" i="2"/>
  <c r="E1450" i="2"/>
  <c r="P1449" i="2"/>
  <c r="O1449" i="2"/>
  <c r="E1449" i="2"/>
  <c r="P1448" i="2"/>
  <c r="O1448" i="2"/>
  <c r="E1448" i="2"/>
  <c r="P1447" i="2"/>
  <c r="O1447" i="2"/>
  <c r="E1447" i="2"/>
  <c r="P1446" i="2"/>
  <c r="O1446" i="2"/>
  <c r="E1446" i="2"/>
  <c r="P1445" i="2"/>
  <c r="O1445" i="2"/>
  <c r="E1445" i="2"/>
  <c r="P1444" i="2"/>
  <c r="O1444" i="2"/>
  <c r="E1444" i="2"/>
  <c r="P1443" i="2"/>
  <c r="O1443" i="2"/>
  <c r="E1443" i="2"/>
  <c r="P1442" i="2"/>
  <c r="O1442" i="2"/>
  <c r="E1442" i="2"/>
  <c r="P1441" i="2"/>
  <c r="O1441" i="2"/>
  <c r="E1441" i="2"/>
  <c r="P1440" i="2"/>
  <c r="O1440" i="2"/>
  <c r="E1440" i="2"/>
  <c r="P1439" i="2"/>
  <c r="O1439" i="2"/>
  <c r="E1439" i="2"/>
  <c r="P1438" i="2"/>
  <c r="O1438" i="2"/>
  <c r="E1438" i="2"/>
  <c r="P1437" i="2"/>
  <c r="O1437" i="2"/>
  <c r="E1437" i="2"/>
  <c r="P1436" i="2"/>
  <c r="O1436" i="2"/>
  <c r="E1436" i="2"/>
  <c r="P1435" i="2"/>
  <c r="O1435" i="2"/>
  <c r="E1435" i="2"/>
  <c r="P1434" i="2"/>
  <c r="O1434" i="2"/>
  <c r="E1434" i="2"/>
  <c r="P1433" i="2"/>
  <c r="O1433" i="2"/>
  <c r="E1433" i="2"/>
  <c r="P1432" i="2"/>
  <c r="O1432" i="2"/>
  <c r="E1432" i="2"/>
  <c r="P1431" i="2"/>
  <c r="O1431" i="2"/>
  <c r="E1431" i="2"/>
  <c r="P1430" i="2"/>
  <c r="O1430" i="2"/>
  <c r="E1430" i="2"/>
  <c r="P1429" i="2"/>
  <c r="O1429" i="2"/>
  <c r="E1429" i="2"/>
  <c r="P1428" i="2"/>
  <c r="O1428" i="2"/>
  <c r="E1428" i="2"/>
  <c r="P1427" i="2"/>
  <c r="O1427" i="2"/>
  <c r="E1427" i="2"/>
  <c r="P1426" i="2"/>
  <c r="O1426" i="2"/>
  <c r="E1426" i="2"/>
  <c r="P1425" i="2"/>
  <c r="O1425" i="2"/>
  <c r="E1425" i="2"/>
  <c r="P1424" i="2"/>
  <c r="O1424" i="2"/>
  <c r="E1424" i="2"/>
  <c r="P1423" i="2"/>
  <c r="O1423" i="2"/>
  <c r="E1423" i="2"/>
  <c r="P1422" i="2"/>
  <c r="O1422" i="2"/>
  <c r="E1422" i="2"/>
  <c r="P1421" i="2"/>
  <c r="O1421" i="2"/>
  <c r="E1421" i="2"/>
  <c r="P1420" i="2"/>
  <c r="O1420" i="2"/>
  <c r="E1420" i="2"/>
  <c r="P1419" i="2"/>
  <c r="O1419" i="2"/>
  <c r="E1419" i="2"/>
  <c r="P1418" i="2"/>
  <c r="O1418" i="2"/>
  <c r="E1418" i="2"/>
  <c r="P1417" i="2"/>
  <c r="O1417" i="2"/>
  <c r="E1417" i="2"/>
  <c r="P1416" i="2"/>
  <c r="O1416" i="2"/>
  <c r="E1416" i="2"/>
  <c r="P1415" i="2"/>
  <c r="O1415" i="2"/>
  <c r="E1415" i="2"/>
  <c r="P1414" i="2"/>
  <c r="O1414" i="2"/>
  <c r="E1414" i="2"/>
  <c r="P1413" i="2"/>
  <c r="O1413" i="2"/>
  <c r="E1413" i="2"/>
  <c r="P1412" i="2"/>
  <c r="O1412" i="2"/>
  <c r="E1412" i="2"/>
  <c r="P1411" i="2"/>
  <c r="O1411" i="2"/>
  <c r="E1411" i="2"/>
  <c r="P1410" i="2"/>
  <c r="O1410" i="2"/>
  <c r="E1410" i="2"/>
  <c r="P1409" i="2"/>
  <c r="O1409" i="2"/>
  <c r="E1409" i="2"/>
  <c r="P1408" i="2"/>
  <c r="O1408" i="2"/>
  <c r="E1408" i="2"/>
  <c r="P1407" i="2"/>
  <c r="O1407" i="2"/>
  <c r="E1407" i="2"/>
  <c r="P1406" i="2"/>
  <c r="O1406" i="2"/>
  <c r="E1406" i="2"/>
  <c r="P1405" i="2"/>
  <c r="O1405" i="2"/>
  <c r="E1405" i="2"/>
  <c r="P1404" i="2"/>
  <c r="O1404" i="2"/>
  <c r="E1404" i="2"/>
  <c r="P1403" i="2"/>
  <c r="O1403" i="2"/>
  <c r="E1403" i="2"/>
  <c r="P1402" i="2"/>
  <c r="O1402" i="2"/>
  <c r="E1402" i="2"/>
  <c r="P1401" i="2"/>
  <c r="O1401" i="2"/>
  <c r="E1401" i="2"/>
  <c r="P1400" i="2"/>
  <c r="O1400" i="2"/>
  <c r="E1400" i="2"/>
  <c r="P1399" i="2"/>
  <c r="O1399" i="2"/>
  <c r="E1399" i="2"/>
  <c r="P1398" i="2"/>
  <c r="O1398" i="2"/>
  <c r="E1398" i="2"/>
  <c r="P1397" i="2"/>
  <c r="O1397" i="2"/>
  <c r="E1397" i="2"/>
  <c r="P1396" i="2"/>
  <c r="O1396" i="2"/>
  <c r="E1396" i="2"/>
  <c r="P1395" i="2"/>
  <c r="O1395" i="2"/>
  <c r="E1395" i="2"/>
  <c r="P1394" i="2"/>
  <c r="O1394" i="2"/>
  <c r="E1394" i="2"/>
  <c r="P1393" i="2"/>
  <c r="O1393" i="2"/>
  <c r="E1393" i="2"/>
  <c r="P1392" i="2"/>
  <c r="O1392" i="2"/>
  <c r="E1392" i="2"/>
  <c r="P1391" i="2"/>
  <c r="O1391" i="2"/>
  <c r="E1391" i="2"/>
  <c r="P1390" i="2"/>
  <c r="O1390" i="2"/>
  <c r="E1390" i="2"/>
  <c r="P1389" i="2"/>
  <c r="O1389" i="2"/>
  <c r="E1389" i="2"/>
  <c r="P1388" i="2"/>
  <c r="O1388" i="2"/>
  <c r="E1388" i="2"/>
  <c r="P1387" i="2"/>
  <c r="O1387" i="2"/>
  <c r="E1387" i="2"/>
  <c r="P1386" i="2"/>
  <c r="O1386" i="2"/>
  <c r="E1386" i="2"/>
  <c r="P1385" i="2"/>
  <c r="O1385" i="2"/>
  <c r="E1385" i="2"/>
  <c r="P1384" i="2"/>
  <c r="O1384" i="2"/>
  <c r="E1384" i="2"/>
  <c r="P1383" i="2"/>
  <c r="O1383" i="2"/>
  <c r="E1383" i="2"/>
  <c r="P1382" i="2"/>
  <c r="O1382" i="2"/>
  <c r="E1382" i="2"/>
  <c r="P1381" i="2"/>
  <c r="O1381" i="2"/>
  <c r="E1381" i="2"/>
  <c r="P1380" i="2"/>
  <c r="O1380" i="2"/>
  <c r="E1380" i="2"/>
  <c r="P1379" i="2"/>
  <c r="O1379" i="2"/>
  <c r="E1379" i="2"/>
  <c r="P1378" i="2"/>
  <c r="O1378" i="2"/>
  <c r="E1378" i="2"/>
  <c r="P1377" i="2"/>
  <c r="O1377" i="2"/>
  <c r="E1377" i="2"/>
  <c r="P1376" i="2"/>
  <c r="O1376" i="2"/>
  <c r="E1376" i="2"/>
  <c r="P1375" i="2"/>
  <c r="O1375" i="2"/>
  <c r="E1375" i="2"/>
  <c r="P1374" i="2"/>
  <c r="O1374" i="2"/>
  <c r="E1374" i="2"/>
  <c r="P1373" i="2"/>
  <c r="O1373" i="2"/>
  <c r="E1373" i="2"/>
  <c r="P1372" i="2"/>
  <c r="O1372" i="2"/>
  <c r="E1372" i="2"/>
  <c r="P1371" i="2"/>
  <c r="O1371" i="2"/>
  <c r="E1371" i="2"/>
  <c r="P1370" i="2"/>
  <c r="O1370" i="2"/>
  <c r="E1370" i="2"/>
  <c r="P1369" i="2"/>
  <c r="O1369" i="2"/>
  <c r="E1369" i="2"/>
  <c r="P1368" i="2"/>
  <c r="O1368" i="2"/>
  <c r="E1368" i="2"/>
  <c r="P1367" i="2"/>
  <c r="O1367" i="2"/>
  <c r="E1367" i="2"/>
  <c r="P1366" i="2"/>
  <c r="O1366" i="2"/>
  <c r="E1366" i="2"/>
  <c r="P1365" i="2"/>
  <c r="O1365" i="2"/>
  <c r="E1365" i="2"/>
  <c r="P1364" i="2"/>
  <c r="O1364" i="2"/>
  <c r="E1364" i="2"/>
  <c r="P1363" i="2"/>
  <c r="O1363" i="2"/>
  <c r="E1363" i="2"/>
  <c r="P1362" i="2"/>
  <c r="O1362" i="2"/>
  <c r="E1362" i="2"/>
  <c r="P1361" i="2"/>
  <c r="O1361" i="2"/>
  <c r="E1361" i="2"/>
  <c r="P1360" i="2"/>
  <c r="O1360" i="2"/>
  <c r="E1360" i="2"/>
  <c r="P1359" i="2"/>
  <c r="O1359" i="2"/>
  <c r="E1359" i="2"/>
  <c r="P1358" i="2"/>
  <c r="O1358" i="2"/>
  <c r="E1358" i="2"/>
  <c r="P1357" i="2"/>
  <c r="O1357" i="2"/>
  <c r="E1357" i="2"/>
  <c r="P1356" i="2"/>
  <c r="O1356" i="2"/>
  <c r="E1356" i="2"/>
  <c r="P1355" i="2"/>
  <c r="O1355" i="2"/>
  <c r="E1355" i="2"/>
  <c r="P1354" i="2"/>
  <c r="O1354" i="2"/>
  <c r="E1354" i="2"/>
  <c r="P1353" i="2"/>
  <c r="O1353" i="2"/>
  <c r="E1353" i="2"/>
  <c r="P1352" i="2"/>
  <c r="O1352" i="2"/>
  <c r="E1352" i="2"/>
  <c r="P1351" i="2"/>
  <c r="O1351" i="2"/>
  <c r="E1351" i="2"/>
  <c r="P1350" i="2"/>
  <c r="O1350" i="2"/>
  <c r="E1350" i="2"/>
  <c r="P1349" i="2"/>
  <c r="O1349" i="2"/>
  <c r="E1349" i="2"/>
  <c r="P1348" i="2"/>
  <c r="O1348" i="2"/>
  <c r="E1348" i="2"/>
  <c r="P1347" i="2"/>
  <c r="O1347" i="2"/>
  <c r="E1347" i="2"/>
  <c r="P1346" i="2"/>
  <c r="O1346" i="2"/>
  <c r="E1346" i="2"/>
  <c r="P1345" i="2"/>
  <c r="O1345" i="2"/>
  <c r="E1345" i="2"/>
  <c r="P1344" i="2"/>
  <c r="O1344" i="2"/>
  <c r="E1344" i="2"/>
  <c r="P1343" i="2"/>
  <c r="O1343" i="2"/>
  <c r="E1343" i="2"/>
  <c r="P1342" i="2"/>
  <c r="O1342" i="2"/>
  <c r="E1342" i="2"/>
  <c r="P1341" i="2"/>
  <c r="O1341" i="2"/>
  <c r="E1341" i="2"/>
  <c r="P1340" i="2"/>
  <c r="O1340" i="2"/>
  <c r="E1340" i="2"/>
  <c r="P1339" i="2"/>
  <c r="O1339" i="2"/>
  <c r="E1339" i="2"/>
  <c r="P1338" i="2"/>
  <c r="O1338" i="2"/>
  <c r="E1338" i="2"/>
  <c r="P1337" i="2"/>
  <c r="O1337" i="2"/>
  <c r="E1337" i="2"/>
  <c r="P1336" i="2"/>
  <c r="O1336" i="2"/>
  <c r="E1336" i="2"/>
  <c r="P1335" i="2"/>
  <c r="O1335" i="2"/>
  <c r="E1335" i="2"/>
  <c r="P1334" i="2"/>
  <c r="O1334" i="2"/>
  <c r="E1334" i="2"/>
  <c r="P1333" i="2"/>
  <c r="O1333" i="2"/>
  <c r="E1333" i="2"/>
  <c r="P1332" i="2"/>
  <c r="O1332" i="2"/>
  <c r="E1332" i="2"/>
  <c r="P1331" i="2"/>
  <c r="O1331" i="2"/>
  <c r="E1331" i="2"/>
  <c r="P1330" i="2"/>
  <c r="O1330" i="2"/>
  <c r="E1330" i="2"/>
  <c r="P1329" i="2"/>
  <c r="O1329" i="2"/>
  <c r="E1329" i="2"/>
  <c r="P1328" i="2"/>
  <c r="O1328" i="2"/>
  <c r="E1328" i="2"/>
  <c r="P1327" i="2"/>
  <c r="O1327" i="2"/>
  <c r="E1327" i="2"/>
  <c r="P1326" i="2"/>
  <c r="O1326" i="2"/>
  <c r="E1326" i="2"/>
  <c r="P1325" i="2"/>
  <c r="O1325" i="2"/>
  <c r="E1325" i="2"/>
  <c r="P1324" i="2"/>
  <c r="O1324" i="2"/>
  <c r="E1324" i="2"/>
  <c r="P1323" i="2"/>
  <c r="O1323" i="2"/>
  <c r="E1323" i="2"/>
  <c r="P1322" i="2"/>
  <c r="O1322" i="2"/>
  <c r="E1322" i="2"/>
  <c r="P1321" i="2"/>
  <c r="O1321" i="2"/>
  <c r="E1321" i="2"/>
  <c r="P1320" i="2"/>
  <c r="O1320" i="2"/>
  <c r="E1320" i="2"/>
  <c r="P1319" i="2"/>
  <c r="O1319" i="2"/>
  <c r="E1319" i="2"/>
  <c r="P1318" i="2"/>
  <c r="O1318" i="2"/>
  <c r="E1318" i="2"/>
  <c r="P1317" i="2"/>
  <c r="O1317" i="2"/>
  <c r="E1317" i="2"/>
  <c r="P1316" i="2"/>
  <c r="O1316" i="2"/>
  <c r="E1316" i="2"/>
  <c r="P1315" i="2"/>
  <c r="O1315" i="2"/>
  <c r="E1315" i="2"/>
  <c r="P1314" i="2"/>
  <c r="O1314" i="2"/>
  <c r="E1314" i="2"/>
  <c r="P1313" i="2"/>
  <c r="O1313" i="2"/>
  <c r="E1313" i="2"/>
  <c r="P1312" i="2"/>
  <c r="O1312" i="2"/>
  <c r="E1312" i="2"/>
  <c r="P1311" i="2"/>
  <c r="O1311" i="2"/>
  <c r="E1311" i="2"/>
  <c r="P1310" i="2"/>
  <c r="O1310" i="2"/>
  <c r="E1310" i="2"/>
  <c r="P1309" i="2"/>
  <c r="O1309" i="2"/>
  <c r="E1309" i="2"/>
  <c r="P1308" i="2"/>
  <c r="O1308" i="2"/>
  <c r="E1308" i="2"/>
  <c r="P1307" i="2"/>
  <c r="O1307" i="2"/>
  <c r="E1307" i="2"/>
  <c r="P1306" i="2"/>
  <c r="O1306" i="2"/>
  <c r="E1306" i="2"/>
  <c r="P1305" i="2"/>
  <c r="O1305" i="2"/>
  <c r="E1305" i="2"/>
  <c r="P1304" i="2"/>
  <c r="O1304" i="2"/>
  <c r="E1304" i="2"/>
  <c r="P1303" i="2"/>
  <c r="O1303" i="2"/>
  <c r="E1303" i="2"/>
  <c r="P1302" i="2"/>
  <c r="O1302" i="2"/>
  <c r="E1302" i="2"/>
  <c r="P1301" i="2"/>
  <c r="O1301" i="2"/>
  <c r="E1301" i="2"/>
  <c r="P1300" i="2"/>
  <c r="O1300" i="2"/>
  <c r="E1300" i="2"/>
  <c r="P1299" i="2"/>
  <c r="O1299" i="2"/>
  <c r="E1299" i="2"/>
  <c r="P1298" i="2"/>
  <c r="O1298" i="2"/>
  <c r="E1298" i="2"/>
  <c r="P1297" i="2"/>
  <c r="O1297" i="2"/>
  <c r="E1297" i="2"/>
  <c r="P1296" i="2"/>
  <c r="O1296" i="2"/>
  <c r="E1296" i="2"/>
  <c r="P1295" i="2"/>
  <c r="O1295" i="2"/>
  <c r="E1295" i="2"/>
  <c r="P1294" i="2"/>
  <c r="O1294" i="2"/>
  <c r="E1294" i="2"/>
  <c r="P1293" i="2"/>
  <c r="O1293" i="2"/>
  <c r="E1293" i="2"/>
  <c r="P1292" i="2"/>
  <c r="O1292" i="2"/>
  <c r="E1292" i="2"/>
  <c r="P1291" i="2"/>
  <c r="O1291" i="2"/>
  <c r="E1291" i="2"/>
  <c r="P1290" i="2"/>
  <c r="O1290" i="2"/>
  <c r="E1290" i="2"/>
  <c r="P1289" i="2"/>
  <c r="O1289" i="2"/>
  <c r="E1289" i="2"/>
  <c r="P1288" i="2"/>
  <c r="O1288" i="2"/>
  <c r="E1288" i="2"/>
  <c r="P1287" i="2"/>
  <c r="O1287" i="2"/>
  <c r="E1287" i="2"/>
  <c r="P1286" i="2"/>
  <c r="O1286" i="2"/>
  <c r="E1286" i="2"/>
  <c r="P1285" i="2"/>
  <c r="O1285" i="2"/>
  <c r="E1285" i="2"/>
  <c r="P1284" i="2"/>
  <c r="O1284" i="2"/>
  <c r="E1284" i="2"/>
  <c r="P1283" i="2"/>
  <c r="O1283" i="2"/>
  <c r="E1283" i="2"/>
  <c r="P1282" i="2"/>
  <c r="O1282" i="2"/>
  <c r="E1282" i="2"/>
  <c r="P1281" i="2"/>
  <c r="O1281" i="2"/>
  <c r="E1281" i="2"/>
  <c r="P1280" i="2"/>
  <c r="O1280" i="2"/>
  <c r="E1280" i="2"/>
  <c r="P1279" i="2"/>
  <c r="O1279" i="2"/>
  <c r="E1279" i="2"/>
  <c r="P1278" i="2"/>
  <c r="O1278" i="2"/>
  <c r="E1278" i="2"/>
  <c r="P1277" i="2"/>
  <c r="O1277" i="2"/>
  <c r="E1277" i="2"/>
  <c r="P1276" i="2"/>
  <c r="O1276" i="2"/>
  <c r="E1276" i="2"/>
  <c r="P1275" i="2"/>
  <c r="O1275" i="2"/>
  <c r="E1275" i="2"/>
  <c r="P1274" i="2"/>
  <c r="O1274" i="2"/>
  <c r="E1274" i="2"/>
  <c r="P1273" i="2"/>
  <c r="O1273" i="2"/>
  <c r="E1273" i="2"/>
  <c r="P1272" i="2"/>
  <c r="O1272" i="2"/>
  <c r="E1272" i="2"/>
  <c r="P1271" i="2"/>
  <c r="O1271" i="2"/>
  <c r="E1271" i="2"/>
  <c r="P1270" i="2"/>
  <c r="O1270" i="2"/>
  <c r="E1270" i="2"/>
  <c r="P1269" i="2"/>
  <c r="O1269" i="2"/>
  <c r="E1269" i="2"/>
  <c r="P1268" i="2"/>
  <c r="O1268" i="2"/>
  <c r="E1268" i="2"/>
  <c r="P1267" i="2"/>
  <c r="O1267" i="2"/>
  <c r="E1267" i="2"/>
  <c r="P1266" i="2"/>
  <c r="O1266" i="2"/>
  <c r="E1266" i="2"/>
  <c r="P1265" i="2"/>
  <c r="O1265" i="2"/>
  <c r="E1265" i="2"/>
  <c r="P1264" i="2"/>
  <c r="O1264" i="2"/>
  <c r="E1264" i="2"/>
  <c r="P1263" i="2"/>
  <c r="O1263" i="2"/>
  <c r="E1263" i="2"/>
  <c r="P1262" i="2"/>
  <c r="O1262" i="2"/>
  <c r="E1262" i="2"/>
  <c r="P1261" i="2"/>
  <c r="O1261" i="2"/>
  <c r="E1261" i="2"/>
  <c r="P1260" i="2"/>
  <c r="O1260" i="2"/>
  <c r="E1260" i="2"/>
  <c r="P1259" i="2"/>
  <c r="O1259" i="2"/>
  <c r="E1259" i="2"/>
  <c r="P1258" i="2"/>
  <c r="O1258" i="2"/>
  <c r="E1258" i="2"/>
  <c r="P1257" i="2"/>
  <c r="O1257" i="2"/>
  <c r="E1257" i="2"/>
  <c r="P1256" i="2"/>
  <c r="O1256" i="2"/>
  <c r="E1256" i="2"/>
  <c r="P1255" i="2"/>
  <c r="O1255" i="2"/>
  <c r="E1255" i="2"/>
  <c r="P1254" i="2"/>
  <c r="O1254" i="2"/>
  <c r="E1254" i="2"/>
  <c r="P1253" i="2"/>
  <c r="O1253" i="2"/>
  <c r="E1253" i="2"/>
  <c r="P1252" i="2"/>
  <c r="O1252" i="2"/>
  <c r="E1252" i="2"/>
  <c r="P1251" i="2"/>
  <c r="O1251" i="2"/>
  <c r="E1251" i="2"/>
  <c r="P1250" i="2"/>
  <c r="O1250" i="2"/>
  <c r="E1250" i="2"/>
  <c r="P1249" i="2"/>
  <c r="O1249" i="2"/>
  <c r="E1249" i="2"/>
  <c r="P1248" i="2"/>
  <c r="O1248" i="2"/>
  <c r="E1248" i="2"/>
  <c r="P1247" i="2"/>
  <c r="O1247" i="2"/>
  <c r="E1247" i="2"/>
  <c r="P1246" i="2"/>
  <c r="O1246" i="2"/>
  <c r="E1246" i="2"/>
  <c r="P1245" i="2"/>
  <c r="O1245" i="2"/>
  <c r="E1245" i="2"/>
  <c r="P1244" i="2"/>
  <c r="O1244" i="2"/>
  <c r="E1244" i="2"/>
  <c r="P1243" i="2"/>
  <c r="O1243" i="2"/>
  <c r="E1243" i="2"/>
  <c r="P1242" i="2"/>
  <c r="O1242" i="2"/>
  <c r="E1242" i="2"/>
  <c r="P1241" i="2"/>
  <c r="O1241" i="2"/>
  <c r="E1241" i="2"/>
  <c r="P1240" i="2"/>
  <c r="O1240" i="2"/>
  <c r="E1240" i="2"/>
  <c r="P1239" i="2"/>
  <c r="O1239" i="2"/>
  <c r="E1239" i="2"/>
  <c r="P1238" i="2"/>
  <c r="O1238" i="2"/>
  <c r="E1238" i="2"/>
  <c r="P1237" i="2"/>
  <c r="O1237" i="2"/>
  <c r="E1237" i="2"/>
  <c r="P1236" i="2"/>
  <c r="O1236" i="2"/>
  <c r="E1236" i="2"/>
  <c r="P1235" i="2"/>
  <c r="O1235" i="2"/>
  <c r="E1235" i="2"/>
  <c r="P1234" i="2"/>
  <c r="O1234" i="2"/>
  <c r="E1234" i="2"/>
  <c r="P1233" i="2"/>
  <c r="O1233" i="2"/>
  <c r="E1233" i="2"/>
  <c r="P1232" i="2"/>
  <c r="O1232" i="2"/>
  <c r="E1232" i="2"/>
  <c r="P1231" i="2"/>
  <c r="O1231" i="2"/>
  <c r="E1231" i="2"/>
  <c r="P1230" i="2"/>
  <c r="O1230" i="2"/>
  <c r="E1230" i="2"/>
  <c r="P1229" i="2"/>
  <c r="O1229" i="2"/>
  <c r="E1229" i="2"/>
  <c r="P1228" i="2"/>
  <c r="O1228" i="2"/>
  <c r="E1228" i="2"/>
  <c r="P1227" i="2"/>
  <c r="O1227" i="2"/>
  <c r="E1227" i="2"/>
  <c r="P1226" i="2"/>
  <c r="O1226" i="2"/>
  <c r="E1226" i="2"/>
  <c r="P1225" i="2"/>
  <c r="O1225" i="2"/>
  <c r="E1225" i="2"/>
  <c r="P1224" i="2"/>
  <c r="O1224" i="2"/>
  <c r="E1224" i="2"/>
  <c r="P1223" i="2"/>
  <c r="O1223" i="2"/>
  <c r="E1223" i="2"/>
  <c r="P1222" i="2"/>
  <c r="O1222" i="2"/>
  <c r="E1222" i="2"/>
  <c r="P1221" i="2"/>
  <c r="O1221" i="2"/>
  <c r="E1221" i="2"/>
  <c r="P1220" i="2"/>
  <c r="O1220" i="2"/>
  <c r="E1220" i="2"/>
  <c r="P1219" i="2"/>
  <c r="O1219" i="2"/>
  <c r="E1219" i="2"/>
  <c r="P1218" i="2"/>
  <c r="O1218" i="2"/>
  <c r="E1218" i="2"/>
  <c r="P1217" i="2"/>
  <c r="O1217" i="2"/>
  <c r="E1217" i="2"/>
  <c r="P1216" i="2"/>
  <c r="O1216" i="2"/>
  <c r="E1216" i="2"/>
  <c r="P1215" i="2"/>
  <c r="O1215" i="2"/>
  <c r="E1215" i="2"/>
  <c r="P1214" i="2"/>
  <c r="O1214" i="2"/>
  <c r="E1214" i="2"/>
  <c r="P1213" i="2"/>
  <c r="O1213" i="2"/>
  <c r="E1213" i="2"/>
  <c r="P1212" i="2"/>
  <c r="O1212" i="2"/>
  <c r="E1212" i="2"/>
  <c r="P1211" i="2"/>
  <c r="O1211" i="2"/>
  <c r="E1211" i="2"/>
  <c r="P1210" i="2"/>
  <c r="O1210" i="2"/>
  <c r="E1210" i="2"/>
  <c r="P1209" i="2"/>
  <c r="O1209" i="2"/>
  <c r="E1209" i="2"/>
  <c r="P1208" i="2"/>
  <c r="O1208" i="2"/>
  <c r="E1208" i="2"/>
  <c r="P1207" i="2"/>
  <c r="O1207" i="2"/>
  <c r="E1207" i="2"/>
  <c r="P1206" i="2"/>
  <c r="O1206" i="2"/>
  <c r="E1206" i="2"/>
  <c r="P1205" i="2"/>
  <c r="O1205" i="2"/>
  <c r="E1205" i="2"/>
  <c r="P1204" i="2"/>
  <c r="O1204" i="2"/>
  <c r="E1204" i="2"/>
  <c r="P1203" i="2"/>
  <c r="O1203" i="2"/>
  <c r="E1203" i="2"/>
  <c r="P1202" i="2"/>
  <c r="O1202" i="2"/>
  <c r="E1202" i="2"/>
  <c r="P1201" i="2"/>
  <c r="O1201" i="2"/>
  <c r="E1201" i="2"/>
  <c r="P1200" i="2"/>
  <c r="O1200" i="2"/>
  <c r="E1200" i="2"/>
  <c r="P1199" i="2"/>
  <c r="O1199" i="2"/>
  <c r="E1199" i="2"/>
  <c r="P1198" i="2"/>
  <c r="O1198" i="2"/>
  <c r="E1198" i="2"/>
  <c r="P1197" i="2"/>
  <c r="O1197" i="2"/>
  <c r="E1197" i="2"/>
  <c r="P1196" i="2"/>
  <c r="O1196" i="2"/>
  <c r="E1196" i="2"/>
  <c r="P1195" i="2"/>
  <c r="O1195" i="2"/>
  <c r="E1195" i="2"/>
  <c r="P1194" i="2"/>
  <c r="O1194" i="2"/>
  <c r="E1194" i="2"/>
  <c r="P1193" i="2"/>
  <c r="O1193" i="2"/>
  <c r="E1193" i="2"/>
  <c r="P1192" i="2"/>
  <c r="O1192" i="2"/>
  <c r="E1192" i="2"/>
  <c r="P1191" i="2"/>
  <c r="O1191" i="2"/>
  <c r="E1191" i="2"/>
  <c r="P1190" i="2"/>
  <c r="O1190" i="2"/>
  <c r="E1190" i="2"/>
  <c r="P1189" i="2"/>
  <c r="O1189" i="2"/>
  <c r="E1189" i="2"/>
  <c r="P1188" i="2"/>
  <c r="O1188" i="2"/>
  <c r="E1188" i="2"/>
  <c r="P1187" i="2"/>
  <c r="O1187" i="2"/>
  <c r="E1187" i="2"/>
  <c r="P1186" i="2"/>
  <c r="O1186" i="2"/>
  <c r="E1186" i="2"/>
  <c r="P1185" i="2"/>
  <c r="O1185" i="2"/>
  <c r="E1185" i="2"/>
  <c r="P1184" i="2"/>
  <c r="O1184" i="2"/>
  <c r="E1184" i="2"/>
  <c r="P1183" i="2"/>
  <c r="O1183" i="2"/>
  <c r="E1183" i="2"/>
  <c r="P1182" i="2"/>
  <c r="O1182" i="2"/>
  <c r="E1182" i="2"/>
  <c r="P1181" i="2"/>
  <c r="O1181" i="2"/>
  <c r="E1181" i="2"/>
  <c r="P1180" i="2"/>
  <c r="O1180" i="2"/>
  <c r="E1180" i="2"/>
  <c r="P1179" i="2"/>
  <c r="O1179" i="2"/>
  <c r="E1179" i="2"/>
  <c r="P1178" i="2"/>
  <c r="O1178" i="2"/>
  <c r="E1178" i="2"/>
  <c r="P1177" i="2"/>
  <c r="O1177" i="2"/>
  <c r="E1177" i="2"/>
  <c r="P1176" i="2"/>
  <c r="O1176" i="2"/>
  <c r="E1176" i="2"/>
  <c r="P1175" i="2"/>
  <c r="O1175" i="2"/>
  <c r="E1175" i="2"/>
  <c r="P1174" i="2"/>
  <c r="O1174" i="2"/>
  <c r="E1174" i="2"/>
  <c r="P1173" i="2"/>
  <c r="O1173" i="2"/>
  <c r="E1173" i="2"/>
  <c r="P1172" i="2"/>
  <c r="O1172" i="2"/>
  <c r="E1172" i="2"/>
  <c r="P1171" i="2"/>
  <c r="O1171" i="2"/>
  <c r="E1171" i="2"/>
  <c r="P1170" i="2"/>
  <c r="O1170" i="2"/>
  <c r="E1170" i="2"/>
  <c r="P1169" i="2"/>
  <c r="O1169" i="2"/>
  <c r="E1169" i="2"/>
  <c r="P1168" i="2"/>
  <c r="O1168" i="2"/>
  <c r="E1168" i="2"/>
  <c r="P1167" i="2"/>
  <c r="O1167" i="2"/>
  <c r="E1167" i="2"/>
  <c r="P1166" i="2"/>
  <c r="O1166" i="2"/>
  <c r="E1166" i="2"/>
  <c r="P1165" i="2"/>
  <c r="O1165" i="2"/>
  <c r="E1165" i="2"/>
  <c r="P1164" i="2"/>
  <c r="O1164" i="2"/>
  <c r="E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P791" i="2"/>
  <c r="O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P576" i="2"/>
  <c r="O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E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C5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C64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C164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D9" i="2" l="1"/>
  <c r="B10" i="1"/>
  <c r="B4" i="7"/>
  <c r="T6" i="2"/>
  <c r="AW6" i="1"/>
  <c r="AU4" i="7" s="1"/>
  <c r="AW164" i="1"/>
  <c r="BT164" i="1"/>
  <c r="T164" i="2" s="1"/>
  <c r="T4" i="2"/>
  <c r="AW4" i="1"/>
  <c r="T5" i="2"/>
  <c r="AW5" i="1"/>
  <c r="BT64" i="1"/>
  <c r="T64" i="2" s="1"/>
  <c r="D65" i="1"/>
  <c r="D66" i="1"/>
  <c r="D67" i="1"/>
  <c r="B68" i="1"/>
  <c r="C67" i="1"/>
  <c r="C66" i="1"/>
  <c r="C6" i="1"/>
  <c r="A4" i="7" s="1"/>
  <c r="C165" i="1"/>
  <c r="B166" i="1"/>
  <c r="C65" i="1"/>
  <c r="E4" i="2"/>
  <c r="D10" i="2" l="1"/>
  <c r="B11" i="1"/>
  <c r="AW65" i="1"/>
  <c r="BT65" i="1"/>
  <c r="T65" i="2" s="1"/>
  <c r="AW67" i="1"/>
  <c r="BT67" i="1"/>
  <c r="T67" i="2" s="1"/>
  <c r="AW66" i="1"/>
  <c r="BT66" i="1"/>
  <c r="T66" i="2" s="1"/>
  <c r="C66" i="5"/>
  <c r="E66" i="2"/>
  <c r="C65" i="5"/>
  <c r="E65" i="2"/>
  <c r="C7" i="1"/>
  <c r="A5" i="7" s="1"/>
  <c r="D7" i="1"/>
  <c r="B167" i="1"/>
  <c r="C166" i="1"/>
  <c r="D166" i="1"/>
  <c r="C6" i="5"/>
  <c r="E6" i="2"/>
  <c r="C67" i="5"/>
  <c r="E67" i="2"/>
  <c r="C165" i="5"/>
  <c r="E165" i="2"/>
  <c r="D68" i="1"/>
  <c r="B69" i="1"/>
  <c r="C68" i="1"/>
  <c r="O2" i="2"/>
  <c r="BT7" i="1" l="1"/>
  <c r="B5" i="7"/>
  <c r="D11" i="2"/>
  <c r="B12" i="1"/>
  <c r="AW166" i="1"/>
  <c r="BT166" i="1"/>
  <c r="T166" i="2" s="1"/>
  <c r="T7" i="2"/>
  <c r="AW7" i="1"/>
  <c r="AU5" i="7" s="1"/>
  <c r="AW68" i="1"/>
  <c r="BT68" i="1"/>
  <c r="T68" i="2" s="1"/>
  <c r="C68" i="5"/>
  <c r="E68" i="2"/>
  <c r="D8" i="1"/>
  <c r="C8" i="1"/>
  <c r="A6" i="7" s="1"/>
  <c r="C7" i="5"/>
  <c r="E7" i="2"/>
  <c r="B70" i="1"/>
  <c r="C69" i="1"/>
  <c r="D69" i="1"/>
  <c r="C166" i="5"/>
  <c r="E166" i="2"/>
  <c r="D167" i="1"/>
  <c r="B168" i="1"/>
  <c r="C167" i="1"/>
  <c r="B6" i="7" l="1"/>
  <c r="BT8" i="1"/>
  <c r="D12" i="2"/>
  <c r="B13" i="1"/>
  <c r="AW69" i="1"/>
  <c r="BT69" i="1"/>
  <c r="T69" i="2" s="1"/>
  <c r="AW167" i="1"/>
  <c r="BT167" i="1"/>
  <c r="T167" i="2" s="1"/>
  <c r="T8" i="2"/>
  <c r="AW8" i="1"/>
  <c r="AU6" i="7" s="1"/>
  <c r="C167" i="5"/>
  <c r="E167" i="2"/>
  <c r="C69" i="5"/>
  <c r="E69" i="2"/>
  <c r="E8" i="2"/>
  <c r="C8" i="5"/>
  <c r="D168" i="1"/>
  <c r="B169" i="1"/>
  <c r="C168" i="1"/>
  <c r="B71" i="1"/>
  <c r="D70" i="1"/>
  <c r="C70" i="1"/>
  <c r="D9" i="1"/>
  <c r="C9" i="1"/>
  <c r="A7" i="7" s="1"/>
  <c r="AC1480" i="2"/>
  <c r="Y1250" i="2"/>
  <c r="Y1329" i="2"/>
  <c r="V1322" i="2"/>
  <c r="X1072" i="2"/>
  <c r="W1183" i="2"/>
  <c r="X1373" i="2"/>
  <c r="X739" i="2"/>
  <c r="X1110" i="2"/>
  <c r="AC1457" i="2"/>
  <c r="Y1127" i="2"/>
  <c r="V1489" i="2"/>
  <c r="AC1483" i="2"/>
  <c r="Y1386" i="2"/>
  <c r="AC728" i="2"/>
  <c r="AC1135" i="2"/>
  <c r="W1379" i="2"/>
  <c r="X1127" i="2"/>
  <c r="W1437" i="2"/>
  <c r="W947" i="2"/>
  <c r="Y1151" i="2"/>
  <c r="W909" i="2"/>
  <c r="W1209" i="2"/>
  <c r="X1115" i="2"/>
  <c r="Y1242" i="2"/>
  <c r="X1294" i="2"/>
  <c r="Y970" i="2"/>
  <c r="V1408" i="2"/>
  <c r="Y1015" i="2"/>
  <c r="W1269" i="2"/>
  <c r="X1002" i="2"/>
  <c r="W1084" i="2"/>
  <c r="Y866" i="2"/>
  <c r="X926" i="2"/>
  <c r="AC786" i="2"/>
  <c r="Y529" i="2"/>
  <c r="X896" i="2"/>
  <c r="W1238" i="2"/>
  <c r="AC1058" i="2"/>
  <c r="X839" i="2"/>
  <c r="AC937" i="2"/>
  <c r="W1465" i="2"/>
  <c r="Y1368" i="2"/>
  <c r="AC908" i="2"/>
  <c r="AC1376" i="2"/>
  <c r="X1470" i="2"/>
  <c r="AC1354" i="2"/>
  <c r="X697" i="2"/>
  <c r="AC1126" i="2"/>
  <c r="W1211" i="2"/>
  <c r="AC1057" i="2"/>
  <c r="AC914" i="2"/>
  <c r="Y1296" i="2"/>
  <c r="X977" i="2"/>
  <c r="X1361" i="2"/>
  <c r="Y821" i="2"/>
  <c r="X1376" i="2"/>
  <c r="AC1430" i="2"/>
  <c r="W1255" i="2"/>
  <c r="W1007" i="2"/>
  <c r="AC1374" i="2"/>
  <c r="W1486" i="2"/>
  <c r="X1247" i="2"/>
  <c r="X1469" i="2"/>
  <c r="W775" i="2"/>
  <c r="V1219" i="2"/>
  <c r="V1333" i="2"/>
  <c r="Y1391" i="2"/>
  <c r="AC916" i="2"/>
  <c r="V1484" i="2"/>
  <c r="Y1442" i="2"/>
  <c r="Y1403" i="2"/>
  <c r="AC1072" i="2"/>
  <c r="W1445" i="2"/>
  <c r="W1116" i="2"/>
  <c r="W778" i="2"/>
  <c r="X1126" i="2"/>
  <c r="AC1133" i="2"/>
  <c r="AC1281" i="2"/>
  <c r="Y1086" i="2"/>
  <c r="V1437" i="2"/>
  <c r="X1440" i="2"/>
  <c r="Y1076" i="2"/>
  <c r="V1178" i="2"/>
  <c r="Y1055" i="2"/>
  <c r="W1237" i="2"/>
  <c r="AC1289" i="2"/>
  <c r="AC1473" i="2"/>
  <c r="X693" i="2"/>
  <c r="Y906" i="2"/>
  <c r="AC1485" i="2"/>
  <c r="AC1204" i="2"/>
  <c r="Y1320" i="2"/>
  <c r="W1346" i="2"/>
  <c r="X1333" i="2"/>
  <c r="W1493" i="2"/>
  <c r="V1268" i="2"/>
  <c r="AC1427" i="2"/>
  <c r="V1394" i="2"/>
  <c r="W1278" i="2"/>
  <c r="W1498" i="2"/>
  <c r="X1383" i="2"/>
  <c r="AC1106" i="2"/>
  <c r="AC985" i="2"/>
  <c r="AC943" i="2"/>
  <c r="W1005" i="2"/>
  <c r="V1325" i="2"/>
  <c r="V1499" i="2"/>
  <c r="AC1226" i="2"/>
  <c r="X1010" i="2"/>
  <c r="X1144" i="2"/>
  <c r="X1135" i="2"/>
  <c r="V1296" i="2"/>
  <c r="X1481" i="2"/>
  <c r="W1275" i="2"/>
  <c r="V1396" i="2"/>
  <c r="AC1498" i="2"/>
  <c r="V1487" i="2"/>
  <c r="AC1415" i="2"/>
  <c r="AC1358" i="2"/>
  <c r="W879" i="2"/>
  <c r="AC1451" i="2"/>
  <c r="Y1097" i="2"/>
  <c r="X807" i="2"/>
  <c r="W759" i="2"/>
  <c r="Y645" i="2"/>
  <c r="V1191" i="2"/>
  <c r="X1500" i="2"/>
  <c r="V1339" i="2"/>
  <c r="AC1466" i="2"/>
  <c r="W1432" i="2"/>
  <c r="V1353" i="2"/>
  <c r="Y1439" i="2"/>
  <c r="X1413" i="2"/>
  <c r="W1308" i="2"/>
  <c r="W1140" i="2"/>
  <c r="X1223" i="2"/>
  <c r="AC1465" i="2"/>
  <c r="AC1386" i="2"/>
  <c r="AC1198" i="2"/>
  <c r="AC1385" i="2"/>
  <c r="Y1399" i="2"/>
  <c r="W961" i="2"/>
  <c r="AC1024" i="2"/>
  <c r="AC1412" i="2"/>
  <c r="Y1365" i="2"/>
  <c r="Y1291" i="2"/>
  <c r="X1159" i="2"/>
  <c r="AC684" i="2"/>
  <c r="X1439" i="2"/>
  <c r="W1411" i="2"/>
  <c r="X985" i="2"/>
  <c r="AC1426" i="2"/>
  <c r="W1342" i="2"/>
  <c r="W880" i="2"/>
  <c r="X988" i="2"/>
  <c r="X494" i="2"/>
  <c r="Y511" i="2"/>
  <c r="AC571" i="2"/>
  <c r="W1119" i="2"/>
  <c r="AC1450" i="2"/>
  <c r="Y974" i="2"/>
  <c r="X878" i="2"/>
  <c r="Y1416" i="2"/>
  <c r="AC930" i="2"/>
  <c r="W859" i="2"/>
  <c r="X1438" i="2"/>
  <c r="Y1272" i="2"/>
  <c r="X1370" i="2"/>
  <c r="Y1147" i="2"/>
  <c r="W1381" i="2"/>
  <c r="AC899" i="2"/>
  <c r="V1382" i="2"/>
  <c r="Y1059" i="2"/>
  <c r="AC1104" i="2"/>
  <c r="W1273" i="2"/>
  <c r="AC1375" i="2"/>
  <c r="V1330" i="2"/>
  <c r="X1398" i="2"/>
  <c r="Y877" i="2"/>
  <c r="AC1337" i="2"/>
  <c r="AC1305" i="2"/>
  <c r="AC1257" i="2"/>
  <c r="AC1060" i="2"/>
  <c r="X669" i="2"/>
  <c r="W896" i="2"/>
  <c r="W1037" i="2"/>
  <c r="X651" i="2"/>
  <c r="AC1002" i="2"/>
  <c r="Y1445" i="2"/>
  <c r="AC1461" i="2"/>
  <c r="Y1350" i="2"/>
  <c r="X1446" i="2"/>
  <c r="X1359" i="2"/>
  <c r="V1176" i="2"/>
  <c r="V1453" i="2"/>
  <c r="W1331" i="2"/>
  <c r="AC1080" i="2"/>
  <c r="X757" i="2"/>
  <c r="W977" i="2"/>
  <c r="Y1070" i="2"/>
  <c r="Y976" i="2"/>
  <c r="AC1108" i="2"/>
  <c r="W1485" i="2"/>
  <c r="V1495" i="2"/>
  <c r="V1236" i="2"/>
  <c r="AC1039" i="2"/>
  <c r="X1441" i="2"/>
  <c r="AC1382" i="2"/>
  <c r="W865" i="2"/>
  <c r="AC1316" i="2"/>
  <c r="Y1193" i="2"/>
  <c r="AC1210" i="2"/>
  <c r="W1031" i="2"/>
  <c r="AC694" i="2"/>
  <c r="V1278" i="2"/>
  <c r="W1454" i="2"/>
  <c r="Y1035" i="2"/>
  <c r="Y1255" i="2"/>
  <c r="Y1337" i="2"/>
  <c r="W1185" i="2"/>
  <c r="W1036" i="2"/>
  <c r="AC1061" i="2"/>
  <c r="Y830" i="2"/>
  <c r="Y1260" i="2"/>
  <c r="W1457" i="2"/>
  <c r="AC884" i="2"/>
  <c r="W996" i="2"/>
  <c r="AC1455" i="2"/>
  <c r="Y1356" i="2"/>
  <c r="X1311" i="2"/>
  <c r="Y1051" i="2"/>
  <c r="AC1453" i="2"/>
  <c r="W1051" i="2"/>
  <c r="AC1208" i="2"/>
  <c r="W995" i="2"/>
  <c r="Y999" i="2"/>
  <c r="X1140" i="2"/>
  <c r="W769" i="2"/>
  <c r="Y1383" i="2"/>
  <c r="Y1333" i="2"/>
  <c r="X1462" i="2"/>
  <c r="V1262" i="2"/>
  <c r="V1358" i="2"/>
  <c r="W1322" i="2"/>
  <c r="AC891" i="2"/>
  <c r="W1463" i="2"/>
  <c r="V1470" i="2"/>
  <c r="W950" i="2"/>
  <c r="X1340" i="2"/>
  <c r="X1038" i="2"/>
  <c r="W1223" i="2"/>
  <c r="V1269" i="2"/>
  <c r="V1482" i="2"/>
  <c r="AC646" i="2"/>
  <c r="W939" i="2"/>
  <c r="X1318" i="2"/>
  <c r="Y1354" i="2"/>
  <c r="Y1087" i="2"/>
  <c r="AC1397" i="2"/>
  <c r="Y1201" i="2"/>
  <c r="X1488" i="2"/>
  <c r="X1207" i="2"/>
  <c r="AC997" i="2"/>
  <c r="AC1314" i="2"/>
  <c r="X1044" i="2"/>
  <c r="W1461" i="2"/>
  <c r="AC643" i="2"/>
  <c r="V1393" i="2"/>
  <c r="Y1150" i="2"/>
  <c r="X1271" i="2"/>
  <c r="V1375" i="2"/>
  <c r="X1437" i="2"/>
  <c r="AC1401" i="2"/>
  <c r="X1434" i="2"/>
  <c r="AC1081" i="2"/>
  <c r="AC666" i="2"/>
  <c r="W1234" i="2"/>
  <c r="AC1046" i="2"/>
  <c r="X1084" i="2"/>
  <c r="X759" i="2"/>
  <c r="X909" i="2"/>
  <c r="W1042" i="2"/>
  <c r="X1136" i="2"/>
  <c r="W904" i="2"/>
  <c r="X1295" i="2"/>
  <c r="X1459" i="2"/>
  <c r="W1495" i="2"/>
  <c r="X1286" i="2"/>
  <c r="AC1132" i="2"/>
  <c r="Y1482" i="2"/>
  <c r="AC978" i="2"/>
  <c r="Y1187" i="2"/>
  <c r="Y1499" i="2"/>
  <c r="AC1409" i="2"/>
  <c r="X1262" i="2"/>
  <c r="W1375" i="2"/>
  <c r="X1454" i="2"/>
  <c r="Y971" i="2"/>
  <c r="AC1254" i="2"/>
  <c r="Y1175" i="2"/>
  <c r="Y896" i="2"/>
  <c r="X1052" i="2"/>
  <c r="X1211" i="2"/>
  <c r="W1468" i="2"/>
  <c r="W967" i="2"/>
  <c r="AC1203" i="2"/>
  <c r="AC1497" i="2"/>
  <c r="W1499" i="2"/>
  <c r="V1395" i="2"/>
  <c r="W1433" i="2"/>
  <c r="X1463" i="2"/>
  <c r="Y1207" i="2"/>
  <c r="X1399" i="2"/>
  <c r="V1378" i="2"/>
  <c r="X1319" i="2"/>
  <c r="X1071" i="2"/>
  <c r="Y1302" i="2"/>
  <c r="AC1443" i="2"/>
  <c r="Y1158" i="2"/>
  <c r="AC796" i="2"/>
  <c r="Y1458" i="2"/>
  <c r="X996" i="2"/>
  <c r="AC1222" i="2"/>
  <c r="V1282" i="2"/>
  <c r="Y1418" i="2"/>
  <c r="W1148" i="2"/>
  <c r="X1177" i="2"/>
  <c r="Y1058" i="2"/>
  <c r="AC1449" i="2"/>
  <c r="AC668" i="2"/>
  <c r="Y1448" i="2"/>
  <c r="V1171" i="2"/>
  <c r="Y1033" i="2"/>
  <c r="Y1081" i="2"/>
  <c r="X853" i="2"/>
  <c r="V1423" i="2"/>
  <c r="W1408" i="2"/>
  <c r="AC1201" i="2"/>
  <c r="V1229" i="2"/>
  <c r="V1165" i="2"/>
  <c r="AC1472" i="2"/>
  <c r="W1053" i="2"/>
  <c r="X956" i="2"/>
  <c r="X1456" i="2"/>
  <c r="W962" i="2"/>
  <c r="AC1321" i="2"/>
  <c r="Y1470" i="2"/>
  <c r="W934" i="2"/>
  <c r="V1348" i="2"/>
  <c r="AC1458" i="2"/>
  <c r="AC1102" i="2"/>
  <c r="AC1125" i="2"/>
  <c r="V1376" i="2"/>
  <c r="Y1014" i="2"/>
  <c r="X781" i="2"/>
  <c r="X1492" i="2"/>
  <c r="AC1220" i="2"/>
  <c r="Y1374" i="2"/>
  <c r="AC1251" i="2"/>
  <c r="Y1023" i="2"/>
  <c r="AC1491" i="2"/>
  <c r="W1385" i="2"/>
  <c r="W1130" i="2"/>
  <c r="Y1409" i="2"/>
  <c r="W1319" i="2"/>
  <c r="Y1428" i="2"/>
  <c r="W1174" i="2"/>
  <c r="W1446" i="2"/>
  <c r="W1481" i="2"/>
  <c r="AC1499" i="2"/>
  <c r="Y1497" i="2"/>
  <c r="Y1007" i="2"/>
  <c r="AC1365" i="2"/>
  <c r="V1427" i="2"/>
  <c r="W979" i="2"/>
  <c r="W1179" i="2"/>
  <c r="AC972" i="2"/>
  <c r="AC1322" i="2"/>
  <c r="Y1219" i="2"/>
  <c r="Y1317" i="2"/>
  <c r="V1361" i="2"/>
  <c r="V1444" i="2"/>
  <c r="V1264" i="2"/>
  <c r="AC217" i="2"/>
  <c r="X941" i="2"/>
  <c r="Y1344" i="2"/>
  <c r="V1363" i="2"/>
  <c r="AC1113" i="2"/>
  <c r="W1040" i="2"/>
  <c r="Y1486" i="2"/>
  <c r="X1386" i="2"/>
  <c r="Y1426" i="2"/>
  <c r="Y1461" i="2"/>
  <c r="W1207" i="2"/>
  <c r="Y1231" i="2"/>
  <c r="V1371" i="2"/>
  <c r="V1277" i="2"/>
  <c r="W1312" i="2"/>
  <c r="W1114" i="2"/>
  <c r="W1127" i="2"/>
  <c r="AC1437" i="2"/>
  <c r="Y1185" i="2"/>
  <c r="AC746" i="2"/>
  <c r="AC789" i="2"/>
  <c r="AC1434" i="2"/>
  <c r="AC858" i="2"/>
  <c r="W486" i="2"/>
  <c r="X461" i="2"/>
  <c r="X997" i="2"/>
  <c r="W728" i="2"/>
  <c r="V1242" i="2"/>
  <c r="W1426" i="2"/>
  <c r="Y1334" i="2"/>
  <c r="AC1250" i="2"/>
  <c r="W454" i="2"/>
  <c r="X298" i="2"/>
  <c r="Y632" i="2"/>
  <c r="X1254" i="2"/>
  <c r="Y1490" i="2"/>
  <c r="W1476" i="2"/>
  <c r="AC724" i="2"/>
  <c r="Y1328" i="2"/>
  <c r="X1365" i="2"/>
  <c r="AC674" i="2"/>
  <c r="X1034" i="2"/>
  <c r="V1384" i="2"/>
  <c r="Y1308" i="2"/>
  <c r="AC1122" i="2"/>
  <c r="AC1041" i="2"/>
  <c r="V1420" i="2"/>
  <c r="V1347" i="2"/>
  <c r="Y941" i="2"/>
  <c r="AC1215" i="2"/>
  <c r="Y1309" i="2"/>
  <c r="X1387" i="2"/>
  <c r="Y1224" i="2"/>
  <c r="W1102" i="2"/>
  <c r="W1178" i="2"/>
  <c r="Y1027" i="2"/>
  <c r="W1363" i="2"/>
  <c r="AC1436" i="2"/>
  <c r="V1456" i="2"/>
  <c r="X1420" i="2"/>
  <c r="X1320" i="2"/>
  <c r="W1353" i="2"/>
  <c r="AC1052" i="2"/>
  <c r="V1304" i="2"/>
  <c r="X765" i="2"/>
  <c r="AC1495" i="2"/>
  <c r="AC1252" i="2"/>
  <c r="X1194" i="2"/>
  <c r="Y1498" i="2"/>
  <c r="AC1098" i="2"/>
  <c r="W1052" i="2"/>
  <c r="Y1141" i="2"/>
  <c r="AC632" i="2"/>
  <c r="Y1459" i="2"/>
  <c r="AC1043" i="2"/>
  <c r="AC1223" i="2"/>
  <c r="X529" i="2"/>
  <c r="X1478" i="2"/>
  <c r="Y1438" i="2"/>
  <c r="X1404" i="2"/>
  <c r="W1370" i="2"/>
  <c r="Y800" i="2"/>
  <c r="AC1303" i="2"/>
  <c r="Y1262" i="2"/>
  <c r="Y1020" i="2"/>
  <c r="X1375" i="2"/>
  <c r="W1470" i="2"/>
  <c r="AC1406" i="2"/>
  <c r="V1317" i="2"/>
  <c r="X1496" i="2"/>
  <c r="X1415" i="2"/>
  <c r="Y1124" i="2"/>
  <c r="AC1464" i="2"/>
  <c r="X1310" i="2"/>
  <c r="Y1112" i="2"/>
  <c r="Y965" i="2"/>
  <c r="Y1155" i="2"/>
  <c r="AC1490" i="2"/>
  <c r="W1389" i="2"/>
  <c r="Y1045" i="2"/>
  <c r="X1077" i="2"/>
  <c r="Y957" i="2"/>
  <c r="W1489" i="2"/>
  <c r="AC1369" i="2"/>
  <c r="Y1199" i="2"/>
  <c r="X1255" i="2"/>
  <c r="W1491" i="2"/>
  <c r="X1158" i="2"/>
  <c r="Y1310" i="2"/>
  <c r="X679" i="2"/>
  <c r="V1295" i="2"/>
  <c r="W1189" i="2"/>
  <c r="Y1196" i="2"/>
  <c r="X1174" i="2"/>
  <c r="Y1222" i="2"/>
  <c r="Y775" i="2"/>
  <c r="X1305" i="2"/>
  <c r="AC1475" i="2"/>
  <c r="Y1362" i="2"/>
  <c r="AC253" i="2"/>
  <c r="W544" i="2"/>
  <c r="Y1378" i="2"/>
  <c r="Y1226" i="2"/>
  <c r="X1407" i="2"/>
  <c r="AC1268" i="2"/>
  <c r="AC1299" i="2"/>
  <c r="W1117" i="2"/>
  <c r="V1392" i="2"/>
  <c r="Y1227" i="2"/>
  <c r="V1355" i="2"/>
  <c r="W1147" i="2"/>
  <c r="Y764" i="2"/>
  <c r="AC1364" i="2"/>
  <c r="Y1071" i="2"/>
  <c r="V1272" i="2"/>
  <c r="Y1283" i="2"/>
  <c r="V1289" i="2"/>
  <c r="X1471" i="2"/>
  <c r="X1011" i="2"/>
  <c r="X202" i="2"/>
  <c r="W1421" i="2"/>
  <c r="W1156" i="2"/>
  <c r="X1215" i="2"/>
  <c r="Y1449" i="2"/>
  <c r="W1302" i="2"/>
  <c r="X1105" i="2"/>
  <c r="X1423" i="2"/>
  <c r="W1306" i="2"/>
  <c r="X1240" i="2"/>
  <c r="X1499" i="2"/>
  <c r="X1045" i="2"/>
  <c r="Y891" i="2"/>
  <c r="Y1281" i="2"/>
  <c r="X1268" i="2"/>
  <c r="Y1039" i="2"/>
  <c r="X862" i="2"/>
  <c r="W958" i="2"/>
  <c r="W1488" i="2"/>
  <c r="X1007" i="2"/>
  <c r="X1020" i="2"/>
  <c r="Y1021" i="2"/>
  <c r="AC1172" i="2"/>
  <c r="Y1093" i="2"/>
  <c r="V1407" i="2"/>
  <c r="W1267" i="2"/>
  <c r="AC1459" i="2"/>
  <c r="AC876" i="2"/>
  <c r="Y1002" i="2"/>
  <c r="Y1487" i="2"/>
  <c r="Y1125" i="2"/>
  <c r="W1487" i="2"/>
  <c r="W830" i="2"/>
  <c r="AC636" i="2"/>
  <c r="AC1396" i="2"/>
  <c r="W1293" i="2"/>
  <c r="Y1275" i="2"/>
  <c r="Y1043" i="2"/>
  <c r="Y1212" i="2"/>
  <c r="X1347" i="2"/>
  <c r="AC1446" i="2"/>
  <c r="V1354" i="2"/>
  <c r="W1474" i="2"/>
  <c r="X1264" i="2"/>
  <c r="W1018" i="2"/>
  <c r="AC1439" i="2"/>
  <c r="W1160" i="2"/>
  <c r="X731" i="2"/>
  <c r="V1308" i="2"/>
  <c r="X1033" i="2"/>
  <c r="AC1184" i="2"/>
  <c r="V1318" i="2"/>
  <c r="V1204" i="2"/>
  <c r="AC1267" i="2"/>
  <c r="V1479" i="2"/>
  <c r="W1289" i="2"/>
  <c r="W1276" i="2"/>
  <c r="W974" i="2"/>
  <c r="X845" i="2"/>
  <c r="Y1432" i="2"/>
  <c r="X798" i="2"/>
  <c r="W1336" i="2"/>
  <c r="V1406" i="2"/>
  <c r="Y1238" i="2"/>
  <c r="V1421" i="2"/>
  <c r="AC702" i="2"/>
  <c r="X492" i="2"/>
  <c r="AC1370" i="2"/>
  <c r="W1024" i="2"/>
  <c r="X1408" i="2"/>
  <c r="Y1104" i="2"/>
  <c r="Y798" i="2"/>
  <c r="Y1447" i="2"/>
  <c r="Y1330" i="2"/>
  <c r="X1452" i="2"/>
  <c r="V1492" i="2"/>
  <c r="Y790" i="2"/>
  <c r="Y908" i="2"/>
  <c r="W994" i="2"/>
  <c r="W1356" i="2"/>
  <c r="Y842" i="2"/>
  <c r="W1085" i="2"/>
  <c r="Y1082" i="2"/>
  <c r="V1200" i="2"/>
  <c r="X1161" i="2"/>
  <c r="V1433" i="2"/>
  <c r="W1172" i="2"/>
  <c r="W1496" i="2"/>
  <c r="W1252" i="2"/>
  <c r="Y1435" i="2"/>
  <c r="X1300" i="2"/>
  <c r="X1232" i="2"/>
  <c r="W1145" i="2"/>
  <c r="W1163" i="2"/>
  <c r="W1460" i="2"/>
  <c r="V1198" i="2"/>
  <c r="X743" i="2"/>
  <c r="AC1432" i="2"/>
  <c r="V1247" i="2"/>
  <c r="W1365" i="2"/>
  <c r="X1391" i="2"/>
  <c r="AC1069" i="2"/>
  <c r="Y1434" i="2"/>
  <c r="V1167" i="2"/>
  <c r="W805" i="2"/>
  <c r="X715" i="2"/>
  <c r="X760" i="2"/>
  <c r="Y475" i="2"/>
  <c r="Y119" i="2"/>
  <c r="W824" i="2"/>
  <c r="X360" i="2"/>
  <c r="W703" i="2"/>
  <c r="Y1248" i="2"/>
  <c r="W1288" i="2"/>
  <c r="W1046" i="2"/>
  <c r="X446" i="2"/>
  <c r="X193" i="2"/>
  <c r="W446" i="2"/>
  <c r="AC869" i="2"/>
  <c r="X490" i="2"/>
  <c r="Y1390" i="2"/>
  <c r="Y1110" i="2"/>
  <c r="V1170" i="2"/>
  <c r="Y1358" i="2"/>
  <c r="AC1324" i="2"/>
  <c r="V1474" i="2"/>
  <c r="Y818" i="2"/>
  <c r="X785" i="2"/>
  <c r="X1237" i="2"/>
  <c r="V1480" i="2"/>
  <c r="W1472" i="2"/>
  <c r="V1341" i="2"/>
  <c r="Y1450" i="2"/>
  <c r="Y1479" i="2"/>
  <c r="X1021" i="2"/>
  <c r="V1401" i="2"/>
  <c r="W883" i="2"/>
  <c r="Y949" i="2"/>
  <c r="Y954" i="2"/>
  <c r="X1257" i="2"/>
  <c r="AC945" i="2"/>
  <c r="Y1325" i="2"/>
  <c r="X1088" i="2"/>
  <c r="X1290" i="2"/>
  <c r="AC1164" i="2"/>
  <c r="AC1489" i="2"/>
  <c r="X1307" i="2"/>
  <c r="X980" i="2"/>
  <c r="X1027" i="2"/>
  <c r="Y1422" i="2"/>
  <c r="W1094" i="2"/>
  <c r="X914" i="2"/>
  <c r="W1327" i="2"/>
  <c r="AC1377" i="2"/>
  <c r="X899" i="2"/>
  <c r="X647" i="2"/>
  <c r="W1142" i="2"/>
  <c r="X1322" i="2"/>
  <c r="AC1027" i="2"/>
  <c r="Y1195" i="2"/>
  <c r="Y973" i="2"/>
  <c r="AC1422" i="2"/>
  <c r="W1265" i="2"/>
  <c r="W1372" i="2"/>
  <c r="X1154" i="2"/>
  <c r="AC1476" i="2"/>
  <c r="V1328" i="2"/>
  <c r="X991" i="2"/>
  <c r="V1387" i="2"/>
  <c r="V1301" i="2"/>
  <c r="W1157" i="2"/>
  <c r="Y1079" i="2"/>
  <c r="X1222" i="2"/>
  <c r="Y1136" i="2"/>
  <c r="AC1352" i="2"/>
  <c r="X1356" i="2"/>
  <c r="AC947" i="2"/>
  <c r="W1447" i="2"/>
  <c r="AC1192" i="2"/>
  <c r="Y1315" i="2"/>
  <c r="AC1329" i="2"/>
  <c r="AC1438" i="2"/>
  <c r="Y1290" i="2"/>
  <c r="Y1277" i="2"/>
  <c r="Y813" i="2"/>
  <c r="W664" i="2"/>
  <c r="AC1258" i="2"/>
  <c r="W1395" i="2"/>
  <c r="AC1182" i="2"/>
  <c r="Y955" i="2"/>
  <c r="Y1357" i="2"/>
  <c r="W1054" i="2"/>
  <c r="AC763" i="2"/>
  <c r="V1232" i="2"/>
  <c r="W1257" i="2"/>
  <c r="W1434" i="2"/>
  <c r="W1193" i="2"/>
  <c r="AC1123" i="2"/>
  <c r="V1464" i="2"/>
  <c r="Y1360" i="2"/>
  <c r="Y922" i="2"/>
  <c r="X1070" i="2"/>
  <c r="X1235" i="2"/>
  <c r="W1326" i="2"/>
  <c r="V1389" i="2"/>
  <c r="Y1159" i="2"/>
  <c r="Y1402" i="2"/>
  <c r="Y1116" i="2"/>
  <c r="V1438" i="2"/>
  <c r="Y1180" i="2"/>
  <c r="X1031" i="2"/>
  <c r="AC1278" i="2"/>
  <c r="AC1045" i="2"/>
  <c r="W1124" i="2"/>
  <c r="AC1431" i="2"/>
  <c r="AC1307" i="2"/>
  <c r="V1469" i="2"/>
  <c r="V1473" i="2"/>
  <c r="X1315" i="2"/>
  <c r="Y1160" i="2"/>
  <c r="X1330" i="2"/>
  <c r="X1198" i="2"/>
  <c r="X1421" i="2"/>
  <c r="Y1176" i="2"/>
  <c r="W1406" i="2"/>
  <c r="X1051" i="2"/>
  <c r="Y1202" i="2"/>
  <c r="V1237" i="2"/>
  <c r="X701" i="2"/>
  <c r="AC1256" i="2"/>
  <c r="AC1366" i="2"/>
  <c r="W1168" i="2"/>
  <c r="X1345" i="2"/>
  <c r="AC825" i="2"/>
  <c r="W928" i="2"/>
  <c r="Y319" i="2"/>
  <c r="X860" i="2"/>
  <c r="X962" i="2"/>
  <c r="AC542" i="2"/>
  <c r="V1300" i="2"/>
  <c r="W1171" i="2"/>
  <c r="Y540" i="2"/>
  <c r="Y1299" i="2"/>
  <c r="W1081" i="2"/>
  <c r="X848" i="2"/>
  <c r="Y655" i="2"/>
  <c r="X661" i="2"/>
  <c r="Y994" i="2"/>
  <c r="X749" i="2"/>
  <c r="AC833" i="2"/>
  <c r="W1366" i="2"/>
  <c r="AC1417" i="2"/>
  <c r="AC1291" i="2"/>
  <c r="AC1099" i="2"/>
  <c r="Y417" i="2"/>
  <c r="X1473" i="2"/>
  <c r="V1443" i="2"/>
  <c r="AC1245" i="2"/>
  <c r="AC1124" i="2"/>
  <c r="W813" i="2"/>
  <c r="AC1237" i="2"/>
  <c r="Y1230" i="2"/>
  <c r="W1011" i="2"/>
  <c r="V1478" i="2"/>
  <c r="Y1465" i="2"/>
  <c r="W1055" i="2"/>
  <c r="X1236" i="2"/>
  <c r="V1276" i="2"/>
  <c r="AC1346" i="2"/>
  <c r="X1476" i="2"/>
  <c r="X1090" i="2"/>
  <c r="W793" i="2"/>
  <c r="Y1307" i="2"/>
  <c r="Y1133" i="2"/>
  <c r="W1132" i="2"/>
  <c r="AC1239" i="2"/>
  <c r="Y1285" i="2"/>
  <c r="Y1091" i="2"/>
  <c r="X927" i="2"/>
  <c r="Y1369" i="2"/>
  <c r="Y967" i="2"/>
  <c r="Y1235" i="2"/>
  <c r="Y1265" i="2"/>
  <c r="Y1156" i="2"/>
  <c r="W1439" i="2"/>
  <c r="W1398" i="2"/>
  <c r="Y1254" i="2"/>
  <c r="X1113" i="2"/>
  <c r="X1183" i="2"/>
  <c r="W1360" i="2"/>
  <c r="X1402" i="2"/>
  <c r="W849" i="2"/>
  <c r="X903" i="2"/>
  <c r="Y1140" i="2"/>
  <c r="W528" i="2"/>
  <c r="Y1473" i="2"/>
  <c r="AC1500" i="2"/>
  <c r="W1419" i="2"/>
  <c r="Y1371" i="2"/>
  <c r="AC795" i="2"/>
  <c r="X1209" i="2"/>
  <c r="AC1399" i="2"/>
  <c r="V1413" i="2"/>
  <c r="AC1129" i="2"/>
  <c r="Y932" i="2"/>
  <c r="V1307" i="2"/>
  <c r="AC986" i="2"/>
  <c r="Y1069" i="2"/>
  <c r="V1494" i="2"/>
  <c r="X1448" i="2"/>
  <c r="X1249" i="2"/>
  <c r="Y1366" i="2"/>
  <c r="Y1441" i="2"/>
  <c r="Y1322" i="2"/>
  <c r="Y1323" i="2"/>
  <c r="AC1494" i="2"/>
  <c r="AC1381" i="2"/>
  <c r="V1251" i="2"/>
  <c r="W1347" i="2"/>
  <c r="V1491" i="2"/>
  <c r="X1114" i="2"/>
  <c r="Y1480" i="2"/>
  <c r="AC730" i="2"/>
  <c r="X1142" i="2"/>
  <c r="V1182" i="2"/>
  <c r="W792" i="2"/>
  <c r="V1231" i="2"/>
  <c r="W1153" i="2"/>
  <c r="Y1412" i="2"/>
  <c r="Y1139" i="2"/>
  <c r="Y1452" i="2"/>
  <c r="V1309" i="2"/>
  <c r="X1485" i="2"/>
  <c r="W1424" i="2"/>
  <c r="V1273" i="2"/>
  <c r="AC1141" i="2"/>
  <c r="X1188" i="2"/>
  <c r="W1338" i="2"/>
  <c r="X1244" i="2"/>
  <c r="X1293" i="2"/>
  <c r="Y1466" i="2"/>
  <c r="AC678" i="2"/>
  <c r="Y1118" i="2"/>
  <c r="V1224" i="2"/>
  <c r="W1323" i="2"/>
  <c r="AC907" i="2"/>
  <c r="X1152" i="2"/>
  <c r="W1043" i="2"/>
  <c r="Y1197" i="2"/>
  <c r="V1212" i="2"/>
  <c r="AC1191" i="2"/>
  <c r="X1472" i="2"/>
  <c r="X1296" i="2"/>
  <c r="X1444" i="2"/>
  <c r="Y930" i="2"/>
  <c r="W1097" i="2"/>
  <c r="V1199" i="2"/>
  <c r="W1101" i="2"/>
  <c r="Y1456" i="2"/>
  <c r="W1129" i="2"/>
  <c r="AC1292" i="2"/>
  <c r="W1349" i="2"/>
  <c r="X1270" i="2"/>
  <c r="X642" i="2"/>
  <c r="Y1179" i="2"/>
  <c r="X1380" i="2"/>
  <c r="Y1367" i="2"/>
  <c r="V1321" i="2"/>
  <c r="AC1100" i="2"/>
  <c r="V1216" i="2"/>
  <c r="Y962" i="2"/>
  <c r="V1360" i="2"/>
  <c r="AC1216" i="2"/>
  <c r="X1455" i="2"/>
  <c r="AC1419" i="2"/>
  <c r="X1351" i="2"/>
  <c r="X1047" i="2"/>
  <c r="Y978" i="2"/>
  <c r="V1500" i="2"/>
  <c r="W1403" i="2"/>
  <c r="W815" i="2"/>
  <c r="Y1225" i="2"/>
  <c r="Y1052" i="2"/>
  <c r="X917" i="2"/>
  <c r="Y1247" i="2"/>
  <c r="W847" i="2"/>
  <c r="X729" i="2"/>
  <c r="AC1433" i="2"/>
  <c r="V1185" i="2"/>
  <c r="Y1191" i="2"/>
  <c r="Y1211" i="2"/>
  <c r="AC1440" i="2"/>
  <c r="V1405" i="2"/>
  <c r="Y1294" i="2"/>
  <c r="X1450" i="2"/>
  <c r="AC913" i="2"/>
  <c r="Y1210" i="2"/>
  <c r="X1382" i="2"/>
  <c r="W1295" i="2"/>
  <c r="AC1336" i="2"/>
  <c r="V1248" i="2"/>
  <c r="X918" i="2"/>
  <c r="Y1090" i="2"/>
  <c r="Y917" i="2"/>
  <c r="X1401" i="2"/>
  <c r="V1217" i="2"/>
  <c r="W1355" i="2"/>
  <c r="W1299" i="2"/>
  <c r="X1369" i="2"/>
  <c r="Y1025" i="2"/>
  <c r="W1091" i="2"/>
  <c r="V1342" i="2"/>
  <c r="W1455" i="2"/>
  <c r="V1429" i="2"/>
  <c r="V1196" i="2"/>
  <c r="Y1152" i="2"/>
  <c r="AC1136" i="2"/>
  <c r="X1405" i="2"/>
  <c r="X869" i="2"/>
  <c r="Y1376" i="2"/>
  <c r="W1200" i="2"/>
  <c r="W1256" i="2"/>
  <c r="W1014" i="2"/>
  <c r="X1289" i="2"/>
  <c r="X1138" i="2"/>
  <c r="W1483" i="2"/>
  <c r="AC1349" i="2"/>
  <c r="Y1443" i="2"/>
  <c r="Y1258" i="2"/>
  <c r="X1327" i="2"/>
  <c r="Y1075" i="2"/>
  <c r="Y1163" i="2"/>
  <c r="Y1278" i="2"/>
  <c r="X799" i="2"/>
  <c r="X1341" i="2"/>
  <c r="AC1343" i="2"/>
  <c r="X1309" i="2"/>
  <c r="W1012" i="2"/>
  <c r="V1418" i="2"/>
  <c r="AC1447" i="2"/>
  <c r="Y848" i="2"/>
  <c r="AC954" i="2"/>
  <c r="AC737" i="2"/>
  <c r="W656" i="2"/>
  <c r="W1362" i="2"/>
  <c r="W325" i="2"/>
  <c r="Y1489" i="2"/>
  <c r="W1282" i="2"/>
  <c r="X1316" i="2"/>
  <c r="Y1108" i="2"/>
  <c r="Y476" i="2"/>
  <c r="W526" i="2"/>
  <c r="V1283" i="2"/>
  <c r="Y93" i="2"/>
  <c r="X727" i="2"/>
  <c r="W1291" i="2"/>
  <c r="Y1342" i="2"/>
  <c r="Y1286" i="2"/>
  <c r="X1428" i="2"/>
  <c r="W797" i="2"/>
  <c r="X1214" i="2"/>
  <c r="Y1463" i="2"/>
  <c r="AC820" i="2"/>
  <c r="W1064" i="2"/>
  <c r="W1199" i="2"/>
  <c r="X1178" i="2"/>
  <c r="Y1135" i="2"/>
  <c r="X1149" i="2"/>
  <c r="X1411" i="2"/>
  <c r="W1245" i="2"/>
  <c r="V1336" i="2"/>
  <c r="Y1239" i="2"/>
  <c r="AC1304" i="2"/>
  <c r="Y1478" i="2"/>
  <c r="Y1345" i="2"/>
  <c r="W1070" i="2"/>
  <c r="W1158" i="2"/>
  <c r="X943" i="2"/>
  <c r="AC1021" i="2"/>
  <c r="V1166" i="2"/>
  <c r="V1293" i="2"/>
  <c r="AC844" i="2"/>
  <c r="X382" i="2"/>
  <c r="X1102" i="2"/>
  <c r="W1066" i="2"/>
  <c r="AC1435" i="2"/>
  <c r="X1355" i="2"/>
  <c r="Y1208" i="2"/>
  <c r="X653" i="2"/>
  <c r="Y1257" i="2"/>
  <c r="AC1213" i="2"/>
  <c r="AC1338" i="2"/>
  <c r="V1294" i="2"/>
  <c r="Y1144" i="2"/>
  <c r="AC1161" i="2"/>
  <c r="X1306" i="2"/>
  <c r="W1050" i="2"/>
  <c r="V1379" i="2"/>
  <c r="X1336" i="2"/>
  <c r="Y861" i="2"/>
  <c r="X957" i="2"/>
  <c r="X1023" i="2"/>
  <c r="X633" i="2"/>
  <c r="AC1301" i="2"/>
  <c r="Y1460" i="2"/>
  <c r="V1320" i="2"/>
  <c r="X815" i="2"/>
  <c r="W1022" i="2"/>
  <c r="X1248" i="2"/>
  <c r="W1459" i="2"/>
  <c r="Y1359" i="2"/>
  <c r="AC1243" i="2"/>
  <c r="V1439" i="2"/>
  <c r="X1218" i="2"/>
  <c r="Y1107" i="2"/>
  <c r="X1362" i="2"/>
  <c r="X1117" i="2"/>
  <c r="W1213" i="2"/>
  <c r="V1197" i="2"/>
  <c r="X889" i="2"/>
  <c r="X1133" i="2"/>
  <c r="X510" i="2"/>
  <c r="V1356" i="2"/>
  <c r="AC1356" i="2"/>
  <c r="X1101" i="2"/>
  <c r="X1453" i="2"/>
  <c r="AC1323" i="2"/>
  <c r="AC1028" i="2"/>
  <c r="AC1093" i="2"/>
  <c r="Y811" i="2"/>
  <c r="W927" i="2"/>
  <c r="AC1165" i="2"/>
  <c r="AC1357" i="2"/>
  <c r="V1255" i="2"/>
  <c r="X932" i="2"/>
  <c r="W1337" i="2"/>
  <c r="W1017" i="2"/>
  <c r="W1324" i="2"/>
  <c r="X1260" i="2"/>
  <c r="X1063" i="2"/>
  <c r="Y1031" i="2"/>
  <c r="V1431" i="2"/>
  <c r="AC866" i="2"/>
  <c r="W1076" i="2"/>
  <c r="X1054" i="2"/>
  <c r="W753" i="2"/>
  <c r="Y1256" i="2"/>
  <c r="V1313" i="2"/>
  <c r="W1151" i="2"/>
  <c r="AC1163" i="2"/>
  <c r="X844" i="2"/>
  <c r="V1327" i="2"/>
  <c r="V1455" i="2"/>
  <c r="Y742" i="2"/>
  <c r="X1406" i="2"/>
  <c r="V1357" i="2"/>
  <c r="Y1425" i="2"/>
  <c r="AC1318" i="2"/>
  <c r="W1170" i="2"/>
  <c r="Y875" i="2"/>
  <c r="V1472" i="2"/>
  <c r="W1448" i="2"/>
  <c r="Y1494" i="2"/>
  <c r="X1429" i="2"/>
  <c r="V1381" i="2"/>
  <c r="V1250" i="2"/>
  <c r="Y1016" i="2"/>
  <c r="AC726" i="2"/>
  <c r="X426" i="2"/>
  <c r="V1254" i="2"/>
  <c r="Y867" i="2"/>
  <c r="AC106" i="2"/>
  <c r="AC772" i="2"/>
  <c r="X1364" i="2"/>
  <c r="W820" i="2"/>
  <c r="X508" i="2"/>
  <c r="X1228" i="2"/>
  <c r="Y575" i="2"/>
  <c r="X744" i="2"/>
  <c r="AC965" i="2"/>
  <c r="W960" i="2"/>
  <c r="W746" i="2"/>
  <c r="X1436" i="2"/>
  <c r="V1410" i="2"/>
  <c r="W1241" i="2"/>
  <c r="W1286" i="2"/>
  <c r="W1030" i="2"/>
  <c r="X1053" i="2"/>
  <c r="W1430" i="2"/>
  <c r="X1037" i="2"/>
  <c r="Y1061" i="2"/>
  <c r="V1468" i="2"/>
  <c r="W1436" i="2"/>
  <c r="Y1154" i="2"/>
  <c r="W801" i="2"/>
  <c r="Y1008" i="2"/>
  <c r="W1442" i="2"/>
  <c r="X1118" i="2"/>
  <c r="V1286" i="2"/>
  <c r="X1259" i="2"/>
  <c r="Y1398" i="2"/>
  <c r="W1314" i="2"/>
  <c r="AC722" i="2"/>
  <c r="AC1416" i="2"/>
  <c r="W1310" i="2"/>
  <c r="Y1474" i="2"/>
  <c r="Y1427" i="2"/>
  <c r="X1348" i="2"/>
  <c r="X908" i="2"/>
  <c r="W1334" i="2"/>
  <c r="AC1403" i="2"/>
  <c r="AC1162" i="2"/>
  <c r="AC1262" i="2"/>
  <c r="V1369" i="2"/>
  <c r="X649" i="2"/>
  <c r="AC1044" i="2"/>
  <c r="AC790" i="2"/>
  <c r="X1325" i="2"/>
  <c r="X1076" i="2"/>
  <c r="Y1414" i="2"/>
  <c r="X1427" i="2"/>
  <c r="V1350" i="2"/>
  <c r="AC1276" i="2"/>
  <c r="AC1398" i="2"/>
  <c r="W1441" i="2"/>
  <c r="X1233" i="2"/>
  <c r="Y1205" i="2"/>
  <c r="V1476" i="2"/>
  <c r="Y1493" i="2"/>
  <c r="V1441" i="2"/>
  <c r="Y1335" i="2"/>
  <c r="W1397" i="2"/>
  <c r="W1467" i="2"/>
  <c r="X1078" i="2"/>
  <c r="W1181" i="2"/>
  <c r="W851" i="2"/>
  <c r="AC1244" i="2"/>
  <c r="AC1211" i="2"/>
  <c r="X1493" i="2"/>
  <c r="V1475" i="2"/>
  <c r="V1249" i="2"/>
  <c r="AC1042" i="2"/>
  <c r="AC1178" i="2"/>
  <c r="X1205" i="2"/>
  <c r="AC1248" i="2"/>
  <c r="AC1153" i="2"/>
  <c r="AC1260" i="2"/>
  <c r="X874" i="2"/>
  <c r="Y1351" i="2"/>
  <c r="Y1444" i="2"/>
  <c r="AC714" i="2"/>
  <c r="Y1130" i="2"/>
  <c r="AC776" i="2"/>
  <c r="AC859" i="2"/>
  <c r="W1216" i="2"/>
  <c r="V1490" i="2"/>
  <c r="Y1215" i="2"/>
  <c r="W1105" i="2"/>
  <c r="AC1246" i="2"/>
  <c r="Y990" i="2"/>
  <c r="AC900" i="2"/>
  <c r="W1249" i="2"/>
  <c r="Y1240" i="2"/>
  <c r="AC1059" i="2"/>
  <c r="AC1294" i="2"/>
  <c r="X1234" i="2"/>
  <c r="AC1013" i="2"/>
  <c r="Y1168" i="2"/>
  <c r="AC1174" i="2"/>
  <c r="X1046" i="2"/>
  <c r="AC1342" i="2"/>
  <c r="W811" i="2"/>
  <c r="AC1484" i="2"/>
  <c r="V1404" i="2"/>
  <c r="X1256" i="2"/>
  <c r="Y1377" i="2"/>
  <c r="Y1346" i="2"/>
  <c r="AC1429" i="2"/>
  <c r="W1333" i="2"/>
  <c r="AC700" i="2"/>
  <c r="X1394" i="2"/>
  <c r="Y1355" i="2"/>
  <c r="W1186" i="2"/>
  <c r="AC1170" i="2"/>
  <c r="W971" i="2"/>
  <c r="Y992" i="2"/>
  <c r="X1157" i="2"/>
  <c r="X1447" i="2"/>
  <c r="W1298" i="2"/>
  <c r="AC1496" i="2"/>
  <c r="AC1351" i="2"/>
  <c r="Y794" i="2"/>
  <c r="X1146" i="2"/>
  <c r="W464" i="2"/>
  <c r="AC544" i="2"/>
  <c r="W707" i="2"/>
  <c r="Y1261" i="2"/>
  <c r="X655" i="2"/>
  <c r="Y161" i="2"/>
  <c r="X597" i="2"/>
  <c r="Y916" i="2"/>
  <c r="AC644" i="2"/>
  <c r="AC1157" i="2"/>
  <c r="W1041" i="2"/>
  <c r="X607" i="2"/>
  <c r="W1335" i="2"/>
  <c r="AC194" i="2"/>
  <c r="V1173" i="2"/>
  <c r="AC692" i="2"/>
  <c r="Y1471" i="2"/>
  <c r="X1432" i="2"/>
  <c r="V1391" i="2"/>
  <c r="W1350" i="2"/>
  <c r="X804" i="2"/>
  <c r="W835" i="2"/>
  <c r="V1225" i="2"/>
  <c r="AC1009" i="2"/>
  <c r="X1381" i="2"/>
  <c r="Y1009" i="2"/>
  <c r="AC1411" i="2"/>
  <c r="Y1149" i="2"/>
  <c r="Y1012" i="2"/>
  <c r="X1323" i="2"/>
  <c r="X1060" i="2"/>
  <c r="W1080" i="2"/>
  <c r="W1377" i="2"/>
  <c r="W1464" i="2"/>
  <c r="V1334" i="2"/>
  <c r="X1466" i="2"/>
  <c r="W973" i="2"/>
  <c r="X1055" i="2"/>
  <c r="V1481" i="2"/>
  <c r="Y1410" i="2"/>
  <c r="V1422" i="2"/>
  <c r="W913" i="2"/>
  <c r="W1118" i="2"/>
  <c r="V1324" i="2"/>
  <c r="W1325" i="2"/>
  <c r="Y846" i="2"/>
  <c r="W943" i="2"/>
  <c r="V1263" i="2"/>
  <c r="W1128" i="2"/>
  <c r="X683" i="2"/>
  <c r="V1457" i="2"/>
  <c r="V1366" i="2"/>
  <c r="X1273" i="2"/>
  <c r="X1134" i="2"/>
  <c r="AC1177" i="2"/>
  <c r="AC1050" i="2"/>
  <c r="W1253" i="2"/>
  <c r="Y1040" i="2"/>
  <c r="V1411" i="2"/>
  <c r="W1380" i="2"/>
  <c r="Y1266" i="2"/>
  <c r="W1159" i="2"/>
  <c r="X1156" i="2"/>
  <c r="X1059" i="2"/>
  <c r="Y1111" i="2"/>
  <c r="AC740" i="2"/>
  <c r="V1416" i="2"/>
  <c r="W1294" i="2"/>
  <c r="Y1259" i="2"/>
  <c r="AC1019" i="2"/>
  <c r="X1195" i="2"/>
  <c r="X1074" i="2"/>
  <c r="AC1360" i="2"/>
  <c r="V1344" i="2"/>
  <c r="AC1228" i="2"/>
  <c r="AC1320" i="2"/>
  <c r="W993" i="2"/>
  <c r="X699" i="2"/>
  <c r="Y1475" i="2"/>
  <c r="W1261" i="2"/>
  <c r="Y1049" i="2"/>
  <c r="X1104" i="2"/>
  <c r="W1048" i="2"/>
  <c r="W1418" i="2"/>
  <c r="V1186" i="2"/>
  <c r="W1251" i="2"/>
  <c r="W1108" i="2"/>
  <c r="X1396" i="2"/>
  <c r="V1338" i="2"/>
  <c r="V1415" i="2"/>
  <c r="X1162" i="2"/>
  <c r="Y928" i="2"/>
  <c r="V1305" i="2"/>
  <c r="V1172" i="2"/>
  <c r="AC990" i="2"/>
  <c r="X1185" i="2"/>
  <c r="Y843" i="2"/>
  <c r="AC1383" i="2"/>
  <c r="W799" i="2"/>
  <c r="Y1476" i="2"/>
  <c r="Y1304" i="2"/>
  <c r="X1426" i="2"/>
  <c r="Y1417" i="2"/>
  <c r="V1207" i="2"/>
  <c r="X1312" i="2"/>
  <c r="X883" i="2"/>
  <c r="W1112" i="2"/>
  <c r="X1231" i="2"/>
  <c r="AC1238" i="2"/>
  <c r="X1303" i="2"/>
  <c r="X1337" i="2"/>
  <c r="W721" i="2"/>
  <c r="X711" i="2"/>
  <c r="W1280" i="2"/>
  <c r="Y1077" i="2"/>
  <c r="AC1390" i="2"/>
  <c r="Y1078" i="2"/>
  <c r="Y1186" i="2"/>
  <c r="AC1003" i="2"/>
  <c r="X1433" i="2"/>
  <c r="AC1221" i="2"/>
  <c r="AC1486" i="2"/>
  <c r="AC1482" i="2"/>
  <c r="V1168" i="2"/>
  <c r="Y1492" i="2"/>
  <c r="V1343" i="2"/>
  <c r="AC1295" i="2"/>
  <c r="W1032" i="2"/>
  <c r="AC836" i="2"/>
  <c r="AC667" i="2"/>
  <c r="Y1134" i="2"/>
  <c r="Y1109" i="2"/>
  <c r="W1307" i="2"/>
  <c r="X1360" i="2"/>
  <c r="V1235" i="2"/>
  <c r="AC1368" i="2"/>
  <c r="AC744" i="2"/>
  <c r="X994" i="2"/>
  <c r="W894" i="2"/>
  <c r="W1214" i="2"/>
  <c r="W1155" i="2"/>
  <c r="AC1274" i="2"/>
  <c r="W1290" i="2"/>
  <c r="AC970" i="2"/>
  <c r="W1020" i="2"/>
  <c r="X1167" i="2"/>
  <c r="X1357" i="2"/>
  <c r="X1139" i="2"/>
  <c r="Y1406" i="2"/>
  <c r="W884" i="2"/>
  <c r="X1397" i="2"/>
  <c r="W1115" i="2"/>
  <c r="X779" i="2"/>
  <c r="X717" i="2"/>
  <c r="W1451" i="2"/>
  <c r="W1422" i="2"/>
  <c r="AC1230" i="2"/>
  <c r="X1465" i="2"/>
  <c r="AC1070" i="2"/>
  <c r="AC999" i="2"/>
  <c r="V1240" i="2"/>
  <c r="X1495" i="2"/>
  <c r="X1058" i="2"/>
  <c r="Y1233" i="2"/>
  <c r="AC1445" i="2"/>
  <c r="X1326" i="2"/>
  <c r="Y1314" i="2"/>
  <c r="AC1379" i="2"/>
  <c r="X1395" i="2"/>
  <c r="X1329" i="2"/>
  <c r="W1316" i="2"/>
  <c r="V1303" i="2"/>
  <c r="W1270" i="2"/>
  <c r="W1086" i="2"/>
  <c r="Y939" i="2"/>
  <c r="V1259" i="2"/>
  <c r="AC1026" i="2"/>
  <c r="X1467" i="2"/>
  <c r="Y1433" i="2"/>
  <c r="X1124" i="2"/>
  <c r="AC1493" i="2"/>
  <c r="X1483" i="2"/>
  <c r="W1473" i="2"/>
  <c r="Y1137" i="2"/>
  <c r="W892" i="2"/>
  <c r="Y1276" i="2"/>
  <c r="AC1315" i="2"/>
  <c r="V1257" i="2"/>
  <c r="X940" i="2"/>
  <c r="X1284" i="2"/>
  <c r="W1184" i="2"/>
  <c r="W1240" i="2"/>
  <c r="AC962" i="2"/>
  <c r="V1218" i="2"/>
  <c r="Y1173" i="2"/>
  <c r="W945" i="2"/>
  <c r="Y931" i="2"/>
  <c r="W1292" i="2"/>
  <c r="W1060" i="2"/>
  <c r="X1229" i="2"/>
  <c r="X947" i="2"/>
  <c r="W1150" i="2"/>
  <c r="AC1187" i="2"/>
  <c r="X1147" i="2"/>
  <c r="W1340" i="2"/>
  <c r="AC1284" i="2"/>
  <c r="AC1255" i="2"/>
  <c r="X1000" i="2"/>
  <c r="AC850" i="2"/>
  <c r="Y1331" i="2"/>
  <c r="X1338" i="2"/>
  <c r="X1324" i="2"/>
  <c r="Y925" i="2"/>
  <c r="AC1441" i="2"/>
  <c r="AC1348" i="2"/>
  <c r="Y1098" i="2"/>
  <c r="X1377" i="2"/>
  <c r="V1193" i="2"/>
  <c r="AC1111" i="2"/>
  <c r="Y1415" i="2"/>
  <c r="AC760" i="2"/>
  <c r="AC1017" i="2"/>
  <c r="W1420" i="2"/>
  <c r="W931" i="2"/>
  <c r="X1208" i="2"/>
  <c r="AC890" i="2"/>
  <c r="W1471" i="2"/>
  <c r="X1111" i="2"/>
  <c r="AC1180" i="2"/>
  <c r="Y1287" i="2"/>
  <c r="Y1244" i="2"/>
  <c r="V1291" i="2"/>
  <c r="Y832" i="2"/>
  <c r="X1430" i="2"/>
  <c r="X1451" i="2"/>
  <c r="V1380" i="2"/>
  <c r="V1292" i="2"/>
  <c r="X906" i="2"/>
  <c r="X1170" i="2"/>
  <c r="Y1462" i="2"/>
  <c r="AC1463" i="2"/>
  <c r="Y1288" i="2"/>
  <c r="W1344" i="2"/>
  <c r="V1285" i="2"/>
  <c r="X1297" i="2"/>
  <c r="Y960" i="2"/>
  <c r="W1258" i="2"/>
  <c r="W1146" i="2"/>
  <c r="W1297" i="2"/>
  <c r="Y1338" i="2"/>
  <c r="V1397" i="2"/>
  <c r="Y921" i="2"/>
  <c r="Y1343" i="2"/>
  <c r="W1188" i="2"/>
  <c r="AC1408" i="2"/>
  <c r="AC1085" i="2"/>
  <c r="X1416" i="2"/>
  <c r="AC1372" i="2"/>
  <c r="W1409" i="2"/>
  <c r="X1276" i="2"/>
  <c r="X1080" i="2"/>
  <c r="V1239" i="2"/>
  <c r="W1227" i="2"/>
  <c r="V1430" i="2"/>
  <c r="AC764" i="2"/>
  <c r="Y1019" i="2"/>
  <c r="Y726" i="2"/>
  <c r="X1238" i="2"/>
  <c r="V1409" i="2"/>
  <c r="AC1159" i="2"/>
  <c r="AC1312" i="2"/>
  <c r="AC1448" i="2"/>
  <c r="AC1212" i="2"/>
  <c r="W1074" i="2"/>
  <c r="AC1492" i="2"/>
  <c r="W1259" i="2"/>
  <c r="Y1472" i="2"/>
  <c r="Y1270" i="2"/>
  <c r="Y1246" i="2"/>
  <c r="AC1265" i="2"/>
  <c r="AC1400" i="2"/>
  <c r="X1367" i="2"/>
  <c r="X741" i="2"/>
  <c r="X677" i="2"/>
  <c r="W1399" i="2"/>
  <c r="AC897" i="2"/>
  <c r="V1201" i="2"/>
  <c r="Y1200" i="2"/>
  <c r="AC905" i="2"/>
  <c r="Y1373" i="2"/>
  <c r="Y1253" i="2"/>
  <c r="X907" i="2"/>
  <c r="X1410" i="2"/>
  <c r="AC824" i="2"/>
  <c r="X1285" i="2"/>
  <c r="W843" i="2"/>
  <c r="W506" i="2"/>
  <c r="AC409" i="2"/>
  <c r="AC719" i="2"/>
  <c r="X814" i="2"/>
  <c r="X959" i="2"/>
  <c r="AC553" i="2"/>
  <c r="Y700" i="2"/>
  <c r="Y1165" i="2"/>
  <c r="Y1004" i="2"/>
  <c r="W697" i="2"/>
  <c r="AC1240" i="2"/>
  <c r="AC894" i="2"/>
  <c r="AC1378" i="2"/>
  <c r="V1275" i="2"/>
  <c r="W546" i="2"/>
  <c r="X348" i="2"/>
  <c r="Y785" i="2"/>
  <c r="AC847" i="2"/>
  <c r="W1125" i="2"/>
  <c r="W1092" i="2"/>
  <c r="Y914" i="2"/>
  <c r="W586" i="2"/>
  <c r="AC178" i="2"/>
  <c r="X1013" i="2"/>
  <c r="AC845" i="2"/>
  <c r="W921" i="2"/>
  <c r="X557" i="2"/>
  <c r="X1372" i="2"/>
  <c r="AC1259" i="2"/>
  <c r="X137" i="2"/>
  <c r="Y639" i="2"/>
  <c r="X563" i="2"/>
  <c r="AC1151" i="2"/>
  <c r="AC1272" i="2"/>
  <c r="X1363" i="2"/>
  <c r="AC818" i="2"/>
  <c r="Y1066" i="2"/>
  <c r="Y487" i="2"/>
  <c r="X1206" i="2"/>
  <c r="Y732" i="2"/>
  <c r="V1175" i="2"/>
  <c r="X1477" i="2"/>
  <c r="Y569" i="2"/>
  <c r="V1368" i="2"/>
  <c r="Y948" i="2"/>
  <c r="Y1437" i="2"/>
  <c r="X953" i="2"/>
  <c r="AC1040" i="2"/>
  <c r="AC1319" i="2"/>
  <c r="W796" i="2"/>
  <c r="AC959" i="2"/>
  <c r="Y1120" i="2"/>
  <c r="X1352" i="2"/>
  <c r="Y804" i="2"/>
  <c r="X495" i="2"/>
  <c r="X888" i="2"/>
  <c r="X1095" i="2"/>
  <c r="AC691" i="2"/>
  <c r="X958" i="2"/>
  <c r="X1008" i="2"/>
  <c r="Y840" i="2"/>
  <c r="X378" i="2"/>
  <c r="AC358" i="2"/>
  <c r="AC1425" i="2"/>
  <c r="X894" i="2"/>
  <c r="X1335" i="2"/>
  <c r="X1153" i="2"/>
  <c r="X244" i="2"/>
  <c r="V1206" i="2"/>
  <c r="Y1311" i="2"/>
  <c r="X171" i="2"/>
  <c r="X1279" i="2"/>
  <c r="W1107" i="2"/>
  <c r="X865" i="2"/>
  <c r="Y1117" i="2"/>
  <c r="X306" i="2"/>
  <c r="X593" i="2"/>
  <c r="X925" i="2"/>
  <c r="V1460" i="2"/>
  <c r="W810" i="2"/>
  <c r="X813" i="2"/>
  <c r="W409" i="2"/>
  <c r="X588" i="2"/>
  <c r="W1239" i="2"/>
  <c r="Y1145" i="2"/>
  <c r="X796" i="2"/>
  <c r="Y443" i="2"/>
  <c r="Y1126" i="2"/>
  <c r="X1079" i="2"/>
  <c r="Y935" i="2"/>
  <c r="X1400" i="2"/>
  <c r="W1402" i="2"/>
  <c r="Y903" i="2"/>
  <c r="AC1391" i="2"/>
  <c r="X806" i="2"/>
  <c r="AC1037" i="2"/>
  <c r="W1384" i="2"/>
  <c r="Y910" i="2"/>
  <c r="Y1054" i="2"/>
  <c r="W1008" i="2"/>
  <c r="AC1227" i="2"/>
  <c r="AC1188" i="2"/>
  <c r="V1180" i="2"/>
  <c r="AC1462" i="2"/>
  <c r="Y1436" i="2"/>
  <c r="V1451" i="2"/>
  <c r="W1204" i="2"/>
  <c r="Y1297" i="2"/>
  <c r="X1317" i="2"/>
  <c r="Y1300" i="2"/>
  <c r="AC961" i="2"/>
  <c r="AC864" i="2"/>
  <c r="AC1345" i="2"/>
  <c r="X1282" i="2"/>
  <c r="X1281" i="2"/>
  <c r="Y567" i="2"/>
  <c r="Y1056" i="2"/>
  <c r="Y679" i="2"/>
  <c r="W607" i="2"/>
  <c r="X834" i="2"/>
  <c r="X460" i="2"/>
  <c r="W840" i="2"/>
  <c r="X425" i="2"/>
  <c r="Y573" i="2"/>
  <c r="X1122" i="2"/>
  <c r="W957" i="2"/>
  <c r="Y1352" i="2"/>
  <c r="W1187" i="2"/>
  <c r="X186" i="2"/>
  <c r="X34" i="2"/>
  <c r="W882" i="2"/>
  <c r="AC602" i="2"/>
  <c r="W827" i="2"/>
  <c r="X935" i="2"/>
  <c r="X989" i="2"/>
  <c r="X658" i="2"/>
  <c r="Y198" i="2"/>
  <c r="Y938" i="2"/>
  <c r="AC298" i="2"/>
  <c r="AC1394" i="2"/>
  <c r="W1500" i="2"/>
  <c r="X1474" i="2"/>
  <c r="Y1267" i="2"/>
  <c r="X964" i="2"/>
  <c r="AC626" i="2"/>
  <c r="W1320" i="2"/>
  <c r="X287" i="2"/>
  <c r="X1226" i="2"/>
  <c r="Y997" i="2"/>
  <c r="Y1072" i="2"/>
  <c r="Y1138" i="2"/>
  <c r="Y92" i="2"/>
  <c r="W542" i="2"/>
  <c r="X404" i="2"/>
  <c r="AC1287" i="2"/>
  <c r="X795" i="2"/>
  <c r="Y1421" i="2"/>
  <c r="Y1423" i="2"/>
  <c r="W956" i="2"/>
  <c r="X1131" i="2"/>
  <c r="AC176" i="2"/>
  <c r="X1457" i="2"/>
  <c r="X838" i="2"/>
  <c r="Y1062" i="2"/>
  <c r="AC565" i="2"/>
  <c r="X114" i="2"/>
  <c r="X1494" i="2"/>
  <c r="X1119" i="2"/>
  <c r="Y1174" i="2"/>
  <c r="X1197" i="2"/>
  <c r="Y447" i="2"/>
  <c r="Y122" i="2"/>
  <c r="W783" i="2"/>
  <c r="W1063" i="2"/>
  <c r="AC197" i="2"/>
  <c r="W886" i="2"/>
  <c r="V1258" i="2"/>
  <c r="W259" i="2"/>
  <c r="AC572" i="2"/>
  <c r="AC511" i="2"/>
  <c r="Y1121" i="2"/>
  <c r="AC599" i="2"/>
  <c r="AC201" i="2"/>
  <c r="W741" i="2"/>
  <c r="W1364" i="2"/>
  <c r="V1424" i="2"/>
  <c r="AC1001" i="2"/>
  <c r="W1013" i="2"/>
  <c r="W823" i="2"/>
  <c r="Y1363" i="2"/>
  <c r="AC1253" i="2"/>
  <c r="Y1306" i="2"/>
  <c r="X1128" i="2"/>
  <c r="AC1279" i="2"/>
  <c r="Y1234" i="2"/>
  <c r="W1321" i="2"/>
  <c r="Y1282" i="2"/>
  <c r="V1477" i="2"/>
  <c r="W1393" i="2"/>
  <c r="V1326" i="2"/>
  <c r="W1277" i="2"/>
  <c r="W1121" i="2"/>
  <c r="W1492" i="2"/>
  <c r="V1459" i="2"/>
  <c r="X1384" i="2"/>
  <c r="Y1454" i="2"/>
  <c r="AC1194" i="2"/>
  <c r="AC1311" i="2"/>
  <c r="V1213" i="2"/>
  <c r="AC528" i="2"/>
  <c r="Y1167" i="2"/>
  <c r="Y211" i="2"/>
  <c r="AC568" i="2"/>
  <c r="X364" i="2"/>
  <c r="X928" i="2"/>
  <c r="X1280" i="2"/>
  <c r="X1082" i="2"/>
  <c r="X10" i="2"/>
  <c r="Y1384" i="2"/>
  <c r="Y1496" i="2"/>
  <c r="W1045" i="2"/>
  <c r="AC281" i="2"/>
  <c r="AC898" i="2"/>
  <c r="AC573" i="2"/>
  <c r="AC355" i="2"/>
  <c r="W720" i="2"/>
  <c r="X1258" i="2"/>
  <c r="AC1283" i="2"/>
  <c r="X1287" i="2"/>
  <c r="W978" i="2"/>
  <c r="X646" i="2"/>
  <c r="V1403" i="2"/>
  <c r="X551" i="2"/>
  <c r="Y1232" i="2"/>
  <c r="W1309" i="2"/>
  <c r="W1416" i="2"/>
  <c r="X536" i="2"/>
  <c r="W762" i="2"/>
  <c r="X506" i="2"/>
  <c r="X1028" i="2"/>
  <c r="X356" i="2"/>
  <c r="AC852" i="2"/>
  <c r="Y1068" i="2"/>
  <c r="W1412" i="2"/>
  <c r="X472" i="2"/>
  <c r="W133" i="2"/>
  <c r="AC989" i="2"/>
  <c r="AC246" i="2"/>
  <c r="W1122" i="2"/>
  <c r="X1213" i="2"/>
  <c r="AC924" i="2"/>
  <c r="X850" i="2"/>
  <c r="W231" i="2"/>
  <c r="V1452" i="2"/>
  <c r="X420" i="2"/>
  <c r="Y944" i="2"/>
  <c r="Y860" i="2"/>
  <c r="W999" i="2"/>
  <c r="X809" i="2"/>
  <c r="X209" i="2"/>
  <c r="AC1249" i="2"/>
  <c r="X737" i="2"/>
  <c r="X1039" i="2"/>
  <c r="Y1217" i="2"/>
  <c r="W432" i="2"/>
  <c r="X606" i="2"/>
  <c r="W1284" i="2"/>
  <c r="X1125" i="2"/>
  <c r="AC733" i="2"/>
  <c r="W867" i="2"/>
  <c r="AC662" i="2"/>
  <c r="X793" i="2"/>
  <c r="Y706" i="2"/>
  <c r="AC98" i="2"/>
  <c r="W1197" i="2"/>
  <c r="Y824" i="2"/>
  <c r="V1364" i="2"/>
  <c r="AC1130" i="2"/>
  <c r="Y125" i="2"/>
  <c r="W1222" i="2"/>
  <c r="Y1018" i="2"/>
  <c r="AC1116" i="2"/>
  <c r="W983" i="2"/>
  <c r="Y433" i="2"/>
  <c r="V1209" i="2"/>
  <c r="W1164" i="2"/>
  <c r="Y201" i="2"/>
  <c r="AC1006" i="2"/>
  <c r="Y1385" i="2"/>
  <c r="X224" i="2"/>
  <c r="W460" i="2"/>
  <c r="W992" i="2"/>
  <c r="AC211" i="2"/>
  <c r="Y1340" i="2"/>
  <c r="AC1176" i="2"/>
  <c r="Y431" i="2"/>
  <c r="AC1468" i="2"/>
  <c r="AC218" i="2"/>
  <c r="X1100" i="2"/>
  <c r="X286" i="2"/>
  <c r="Y497" i="2"/>
  <c r="Y770" i="2"/>
  <c r="Y620" i="2"/>
  <c r="W572" i="2"/>
  <c r="AC1075" i="2"/>
  <c r="X526" i="2"/>
  <c r="W1026" i="2"/>
  <c r="AC357" i="2"/>
  <c r="X750" i="2"/>
  <c r="Y1005" i="2"/>
  <c r="Y964" i="2"/>
  <c r="V1440" i="2"/>
  <c r="AC1143" i="2"/>
  <c r="AC948" i="2"/>
  <c r="W1250" i="2"/>
  <c r="W1401" i="2"/>
  <c r="W1067" i="2"/>
  <c r="W1065" i="2"/>
  <c r="AC1350" i="2"/>
  <c r="Y1171" i="2"/>
  <c r="AC630" i="2"/>
  <c r="Y1382" i="2"/>
  <c r="X218" i="2"/>
  <c r="Y1028" i="2"/>
  <c r="AC1197" i="2"/>
  <c r="Y1095" i="2"/>
  <c r="Y1084" i="2"/>
  <c r="W1038" i="2"/>
  <c r="Y1083" i="2"/>
  <c r="X1491" i="2"/>
  <c r="Y1203" i="2"/>
  <c r="Y1060" i="2"/>
  <c r="AC1414" i="2"/>
  <c r="Y1115" i="2"/>
  <c r="X1344" i="2"/>
  <c r="Y1361" i="2"/>
  <c r="AC675" i="2"/>
  <c r="X1350" i="2"/>
  <c r="X370" i="2"/>
  <c r="Y668" i="2"/>
  <c r="AC365" i="2"/>
  <c r="X444" i="2"/>
  <c r="X605" i="2"/>
  <c r="W300" i="2"/>
  <c r="X235" i="2"/>
  <c r="AC1202" i="2"/>
  <c r="Y1349" i="2"/>
  <c r="AC1183" i="2"/>
  <c r="X1012" i="2"/>
  <c r="X660" i="2"/>
  <c r="AC1166" i="2"/>
  <c r="X1445" i="2"/>
  <c r="X1250" i="2"/>
  <c r="W1135" i="2"/>
  <c r="X709" i="2"/>
  <c r="AC826" i="2"/>
  <c r="AC1325" i="2"/>
  <c r="AC911" i="2"/>
  <c r="V1189" i="2"/>
  <c r="W850" i="2"/>
  <c r="Y907" i="2"/>
  <c r="Y1229" i="2"/>
  <c r="V1220" i="2"/>
  <c r="Y1408" i="2"/>
  <c r="W761" i="2"/>
  <c r="Y58" i="2"/>
  <c r="AC585" i="2"/>
  <c r="Y676" i="2"/>
  <c r="Y853" i="2"/>
  <c r="V1449" i="2"/>
  <c r="AC992" i="2"/>
  <c r="AC792" i="2"/>
  <c r="X6" i="2"/>
  <c r="AC1313" i="2"/>
  <c r="X578" i="2"/>
  <c r="W1407" i="2"/>
  <c r="AC505" i="2"/>
  <c r="W941" i="2"/>
  <c r="AC1296" i="2"/>
  <c r="X257" i="2"/>
  <c r="W781" i="2"/>
  <c r="Y328" i="2"/>
  <c r="X1392" i="2"/>
  <c r="X969" i="2"/>
  <c r="W1019" i="2"/>
  <c r="Y471" i="2"/>
  <c r="Y696" i="2"/>
  <c r="X675" i="2"/>
  <c r="Y1131" i="2"/>
  <c r="AC233" i="2"/>
  <c r="X919" i="2"/>
  <c r="AC496" i="2"/>
  <c r="AC456" i="2"/>
  <c r="W699" i="2"/>
  <c r="W1388" i="2"/>
  <c r="AC1114" i="2"/>
  <c r="Y1348" i="2"/>
  <c r="X849" i="2"/>
  <c r="W876" i="2"/>
  <c r="X822" i="2"/>
  <c r="Y12" i="2"/>
  <c r="Y687" i="2"/>
  <c r="W1392" i="2"/>
  <c r="X1085" i="2"/>
  <c r="AC1261" i="2"/>
  <c r="AC508" i="2"/>
  <c r="AC811" i="2"/>
  <c r="X695" i="2"/>
  <c r="AC506" i="2"/>
  <c r="Y886" i="2"/>
  <c r="AC1387" i="2"/>
  <c r="W675" i="2"/>
  <c r="AC960" i="2"/>
  <c r="X1092" i="2"/>
  <c r="X777" i="2"/>
  <c r="W1351" i="2"/>
  <c r="X846" i="2"/>
  <c r="X738" i="2"/>
  <c r="W1138" i="2"/>
  <c r="V1246" i="2"/>
  <c r="AC1388" i="2"/>
  <c r="Y1298" i="2"/>
  <c r="W1217" i="2"/>
  <c r="W1387" i="2"/>
  <c r="Y1364" i="2"/>
  <c r="V1252" i="2"/>
  <c r="AC680" i="2"/>
  <c r="AC1214" i="2"/>
  <c r="V1238" i="2"/>
  <c r="Y1274" i="2"/>
  <c r="W1431" i="2"/>
  <c r="AC1477" i="2"/>
  <c r="W1192" i="2"/>
  <c r="Y1162" i="2"/>
  <c r="Y850" i="2"/>
  <c r="V1445" i="2"/>
  <c r="Y924" i="2"/>
  <c r="W1348" i="2"/>
  <c r="X691" i="2"/>
  <c r="W1443" i="2"/>
  <c r="V1402" i="2"/>
  <c r="AC1286" i="2"/>
  <c r="Y774" i="2"/>
  <c r="V1223" i="2"/>
  <c r="AC512" i="2"/>
  <c r="X442" i="2"/>
  <c r="W134" i="2"/>
  <c r="W295" i="2"/>
  <c r="Y851" i="2"/>
  <c r="AC846" i="2"/>
  <c r="X1246" i="2"/>
  <c r="X690" i="2"/>
  <c r="AC74" i="2"/>
  <c r="V1372" i="2"/>
  <c r="X789" i="2"/>
  <c r="X885" i="2"/>
  <c r="AC265" i="2"/>
  <c r="Y873" i="2"/>
  <c r="V1226" i="2"/>
  <c r="Y177" i="2"/>
  <c r="AC955" i="2"/>
  <c r="W1175" i="2"/>
  <c r="X1274" i="2"/>
  <c r="X982" i="2"/>
  <c r="X502" i="2"/>
  <c r="AC589" i="2"/>
  <c r="W412" i="2"/>
  <c r="W784" i="2"/>
  <c r="Y1477" i="2"/>
  <c r="Y810" i="2"/>
  <c r="V1274" i="2"/>
  <c r="X264" i="2"/>
  <c r="Y762" i="2"/>
  <c r="Y754" i="2"/>
  <c r="W754" i="2"/>
  <c r="W916" i="2"/>
  <c r="W1190" i="2"/>
  <c r="X733" i="2"/>
  <c r="V1280" i="2"/>
  <c r="Y737" i="2"/>
  <c r="X163" i="2"/>
  <c r="W905" i="2"/>
  <c r="W930" i="2"/>
  <c r="X895" i="2"/>
  <c r="X394" i="2"/>
  <c r="AC1115" i="2"/>
  <c r="Y1190" i="2"/>
  <c r="AC143" i="2"/>
  <c r="W900" i="2"/>
  <c r="W798" i="2"/>
  <c r="AC1007" i="2"/>
  <c r="AC1317" i="2"/>
  <c r="Y933" i="2"/>
  <c r="Y771" i="2"/>
  <c r="W367" i="2"/>
  <c r="X459" i="2"/>
  <c r="X1354" i="2"/>
  <c r="W1000" i="2"/>
  <c r="V1432" i="2"/>
  <c r="V1471" i="2"/>
  <c r="AC935" i="2"/>
  <c r="X768" i="2"/>
  <c r="V1496" i="2"/>
  <c r="V1447" i="2"/>
  <c r="W717" i="2"/>
  <c r="Y911" i="2"/>
  <c r="W637" i="2"/>
  <c r="AC834" i="2"/>
  <c r="W425" i="2"/>
  <c r="W1396" i="2"/>
  <c r="Y959" i="2"/>
  <c r="Y1405" i="2"/>
  <c r="W733" i="2"/>
  <c r="AC173" i="2"/>
  <c r="W676" i="2"/>
  <c r="Y819" i="2"/>
  <c r="AC1207" i="2"/>
  <c r="W951" i="2"/>
  <c r="Y381" i="2"/>
  <c r="Y611" i="2"/>
  <c r="AC1234" i="2"/>
  <c r="Y1440" i="2"/>
  <c r="V1465" i="2"/>
  <c r="AC1269" i="2"/>
  <c r="X208" i="2"/>
  <c r="Y900" i="2"/>
  <c r="W821" i="2"/>
  <c r="Y807" i="2"/>
  <c r="Y963" i="2"/>
  <c r="W846" i="2"/>
  <c r="Y415" i="2"/>
  <c r="Y641" i="2"/>
  <c r="AC929" i="2"/>
  <c r="W1444" i="2"/>
  <c r="Y481" i="2"/>
  <c r="X545" i="2"/>
  <c r="X412" i="2"/>
  <c r="W743" i="2"/>
  <c r="X732" i="2"/>
  <c r="Y993" i="2"/>
  <c r="Y413" i="2"/>
  <c r="W808" i="2"/>
  <c r="AC1359" i="2"/>
  <c r="AC1023" i="2"/>
  <c r="W1480" i="2"/>
  <c r="W1057" i="2"/>
  <c r="W942" i="2"/>
  <c r="W1376" i="2"/>
  <c r="Y1024" i="2"/>
  <c r="Y1293" i="2"/>
  <c r="Y1394" i="2"/>
  <c r="AC1334" i="2"/>
  <c r="Y858" i="2"/>
  <c r="W1110" i="2"/>
  <c r="Y1269" i="2"/>
  <c r="V1279" i="2"/>
  <c r="W1233" i="2"/>
  <c r="AC1033" i="2"/>
  <c r="V1467" i="2"/>
  <c r="X236" i="2"/>
  <c r="Y1429" i="2"/>
  <c r="X1302" i="2"/>
  <c r="W1311" i="2"/>
  <c r="X1261" i="2"/>
  <c r="W1328" i="2"/>
  <c r="Y1419" i="2"/>
  <c r="W881" i="2"/>
  <c r="Y653" i="2"/>
  <c r="Y729" i="2"/>
  <c r="AC323" i="2"/>
  <c r="Y747" i="2"/>
  <c r="Y589" i="2"/>
  <c r="W705" i="2"/>
  <c r="V1312" i="2"/>
  <c r="Y118" i="2"/>
  <c r="Y1372" i="2"/>
  <c r="W635" i="2"/>
  <c r="X527" i="2"/>
  <c r="Y1464" i="2"/>
  <c r="X1176" i="2"/>
  <c r="AC799" i="2"/>
  <c r="AC1137" i="2"/>
  <c r="X33" i="2"/>
  <c r="X1482" i="2"/>
  <c r="X645" i="2"/>
  <c r="AC648" i="2"/>
  <c r="AC889" i="2"/>
  <c r="W642" i="2"/>
  <c r="Y576" i="2"/>
  <c r="W639" i="2"/>
  <c r="X553" i="2"/>
  <c r="X835" i="2"/>
  <c r="AC1481" i="2"/>
  <c r="V1446" i="2"/>
  <c r="V1385" i="2"/>
  <c r="W1182" i="2"/>
  <c r="X1062" i="2"/>
  <c r="W487" i="2"/>
  <c r="W925" i="2"/>
  <c r="V1284" i="2"/>
  <c r="Y1469" i="2"/>
  <c r="W890" i="2"/>
  <c r="AC293" i="2"/>
  <c r="AC922" i="2"/>
  <c r="W856" i="2"/>
  <c r="Y981" i="2"/>
  <c r="AC1000" i="2"/>
  <c r="AC1186" i="2"/>
  <c r="V1241" i="2"/>
  <c r="AC311" i="2"/>
  <c r="X435" i="2"/>
  <c r="X1366" i="2"/>
  <c r="Y1243" i="2"/>
  <c r="AC1014" i="2"/>
  <c r="Y1500" i="2"/>
  <c r="AC895" i="2"/>
  <c r="W774" i="2"/>
  <c r="AC717" i="2"/>
  <c r="Y124" i="2"/>
  <c r="AC1298" i="2"/>
  <c r="W1165" i="2"/>
  <c r="Y1206" i="2"/>
  <c r="X1486" i="2"/>
  <c r="X1417" i="2"/>
  <c r="X673" i="2"/>
  <c r="Y878" i="2"/>
  <c r="AC1373" i="2"/>
  <c r="X1160" i="2"/>
  <c r="Y1029" i="2"/>
  <c r="X890" i="2"/>
  <c r="AC1086" i="2"/>
  <c r="AC577" i="2"/>
  <c r="X1489" i="2"/>
  <c r="AC464" i="2"/>
  <c r="AC1096" i="2"/>
  <c r="AC1277" i="2"/>
  <c r="Y902" i="2"/>
  <c r="AC349" i="2"/>
  <c r="W936" i="2"/>
  <c r="AC490" i="2"/>
  <c r="X1379" i="2"/>
  <c r="V1306" i="2"/>
  <c r="W836" i="2"/>
  <c r="AC604" i="2"/>
  <c r="V1181" i="2"/>
  <c r="X598" i="2"/>
  <c r="X342" i="2"/>
  <c r="X764" i="2"/>
  <c r="W800" i="2"/>
  <c r="X937" i="2"/>
  <c r="AC696" i="2"/>
  <c r="AC718" i="2"/>
  <c r="V1493" i="2"/>
  <c r="AC227" i="2"/>
  <c r="X736" i="2"/>
  <c r="AC395" i="2"/>
  <c r="Y987" i="2"/>
  <c r="W674" i="2"/>
  <c r="W408" i="2"/>
  <c r="W1279" i="2"/>
  <c r="Y543" i="2"/>
  <c r="AC809" i="2"/>
  <c r="W1021" i="2"/>
  <c r="W606" i="2"/>
  <c r="AC1121" i="2"/>
  <c r="W822" i="2"/>
  <c r="X1221" i="2"/>
  <c r="Y1122" i="2"/>
  <c r="Y1289" i="2"/>
  <c r="Y1339" i="2"/>
  <c r="AC1424" i="2"/>
  <c r="AC994" i="2"/>
  <c r="AC686" i="2"/>
  <c r="W1152" i="2"/>
  <c r="X1150" i="2"/>
  <c r="X1388" i="2"/>
  <c r="W1056" i="2"/>
  <c r="AC1205" i="2"/>
  <c r="X713" i="2"/>
  <c r="Y1214" i="2"/>
  <c r="Y1321" i="2"/>
  <c r="Y1312" i="2"/>
  <c r="AC1367" i="2"/>
  <c r="X1041" i="2"/>
  <c r="V1367" i="2"/>
  <c r="X1097" i="2"/>
  <c r="W1484" i="2"/>
  <c r="Y1216" i="2"/>
  <c r="W1300" i="2"/>
  <c r="W751" i="2"/>
  <c r="AC1479" i="2"/>
  <c r="AC300" i="2"/>
  <c r="W622" i="2"/>
  <c r="X684" i="2"/>
  <c r="AC543" i="2"/>
  <c r="Y852" i="2"/>
  <c r="W706" i="2"/>
  <c r="Y805" i="2"/>
  <c r="X338" i="2"/>
  <c r="W1141" i="2"/>
  <c r="Y1379" i="2"/>
  <c r="W550" i="2"/>
  <c r="W672" i="2"/>
  <c r="W540" i="2"/>
  <c r="AC491" i="2"/>
  <c r="AC738" i="2"/>
  <c r="AC37" i="2"/>
  <c r="Y1194" i="2"/>
  <c r="X1109" i="2"/>
  <c r="V1498" i="2"/>
  <c r="AC252" i="2"/>
  <c r="W665" i="2"/>
  <c r="X474" i="2"/>
  <c r="X921" i="2"/>
  <c r="X324" i="2"/>
  <c r="Y874" i="2"/>
  <c r="AC1392" i="2"/>
  <c r="V1298" i="2"/>
  <c r="X248" i="2"/>
  <c r="AC679" i="2"/>
  <c r="Y365" i="2"/>
  <c r="AC224" i="2"/>
  <c r="AC510" i="2"/>
  <c r="W832" i="2"/>
  <c r="AC1092" i="2"/>
  <c r="W828" i="2"/>
  <c r="X734" i="2"/>
  <c r="X223" i="2"/>
  <c r="AC476" i="2"/>
  <c r="Y503" i="2"/>
  <c r="X1182" i="2"/>
  <c r="Y1326" i="2"/>
  <c r="Y1106" i="2"/>
  <c r="Y677" i="2"/>
  <c r="X225" i="2"/>
  <c r="W1221" i="2"/>
  <c r="AC977" i="2"/>
  <c r="W1497" i="2"/>
  <c r="X1332" i="2"/>
  <c r="X911" i="2"/>
  <c r="X787" i="2"/>
  <c r="AC762" i="2"/>
  <c r="AC455" i="2"/>
  <c r="W1226" i="2"/>
  <c r="AC676" i="2"/>
  <c r="X995" i="2"/>
  <c r="X682" i="2"/>
  <c r="AC73" i="2"/>
  <c r="Y1101" i="2"/>
  <c r="Y1263" i="2"/>
  <c r="Y758" i="2"/>
  <c r="X574" i="2"/>
  <c r="X1371" i="2"/>
  <c r="X117" i="2"/>
  <c r="AC1138" i="2"/>
  <c r="X688" i="2"/>
  <c r="W948" i="2"/>
  <c r="X1204" i="2"/>
  <c r="AC835" i="2"/>
  <c r="X1425" i="2"/>
  <c r="X522" i="2"/>
  <c r="X398" i="2"/>
  <c r="AC1139" i="2"/>
  <c r="W919" i="2"/>
  <c r="AC1101" i="2"/>
  <c r="W651" i="2"/>
  <c r="X143" i="2"/>
  <c r="W1264" i="2"/>
  <c r="Y942" i="2"/>
  <c r="AC1242" i="2"/>
  <c r="X979" i="2"/>
  <c r="AC765" i="2"/>
  <c r="V1253" i="2"/>
  <c r="AC1173" i="2"/>
  <c r="W839" i="2"/>
  <c r="X489" i="2"/>
  <c r="V1188" i="2"/>
  <c r="X479" i="2"/>
  <c r="X366" i="2"/>
  <c r="W758" i="2"/>
  <c r="AC1109" i="2"/>
  <c r="Y465" i="2"/>
  <c r="W1453" i="2"/>
  <c r="AC1389" i="2"/>
  <c r="W144" i="2"/>
  <c r="X967" i="2"/>
  <c r="V1383" i="2"/>
  <c r="W1427" i="2"/>
  <c r="W414" i="2"/>
  <c r="W779" i="2"/>
  <c r="Y137" i="2"/>
  <c r="X230" i="2"/>
  <c r="AC269" i="2"/>
  <c r="X1190" i="2"/>
  <c r="AC1285" i="2"/>
  <c r="X973" i="2"/>
  <c r="Y1143" i="2"/>
  <c r="AC1083" i="2"/>
  <c r="W1082" i="2"/>
  <c r="V1365" i="2"/>
  <c r="W1062" i="2"/>
  <c r="X1065" i="2"/>
  <c r="W1469" i="2"/>
  <c r="W1343" i="2"/>
  <c r="AC1229" i="2"/>
  <c r="W1194" i="2"/>
  <c r="W1329" i="2"/>
  <c r="X1018" i="2"/>
  <c r="Y1148" i="2"/>
  <c r="AC1091" i="2"/>
  <c r="W1034" i="2"/>
  <c r="W1208" i="2"/>
  <c r="AC1266" i="2"/>
  <c r="Y1424" i="2"/>
  <c r="V1362" i="2"/>
  <c r="X1253" i="2"/>
  <c r="W1134" i="2"/>
  <c r="Y869" i="2"/>
  <c r="X279" i="2"/>
  <c r="AC690" i="2"/>
  <c r="Y373" i="2"/>
  <c r="W1133" i="2"/>
  <c r="X992" i="2"/>
  <c r="V1359" i="2"/>
  <c r="Y797" i="2"/>
  <c r="AC188" i="2"/>
  <c r="X259" i="2"/>
  <c r="W1104" i="2"/>
  <c r="Y1381" i="2"/>
  <c r="Y760" i="2"/>
  <c r="Y429" i="2"/>
  <c r="X540" i="2"/>
  <c r="Y507" i="2"/>
  <c r="AC123" i="2"/>
  <c r="X1227" i="2"/>
  <c r="AC1218" i="2"/>
  <c r="AC1053" i="2"/>
  <c r="AC1470" i="2"/>
  <c r="AC261" i="2"/>
  <c r="Y1245" i="2"/>
  <c r="Y1495" i="2"/>
  <c r="W1072" i="2"/>
  <c r="W1410" i="2"/>
  <c r="AC1469" i="2"/>
  <c r="W814" i="2"/>
  <c r="AC984" i="2"/>
  <c r="X554" i="2"/>
  <c r="X513" i="2"/>
  <c r="AC872" i="2"/>
  <c r="X986" i="2"/>
  <c r="X659" i="2"/>
  <c r="Y1188" i="2"/>
  <c r="AC1020" i="2"/>
  <c r="AC735" i="2"/>
  <c r="Y793" i="2"/>
  <c r="W578" i="2"/>
  <c r="W1246" i="2"/>
  <c r="W1466" i="2"/>
  <c r="X1132" i="2"/>
  <c r="Y888" i="2"/>
  <c r="X820" i="2"/>
  <c r="W394" i="2"/>
  <c r="AC1117" i="2"/>
  <c r="W875" i="2"/>
  <c r="AC1306" i="2"/>
  <c r="Y837" i="2"/>
  <c r="X866" i="2"/>
  <c r="AC1193" i="2"/>
  <c r="Y678" i="2"/>
  <c r="Y909" i="2"/>
  <c r="AC1300" i="2"/>
  <c r="X1418" i="2"/>
  <c r="W633" i="2"/>
  <c r="Y746" i="2"/>
  <c r="AC749" i="2"/>
  <c r="Y936" i="2"/>
  <c r="W915" i="2"/>
  <c r="AC774" i="2"/>
  <c r="AC631" i="2"/>
  <c r="Y918" i="2"/>
  <c r="W1096" i="2"/>
  <c r="W213" i="2"/>
  <c r="V1436" i="2"/>
  <c r="X1419" i="2"/>
  <c r="X763" i="2"/>
  <c r="X561" i="2"/>
  <c r="AC299" i="2"/>
  <c r="Y74" i="2"/>
  <c r="Y609" i="2"/>
  <c r="W1162" i="2"/>
  <c r="X1424" i="2"/>
  <c r="Y1010" i="2"/>
  <c r="X687" i="2"/>
  <c r="X491" i="2"/>
  <c r="AC851" i="2"/>
  <c r="X971" i="2"/>
  <c r="X326" i="2"/>
  <c r="Y617" i="2"/>
  <c r="X998" i="2"/>
  <c r="W1262" i="2"/>
  <c r="W636" i="2"/>
  <c r="X1169" i="2"/>
  <c r="W1304" i="2"/>
  <c r="W968" i="2"/>
  <c r="AC480" i="2"/>
  <c r="V1233" i="2"/>
  <c r="X719" i="2"/>
  <c r="X1245" i="2"/>
  <c r="Y654" i="2"/>
  <c r="Y1129" i="2"/>
  <c r="AC1217" i="2"/>
  <c r="X453" i="2"/>
  <c r="AC535" i="2"/>
  <c r="W953" i="2"/>
  <c r="AC1407" i="2"/>
  <c r="Y927" i="2"/>
  <c r="X753" i="2"/>
  <c r="W1452" i="2"/>
  <c r="X1431" i="2"/>
  <c r="AC1179" i="2"/>
  <c r="W1069" i="2"/>
  <c r="Y644" i="2"/>
  <c r="AC1195" i="2"/>
  <c r="X775" i="2"/>
  <c r="V1400" i="2"/>
  <c r="W1093" i="2"/>
  <c r="V1169" i="2"/>
  <c r="W1490" i="2"/>
  <c r="Y1038" i="2"/>
  <c r="W1166" i="2"/>
  <c r="AC1327" i="2"/>
  <c r="W1136" i="2"/>
  <c r="Y1353" i="2"/>
  <c r="V1374" i="2"/>
  <c r="W1303" i="2"/>
  <c r="X1346" i="2"/>
  <c r="Y1305" i="2"/>
  <c r="W1161" i="2"/>
  <c r="X1239" i="2"/>
  <c r="V1267" i="2"/>
  <c r="X1443" i="2"/>
  <c r="Y1271" i="2"/>
  <c r="W1449" i="2"/>
  <c r="X665" i="2"/>
  <c r="X18" i="2"/>
  <c r="X161" i="2"/>
  <c r="V1337" i="2"/>
  <c r="AC620" i="2"/>
  <c r="W1413" i="2"/>
  <c r="AC1460" i="2"/>
  <c r="X424" i="2"/>
  <c r="W1027" i="2"/>
  <c r="Y652" i="2"/>
  <c r="W1373" i="2"/>
  <c r="Y975" i="2"/>
  <c r="Y457" i="2"/>
  <c r="X518" i="2"/>
  <c r="Y123" i="2"/>
  <c r="Y1455" i="2"/>
  <c r="W1071" i="2"/>
  <c r="W1002" i="2"/>
  <c r="Y230" i="2"/>
  <c r="X762" i="2"/>
  <c r="AC828" i="2"/>
  <c r="Y208" i="2"/>
  <c r="AC902" i="2"/>
  <c r="Y743" i="2"/>
  <c r="X613" i="2"/>
  <c r="Y642" i="2"/>
  <c r="V1414" i="2"/>
  <c r="X282" i="2"/>
  <c r="Y301" i="2"/>
  <c r="Y163" i="2"/>
  <c r="V1345" i="2"/>
  <c r="X1342" i="2"/>
  <c r="Y1375" i="2"/>
  <c r="W1479" i="2"/>
  <c r="X1196" i="2"/>
  <c r="AC849" i="2"/>
  <c r="AC987" i="2"/>
  <c r="AC1310" i="2"/>
  <c r="W944" i="2"/>
  <c r="V1270" i="2"/>
  <c r="AC375" i="2"/>
  <c r="Y772" i="2"/>
  <c r="AC896" i="2"/>
  <c r="Y1280" i="2"/>
  <c r="Y857" i="2"/>
  <c r="W588" i="2"/>
  <c r="AC727" i="2"/>
  <c r="V1370" i="2"/>
  <c r="AC1156" i="2"/>
  <c r="W700" i="2"/>
  <c r="AC1047" i="2"/>
  <c r="W1428" i="2"/>
  <c r="W1339" i="2"/>
  <c r="AC1105" i="2"/>
  <c r="X346" i="2"/>
  <c r="X323" i="2"/>
  <c r="X1108" i="2"/>
  <c r="Y905" i="2"/>
  <c r="V1314" i="2"/>
  <c r="X558" i="2"/>
  <c r="X1025" i="2"/>
  <c r="W1016" i="2"/>
  <c r="AC405" i="2"/>
  <c r="X984" i="2"/>
  <c r="V1228" i="2"/>
  <c r="AC664" i="2"/>
  <c r="W424" i="2"/>
  <c r="AC883" i="2"/>
  <c r="X351" i="2"/>
  <c r="X1191" i="2"/>
  <c r="AC1474" i="2"/>
  <c r="AC1200" i="2"/>
  <c r="X1193" i="2"/>
  <c r="X960" i="2"/>
  <c r="W209" i="2"/>
  <c r="X555" i="2"/>
  <c r="V1210" i="2"/>
  <c r="Y1218" i="2"/>
  <c r="X1212" i="2"/>
  <c r="AC963" i="2"/>
  <c r="AC87" i="2"/>
  <c r="X1123" i="2"/>
  <c r="W923" i="2"/>
  <c r="X1093" i="2"/>
  <c r="Y985" i="2"/>
  <c r="W1272" i="2"/>
  <c r="X1304" i="2"/>
  <c r="AC473" i="2"/>
  <c r="W1006" i="2"/>
  <c r="X497" i="2"/>
  <c r="Y885" i="2"/>
  <c r="W1089" i="2"/>
  <c r="AC1068" i="2"/>
  <c r="W920" i="2"/>
  <c r="V1316" i="2"/>
  <c r="W1232" i="2"/>
  <c r="W862" i="2"/>
  <c r="W1047" i="2"/>
  <c r="X1475" i="2"/>
  <c r="W1242" i="2"/>
  <c r="X1032" i="2"/>
  <c r="AC1423" i="2"/>
  <c r="W1371" i="2"/>
  <c r="V1390" i="2"/>
  <c r="AC1128" i="2"/>
  <c r="Y1251" i="2"/>
  <c r="V1243" i="2"/>
  <c r="Y1430" i="2"/>
  <c r="W1440" i="2"/>
  <c r="Y1401" i="2"/>
  <c r="Y1192" i="2"/>
  <c r="Y1313" i="2"/>
  <c r="Y1457" i="2"/>
  <c r="V1346" i="2"/>
  <c r="AC1147" i="2"/>
  <c r="W1318" i="2"/>
  <c r="AC758" i="2"/>
  <c r="AC976" i="2"/>
  <c r="AC1065" i="2"/>
  <c r="V1419" i="2"/>
  <c r="X1056" i="2"/>
  <c r="X823" i="2"/>
  <c r="W524" i="2"/>
  <c r="X103" i="2"/>
  <c r="W1079" i="2"/>
  <c r="X1331" i="2"/>
  <c r="X1343" i="2"/>
  <c r="X685" i="2"/>
  <c r="W80" i="2"/>
  <c r="AC901" i="2"/>
  <c r="X59" i="2"/>
  <c r="V1426" i="2"/>
  <c r="AC411" i="2"/>
  <c r="X704" i="2"/>
  <c r="AC742" i="2"/>
  <c r="AC606" i="2"/>
  <c r="X1265" i="2"/>
  <c r="W972" i="2"/>
  <c r="AC1004" i="2"/>
  <c r="X1220" i="2"/>
  <c r="Y782" i="2"/>
  <c r="X728" i="2"/>
  <c r="X638" i="2"/>
  <c r="W764" i="2"/>
  <c r="Y879" i="2"/>
  <c r="W1143" i="2"/>
  <c r="W1201" i="2"/>
  <c r="W825" i="2"/>
  <c r="X871" i="2"/>
  <c r="Y1046" i="2"/>
  <c r="Y1223" i="2"/>
  <c r="AC703" i="2"/>
  <c r="AC109" i="2"/>
  <c r="W272" i="2"/>
  <c r="AC1275" i="2"/>
  <c r="AC1185" i="2"/>
  <c r="AC770" i="2"/>
  <c r="AC555" i="2"/>
  <c r="AC103" i="2"/>
  <c r="X568" i="2"/>
  <c r="AC315" i="2"/>
  <c r="X761" i="2"/>
  <c r="W737" i="2"/>
  <c r="X1083" i="2"/>
  <c r="Y1387" i="2"/>
  <c r="X410" i="2"/>
  <c r="W285" i="2"/>
  <c r="AC1442" i="2"/>
  <c r="W893" i="2"/>
  <c r="X786" i="2"/>
  <c r="AC267" i="2"/>
  <c r="W860" i="2"/>
  <c r="W1099" i="2"/>
  <c r="W1039" i="2"/>
  <c r="AC1168" i="2"/>
  <c r="AC613" i="2"/>
  <c r="Y716" i="2"/>
  <c r="X829" i="2"/>
  <c r="Y741" i="2"/>
  <c r="AC993" i="2"/>
  <c r="Y912" i="2"/>
  <c r="X635" i="2"/>
  <c r="X343" i="2"/>
  <c r="X792" i="2"/>
  <c r="W88" i="2"/>
  <c r="W684" i="2"/>
  <c r="X1314" i="2"/>
  <c r="X396" i="2"/>
  <c r="W975" i="2"/>
  <c r="X1409" i="2"/>
  <c r="Y752" i="2"/>
  <c r="V1349" i="2"/>
  <c r="V1230" i="2"/>
  <c r="X310" i="2"/>
  <c r="AC1393" i="2"/>
  <c r="X705" i="2"/>
  <c r="X811" i="2"/>
  <c r="X724" i="2"/>
  <c r="X1163" i="2"/>
  <c r="X1291" i="2"/>
  <c r="Y937" i="2"/>
  <c r="Y1183" i="2"/>
  <c r="X187" i="2"/>
  <c r="AC915" i="2"/>
  <c r="W1390" i="2"/>
  <c r="W1001" i="2"/>
  <c r="X1106" i="2"/>
  <c r="X566" i="2"/>
  <c r="AC488" i="2"/>
  <c r="AC1282" i="2"/>
  <c r="Y1119" i="2"/>
  <c r="W1247" i="2"/>
  <c r="Y485" i="2"/>
  <c r="X1005" i="2"/>
  <c r="W1494" i="2"/>
  <c r="Y862" i="2"/>
  <c r="X1099" i="2"/>
  <c r="AC748" i="2"/>
  <c r="X1201" i="2"/>
  <c r="X1479" i="2"/>
  <c r="W1111" i="2"/>
  <c r="AC1247" i="2"/>
  <c r="X852" i="2"/>
  <c r="X983" i="2"/>
  <c r="Y1273" i="2"/>
  <c r="V1297" i="2"/>
  <c r="AC1107" i="2"/>
  <c r="Y1123" i="2"/>
  <c r="X975" i="2"/>
  <c r="V1227" i="2"/>
  <c r="X1349" i="2"/>
  <c r="V1323" i="2"/>
  <c r="Y890" i="2"/>
  <c r="V1256" i="2"/>
  <c r="AC1146" i="2"/>
  <c r="X1299" i="2"/>
  <c r="Y1001" i="2"/>
  <c r="Y1249" i="2"/>
  <c r="V1497" i="2"/>
  <c r="X511" i="2"/>
  <c r="Y703" i="2"/>
  <c r="AC402" i="2"/>
  <c r="AC860" i="2"/>
  <c r="W1254" i="2"/>
  <c r="W518" i="2"/>
  <c r="AC723" i="2"/>
  <c r="AC1016" i="2"/>
  <c r="Y1022" i="2"/>
  <c r="X630" i="2"/>
  <c r="Y894" i="2"/>
  <c r="V1187" i="2"/>
  <c r="W688" i="2"/>
  <c r="W584" i="2"/>
  <c r="X488" i="2"/>
  <c r="AC493" i="2"/>
  <c r="X776" i="2"/>
  <c r="X466" i="2"/>
  <c r="X1461" i="2"/>
  <c r="W543" i="2"/>
  <c r="AC1029" i="2"/>
  <c r="W245" i="2"/>
  <c r="AC814" i="2"/>
  <c r="W1010" i="2"/>
  <c r="Y1467" i="2"/>
  <c r="AC793" i="2"/>
  <c r="W257" i="2"/>
  <c r="Y749" i="2"/>
  <c r="AC309" i="2"/>
  <c r="AC1082" i="2"/>
  <c r="W1369" i="2"/>
  <c r="X881" i="2"/>
  <c r="Y493" i="2"/>
  <c r="V1265" i="2"/>
  <c r="W1220" i="2"/>
  <c r="W320" i="2"/>
  <c r="W964" i="2"/>
  <c r="AC379" i="2"/>
  <c r="V1373" i="2"/>
  <c r="V1244" i="2"/>
  <c r="X656" i="2"/>
  <c r="Y640" i="2"/>
  <c r="X674" i="2"/>
  <c r="W718" i="2"/>
  <c r="Y1034" i="2"/>
  <c r="X702" i="2"/>
  <c r="AC893" i="2"/>
  <c r="AC567" i="2"/>
  <c r="X898" i="2"/>
  <c r="Y792" i="2"/>
  <c r="X1086" i="2"/>
  <c r="V1442" i="2"/>
  <c r="X1181" i="2"/>
  <c r="W1061" i="2"/>
  <c r="W1131" i="2"/>
  <c r="V1215" i="2"/>
  <c r="Y882" i="2"/>
  <c r="Y571" i="2"/>
  <c r="Y701" i="2"/>
  <c r="W906" i="2"/>
  <c r="AC1339" i="2"/>
  <c r="X504" i="2"/>
  <c r="X857" i="2"/>
  <c r="W866" i="2"/>
  <c r="V1190" i="2"/>
  <c r="X949" i="2"/>
  <c r="AC520" i="2"/>
  <c r="Y621" i="2"/>
  <c r="V1386" i="2"/>
  <c r="AC743" i="2"/>
  <c r="W1035" i="2"/>
  <c r="Y1166" i="2"/>
  <c r="X1251" i="2"/>
  <c r="W780" i="2"/>
  <c r="Y979" i="2"/>
  <c r="Y1303" i="2"/>
  <c r="W789" i="2"/>
  <c r="AC1169" i="2"/>
  <c r="X902" i="2"/>
  <c r="AC259" i="2"/>
  <c r="X289" i="2"/>
  <c r="V1352" i="2"/>
  <c r="W1296" i="2"/>
  <c r="AC996" i="2"/>
  <c r="W870" i="2"/>
  <c r="W1196" i="2"/>
  <c r="AC1149" i="2"/>
  <c r="X587" i="2"/>
  <c r="Y880" i="2"/>
  <c r="AC699" i="2"/>
  <c r="Y1067" i="2"/>
  <c r="Y808" i="2"/>
  <c r="X283" i="2"/>
  <c r="Y1011" i="2"/>
  <c r="Y1327" i="2"/>
  <c r="Y1204" i="2"/>
  <c r="AC478" i="2"/>
  <c r="W1415" i="2"/>
  <c r="X1487" i="2"/>
  <c r="V1488" i="2"/>
  <c r="W1225" i="2"/>
  <c r="AC1120" i="2"/>
  <c r="W1126" i="2"/>
  <c r="X1040" i="2"/>
  <c r="X868" i="2"/>
  <c r="AC1119" i="2"/>
  <c r="W863" i="2"/>
  <c r="W1285" i="2"/>
  <c r="V1319" i="2"/>
  <c r="AC1478" i="2"/>
  <c r="X1225" i="2"/>
  <c r="W899" i="2"/>
  <c r="AC1420" i="2"/>
  <c r="W1345" i="2"/>
  <c r="Y1099" i="2"/>
  <c r="Y1397" i="2"/>
  <c r="X1292" i="2"/>
  <c r="W1229" i="2"/>
  <c r="AC1341" i="2"/>
  <c r="X1241" i="2"/>
  <c r="X993" i="2"/>
  <c r="AC810" i="2"/>
  <c r="W695" i="2"/>
  <c r="Y535" i="2"/>
  <c r="AC839" i="2"/>
  <c r="AC785" i="2"/>
  <c r="Y1413" i="2"/>
  <c r="Y765" i="2"/>
  <c r="Y278" i="2"/>
  <c r="Y950" i="2"/>
  <c r="AC870" i="2"/>
  <c r="Y796" i="2"/>
  <c r="W713" i="2"/>
  <c r="X854" i="2"/>
  <c r="Y953" i="2"/>
  <c r="Y103" i="2"/>
  <c r="W826" i="2"/>
  <c r="X119" i="2"/>
  <c r="Y1184" i="2"/>
  <c r="W682" i="2"/>
  <c r="X978" i="2"/>
  <c r="AC878" i="2"/>
  <c r="Y405" i="2"/>
  <c r="AC755" i="2"/>
  <c r="AC1175" i="2"/>
  <c r="X891" i="2"/>
  <c r="W897" i="2"/>
  <c r="Y756" i="2"/>
  <c r="W1088" i="2"/>
  <c r="Y828" i="2"/>
  <c r="W283" i="2"/>
  <c r="W1029" i="2"/>
  <c r="X105" i="2"/>
  <c r="X476" i="2"/>
  <c r="AC463" i="2"/>
  <c r="W1477" i="2"/>
  <c r="W955" i="2"/>
  <c r="AC1167" i="2"/>
  <c r="AC704" i="2"/>
  <c r="Y622" i="2"/>
  <c r="Y826" i="2"/>
  <c r="V1331" i="2"/>
  <c r="AC1241" i="2"/>
  <c r="AC754" i="2"/>
  <c r="X773" i="2"/>
  <c r="W1098" i="2"/>
  <c r="X616" i="2"/>
  <c r="Y1279" i="2"/>
  <c r="X681" i="2"/>
  <c r="W1414" i="2"/>
  <c r="AC805" i="2"/>
  <c r="X714" i="2"/>
  <c r="W771" i="2"/>
  <c r="X631" i="2"/>
  <c r="Y1042" i="2"/>
  <c r="AC1074" i="2"/>
  <c r="X754" i="2"/>
  <c r="X1171" i="2"/>
  <c r="AC536" i="2"/>
  <c r="AC843" i="2"/>
  <c r="X1116" i="2"/>
  <c r="Y1050" i="2"/>
  <c r="AC1224" i="2"/>
  <c r="W1203" i="2"/>
  <c r="AC682" i="2"/>
  <c r="X700" i="2"/>
  <c r="X747" i="2"/>
  <c r="AC873" i="2"/>
  <c r="Y1037" i="2"/>
  <c r="W321" i="2"/>
  <c r="X1166" i="2"/>
  <c r="W1358" i="2"/>
  <c r="X564" i="2"/>
  <c r="Y834" i="2"/>
  <c r="Y1094" i="2"/>
  <c r="AC525" i="2"/>
  <c r="X1067" i="2"/>
  <c r="X243" i="2"/>
  <c r="X1049" i="2"/>
  <c r="X1328" i="2"/>
  <c r="AC706" i="2"/>
  <c r="AC1118" i="2"/>
  <c r="X1036" i="2"/>
  <c r="Y1268" i="2"/>
  <c r="X1180" i="2"/>
  <c r="AC1036" i="2"/>
  <c r="W976" i="2"/>
  <c r="W1271" i="2"/>
  <c r="W1357" i="2"/>
  <c r="W1482" i="2"/>
  <c r="V1221" i="2"/>
  <c r="X623" i="2"/>
  <c r="W1367" i="2"/>
  <c r="AC1428" i="2"/>
  <c r="X254" i="2"/>
  <c r="AC1263" i="2"/>
  <c r="W1173" i="2"/>
  <c r="Y1388" i="2"/>
  <c r="Y1420" i="2"/>
  <c r="X1321" i="2"/>
  <c r="AC1154" i="2"/>
  <c r="W773" i="2"/>
  <c r="V1194" i="2"/>
  <c r="AC1293" i="2"/>
  <c r="AC1032" i="2"/>
  <c r="V1485" i="2"/>
  <c r="W1313" i="2"/>
  <c r="W785" i="2"/>
  <c r="V1310" i="2"/>
  <c r="X1186" i="2"/>
  <c r="Y342" i="2"/>
  <c r="X481" i="2"/>
  <c r="AC1142" i="2"/>
  <c r="W756" i="2"/>
  <c r="AC778" i="2"/>
  <c r="AC499" i="2"/>
  <c r="Y1396" i="2"/>
  <c r="X951" i="2"/>
  <c r="X1224" i="2"/>
  <c r="W966" i="2"/>
  <c r="V1195" i="2"/>
  <c r="W872" i="2"/>
  <c r="X581" i="2"/>
  <c r="X1358" i="2"/>
  <c r="AC829" i="2"/>
  <c r="AC263" i="2"/>
  <c r="W929" i="2"/>
  <c r="X450" i="2"/>
  <c r="W842" i="2"/>
  <c r="X478" i="2"/>
  <c r="W536" i="2"/>
  <c r="W794" i="2"/>
  <c r="X121" i="2"/>
  <c r="W600" i="2"/>
  <c r="X1403" i="2"/>
  <c r="X1353" i="2"/>
  <c r="AC1332" i="2"/>
  <c r="V1174" i="2"/>
  <c r="X74" i="2"/>
  <c r="X583" i="2"/>
  <c r="Y863" i="2"/>
  <c r="X1202" i="2"/>
  <c r="Y477" i="2"/>
  <c r="X589" i="2"/>
  <c r="X788" i="2"/>
  <c r="X924" i="2"/>
  <c r="AC1090" i="2"/>
  <c r="W384" i="2"/>
  <c r="X1390" i="2"/>
  <c r="Y1318" i="2"/>
  <c r="W1330" i="2"/>
  <c r="W634" i="2"/>
  <c r="AC716" i="2"/>
  <c r="AC297" i="2"/>
  <c r="AC242" i="2"/>
  <c r="X663" i="2"/>
  <c r="W680" i="2"/>
  <c r="AC509" i="2"/>
  <c r="W1075" i="2"/>
  <c r="X1172" i="2"/>
  <c r="W574" i="2"/>
  <c r="X1497" i="2"/>
  <c r="AC804" i="2"/>
  <c r="AC816" i="2"/>
  <c r="AC638" i="2"/>
  <c r="W1260" i="2"/>
  <c r="AC521" i="2"/>
  <c r="V1245" i="2"/>
  <c r="W679" i="2"/>
  <c r="X801" i="2"/>
  <c r="X278" i="2"/>
  <c r="W868" i="2"/>
  <c r="X465" i="2"/>
  <c r="X294" i="2"/>
  <c r="W1394" i="2"/>
  <c r="Y1065" i="2"/>
  <c r="X1069" i="2"/>
  <c r="AC504" i="2"/>
  <c r="AC1078" i="2"/>
  <c r="Y816" i="2"/>
  <c r="X126" i="2"/>
  <c r="W969" i="2"/>
  <c r="X1120" i="2"/>
  <c r="X532" i="2"/>
  <c r="W1230" i="2"/>
  <c r="W438" i="2"/>
  <c r="W763" i="2"/>
  <c r="W963" i="2"/>
  <c r="W602" i="2"/>
  <c r="AC1158" i="2"/>
  <c r="X1103" i="2"/>
  <c r="X447" i="2"/>
  <c r="AC503" i="2"/>
  <c r="W1149" i="2"/>
  <c r="AC827" i="2"/>
  <c r="Y1198" i="2"/>
  <c r="AC1209" i="2"/>
  <c r="W1137" i="2"/>
  <c r="AC1444" i="2"/>
  <c r="X842" i="2"/>
  <c r="X1460" i="2"/>
  <c r="X1435" i="2"/>
  <c r="Y1169" i="2"/>
  <c r="W1243" i="2"/>
  <c r="Y841" i="2"/>
  <c r="X1230" i="2"/>
  <c r="Y1336" i="2"/>
  <c r="W1315" i="2"/>
  <c r="X1393" i="2"/>
  <c r="V1483" i="2"/>
  <c r="Y926" i="2"/>
  <c r="X1298" i="2"/>
  <c r="W1429" i="2"/>
  <c r="X1277" i="2"/>
  <c r="Y1301" i="2"/>
  <c r="W1078" i="2"/>
  <c r="V1351" i="2"/>
  <c r="X1217" i="2"/>
  <c r="V1332" i="2"/>
  <c r="W757" i="2"/>
  <c r="W790" i="2"/>
  <c r="AC1134" i="2"/>
  <c r="X246" i="2"/>
  <c r="X990" i="2"/>
  <c r="AC981" i="2"/>
  <c r="AC1471" i="2"/>
  <c r="AC815" i="2"/>
  <c r="W660" i="2"/>
  <c r="Y674" i="2"/>
  <c r="V1398" i="2"/>
  <c r="AC1219" i="2"/>
  <c r="Y864" i="2"/>
  <c r="AC1025" i="2"/>
  <c r="X168" i="2"/>
  <c r="AC988" i="2"/>
  <c r="AC417" i="2"/>
  <c r="AC1056" i="2"/>
  <c r="Y662" i="2"/>
  <c r="AC879" i="2"/>
  <c r="V1311" i="2"/>
  <c r="AC209" i="2"/>
  <c r="Y705" i="2"/>
  <c r="Y25" i="2"/>
  <c r="AC236" i="2"/>
  <c r="X1087" i="2"/>
  <c r="Y680" i="2"/>
  <c r="W1120" i="2"/>
  <c r="W534" i="2"/>
  <c r="Y195" i="2"/>
  <c r="W1083" i="2"/>
  <c r="X405" i="2"/>
  <c r="AC1008" i="2"/>
  <c r="X824" i="2"/>
  <c r="X1412" i="2"/>
  <c r="Y686" i="2"/>
  <c r="AC777" i="2"/>
  <c r="AC801" i="2"/>
  <c r="AC1190" i="2"/>
  <c r="W816" i="2"/>
  <c r="X1057" i="2"/>
  <c r="X843" i="2"/>
  <c r="Y1213" i="2"/>
  <c r="Y1089" i="2"/>
  <c r="Y734" i="2"/>
  <c r="X970" i="2"/>
  <c r="AC939" i="2"/>
  <c r="AC1404" i="2"/>
  <c r="Y1407" i="2"/>
  <c r="X590" i="2"/>
  <c r="AC705" i="2"/>
  <c r="X1368" i="2"/>
  <c r="W1438" i="2"/>
  <c r="W1244" i="2"/>
  <c r="V1315" i="2"/>
  <c r="Y1132" i="2"/>
  <c r="W895" i="2"/>
  <c r="AC249" i="2"/>
  <c r="W907" i="2"/>
  <c r="X1075" i="2"/>
  <c r="AC973" i="2"/>
  <c r="X904" i="2"/>
  <c r="AC596" i="2"/>
  <c r="Y648" i="2"/>
  <c r="AC391" i="2"/>
  <c r="V1208" i="2"/>
  <c r="Y995" i="2"/>
  <c r="Y633" i="2"/>
  <c r="AC867" i="2"/>
  <c r="Y1380" i="2"/>
  <c r="AC343" i="2"/>
  <c r="AC942" i="2"/>
  <c r="X1175" i="2"/>
  <c r="AC923" i="2"/>
  <c r="AC813" i="2"/>
  <c r="AC1410" i="2"/>
  <c r="AC172" i="2"/>
  <c r="AC459" i="2"/>
  <c r="W1478" i="2"/>
  <c r="V1205" i="2"/>
  <c r="W1248" i="2"/>
  <c r="Y769" i="2"/>
  <c r="X752" i="2"/>
  <c r="Y591" i="2"/>
  <c r="Y1252" i="2"/>
  <c r="V1184" i="2"/>
  <c r="W1359" i="2"/>
  <c r="AC1308" i="2"/>
  <c r="AC663" i="2"/>
  <c r="AC1067" i="2"/>
  <c r="Y516" i="2"/>
  <c r="AC974" i="2"/>
  <c r="Y1103" i="2"/>
  <c r="X629" i="2"/>
  <c r="AC791" i="2"/>
  <c r="Y689" i="2"/>
  <c r="Y200" i="2"/>
  <c r="AC1095" i="2"/>
  <c r="V1335" i="2"/>
  <c r="W590" i="2"/>
  <c r="AC1384" i="2"/>
  <c r="W725" i="2"/>
  <c r="W1231" i="2"/>
  <c r="AC781" i="2"/>
  <c r="AC768" i="2"/>
  <c r="Y469" i="2"/>
  <c r="X304" i="2"/>
  <c r="W787" i="2"/>
  <c r="AC1273" i="2"/>
  <c r="X542" i="2"/>
  <c r="Y590" i="2"/>
  <c r="AC1231" i="2"/>
  <c r="AC665" i="2"/>
  <c r="X780" i="2"/>
  <c r="W274" i="2"/>
  <c r="W327" i="2"/>
  <c r="AC605" i="2"/>
  <c r="X433" i="2"/>
  <c r="AC306" i="2"/>
  <c r="X817" i="2"/>
  <c r="X441" i="2"/>
  <c r="AC547" i="2"/>
  <c r="AC759" i="2"/>
  <c r="X468" i="2"/>
  <c r="Y479" i="2"/>
  <c r="W855" i="2"/>
  <c r="AC310" i="2"/>
  <c r="Y1468" i="2"/>
  <c r="W613" i="2"/>
  <c r="Y920" i="2"/>
  <c r="X374" i="2"/>
  <c r="Y625" i="2"/>
  <c r="AC660" i="2"/>
  <c r="AC167" i="2"/>
  <c r="V1299" i="2"/>
  <c r="AC701" i="2"/>
  <c r="AC783" i="2"/>
  <c r="AC353" i="2"/>
  <c r="AC85" i="2"/>
  <c r="X703" i="2"/>
  <c r="X534" i="2"/>
  <c r="W649" i="2"/>
  <c r="X851" i="2"/>
  <c r="AC390" i="2"/>
  <c r="Y269" i="2"/>
  <c r="AC711" i="2"/>
  <c r="X586" i="2"/>
  <c r="W609" i="2"/>
  <c r="X144" i="2"/>
  <c r="Y478" i="2"/>
  <c r="W264" i="2"/>
  <c r="AC1005" i="2"/>
  <c r="AC882" i="2"/>
  <c r="W558" i="2"/>
  <c r="Y615" i="2"/>
  <c r="Y360" i="2"/>
  <c r="Y337" i="2"/>
  <c r="Y232" i="2"/>
  <c r="W323" i="2"/>
  <c r="AC68" i="2"/>
  <c r="AC226" i="2"/>
  <c r="AC590" i="2"/>
  <c r="Y51" i="2"/>
  <c r="W1023" i="2"/>
  <c r="Y72" i="2"/>
  <c r="X228" i="2"/>
  <c r="Y445" i="2"/>
  <c r="AC313" i="2"/>
  <c r="W902" i="2"/>
  <c r="X639" i="2"/>
  <c r="X340" i="2"/>
  <c r="AC1326" i="2"/>
  <c r="X436" i="2"/>
  <c r="W112" i="2"/>
  <c r="W511" i="2"/>
  <c r="X67" i="2"/>
  <c r="Y6" i="2"/>
  <c r="AC552" i="2"/>
  <c r="X449" i="2"/>
  <c r="Y1292" i="2"/>
  <c r="W442" i="2"/>
  <c r="Y945" i="2"/>
  <c r="AC384" i="2"/>
  <c r="V1261" i="2"/>
  <c r="W678" i="2"/>
  <c r="AC407" i="2"/>
  <c r="X314" i="2"/>
  <c r="AC162" i="2"/>
  <c r="Y73" i="2"/>
  <c r="W612" i="2"/>
  <c r="Y333" i="2"/>
  <c r="W723" i="2"/>
  <c r="W903" i="2"/>
  <c r="W472" i="2"/>
  <c r="AC910" i="2"/>
  <c r="Y233" i="2"/>
  <c r="Y354" i="2"/>
  <c r="X452" i="2"/>
  <c r="Y780" i="2"/>
  <c r="Y572" i="2"/>
  <c r="W199" i="2"/>
  <c r="AC838" i="2"/>
  <c r="X309" i="2"/>
  <c r="W965" i="2"/>
  <c r="Y693" i="2"/>
  <c r="Y695" i="2"/>
  <c r="W527" i="2"/>
  <c r="Y751" i="2"/>
  <c r="AC175" i="2"/>
  <c r="V1192" i="2"/>
  <c r="X1313" i="2"/>
  <c r="X1278" i="2"/>
  <c r="X1151" i="2"/>
  <c r="Y1446" i="2"/>
  <c r="Y1236" i="2"/>
  <c r="AC780" i="2"/>
  <c r="Y673" i="2"/>
  <c r="X930" i="2"/>
  <c r="Y812" i="2"/>
  <c r="Y817" i="2"/>
  <c r="X1275" i="2"/>
  <c r="AC303" i="2"/>
  <c r="Y549" i="2"/>
  <c r="Y1164" i="2"/>
  <c r="Y601" i="2"/>
  <c r="X1192" i="2"/>
  <c r="V1463" i="2"/>
  <c r="Y730" i="2"/>
  <c r="X879" i="2"/>
  <c r="Y784" i="2"/>
  <c r="X255" i="2"/>
  <c r="AC823" i="2"/>
  <c r="AC1235" i="2"/>
  <c r="W566" i="2"/>
  <c r="X945" i="2"/>
  <c r="W687" i="2"/>
  <c r="Y781" i="2"/>
  <c r="W311" i="2"/>
  <c r="W1025" i="2"/>
  <c r="W262" i="2"/>
  <c r="W418" i="2"/>
  <c r="AC199" i="2"/>
  <c r="AC277" i="2"/>
  <c r="AC1127" i="2"/>
  <c r="AC1206" i="2"/>
  <c r="W317" i="2"/>
  <c r="Y980" i="2"/>
  <c r="X832" i="2"/>
  <c r="W335" i="2"/>
  <c r="W1044" i="2"/>
  <c r="X745" i="2"/>
  <c r="Y1128" i="2"/>
  <c r="W1198" i="2"/>
  <c r="X262" i="2"/>
  <c r="Y1241" i="2"/>
  <c r="W1352" i="2"/>
  <c r="Y461" i="2"/>
  <c r="Y1485" i="2"/>
  <c r="AC1038" i="2"/>
  <c r="AC1015" i="2"/>
  <c r="AC819" i="2"/>
  <c r="W767" i="2"/>
  <c r="Y444" i="2"/>
  <c r="Y155" i="2"/>
  <c r="W1374" i="2"/>
  <c r="X237" i="2"/>
  <c r="W1458" i="2"/>
  <c r="Y787" i="2"/>
  <c r="AC610" i="2"/>
  <c r="X1200" i="2"/>
  <c r="W1169" i="2"/>
  <c r="AC240" i="2"/>
  <c r="Y288" i="2"/>
  <c r="AC920" i="2"/>
  <c r="AC1063" i="2"/>
  <c r="Y14" i="2"/>
  <c r="Y1092" i="2"/>
  <c r="Y197" i="2"/>
  <c r="AC1344" i="2"/>
  <c r="W338" i="2"/>
  <c r="W853" i="2"/>
  <c r="Y724" i="2"/>
  <c r="AC998" i="2"/>
  <c r="W517" i="2"/>
  <c r="W615" i="2"/>
  <c r="AC871" i="2"/>
  <c r="X268" i="2"/>
  <c r="AC556" i="2"/>
  <c r="X317" i="2"/>
  <c r="AC67" i="2"/>
  <c r="W158" i="2"/>
  <c r="AC609" i="2"/>
  <c r="W194" i="2"/>
  <c r="X393" i="2"/>
  <c r="X560" i="2"/>
  <c r="X767" i="2"/>
  <c r="AC761" i="2"/>
  <c r="AC381" i="2"/>
  <c r="W441" i="2"/>
  <c r="X602" i="2"/>
  <c r="W455" i="2"/>
  <c r="AC817" i="2"/>
  <c r="Y943" i="2"/>
  <c r="X89" i="2"/>
  <c r="X386" i="2"/>
  <c r="W861" i="2"/>
  <c r="W626" i="2"/>
  <c r="Y884" i="2"/>
  <c r="Y133" i="2"/>
  <c r="W554" i="2"/>
  <c r="AC591" i="2"/>
  <c r="X686" i="2"/>
  <c r="V1340" i="2"/>
  <c r="W938" i="2"/>
  <c r="W877" i="2"/>
  <c r="W166" i="2"/>
  <c r="AC950" i="2"/>
  <c r="Y548" i="2"/>
  <c r="W608" i="2"/>
  <c r="X274" i="2"/>
  <c r="W95" i="2"/>
  <c r="AC434" i="2"/>
  <c r="X107" i="2"/>
  <c r="Y100" i="2"/>
  <c r="X258" i="2"/>
  <c r="X128" i="2"/>
  <c r="W530" i="2"/>
  <c r="W46" i="2"/>
  <c r="AC991" i="2"/>
  <c r="AC84" i="2"/>
  <c r="W645" i="2"/>
  <c r="AC841" i="2"/>
  <c r="AC611" i="2"/>
  <c r="AC771" i="2"/>
  <c r="X1066" i="2"/>
  <c r="W180" i="2"/>
  <c r="AC1103" i="2"/>
  <c r="X408" i="2"/>
  <c r="X872" i="2"/>
  <c r="Y120" i="2"/>
  <c r="Y913" i="2"/>
  <c r="W7" i="2"/>
  <c r="AC673" i="2"/>
  <c r="AC326" i="2"/>
  <c r="W871" i="2"/>
  <c r="X565" i="2"/>
  <c r="X245" i="2"/>
  <c r="W340" i="2"/>
  <c r="AC290" i="2"/>
  <c r="Y559" i="2"/>
  <c r="AC518" i="2"/>
  <c r="X870" i="2"/>
  <c r="X769" i="2"/>
  <c r="Y7" i="2"/>
  <c r="Y786" i="2"/>
  <c r="W271" i="2"/>
  <c r="X550" i="2"/>
  <c r="AC397" i="2"/>
  <c r="Y390" i="2"/>
  <c r="X32" i="2"/>
  <c r="X199" i="2"/>
  <c r="AC288" i="2"/>
  <c r="Y1347" i="2"/>
  <c r="Y545" i="2"/>
  <c r="Y527" i="2"/>
  <c r="W1028" i="2"/>
  <c r="X1048" i="2"/>
  <c r="Y1073" i="2"/>
  <c r="X1267" i="2"/>
  <c r="W1382" i="2"/>
  <c r="AC537" i="2"/>
  <c r="Y449" i="2"/>
  <c r="W470" i="2"/>
  <c r="AC1330" i="2"/>
  <c r="W991" i="2"/>
  <c r="W869" i="2"/>
  <c r="W44" i="2"/>
  <c r="AC1353" i="2"/>
  <c r="Y460" i="2"/>
  <c r="Y1177" i="2"/>
  <c r="Y681" i="2"/>
  <c r="X82" i="2"/>
  <c r="Y801" i="2"/>
  <c r="W1383" i="2"/>
  <c r="Y316" i="2"/>
  <c r="Y969" i="2"/>
  <c r="W378" i="2"/>
  <c r="AC629" i="2"/>
  <c r="AC4" i="2"/>
  <c r="Y209" i="2"/>
  <c r="X102" i="2"/>
  <c r="W301" i="2"/>
  <c r="Y220" i="2"/>
  <c r="X27" i="2"/>
  <c r="W278" i="2"/>
  <c r="W298" i="2"/>
  <c r="Y221" i="2"/>
  <c r="X285" i="2"/>
  <c r="AC276" i="2"/>
  <c r="W208" i="2"/>
  <c r="X164" i="2"/>
  <c r="W59" i="2"/>
  <c r="Y483" i="2"/>
  <c r="W205" i="2"/>
  <c r="Y251" i="2"/>
  <c r="Y669" i="2"/>
  <c r="X158" i="2"/>
  <c r="AC80" i="2"/>
  <c r="Y285" i="2"/>
  <c r="W582" i="2"/>
  <c r="W510" i="2"/>
  <c r="X632" i="2"/>
  <c r="W1077" i="2"/>
  <c r="AC248" i="2"/>
  <c r="Y757" i="2"/>
  <c r="AC89" i="2"/>
  <c r="AC185" i="2"/>
  <c r="X1029" i="2"/>
  <c r="Y664" i="2"/>
  <c r="AC396" i="2"/>
  <c r="Y524" i="2"/>
  <c r="W47" i="2"/>
  <c r="Y723" i="2"/>
  <c r="AC280" i="2"/>
  <c r="W494" i="2"/>
  <c r="W887" i="2"/>
  <c r="Y518" i="2"/>
  <c r="X525" i="2"/>
  <c r="W533" i="2"/>
  <c r="W238" i="2"/>
  <c r="X840" i="2"/>
  <c r="X604" i="2"/>
  <c r="W1224" i="2"/>
  <c r="AC312" i="2"/>
  <c r="Y1284" i="2"/>
  <c r="Y238" i="2"/>
  <c r="X517" i="2"/>
  <c r="X812" i="2"/>
  <c r="Y815" i="2"/>
  <c r="W462" i="2"/>
  <c r="AC612" i="2"/>
  <c r="AC1150" i="2"/>
  <c r="X327" i="2"/>
  <c r="AC474" i="2"/>
  <c r="Y537" i="2"/>
  <c r="W519" i="2"/>
  <c r="W288" i="2"/>
  <c r="W708" i="2"/>
  <c r="AC273" i="2"/>
  <c r="AC406" i="2"/>
  <c r="AC523" i="2"/>
  <c r="W529" i="2"/>
  <c r="Y482" i="2"/>
  <c r="AC475" i="2"/>
  <c r="W169" i="2"/>
  <c r="AC231" i="2"/>
  <c r="W431" i="2"/>
  <c r="AC419" i="2"/>
  <c r="AC532" i="2"/>
  <c r="X241" i="2"/>
  <c r="W150" i="2"/>
  <c r="W399" i="2"/>
  <c r="W722" i="2"/>
  <c r="X99" i="2"/>
  <c r="V1288" i="2"/>
  <c r="AC517" i="2"/>
  <c r="Y85" i="2"/>
  <c r="Y1146" i="2"/>
  <c r="Y87" i="2"/>
  <c r="AC514" i="2"/>
  <c r="Y1182" i="2"/>
  <c r="Y829" i="2"/>
  <c r="W1087" i="2"/>
  <c r="W1167" i="2"/>
  <c r="AC1236" i="2"/>
  <c r="Y1048" i="2"/>
  <c r="X434" i="2"/>
  <c r="AC619" i="2"/>
  <c r="W989" i="2"/>
  <c r="W986" i="2"/>
  <c r="Y1484" i="2"/>
  <c r="W891" i="2"/>
  <c r="Y1036" i="2"/>
  <c r="AC650" i="2"/>
  <c r="W984" i="2"/>
  <c r="W592" i="2"/>
  <c r="W1341" i="2"/>
  <c r="Y24" i="2"/>
  <c r="V1302" i="2"/>
  <c r="W659" i="2"/>
  <c r="X1374" i="2"/>
  <c r="AC445" i="2"/>
  <c r="X238" i="2"/>
  <c r="W393" i="2"/>
  <c r="AC527" i="2"/>
  <c r="AC468" i="2"/>
  <c r="W447" i="2"/>
  <c r="Y657" i="2"/>
  <c r="AC348" i="2"/>
  <c r="AC715" i="2"/>
  <c r="W483" i="2"/>
  <c r="Y202" i="2"/>
  <c r="W579" i="2"/>
  <c r="Y264" i="2"/>
  <c r="AC63" i="2"/>
  <c r="AC933" i="2"/>
  <c r="AC548" i="2"/>
  <c r="W211" i="2"/>
  <c r="W266" i="2"/>
  <c r="AC186" i="2"/>
  <c r="AC415" i="2"/>
  <c r="Y366" i="2"/>
  <c r="Y520" i="2"/>
  <c r="W467" i="2"/>
  <c r="W82" i="2"/>
  <c r="Y966" i="2"/>
  <c r="X29" i="2"/>
  <c r="X73" i="2"/>
  <c r="X1050" i="2"/>
  <c r="X288" i="2"/>
  <c r="W453" i="2"/>
  <c r="AC427" i="2"/>
  <c r="W531" i="2"/>
  <c r="Y410" i="2"/>
  <c r="W357" i="2"/>
  <c r="AC301" i="2"/>
  <c r="AC140" i="2"/>
  <c r="AC1347" i="2"/>
  <c r="AC20" i="2"/>
  <c r="Y1161" i="2"/>
  <c r="X210" i="2"/>
  <c r="W457" i="2"/>
  <c r="Y565" i="2"/>
  <c r="AC329" i="2"/>
  <c r="AC1454" i="2"/>
  <c r="AC62" i="2"/>
  <c r="Y1404" i="2"/>
  <c r="Y658" i="2"/>
  <c r="Y697" i="2"/>
  <c r="X584" i="2"/>
  <c r="X818" i="2"/>
  <c r="W704" i="2"/>
  <c r="Y372" i="2"/>
  <c r="AC295" i="2"/>
  <c r="Y81" i="2"/>
  <c r="AC130" i="2"/>
  <c r="Y1228" i="2"/>
  <c r="W621" i="2"/>
  <c r="X388" i="2"/>
  <c r="AC27" i="2"/>
  <c r="Y722" i="2"/>
  <c r="AC366" i="2"/>
  <c r="X135" i="2"/>
  <c r="AC725" i="2"/>
  <c r="W745" i="2"/>
  <c r="AC196" i="2"/>
  <c r="AC338" i="2"/>
  <c r="V165" i="2"/>
  <c r="X272" i="2"/>
  <c r="Y1064" i="2"/>
  <c r="AC862" i="2"/>
  <c r="W218" i="2"/>
  <c r="AC800" i="2"/>
  <c r="AC1363" i="2"/>
  <c r="Y389" i="2"/>
  <c r="Y364" i="2"/>
  <c r="Y802" i="2"/>
  <c r="AC909" i="2"/>
  <c r="X368" i="2"/>
  <c r="W489" i="2"/>
  <c r="X15" i="2"/>
  <c r="W668" i="2"/>
  <c r="AC1225" i="2"/>
  <c r="X142" i="2"/>
  <c r="X559" i="2"/>
  <c r="W620" i="2"/>
  <c r="W76" i="2"/>
  <c r="AC335" i="2"/>
  <c r="Y986" i="2"/>
  <c r="Y17" i="2"/>
  <c r="X77" i="2"/>
  <c r="W747" i="2"/>
  <c r="X38" i="2"/>
  <c r="AC559" i="2"/>
  <c r="Y820" i="2"/>
  <c r="AC822" i="2"/>
  <c r="Y351" i="2"/>
  <c r="Y789" i="2"/>
  <c r="W51" i="2"/>
  <c r="W556" i="2"/>
  <c r="AC642" i="2"/>
  <c r="X841" i="2"/>
  <c r="X406" i="2"/>
  <c r="AC1030" i="2"/>
  <c r="Y533" i="2"/>
  <c r="X159" i="2"/>
  <c r="AC421" i="2"/>
  <c r="X1164" i="2"/>
  <c r="W1177" i="2"/>
  <c r="AC1340" i="2"/>
  <c r="Y961" i="2"/>
  <c r="X831" i="2"/>
  <c r="W802" i="2"/>
  <c r="X999" i="2"/>
  <c r="X1173" i="2"/>
  <c r="X619" i="2"/>
  <c r="W149" i="2"/>
  <c r="W1210" i="2"/>
  <c r="AC615" i="2"/>
  <c r="W410" i="2"/>
  <c r="Y915" i="2"/>
  <c r="AC624" i="2"/>
  <c r="W833" i="2"/>
  <c r="AC853" i="2"/>
  <c r="W1004" i="2"/>
  <c r="AC363" i="2"/>
  <c r="X1334" i="2"/>
  <c r="AC581" i="2"/>
  <c r="V1377" i="2"/>
  <c r="AC919" i="2"/>
  <c r="Y795" i="2"/>
  <c r="Y419" i="2"/>
  <c r="X1189" i="2"/>
  <c r="X247" i="2"/>
  <c r="X610" i="2"/>
  <c r="AC113" i="2"/>
  <c r="Y755" i="2"/>
  <c r="AC831" i="2"/>
  <c r="Y437" i="2"/>
  <c r="Y675" i="2"/>
  <c r="AC275" i="2"/>
  <c r="AC350" i="2"/>
  <c r="Y44" i="2"/>
  <c r="AC134" i="2"/>
  <c r="Y110" i="2"/>
  <c r="AC268" i="2"/>
  <c r="AC1232" i="2"/>
  <c r="AC90" i="2"/>
  <c r="Y598" i="2"/>
  <c r="Y27" i="2"/>
  <c r="W910" i="2"/>
  <c r="Y244" i="2"/>
  <c r="AC105" i="2"/>
  <c r="V1177" i="2"/>
  <c r="X26" i="2"/>
  <c r="AC57" i="2"/>
  <c r="Y768" i="2"/>
  <c r="X350" i="2"/>
  <c r="AC157" i="2"/>
  <c r="X624" i="2"/>
  <c r="Y400" i="2"/>
  <c r="AC794" i="2"/>
  <c r="V1399" i="2"/>
  <c r="Y370" i="2"/>
  <c r="AC148" i="2"/>
  <c r="Y70" i="2"/>
  <c r="Y61" i="2"/>
  <c r="W184" i="2"/>
  <c r="AC228" i="2"/>
  <c r="Y718" i="2"/>
  <c r="AC1112" i="2"/>
  <c r="Y312" i="2"/>
  <c r="Y1170" i="2"/>
  <c r="X115" i="2"/>
  <c r="Y489" i="2"/>
  <c r="W369" i="2"/>
  <c r="AC316" i="2"/>
  <c r="Y1389" i="2"/>
  <c r="W583" i="2"/>
  <c r="V1450" i="2"/>
  <c r="W77" i="2"/>
  <c r="X537" i="2"/>
  <c r="W1462" i="2"/>
  <c r="AC345" i="2"/>
  <c r="Y1100" i="2"/>
  <c r="AC92" i="2"/>
  <c r="X1184" i="2"/>
  <c r="W1301" i="2"/>
  <c r="AC1280" i="2"/>
  <c r="W471" i="2"/>
  <c r="W78" i="2"/>
  <c r="X94" i="2"/>
  <c r="W160" i="2"/>
  <c r="X83" i="2"/>
  <c r="X484" i="2"/>
  <c r="AC788" i="2"/>
  <c r="AC435" i="2"/>
  <c r="AC155" i="2"/>
  <c r="W1218" i="2"/>
  <c r="X936" i="2"/>
  <c r="X955" i="2"/>
  <c r="Y282" i="2"/>
  <c r="X429" i="2"/>
  <c r="AC230" i="2"/>
  <c r="X14" i="2"/>
  <c r="AC48" i="2"/>
  <c r="Y235" i="2"/>
  <c r="AC756" i="2"/>
  <c r="W430" i="2"/>
  <c r="Y717" i="2"/>
  <c r="AC151" i="2"/>
  <c r="AC386" i="2"/>
  <c r="X1004" i="2"/>
  <c r="X133" i="2"/>
  <c r="Y142" i="2"/>
  <c r="W838" i="2"/>
  <c r="AC1335" i="2"/>
  <c r="X666" i="2"/>
  <c r="W291" i="2"/>
  <c r="Y36" i="2"/>
  <c r="AC966" i="2"/>
  <c r="AC1131" i="2"/>
  <c r="X876" i="2"/>
  <c r="X385" i="2"/>
  <c r="W742" i="2"/>
  <c r="W13" i="2"/>
  <c r="AC429" i="2"/>
  <c r="AC627" i="2"/>
  <c r="X1003" i="2"/>
  <c r="Y660" i="2"/>
  <c r="W560" i="2"/>
  <c r="W466" i="2"/>
  <c r="AC287" i="2"/>
  <c r="AC271" i="2"/>
  <c r="AC1271" i="2"/>
  <c r="X934" i="2"/>
  <c r="Y1026" i="2"/>
  <c r="AC767" i="2"/>
  <c r="W1015" i="2"/>
  <c r="V1281" i="2"/>
  <c r="Y1481" i="2"/>
  <c r="AC712" i="2"/>
  <c r="X680" i="2"/>
  <c r="W476" i="2"/>
  <c r="AC659" i="2"/>
  <c r="Y856" i="2"/>
  <c r="AC1488" i="2"/>
  <c r="W1368" i="2"/>
  <c r="AC540" i="2"/>
  <c r="W935" i="2"/>
  <c r="X720" i="2"/>
  <c r="AC389" i="2"/>
  <c r="V1412" i="2"/>
  <c r="AC709" i="2"/>
  <c r="V1425" i="2"/>
  <c r="X270" i="2"/>
  <c r="X147" i="2"/>
  <c r="X423" i="2"/>
  <c r="AC575" i="2"/>
  <c r="X205" i="2"/>
  <c r="W1228" i="2"/>
  <c r="X157" i="2"/>
  <c r="X746" i="2"/>
  <c r="Y488" i="2"/>
  <c r="X78" i="2"/>
  <c r="X328" i="2"/>
  <c r="Y779" i="2"/>
  <c r="Y560" i="2"/>
  <c r="X694" i="2"/>
  <c r="AC202" i="2"/>
  <c r="W246" i="2"/>
  <c r="Y39" i="2"/>
  <c r="Y217" i="2"/>
  <c r="W911" i="2"/>
  <c r="Y129" i="2"/>
  <c r="X562" i="2"/>
  <c r="Y554" i="2"/>
  <c r="W740" i="2"/>
  <c r="AC356" i="2"/>
  <c r="W93" i="2"/>
  <c r="Y426" i="2"/>
  <c r="W34" i="2"/>
  <c r="AC442" i="2"/>
  <c r="W31" i="2"/>
  <c r="W198" i="2"/>
  <c r="AC44" i="2"/>
  <c r="X608" i="2"/>
  <c r="Y393" i="2"/>
  <c r="W1386" i="2"/>
  <c r="Y145" i="2"/>
  <c r="W932" i="2"/>
  <c r="W553" i="2"/>
  <c r="Y427" i="2"/>
  <c r="AC174" i="2"/>
  <c r="Y18" i="2"/>
  <c r="X145" i="2"/>
  <c r="Y495" i="2"/>
  <c r="V1417" i="2"/>
  <c r="Y69" i="2"/>
  <c r="Y839" i="2"/>
  <c r="W61" i="2"/>
  <c r="AC1055" i="2"/>
  <c r="X5" i="2"/>
  <c r="X710" i="2"/>
  <c r="AC317" i="2"/>
  <c r="W427" i="2"/>
  <c r="X538" i="2"/>
  <c r="Y578" i="2"/>
  <c r="W568" i="2"/>
  <c r="X640" i="2"/>
  <c r="X575" i="2"/>
  <c r="W788" i="2"/>
  <c r="Y322" i="2"/>
  <c r="AC533" i="2"/>
  <c r="AC857" i="2"/>
  <c r="AC557" i="2"/>
  <c r="Y685" i="2"/>
  <c r="AC578" i="2"/>
  <c r="AC75" i="2"/>
  <c r="Y266" i="2"/>
  <c r="W195" i="2"/>
  <c r="W711" i="2"/>
  <c r="W724" i="2"/>
  <c r="V1260" i="2"/>
  <c r="AC125" i="2"/>
  <c r="W538" i="2"/>
  <c r="V65" i="2"/>
  <c r="AC888" i="2"/>
  <c r="X252" i="2"/>
  <c r="W685" i="2"/>
  <c r="W143" i="2"/>
  <c r="Y594" i="2"/>
  <c r="X650" i="2"/>
  <c r="W68" i="2"/>
  <c r="AC941" i="2"/>
  <c r="AC146" i="2"/>
  <c r="Y240" i="2"/>
  <c r="AC1076" i="2"/>
  <c r="W341" i="2"/>
  <c r="W107" i="2"/>
  <c r="W646" i="2"/>
  <c r="X523" i="2"/>
  <c r="V1234" i="2"/>
  <c r="Y1041" i="2"/>
  <c r="AC1155" i="2"/>
  <c r="X1468" i="2"/>
  <c r="X770" i="2"/>
  <c r="AC1145" i="2"/>
  <c r="W1266" i="2"/>
  <c r="AC953" i="2"/>
  <c r="W1206" i="2"/>
  <c r="Y525" i="2"/>
  <c r="AC798" i="2"/>
  <c r="Y947" i="2"/>
  <c r="AC359" i="2"/>
  <c r="W1450" i="2"/>
  <c r="X1098" i="2"/>
  <c r="AC550" i="2"/>
  <c r="Y988" i="2"/>
  <c r="Y881" i="2"/>
  <c r="X1016" i="2"/>
  <c r="AC1010" i="2"/>
  <c r="AC1405" i="2"/>
  <c r="Y849" i="2"/>
  <c r="AC1079" i="2"/>
  <c r="X185" i="2"/>
  <c r="AC861" i="2"/>
  <c r="W196" i="2"/>
  <c r="X372" i="2"/>
  <c r="Y338" i="2"/>
  <c r="W748" i="2"/>
  <c r="X939" i="2"/>
  <c r="W565" i="2"/>
  <c r="W308" i="2"/>
  <c r="W803" i="2"/>
  <c r="W38" i="2"/>
  <c r="AC563" i="2"/>
  <c r="AC51" i="2"/>
  <c r="Y453" i="2"/>
  <c r="AC14" i="2"/>
  <c r="W139" i="2"/>
  <c r="W349" i="2"/>
  <c r="X900" i="2"/>
  <c r="W126" i="2"/>
  <c r="W352" i="2"/>
  <c r="Y173" i="2"/>
  <c r="W819" i="2"/>
  <c r="AC483" i="2"/>
  <c r="Y11" i="2"/>
  <c r="AC383" i="2"/>
  <c r="W26" i="2"/>
  <c r="Y1102" i="2"/>
  <c r="Y558" i="2"/>
  <c r="X437" i="2"/>
  <c r="W326" i="2"/>
  <c r="Y666" i="2"/>
  <c r="W146" i="2"/>
  <c r="X922" i="2"/>
  <c r="W959" i="2"/>
  <c r="W296" i="2"/>
  <c r="AC28" i="2"/>
  <c r="Y838" i="2"/>
  <c r="AC450" i="2"/>
  <c r="Y222" i="2"/>
  <c r="X250" i="2"/>
  <c r="AC120" i="2"/>
  <c r="X475" i="2"/>
  <c r="Y383" i="2"/>
  <c r="AC307" i="2"/>
  <c r="X826" i="2"/>
  <c r="Y397" i="2"/>
  <c r="X53" i="2"/>
  <c r="AC393" i="2"/>
  <c r="AC339" i="2"/>
  <c r="AC60" i="2"/>
  <c r="Y108" i="2"/>
  <c r="Y126" i="2"/>
  <c r="X308" i="2"/>
  <c r="X877" i="2"/>
  <c r="AC72" i="2"/>
  <c r="W666" i="2"/>
  <c r="X1112" i="2"/>
  <c r="W332" i="2"/>
  <c r="Y623" i="2"/>
  <c r="W136" i="2"/>
  <c r="AC235" i="2"/>
  <c r="AC1152" i="2"/>
  <c r="Y223" i="2"/>
  <c r="Y245" i="2"/>
  <c r="X1130" i="2"/>
  <c r="W330" i="2"/>
  <c r="Y289" i="2"/>
  <c r="X1266" i="2"/>
  <c r="Y406" i="2"/>
  <c r="AC1196" i="2"/>
  <c r="Y346" i="2"/>
  <c r="Y982" i="2"/>
  <c r="Y228" i="2"/>
  <c r="Y958" i="2"/>
  <c r="AC670" i="2"/>
  <c r="Y104" i="2"/>
  <c r="AC969" i="2"/>
  <c r="AC346" i="2"/>
  <c r="W43" i="2"/>
  <c r="X485" i="2"/>
  <c r="AC341" i="2"/>
  <c r="Y456" i="2"/>
  <c r="W21" i="2"/>
  <c r="X177" i="2"/>
  <c r="W90" i="2"/>
  <c r="Y778" i="2"/>
  <c r="Y1000" i="2"/>
  <c r="AC654" i="2"/>
  <c r="W388" i="2"/>
  <c r="X808" i="2"/>
  <c r="Y667" i="2"/>
  <c r="X399" i="2"/>
  <c r="X910" i="2"/>
  <c r="AC637" i="2"/>
  <c r="AC352" i="2"/>
  <c r="AC671" i="2"/>
  <c r="W122" i="2"/>
  <c r="X931" i="2"/>
  <c r="W750" i="2"/>
  <c r="Y210" i="2"/>
  <c r="W188" i="2"/>
  <c r="AC370" i="2"/>
  <c r="X556" i="2"/>
  <c r="Y597" i="2"/>
  <c r="Y1395" i="2"/>
  <c r="W1361" i="2"/>
  <c r="AC1355" i="2"/>
  <c r="Y735" i="2"/>
  <c r="Y1370" i="2"/>
  <c r="AC1233" i="2"/>
  <c r="W1003" i="2"/>
  <c r="W436" i="2"/>
  <c r="AC639" i="2"/>
  <c r="W1049" i="2"/>
  <c r="X1042" i="2"/>
  <c r="X1199" i="2"/>
  <c r="AC522" i="2"/>
  <c r="AC1051" i="2"/>
  <c r="X667" i="2"/>
  <c r="X1026" i="2"/>
  <c r="AC940" i="2"/>
  <c r="AC237" i="2"/>
  <c r="X892" i="2"/>
  <c r="Y1319" i="2"/>
  <c r="X810" i="2"/>
  <c r="AC1171" i="2"/>
  <c r="X1091" i="2"/>
  <c r="Y929" i="2"/>
  <c r="AC255" i="2"/>
  <c r="W434" i="2"/>
  <c r="X11" i="2"/>
  <c r="AC382" i="2"/>
  <c r="Y733" i="2"/>
  <c r="Y45" i="2"/>
  <c r="Y845" i="2"/>
  <c r="X972" i="2"/>
  <c r="W575" i="2"/>
  <c r="Y379" i="2"/>
  <c r="W176" i="2"/>
  <c r="AC452" i="2"/>
  <c r="W766" i="2"/>
  <c r="X439" i="2"/>
  <c r="AC975" i="2"/>
  <c r="AC784" i="2"/>
  <c r="AC446" i="2"/>
  <c r="W777" i="2"/>
  <c r="Y766" i="2"/>
  <c r="X654" i="2"/>
  <c r="AC803" i="2"/>
  <c r="X4" i="2"/>
  <c r="Y956" i="2"/>
  <c r="Y977" i="2"/>
  <c r="AC479" i="2"/>
  <c r="Y827" i="2"/>
  <c r="W396" i="2"/>
  <c r="Y21" i="2"/>
  <c r="W545" i="2"/>
  <c r="Y374" i="2"/>
  <c r="AC431" i="2"/>
  <c r="X353" i="2"/>
  <c r="W982" i="2"/>
  <c r="W499" i="2"/>
  <c r="Y557" i="2"/>
  <c r="AC983" i="2"/>
  <c r="X49" i="2"/>
  <c r="AC26" i="2"/>
  <c r="W1195" i="2"/>
  <c r="Y624" i="2"/>
  <c r="X321" i="2"/>
  <c r="W83" i="2"/>
  <c r="AC39" i="2"/>
  <c r="Y369" i="2"/>
  <c r="W998" i="2"/>
  <c r="Y773" i="2"/>
  <c r="X718" i="2"/>
  <c r="Y8" i="2"/>
  <c r="Y651" i="2"/>
  <c r="W210" i="2"/>
  <c r="W70" i="2"/>
  <c r="AC1148" i="2"/>
  <c r="Y631" i="2"/>
  <c r="AC881" i="2"/>
  <c r="W236" i="2"/>
  <c r="AC466" i="2"/>
  <c r="Y1063" i="2"/>
  <c r="AC325" i="2"/>
  <c r="X855" i="2"/>
  <c r="Y865" i="2"/>
  <c r="AC222" i="2"/>
  <c r="W1113" i="2"/>
  <c r="Y486" i="2"/>
  <c r="V1164" i="2"/>
  <c r="Y441" i="2"/>
  <c r="Y504" i="2"/>
  <c r="AC912" i="2"/>
  <c r="Y138" i="2"/>
  <c r="X648" i="2"/>
  <c r="AC31" i="2"/>
  <c r="AC931" i="2"/>
  <c r="AC936" i="2"/>
  <c r="W1180" i="2"/>
  <c r="AC137" i="2"/>
  <c r="X950" i="2"/>
  <c r="X88" i="2"/>
  <c r="Y1316" i="2"/>
  <c r="AC1089" i="2"/>
  <c r="Y579" i="2"/>
  <c r="AC58" i="2"/>
  <c r="X113" i="2"/>
  <c r="Y513" i="2"/>
  <c r="W404" i="2"/>
  <c r="Y581" i="2"/>
  <c r="AC1071" i="2"/>
  <c r="W1144" i="2"/>
  <c r="W1400" i="2"/>
  <c r="W1425" i="2"/>
  <c r="X966" i="2"/>
  <c r="AC928" i="2"/>
  <c r="AC373" i="2"/>
  <c r="AC489" i="2"/>
  <c r="X267" i="2"/>
  <c r="Y1044" i="2"/>
  <c r="AC1264" i="2"/>
  <c r="Y952" i="2"/>
  <c r="W885" i="2"/>
  <c r="X260" i="2"/>
  <c r="Y991" i="2"/>
  <c r="AC1270" i="2"/>
  <c r="AC515" i="2"/>
  <c r="W918" i="2"/>
  <c r="X963" i="2"/>
  <c r="W492" i="2"/>
  <c r="Y876" i="2"/>
  <c r="AC477" i="2"/>
  <c r="Y1172" i="2"/>
  <c r="X1187" i="2"/>
  <c r="W1068" i="2"/>
  <c r="Y629" i="2"/>
  <c r="Y541" i="2"/>
  <c r="Y143" i="2"/>
  <c r="Y1209" i="2"/>
  <c r="X766" i="2"/>
  <c r="W106" i="2"/>
  <c r="X64" i="2"/>
  <c r="X541" i="2"/>
  <c r="AC239" i="2"/>
  <c r="X790" i="2"/>
  <c r="AC561" i="2"/>
  <c r="X486" i="2"/>
  <c r="X1464" i="2"/>
  <c r="Y385" i="2"/>
  <c r="Y855" i="2"/>
  <c r="AC713" i="2"/>
  <c r="Y702" i="2"/>
  <c r="W749" i="2"/>
  <c r="X71" i="2"/>
  <c r="X612" i="2"/>
  <c r="AC251" i="2"/>
  <c r="X162" i="2"/>
  <c r="Y712" i="2"/>
  <c r="X595" i="2"/>
  <c r="W27" i="2"/>
  <c r="W497" i="2"/>
  <c r="X609" i="2"/>
  <c r="X1484" i="2"/>
  <c r="X56" i="2"/>
  <c r="X390" i="2"/>
  <c r="X1243" i="2"/>
  <c r="X467" i="2"/>
  <c r="Y455" i="2"/>
  <c r="Y323" i="2"/>
  <c r="AC747" i="2"/>
  <c r="AC1456" i="2"/>
  <c r="X240" i="2"/>
  <c r="X1283" i="2"/>
  <c r="W54" i="2"/>
  <c r="X392" i="2"/>
  <c r="AC189" i="2"/>
  <c r="X601" i="2"/>
  <c r="W563" i="2"/>
  <c r="Y361" i="2"/>
  <c r="X791" i="2"/>
  <c r="AC438" i="2"/>
  <c r="Y690" i="2"/>
  <c r="Y574" i="2"/>
  <c r="W535" i="2"/>
  <c r="Y332" i="2"/>
  <c r="AC863" i="2"/>
  <c r="X1017" i="2"/>
  <c r="W119" i="2"/>
  <c r="W284" i="2"/>
  <c r="AC305" i="2"/>
  <c r="AC158" i="2"/>
  <c r="W237" i="2"/>
  <c r="W521" i="2"/>
  <c r="X1378" i="2"/>
  <c r="AC707" i="2"/>
  <c r="Y105" i="2"/>
  <c r="W760" i="2"/>
  <c r="X261" i="2"/>
  <c r="AC562" i="2"/>
  <c r="Y49" i="2"/>
  <c r="AC460" i="2"/>
  <c r="Y435" i="2"/>
  <c r="W631" i="2"/>
  <c r="W142" i="2"/>
  <c r="X227" i="2"/>
  <c r="W423" i="2"/>
  <c r="W988" i="2"/>
  <c r="AC1031" i="2"/>
  <c r="Y171" i="2"/>
  <c r="W1283" i="2"/>
  <c r="X76" i="2"/>
  <c r="X735" i="2"/>
  <c r="X582" i="2"/>
  <c r="W488" i="2"/>
  <c r="X614" i="2"/>
  <c r="AC21" i="2"/>
  <c r="Y998" i="2"/>
  <c r="V1183" i="2"/>
  <c r="AC1487" i="2"/>
  <c r="X916" i="2"/>
  <c r="W1235" i="2"/>
  <c r="Y901" i="2"/>
  <c r="W874" i="2"/>
  <c r="AC210" i="2"/>
  <c r="Y566" i="2"/>
  <c r="X380" i="2"/>
  <c r="Y106" i="2"/>
  <c r="X794" i="2"/>
  <c r="AC1062" i="2"/>
  <c r="W841" i="2"/>
  <c r="W768" i="2"/>
  <c r="X1014" i="2"/>
  <c r="X1143" i="2"/>
  <c r="AC243" i="2"/>
  <c r="Y1074" i="2"/>
  <c r="W1176" i="2"/>
  <c r="X1480" i="2"/>
  <c r="X1339" i="2"/>
  <c r="X516" i="2"/>
  <c r="AC949" i="2"/>
  <c r="Y951" i="2"/>
  <c r="X457" i="2"/>
  <c r="Y836" i="2"/>
  <c r="X671" i="2"/>
  <c r="W318" i="2"/>
  <c r="X422" i="2"/>
  <c r="V1214" i="2"/>
  <c r="Y302" i="2"/>
  <c r="AC600" i="2"/>
  <c r="X599" i="2"/>
  <c r="X543" i="2"/>
  <c r="AC1181" i="2"/>
  <c r="X25" i="2"/>
  <c r="AC453" i="2"/>
  <c r="Y736" i="2"/>
  <c r="Y401" i="2"/>
  <c r="W858" i="2"/>
  <c r="AC457" i="2"/>
  <c r="X579" i="2"/>
  <c r="AC554" i="2"/>
  <c r="Y384" i="2"/>
  <c r="AC367" i="2"/>
  <c r="AC471" i="2"/>
  <c r="Y847" i="2"/>
  <c r="AC634" i="2"/>
  <c r="W84" i="2"/>
  <c r="AC501" i="2"/>
  <c r="Y281" i="2"/>
  <c r="X487" i="2"/>
  <c r="AC549" i="2"/>
  <c r="X17" i="2"/>
  <c r="X585" i="2"/>
  <c r="W1404" i="2"/>
  <c r="W426" i="2"/>
  <c r="W954" i="2"/>
  <c r="AC412" i="2"/>
  <c r="AC614" i="2"/>
  <c r="X771" i="2"/>
  <c r="AC234" i="2"/>
  <c r="X276" i="2"/>
  <c r="X1019" i="2"/>
  <c r="W375" i="2"/>
  <c r="AC41" i="2"/>
  <c r="W56" i="2"/>
  <c r="Y1047" i="2"/>
  <c r="W234" i="2"/>
  <c r="W1215" i="2"/>
  <c r="AC208" i="2"/>
  <c r="Y753" i="2"/>
  <c r="Y688" i="2"/>
  <c r="Y599" i="2"/>
  <c r="AC440" i="2"/>
  <c r="X120" i="2"/>
  <c r="X880" i="2"/>
  <c r="AC595" i="2"/>
  <c r="AC124" i="2"/>
  <c r="AC49" i="2"/>
  <c r="Y46" i="2"/>
  <c r="Y399" i="2"/>
  <c r="AC114" i="2"/>
  <c r="AC115" i="2"/>
  <c r="V1486" i="2"/>
  <c r="X62" i="2"/>
  <c r="Y1324" i="2"/>
  <c r="Y79" i="2"/>
  <c r="AC531" i="2"/>
  <c r="AC439" i="2"/>
  <c r="AC934" i="2"/>
  <c r="AC294" i="2"/>
  <c r="W852" i="2"/>
  <c r="Y99" i="2"/>
  <c r="Y353" i="2"/>
  <c r="X81" i="2"/>
  <c r="Y339" i="2"/>
  <c r="V1388" i="2"/>
  <c r="Y1157" i="2"/>
  <c r="X1064" i="2"/>
  <c r="V1454" i="2"/>
  <c r="W1058" i="2"/>
  <c r="Y257" i="2"/>
  <c r="AC135" i="2"/>
  <c r="W691" i="2"/>
  <c r="W770" i="2"/>
  <c r="AC1054" i="2"/>
  <c r="Y604" i="2"/>
  <c r="X758" i="2"/>
  <c r="W416" i="2"/>
  <c r="AC802" i="2"/>
  <c r="AC698" i="2"/>
  <c r="Y1341" i="2"/>
  <c r="Y763" i="2"/>
  <c r="AC875" i="2"/>
  <c r="X1001" i="2"/>
  <c r="AC1402" i="2"/>
  <c r="X1442" i="2"/>
  <c r="X332" i="2"/>
  <c r="W765" i="2"/>
  <c r="AC731" i="2"/>
  <c r="AC1331" i="2"/>
  <c r="W206" i="2"/>
  <c r="Y371" i="2"/>
  <c r="X821" i="2"/>
  <c r="X1203" i="2"/>
  <c r="AC330" i="2"/>
  <c r="X884" i="2"/>
  <c r="X509" i="2"/>
  <c r="X57" i="2"/>
  <c r="AC927" i="2"/>
  <c r="Y270" i="2"/>
  <c r="W727" i="2"/>
  <c r="X1389" i="2"/>
  <c r="Y225" i="2"/>
  <c r="W638" i="2"/>
  <c r="Y822" i="2"/>
  <c r="Y459" i="2"/>
  <c r="X151" i="2"/>
  <c r="Y635" i="2"/>
  <c r="X499" i="2"/>
  <c r="AC752" i="2"/>
  <c r="AC657" i="2"/>
  <c r="AC582" i="2"/>
  <c r="Y523" i="2"/>
  <c r="X836" i="2"/>
  <c r="W239" i="2"/>
  <c r="AC1066" i="2"/>
  <c r="W444" i="2"/>
  <c r="Y430" i="2"/>
  <c r="X263" i="2"/>
  <c r="X440" i="2"/>
  <c r="Y262" i="2"/>
  <c r="W373" i="2"/>
  <c r="Y294" i="2"/>
  <c r="AC25" i="2"/>
  <c r="AC925" i="2"/>
  <c r="AC181" i="2"/>
  <c r="AC1395" i="2"/>
  <c r="W831" i="2"/>
  <c r="AC526" i="2"/>
  <c r="X387" i="2"/>
  <c r="X344" i="2"/>
  <c r="AC710" i="2"/>
  <c r="X1073" i="2"/>
  <c r="Y501" i="2"/>
  <c r="X591" i="2"/>
  <c r="AC42" i="2"/>
  <c r="X149" i="2"/>
  <c r="Y984" i="2"/>
  <c r="W1435" i="2"/>
  <c r="X1385" i="2"/>
  <c r="AC425" i="2"/>
  <c r="AC418" i="2"/>
  <c r="Y127" i="2"/>
  <c r="Y284" i="2"/>
  <c r="AC564" i="2"/>
  <c r="W702" i="2"/>
  <c r="Y101" i="2"/>
  <c r="W490" i="2"/>
  <c r="AC580" i="2"/>
  <c r="W129" i="2"/>
  <c r="Y40" i="2"/>
  <c r="W1405" i="2"/>
  <c r="W1268" i="2"/>
  <c r="V1462" i="2"/>
  <c r="X933" i="2"/>
  <c r="X322" i="2"/>
  <c r="AC283" i="2"/>
  <c r="Y748" i="2"/>
  <c r="AC245" i="2"/>
  <c r="AC1371" i="2"/>
  <c r="X1252" i="2"/>
  <c r="X307" i="2"/>
  <c r="AC968" i="2"/>
  <c r="AC868" i="2"/>
  <c r="AC1290" i="2"/>
  <c r="V1448" i="2"/>
  <c r="W1103" i="2"/>
  <c r="Y1030" i="2"/>
  <c r="X696" i="2"/>
  <c r="V1290" i="2"/>
  <c r="X1009" i="2"/>
  <c r="AC1199" i="2"/>
  <c r="W576" i="2"/>
  <c r="Y491" i="2"/>
  <c r="X618" i="2"/>
  <c r="X41" i="2"/>
  <c r="Y320" i="2"/>
  <c r="W57" i="2"/>
  <c r="AC416" i="2"/>
  <c r="W567" i="2"/>
  <c r="Y544" i="2"/>
  <c r="AC856" i="2"/>
  <c r="W818" i="2"/>
  <c r="X1168" i="2"/>
  <c r="X521" i="2"/>
  <c r="AC286" i="2"/>
  <c r="W192" i="2"/>
  <c r="AC392" i="2"/>
  <c r="X58" i="2"/>
  <c r="AC622" i="2"/>
  <c r="X689" i="2"/>
  <c r="AC695" i="2"/>
  <c r="AC378" i="2"/>
  <c r="W53" i="2"/>
  <c r="Y472" i="2"/>
  <c r="W105" i="2"/>
  <c r="Y707" i="2"/>
  <c r="X816" i="2"/>
  <c r="AC787" i="2"/>
  <c r="Y335" i="2"/>
  <c r="W151" i="2"/>
  <c r="Y287" i="2"/>
  <c r="Y196" i="2"/>
  <c r="V1287" i="2"/>
  <c r="Y608" i="2"/>
  <c r="W640" i="2"/>
  <c r="X329" i="2"/>
  <c r="X292" i="2"/>
  <c r="AC36" i="2"/>
  <c r="W343" i="2"/>
  <c r="X1272" i="2"/>
  <c r="Y347" i="2"/>
  <c r="Y946" i="2"/>
  <c r="X722" i="2"/>
  <c r="W614" i="2"/>
  <c r="W230" i="2"/>
  <c r="Y671" i="2"/>
  <c r="AC720" i="2"/>
  <c r="W52" i="2"/>
  <c r="AC1012" i="2"/>
  <c r="AC52" i="2"/>
  <c r="Y745" i="2"/>
  <c r="W260" i="2"/>
  <c r="Y1080" i="2"/>
  <c r="X802" i="2"/>
  <c r="X39" i="2"/>
  <c r="Y612" i="2"/>
  <c r="X1148" i="2"/>
  <c r="W365" i="2"/>
  <c r="Y806" i="2"/>
  <c r="X319" i="2"/>
  <c r="W450" i="2"/>
  <c r="W926" i="2"/>
  <c r="X600" i="2"/>
  <c r="X1308" i="2"/>
  <c r="X303" i="2"/>
  <c r="W422" i="2"/>
  <c r="AC296" i="2"/>
  <c r="W1475" i="2"/>
  <c r="Y587" i="2"/>
  <c r="W692" i="2"/>
  <c r="Y41" i="2"/>
  <c r="Y694" i="2"/>
  <c r="AC413" i="2"/>
  <c r="X219" i="2"/>
  <c r="X915" i="2"/>
  <c r="X358" i="2"/>
  <c r="X1216" i="2"/>
  <c r="W397" i="2"/>
  <c r="X131" i="2"/>
  <c r="Y464" i="2"/>
  <c r="W513" i="2"/>
  <c r="AC1418" i="2"/>
  <c r="W307" i="2"/>
  <c r="Y552" i="2"/>
  <c r="Y327" i="2"/>
  <c r="X531" i="2"/>
  <c r="AC159" i="2"/>
  <c r="W240" i="2"/>
  <c r="X548" i="2"/>
  <c r="X644" i="2"/>
  <c r="Y538" i="2"/>
  <c r="Y1221" i="2"/>
  <c r="X1458" i="2"/>
  <c r="Y1013" i="2"/>
  <c r="X470" i="2"/>
  <c r="W1274" i="2"/>
  <c r="AC327" i="2"/>
  <c r="AC229" i="2"/>
  <c r="X692" i="2"/>
  <c r="Y1400" i="2"/>
  <c r="AC458" i="2"/>
  <c r="AC967" i="2"/>
  <c r="W256" i="2"/>
  <c r="X657" i="2"/>
  <c r="AC1110" i="2"/>
  <c r="W908" i="2"/>
  <c r="W898" i="2"/>
  <c r="X987" i="2"/>
  <c r="X1165" i="2"/>
  <c r="W493" i="2"/>
  <c r="V1329" i="2"/>
  <c r="W1287" i="2"/>
  <c r="Y561" i="2"/>
  <c r="AC1035" i="2"/>
  <c r="V1202" i="2"/>
  <c r="X864" i="2"/>
  <c r="AC64" i="2"/>
  <c r="Y160" i="2"/>
  <c r="W248" i="2"/>
  <c r="W75" i="2"/>
  <c r="W776" i="2"/>
  <c r="AC656" i="2"/>
  <c r="X1422" i="2"/>
  <c r="W652" i="2"/>
  <c r="X496" i="2"/>
  <c r="Y15" i="2"/>
  <c r="Y352" i="2"/>
  <c r="Y55" i="2"/>
  <c r="Y614" i="2"/>
  <c r="Y56" i="2"/>
  <c r="W854" i="2"/>
  <c r="W1009" i="2"/>
  <c r="AC117" i="2"/>
  <c r="AC1049" i="2"/>
  <c r="Y130" i="2"/>
  <c r="Y721" i="2"/>
  <c r="Y157" i="2"/>
  <c r="Y607" i="2"/>
  <c r="W232" i="2"/>
  <c r="Y509" i="2"/>
  <c r="X170" i="2"/>
  <c r="AC371" i="2"/>
  <c r="Y767" i="2"/>
  <c r="Y275" i="2"/>
  <c r="W663" i="2"/>
  <c r="X414" i="2"/>
  <c r="Y309" i="2"/>
  <c r="W24" i="2"/>
  <c r="Y213" i="2"/>
  <c r="X197" i="2"/>
  <c r="X68" i="2"/>
  <c r="W552" i="2"/>
  <c r="Y532" i="2"/>
  <c r="W370" i="2"/>
  <c r="X129" i="2"/>
  <c r="X1145" i="2"/>
  <c r="X24" i="2"/>
  <c r="AC1018" i="2"/>
  <c r="Y904" i="2"/>
  <c r="X819" i="2"/>
  <c r="Y484" i="2"/>
  <c r="W658" i="2"/>
  <c r="X833" i="2"/>
  <c r="X546" i="2"/>
  <c r="AC1421" i="2"/>
  <c r="AC635" i="2"/>
  <c r="Y243" i="2"/>
  <c r="W103" i="2"/>
  <c r="W561" i="2"/>
  <c r="Y77" i="2"/>
  <c r="Y704" i="2"/>
  <c r="AC45" i="2"/>
  <c r="AC495" i="2"/>
  <c r="W1281" i="2"/>
  <c r="X23" i="2"/>
  <c r="W165" i="2"/>
  <c r="Y111" i="2"/>
  <c r="X431" i="2"/>
  <c r="W624" i="2"/>
  <c r="AC61" i="2"/>
  <c r="W265" i="2"/>
  <c r="Y1006" i="2"/>
  <c r="AC653" i="2"/>
  <c r="W403" i="2"/>
  <c r="Y135" i="2"/>
  <c r="W502" i="2"/>
  <c r="W690" i="2"/>
  <c r="X134" i="2"/>
  <c r="W1423" i="2"/>
  <c r="X354" i="2"/>
  <c r="Y711" i="2"/>
  <c r="W1212" i="2"/>
  <c r="W786" i="2"/>
  <c r="AC519" i="2"/>
  <c r="Y1085" i="2"/>
  <c r="X381" i="2"/>
  <c r="Y306" i="2"/>
  <c r="X782" i="2"/>
  <c r="AC840" i="2"/>
  <c r="W250" i="2"/>
  <c r="AC806" i="2"/>
  <c r="W14" i="2"/>
  <c r="Y13" i="2"/>
  <c r="W254" i="2"/>
  <c r="Y115" i="2"/>
  <c r="Y181" i="2"/>
  <c r="X206" i="2"/>
  <c r="W541" i="2"/>
  <c r="AC225" i="2"/>
  <c r="Y638" i="2"/>
  <c r="AC32" i="2"/>
  <c r="W241" i="2"/>
  <c r="X847" i="2"/>
  <c r="W286" i="2"/>
  <c r="W214" i="2"/>
  <c r="Y144" i="2"/>
  <c r="AC29" i="2"/>
  <c r="AC6" i="2"/>
  <c r="X203" i="2"/>
  <c r="W596" i="2"/>
  <c r="Y398" i="2"/>
  <c r="W287" i="2"/>
  <c r="Y392" i="2"/>
  <c r="W475" i="2"/>
  <c r="Y297" i="2"/>
  <c r="AC530" i="2"/>
  <c r="Y466" i="2"/>
  <c r="Y326" i="2"/>
  <c r="X139" i="2"/>
  <c r="Y547" i="2"/>
  <c r="W698" i="2"/>
  <c r="Y1431" i="2"/>
  <c r="AC107" i="2"/>
  <c r="W187" i="2"/>
  <c r="W204" i="2"/>
  <c r="W716" i="2"/>
  <c r="X269" i="2"/>
  <c r="W389" i="2"/>
  <c r="X132" i="2"/>
  <c r="Y358" i="2"/>
  <c r="AC256" i="2"/>
  <c r="W120" i="2"/>
  <c r="X751" i="2"/>
  <c r="W202" i="2"/>
  <c r="W350" i="2"/>
  <c r="AC451" i="2"/>
  <c r="W155" i="2"/>
  <c r="W217" i="2"/>
  <c r="Y759" i="2"/>
  <c r="Y107" i="2"/>
  <c r="W496" i="2"/>
  <c r="X445" i="2"/>
  <c r="X31" i="2"/>
  <c r="AC302" i="2"/>
  <c r="W281" i="2"/>
  <c r="X98" i="2"/>
  <c r="W694" i="2"/>
  <c r="W829" i="2"/>
  <c r="Y48" i="2"/>
  <c r="Y386" i="2"/>
  <c r="AC133" i="2"/>
  <c r="X875" i="2"/>
  <c r="Y375" i="2"/>
  <c r="Y102" i="2"/>
  <c r="V167" i="2"/>
  <c r="Y647" i="2"/>
  <c r="Y626" i="2"/>
  <c r="X1137" i="2"/>
  <c r="AC213" i="2"/>
  <c r="AC138" i="2"/>
  <c r="AC161" i="2"/>
  <c r="W306" i="2"/>
  <c r="AC586" i="2"/>
  <c r="AC170" i="2"/>
  <c r="Y237" i="2"/>
  <c r="W201" i="2"/>
  <c r="AC126" i="2"/>
  <c r="AC441" i="2"/>
  <c r="W279" i="2"/>
  <c r="W734" i="2"/>
  <c r="AC428" i="2"/>
  <c r="W215" i="2"/>
  <c r="Y330" i="2"/>
  <c r="AC903" i="2"/>
  <c r="Y203" i="2"/>
  <c r="W81" i="2"/>
  <c r="W630" i="2"/>
  <c r="W735" i="2"/>
  <c r="AC1094" i="2"/>
  <c r="Y434" i="2"/>
  <c r="Y1237" i="2"/>
  <c r="AC422" i="2"/>
  <c r="AC1333" i="2"/>
  <c r="Y183" i="2"/>
  <c r="AC958" i="2"/>
  <c r="AC314" i="2"/>
  <c r="Y96" i="2"/>
  <c r="W314" i="2"/>
  <c r="Y823" i="2"/>
  <c r="AC887" i="2"/>
  <c r="W420" i="2"/>
  <c r="AC926" i="2"/>
  <c r="Y616" i="2"/>
  <c r="Y506" i="2"/>
  <c r="X166" i="2"/>
  <c r="W66" i="2"/>
  <c r="AC832" i="2"/>
  <c r="W817" i="2"/>
  <c r="W401" i="2"/>
  <c r="Y1411" i="2"/>
  <c r="X376" i="2"/>
  <c r="X952" i="2"/>
  <c r="W551" i="2"/>
  <c r="AC617" i="2"/>
  <c r="Y227" i="2"/>
  <c r="Y983" i="2"/>
  <c r="AC507" i="2"/>
  <c r="X797" i="2"/>
  <c r="W924" i="2"/>
  <c r="AC979" i="2"/>
  <c r="X498" i="2"/>
  <c r="X375" i="2"/>
  <c r="W573" i="2"/>
  <c r="W428" i="2"/>
  <c r="Y1178" i="2"/>
  <c r="Y409" i="2"/>
  <c r="W514" i="2"/>
  <c r="Y883" i="2"/>
  <c r="X411" i="2"/>
  <c r="X897" i="2"/>
  <c r="W673" i="2"/>
  <c r="W164" i="2"/>
  <c r="AC608" i="2"/>
  <c r="X863" i="2"/>
  <c r="W141" i="2"/>
  <c r="Y4" i="2"/>
  <c r="X207" i="2"/>
  <c r="AC681" i="2"/>
  <c r="AC534" i="2"/>
  <c r="AC641" i="2"/>
  <c r="W655" i="2"/>
  <c r="X552" i="2"/>
  <c r="AC651" i="2"/>
  <c r="X371" i="2"/>
  <c r="X480" i="2"/>
  <c r="Y165" i="2"/>
  <c r="AC404" i="2"/>
  <c r="W156" i="2"/>
  <c r="W1354" i="2"/>
  <c r="Y276" i="2"/>
  <c r="Y279" i="2"/>
  <c r="AC212" i="2"/>
  <c r="X954" i="2"/>
  <c r="V67" i="2"/>
  <c r="W333" i="2"/>
  <c r="W376" i="2"/>
  <c r="Y592" i="2"/>
  <c r="Y290" i="2"/>
  <c r="W571" i="2"/>
  <c r="W89" i="2"/>
  <c r="AC387" i="2"/>
  <c r="AC15" i="2"/>
  <c r="W49" i="2"/>
  <c r="X774" i="2"/>
  <c r="X359" i="2"/>
  <c r="X48" i="2"/>
  <c r="Y272" i="2"/>
  <c r="W387" i="2"/>
  <c r="Y831" i="2"/>
  <c r="W1095" i="2"/>
  <c r="X520" i="2"/>
  <c r="W845" i="2"/>
  <c r="W381" i="2"/>
  <c r="W302" i="2"/>
  <c r="AC649" i="2"/>
  <c r="X275" i="2"/>
  <c r="Y32" i="2"/>
  <c r="X662" i="2"/>
  <c r="Y1113" i="2"/>
  <c r="Y57" i="2"/>
  <c r="X418" i="2"/>
  <c r="AC423" i="2"/>
  <c r="AC751" i="2"/>
  <c r="Y205" i="2"/>
  <c r="W368" i="2"/>
  <c r="X297" i="2"/>
  <c r="X706" i="2"/>
  <c r="W289" i="2"/>
  <c r="Y83" i="2"/>
  <c r="W508" i="2"/>
  <c r="W183" i="2"/>
  <c r="Y76" i="2"/>
  <c r="AC139" i="2"/>
  <c r="W115" i="2"/>
  <c r="Y1491" i="2"/>
  <c r="W62" i="2"/>
  <c r="X528" i="2"/>
  <c r="W952" i="2"/>
  <c r="Y835" i="2"/>
  <c r="AC116" i="2"/>
  <c r="AC436" i="2"/>
  <c r="W731" i="2"/>
  <c r="AC486" i="2"/>
  <c r="X968" i="2"/>
  <c r="Y50" i="2"/>
  <c r="X201" i="2"/>
  <c r="W390" i="2"/>
  <c r="Y480" i="2"/>
  <c r="AC203" i="2"/>
  <c r="AC865" i="2"/>
  <c r="W433" i="2"/>
  <c r="W65" i="2"/>
  <c r="Y446" i="2"/>
  <c r="X320" i="2"/>
  <c r="V164" i="2"/>
  <c r="AC59" i="2"/>
  <c r="Y1088" i="2"/>
  <c r="W587" i="2"/>
  <c r="W362" i="2"/>
  <c r="Y637" i="2"/>
  <c r="W247" i="2"/>
  <c r="X52" i="2"/>
  <c r="W782" i="2"/>
  <c r="AC467" i="2"/>
  <c r="W1378" i="2"/>
  <c r="Y710" i="2"/>
  <c r="W507" i="2"/>
  <c r="W669" i="2"/>
  <c r="X154" i="2"/>
  <c r="X333" i="2"/>
  <c r="AC154" i="2"/>
  <c r="Y98" i="2"/>
  <c r="W36" i="2"/>
  <c r="X212" i="2"/>
  <c r="Y403" i="2"/>
  <c r="X336" i="2"/>
  <c r="X130" i="2"/>
  <c r="X156" i="2"/>
  <c r="AC18" i="2"/>
  <c r="W186" i="2"/>
  <c r="Y60" i="2"/>
  <c r="Y5" i="2"/>
  <c r="W689" i="2"/>
  <c r="Y448" i="2"/>
  <c r="X463" i="2"/>
  <c r="W479" i="2"/>
  <c r="W429" i="2"/>
  <c r="Y229" i="2"/>
  <c r="W591" i="2"/>
  <c r="W121" i="2"/>
  <c r="W316" i="2"/>
  <c r="X165" i="2"/>
  <c r="AC266" i="2"/>
  <c r="X1094" i="2"/>
  <c r="AC885" i="2"/>
  <c r="W589" i="2"/>
  <c r="W130" i="2"/>
  <c r="W356" i="2"/>
  <c r="W219" i="2"/>
  <c r="X882" i="2"/>
  <c r="AC207" i="2"/>
  <c r="Y341" i="2"/>
  <c r="Y149" i="2"/>
  <c r="W305" i="2"/>
  <c r="AC498" i="2"/>
  <c r="Y422" i="2"/>
  <c r="AC292" i="2"/>
  <c r="AC1362" i="2"/>
  <c r="AC587" i="2"/>
  <c r="X1089" i="2"/>
  <c r="Y300" i="2"/>
  <c r="W382" i="2"/>
  <c r="Y713" i="2"/>
  <c r="Y396" i="2"/>
  <c r="W58" i="2"/>
  <c r="W549" i="2"/>
  <c r="AC278" i="2"/>
  <c r="Y131" i="2"/>
  <c r="Y299" i="2"/>
  <c r="X265" i="2"/>
  <c r="Y791" i="2"/>
  <c r="Y709" i="2"/>
  <c r="W351" i="2"/>
  <c r="W484" i="2"/>
  <c r="AC221" i="2"/>
  <c r="X330" i="2"/>
  <c r="Y1181" i="2"/>
  <c r="AC603" i="2"/>
  <c r="W795" i="2"/>
  <c r="Y204" i="2"/>
  <c r="X389" i="2"/>
  <c r="Y255" i="2"/>
  <c r="X570" i="2"/>
  <c r="Y646" i="2"/>
  <c r="X109" i="2"/>
  <c r="AC918" i="2"/>
  <c r="Y9" i="2"/>
  <c r="X175" i="2"/>
  <c r="Y141" i="2"/>
  <c r="AC539" i="2"/>
  <c r="Y619" i="2"/>
  <c r="AC344" i="2"/>
  <c r="W268" i="2"/>
  <c r="X1414" i="2"/>
  <c r="X318" i="2"/>
  <c r="X569" i="2"/>
  <c r="Y996" i="2"/>
  <c r="W50" i="2"/>
  <c r="Y468" i="2"/>
  <c r="W653" i="2"/>
  <c r="W104" i="2"/>
  <c r="X181" i="2"/>
  <c r="Y761" i="2"/>
  <c r="Y168" i="2"/>
  <c r="W337" i="2"/>
  <c r="AC944" i="2"/>
  <c r="AC470" i="2"/>
  <c r="W714" i="2"/>
  <c r="W569" i="2"/>
  <c r="X580" i="2"/>
  <c r="X1269" i="2"/>
  <c r="AC995" i="2"/>
  <c r="X61" i="2"/>
  <c r="Y10" i="2"/>
  <c r="X146" i="2"/>
  <c r="Y584" i="2"/>
  <c r="W1123" i="2"/>
  <c r="AC741" i="2"/>
  <c r="AC260" i="2"/>
  <c r="AC736" i="2"/>
  <c r="AC102" i="2"/>
  <c r="Y261" i="2"/>
  <c r="Y321" i="2"/>
  <c r="X22" i="2"/>
  <c r="W16" i="2"/>
  <c r="X51" i="2"/>
  <c r="Y895" i="2"/>
  <c r="X180" i="2"/>
  <c r="W87" i="2"/>
  <c r="W473" i="2"/>
  <c r="W374" i="2"/>
  <c r="Y187" i="2"/>
  <c r="W671" i="2"/>
  <c r="Y277" i="2"/>
  <c r="AC177" i="2"/>
  <c r="X80" i="2"/>
  <c r="Y80" i="2"/>
  <c r="AC272" i="2"/>
  <c r="Y134" i="2"/>
  <c r="AC76" i="2"/>
  <c r="Y380" i="2"/>
  <c r="Y420" i="2"/>
  <c r="Y418" i="2"/>
  <c r="W153" i="2"/>
  <c r="AC385" i="2"/>
  <c r="W477" i="2"/>
  <c r="W970" i="2"/>
  <c r="Y777" i="2"/>
  <c r="X887" i="2"/>
  <c r="Y274" i="2"/>
  <c r="W603" i="2"/>
  <c r="Y1332" i="2"/>
  <c r="X830" i="2"/>
  <c r="W297" i="2"/>
  <c r="Y1220" i="2"/>
  <c r="AC241" i="2"/>
  <c r="X456" i="2"/>
  <c r="Y672" i="2"/>
  <c r="AC482" i="2"/>
  <c r="W452" i="2"/>
  <c r="V1458" i="2"/>
  <c r="AC321" i="2"/>
  <c r="W116" i="2"/>
  <c r="X828" i="2"/>
  <c r="W379" i="2"/>
  <c r="W570" i="2"/>
  <c r="X1219" i="2"/>
  <c r="X19" i="2"/>
  <c r="Y494" i="2"/>
  <c r="X281" i="2"/>
  <c r="Y334" i="2"/>
  <c r="X167" i="2"/>
  <c r="AC34" i="2"/>
  <c r="Y311" i="2"/>
  <c r="Y23" i="2"/>
  <c r="W449" i="2"/>
  <c r="Y428" i="2"/>
  <c r="X231" i="2"/>
  <c r="X592" i="2"/>
  <c r="Y402" i="2"/>
  <c r="W1305" i="2"/>
  <c r="X1024" i="2"/>
  <c r="Y699" i="2"/>
  <c r="AC917" i="2"/>
  <c r="X54" i="2"/>
  <c r="W1263" i="2"/>
  <c r="AC220" i="2"/>
  <c r="W997" i="2"/>
  <c r="X730" i="2"/>
  <c r="X1490" i="2"/>
  <c r="Y54" i="2"/>
  <c r="AC408" i="2"/>
  <c r="X547" i="2"/>
  <c r="W346" i="2"/>
  <c r="X742" i="2"/>
  <c r="AC812" i="2"/>
  <c r="W37" i="2"/>
  <c r="X93" i="2"/>
  <c r="X138" i="2"/>
  <c r="W366" i="2"/>
  <c r="AC1097" i="2"/>
  <c r="Y167" i="2"/>
  <c r="AC734" i="2"/>
  <c r="X1498" i="2"/>
  <c r="Y500" i="2"/>
  <c r="X367" i="2"/>
  <c r="AC880" i="2"/>
  <c r="AC541" i="2"/>
  <c r="Y462" i="2"/>
  <c r="W857" i="2"/>
  <c r="AC848" i="2"/>
  <c r="X942" i="2"/>
  <c r="W171" i="2"/>
  <c r="W478" i="2"/>
  <c r="Y1453" i="2"/>
  <c r="Y192" i="2"/>
  <c r="W167" i="2"/>
  <c r="Y313" i="2"/>
  <c r="W72" i="2"/>
  <c r="AC625" i="2"/>
  <c r="X55" i="2"/>
  <c r="Y156" i="2"/>
  <c r="W276" i="2"/>
  <c r="X912" i="2"/>
  <c r="Y451" i="2"/>
  <c r="Y439" i="2"/>
  <c r="X576" i="2"/>
  <c r="X305" i="2"/>
  <c r="AC538" i="2"/>
  <c r="X384" i="2"/>
  <c r="W593" i="2"/>
  <c r="W147" i="2"/>
  <c r="Y404" i="2"/>
  <c r="W185" i="2"/>
  <c r="W128" i="2"/>
  <c r="AC1309" i="2"/>
  <c r="Y1057" i="2"/>
  <c r="W67" i="2"/>
  <c r="Y382" i="2"/>
  <c r="AC472" i="2"/>
  <c r="Y162" i="2"/>
  <c r="AC1189" i="2"/>
  <c r="X118" i="2"/>
  <c r="W437" i="2"/>
  <c r="X419" i="2"/>
  <c r="X191" i="2"/>
  <c r="Y215" i="2"/>
  <c r="W269" i="2"/>
  <c r="X1288" i="2"/>
  <c r="W481" i="2"/>
  <c r="Y1189" i="2"/>
  <c r="X626" i="2"/>
  <c r="W623" i="2"/>
  <c r="W261" i="2"/>
  <c r="AC420" i="2"/>
  <c r="X594" i="2"/>
  <c r="Y542" i="2"/>
  <c r="W469" i="2"/>
  <c r="X150" i="2"/>
  <c r="V1428" i="2"/>
  <c r="W91" i="2"/>
  <c r="AC485" i="2"/>
  <c r="AC81" i="2"/>
  <c r="X784" i="2"/>
  <c r="Y593" i="2"/>
  <c r="Y188" i="2"/>
  <c r="X1006" i="2"/>
  <c r="Y97" i="2"/>
  <c r="Y940" i="2"/>
  <c r="AC594" i="2"/>
  <c r="X341" i="2"/>
  <c r="Y783" i="2"/>
  <c r="X373" i="2"/>
  <c r="X1030" i="2"/>
  <c r="Y66" i="2"/>
  <c r="Y725" i="2"/>
  <c r="X253" i="2"/>
  <c r="AC144" i="2"/>
  <c r="Y207" i="2"/>
  <c r="W97" i="2"/>
  <c r="W463" i="2"/>
  <c r="X122" i="2"/>
  <c r="W203" i="2"/>
  <c r="AC808" i="2"/>
  <c r="W86" i="2"/>
  <c r="Y267" i="2"/>
  <c r="W140" i="2"/>
  <c r="AC160" i="2"/>
  <c r="Y359" i="2"/>
  <c r="W331" i="2"/>
  <c r="W329" i="2"/>
  <c r="W226" i="2"/>
  <c r="X617" i="2"/>
  <c r="X86" i="2"/>
  <c r="Y889" i="2"/>
  <c r="X222" i="2"/>
  <c r="Y424" i="2"/>
  <c r="X571" i="2"/>
  <c r="W170" i="2"/>
  <c r="AC131" i="2"/>
  <c r="Y1483" i="2"/>
  <c r="AC216" i="2"/>
  <c r="AC192" i="2"/>
  <c r="X198" i="2"/>
  <c r="W9" i="2"/>
  <c r="Y362" i="2"/>
  <c r="W580" i="2"/>
  <c r="X108" i="2"/>
  <c r="X923" i="2"/>
  <c r="AC773" i="2"/>
  <c r="V1461" i="2"/>
  <c r="AC1022" i="2"/>
  <c r="X946" i="2"/>
  <c r="X7" i="2"/>
  <c r="Y1295" i="2"/>
  <c r="AC621" i="2"/>
  <c r="W599" i="2"/>
  <c r="AC93" i="2"/>
  <c r="Y63" i="2"/>
  <c r="AC262" i="2"/>
  <c r="W162" i="2"/>
  <c r="W322" i="2"/>
  <c r="Y714" i="2"/>
  <c r="W386" i="2"/>
  <c r="W123" i="2"/>
  <c r="X493" i="2"/>
  <c r="AC340" i="2"/>
  <c r="AC693" i="2"/>
  <c r="W1106" i="2"/>
  <c r="Y563" i="2"/>
  <c r="AC247" i="2"/>
  <c r="W190" i="2"/>
  <c r="Y1393" i="2"/>
  <c r="X664" i="2"/>
  <c r="X827" i="2"/>
  <c r="Y260" i="2"/>
  <c r="X603" i="2"/>
  <c r="X1068" i="2"/>
  <c r="Y26" i="2"/>
  <c r="AC683" i="2"/>
  <c r="X641" i="2"/>
  <c r="W124" i="2"/>
  <c r="Y303" i="2"/>
  <c r="Y324" i="2"/>
  <c r="Y539" i="2"/>
  <c r="AC1302" i="2"/>
  <c r="W228" i="2"/>
  <c r="W242" i="2"/>
  <c r="X215" i="2"/>
  <c r="X184" i="2"/>
  <c r="X242" i="2"/>
  <c r="Y492" i="2"/>
  <c r="Y499" i="2"/>
  <c r="AC560" i="2"/>
  <c r="W40" i="2"/>
  <c r="AC65" i="2"/>
  <c r="W347" i="2"/>
  <c r="W315" i="2"/>
  <c r="Y109" i="2"/>
  <c r="Y670" i="2"/>
  <c r="AC128" i="2"/>
  <c r="W29" i="2"/>
  <c r="W345" i="2"/>
  <c r="X251" i="2"/>
  <c r="X858" i="2"/>
  <c r="X976" i="2"/>
  <c r="W191" i="2"/>
  <c r="W512" i="2"/>
  <c r="AC529" i="2"/>
  <c r="X123" i="2"/>
  <c r="X192" i="2"/>
  <c r="Y585" i="2"/>
  <c r="W495" i="2"/>
  <c r="Y175" i="2"/>
  <c r="Y377" i="2"/>
  <c r="X40" i="2"/>
  <c r="Y139" i="2"/>
  <c r="AC324" i="2"/>
  <c r="W312" i="2"/>
  <c r="Y86" i="2"/>
  <c r="X567" i="2"/>
  <c r="AC821" i="2"/>
  <c r="Y508" i="2"/>
  <c r="Y606" i="2"/>
  <c r="Y42" i="2"/>
  <c r="AC779" i="2"/>
  <c r="AC38" i="2"/>
  <c r="AC481" i="2"/>
  <c r="X280" i="2"/>
  <c r="W482" i="2"/>
  <c r="AC588" i="2"/>
  <c r="W421" i="2"/>
  <c r="W92" i="2"/>
  <c r="Y28" i="2"/>
  <c r="X214" i="2"/>
  <c r="W263" i="2"/>
  <c r="X636" i="2"/>
  <c r="W515" i="2"/>
  <c r="X1081" i="2"/>
  <c r="AC403" i="2"/>
  <c r="Y43" i="2"/>
  <c r="Y234" i="2"/>
  <c r="AC593" i="2"/>
  <c r="W644" i="2"/>
  <c r="AC258" i="2"/>
  <c r="X514" i="2"/>
  <c r="AC136" i="2"/>
  <c r="X179" i="2"/>
  <c r="Y280" i="2"/>
  <c r="W739" i="2"/>
  <c r="X90" i="2"/>
  <c r="X152" i="2"/>
  <c r="AC377" i="2"/>
  <c r="Y892" i="2"/>
  <c r="X401" i="2"/>
  <c r="AC946" i="2"/>
  <c r="Y47" i="2"/>
  <c r="AC169" i="2"/>
  <c r="X127" i="2"/>
  <c r="Y250" i="2"/>
  <c r="W610" i="2"/>
  <c r="Y450" i="2"/>
  <c r="X112" i="2"/>
  <c r="Y95" i="2"/>
  <c r="AC50" i="2"/>
  <c r="Y919" i="2"/>
  <c r="AC524" i="2"/>
  <c r="W710" i="2"/>
  <c r="Y731" i="2"/>
  <c r="W85" i="2"/>
  <c r="Y803" i="2"/>
  <c r="AC304" i="2"/>
  <c r="W255" i="2"/>
  <c r="X464" i="2"/>
  <c r="X615" i="2"/>
  <c r="W127" i="2"/>
  <c r="X417" i="2"/>
  <c r="AC938" i="2"/>
  <c r="W806" i="2"/>
  <c r="Y814" i="2"/>
  <c r="AC964" i="2"/>
  <c r="X47" i="2"/>
  <c r="X169" i="2"/>
  <c r="W864" i="2"/>
  <c r="X1043" i="2"/>
  <c r="X148" i="2"/>
  <c r="W440" i="2"/>
  <c r="W225" i="2"/>
  <c r="AC238" i="2"/>
  <c r="W1417" i="2"/>
  <c r="AC127" i="2"/>
  <c r="AC454" i="2"/>
  <c r="Y844" i="2"/>
  <c r="Y31" i="2"/>
  <c r="W63" i="2"/>
  <c r="X772" i="2"/>
  <c r="X755" i="2"/>
  <c r="X800" i="2"/>
  <c r="X1129" i="2"/>
  <c r="W985" i="2"/>
  <c r="X515" i="2"/>
  <c r="X363" i="2"/>
  <c r="W641" i="2"/>
  <c r="X573" i="2"/>
  <c r="X313" i="2"/>
  <c r="W334" i="2"/>
  <c r="V1466" i="2"/>
  <c r="X266" i="2"/>
  <c r="AC424" i="2"/>
  <c r="X856" i="2"/>
  <c r="AC685" i="2"/>
  <c r="AC1064" i="2"/>
  <c r="W405" i="2"/>
  <c r="W736" i="2"/>
  <c r="AC168" i="2"/>
  <c r="AC558" i="2"/>
  <c r="W940" i="2"/>
  <c r="V1222" i="2"/>
  <c r="X125" i="2"/>
  <c r="AC83" i="2"/>
  <c r="Y179" i="2"/>
  <c r="W175" i="2"/>
  <c r="AC289" i="2"/>
  <c r="Y271" i="2"/>
  <c r="AC487" i="2"/>
  <c r="W294" i="2"/>
  <c r="AC628" i="2"/>
  <c r="Y252" i="2"/>
  <c r="W461" i="2"/>
  <c r="Y586" i="2"/>
  <c r="Y727" i="2"/>
  <c r="W491" i="2"/>
  <c r="W501" i="2"/>
  <c r="X45" i="2"/>
  <c r="X1210" i="2"/>
  <c r="X20" i="2"/>
  <c r="X337" i="2"/>
  <c r="Y643" i="2"/>
  <c r="W981" i="2"/>
  <c r="V68" i="2"/>
  <c r="AC69" i="2"/>
  <c r="W319" i="2"/>
  <c r="W383" i="2"/>
  <c r="Y553" i="2"/>
  <c r="X349" i="2"/>
  <c r="Y172" i="2"/>
  <c r="X503" i="2"/>
  <c r="W19" i="2"/>
  <c r="AC1011" i="2"/>
  <c r="AC854" i="2"/>
  <c r="AC5" i="2"/>
  <c r="AC205" i="2"/>
  <c r="X172" i="2"/>
  <c r="Y247" i="2"/>
  <c r="Y421" i="2"/>
  <c r="Y140" i="2"/>
  <c r="W523" i="2"/>
  <c r="Y887" i="2"/>
  <c r="AC1467" i="2"/>
  <c r="W686" i="2"/>
  <c r="AC79" i="2"/>
  <c r="AC462" i="2"/>
  <c r="AC319" i="2"/>
  <c r="Y292" i="2"/>
  <c r="X413" i="2"/>
  <c r="Y325" i="2"/>
  <c r="X861" i="2"/>
  <c r="W45" i="2"/>
  <c r="Y89" i="2"/>
  <c r="W1100" i="2"/>
  <c r="W267" i="2"/>
  <c r="W216" i="2"/>
  <c r="X293" i="2"/>
  <c r="X301" i="2"/>
  <c r="Y307" i="2"/>
  <c r="AC232" i="2"/>
  <c r="AC193" i="2"/>
  <c r="AC579" i="2"/>
  <c r="AC410" i="2"/>
  <c r="X391" i="2"/>
  <c r="X859" i="2"/>
  <c r="W25" i="2"/>
  <c r="W100" i="2"/>
  <c r="X95" i="2"/>
  <c r="AC807" i="2"/>
  <c r="AC739" i="2"/>
  <c r="W371" i="2"/>
  <c r="Y218" i="2"/>
  <c r="Y254" i="2"/>
  <c r="AC1288" i="2"/>
  <c r="Y185" i="2"/>
  <c r="W109" i="2"/>
  <c r="Y65" i="2"/>
  <c r="W834" i="2"/>
  <c r="AC206" i="2"/>
  <c r="AC332" i="2"/>
  <c r="AC66" i="2"/>
  <c r="Y190" i="2"/>
  <c r="X35" i="2"/>
  <c r="W39" i="2"/>
  <c r="AC320" i="2"/>
  <c r="W601" i="2"/>
  <c r="AC86" i="2"/>
  <c r="X369" i="2"/>
  <c r="Y899" i="2"/>
  <c r="Y512" i="2"/>
  <c r="AC576" i="2"/>
  <c r="AC757" i="2"/>
  <c r="W949" i="2"/>
  <c r="W628" i="2"/>
  <c r="W443" i="2"/>
  <c r="Y972" i="2"/>
  <c r="X300" i="2"/>
  <c r="AC398" i="2"/>
  <c r="Y872" i="2"/>
  <c r="W406" i="2"/>
  <c r="AC837" i="2"/>
  <c r="Y452" i="2"/>
  <c r="X312" i="2"/>
  <c r="Y147" i="2"/>
  <c r="AC285" i="2"/>
  <c r="AC1380" i="2"/>
  <c r="W277" i="2"/>
  <c r="AC191" i="2"/>
  <c r="Y1392" i="2"/>
  <c r="Y193" i="2"/>
  <c r="X944" i="2"/>
  <c r="AC500" i="2"/>
  <c r="AC430" i="2"/>
  <c r="W917" i="2"/>
  <c r="X141" i="2"/>
  <c r="X432" i="2"/>
  <c r="X1015" i="2"/>
  <c r="W729" i="2"/>
  <c r="X723" i="2"/>
  <c r="AC200" i="2"/>
  <c r="AC551" i="2"/>
  <c r="AC904" i="2"/>
  <c r="W35" i="2"/>
  <c r="X698" i="2"/>
  <c r="X1155" i="2"/>
  <c r="V1203" i="2"/>
  <c r="Y683" i="2"/>
  <c r="Y1105" i="2"/>
  <c r="Y37" i="2"/>
  <c r="AC35" i="2"/>
  <c r="X75" i="2"/>
  <c r="AC132" i="2"/>
  <c r="W1202" i="2"/>
  <c r="W227" i="2"/>
  <c r="AC284" i="2"/>
  <c r="V66" i="2"/>
  <c r="W71" i="2"/>
  <c r="W299" i="2"/>
  <c r="X471" i="2"/>
  <c r="AC254" i="2"/>
  <c r="AC633" i="2"/>
  <c r="AC433" i="2"/>
  <c r="X596" i="2"/>
  <c r="W557" i="2"/>
  <c r="AC484" i="2"/>
  <c r="W179" i="2"/>
  <c r="W15" i="2"/>
  <c r="Y308" i="2"/>
  <c r="X533" i="2"/>
  <c r="X448" i="2"/>
  <c r="X21" i="2"/>
  <c r="AC1328" i="2"/>
  <c r="AC401" i="2"/>
  <c r="X290" i="2"/>
  <c r="W667" i="2"/>
  <c r="Y176" i="2"/>
  <c r="X913" i="2"/>
  <c r="W709" i="2"/>
  <c r="W212" i="2"/>
  <c r="Y656" i="2"/>
  <c r="W804" i="2"/>
  <c r="W20" i="2"/>
  <c r="X451" i="2"/>
  <c r="X507" i="2"/>
  <c r="AC91" i="2"/>
  <c r="AC164" i="2"/>
  <c r="Y720" i="2"/>
  <c r="X140" i="2"/>
  <c r="X974" i="2"/>
  <c r="W111" i="2"/>
  <c r="Y216" i="2"/>
  <c r="W509" i="2"/>
  <c r="AC361" i="2"/>
  <c r="W69" i="2"/>
  <c r="X365" i="2"/>
  <c r="X311" i="2"/>
  <c r="Y595" i="2"/>
  <c r="W12" i="2"/>
  <c r="Y528" i="2"/>
  <c r="Y310" i="2"/>
  <c r="X97" i="2"/>
  <c r="AC492" i="2"/>
  <c r="W611" i="2"/>
  <c r="X84" i="2"/>
  <c r="AC156" i="2"/>
  <c r="X544" i="2"/>
  <c r="W11" i="2"/>
  <c r="W102" i="2"/>
  <c r="Y871" i="2"/>
  <c r="Y809" i="2"/>
  <c r="X505" i="2"/>
  <c r="Y367" i="2"/>
  <c r="Y90" i="2"/>
  <c r="W922" i="2"/>
  <c r="AC82" i="2"/>
  <c r="W837" i="2"/>
  <c r="X229" i="2"/>
  <c r="X60" i="2"/>
  <c r="W98" i="2"/>
  <c r="AC97" i="2"/>
  <c r="Y898" i="2"/>
  <c r="W485" i="2"/>
  <c r="Y259" i="2"/>
  <c r="W732" i="2"/>
  <c r="W355" i="2"/>
  <c r="X524" i="2"/>
  <c r="X469" i="2"/>
  <c r="Y715" i="2"/>
  <c r="X339" i="2"/>
  <c r="W200" i="2"/>
  <c r="X938" i="2"/>
  <c r="W755" i="2"/>
  <c r="AC1088" i="2"/>
  <c r="Y463" i="2"/>
  <c r="Y425" i="2"/>
  <c r="W1191" i="2"/>
  <c r="AC342" i="2"/>
  <c r="W480" i="2"/>
  <c r="X893" i="2"/>
  <c r="X672" i="2"/>
  <c r="X905" i="2"/>
  <c r="W670" i="2"/>
  <c r="W657" i="2"/>
  <c r="Y159" i="2"/>
  <c r="AC215" i="2"/>
  <c r="AC331" i="2"/>
  <c r="Y474" i="2"/>
  <c r="AC190" i="2"/>
  <c r="X295" i="2"/>
  <c r="Y75" i="2"/>
  <c r="W419" i="2"/>
  <c r="AC461" i="2"/>
  <c r="X1141" i="2"/>
  <c r="X1022" i="2"/>
  <c r="W677" i="2"/>
  <c r="W354" i="2"/>
  <c r="Y505" i="2"/>
  <c r="AC141" i="2"/>
  <c r="X13" i="2"/>
  <c r="AC354" i="2"/>
  <c r="Y893" i="2"/>
  <c r="AC951" i="2"/>
  <c r="Y531" i="2"/>
  <c r="Y164" i="2"/>
  <c r="Y684" i="2"/>
  <c r="V1434" i="2"/>
  <c r="W220" i="2"/>
  <c r="X725" i="2"/>
  <c r="X178" i="2"/>
  <c r="AC264" i="2"/>
  <c r="W8" i="2"/>
  <c r="X85" i="2"/>
  <c r="V5" i="2"/>
  <c r="Y248" i="2"/>
  <c r="W152" i="2"/>
  <c r="W459" i="2"/>
  <c r="Y265" i="2"/>
  <c r="W17" i="2"/>
  <c r="W439" i="2"/>
  <c r="Y128" i="2"/>
  <c r="W5" i="2"/>
  <c r="AC892" i="2"/>
  <c r="W629" i="2"/>
  <c r="Y1264" i="2"/>
  <c r="X96" i="2"/>
  <c r="W94" i="2"/>
  <c r="X416" i="2"/>
  <c r="AC54" i="2"/>
  <c r="X160" i="2"/>
  <c r="X100" i="2"/>
  <c r="W182" i="2"/>
  <c r="Y343" i="2"/>
  <c r="X867" i="2"/>
  <c r="AC142" i="2"/>
  <c r="AC1452" i="2"/>
  <c r="Y331" i="2"/>
  <c r="Y555" i="2"/>
  <c r="AC677" i="2"/>
  <c r="W280" i="2"/>
  <c r="W398" i="2"/>
  <c r="Y151" i="2"/>
  <c r="Y442" i="2"/>
  <c r="Y394" i="2"/>
  <c r="W435" i="2"/>
  <c r="W585" i="2"/>
  <c r="AC368" i="2"/>
  <c r="Y659" i="2"/>
  <c r="X79" i="2"/>
  <c r="W23" i="2"/>
  <c r="W392" i="2"/>
  <c r="W632" i="2"/>
  <c r="W282" i="2"/>
  <c r="Y519" i="2"/>
  <c r="AC376" i="2"/>
  <c r="Y750" i="2"/>
  <c r="X572" i="2"/>
  <c r="Y618" i="2"/>
  <c r="Y150" i="2"/>
  <c r="AC94" i="2"/>
  <c r="V69" i="2"/>
  <c r="W715" i="2"/>
  <c r="X483" i="2"/>
  <c r="AC1297" i="2"/>
  <c r="W987" i="2"/>
  <c r="AC494" i="2"/>
  <c r="X383" i="2"/>
  <c r="Y411" i="2"/>
  <c r="AC22" i="2"/>
  <c r="Y833" i="2"/>
  <c r="W148" i="2"/>
  <c r="AC129" i="2"/>
  <c r="X611" i="2"/>
  <c r="X428" i="2"/>
  <c r="X805" i="2"/>
  <c r="Y825" i="2"/>
  <c r="AC1048" i="2"/>
  <c r="W324" i="2"/>
  <c r="Y1114" i="2"/>
  <c r="W30" i="2"/>
  <c r="Y577" i="2"/>
  <c r="AC372" i="2"/>
  <c r="Y1488" i="2"/>
  <c r="W1059" i="2"/>
  <c r="AC399" i="2"/>
  <c r="W889" i="2"/>
  <c r="W625" i="2"/>
  <c r="X362" i="2"/>
  <c r="AC40" i="2"/>
  <c r="X1096" i="2"/>
  <c r="AC388" i="2"/>
  <c r="W912" i="2"/>
  <c r="X91" i="2"/>
  <c r="X1035" i="2"/>
  <c r="W1317" i="2"/>
  <c r="W173" i="2"/>
  <c r="X111" i="2"/>
  <c r="W1236" i="2"/>
  <c r="W946" i="2"/>
  <c r="W597" i="2"/>
  <c r="AC607" i="2"/>
  <c r="AC669" i="2"/>
  <c r="Y661" i="2"/>
  <c r="AC921" i="2"/>
  <c r="AC932" i="2"/>
  <c r="Y788" i="2"/>
  <c r="X347" i="2"/>
  <c r="V166" i="2"/>
  <c r="W32" i="2"/>
  <c r="X12" i="2"/>
  <c r="Y454" i="2"/>
  <c r="W108" i="2"/>
  <c r="AC171" i="2"/>
  <c r="Y286" i="2"/>
  <c r="Y236" i="2"/>
  <c r="Y1032" i="2"/>
  <c r="X668" i="2"/>
  <c r="AC1087" i="2"/>
  <c r="W598" i="2"/>
  <c r="AC583" i="2"/>
  <c r="Y35" i="2"/>
  <c r="W363" i="2"/>
  <c r="AC830" i="2"/>
  <c r="X291" i="2"/>
  <c r="AC214" i="2"/>
  <c r="X335" i="2"/>
  <c r="Y391" i="2"/>
  <c r="V64" i="2"/>
  <c r="Y799" i="2"/>
  <c r="W1219" i="2"/>
  <c r="Y94" i="2"/>
  <c r="Y336" i="2"/>
  <c r="Y82" i="2"/>
  <c r="Y113" i="2"/>
  <c r="AC308" i="2"/>
  <c r="W224" i="2"/>
  <c r="Y293" i="2"/>
  <c r="Y78" i="2"/>
  <c r="Y740" i="2"/>
  <c r="AC394" i="2"/>
  <c r="X271" i="2"/>
  <c r="Y117" i="2"/>
  <c r="X400" i="2"/>
  <c r="AC584" i="2"/>
  <c r="Y530" i="2"/>
  <c r="X397" i="2"/>
  <c r="W304" i="2"/>
  <c r="W28" i="2"/>
  <c r="Y304" i="2"/>
  <c r="W395" i="2"/>
  <c r="Y387" i="2"/>
  <c r="W451" i="2"/>
  <c r="W177" i="2"/>
  <c r="X106" i="2"/>
  <c r="AC77" i="2"/>
  <c r="W1391" i="2"/>
  <c r="AC71" i="2"/>
  <c r="AC184" i="2"/>
  <c r="Y273" i="2"/>
  <c r="Y1451" i="2"/>
  <c r="Y121" i="2"/>
  <c r="AC95" i="2"/>
  <c r="W223" i="2"/>
  <c r="Y682" i="2"/>
  <c r="Y268" i="2"/>
  <c r="W244" i="2"/>
  <c r="AC980" i="2"/>
  <c r="X716" i="2"/>
  <c r="AC364" i="2"/>
  <c r="AC333" i="2"/>
  <c r="W292" i="2"/>
  <c r="W73" i="2"/>
  <c r="Y923" i="2"/>
  <c r="Y1142" i="2"/>
  <c r="W235" i="2"/>
  <c r="W650" i="2"/>
  <c r="W577" i="2"/>
  <c r="W1205" i="2"/>
  <c r="W643" i="2"/>
  <c r="Y596" i="2"/>
  <c r="W873" i="2"/>
  <c r="X37" i="2"/>
  <c r="V1435" i="2"/>
  <c r="Y562" i="2"/>
  <c r="W96" i="2"/>
  <c r="W6" i="2"/>
  <c r="X721" i="2"/>
  <c r="W353" i="2"/>
  <c r="W848" i="2"/>
  <c r="Y551" i="2"/>
  <c r="AC766" i="2"/>
  <c r="AC645" i="2"/>
  <c r="Y546" i="2"/>
  <c r="AC982" i="2"/>
  <c r="W604" i="2"/>
  <c r="W339" i="2"/>
  <c r="Y20" i="2"/>
  <c r="X1301" i="2"/>
  <c r="X620" i="2"/>
  <c r="AC149" i="2"/>
  <c r="V1179" i="2"/>
  <c r="W807" i="2"/>
  <c r="Y605" i="2"/>
  <c r="X512" i="2"/>
  <c r="W358" i="2"/>
  <c r="X539" i="2"/>
  <c r="AC337" i="2"/>
  <c r="AC43" i="2"/>
  <c r="X155" i="2"/>
  <c r="Y356" i="2"/>
  <c r="Y564" i="2"/>
  <c r="X195" i="2"/>
  <c r="V1271" i="2"/>
  <c r="W275" i="2"/>
  <c r="W415" i="2"/>
  <c r="X1242" i="2"/>
  <c r="W172" i="2"/>
  <c r="X740" i="2"/>
  <c r="W539" i="2"/>
  <c r="Y34" i="2"/>
  <c r="W132" i="2"/>
  <c r="X63" i="2"/>
  <c r="Y440" i="2"/>
  <c r="AC647" i="2"/>
  <c r="X182" i="2"/>
  <c r="X708" i="2"/>
  <c r="Y348" i="2"/>
  <c r="Y556" i="2"/>
  <c r="AC732" i="2"/>
  <c r="Y968" i="2"/>
  <c r="W505" i="2"/>
  <c r="W118" i="2"/>
  <c r="X221" i="2"/>
  <c r="X837" i="2"/>
  <c r="W559" i="2"/>
  <c r="X403" i="2"/>
  <c r="Y116" i="2"/>
  <c r="Y318" i="2"/>
  <c r="Y719" i="2"/>
  <c r="AC219" i="2"/>
  <c r="AC469" i="2"/>
  <c r="W207" i="2"/>
  <c r="W627" i="2"/>
  <c r="Y112" i="2"/>
  <c r="AC198" i="2"/>
  <c r="Y602" i="2"/>
  <c r="X92" i="2"/>
  <c r="AC19" i="2"/>
  <c r="AC336" i="2"/>
  <c r="W174" i="2"/>
  <c r="AC100" i="2"/>
  <c r="W249" i="2"/>
  <c r="X628" i="2"/>
  <c r="W445" i="2"/>
  <c r="AC426" i="2"/>
  <c r="AC414" i="2"/>
  <c r="X676" i="2"/>
  <c r="AC1413" i="2"/>
  <c r="Y29" i="2"/>
  <c r="Y517" i="2"/>
  <c r="W712" i="2"/>
  <c r="X427" i="2"/>
  <c r="Y776" i="2"/>
  <c r="AC570" i="2"/>
  <c r="Y258" i="2"/>
  <c r="W157" i="2"/>
  <c r="X627" i="2"/>
  <c r="W1090" i="2"/>
  <c r="W168" i="2"/>
  <c r="AC750" i="2"/>
  <c r="Y253" i="2"/>
  <c r="X961" i="2"/>
  <c r="W336" i="2"/>
  <c r="W520" i="2"/>
  <c r="AC545" i="2"/>
  <c r="AC661" i="2"/>
  <c r="AC569" i="2"/>
  <c r="Y395" i="2"/>
  <c r="X50" i="2"/>
  <c r="W844" i="2"/>
  <c r="X402" i="2"/>
  <c r="Y613" i="2"/>
  <c r="Y91" i="2"/>
  <c r="Y416" i="2"/>
  <c r="AC279" i="2"/>
  <c r="AC70" i="2"/>
  <c r="X430" i="2"/>
  <c r="W1109" i="2"/>
  <c r="Y212" i="2"/>
  <c r="Y744" i="2"/>
  <c r="AC753" i="2"/>
  <c r="X637" i="2"/>
  <c r="W42" i="2"/>
  <c r="X778" i="2"/>
  <c r="W503" i="2"/>
  <c r="X72" i="2"/>
  <c r="X756" i="2"/>
  <c r="W696" i="2"/>
  <c r="X1263" i="2"/>
  <c r="X458" i="2"/>
  <c r="Y329" i="2"/>
  <c r="X519" i="2"/>
  <c r="Y1096" i="2"/>
  <c r="W4" i="2"/>
  <c r="W937" i="2"/>
  <c r="X621" i="2"/>
  <c r="Y521" i="2"/>
  <c r="Y357" i="2"/>
  <c r="AC1361" i="2"/>
  <c r="X302" i="2"/>
  <c r="X44" i="2"/>
  <c r="W1154" i="2"/>
  <c r="AC360" i="2"/>
  <c r="X825" i="2"/>
  <c r="W468" i="2"/>
  <c r="X136" i="2"/>
  <c r="W117" i="2"/>
  <c r="W719" i="2"/>
  <c r="X200" i="2"/>
  <c r="W60" i="2"/>
  <c r="Y68" i="2"/>
  <c r="W504" i="2"/>
  <c r="Y214" i="2"/>
  <c r="AC152" i="2"/>
  <c r="AC16" i="2"/>
  <c r="X415" i="2"/>
  <c r="AC597" i="2"/>
  <c r="AC655" i="2"/>
  <c r="AC23" i="2"/>
  <c r="W273" i="2"/>
  <c r="AC513" i="2"/>
  <c r="AC180" i="2"/>
  <c r="X929" i="2"/>
  <c r="W258" i="2"/>
  <c r="AC769" i="2"/>
  <c r="W548" i="2"/>
  <c r="X213" i="2"/>
  <c r="Y350" i="2"/>
  <c r="W101" i="2"/>
  <c r="W752" i="2"/>
  <c r="W99" i="2"/>
  <c r="W344" i="2"/>
  <c r="AC182" i="2"/>
  <c r="X256" i="2"/>
  <c r="Y414" i="2"/>
  <c r="Y71" i="2"/>
  <c r="W33" i="2"/>
  <c r="AC46" i="2"/>
  <c r="X65" i="2"/>
  <c r="AC334" i="2"/>
  <c r="Y296" i="2"/>
  <c r="W163" i="2"/>
  <c r="AC497" i="2"/>
  <c r="W555" i="2"/>
  <c r="W18" i="2"/>
  <c r="X46" i="2"/>
  <c r="X901" i="2"/>
  <c r="W411" i="2"/>
  <c r="AC244" i="2"/>
  <c r="W189" i="2"/>
  <c r="W616" i="2"/>
  <c r="X284" i="2"/>
  <c r="W364" i="2"/>
  <c r="AC400" i="2"/>
  <c r="AC362" i="2"/>
  <c r="W10" i="2"/>
  <c r="AC33" i="2"/>
  <c r="X726" i="2"/>
  <c r="AC601" i="2"/>
  <c r="Y580" i="2"/>
  <c r="AC1140" i="2"/>
  <c r="X104" i="2"/>
  <c r="X42" i="2"/>
  <c r="Y708" i="2"/>
  <c r="Y16" i="2"/>
  <c r="Y154" i="2"/>
  <c r="AC616" i="2"/>
  <c r="Y897" i="2"/>
  <c r="X183" i="2"/>
  <c r="W270" i="2"/>
  <c r="Y182" i="2"/>
  <c r="Y242" i="2"/>
  <c r="X296" i="2"/>
  <c r="Y423" i="2"/>
  <c r="W933" i="2"/>
  <c r="AC874" i="2"/>
  <c r="AC347" i="2"/>
  <c r="W990" i="2"/>
  <c r="X643" i="2"/>
  <c r="X232" i="2"/>
  <c r="W360" i="2"/>
  <c r="AC502" i="2"/>
  <c r="AC104" i="2"/>
  <c r="Y158" i="2"/>
  <c r="X477" i="2"/>
  <c r="Y349" i="2"/>
  <c r="Y634" i="2"/>
  <c r="X176" i="2"/>
  <c r="W402" i="2"/>
  <c r="W458" i="2"/>
  <c r="X395" i="2"/>
  <c r="AC672" i="2"/>
  <c r="X70" i="2"/>
  <c r="Y355" i="2"/>
  <c r="X473" i="2"/>
  <c r="W79" i="2"/>
  <c r="Y859" i="2"/>
  <c r="X707" i="2"/>
  <c r="W474" i="2"/>
  <c r="Y739" i="2"/>
  <c r="Y412" i="2"/>
  <c r="AC449" i="2"/>
  <c r="AC179" i="2"/>
  <c r="AC165" i="2"/>
  <c r="X1061" i="2"/>
  <c r="Y241" i="2"/>
  <c r="AC318" i="2"/>
  <c r="W310" i="2"/>
  <c r="W878" i="2"/>
  <c r="W348" i="2"/>
  <c r="Y298" i="2"/>
  <c r="X101" i="2"/>
  <c r="X438" i="2"/>
  <c r="Y408" i="2"/>
  <c r="W744" i="2"/>
  <c r="Y458" i="2"/>
  <c r="W537" i="2"/>
  <c r="W516" i="2"/>
  <c r="X220" i="2"/>
  <c r="X352" i="2"/>
  <c r="AC708" i="2"/>
  <c r="Y536" i="2"/>
  <c r="W662" i="2"/>
  <c r="AC96" i="2"/>
  <c r="W809" i="2"/>
  <c r="X233" i="2"/>
  <c r="Y52" i="2"/>
  <c r="Y256" i="2"/>
  <c r="Y698" i="2"/>
  <c r="W137" i="2"/>
  <c r="X948" i="2"/>
  <c r="Y62" i="2"/>
  <c r="AC1034" i="2"/>
  <c r="X124" i="2"/>
  <c r="AC291" i="2"/>
  <c r="W791" i="2"/>
  <c r="Y630" i="2"/>
  <c r="AC78" i="2"/>
  <c r="W391" i="2"/>
  <c r="X443" i="2"/>
  <c r="AC99" i="2"/>
  <c r="AC598" i="2"/>
  <c r="AC122" i="2"/>
  <c r="W619" i="2"/>
  <c r="Y136" i="2"/>
  <c r="AC369" i="2"/>
  <c r="Y224" i="2"/>
  <c r="W377" i="2"/>
  <c r="Y570" i="2"/>
  <c r="AC47" i="2"/>
  <c r="Y22" i="2"/>
  <c r="X9" i="2"/>
  <c r="Y522" i="2"/>
  <c r="W361" i="2"/>
  <c r="AC53" i="2"/>
  <c r="W22" i="2"/>
  <c r="AC322" i="2"/>
  <c r="Y33" i="2"/>
  <c r="Y317" i="2"/>
  <c r="Y490" i="2"/>
  <c r="AC17" i="2"/>
  <c r="W313" i="2"/>
  <c r="Y582" i="2"/>
  <c r="W914" i="2"/>
  <c r="AC592" i="2"/>
  <c r="W648" i="2"/>
  <c r="Y189" i="2"/>
  <c r="AC270" i="2"/>
  <c r="AC729" i="2"/>
  <c r="X234" i="2"/>
  <c r="W159" i="2"/>
  <c r="W1073" i="2"/>
  <c r="W772" i="2"/>
  <c r="AC745" i="2"/>
  <c r="AC957" i="2"/>
  <c r="W812" i="2"/>
  <c r="AC886" i="2"/>
  <c r="Y568" i="2"/>
  <c r="Y502" i="2"/>
  <c r="AC437" i="2"/>
  <c r="Y728" i="2"/>
  <c r="W683" i="2"/>
  <c r="X535" i="2"/>
  <c r="X196" i="2"/>
  <c r="Y868" i="2"/>
  <c r="Y989" i="2"/>
  <c r="X211" i="2"/>
  <c r="X803" i="2"/>
  <c r="AC971" i="2"/>
  <c r="Y436" i="2"/>
  <c r="W131" i="2"/>
  <c r="W681" i="2"/>
  <c r="AC101" i="2"/>
  <c r="X116" i="2"/>
  <c r="X530" i="2"/>
  <c r="X670" i="2"/>
  <c r="Y146" i="2"/>
  <c r="W74" i="2"/>
  <c r="W145" i="2"/>
  <c r="AC797" i="2"/>
  <c r="X1107" i="2"/>
  <c r="W385" i="2"/>
  <c r="W359" i="2"/>
  <c r="AC187" i="2"/>
  <c r="X622" i="2"/>
  <c r="W617" i="2"/>
  <c r="AC153" i="2"/>
  <c r="X153" i="2"/>
  <c r="X409" i="2"/>
  <c r="X783" i="2"/>
  <c r="W161" i="2"/>
  <c r="Y583" i="2"/>
  <c r="W303" i="2"/>
  <c r="W605" i="2"/>
  <c r="W251" i="2"/>
  <c r="Y38" i="2"/>
  <c r="X325" i="2"/>
  <c r="Y665" i="2"/>
  <c r="AC108" i="2"/>
  <c r="Y114" i="2"/>
  <c r="W181" i="2"/>
  <c r="W594" i="2"/>
  <c r="Y376" i="2"/>
  <c r="AC121" i="2"/>
  <c r="X334" i="2"/>
  <c r="AC721" i="2"/>
  <c r="W564" i="2"/>
  <c r="Y19" i="2"/>
  <c r="Y152" i="2"/>
  <c r="W647" i="2"/>
  <c r="X189" i="2"/>
  <c r="Y600" i="2"/>
  <c r="Y246" i="2"/>
  <c r="W114" i="2"/>
  <c r="Y1003" i="2"/>
  <c r="X712" i="2"/>
  <c r="X377" i="2"/>
  <c r="W654" i="2"/>
  <c r="W730" i="2"/>
  <c r="X273" i="2"/>
  <c r="Y438" i="2"/>
  <c r="X965" i="2"/>
  <c r="W1139" i="2"/>
  <c r="Y84" i="2"/>
  <c r="Y148" i="2"/>
  <c r="W581" i="2"/>
  <c r="Y53" i="2"/>
  <c r="AC374" i="2"/>
  <c r="Y59" i="2"/>
  <c r="X87" i="2"/>
  <c r="AC623" i="2"/>
  <c r="Y64" i="2"/>
  <c r="W113" i="2"/>
  <c r="W110" i="2"/>
  <c r="V4" i="2"/>
  <c r="Y314" i="2"/>
  <c r="Y363" i="2"/>
  <c r="X455" i="2"/>
  <c r="Y153" i="2"/>
  <c r="Y496" i="2"/>
  <c r="Y226" i="2"/>
  <c r="W525" i="2"/>
  <c r="W1033" i="2"/>
  <c r="Y628" i="2"/>
  <c r="Y510" i="2"/>
  <c r="X226" i="2"/>
  <c r="W417" i="2"/>
  <c r="Y169" i="2"/>
  <c r="Y194" i="2"/>
  <c r="Y870" i="2"/>
  <c r="W465" i="2"/>
  <c r="Y191" i="2"/>
  <c r="AC652" i="2"/>
  <c r="W407" i="2"/>
  <c r="X204" i="2"/>
  <c r="W413" i="2"/>
  <c r="Y180" i="2"/>
  <c r="Y526" i="2"/>
  <c r="AC1084" i="2"/>
  <c r="X748" i="2"/>
  <c r="X1121" i="2"/>
  <c r="AC55" i="2"/>
  <c r="AC1144" i="2"/>
  <c r="AC380" i="2"/>
  <c r="X174" i="2"/>
  <c r="X501" i="2"/>
  <c r="W154" i="2"/>
  <c r="Y738" i="2"/>
  <c r="Y340" i="2"/>
  <c r="AC183" i="2"/>
  <c r="AC204" i="2"/>
  <c r="AC444" i="2"/>
  <c r="W293" i="2"/>
  <c r="W661" i="2"/>
  <c r="AC24" i="2"/>
  <c r="W229" i="2"/>
  <c r="AC351" i="2"/>
  <c r="X36" i="2"/>
  <c r="AC150" i="2"/>
  <c r="W380" i="2"/>
  <c r="X482" i="2"/>
  <c r="X357" i="2"/>
  <c r="W252" i="2"/>
  <c r="AC118" i="2"/>
  <c r="Y378" i="2"/>
  <c r="Y186" i="2"/>
  <c r="AC110" i="2"/>
  <c r="AC111" i="2"/>
  <c r="X249" i="2"/>
  <c r="X316" i="2"/>
  <c r="W498" i="2"/>
  <c r="X66" i="2"/>
  <c r="AC448" i="2"/>
  <c r="W1456" i="2"/>
  <c r="X549" i="2"/>
  <c r="W178" i="2"/>
  <c r="X577" i="2"/>
  <c r="W532" i="2"/>
  <c r="X16" i="2"/>
  <c r="X678" i="2"/>
  <c r="AC195" i="2"/>
  <c r="AC56" i="2"/>
  <c r="X361" i="2"/>
  <c r="X355" i="2"/>
  <c r="Y30" i="2"/>
  <c r="Y305" i="2"/>
  <c r="AC30" i="2"/>
  <c r="Y663" i="2"/>
  <c r="W618" i="2"/>
  <c r="AC1073" i="2"/>
  <c r="X1449" i="2"/>
  <c r="AC658" i="2"/>
  <c r="Y231" i="2"/>
  <c r="W372" i="2"/>
  <c r="Y249" i="2"/>
  <c r="AC465" i="2"/>
  <c r="W522" i="2"/>
  <c r="AC877" i="2"/>
  <c r="Y610" i="2"/>
  <c r="Y649" i="2"/>
  <c r="V1266" i="2"/>
  <c r="AC1077" i="2"/>
  <c r="X500" i="2"/>
  <c r="V1211" i="2"/>
  <c r="AC775" i="2"/>
  <c r="X345" i="2"/>
  <c r="Y291" i="2"/>
  <c r="Y550" i="2"/>
  <c r="W595" i="2"/>
  <c r="Y219" i="2"/>
  <c r="AC687" i="2"/>
  <c r="AC688" i="2"/>
  <c r="W1332" i="2"/>
  <c r="X217" i="2"/>
  <c r="X379" i="2"/>
  <c r="Y132" i="2"/>
  <c r="Y1017" i="2"/>
  <c r="Y1153" i="2"/>
  <c r="X188" i="2"/>
  <c r="X634" i="2"/>
  <c r="W726" i="2"/>
  <c r="W193" i="2"/>
  <c r="Y534" i="2"/>
  <c r="W243" i="2"/>
  <c r="X277" i="2"/>
  <c r="AC166" i="2"/>
  <c r="AC432" i="2"/>
  <c r="W693" i="2"/>
  <c r="Y184" i="2"/>
  <c r="AC697" i="2"/>
  <c r="AC855" i="2"/>
  <c r="X190" i="2"/>
  <c r="Y67" i="2"/>
  <c r="W342" i="2"/>
  <c r="AC112" i="2"/>
  <c r="AC516" i="2"/>
  <c r="X886" i="2"/>
  <c r="AC952" i="2"/>
  <c r="X43" i="2"/>
  <c r="AC443" i="2"/>
  <c r="W253" i="2"/>
  <c r="AC546" i="2"/>
  <c r="X239" i="2"/>
  <c r="X194" i="2"/>
  <c r="Y388" i="2"/>
  <c r="X216" i="2"/>
  <c r="X69" i="2"/>
  <c r="AC566" i="2"/>
  <c r="X981" i="2"/>
  <c r="Y603" i="2"/>
  <c r="Y473" i="2"/>
  <c r="AC145" i="2"/>
  <c r="AC1160" i="2"/>
  <c r="X173" i="2"/>
  <c r="Y934" i="2"/>
  <c r="Y295" i="2"/>
  <c r="AC250" i="2"/>
  <c r="W222" i="2"/>
  <c r="W701" i="2"/>
  <c r="W309" i="2"/>
  <c r="Y588" i="2"/>
  <c r="X873" i="2"/>
  <c r="W562" i="2"/>
  <c r="AC956" i="2"/>
  <c r="W500" i="2"/>
  <c r="AC119" i="2"/>
  <c r="W980" i="2"/>
  <c r="AC906" i="2"/>
  <c r="W138" i="2"/>
  <c r="Y514" i="2"/>
  <c r="Y315" i="2"/>
  <c r="W221" i="2"/>
  <c r="W55" i="2"/>
  <c r="X421" i="2"/>
  <c r="W328" i="2"/>
  <c r="AC782" i="2"/>
  <c r="W448" i="2"/>
  <c r="Y515" i="2"/>
  <c r="Y432" i="2"/>
  <c r="AC842" i="2"/>
  <c r="AC447" i="2"/>
  <c r="X625" i="2"/>
  <c r="W901" i="2"/>
  <c r="AC223" i="2"/>
  <c r="AC88" i="2"/>
  <c r="X315" i="2"/>
  <c r="Y636" i="2"/>
  <c r="Y627" i="2"/>
  <c r="AC574" i="2"/>
  <c r="W48" i="2"/>
  <c r="AC689" i="2"/>
  <c r="Y263" i="2"/>
  <c r="X8" i="2"/>
  <c r="Y854" i="2"/>
  <c r="W233" i="2"/>
  <c r="Y470" i="2"/>
  <c r="X28" i="2"/>
  <c r="Y239" i="2"/>
  <c r="W738" i="2"/>
  <c r="X331" i="2"/>
  <c r="X30" i="2"/>
  <c r="X462" i="2"/>
  <c r="AC274" i="2"/>
  <c r="Y178" i="2"/>
  <c r="Y170" i="2"/>
  <c r="Y368" i="2"/>
  <c r="W290" i="2"/>
  <c r="X652" i="2"/>
  <c r="Y283" i="2"/>
  <c r="AC282" i="2"/>
  <c r="W888" i="2"/>
  <c r="Y345" i="2"/>
  <c r="W41" i="2"/>
  <c r="AC147" i="2"/>
  <c r="Y206" i="2"/>
  <c r="Y650" i="2"/>
  <c r="Y199" i="2"/>
  <c r="W135" i="2"/>
  <c r="Y407" i="2"/>
  <c r="X454" i="2"/>
  <c r="X299" i="2"/>
  <c r="W547" i="2"/>
  <c r="Y174" i="2"/>
  <c r="Y344" i="2"/>
  <c r="Y498" i="2"/>
  <c r="AC257" i="2"/>
  <c r="W64" i="2"/>
  <c r="W125" i="2"/>
  <c r="Y692" i="2"/>
  <c r="AC640" i="2"/>
  <c r="Y88" i="2"/>
  <c r="Y166" i="2"/>
  <c r="Y467" i="2"/>
  <c r="X920" i="2"/>
  <c r="W456" i="2"/>
  <c r="X407" i="2"/>
  <c r="AC163" i="2"/>
  <c r="AC328" i="2"/>
  <c r="AC618" i="2"/>
  <c r="Y691" i="2"/>
  <c r="W400" i="2"/>
  <c r="X1179" i="2"/>
  <c r="Y1053" i="2"/>
  <c r="W197" i="2"/>
  <c r="X110" i="2"/>
  <c r="V70" i="2"/>
  <c r="V168" i="2"/>
  <c r="AC9" i="2"/>
  <c r="AC8" i="2"/>
  <c r="AC10" i="2"/>
  <c r="AC11" i="2"/>
  <c r="AC12" i="2"/>
  <c r="AC13" i="2"/>
  <c r="AC7" i="2"/>
  <c r="V7" i="2"/>
  <c r="V9" i="2"/>
  <c r="V6" i="2"/>
  <c r="V8" i="2"/>
  <c r="B7" i="7" l="1"/>
  <c r="BT9" i="1"/>
  <c r="D13" i="2"/>
  <c r="B14" i="1"/>
  <c r="U8" i="2"/>
  <c r="U1211" i="2"/>
  <c r="U1266" i="2"/>
  <c r="U7" i="2"/>
  <c r="U4" i="2"/>
  <c r="U1271" i="2"/>
  <c r="U1179" i="2"/>
  <c r="U1435" i="2"/>
  <c r="U64" i="2"/>
  <c r="U166" i="2"/>
  <c r="U69" i="2"/>
  <c r="U5" i="2"/>
  <c r="U1434" i="2"/>
  <c r="U66" i="2"/>
  <c r="U1203" i="2"/>
  <c r="U68" i="2"/>
  <c r="U1222" i="2"/>
  <c r="U1466" i="2"/>
  <c r="U1461" i="2"/>
  <c r="U1428" i="2"/>
  <c r="U1458" i="2"/>
  <c r="U164" i="2"/>
  <c r="U67" i="2"/>
  <c r="U6" i="2"/>
  <c r="U167" i="2"/>
  <c r="U1202" i="2"/>
  <c r="U1329" i="2"/>
  <c r="U1287" i="2"/>
  <c r="U1290" i="2"/>
  <c r="U1448" i="2"/>
  <c r="U1462" i="2"/>
  <c r="U1454" i="2"/>
  <c r="U1388" i="2"/>
  <c r="U1486" i="2"/>
  <c r="U1214" i="2"/>
  <c r="U1183" i="2"/>
  <c r="U1164" i="2"/>
  <c r="U1234" i="2"/>
  <c r="U65" i="2"/>
  <c r="U1260" i="2"/>
  <c r="U1417" i="2"/>
  <c r="U1425" i="2"/>
  <c r="U1412" i="2"/>
  <c r="U1281" i="2"/>
  <c r="U1450" i="2"/>
  <c r="U1399" i="2"/>
  <c r="U1177" i="2"/>
  <c r="U1377" i="2"/>
  <c r="U165" i="2"/>
  <c r="U1302" i="2"/>
  <c r="U1288" i="2"/>
  <c r="U1340" i="2"/>
  <c r="U1463" i="2"/>
  <c r="U1192" i="2"/>
  <c r="U1261" i="2"/>
  <c r="U1299" i="2"/>
  <c r="U1335" i="2"/>
  <c r="U1184" i="2"/>
  <c r="U1205" i="2"/>
  <c r="U1208" i="2"/>
  <c r="U1315" i="2"/>
  <c r="U1311" i="2"/>
  <c r="U1398" i="2"/>
  <c r="U1332" i="2"/>
  <c r="U1351" i="2"/>
  <c r="U1483" i="2"/>
  <c r="U1245" i="2"/>
  <c r="U1174" i="2"/>
  <c r="U1195" i="2"/>
  <c r="U1310" i="2"/>
  <c r="U1485" i="2"/>
  <c r="U1194" i="2"/>
  <c r="U1221" i="2"/>
  <c r="U1331" i="2"/>
  <c r="U1319" i="2"/>
  <c r="U1488" i="2"/>
  <c r="U1352" i="2"/>
  <c r="U1386" i="2"/>
  <c r="U1190" i="2"/>
  <c r="U1215" i="2"/>
  <c r="U1442" i="2"/>
  <c r="U1244" i="2"/>
  <c r="U1373" i="2"/>
  <c r="U1265" i="2"/>
  <c r="U1187" i="2"/>
  <c r="U1497" i="2"/>
  <c r="U1256" i="2"/>
  <c r="U1323" i="2"/>
  <c r="U1227" i="2"/>
  <c r="U1297" i="2"/>
  <c r="U1230" i="2"/>
  <c r="U1349" i="2"/>
  <c r="U1426" i="2"/>
  <c r="U1419" i="2"/>
  <c r="U1346" i="2"/>
  <c r="U1243" i="2"/>
  <c r="U1390" i="2"/>
  <c r="U1316" i="2"/>
  <c r="U1210" i="2"/>
  <c r="U1228" i="2"/>
  <c r="U1314" i="2"/>
  <c r="U1370" i="2"/>
  <c r="U1270" i="2"/>
  <c r="U1345" i="2"/>
  <c r="U1414" i="2"/>
  <c r="U1337" i="2"/>
  <c r="U1267" i="2"/>
  <c r="U1374" i="2"/>
  <c r="U1169" i="2"/>
  <c r="U1400" i="2"/>
  <c r="U1233" i="2"/>
  <c r="U1436" i="2"/>
  <c r="U1359" i="2"/>
  <c r="U1362" i="2"/>
  <c r="U1365" i="2"/>
  <c r="U1383" i="2"/>
  <c r="U1188" i="2"/>
  <c r="U1253" i="2"/>
  <c r="U1298" i="2"/>
  <c r="U1498" i="2"/>
  <c r="U1367" i="2"/>
  <c r="U1493" i="2"/>
  <c r="U1181" i="2"/>
  <c r="U1306" i="2"/>
  <c r="U1241" i="2"/>
  <c r="U1284" i="2"/>
  <c r="U1385" i="2"/>
  <c r="U1446" i="2"/>
  <c r="U1312" i="2"/>
  <c r="U1467" i="2"/>
  <c r="U1279" i="2"/>
  <c r="U1465" i="2"/>
  <c r="U1447" i="2"/>
  <c r="U1496" i="2"/>
  <c r="U1471" i="2"/>
  <c r="U1432" i="2"/>
  <c r="U1280" i="2"/>
  <c r="U1274" i="2"/>
  <c r="U1226" i="2"/>
  <c r="U1372" i="2"/>
  <c r="U1223" i="2"/>
  <c r="U1402" i="2"/>
  <c r="U1445" i="2"/>
  <c r="U1238" i="2"/>
  <c r="U1252" i="2"/>
  <c r="U1246" i="2"/>
  <c r="U1449" i="2"/>
  <c r="U1220" i="2"/>
  <c r="U1189" i="2"/>
  <c r="U1440" i="2"/>
  <c r="U1209" i="2"/>
  <c r="U1364" i="2"/>
  <c r="U1452" i="2"/>
  <c r="U1403" i="2"/>
  <c r="U1213" i="2"/>
  <c r="U1459" i="2"/>
  <c r="U1326" i="2"/>
  <c r="U1477" i="2"/>
  <c r="U1424" i="2"/>
  <c r="U1258" i="2"/>
  <c r="U1451" i="2"/>
  <c r="U1180" i="2"/>
  <c r="U1460" i="2"/>
  <c r="U1206" i="2"/>
  <c r="U1368" i="2"/>
  <c r="U1175" i="2"/>
  <c r="U1275" i="2"/>
  <c r="U1201" i="2"/>
  <c r="U1409" i="2"/>
  <c r="U1430" i="2"/>
  <c r="U1239" i="2"/>
  <c r="U1397" i="2"/>
  <c r="U1285" i="2"/>
  <c r="U1292" i="2"/>
  <c r="U1380" i="2"/>
  <c r="U1291" i="2"/>
  <c r="U1193" i="2"/>
  <c r="U1218" i="2"/>
  <c r="U1257" i="2"/>
  <c r="U1259" i="2"/>
  <c r="U1303" i="2"/>
  <c r="U1240" i="2"/>
  <c r="U1235" i="2"/>
  <c r="U1343" i="2"/>
  <c r="U1168" i="2"/>
  <c r="U1207" i="2"/>
  <c r="U1172" i="2"/>
  <c r="U1305" i="2"/>
  <c r="U1415" i="2"/>
  <c r="U1338" i="2"/>
  <c r="U1186" i="2"/>
  <c r="U1344" i="2"/>
  <c r="U1416" i="2"/>
  <c r="U1411" i="2"/>
  <c r="U1366" i="2"/>
  <c r="U1457" i="2"/>
  <c r="U1263" i="2"/>
  <c r="U1324" i="2"/>
  <c r="U1422" i="2"/>
  <c r="U1481" i="2"/>
  <c r="U1334" i="2"/>
  <c r="U1225" i="2"/>
  <c r="U1391" i="2"/>
  <c r="U1173" i="2"/>
  <c r="U1404" i="2"/>
  <c r="U1490" i="2"/>
  <c r="U1249" i="2"/>
  <c r="U1475" i="2"/>
  <c r="U1441" i="2"/>
  <c r="U1476" i="2"/>
  <c r="U1350" i="2"/>
  <c r="U1369" i="2"/>
  <c r="U1286" i="2"/>
  <c r="U1468" i="2"/>
  <c r="U1410" i="2"/>
  <c r="U1254" i="2"/>
  <c r="U1250" i="2"/>
  <c r="U1381" i="2"/>
  <c r="U1472" i="2"/>
  <c r="U1357" i="2"/>
  <c r="U1455" i="2"/>
  <c r="U1327" i="2"/>
  <c r="U1313" i="2"/>
  <c r="U1431" i="2"/>
  <c r="U1255" i="2"/>
  <c r="U1356" i="2"/>
  <c r="U1197" i="2"/>
  <c r="U1439" i="2"/>
  <c r="U1320" i="2"/>
  <c r="U1379" i="2"/>
  <c r="U1294" i="2"/>
  <c r="U1293" i="2"/>
  <c r="U1166" i="2"/>
  <c r="U1336" i="2"/>
  <c r="U1283" i="2"/>
  <c r="U1418" i="2"/>
  <c r="U1196" i="2"/>
  <c r="U1429" i="2"/>
  <c r="U1342" i="2"/>
  <c r="U1217" i="2"/>
  <c r="U1248" i="2"/>
  <c r="U1405" i="2"/>
  <c r="U1185" i="2"/>
  <c r="U1500" i="2"/>
  <c r="U1360" i="2"/>
  <c r="U1216" i="2"/>
  <c r="U1321" i="2"/>
  <c r="U1199" i="2"/>
  <c r="U1212" i="2"/>
  <c r="U1224" i="2"/>
  <c r="U1273" i="2"/>
  <c r="U1309" i="2"/>
  <c r="U1231" i="2"/>
  <c r="U1182" i="2"/>
  <c r="U1491" i="2"/>
  <c r="U1251" i="2"/>
  <c r="U1494" i="2"/>
  <c r="U1307" i="2"/>
  <c r="U1413" i="2"/>
  <c r="U1276" i="2"/>
  <c r="U1478" i="2"/>
  <c r="U1443" i="2"/>
  <c r="U1300" i="2"/>
  <c r="U1237" i="2"/>
  <c r="U1473" i="2"/>
  <c r="U1469" i="2"/>
  <c r="U1438" i="2"/>
  <c r="U1389" i="2"/>
  <c r="U1464" i="2"/>
  <c r="U1232" i="2"/>
  <c r="U1301" i="2"/>
  <c r="U1387" i="2"/>
  <c r="U1328" i="2"/>
  <c r="U1401" i="2"/>
  <c r="U1341" i="2"/>
  <c r="U1480" i="2"/>
  <c r="U1474" i="2"/>
  <c r="U1170" i="2"/>
  <c r="U1167" i="2"/>
  <c r="U1247" i="2"/>
  <c r="U1198" i="2"/>
  <c r="U1433" i="2"/>
  <c r="U1200" i="2"/>
  <c r="U1492" i="2"/>
  <c r="U1421" i="2"/>
  <c r="U1406" i="2"/>
  <c r="U1479" i="2"/>
  <c r="U1204" i="2"/>
  <c r="U1318" i="2"/>
  <c r="U1308" i="2"/>
  <c r="U1354" i="2"/>
  <c r="U1407" i="2"/>
  <c r="U1289" i="2"/>
  <c r="U1272" i="2"/>
  <c r="U1355" i="2"/>
  <c r="U1392" i="2"/>
  <c r="U1295" i="2"/>
  <c r="U1317" i="2"/>
  <c r="U1304" i="2"/>
  <c r="U1456" i="2"/>
  <c r="U1347" i="2"/>
  <c r="U1420" i="2"/>
  <c r="U1384" i="2"/>
  <c r="U1242" i="2"/>
  <c r="U1277" i="2"/>
  <c r="U1371" i="2"/>
  <c r="U1363" i="2"/>
  <c r="U1264" i="2"/>
  <c r="U1444" i="2"/>
  <c r="U1361" i="2"/>
  <c r="U1427" i="2"/>
  <c r="U1376" i="2"/>
  <c r="U1348" i="2"/>
  <c r="U1165" i="2"/>
  <c r="U1229" i="2"/>
  <c r="U1423" i="2"/>
  <c r="U1171" i="2"/>
  <c r="U1282" i="2"/>
  <c r="U1378" i="2"/>
  <c r="U1395" i="2"/>
  <c r="U1375" i="2"/>
  <c r="U1393" i="2"/>
  <c r="U1482" i="2"/>
  <c r="U1269" i="2"/>
  <c r="U1470" i="2"/>
  <c r="U1358" i="2"/>
  <c r="U1262" i="2"/>
  <c r="U1278" i="2"/>
  <c r="U1236" i="2"/>
  <c r="U1495" i="2"/>
  <c r="U1453" i="2"/>
  <c r="U1176" i="2"/>
  <c r="U1330" i="2"/>
  <c r="U1382" i="2"/>
  <c r="U1353" i="2"/>
  <c r="U1339" i="2"/>
  <c r="U1191" i="2"/>
  <c r="U1487" i="2"/>
  <c r="U1396" i="2"/>
  <c r="U1296" i="2"/>
  <c r="U1499" i="2"/>
  <c r="U1325" i="2"/>
  <c r="U1394" i="2"/>
  <c r="U1268" i="2"/>
  <c r="U1178" i="2"/>
  <c r="U1437" i="2"/>
  <c r="U1484" i="2"/>
  <c r="U1333" i="2"/>
  <c r="U1219" i="2"/>
  <c r="U1408" i="2"/>
  <c r="U1489" i="2"/>
  <c r="U1322" i="2"/>
  <c r="T9" i="2"/>
  <c r="AW9" i="1"/>
  <c r="AU7" i="7" s="1"/>
  <c r="AW70" i="1"/>
  <c r="BT70" i="1"/>
  <c r="T70" i="2" s="1"/>
  <c r="AW168" i="1"/>
  <c r="BT168" i="1"/>
  <c r="T168" i="2" s="1"/>
  <c r="U70" i="2"/>
  <c r="U9" i="2"/>
  <c r="U168" i="2"/>
  <c r="C9" i="5"/>
  <c r="E9" i="2"/>
  <c r="C70" i="5"/>
  <c r="E70" i="2"/>
  <c r="C168" i="5"/>
  <c r="E168" i="2"/>
  <c r="C10" i="1"/>
  <c r="A8" i="7" s="1"/>
  <c r="D10" i="1"/>
  <c r="D169" i="1"/>
  <c r="B170" i="1"/>
  <c r="C169" i="1"/>
  <c r="D71" i="1"/>
  <c r="B72" i="1"/>
  <c r="C71" i="1"/>
  <c r="V169" i="2"/>
  <c r="V71" i="2"/>
  <c r="V10" i="2"/>
  <c r="B8" i="7" l="1"/>
  <c r="BT10" i="1"/>
  <c r="D14" i="2"/>
  <c r="D14" i="1"/>
  <c r="B15" i="1"/>
  <c r="C14" i="1"/>
  <c r="AW169" i="1"/>
  <c r="BT169" i="1"/>
  <c r="T169" i="2" s="1"/>
  <c r="T10" i="2"/>
  <c r="AW10" i="1"/>
  <c r="AU8" i="7" s="1"/>
  <c r="AW71" i="1"/>
  <c r="BT71" i="1"/>
  <c r="T71" i="2" s="1"/>
  <c r="U71" i="2"/>
  <c r="U10" i="2"/>
  <c r="U169" i="2"/>
  <c r="C169" i="5"/>
  <c r="E169" i="2"/>
  <c r="C71" i="5"/>
  <c r="E71" i="2"/>
  <c r="B171" i="1"/>
  <c r="C170" i="1"/>
  <c r="D170" i="1"/>
  <c r="C10" i="5"/>
  <c r="E10" i="2"/>
  <c r="D72" i="1"/>
  <c r="B73" i="1"/>
  <c r="C72" i="1"/>
  <c r="D11" i="1"/>
  <c r="C11" i="1"/>
  <c r="A9" i="7" s="1"/>
  <c r="V72" i="2"/>
  <c r="V170" i="2"/>
  <c r="V11" i="2"/>
  <c r="V14" i="2"/>
  <c r="U14" i="2" l="1"/>
  <c r="A12" i="7"/>
  <c r="E14" i="2"/>
  <c r="C14" i="5"/>
  <c r="D15" i="2"/>
  <c r="B16" i="1"/>
  <c r="D15" i="1"/>
  <c r="C15" i="1"/>
  <c r="B12" i="7"/>
  <c r="BT14" i="1"/>
  <c r="T14" i="2" s="1"/>
  <c r="AW14" i="1"/>
  <c r="AU12" i="7" s="1"/>
  <c r="B9" i="7"/>
  <c r="BT11" i="1"/>
  <c r="T11" i="2" s="1"/>
  <c r="AW72" i="1"/>
  <c r="BT72" i="1"/>
  <c r="T72" i="2" s="1"/>
  <c r="AW11" i="1"/>
  <c r="AU9" i="7" s="1"/>
  <c r="AW170" i="1"/>
  <c r="BT170" i="1"/>
  <c r="T170" i="2" s="1"/>
  <c r="U170" i="2"/>
  <c r="U72" i="2"/>
  <c r="U11" i="2"/>
  <c r="C11" i="5"/>
  <c r="E11" i="2"/>
  <c r="B74" i="1"/>
  <c r="C73" i="1"/>
  <c r="D73" i="1"/>
  <c r="D12" i="1"/>
  <c r="C12" i="1"/>
  <c r="A10" i="7" s="1"/>
  <c r="C170" i="5"/>
  <c r="E170" i="2"/>
  <c r="D171" i="1"/>
  <c r="B172" i="1"/>
  <c r="C171" i="1"/>
  <c r="C72" i="5"/>
  <c r="E72" i="2"/>
  <c r="V73" i="2"/>
  <c r="V171" i="2"/>
  <c r="V12" i="2"/>
  <c r="V15" i="2"/>
  <c r="U15" i="2" l="1"/>
  <c r="A13" i="7"/>
  <c r="E15" i="2"/>
  <c r="C15" i="5"/>
  <c r="B13" i="7"/>
  <c r="BT15" i="1"/>
  <c r="T15" i="2" s="1"/>
  <c r="AW15" i="1"/>
  <c r="AU13" i="7" s="1"/>
  <c r="D16" i="2"/>
  <c r="B17" i="1"/>
  <c r="D16" i="1"/>
  <c r="C16" i="1"/>
  <c r="B10" i="7"/>
  <c r="BT12" i="1"/>
  <c r="AW171" i="1"/>
  <c r="BT171" i="1"/>
  <c r="T171" i="2" s="1"/>
  <c r="T12" i="2"/>
  <c r="AW12" i="1"/>
  <c r="AU10" i="7" s="1"/>
  <c r="AW73" i="1"/>
  <c r="BT73" i="1"/>
  <c r="T73" i="2" s="1"/>
  <c r="U73" i="2"/>
  <c r="U171" i="2"/>
  <c r="U12" i="2"/>
  <c r="C12" i="5"/>
  <c r="E12" i="2"/>
  <c r="D13" i="1"/>
  <c r="C13" i="1"/>
  <c r="A11" i="7" s="1"/>
  <c r="C73" i="5"/>
  <c r="E73" i="2"/>
  <c r="C171" i="5"/>
  <c r="E171" i="2"/>
  <c r="D172" i="1"/>
  <c r="B173" i="1"/>
  <c r="C172" i="1"/>
  <c r="B75" i="1"/>
  <c r="D74" i="1"/>
  <c r="C74" i="1"/>
  <c r="V74" i="2"/>
  <c r="V172" i="2"/>
  <c r="V13" i="2"/>
  <c r="V16" i="2"/>
  <c r="U16" i="2" l="1"/>
  <c r="A14" i="7"/>
  <c r="C16" i="5"/>
  <c r="E16" i="2"/>
  <c r="D17" i="2"/>
  <c r="B18" i="1"/>
  <c r="D17" i="1"/>
  <c r="C17" i="1"/>
  <c r="B14" i="7"/>
  <c r="BT16" i="1"/>
  <c r="T16" i="2" s="1"/>
  <c r="AW16" i="1"/>
  <c r="AU14" i="7" s="1"/>
  <c r="B11" i="7"/>
  <c r="BT13" i="1"/>
  <c r="T13" i="2" s="1"/>
  <c r="AW74" i="1"/>
  <c r="BT74" i="1"/>
  <c r="T74" i="2" s="1"/>
  <c r="AW172" i="1"/>
  <c r="BT172" i="1"/>
  <c r="T172" i="2" s="1"/>
  <c r="AW13" i="1"/>
  <c r="AU11" i="7" s="1"/>
  <c r="U13" i="2"/>
  <c r="U74" i="2"/>
  <c r="U172" i="2"/>
  <c r="C74" i="5"/>
  <c r="E74" i="2"/>
  <c r="D173" i="1"/>
  <c r="B174" i="1"/>
  <c r="C173" i="1"/>
  <c r="C172" i="5"/>
  <c r="E172" i="2"/>
  <c r="C13" i="5"/>
  <c r="E13" i="2"/>
  <c r="D75" i="1"/>
  <c r="B76" i="1"/>
  <c r="C75" i="1"/>
  <c r="V173" i="2"/>
  <c r="V75" i="2"/>
  <c r="V17" i="2"/>
  <c r="U17" i="2" l="1"/>
  <c r="A15" i="7"/>
  <c r="C17" i="5"/>
  <c r="E17" i="2"/>
  <c r="D18" i="2"/>
  <c r="B19" i="1"/>
  <c r="D18" i="1"/>
  <c r="C18" i="1"/>
  <c r="B15" i="7"/>
  <c r="AW17" i="1"/>
  <c r="AU15" i="7" s="1"/>
  <c r="BT17" i="1"/>
  <c r="T17" i="2" s="1"/>
  <c r="AW173" i="1"/>
  <c r="BT173" i="1"/>
  <c r="T173" i="2" s="1"/>
  <c r="AW75" i="1"/>
  <c r="BT75" i="1"/>
  <c r="T75" i="2" s="1"/>
  <c r="U75" i="2"/>
  <c r="U173" i="2"/>
  <c r="C75" i="5"/>
  <c r="E75" i="2"/>
  <c r="C173" i="5"/>
  <c r="E173" i="2"/>
  <c r="D76" i="1"/>
  <c r="B77" i="1"/>
  <c r="C76" i="1"/>
  <c r="B175" i="1"/>
  <c r="C174" i="1"/>
  <c r="D174" i="1"/>
  <c r="V174" i="2"/>
  <c r="V76" i="2"/>
  <c r="V18" i="2"/>
  <c r="U18" i="2" l="1"/>
  <c r="B16" i="7"/>
  <c r="BT18" i="1"/>
  <c r="T18" i="2" s="1"/>
  <c r="AW18" i="1"/>
  <c r="AU16" i="7" s="1"/>
  <c r="A16" i="7"/>
  <c r="C18" i="5"/>
  <c r="E18" i="2"/>
  <c r="D19" i="2"/>
  <c r="B20" i="1"/>
  <c r="D19" i="1"/>
  <c r="C19" i="1"/>
  <c r="AW174" i="1"/>
  <c r="BT174" i="1"/>
  <c r="T174" i="2" s="1"/>
  <c r="AW76" i="1"/>
  <c r="BT76" i="1"/>
  <c r="T76" i="2" s="1"/>
  <c r="U76" i="2"/>
  <c r="U174" i="2"/>
  <c r="D175" i="1"/>
  <c r="B176" i="1"/>
  <c r="C175" i="1"/>
  <c r="C76" i="5"/>
  <c r="E76" i="2"/>
  <c r="C174" i="5"/>
  <c r="E174" i="2"/>
  <c r="B78" i="1"/>
  <c r="C77" i="1"/>
  <c r="D77" i="1"/>
  <c r="V77" i="2"/>
  <c r="V175" i="2"/>
  <c r="V19" i="2"/>
  <c r="U19" i="2" l="1"/>
  <c r="B17" i="7"/>
  <c r="AW19" i="1"/>
  <c r="AU17" i="7" s="1"/>
  <c r="BT19" i="1"/>
  <c r="T19" i="2" s="1"/>
  <c r="A17" i="7"/>
  <c r="C19" i="5"/>
  <c r="E19" i="2"/>
  <c r="D20" i="2"/>
  <c r="B21" i="1"/>
  <c r="D20" i="1"/>
  <c r="C20" i="1"/>
  <c r="AW77" i="1"/>
  <c r="BT77" i="1"/>
  <c r="T77" i="2" s="1"/>
  <c r="AW175" i="1"/>
  <c r="BT175" i="1"/>
  <c r="T175" i="2" s="1"/>
  <c r="U175" i="2"/>
  <c r="U77" i="2"/>
  <c r="C77" i="5"/>
  <c r="E77" i="2"/>
  <c r="B79" i="1"/>
  <c r="D78" i="1"/>
  <c r="C78" i="1"/>
  <c r="C175" i="5"/>
  <c r="E175" i="2"/>
  <c r="D176" i="1"/>
  <c r="B177" i="1"/>
  <c r="C176" i="1"/>
  <c r="V78" i="2"/>
  <c r="V176" i="2"/>
  <c r="V20" i="2"/>
  <c r="U20" i="2" l="1"/>
  <c r="B18" i="7"/>
  <c r="AW20" i="1"/>
  <c r="AU18" i="7" s="1"/>
  <c r="BT20" i="1"/>
  <c r="T20" i="2" s="1"/>
  <c r="A18" i="7"/>
  <c r="C20" i="5"/>
  <c r="E20" i="2"/>
  <c r="B22" i="1"/>
  <c r="D21" i="2"/>
  <c r="D21" i="1"/>
  <c r="C21" i="1"/>
  <c r="AW176" i="1"/>
  <c r="BT176" i="1"/>
  <c r="T176" i="2" s="1"/>
  <c r="AW78" i="1"/>
  <c r="BT78" i="1"/>
  <c r="T78" i="2" s="1"/>
  <c r="U176" i="2"/>
  <c r="U78" i="2"/>
  <c r="D177" i="1"/>
  <c r="B178" i="1"/>
  <c r="C177" i="1"/>
  <c r="D79" i="1"/>
  <c r="B80" i="1"/>
  <c r="C79" i="1"/>
  <c r="C176" i="5"/>
  <c r="E176" i="2"/>
  <c r="C78" i="5"/>
  <c r="E78" i="2"/>
  <c r="V177" i="2"/>
  <c r="V79" i="2"/>
  <c r="V21" i="2"/>
  <c r="U21" i="2" l="1"/>
  <c r="A19" i="7"/>
  <c r="C21" i="5"/>
  <c r="E21" i="2"/>
  <c r="B23" i="1"/>
  <c r="D22" i="2"/>
  <c r="D22" i="1"/>
  <c r="C22" i="1"/>
  <c r="B19" i="7"/>
  <c r="AW21" i="1"/>
  <c r="AU19" i="7" s="1"/>
  <c r="BT21" i="1"/>
  <c r="T21" i="2" s="1"/>
  <c r="AW177" i="1"/>
  <c r="BT177" i="1"/>
  <c r="T177" i="2" s="1"/>
  <c r="AW79" i="1"/>
  <c r="BT79" i="1"/>
  <c r="T79" i="2" s="1"/>
  <c r="U79" i="2"/>
  <c r="U177" i="2"/>
  <c r="C79" i="5"/>
  <c r="E79" i="2"/>
  <c r="C177" i="5"/>
  <c r="E177" i="2"/>
  <c r="D80" i="1"/>
  <c r="B81" i="1"/>
  <c r="C80" i="1"/>
  <c r="B179" i="1"/>
  <c r="C178" i="1"/>
  <c r="D178" i="1"/>
  <c r="V80" i="2"/>
  <c r="V178" i="2"/>
  <c r="V22" i="2"/>
  <c r="U22" i="2" l="1"/>
  <c r="A20" i="7"/>
  <c r="E22" i="2"/>
  <c r="C22" i="5"/>
  <c r="B20" i="7"/>
  <c r="BT22" i="1"/>
  <c r="T22" i="2" s="1"/>
  <c r="AW22" i="1"/>
  <c r="AU20" i="7" s="1"/>
  <c r="D23" i="2"/>
  <c r="B24" i="1"/>
  <c r="C23" i="1"/>
  <c r="D23" i="1"/>
  <c r="AW178" i="1"/>
  <c r="BT178" i="1"/>
  <c r="T178" i="2" s="1"/>
  <c r="AW80" i="1"/>
  <c r="BT80" i="1"/>
  <c r="T80" i="2" s="1"/>
  <c r="U80" i="2"/>
  <c r="U178" i="2"/>
  <c r="C178" i="5"/>
  <c r="E178" i="2"/>
  <c r="D179" i="1"/>
  <c r="B180" i="1"/>
  <c r="C179" i="1"/>
  <c r="C80" i="5"/>
  <c r="E80" i="2"/>
  <c r="B82" i="1"/>
  <c r="C81" i="1"/>
  <c r="D81" i="1"/>
  <c r="V81" i="2"/>
  <c r="V179" i="2"/>
  <c r="V23" i="2"/>
  <c r="U23" i="2" l="1"/>
  <c r="A21" i="7"/>
  <c r="E23" i="2"/>
  <c r="C23" i="5"/>
  <c r="B21" i="7"/>
  <c r="AW23" i="1"/>
  <c r="AU21" i="7" s="1"/>
  <c r="BT23" i="1"/>
  <c r="T23" i="2" s="1"/>
  <c r="B25" i="1"/>
  <c r="D24" i="2"/>
  <c r="C24" i="1"/>
  <c r="D24" i="1"/>
  <c r="AW81" i="1"/>
  <c r="BT81" i="1"/>
  <c r="T81" i="2" s="1"/>
  <c r="AW179" i="1"/>
  <c r="BT179" i="1"/>
  <c r="T179" i="2" s="1"/>
  <c r="U179" i="2"/>
  <c r="U81" i="2"/>
  <c r="B83" i="1"/>
  <c r="D82" i="1"/>
  <c r="C82" i="1"/>
  <c r="C81" i="5"/>
  <c r="E81" i="2"/>
  <c r="C179" i="5"/>
  <c r="E179" i="2"/>
  <c r="D180" i="1"/>
  <c r="B181" i="1"/>
  <c r="C180" i="1"/>
  <c r="V82" i="2"/>
  <c r="V180" i="2"/>
  <c r="V24" i="2"/>
  <c r="U24" i="2" l="1"/>
  <c r="B22" i="7"/>
  <c r="BT24" i="1"/>
  <c r="T24" i="2" s="1"/>
  <c r="AW24" i="1"/>
  <c r="AU22" i="7" s="1"/>
  <c r="A22" i="7"/>
  <c r="C24" i="5"/>
  <c r="E24" i="2"/>
  <c r="B26" i="1"/>
  <c r="D25" i="2"/>
  <c r="D25" i="1"/>
  <c r="C25" i="1"/>
  <c r="AW180" i="1"/>
  <c r="BT180" i="1"/>
  <c r="T180" i="2" s="1"/>
  <c r="AW82" i="1"/>
  <c r="BT82" i="1"/>
  <c r="T82" i="2" s="1"/>
  <c r="U180" i="2"/>
  <c r="U82" i="2"/>
  <c r="D181" i="1"/>
  <c r="B182" i="1"/>
  <c r="C181" i="1"/>
  <c r="D83" i="1"/>
  <c r="B84" i="1"/>
  <c r="C83" i="1"/>
  <c r="C82" i="5"/>
  <c r="E82" i="2"/>
  <c r="C180" i="5"/>
  <c r="E180" i="2"/>
  <c r="V181" i="2"/>
  <c r="V83" i="2"/>
  <c r="V25" i="2"/>
  <c r="U25" i="2" l="1"/>
  <c r="A23" i="7"/>
  <c r="E25" i="2"/>
  <c r="C25" i="5"/>
  <c r="B23" i="7"/>
  <c r="AW25" i="1"/>
  <c r="AU23" i="7" s="1"/>
  <c r="BT25" i="1"/>
  <c r="T25" i="2" s="1"/>
  <c r="B27" i="1"/>
  <c r="D26" i="2"/>
  <c r="D26" i="1"/>
  <c r="C26" i="1"/>
  <c r="AW181" i="1"/>
  <c r="BT181" i="1"/>
  <c r="T181" i="2" s="1"/>
  <c r="AW83" i="1"/>
  <c r="BT83" i="1"/>
  <c r="T83" i="2" s="1"/>
  <c r="U181" i="2"/>
  <c r="U83" i="2"/>
  <c r="C83" i="5"/>
  <c r="E83" i="2"/>
  <c r="D84" i="1"/>
  <c r="B85" i="1"/>
  <c r="C84" i="1"/>
  <c r="C181" i="5"/>
  <c r="E181" i="2"/>
  <c r="B183" i="1"/>
  <c r="C182" i="1"/>
  <c r="D182" i="1"/>
  <c r="V182" i="2"/>
  <c r="V84" i="2"/>
  <c r="V26" i="2"/>
  <c r="U26" i="2" l="1"/>
  <c r="A24" i="7"/>
  <c r="C26" i="5"/>
  <c r="E26" i="2"/>
  <c r="B28" i="1"/>
  <c r="D27" i="2"/>
  <c r="C27" i="1"/>
  <c r="D27" i="1"/>
  <c r="B24" i="7"/>
  <c r="AW26" i="1"/>
  <c r="AU24" i="7" s="1"/>
  <c r="BT26" i="1"/>
  <c r="T26" i="2" s="1"/>
  <c r="AW182" i="1"/>
  <c r="BT182" i="1"/>
  <c r="T182" i="2" s="1"/>
  <c r="AW84" i="1"/>
  <c r="BT84" i="1"/>
  <c r="T84" i="2" s="1"/>
  <c r="U84" i="2"/>
  <c r="U182" i="2"/>
  <c r="B86" i="1"/>
  <c r="C85" i="1"/>
  <c r="D85" i="1"/>
  <c r="C182" i="5"/>
  <c r="E182" i="2"/>
  <c r="D183" i="1"/>
  <c r="B184" i="1"/>
  <c r="C183" i="1"/>
  <c r="C84" i="5"/>
  <c r="E84" i="2"/>
  <c r="V85" i="2"/>
  <c r="V183" i="2"/>
  <c r="V27" i="2"/>
  <c r="U27" i="2" l="1"/>
  <c r="B25" i="7"/>
  <c r="AW27" i="1"/>
  <c r="AU25" i="7" s="1"/>
  <c r="BT27" i="1"/>
  <c r="T27" i="2" s="1"/>
  <c r="B29" i="1"/>
  <c r="D28" i="2"/>
  <c r="D28" i="1"/>
  <c r="C28" i="1"/>
  <c r="A25" i="7"/>
  <c r="E27" i="2"/>
  <c r="C27" i="5"/>
  <c r="AW85" i="1"/>
  <c r="BT85" i="1"/>
  <c r="T85" i="2" s="1"/>
  <c r="AW183" i="1"/>
  <c r="BT183" i="1"/>
  <c r="T183" i="2" s="1"/>
  <c r="U85" i="2"/>
  <c r="U183" i="2"/>
  <c r="C183" i="5"/>
  <c r="E183" i="2"/>
  <c r="D184" i="1"/>
  <c r="B185" i="1"/>
  <c r="C184" i="1"/>
  <c r="B87" i="1"/>
  <c r="D86" i="1"/>
  <c r="C86" i="1"/>
  <c r="C85" i="5"/>
  <c r="E85" i="2"/>
  <c r="V86" i="2"/>
  <c r="V184" i="2"/>
  <c r="V28" i="2"/>
  <c r="U28" i="2" l="1"/>
  <c r="A26" i="7"/>
  <c r="C28" i="5"/>
  <c r="E28" i="2"/>
  <c r="B30" i="1"/>
  <c r="D29" i="2"/>
  <c r="C29" i="1"/>
  <c r="D29" i="1"/>
  <c r="B26" i="7"/>
  <c r="BT28" i="1"/>
  <c r="T28" i="2" s="1"/>
  <c r="AW28" i="1"/>
  <c r="AU26" i="7" s="1"/>
  <c r="AW86" i="1"/>
  <c r="BT86" i="1"/>
  <c r="T86" i="2" s="1"/>
  <c r="AW184" i="1"/>
  <c r="BT184" i="1"/>
  <c r="T184" i="2" s="1"/>
  <c r="U184" i="2"/>
  <c r="U86" i="2"/>
  <c r="C86" i="5"/>
  <c r="E86" i="2"/>
  <c r="C184" i="5"/>
  <c r="E184" i="2"/>
  <c r="D87" i="1"/>
  <c r="B88" i="1"/>
  <c r="C87" i="1"/>
  <c r="D185" i="1"/>
  <c r="B186" i="1"/>
  <c r="C185" i="1"/>
  <c r="V87" i="2"/>
  <c r="V185" i="2"/>
  <c r="V29" i="2"/>
  <c r="U29" i="2" l="1"/>
  <c r="A27" i="7"/>
  <c r="C29" i="5"/>
  <c r="E29" i="2"/>
  <c r="B27" i="7"/>
  <c r="AW29" i="1"/>
  <c r="AU27" i="7" s="1"/>
  <c r="BT29" i="1"/>
  <c r="T29" i="2" s="1"/>
  <c r="B31" i="1"/>
  <c r="D30" i="2"/>
  <c r="D30" i="1"/>
  <c r="C30" i="1"/>
  <c r="AW185" i="1"/>
  <c r="BT185" i="1"/>
  <c r="T185" i="2" s="1"/>
  <c r="AW87" i="1"/>
  <c r="BT87" i="1"/>
  <c r="T87" i="2" s="1"/>
  <c r="U87" i="2"/>
  <c r="U185" i="2"/>
  <c r="C87" i="5"/>
  <c r="E87" i="2"/>
  <c r="B187" i="1"/>
  <c r="C186" i="1"/>
  <c r="D186" i="1"/>
  <c r="D88" i="1"/>
  <c r="B89" i="1"/>
  <c r="C88" i="1"/>
  <c r="C185" i="5"/>
  <c r="E185" i="2"/>
  <c r="V88" i="2"/>
  <c r="V186" i="2"/>
  <c r="V30" i="2"/>
  <c r="U30" i="2" l="1"/>
  <c r="A28" i="7"/>
  <c r="E30" i="2"/>
  <c r="C30" i="5"/>
  <c r="B32" i="1"/>
  <c r="D31" i="2"/>
  <c r="C31" i="1"/>
  <c r="D31" i="1"/>
  <c r="B28" i="7"/>
  <c r="AW30" i="1"/>
  <c r="AU28" i="7" s="1"/>
  <c r="BT30" i="1"/>
  <c r="T30" i="2" s="1"/>
  <c r="AW186" i="1"/>
  <c r="BT186" i="1"/>
  <c r="T186" i="2" s="1"/>
  <c r="AW88" i="1"/>
  <c r="BT88" i="1"/>
  <c r="T88" i="2" s="1"/>
  <c r="U186" i="2"/>
  <c r="U88" i="2"/>
  <c r="C88" i="5"/>
  <c r="E88" i="2"/>
  <c r="B90" i="1"/>
  <c r="C89" i="1"/>
  <c r="D89" i="1"/>
  <c r="C186" i="5"/>
  <c r="E186" i="2"/>
  <c r="D187" i="1"/>
  <c r="B188" i="1"/>
  <c r="C187" i="1"/>
  <c r="V187" i="2"/>
  <c r="V89" i="2"/>
  <c r="V31" i="2"/>
  <c r="U31" i="2" l="1"/>
  <c r="A29" i="7"/>
  <c r="E31" i="2"/>
  <c r="C31" i="5"/>
  <c r="B33" i="1"/>
  <c r="D32" i="2"/>
  <c r="D32" i="1"/>
  <c r="C32" i="1"/>
  <c r="B29" i="7"/>
  <c r="BT31" i="1"/>
  <c r="T31" i="2" s="1"/>
  <c r="AW31" i="1"/>
  <c r="AU29" i="7" s="1"/>
  <c r="AW187" i="1"/>
  <c r="BT187" i="1"/>
  <c r="T187" i="2" s="1"/>
  <c r="AW89" i="1"/>
  <c r="BT89" i="1"/>
  <c r="T89" i="2" s="1"/>
  <c r="U187" i="2"/>
  <c r="U89" i="2"/>
  <c r="C89" i="5"/>
  <c r="E89" i="2"/>
  <c r="B91" i="1"/>
  <c r="D90" i="1"/>
  <c r="C90" i="1"/>
  <c r="D188" i="1"/>
  <c r="B189" i="1"/>
  <c r="C188" i="1"/>
  <c r="C187" i="5"/>
  <c r="E187" i="2"/>
  <c r="V188" i="2"/>
  <c r="V90" i="2"/>
  <c r="V32" i="2"/>
  <c r="U32" i="2" l="1"/>
  <c r="A30" i="7"/>
  <c r="E32" i="2"/>
  <c r="C32" i="5"/>
  <c r="B30" i="7"/>
  <c r="BT32" i="1"/>
  <c r="T32" i="2" s="1"/>
  <c r="AW32" i="1"/>
  <c r="AU30" i="7" s="1"/>
  <c r="B34" i="1"/>
  <c r="D33" i="2"/>
  <c r="D33" i="1"/>
  <c r="C33" i="1"/>
  <c r="AW188" i="1"/>
  <c r="BT188" i="1"/>
  <c r="T188" i="2" s="1"/>
  <c r="AW90" i="1"/>
  <c r="BT90" i="1"/>
  <c r="T90" i="2" s="1"/>
  <c r="U188" i="2"/>
  <c r="U90" i="2"/>
  <c r="D189" i="1"/>
  <c r="B190" i="1"/>
  <c r="C189" i="1"/>
  <c r="C90" i="5"/>
  <c r="E90" i="2"/>
  <c r="D91" i="1"/>
  <c r="B92" i="1"/>
  <c r="C91" i="1"/>
  <c r="C188" i="5"/>
  <c r="E188" i="2"/>
  <c r="V91" i="2"/>
  <c r="V189" i="2"/>
  <c r="V33" i="2"/>
  <c r="U33" i="2" l="1"/>
  <c r="B31" i="7"/>
  <c r="AW33" i="1"/>
  <c r="AU31" i="7" s="1"/>
  <c r="BT33" i="1"/>
  <c r="T33" i="2" s="1"/>
  <c r="B35" i="1"/>
  <c r="D34" i="2"/>
  <c r="C34" i="1"/>
  <c r="D34" i="1"/>
  <c r="A31" i="7"/>
  <c r="C33" i="5"/>
  <c r="E33" i="2"/>
  <c r="AW91" i="1"/>
  <c r="BT91" i="1"/>
  <c r="T91" i="2" s="1"/>
  <c r="AW189" i="1"/>
  <c r="BT189" i="1"/>
  <c r="T189" i="2" s="1"/>
  <c r="U189" i="2"/>
  <c r="U91" i="2"/>
  <c r="C91" i="5"/>
  <c r="E91" i="2"/>
  <c r="C189" i="5"/>
  <c r="E189" i="2"/>
  <c r="D92" i="1"/>
  <c r="B93" i="1"/>
  <c r="C92" i="1"/>
  <c r="B191" i="1"/>
  <c r="C190" i="1"/>
  <c r="D190" i="1"/>
  <c r="V92" i="2"/>
  <c r="V190" i="2"/>
  <c r="V34" i="2"/>
  <c r="U34" i="2" l="1"/>
  <c r="B32" i="7"/>
  <c r="BT34" i="1"/>
  <c r="T34" i="2" s="1"/>
  <c r="AW34" i="1"/>
  <c r="AU32" i="7" s="1"/>
  <c r="D35" i="2"/>
  <c r="D35" i="1"/>
  <c r="C35" i="1"/>
  <c r="B36" i="1"/>
  <c r="A32" i="7"/>
  <c r="C34" i="5"/>
  <c r="E34" i="2"/>
  <c r="AW92" i="1"/>
  <c r="BT92" i="1"/>
  <c r="T92" i="2" s="1"/>
  <c r="AW190" i="1"/>
  <c r="BT190" i="1"/>
  <c r="T190" i="2" s="1"/>
  <c r="U92" i="2"/>
  <c r="U190" i="2"/>
  <c r="C190" i="5"/>
  <c r="E190" i="2"/>
  <c r="D191" i="1"/>
  <c r="B192" i="1"/>
  <c r="C191" i="1"/>
  <c r="C92" i="5"/>
  <c r="E92" i="2"/>
  <c r="B94" i="1"/>
  <c r="C93" i="1"/>
  <c r="D93" i="1"/>
  <c r="V191" i="2"/>
  <c r="V93" i="2"/>
  <c r="V35" i="2"/>
  <c r="U35" i="2" l="1"/>
  <c r="D36" i="2"/>
  <c r="B37" i="1"/>
  <c r="D36" i="1"/>
  <c r="C36" i="1"/>
  <c r="A33" i="7"/>
  <c r="E35" i="2"/>
  <c r="C35" i="5"/>
  <c r="B33" i="7"/>
  <c r="AW35" i="1"/>
  <c r="AU33" i="7" s="1"/>
  <c r="BT35" i="1"/>
  <c r="T35" i="2" s="1"/>
  <c r="AW93" i="1"/>
  <c r="BT93" i="1"/>
  <c r="T93" i="2" s="1"/>
  <c r="AW191" i="1"/>
  <c r="BT191" i="1"/>
  <c r="T191" i="2" s="1"/>
  <c r="U93" i="2"/>
  <c r="U191" i="2"/>
  <c r="C191" i="5"/>
  <c r="E191" i="2"/>
  <c r="C93" i="5"/>
  <c r="E93" i="2"/>
  <c r="D192" i="1"/>
  <c r="B193" i="1"/>
  <c r="C192" i="1"/>
  <c r="B95" i="1"/>
  <c r="D94" i="1"/>
  <c r="C94" i="1"/>
  <c r="V94" i="2"/>
  <c r="V192" i="2"/>
  <c r="V36" i="2"/>
  <c r="U36" i="2" l="1"/>
  <c r="A34" i="7"/>
  <c r="C36" i="5"/>
  <c r="E36" i="2"/>
  <c r="B34" i="7"/>
  <c r="BT36" i="1"/>
  <c r="T36" i="2" s="1"/>
  <c r="AW36" i="1"/>
  <c r="AU34" i="7" s="1"/>
  <c r="D37" i="2"/>
  <c r="D37" i="1"/>
  <c r="B38" i="1"/>
  <c r="C37" i="1"/>
  <c r="AW94" i="1"/>
  <c r="BT94" i="1"/>
  <c r="T94" i="2" s="1"/>
  <c r="AW192" i="1"/>
  <c r="BT192" i="1"/>
  <c r="T192" i="2" s="1"/>
  <c r="U94" i="2"/>
  <c r="U192" i="2"/>
  <c r="C192" i="5"/>
  <c r="E192" i="2"/>
  <c r="C94" i="5"/>
  <c r="E94" i="2"/>
  <c r="D193" i="1"/>
  <c r="B194" i="1"/>
  <c r="C193" i="1"/>
  <c r="D95" i="1"/>
  <c r="B96" i="1"/>
  <c r="C95" i="1"/>
  <c r="V193" i="2"/>
  <c r="V95" i="2"/>
  <c r="V37" i="2"/>
  <c r="U37" i="2" l="1"/>
  <c r="D38" i="2"/>
  <c r="C38" i="1"/>
  <c r="D38" i="1"/>
  <c r="B39" i="1"/>
  <c r="B35" i="7"/>
  <c r="AW37" i="1"/>
  <c r="AU35" i="7" s="1"/>
  <c r="BT37" i="1"/>
  <c r="T37" i="2" s="1"/>
  <c r="A35" i="7"/>
  <c r="C37" i="5"/>
  <c r="E37" i="2"/>
  <c r="AW193" i="1"/>
  <c r="BT193" i="1"/>
  <c r="T193" i="2" s="1"/>
  <c r="AW95" i="1"/>
  <c r="BT95" i="1"/>
  <c r="T95" i="2" s="1"/>
  <c r="U193" i="2"/>
  <c r="U95" i="2"/>
  <c r="D96" i="1"/>
  <c r="B97" i="1"/>
  <c r="C96" i="1"/>
  <c r="C193" i="5"/>
  <c r="E193" i="2"/>
  <c r="C95" i="5"/>
  <c r="E95" i="2"/>
  <c r="B195" i="1"/>
  <c r="C194" i="1"/>
  <c r="D194" i="1"/>
  <c r="V96" i="2"/>
  <c r="V194" i="2"/>
  <c r="V38" i="2"/>
  <c r="U38" i="2" l="1"/>
  <c r="B36" i="7"/>
  <c r="AW38" i="1"/>
  <c r="AU36" i="7" s="1"/>
  <c r="BT38" i="1"/>
  <c r="T38" i="2" s="1"/>
  <c r="A36" i="7"/>
  <c r="C38" i="5"/>
  <c r="E38" i="2"/>
  <c r="D39" i="2"/>
  <c r="B40" i="1"/>
  <c r="C39" i="1"/>
  <c r="D39" i="1"/>
  <c r="AW194" i="1"/>
  <c r="BT194" i="1"/>
  <c r="T194" i="2" s="1"/>
  <c r="AW96" i="1"/>
  <c r="BT96" i="1"/>
  <c r="T96" i="2" s="1"/>
  <c r="U96" i="2"/>
  <c r="U194" i="2"/>
  <c r="C194" i="5"/>
  <c r="E194" i="2"/>
  <c r="C96" i="5"/>
  <c r="E96" i="2"/>
  <c r="D195" i="1"/>
  <c r="B196" i="1"/>
  <c r="C195" i="1"/>
  <c r="B98" i="1"/>
  <c r="C97" i="1"/>
  <c r="D97" i="1"/>
  <c r="V195" i="2"/>
  <c r="V97" i="2"/>
  <c r="V39" i="2"/>
  <c r="U39" i="2" l="1"/>
  <c r="D40" i="2"/>
  <c r="C40" i="1"/>
  <c r="D40" i="1"/>
  <c r="B41" i="1"/>
  <c r="B37" i="7"/>
  <c r="AW39" i="1"/>
  <c r="AU37" i="7" s="1"/>
  <c r="BT39" i="1"/>
  <c r="T39" i="2" s="1"/>
  <c r="A37" i="7"/>
  <c r="C39" i="5"/>
  <c r="E39" i="2"/>
  <c r="AW195" i="1"/>
  <c r="BT195" i="1"/>
  <c r="T195" i="2" s="1"/>
  <c r="AW97" i="1"/>
  <c r="BT97" i="1"/>
  <c r="T97" i="2" s="1"/>
  <c r="U195" i="2"/>
  <c r="U97" i="2"/>
  <c r="B99" i="1"/>
  <c r="D98" i="1"/>
  <c r="C98" i="1"/>
  <c r="C195" i="5"/>
  <c r="E195" i="2"/>
  <c r="C97" i="5"/>
  <c r="E97" i="2"/>
  <c r="D196" i="1"/>
  <c r="B197" i="1"/>
  <c r="C196" i="1"/>
  <c r="V98" i="2"/>
  <c r="V196" i="2"/>
  <c r="V40" i="2"/>
  <c r="U40" i="2" l="1"/>
  <c r="D41" i="2"/>
  <c r="D41" i="1"/>
  <c r="B42" i="1"/>
  <c r="C41" i="1"/>
  <c r="B38" i="7"/>
  <c r="AW40" i="1"/>
  <c r="AU38" i="7" s="1"/>
  <c r="BT40" i="1"/>
  <c r="T40" i="2" s="1"/>
  <c r="A38" i="7"/>
  <c r="E40" i="2"/>
  <c r="C40" i="5"/>
  <c r="AW98" i="1"/>
  <c r="BT98" i="1"/>
  <c r="T98" i="2" s="1"/>
  <c r="AW196" i="1"/>
  <c r="BT196" i="1"/>
  <c r="T196" i="2" s="1"/>
  <c r="U196" i="2"/>
  <c r="U98" i="2"/>
  <c r="D99" i="1"/>
  <c r="B100" i="1"/>
  <c r="C99" i="1"/>
  <c r="C98" i="5"/>
  <c r="E98" i="2"/>
  <c r="D197" i="1"/>
  <c r="B198" i="1"/>
  <c r="C197" i="1"/>
  <c r="C196" i="5"/>
  <c r="E196" i="2"/>
  <c r="V197" i="2"/>
  <c r="V99" i="2"/>
  <c r="V41" i="2"/>
  <c r="U41" i="2" l="1"/>
  <c r="B39" i="7"/>
  <c r="AW41" i="1"/>
  <c r="AU39" i="7" s="1"/>
  <c r="BT41" i="1"/>
  <c r="T41" i="2" s="1"/>
  <c r="A39" i="7"/>
  <c r="E41" i="2"/>
  <c r="C41" i="5"/>
  <c r="D42" i="2"/>
  <c r="B43" i="1"/>
  <c r="D42" i="1"/>
  <c r="C42" i="1"/>
  <c r="AW99" i="1"/>
  <c r="BT99" i="1"/>
  <c r="T99" i="2" s="1"/>
  <c r="AW197" i="1"/>
  <c r="BT197" i="1"/>
  <c r="T197" i="2" s="1"/>
  <c r="U99" i="2"/>
  <c r="U197" i="2"/>
  <c r="C197" i="5"/>
  <c r="E197" i="2"/>
  <c r="B199" i="1"/>
  <c r="C198" i="1"/>
  <c r="D198" i="1"/>
  <c r="C99" i="5"/>
  <c r="E99" i="2"/>
  <c r="D100" i="1"/>
  <c r="B101" i="1"/>
  <c r="C100" i="1"/>
  <c r="V198" i="2"/>
  <c r="V100" i="2"/>
  <c r="V42" i="2"/>
  <c r="U42" i="2" l="1"/>
  <c r="D43" i="1"/>
  <c r="B44" i="1"/>
  <c r="C43" i="1"/>
  <c r="A40" i="7"/>
  <c r="C42" i="5"/>
  <c r="E42" i="2"/>
  <c r="B40" i="7"/>
  <c r="AW42" i="1"/>
  <c r="AU40" i="7" s="1"/>
  <c r="BT42" i="1"/>
  <c r="T42" i="2" s="1"/>
  <c r="AW198" i="1"/>
  <c r="BT198" i="1"/>
  <c r="T198" i="2" s="1"/>
  <c r="AW100" i="1"/>
  <c r="BT100" i="1"/>
  <c r="T100" i="2" s="1"/>
  <c r="U198" i="2"/>
  <c r="U100" i="2"/>
  <c r="C198" i="5"/>
  <c r="E198" i="2"/>
  <c r="B102" i="1"/>
  <c r="C101" i="1"/>
  <c r="D101" i="1"/>
  <c r="C100" i="5"/>
  <c r="E100" i="2"/>
  <c r="D199" i="1"/>
  <c r="B200" i="1"/>
  <c r="C199" i="1"/>
  <c r="V199" i="2"/>
  <c r="V101" i="2"/>
  <c r="V43" i="2"/>
  <c r="U43" i="2" l="1"/>
  <c r="C44" i="1"/>
  <c r="D44" i="1"/>
  <c r="B45" i="1"/>
  <c r="A41" i="7"/>
  <c r="E43" i="2"/>
  <c r="C43" i="5"/>
  <c r="B41" i="7"/>
  <c r="AW43" i="1"/>
  <c r="AU41" i="7" s="1"/>
  <c r="BT43" i="1"/>
  <c r="T43" i="2" s="1"/>
  <c r="AW199" i="1"/>
  <c r="BT199" i="1"/>
  <c r="T199" i="2" s="1"/>
  <c r="AW101" i="1"/>
  <c r="BT101" i="1"/>
  <c r="T101" i="2" s="1"/>
  <c r="U199" i="2"/>
  <c r="U101" i="2"/>
  <c r="C199" i="5"/>
  <c r="E199" i="2"/>
  <c r="B103" i="1"/>
  <c r="D102" i="1"/>
  <c r="C102" i="1"/>
  <c r="D200" i="1"/>
  <c r="B201" i="1"/>
  <c r="C200" i="1"/>
  <c r="C101" i="5"/>
  <c r="E101" i="2"/>
  <c r="V200" i="2"/>
  <c r="V102" i="2"/>
  <c r="V44" i="2"/>
  <c r="U44" i="2" l="1"/>
  <c r="B42" i="7"/>
  <c r="BT44" i="1"/>
  <c r="T44" i="2" s="1"/>
  <c r="AW44" i="1"/>
  <c r="AU42" i="7" s="1"/>
  <c r="C45" i="1"/>
  <c r="D45" i="1"/>
  <c r="B46" i="1"/>
  <c r="A42" i="7"/>
  <c r="E44" i="2"/>
  <c r="C44" i="5"/>
  <c r="AW200" i="1"/>
  <c r="BT200" i="1"/>
  <c r="T200" i="2" s="1"/>
  <c r="AW102" i="1"/>
  <c r="BT102" i="1"/>
  <c r="T102" i="2" s="1"/>
  <c r="U200" i="2"/>
  <c r="U102" i="2"/>
  <c r="D201" i="1"/>
  <c r="B202" i="1"/>
  <c r="C201" i="1"/>
  <c r="C102" i="5"/>
  <c r="E102" i="2"/>
  <c r="D103" i="1"/>
  <c r="B104" i="1"/>
  <c r="C103" i="1"/>
  <c r="C200" i="5"/>
  <c r="E200" i="2"/>
  <c r="V201" i="2"/>
  <c r="V103" i="2"/>
  <c r="V45" i="2"/>
  <c r="U45" i="2" l="1"/>
  <c r="D46" i="1"/>
  <c r="B47" i="1"/>
  <c r="C46" i="1"/>
  <c r="B43" i="7"/>
  <c r="BT45" i="1"/>
  <c r="T45" i="2" s="1"/>
  <c r="AW45" i="1"/>
  <c r="AU43" i="7" s="1"/>
  <c r="A43" i="7"/>
  <c r="C45" i="5"/>
  <c r="E45" i="2"/>
  <c r="AW103" i="1"/>
  <c r="BT103" i="1"/>
  <c r="T103" i="2" s="1"/>
  <c r="AW201" i="1"/>
  <c r="BT201" i="1"/>
  <c r="T201" i="2" s="1"/>
  <c r="U103" i="2"/>
  <c r="U201" i="2"/>
  <c r="C201" i="5"/>
  <c r="E201" i="2"/>
  <c r="C103" i="5"/>
  <c r="E103" i="2"/>
  <c r="D104" i="1"/>
  <c r="B105" i="1"/>
  <c r="C104" i="1"/>
  <c r="B203" i="1"/>
  <c r="C202" i="1"/>
  <c r="D202" i="1"/>
  <c r="V202" i="2"/>
  <c r="V104" i="2"/>
  <c r="V46" i="2"/>
  <c r="U46" i="2" l="1"/>
  <c r="C47" i="1"/>
  <c r="B48" i="1"/>
  <c r="D47" i="1"/>
  <c r="A44" i="7"/>
  <c r="C46" i="5"/>
  <c r="E46" i="2"/>
  <c r="B44" i="7"/>
  <c r="AW46" i="1"/>
  <c r="AU44" i="7" s="1"/>
  <c r="BT46" i="1"/>
  <c r="T46" i="2" s="1"/>
  <c r="AW104" i="1"/>
  <c r="BT104" i="1"/>
  <c r="T104" i="2" s="1"/>
  <c r="AW202" i="1"/>
  <c r="BT202" i="1"/>
  <c r="T202" i="2" s="1"/>
  <c r="U202" i="2"/>
  <c r="U104" i="2"/>
  <c r="C104" i="5"/>
  <c r="E104" i="2"/>
  <c r="C202" i="5"/>
  <c r="E202" i="2"/>
  <c r="B106" i="1"/>
  <c r="C105" i="1"/>
  <c r="D105" i="1"/>
  <c r="D203" i="1"/>
  <c r="B204" i="1"/>
  <c r="C203" i="1"/>
  <c r="V203" i="2"/>
  <c r="V105" i="2"/>
  <c r="V47" i="2"/>
  <c r="U47" i="2" l="1"/>
  <c r="A45" i="7"/>
  <c r="C47" i="5"/>
  <c r="E47" i="2"/>
  <c r="B45" i="7"/>
  <c r="AW47" i="1"/>
  <c r="AU45" i="7" s="1"/>
  <c r="BT47" i="1"/>
  <c r="T47" i="2" s="1"/>
  <c r="D48" i="1"/>
  <c r="B49" i="1"/>
  <c r="C48" i="1"/>
  <c r="AW203" i="1"/>
  <c r="BT203" i="1"/>
  <c r="T203" i="2" s="1"/>
  <c r="AW105" i="1"/>
  <c r="BT105" i="1"/>
  <c r="T105" i="2" s="1"/>
  <c r="U105" i="2"/>
  <c r="U203" i="2"/>
  <c r="D204" i="1"/>
  <c r="B205" i="1"/>
  <c r="C204" i="1"/>
  <c r="C105" i="5"/>
  <c r="E105" i="2"/>
  <c r="C203" i="5"/>
  <c r="E203" i="2"/>
  <c r="B107" i="1"/>
  <c r="D106" i="1"/>
  <c r="C106" i="1"/>
  <c r="V204" i="2"/>
  <c r="V106" i="2"/>
  <c r="V48" i="2"/>
  <c r="U48" i="2" l="1"/>
  <c r="A46" i="7"/>
  <c r="C48" i="5"/>
  <c r="E48" i="2"/>
  <c r="B46" i="7"/>
  <c r="BT48" i="1"/>
  <c r="T48" i="2" s="1"/>
  <c r="AW48" i="1"/>
  <c r="AU46" i="7" s="1"/>
  <c r="C49" i="1"/>
  <c r="B50" i="1"/>
  <c r="D49" i="1"/>
  <c r="AW106" i="1"/>
  <c r="BT106" i="1"/>
  <c r="T106" i="2" s="1"/>
  <c r="AW204" i="1"/>
  <c r="BT204" i="1"/>
  <c r="T204" i="2" s="1"/>
  <c r="U106" i="2"/>
  <c r="U204" i="2"/>
  <c r="C106" i="5"/>
  <c r="E106" i="2"/>
  <c r="C204" i="5"/>
  <c r="E204" i="2"/>
  <c r="D107" i="1"/>
  <c r="B108" i="1"/>
  <c r="C107" i="1"/>
  <c r="D205" i="1"/>
  <c r="B206" i="1"/>
  <c r="C205" i="1"/>
  <c r="V205" i="2"/>
  <c r="V107" i="2"/>
  <c r="V49" i="2"/>
  <c r="U49" i="2" l="1"/>
  <c r="B47" i="7"/>
  <c r="BT49" i="1"/>
  <c r="T49" i="2" s="1"/>
  <c r="AW49" i="1"/>
  <c r="AU47" i="7" s="1"/>
  <c r="B51" i="1"/>
  <c r="C50" i="1"/>
  <c r="D50" i="1"/>
  <c r="A47" i="7"/>
  <c r="C49" i="5"/>
  <c r="E49" i="2"/>
  <c r="AW205" i="1"/>
  <c r="BT205" i="1"/>
  <c r="T205" i="2" s="1"/>
  <c r="AW107" i="1"/>
  <c r="BT107" i="1"/>
  <c r="T107" i="2" s="1"/>
  <c r="U205" i="2"/>
  <c r="U107" i="2"/>
  <c r="C107" i="5"/>
  <c r="E107" i="2"/>
  <c r="C205" i="5"/>
  <c r="E205" i="2"/>
  <c r="D108" i="1"/>
  <c r="B109" i="1"/>
  <c r="C108" i="1"/>
  <c r="B207" i="1"/>
  <c r="C206" i="1"/>
  <c r="D206" i="1"/>
  <c r="V206" i="2"/>
  <c r="V108" i="2"/>
  <c r="V50" i="2"/>
  <c r="U50" i="2" l="1"/>
  <c r="A48" i="7"/>
  <c r="E50" i="2"/>
  <c r="C50" i="5"/>
  <c r="B48" i="7"/>
  <c r="AW50" i="1"/>
  <c r="AU48" i="7" s="1"/>
  <c r="BT50" i="1"/>
  <c r="T50" i="2" s="1"/>
  <c r="B52" i="1"/>
  <c r="C51" i="1"/>
  <c r="D51" i="1"/>
  <c r="AW206" i="1"/>
  <c r="BT206" i="1"/>
  <c r="T206" i="2" s="1"/>
  <c r="AW108" i="1"/>
  <c r="BT108" i="1"/>
  <c r="T108" i="2" s="1"/>
  <c r="U206" i="2"/>
  <c r="U108" i="2"/>
  <c r="D207" i="1"/>
  <c r="B208" i="1"/>
  <c r="C207" i="1"/>
  <c r="C108" i="5"/>
  <c r="E108" i="2"/>
  <c r="C206" i="5"/>
  <c r="E206" i="2"/>
  <c r="B110" i="1"/>
  <c r="C109" i="1"/>
  <c r="D109" i="1"/>
  <c r="V109" i="2"/>
  <c r="V207" i="2"/>
  <c r="V51" i="2"/>
  <c r="U51" i="2" l="1"/>
  <c r="A49" i="7"/>
  <c r="C51" i="5"/>
  <c r="E51" i="2"/>
  <c r="B49" i="7"/>
  <c r="BT51" i="1"/>
  <c r="T51" i="2" s="1"/>
  <c r="AW51" i="1"/>
  <c r="AU49" i="7" s="1"/>
  <c r="D52" i="1"/>
  <c r="B53" i="1"/>
  <c r="C52" i="1"/>
  <c r="AW109" i="1"/>
  <c r="BT109" i="1"/>
  <c r="T109" i="2" s="1"/>
  <c r="AW207" i="1"/>
  <c r="BT207" i="1"/>
  <c r="T207" i="2" s="1"/>
  <c r="U207" i="2"/>
  <c r="U109" i="2"/>
  <c r="D208" i="1"/>
  <c r="B209" i="1"/>
  <c r="C208" i="1"/>
  <c r="C109" i="5"/>
  <c r="E109" i="2"/>
  <c r="B111" i="1"/>
  <c r="D110" i="1"/>
  <c r="C110" i="1"/>
  <c r="C207" i="5"/>
  <c r="E207" i="2"/>
  <c r="V208" i="2"/>
  <c r="V110" i="2"/>
  <c r="V52" i="2"/>
  <c r="U52" i="2" l="1"/>
  <c r="D53" i="1"/>
  <c r="B54" i="1"/>
  <c r="C53" i="1"/>
  <c r="A50" i="7"/>
  <c r="C52" i="5"/>
  <c r="E52" i="2"/>
  <c r="B50" i="7"/>
  <c r="BT52" i="1"/>
  <c r="T52" i="2" s="1"/>
  <c r="AW52" i="1"/>
  <c r="AU50" i="7" s="1"/>
  <c r="AW110" i="1"/>
  <c r="BT110" i="1"/>
  <c r="T110" i="2" s="1"/>
  <c r="AW208" i="1"/>
  <c r="BT208" i="1"/>
  <c r="T208" i="2" s="1"/>
  <c r="U110" i="2"/>
  <c r="U208" i="2"/>
  <c r="C110" i="5"/>
  <c r="E110" i="2"/>
  <c r="D111" i="1"/>
  <c r="B112" i="1"/>
  <c r="C111" i="1"/>
  <c r="C208" i="5"/>
  <c r="E208" i="2"/>
  <c r="D209" i="1"/>
  <c r="B210" i="1"/>
  <c r="C209" i="1"/>
  <c r="V209" i="2"/>
  <c r="V111" i="2"/>
  <c r="V53" i="2"/>
  <c r="U53" i="2" l="1"/>
  <c r="C54" i="1"/>
  <c r="B55" i="1"/>
  <c r="D54" i="1"/>
  <c r="B51" i="7"/>
  <c r="AW53" i="1"/>
  <c r="AU51" i="7" s="1"/>
  <c r="BT53" i="1"/>
  <c r="T53" i="2" s="1"/>
  <c r="A51" i="7"/>
  <c r="C53" i="5"/>
  <c r="E53" i="2"/>
  <c r="AW111" i="1"/>
  <c r="BT111" i="1"/>
  <c r="T111" i="2" s="1"/>
  <c r="AW209" i="1"/>
  <c r="BT209" i="1"/>
  <c r="T209" i="2" s="1"/>
  <c r="U209" i="2"/>
  <c r="U111" i="2"/>
  <c r="C111" i="5"/>
  <c r="E111" i="2"/>
  <c r="D112" i="1"/>
  <c r="B113" i="1"/>
  <c r="C112" i="1"/>
  <c r="B211" i="1"/>
  <c r="C210" i="1"/>
  <c r="D210" i="1"/>
  <c r="C209" i="5"/>
  <c r="E209" i="2"/>
  <c r="V210" i="2"/>
  <c r="V112" i="2"/>
  <c r="V54" i="2"/>
  <c r="U54" i="2" l="1"/>
  <c r="B52" i="7"/>
  <c r="BT54" i="1"/>
  <c r="T54" i="2" s="1"/>
  <c r="AW54" i="1"/>
  <c r="AU52" i="7" s="1"/>
  <c r="B56" i="1"/>
  <c r="C55" i="1"/>
  <c r="D55" i="1"/>
  <c r="A52" i="7"/>
  <c r="E54" i="2"/>
  <c r="C54" i="5"/>
  <c r="AW112" i="1"/>
  <c r="BT112" i="1"/>
  <c r="T112" i="2" s="1"/>
  <c r="AW210" i="1"/>
  <c r="BT210" i="1"/>
  <c r="T210" i="2" s="1"/>
  <c r="U112" i="2"/>
  <c r="U210" i="2"/>
  <c r="D211" i="1"/>
  <c r="B212" i="1"/>
  <c r="C211" i="1"/>
  <c r="C210" i="5"/>
  <c r="E210" i="2"/>
  <c r="C112" i="5"/>
  <c r="E112" i="2"/>
  <c r="B114" i="1"/>
  <c r="C113" i="1"/>
  <c r="D113" i="1"/>
  <c r="V113" i="2"/>
  <c r="V211" i="2"/>
  <c r="V55" i="2"/>
  <c r="U55" i="2" l="1"/>
  <c r="B53" i="7"/>
  <c r="AW55" i="1"/>
  <c r="AU53" i="7" s="1"/>
  <c r="BT55" i="1"/>
  <c r="T55" i="2" s="1"/>
  <c r="C56" i="1"/>
  <c r="D56" i="1"/>
  <c r="B57" i="1"/>
  <c r="A53" i="7"/>
  <c r="C55" i="5"/>
  <c r="E55" i="2"/>
  <c r="AW113" i="1"/>
  <c r="BT113" i="1"/>
  <c r="T113" i="2" s="1"/>
  <c r="AW211" i="1"/>
  <c r="BT211" i="1"/>
  <c r="T211" i="2" s="1"/>
  <c r="U211" i="2"/>
  <c r="U113" i="2"/>
  <c r="B115" i="1"/>
  <c r="D114" i="1"/>
  <c r="C114" i="1"/>
  <c r="C211" i="5"/>
  <c r="E211" i="2"/>
  <c r="C113" i="5"/>
  <c r="E113" i="2"/>
  <c r="D212" i="1"/>
  <c r="B213" i="1"/>
  <c r="C212" i="1"/>
  <c r="V114" i="2"/>
  <c r="V212" i="2"/>
  <c r="V56" i="2"/>
  <c r="U56" i="2" l="1"/>
  <c r="D57" i="1"/>
  <c r="C57" i="1"/>
  <c r="B58" i="1"/>
  <c r="A54" i="7"/>
  <c r="C56" i="5"/>
  <c r="E56" i="2"/>
  <c r="B54" i="7"/>
  <c r="AW56" i="1"/>
  <c r="AU54" i="7" s="1"/>
  <c r="BT56" i="1"/>
  <c r="T56" i="2" s="1"/>
  <c r="AW114" i="1"/>
  <c r="BT114" i="1"/>
  <c r="T114" i="2" s="1"/>
  <c r="AW212" i="1"/>
  <c r="BT212" i="1"/>
  <c r="T212" i="2" s="1"/>
  <c r="U212" i="2"/>
  <c r="U114" i="2"/>
  <c r="C212" i="5"/>
  <c r="E212" i="2"/>
  <c r="D213" i="1"/>
  <c r="B214" i="1"/>
  <c r="C213" i="1"/>
  <c r="C114" i="5"/>
  <c r="E114" i="2"/>
  <c r="D115" i="1"/>
  <c r="B116" i="1"/>
  <c r="C115" i="1"/>
  <c r="V115" i="2"/>
  <c r="V213" i="2"/>
  <c r="V57" i="2"/>
  <c r="U57" i="2" l="1"/>
  <c r="B59" i="1"/>
  <c r="D58" i="1"/>
  <c r="C58" i="1"/>
  <c r="A55" i="7"/>
  <c r="E57" i="2"/>
  <c r="C57" i="5"/>
  <c r="B55" i="7"/>
  <c r="AW57" i="1"/>
  <c r="AU55" i="7" s="1"/>
  <c r="BT57" i="1"/>
  <c r="T57" i="2" s="1"/>
  <c r="AW213" i="1"/>
  <c r="BT213" i="1"/>
  <c r="T213" i="2" s="1"/>
  <c r="AW115" i="1"/>
  <c r="BT115" i="1"/>
  <c r="T115" i="2" s="1"/>
  <c r="U213" i="2"/>
  <c r="U115" i="2"/>
  <c r="B215" i="1"/>
  <c r="C214" i="1"/>
  <c r="D214" i="1"/>
  <c r="C115" i="5"/>
  <c r="E115" i="2"/>
  <c r="D116" i="1"/>
  <c r="B117" i="1"/>
  <c r="C116" i="1"/>
  <c r="C213" i="5"/>
  <c r="E213" i="2"/>
  <c r="V214" i="2"/>
  <c r="V116" i="2"/>
  <c r="V58" i="2"/>
  <c r="U58" i="2" l="1"/>
  <c r="A56" i="7"/>
  <c r="C58" i="5"/>
  <c r="E58" i="2"/>
  <c r="B56" i="7"/>
  <c r="AW58" i="1"/>
  <c r="AU56" i="7" s="1"/>
  <c r="BT58" i="1"/>
  <c r="T58" i="2" s="1"/>
  <c r="C59" i="1"/>
  <c r="D59" i="1"/>
  <c r="B60" i="1"/>
  <c r="AW116" i="1"/>
  <c r="BT116" i="1"/>
  <c r="T116" i="2" s="1"/>
  <c r="AW214" i="1"/>
  <c r="BT214" i="1"/>
  <c r="T214" i="2" s="1"/>
  <c r="U116" i="2"/>
  <c r="U214" i="2"/>
  <c r="C116" i="5"/>
  <c r="E116" i="2"/>
  <c r="C214" i="5"/>
  <c r="E214" i="2"/>
  <c r="B118" i="1"/>
  <c r="C117" i="1"/>
  <c r="D117" i="1"/>
  <c r="D215" i="1"/>
  <c r="B216" i="1"/>
  <c r="C215" i="1"/>
  <c r="V215" i="2"/>
  <c r="V117" i="2"/>
  <c r="V59" i="2"/>
  <c r="U59" i="2" l="1"/>
  <c r="A57" i="7"/>
  <c r="C59" i="5"/>
  <c r="E59" i="2"/>
  <c r="C60" i="1"/>
  <c r="D60" i="1"/>
  <c r="B61" i="1"/>
  <c r="B57" i="7"/>
  <c r="AW59" i="1"/>
  <c r="AU57" i="7" s="1"/>
  <c r="BT59" i="1"/>
  <c r="T59" i="2" s="1"/>
  <c r="AW215" i="1"/>
  <c r="BT215" i="1"/>
  <c r="T215" i="2" s="1"/>
  <c r="AW117" i="1"/>
  <c r="BT117" i="1"/>
  <c r="T117" i="2" s="1"/>
  <c r="U215" i="2"/>
  <c r="U117" i="2"/>
  <c r="C215" i="5"/>
  <c r="E215" i="2"/>
  <c r="C117" i="5"/>
  <c r="E117" i="2"/>
  <c r="D216" i="1"/>
  <c r="B217" i="1"/>
  <c r="C216" i="1"/>
  <c r="D118" i="1"/>
  <c r="C118" i="1"/>
  <c r="B119" i="1"/>
  <c r="V216" i="2"/>
  <c r="V118" i="2"/>
  <c r="V60" i="2"/>
  <c r="U60" i="2" l="1"/>
  <c r="B62" i="1"/>
  <c r="D61" i="1"/>
  <c r="C61" i="1"/>
  <c r="B58" i="7"/>
  <c r="AW60" i="1"/>
  <c r="AU58" i="7" s="1"/>
  <c r="BT60" i="1"/>
  <c r="T60" i="2" s="1"/>
  <c r="A58" i="7"/>
  <c r="C60" i="5"/>
  <c r="E60" i="2"/>
  <c r="AW216" i="1"/>
  <c r="BT216" i="1"/>
  <c r="T216" i="2" s="1"/>
  <c r="AW118" i="1"/>
  <c r="BT118" i="1"/>
  <c r="T118" i="2" s="1"/>
  <c r="U216" i="2"/>
  <c r="U118" i="2"/>
  <c r="D119" i="1"/>
  <c r="B120" i="1"/>
  <c r="C119" i="1"/>
  <c r="D217" i="1"/>
  <c r="B218" i="1"/>
  <c r="C217" i="1"/>
  <c r="C118" i="5"/>
  <c r="E118" i="2"/>
  <c r="C216" i="5"/>
  <c r="E216" i="2"/>
  <c r="V119" i="2"/>
  <c r="V217" i="2"/>
  <c r="V61" i="2"/>
  <c r="U61" i="2" l="1"/>
  <c r="A59" i="7"/>
  <c r="C61" i="5"/>
  <c r="E61" i="2"/>
  <c r="B59" i="7"/>
  <c r="AW61" i="1"/>
  <c r="AU59" i="7" s="1"/>
  <c r="BT61" i="1"/>
  <c r="T61" i="2" s="1"/>
  <c r="D62" i="1"/>
  <c r="C62" i="1"/>
  <c r="B63" i="1"/>
  <c r="AW119" i="1"/>
  <c r="BT119" i="1"/>
  <c r="T119" i="2" s="1"/>
  <c r="AW217" i="1"/>
  <c r="BT217" i="1"/>
  <c r="T217" i="2" s="1"/>
  <c r="U119" i="2"/>
  <c r="U217" i="2"/>
  <c r="C217" i="5"/>
  <c r="E217" i="2"/>
  <c r="D120" i="1"/>
  <c r="B121" i="1"/>
  <c r="C120" i="1"/>
  <c r="B219" i="1"/>
  <c r="C218" i="1"/>
  <c r="D218" i="1"/>
  <c r="C119" i="5"/>
  <c r="E119" i="2"/>
  <c r="V120" i="2"/>
  <c r="V218" i="2"/>
  <c r="V62" i="2"/>
  <c r="U62" i="2" l="1"/>
  <c r="A60" i="7"/>
  <c r="C62" i="5"/>
  <c r="E62" i="2"/>
  <c r="B60" i="7"/>
  <c r="BT62" i="1"/>
  <c r="T62" i="2" s="1"/>
  <c r="AW62" i="1"/>
  <c r="AU60" i="7" s="1"/>
  <c r="D63" i="1"/>
  <c r="C63" i="1"/>
  <c r="AW218" i="1"/>
  <c r="BT218" i="1"/>
  <c r="T218" i="2" s="1"/>
  <c r="AW120" i="1"/>
  <c r="BT120" i="1"/>
  <c r="T120" i="2" s="1"/>
  <c r="U218" i="2"/>
  <c r="U120" i="2"/>
  <c r="C120" i="5"/>
  <c r="E120" i="2"/>
  <c r="B122" i="1"/>
  <c r="C121" i="1"/>
  <c r="D121" i="1"/>
  <c r="D219" i="1"/>
  <c r="B220" i="1"/>
  <c r="C219" i="1"/>
  <c r="C218" i="5"/>
  <c r="E218" i="2"/>
  <c r="V219" i="2"/>
  <c r="V121" i="2"/>
  <c r="V63" i="2"/>
  <c r="U63" i="2" l="1"/>
  <c r="B61" i="7"/>
  <c r="AW63" i="1"/>
  <c r="AU61" i="7" s="1"/>
  <c r="BT63" i="1"/>
  <c r="T63" i="2" s="1"/>
  <c r="A61" i="7"/>
  <c r="E63" i="2"/>
  <c r="C63" i="5"/>
  <c r="AW219" i="1"/>
  <c r="BT219" i="1"/>
  <c r="T219" i="2" s="1"/>
  <c r="AW121" i="1"/>
  <c r="BT121" i="1"/>
  <c r="T121" i="2" s="1"/>
  <c r="U121" i="2"/>
  <c r="U219" i="2"/>
  <c r="C219" i="5"/>
  <c r="E219" i="2"/>
  <c r="C121" i="5"/>
  <c r="E121" i="2"/>
  <c r="D220" i="1"/>
  <c r="B221" i="1"/>
  <c r="C220" i="1"/>
  <c r="D122" i="1"/>
  <c r="C122" i="1"/>
  <c r="B123" i="1"/>
  <c r="V220" i="2"/>
  <c r="V122" i="2"/>
  <c r="AW220" i="1" l="1"/>
  <c r="BT220" i="1"/>
  <c r="T220" i="2" s="1"/>
  <c r="AW122" i="1"/>
  <c r="BT122" i="1"/>
  <c r="T122" i="2" s="1"/>
  <c r="U122" i="2"/>
  <c r="U220" i="2"/>
  <c r="D123" i="1"/>
  <c r="B124" i="1"/>
  <c r="C123" i="1"/>
  <c r="D221" i="1"/>
  <c r="B222" i="1"/>
  <c r="C221" i="1"/>
  <c r="C122" i="5"/>
  <c r="E122" i="2"/>
  <c r="C220" i="5"/>
  <c r="E220" i="2"/>
  <c r="V221" i="2"/>
  <c r="V123" i="2"/>
  <c r="AW123" i="1" l="1"/>
  <c r="BT123" i="1"/>
  <c r="T123" i="2" s="1"/>
  <c r="AW221" i="1"/>
  <c r="BT221" i="1"/>
  <c r="T221" i="2" s="1"/>
  <c r="U123" i="2"/>
  <c r="U221" i="2"/>
  <c r="C221" i="5"/>
  <c r="E221" i="2"/>
  <c r="D124" i="1"/>
  <c r="B125" i="1"/>
  <c r="C124" i="1"/>
  <c r="B223" i="1"/>
  <c r="C222" i="1"/>
  <c r="D222" i="1"/>
  <c r="C123" i="5"/>
  <c r="E123" i="2"/>
  <c r="V124" i="2"/>
  <c r="V222" i="2"/>
  <c r="AW222" i="1" l="1"/>
  <c r="BT222" i="1"/>
  <c r="T222" i="2" s="1"/>
  <c r="AW124" i="1"/>
  <c r="BT124" i="1"/>
  <c r="T124" i="2" s="1"/>
  <c r="U222" i="2"/>
  <c r="U124" i="2"/>
  <c r="D223" i="1"/>
  <c r="B224" i="1"/>
  <c r="C223" i="1"/>
  <c r="C124" i="5"/>
  <c r="E124" i="2"/>
  <c r="B126" i="1"/>
  <c r="C125" i="1"/>
  <c r="D125" i="1"/>
  <c r="C222" i="5"/>
  <c r="E222" i="2"/>
  <c r="V223" i="2"/>
  <c r="V125" i="2"/>
  <c r="AW223" i="1" l="1"/>
  <c r="BT223" i="1"/>
  <c r="T223" i="2" s="1"/>
  <c r="AW125" i="1"/>
  <c r="BT125" i="1"/>
  <c r="T125" i="2" s="1"/>
  <c r="U125" i="2"/>
  <c r="U223" i="2"/>
  <c r="D224" i="1"/>
  <c r="B225" i="1"/>
  <c r="C224" i="1"/>
  <c r="C125" i="5"/>
  <c r="E125" i="2"/>
  <c r="D126" i="1"/>
  <c r="C126" i="1"/>
  <c r="B127" i="1"/>
  <c r="C223" i="5"/>
  <c r="E223" i="2"/>
  <c r="V224" i="2"/>
  <c r="V126" i="2"/>
  <c r="AW224" i="1" l="1"/>
  <c r="BT224" i="1"/>
  <c r="T224" i="2" s="1"/>
  <c r="AW126" i="1"/>
  <c r="BT126" i="1"/>
  <c r="T126" i="2" s="1"/>
  <c r="U224" i="2"/>
  <c r="U126" i="2"/>
  <c r="D127" i="1"/>
  <c r="B128" i="1"/>
  <c r="C127" i="1"/>
  <c r="D225" i="1"/>
  <c r="B226" i="1"/>
  <c r="C225" i="1"/>
  <c r="C126" i="5"/>
  <c r="E126" i="2"/>
  <c r="C224" i="5"/>
  <c r="E224" i="2"/>
  <c r="V127" i="2"/>
  <c r="V225" i="2"/>
  <c r="AW127" i="1" l="1"/>
  <c r="BT127" i="1"/>
  <c r="T127" i="2" s="1"/>
  <c r="AW225" i="1"/>
  <c r="BT225" i="1"/>
  <c r="T225" i="2" s="1"/>
  <c r="U127" i="2"/>
  <c r="U225" i="2"/>
  <c r="C225" i="5"/>
  <c r="E225" i="2"/>
  <c r="D128" i="1"/>
  <c r="B129" i="1"/>
  <c r="C128" i="1"/>
  <c r="B227" i="1"/>
  <c r="C226" i="1"/>
  <c r="D226" i="1"/>
  <c r="C127" i="5"/>
  <c r="E127" i="2"/>
  <c r="V128" i="2"/>
  <c r="V226" i="2"/>
  <c r="AW226" i="1" l="1"/>
  <c r="BT226" i="1"/>
  <c r="T226" i="2" s="1"/>
  <c r="AW128" i="1"/>
  <c r="BT128" i="1"/>
  <c r="T128" i="2" s="1"/>
  <c r="U226" i="2"/>
  <c r="U128" i="2"/>
  <c r="C128" i="5"/>
  <c r="E128" i="2"/>
  <c r="B130" i="1"/>
  <c r="C129" i="1"/>
  <c r="D129" i="1"/>
  <c r="D227" i="1"/>
  <c r="B228" i="1"/>
  <c r="C227" i="1"/>
  <c r="C226" i="5"/>
  <c r="E226" i="2"/>
  <c r="V129" i="2"/>
  <c r="V227" i="2"/>
  <c r="AW227" i="1" l="1"/>
  <c r="BT227" i="1"/>
  <c r="T227" i="2" s="1"/>
  <c r="AW129" i="1"/>
  <c r="BT129" i="1"/>
  <c r="T129" i="2" s="1"/>
  <c r="U227" i="2"/>
  <c r="U129" i="2"/>
  <c r="C227" i="5"/>
  <c r="E227" i="2"/>
  <c r="C129" i="5"/>
  <c r="E129" i="2"/>
  <c r="D228" i="1"/>
  <c r="B229" i="1"/>
  <c r="C228" i="1"/>
  <c r="D130" i="1"/>
  <c r="C130" i="1"/>
  <c r="B131" i="1"/>
  <c r="V130" i="2"/>
  <c r="V228" i="2"/>
  <c r="AW228" i="1" l="1"/>
  <c r="BT228" i="1"/>
  <c r="T228" i="2" s="1"/>
  <c r="AW130" i="1"/>
  <c r="BT130" i="1"/>
  <c r="T130" i="2" s="1"/>
  <c r="U130" i="2"/>
  <c r="U228" i="2"/>
  <c r="C228" i="5"/>
  <c r="E228" i="2"/>
  <c r="D131" i="1"/>
  <c r="B132" i="1"/>
  <c r="C131" i="1"/>
  <c r="D229" i="1"/>
  <c r="B230" i="1"/>
  <c r="C229" i="1"/>
  <c r="C130" i="5"/>
  <c r="E130" i="2"/>
  <c r="V131" i="2"/>
  <c r="V229" i="2"/>
  <c r="AW229" i="1" l="1"/>
  <c r="BT229" i="1"/>
  <c r="T229" i="2" s="1"/>
  <c r="AW131" i="1"/>
  <c r="BT131" i="1"/>
  <c r="T131" i="2" s="1"/>
  <c r="U229" i="2"/>
  <c r="U131" i="2"/>
  <c r="C131" i="5"/>
  <c r="E131" i="2"/>
  <c r="C229" i="5"/>
  <c r="E229" i="2"/>
  <c r="D132" i="1"/>
  <c r="B133" i="1"/>
  <c r="C132" i="1"/>
  <c r="B231" i="1"/>
  <c r="C230" i="1"/>
  <c r="D230" i="1"/>
  <c r="V230" i="2"/>
  <c r="V132" i="2"/>
  <c r="AW132" i="1" l="1"/>
  <c r="BT132" i="1"/>
  <c r="T132" i="2" s="1"/>
  <c r="AW230" i="1"/>
  <c r="BT230" i="1"/>
  <c r="T230" i="2" s="1"/>
  <c r="U132" i="2"/>
  <c r="U230" i="2"/>
  <c r="C230" i="5"/>
  <c r="E230" i="2"/>
  <c r="B134" i="1"/>
  <c r="C133" i="1"/>
  <c r="D133" i="1"/>
  <c r="D231" i="1"/>
  <c r="B232" i="1"/>
  <c r="C231" i="1"/>
  <c r="C132" i="5"/>
  <c r="E132" i="2"/>
  <c r="V231" i="2"/>
  <c r="V133" i="2"/>
  <c r="AW231" i="1" l="1"/>
  <c r="BT231" i="1"/>
  <c r="T231" i="2" s="1"/>
  <c r="AW133" i="1"/>
  <c r="BT133" i="1"/>
  <c r="T133" i="2" s="1"/>
  <c r="U231" i="2"/>
  <c r="U133" i="2"/>
  <c r="C231" i="5"/>
  <c r="E231" i="2"/>
  <c r="C133" i="5"/>
  <c r="E133" i="2"/>
  <c r="D232" i="1"/>
  <c r="B233" i="1"/>
  <c r="C232" i="1"/>
  <c r="D134" i="1"/>
  <c r="C134" i="1"/>
  <c r="B135" i="1"/>
  <c r="V134" i="2"/>
  <c r="V232" i="2"/>
  <c r="AW232" i="1" l="1"/>
  <c r="BT232" i="1"/>
  <c r="T232" i="2" s="1"/>
  <c r="AW134" i="1"/>
  <c r="BT134" i="1"/>
  <c r="T134" i="2" s="1"/>
  <c r="U134" i="2"/>
  <c r="U232" i="2"/>
  <c r="C232" i="5"/>
  <c r="E232" i="2"/>
  <c r="D135" i="1"/>
  <c r="B136" i="1"/>
  <c r="C135" i="1"/>
  <c r="D233" i="1"/>
  <c r="B234" i="1"/>
  <c r="C233" i="1"/>
  <c r="C134" i="5"/>
  <c r="E134" i="2"/>
  <c r="V233" i="2"/>
  <c r="V135" i="2"/>
  <c r="AW233" i="1" l="1"/>
  <c r="BT233" i="1"/>
  <c r="T233" i="2" s="1"/>
  <c r="AW135" i="1"/>
  <c r="BT135" i="1"/>
  <c r="T135" i="2" s="1"/>
  <c r="U135" i="2"/>
  <c r="U233" i="2"/>
  <c r="C135" i="5"/>
  <c r="E135" i="2"/>
  <c r="C233" i="5"/>
  <c r="E233" i="2"/>
  <c r="D136" i="1"/>
  <c r="B137" i="1"/>
  <c r="C136" i="1"/>
  <c r="B235" i="1"/>
  <c r="C234" i="1"/>
  <c r="D234" i="1"/>
  <c r="V136" i="2"/>
  <c r="V234" i="2"/>
  <c r="AW234" i="1" l="1"/>
  <c r="BT234" i="1"/>
  <c r="T234" i="2" s="1"/>
  <c r="AW136" i="1"/>
  <c r="BT136" i="1"/>
  <c r="T136" i="2" s="1"/>
  <c r="U234" i="2"/>
  <c r="U136" i="2"/>
  <c r="B138" i="1"/>
  <c r="C137" i="1"/>
  <c r="D137" i="1"/>
  <c r="C234" i="5"/>
  <c r="E234" i="2"/>
  <c r="D235" i="1"/>
  <c r="B236" i="1"/>
  <c r="C235" i="1"/>
  <c r="C136" i="5"/>
  <c r="E136" i="2"/>
  <c r="V235" i="2"/>
  <c r="V137" i="2"/>
  <c r="AW235" i="1" l="1"/>
  <c r="BT235" i="1"/>
  <c r="T235" i="2" s="1"/>
  <c r="AW137" i="1"/>
  <c r="BT137" i="1"/>
  <c r="T137" i="2" s="1"/>
  <c r="U235" i="2"/>
  <c r="U137" i="2"/>
  <c r="C235" i="5"/>
  <c r="E235" i="2"/>
  <c r="D138" i="1"/>
  <c r="C138" i="1"/>
  <c r="B139" i="1"/>
  <c r="D236" i="1"/>
  <c r="B237" i="1"/>
  <c r="C236" i="1"/>
  <c r="C137" i="5"/>
  <c r="E137" i="2"/>
  <c r="V138" i="2"/>
  <c r="V236" i="2"/>
  <c r="AW236" i="1" l="1"/>
  <c r="BT236" i="1"/>
  <c r="T236" i="2" s="1"/>
  <c r="AW138" i="1"/>
  <c r="BT138" i="1"/>
  <c r="T138" i="2" s="1"/>
  <c r="U236" i="2"/>
  <c r="U138" i="2"/>
  <c r="D139" i="1"/>
  <c r="B140" i="1"/>
  <c r="C139" i="1"/>
  <c r="C236" i="5"/>
  <c r="E236" i="2"/>
  <c r="C138" i="5"/>
  <c r="E138" i="2"/>
  <c r="D237" i="1"/>
  <c r="B238" i="1"/>
  <c r="C237" i="1"/>
  <c r="V139" i="2"/>
  <c r="V237" i="2"/>
  <c r="AW237" i="1" l="1"/>
  <c r="BT237" i="1"/>
  <c r="T237" i="2" s="1"/>
  <c r="AW139" i="1"/>
  <c r="BT139" i="1"/>
  <c r="T139" i="2" s="1"/>
  <c r="U237" i="2"/>
  <c r="U139" i="2"/>
  <c r="B239" i="1"/>
  <c r="C238" i="1"/>
  <c r="D238" i="1"/>
  <c r="D140" i="1"/>
  <c r="B141" i="1"/>
  <c r="C140" i="1"/>
  <c r="C237" i="5"/>
  <c r="E237" i="2"/>
  <c r="C139" i="5"/>
  <c r="E139" i="2"/>
  <c r="V140" i="2"/>
  <c r="V238" i="2"/>
  <c r="AW140" i="1" l="1"/>
  <c r="BT140" i="1"/>
  <c r="T140" i="2" s="1"/>
  <c r="AW238" i="1"/>
  <c r="BT238" i="1"/>
  <c r="T238" i="2" s="1"/>
  <c r="U140" i="2"/>
  <c r="U238" i="2"/>
  <c r="C140" i="5"/>
  <c r="E140" i="2"/>
  <c r="C238" i="5"/>
  <c r="E238" i="2"/>
  <c r="B142" i="1"/>
  <c r="C141" i="1"/>
  <c r="D141" i="1"/>
  <c r="D239" i="1"/>
  <c r="B240" i="1"/>
  <c r="C239" i="1"/>
  <c r="V239" i="2"/>
  <c r="V141" i="2"/>
  <c r="AW239" i="1" l="1"/>
  <c r="BT239" i="1"/>
  <c r="T239" i="2" s="1"/>
  <c r="AW141" i="1"/>
  <c r="BT141" i="1"/>
  <c r="T141" i="2" s="1"/>
  <c r="U239" i="2"/>
  <c r="U141" i="2"/>
  <c r="C239" i="5"/>
  <c r="E239" i="2"/>
  <c r="C141" i="5"/>
  <c r="E141" i="2"/>
  <c r="D240" i="1"/>
  <c r="B241" i="1"/>
  <c r="C240" i="1"/>
  <c r="D142" i="1"/>
  <c r="B143" i="1"/>
  <c r="C142" i="1"/>
  <c r="V142" i="2"/>
  <c r="V240" i="2"/>
  <c r="AW240" i="1" l="1"/>
  <c r="BT240" i="1"/>
  <c r="T240" i="2" s="1"/>
  <c r="AW142" i="1"/>
  <c r="BT142" i="1"/>
  <c r="T142" i="2" s="1"/>
  <c r="U240" i="2"/>
  <c r="U142" i="2"/>
  <c r="C142" i="5"/>
  <c r="E142" i="2"/>
  <c r="D241" i="1"/>
  <c r="B242" i="1"/>
  <c r="C241" i="1"/>
  <c r="D143" i="1"/>
  <c r="B144" i="1"/>
  <c r="C143" i="1"/>
  <c r="C240" i="5"/>
  <c r="E240" i="2"/>
  <c r="V241" i="2"/>
  <c r="V143" i="2"/>
  <c r="AW143" i="1" l="1"/>
  <c r="BT143" i="1"/>
  <c r="T143" i="2" s="1"/>
  <c r="AW241" i="1"/>
  <c r="BT241" i="1"/>
  <c r="T241" i="2" s="1"/>
  <c r="U143" i="2"/>
  <c r="U241" i="2"/>
  <c r="C241" i="5"/>
  <c r="E241" i="2"/>
  <c r="C143" i="5"/>
  <c r="E143" i="2"/>
  <c r="B243" i="1"/>
  <c r="C242" i="1"/>
  <c r="D242" i="1"/>
  <c r="D144" i="1"/>
  <c r="B145" i="1"/>
  <c r="C144" i="1"/>
  <c r="V144" i="2"/>
  <c r="V242" i="2"/>
  <c r="AW144" i="1" l="1"/>
  <c r="BT144" i="1"/>
  <c r="T144" i="2" s="1"/>
  <c r="AW242" i="1"/>
  <c r="BT242" i="1"/>
  <c r="T242" i="2" s="1"/>
  <c r="U144" i="2"/>
  <c r="U242" i="2"/>
  <c r="D243" i="1"/>
  <c r="B244" i="1"/>
  <c r="C243" i="1"/>
  <c r="B146" i="1"/>
  <c r="C145" i="1"/>
  <c r="D145" i="1"/>
  <c r="C144" i="5"/>
  <c r="E144" i="2"/>
  <c r="C242" i="5"/>
  <c r="E242" i="2"/>
  <c r="V145" i="2"/>
  <c r="V243" i="2"/>
  <c r="AW145" i="1" l="1"/>
  <c r="BT145" i="1"/>
  <c r="T145" i="2" s="1"/>
  <c r="AW243" i="1"/>
  <c r="BT243" i="1"/>
  <c r="T243" i="2" s="1"/>
  <c r="U243" i="2"/>
  <c r="U145" i="2"/>
  <c r="C145" i="5"/>
  <c r="E145" i="2"/>
  <c r="D244" i="1"/>
  <c r="B245" i="1"/>
  <c r="C244" i="1"/>
  <c r="D146" i="1"/>
  <c r="B147" i="1"/>
  <c r="C146" i="1"/>
  <c r="C243" i="5"/>
  <c r="E243" i="2"/>
  <c r="V244" i="2"/>
  <c r="V146" i="2"/>
  <c r="AW146" i="1" l="1"/>
  <c r="BT146" i="1"/>
  <c r="T146" i="2" s="1"/>
  <c r="AW244" i="1"/>
  <c r="BT244" i="1"/>
  <c r="T244" i="2" s="1"/>
  <c r="U146" i="2"/>
  <c r="U244" i="2"/>
  <c r="C244" i="5"/>
  <c r="E244" i="2"/>
  <c r="C146" i="5"/>
  <c r="E146" i="2"/>
  <c r="D245" i="1"/>
  <c r="B246" i="1"/>
  <c r="C245" i="1"/>
  <c r="D147" i="1"/>
  <c r="B148" i="1"/>
  <c r="C147" i="1"/>
  <c r="V245" i="2"/>
  <c r="V147" i="2"/>
  <c r="AW245" i="1" l="1"/>
  <c r="BT245" i="1"/>
  <c r="T245" i="2" s="1"/>
  <c r="AW147" i="1"/>
  <c r="BT147" i="1"/>
  <c r="T147" i="2" s="1"/>
  <c r="U245" i="2"/>
  <c r="U147" i="2"/>
  <c r="D148" i="1"/>
  <c r="B149" i="1"/>
  <c r="C148" i="1"/>
  <c r="C245" i="5"/>
  <c r="E245" i="2"/>
  <c r="C147" i="5"/>
  <c r="E147" i="2"/>
  <c r="B247" i="1"/>
  <c r="C246" i="1"/>
  <c r="D246" i="1"/>
  <c r="V246" i="2"/>
  <c r="V148" i="2"/>
  <c r="AW246" i="1" l="1"/>
  <c r="BT246" i="1"/>
  <c r="T246" i="2" s="1"/>
  <c r="AW148" i="1"/>
  <c r="BT148" i="1"/>
  <c r="T148" i="2" s="1"/>
  <c r="U246" i="2"/>
  <c r="U148" i="2"/>
  <c r="C148" i="5"/>
  <c r="E148" i="2"/>
  <c r="D247" i="1"/>
  <c r="B248" i="1"/>
  <c r="C247" i="1"/>
  <c r="B150" i="1"/>
  <c r="C149" i="1"/>
  <c r="D149" i="1"/>
  <c r="C246" i="5"/>
  <c r="E246" i="2"/>
  <c r="V149" i="2"/>
  <c r="V247" i="2"/>
  <c r="AW149" i="1" l="1"/>
  <c r="BT149" i="1"/>
  <c r="T149" i="2" s="1"/>
  <c r="AW247" i="1"/>
  <c r="BT247" i="1"/>
  <c r="T247" i="2" s="1"/>
  <c r="U149" i="2"/>
  <c r="U247" i="2"/>
  <c r="C247" i="5"/>
  <c r="E247" i="2"/>
  <c r="C149" i="5"/>
  <c r="E149" i="2"/>
  <c r="D248" i="1"/>
  <c r="B249" i="1"/>
  <c r="C248" i="1"/>
  <c r="D150" i="1"/>
  <c r="B151" i="1"/>
  <c r="C150" i="1"/>
  <c r="V150" i="2"/>
  <c r="V248" i="2"/>
  <c r="AW248" i="1" l="1"/>
  <c r="BT248" i="1"/>
  <c r="T248" i="2" s="1"/>
  <c r="AW150" i="1"/>
  <c r="BT150" i="1"/>
  <c r="T150" i="2" s="1"/>
  <c r="U248" i="2"/>
  <c r="U150" i="2"/>
  <c r="C248" i="5"/>
  <c r="E248" i="2"/>
  <c r="D151" i="1"/>
  <c r="B152" i="1"/>
  <c r="C151" i="1"/>
  <c r="C150" i="5"/>
  <c r="E150" i="2"/>
  <c r="D249" i="1"/>
  <c r="B250" i="1"/>
  <c r="C249" i="1"/>
  <c r="V249" i="2"/>
  <c r="V151" i="2"/>
  <c r="AW249" i="1" l="1"/>
  <c r="BT249" i="1"/>
  <c r="T249" i="2" s="1"/>
  <c r="AW151" i="1"/>
  <c r="BT151" i="1"/>
  <c r="T151" i="2" s="1"/>
  <c r="U151" i="2"/>
  <c r="U249" i="2"/>
  <c r="D152" i="1"/>
  <c r="B153" i="1"/>
  <c r="C152" i="1"/>
  <c r="C249" i="5"/>
  <c r="E249" i="2"/>
  <c r="B251" i="1"/>
  <c r="C250" i="1"/>
  <c r="D250" i="1"/>
  <c r="C151" i="5"/>
  <c r="E151" i="2"/>
  <c r="V152" i="2"/>
  <c r="V250" i="2"/>
  <c r="AW250" i="1" l="1"/>
  <c r="BT250" i="1"/>
  <c r="T250" i="2" s="1"/>
  <c r="AW152" i="1"/>
  <c r="BT152" i="1"/>
  <c r="T152" i="2" s="1"/>
  <c r="U250" i="2"/>
  <c r="U152" i="2"/>
  <c r="B154" i="1"/>
  <c r="C153" i="1"/>
  <c r="D153" i="1"/>
  <c r="C250" i="5"/>
  <c r="E250" i="2"/>
  <c r="D251" i="1"/>
  <c r="B252" i="1"/>
  <c r="C251" i="1"/>
  <c r="C152" i="5"/>
  <c r="E152" i="2"/>
  <c r="V251" i="2"/>
  <c r="V153" i="2"/>
  <c r="AW251" i="1" l="1"/>
  <c r="BT251" i="1"/>
  <c r="T251" i="2" s="1"/>
  <c r="AW153" i="1"/>
  <c r="BT153" i="1"/>
  <c r="T153" i="2" s="1"/>
  <c r="U251" i="2"/>
  <c r="U153" i="2"/>
  <c r="C251" i="5"/>
  <c r="E251" i="2"/>
  <c r="D154" i="1"/>
  <c r="B155" i="1"/>
  <c r="C154" i="1"/>
  <c r="D252" i="1"/>
  <c r="B253" i="1"/>
  <c r="C252" i="1"/>
  <c r="C153" i="5"/>
  <c r="E153" i="2"/>
  <c r="V252" i="2"/>
  <c r="V154" i="2"/>
  <c r="AW252" i="1" l="1"/>
  <c r="BT252" i="1"/>
  <c r="T252" i="2" s="1"/>
  <c r="AW154" i="1"/>
  <c r="BT154" i="1"/>
  <c r="T154" i="2" s="1"/>
  <c r="U154" i="2"/>
  <c r="U252" i="2"/>
  <c r="D253" i="1"/>
  <c r="B254" i="1"/>
  <c r="C253" i="1"/>
  <c r="C154" i="5"/>
  <c r="E154" i="2"/>
  <c r="C252" i="5"/>
  <c r="E252" i="2"/>
  <c r="D155" i="1"/>
  <c r="B156" i="1"/>
  <c r="C155" i="1"/>
  <c r="V253" i="2"/>
  <c r="V155" i="2"/>
  <c r="AW155" i="1" l="1"/>
  <c r="BT155" i="1"/>
  <c r="T155" i="2" s="1"/>
  <c r="AW253" i="1"/>
  <c r="BT253" i="1"/>
  <c r="T253" i="2" s="1"/>
  <c r="U155" i="2"/>
  <c r="U253" i="2"/>
  <c r="D156" i="1"/>
  <c r="B157" i="1"/>
  <c r="C156" i="1"/>
  <c r="B255" i="1"/>
  <c r="C254" i="1"/>
  <c r="D254" i="1"/>
  <c r="C155" i="5"/>
  <c r="E155" i="2"/>
  <c r="C253" i="5"/>
  <c r="E253" i="2"/>
  <c r="V254" i="2"/>
  <c r="V156" i="2"/>
  <c r="AW156" i="1" l="1"/>
  <c r="BT156" i="1"/>
  <c r="T156" i="2" s="1"/>
  <c r="AW254" i="1"/>
  <c r="BT254" i="1"/>
  <c r="T254" i="2" s="1"/>
  <c r="U156" i="2"/>
  <c r="U254" i="2"/>
  <c r="C254" i="5"/>
  <c r="E254" i="2"/>
  <c r="B158" i="1"/>
  <c r="C157" i="1"/>
  <c r="D157" i="1"/>
  <c r="D255" i="1"/>
  <c r="B256" i="1"/>
  <c r="C255" i="1"/>
  <c r="C156" i="5"/>
  <c r="E156" i="2"/>
  <c r="V255" i="2"/>
  <c r="V157" i="2"/>
  <c r="AW157" i="1" l="1"/>
  <c r="BT157" i="1"/>
  <c r="T157" i="2" s="1"/>
  <c r="AW255" i="1"/>
  <c r="BT255" i="1"/>
  <c r="T255" i="2" s="1"/>
  <c r="U255" i="2"/>
  <c r="U157" i="2"/>
  <c r="C157" i="5"/>
  <c r="E157" i="2"/>
  <c r="C255" i="5"/>
  <c r="E255" i="2"/>
  <c r="D256" i="1"/>
  <c r="B257" i="1"/>
  <c r="C256" i="1"/>
  <c r="D158" i="1"/>
  <c r="B159" i="1"/>
  <c r="C158" i="1"/>
  <c r="V256" i="2"/>
  <c r="V158" i="2"/>
  <c r="AW256" i="1" l="1"/>
  <c r="BT256" i="1"/>
  <c r="T256" i="2" s="1"/>
  <c r="AW158" i="1"/>
  <c r="BT158" i="1"/>
  <c r="T158" i="2" s="1"/>
  <c r="U158" i="2"/>
  <c r="U256" i="2"/>
  <c r="D159" i="1"/>
  <c r="B160" i="1"/>
  <c r="C159" i="1"/>
  <c r="C256" i="5"/>
  <c r="E256" i="2"/>
  <c r="C158" i="5"/>
  <c r="E158" i="2"/>
  <c r="D257" i="1"/>
  <c r="B258" i="1"/>
  <c r="C257" i="1"/>
  <c r="V257" i="2"/>
  <c r="V159" i="2"/>
  <c r="AW159" i="1" l="1"/>
  <c r="BT159" i="1"/>
  <c r="T159" i="2" s="1"/>
  <c r="AW257" i="1"/>
  <c r="BT257" i="1"/>
  <c r="T257" i="2" s="1"/>
  <c r="U257" i="2"/>
  <c r="U159" i="2"/>
  <c r="B259" i="1"/>
  <c r="C258" i="1"/>
  <c r="D258" i="1"/>
  <c r="D160" i="1"/>
  <c r="B161" i="1"/>
  <c r="C160" i="1"/>
  <c r="C257" i="5"/>
  <c r="E257" i="2"/>
  <c r="C159" i="5"/>
  <c r="E159" i="2"/>
  <c r="V160" i="2"/>
  <c r="V258" i="2"/>
  <c r="AW160" i="1" l="1"/>
  <c r="BT160" i="1"/>
  <c r="T160" i="2" s="1"/>
  <c r="AW258" i="1"/>
  <c r="BT258" i="1"/>
  <c r="T258" i="2" s="1"/>
  <c r="U160" i="2"/>
  <c r="U258" i="2"/>
  <c r="C160" i="5"/>
  <c r="E160" i="2"/>
  <c r="C258" i="5"/>
  <c r="E258" i="2"/>
  <c r="B162" i="1"/>
  <c r="C161" i="1"/>
  <c r="D161" i="1"/>
  <c r="D259" i="1"/>
  <c r="B260" i="1"/>
  <c r="C259" i="1"/>
  <c r="V161" i="2"/>
  <c r="V259" i="2"/>
  <c r="AW259" i="1" l="1"/>
  <c r="BT259" i="1"/>
  <c r="T259" i="2" s="1"/>
  <c r="AW161" i="1"/>
  <c r="BT161" i="1"/>
  <c r="T161" i="2" s="1"/>
  <c r="U259" i="2"/>
  <c r="U161" i="2"/>
  <c r="C259" i="5"/>
  <c r="E259" i="2"/>
  <c r="C161" i="5"/>
  <c r="E161" i="2"/>
  <c r="D260" i="1"/>
  <c r="B261" i="1"/>
  <c r="C260" i="1"/>
  <c r="D162" i="1"/>
  <c r="B163" i="1"/>
  <c r="C162" i="1"/>
  <c r="V162" i="2"/>
  <c r="V260" i="2"/>
  <c r="AW260" i="1" l="1"/>
  <c r="BT260" i="1"/>
  <c r="T260" i="2" s="1"/>
  <c r="AW162" i="1"/>
  <c r="BT162" i="1"/>
  <c r="T162" i="2" s="1"/>
  <c r="U260" i="2"/>
  <c r="U162" i="2"/>
  <c r="C162" i="5"/>
  <c r="E162" i="2"/>
  <c r="D261" i="1"/>
  <c r="B262" i="1"/>
  <c r="C261" i="1"/>
  <c r="E261" i="2" s="1"/>
  <c r="D163" i="1"/>
  <c r="C163" i="1"/>
  <c r="C260" i="5"/>
  <c r="E260" i="2"/>
  <c r="V163" i="2"/>
  <c r="V261" i="2"/>
  <c r="AW163" i="1" l="1"/>
  <c r="BT163" i="1"/>
  <c r="T163" i="2" s="1"/>
  <c r="AW261" i="1"/>
  <c r="BT261" i="1"/>
  <c r="T261" i="2" s="1"/>
  <c r="U163" i="2"/>
  <c r="U261" i="2"/>
  <c r="B263" i="1"/>
  <c r="C262" i="1"/>
  <c r="E262" i="2" s="1"/>
  <c r="D262" i="1"/>
  <c r="C163" i="5"/>
  <c r="E163" i="2"/>
  <c r="V262" i="2"/>
  <c r="AW262" i="1" l="1"/>
  <c r="BT262" i="1"/>
  <c r="T262" i="2" s="1"/>
  <c r="U262" i="2"/>
  <c r="D263" i="1"/>
  <c r="B264" i="1"/>
  <c r="C263" i="1"/>
  <c r="E263" i="2" s="1"/>
  <c r="V263" i="2"/>
  <c r="AW263" i="1" l="1"/>
  <c r="BT263" i="1"/>
  <c r="T263" i="2" s="1"/>
  <c r="U263" i="2"/>
  <c r="D264" i="1"/>
  <c r="B265" i="1"/>
  <c r="C264" i="1"/>
  <c r="E264" i="2" s="1"/>
  <c r="V264" i="2"/>
  <c r="AW264" i="1" l="1"/>
  <c r="BT264" i="1"/>
  <c r="T264" i="2" s="1"/>
  <c r="U264" i="2"/>
  <c r="D265" i="1"/>
  <c r="B266" i="1"/>
  <c r="C265" i="1"/>
  <c r="E265" i="2" s="1"/>
  <c r="V265" i="2"/>
  <c r="AW265" i="1" l="1"/>
  <c r="BT265" i="1"/>
  <c r="T265" i="2" s="1"/>
  <c r="U265" i="2"/>
  <c r="B267" i="1"/>
  <c r="C266" i="1"/>
  <c r="E266" i="2" s="1"/>
  <c r="D266" i="1"/>
  <c r="V266" i="2"/>
  <c r="AW266" i="1" l="1"/>
  <c r="BT266" i="1"/>
  <c r="T266" i="2" s="1"/>
  <c r="U266" i="2"/>
  <c r="D267" i="1"/>
  <c r="B268" i="1"/>
  <c r="C267" i="1"/>
  <c r="E267" i="2" s="1"/>
  <c r="V267" i="2"/>
  <c r="AW267" i="1" l="1"/>
  <c r="BT267" i="1"/>
  <c r="T267" i="2" s="1"/>
  <c r="U267" i="2"/>
  <c r="D268" i="1"/>
  <c r="B269" i="1"/>
  <c r="C268" i="1"/>
  <c r="E268" i="2" s="1"/>
  <c r="V268" i="2"/>
  <c r="AW268" i="1" l="1"/>
  <c r="BT268" i="1"/>
  <c r="T268" i="2" s="1"/>
  <c r="U268" i="2"/>
  <c r="D269" i="1"/>
  <c r="B270" i="1"/>
  <c r="C269" i="1"/>
  <c r="E269" i="2" s="1"/>
  <c r="V269" i="2"/>
  <c r="AW269" i="1" l="1"/>
  <c r="BT269" i="1"/>
  <c r="T269" i="2" s="1"/>
  <c r="U269" i="2"/>
  <c r="B271" i="1"/>
  <c r="C270" i="1"/>
  <c r="E270" i="2" s="1"/>
  <c r="D270" i="1"/>
  <c r="V270" i="2"/>
  <c r="AW270" i="1" l="1"/>
  <c r="BT270" i="1"/>
  <c r="T270" i="2" s="1"/>
  <c r="U270" i="2"/>
  <c r="D271" i="1"/>
  <c r="B272" i="1"/>
  <c r="C271" i="1"/>
  <c r="E271" i="2" s="1"/>
  <c r="V271" i="2"/>
  <c r="AW271" i="1" l="1"/>
  <c r="BT271" i="1"/>
  <c r="T271" i="2" s="1"/>
  <c r="U271" i="2"/>
  <c r="D272" i="1"/>
  <c r="B273" i="1"/>
  <c r="C272" i="1"/>
  <c r="E272" i="2" s="1"/>
  <c r="V272" i="2"/>
  <c r="AW272" i="1" l="1"/>
  <c r="BT272" i="1"/>
  <c r="T272" i="2" s="1"/>
  <c r="U272" i="2"/>
  <c r="D273" i="1"/>
  <c r="B274" i="1"/>
  <c r="C273" i="1"/>
  <c r="E273" i="2" s="1"/>
  <c r="V273" i="2"/>
  <c r="AW273" i="1" l="1"/>
  <c r="BT273" i="1"/>
  <c r="T273" i="2" s="1"/>
  <c r="U273" i="2"/>
  <c r="B275" i="1"/>
  <c r="C274" i="1"/>
  <c r="E274" i="2" s="1"/>
  <c r="D274" i="1"/>
  <c r="V274" i="2"/>
  <c r="AW274" i="1" l="1"/>
  <c r="BT274" i="1"/>
  <c r="T274" i="2" s="1"/>
  <c r="U274" i="2"/>
  <c r="D275" i="1"/>
  <c r="B276" i="1"/>
  <c r="C275" i="1"/>
  <c r="E275" i="2" s="1"/>
  <c r="V275" i="2"/>
  <c r="AW275" i="1" l="1"/>
  <c r="BT275" i="1"/>
  <c r="T275" i="2" s="1"/>
  <c r="U275" i="2"/>
  <c r="D276" i="1"/>
  <c r="B277" i="1"/>
  <c r="C276" i="1"/>
  <c r="E276" i="2" s="1"/>
  <c r="V276" i="2"/>
  <c r="AW276" i="1" l="1"/>
  <c r="BT276" i="1"/>
  <c r="T276" i="2" s="1"/>
  <c r="U276" i="2"/>
  <c r="D277" i="1"/>
  <c r="B278" i="1"/>
  <c r="C277" i="1"/>
  <c r="E277" i="2" s="1"/>
  <c r="V277" i="2"/>
  <c r="AW277" i="1" l="1"/>
  <c r="BT277" i="1"/>
  <c r="T277" i="2" s="1"/>
  <c r="U277" i="2"/>
  <c r="B279" i="1"/>
  <c r="C278" i="1"/>
  <c r="E278" i="2" s="1"/>
  <c r="D278" i="1"/>
  <c r="V278" i="2"/>
  <c r="AW278" i="1" l="1"/>
  <c r="BT278" i="1"/>
  <c r="T278" i="2" s="1"/>
  <c r="U278" i="2"/>
  <c r="D279" i="1"/>
  <c r="B280" i="1"/>
  <c r="C279" i="1"/>
  <c r="E279" i="2" s="1"/>
  <c r="V279" i="2"/>
  <c r="AW279" i="1" l="1"/>
  <c r="BT279" i="1"/>
  <c r="T279" i="2" s="1"/>
  <c r="U279" i="2"/>
  <c r="D280" i="1"/>
  <c r="B281" i="1"/>
  <c r="C280" i="1"/>
  <c r="E280" i="2" s="1"/>
  <c r="V280" i="2"/>
  <c r="AW280" i="1" l="1"/>
  <c r="BT280" i="1"/>
  <c r="T280" i="2" s="1"/>
  <c r="U280" i="2"/>
  <c r="D281" i="1"/>
  <c r="B282" i="1"/>
  <c r="C281" i="1"/>
  <c r="E281" i="2" s="1"/>
  <c r="V281" i="2"/>
  <c r="AW281" i="1" l="1"/>
  <c r="BT281" i="1"/>
  <c r="T281" i="2" s="1"/>
  <c r="U281" i="2"/>
  <c r="B283" i="1"/>
  <c r="C282" i="1"/>
  <c r="E282" i="2" s="1"/>
  <c r="D282" i="1"/>
  <c r="V282" i="2"/>
  <c r="AW282" i="1" l="1"/>
  <c r="BT282" i="1"/>
  <c r="T282" i="2" s="1"/>
  <c r="U282" i="2"/>
  <c r="D283" i="1"/>
  <c r="B284" i="1"/>
  <c r="C283" i="1"/>
  <c r="E283" i="2" s="1"/>
  <c r="V283" i="2"/>
  <c r="AW283" i="1" l="1"/>
  <c r="BT283" i="1"/>
  <c r="T283" i="2" s="1"/>
  <c r="U283" i="2"/>
  <c r="D284" i="1"/>
  <c r="B285" i="1"/>
  <c r="C284" i="1"/>
  <c r="E284" i="2" s="1"/>
  <c r="V284" i="2"/>
  <c r="AW284" i="1" l="1"/>
  <c r="BT284" i="1"/>
  <c r="T284" i="2" s="1"/>
  <c r="U284" i="2"/>
  <c r="D285" i="1"/>
  <c r="B286" i="1"/>
  <c r="C285" i="1"/>
  <c r="E285" i="2" s="1"/>
  <c r="V285" i="2"/>
  <c r="AW285" i="1" l="1"/>
  <c r="BT285" i="1"/>
  <c r="T285" i="2" s="1"/>
  <c r="U285" i="2"/>
  <c r="B287" i="1"/>
  <c r="C286" i="1"/>
  <c r="E286" i="2" s="1"/>
  <c r="D286" i="1"/>
  <c r="V286" i="2"/>
  <c r="AW286" i="1" l="1"/>
  <c r="BT286" i="1"/>
  <c r="T286" i="2" s="1"/>
  <c r="U286" i="2"/>
  <c r="D287" i="1"/>
  <c r="B288" i="1"/>
  <c r="C287" i="1"/>
  <c r="E287" i="2" s="1"/>
  <c r="V287" i="2"/>
  <c r="AW287" i="1" l="1"/>
  <c r="BT287" i="1"/>
  <c r="T287" i="2" s="1"/>
  <c r="U287" i="2"/>
  <c r="D288" i="1"/>
  <c r="B289" i="1"/>
  <c r="C288" i="1"/>
  <c r="E288" i="2" s="1"/>
  <c r="V288" i="2"/>
  <c r="AW288" i="1" l="1"/>
  <c r="BT288" i="1"/>
  <c r="T288" i="2" s="1"/>
  <c r="U288" i="2"/>
  <c r="D289" i="1"/>
  <c r="B290" i="1"/>
  <c r="C289" i="1"/>
  <c r="E289" i="2" s="1"/>
  <c r="V289" i="2"/>
  <c r="AW289" i="1" l="1"/>
  <c r="BT289" i="1"/>
  <c r="T289" i="2" s="1"/>
  <c r="U289" i="2"/>
  <c r="B291" i="1"/>
  <c r="C290" i="1"/>
  <c r="E290" i="2" s="1"/>
  <c r="D290" i="1"/>
  <c r="V290" i="2"/>
  <c r="AW290" i="1" l="1"/>
  <c r="BT290" i="1"/>
  <c r="T290" i="2" s="1"/>
  <c r="U290" i="2"/>
  <c r="D291" i="1"/>
  <c r="B292" i="1"/>
  <c r="C291" i="1"/>
  <c r="E291" i="2" s="1"/>
  <c r="V291" i="2"/>
  <c r="AW291" i="1" l="1"/>
  <c r="BT291" i="1"/>
  <c r="T291" i="2" s="1"/>
  <c r="U291" i="2"/>
  <c r="D292" i="1"/>
  <c r="B293" i="1"/>
  <c r="C292" i="1"/>
  <c r="E292" i="2" s="1"/>
  <c r="V292" i="2"/>
  <c r="AW292" i="1" l="1"/>
  <c r="BT292" i="1"/>
  <c r="T292" i="2" s="1"/>
  <c r="U292" i="2"/>
  <c r="D293" i="1"/>
  <c r="B294" i="1"/>
  <c r="C293" i="1"/>
  <c r="E293" i="2" s="1"/>
  <c r="V293" i="2"/>
  <c r="AW293" i="1" l="1"/>
  <c r="BT293" i="1"/>
  <c r="T293" i="2" s="1"/>
  <c r="U293" i="2"/>
  <c r="B295" i="1"/>
  <c r="C294" i="1"/>
  <c r="E294" i="2" s="1"/>
  <c r="D294" i="1"/>
  <c r="V294" i="2"/>
  <c r="AW294" i="1" l="1"/>
  <c r="BT294" i="1"/>
  <c r="T294" i="2" s="1"/>
  <c r="U294" i="2"/>
  <c r="D295" i="1"/>
  <c r="B296" i="1"/>
  <c r="C295" i="1"/>
  <c r="E295" i="2" s="1"/>
  <c r="V295" i="2"/>
  <c r="AW295" i="1" l="1"/>
  <c r="BT295" i="1"/>
  <c r="T295" i="2" s="1"/>
  <c r="U295" i="2"/>
  <c r="D296" i="1"/>
  <c r="B297" i="1"/>
  <c r="C296" i="1"/>
  <c r="E296" i="2" s="1"/>
  <c r="V296" i="2"/>
  <c r="AW296" i="1" l="1"/>
  <c r="BT296" i="1"/>
  <c r="T296" i="2" s="1"/>
  <c r="U296" i="2"/>
  <c r="D297" i="1"/>
  <c r="B298" i="1"/>
  <c r="C297" i="1"/>
  <c r="E297" i="2" s="1"/>
  <c r="V297" i="2"/>
  <c r="AW297" i="1" l="1"/>
  <c r="BT297" i="1"/>
  <c r="T297" i="2" s="1"/>
  <c r="U297" i="2"/>
  <c r="B299" i="1"/>
  <c r="C298" i="1"/>
  <c r="E298" i="2" s="1"/>
  <c r="D298" i="1"/>
  <c r="V298" i="2"/>
  <c r="AW298" i="1" l="1"/>
  <c r="BT298" i="1"/>
  <c r="T298" i="2" s="1"/>
  <c r="U298" i="2"/>
  <c r="D299" i="1"/>
  <c r="B300" i="1"/>
  <c r="C299" i="1"/>
  <c r="E299" i="2" s="1"/>
  <c r="V299" i="2"/>
  <c r="AW299" i="1" l="1"/>
  <c r="BT299" i="1"/>
  <c r="T299" i="2" s="1"/>
  <c r="U299" i="2"/>
  <c r="D300" i="1"/>
  <c r="B301" i="1"/>
  <c r="C300" i="1"/>
  <c r="E300" i="2" s="1"/>
  <c r="V300" i="2"/>
  <c r="AW300" i="1" l="1"/>
  <c r="BT300" i="1"/>
  <c r="T300" i="2" s="1"/>
  <c r="U300" i="2"/>
  <c r="D301" i="1"/>
  <c r="B302" i="1"/>
  <c r="C301" i="1"/>
  <c r="E301" i="2" s="1"/>
  <c r="V301" i="2"/>
  <c r="AW301" i="1" l="1"/>
  <c r="BT301" i="1"/>
  <c r="T301" i="2" s="1"/>
  <c r="U301" i="2"/>
  <c r="B303" i="1"/>
  <c r="C302" i="1"/>
  <c r="E302" i="2" s="1"/>
  <c r="D302" i="1"/>
  <c r="V302" i="2"/>
  <c r="AW302" i="1" l="1"/>
  <c r="BT302" i="1"/>
  <c r="T302" i="2" s="1"/>
  <c r="U302" i="2"/>
  <c r="D303" i="1"/>
  <c r="B304" i="1"/>
  <c r="C303" i="1"/>
  <c r="E303" i="2" s="1"/>
  <c r="V303" i="2"/>
  <c r="AW303" i="1" l="1"/>
  <c r="BT303" i="1"/>
  <c r="T303" i="2" s="1"/>
  <c r="U303" i="2"/>
  <c r="D304" i="1"/>
  <c r="B305" i="1"/>
  <c r="C304" i="1"/>
  <c r="E304" i="2" s="1"/>
  <c r="V304" i="2"/>
  <c r="AW304" i="1" l="1"/>
  <c r="BT304" i="1"/>
  <c r="T304" i="2" s="1"/>
  <c r="U304" i="2"/>
  <c r="D305" i="1"/>
  <c r="B306" i="1"/>
  <c r="C305" i="1"/>
  <c r="E305" i="2" s="1"/>
  <c r="V305" i="2"/>
  <c r="AW305" i="1" l="1"/>
  <c r="BT305" i="1"/>
  <c r="T305" i="2" s="1"/>
  <c r="U305" i="2"/>
  <c r="B307" i="1"/>
  <c r="C306" i="1"/>
  <c r="E306" i="2" s="1"/>
  <c r="D306" i="1"/>
  <c r="V306" i="2"/>
  <c r="AW306" i="1" l="1"/>
  <c r="BT306" i="1"/>
  <c r="T306" i="2" s="1"/>
  <c r="U306" i="2"/>
  <c r="D307" i="1"/>
  <c r="B308" i="1"/>
  <c r="C307" i="1"/>
  <c r="E307" i="2" s="1"/>
  <c r="V307" i="2"/>
  <c r="AW307" i="1" l="1"/>
  <c r="BT307" i="1"/>
  <c r="T307" i="2" s="1"/>
  <c r="U307" i="2"/>
  <c r="D308" i="1"/>
  <c r="B309" i="1"/>
  <c r="C308" i="1"/>
  <c r="E308" i="2" s="1"/>
  <c r="V308" i="2"/>
  <c r="AW308" i="1" l="1"/>
  <c r="BT308" i="1"/>
  <c r="T308" i="2" s="1"/>
  <c r="U308" i="2"/>
  <c r="D309" i="1"/>
  <c r="B310" i="1"/>
  <c r="C309" i="1"/>
  <c r="E309" i="2" s="1"/>
  <c r="V309" i="2"/>
  <c r="AW309" i="1" l="1"/>
  <c r="BT309" i="1"/>
  <c r="T309" i="2" s="1"/>
  <c r="U309" i="2"/>
  <c r="B311" i="1"/>
  <c r="C310" i="1"/>
  <c r="E310" i="2" s="1"/>
  <c r="D310" i="1"/>
  <c r="V310" i="2"/>
  <c r="AW310" i="1" l="1"/>
  <c r="BT310" i="1"/>
  <c r="T310" i="2" s="1"/>
  <c r="U310" i="2"/>
  <c r="D311" i="1"/>
  <c r="B312" i="1"/>
  <c r="C311" i="1"/>
  <c r="E311" i="2" s="1"/>
  <c r="V311" i="2"/>
  <c r="AW311" i="1" l="1"/>
  <c r="BT311" i="1"/>
  <c r="T311" i="2" s="1"/>
  <c r="U311" i="2"/>
  <c r="D312" i="1"/>
  <c r="B313" i="1"/>
  <c r="C312" i="1"/>
  <c r="E312" i="2" s="1"/>
  <c r="V312" i="2"/>
  <c r="AW312" i="1" l="1"/>
  <c r="BT312" i="1"/>
  <c r="T312" i="2" s="1"/>
  <c r="U312" i="2"/>
  <c r="D313" i="1"/>
  <c r="B314" i="1"/>
  <c r="C313" i="1"/>
  <c r="E313" i="2" s="1"/>
  <c r="V313" i="2"/>
  <c r="AW313" i="1" l="1"/>
  <c r="BT313" i="1"/>
  <c r="T313" i="2" s="1"/>
  <c r="U313" i="2"/>
  <c r="B315" i="1"/>
  <c r="C314" i="1"/>
  <c r="E314" i="2" s="1"/>
  <c r="D314" i="1"/>
  <c r="V314" i="2"/>
  <c r="AW314" i="1" l="1"/>
  <c r="BT314" i="1"/>
  <c r="T314" i="2" s="1"/>
  <c r="U314" i="2"/>
  <c r="D315" i="1"/>
  <c r="B316" i="1"/>
  <c r="C315" i="1"/>
  <c r="E315" i="2" s="1"/>
  <c r="V315" i="2"/>
  <c r="AW315" i="1" l="1"/>
  <c r="BT315" i="1"/>
  <c r="T315" i="2" s="1"/>
  <c r="U315" i="2"/>
  <c r="D316" i="1"/>
  <c r="B317" i="1"/>
  <c r="C316" i="1"/>
  <c r="E316" i="2" s="1"/>
  <c r="V316" i="2"/>
  <c r="AW316" i="1" l="1"/>
  <c r="BT316" i="1"/>
  <c r="T316" i="2" s="1"/>
  <c r="U316" i="2"/>
  <c r="D317" i="1"/>
  <c r="B318" i="1"/>
  <c r="C317" i="1"/>
  <c r="E317" i="2" s="1"/>
  <c r="V317" i="2"/>
  <c r="AW317" i="1" l="1"/>
  <c r="BT317" i="1"/>
  <c r="T317" i="2" s="1"/>
  <c r="U317" i="2"/>
  <c r="B319" i="1"/>
  <c r="C318" i="1"/>
  <c r="E318" i="2" s="1"/>
  <c r="D318" i="1"/>
  <c r="V318" i="2"/>
  <c r="AW318" i="1" l="1"/>
  <c r="BT318" i="1"/>
  <c r="T318" i="2" s="1"/>
  <c r="U318" i="2"/>
  <c r="D319" i="1"/>
  <c r="B320" i="1"/>
  <c r="C319" i="1"/>
  <c r="E319" i="2" s="1"/>
  <c r="V319" i="2"/>
  <c r="AW319" i="1" l="1"/>
  <c r="BT319" i="1"/>
  <c r="T319" i="2" s="1"/>
  <c r="U319" i="2"/>
  <c r="D320" i="1"/>
  <c r="B321" i="1"/>
  <c r="C320" i="1"/>
  <c r="E320" i="2" s="1"/>
  <c r="V320" i="2"/>
  <c r="AW320" i="1" l="1"/>
  <c r="BT320" i="1"/>
  <c r="T320" i="2" s="1"/>
  <c r="U320" i="2"/>
  <c r="D321" i="1"/>
  <c r="B322" i="1"/>
  <c r="C321" i="1"/>
  <c r="E321" i="2" s="1"/>
  <c r="V321" i="2"/>
  <c r="AW321" i="1" l="1"/>
  <c r="BT321" i="1"/>
  <c r="T321" i="2" s="1"/>
  <c r="U321" i="2"/>
  <c r="B323" i="1"/>
  <c r="C322" i="1"/>
  <c r="E322" i="2" s="1"/>
  <c r="D322" i="1"/>
  <c r="V322" i="2"/>
  <c r="AW322" i="1" l="1"/>
  <c r="BT322" i="1"/>
  <c r="T322" i="2" s="1"/>
  <c r="U322" i="2"/>
  <c r="D323" i="1"/>
  <c r="B324" i="1"/>
  <c r="C323" i="1"/>
  <c r="E323" i="2" s="1"/>
  <c r="V323" i="2"/>
  <c r="AW323" i="1" l="1"/>
  <c r="BT323" i="1"/>
  <c r="T323" i="2" s="1"/>
  <c r="U323" i="2"/>
  <c r="D324" i="1"/>
  <c r="B325" i="1"/>
  <c r="C324" i="1"/>
  <c r="E324" i="2" s="1"/>
  <c r="V324" i="2"/>
  <c r="AW324" i="1" l="1"/>
  <c r="BT324" i="1"/>
  <c r="T324" i="2" s="1"/>
  <c r="U324" i="2"/>
  <c r="D325" i="1"/>
  <c r="B326" i="1"/>
  <c r="C325" i="1"/>
  <c r="E325" i="2" s="1"/>
  <c r="V325" i="2"/>
  <c r="AW325" i="1" l="1"/>
  <c r="BT325" i="1"/>
  <c r="T325" i="2" s="1"/>
  <c r="U325" i="2"/>
  <c r="B327" i="1"/>
  <c r="C326" i="1"/>
  <c r="E326" i="2" s="1"/>
  <c r="D326" i="1"/>
  <c r="V326" i="2"/>
  <c r="AW326" i="1" l="1"/>
  <c r="BT326" i="1"/>
  <c r="T326" i="2" s="1"/>
  <c r="U326" i="2"/>
  <c r="D327" i="1"/>
  <c r="B328" i="1"/>
  <c r="C327" i="1"/>
  <c r="E327" i="2" s="1"/>
  <c r="V327" i="2"/>
  <c r="AW327" i="1" l="1"/>
  <c r="BT327" i="1"/>
  <c r="T327" i="2" s="1"/>
  <c r="U327" i="2"/>
  <c r="D328" i="1"/>
  <c r="B329" i="1"/>
  <c r="C328" i="1"/>
  <c r="E328" i="2" s="1"/>
  <c r="V328" i="2"/>
  <c r="AW328" i="1" l="1"/>
  <c r="BT328" i="1"/>
  <c r="T328" i="2" s="1"/>
  <c r="U328" i="2"/>
  <c r="D329" i="1"/>
  <c r="B330" i="1"/>
  <c r="C329" i="1"/>
  <c r="E329" i="2" s="1"/>
  <c r="V329" i="2"/>
  <c r="AW329" i="1" l="1"/>
  <c r="BT329" i="1"/>
  <c r="T329" i="2" s="1"/>
  <c r="U329" i="2"/>
  <c r="B331" i="1"/>
  <c r="C330" i="1"/>
  <c r="E330" i="2" s="1"/>
  <c r="D330" i="1"/>
  <c r="V330" i="2"/>
  <c r="AW330" i="1" l="1"/>
  <c r="BT330" i="1"/>
  <c r="T330" i="2" s="1"/>
  <c r="U330" i="2"/>
  <c r="D331" i="1"/>
  <c r="B332" i="1"/>
  <c r="C331" i="1"/>
  <c r="E331" i="2" s="1"/>
  <c r="V331" i="2"/>
  <c r="AW331" i="1" l="1"/>
  <c r="BT331" i="1"/>
  <c r="T331" i="2" s="1"/>
  <c r="U331" i="2"/>
  <c r="D332" i="1"/>
  <c r="B333" i="1"/>
  <c r="C332" i="1"/>
  <c r="E332" i="2" s="1"/>
  <c r="V332" i="2"/>
  <c r="AW332" i="1" l="1"/>
  <c r="BT332" i="1"/>
  <c r="T332" i="2" s="1"/>
  <c r="U332" i="2"/>
  <c r="D333" i="1"/>
  <c r="B334" i="1"/>
  <c r="C333" i="1"/>
  <c r="E333" i="2" s="1"/>
  <c r="V333" i="2"/>
  <c r="AW333" i="1" l="1"/>
  <c r="BT333" i="1"/>
  <c r="T333" i="2" s="1"/>
  <c r="U333" i="2"/>
  <c r="B335" i="1"/>
  <c r="C334" i="1"/>
  <c r="E334" i="2" s="1"/>
  <c r="D334" i="1"/>
  <c r="V334" i="2"/>
  <c r="AW334" i="1" l="1"/>
  <c r="BT334" i="1"/>
  <c r="T334" i="2" s="1"/>
  <c r="U334" i="2"/>
  <c r="D335" i="1"/>
  <c r="B336" i="1"/>
  <c r="C335" i="1"/>
  <c r="E335" i="2" s="1"/>
  <c r="V335" i="2"/>
  <c r="AW335" i="1" l="1"/>
  <c r="BT335" i="1"/>
  <c r="T335" i="2" s="1"/>
  <c r="U335" i="2"/>
  <c r="D336" i="1"/>
  <c r="B337" i="1"/>
  <c r="C336" i="1"/>
  <c r="E336" i="2" s="1"/>
  <c r="V336" i="2"/>
  <c r="AW336" i="1" l="1"/>
  <c r="BT336" i="1"/>
  <c r="T336" i="2" s="1"/>
  <c r="U336" i="2"/>
  <c r="D337" i="1"/>
  <c r="B338" i="1"/>
  <c r="C337" i="1"/>
  <c r="E337" i="2" s="1"/>
  <c r="V337" i="2"/>
  <c r="AW337" i="1" l="1"/>
  <c r="BT337" i="1"/>
  <c r="T337" i="2" s="1"/>
  <c r="U337" i="2"/>
  <c r="B339" i="1"/>
  <c r="C338" i="1"/>
  <c r="E338" i="2" s="1"/>
  <c r="D338" i="1"/>
  <c r="V338" i="2"/>
  <c r="AW338" i="1" l="1"/>
  <c r="BT338" i="1"/>
  <c r="T338" i="2" s="1"/>
  <c r="U338" i="2"/>
  <c r="D339" i="1"/>
  <c r="B340" i="1"/>
  <c r="C339" i="1"/>
  <c r="E339" i="2" s="1"/>
  <c r="V339" i="2"/>
  <c r="AW339" i="1" l="1"/>
  <c r="BT339" i="1"/>
  <c r="T339" i="2" s="1"/>
  <c r="U339" i="2"/>
  <c r="D340" i="1"/>
  <c r="B341" i="1"/>
  <c r="C340" i="1"/>
  <c r="E340" i="2" s="1"/>
  <c r="V340" i="2"/>
  <c r="AW340" i="1" l="1"/>
  <c r="BT340" i="1"/>
  <c r="T340" i="2" s="1"/>
  <c r="U340" i="2"/>
  <c r="D341" i="1"/>
  <c r="B342" i="1"/>
  <c r="C341" i="1"/>
  <c r="E341" i="2" s="1"/>
  <c r="V341" i="2"/>
  <c r="AW341" i="1" l="1"/>
  <c r="BT341" i="1"/>
  <c r="T341" i="2" s="1"/>
  <c r="U341" i="2"/>
  <c r="B343" i="1"/>
  <c r="C342" i="1"/>
  <c r="E342" i="2" s="1"/>
  <c r="D342" i="1"/>
  <c r="V342" i="2"/>
  <c r="AW342" i="1" l="1"/>
  <c r="BT342" i="1"/>
  <c r="T342" i="2" s="1"/>
  <c r="U342" i="2"/>
  <c r="D343" i="1"/>
  <c r="B344" i="1"/>
  <c r="C343" i="1"/>
  <c r="E343" i="2" s="1"/>
  <c r="V343" i="2"/>
  <c r="AW343" i="1" l="1"/>
  <c r="BT343" i="1"/>
  <c r="T343" i="2" s="1"/>
  <c r="U343" i="2"/>
  <c r="D344" i="1"/>
  <c r="B345" i="1"/>
  <c r="C344" i="1"/>
  <c r="E344" i="2" s="1"/>
  <c r="V344" i="2"/>
  <c r="AW344" i="1" l="1"/>
  <c r="BT344" i="1"/>
  <c r="T344" i="2" s="1"/>
  <c r="U344" i="2"/>
  <c r="D345" i="1"/>
  <c r="B346" i="1"/>
  <c r="C345" i="1"/>
  <c r="E345" i="2" s="1"/>
  <c r="V345" i="2"/>
  <c r="AW345" i="1" l="1"/>
  <c r="BT345" i="1"/>
  <c r="T345" i="2" s="1"/>
  <c r="U345" i="2"/>
  <c r="B347" i="1"/>
  <c r="C346" i="1"/>
  <c r="E346" i="2" s="1"/>
  <c r="D346" i="1"/>
  <c r="V346" i="2"/>
  <c r="AW346" i="1" l="1"/>
  <c r="BT346" i="1"/>
  <c r="T346" i="2" s="1"/>
  <c r="U346" i="2"/>
  <c r="D347" i="1"/>
  <c r="B348" i="1"/>
  <c r="C347" i="1"/>
  <c r="E347" i="2" s="1"/>
  <c r="V347" i="2"/>
  <c r="AW347" i="1" l="1"/>
  <c r="BT347" i="1"/>
  <c r="T347" i="2" s="1"/>
  <c r="U347" i="2"/>
  <c r="D348" i="1"/>
  <c r="B349" i="1"/>
  <c r="C348" i="1"/>
  <c r="E348" i="2" s="1"/>
  <c r="V348" i="2"/>
  <c r="AW348" i="1" l="1"/>
  <c r="BT348" i="1"/>
  <c r="T348" i="2" s="1"/>
  <c r="U348" i="2"/>
  <c r="D349" i="1"/>
  <c r="B350" i="1"/>
  <c r="C349" i="1"/>
  <c r="E349" i="2" s="1"/>
  <c r="V349" i="2"/>
  <c r="AW349" i="1" l="1"/>
  <c r="BT349" i="1"/>
  <c r="T349" i="2" s="1"/>
  <c r="U349" i="2"/>
  <c r="B351" i="1"/>
  <c r="C350" i="1"/>
  <c r="E350" i="2" s="1"/>
  <c r="D350" i="1"/>
  <c r="V350" i="2"/>
  <c r="AW350" i="1" l="1"/>
  <c r="BT350" i="1"/>
  <c r="T350" i="2" s="1"/>
  <c r="U350" i="2"/>
  <c r="D351" i="1"/>
  <c r="B352" i="1"/>
  <c r="C351" i="1"/>
  <c r="E351" i="2" s="1"/>
  <c r="V351" i="2"/>
  <c r="AW351" i="1" l="1"/>
  <c r="BT351" i="1"/>
  <c r="T351" i="2" s="1"/>
  <c r="U351" i="2"/>
  <c r="D352" i="1"/>
  <c r="B353" i="1"/>
  <c r="C352" i="1"/>
  <c r="E352" i="2" s="1"/>
  <c r="V352" i="2"/>
  <c r="AW352" i="1" l="1"/>
  <c r="BT352" i="1"/>
  <c r="T352" i="2" s="1"/>
  <c r="U352" i="2"/>
  <c r="D353" i="1"/>
  <c r="B354" i="1"/>
  <c r="C353" i="1"/>
  <c r="E353" i="2" s="1"/>
  <c r="V353" i="2"/>
  <c r="AW353" i="1" l="1"/>
  <c r="BT353" i="1"/>
  <c r="T353" i="2" s="1"/>
  <c r="U353" i="2"/>
  <c r="B355" i="1"/>
  <c r="C354" i="1"/>
  <c r="E354" i="2" s="1"/>
  <c r="D354" i="1"/>
  <c r="V354" i="2"/>
  <c r="AW354" i="1" l="1"/>
  <c r="BT354" i="1"/>
  <c r="T354" i="2" s="1"/>
  <c r="U354" i="2"/>
  <c r="D355" i="1"/>
  <c r="B356" i="1"/>
  <c r="C355" i="1"/>
  <c r="E355" i="2" s="1"/>
  <c r="V355" i="2"/>
  <c r="AW355" i="1" l="1"/>
  <c r="BT355" i="1"/>
  <c r="T355" i="2" s="1"/>
  <c r="U355" i="2"/>
  <c r="D356" i="1"/>
  <c r="B357" i="1"/>
  <c r="C356" i="1"/>
  <c r="E356" i="2" s="1"/>
  <c r="V356" i="2"/>
  <c r="AW356" i="1" l="1"/>
  <c r="BT356" i="1"/>
  <c r="T356" i="2" s="1"/>
  <c r="U356" i="2"/>
  <c r="D357" i="1"/>
  <c r="B358" i="1"/>
  <c r="C357" i="1"/>
  <c r="E357" i="2" s="1"/>
  <c r="V357" i="2"/>
  <c r="AW357" i="1" l="1"/>
  <c r="BT357" i="1"/>
  <c r="T357" i="2" s="1"/>
  <c r="U357" i="2"/>
  <c r="B359" i="1"/>
  <c r="C358" i="1"/>
  <c r="E358" i="2" s="1"/>
  <c r="D358" i="1"/>
  <c r="V358" i="2"/>
  <c r="AW358" i="1" l="1"/>
  <c r="BT358" i="1"/>
  <c r="T358" i="2" s="1"/>
  <c r="U358" i="2"/>
  <c r="D359" i="1"/>
  <c r="B360" i="1"/>
  <c r="C359" i="1"/>
  <c r="E359" i="2" s="1"/>
  <c r="V359" i="2"/>
  <c r="AW359" i="1" l="1"/>
  <c r="BT359" i="1"/>
  <c r="T359" i="2" s="1"/>
  <c r="U359" i="2"/>
  <c r="B361" i="1"/>
  <c r="C360" i="1"/>
  <c r="E360" i="2" s="1"/>
  <c r="D360" i="1"/>
  <c r="V360" i="2"/>
  <c r="AW360" i="1" l="1"/>
  <c r="BT360" i="1"/>
  <c r="T360" i="2" s="1"/>
  <c r="U360" i="2"/>
  <c r="D361" i="1"/>
  <c r="C361" i="1"/>
  <c r="E361" i="2" s="1"/>
  <c r="B362" i="1"/>
  <c r="V361" i="2"/>
  <c r="AW361" i="1" l="1"/>
  <c r="BT361" i="1"/>
  <c r="T361" i="2" s="1"/>
  <c r="U361" i="2"/>
  <c r="B363" i="1"/>
  <c r="C362" i="1"/>
  <c r="E362" i="2" s="1"/>
  <c r="D362" i="1"/>
  <c r="V362" i="2"/>
  <c r="AW362" i="1" l="1"/>
  <c r="BT362" i="1"/>
  <c r="T362" i="2" s="1"/>
  <c r="U362" i="2"/>
  <c r="D363" i="1"/>
  <c r="C363" i="1"/>
  <c r="E363" i="2" s="1"/>
  <c r="B364" i="1"/>
  <c r="V363" i="2"/>
  <c r="AW363" i="1" l="1"/>
  <c r="BT363" i="1"/>
  <c r="T363" i="2" s="1"/>
  <c r="U363" i="2"/>
  <c r="B365" i="1"/>
  <c r="C364" i="1"/>
  <c r="E364" i="2" s="1"/>
  <c r="D364" i="1"/>
  <c r="V364" i="2"/>
  <c r="AW364" i="1" l="1"/>
  <c r="BT364" i="1"/>
  <c r="T364" i="2" s="1"/>
  <c r="U364" i="2"/>
  <c r="D365" i="1"/>
  <c r="C365" i="1"/>
  <c r="E365" i="2" s="1"/>
  <c r="B366" i="1"/>
  <c r="V365" i="2"/>
  <c r="AW365" i="1" l="1"/>
  <c r="BT365" i="1"/>
  <c r="T365" i="2" s="1"/>
  <c r="U365" i="2"/>
  <c r="B367" i="1"/>
  <c r="C366" i="1"/>
  <c r="E366" i="2" s="1"/>
  <c r="D366" i="1"/>
  <c r="V366" i="2"/>
  <c r="AW366" i="1" l="1"/>
  <c r="BT366" i="1"/>
  <c r="T366" i="2" s="1"/>
  <c r="U366" i="2"/>
  <c r="D367" i="1"/>
  <c r="C367" i="1"/>
  <c r="E367" i="2" s="1"/>
  <c r="B368" i="1"/>
  <c r="V367" i="2"/>
  <c r="AW367" i="1" l="1"/>
  <c r="BT367" i="1"/>
  <c r="T367" i="2" s="1"/>
  <c r="U367" i="2"/>
  <c r="B369" i="1"/>
  <c r="C368" i="1"/>
  <c r="E368" i="2" s="1"/>
  <c r="D368" i="1"/>
  <c r="V368" i="2"/>
  <c r="AW368" i="1" l="1"/>
  <c r="BT368" i="1"/>
  <c r="T368" i="2" s="1"/>
  <c r="U368" i="2"/>
  <c r="D369" i="1"/>
  <c r="C369" i="1"/>
  <c r="E369" i="2" s="1"/>
  <c r="B370" i="1"/>
  <c r="V369" i="2"/>
  <c r="AW369" i="1" l="1"/>
  <c r="BT369" i="1"/>
  <c r="T369" i="2" s="1"/>
  <c r="U369" i="2"/>
  <c r="B371" i="1"/>
  <c r="C370" i="1"/>
  <c r="E370" i="2" s="1"/>
  <c r="D370" i="1"/>
  <c r="V370" i="2"/>
  <c r="AW370" i="1" l="1"/>
  <c r="BT370" i="1"/>
  <c r="T370" i="2" s="1"/>
  <c r="U370" i="2"/>
  <c r="D371" i="1"/>
  <c r="C371" i="1"/>
  <c r="E371" i="2" s="1"/>
  <c r="B372" i="1"/>
  <c r="V371" i="2"/>
  <c r="AW371" i="1" l="1"/>
  <c r="BT371" i="1"/>
  <c r="T371" i="2" s="1"/>
  <c r="U371" i="2"/>
  <c r="B373" i="1"/>
  <c r="C372" i="1"/>
  <c r="E372" i="2" s="1"/>
  <c r="D372" i="1"/>
  <c r="V372" i="2"/>
  <c r="AW372" i="1" l="1"/>
  <c r="BT372" i="1"/>
  <c r="T372" i="2" s="1"/>
  <c r="U372" i="2"/>
  <c r="D373" i="1"/>
  <c r="B374" i="1"/>
  <c r="C373" i="1"/>
  <c r="E373" i="2" s="1"/>
  <c r="V373" i="2"/>
  <c r="AW373" i="1" l="1"/>
  <c r="BT373" i="1"/>
  <c r="T373" i="2" s="1"/>
  <c r="U373" i="2"/>
  <c r="B375" i="1"/>
  <c r="C374" i="1"/>
  <c r="E374" i="2" s="1"/>
  <c r="D374" i="1"/>
  <c r="V374" i="2"/>
  <c r="AW374" i="1" l="1"/>
  <c r="BT374" i="1"/>
  <c r="T374" i="2" s="1"/>
  <c r="U374" i="2"/>
  <c r="D375" i="1"/>
  <c r="B376" i="1"/>
  <c r="C375" i="1"/>
  <c r="E375" i="2" s="1"/>
  <c r="V375" i="2"/>
  <c r="AW375" i="1" l="1"/>
  <c r="BT375" i="1"/>
  <c r="T375" i="2" s="1"/>
  <c r="U375" i="2"/>
  <c r="B377" i="1"/>
  <c r="C376" i="1"/>
  <c r="E376" i="2" s="1"/>
  <c r="D376" i="1"/>
  <c r="V376" i="2"/>
  <c r="AW376" i="1" l="1"/>
  <c r="BT376" i="1"/>
  <c r="T376" i="2" s="1"/>
  <c r="U376" i="2"/>
  <c r="D377" i="1"/>
  <c r="B378" i="1"/>
  <c r="C377" i="1"/>
  <c r="E377" i="2" s="1"/>
  <c r="V377" i="2"/>
  <c r="AW377" i="1" l="1"/>
  <c r="BT377" i="1"/>
  <c r="T377" i="2" s="1"/>
  <c r="U377" i="2"/>
  <c r="B379" i="1"/>
  <c r="C378" i="1"/>
  <c r="E378" i="2" s="1"/>
  <c r="D378" i="1"/>
  <c r="V378" i="2"/>
  <c r="AW378" i="1" l="1"/>
  <c r="BT378" i="1"/>
  <c r="T378" i="2" s="1"/>
  <c r="U378" i="2"/>
  <c r="D379" i="1"/>
  <c r="B380" i="1"/>
  <c r="C379" i="1"/>
  <c r="E379" i="2" s="1"/>
  <c r="V379" i="2"/>
  <c r="AW379" i="1" l="1"/>
  <c r="BT379" i="1"/>
  <c r="T379" i="2" s="1"/>
  <c r="U379" i="2"/>
  <c r="B381" i="1"/>
  <c r="C380" i="1"/>
  <c r="E380" i="2" s="1"/>
  <c r="D380" i="1"/>
  <c r="V380" i="2"/>
  <c r="AW380" i="1" l="1"/>
  <c r="BT380" i="1"/>
  <c r="T380" i="2" s="1"/>
  <c r="U380" i="2"/>
  <c r="D381" i="1"/>
  <c r="B382" i="1"/>
  <c r="C381" i="1"/>
  <c r="E381" i="2" s="1"/>
  <c r="V381" i="2"/>
  <c r="AW381" i="1" l="1"/>
  <c r="BT381" i="1"/>
  <c r="T381" i="2" s="1"/>
  <c r="U381" i="2"/>
  <c r="B383" i="1"/>
  <c r="C382" i="1"/>
  <c r="E382" i="2" s="1"/>
  <c r="D382" i="1"/>
  <c r="V382" i="2"/>
  <c r="AW382" i="1" l="1"/>
  <c r="BT382" i="1"/>
  <c r="T382" i="2" s="1"/>
  <c r="U382" i="2"/>
  <c r="D383" i="1"/>
  <c r="B384" i="1"/>
  <c r="C383" i="1"/>
  <c r="E383" i="2" s="1"/>
  <c r="V383" i="2"/>
  <c r="AW383" i="1" l="1"/>
  <c r="BT383" i="1"/>
  <c r="T383" i="2" s="1"/>
  <c r="U383" i="2"/>
  <c r="B385" i="1"/>
  <c r="C384" i="1"/>
  <c r="E384" i="2" s="1"/>
  <c r="D384" i="1"/>
  <c r="V384" i="2"/>
  <c r="AW384" i="1" l="1"/>
  <c r="BT384" i="1"/>
  <c r="T384" i="2" s="1"/>
  <c r="U384" i="2"/>
  <c r="D385" i="1"/>
  <c r="B386" i="1"/>
  <c r="C385" i="1"/>
  <c r="E385" i="2" s="1"/>
  <c r="V385" i="2"/>
  <c r="AW385" i="1" l="1"/>
  <c r="BT385" i="1"/>
  <c r="T385" i="2" s="1"/>
  <c r="U385" i="2"/>
  <c r="B387" i="1"/>
  <c r="C386" i="1"/>
  <c r="E386" i="2" s="1"/>
  <c r="D386" i="1"/>
  <c r="V386" i="2"/>
  <c r="AW386" i="1" l="1"/>
  <c r="BT386" i="1"/>
  <c r="T386" i="2" s="1"/>
  <c r="U386" i="2"/>
  <c r="D387" i="1"/>
  <c r="B388" i="1"/>
  <c r="C387" i="1"/>
  <c r="E387" i="2" s="1"/>
  <c r="V387" i="2"/>
  <c r="AW387" i="1" l="1"/>
  <c r="BT387" i="1"/>
  <c r="T387" i="2" s="1"/>
  <c r="U387" i="2"/>
  <c r="B389" i="1"/>
  <c r="C388" i="1"/>
  <c r="E388" i="2" s="1"/>
  <c r="D388" i="1"/>
  <c r="V388" i="2"/>
  <c r="AW388" i="1" l="1"/>
  <c r="BT388" i="1"/>
  <c r="T388" i="2" s="1"/>
  <c r="U388" i="2"/>
  <c r="D389" i="1"/>
  <c r="B390" i="1"/>
  <c r="C389" i="1"/>
  <c r="E389" i="2" s="1"/>
  <c r="V389" i="2"/>
  <c r="AW389" i="1" l="1"/>
  <c r="BT389" i="1"/>
  <c r="T389" i="2" s="1"/>
  <c r="U389" i="2"/>
  <c r="B391" i="1"/>
  <c r="C390" i="1"/>
  <c r="E390" i="2" s="1"/>
  <c r="D390" i="1"/>
  <c r="V390" i="2"/>
  <c r="AW390" i="1" l="1"/>
  <c r="BT390" i="1"/>
  <c r="T390" i="2" s="1"/>
  <c r="U390" i="2"/>
  <c r="D391" i="1"/>
  <c r="B392" i="1"/>
  <c r="C391" i="1"/>
  <c r="E391" i="2" s="1"/>
  <c r="V391" i="2"/>
  <c r="AW391" i="1" l="1"/>
  <c r="BT391" i="1"/>
  <c r="T391" i="2" s="1"/>
  <c r="U391" i="2"/>
  <c r="B393" i="1"/>
  <c r="C392" i="1"/>
  <c r="E392" i="2" s="1"/>
  <c r="D392" i="1"/>
  <c r="V392" i="2"/>
  <c r="AW392" i="1" l="1"/>
  <c r="BT392" i="1"/>
  <c r="T392" i="2" s="1"/>
  <c r="U392" i="2"/>
  <c r="D393" i="1"/>
  <c r="B394" i="1"/>
  <c r="C393" i="1"/>
  <c r="E393" i="2" s="1"/>
  <c r="V393" i="2"/>
  <c r="AW393" i="1" l="1"/>
  <c r="BT393" i="1"/>
  <c r="T393" i="2" s="1"/>
  <c r="U393" i="2"/>
  <c r="B395" i="1"/>
  <c r="C394" i="1"/>
  <c r="E394" i="2" s="1"/>
  <c r="D394" i="1"/>
  <c r="V394" i="2"/>
  <c r="AW394" i="1" l="1"/>
  <c r="BT394" i="1"/>
  <c r="T394" i="2" s="1"/>
  <c r="U394" i="2"/>
  <c r="D395" i="1"/>
  <c r="B396" i="1"/>
  <c r="C395" i="1"/>
  <c r="E395" i="2" s="1"/>
  <c r="V395" i="2"/>
  <c r="AW395" i="1" l="1"/>
  <c r="BT395" i="1"/>
  <c r="T395" i="2" s="1"/>
  <c r="U395" i="2"/>
  <c r="B397" i="1"/>
  <c r="C396" i="1"/>
  <c r="E396" i="2" s="1"/>
  <c r="D396" i="1"/>
  <c r="V396" i="2"/>
  <c r="AW396" i="1" l="1"/>
  <c r="BT396" i="1"/>
  <c r="T396" i="2" s="1"/>
  <c r="U396" i="2"/>
  <c r="D397" i="1"/>
  <c r="B398" i="1"/>
  <c r="C397" i="1"/>
  <c r="E397" i="2" s="1"/>
  <c r="V397" i="2"/>
  <c r="AW397" i="1" l="1"/>
  <c r="BT397" i="1"/>
  <c r="T397" i="2" s="1"/>
  <c r="U397" i="2"/>
  <c r="B399" i="1"/>
  <c r="C398" i="1"/>
  <c r="E398" i="2" s="1"/>
  <c r="D398" i="1"/>
  <c r="V398" i="2"/>
  <c r="AW398" i="1" l="1"/>
  <c r="BT398" i="1"/>
  <c r="T398" i="2" s="1"/>
  <c r="U398" i="2"/>
  <c r="D399" i="1"/>
  <c r="B400" i="1"/>
  <c r="C399" i="1"/>
  <c r="E399" i="2" s="1"/>
  <c r="V399" i="2"/>
  <c r="AW399" i="1" l="1"/>
  <c r="BT399" i="1"/>
  <c r="T399" i="2" s="1"/>
  <c r="U399" i="2"/>
  <c r="B401" i="1"/>
  <c r="C400" i="1"/>
  <c r="E400" i="2" s="1"/>
  <c r="D400" i="1"/>
  <c r="V400" i="2"/>
  <c r="AW400" i="1" l="1"/>
  <c r="BT400" i="1"/>
  <c r="T400" i="2" s="1"/>
  <c r="U400" i="2"/>
  <c r="D401" i="1"/>
  <c r="B402" i="1"/>
  <c r="C401" i="1"/>
  <c r="E401" i="2" s="1"/>
  <c r="V401" i="2"/>
  <c r="AW401" i="1" l="1"/>
  <c r="BT401" i="1"/>
  <c r="T401" i="2" s="1"/>
  <c r="U401" i="2"/>
  <c r="B403" i="1"/>
  <c r="C402" i="1"/>
  <c r="E402" i="2" s="1"/>
  <c r="D402" i="1"/>
  <c r="V402" i="2"/>
  <c r="AW402" i="1" l="1"/>
  <c r="BT402" i="1"/>
  <c r="T402" i="2" s="1"/>
  <c r="U402" i="2"/>
  <c r="D403" i="1"/>
  <c r="B404" i="1"/>
  <c r="C403" i="1"/>
  <c r="E403" i="2" s="1"/>
  <c r="V403" i="2"/>
  <c r="AW403" i="1" l="1"/>
  <c r="BT403" i="1"/>
  <c r="T403" i="2" s="1"/>
  <c r="U403" i="2"/>
  <c r="B405" i="1"/>
  <c r="C404" i="1"/>
  <c r="E404" i="2" s="1"/>
  <c r="D404" i="1"/>
  <c r="V404" i="2"/>
  <c r="AW404" i="1" l="1"/>
  <c r="BT404" i="1"/>
  <c r="T404" i="2" s="1"/>
  <c r="U404" i="2"/>
  <c r="D405" i="1"/>
  <c r="B406" i="1"/>
  <c r="C405" i="1"/>
  <c r="E405" i="2" s="1"/>
  <c r="V405" i="2"/>
  <c r="AW405" i="1" l="1"/>
  <c r="BT405" i="1"/>
  <c r="T405" i="2" s="1"/>
  <c r="U405" i="2"/>
  <c r="B407" i="1"/>
  <c r="C406" i="1"/>
  <c r="E406" i="2" s="1"/>
  <c r="D406" i="1"/>
  <c r="V406" i="2"/>
  <c r="AW406" i="1" l="1"/>
  <c r="BT406" i="1"/>
  <c r="T406" i="2" s="1"/>
  <c r="U406" i="2"/>
  <c r="D407" i="1"/>
  <c r="B408" i="1"/>
  <c r="C407" i="1"/>
  <c r="E407" i="2" s="1"/>
  <c r="V407" i="2"/>
  <c r="AW407" i="1" l="1"/>
  <c r="BT407" i="1"/>
  <c r="T407" i="2" s="1"/>
  <c r="U407" i="2"/>
  <c r="B409" i="1"/>
  <c r="C408" i="1"/>
  <c r="E408" i="2" s="1"/>
  <c r="D408" i="1"/>
  <c r="V408" i="2"/>
  <c r="AW408" i="1" l="1"/>
  <c r="BT408" i="1"/>
  <c r="T408" i="2" s="1"/>
  <c r="U408" i="2"/>
  <c r="D409" i="1"/>
  <c r="B410" i="1"/>
  <c r="C409" i="1"/>
  <c r="E409" i="2" s="1"/>
  <c r="V409" i="2"/>
  <c r="AW409" i="1" l="1"/>
  <c r="BT409" i="1"/>
  <c r="T409" i="2" s="1"/>
  <c r="U409" i="2"/>
  <c r="B411" i="1"/>
  <c r="C410" i="1"/>
  <c r="E410" i="2" s="1"/>
  <c r="D410" i="1"/>
  <c r="V410" i="2"/>
  <c r="AW410" i="1" l="1"/>
  <c r="BT410" i="1"/>
  <c r="T410" i="2" s="1"/>
  <c r="U410" i="2"/>
  <c r="D411" i="1"/>
  <c r="B412" i="1"/>
  <c r="C411" i="1"/>
  <c r="E411" i="2" s="1"/>
  <c r="V411" i="2"/>
  <c r="AW411" i="1" l="1"/>
  <c r="BT411" i="1"/>
  <c r="T411" i="2" s="1"/>
  <c r="U411" i="2"/>
  <c r="B413" i="1"/>
  <c r="C412" i="1"/>
  <c r="E412" i="2" s="1"/>
  <c r="D412" i="1"/>
  <c r="V412" i="2"/>
  <c r="AW412" i="1" l="1"/>
  <c r="BT412" i="1"/>
  <c r="T412" i="2" s="1"/>
  <c r="U412" i="2"/>
  <c r="D413" i="1"/>
  <c r="B414" i="1"/>
  <c r="C413" i="1"/>
  <c r="E413" i="2" s="1"/>
  <c r="V413" i="2"/>
  <c r="AW413" i="1" l="1"/>
  <c r="BT413" i="1"/>
  <c r="T413" i="2" s="1"/>
  <c r="U413" i="2"/>
  <c r="B415" i="1"/>
  <c r="C414" i="1"/>
  <c r="E414" i="2" s="1"/>
  <c r="D414" i="1"/>
  <c r="V414" i="2"/>
  <c r="AW414" i="1" l="1"/>
  <c r="BT414" i="1"/>
  <c r="T414" i="2" s="1"/>
  <c r="U414" i="2"/>
  <c r="D415" i="1"/>
  <c r="B416" i="1"/>
  <c r="C415" i="1"/>
  <c r="E415" i="2" s="1"/>
  <c r="V415" i="2"/>
  <c r="AW415" i="1" l="1"/>
  <c r="BT415" i="1"/>
  <c r="T415" i="2" s="1"/>
  <c r="U415" i="2"/>
  <c r="B417" i="1"/>
  <c r="C416" i="1"/>
  <c r="E416" i="2" s="1"/>
  <c r="D416" i="1"/>
  <c r="V416" i="2"/>
  <c r="AW416" i="1" l="1"/>
  <c r="BT416" i="1"/>
  <c r="T416" i="2" s="1"/>
  <c r="U416" i="2"/>
  <c r="D417" i="1"/>
  <c r="B418" i="1"/>
  <c r="C417" i="1"/>
  <c r="E417" i="2" s="1"/>
  <c r="V417" i="2"/>
  <c r="AW417" i="1" l="1"/>
  <c r="BT417" i="1"/>
  <c r="T417" i="2" s="1"/>
  <c r="U417" i="2"/>
  <c r="B419" i="1"/>
  <c r="C418" i="1"/>
  <c r="E418" i="2" s="1"/>
  <c r="D418" i="1"/>
  <c r="V418" i="2"/>
  <c r="AW418" i="1" l="1"/>
  <c r="BT418" i="1"/>
  <c r="T418" i="2" s="1"/>
  <c r="U418" i="2"/>
  <c r="D419" i="1"/>
  <c r="B420" i="1"/>
  <c r="C419" i="1"/>
  <c r="E419" i="2" s="1"/>
  <c r="V419" i="2"/>
  <c r="AW419" i="1" l="1"/>
  <c r="BT419" i="1"/>
  <c r="T419" i="2" s="1"/>
  <c r="U419" i="2"/>
  <c r="B421" i="1"/>
  <c r="C420" i="1"/>
  <c r="E420" i="2" s="1"/>
  <c r="D420" i="1"/>
  <c r="V420" i="2"/>
  <c r="AW420" i="1" l="1"/>
  <c r="BT420" i="1"/>
  <c r="T420" i="2" s="1"/>
  <c r="U420" i="2"/>
  <c r="D421" i="1"/>
  <c r="B422" i="1"/>
  <c r="C421" i="1"/>
  <c r="E421" i="2" s="1"/>
  <c r="V421" i="2"/>
  <c r="AW421" i="1" l="1"/>
  <c r="BT421" i="1"/>
  <c r="T421" i="2" s="1"/>
  <c r="U421" i="2"/>
  <c r="B423" i="1"/>
  <c r="C422" i="1"/>
  <c r="E422" i="2" s="1"/>
  <c r="D422" i="1"/>
  <c r="V422" i="2"/>
  <c r="AW422" i="1" l="1"/>
  <c r="BT422" i="1"/>
  <c r="T422" i="2" s="1"/>
  <c r="U422" i="2"/>
  <c r="D423" i="1"/>
  <c r="B424" i="1"/>
  <c r="C423" i="1"/>
  <c r="E423" i="2" s="1"/>
  <c r="V423" i="2"/>
  <c r="AW423" i="1" l="1"/>
  <c r="BT423" i="1"/>
  <c r="T423" i="2" s="1"/>
  <c r="U423" i="2"/>
  <c r="B425" i="1"/>
  <c r="C424" i="1"/>
  <c r="E424" i="2" s="1"/>
  <c r="D424" i="1"/>
  <c r="V424" i="2"/>
  <c r="AW424" i="1" l="1"/>
  <c r="BT424" i="1"/>
  <c r="T424" i="2" s="1"/>
  <c r="U424" i="2"/>
  <c r="D425" i="1"/>
  <c r="B426" i="1"/>
  <c r="C425" i="1"/>
  <c r="E425" i="2" s="1"/>
  <c r="V425" i="2"/>
  <c r="AW425" i="1" l="1"/>
  <c r="BT425" i="1"/>
  <c r="T425" i="2" s="1"/>
  <c r="U425" i="2"/>
  <c r="B427" i="1"/>
  <c r="C426" i="1"/>
  <c r="E426" i="2" s="1"/>
  <c r="D426" i="1"/>
  <c r="V426" i="2"/>
  <c r="AW426" i="1" l="1"/>
  <c r="BT426" i="1"/>
  <c r="T426" i="2" s="1"/>
  <c r="U426" i="2"/>
  <c r="D427" i="1"/>
  <c r="B428" i="1"/>
  <c r="C427" i="1"/>
  <c r="E427" i="2" s="1"/>
  <c r="V427" i="2"/>
  <c r="AW427" i="1" l="1"/>
  <c r="BT427" i="1"/>
  <c r="T427" i="2" s="1"/>
  <c r="U427" i="2"/>
  <c r="B429" i="1"/>
  <c r="C428" i="1"/>
  <c r="E428" i="2" s="1"/>
  <c r="D428" i="1"/>
  <c r="V428" i="2"/>
  <c r="AW428" i="1" l="1"/>
  <c r="BT428" i="1"/>
  <c r="T428" i="2" s="1"/>
  <c r="U428" i="2"/>
  <c r="D429" i="1"/>
  <c r="B430" i="1"/>
  <c r="C429" i="1"/>
  <c r="E429" i="2" s="1"/>
  <c r="V429" i="2"/>
  <c r="AW429" i="1" l="1"/>
  <c r="BT429" i="1"/>
  <c r="T429" i="2" s="1"/>
  <c r="U429" i="2"/>
  <c r="B431" i="1"/>
  <c r="C430" i="1"/>
  <c r="E430" i="2" s="1"/>
  <c r="D430" i="1"/>
  <c r="V430" i="2"/>
  <c r="AW430" i="1" l="1"/>
  <c r="BT430" i="1"/>
  <c r="T430" i="2" s="1"/>
  <c r="U430" i="2"/>
  <c r="D431" i="1"/>
  <c r="B432" i="1"/>
  <c r="C431" i="1"/>
  <c r="E431" i="2" s="1"/>
  <c r="V431" i="2"/>
  <c r="AW431" i="1" l="1"/>
  <c r="BT431" i="1"/>
  <c r="T431" i="2" s="1"/>
  <c r="U431" i="2"/>
  <c r="B433" i="1"/>
  <c r="C432" i="1"/>
  <c r="E432" i="2" s="1"/>
  <c r="D432" i="1"/>
  <c r="V432" i="2"/>
  <c r="AW432" i="1" l="1"/>
  <c r="BT432" i="1"/>
  <c r="T432" i="2" s="1"/>
  <c r="U432" i="2"/>
  <c r="D433" i="1"/>
  <c r="B434" i="1"/>
  <c r="C433" i="1"/>
  <c r="E433" i="2" s="1"/>
  <c r="V433" i="2"/>
  <c r="AW433" i="1" l="1"/>
  <c r="BT433" i="1"/>
  <c r="T433" i="2" s="1"/>
  <c r="U433" i="2"/>
  <c r="D434" i="1"/>
  <c r="B435" i="1"/>
  <c r="C434" i="1"/>
  <c r="E434" i="2" s="1"/>
  <c r="V434" i="2"/>
  <c r="AW434" i="1" l="1"/>
  <c r="BT434" i="1"/>
  <c r="T434" i="2" s="1"/>
  <c r="U434" i="2"/>
  <c r="D435" i="1"/>
  <c r="B436" i="1"/>
  <c r="C435" i="1"/>
  <c r="E435" i="2" s="1"/>
  <c r="V435" i="2"/>
  <c r="AW435" i="1" l="1"/>
  <c r="BT435" i="1"/>
  <c r="T435" i="2" s="1"/>
  <c r="U435" i="2"/>
  <c r="B437" i="1"/>
  <c r="C436" i="1"/>
  <c r="E436" i="2" s="1"/>
  <c r="D436" i="1"/>
  <c r="V436" i="2"/>
  <c r="AW436" i="1" l="1"/>
  <c r="BT436" i="1"/>
  <c r="T436" i="2" s="1"/>
  <c r="U436" i="2"/>
  <c r="D437" i="1"/>
  <c r="B438" i="1"/>
  <c r="C437" i="1"/>
  <c r="E437" i="2" s="1"/>
  <c r="V437" i="2"/>
  <c r="AW437" i="1" l="1"/>
  <c r="BT437" i="1"/>
  <c r="T437" i="2" s="1"/>
  <c r="U437" i="2"/>
  <c r="D438" i="1"/>
  <c r="B439" i="1"/>
  <c r="C438" i="1"/>
  <c r="E438" i="2" s="1"/>
  <c r="V438" i="2"/>
  <c r="AW438" i="1" l="1"/>
  <c r="BT438" i="1"/>
  <c r="T438" i="2" s="1"/>
  <c r="U438" i="2"/>
  <c r="D439" i="1"/>
  <c r="B440" i="1"/>
  <c r="C439" i="1"/>
  <c r="E439" i="2" s="1"/>
  <c r="V439" i="2"/>
  <c r="AW439" i="1" l="1"/>
  <c r="BT439" i="1"/>
  <c r="T439" i="2" s="1"/>
  <c r="U439" i="2"/>
  <c r="B441" i="1"/>
  <c r="C440" i="1"/>
  <c r="E440" i="2" s="1"/>
  <c r="D440" i="1"/>
  <c r="V440" i="2"/>
  <c r="AW440" i="1" l="1"/>
  <c r="BT440" i="1"/>
  <c r="T440" i="2" s="1"/>
  <c r="U440" i="2"/>
  <c r="D441" i="1"/>
  <c r="B442" i="1"/>
  <c r="C441" i="1"/>
  <c r="E441" i="2" s="1"/>
  <c r="V441" i="2"/>
  <c r="AW441" i="1" l="1"/>
  <c r="BT441" i="1"/>
  <c r="T441" i="2" s="1"/>
  <c r="U441" i="2"/>
  <c r="D442" i="1"/>
  <c r="B443" i="1"/>
  <c r="C442" i="1"/>
  <c r="E442" i="2" s="1"/>
  <c r="V442" i="2"/>
  <c r="AW442" i="1" l="1"/>
  <c r="BT442" i="1"/>
  <c r="T442" i="2" s="1"/>
  <c r="U442" i="2"/>
  <c r="D443" i="1"/>
  <c r="B444" i="1"/>
  <c r="C443" i="1"/>
  <c r="E443" i="2" s="1"/>
  <c r="V443" i="2"/>
  <c r="AW443" i="1" l="1"/>
  <c r="BT443" i="1"/>
  <c r="T443" i="2" s="1"/>
  <c r="U443" i="2"/>
  <c r="B445" i="1"/>
  <c r="C444" i="1"/>
  <c r="E444" i="2" s="1"/>
  <c r="D444" i="1"/>
  <c r="V444" i="2"/>
  <c r="AW444" i="1" l="1"/>
  <c r="BT444" i="1"/>
  <c r="T444" i="2" s="1"/>
  <c r="U444" i="2"/>
  <c r="D445" i="1"/>
  <c r="B446" i="1"/>
  <c r="C445" i="1"/>
  <c r="E445" i="2" s="1"/>
  <c r="V445" i="2"/>
  <c r="AW445" i="1" l="1"/>
  <c r="BT445" i="1"/>
  <c r="T445" i="2" s="1"/>
  <c r="U445" i="2"/>
  <c r="D446" i="1"/>
  <c r="B447" i="1"/>
  <c r="C446" i="1"/>
  <c r="E446" i="2" s="1"/>
  <c r="V446" i="2"/>
  <c r="AW446" i="1" l="1"/>
  <c r="BT446" i="1"/>
  <c r="T446" i="2" s="1"/>
  <c r="U446" i="2"/>
  <c r="D447" i="1"/>
  <c r="B448" i="1"/>
  <c r="C447" i="1"/>
  <c r="E447" i="2" s="1"/>
  <c r="V447" i="2"/>
  <c r="AW447" i="1" l="1"/>
  <c r="BT447" i="1"/>
  <c r="T447" i="2" s="1"/>
  <c r="U447" i="2"/>
  <c r="B449" i="1"/>
  <c r="C448" i="1"/>
  <c r="E448" i="2" s="1"/>
  <c r="D448" i="1"/>
  <c r="V448" i="2"/>
  <c r="AW448" i="1" l="1"/>
  <c r="BT448" i="1"/>
  <c r="T448" i="2" s="1"/>
  <c r="U448" i="2"/>
  <c r="D449" i="1"/>
  <c r="B450" i="1"/>
  <c r="C449" i="1"/>
  <c r="E449" i="2" s="1"/>
  <c r="V449" i="2"/>
  <c r="AW449" i="1" l="1"/>
  <c r="BT449" i="1"/>
  <c r="T449" i="2" s="1"/>
  <c r="U449" i="2"/>
  <c r="D450" i="1"/>
  <c r="B451" i="1"/>
  <c r="C450" i="1"/>
  <c r="E450" i="2" s="1"/>
  <c r="V450" i="2"/>
  <c r="AW450" i="1" l="1"/>
  <c r="BT450" i="1"/>
  <c r="T450" i="2" s="1"/>
  <c r="U450" i="2"/>
  <c r="D451" i="1"/>
  <c r="B452" i="1"/>
  <c r="C451" i="1"/>
  <c r="E451" i="2" s="1"/>
  <c r="V451" i="2"/>
  <c r="AW451" i="1" l="1"/>
  <c r="BT451" i="1"/>
  <c r="T451" i="2" s="1"/>
  <c r="U451" i="2"/>
  <c r="B453" i="1"/>
  <c r="C452" i="1"/>
  <c r="E452" i="2" s="1"/>
  <c r="D452" i="1"/>
  <c r="V452" i="2"/>
  <c r="AW452" i="1" l="1"/>
  <c r="BT452" i="1"/>
  <c r="T452" i="2" s="1"/>
  <c r="U452" i="2"/>
  <c r="D453" i="1"/>
  <c r="B454" i="1"/>
  <c r="C453" i="1"/>
  <c r="E453" i="2" s="1"/>
  <c r="V453" i="2"/>
  <c r="AW453" i="1" l="1"/>
  <c r="BT453" i="1"/>
  <c r="T453" i="2" s="1"/>
  <c r="U453" i="2"/>
  <c r="D454" i="1"/>
  <c r="B455" i="1"/>
  <c r="C454" i="1"/>
  <c r="E454" i="2" s="1"/>
  <c r="V454" i="2"/>
  <c r="AW454" i="1" l="1"/>
  <c r="BT454" i="1"/>
  <c r="T454" i="2" s="1"/>
  <c r="U454" i="2"/>
  <c r="D455" i="1"/>
  <c r="B456" i="1"/>
  <c r="C455" i="1"/>
  <c r="E455" i="2" s="1"/>
  <c r="V455" i="2"/>
  <c r="AW455" i="1" l="1"/>
  <c r="BT455" i="1"/>
  <c r="T455" i="2" s="1"/>
  <c r="U455" i="2"/>
  <c r="B457" i="1"/>
  <c r="C456" i="1"/>
  <c r="E456" i="2" s="1"/>
  <c r="D456" i="1"/>
  <c r="V456" i="2"/>
  <c r="AW456" i="1" l="1"/>
  <c r="BT456" i="1"/>
  <c r="T456" i="2" s="1"/>
  <c r="U456" i="2"/>
  <c r="D457" i="1"/>
  <c r="B458" i="1"/>
  <c r="C457" i="1"/>
  <c r="E457" i="2" s="1"/>
  <c r="V457" i="2"/>
  <c r="AW457" i="1" l="1"/>
  <c r="BT457" i="1"/>
  <c r="T457" i="2" s="1"/>
  <c r="U457" i="2"/>
  <c r="D458" i="1"/>
  <c r="B459" i="1"/>
  <c r="C458" i="1"/>
  <c r="E458" i="2" s="1"/>
  <c r="V458" i="2"/>
  <c r="AW458" i="1" l="1"/>
  <c r="BT458" i="1"/>
  <c r="T458" i="2" s="1"/>
  <c r="U458" i="2"/>
  <c r="D459" i="1"/>
  <c r="B460" i="1"/>
  <c r="C459" i="1"/>
  <c r="E459" i="2" s="1"/>
  <c r="V459" i="2"/>
  <c r="AW459" i="1" l="1"/>
  <c r="BT459" i="1"/>
  <c r="T459" i="2" s="1"/>
  <c r="U459" i="2"/>
  <c r="B461" i="1"/>
  <c r="C460" i="1"/>
  <c r="E460" i="2" s="1"/>
  <c r="D460" i="1"/>
  <c r="V460" i="2"/>
  <c r="AW460" i="1" l="1"/>
  <c r="BT460" i="1"/>
  <c r="T460" i="2" s="1"/>
  <c r="U460" i="2"/>
  <c r="D461" i="1"/>
  <c r="B462" i="1"/>
  <c r="C461" i="1"/>
  <c r="E461" i="2" s="1"/>
  <c r="V461" i="2"/>
  <c r="AW461" i="1" l="1"/>
  <c r="BT461" i="1"/>
  <c r="T461" i="2" s="1"/>
  <c r="U461" i="2"/>
  <c r="D462" i="1"/>
  <c r="B463" i="1"/>
  <c r="C462" i="1"/>
  <c r="E462" i="2" s="1"/>
  <c r="V462" i="2"/>
  <c r="AW462" i="1" l="1"/>
  <c r="BT462" i="1"/>
  <c r="T462" i="2" s="1"/>
  <c r="U462" i="2"/>
  <c r="D463" i="1"/>
  <c r="B464" i="1"/>
  <c r="C463" i="1"/>
  <c r="E463" i="2" s="1"/>
  <c r="V463" i="2"/>
  <c r="AW463" i="1" l="1"/>
  <c r="BT463" i="1"/>
  <c r="T463" i="2" s="1"/>
  <c r="U463" i="2"/>
  <c r="B465" i="1"/>
  <c r="C464" i="1"/>
  <c r="E464" i="2" s="1"/>
  <c r="D464" i="1"/>
  <c r="V464" i="2"/>
  <c r="AW464" i="1" l="1"/>
  <c r="BT464" i="1"/>
  <c r="T464" i="2" s="1"/>
  <c r="U464" i="2"/>
  <c r="D465" i="1"/>
  <c r="B466" i="1"/>
  <c r="C465" i="1"/>
  <c r="E465" i="2" s="1"/>
  <c r="V465" i="2"/>
  <c r="AW465" i="1" l="1"/>
  <c r="BT465" i="1"/>
  <c r="T465" i="2" s="1"/>
  <c r="U465" i="2"/>
  <c r="D466" i="1"/>
  <c r="B467" i="1"/>
  <c r="C466" i="1"/>
  <c r="E466" i="2" s="1"/>
  <c r="V466" i="2"/>
  <c r="AW466" i="1" l="1"/>
  <c r="BT466" i="1"/>
  <c r="T466" i="2" s="1"/>
  <c r="U466" i="2"/>
  <c r="D467" i="1"/>
  <c r="B468" i="1"/>
  <c r="C467" i="1"/>
  <c r="E467" i="2" s="1"/>
  <c r="V467" i="2"/>
  <c r="AW467" i="1" l="1"/>
  <c r="BT467" i="1"/>
  <c r="T467" i="2" s="1"/>
  <c r="U467" i="2"/>
  <c r="B469" i="1"/>
  <c r="C468" i="1"/>
  <c r="E468" i="2" s="1"/>
  <c r="D468" i="1"/>
  <c r="V468" i="2"/>
  <c r="AW468" i="1" l="1"/>
  <c r="BT468" i="1"/>
  <c r="T468" i="2" s="1"/>
  <c r="U468" i="2"/>
  <c r="D469" i="1"/>
  <c r="B470" i="1"/>
  <c r="C469" i="1"/>
  <c r="E469" i="2" s="1"/>
  <c r="V469" i="2"/>
  <c r="AW469" i="1" l="1"/>
  <c r="BT469" i="1"/>
  <c r="T469" i="2" s="1"/>
  <c r="U469" i="2"/>
  <c r="D470" i="1"/>
  <c r="B471" i="1"/>
  <c r="C470" i="1"/>
  <c r="E470" i="2" s="1"/>
  <c r="V470" i="2"/>
  <c r="AW470" i="1" l="1"/>
  <c r="BT470" i="1"/>
  <c r="T470" i="2" s="1"/>
  <c r="U470" i="2"/>
  <c r="D471" i="1"/>
  <c r="B472" i="1"/>
  <c r="C471" i="1"/>
  <c r="E471" i="2" s="1"/>
  <c r="V471" i="2"/>
  <c r="AW471" i="1" l="1"/>
  <c r="BT471" i="1"/>
  <c r="T471" i="2" s="1"/>
  <c r="U471" i="2"/>
  <c r="B473" i="1"/>
  <c r="C472" i="1"/>
  <c r="E472" i="2" s="1"/>
  <c r="D472" i="1"/>
  <c r="V472" i="2"/>
  <c r="AW472" i="1" l="1"/>
  <c r="BT472" i="1"/>
  <c r="T472" i="2" s="1"/>
  <c r="U472" i="2"/>
  <c r="D473" i="1"/>
  <c r="B474" i="1"/>
  <c r="C473" i="1"/>
  <c r="E473" i="2" s="1"/>
  <c r="V473" i="2"/>
  <c r="AW473" i="1" l="1"/>
  <c r="BT473" i="1"/>
  <c r="T473" i="2" s="1"/>
  <c r="U473" i="2"/>
  <c r="D474" i="1"/>
  <c r="B475" i="1"/>
  <c r="C474" i="1"/>
  <c r="E474" i="2" s="1"/>
  <c r="V474" i="2"/>
  <c r="AW474" i="1" l="1"/>
  <c r="BT474" i="1"/>
  <c r="T474" i="2" s="1"/>
  <c r="U474" i="2"/>
  <c r="D475" i="1"/>
  <c r="B476" i="1"/>
  <c r="C475" i="1"/>
  <c r="E475" i="2" s="1"/>
  <c r="V475" i="2"/>
  <c r="AW475" i="1" l="1"/>
  <c r="BT475" i="1"/>
  <c r="T475" i="2" s="1"/>
  <c r="U475" i="2"/>
  <c r="B477" i="1"/>
  <c r="C476" i="1"/>
  <c r="E476" i="2" s="1"/>
  <c r="D476" i="1"/>
  <c r="V476" i="2"/>
  <c r="AW476" i="1" l="1"/>
  <c r="BT476" i="1"/>
  <c r="T476" i="2" s="1"/>
  <c r="U476" i="2"/>
  <c r="D477" i="1"/>
  <c r="B478" i="1"/>
  <c r="C477" i="1"/>
  <c r="E477" i="2" s="1"/>
  <c r="V477" i="2"/>
  <c r="AW477" i="1" l="1"/>
  <c r="BT477" i="1"/>
  <c r="T477" i="2" s="1"/>
  <c r="U477" i="2"/>
  <c r="D478" i="1"/>
  <c r="B479" i="1"/>
  <c r="C478" i="1"/>
  <c r="E478" i="2" s="1"/>
  <c r="V478" i="2"/>
  <c r="AW478" i="1" l="1"/>
  <c r="BT478" i="1"/>
  <c r="T478" i="2" s="1"/>
  <c r="U478" i="2"/>
  <c r="D479" i="1"/>
  <c r="B480" i="1"/>
  <c r="C479" i="1"/>
  <c r="E479" i="2" s="1"/>
  <c r="V479" i="2"/>
  <c r="AW479" i="1" l="1"/>
  <c r="BT479" i="1"/>
  <c r="T479" i="2" s="1"/>
  <c r="U479" i="2"/>
  <c r="B481" i="1"/>
  <c r="C480" i="1"/>
  <c r="E480" i="2" s="1"/>
  <c r="D480" i="1"/>
  <c r="V480" i="2"/>
  <c r="AW480" i="1" l="1"/>
  <c r="BT480" i="1"/>
  <c r="T480" i="2" s="1"/>
  <c r="U480" i="2"/>
  <c r="D481" i="1"/>
  <c r="B482" i="1"/>
  <c r="C481" i="1"/>
  <c r="E481" i="2" s="1"/>
  <c r="V481" i="2"/>
  <c r="AW481" i="1" l="1"/>
  <c r="BT481" i="1"/>
  <c r="T481" i="2" s="1"/>
  <c r="U481" i="2"/>
  <c r="D482" i="1"/>
  <c r="B483" i="1"/>
  <c r="C482" i="1"/>
  <c r="E482" i="2" s="1"/>
  <c r="V482" i="2"/>
  <c r="AW482" i="1" l="1"/>
  <c r="BT482" i="1"/>
  <c r="T482" i="2" s="1"/>
  <c r="U482" i="2"/>
  <c r="D483" i="1"/>
  <c r="B484" i="1"/>
  <c r="C483" i="1"/>
  <c r="E483" i="2" s="1"/>
  <c r="V483" i="2"/>
  <c r="AW483" i="1" l="1"/>
  <c r="BT483" i="1"/>
  <c r="T483" i="2" s="1"/>
  <c r="U483" i="2"/>
  <c r="B485" i="1"/>
  <c r="C484" i="1"/>
  <c r="E484" i="2" s="1"/>
  <c r="D484" i="1"/>
  <c r="V484" i="2"/>
  <c r="AW484" i="1" l="1"/>
  <c r="BT484" i="1"/>
  <c r="T484" i="2" s="1"/>
  <c r="U484" i="2"/>
  <c r="D485" i="1"/>
  <c r="B486" i="1"/>
  <c r="C485" i="1"/>
  <c r="E485" i="2" s="1"/>
  <c r="V485" i="2"/>
  <c r="AW485" i="1" l="1"/>
  <c r="BT485" i="1"/>
  <c r="T485" i="2" s="1"/>
  <c r="U485" i="2"/>
  <c r="D486" i="1"/>
  <c r="B487" i="1"/>
  <c r="C486" i="1"/>
  <c r="E486" i="2" s="1"/>
  <c r="V486" i="2"/>
  <c r="AW486" i="1" l="1"/>
  <c r="BT486" i="1"/>
  <c r="T486" i="2" s="1"/>
  <c r="U486" i="2"/>
  <c r="D487" i="1"/>
  <c r="B488" i="1"/>
  <c r="C487" i="1"/>
  <c r="E487" i="2" s="1"/>
  <c r="V487" i="2"/>
  <c r="AW487" i="1" l="1"/>
  <c r="BT487" i="1"/>
  <c r="T487" i="2" s="1"/>
  <c r="U487" i="2"/>
  <c r="B489" i="1"/>
  <c r="C488" i="1"/>
  <c r="E488" i="2" s="1"/>
  <c r="D488" i="1"/>
  <c r="V488" i="2"/>
  <c r="AW488" i="1" l="1"/>
  <c r="BT488" i="1"/>
  <c r="T488" i="2" s="1"/>
  <c r="U488" i="2"/>
  <c r="D489" i="1"/>
  <c r="B490" i="1"/>
  <c r="C489" i="1"/>
  <c r="E489" i="2" s="1"/>
  <c r="V489" i="2"/>
  <c r="AW489" i="1" l="1"/>
  <c r="BT489" i="1"/>
  <c r="T489" i="2" s="1"/>
  <c r="U489" i="2"/>
  <c r="D490" i="1"/>
  <c r="B491" i="1"/>
  <c r="C490" i="1"/>
  <c r="E490" i="2" s="1"/>
  <c r="V490" i="2"/>
  <c r="AW490" i="1" l="1"/>
  <c r="BT490" i="1"/>
  <c r="T490" i="2" s="1"/>
  <c r="U490" i="2"/>
  <c r="D491" i="1"/>
  <c r="B492" i="1"/>
  <c r="C491" i="1"/>
  <c r="E491" i="2" s="1"/>
  <c r="V491" i="2"/>
  <c r="AW491" i="1" l="1"/>
  <c r="BT491" i="1"/>
  <c r="T491" i="2" s="1"/>
  <c r="U491" i="2"/>
  <c r="B493" i="1"/>
  <c r="C492" i="1"/>
  <c r="E492" i="2" s="1"/>
  <c r="D492" i="1"/>
  <c r="V492" i="2"/>
  <c r="AW492" i="1" l="1"/>
  <c r="BT492" i="1"/>
  <c r="T492" i="2" s="1"/>
  <c r="U492" i="2"/>
  <c r="D493" i="1"/>
  <c r="B494" i="1"/>
  <c r="C493" i="1"/>
  <c r="E493" i="2" s="1"/>
  <c r="V493" i="2"/>
  <c r="AW493" i="1" l="1"/>
  <c r="BT493" i="1"/>
  <c r="T493" i="2" s="1"/>
  <c r="U493" i="2"/>
  <c r="D494" i="1"/>
  <c r="B495" i="1"/>
  <c r="C494" i="1"/>
  <c r="E494" i="2" s="1"/>
  <c r="V494" i="2"/>
  <c r="AW494" i="1" l="1"/>
  <c r="BT494" i="1"/>
  <c r="T494" i="2" s="1"/>
  <c r="U494" i="2"/>
  <c r="D495" i="1"/>
  <c r="B496" i="1"/>
  <c r="C495" i="1"/>
  <c r="E495" i="2" s="1"/>
  <c r="V495" i="2"/>
  <c r="AW495" i="1" l="1"/>
  <c r="BT495" i="1"/>
  <c r="T495" i="2" s="1"/>
  <c r="U495" i="2"/>
  <c r="B497" i="1"/>
  <c r="C496" i="1"/>
  <c r="E496" i="2" s="1"/>
  <c r="D496" i="1"/>
  <c r="V496" i="2"/>
  <c r="AW496" i="1" l="1"/>
  <c r="BT496" i="1"/>
  <c r="T496" i="2" s="1"/>
  <c r="U496" i="2"/>
  <c r="D497" i="1"/>
  <c r="B498" i="1"/>
  <c r="C497" i="1"/>
  <c r="E497" i="2" s="1"/>
  <c r="V497" i="2"/>
  <c r="AW497" i="1" l="1"/>
  <c r="BT497" i="1"/>
  <c r="T497" i="2" s="1"/>
  <c r="U497" i="2"/>
  <c r="D498" i="1"/>
  <c r="B499" i="1"/>
  <c r="C498" i="1"/>
  <c r="E498" i="2" s="1"/>
  <c r="V498" i="2"/>
  <c r="AW498" i="1" l="1"/>
  <c r="BT498" i="1"/>
  <c r="T498" i="2" s="1"/>
  <c r="U498" i="2"/>
  <c r="D499" i="1"/>
  <c r="B500" i="1"/>
  <c r="C499" i="1"/>
  <c r="E499" i="2" s="1"/>
  <c r="V499" i="2"/>
  <c r="AW499" i="1" l="1"/>
  <c r="BT499" i="1"/>
  <c r="T499" i="2" s="1"/>
  <c r="U499" i="2"/>
  <c r="B501" i="1"/>
  <c r="C500" i="1"/>
  <c r="E500" i="2" s="1"/>
  <c r="D500" i="1"/>
  <c r="V500" i="2"/>
  <c r="AW500" i="1" l="1"/>
  <c r="BT500" i="1"/>
  <c r="T500" i="2" s="1"/>
  <c r="U500" i="2"/>
  <c r="D501" i="1"/>
  <c r="B502" i="1"/>
  <c r="C501" i="1"/>
  <c r="E501" i="2" s="1"/>
  <c r="V501" i="2"/>
  <c r="AW501" i="1" l="1"/>
  <c r="BT501" i="1"/>
  <c r="T501" i="2" s="1"/>
  <c r="U501" i="2"/>
  <c r="D502" i="1"/>
  <c r="B503" i="1"/>
  <c r="C502" i="1"/>
  <c r="E502" i="2" s="1"/>
  <c r="V502" i="2"/>
  <c r="AW502" i="1" l="1"/>
  <c r="BT502" i="1"/>
  <c r="T502" i="2" s="1"/>
  <c r="U502" i="2"/>
  <c r="D503" i="1"/>
  <c r="B504" i="1"/>
  <c r="C503" i="1"/>
  <c r="E503" i="2" s="1"/>
  <c r="V503" i="2"/>
  <c r="AW503" i="1" l="1"/>
  <c r="BT503" i="1"/>
  <c r="T503" i="2" s="1"/>
  <c r="U503" i="2"/>
  <c r="B505" i="1"/>
  <c r="C504" i="1"/>
  <c r="E504" i="2" s="1"/>
  <c r="D504" i="1"/>
  <c r="V504" i="2"/>
  <c r="AW504" i="1" l="1"/>
  <c r="BT504" i="1"/>
  <c r="T504" i="2" s="1"/>
  <c r="U504" i="2"/>
  <c r="B506" i="1"/>
  <c r="D505" i="1"/>
  <c r="C505" i="1"/>
  <c r="E505" i="2" s="1"/>
  <c r="V505" i="2"/>
  <c r="AW505" i="1" l="1"/>
  <c r="BT505" i="1"/>
  <c r="T505" i="2" s="1"/>
  <c r="U505" i="2"/>
  <c r="B507" i="1"/>
  <c r="D506" i="1"/>
  <c r="C506" i="1"/>
  <c r="E506" i="2" s="1"/>
  <c r="V506" i="2"/>
  <c r="AW506" i="1" l="1"/>
  <c r="BT506" i="1"/>
  <c r="T506" i="2" s="1"/>
  <c r="U506" i="2"/>
  <c r="D507" i="1"/>
  <c r="B508" i="1"/>
  <c r="C507" i="1"/>
  <c r="E507" i="2" s="1"/>
  <c r="V507" i="2"/>
  <c r="AW507" i="1" l="1"/>
  <c r="BT507" i="1"/>
  <c r="T507" i="2" s="1"/>
  <c r="U507" i="2"/>
  <c r="D508" i="1"/>
  <c r="B509" i="1"/>
  <c r="C508" i="1"/>
  <c r="E508" i="2" s="1"/>
  <c r="V508" i="2"/>
  <c r="AW508" i="1" l="1"/>
  <c r="BT508" i="1"/>
  <c r="T508" i="2" s="1"/>
  <c r="U508" i="2"/>
  <c r="B510" i="1"/>
  <c r="C509" i="1"/>
  <c r="E509" i="2" s="1"/>
  <c r="D509" i="1"/>
  <c r="V509" i="2"/>
  <c r="AW509" i="1" l="1"/>
  <c r="BT509" i="1"/>
  <c r="T509" i="2" s="1"/>
  <c r="U509" i="2"/>
  <c r="B511" i="1"/>
  <c r="D510" i="1"/>
  <c r="C510" i="1"/>
  <c r="E510" i="2" s="1"/>
  <c r="V510" i="2"/>
  <c r="AW510" i="1" l="1"/>
  <c r="BT510" i="1"/>
  <c r="T510" i="2" s="1"/>
  <c r="U510" i="2"/>
  <c r="D511" i="1"/>
  <c r="B512" i="1"/>
  <c r="C511" i="1"/>
  <c r="E511" i="2" s="1"/>
  <c r="V511" i="2"/>
  <c r="AW511" i="1" l="1"/>
  <c r="BT511" i="1"/>
  <c r="T511" i="2" s="1"/>
  <c r="U511" i="2"/>
  <c r="D512" i="1"/>
  <c r="B513" i="1"/>
  <c r="C512" i="1"/>
  <c r="E512" i="2" s="1"/>
  <c r="V512" i="2"/>
  <c r="AW512" i="1" l="1"/>
  <c r="BT512" i="1"/>
  <c r="T512" i="2" s="1"/>
  <c r="U512" i="2"/>
  <c r="B514" i="1"/>
  <c r="C513" i="1"/>
  <c r="E513" i="2" s="1"/>
  <c r="D513" i="1"/>
  <c r="V513" i="2"/>
  <c r="AW513" i="1" l="1"/>
  <c r="BT513" i="1"/>
  <c r="T513" i="2" s="1"/>
  <c r="U513" i="2"/>
  <c r="B515" i="1"/>
  <c r="D514" i="1"/>
  <c r="C514" i="1"/>
  <c r="E514" i="2" s="1"/>
  <c r="V514" i="2"/>
  <c r="AW514" i="1" l="1"/>
  <c r="BT514" i="1"/>
  <c r="T514" i="2" s="1"/>
  <c r="U514" i="2"/>
  <c r="D515" i="1"/>
  <c r="B516" i="1"/>
  <c r="C515" i="1"/>
  <c r="E515" i="2" s="1"/>
  <c r="V515" i="2"/>
  <c r="AW515" i="1" l="1"/>
  <c r="BT515" i="1"/>
  <c r="T515" i="2" s="1"/>
  <c r="U515" i="2"/>
  <c r="D516" i="1"/>
  <c r="B517" i="1"/>
  <c r="C516" i="1"/>
  <c r="E516" i="2" s="1"/>
  <c r="V516" i="2"/>
  <c r="AW516" i="1" l="1"/>
  <c r="BT516" i="1"/>
  <c r="T516" i="2" s="1"/>
  <c r="U516" i="2"/>
  <c r="B518" i="1"/>
  <c r="C517" i="1"/>
  <c r="E517" i="2" s="1"/>
  <c r="D517" i="1"/>
  <c r="V517" i="2"/>
  <c r="AW517" i="1" l="1"/>
  <c r="BT517" i="1"/>
  <c r="T517" i="2" s="1"/>
  <c r="U517" i="2"/>
  <c r="B519" i="1"/>
  <c r="D518" i="1"/>
  <c r="C518" i="1"/>
  <c r="E518" i="2" s="1"/>
  <c r="V518" i="2"/>
  <c r="AW518" i="1" l="1"/>
  <c r="BT518" i="1"/>
  <c r="T518" i="2" s="1"/>
  <c r="U518" i="2"/>
  <c r="D519" i="1"/>
  <c r="B520" i="1"/>
  <c r="C519" i="1"/>
  <c r="E519" i="2" s="1"/>
  <c r="V519" i="2"/>
  <c r="AW519" i="1" l="1"/>
  <c r="BT519" i="1"/>
  <c r="T519" i="2" s="1"/>
  <c r="U519" i="2"/>
  <c r="D520" i="1"/>
  <c r="B521" i="1"/>
  <c r="C520" i="1"/>
  <c r="E520" i="2" s="1"/>
  <c r="V520" i="2"/>
  <c r="AW520" i="1" l="1"/>
  <c r="BT520" i="1"/>
  <c r="T520" i="2" s="1"/>
  <c r="U520" i="2"/>
  <c r="B522" i="1"/>
  <c r="C521" i="1"/>
  <c r="E521" i="2" s="1"/>
  <c r="D521" i="1"/>
  <c r="V521" i="2"/>
  <c r="AW521" i="1" l="1"/>
  <c r="BT521" i="1"/>
  <c r="T521" i="2" s="1"/>
  <c r="U521" i="2"/>
  <c r="B523" i="1"/>
  <c r="D522" i="1"/>
  <c r="C522" i="1"/>
  <c r="E522" i="2" s="1"/>
  <c r="V522" i="2"/>
  <c r="AW522" i="1" l="1"/>
  <c r="BT522" i="1"/>
  <c r="T522" i="2" s="1"/>
  <c r="U522" i="2"/>
  <c r="D523" i="1"/>
  <c r="B524" i="1"/>
  <c r="C523" i="1"/>
  <c r="E523" i="2" s="1"/>
  <c r="V523" i="2"/>
  <c r="AW523" i="1" l="1"/>
  <c r="BT523" i="1"/>
  <c r="T523" i="2" s="1"/>
  <c r="U523" i="2"/>
  <c r="D524" i="1"/>
  <c r="B525" i="1"/>
  <c r="C524" i="1"/>
  <c r="E524" i="2" s="1"/>
  <c r="V524" i="2"/>
  <c r="AW524" i="1" l="1"/>
  <c r="BT524" i="1"/>
  <c r="T524" i="2" s="1"/>
  <c r="U524" i="2"/>
  <c r="B526" i="1"/>
  <c r="C525" i="1"/>
  <c r="E525" i="2" s="1"/>
  <c r="D525" i="1"/>
  <c r="V525" i="2"/>
  <c r="AW525" i="1" l="1"/>
  <c r="BT525" i="1"/>
  <c r="T525" i="2" s="1"/>
  <c r="U525" i="2"/>
  <c r="B527" i="1"/>
  <c r="D526" i="1"/>
  <c r="C526" i="1"/>
  <c r="E526" i="2" s="1"/>
  <c r="V526" i="2"/>
  <c r="AW526" i="1" l="1"/>
  <c r="BT526" i="1"/>
  <c r="T526" i="2" s="1"/>
  <c r="U526" i="2"/>
  <c r="D527" i="1"/>
  <c r="B528" i="1"/>
  <c r="C527" i="1"/>
  <c r="E527" i="2" s="1"/>
  <c r="V527" i="2"/>
  <c r="AW527" i="1" l="1"/>
  <c r="BT527" i="1"/>
  <c r="T527" i="2" s="1"/>
  <c r="U527" i="2"/>
  <c r="D528" i="1"/>
  <c r="B529" i="1"/>
  <c r="C528" i="1"/>
  <c r="E528" i="2" s="1"/>
  <c r="V528" i="2"/>
  <c r="AW528" i="1" l="1"/>
  <c r="BT528" i="1"/>
  <c r="T528" i="2" s="1"/>
  <c r="U528" i="2"/>
  <c r="B530" i="1"/>
  <c r="C529" i="1"/>
  <c r="E529" i="2" s="1"/>
  <c r="D529" i="1"/>
  <c r="V529" i="2"/>
  <c r="AW529" i="1" l="1"/>
  <c r="BT529" i="1"/>
  <c r="T529" i="2" s="1"/>
  <c r="U529" i="2"/>
  <c r="B531" i="1"/>
  <c r="D530" i="1"/>
  <c r="C530" i="1"/>
  <c r="E530" i="2" s="1"/>
  <c r="V530" i="2"/>
  <c r="AW530" i="1" l="1"/>
  <c r="BT530" i="1"/>
  <c r="T530" i="2" s="1"/>
  <c r="U530" i="2"/>
  <c r="D531" i="1"/>
  <c r="B532" i="1"/>
  <c r="C531" i="1"/>
  <c r="E531" i="2" s="1"/>
  <c r="V531" i="2"/>
  <c r="AW531" i="1" l="1"/>
  <c r="BT531" i="1"/>
  <c r="T531" i="2" s="1"/>
  <c r="U531" i="2"/>
  <c r="D532" i="1"/>
  <c r="B533" i="1"/>
  <c r="C532" i="1"/>
  <c r="E532" i="2" s="1"/>
  <c r="V532" i="2"/>
  <c r="AW532" i="1" l="1"/>
  <c r="BT532" i="1"/>
  <c r="T532" i="2" s="1"/>
  <c r="U532" i="2"/>
  <c r="B534" i="1"/>
  <c r="C533" i="1"/>
  <c r="E533" i="2" s="1"/>
  <c r="D533" i="1"/>
  <c r="V533" i="2"/>
  <c r="AW533" i="1" l="1"/>
  <c r="BT533" i="1"/>
  <c r="T533" i="2" s="1"/>
  <c r="U533" i="2"/>
  <c r="B535" i="1"/>
  <c r="D534" i="1"/>
  <c r="C534" i="1"/>
  <c r="E534" i="2" s="1"/>
  <c r="V534" i="2"/>
  <c r="AW534" i="1" l="1"/>
  <c r="BT534" i="1"/>
  <c r="T534" i="2" s="1"/>
  <c r="U534" i="2"/>
  <c r="D535" i="1"/>
  <c r="B536" i="1"/>
  <c r="C535" i="1"/>
  <c r="E535" i="2" s="1"/>
  <c r="V535" i="2"/>
  <c r="AW535" i="1" l="1"/>
  <c r="BT535" i="1"/>
  <c r="T535" i="2" s="1"/>
  <c r="U535" i="2"/>
  <c r="D536" i="1"/>
  <c r="B537" i="1"/>
  <c r="C536" i="1"/>
  <c r="E536" i="2" s="1"/>
  <c r="V536" i="2"/>
  <c r="AW536" i="1" l="1"/>
  <c r="BT536" i="1"/>
  <c r="T536" i="2" s="1"/>
  <c r="U536" i="2"/>
  <c r="B538" i="1"/>
  <c r="C537" i="1"/>
  <c r="E537" i="2" s="1"/>
  <c r="D537" i="1"/>
  <c r="V537" i="2"/>
  <c r="AW537" i="1" l="1"/>
  <c r="BT537" i="1"/>
  <c r="T537" i="2" s="1"/>
  <c r="U537" i="2"/>
  <c r="B539" i="1"/>
  <c r="D538" i="1"/>
  <c r="C538" i="1"/>
  <c r="E538" i="2" s="1"/>
  <c r="V538" i="2"/>
  <c r="AW538" i="1" l="1"/>
  <c r="BT538" i="1"/>
  <c r="T538" i="2" s="1"/>
  <c r="U538" i="2"/>
  <c r="D539" i="1"/>
  <c r="B540" i="1"/>
  <c r="C539" i="1"/>
  <c r="E539" i="2" s="1"/>
  <c r="V539" i="2"/>
  <c r="AW539" i="1" l="1"/>
  <c r="BT539" i="1"/>
  <c r="T539" i="2" s="1"/>
  <c r="U539" i="2"/>
  <c r="D540" i="1"/>
  <c r="B541" i="1"/>
  <c r="C540" i="1"/>
  <c r="E540" i="2" s="1"/>
  <c r="V540" i="2"/>
  <c r="AW540" i="1" l="1"/>
  <c r="BT540" i="1"/>
  <c r="T540" i="2" s="1"/>
  <c r="U540" i="2"/>
  <c r="B542" i="1"/>
  <c r="C541" i="1"/>
  <c r="E541" i="2" s="1"/>
  <c r="D541" i="1"/>
  <c r="V541" i="2"/>
  <c r="AW541" i="1" l="1"/>
  <c r="BT541" i="1"/>
  <c r="T541" i="2" s="1"/>
  <c r="U541" i="2"/>
  <c r="B543" i="1"/>
  <c r="D542" i="1"/>
  <c r="C542" i="1"/>
  <c r="E542" i="2" s="1"/>
  <c r="V542" i="2"/>
  <c r="AW542" i="1" l="1"/>
  <c r="BT542" i="1"/>
  <c r="T542" i="2" s="1"/>
  <c r="U542" i="2"/>
  <c r="D543" i="1"/>
  <c r="B544" i="1"/>
  <c r="C543" i="1"/>
  <c r="E543" i="2" s="1"/>
  <c r="V543" i="2"/>
  <c r="AW543" i="1" l="1"/>
  <c r="BT543" i="1"/>
  <c r="T543" i="2" s="1"/>
  <c r="U543" i="2"/>
  <c r="D544" i="1"/>
  <c r="B545" i="1"/>
  <c r="C544" i="1"/>
  <c r="E544" i="2" s="1"/>
  <c r="V544" i="2"/>
  <c r="AW544" i="1" l="1"/>
  <c r="BT544" i="1"/>
  <c r="T544" i="2" s="1"/>
  <c r="U544" i="2"/>
  <c r="B546" i="1"/>
  <c r="C545" i="1"/>
  <c r="E545" i="2" s="1"/>
  <c r="D545" i="1"/>
  <c r="V545" i="2"/>
  <c r="AW545" i="1" l="1"/>
  <c r="BT545" i="1"/>
  <c r="T545" i="2" s="1"/>
  <c r="U545" i="2"/>
  <c r="B547" i="1"/>
  <c r="D546" i="1"/>
  <c r="C546" i="1"/>
  <c r="E546" i="2" s="1"/>
  <c r="V546" i="2"/>
  <c r="AW546" i="1" l="1"/>
  <c r="BT546" i="1"/>
  <c r="T546" i="2" s="1"/>
  <c r="U546" i="2"/>
  <c r="D547" i="1"/>
  <c r="B548" i="1"/>
  <c r="C547" i="1"/>
  <c r="E547" i="2" s="1"/>
  <c r="V547" i="2"/>
  <c r="AW547" i="1" l="1"/>
  <c r="BT547" i="1"/>
  <c r="T547" i="2" s="1"/>
  <c r="U547" i="2"/>
  <c r="D548" i="1"/>
  <c r="B549" i="1"/>
  <c r="C548" i="1"/>
  <c r="E548" i="2" s="1"/>
  <c r="V548" i="2"/>
  <c r="AW548" i="1" l="1"/>
  <c r="BT548" i="1"/>
  <c r="T548" i="2" s="1"/>
  <c r="U548" i="2"/>
  <c r="B550" i="1"/>
  <c r="C549" i="1"/>
  <c r="E549" i="2" s="1"/>
  <c r="D549" i="1"/>
  <c r="V549" i="2"/>
  <c r="AW549" i="1" l="1"/>
  <c r="BT549" i="1"/>
  <c r="T549" i="2" s="1"/>
  <c r="U549" i="2"/>
  <c r="B551" i="1"/>
  <c r="D550" i="1"/>
  <c r="C550" i="1"/>
  <c r="E550" i="2" s="1"/>
  <c r="V550" i="2"/>
  <c r="AW550" i="1" l="1"/>
  <c r="BT550" i="1"/>
  <c r="T550" i="2" s="1"/>
  <c r="U550" i="2"/>
  <c r="D551" i="1"/>
  <c r="B552" i="1"/>
  <c r="C551" i="1"/>
  <c r="E551" i="2" s="1"/>
  <c r="V551" i="2"/>
  <c r="AW551" i="1" l="1"/>
  <c r="BT551" i="1"/>
  <c r="T551" i="2" s="1"/>
  <c r="U551" i="2"/>
  <c r="D552" i="1"/>
  <c r="B553" i="1"/>
  <c r="C552" i="1"/>
  <c r="E552" i="2" s="1"/>
  <c r="V552" i="2"/>
  <c r="AW552" i="1" l="1"/>
  <c r="BT552" i="1"/>
  <c r="T552" i="2" s="1"/>
  <c r="U552" i="2"/>
  <c r="B554" i="1"/>
  <c r="C553" i="1"/>
  <c r="E553" i="2" s="1"/>
  <c r="D553" i="1"/>
  <c r="V553" i="2"/>
  <c r="AW553" i="1" l="1"/>
  <c r="BT553" i="1"/>
  <c r="T553" i="2" s="1"/>
  <c r="U553" i="2"/>
  <c r="B555" i="1"/>
  <c r="D554" i="1"/>
  <c r="C554" i="1"/>
  <c r="E554" i="2" s="1"/>
  <c r="V554" i="2"/>
  <c r="AW554" i="1" l="1"/>
  <c r="BT554" i="1"/>
  <c r="T554" i="2" s="1"/>
  <c r="U554" i="2"/>
  <c r="D555" i="1"/>
  <c r="B556" i="1"/>
  <c r="C555" i="1"/>
  <c r="E555" i="2" s="1"/>
  <c r="V555" i="2"/>
  <c r="AW555" i="1" l="1"/>
  <c r="BT555" i="1"/>
  <c r="T555" i="2" s="1"/>
  <c r="U555" i="2"/>
  <c r="D556" i="1"/>
  <c r="B557" i="1"/>
  <c r="C556" i="1"/>
  <c r="E556" i="2" s="1"/>
  <c r="V556" i="2"/>
  <c r="AW556" i="1" l="1"/>
  <c r="BT556" i="1"/>
  <c r="T556" i="2" s="1"/>
  <c r="U556" i="2"/>
  <c r="B558" i="1"/>
  <c r="C557" i="1"/>
  <c r="E557" i="2" s="1"/>
  <c r="D557" i="1"/>
  <c r="V557" i="2"/>
  <c r="AW557" i="1" l="1"/>
  <c r="BT557" i="1"/>
  <c r="T557" i="2" s="1"/>
  <c r="U557" i="2"/>
  <c r="B559" i="1"/>
  <c r="D558" i="1"/>
  <c r="C558" i="1"/>
  <c r="E558" i="2" s="1"/>
  <c r="V558" i="2"/>
  <c r="AW558" i="1" l="1"/>
  <c r="BT558" i="1"/>
  <c r="T558" i="2" s="1"/>
  <c r="U558" i="2"/>
  <c r="D559" i="1"/>
  <c r="B560" i="1"/>
  <c r="C559" i="1"/>
  <c r="E559" i="2" s="1"/>
  <c r="V559" i="2"/>
  <c r="AW559" i="1" l="1"/>
  <c r="BT559" i="1"/>
  <c r="T559" i="2" s="1"/>
  <c r="U559" i="2"/>
  <c r="D560" i="1"/>
  <c r="B561" i="1"/>
  <c r="C560" i="1"/>
  <c r="E560" i="2" s="1"/>
  <c r="V560" i="2"/>
  <c r="AW560" i="1" l="1"/>
  <c r="BT560" i="1"/>
  <c r="T560" i="2" s="1"/>
  <c r="U560" i="2"/>
  <c r="B562" i="1"/>
  <c r="C561" i="1"/>
  <c r="E561" i="2" s="1"/>
  <c r="D561" i="1"/>
  <c r="V561" i="2"/>
  <c r="AW561" i="1" l="1"/>
  <c r="BT561" i="1"/>
  <c r="T561" i="2" s="1"/>
  <c r="U561" i="2"/>
  <c r="B563" i="1"/>
  <c r="D562" i="1"/>
  <c r="C562" i="1"/>
  <c r="E562" i="2" s="1"/>
  <c r="V562" i="2"/>
  <c r="AW562" i="1" l="1"/>
  <c r="BT562" i="1"/>
  <c r="T562" i="2" s="1"/>
  <c r="U562" i="2"/>
  <c r="D563" i="1"/>
  <c r="B564" i="1"/>
  <c r="C563" i="1"/>
  <c r="E563" i="2" s="1"/>
  <c r="V563" i="2"/>
  <c r="AW563" i="1" l="1"/>
  <c r="BT563" i="1"/>
  <c r="T563" i="2" s="1"/>
  <c r="U563" i="2"/>
  <c r="D564" i="1"/>
  <c r="B565" i="1"/>
  <c r="C564" i="1"/>
  <c r="E564" i="2" s="1"/>
  <c r="V564" i="2"/>
  <c r="AW564" i="1" l="1"/>
  <c r="BT564" i="1"/>
  <c r="T564" i="2" s="1"/>
  <c r="U564" i="2"/>
  <c r="B566" i="1"/>
  <c r="C565" i="1"/>
  <c r="E565" i="2" s="1"/>
  <c r="D565" i="1"/>
  <c r="V565" i="2"/>
  <c r="AW565" i="1" l="1"/>
  <c r="BT565" i="1"/>
  <c r="T565" i="2" s="1"/>
  <c r="U565" i="2"/>
  <c r="B567" i="1"/>
  <c r="D566" i="1"/>
  <c r="C566" i="1"/>
  <c r="E566" i="2" s="1"/>
  <c r="V566" i="2"/>
  <c r="AW566" i="1" l="1"/>
  <c r="BT566" i="1"/>
  <c r="T566" i="2" s="1"/>
  <c r="U566" i="2"/>
  <c r="D567" i="1"/>
  <c r="B568" i="1"/>
  <c r="C567" i="1"/>
  <c r="E567" i="2" s="1"/>
  <c r="V567" i="2"/>
  <c r="AW567" i="1" l="1"/>
  <c r="BT567" i="1"/>
  <c r="T567" i="2" s="1"/>
  <c r="U567" i="2"/>
  <c r="D568" i="1"/>
  <c r="B569" i="1"/>
  <c r="C568" i="1"/>
  <c r="E568" i="2" s="1"/>
  <c r="V568" i="2"/>
  <c r="AW568" i="1" l="1"/>
  <c r="BT568" i="1"/>
  <c r="T568" i="2" s="1"/>
  <c r="U568" i="2"/>
  <c r="B570" i="1"/>
  <c r="C569" i="1"/>
  <c r="E569" i="2" s="1"/>
  <c r="D569" i="1"/>
  <c r="V569" i="2"/>
  <c r="AW569" i="1" l="1"/>
  <c r="BT569" i="1"/>
  <c r="T569" i="2" s="1"/>
  <c r="U569" i="2"/>
  <c r="B571" i="1"/>
  <c r="D570" i="1"/>
  <c r="C570" i="1"/>
  <c r="E570" i="2" s="1"/>
  <c r="V570" i="2"/>
  <c r="AW570" i="1" l="1"/>
  <c r="BT570" i="1"/>
  <c r="T570" i="2" s="1"/>
  <c r="U570" i="2"/>
  <c r="D571" i="1"/>
  <c r="B572" i="1"/>
  <c r="C571" i="1"/>
  <c r="E571" i="2" s="1"/>
  <c r="V571" i="2"/>
  <c r="AW571" i="1" l="1"/>
  <c r="BT571" i="1"/>
  <c r="T571" i="2" s="1"/>
  <c r="U571" i="2"/>
  <c r="D572" i="1"/>
  <c r="B573" i="1"/>
  <c r="C572" i="1"/>
  <c r="E572" i="2" s="1"/>
  <c r="V572" i="2"/>
  <c r="AW572" i="1" l="1"/>
  <c r="BT572" i="1"/>
  <c r="T572" i="2" s="1"/>
  <c r="U572" i="2"/>
  <c r="B574" i="1"/>
  <c r="C573" i="1"/>
  <c r="E573" i="2" s="1"/>
  <c r="D573" i="1"/>
  <c r="V573" i="2"/>
  <c r="AW573" i="1" l="1"/>
  <c r="BT573" i="1"/>
  <c r="T573" i="2" s="1"/>
  <c r="U573" i="2"/>
  <c r="B575" i="1"/>
  <c r="D574" i="1"/>
  <c r="C574" i="1"/>
  <c r="E574" i="2" s="1"/>
  <c r="V574" i="2"/>
  <c r="AW574" i="1" l="1"/>
  <c r="BT574" i="1"/>
  <c r="T574" i="2" s="1"/>
  <c r="U574" i="2"/>
  <c r="D575" i="1"/>
  <c r="B576" i="1"/>
  <c r="C575" i="1"/>
  <c r="E575" i="2" s="1"/>
  <c r="V575" i="2"/>
  <c r="AW575" i="1" l="1"/>
  <c r="BT575" i="1"/>
  <c r="T575" i="2" s="1"/>
  <c r="U575" i="2"/>
  <c r="D576" i="1"/>
  <c r="B577" i="1"/>
  <c r="C576" i="1"/>
  <c r="E576" i="2" s="1"/>
  <c r="V576" i="2"/>
  <c r="AW576" i="1" l="1"/>
  <c r="BT576" i="1"/>
  <c r="T576" i="2" s="1"/>
  <c r="U576" i="2"/>
  <c r="B578" i="1"/>
  <c r="C577" i="1"/>
  <c r="E577" i="2" s="1"/>
  <c r="D577" i="1"/>
  <c r="V577" i="2"/>
  <c r="AW577" i="1" l="1"/>
  <c r="BT577" i="1"/>
  <c r="T577" i="2" s="1"/>
  <c r="U577" i="2"/>
  <c r="B579" i="1"/>
  <c r="D578" i="1"/>
  <c r="C578" i="1"/>
  <c r="E578" i="2" s="1"/>
  <c r="V578" i="2"/>
  <c r="AW578" i="1" l="1"/>
  <c r="BT578" i="1"/>
  <c r="T578" i="2" s="1"/>
  <c r="U578" i="2"/>
  <c r="D579" i="1"/>
  <c r="B580" i="1"/>
  <c r="C579" i="1"/>
  <c r="E579" i="2" s="1"/>
  <c r="V579" i="2"/>
  <c r="AW579" i="1" l="1"/>
  <c r="BT579" i="1"/>
  <c r="T579" i="2" s="1"/>
  <c r="U579" i="2"/>
  <c r="D580" i="1"/>
  <c r="B581" i="1"/>
  <c r="C580" i="1"/>
  <c r="E580" i="2" s="1"/>
  <c r="V580" i="2"/>
  <c r="AW580" i="1" l="1"/>
  <c r="BT580" i="1"/>
  <c r="T580" i="2" s="1"/>
  <c r="U580" i="2"/>
  <c r="B582" i="1"/>
  <c r="C581" i="1"/>
  <c r="E581" i="2" s="1"/>
  <c r="D581" i="1"/>
  <c r="V581" i="2"/>
  <c r="AW581" i="1" l="1"/>
  <c r="BT581" i="1"/>
  <c r="T581" i="2" s="1"/>
  <c r="U581" i="2"/>
  <c r="D582" i="1"/>
  <c r="B583" i="1"/>
  <c r="C582" i="1"/>
  <c r="E582" i="2" s="1"/>
  <c r="V582" i="2"/>
  <c r="AW582" i="1" l="1"/>
  <c r="BT582" i="1"/>
  <c r="T582" i="2" s="1"/>
  <c r="U582" i="2"/>
  <c r="D583" i="1"/>
  <c r="B584" i="1"/>
  <c r="C583" i="1"/>
  <c r="E583" i="2" s="1"/>
  <c r="V583" i="2"/>
  <c r="AW583" i="1" l="1"/>
  <c r="BT583" i="1"/>
  <c r="T583" i="2" s="1"/>
  <c r="U583" i="2"/>
  <c r="D584" i="1"/>
  <c r="B585" i="1"/>
  <c r="C584" i="1"/>
  <c r="E584" i="2" s="1"/>
  <c r="V584" i="2"/>
  <c r="AW584" i="1" l="1"/>
  <c r="BT584" i="1"/>
  <c r="T584" i="2" s="1"/>
  <c r="U584" i="2"/>
  <c r="B586" i="1"/>
  <c r="C585" i="1"/>
  <c r="E585" i="2" s="1"/>
  <c r="D585" i="1"/>
  <c r="V585" i="2"/>
  <c r="AW585" i="1" l="1"/>
  <c r="BT585" i="1"/>
  <c r="T585" i="2" s="1"/>
  <c r="U585" i="2"/>
  <c r="D586" i="1"/>
  <c r="B587" i="1"/>
  <c r="C586" i="1"/>
  <c r="E586" i="2" s="1"/>
  <c r="V586" i="2"/>
  <c r="AW586" i="1" l="1"/>
  <c r="BT586" i="1"/>
  <c r="T586" i="2" s="1"/>
  <c r="U586" i="2"/>
  <c r="D587" i="1"/>
  <c r="B588" i="1"/>
  <c r="C587" i="1"/>
  <c r="E587" i="2" s="1"/>
  <c r="V587" i="2"/>
  <c r="AW587" i="1" l="1"/>
  <c r="BT587" i="1"/>
  <c r="T587" i="2" s="1"/>
  <c r="U587" i="2"/>
  <c r="D588" i="1"/>
  <c r="B589" i="1"/>
  <c r="C588" i="1"/>
  <c r="E588" i="2" s="1"/>
  <c r="V588" i="2"/>
  <c r="AW588" i="1" l="1"/>
  <c r="BT588" i="1"/>
  <c r="T588" i="2" s="1"/>
  <c r="U588" i="2"/>
  <c r="B590" i="1"/>
  <c r="C589" i="1"/>
  <c r="E589" i="2" s="1"/>
  <c r="D589" i="1"/>
  <c r="V589" i="2"/>
  <c r="AW589" i="1" l="1"/>
  <c r="BT589" i="1"/>
  <c r="T589" i="2" s="1"/>
  <c r="U589" i="2"/>
  <c r="D590" i="1"/>
  <c r="B591" i="1"/>
  <c r="C590" i="1"/>
  <c r="E590" i="2" s="1"/>
  <c r="V590" i="2"/>
  <c r="AW590" i="1" l="1"/>
  <c r="BT590" i="1"/>
  <c r="T590" i="2" s="1"/>
  <c r="U590" i="2"/>
  <c r="D591" i="1"/>
  <c r="B592" i="1"/>
  <c r="C591" i="1"/>
  <c r="E591" i="2" s="1"/>
  <c r="V591" i="2"/>
  <c r="AW591" i="1" l="1"/>
  <c r="BT591" i="1"/>
  <c r="T591" i="2" s="1"/>
  <c r="U591" i="2"/>
  <c r="D592" i="1"/>
  <c r="B593" i="1"/>
  <c r="C592" i="1"/>
  <c r="E592" i="2" s="1"/>
  <c r="V592" i="2"/>
  <c r="AW592" i="1" l="1"/>
  <c r="BT592" i="1"/>
  <c r="T592" i="2" s="1"/>
  <c r="U592" i="2"/>
  <c r="B594" i="1"/>
  <c r="C593" i="1"/>
  <c r="E593" i="2" s="1"/>
  <c r="D593" i="1"/>
  <c r="V593" i="2"/>
  <c r="AW593" i="1" l="1"/>
  <c r="BT593" i="1"/>
  <c r="T593" i="2" s="1"/>
  <c r="U593" i="2"/>
  <c r="D594" i="1"/>
  <c r="B595" i="1"/>
  <c r="C594" i="1"/>
  <c r="E594" i="2" s="1"/>
  <c r="V594" i="2"/>
  <c r="AW594" i="1" l="1"/>
  <c r="BT594" i="1"/>
  <c r="T594" i="2" s="1"/>
  <c r="U594" i="2"/>
  <c r="D595" i="1"/>
  <c r="B596" i="1"/>
  <c r="C595" i="1"/>
  <c r="E595" i="2" s="1"/>
  <c r="V595" i="2"/>
  <c r="AW595" i="1" l="1"/>
  <c r="BT595" i="1"/>
  <c r="T595" i="2" s="1"/>
  <c r="U595" i="2"/>
  <c r="D596" i="1"/>
  <c r="B597" i="1"/>
  <c r="C596" i="1"/>
  <c r="E596" i="2" s="1"/>
  <c r="V596" i="2"/>
  <c r="AW596" i="1" l="1"/>
  <c r="BT596" i="1"/>
  <c r="T596" i="2" s="1"/>
  <c r="U596" i="2"/>
  <c r="B598" i="1"/>
  <c r="C597" i="1"/>
  <c r="E597" i="2" s="1"/>
  <c r="D597" i="1"/>
  <c r="V597" i="2"/>
  <c r="AW597" i="1" l="1"/>
  <c r="BT597" i="1"/>
  <c r="T597" i="2" s="1"/>
  <c r="U597" i="2"/>
  <c r="D598" i="1"/>
  <c r="B599" i="1"/>
  <c r="C598" i="1"/>
  <c r="E598" i="2" s="1"/>
  <c r="V598" i="2"/>
  <c r="AW598" i="1" l="1"/>
  <c r="BT598" i="1"/>
  <c r="T598" i="2" s="1"/>
  <c r="U598" i="2"/>
  <c r="D599" i="1"/>
  <c r="B600" i="1"/>
  <c r="C599" i="1"/>
  <c r="E599" i="2" s="1"/>
  <c r="V599" i="2"/>
  <c r="AW599" i="1" l="1"/>
  <c r="BT599" i="1"/>
  <c r="T599" i="2" s="1"/>
  <c r="U599" i="2"/>
  <c r="D600" i="1"/>
  <c r="B601" i="1"/>
  <c r="C600" i="1"/>
  <c r="E600" i="2" s="1"/>
  <c r="V600" i="2"/>
  <c r="AW600" i="1" l="1"/>
  <c r="BT600" i="1"/>
  <c r="T600" i="2" s="1"/>
  <c r="U600" i="2"/>
  <c r="B602" i="1"/>
  <c r="C601" i="1"/>
  <c r="E601" i="2" s="1"/>
  <c r="D601" i="1"/>
  <c r="V601" i="2"/>
  <c r="AW601" i="1" l="1"/>
  <c r="BT601" i="1"/>
  <c r="T601" i="2" s="1"/>
  <c r="U601" i="2"/>
  <c r="D602" i="1"/>
  <c r="B603" i="1"/>
  <c r="C602" i="1"/>
  <c r="E602" i="2" s="1"/>
  <c r="V602" i="2"/>
  <c r="AW602" i="1" l="1"/>
  <c r="BT602" i="1"/>
  <c r="T602" i="2" s="1"/>
  <c r="U602" i="2"/>
  <c r="D603" i="1"/>
  <c r="B604" i="1"/>
  <c r="C603" i="1"/>
  <c r="E603" i="2" s="1"/>
  <c r="V603" i="2"/>
  <c r="AW603" i="1" l="1"/>
  <c r="BT603" i="1"/>
  <c r="T603" i="2" s="1"/>
  <c r="U603" i="2"/>
  <c r="D604" i="1"/>
  <c r="B605" i="1"/>
  <c r="C604" i="1"/>
  <c r="E604" i="2" s="1"/>
  <c r="V604" i="2"/>
  <c r="AW604" i="1" l="1"/>
  <c r="BT604" i="1"/>
  <c r="T604" i="2" s="1"/>
  <c r="U604" i="2"/>
  <c r="B606" i="1"/>
  <c r="C605" i="1"/>
  <c r="E605" i="2" s="1"/>
  <c r="D605" i="1"/>
  <c r="V605" i="2"/>
  <c r="AW605" i="1" l="1"/>
  <c r="BT605" i="1"/>
  <c r="T605" i="2" s="1"/>
  <c r="U605" i="2"/>
  <c r="D606" i="1"/>
  <c r="B607" i="1"/>
  <c r="C606" i="1"/>
  <c r="E606" i="2" s="1"/>
  <c r="V606" i="2"/>
  <c r="AW606" i="1" l="1"/>
  <c r="BT606" i="1"/>
  <c r="T606" i="2" s="1"/>
  <c r="U606" i="2"/>
  <c r="D607" i="1"/>
  <c r="B608" i="1"/>
  <c r="C607" i="1"/>
  <c r="E607" i="2" s="1"/>
  <c r="V607" i="2"/>
  <c r="AW607" i="1" l="1"/>
  <c r="BT607" i="1"/>
  <c r="T607" i="2" s="1"/>
  <c r="U607" i="2"/>
  <c r="D608" i="1"/>
  <c r="B609" i="1"/>
  <c r="C608" i="1"/>
  <c r="E608" i="2" s="1"/>
  <c r="V608" i="2"/>
  <c r="AW608" i="1" l="1"/>
  <c r="BT608" i="1"/>
  <c r="T608" i="2" s="1"/>
  <c r="U608" i="2"/>
  <c r="B610" i="1"/>
  <c r="C609" i="1"/>
  <c r="E609" i="2" s="1"/>
  <c r="D609" i="1"/>
  <c r="V609" i="2"/>
  <c r="AW609" i="1" l="1"/>
  <c r="BT609" i="1"/>
  <c r="T609" i="2" s="1"/>
  <c r="U609" i="2"/>
  <c r="D610" i="1"/>
  <c r="B611" i="1"/>
  <c r="C610" i="1"/>
  <c r="E610" i="2" s="1"/>
  <c r="V610" i="2"/>
  <c r="AW610" i="1" l="1"/>
  <c r="BT610" i="1"/>
  <c r="T610" i="2" s="1"/>
  <c r="U610" i="2"/>
  <c r="D611" i="1"/>
  <c r="B612" i="1"/>
  <c r="C611" i="1"/>
  <c r="E611" i="2" s="1"/>
  <c r="V611" i="2"/>
  <c r="AW611" i="1" l="1"/>
  <c r="BT611" i="1"/>
  <c r="T611" i="2" s="1"/>
  <c r="U611" i="2"/>
  <c r="D612" i="1"/>
  <c r="B613" i="1"/>
  <c r="C612" i="1"/>
  <c r="E612" i="2" s="1"/>
  <c r="V612" i="2"/>
  <c r="AW612" i="1" l="1"/>
  <c r="BT612" i="1"/>
  <c r="T612" i="2" s="1"/>
  <c r="U612" i="2"/>
  <c r="B614" i="1"/>
  <c r="C613" i="1"/>
  <c r="E613" i="2" s="1"/>
  <c r="D613" i="1"/>
  <c r="V613" i="2"/>
  <c r="AW613" i="1" l="1"/>
  <c r="BT613" i="1"/>
  <c r="T613" i="2" s="1"/>
  <c r="U613" i="2"/>
  <c r="D614" i="1"/>
  <c r="B615" i="1"/>
  <c r="C614" i="1"/>
  <c r="E614" i="2" s="1"/>
  <c r="V614" i="2"/>
  <c r="AW614" i="1" l="1"/>
  <c r="BT614" i="1"/>
  <c r="T614" i="2" s="1"/>
  <c r="U614" i="2"/>
  <c r="D615" i="1"/>
  <c r="B616" i="1"/>
  <c r="C615" i="1"/>
  <c r="E615" i="2" s="1"/>
  <c r="V615" i="2"/>
  <c r="AW615" i="1" l="1"/>
  <c r="BT615" i="1"/>
  <c r="T615" i="2" s="1"/>
  <c r="U615" i="2"/>
  <c r="D616" i="1"/>
  <c r="B617" i="1"/>
  <c r="C616" i="1"/>
  <c r="E616" i="2" s="1"/>
  <c r="V616" i="2"/>
  <c r="AW616" i="1" l="1"/>
  <c r="BT616" i="1"/>
  <c r="T616" i="2" s="1"/>
  <c r="U616" i="2"/>
  <c r="B618" i="1"/>
  <c r="C617" i="1"/>
  <c r="E617" i="2" s="1"/>
  <c r="D617" i="1"/>
  <c r="V617" i="2"/>
  <c r="AW617" i="1" l="1"/>
  <c r="BT617" i="1"/>
  <c r="T617" i="2" s="1"/>
  <c r="U617" i="2"/>
  <c r="D618" i="1"/>
  <c r="B619" i="1"/>
  <c r="C618" i="1"/>
  <c r="E618" i="2" s="1"/>
  <c r="V618" i="2"/>
  <c r="AW618" i="1" l="1"/>
  <c r="BT618" i="1"/>
  <c r="T618" i="2" s="1"/>
  <c r="U618" i="2"/>
  <c r="D619" i="1"/>
  <c r="B620" i="1"/>
  <c r="C619" i="1"/>
  <c r="E619" i="2" s="1"/>
  <c r="V619" i="2"/>
  <c r="AW619" i="1" l="1"/>
  <c r="BT619" i="1"/>
  <c r="T619" i="2" s="1"/>
  <c r="U619" i="2"/>
  <c r="D620" i="1"/>
  <c r="B621" i="1"/>
  <c r="C620" i="1"/>
  <c r="E620" i="2" s="1"/>
  <c r="V620" i="2"/>
  <c r="AW620" i="1" l="1"/>
  <c r="BT620" i="1"/>
  <c r="T620" i="2" s="1"/>
  <c r="U620" i="2"/>
  <c r="B622" i="1"/>
  <c r="C621" i="1"/>
  <c r="E621" i="2" s="1"/>
  <c r="D621" i="1"/>
  <c r="V621" i="2"/>
  <c r="AW621" i="1" l="1"/>
  <c r="BT621" i="1"/>
  <c r="T621" i="2" s="1"/>
  <c r="U621" i="2"/>
  <c r="D622" i="1"/>
  <c r="B623" i="1"/>
  <c r="C622" i="1"/>
  <c r="E622" i="2" s="1"/>
  <c r="V622" i="2"/>
  <c r="AW622" i="1" l="1"/>
  <c r="BT622" i="1"/>
  <c r="T622" i="2" s="1"/>
  <c r="U622" i="2"/>
  <c r="D623" i="1"/>
  <c r="B624" i="1"/>
  <c r="C623" i="1"/>
  <c r="E623" i="2" s="1"/>
  <c r="V623" i="2"/>
  <c r="AW623" i="1" l="1"/>
  <c r="BT623" i="1"/>
  <c r="T623" i="2" s="1"/>
  <c r="U623" i="2"/>
  <c r="D624" i="1"/>
  <c r="B625" i="1"/>
  <c r="C624" i="1"/>
  <c r="E624" i="2" s="1"/>
  <c r="V624" i="2"/>
  <c r="AW624" i="1" l="1"/>
  <c r="BT624" i="1"/>
  <c r="T624" i="2" s="1"/>
  <c r="U624" i="2"/>
  <c r="B626" i="1"/>
  <c r="C625" i="1"/>
  <c r="E625" i="2" s="1"/>
  <c r="D625" i="1"/>
  <c r="V625" i="2"/>
  <c r="AW625" i="1" l="1"/>
  <c r="BT625" i="1"/>
  <c r="T625" i="2" s="1"/>
  <c r="U625" i="2"/>
  <c r="D626" i="1"/>
  <c r="B627" i="1"/>
  <c r="C626" i="1"/>
  <c r="E626" i="2" s="1"/>
  <c r="V626" i="2"/>
  <c r="AW626" i="1" l="1"/>
  <c r="BT626" i="1"/>
  <c r="T626" i="2" s="1"/>
  <c r="U626" i="2"/>
  <c r="D627" i="1"/>
  <c r="B628" i="1"/>
  <c r="C627" i="1"/>
  <c r="E627" i="2" s="1"/>
  <c r="V627" i="2"/>
  <c r="AW627" i="1" l="1"/>
  <c r="BT627" i="1"/>
  <c r="T627" i="2" s="1"/>
  <c r="U627" i="2"/>
  <c r="D628" i="1"/>
  <c r="B629" i="1"/>
  <c r="C628" i="1"/>
  <c r="E628" i="2" s="1"/>
  <c r="V628" i="2"/>
  <c r="AW628" i="1" l="1"/>
  <c r="BT628" i="1"/>
  <c r="T628" i="2" s="1"/>
  <c r="U628" i="2"/>
  <c r="B630" i="1"/>
  <c r="C629" i="1"/>
  <c r="E629" i="2" s="1"/>
  <c r="D629" i="1"/>
  <c r="V629" i="2"/>
  <c r="AW629" i="1" l="1"/>
  <c r="BT629" i="1"/>
  <c r="T629" i="2" s="1"/>
  <c r="U629" i="2"/>
  <c r="D630" i="1"/>
  <c r="B631" i="1"/>
  <c r="C630" i="1"/>
  <c r="E630" i="2" s="1"/>
  <c r="V630" i="2"/>
  <c r="AW630" i="1" l="1"/>
  <c r="BT630" i="1"/>
  <c r="T630" i="2" s="1"/>
  <c r="U630" i="2"/>
  <c r="D631" i="1"/>
  <c r="B632" i="1"/>
  <c r="C631" i="1"/>
  <c r="E631" i="2" s="1"/>
  <c r="V631" i="2"/>
  <c r="AW631" i="1" l="1"/>
  <c r="BT631" i="1"/>
  <c r="T631" i="2" s="1"/>
  <c r="U631" i="2"/>
  <c r="D632" i="1"/>
  <c r="B633" i="1"/>
  <c r="C632" i="1"/>
  <c r="E632" i="2" s="1"/>
  <c r="V632" i="2"/>
  <c r="AW632" i="1" l="1"/>
  <c r="BT632" i="1"/>
  <c r="T632" i="2" s="1"/>
  <c r="U632" i="2"/>
  <c r="B634" i="1"/>
  <c r="C633" i="1"/>
  <c r="E633" i="2" s="1"/>
  <c r="D633" i="1"/>
  <c r="V633" i="2"/>
  <c r="AW633" i="1" l="1"/>
  <c r="BT633" i="1"/>
  <c r="T633" i="2" s="1"/>
  <c r="U633" i="2"/>
  <c r="D634" i="1"/>
  <c r="B635" i="1"/>
  <c r="C634" i="1"/>
  <c r="E634" i="2" s="1"/>
  <c r="V634" i="2"/>
  <c r="AW634" i="1" l="1"/>
  <c r="BT634" i="1"/>
  <c r="T634" i="2" s="1"/>
  <c r="U634" i="2"/>
  <c r="D635" i="1"/>
  <c r="B636" i="1"/>
  <c r="C635" i="1"/>
  <c r="E635" i="2" s="1"/>
  <c r="V635" i="2"/>
  <c r="AW635" i="1" l="1"/>
  <c r="BT635" i="1"/>
  <c r="T635" i="2" s="1"/>
  <c r="U635" i="2"/>
  <c r="D636" i="1"/>
  <c r="B637" i="1"/>
  <c r="C636" i="1"/>
  <c r="E636" i="2" s="1"/>
  <c r="V636" i="2"/>
  <c r="AW636" i="1" l="1"/>
  <c r="BT636" i="1"/>
  <c r="T636" i="2" s="1"/>
  <c r="U636" i="2"/>
  <c r="B638" i="1"/>
  <c r="C637" i="1"/>
  <c r="E637" i="2" s="1"/>
  <c r="D637" i="1"/>
  <c r="V637" i="2"/>
  <c r="AW637" i="1" l="1"/>
  <c r="BT637" i="1"/>
  <c r="T637" i="2" s="1"/>
  <c r="U637" i="2"/>
  <c r="D638" i="1"/>
  <c r="B639" i="1"/>
  <c r="C638" i="1"/>
  <c r="E638" i="2" s="1"/>
  <c r="V638" i="2"/>
  <c r="AW638" i="1" l="1"/>
  <c r="BT638" i="1"/>
  <c r="T638" i="2" s="1"/>
  <c r="U638" i="2"/>
  <c r="D639" i="1"/>
  <c r="B640" i="1"/>
  <c r="C639" i="1"/>
  <c r="E639" i="2" s="1"/>
  <c r="V639" i="2"/>
  <c r="AW639" i="1" l="1"/>
  <c r="BT639" i="1"/>
  <c r="T639" i="2" s="1"/>
  <c r="U639" i="2"/>
  <c r="D640" i="1"/>
  <c r="B641" i="1"/>
  <c r="C640" i="1"/>
  <c r="E640" i="2" s="1"/>
  <c r="V640" i="2"/>
  <c r="AW640" i="1" l="1"/>
  <c r="BT640" i="1"/>
  <c r="T640" i="2" s="1"/>
  <c r="U640" i="2"/>
  <c r="B642" i="1"/>
  <c r="C641" i="1"/>
  <c r="E641" i="2" s="1"/>
  <c r="D641" i="1"/>
  <c r="V641" i="2"/>
  <c r="AW641" i="1" l="1"/>
  <c r="BT641" i="1"/>
  <c r="T641" i="2" s="1"/>
  <c r="U641" i="2"/>
  <c r="D642" i="1"/>
  <c r="B643" i="1"/>
  <c r="C642" i="1"/>
  <c r="E642" i="2" s="1"/>
  <c r="V642" i="2"/>
  <c r="AW642" i="1" l="1"/>
  <c r="BT642" i="1"/>
  <c r="T642" i="2" s="1"/>
  <c r="U642" i="2"/>
  <c r="D643" i="1"/>
  <c r="B644" i="1"/>
  <c r="C643" i="1"/>
  <c r="E643" i="2" s="1"/>
  <c r="V643" i="2"/>
  <c r="AW643" i="1" l="1"/>
  <c r="BT643" i="1"/>
  <c r="T643" i="2" s="1"/>
  <c r="U643" i="2"/>
  <c r="D644" i="1"/>
  <c r="B645" i="1"/>
  <c r="C644" i="1"/>
  <c r="E644" i="2" s="1"/>
  <c r="V644" i="2"/>
  <c r="AW644" i="1" l="1"/>
  <c r="BT644" i="1"/>
  <c r="T644" i="2" s="1"/>
  <c r="U644" i="2"/>
  <c r="B646" i="1"/>
  <c r="C645" i="1"/>
  <c r="E645" i="2" s="1"/>
  <c r="D645" i="1"/>
  <c r="V645" i="2"/>
  <c r="AW645" i="1" l="1"/>
  <c r="BT645" i="1"/>
  <c r="T645" i="2" s="1"/>
  <c r="U645" i="2"/>
  <c r="D646" i="1"/>
  <c r="B647" i="1"/>
  <c r="C646" i="1"/>
  <c r="E646" i="2" s="1"/>
  <c r="V646" i="2"/>
  <c r="AW646" i="1" l="1"/>
  <c r="BT646" i="1"/>
  <c r="T646" i="2" s="1"/>
  <c r="U646" i="2"/>
  <c r="D647" i="1"/>
  <c r="B648" i="1"/>
  <c r="C647" i="1"/>
  <c r="E647" i="2" s="1"/>
  <c r="V647" i="2"/>
  <c r="AW647" i="1" l="1"/>
  <c r="BT647" i="1"/>
  <c r="T647" i="2" s="1"/>
  <c r="U647" i="2"/>
  <c r="D648" i="1"/>
  <c r="B649" i="1"/>
  <c r="C648" i="1"/>
  <c r="E648" i="2" s="1"/>
  <c r="V648" i="2"/>
  <c r="AW648" i="1" l="1"/>
  <c r="BT648" i="1"/>
  <c r="T648" i="2" s="1"/>
  <c r="U648" i="2"/>
  <c r="B650" i="1"/>
  <c r="C649" i="1"/>
  <c r="E649" i="2" s="1"/>
  <c r="D649" i="1"/>
  <c r="V649" i="2"/>
  <c r="AW649" i="1" l="1"/>
  <c r="BT649" i="1"/>
  <c r="T649" i="2" s="1"/>
  <c r="U649" i="2"/>
  <c r="D650" i="1"/>
  <c r="B651" i="1"/>
  <c r="C650" i="1"/>
  <c r="E650" i="2" s="1"/>
  <c r="V650" i="2"/>
  <c r="AW650" i="1" l="1"/>
  <c r="BT650" i="1"/>
  <c r="T650" i="2" s="1"/>
  <c r="U650" i="2"/>
  <c r="D651" i="1"/>
  <c r="B652" i="1"/>
  <c r="C651" i="1"/>
  <c r="E651" i="2" s="1"/>
  <c r="V651" i="2"/>
  <c r="AW651" i="1" l="1"/>
  <c r="BT651" i="1"/>
  <c r="T651" i="2" s="1"/>
  <c r="U651" i="2"/>
  <c r="D652" i="1"/>
  <c r="B653" i="1"/>
  <c r="C652" i="1"/>
  <c r="E652" i="2" s="1"/>
  <c r="V652" i="2"/>
  <c r="AW652" i="1" l="1"/>
  <c r="BT652" i="1"/>
  <c r="T652" i="2" s="1"/>
  <c r="U652" i="2"/>
  <c r="B654" i="1"/>
  <c r="C653" i="1"/>
  <c r="E653" i="2" s="1"/>
  <c r="D653" i="1"/>
  <c r="V653" i="2"/>
  <c r="AW653" i="1" l="1"/>
  <c r="BT653" i="1"/>
  <c r="T653" i="2" s="1"/>
  <c r="U653" i="2"/>
  <c r="D654" i="1"/>
  <c r="B655" i="1"/>
  <c r="C654" i="1"/>
  <c r="E654" i="2" s="1"/>
  <c r="V654" i="2"/>
  <c r="AW654" i="1" l="1"/>
  <c r="BT654" i="1"/>
  <c r="T654" i="2" s="1"/>
  <c r="U654" i="2"/>
  <c r="D655" i="1"/>
  <c r="B656" i="1"/>
  <c r="C655" i="1"/>
  <c r="E655" i="2" s="1"/>
  <c r="V655" i="2"/>
  <c r="AW655" i="1" l="1"/>
  <c r="BT655" i="1"/>
  <c r="T655" i="2" s="1"/>
  <c r="U655" i="2"/>
  <c r="D656" i="1"/>
  <c r="B657" i="1"/>
  <c r="C656" i="1"/>
  <c r="E656" i="2" s="1"/>
  <c r="V656" i="2"/>
  <c r="AW656" i="1" l="1"/>
  <c r="BT656" i="1"/>
  <c r="T656" i="2" s="1"/>
  <c r="U656" i="2"/>
  <c r="B658" i="1"/>
  <c r="C657" i="1"/>
  <c r="E657" i="2" s="1"/>
  <c r="D657" i="1"/>
  <c r="V657" i="2"/>
  <c r="AW657" i="1" l="1"/>
  <c r="BT657" i="1"/>
  <c r="T657" i="2" s="1"/>
  <c r="U657" i="2"/>
  <c r="D658" i="1"/>
  <c r="B659" i="1"/>
  <c r="C658" i="1"/>
  <c r="E658" i="2" s="1"/>
  <c r="V658" i="2"/>
  <c r="AW658" i="1" l="1"/>
  <c r="BT658" i="1"/>
  <c r="T658" i="2" s="1"/>
  <c r="U658" i="2"/>
  <c r="D659" i="1"/>
  <c r="B660" i="1"/>
  <c r="C659" i="1"/>
  <c r="E659" i="2" s="1"/>
  <c r="V659" i="2"/>
  <c r="AW659" i="1" l="1"/>
  <c r="BT659" i="1"/>
  <c r="T659" i="2" s="1"/>
  <c r="U659" i="2"/>
  <c r="D660" i="1"/>
  <c r="B661" i="1"/>
  <c r="C660" i="1"/>
  <c r="E660" i="2" s="1"/>
  <c r="V660" i="2"/>
  <c r="AW660" i="1" l="1"/>
  <c r="BT660" i="1"/>
  <c r="T660" i="2" s="1"/>
  <c r="U660" i="2"/>
  <c r="B662" i="1"/>
  <c r="C661" i="1"/>
  <c r="E661" i="2" s="1"/>
  <c r="D661" i="1"/>
  <c r="V661" i="2"/>
  <c r="AW661" i="1" l="1"/>
  <c r="BT661" i="1"/>
  <c r="T661" i="2" s="1"/>
  <c r="U661" i="2"/>
  <c r="D662" i="1"/>
  <c r="B663" i="1"/>
  <c r="C662" i="1"/>
  <c r="E662" i="2" s="1"/>
  <c r="V662" i="2"/>
  <c r="AW662" i="1" l="1"/>
  <c r="BT662" i="1"/>
  <c r="T662" i="2" s="1"/>
  <c r="U662" i="2"/>
  <c r="D663" i="1"/>
  <c r="B664" i="1"/>
  <c r="C663" i="1"/>
  <c r="E663" i="2" s="1"/>
  <c r="V663" i="2"/>
  <c r="AW663" i="1" l="1"/>
  <c r="BT663" i="1"/>
  <c r="T663" i="2" s="1"/>
  <c r="U663" i="2"/>
  <c r="D664" i="1"/>
  <c r="B665" i="1"/>
  <c r="C664" i="1"/>
  <c r="E664" i="2" s="1"/>
  <c r="V664" i="2"/>
  <c r="AW664" i="1" l="1"/>
  <c r="BT664" i="1"/>
  <c r="T664" i="2" s="1"/>
  <c r="U664" i="2"/>
  <c r="B666" i="1"/>
  <c r="C665" i="1"/>
  <c r="E665" i="2" s="1"/>
  <c r="D665" i="1"/>
  <c r="V665" i="2"/>
  <c r="AW665" i="1" l="1"/>
  <c r="BT665" i="1"/>
  <c r="T665" i="2" s="1"/>
  <c r="U665" i="2"/>
  <c r="D666" i="1"/>
  <c r="B667" i="1"/>
  <c r="C666" i="1"/>
  <c r="E666" i="2" s="1"/>
  <c r="V666" i="2"/>
  <c r="AW666" i="1" l="1"/>
  <c r="BT666" i="1"/>
  <c r="T666" i="2" s="1"/>
  <c r="U666" i="2"/>
  <c r="D667" i="1"/>
  <c r="B668" i="1"/>
  <c r="C667" i="1"/>
  <c r="E667" i="2" s="1"/>
  <c r="V667" i="2"/>
  <c r="AW667" i="1" l="1"/>
  <c r="BT667" i="1"/>
  <c r="T667" i="2" s="1"/>
  <c r="U667" i="2"/>
  <c r="D668" i="1"/>
  <c r="B669" i="1"/>
  <c r="C668" i="1"/>
  <c r="E668" i="2" s="1"/>
  <c r="V668" i="2"/>
  <c r="AW668" i="1" l="1"/>
  <c r="BT668" i="1"/>
  <c r="T668" i="2" s="1"/>
  <c r="U668" i="2"/>
  <c r="B670" i="1"/>
  <c r="C669" i="1"/>
  <c r="E669" i="2" s="1"/>
  <c r="D669" i="1"/>
  <c r="V669" i="2"/>
  <c r="AW669" i="1" l="1"/>
  <c r="BT669" i="1"/>
  <c r="T669" i="2" s="1"/>
  <c r="U669" i="2"/>
  <c r="D670" i="1"/>
  <c r="B671" i="1"/>
  <c r="C670" i="1"/>
  <c r="E670" i="2" s="1"/>
  <c r="V670" i="2"/>
  <c r="AW670" i="1" l="1"/>
  <c r="BT670" i="1"/>
  <c r="T670" i="2" s="1"/>
  <c r="U670" i="2"/>
  <c r="D671" i="1"/>
  <c r="B672" i="1"/>
  <c r="C671" i="1"/>
  <c r="E671" i="2" s="1"/>
  <c r="V671" i="2"/>
  <c r="AW671" i="1" l="1"/>
  <c r="BT671" i="1"/>
  <c r="T671" i="2" s="1"/>
  <c r="U671" i="2"/>
  <c r="D672" i="1"/>
  <c r="B673" i="1"/>
  <c r="C672" i="1"/>
  <c r="E672" i="2" s="1"/>
  <c r="V672" i="2"/>
  <c r="AW672" i="1" l="1"/>
  <c r="BT672" i="1"/>
  <c r="T672" i="2" s="1"/>
  <c r="U672" i="2"/>
  <c r="D673" i="1"/>
  <c r="C673" i="1"/>
  <c r="E673" i="2" s="1"/>
  <c r="B674" i="1"/>
  <c r="V673" i="2"/>
  <c r="AW673" i="1" l="1"/>
  <c r="BT673" i="1"/>
  <c r="T673" i="2" s="1"/>
  <c r="U673" i="2"/>
  <c r="D674" i="1"/>
  <c r="B675" i="1"/>
  <c r="C674" i="1"/>
  <c r="E674" i="2" s="1"/>
  <c r="V674" i="2"/>
  <c r="AW674" i="1" l="1"/>
  <c r="BT674" i="1"/>
  <c r="T674" i="2" s="1"/>
  <c r="U674" i="2"/>
  <c r="B676" i="1"/>
  <c r="C675" i="1"/>
  <c r="E675" i="2" s="1"/>
  <c r="D675" i="1"/>
  <c r="V675" i="2"/>
  <c r="AW675" i="1" l="1"/>
  <c r="BT675" i="1"/>
  <c r="T675" i="2" s="1"/>
  <c r="U675" i="2"/>
  <c r="C676" i="1"/>
  <c r="E676" i="2" s="1"/>
  <c r="B677" i="1"/>
  <c r="D676" i="1"/>
  <c r="V676" i="2"/>
  <c r="AW676" i="1" l="1"/>
  <c r="BT676" i="1"/>
  <c r="T676" i="2" s="1"/>
  <c r="U676" i="2"/>
  <c r="D677" i="1"/>
  <c r="C677" i="1"/>
  <c r="E677" i="2" s="1"/>
  <c r="B678" i="1"/>
  <c r="V677" i="2"/>
  <c r="AW677" i="1" l="1"/>
  <c r="BT677" i="1"/>
  <c r="T677" i="2" s="1"/>
  <c r="U677" i="2"/>
  <c r="D678" i="1"/>
  <c r="B679" i="1"/>
  <c r="C678" i="1"/>
  <c r="E678" i="2" s="1"/>
  <c r="V678" i="2"/>
  <c r="AW678" i="1" l="1"/>
  <c r="BT678" i="1"/>
  <c r="T678" i="2" s="1"/>
  <c r="U678" i="2"/>
  <c r="D679" i="1"/>
  <c r="B680" i="1"/>
  <c r="C679" i="1"/>
  <c r="E679" i="2" s="1"/>
  <c r="V679" i="2"/>
  <c r="AW679" i="1" l="1"/>
  <c r="BT679" i="1"/>
  <c r="T679" i="2" s="1"/>
  <c r="U679" i="2"/>
  <c r="B681" i="1"/>
  <c r="C680" i="1"/>
  <c r="E680" i="2" s="1"/>
  <c r="D680" i="1"/>
  <c r="V680" i="2"/>
  <c r="AW680" i="1" l="1"/>
  <c r="BT680" i="1"/>
  <c r="T680" i="2" s="1"/>
  <c r="U680" i="2"/>
  <c r="D681" i="1"/>
  <c r="B682" i="1"/>
  <c r="C681" i="1"/>
  <c r="E681" i="2" s="1"/>
  <c r="V681" i="2"/>
  <c r="AW681" i="1" l="1"/>
  <c r="BT681" i="1"/>
  <c r="T681" i="2" s="1"/>
  <c r="U681" i="2"/>
  <c r="D682" i="1"/>
  <c r="B683" i="1"/>
  <c r="C682" i="1"/>
  <c r="E682" i="2" s="1"/>
  <c r="V682" i="2"/>
  <c r="AW682" i="1" l="1"/>
  <c r="BT682" i="1"/>
  <c r="T682" i="2" s="1"/>
  <c r="U682" i="2"/>
  <c r="D683" i="1"/>
  <c r="B684" i="1"/>
  <c r="C683" i="1"/>
  <c r="E683" i="2" s="1"/>
  <c r="V683" i="2"/>
  <c r="AW683" i="1" l="1"/>
  <c r="BT683" i="1"/>
  <c r="T683" i="2" s="1"/>
  <c r="U683" i="2"/>
  <c r="B685" i="1"/>
  <c r="C684" i="1"/>
  <c r="E684" i="2" s="1"/>
  <c r="D684" i="1"/>
  <c r="V684" i="2"/>
  <c r="AW684" i="1" l="1"/>
  <c r="BT684" i="1"/>
  <c r="T684" i="2" s="1"/>
  <c r="U684" i="2"/>
  <c r="D685" i="1"/>
  <c r="B686" i="1"/>
  <c r="C685" i="1"/>
  <c r="E685" i="2" s="1"/>
  <c r="V685" i="2"/>
  <c r="AW685" i="1" l="1"/>
  <c r="BT685" i="1"/>
  <c r="T685" i="2" s="1"/>
  <c r="U685" i="2"/>
  <c r="D686" i="1"/>
  <c r="B687" i="1"/>
  <c r="C686" i="1"/>
  <c r="E686" i="2" s="1"/>
  <c r="V686" i="2"/>
  <c r="AW686" i="1" l="1"/>
  <c r="BT686" i="1"/>
  <c r="T686" i="2" s="1"/>
  <c r="U686" i="2"/>
  <c r="D687" i="1"/>
  <c r="B688" i="1"/>
  <c r="C687" i="1"/>
  <c r="E687" i="2" s="1"/>
  <c r="V687" i="2"/>
  <c r="AW687" i="1" l="1"/>
  <c r="BT687" i="1"/>
  <c r="T687" i="2" s="1"/>
  <c r="U687" i="2"/>
  <c r="B689" i="1"/>
  <c r="C688" i="1"/>
  <c r="E688" i="2" s="1"/>
  <c r="D688" i="1"/>
  <c r="V688" i="2"/>
  <c r="AW688" i="1" l="1"/>
  <c r="BT688" i="1"/>
  <c r="T688" i="2" s="1"/>
  <c r="U688" i="2"/>
  <c r="D689" i="1"/>
  <c r="B690" i="1"/>
  <c r="C689" i="1"/>
  <c r="E689" i="2" s="1"/>
  <c r="V689" i="2"/>
  <c r="AW689" i="1" l="1"/>
  <c r="BT689" i="1"/>
  <c r="T689" i="2" s="1"/>
  <c r="U689" i="2"/>
  <c r="D690" i="1"/>
  <c r="B691" i="1"/>
  <c r="C690" i="1"/>
  <c r="E690" i="2" s="1"/>
  <c r="V690" i="2"/>
  <c r="AW690" i="1" l="1"/>
  <c r="BT690" i="1"/>
  <c r="T690" i="2" s="1"/>
  <c r="U690" i="2"/>
  <c r="D691" i="1"/>
  <c r="B692" i="1"/>
  <c r="C691" i="1"/>
  <c r="E691" i="2" s="1"/>
  <c r="V691" i="2"/>
  <c r="AW691" i="1" l="1"/>
  <c r="BT691" i="1"/>
  <c r="T691" i="2" s="1"/>
  <c r="U691" i="2"/>
  <c r="B693" i="1"/>
  <c r="C692" i="1"/>
  <c r="E692" i="2" s="1"/>
  <c r="D692" i="1"/>
  <c r="V692" i="2"/>
  <c r="AW692" i="1" l="1"/>
  <c r="BT692" i="1"/>
  <c r="T692" i="2" s="1"/>
  <c r="U692" i="2"/>
  <c r="D693" i="1"/>
  <c r="B694" i="1"/>
  <c r="C693" i="1"/>
  <c r="E693" i="2" s="1"/>
  <c r="V693" i="2"/>
  <c r="AW693" i="1" l="1"/>
  <c r="BT693" i="1"/>
  <c r="T693" i="2" s="1"/>
  <c r="U693" i="2"/>
  <c r="D694" i="1"/>
  <c r="B695" i="1"/>
  <c r="C694" i="1"/>
  <c r="E694" i="2" s="1"/>
  <c r="V694" i="2"/>
  <c r="AW694" i="1" l="1"/>
  <c r="BT694" i="1"/>
  <c r="T694" i="2" s="1"/>
  <c r="U694" i="2"/>
  <c r="D695" i="1"/>
  <c r="B696" i="1"/>
  <c r="C695" i="1"/>
  <c r="E695" i="2" s="1"/>
  <c r="V695" i="2"/>
  <c r="AW695" i="1" l="1"/>
  <c r="BT695" i="1"/>
  <c r="T695" i="2" s="1"/>
  <c r="U695" i="2"/>
  <c r="B697" i="1"/>
  <c r="C696" i="1"/>
  <c r="E696" i="2" s="1"/>
  <c r="D696" i="1"/>
  <c r="V696" i="2"/>
  <c r="AW696" i="1" l="1"/>
  <c r="BT696" i="1"/>
  <c r="T696" i="2" s="1"/>
  <c r="U696" i="2"/>
  <c r="D697" i="1"/>
  <c r="B698" i="1"/>
  <c r="C697" i="1"/>
  <c r="E697" i="2" s="1"/>
  <c r="V697" i="2"/>
  <c r="AW697" i="1" l="1"/>
  <c r="BT697" i="1"/>
  <c r="T697" i="2" s="1"/>
  <c r="U697" i="2"/>
  <c r="D698" i="1"/>
  <c r="B699" i="1"/>
  <c r="C698" i="1"/>
  <c r="E698" i="2" s="1"/>
  <c r="V698" i="2"/>
  <c r="AW698" i="1" l="1"/>
  <c r="BT698" i="1"/>
  <c r="T698" i="2" s="1"/>
  <c r="U698" i="2"/>
  <c r="D699" i="1"/>
  <c r="B700" i="1"/>
  <c r="C699" i="1"/>
  <c r="E699" i="2" s="1"/>
  <c r="V699" i="2"/>
  <c r="AW699" i="1" l="1"/>
  <c r="BT699" i="1"/>
  <c r="T699" i="2" s="1"/>
  <c r="U699" i="2"/>
  <c r="B701" i="1"/>
  <c r="C700" i="1"/>
  <c r="E700" i="2" s="1"/>
  <c r="D700" i="1"/>
  <c r="V700" i="2"/>
  <c r="AW700" i="1" l="1"/>
  <c r="BT700" i="1"/>
  <c r="T700" i="2" s="1"/>
  <c r="U700" i="2"/>
  <c r="D701" i="1"/>
  <c r="B702" i="1"/>
  <c r="C701" i="1"/>
  <c r="E701" i="2" s="1"/>
  <c r="V701" i="2"/>
  <c r="AW701" i="1" l="1"/>
  <c r="BT701" i="1"/>
  <c r="T701" i="2" s="1"/>
  <c r="U701" i="2"/>
  <c r="D702" i="1"/>
  <c r="B703" i="1"/>
  <c r="C702" i="1"/>
  <c r="E702" i="2" s="1"/>
  <c r="V702" i="2"/>
  <c r="AW702" i="1" l="1"/>
  <c r="BT702" i="1"/>
  <c r="T702" i="2" s="1"/>
  <c r="U702" i="2"/>
  <c r="D703" i="1"/>
  <c r="B704" i="1"/>
  <c r="C703" i="1"/>
  <c r="E703" i="2" s="1"/>
  <c r="V703" i="2"/>
  <c r="AW703" i="1" l="1"/>
  <c r="BT703" i="1"/>
  <c r="T703" i="2" s="1"/>
  <c r="U703" i="2"/>
  <c r="B705" i="1"/>
  <c r="C704" i="1"/>
  <c r="E704" i="2" s="1"/>
  <c r="D704" i="1"/>
  <c r="V704" i="2"/>
  <c r="AW704" i="1" l="1"/>
  <c r="BT704" i="1"/>
  <c r="T704" i="2" s="1"/>
  <c r="U704" i="2"/>
  <c r="D705" i="1"/>
  <c r="B706" i="1"/>
  <c r="C705" i="1"/>
  <c r="E705" i="2" s="1"/>
  <c r="V705" i="2"/>
  <c r="AW705" i="1" l="1"/>
  <c r="BT705" i="1"/>
  <c r="T705" i="2" s="1"/>
  <c r="U705" i="2"/>
  <c r="D706" i="1"/>
  <c r="B707" i="1"/>
  <c r="C706" i="1"/>
  <c r="E706" i="2" s="1"/>
  <c r="V706" i="2"/>
  <c r="AW706" i="1" l="1"/>
  <c r="BT706" i="1"/>
  <c r="T706" i="2" s="1"/>
  <c r="U706" i="2"/>
  <c r="D707" i="1"/>
  <c r="B708" i="1"/>
  <c r="C707" i="1"/>
  <c r="E707" i="2" s="1"/>
  <c r="V707" i="2"/>
  <c r="AW707" i="1" l="1"/>
  <c r="BT707" i="1"/>
  <c r="T707" i="2" s="1"/>
  <c r="U707" i="2"/>
  <c r="B709" i="1"/>
  <c r="C708" i="1"/>
  <c r="E708" i="2" s="1"/>
  <c r="D708" i="1"/>
  <c r="V708" i="2"/>
  <c r="AW708" i="1" l="1"/>
  <c r="BT708" i="1"/>
  <c r="T708" i="2" s="1"/>
  <c r="U708" i="2"/>
  <c r="D709" i="1"/>
  <c r="B710" i="1"/>
  <c r="C709" i="1"/>
  <c r="E709" i="2" s="1"/>
  <c r="V709" i="2"/>
  <c r="AW709" i="1" l="1"/>
  <c r="BT709" i="1"/>
  <c r="T709" i="2" s="1"/>
  <c r="U709" i="2"/>
  <c r="D710" i="1"/>
  <c r="B711" i="1"/>
  <c r="C710" i="1"/>
  <c r="E710" i="2" s="1"/>
  <c r="V710" i="2"/>
  <c r="AW710" i="1" l="1"/>
  <c r="BT710" i="1"/>
  <c r="T710" i="2" s="1"/>
  <c r="U710" i="2"/>
  <c r="D711" i="1"/>
  <c r="B712" i="1"/>
  <c r="C711" i="1"/>
  <c r="E711" i="2" s="1"/>
  <c r="V711" i="2"/>
  <c r="AW711" i="1" l="1"/>
  <c r="BT711" i="1"/>
  <c r="T711" i="2" s="1"/>
  <c r="U711" i="2"/>
  <c r="B713" i="1"/>
  <c r="C712" i="1"/>
  <c r="E712" i="2" s="1"/>
  <c r="D712" i="1"/>
  <c r="V712" i="2"/>
  <c r="AW712" i="1" l="1"/>
  <c r="BT712" i="1"/>
  <c r="T712" i="2" s="1"/>
  <c r="U712" i="2"/>
  <c r="D713" i="1"/>
  <c r="B714" i="1"/>
  <c r="C713" i="1"/>
  <c r="E713" i="2" s="1"/>
  <c r="V713" i="2"/>
  <c r="AW713" i="1" l="1"/>
  <c r="BT713" i="1"/>
  <c r="T713" i="2" s="1"/>
  <c r="U713" i="2"/>
  <c r="D714" i="1"/>
  <c r="B715" i="1"/>
  <c r="C714" i="1"/>
  <c r="E714" i="2" s="1"/>
  <c r="V714" i="2"/>
  <c r="AW714" i="1" l="1"/>
  <c r="BT714" i="1"/>
  <c r="T714" i="2" s="1"/>
  <c r="U714" i="2"/>
  <c r="D715" i="1"/>
  <c r="B716" i="1"/>
  <c r="C715" i="1"/>
  <c r="E715" i="2" s="1"/>
  <c r="V715" i="2"/>
  <c r="AW715" i="1" l="1"/>
  <c r="BT715" i="1"/>
  <c r="T715" i="2" s="1"/>
  <c r="U715" i="2"/>
  <c r="B717" i="1"/>
  <c r="C716" i="1"/>
  <c r="E716" i="2" s="1"/>
  <c r="D716" i="1"/>
  <c r="V716" i="2"/>
  <c r="AW716" i="1" l="1"/>
  <c r="BT716" i="1"/>
  <c r="T716" i="2" s="1"/>
  <c r="U716" i="2"/>
  <c r="D717" i="1"/>
  <c r="B718" i="1"/>
  <c r="C717" i="1"/>
  <c r="E717" i="2" s="1"/>
  <c r="V717" i="2"/>
  <c r="AW717" i="1" l="1"/>
  <c r="BT717" i="1"/>
  <c r="T717" i="2" s="1"/>
  <c r="U717" i="2"/>
  <c r="D718" i="1"/>
  <c r="B719" i="1"/>
  <c r="C718" i="1"/>
  <c r="E718" i="2" s="1"/>
  <c r="V718" i="2"/>
  <c r="AW718" i="1" l="1"/>
  <c r="BT718" i="1"/>
  <c r="T718" i="2" s="1"/>
  <c r="U718" i="2"/>
  <c r="D719" i="1"/>
  <c r="B720" i="1"/>
  <c r="C719" i="1"/>
  <c r="E719" i="2" s="1"/>
  <c r="V719" i="2"/>
  <c r="AW719" i="1" l="1"/>
  <c r="BT719" i="1"/>
  <c r="T719" i="2" s="1"/>
  <c r="U719" i="2"/>
  <c r="B721" i="1"/>
  <c r="C720" i="1"/>
  <c r="E720" i="2" s="1"/>
  <c r="D720" i="1"/>
  <c r="V720" i="2"/>
  <c r="AW720" i="1" l="1"/>
  <c r="BT720" i="1"/>
  <c r="T720" i="2" s="1"/>
  <c r="U720" i="2"/>
  <c r="D721" i="1"/>
  <c r="B722" i="1"/>
  <c r="C721" i="1"/>
  <c r="E721" i="2" s="1"/>
  <c r="V721" i="2"/>
  <c r="AW721" i="1" l="1"/>
  <c r="BT721" i="1"/>
  <c r="T721" i="2" s="1"/>
  <c r="U721" i="2"/>
  <c r="D722" i="1"/>
  <c r="B723" i="1"/>
  <c r="C722" i="1"/>
  <c r="E722" i="2" s="1"/>
  <c r="V722" i="2"/>
  <c r="AW722" i="1" l="1"/>
  <c r="BT722" i="1"/>
  <c r="T722" i="2" s="1"/>
  <c r="U722" i="2"/>
  <c r="D723" i="1"/>
  <c r="B724" i="1"/>
  <c r="C723" i="1"/>
  <c r="E723" i="2" s="1"/>
  <c r="V723" i="2"/>
  <c r="AW723" i="1" l="1"/>
  <c r="BT723" i="1"/>
  <c r="T723" i="2" s="1"/>
  <c r="U723" i="2"/>
  <c r="B725" i="1"/>
  <c r="C724" i="1"/>
  <c r="E724" i="2" s="1"/>
  <c r="D724" i="1"/>
  <c r="V724" i="2"/>
  <c r="AW724" i="1" l="1"/>
  <c r="BT724" i="1"/>
  <c r="T724" i="2" s="1"/>
  <c r="U724" i="2"/>
  <c r="D725" i="1"/>
  <c r="B726" i="1"/>
  <c r="C725" i="1"/>
  <c r="E725" i="2" s="1"/>
  <c r="V725" i="2"/>
  <c r="AW725" i="1" l="1"/>
  <c r="BT725" i="1"/>
  <c r="T725" i="2" s="1"/>
  <c r="U725" i="2"/>
  <c r="D726" i="1"/>
  <c r="B727" i="1"/>
  <c r="C726" i="1"/>
  <c r="E726" i="2" s="1"/>
  <c r="V726" i="2"/>
  <c r="AW726" i="1" l="1"/>
  <c r="BT726" i="1"/>
  <c r="T726" i="2" s="1"/>
  <c r="U726" i="2"/>
  <c r="D727" i="1"/>
  <c r="B728" i="1"/>
  <c r="C727" i="1"/>
  <c r="E727" i="2" s="1"/>
  <c r="V727" i="2"/>
  <c r="AW727" i="1" l="1"/>
  <c r="BT727" i="1"/>
  <c r="T727" i="2" s="1"/>
  <c r="U727" i="2"/>
  <c r="B729" i="1"/>
  <c r="C728" i="1"/>
  <c r="E728" i="2" s="1"/>
  <c r="D728" i="1"/>
  <c r="V728" i="2"/>
  <c r="AW728" i="1" l="1"/>
  <c r="BT728" i="1"/>
  <c r="T728" i="2" s="1"/>
  <c r="U728" i="2"/>
  <c r="D729" i="1"/>
  <c r="B730" i="1"/>
  <c r="C729" i="1"/>
  <c r="E729" i="2" s="1"/>
  <c r="V729" i="2"/>
  <c r="AW729" i="1" l="1"/>
  <c r="BT729" i="1"/>
  <c r="T729" i="2" s="1"/>
  <c r="U729" i="2"/>
  <c r="D730" i="1"/>
  <c r="B731" i="1"/>
  <c r="C730" i="1"/>
  <c r="E730" i="2" s="1"/>
  <c r="V730" i="2"/>
  <c r="AW730" i="1" l="1"/>
  <c r="BT730" i="1"/>
  <c r="T730" i="2" s="1"/>
  <c r="U730" i="2"/>
  <c r="D731" i="1"/>
  <c r="B732" i="1"/>
  <c r="C731" i="1"/>
  <c r="E731" i="2" s="1"/>
  <c r="V731" i="2"/>
  <c r="AW731" i="1" l="1"/>
  <c r="BT731" i="1"/>
  <c r="T731" i="2" s="1"/>
  <c r="U731" i="2"/>
  <c r="B733" i="1"/>
  <c r="C732" i="1"/>
  <c r="E732" i="2" s="1"/>
  <c r="D732" i="1"/>
  <c r="V732" i="2"/>
  <c r="AW732" i="1" l="1"/>
  <c r="BT732" i="1"/>
  <c r="T732" i="2" s="1"/>
  <c r="U732" i="2"/>
  <c r="D733" i="1"/>
  <c r="B734" i="1"/>
  <c r="C733" i="1"/>
  <c r="E733" i="2" s="1"/>
  <c r="V733" i="2"/>
  <c r="AW733" i="1" l="1"/>
  <c r="BT733" i="1"/>
  <c r="T733" i="2" s="1"/>
  <c r="U733" i="2"/>
  <c r="D734" i="1"/>
  <c r="B735" i="1"/>
  <c r="C734" i="1"/>
  <c r="E734" i="2" s="1"/>
  <c r="V734" i="2"/>
  <c r="AW734" i="1" l="1"/>
  <c r="BT734" i="1"/>
  <c r="T734" i="2" s="1"/>
  <c r="U734" i="2"/>
  <c r="D735" i="1"/>
  <c r="B736" i="1"/>
  <c r="C735" i="1"/>
  <c r="E735" i="2" s="1"/>
  <c r="V735" i="2"/>
  <c r="AW735" i="1" l="1"/>
  <c r="BT735" i="1"/>
  <c r="T735" i="2" s="1"/>
  <c r="U735" i="2"/>
  <c r="B737" i="1"/>
  <c r="C736" i="1"/>
  <c r="E736" i="2" s="1"/>
  <c r="D736" i="1"/>
  <c r="V736" i="2"/>
  <c r="AW736" i="1" l="1"/>
  <c r="BT736" i="1"/>
  <c r="T736" i="2" s="1"/>
  <c r="U736" i="2"/>
  <c r="D737" i="1"/>
  <c r="B738" i="1"/>
  <c r="C737" i="1"/>
  <c r="E737" i="2" s="1"/>
  <c r="V737" i="2"/>
  <c r="AW737" i="1" l="1"/>
  <c r="BT737" i="1"/>
  <c r="T737" i="2" s="1"/>
  <c r="U737" i="2"/>
  <c r="D738" i="1"/>
  <c r="B739" i="1"/>
  <c r="C738" i="1"/>
  <c r="E738" i="2" s="1"/>
  <c r="V738" i="2"/>
  <c r="AW738" i="1" l="1"/>
  <c r="BT738" i="1"/>
  <c r="T738" i="2" s="1"/>
  <c r="U738" i="2"/>
  <c r="D739" i="1"/>
  <c r="B740" i="1"/>
  <c r="C739" i="1"/>
  <c r="E739" i="2" s="1"/>
  <c r="V739" i="2"/>
  <c r="AW739" i="1" l="1"/>
  <c r="BT739" i="1"/>
  <c r="T739" i="2" s="1"/>
  <c r="U739" i="2"/>
  <c r="B741" i="1"/>
  <c r="C740" i="1"/>
  <c r="E740" i="2" s="1"/>
  <c r="D740" i="1"/>
  <c r="V740" i="2"/>
  <c r="AW740" i="1" l="1"/>
  <c r="BT740" i="1"/>
  <c r="T740" i="2" s="1"/>
  <c r="U740" i="2"/>
  <c r="D741" i="1"/>
  <c r="B742" i="1"/>
  <c r="C741" i="1"/>
  <c r="E741" i="2" s="1"/>
  <c r="V741" i="2"/>
  <c r="AW741" i="1" l="1"/>
  <c r="BT741" i="1"/>
  <c r="T741" i="2" s="1"/>
  <c r="U741" i="2"/>
  <c r="D742" i="1"/>
  <c r="B743" i="1"/>
  <c r="C742" i="1"/>
  <c r="E742" i="2" s="1"/>
  <c r="V742" i="2"/>
  <c r="AW742" i="1" l="1"/>
  <c r="BT742" i="1"/>
  <c r="T742" i="2" s="1"/>
  <c r="U742" i="2"/>
  <c r="D743" i="1"/>
  <c r="B744" i="1"/>
  <c r="C743" i="1"/>
  <c r="E743" i="2" s="1"/>
  <c r="V743" i="2"/>
  <c r="AW743" i="1" l="1"/>
  <c r="BT743" i="1"/>
  <c r="T743" i="2" s="1"/>
  <c r="U743" i="2"/>
  <c r="B745" i="1"/>
  <c r="C744" i="1"/>
  <c r="E744" i="2" s="1"/>
  <c r="D744" i="1"/>
  <c r="V744" i="2"/>
  <c r="AW744" i="1" l="1"/>
  <c r="BT744" i="1"/>
  <c r="T744" i="2" s="1"/>
  <c r="U744" i="2"/>
  <c r="D745" i="1"/>
  <c r="B746" i="1"/>
  <c r="C745" i="1"/>
  <c r="E745" i="2" s="1"/>
  <c r="V745" i="2"/>
  <c r="AW745" i="1" l="1"/>
  <c r="BT745" i="1"/>
  <c r="T745" i="2" s="1"/>
  <c r="U745" i="2"/>
  <c r="D746" i="1"/>
  <c r="B747" i="1"/>
  <c r="C746" i="1"/>
  <c r="E746" i="2" s="1"/>
  <c r="V746" i="2"/>
  <c r="AW746" i="1" l="1"/>
  <c r="BT746" i="1"/>
  <c r="T746" i="2" s="1"/>
  <c r="U746" i="2"/>
  <c r="D747" i="1"/>
  <c r="B748" i="1"/>
  <c r="C747" i="1"/>
  <c r="E747" i="2" s="1"/>
  <c r="V747" i="2"/>
  <c r="AW747" i="1" l="1"/>
  <c r="BT747" i="1"/>
  <c r="T747" i="2" s="1"/>
  <c r="U747" i="2"/>
  <c r="B749" i="1"/>
  <c r="C748" i="1"/>
  <c r="E748" i="2" s="1"/>
  <c r="D748" i="1"/>
  <c r="V748" i="2"/>
  <c r="AW748" i="1" l="1"/>
  <c r="BT748" i="1"/>
  <c r="T748" i="2" s="1"/>
  <c r="U748" i="2"/>
  <c r="D749" i="1"/>
  <c r="B750" i="1"/>
  <c r="C749" i="1"/>
  <c r="E749" i="2" s="1"/>
  <c r="V749" i="2"/>
  <c r="AW749" i="1" l="1"/>
  <c r="BT749" i="1"/>
  <c r="T749" i="2" s="1"/>
  <c r="U749" i="2"/>
  <c r="D750" i="1"/>
  <c r="B751" i="1"/>
  <c r="C750" i="1"/>
  <c r="E750" i="2" s="1"/>
  <c r="V750" i="2"/>
  <c r="AW750" i="1" l="1"/>
  <c r="BT750" i="1"/>
  <c r="T750" i="2" s="1"/>
  <c r="U750" i="2"/>
  <c r="D751" i="1"/>
  <c r="B752" i="1"/>
  <c r="C751" i="1"/>
  <c r="E751" i="2" s="1"/>
  <c r="V751" i="2"/>
  <c r="AW751" i="1" l="1"/>
  <c r="BT751" i="1"/>
  <c r="T751" i="2" s="1"/>
  <c r="U751" i="2"/>
  <c r="B753" i="1"/>
  <c r="C752" i="1"/>
  <c r="E752" i="2" s="1"/>
  <c r="D752" i="1"/>
  <c r="V752" i="2"/>
  <c r="AW752" i="1" l="1"/>
  <c r="BT752" i="1"/>
  <c r="T752" i="2" s="1"/>
  <c r="U752" i="2"/>
  <c r="D753" i="1"/>
  <c r="B754" i="1"/>
  <c r="C753" i="1"/>
  <c r="E753" i="2" s="1"/>
  <c r="V753" i="2"/>
  <c r="AW753" i="1" l="1"/>
  <c r="BT753" i="1"/>
  <c r="T753" i="2" s="1"/>
  <c r="U753" i="2"/>
  <c r="D754" i="1"/>
  <c r="B755" i="1"/>
  <c r="C754" i="1"/>
  <c r="E754" i="2" s="1"/>
  <c r="V754" i="2"/>
  <c r="AW754" i="1" l="1"/>
  <c r="BT754" i="1"/>
  <c r="T754" i="2" s="1"/>
  <c r="U754" i="2"/>
  <c r="D755" i="1"/>
  <c r="B756" i="1"/>
  <c r="C755" i="1"/>
  <c r="E755" i="2" s="1"/>
  <c r="V755" i="2"/>
  <c r="AW755" i="1" l="1"/>
  <c r="BT755" i="1"/>
  <c r="T755" i="2" s="1"/>
  <c r="U755" i="2"/>
  <c r="B757" i="1"/>
  <c r="C756" i="1"/>
  <c r="E756" i="2" s="1"/>
  <c r="D756" i="1"/>
  <c r="V756" i="2"/>
  <c r="AW756" i="1" l="1"/>
  <c r="BT756" i="1"/>
  <c r="T756" i="2" s="1"/>
  <c r="U756" i="2"/>
  <c r="D757" i="1"/>
  <c r="B758" i="1"/>
  <c r="C757" i="1"/>
  <c r="E757" i="2" s="1"/>
  <c r="V757" i="2"/>
  <c r="AW757" i="1" l="1"/>
  <c r="BT757" i="1"/>
  <c r="T757" i="2" s="1"/>
  <c r="U757" i="2"/>
  <c r="D758" i="1"/>
  <c r="B759" i="1"/>
  <c r="C758" i="1"/>
  <c r="E758" i="2" s="1"/>
  <c r="V758" i="2"/>
  <c r="AW758" i="1" l="1"/>
  <c r="BT758" i="1"/>
  <c r="T758" i="2" s="1"/>
  <c r="U758" i="2"/>
  <c r="D759" i="1"/>
  <c r="B760" i="1"/>
  <c r="C759" i="1"/>
  <c r="E759" i="2" s="1"/>
  <c r="V759" i="2"/>
  <c r="AW759" i="1" l="1"/>
  <c r="BT759" i="1"/>
  <c r="T759" i="2" s="1"/>
  <c r="U759" i="2"/>
  <c r="B761" i="1"/>
  <c r="C760" i="1"/>
  <c r="E760" i="2" s="1"/>
  <c r="D760" i="1"/>
  <c r="V760" i="2"/>
  <c r="AW760" i="1" l="1"/>
  <c r="BT760" i="1"/>
  <c r="T760" i="2" s="1"/>
  <c r="U760" i="2"/>
  <c r="D761" i="1"/>
  <c r="B762" i="1"/>
  <c r="C761" i="1"/>
  <c r="E761" i="2" s="1"/>
  <c r="V761" i="2"/>
  <c r="AW761" i="1" l="1"/>
  <c r="BT761" i="1"/>
  <c r="T761" i="2" s="1"/>
  <c r="U761" i="2"/>
  <c r="D762" i="1"/>
  <c r="B763" i="1"/>
  <c r="C762" i="1"/>
  <c r="E762" i="2" s="1"/>
  <c r="V762" i="2"/>
  <c r="AW762" i="1" l="1"/>
  <c r="BT762" i="1"/>
  <c r="T762" i="2" s="1"/>
  <c r="U762" i="2"/>
  <c r="D763" i="1"/>
  <c r="B764" i="1"/>
  <c r="C763" i="1"/>
  <c r="E763" i="2" s="1"/>
  <c r="V763" i="2"/>
  <c r="AW763" i="1" l="1"/>
  <c r="BT763" i="1"/>
  <c r="T763" i="2" s="1"/>
  <c r="U763" i="2"/>
  <c r="B765" i="1"/>
  <c r="C764" i="1"/>
  <c r="E764" i="2" s="1"/>
  <c r="D764" i="1"/>
  <c r="V764" i="2"/>
  <c r="AW764" i="1" l="1"/>
  <c r="BT764" i="1"/>
  <c r="T764" i="2" s="1"/>
  <c r="U764" i="2"/>
  <c r="D765" i="1"/>
  <c r="B766" i="1"/>
  <c r="C765" i="1"/>
  <c r="E765" i="2" s="1"/>
  <c r="V765" i="2"/>
  <c r="AW765" i="1" l="1"/>
  <c r="BT765" i="1"/>
  <c r="T765" i="2" s="1"/>
  <c r="U765" i="2"/>
  <c r="D766" i="1"/>
  <c r="B767" i="1"/>
  <c r="C766" i="1"/>
  <c r="E766" i="2" s="1"/>
  <c r="V766" i="2"/>
  <c r="AW766" i="1" l="1"/>
  <c r="BT766" i="1"/>
  <c r="T766" i="2" s="1"/>
  <c r="U766" i="2"/>
  <c r="D767" i="1"/>
  <c r="B768" i="1"/>
  <c r="C767" i="1"/>
  <c r="E767" i="2" s="1"/>
  <c r="V767" i="2"/>
  <c r="AW767" i="1" l="1"/>
  <c r="BT767" i="1"/>
  <c r="T767" i="2" s="1"/>
  <c r="U767" i="2"/>
  <c r="B769" i="1"/>
  <c r="C768" i="1"/>
  <c r="E768" i="2" s="1"/>
  <c r="D768" i="1"/>
  <c r="V768" i="2"/>
  <c r="AW768" i="1" l="1"/>
  <c r="BT768" i="1"/>
  <c r="T768" i="2" s="1"/>
  <c r="U768" i="2"/>
  <c r="D769" i="1"/>
  <c r="B770" i="1"/>
  <c r="C769" i="1"/>
  <c r="E769" i="2" s="1"/>
  <c r="V769" i="2"/>
  <c r="AW769" i="1" l="1"/>
  <c r="BT769" i="1"/>
  <c r="T769" i="2" s="1"/>
  <c r="U769" i="2"/>
  <c r="D770" i="1"/>
  <c r="B771" i="1"/>
  <c r="C770" i="1"/>
  <c r="E770" i="2" s="1"/>
  <c r="V770" i="2"/>
  <c r="AW770" i="1" l="1"/>
  <c r="BT770" i="1"/>
  <c r="T770" i="2" s="1"/>
  <c r="U770" i="2"/>
  <c r="D771" i="1"/>
  <c r="B772" i="1"/>
  <c r="C771" i="1"/>
  <c r="E771" i="2" s="1"/>
  <c r="V771" i="2"/>
  <c r="AW771" i="1" l="1"/>
  <c r="BT771" i="1"/>
  <c r="T771" i="2" s="1"/>
  <c r="U771" i="2"/>
  <c r="B773" i="1"/>
  <c r="C772" i="1"/>
  <c r="E772" i="2" s="1"/>
  <c r="D772" i="1"/>
  <c r="V772" i="2"/>
  <c r="AW772" i="1" l="1"/>
  <c r="BT772" i="1"/>
  <c r="T772" i="2" s="1"/>
  <c r="U772" i="2"/>
  <c r="D773" i="1"/>
  <c r="B774" i="1"/>
  <c r="C773" i="1"/>
  <c r="E773" i="2" s="1"/>
  <c r="V773" i="2"/>
  <c r="AW773" i="1" l="1"/>
  <c r="BT773" i="1"/>
  <c r="T773" i="2" s="1"/>
  <c r="U773" i="2"/>
  <c r="D774" i="1"/>
  <c r="B775" i="1"/>
  <c r="C774" i="1"/>
  <c r="E774" i="2" s="1"/>
  <c r="V774" i="2"/>
  <c r="AW774" i="1" l="1"/>
  <c r="BT774" i="1"/>
  <c r="T774" i="2" s="1"/>
  <c r="U774" i="2"/>
  <c r="D775" i="1"/>
  <c r="B776" i="1"/>
  <c r="C775" i="1"/>
  <c r="E775" i="2" s="1"/>
  <c r="V775" i="2"/>
  <c r="AW775" i="1" l="1"/>
  <c r="BT775" i="1"/>
  <c r="T775" i="2" s="1"/>
  <c r="U775" i="2"/>
  <c r="B777" i="1"/>
  <c r="C776" i="1"/>
  <c r="E776" i="2" s="1"/>
  <c r="D776" i="1"/>
  <c r="V776" i="2"/>
  <c r="AW776" i="1" l="1"/>
  <c r="BT776" i="1"/>
  <c r="T776" i="2" s="1"/>
  <c r="U776" i="2"/>
  <c r="D777" i="1"/>
  <c r="B778" i="1"/>
  <c r="C777" i="1"/>
  <c r="E777" i="2" s="1"/>
  <c r="V777" i="2"/>
  <c r="AW777" i="1" l="1"/>
  <c r="BT777" i="1"/>
  <c r="T777" i="2" s="1"/>
  <c r="U777" i="2"/>
  <c r="D778" i="1"/>
  <c r="B779" i="1"/>
  <c r="C778" i="1"/>
  <c r="E778" i="2" s="1"/>
  <c r="V778" i="2"/>
  <c r="AW778" i="1" l="1"/>
  <c r="BT778" i="1"/>
  <c r="T778" i="2" s="1"/>
  <c r="U778" i="2"/>
  <c r="D779" i="1"/>
  <c r="B780" i="1"/>
  <c r="C779" i="1"/>
  <c r="E779" i="2" s="1"/>
  <c r="V779" i="2"/>
  <c r="AW779" i="1" l="1"/>
  <c r="BT779" i="1"/>
  <c r="T779" i="2" s="1"/>
  <c r="U779" i="2"/>
  <c r="B781" i="1"/>
  <c r="C780" i="1"/>
  <c r="E780" i="2" s="1"/>
  <c r="D780" i="1"/>
  <c r="V780" i="2"/>
  <c r="AW780" i="1" l="1"/>
  <c r="BT780" i="1"/>
  <c r="T780" i="2" s="1"/>
  <c r="U780" i="2"/>
  <c r="D781" i="1"/>
  <c r="B782" i="1"/>
  <c r="C781" i="1"/>
  <c r="E781" i="2" s="1"/>
  <c r="V781" i="2"/>
  <c r="AW781" i="1" l="1"/>
  <c r="BT781" i="1"/>
  <c r="T781" i="2" s="1"/>
  <c r="U781" i="2"/>
  <c r="D782" i="1"/>
  <c r="B783" i="1"/>
  <c r="C782" i="1"/>
  <c r="E782" i="2" s="1"/>
  <c r="V782" i="2"/>
  <c r="AW782" i="1" l="1"/>
  <c r="BT782" i="1"/>
  <c r="T782" i="2" s="1"/>
  <c r="U782" i="2"/>
  <c r="D783" i="1"/>
  <c r="B784" i="1"/>
  <c r="C783" i="1"/>
  <c r="E783" i="2" s="1"/>
  <c r="V783" i="2"/>
  <c r="AW783" i="1" l="1"/>
  <c r="BT783" i="1"/>
  <c r="T783" i="2" s="1"/>
  <c r="U783" i="2"/>
  <c r="B785" i="1"/>
  <c r="C784" i="1"/>
  <c r="E784" i="2" s="1"/>
  <c r="D784" i="1"/>
  <c r="V784" i="2"/>
  <c r="AW784" i="1" l="1"/>
  <c r="BT784" i="1"/>
  <c r="T784" i="2" s="1"/>
  <c r="U784" i="2"/>
  <c r="D785" i="1"/>
  <c r="B786" i="1"/>
  <c r="C785" i="1"/>
  <c r="E785" i="2" s="1"/>
  <c r="V785" i="2"/>
  <c r="AW785" i="1" l="1"/>
  <c r="BT785" i="1"/>
  <c r="T785" i="2" s="1"/>
  <c r="U785" i="2"/>
  <c r="D786" i="1"/>
  <c r="B787" i="1"/>
  <c r="C786" i="1"/>
  <c r="E786" i="2" s="1"/>
  <c r="V786" i="2"/>
  <c r="AW786" i="1" l="1"/>
  <c r="BT786" i="1"/>
  <c r="T786" i="2" s="1"/>
  <c r="U786" i="2"/>
  <c r="D787" i="1"/>
  <c r="B788" i="1"/>
  <c r="C787" i="1"/>
  <c r="E787" i="2" s="1"/>
  <c r="V787" i="2"/>
  <c r="AW787" i="1" l="1"/>
  <c r="BT787" i="1"/>
  <c r="T787" i="2" s="1"/>
  <c r="U787" i="2"/>
  <c r="B789" i="1"/>
  <c r="C788" i="1"/>
  <c r="E788" i="2" s="1"/>
  <c r="D788" i="1"/>
  <c r="V788" i="2"/>
  <c r="AW788" i="1" l="1"/>
  <c r="BT788" i="1"/>
  <c r="T788" i="2" s="1"/>
  <c r="U788" i="2"/>
  <c r="D789" i="1"/>
  <c r="B790" i="1"/>
  <c r="C789" i="1"/>
  <c r="E789" i="2" s="1"/>
  <c r="V789" i="2"/>
  <c r="AW789" i="1" l="1"/>
  <c r="BT789" i="1"/>
  <c r="T789" i="2" s="1"/>
  <c r="U789" i="2"/>
  <c r="D790" i="1"/>
  <c r="B791" i="1"/>
  <c r="C790" i="1"/>
  <c r="E790" i="2" s="1"/>
  <c r="V790" i="2"/>
  <c r="AW790" i="1" l="1"/>
  <c r="BT790" i="1"/>
  <c r="T790" i="2" s="1"/>
  <c r="U790" i="2"/>
  <c r="D791" i="1"/>
  <c r="B792" i="1"/>
  <c r="C791" i="1"/>
  <c r="E791" i="2" s="1"/>
  <c r="V791" i="2"/>
  <c r="AW791" i="1" l="1"/>
  <c r="BT791" i="1"/>
  <c r="T791" i="2" s="1"/>
  <c r="U791" i="2"/>
  <c r="B793" i="1"/>
  <c r="C792" i="1"/>
  <c r="E792" i="2" s="1"/>
  <c r="D792" i="1"/>
  <c r="V792" i="2"/>
  <c r="AW792" i="1" l="1"/>
  <c r="BT792" i="1"/>
  <c r="T792" i="2" s="1"/>
  <c r="U792" i="2"/>
  <c r="D793" i="1"/>
  <c r="B794" i="1"/>
  <c r="C793" i="1"/>
  <c r="E793" i="2" s="1"/>
  <c r="V793" i="2"/>
  <c r="AW793" i="1" l="1"/>
  <c r="BT793" i="1"/>
  <c r="T793" i="2" s="1"/>
  <c r="U793" i="2"/>
  <c r="D794" i="1"/>
  <c r="B795" i="1"/>
  <c r="C794" i="1"/>
  <c r="E794" i="2" s="1"/>
  <c r="V794" i="2"/>
  <c r="AW794" i="1" l="1"/>
  <c r="BT794" i="1"/>
  <c r="T794" i="2" s="1"/>
  <c r="U794" i="2"/>
  <c r="D795" i="1"/>
  <c r="B796" i="1"/>
  <c r="C795" i="1"/>
  <c r="E795" i="2" s="1"/>
  <c r="V795" i="2"/>
  <c r="AW795" i="1" l="1"/>
  <c r="BT795" i="1"/>
  <c r="T795" i="2" s="1"/>
  <c r="U795" i="2"/>
  <c r="B797" i="1"/>
  <c r="C796" i="1"/>
  <c r="E796" i="2" s="1"/>
  <c r="D796" i="1"/>
  <c r="V796" i="2"/>
  <c r="AW796" i="1" l="1"/>
  <c r="BT796" i="1"/>
  <c r="T796" i="2" s="1"/>
  <c r="U796" i="2"/>
  <c r="D797" i="1"/>
  <c r="B798" i="1"/>
  <c r="C797" i="1"/>
  <c r="E797" i="2" s="1"/>
  <c r="V797" i="2"/>
  <c r="AW797" i="1" l="1"/>
  <c r="BT797" i="1"/>
  <c r="T797" i="2" s="1"/>
  <c r="U797" i="2"/>
  <c r="D798" i="1"/>
  <c r="B799" i="1"/>
  <c r="C798" i="1"/>
  <c r="E798" i="2" s="1"/>
  <c r="V798" i="2"/>
  <c r="AW798" i="1" l="1"/>
  <c r="BT798" i="1"/>
  <c r="T798" i="2" s="1"/>
  <c r="U798" i="2"/>
  <c r="D799" i="1"/>
  <c r="B800" i="1"/>
  <c r="C799" i="1"/>
  <c r="E799" i="2" s="1"/>
  <c r="V799" i="2"/>
  <c r="AW799" i="1" l="1"/>
  <c r="BT799" i="1"/>
  <c r="T799" i="2" s="1"/>
  <c r="U799" i="2"/>
  <c r="B801" i="1"/>
  <c r="C800" i="1"/>
  <c r="E800" i="2" s="1"/>
  <c r="D800" i="1"/>
  <c r="V800" i="2"/>
  <c r="AW800" i="1" l="1"/>
  <c r="BT800" i="1"/>
  <c r="T800" i="2" s="1"/>
  <c r="U800" i="2"/>
  <c r="D801" i="1"/>
  <c r="B802" i="1"/>
  <c r="C801" i="1"/>
  <c r="E801" i="2" s="1"/>
  <c r="V801" i="2"/>
  <c r="AW801" i="1" l="1"/>
  <c r="BT801" i="1"/>
  <c r="T801" i="2" s="1"/>
  <c r="U801" i="2"/>
  <c r="D802" i="1"/>
  <c r="B803" i="1"/>
  <c r="C802" i="1"/>
  <c r="E802" i="2" s="1"/>
  <c r="V802" i="2"/>
  <c r="AW802" i="1" l="1"/>
  <c r="BT802" i="1"/>
  <c r="T802" i="2" s="1"/>
  <c r="U802" i="2"/>
  <c r="D803" i="1"/>
  <c r="B804" i="1"/>
  <c r="C803" i="1"/>
  <c r="E803" i="2" s="1"/>
  <c r="V803" i="2"/>
  <c r="AW803" i="1" l="1"/>
  <c r="BT803" i="1"/>
  <c r="T803" i="2" s="1"/>
  <c r="U803" i="2"/>
  <c r="B805" i="1"/>
  <c r="C804" i="1"/>
  <c r="E804" i="2" s="1"/>
  <c r="D804" i="1"/>
  <c r="V804" i="2"/>
  <c r="AW804" i="1" l="1"/>
  <c r="BT804" i="1"/>
  <c r="T804" i="2" s="1"/>
  <c r="U804" i="2"/>
  <c r="D805" i="1"/>
  <c r="B806" i="1"/>
  <c r="C805" i="1"/>
  <c r="E805" i="2" s="1"/>
  <c r="V805" i="2"/>
  <c r="AW805" i="1" l="1"/>
  <c r="BT805" i="1"/>
  <c r="T805" i="2" s="1"/>
  <c r="U805" i="2"/>
  <c r="D806" i="1"/>
  <c r="B807" i="1"/>
  <c r="C806" i="1"/>
  <c r="E806" i="2" s="1"/>
  <c r="V806" i="2"/>
  <c r="AW806" i="1" l="1"/>
  <c r="BT806" i="1"/>
  <c r="T806" i="2" s="1"/>
  <c r="U806" i="2"/>
  <c r="D807" i="1"/>
  <c r="B808" i="1"/>
  <c r="C807" i="1"/>
  <c r="E807" i="2" s="1"/>
  <c r="V807" i="2"/>
  <c r="AW807" i="1" l="1"/>
  <c r="BT807" i="1"/>
  <c r="T807" i="2" s="1"/>
  <c r="U807" i="2"/>
  <c r="B809" i="1"/>
  <c r="C808" i="1"/>
  <c r="E808" i="2" s="1"/>
  <c r="D808" i="1"/>
  <c r="V808" i="2"/>
  <c r="AW808" i="1" l="1"/>
  <c r="BT808" i="1"/>
  <c r="T808" i="2" s="1"/>
  <c r="U808" i="2"/>
  <c r="D809" i="1"/>
  <c r="B810" i="1"/>
  <c r="C809" i="1"/>
  <c r="E809" i="2" s="1"/>
  <c r="V809" i="2"/>
  <c r="AW809" i="1" l="1"/>
  <c r="BT809" i="1"/>
  <c r="T809" i="2" s="1"/>
  <c r="U809" i="2"/>
  <c r="D810" i="1"/>
  <c r="B811" i="1"/>
  <c r="C810" i="1"/>
  <c r="E810" i="2" s="1"/>
  <c r="V810" i="2"/>
  <c r="AW810" i="1" l="1"/>
  <c r="BT810" i="1"/>
  <c r="T810" i="2" s="1"/>
  <c r="U810" i="2"/>
  <c r="D811" i="1"/>
  <c r="B812" i="1"/>
  <c r="C811" i="1"/>
  <c r="E811" i="2" s="1"/>
  <c r="V811" i="2"/>
  <c r="AW811" i="1" l="1"/>
  <c r="BT811" i="1"/>
  <c r="T811" i="2" s="1"/>
  <c r="U811" i="2"/>
  <c r="B813" i="1"/>
  <c r="C812" i="1"/>
  <c r="E812" i="2" s="1"/>
  <c r="D812" i="1"/>
  <c r="V812" i="2"/>
  <c r="AW812" i="1" l="1"/>
  <c r="BT812" i="1"/>
  <c r="T812" i="2" s="1"/>
  <c r="U812" i="2"/>
  <c r="D813" i="1"/>
  <c r="B814" i="1"/>
  <c r="C813" i="1"/>
  <c r="E813" i="2" s="1"/>
  <c r="V813" i="2"/>
  <c r="AW813" i="1" l="1"/>
  <c r="BT813" i="1"/>
  <c r="T813" i="2" s="1"/>
  <c r="U813" i="2"/>
  <c r="D814" i="1"/>
  <c r="B815" i="1"/>
  <c r="C814" i="1"/>
  <c r="E814" i="2" s="1"/>
  <c r="V814" i="2"/>
  <c r="AW814" i="1" l="1"/>
  <c r="BT814" i="1"/>
  <c r="T814" i="2" s="1"/>
  <c r="U814" i="2"/>
  <c r="D815" i="1"/>
  <c r="B816" i="1"/>
  <c r="C815" i="1"/>
  <c r="E815" i="2" s="1"/>
  <c r="V815" i="2"/>
  <c r="AW815" i="1" l="1"/>
  <c r="BT815" i="1"/>
  <c r="T815" i="2" s="1"/>
  <c r="U815" i="2"/>
  <c r="B817" i="1"/>
  <c r="C816" i="1"/>
  <c r="E816" i="2" s="1"/>
  <c r="D816" i="1"/>
  <c r="V816" i="2"/>
  <c r="AW816" i="1" l="1"/>
  <c r="BT816" i="1"/>
  <c r="T816" i="2" s="1"/>
  <c r="U816" i="2"/>
  <c r="D817" i="1"/>
  <c r="B818" i="1"/>
  <c r="C817" i="1"/>
  <c r="E817" i="2" s="1"/>
  <c r="V817" i="2"/>
  <c r="AW817" i="1" l="1"/>
  <c r="BT817" i="1"/>
  <c r="T817" i="2" s="1"/>
  <c r="U817" i="2"/>
  <c r="D818" i="1"/>
  <c r="B819" i="1"/>
  <c r="C818" i="1"/>
  <c r="E818" i="2" s="1"/>
  <c r="V818" i="2"/>
  <c r="AW818" i="1" l="1"/>
  <c r="BT818" i="1"/>
  <c r="T818" i="2" s="1"/>
  <c r="U818" i="2"/>
  <c r="D819" i="1"/>
  <c r="B820" i="1"/>
  <c r="C819" i="1"/>
  <c r="E819" i="2" s="1"/>
  <c r="V819" i="2"/>
  <c r="AW819" i="1" l="1"/>
  <c r="BT819" i="1"/>
  <c r="T819" i="2" s="1"/>
  <c r="U819" i="2"/>
  <c r="B821" i="1"/>
  <c r="C820" i="1"/>
  <c r="E820" i="2" s="1"/>
  <c r="D820" i="1"/>
  <c r="V820" i="2"/>
  <c r="AW820" i="1" l="1"/>
  <c r="BT820" i="1"/>
  <c r="T820" i="2" s="1"/>
  <c r="U820" i="2"/>
  <c r="D821" i="1"/>
  <c r="B822" i="1"/>
  <c r="C821" i="1"/>
  <c r="E821" i="2" s="1"/>
  <c r="V821" i="2"/>
  <c r="AW821" i="1" l="1"/>
  <c r="BT821" i="1"/>
  <c r="T821" i="2" s="1"/>
  <c r="U821" i="2"/>
  <c r="D822" i="1"/>
  <c r="B823" i="1"/>
  <c r="C822" i="1"/>
  <c r="E822" i="2" s="1"/>
  <c r="V822" i="2"/>
  <c r="AW822" i="1" l="1"/>
  <c r="BT822" i="1"/>
  <c r="T822" i="2" s="1"/>
  <c r="U822" i="2"/>
  <c r="D823" i="1"/>
  <c r="B824" i="1"/>
  <c r="C823" i="1"/>
  <c r="E823" i="2" s="1"/>
  <c r="V823" i="2"/>
  <c r="AW823" i="1" l="1"/>
  <c r="BT823" i="1"/>
  <c r="T823" i="2" s="1"/>
  <c r="U823" i="2"/>
  <c r="B825" i="1"/>
  <c r="C824" i="1"/>
  <c r="E824" i="2" s="1"/>
  <c r="D824" i="1"/>
  <c r="V824" i="2"/>
  <c r="AW824" i="1" l="1"/>
  <c r="BT824" i="1"/>
  <c r="T824" i="2" s="1"/>
  <c r="U824" i="2"/>
  <c r="D825" i="1"/>
  <c r="B826" i="1"/>
  <c r="C825" i="1"/>
  <c r="E825" i="2" s="1"/>
  <c r="V825" i="2"/>
  <c r="AW825" i="1" l="1"/>
  <c r="BT825" i="1"/>
  <c r="T825" i="2" s="1"/>
  <c r="U825" i="2"/>
  <c r="D826" i="1"/>
  <c r="B827" i="1"/>
  <c r="C826" i="1"/>
  <c r="E826" i="2" s="1"/>
  <c r="V826" i="2"/>
  <c r="AW826" i="1" l="1"/>
  <c r="BT826" i="1"/>
  <c r="T826" i="2" s="1"/>
  <c r="U826" i="2"/>
  <c r="D827" i="1"/>
  <c r="B828" i="1"/>
  <c r="C827" i="1"/>
  <c r="E827" i="2" s="1"/>
  <c r="V827" i="2"/>
  <c r="AW827" i="1" l="1"/>
  <c r="BT827" i="1"/>
  <c r="T827" i="2" s="1"/>
  <c r="U827" i="2"/>
  <c r="B829" i="1"/>
  <c r="C828" i="1"/>
  <c r="E828" i="2" s="1"/>
  <c r="D828" i="1"/>
  <c r="V828" i="2"/>
  <c r="AW828" i="1" l="1"/>
  <c r="BT828" i="1"/>
  <c r="T828" i="2" s="1"/>
  <c r="U828" i="2"/>
  <c r="D829" i="1"/>
  <c r="B830" i="1"/>
  <c r="C829" i="1"/>
  <c r="E829" i="2" s="1"/>
  <c r="V829" i="2"/>
  <c r="AW829" i="1" l="1"/>
  <c r="BT829" i="1"/>
  <c r="T829" i="2" s="1"/>
  <c r="U829" i="2"/>
  <c r="D830" i="1"/>
  <c r="B831" i="1"/>
  <c r="C830" i="1"/>
  <c r="E830" i="2" s="1"/>
  <c r="V830" i="2"/>
  <c r="AW830" i="1" l="1"/>
  <c r="BT830" i="1"/>
  <c r="T830" i="2" s="1"/>
  <c r="U830" i="2"/>
  <c r="B832" i="1"/>
  <c r="C831" i="1"/>
  <c r="E831" i="2" s="1"/>
  <c r="D831" i="1"/>
  <c r="V831" i="2"/>
  <c r="AW831" i="1" l="1"/>
  <c r="BT831" i="1"/>
  <c r="T831" i="2" s="1"/>
  <c r="U831" i="2"/>
  <c r="D832" i="1"/>
  <c r="B833" i="1"/>
  <c r="C832" i="1"/>
  <c r="E832" i="2" s="1"/>
  <c r="V832" i="2"/>
  <c r="AW832" i="1" l="1"/>
  <c r="BT832" i="1"/>
  <c r="T832" i="2" s="1"/>
  <c r="U832" i="2"/>
  <c r="B834" i="1"/>
  <c r="D833" i="1"/>
  <c r="C833" i="1"/>
  <c r="E833" i="2" s="1"/>
  <c r="V833" i="2"/>
  <c r="AW833" i="1" l="1"/>
  <c r="BT833" i="1"/>
  <c r="T833" i="2" s="1"/>
  <c r="U833" i="2"/>
  <c r="D834" i="1"/>
  <c r="C834" i="1"/>
  <c r="E834" i="2" s="1"/>
  <c r="B835" i="1"/>
  <c r="V834" i="2"/>
  <c r="AW834" i="1" l="1"/>
  <c r="BT834" i="1"/>
  <c r="T834" i="2" s="1"/>
  <c r="U834" i="2"/>
  <c r="B836" i="1"/>
  <c r="C835" i="1"/>
  <c r="E835" i="2" s="1"/>
  <c r="D835" i="1"/>
  <c r="V835" i="2"/>
  <c r="AW835" i="1" l="1"/>
  <c r="BT835" i="1"/>
  <c r="T835" i="2" s="1"/>
  <c r="U835" i="2"/>
  <c r="D836" i="1"/>
  <c r="C836" i="1"/>
  <c r="E836" i="2" s="1"/>
  <c r="B837" i="1"/>
  <c r="V836" i="2"/>
  <c r="AW836" i="1" l="1"/>
  <c r="BT836" i="1"/>
  <c r="T836" i="2" s="1"/>
  <c r="U836" i="2"/>
  <c r="B838" i="1"/>
  <c r="C837" i="1"/>
  <c r="E837" i="2" s="1"/>
  <c r="D837" i="1"/>
  <c r="V837" i="2"/>
  <c r="AW837" i="1" l="1"/>
  <c r="BT837" i="1"/>
  <c r="T837" i="2" s="1"/>
  <c r="U837" i="2"/>
  <c r="D838" i="1"/>
  <c r="C838" i="1"/>
  <c r="E838" i="2" s="1"/>
  <c r="B839" i="1"/>
  <c r="V838" i="2"/>
  <c r="AW838" i="1" l="1"/>
  <c r="BT838" i="1"/>
  <c r="T838" i="2" s="1"/>
  <c r="U838" i="2"/>
  <c r="B840" i="1"/>
  <c r="C839" i="1"/>
  <c r="E839" i="2" s="1"/>
  <c r="D839" i="1"/>
  <c r="V839" i="2"/>
  <c r="AW839" i="1" l="1"/>
  <c r="BT839" i="1"/>
  <c r="T839" i="2" s="1"/>
  <c r="U839" i="2"/>
  <c r="D840" i="1"/>
  <c r="C840" i="1"/>
  <c r="E840" i="2" s="1"/>
  <c r="B841" i="1"/>
  <c r="V840" i="2"/>
  <c r="AW840" i="1" l="1"/>
  <c r="BT840" i="1"/>
  <c r="T840" i="2" s="1"/>
  <c r="U840" i="2"/>
  <c r="B842" i="1"/>
  <c r="C841" i="1"/>
  <c r="E841" i="2" s="1"/>
  <c r="D841" i="1"/>
  <c r="V841" i="2"/>
  <c r="AW841" i="1" l="1"/>
  <c r="BT841" i="1"/>
  <c r="T841" i="2" s="1"/>
  <c r="U841" i="2"/>
  <c r="D842" i="1"/>
  <c r="C842" i="1"/>
  <c r="E842" i="2" s="1"/>
  <c r="B843" i="1"/>
  <c r="V842" i="2"/>
  <c r="AW842" i="1" l="1"/>
  <c r="BT842" i="1"/>
  <c r="T842" i="2" s="1"/>
  <c r="U842" i="2"/>
  <c r="B844" i="1"/>
  <c r="C843" i="1"/>
  <c r="E843" i="2" s="1"/>
  <c r="D843" i="1"/>
  <c r="V843" i="2"/>
  <c r="AW843" i="1" l="1"/>
  <c r="BT843" i="1"/>
  <c r="T843" i="2" s="1"/>
  <c r="U843" i="2"/>
  <c r="D844" i="1"/>
  <c r="C844" i="1"/>
  <c r="E844" i="2" s="1"/>
  <c r="B845" i="1"/>
  <c r="V844" i="2"/>
  <c r="AW844" i="1" l="1"/>
  <c r="BT844" i="1"/>
  <c r="T844" i="2" s="1"/>
  <c r="U844" i="2"/>
  <c r="B846" i="1"/>
  <c r="C845" i="1"/>
  <c r="E845" i="2" s="1"/>
  <c r="D845" i="1"/>
  <c r="V845" i="2"/>
  <c r="AW845" i="1" l="1"/>
  <c r="BT845" i="1"/>
  <c r="T845" i="2" s="1"/>
  <c r="U845" i="2"/>
  <c r="D846" i="1"/>
  <c r="C846" i="1"/>
  <c r="E846" i="2" s="1"/>
  <c r="B847" i="1"/>
  <c r="V846" i="2"/>
  <c r="AW846" i="1" l="1"/>
  <c r="BT846" i="1"/>
  <c r="T846" i="2" s="1"/>
  <c r="U846" i="2"/>
  <c r="B848" i="1"/>
  <c r="C847" i="1"/>
  <c r="E847" i="2" s="1"/>
  <c r="D847" i="1"/>
  <c r="V847" i="2"/>
  <c r="AW847" i="1" l="1"/>
  <c r="BT847" i="1"/>
  <c r="T847" i="2" s="1"/>
  <c r="U847" i="2"/>
  <c r="D848" i="1"/>
  <c r="C848" i="1"/>
  <c r="E848" i="2" s="1"/>
  <c r="B849" i="1"/>
  <c r="V848" i="2"/>
  <c r="AW848" i="1" l="1"/>
  <c r="BT848" i="1"/>
  <c r="T848" i="2" s="1"/>
  <c r="U848" i="2"/>
  <c r="B850" i="1"/>
  <c r="C849" i="1"/>
  <c r="E849" i="2" s="1"/>
  <c r="D849" i="1"/>
  <c r="V849" i="2"/>
  <c r="AW849" i="1" l="1"/>
  <c r="BT849" i="1"/>
  <c r="T849" i="2" s="1"/>
  <c r="U849" i="2"/>
  <c r="D850" i="1"/>
  <c r="B851" i="1"/>
  <c r="C850" i="1"/>
  <c r="E850" i="2" s="1"/>
  <c r="V850" i="2"/>
  <c r="AW850" i="1" l="1"/>
  <c r="BT850" i="1"/>
  <c r="T850" i="2" s="1"/>
  <c r="U850" i="2"/>
  <c r="B852" i="1"/>
  <c r="C851" i="1"/>
  <c r="E851" i="2" s="1"/>
  <c r="D851" i="1"/>
  <c r="V851" i="2"/>
  <c r="AW851" i="1" l="1"/>
  <c r="BT851" i="1"/>
  <c r="T851" i="2" s="1"/>
  <c r="U851" i="2"/>
  <c r="D852" i="1"/>
  <c r="C852" i="1"/>
  <c r="E852" i="2" s="1"/>
  <c r="B853" i="1"/>
  <c r="V852" i="2"/>
  <c r="AW852" i="1" l="1"/>
  <c r="BT852" i="1"/>
  <c r="T852" i="2" s="1"/>
  <c r="U852" i="2"/>
  <c r="D853" i="1"/>
  <c r="B854" i="1"/>
  <c r="C853" i="1"/>
  <c r="E853" i="2" s="1"/>
  <c r="V853" i="2"/>
  <c r="AW853" i="1" l="1"/>
  <c r="BT853" i="1"/>
  <c r="T853" i="2" s="1"/>
  <c r="U853" i="2"/>
  <c r="D854" i="1"/>
  <c r="B855" i="1"/>
  <c r="C854" i="1"/>
  <c r="E854" i="2" s="1"/>
  <c r="V854" i="2"/>
  <c r="AW854" i="1" l="1"/>
  <c r="BT854" i="1"/>
  <c r="T854" i="2" s="1"/>
  <c r="U854" i="2"/>
  <c r="B856" i="1"/>
  <c r="C855" i="1"/>
  <c r="E855" i="2" s="1"/>
  <c r="D855" i="1"/>
  <c r="V855" i="2"/>
  <c r="AW855" i="1" l="1"/>
  <c r="BT855" i="1"/>
  <c r="T855" i="2" s="1"/>
  <c r="U855" i="2"/>
  <c r="D856" i="1"/>
  <c r="C856" i="1"/>
  <c r="E856" i="2" s="1"/>
  <c r="B857" i="1"/>
  <c r="V856" i="2"/>
  <c r="AW856" i="1" l="1"/>
  <c r="BT856" i="1"/>
  <c r="T856" i="2" s="1"/>
  <c r="U856" i="2"/>
  <c r="D857" i="1"/>
  <c r="B858" i="1"/>
  <c r="C857" i="1"/>
  <c r="E857" i="2" s="1"/>
  <c r="V857" i="2"/>
  <c r="AW857" i="1" l="1"/>
  <c r="BT857" i="1"/>
  <c r="T857" i="2" s="1"/>
  <c r="U857" i="2"/>
  <c r="D858" i="1"/>
  <c r="B859" i="1"/>
  <c r="C858" i="1"/>
  <c r="E858" i="2" s="1"/>
  <c r="V858" i="2"/>
  <c r="AW858" i="1" l="1"/>
  <c r="BT858" i="1"/>
  <c r="T858" i="2" s="1"/>
  <c r="U858" i="2"/>
  <c r="B860" i="1"/>
  <c r="C859" i="1"/>
  <c r="E859" i="2" s="1"/>
  <c r="D859" i="1"/>
  <c r="V859" i="2"/>
  <c r="AW859" i="1" l="1"/>
  <c r="BT859" i="1"/>
  <c r="T859" i="2" s="1"/>
  <c r="U859" i="2"/>
  <c r="D860" i="1"/>
  <c r="C860" i="1"/>
  <c r="E860" i="2" s="1"/>
  <c r="B861" i="1"/>
  <c r="V860" i="2"/>
  <c r="AW860" i="1" l="1"/>
  <c r="BT860" i="1"/>
  <c r="T860" i="2" s="1"/>
  <c r="U860" i="2"/>
  <c r="D861" i="1"/>
  <c r="B862" i="1"/>
  <c r="C861" i="1"/>
  <c r="E861" i="2" s="1"/>
  <c r="V861" i="2"/>
  <c r="AW861" i="1" l="1"/>
  <c r="BT861" i="1"/>
  <c r="T861" i="2" s="1"/>
  <c r="U861" i="2"/>
  <c r="D862" i="1"/>
  <c r="B863" i="1"/>
  <c r="C862" i="1"/>
  <c r="E862" i="2" s="1"/>
  <c r="V862" i="2"/>
  <c r="AW862" i="1" l="1"/>
  <c r="BT862" i="1"/>
  <c r="T862" i="2" s="1"/>
  <c r="U862" i="2"/>
  <c r="B864" i="1"/>
  <c r="C863" i="1"/>
  <c r="E863" i="2" s="1"/>
  <c r="D863" i="1"/>
  <c r="V863" i="2"/>
  <c r="AW863" i="1" l="1"/>
  <c r="BT863" i="1"/>
  <c r="T863" i="2" s="1"/>
  <c r="U863" i="2"/>
  <c r="D864" i="1"/>
  <c r="C864" i="1"/>
  <c r="E864" i="2" s="1"/>
  <c r="B865" i="1"/>
  <c r="V864" i="2"/>
  <c r="AW864" i="1" l="1"/>
  <c r="BT864" i="1"/>
  <c r="T864" i="2" s="1"/>
  <c r="U864" i="2"/>
  <c r="D865" i="1"/>
  <c r="B866" i="1"/>
  <c r="C865" i="1"/>
  <c r="E865" i="2" s="1"/>
  <c r="V865" i="2"/>
  <c r="AW865" i="1" l="1"/>
  <c r="BT865" i="1"/>
  <c r="T865" i="2" s="1"/>
  <c r="U865" i="2"/>
  <c r="D866" i="1"/>
  <c r="B867" i="1"/>
  <c r="C866" i="1"/>
  <c r="E866" i="2" s="1"/>
  <c r="V866" i="2"/>
  <c r="AW866" i="1" l="1"/>
  <c r="BT866" i="1"/>
  <c r="T866" i="2" s="1"/>
  <c r="U866" i="2"/>
  <c r="B868" i="1"/>
  <c r="C867" i="1"/>
  <c r="E867" i="2" s="1"/>
  <c r="D867" i="1"/>
  <c r="V867" i="2"/>
  <c r="AW867" i="1" l="1"/>
  <c r="BT867" i="1"/>
  <c r="T867" i="2" s="1"/>
  <c r="U867" i="2"/>
  <c r="D868" i="1"/>
  <c r="C868" i="1"/>
  <c r="E868" i="2" s="1"/>
  <c r="B869" i="1"/>
  <c r="V868" i="2"/>
  <c r="AW868" i="1" l="1"/>
  <c r="BT868" i="1"/>
  <c r="T868" i="2" s="1"/>
  <c r="U868" i="2"/>
  <c r="D869" i="1"/>
  <c r="B870" i="1"/>
  <c r="C869" i="1"/>
  <c r="E869" i="2" s="1"/>
  <c r="V869" i="2"/>
  <c r="AW869" i="1" l="1"/>
  <c r="BT869" i="1"/>
  <c r="T869" i="2" s="1"/>
  <c r="U869" i="2"/>
  <c r="D870" i="1"/>
  <c r="B871" i="1"/>
  <c r="C870" i="1"/>
  <c r="E870" i="2" s="1"/>
  <c r="V870" i="2"/>
  <c r="AW870" i="1" l="1"/>
  <c r="BT870" i="1"/>
  <c r="T870" i="2" s="1"/>
  <c r="U870" i="2"/>
  <c r="B872" i="1"/>
  <c r="C871" i="1"/>
  <c r="E871" i="2" s="1"/>
  <c r="D871" i="1"/>
  <c r="V871" i="2"/>
  <c r="AW871" i="1" l="1"/>
  <c r="BT871" i="1"/>
  <c r="T871" i="2" s="1"/>
  <c r="U871" i="2"/>
  <c r="D872" i="1"/>
  <c r="C872" i="1"/>
  <c r="E872" i="2" s="1"/>
  <c r="B873" i="1"/>
  <c r="V872" i="2"/>
  <c r="AW872" i="1" l="1"/>
  <c r="BT872" i="1"/>
  <c r="T872" i="2" s="1"/>
  <c r="U872" i="2"/>
  <c r="D873" i="1"/>
  <c r="B874" i="1"/>
  <c r="C873" i="1"/>
  <c r="E873" i="2" s="1"/>
  <c r="V873" i="2"/>
  <c r="AW873" i="1" l="1"/>
  <c r="BT873" i="1"/>
  <c r="T873" i="2" s="1"/>
  <c r="U873" i="2"/>
  <c r="D874" i="1"/>
  <c r="B875" i="1"/>
  <c r="C874" i="1"/>
  <c r="E874" i="2" s="1"/>
  <c r="V874" i="2"/>
  <c r="AW874" i="1" l="1"/>
  <c r="BT874" i="1"/>
  <c r="T874" i="2" s="1"/>
  <c r="U874" i="2"/>
  <c r="B876" i="1"/>
  <c r="C875" i="1"/>
  <c r="E875" i="2" s="1"/>
  <c r="D875" i="1"/>
  <c r="V875" i="2"/>
  <c r="AW875" i="1" l="1"/>
  <c r="BT875" i="1"/>
  <c r="T875" i="2" s="1"/>
  <c r="U875" i="2"/>
  <c r="D876" i="1"/>
  <c r="C876" i="1"/>
  <c r="E876" i="2" s="1"/>
  <c r="B877" i="1"/>
  <c r="V876" i="2"/>
  <c r="AW876" i="1" l="1"/>
  <c r="BT876" i="1"/>
  <c r="T876" i="2" s="1"/>
  <c r="U876" i="2"/>
  <c r="D877" i="1"/>
  <c r="B878" i="1"/>
  <c r="C877" i="1"/>
  <c r="E877" i="2" s="1"/>
  <c r="V877" i="2"/>
  <c r="AW877" i="1" l="1"/>
  <c r="BT877" i="1"/>
  <c r="T877" i="2" s="1"/>
  <c r="U877" i="2"/>
  <c r="D878" i="1"/>
  <c r="B879" i="1"/>
  <c r="C878" i="1"/>
  <c r="E878" i="2" s="1"/>
  <c r="V878" i="2"/>
  <c r="AW878" i="1" l="1"/>
  <c r="BT878" i="1"/>
  <c r="T878" i="2" s="1"/>
  <c r="U878" i="2"/>
  <c r="B880" i="1"/>
  <c r="C879" i="1"/>
  <c r="E879" i="2" s="1"/>
  <c r="D879" i="1"/>
  <c r="V879" i="2"/>
  <c r="AW879" i="1" l="1"/>
  <c r="BT879" i="1"/>
  <c r="T879" i="2" s="1"/>
  <c r="U879" i="2"/>
  <c r="D880" i="1"/>
  <c r="C880" i="1"/>
  <c r="E880" i="2" s="1"/>
  <c r="B881" i="1"/>
  <c r="V880" i="2"/>
  <c r="AW880" i="1" l="1"/>
  <c r="BT880" i="1"/>
  <c r="T880" i="2" s="1"/>
  <c r="U880" i="2"/>
  <c r="D881" i="1"/>
  <c r="B882" i="1"/>
  <c r="C881" i="1"/>
  <c r="E881" i="2" s="1"/>
  <c r="V881" i="2"/>
  <c r="AW881" i="1" l="1"/>
  <c r="BT881" i="1"/>
  <c r="T881" i="2" s="1"/>
  <c r="U881" i="2"/>
  <c r="D882" i="1"/>
  <c r="B883" i="1"/>
  <c r="C882" i="1"/>
  <c r="E882" i="2" s="1"/>
  <c r="V882" i="2"/>
  <c r="AW882" i="1" l="1"/>
  <c r="BT882" i="1"/>
  <c r="T882" i="2" s="1"/>
  <c r="U882" i="2"/>
  <c r="B884" i="1"/>
  <c r="C883" i="1"/>
  <c r="E883" i="2" s="1"/>
  <c r="D883" i="1"/>
  <c r="V883" i="2"/>
  <c r="AW883" i="1" l="1"/>
  <c r="BT883" i="1"/>
  <c r="T883" i="2" s="1"/>
  <c r="U883" i="2"/>
  <c r="D884" i="1"/>
  <c r="C884" i="1"/>
  <c r="E884" i="2" s="1"/>
  <c r="B885" i="1"/>
  <c r="V884" i="2"/>
  <c r="AW884" i="1" l="1"/>
  <c r="BT884" i="1"/>
  <c r="T884" i="2" s="1"/>
  <c r="U884" i="2"/>
  <c r="D885" i="1"/>
  <c r="B886" i="1"/>
  <c r="C885" i="1"/>
  <c r="E885" i="2" s="1"/>
  <c r="V885" i="2"/>
  <c r="AW885" i="1" l="1"/>
  <c r="BT885" i="1"/>
  <c r="T885" i="2" s="1"/>
  <c r="U885" i="2"/>
  <c r="D886" i="1"/>
  <c r="B887" i="1"/>
  <c r="C886" i="1"/>
  <c r="E886" i="2" s="1"/>
  <c r="V886" i="2"/>
  <c r="AW886" i="1" l="1"/>
  <c r="BT886" i="1"/>
  <c r="T886" i="2" s="1"/>
  <c r="U886" i="2"/>
  <c r="B888" i="1"/>
  <c r="C887" i="1"/>
  <c r="E887" i="2" s="1"/>
  <c r="D887" i="1"/>
  <c r="V887" i="2"/>
  <c r="AW887" i="1" l="1"/>
  <c r="BT887" i="1"/>
  <c r="T887" i="2" s="1"/>
  <c r="U887" i="2"/>
  <c r="D888" i="1"/>
  <c r="C888" i="1"/>
  <c r="E888" i="2" s="1"/>
  <c r="B889" i="1"/>
  <c r="V888" i="2"/>
  <c r="AW888" i="1" l="1"/>
  <c r="BT888" i="1"/>
  <c r="T888" i="2" s="1"/>
  <c r="U888" i="2"/>
  <c r="D889" i="1"/>
  <c r="B890" i="1"/>
  <c r="C889" i="1"/>
  <c r="E889" i="2" s="1"/>
  <c r="V889" i="2"/>
  <c r="AW889" i="1" l="1"/>
  <c r="BT889" i="1"/>
  <c r="T889" i="2" s="1"/>
  <c r="U889" i="2"/>
  <c r="D890" i="1"/>
  <c r="B891" i="1"/>
  <c r="C890" i="1"/>
  <c r="E890" i="2" s="1"/>
  <c r="V890" i="2"/>
  <c r="AW890" i="1" l="1"/>
  <c r="BT890" i="1"/>
  <c r="T890" i="2" s="1"/>
  <c r="U890" i="2"/>
  <c r="B892" i="1"/>
  <c r="C891" i="1"/>
  <c r="E891" i="2" s="1"/>
  <c r="D891" i="1"/>
  <c r="V891" i="2"/>
  <c r="AW891" i="1" l="1"/>
  <c r="BT891" i="1"/>
  <c r="T891" i="2" s="1"/>
  <c r="U891" i="2"/>
  <c r="D892" i="1"/>
  <c r="C892" i="1"/>
  <c r="E892" i="2" s="1"/>
  <c r="B893" i="1"/>
  <c r="V892" i="2"/>
  <c r="AW892" i="1" l="1"/>
  <c r="BT892" i="1"/>
  <c r="T892" i="2" s="1"/>
  <c r="U892" i="2"/>
  <c r="D893" i="1"/>
  <c r="B894" i="1"/>
  <c r="C893" i="1"/>
  <c r="E893" i="2" s="1"/>
  <c r="V893" i="2"/>
  <c r="AW893" i="1" l="1"/>
  <c r="BT893" i="1"/>
  <c r="T893" i="2" s="1"/>
  <c r="U893" i="2"/>
  <c r="D894" i="1"/>
  <c r="B895" i="1"/>
  <c r="C894" i="1"/>
  <c r="E894" i="2" s="1"/>
  <c r="V894" i="2"/>
  <c r="AW894" i="1" l="1"/>
  <c r="BT894" i="1"/>
  <c r="T894" i="2" s="1"/>
  <c r="U894" i="2"/>
  <c r="B896" i="1"/>
  <c r="C895" i="1"/>
  <c r="E895" i="2" s="1"/>
  <c r="D895" i="1"/>
  <c r="V895" i="2"/>
  <c r="AW895" i="1" l="1"/>
  <c r="BT895" i="1"/>
  <c r="T895" i="2" s="1"/>
  <c r="U895" i="2"/>
  <c r="D896" i="1"/>
  <c r="C896" i="1"/>
  <c r="E896" i="2" s="1"/>
  <c r="B897" i="1"/>
  <c r="V896" i="2"/>
  <c r="AW896" i="1" l="1"/>
  <c r="BT896" i="1"/>
  <c r="T896" i="2" s="1"/>
  <c r="U896" i="2"/>
  <c r="D897" i="1"/>
  <c r="B898" i="1"/>
  <c r="C897" i="1"/>
  <c r="E897" i="2" s="1"/>
  <c r="V897" i="2"/>
  <c r="AW897" i="1" l="1"/>
  <c r="BT897" i="1"/>
  <c r="T897" i="2" s="1"/>
  <c r="U897" i="2"/>
  <c r="D898" i="1"/>
  <c r="B899" i="1"/>
  <c r="C898" i="1"/>
  <c r="E898" i="2" s="1"/>
  <c r="V898" i="2"/>
  <c r="AW898" i="1" l="1"/>
  <c r="BT898" i="1"/>
  <c r="T898" i="2" s="1"/>
  <c r="U898" i="2"/>
  <c r="B900" i="1"/>
  <c r="C899" i="1"/>
  <c r="E899" i="2" s="1"/>
  <c r="D899" i="1"/>
  <c r="V899" i="2"/>
  <c r="AW899" i="1" l="1"/>
  <c r="BT899" i="1"/>
  <c r="T899" i="2" s="1"/>
  <c r="U899" i="2"/>
  <c r="D900" i="1"/>
  <c r="C900" i="1"/>
  <c r="E900" i="2" s="1"/>
  <c r="B901" i="1"/>
  <c r="V900" i="2"/>
  <c r="AW900" i="1" l="1"/>
  <c r="BT900" i="1"/>
  <c r="T900" i="2" s="1"/>
  <c r="U900" i="2"/>
  <c r="D901" i="1"/>
  <c r="B902" i="1"/>
  <c r="C901" i="1"/>
  <c r="E901" i="2" s="1"/>
  <c r="V901" i="2"/>
  <c r="AW901" i="1" l="1"/>
  <c r="BT901" i="1"/>
  <c r="T901" i="2" s="1"/>
  <c r="U901" i="2"/>
  <c r="D902" i="1"/>
  <c r="B903" i="1"/>
  <c r="C902" i="1"/>
  <c r="E902" i="2" s="1"/>
  <c r="V902" i="2"/>
  <c r="AW902" i="1" l="1"/>
  <c r="BT902" i="1"/>
  <c r="T902" i="2" s="1"/>
  <c r="U902" i="2"/>
  <c r="B904" i="1"/>
  <c r="C903" i="1"/>
  <c r="E903" i="2" s="1"/>
  <c r="D903" i="1"/>
  <c r="V903" i="2"/>
  <c r="AW903" i="1" l="1"/>
  <c r="BT903" i="1"/>
  <c r="T903" i="2" s="1"/>
  <c r="U903" i="2"/>
  <c r="D904" i="1"/>
  <c r="B905" i="1"/>
  <c r="C904" i="1"/>
  <c r="E904" i="2" s="1"/>
  <c r="V904" i="2"/>
  <c r="AW904" i="1" l="1"/>
  <c r="BT904" i="1"/>
  <c r="T904" i="2" s="1"/>
  <c r="U904" i="2"/>
  <c r="D905" i="1"/>
  <c r="B906" i="1"/>
  <c r="C905" i="1"/>
  <c r="E905" i="2" s="1"/>
  <c r="V905" i="2"/>
  <c r="AW905" i="1" l="1"/>
  <c r="BT905" i="1"/>
  <c r="T905" i="2" s="1"/>
  <c r="U905" i="2"/>
  <c r="D906" i="1"/>
  <c r="B907" i="1"/>
  <c r="C906" i="1"/>
  <c r="E906" i="2" s="1"/>
  <c r="V906" i="2"/>
  <c r="AW906" i="1" l="1"/>
  <c r="BT906" i="1"/>
  <c r="T906" i="2" s="1"/>
  <c r="U906" i="2"/>
  <c r="B908" i="1"/>
  <c r="C907" i="1"/>
  <c r="E907" i="2" s="1"/>
  <c r="D907" i="1"/>
  <c r="V907" i="2"/>
  <c r="AW907" i="1" l="1"/>
  <c r="BT907" i="1"/>
  <c r="T907" i="2" s="1"/>
  <c r="U907" i="2"/>
  <c r="D908" i="1"/>
  <c r="B909" i="1"/>
  <c r="C908" i="1"/>
  <c r="E908" i="2" s="1"/>
  <c r="V908" i="2"/>
  <c r="AW908" i="1" l="1"/>
  <c r="BT908" i="1"/>
  <c r="T908" i="2" s="1"/>
  <c r="U908" i="2"/>
  <c r="D909" i="1"/>
  <c r="B910" i="1"/>
  <c r="C909" i="1"/>
  <c r="E909" i="2" s="1"/>
  <c r="V909" i="2"/>
  <c r="AW909" i="1" l="1"/>
  <c r="BT909" i="1"/>
  <c r="T909" i="2" s="1"/>
  <c r="U909" i="2"/>
  <c r="D910" i="1"/>
  <c r="B911" i="1"/>
  <c r="C910" i="1"/>
  <c r="E910" i="2" s="1"/>
  <c r="V910" i="2"/>
  <c r="AW910" i="1" l="1"/>
  <c r="BT910" i="1"/>
  <c r="T910" i="2" s="1"/>
  <c r="U910" i="2"/>
  <c r="B912" i="1"/>
  <c r="C911" i="1"/>
  <c r="E911" i="2" s="1"/>
  <c r="D911" i="1"/>
  <c r="V911" i="2"/>
  <c r="AW911" i="1" l="1"/>
  <c r="BT911" i="1"/>
  <c r="T911" i="2" s="1"/>
  <c r="U911" i="2"/>
  <c r="D912" i="1"/>
  <c r="B913" i="1"/>
  <c r="C912" i="1"/>
  <c r="E912" i="2" s="1"/>
  <c r="V912" i="2"/>
  <c r="AW912" i="1" l="1"/>
  <c r="BT912" i="1"/>
  <c r="T912" i="2" s="1"/>
  <c r="U912" i="2"/>
  <c r="D913" i="1"/>
  <c r="B914" i="1"/>
  <c r="C913" i="1"/>
  <c r="E913" i="2" s="1"/>
  <c r="V913" i="2"/>
  <c r="AW913" i="1" l="1"/>
  <c r="BT913" i="1"/>
  <c r="T913" i="2" s="1"/>
  <c r="U913" i="2"/>
  <c r="D914" i="1"/>
  <c r="B915" i="1"/>
  <c r="C914" i="1"/>
  <c r="E914" i="2" s="1"/>
  <c r="V914" i="2"/>
  <c r="AW914" i="1" l="1"/>
  <c r="BT914" i="1"/>
  <c r="T914" i="2" s="1"/>
  <c r="U914" i="2"/>
  <c r="B916" i="1"/>
  <c r="C915" i="1"/>
  <c r="E915" i="2" s="1"/>
  <c r="D915" i="1"/>
  <c r="V915" i="2"/>
  <c r="AW915" i="1" l="1"/>
  <c r="BT915" i="1"/>
  <c r="T915" i="2" s="1"/>
  <c r="U915" i="2"/>
  <c r="D916" i="1"/>
  <c r="B917" i="1"/>
  <c r="C916" i="1"/>
  <c r="E916" i="2" s="1"/>
  <c r="V916" i="2"/>
  <c r="AW916" i="1" l="1"/>
  <c r="BT916" i="1"/>
  <c r="T916" i="2" s="1"/>
  <c r="U916" i="2"/>
  <c r="D917" i="1"/>
  <c r="B918" i="1"/>
  <c r="C917" i="1"/>
  <c r="E917" i="2" s="1"/>
  <c r="V917" i="2"/>
  <c r="AW917" i="1" l="1"/>
  <c r="BT917" i="1"/>
  <c r="T917" i="2" s="1"/>
  <c r="U917" i="2"/>
  <c r="D918" i="1"/>
  <c r="B919" i="1"/>
  <c r="C918" i="1"/>
  <c r="E918" i="2" s="1"/>
  <c r="V918" i="2"/>
  <c r="AW918" i="1" l="1"/>
  <c r="BT918" i="1"/>
  <c r="T918" i="2" s="1"/>
  <c r="U918" i="2"/>
  <c r="B920" i="1"/>
  <c r="C919" i="1"/>
  <c r="E919" i="2" s="1"/>
  <c r="D919" i="1"/>
  <c r="V919" i="2"/>
  <c r="AW919" i="1" l="1"/>
  <c r="BT919" i="1"/>
  <c r="T919" i="2" s="1"/>
  <c r="U919" i="2"/>
  <c r="D920" i="1"/>
  <c r="B921" i="1"/>
  <c r="C920" i="1"/>
  <c r="E920" i="2" s="1"/>
  <c r="V920" i="2"/>
  <c r="AW920" i="1" l="1"/>
  <c r="BT920" i="1"/>
  <c r="T920" i="2" s="1"/>
  <c r="U920" i="2"/>
  <c r="D921" i="1"/>
  <c r="B922" i="1"/>
  <c r="C921" i="1"/>
  <c r="E921" i="2" s="1"/>
  <c r="V921" i="2"/>
  <c r="AW921" i="1" l="1"/>
  <c r="BT921" i="1"/>
  <c r="T921" i="2" s="1"/>
  <c r="U921" i="2"/>
  <c r="D922" i="1"/>
  <c r="B923" i="1"/>
  <c r="C922" i="1"/>
  <c r="E922" i="2" s="1"/>
  <c r="V922" i="2"/>
  <c r="AW922" i="1" l="1"/>
  <c r="BT922" i="1"/>
  <c r="T922" i="2" s="1"/>
  <c r="U922" i="2"/>
  <c r="B924" i="1"/>
  <c r="C923" i="1"/>
  <c r="E923" i="2" s="1"/>
  <c r="D923" i="1"/>
  <c r="V923" i="2"/>
  <c r="AW923" i="1" l="1"/>
  <c r="BT923" i="1"/>
  <c r="T923" i="2" s="1"/>
  <c r="U923" i="2"/>
  <c r="D924" i="1"/>
  <c r="B925" i="1"/>
  <c r="C924" i="1"/>
  <c r="E924" i="2" s="1"/>
  <c r="V924" i="2"/>
  <c r="AW924" i="1" l="1"/>
  <c r="BT924" i="1"/>
  <c r="T924" i="2" s="1"/>
  <c r="U924" i="2"/>
  <c r="D925" i="1"/>
  <c r="B926" i="1"/>
  <c r="C925" i="1"/>
  <c r="E925" i="2" s="1"/>
  <c r="V925" i="2"/>
  <c r="AW925" i="1" l="1"/>
  <c r="BT925" i="1"/>
  <c r="T925" i="2" s="1"/>
  <c r="U925" i="2"/>
  <c r="D926" i="1"/>
  <c r="B927" i="1"/>
  <c r="C926" i="1"/>
  <c r="E926" i="2" s="1"/>
  <c r="V926" i="2"/>
  <c r="AW926" i="1" l="1"/>
  <c r="BT926" i="1"/>
  <c r="T926" i="2" s="1"/>
  <c r="U926" i="2"/>
  <c r="B928" i="1"/>
  <c r="C927" i="1"/>
  <c r="E927" i="2" s="1"/>
  <c r="D927" i="1"/>
  <c r="V927" i="2"/>
  <c r="AW927" i="1" l="1"/>
  <c r="BT927" i="1"/>
  <c r="T927" i="2" s="1"/>
  <c r="U927" i="2"/>
  <c r="D928" i="1"/>
  <c r="B929" i="1"/>
  <c r="C928" i="1"/>
  <c r="E928" i="2" s="1"/>
  <c r="V928" i="2"/>
  <c r="AW928" i="1" l="1"/>
  <c r="BT928" i="1"/>
  <c r="T928" i="2" s="1"/>
  <c r="U928" i="2"/>
  <c r="D929" i="1"/>
  <c r="B930" i="1"/>
  <c r="C929" i="1"/>
  <c r="E929" i="2" s="1"/>
  <c r="V929" i="2"/>
  <c r="AW929" i="1" l="1"/>
  <c r="BT929" i="1"/>
  <c r="T929" i="2" s="1"/>
  <c r="U929" i="2"/>
  <c r="D930" i="1"/>
  <c r="B931" i="1"/>
  <c r="C930" i="1"/>
  <c r="E930" i="2" s="1"/>
  <c r="V930" i="2"/>
  <c r="AW930" i="1" l="1"/>
  <c r="BT930" i="1"/>
  <c r="T930" i="2" s="1"/>
  <c r="U930" i="2"/>
  <c r="B932" i="1"/>
  <c r="C931" i="1"/>
  <c r="E931" i="2" s="1"/>
  <c r="D931" i="1"/>
  <c r="V931" i="2"/>
  <c r="AW931" i="1" l="1"/>
  <c r="BT931" i="1"/>
  <c r="T931" i="2" s="1"/>
  <c r="U931" i="2"/>
  <c r="D932" i="1"/>
  <c r="B933" i="1"/>
  <c r="C932" i="1"/>
  <c r="E932" i="2" s="1"/>
  <c r="V932" i="2"/>
  <c r="AW932" i="1" l="1"/>
  <c r="BT932" i="1"/>
  <c r="T932" i="2" s="1"/>
  <c r="U932" i="2"/>
  <c r="D933" i="1"/>
  <c r="B934" i="1"/>
  <c r="C933" i="1"/>
  <c r="E933" i="2" s="1"/>
  <c r="V933" i="2"/>
  <c r="AW933" i="1" l="1"/>
  <c r="BT933" i="1"/>
  <c r="T933" i="2" s="1"/>
  <c r="U933" i="2"/>
  <c r="D934" i="1"/>
  <c r="B935" i="1"/>
  <c r="C934" i="1"/>
  <c r="E934" i="2" s="1"/>
  <c r="V934" i="2"/>
  <c r="AW934" i="1" l="1"/>
  <c r="BT934" i="1"/>
  <c r="T934" i="2" s="1"/>
  <c r="U934" i="2"/>
  <c r="B936" i="1"/>
  <c r="C935" i="1"/>
  <c r="E935" i="2" s="1"/>
  <c r="D935" i="1"/>
  <c r="V935" i="2"/>
  <c r="AW935" i="1" l="1"/>
  <c r="BT935" i="1"/>
  <c r="T935" i="2" s="1"/>
  <c r="U935" i="2"/>
  <c r="D936" i="1"/>
  <c r="B937" i="1"/>
  <c r="C936" i="1"/>
  <c r="E936" i="2" s="1"/>
  <c r="V936" i="2"/>
  <c r="AW936" i="1" l="1"/>
  <c r="BT936" i="1"/>
  <c r="T936" i="2" s="1"/>
  <c r="U936" i="2"/>
  <c r="D937" i="1"/>
  <c r="B938" i="1"/>
  <c r="C937" i="1"/>
  <c r="E937" i="2" s="1"/>
  <c r="V937" i="2"/>
  <c r="AW937" i="1" l="1"/>
  <c r="BT937" i="1"/>
  <c r="T937" i="2" s="1"/>
  <c r="U937" i="2"/>
  <c r="D938" i="1"/>
  <c r="B939" i="1"/>
  <c r="C938" i="1"/>
  <c r="E938" i="2" s="1"/>
  <c r="V938" i="2"/>
  <c r="AW938" i="1" l="1"/>
  <c r="BT938" i="1"/>
  <c r="T938" i="2" s="1"/>
  <c r="U938" i="2"/>
  <c r="B940" i="1"/>
  <c r="C939" i="1"/>
  <c r="E939" i="2" s="1"/>
  <c r="D939" i="1"/>
  <c r="V939" i="2"/>
  <c r="AW939" i="1" l="1"/>
  <c r="BT939" i="1"/>
  <c r="T939" i="2" s="1"/>
  <c r="U939" i="2"/>
  <c r="D940" i="1"/>
  <c r="B941" i="1"/>
  <c r="C940" i="1"/>
  <c r="E940" i="2" s="1"/>
  <c r="V940" i="2"/>
  <c r="AW940" i="1" l="1"/>
  <c r="BT940" i="1"/>
  <c r="T940" i="2" s="1"/>
  <c r="U940" i="2"/>
  <c r="D941" i="1"/>
  <c r="B942" i="1"/>
  <c r="C941" i="1"/>
  <c r="E941" i="2" s="1"/>
  <c r="V941" i="2"/>
  <c r="AW941" i="1" l="1"/>
  <c r="BT941" i="1"/>
  <c r="T941" i="2" s="1"/>
  <c r="U941" i="2"/>
  <c r="D942" i="1"/>
  <c r="B943" i="1"/>
  <c r="C942" i="1"/>
  <c r="E942" i="2" s="1"/>
  <c r="V942" i="2"/>
  <c r="AW942" i="1" l="1"/>
  <c r="BT942" i="1"/>
  <c r="T942" i="2" s="1"/>
  <c r="U942" i="2"/>
  <c r="B944" i="1"/>
  <c r="C943" i="1"/>
  <c r="E943" i="2" s="1"/>
  <c r="D943" i="1"/>
  <c r="V943" i="2"/>
  <c r="AW943" i="1" l="1"/>
  <c r="BT943" i="1"/>
  <c r="T943" i="2" s="1"/>
  <c r="U943" i="2"/>
  <c r="D944" i="1"/>
  <c r="B945" i="1"/>
  <c r="C944" i="1"/>
  <c r="E944" i="2" s="1"/>
  <c r="V944" i="2"/>
  <c r="AW944" i="1" l="1"/>
  <c r="BT944" i="1"/>
  <c r="T944" i="2" s="1"/>
  <c r="U944" i="2"/>
  <c r="D945" i="1"/>
  <c r="B946" i="1"/>
  <c r="C945" i="1"/>
  <c r="E945" i="2" s="1"/>
  <c r="V945" i="2"/>
  <c r="AW945" i="1" l="1"/>
  <c r="BT945" i="1"/>
  <c r="T945" i="2" s="1"/>
  <c r="U945" i="2"/>
  <c r="D946" i="1"/>
  <c r="B947" i="1"/>
  <c r="C946" i="1"/>
  <c r="E946" i="2" s="1"/>
  <c r="V946" i="2"/>
  <c r="AW946" i="1" l="1"/>
  <c r="BT946" i="1"/>
  <c r="T946" i="2" s="1"/>
  <c r="U946" i="2"/>
  <c r="B948" i="1"/>
  <c r="C947" i="1"/>
  <c r="E947" i="2" s="1"/>
  <c r="D947" i="1"/>
  <c r="V947" i="2"/>
  <c r="AW947" i="1" l="1"/>
  <c r="BT947" i="1"/>
  <c r="T947" i="2" s="1"/>
  <c r="U947" i="2"/>
  <c r="D948" i="1"/>
  <c r="B949" i="1"/>
  <c r="C948" i="1"/>
  <c r="E948" i="2" s="1"/>
  <c r="V948" i="2"/>
  <c r="AW948" i="1" l="1"/>
  <c r="BT948" i="1"/>
  <c r="T948" i="2" s="1"/>
  <c r="U948" i="2"/>
  <c r="D949" i="1"/>
  <c r="B950" i="1"/>
  <c r="C949" i="1"/>
  <c r="E949" i="2" s="1"/>
  <c r="V949" i="2"/>
  <c r="AW949" i="1" l="1"/>
  <c r="BT949" i="1"/>
  <c r="T949" i="2" s="1"/>
  <c r="U949" i="2"/>
  <c r="D950" i="1"/>
  <c r="B951" i="1"/>
  <c r="C950" i="1"/>
  <c r="E950" i="2" s="1"/>
  <c r="V950" i="2"/>
  <c r="AW950" i="1" l="1"/>
  <c r="BT950" i="1"/>
  <c r="T950" i="2" s="1"/>
  <c r="U950" i="2"/>
  <c r="B952" i="1"/>
  <c r="C951" i="1"/>
  <c r="E951" i="2" s="1"/>
  <c r="D951" i="1"/>
  <c r="V951" i="2"/>
  <c r="AW951" i="1" l="1"/>
  <c r="BT951" i="1"/>
  <c r="T951" i="2" s="1"/>
  <c r="U951" i="2"/>
  <c r="D952" i="1"/>
  <c r="B953" i="1"/>
  <c r="C952" i="1"/>
  <c r="E952" i="2" s="1"/>
  <c r="V952" i="2"/>
  <c r="AW952" i="1" l="1"/>
  <c r="BT952" i="1"/>
  <c r="T952" i="2" s="1"/>
  <c r="U952" i="2"/>
  <c r="D953" i="1"/>
  <c r="B954" i="1"/>
  <c r="C953" i="1"/>
  <c r="E953" i="2" s="1"/>
  <c r="V953" i="2"/>
  <c r="AW953" i="1" l="1"/>
  <c r="BT953" i="1"/>
  <c r="T953" i="2" s="1"/>
  <c r="U953" i="2"/>
  <c r="D954" i="1"/>
  <c r="B955" i="1"/>
  <c r="C954" i="1"/>
  <c r="E954" i="2" s="1"/>
  <c r="V954" i="2"/>
  <c r="AW954" i="1" l="1"/>
  <c r="BT954" i="1"/>
  <c r="T954" i="2" s="1"/>
  <c r="U954" i="2"/>
  <c r="B956" i="1"/>
  <c r="C955" i="1"/>
  <c r="E955" i="2" s="1"/>
  <c r="D955" i="1"/>
  <c r="V955" i="2"/>
  <c r="AW955" i="1" l="1"/>
  <c r="BT955" i="1"/>
  <c r="T955" i="2" s="1"/>
  <c r="U955" i="2"/>
  <c r="D956" i="1"/>
  <c r="B957" i="1"/>
  <c r="C956" i="1"/>
  <c r="E956" i="2" s="1"/>
  <c r="V956" i="2"/>
  <c r="AW956" i="1" l="1"/>
  <c r="BT956" i="1"/>
  <c r="T956" i="2" s="1"/>
  <c r="U956" i="2"/>
  <c r="D957" i="1"/>
  <c r="B958" i="1"/>
  <c r="C957" i="1"/>
  <c r="E957" i="2" s="1"/>
  <c r="V957" i="2"/>
  <c r="AW957" i="1" l="1"/>
  <c r="BT957" i="1"/>
  <c r="T957" i="2" s="1"/>
  <c r="U957" i="2"/>
  <c r="D958" i="1"/>
  <c r="B959" i="1"/>
  <c r="C958" i="1"/>
  <c r="E958" i="2" s="1"/>
  <c r="V958" i="2"/>
  <c r="AW958" i="1" l="1"/>
  <c r="BT958" i="1"/>
  <c r="T958" i="2" s="1"/>
  <c r="U958" i="2"/>
  <c r="B960" i="1"/>
  <c r="C959" i="1"/>
  <c r="E959" i="2" s="1"/>
  <c r="D959" i="1"/>
  <c r="V959" i="2"/>
  <c r="AW959" i="1" l="1"/>
  <c r="BT959" i="1"/>
  <c r="T959" i="2" s="1"/>
  <c r="U959" i="2"/>
  <c r="D960" i="1"/>
  <c r="B961" i="1"/>
  <c r="C960" i="1"/>
  <c r="E960" i="2" s="1"/>
  <c r="V960" i="2"/>
  <c r="AW960" i="1" l="1"/>
  <c r="BT960" i="1"/>
  <c r="T960" i="2" s="1"/>
  <c r="U960" i="2"/>
  <c r="D961" i="1"/>
  <c r="B962" i="1"/>
  <c r="C961" i="1"/>
  <c r="E961" i="2" s="1"/>
  <c r="V961" i="2"/>
  <c r="AW961" i="1" l="1"/>
  <c r="BT961" i="1"/>
  <c r="T961" i="2" s="1"/>
  <c r="U961" i="2"/>
  <c r="D962" i="1"/>
  <c r="B963" i="1"/>
  <c r="C962" i="1"/>
  <c r="E962" i="2" s="1"/>
  <c r="V962" i="2"/>
  <c r="AW962" i="1" l="1"/>
  <c r="BT962" i="1"/>
  <c r="T962" i="2" s="1"/>
  <c r="U962" i="2"/>
  <c r="B964" i="1"/>
  <c r="C963" i="1"/>
  <c r="E963" i="2" s="1"/>
  <c r="D963" i="1"/>
  <c r="V963" i="2"/>
  <c r="AW963" i="1" l="1"/>
  <c r="BT963" i="1"/>
  <c r="T963" i="2" s="1"/>
  <c r="U963" i="2"/>
  <c r="D964" i="1"/>
  <c r="B965" i="1"/>
  <c r="C964" i="1"/>
  <c r="E964" i="2" s="1"/>
  <c r="V964" i="2"/>
  <c r="AW964" i="1" l="1"/>
  <c r="BT964" i="1"/>
  <c r="T964" i="2" s="1"/>
  <c r="U964" i="2"/>
  <c r="D965" i="1"/>
  <c r="B966" i="1"/>
  <c r="C965" i="1"/>
  <c r="E965" i="2" s="1"/>
  <c r="V965" i="2"/>
  <c r="AW965" i="1" l="1"/>
  <c r="BT965" i="1"/>
  <c r="T965" i="2" s="1"/>
  <c r="U965" i="2"/>
  <c r="D966" i="1"/>
  <c r="B967" i="1"/>
  <c r="C966" i="1"/>
  <c r="E966" i="2" s="1"/>
  <c r="V966" i="2"/>
  <c r="AW966" i="1" l="1"/>
  <c r="BT966" i="1"/>
  <c r="T966" i="2" s="1"/>
  <c r="U966" i="2"/>
  <c r="B968" i="1"/>
  <c r="C967" i="1"/>
  <c r="E967" i="2" s="1"/>
  <c r="D967" i="1"/>
  <c r="V967" i="2"/>
  <c r="AW967" i="1" l="1"/>
  <c r="BT967" i="1"/>
  <c r="T967" i="2" s="1"/>
  <c r="U967" i="2"/>
  <c r="D968" i="1"/>
  <c r="B969" i="1"/>
  <c r="C968" i="1"/>
  <c r="E968" i="2" s="1"/>
  <c r="V968" i="2"/>
  <c r="AW968" i="1" l="1"/>
  <c r="BT968" i="1"/>
  <c r="T968" i="2" s="1"/>
  <c r="U968" i="2"/>
  <c r="D969" i="1"/>
  <c r="B970" i="1"/>
  <c r="C969" i="1"/>
  <c r="E969" i="2" s="1"/>
  <c r="V969" i="2"/>
  <c r="AW969" i="1" l="1"/>
  <c r="BT969" i="1"/>
  <c r="T969" i="2" s="1"/>
  <c r="U969" i="2"/>
  <c r="D970" i="1"/>
  <c r="B971" i="1"/>
  <c r="C970" i="1"/>
  <c r="E970" i="2" s="1"/>
  <c r="V970" i="2"/>
  <c r="AW970" i="1" l="1"/>
  <c r="BT970" i="1"/>
  <c r="T970" i="2" s="1"/>
  <c r="U970" i="2"/>
  <c r="B972" i="1"/>
  <c r="C971" i="1"/>
  <c r="E971" i="2" s="1"/>
  <c r="D971" i="1"/>
  <c r="V971" i="2"/>
  <c r="AW971" i="1" l="1"/>
  <c r="BT971" i="1"/>
  <c r="T971" i="2" s="1"/>
  <c r="U971" i="2"/>
  <c r="D972" i="1"/>
  <c r="B973" i="1"/>
  <c r="C972" i="1"/>
  <c r="E972" i="2" s="1"/>
  <c r="V972" i="2"/>
  <c r="AW972" i="1" l="1"/>
  <c r="BT972" i="1"/>
  <c r="T972" i="2" s="1"/>
  <c r="U972" i="2"/>
  <c r="D973" i="1"/>
  <c r="B974" i="1"/>
  <c r="C973" i="1"/>
  <c r="E973" i="2" s="1"/>
  <c r="V973" i="2"/>
  <c r="AW973" i="1" l="1"/>
  <c r="BT973" i="1"/>
  <c r="T973" i="2" s="1"/>
  <c r="U973" i="2"/>
  <c r="D974" i="1"/>
  <c r="B975" i="1"/>
  <c r="C974" i="1"/>
  <c r="E974" i="2" s="1"/>
  <c r="V974" i="2"/>
  <c r="AW974" i="1" l="1"/>
  <c r="BT974" i="1"/>
  <c r="T974" i="2" s="1"/>
  <c r="U974" i="2"/>
  <c r="B976" i="1"/>
  <c r="C975" i="1"/>
  <c r="E975" i="2" s="1"/>
  <c r="D975" i="1"/>
  <c r="V975" i="2"/>
  <c r="AW975" i="1" l="1"/>
  <c r="BT975" i="1"/>
  <c r="T975" i="2" s="1"/>
  <c r="U975" i="2"/>
  <c r="D976" i="1"/>
  <c r="B977" i="1"/>
  <c r="C976" i="1"/>
  <c r="E976" i="2" s="1"/>
  <c r="V976" i="2"/>
  <c r="AW976" i="1" l="1"/>
  <c r="BT976" i="1"/>
  <c r="T976" i="2" s="1"/>
  <c r="U976" i="2"/>
  <c r="D977" i="1"/>
  <c r="B978" i="1"/>
  <c r="C977" i="1"/>
  <c r="E977" i="2" s="1"/>
  <c r="V977" i="2"/>
  <c r="AW977" i="1" l="1"/>
  <c r="BT977" i="1"/>
  <c r="T977" i="2" s="1"/>
  <c r="U977" i="2"/>
  <c r="D978" i="1"/>
  <c r="B979" i="1"/>
  <c r="C978" i="1"/>
  <c r="E978" i="2" s="1"/>
  <c r="V978" i="2"/>
  <c r="AW978" i="1" l="1"/>
  <c r="BT978" i="1"/>
  <c r="T978" i="2" s="1"/>
  <c r="U978" i="2"/>
  <c r="B980" i="1"/>
  <c r="C979" i="1"/>
  <c r="E979" i="2" s="1"/>
  <c r="D979" i="1"/>
  <c r="V979" i="2"/>
  <c r="AW979" i="1" l="1"/>
  <c r="BT979" i="1"/>
  <c r="T979" i="2" s="1"/>
  <c r="U979" i="2"/>
  <c r="D980" i="1"/>
  <c r="B981" i="1"/>
  <c r="C980" i="1"/>
  <c r="E980" i="2" s="1"/>
  <c r="V980" i="2"/>
  <c r="AW980" i="1" l="1"/>
  <c r="BT980" i="1"/>
  <c r="T980" i="2" s="1"/>
  <c r="U980" i="2"/>
  <c r="D981" i="1"/>
  <c r="C981" i="1"/>
  <c r="E981" i="2" s="1"/>
  <c r="B982" i="1"/>
  <c r="V981" i="2"/>
  <c r="AW981" i="1" l="1"/>
  <c r="BT981" i="1"/>
  <c r="T981" i="2" s="1"/>
  <c r="U981" i="2"/>
  <c r="D982" i="1"/>
  <c r="B983" i="1"/>
  <c r="C982" i="1"/>
  <c r="E982" i="2" s="1"/>
  <c r="V982" i="2"/>
  <c r="AW982" i="1" l="1"/>
  <c r="BT982" i="1"/>
  <c r="T982" i="2" s="1"/>
  <c r="U982" i="2"/>
  <c r="B984" i="1"/>
  <c r="C983" i="1"/>
  <c r="E983" i="2" s="1"/>
  <c r="D983" i="1"/>
  <c r="V983" i="2"/>
  <c r="AW983" i="1" l="1"/>
  <c r="BT983" i="1"/>
  <c r="T983" i="2" s="1"/>
  <c r="U983" i="2"/>
  <c r="D984" i="1"/>
  <c r="C984" i="1"/>
  <c r="E984" i="2" s="1"/>
  <c r="B985" i="1"/>
  <c r="V984" i="2"/>
  <c r="AW984" i="1" l="1"/>
  <c r="BT984" i="1"/>
  <c r="T984" i="2" s="1"/>
  <c r="U984" i="2"/>
  <c r="D985" i="1"/>
  <c r="C985" i="1"/>
  <c r="E985" i="2" s="1"/>
  <c r="B986" i="1"/>
  <c r="V985" i="2"/>
  <c r="AW985" i="1" l="1"/>
  <c r="BT985" i="1"/>
  <c r="T985" i="2" s="1"/>
  <c r="U985" i="2"/>
  <c r="D986" i="1"/>
  <c r="B987" i="1"/>
  <c r="C986" i="1"/>
  <c r="E986" i="2" s="1"/>
  <c r="V986" i="2"/>
  <c r="AW986" i="1" l="1"/>
  <c r="BT986" i="1"/>
  <c r="T986" i="2" s="1"/>
  <c r="U986" i="2"/>
  <c r="B988" i="1"/>
  <c r="C987" i="1"/>
  <c r="E987" i="2" s="1"/>
  <c r="D987" i="1"/>
  <c r="V987" i="2"/>
  <c r="AW987" i="1" l="1"/>
  <c r="BT987" i="1"/>
  <c r="T987" i="2" s="1"/>
  <c r="U987" i="2"/>
  <c r="D988" i="1"/>
  <c r="C988" i="1"/>
  <c r="E988" i="2" s="1"/>
  <c r="B989" i="1"/>
  <c r="V988" i="2"/>
  <c r="AW988" i="1" l="1"/>
  <c r="BT988" i="1"/>
  <c r="T988" i="2" s="1"/>
  <c r="U988" i="2"/>
  <c r="D989" i="1"/>
  <c r="C989" i="1"/>
  <c r="E989" i="2" s="1"/>
  <c r="B990" i="1"/>
  <c r="V989" i="2"/>
  <c r="AW989" i="1" l="1"/>
  <c r="BT989" i="1"/>
  <c r="T989" i="2" s="1"/>
  <c r="U989" i="2"/>
  <c r="D990" i="1"/>
  <c r="B991" i="1"/>
  <c r="C990" i="1"/>
  <c r="E990" i="2" s="1"/>
  <c r="V990" i="2"/>
  <c r="AW990" i="1" l="1"/>
  <c r="BT990" i="1"/>
  <c r="T990" i="2" s="1"/>
  <c r="U990" i="2"/>
  <c r="B992" i="1"/>
  <c r="C991" i="1"/>
  <c r="E991" i="2" s="1"/>
  <c r="D991" i="1"/>
  <c r="V991" i="2"/>
  <c r="AW991" i="1" l="1"/>
  <c r="BT991" i="1"/>
  <c r="T991" i="2" s="1"/>
  <c r="U991" i="2"/>
  <c r="D992" i="1"/>
  <c r="C992" i="1"/>
  <c r="E992" i="2" s="1"/>
  <c r="B993" i="1"/>
  <c r="V992" i="2"/>
  <c r="AW992" i="1" l="1"/>
  <c r="BT992" i="1"/>
  <c r="T992" i="2" s="1"/>
  <c r="U992" i="2"/>
  <c r="D993" i="1"/>
  <c r="C993" i="1"/>
  <c r="E993" i="2" s="1"/>
  <c r="B994" i="1"/>
  <c r="V993" i="2"/>
  <c r="AW993" i="1" l="1"/>
  <c r="BT993" i="1"/>
  <c r="T993" i="2" s="1"/>
  <c r="U993" i="2"/>
  <c r="D994" i="1"/>
  <c r="B995" i="1"/>
  <c r="C994" i="1"/>
  <c r="E994" i="2" s="1"/>
  <c r="V994" i="2"/>
  <c r="AW994" i="1" l="1"/>
  <c r="BT994" i="1"/>
  <c r="T994" i="2" s="1"/>
  <c r="U994" i="2"/>
  <c r="B996" i="1"/>
  <c r="C995" i="1"/>
  <c r="E995" i="2" s="1"/>
  <c r="D995" i="1"/>
  <c r="V995" i="2"/>
  <c r="AW995" i="1" l="1"/>
  <c r="BT995" i="1"/>
  <c r="T995" i="2" s="1"/>
  <c r="U995" i="2"/>
  <c r="D996" i="1"/>
  <c r="C996" i="1"/>
  <c r="E996" i="2" s="1"/>
  <c r="B997" i="1"/>
  <c r="V996" i="2"/>
  <c r="AW996" i="1" l="1"/>
  <c r="BT996" i="1"/>
  <c r="T996" i="2" s="1"/>
  <c r="U996" i="2"/>
  <c r="D997" i="1"/>
  <c r="C997" i="1"/>
  <c r="E997" i="2" s="1"/>
  <c r="B998" i="1"/>
  <c r="V997" i="2"/>
  <c r="AW997" i="1" l="1"/>
  <c r="BT997" i="1"/>
  <c r="T997" i="2" s="1"/>
  <c r="U997" i="2"/>
  <c r="D998" i="1"/>
  <c r="B999" i="1"/>
  <c r="C998" i="1"/>
  <c r="E998" i="2" s="1"/>
  <c r="V998" i="2"/>
  <c r="AW998" i="1" l="1"/>
  <c r="BT998" i="1"/>
  <c r="T998" i="2" s="1"/>
  <c r="U998" i="2"/>
  <c r="B1000" i="1"/>
  <c r="C999" i="1"/>
  <c r="E999" i="2" s="1"/>
  <c r="D999" i="1"/>
  <c r="V999" i="2"/>
  <c r="AW999" i="1" l="1"/>
  <c r="BT999" i="1"/>
  <c r="T999" i="2" s="1"/>
  <c r="U999" i="2"/>
  <c r="D1000" i="1"/>
  <c r="C1000" i="1"/>
  <c r="E1000" i="2" s="1"/>
  <c r="B1001" i="1"/>
  <c r="V1000" i="2"/>
  <c r="AW1000" i="1" l="1"/>
  <c r="BT1000" i="1"/>
  <c r="T1000" i="2" s="1"/>
  <c r="U1000" i="2"/>
  <c r="D1001" i="1"/>
  <c r="B1002" i="1"/>
  <c r="C1001" i="1"/>
  <c r="E1001" i="2" s="1"/>
  <c r="V1001" i="2"/>
  <c r="AW1001" i="1" l="1"/>
  <c r="BT1001" i="1"/>
  <c r="T1001" i="2" s="1"/>
  <c r="U1001" i="2"/>
  <c r="D1002" i="1"/>
  <c r="B1003" i="1"/>
  <c r="C1002" i="1"/>
  <c r="E1002" i="2" s="1"/>
  <c r="V1002" i="2"/>
  <c r="AW1002" i="1" l="1"/>
  <c r="BT1002" i="1"/>
  <c r="T1002" i="2" s="1"/>
  <c r="U1002" i="2"/>
  <c r="B1004" i="1"/>
  <c r="C1003" i="1"/>
  <c r="E1003" i="2" s="1"/>
  <c r="D1003" i="1"/>
  <c r="V1003" i="2"/>
  <c r="AW1003" i="1" l="1"/>
  <c r="BT1003" i="1"/>
  <c r="T1003" i="2" s="1"/>
  <c r="U1003" i="2"/>
  <c r="D1004" i="1"/>
  <c r="C1004" i="1"/>
  <c r="E1004" i="2" s="1"/>
  <c r="B1005" i="1"/>
  <c r="V1004" i="2"/>
  <c r="AW1004" i="1" l="1"/>
  <c r="BT1004" i="1"/>
  <c r="T1004" i="2" s="1"/>
  <c r="U1004" i="2"/>
  <c r="D1005" i="1"/>
  <c r="B1006" i="1"/>
  <c r="C1005" i="1"/>
  <c r="E1005" i="2" s="1"/>
  <c r="V1005" i="2"/>
  <c r="AW1005" i="1" l="1"/>
  <c r="BT1005" i="1"/>
  <c r="T1005" i="2" s="1"/>
  <c r="U1005" i="2"/>
  <c r="D1006" i="1"/>
  <c r="B1007" i="1"/>
  <c r="C1006" i="1"/>
  <c r="E1006" i="2" s="1"/>
  <c r="V1006" i="2"/>
  <c r="AW1006" i="1" l="1"/>
  <c r="BT1006" i="1"/>
  <c r="T1006" i="2" s="1"/>
  <c r="U1006" i="2"/>
  <c r="B1008" i="1"/>
  <c r="C1007" i="1"/>
  <c r="E1007" i="2" s="1"/>
  <c r="D1007" i="1"/>
  <c r="V1007" i="2"/>
  <c r="AW1007" i="1" l="1"/>
  <c r="BT1007" i="1"/>
  <c r="T1007" i="2" s="1"/>
  <c r="U1007" i="2"/>
  <c r="D1008" i="1"/>
  <c r="C1008" i="1"/>
  <c r="E1008" i="2" s="1"/>
  <c r="B1009" i="1"/>
  <c r="V1008" i="2"/>
  <c r="AW1008" i="1" l="1"/>
  <c r="BT1008" i="1"/>
  <c r="T1008" i="2" s="1"/>
  <c r="U1008" i="2"/>
  <c r="D1009" i="1"/>
  <c r="B1010" i="1"/>
  <c r="C1009" i="1"/>
  <c r="E1009" i="2" s="1"/>
  <c r="V1009" i="2"/>
  <c r="AW1009" i="1" l="1"/>
  <c r="BT1009" i="1"/>
  <c r="T1009" i="2" s="1"/>
  <c r="U1009" i="2"/>
  <c r="D1010" i="1"/>
  <c r="B1011" i="1"/>
  <c r="C1010" i="1"/>
  <c r="E1010" i="2" s="1"/>
  <c r="V1010" i="2"/>
  <c r="AW1010" i="1" l="1"/>
  <c r="BT1010" i="1"/>
  <c r="T1010" i="2" s="1"/>
  <c r="U1010" i="2"/>
  <c r="B1012" i="1"/>
  <c r="C1011" i="1"/>
  <c r="E1011" i="2" s="1"/>
  <c r="D1011" i="1"/>
  <c r="V1011" i="2"/>
  <c r="AW1011" i="1" l="1"/>
  <c r="BT1011" i="1"/>
  <c r="T1011" i="2" s="1"/>
  <c r="U1011" i="2"/>
  <c r="D1012" i="1"/>
  <c r="C1012" i="1"/>
  <c r="E1012" i="2" s="1"/>
  <c r="B1013" i="1"/>
  <c r="V1012" i="2"/>
  <c r="AW1012" i="1" l="1"/>
  <c r="BT1012" i="1"/>
  <c r="T1012" i="2" s="1"/>
  <c r="U1012" i="2"/>
  <c r="D1013" i="1"/>
  <c r="B1014" i="1"/>
  <c r="C1013" i="1"/>
  <c r="E1013" i="2" s="1"/>
  <c r="V1013" i="2"/>
  <c r="AW1013" i="1" l="1"/>
  <c r="BT1013" i="1"/>
  <c r="T1013" i="2" s="1"/>
  <c r="U1013" i="2"/>
  <c r="D1014" i="1"/>
  <c r="B1015" i="1"/>
  <c r="C1014" i="1"/>
  <c r="E1014" i="2" s="1"/>
  <c r="V1014" i="2"/>
  <c r="AW1014" i="1" l="1"/>
  <c r="BT1014" i="1"/>
  <c r="T1014" i="2" s="1"/>
  <c r="U1014" i="2"/>
  <c r="B1016" i="1"/>
  <c r="C1015" i="1"/>
  <c r="E1015" i="2" s="1"/>
  <c r="D1015" i="1"/>
  <c r="V1015" i="2"/>
  <c r="AW1015" i="1" l="1"/>
  <c r="BT1015" i="1"/>
  <c r="T1015" i="2" s="1"/>
  <c r="U1015" i="2"/>
  <c r="D1016" i="1"/>
  <c r="C1016" i="1"/>
  <c r="E1016" i="2" s="1"/>
  <c r="B1017" i="1"/>
  <c r="V1016" i="2"/>
  <c r="AW1016" i="1" l="1"/>
  <c r="BT1016" i="1"/>
  <c r="T1016" i="2" s="1"/>
  <c r="U1016" i="2"/>
  <c r="D1017" i="1"/>
  <c r="B1018" i="1"/>
  <c r="C1017" i="1"/>
  <c r="E1017" i="2" s="1"/>
  <c r="V1017" i="2"/>
  <c r="AW1017" i="1" l="1"/>
  <c r="BT1017" i="1"/>
  <c r="T1017" i="2" s="1"/>
  <c r="U1017" i="2"/>
  <c r="D1018" i="1"/>
  <c r="B1019" i="1"/>
  <c r="C1018" i="1"/>
  <c r="E1018" i="2" s="1"/>
  <c r="V1018" i="2"/>
  <c r="AW1018" i="1" l="1"/>
  <c r="BT1018" i="1"/>
  <c r="T1018" i="2" s="1"/>
  <c r="U1018" i="2"/>
  <c r="B1020" i="1"/>
  <c r="C1019" i="1"/>
  <c r="E1019" i="2" s="1"/>
  <c r="D1019" i="1"/>
  <c r="V1019" i="2"/>
  <c r="AW1019" i="1" l="1"/>
  <c r="BT1019" i="1"/>
  <c r="T1019" i="2" s="1"/>
  <c r="U1019" i="2"/>
  <c r="D1020" i="1"/>
  <c r="C1020" i="1"/>
  <c r="E1020" i="2" s="1"/>
  <c r="B1021" i="1"/>
  <c r="V1020" i="2"/>
  <c r="AW1020" i="1" l="1"/>
  <c r="BT1020" i="1"/>
  <c r="T1020" i="2" s="1"/>
  <c r="U1020" i="2"/>
  <c r="D1021" i="1"/>
  <c r="B1022" i="1"/>
  <c r="C1021" i="1"/>
  <c r="E1021" i="2" s="1"/>
  <c r="V1021" i="2"/>
  <c r="AW1021" i="1" l="1"/>
  <c r="BT1021" i="1"/>
  <c r="T1021" i="2" s="1"/>
  <c r="U1021" i="2"/>
  <c r="D1022" i="1"/>
  <c r="B1023" i="1"/>
  <c r="C1022" i="1"/>
  <c r="E1022" i="2" s="1"/>
  <c r="V1022" i="2"/>
  <c r="AW1022" i="1" l="1"/>
  <c r="BT1022" i="1"/>
  <c r="T1022" i="2" s="1"/>
  <c r="U1022" i="2"/>
  <c r="B1024" i="1"/>
  <c r="C1023" i="1"/>
  <c r="E1023" i="2" s="1"/>
  <c r="D1023" i="1"/>
  <c r="V1023" i="2"/>
  <c r="AW1023" i="1" l="1"/>
  <c r="BT1023" i="1"/>
  <c r="T1023" i="2" s="1"/>
  <c r="U1023" i="2"/>
  <c r="D1024" i="1"/>
  <c r="C1024" i="1"/>
  <c r="E1024" i="2" s="1"/>
  <c r="B1025" i="1"/>
  <c r="V1024" i="2"/>
  <c r="AW1024" i="1" l="1"/>
  <c r="BT1024" i="1"/>
  <c r="T1024" i="2" s="1"/>
  <c r="U1024" i="2"/>
  <c r="D1025" i="1"/>
  <c r="B1026" i="1"/>
  <c r="C1025" i="1"/>
  <c r="E1025" i="2" s="1"/>
  <c r="V1025" i="2"/>
  <c r="AW1025" i="1" l="1"/>
  <c r="BT1025" i="1"/>
  <c r="T1025" i="2" s="1"/>
  <c r="U1025" i="2"/>
  <c r="D1026" i="1"/>
  <c r="B1027" i="1"/>
  <c r="C1026" i="1"/>
  <c r="E1026" i="2" s="1"/>
  <c r="V1026" i="2"/>
  <c r="AW1026" i="1" l="1"/>
  <c r="BT1026" i="1"/>
  <c r="T1026" i="2" s="1"/>
  <c r="U1026" i="2"/>
  <c r="B1028" i="1"/>
  <c r="C1027" i="1"/>
  <c r="E1027" i="2" s="1"/>
  <c r="D1027" i="1"/>
  <c r="V1027" i="2"/>
  <c r="AW1027" i="1" l="1"/>
  <c r="BT1027" i="1"/>
  <c r="T1027" i="2" s="1"/>
  <c r="U1027" i="2"/>
  <c r="D1028" i="1"/>
  <c r="C1028" i="1"/>
  <c r="E1028" i="2" s="1"/>
  <c r="B1029" i="1"/>
  <c r="V1028" i="2"/>
  <c r="AW1028" i="1" l="1"/>
  <c r="BT1028" i="1"/>
  <c r="T1028" i="2" s="1"/>
  <c r="U1028" i="2"/>
  <c r="D1029" i="1"/>
  <c r="B1030" i="1"/>
  <c r="C1029" i="1"/>
  <c r="E1029" i="2" s="1"/>
  <c r="V1029" i="2"/>
  <c r="AW1029" i="1" l="1"/>
  <c r="BT1029" i="1"/>
  <c r="T1029" i="2" s="1"/>
  <c r="U1029" i="2"/>
  <c r="D1030" i="1"/>
  <c r="B1031" i="1"/>
  <c r="C1030" i="1"/>
  <c r="E1030" i="2" s="1"/>
  <c r="V1030" i="2"/>
  <c r="AW1030" i="1" l="1"/>
  <c r="BT1030" i="1"/>
  <c r="T1030" i="2" s="1"/>
  <c r="U1030" i="2"/>
  <c r="B1032" i="1"/>
  <c r="C1031" i="1"/>
  <c r="E1031" i="2" s="1"/>
  <c r="D1031" i="1"/>
  <c r="V1031" i="2"/>
  <c r="AW1031" i="1" l="1"/>
  <c r="BT1031" i="1"/>
  <c r="T1031" i="2" s="1"/>
  <c r="U1031" i="2"/>
  <c r="D1032" i="1"/>
  <c r="C1032" i="1"/>
  <c r="E1032" i="2" s="1"/>
  <c r="B1033" i="1"/>
  <c r="V1032" i="2"/>
  <c r="AW1032" i="1" l="1"/>
  <c r="BT1032" i="1"/>
  <c r="T1032" i="2" s="1"/>
  <c r="U1032" i="2"/>
  <c r="D1033" i="1"/>
  <c r="B1034" i="1"/>
  <c r="C1033" i="1"/>
  <c r="E1033" i="2" s="1"/>
  <c r="V1033" i="2"/>
  <c r="AW1033" i="1" l="1"/>
  <c r="BT1033" i="1"/>
  <c r="T1033" i="2" s="1"/>
  <c r="U1033" i="2"/>
  <c r="D1034" i="1"/>
  <c r="B1035" i="1"/>
  <c r="C1034" i="1"/>
  <c r="E1034" i="2" s="1"/>
  <c r="V1034" i="2"/>
  <c r="AW1034" i="1" l="1"/>
  <c r="BT1034" i="1"/>
  <c r="T1034" i="2" s="1"/>
  <c r="U1034" i="2"/>
  <c r="B1036" i="1"/>
  <c r="C1035" i="1"/>
  <c r="E1035" i="2" s="1"/>
  <c r="D1035" i="1"/>
  <c r="V1035" i="2"/>
  <c r="AW1035" i="1" l="1"/>
  <c r="BT1035" i="1"/>
  <c r="T1035" i="2" s="1"/>
  <c r="U1035" i="2"/>
  <c r="D1036" i="1"/>
  <c r="C1036" i="1"/>
  <c r="E1036" i="2" s="1"/>
  <c r="B1037" i="1"/>
  <c r="V1036" i="2"/>
  <c r="AW1036" i="1" l="1"/>
  <c r="BT1036" i="1"/>
  <c r="T1036" i="2" s="1"/>
  <c r="U1036" i="2"/>
  <c r="D1037" i="1"/>
  <c r="B1038" i="1"/>
  <c r="C1037" i="1"/>
  <c r="E1037" i="2" s="1"/>
  <c r="V1037" i="2"/>
  <c r="AW1037" i="1" l="1"/>
  <c r="BT1037" i="1"/>
  <c r="T1037" i="2" s="1"/>
  <c r="U1037" i="2"/>
  <c r="D1038" i="1"/>
  <c r="B1039" i="1"/>
  <c r="C1038" i="1"/>
  <c r="E1038" i="2" s="1"/>
  <c r="V1038" i="2"/>
  <c r="AW1038" i="1" l="1"/>
  <c r="BT1038" i="1"/>
  <c r="T1038" i="2" s="1"/>
  <c r="U1038" i="2"/>
  <c r="B1040" i="1"/>
  <c r="C1039" i="1"/>
  <c r="E1039" i="2" s="1"/>
  <c r="D1039" i="1"/>
  <c r="V1039" i="2"/>
  <c r="AW1039" i="1" l="1"/>
  <c r="BT1039" i="1"/>
  <c r="T1039" i="2" s="1"/>
  <c r="U1039" i="2"/>
  <c r="D1040" i="1"/>
  <c r="C1040" i="1"/>
  <c r="E1040" i="2" s="1"/>
  <c r="B1041" i="1"/>
  <c r="V1040" i="2"/>
  <c r="AW1040" i="1" l="1"/>
  <c r="BT1040" i="1"/>
  <c r="T1040" i="2" s="1"/>
  <c r="U1040" i="2"/>
  <c r="D1041" i="1"/>
  <c r="B1042" i="1"/>
  <c r="C1041" i="1"/>
  <c r="E1041" i="2" s="1"/>
  <c r="V1041" i="2"/>
  <c r="AW1041" i="1" l="1"/>
  <c r="BT1041" i="1"/>
  <c r="T1041" i="2" s="1"/>
  <c r="U1041" i="2"/>
  <c r="D1042" i="1"/>
  <c r="B1043" i="1"/>
  <c r="C1042" i="1"/>
  <c r="E1042" i="2" s="1"/>
  <c r="V1042" i="2"/>
  <c r="AW1042" i="1" l="1"/>
  <c r="BT1042" i="1"/>
  <c r="T1042" i="2" s="1"/>
  <c r="U1042" i="2"/>
  <c r="B1044" i="1"/>
  <c r="C1043" i="1"/>
  <c r="E1043" i="2" s="1"/>
  <c r="D1043" i="1"/>
  <c r="V1043" i="2"/>
  <c r="AW1043" i="1" l="1"/>
  <c r="BT1043" i="1"/>
  <c r="T1043" i="2" s="1"/>
  <c r="U1043" i="2"/>
  <c r="D1044" i="1"/>
  <c r="B1045" i="1"/>
  <c r="C1044" i="1"/>
  <c r="E1044" i="2" s="1"/>
  <c r="V1044" i="2"/>
  <c r="AW1044" i="1" l="1"/>
  <c r="BT1044" i="1"/>
  <c r="T1044" i="2" s="1"/>
  <c r="U1044" i="2"/>
  <c r="B1046" i="1"/>
  <c r="C1045" i="1"/>
  <c r="E1045" i="2" s="1"/>
  <c r="D1045" i="1"/>
  <c r="V1045" i="2"/>
  <c r="AW1045" i="1" l="1"/>
  <c r="BT1045" i="1"/>
  <c r="T1045" i="2" s="1"/>
  <c r="U1045" i="2"/>
  <c r="D1046" i="1"/>
  <c r="B1047" i="1"/>
  <c r="C1046" i="1"/>
  <c r="E1046" i="2" s="1"/>
  <c r="V1046" i="2"/>
  <c r="AW1046" i="1" l="1"/>
  <c r="BT1046" i="1"/>
  <c r="T1046" i="2" s="1"/>
  <c r="U1046" i="2"/>
  <c r="B1048" i="1"/>
  <c r="C1047" i="1"/>
  <c r="E1047" i="2" s="1"/>
  <c r="D1047" i="1"/>
  <c r="V1047" i="2"/>
  <c r="AW1047" i="1" l="1"/>
  <c r="BT1047" i="1"/>
  <c r="T1047" i="2" s="1"/>
  <c r="U1047" i="2"/>
  <c r="D1048" i="1"/>
  <c r="B1049" i="1"/>
  <c r="C1048" i="1"/>
  <c r="E1048" i="2" s="1"/>
  <c r="V1048" i="2"/>
  <c r="AW1048" i="1" l="1"/>
  <c r="BT1048" i="1"/>
  <c r="T1048" i="2" s="1"/>
  <c r="U1048" i="2"/>
  <c r="B1050" i="1"/>
  <c r="C1049" i="1"/>
  <c r="E1049" i="2" s="1"/>
  <c r="D1049" i="1"/>
  <c r="V1049" i="2"/>
  <c r="AW1049" i="1" l="1"/>
  <c r="BT1049" i="1"/>
  <c r="T1049" i="2" s="1"/>
  <c r="U1049" i="2"/>
  <c r="D1050" i="1"/>
  <c r="B1051" i="1"/>
  <c r="C1050" i="1"/>
  <c r="E1050" i="2" s="1"/>
  <c r="V1050" i="2"/>
  <c r="AW1050" i="1" l="1"/>
  <c r="BT1050" i="1"/>
  <c r="T1050" i="2" s="1"/>
  <c r="U1050" i="2"/>
  <c r="B1052" i="1"/>
  <c r="C1051" i="1"/>
  <c r="E1051" i="2" s="1"/>
  <c r="D1051" i="1"/>
  <c r="V1051" i="2"/>
  <c r="AW1051" i="1" l="1"/>
  <c r="BT1051" i="1"/>
  <c r="T1051" i="2" s="1"/>
  <c r="U1051" i="2"/>
  <c r="D1052" i="1"/>
  <c r="B1053" i="1"/>
  <c r="C1052" i="1"/>
  <c r="E1052" i="2" s="1"/>
  <c r="V1052" i="2"/>
  <c r="AW1052" i="1" l="1"/>
  <c r="BT1052" i="1"/>
  <c r="T1052" i="2" s="1"/>
  <c r="U1052" i="2"/>
  <c r="B1054" i="1"/>
  <c r="C1053" i="1"/>
  <c r="E1053" i="2" s="1"/>
  <c r="D1053" i="1"/>
  <c r="V1053" i="2"/>
  <c r="AW1053" i="1" l="1"/>
  <c r="BT1053" i="1"/>
  <c r="T1053" i="2" s="1"/>
  <c r="U1053" i="2"/>
  <c r="D1054" i="1"/>
  <c r="B1055" i="1"/>
  <c r="C1054" i="1"/>
  <c r="E1054" i="2" s="1"/>
  <c r="V1054" i="2"/>
  <c r="AW1054" i="1" l="1"/>
  <c r="BT1054" i="1"/>
  <c r="T1054" i="2" s="1"/>
  <c r="U1054" i="2"/>
  <c r="B1056" i="1"/>
  <c r="C1055" i="1"/>
  <c r="E1055" i="2" s="1"/>
  <c r="D1055" i="1"/>
  <c r="V1055" i="2"/>
  <c r="AW1055" i="1" l="1"/>
  <c r="BT1055" i="1"/>
  <c r="T1055" i="2" s="1"/>
  <c r="U1055" i="2"/>
  <c r="D1056" i="1"/>
  <c r="B1057" i="1"/>
  <c r="C1056" i="1"/>
  <c r="E1056" i="2" s="1"/>
  <c r="V1056" i="2"/>
  <c r="AW1056" i="1" l="1"/>
  <c r="BT1056" i="1"/>
  <c r="T1056" i="2" s="1"/>
  <c r="U1056" i="2"/>
  <c r="B1058" i="1"/>
  <c r="C1057" i="1"/>
  <c r="E1057" i="2" s="1"/>
  <c r="D1057" i="1"/>
  <c r="V1057" i="2"/>
  <c r="AW1057" i="1" l="1"/>
  <c r="BT1057" i="1"/>
  <c r="T1057" i="2" s="1"/>
  <c r="U1057" i="2"/>
  <c r="D1058" i="1"/>
  <c r="B1059" i="1"/>
  <c r="C1058" i="1"/>
  <c r="E1058" i="2" s="1"/>
  <c r="V1058" i="2"/>
  <c r="AW1058" i="1" l="1"/>
  <c r="BT1058" i="1"/>
  <c r="T1058" i="2" s="1"/>
  <c r="U1058" i="2"/>
  <c r="B1060" i="1"/>
  <c r="C1059" i="1"/>
  <c r="E1059" i="2" s="1"/>
  <c r="D1059" i="1"/>
  <c r="V1059" i="2"/>
  <c r="AW1059" i="1" l="1"/>
  <c r="BT1059" i="1"/>
  <c r="T1059" i="2" s="1"/>
  <c r="U1059" i="2"/>
  <c r="D1060" i="1"/>
  <c r="B1061" i="1"/>
  <c r="C1060" i="1"/>
  <c r="E1060" i="2" s="1"/>
  <c r="V1060" i="2"/>
  <c r="AW1060" i="1" l="1"/>
  <c r="BT1060" i="1"/>
  <c r="T1060" i="2" s="1"/>
  <c r="U1060" i="2"/>
  <c r="B1062" i="1"/>
  <c r="C1061" i="1"/>
  <c r="E1061" i="2" s="1"/>
  <c r="D1061" i="1"/>
  <c r="V1061" i="2"/>
  <c r="AW1061" i="1" l="1"/>
  <c r="BT1061" i="1"/>
  <c r="T1061" i="2" s="1"/>
  <c r="U1061" i="2"/>
  <c r="D1062" i="1"/>
  <c r="B1063" i="1"/>
  <c r="C1062" i="1"/>
  <c r="E1062" i="2" s="1"/>
  <c r="V1062" i="2"/>
  <c r="AW1062" i="1" l="1"/>
  <c r="BT1062" i="1"/>
  <c r="T1062" i="2" s="1"/>
  <c r="U1062" i="2"/>
  <c r="B1064" i="1"/>
  <c r="C1063" i="1"/>
  <c r="E1063" i="2" s="1"/>
  <c r="D1063" i="1"/>
  <c r="V1063" i="2"/>
  <c r="AW1063" i="1" l="1"/>
  <c r="BT1063" i="1"/>
  <c r="T1063" i="2" s="1"/>
  <c r="U1063" i="2"/>
  <c r="D1064" i="1"/>
  <c r="B1065" i="1"/>
  <c r="C1064" i="1"/>
  <c r="E1064" i="2" s="1"/>
  <c r="V1064" i="2"/>
  <c r="AW1064" i="1" l="1"/>
  <c r="BT1064" i="1"/>
  <c r="T1064" i="2" s="1"/>
  <c r="U1064" i="2"/>
  <c r="B1066" i="1"/>
  <c r="C1065" i="1"/>
  <c r="E1065" i="2" s="1"/>
  <c r="D1065" i="1"/>
  <c r="V1065" i="2"/>
  <c r="AW1065" i="1" l="1"/>
  <c r="BT1065" i="1"/>
  <c r="T1065" i="2" s="1"/>
  <c r="U1065" i="2"/>
  <c r="D1066" i="1"/>
  <c r="B1067" i="1"/>
  <c r="C1066" i="1"/>
  <c r="E1066" i="2" s="1"/>
  <c r="V1066" i="2"/>
  <c r="AW1066" i="1" l="1"/>
  <c r="BT1066" i="1"/>
  <c r="T1066" i="2" s="1"/>
  <c r="U1066" i="2"/>
  <c r="B1068" i="1"/>
  <c r="C1067" i="1"/>
  <c r="E1067" i="2" s="1"/>
  <c r="D1067" i="1"/>
  <c r="V1067" i="2"/>
  <c r="AW1067" i="1" l="1"/>
  <c r="BT1067" i="1"/>
  <c r="T1067" i="2" s="1"/>
  <c r="U1067" i="2"/>
  <c r="D1068" i="1"/>
  <c r="B1069" i="1"/>
  <c r="C1068" i="1"/>
  <c r="E1068" i="2" s="1"/>
  <c r="V1068" i="2"/>
  <c r="AW1068" i="1" l="1"/>
  <c r="BT1068" i="1"/>
  <c r="T1068" i="2" s="1"/>
  <c r="U1068" i="2"/>
  <c r="B1070" i="1"/>
  <c r="C1069" i="1"/>
  <c r="E1069" i="2" s="1"/>
  <c r="D1069" i="1"/>
  <c r="V1069" i="2"/>
  <c r="AW1069" i="1" l="1"/>
  <c r="BT1069" i="1"/>
  <c r="T1069" i="2" s="1"/>
  <c r="U1069" i="2"/>
  <c r="D1070" i="1"/>
  <c r="B1071" i="1"/>
  <c r="C1070" i="1"/>
  <c r="E1070" i="2" s="1"/>
  <c r="V1070" i="2"/>
  <c r="AW1070" i="1" l="1"/>
  <c r="BT1070" i="1"/>
  <c r="T1070" i="2" s="1"/>
  <c r="U1070" i="2"/>
  <c r="B1072" i="1"/>
  <c r="C1071" i="1"/>
  <c r="E1071" i="2" s="1"/>
  <c r="D1071" i="1"/>
  <c r="V1071" i="2"/>
  <c r="AW1071" i="1" l="1"/>
  <c r="BT1071" i="1"/>
  <c r="T1071" i="2" s="1"/>
  <c r="U1071" i="2"/>
  <c r="D1072" i="1"/>
  <c r="B1073" i="1"/>
  <c r="C1072" i="1"/>
  <c r="E1072" i="2" s="1"/>
  <c r="V1072" i="2"/>
  <c r="AW1072" i="1" l="1"/>
  <c r="BT1072" i="1"/>
  <c r="T1072" i="2" s="1"/>
  <c r="U1072" i="2"/>
  <c r="B1074" i="1"/>
  <c r="C1073" i="1"/>
  <c r="E1073" i="2" s="1"/>
  <c r="D1073" i="1"/>
  <c r="V1073" i="2"/>
  <c r="AW1073" i="1" l="1"/>
  <c r="BT1073" i="1"/>
  <c r="T1073" i="2" s="1"/>
  <c r="U1073" i="2"/>
  <c r="D1074" i="1"/>
  <c r="B1075" i="1"/>
  <c r="C1074" i="1"/>
  <c r="E1074" i="2" s="1"/>
  <c r="V1074" i="2"/>
  <c r="AW1074" i="1" l="1"/>
  <c r="BT1074" i="1"/>
  <c r="T1074" i="2" s="1"/>
  <c r="U1074" i="2"/>
  <c r="B1076" i="1"/>
  <c r="C1075" i="1"/>
  <c r="E1075" i="2" s="1"/>
  <c r="D1075" i="1"/>
  <c r="V1075" i="2"/>
  <c r="AW1075" i="1" l="1"/>
  <c r="BT1075" i="1"/>
  <c r="T1075" i="2" s="1"/>
  <c r="U1075" i="2"/>
  <c r="D1076" i="1"/>
  <c r="B1077" i="1"/>
  <c r="C1076" i="1"/>
  <c r="E1076" i="2" s="1"/>
  <c r="V1076" i="2"/>
  <c r="AW1076" i="1" l="1"/>
  <c r="BT1076" i="1"/>
  <c r="T1076" i="2" s="1"/>
  <c r="U1076" i="2"/>
  <c r="B1078" i="1"/>
  <c r="C1077" i="1"/>
  <c r="E1077" i="2" s="1"/>
  <c r="D1077" i="1"/>
  <c r="V1077" i="2"/>
  <c r="AW1077" i="1" l="1"/>
  <c r="BT1077" i="1"/>
  <c r="T1077" i="2" s="1"/>
  <c r="U1077" i="2"/>
  <c r="B1079" i="1"/>
  <c r="D1078" i="1"/>
  <c r="C1078" i="1"/>
  <c r="E1078" i="2" s="1"/>
  <c r="V1078" i="2"/>
  <c r="AW1078" i="1" l="1"/>
  <c r="BT1078" i="1"/>
  <c r="T1078" i="2" s="1"/>
  <c r="U1078" i="2"/>
  <c r="D1079" i="1"/>
  <c r="B1080" i="1"/>
  <c r="C1079" i="1"/>
  <c r="E1079" i="2" s="1"/>
  <c r="V1079" i="2"/>
  <c r="AW1079" i="1" l="1"/>
  <c r="BT1079" i="1"/>
  <c r="T1079" i="2" s="1"/>
  <c r="U1079" i="2"/>
  <c r="B1081" i="1"/>
  <c r="C1080" i="1"/>
  <c r="E1080" i="2" s="1"/>
  <c r="D1080" i="1"/>
  <c r="V1080" i="2"/>
  <c r="AW1080" i="1" l="1"/>
  <c r="BT1080" i="1"/>
  <c r="T1080" i="2" s="1"/>
  <c r="U1080" i="2"/>
  <c r="D1081" i="1"/>
  <c r="B1082" i="1"/>
  <c r="C1081" i="1"/>
  <c r="E1081" i="2" s="1"/>
  <c r="V1081" i="2"/>
  <c r="AW1081" i="1" l="1"/>
  <c r="BT1081" i="1"/>
  <c r="T1081" i="2" s="1"/>
  <c r="U1081" i="2"/>
  <c r="B1083" i="1"/>
  <c r="C1082" i="1"/>
  <c r="E1082" i="2" s="1"/>
  <c r="D1082" i="1"/>
  <c r="V1082" i="2"/>
  <c r="AW1082" i="1" l="1"/>
  <c r="BT1082" i="1"/>
  <c r="T1082" i="2" s="1"/>
  <c r="U1082" i="2"/>
  <c r="D1083" i="1"/>
  <c r="B1084" i="1"/>
  <c r="C1083" i="1"/>
  <c r="E1083" i="2" s="1"/>
  <c r="V1083" i="2"/>
  <c r="AW1083" i="1" l="1"/>
  <c r="BT1083" i="1"/>
  <c r="T1083" i="2" s="1"/>
  <c r="U1083" i="2"/>
  <c r="B1085" i="1"/>
  <c r="C1084" i="1"/>
  <c r="E1084" i="2" s="1"/>
  <c r="D1084" i="1"/>
  <c r="V1084" i="2"/>
  <c r="AW1084" i="1" l="1"/>
  <c r="BT1084" i="1"/>
  <c r="T1084" i="2" s="1"/>
  <c r="U1084" i="2"/>
  <c r="D1085" i="1"/>
  <c r="B1086" i="1"/>
  <c r="C1085" i="1"/>
  <c r="E1085" i="2" s="1"/>
  <c r="V1085" i="2"/>
  <c r="AW1085" i="1" l="1"/>
  <c r="BT1085" i="1"/>
  <c r="T1085" i="2" s="1"/>
  <c r="U1085" i="2"/>
  <c r="B1087" i="1"/>
  <c r="C1086" i="1"/>
  <c r="E1086" i="2" s="1"/>
  <c r="D1086" i="1"/>
  <c r="V1086" i="2"/>
  <c r="AW1086" i="1" l="1"/>
  <c r="BT1086" i="1"/>
  <c r="T1086" i="2" s="1"/>
  <c r="U1086" i="2"/>
  <c r="D1087" i="1"/>
  <c r="B1088" i="1"/>
  <c r="C1087" i="1"/>
  <c r="E1087" i="2" s="1"/>
  <c r="V1087" i="2"/>
  <c r="AW1087" i="1" l="1"/>
  <c r="BT1087" i="1"/>
  <c r="T1087" i="2" s="1"/>
  <c r="U1087" i="2"/>
  <c r="B1089" i="1"/>
  <c r="C1088" i="1"/>
  <c r="E1088" i="2" s="1"/>
  <c r="D1088" i="1"/>
  <c r="V1088" i="2"/>
  <c r="AW1088" i="1" l="1"/>
  <c r="BT1088" i="1"/>
  <c r="T1088" i="2" s="1"/>
  <c r="U1088" i="2"/>
  <c r="D1089" i="1"/>
  <c r="B1090" i="1"/>
  <c r="C1089" i="1"/>
  <c r="E1089" i="2" s="1"/>
  <c r="V1089" i="2"/>
  <c r="AW1089" i="1" l="1"/>
  <c r="BT1089" i="1"/>
  <c r="T1089" i="2" s="1"/>
  <c r="U1089" i="2"/>
  <c r="B1091" i="1"/>
  <c r="C1090" i="1"/>
  <c r="E1090" i="2" s="1"/>
  <c r="D1090" i="1"/>
  <c r="V1090" i="2"/>
  <c r="AW1090" i="1" l="1"/>
  <c r="BT1090" i="1"/>
  <c r="T1090" i="2" s="1"/>
  <c r="U1090" i="2"/>
  <c r="D1091" i="1"/>
  <c r="B1092" i="1"/>
  <c r="C1091" i="1"/>
  <c r="E1091" i="2" s="1"/>
  <c r="V1091" i="2"/>
  <c r="AW1091" i="1" l="1"/>
  <c r="BT1091" i="1"/>
  <c r="T1091" i="2" s="1"/>
  <c r="U1091" i="2"/>
  <c r="B1093" i="1"/>
  <c r="C1092" i="1"/>
  <c r="E1092" i="2" s="1"/>
  <c r="D1092" i="1"/>
  <c r="V1092" i="2"/>
  <c r="AW1092" i="1" l="1"/>
  <c r="BT1092" i="1"/>
  <c r="T1092" i="2" s="1"/>
  <c r="U1092" i="2"/>
  <c r="D1093" i="1"/>
  <c r="B1094" i="1"/>
  <c r="C1093" i="1"/>
  <c r="E1093" i="2" s="1"/>
  <c r="V1093" i="2"/>
  <c r="AW1093" i="1" l="1"/>
  <c r="BT1093" i="1"/>
  <c r="T1093" i="2" s="1"/>
  <c r="U1093" i="2"/>
  <c r="B1095" i="1"/>
  <c r="C1094" i="1"/>
  <c r="E1094" i="2" s="1"/>
  <c r="D1094" i="1"/>
  <c r="V1094" i="2"/>
  <c r="AW1094" i="1" l="1"/>
  <c r="BT1094" i="1"/>
  <c r="T1094" i="2" s="1"/>
  <c r="U1094" i="2"/>
  <c r="D1095" i="1"/>
  <c r="B1096" i="1"/>
  <c r="C1095" i="1"/>
  <c r="E1095" i="2" s="1"/>
  <c r="V1095" i="2"/>
  <c r="AW1095" i="1" l="1"/>
  <c r="BT1095" i="1"/>
  <c r="T1095" i="2" s="1"/>
  <c r="U1095" i="2"/>
  <c r="B1097" i="1"/>
  <c r="C1096" i="1"/>
  <c r="E1096" i="2" s="1"/>
  <c r="D1096" i="1"/>
  <c r="V1096" i="2"/>
  <c r="AW1096" i="1" l="1"/>
  <c r="BT1096" i="1"/>
  <c r="T1096" i="2" s="1"/>
  <c r="U1096" i="2"/>
  <c r="D1097" i="1"/>
  <c r="B1098" i="1"/>
  <c r="C1097" i="1"/>
  <c r="E1097" i="2" s="1"/>
  <c r="V1097" i="2"/>
  <c r="AW1097" i="1" l="1"/>
  <c r="BT1097" i="1"/>
  <c r="T1097" i="2" s="1"/>
  <c r="U1097" i="2"/>
  <c r="B1099" i="1"/>
  <c r="C1098" i="1"/>
  <c r="E1098" i="2" s="1"/>
  <c r="D1098" i="1"/>
  <c r="V1098" i="2"/>
  <c r="AW1098" i="1" l="1"/>
  <c r="BT1098" i="1"/>
  <c r="T1098" i="2" s="1"/>
  <c r="U1098" i="2"/>
  <c r="D1099" i="1"/>
  <c r="B1100" i="1"/>
  <c r="C1099" i="1"/>
  <c r="E1099" i="2" s="1"/>
  <c r="V1099" i="2"/>
  <c r="AW1099" i="1" l="1"/>
  <c r="BT1099" i="1"/>
  <c r="T1099" i="2" s="1"/>
  <c r="U1099" i="2"/>
  <c r="B1101" i="1"/>
  <c r="C1100" i="1"/>
  <c r="E1100" i="2" s="1"/>
  <c r="D1100" i="1"/>
  <c r="V1100" i="2"/>
  <c r="AW1100" i="1" l="1"/>
  <c r="BT1100" i="1"/>
  <c r="T1100" i="2" s="1"/>
  <c r="U1100" i="2"/>
  <c r="D1101" i="1"/>
  <c r="B1102" i="1"/>
  <c r="C1101" i="1"/>
  <c r="E1101" i="2" s="1"/>
  <c r="V1101" i="2"/>
  <c r="AW1101" i="1" l="1"/>
  <c r="BT1101" i="1"/>
  <c r="T1101" i="2" s="1"/>
  <c r="U1101" i="2"/>
  <c r="B1103" i="1"/>
  <c r="C1102" i="1"/>
  <c r="E1102" i="2" s="1"/>
  <c r="D1102" i="1"/>
  <c r="V1102" i="2"/>
  <c r="AW1102" i="1" l="1"/>
  <c r="BT1102" i="1"/>
  <c r="T1102" i="2" s="1"/>
  <c r="U1102" i="2"/>
  <c r="D1103" i="1"/>
  <c r="B1104" i="1"/>
  <c r="C1103" i="1"/>
  <c r="E1103" i="2" s="1"/>
  <c r="V1103" i="2"/>
  <c r="AW1103" i="1" l="1"/>
  <c r="BT1103" i="1"/>
  <c r="T1103" i="2" s="1"/>
  <c r="U1103" i="2"/>
  <c r="B1105" i="1"/>
  <c r="C1104" i="1"/>
  <c r="E1104" i="2" s="1"/>
  <c r="D1104" i="1"/>
  <c r="V1104" i="2"/>
  <c r="AW1104" i="1" l="1"/>
  <c r="BT1104" i="1"/>
  <c r="T1104" i="2" s="1"/>
  <c r="U1104" i="2"/>
  <c r="D1105" i="1"/>
  <c r="B1106" i="1"/>
  <c r="C1105" i="1"/>
  <c r="E1105" i="2" s="1"/>
  <c r="V1105" i="2"/>
  <c r="AW1105" i="1" l="1"/>
  <c r="BT1105" i="1"/>
  <c r="T1105" i="2" s="1"/>
  <c r="U1105" i="2"/>
  <c r="B1107" i="1"/>
  <c r="C1106" i="1"/>
  <c r="E1106" i="2" s="1"/>
  <c r="D1106" i="1"/>
  <c r="V1106" i="2"/>
  <c r="AW1106" i="1" l="1"/>
  <c r="BT1106" i="1"/>
  <c r="T1106" i="2" s="1"/>
  <c r="U1106" i="2"/>
  <c r="D1107" i="1"/>
  <c r="B1108" i="1"/>
  <c r="C1107" i="1"/>
  <c r="E1107" i="2" s="1"/>
  <c r="V1107" i="2"/>
  <c r="AW1107" i="1" l="1"/>
  <c r="BT1107" i="1"/>
  <c r="T1107" i="2" s="1"/>
  <c r="U1107" i="2"/>
  <c r="B1109" i="1"/>
  <c r="C1108" i="1"/>
  <c r="E1108" i="2" s="1"/>
  <c r="D1108" i="1"/>
  <c r="V1108" i="2"/>
  <c r="AW1108" i="1" l="1"/>
  <c r="BT1108" i="1"/>
  <c r="T1108" i="2" s="1"/>
  <c r="U1108" i="2"/>
  <c r="D1109" i="1"/>
  <c r="B1110" i="1"/>
  <c r="C1109" i="1"/>
  <c r="E1109" i="2" s="1"/>
  <c r="V1109" i="2"/>
  <c r="AW1109" i="1" l="1"/>
  <c r="BT1109" i="1"/>
  <c r="T1109" i="2" s="1"/>
  <c r="U1109" i="2"/>
  <c r="B1111" i="1"/>
  <c r="C1110" i="1"/>
  <c r="E1110" i="2" s="1"/>
  <c r="D1110" i="1"/>
  <c r="V1110" i="2"/>
  <c r="AW1110" i="1" l="1"/>
  <c r="BT1110" i="1"/>
  <c r="T1110" i="2" s="1"/>
  <c r="U1110" i="2"/>
  <c r="D1111" i="1"/>
  <c r="B1112" i="1"/>
  <c r="C1111" i="1"/>
  <c r="E1111" i="2" s="1"/>
  <c r="V1111" i="2"/>
  <c r="AW1111" i="1" l="1"/>
  <c r="BT1111" i="1"/>
  <c r="T1111" i="2" s="1"/>
  <c r="U1111" i="2"/>
  <c r="B1113" i="1"/>
  <c r="C1112" i="1"/>
  <c r="E1112" i="2" s="1"/>
  <c r="D1112" i="1"/>
  <c r="V1112" i="2"/>
  <c r="AW1112" i="1" l="1"/>
  <c r="BT1112" i="1"/>
  <c r="T1112" i="2" s="1"/>
  <c r="U1112" i="2"/>
  <c r="D1113" i="1"/>
  <c r="B1114" i="1"/>
  <c r="C1113" i="1"/>
  <c r="E1113" i="2" s="1"/>
  <c r="V1113" i="2"/>
  <c r="AW1113" i="1" l="1"/>
  <c r="BT1113" i="1"/>
  <c r="T1113" i="2" s="1"/>
  <c r="U1113" i="2"/>
  <c r="B1115" i="1"/>
  <c r="C1114" i="1"/>
  <c r="E1114" i="2" s="1"/>
  <c r="D1114" i="1"/>
  <c r="V1114" i="2"/>
  <c r="AW1114" i="1" l="1"/>
  <c r="BT1114" i="1"/>
  <c r="T1114" i="2" s="1"/>
  <c r="U1114" i="2"/>
  <c r="D1115" i="1"/>
  <c r="B1116" i="1"/>
  <c r="C1115" i="1"/>
  <c r="E1115" i="2" s="1"/>
  <c r="V1115" i="2"/>
  <c r="AW1115" i="1" l="1"/>
  <c r="BT1115" i="1"/>
  <c r="T1115" i="2" s="1"/>
  <c r="U1115" i="2"/>
  <c r="B1117" i="1"/>
  <c r="C1116" i="1"/>
  <c r="E1116" i="2" s="1"/>
  <c r="D1116" i="1"/>
  <c r="V1116" i="2"/>
  <c r="AW1116" i="1" l="1"/>
  <c r="BT1116" i="1"/>
  <c r="T1116" i="2" s="1"/>
  <c r="U1116" i="2"/>
  <c r="D1117" i="1"/>
  <c r="B1118" i="1"/>
  <c r="C1117" i="1"/>
  <c r="E1117" i="2" s="1"/>
  <c r="V1117" i="2"/>
  <c r="AW1117" i="1" l="1"/>
  <c r="BT1117" i="1"/>
  <c r="T1117" i="2" s="1"/>
  <c r="U1117" i="2"/>
  <c r="B1119" i="1"/>
  <c r="C1118" i="1"/>
  <c r="E1118" i="2" s="1"/>
  <c r="D1118" i="1"/>
  <c r="V1118" i="2"/>
  <c r="AW1118" i="1" l="1"/>
  <c r="BT1118" i="1"/>
  <c r="T1118" i="2" s="1"/>
  <c r="U1118" i="2"/>
  <c r="D1119" i="1"/>
  <c r="B1120" i="1"/>
  <c r="C1119" i="1"/>
  <c r="E1119" i="2" s="1"/>
  <c r="V1119" i="2"/>
  <c r="AW1119" i="1" l="1"/>
  <c r="BT1119" i="1"/>
  <c r="T1119" i="2" s="1"/>
  <c r="U1119" i="2"/>
  <c r="B1121" i="1"/>
  <c r="C1120" i="1"/>
  <c r="E1120" i="2" s="1"/>
  <c r="D1120" i="1"/>
  <c r="V1120" i="2"/>
  <c r="AW1120" i="1" l="1"/>
  <c r="BT1120" i="1"/>
  <c r="T1120" i="2" s="1"/>
  <c r="U1120" i="2"/>
  <c r="D1121" i="1"/>
  <c r="B1122" i="1"/>
  <c r="C1121" i="1"/>
  <c r="E1121" i="2" s="1"/>
  <c r="V1121" i="2"/>
  <c r="AW1121" i="1" l="1"/>
  <c r="BT1121" i="1"/>
  <c r="T1121" i="2" s="1"/>
  <c r="U1121" i="2"/>
  <c r="B1123" i="1"/>
  <c r="C1122" i="1"/>
  <c r="E1122" i="2" s="1"/>
  <c r="D1122" i="1"/>
  <c r="V1122" i="2"/>
  <c r="AW1122" i="1" l="1"/>
  <c r="BT1122" i="1"/>
  <c r="T1122" i="2" s="1"/>
  <c r="U1122" i="2"/>
  <c r="D1123" i="1"/>
  <c r="B1124" i="1"/>
  <c r="C1123" i="1"/>
  <c r="E1123" i="2" s="1"/>
  <c r="V1123" i="2"/>
  <c r="AW1123" i="1" l="1"/>
  <c r="BT1123" i="1"/>
  <c r="T1123" i="2" s="1"/>
  <c r="U1123" i="2"/>
  <c r="B1125" i="1"/>
  <c r="C1124" i="1"/>
  <c r="E1124" i="2" s="1"/>
  <c r="D1124" i="1"/>
  <c r="V1124" i="2"/>
  <c r="AW1124" i="1" l="1"/>
  <c r="BT1124" i="1"/>
  <c r="T1124" i="2" s="1"/>
  <c r="U1124" i="2"/>
  <c r="D1125" i="1"/>
  <c r="C1125" i="1"/>
  <c r="E1125" i="2" s="1"/>
  <c r="B1126" i="1"/>
  <c r="V1125" i="2"/>
  <c r="AW1125" i="1" l="1"/>
  <c r="BT1125" i="1"/>
  <c r="T1125" i="2" s="1"/>
  <c r="U1125" i="2"/>
  <c r="B1127" i="1"/>
  <c r="C1126" i="1"/>
  <c r="E1126" i="2" s="1"/>
  <c r="D1126" i="1"/>
  <c r="V1126" i="2"/>
  <c r="AW1126" i="1" l="1"/>
  <c r="BT1126" i="1"/>
  <c r="T1126" i="2" s="1"/>
  <c r="U1126" i="2"/>
  <c r="D1127" i="1"/>
  <c r="B1128" i="1"/>
  <c r="C1127" i="1"/>
  <c r="E1127" i="2" s="1"/>
  <c r="V1127" i="2"/>
  <c r="AW1127" i="1" l="1"/>
  <c r="BT1127" i="1"/>
  <c r="T1127" i="2" s="1"/>
  <c r="U1127" i="2"/>
  <c r="B1129" i="1"/>
  <c r="C1128" i="1"/>
  <c r="E1128" i="2" s="1"/>
  <c r="D1128" i="1"/>
  <c r="V1128" i="2"/>
  <c r="AW1128" i="1" l="1"/>
  <c r="BT1128" i="1"/>
  <c r="T1128" i="2" s="1"/>
  <c r="U1128" i="2"/>
  <c r="D1129" i="1"/>
  <c r="B1130" i="1"/>
  <c r="C1129" i="1"/>
  <c r="E1129" i="2" s="1"/>
  <c r="V1129" i="2"/>
  <c r="AW1129" i="1" l="1"/>
  <c r="BT1129" i="1"/>
  <c r="T1129" i="2" s="1"/>
  <c r="U1129" i="2"/>
  <c r="B1131" i="1"/>
  <c r="C1130" i="1"/>
  <c r="E1130" i="2" s="1"/>
  <c r="D1130" i="1"/>
  <c r="V1130" i="2"/>
  <c r="AW1130" i="1" l="1"/>
  <c r="BT1130" i="1"/>
  <c r="T1130" i="2" s="1"/>
  <c r="U1130" i="2"/>
  <c r="D1131" i="1"/>
  <c r="C1131" i="1"/>
  <c r="E1131" i="2" s="1"/>
  <c r="B1132" i="1"/>
  <c r="V1131" i="2"/>
  <c r="AW1131" i="1" l="1"/>
  <c r="BT1131" i="1"/>
  <c r="T1131" i="2" s="1"/>
  <c r="U1131" i="2"/>
  <c r="D1132" i="1"/>
  <c r="B1133" i="1"/>
  <c r="C1132" i="1"/>
  <c r="E1132" i="2" s="1"/>
  <c r="V1132" i="2"/>
  <c r="AW1132" i="1" l="1"/>
  <c r="BT1132" i="1"/>
  <c r="T1132" i="2" s="1"/>
  <c r="U1132" i="2"/>
  <c r="D1133" i="1"/>
  <c r="B1134" i="1"/>
  <c r="C1133" i="1"/>
  <c r="E1133" i="2" s="1"/>
  <c r="V1133" i="2"/>
  <c r="AW1133" i="1" l="1"/>
  <c r="BT1133" i="1"/>
  <c r="T1133" i="2" s="1"/>
  <c r="U1133" i="2"/>
  <c r="B1135" i="1"/>
  <c r="C1134" i="1"/>
  <c r="E1134" i="2" s="1"/>
  <c r="D1134" i="1"/>
  <c r="V1134" i="2"/>
  <c r="AW1134" i="1" l="1"/>
  <c r="BT1134" i="1"/>
  <c r="T1134" i="2" s="1"/>
  <c r="U1134" i="2"/>
  <c r="D1135" i="1"/>
  <c r="C1135" i="1"/>
  <c r="E1135" i="2" s="1"/>
  <c r="B1136" i="1"/>
  <c r="V1135" i="2"/>
  <c r="AW1135" i="1" l="1"/>
  <c r="BT1135" i="1"/>
  <c r="T1135" i="2" s="1"/>
  <c r="U1135" i="2"/>
  <c r="D1136" i="1"/>
  <c r="B1137" i="1"/>
  <c r="C1136" i="1"/>
  <c r="E1136" i="2" s="1"/>
  <c r="V1136" i="2"/>
  <c r="AW1136" i="1" l="1"/>
  <c r="BT1136" i="1"/>
  <c r="T1136" i="2" s="1"/>
  <c r="U1136" i="2"/>
  <c r="D1137" i="1"/>
  <c r="B1138" i="1"/>
  <c r="C1137" i="1"/>
  <c r="E1137" i="2" s="1"/>
  <c r="V1137" i="2"/>
  <c r="AW1137" i="1" l="1"/>
  <c r="BT1137" i="1"/>
  <c r="T1137" i="2" s="1"/>
  <c r="U1137" i="2"/>
  <c r="B1139" i="1"/>
  <c r="C1138" i="1"/>
  <c r="E1138" i="2" s="1"/>
  <c r="D1138" i="1"/>
  <c r="V1138" i="2"/>
  <c r="AW1138" i="1" l="1"/>
  <c r="BT1138" i="1"/>
  <c r="T1138" i="2" s="1"/>
  <c r="U1138" i="2"/>
  <c r="D1139" i="1"/>
  <c r="C1139" i="1"/>
  <c r="E1139" i="2" s="1"/>
  <c r="B1140" i="1"/>
  <c r="V1139" i="2"/>
  <c r="AW1139" i="1" l="1"/>
  <c r="BT1139" i="1"/>
  <c r="T1139" i="2" s="1"/>
  <c r="U1139" i="2"/>
  <c r="D1140" i="1"/>
  <c r="B1141" i="1"/>
  <c r="C1140" i="1"/>
  <c r="E1140" i="2" s="1"/>
  <c r="V1140" i="2"/>
  <c r="AW1140" i="1" l="1"/>
  <c r="BT1140" i="1"/>
  <c r="T1140" i="2" s="1"/>
  <c r="U1140" i="2"/>
  <c r="D1141" i="1"/>
  <c r="B1142" i="1"/>
  <c r="C1141" i="1"/>
  <c r="E1141" i="2" s="1"/>
  <c r="V1141" i="2"/>
  <c r="AW1141" i="1" l="1"/>
  <c r="BT1141" i="1"/>
  <c r="T1141" i="2" s="1"/>
  <c r="U1141" i="2"/>
  <c r="B1143" i="1"/>
  <c r="C1142" i="1"/>
  <c r="E1142" i="2" s="1"/>
  <c r="D1142" i="1"/>
  <c r="V1142" i="2"/>
  <c r="AW1142" i="1" l="1"/>
  <c r="BT1142" i="1"/>
  <c r="T1142" i="2" s="1"/>
  <c r="U1142" i="2"/>
  <c r="D1143" i="1"/>
  <c r="C1143" i="1"/>
  <c r="E1143" i="2" s="1"/>
  <c r="B1144" i="1"/>
  <c r="V1143" i="2"/>
  <c r="AW1143" i="1" l="1"/>
  <c r="BT1143" i="1"/>
  <c r="T1143" i="2" s="1"/>
  <c r="U1143" i="2"/>
  <c r="D1144" i="1"/>
  <c r="B1145" i="1"/>
  <c r="C1144" i="1"/>
  <c r="E1144" i="2" s="1"/>
  <c r="V1144" i="2"/>
  <c r="AW1144" i="1" l="1"/>
  <c r="BT1144" i="1"/>
  <c r="T1144" i="2" s="1"/>
  <c r="U1144" i="2"/>
  <c r="D1145" i="1"/>
  <c r="B1146" i="1"/>
  <c r="C1145" i="1"/>
  <c r="E1145" i="2" s="1"/>
  <c r="V1145" i="2"/>
  <c r="AW1145" i="1" l="1"/>
  <c r="BT1145" i="1"/>
  <c r="T1145" i="2" s="1"/>
  <c r="U1145" i="2"/>
  <c r="B1147" i="1"/>
  <c r="C1146" i="1"/>
  <c r="E1146" i="2" s="1"/>
  <c r="D1146" i="1"/>
  <c r="V1146" i="2"/>
  <c r="AW1146" i="1" l="1"/>
  <c r="BT1146" i="1"/>
  <c r="T1146" i="2" s="1"/>
  <c r="U1146" i="2"/>
  <c r="D1147" i="1"/>
  <c r="C1147" i="1"/>
  <c r="E1147" i="2" s="1"/>
  <c r="B1148" i="1"/>
  <c r="V1147" i="2"/>
  <c r="AW1147" i="1" l="1"/>
  <c r="BT1147" i="1"/>
  <c r="T1147" i="2" s="1"/>
  <c r="U1147" i="2"/>
  <c r="D1148" i="1"/>
  <c r="B1149" i="1"/>
  <c r="C1148" i="1"/>
  <c r="E1148" i="2" s="1"/>
  <c r="V1148" i="2"/>
  <c r="AW1148" i="1" l="1"/>
  <c r="BT1148" i="1"/>
  <c r="T1148" i="2" s="1"/>
  <c r="U1148" i="2"/>
  <c r="D1149" i="1"/>
  <c r="B1150" i="1"/>
  <c r="C1149" i="1"/>
  <c r="E1149" i="2" s="1"/>
  <c r="V1149" i="2"/>
  <c r="AW1149" i="1" l="1"/>
  <c r="BT1149" i="1"/>
  <c r="T1149" i="2" s="1"/>
  <c r="U1149" i="2"/>
  <c r="B1151" i="1"/>
  <c r="C1150" i="1"/>
  <c r="E1150" i="2" s="1"/>
  <c r="D1150" i="1"/>
  <c r="V1150" i="2"/>
  <c r="AW1150" i="1" l="1"/>
  <c r="BT1150" i="1"/>
  <c r="T1150" i="2" s="1"/>
  <c r="U1150" i="2"/>
  <c r="D1151" i="1"/>
  <c r="C1151" i="1"/>
  <c r="E1151" i="2" s="1"/>
  <c r="B1152" i="1"/>
  <c r="V1151" i="2"/>
  <c r="AW1151" i="1" l="1"/>
  <c r="BT1151" i="1"/>
  <c r="T1151" i="2" s="1"/>
  <c r="U1151" i="2"/>
  <c r="D1152" i="1"/>
  <c r="B1153" i="1"/>
  <c r="C1152" i="1"/>
  <c r="E1152" i="2" s="1"/>
  <c r="V1152" i="2"/>
  <c r="AW1152" i="1" l="1"/>
  <c r="BT1152" i="1"/>
  <c r="T1152" i="2" s="1"/>
  <c r="U1152" i="2"/>
  <c r="D1153" i="1"/>
  <c r="B1154" i="1"/>
  <c r="C1153" i="1"/>
  <c r="E1153" i="2" s="1"/>
  <c r="V1153" i="2"/>
  <c r="AW1153" i="1" l="1"/>
  <c r="BT1153" i="1"/>
  <c r="T1153" i="2" s="1"/>
  <c r="U1153" i="2"/>
  <c r="B1155" i="1"/>
  <c r="C1154" i="1"/>
  <c r="E1154" i="2" s="1"/>
  <c r="D1154" i="1"/>
  <c r="V1154" i="2"/>
  <c r="AW1154" i="1" l="1"/>
  <c r="BT1154" i="1"/>
  <c r="T1154" i="2" s="1"/>
  <c r="U1154" i="2"/>
  <c r="D1155" i="1"/>
  <c r="C1155" i="1"/>
  <c r="E1155" i="2" s="1"/>
  <c r="B1156" i="1"/>
  <c r="V1155" i="2"/>
  <c r="AW1155" i="1" l="1"/>
  <c r="BT1155" i="1"/>
  <c r="T1155" i="2" s="1"/>
  <c r="U1155" i="2"/>
  <c r="D1156" i="1"/>
  <c r="B1157" i="1"/>
  <c r="C1156" i="1"/>
  <c r="E1156" i="2" s="1"/>
  <c r="V1156" i="2"/>
  <c r="AW1156" i="1" l="1"/>
  <c r="BT1156" i="1"/>
  <c r="T1156" i="2" s="1"/>
  <c r="U1156" i="2"/>
  <c r="D1157" i="1"/>
  <c r="B1158" i="1"/>
  <c r="C1157" i="1"/>
  <c r="E1157" i="2" s="1"/>
  <c r="V1157" i="2"/>
  <c r="AW1157" i="1" l="1"/>
  <c r="BT1157" i="1"/>
  <c r="T1157" i="2" s="1"/>
  <c r="U1157" i="2"/>
  <c r="B1159" i="1"/>
  <c r="C1158" i="1"/>
  <c r="E1158" i="2" s="1"/>
  <c r="D1158" i="1"/>
  <c r="V1158" i="2"/>
  <c r="AW1158" i="1" l="1"/>
  <c r="BT1158" i="1"/>
  <c r="T1158" i="2" s="1"/>
  <c r="U1158" i="2"/>
  <c r="D1159" i="1"/>
  <c r="C1159" i="1"/>
  <c r="E1159" i="2" s="1"/>
  <c r="B1160" i="1"/>
  <c r="V1159" i="2"/>
  <c r="AW1159" i="1" l="1"/>
  <c r="BT1159" i="1"/>
  <c r="T1159" i="2" s="1"/>
  <c r="U1159" i="2"/>
  <c r="D1160" i="1"/>
  <c r="B1161" i="1"/>
  <c r="C1160" i="1"/>
  <c r="E1160" i="2" s="1"/>
  <c r="V1160" i="2"/>
  <c r="AW1160" i="1" l="1"/>
  <c r="BT1160" i="1"/>
  <c r="T1160" i="2" s="1"/>
  <c r="U1160" i="2"/>
  <c r="D1161" i="1"/>
  <c r="B1162" i="1"/>
  <c r="C1161" i="1"/>
  <c r="E1161" i="2" s="1"/>
  <c r="V1161" i="2"/>
  <c r="AW1161" i="1" l="1"/>
  <c r="BT1161" i="1"/>
  <c r="T1161" i="2" s="1"/>
  <c r="U1161" i="2"/>
  <c r="B1163" i="1"/>
  <c r="C1162" i="1"/>
  <c r="E1162" i="2" s="1"/>
  <c r="D1162" i="1"/>
  <c r="V1162" i="2"/>
  <c r="AW1162" i="1" l="1"/>
  <c r="BT1162" i="1"/>
  <c r="T1162" i="2" s="1"/>
  <c r="U1162" i="2"/>
  <c r="D1163" i="1"/>
  <c r="C1163" i="1"/>
  <c r="E1163" i="2" s="1"/>
  <c r="V1163" i="2"/>
  <c r="AW1163" i="1" l="1"/>
  <c r="BT1163" i="1"/>
  <c r="T1163" i="2" s="1"/>
  <c r="U11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<sst xmlns="http://schemas.openxmlformats.org/spreadsheetml/2006/main" count="21292" uniqueCount="389">
  <si>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</si>
  <si>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</si>
  <si>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</si>
  <si>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</si>
  <si>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</si>
  <si>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</si>
  <si>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</si>
  <si>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</si>
  <si>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</si>
  <si>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</si>
  <si>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</si>
  <si>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</si>
  <si>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</si>
  <si>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</si>
  <si>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</si>
  <si>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</si>
  <si>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</si>
  <si>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</si>
  <si>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Nom du NFT</t>
  </si>
  <si>
    <t>Date de minage</t>
  </si>
  <si>
    <t>Server address</t>
  </si>
  <si>
    <t>Network</t>
  </si>
  <si>
    <t>Devnet</t>
  </si>
  <si>
    <t>paul</t>
  </si>
  <si>
    <t>sophie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</si>
  <si>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</si>
  <si>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</si>
  <si>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</si>
  <si>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</si>
  <si>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</si>
  <si>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</si>
  <si>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</si>
  <si>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</si>
  <si>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</si>
  <si>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</si>
  <si>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</si>
  <si>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</si>
  <si>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</si>
  <si>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</si>
  <si>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</si>
  <si>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</si>
  <si>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</si>
  <si>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</si>
  <si>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</si>
  <si>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</si>
  <si>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</si>
  <si>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</si>
  <si>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</si>
  <si>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</si>
  <si>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</si>
  <si>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</si>
  <si>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</si>
  <si>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</si>
  <si>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</si>
  <si>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</si>
  <si>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</si>
  <si>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</si>
  <si>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</si>
  <si>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</si>
  <si>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</si>
  <si>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</si>
  <si>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</si>
  <si>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</si>
  <si>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</si>
  <si>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</si>
  <si>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</si>
  <si>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</si>
  <si>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</si>
  <si>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</si>
  <si>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</si>
  <si>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</si>
  <si>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</si>
  <si>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</si>
  <si>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</si>
  <si>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</si>
  <si>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</si>
  <si>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symbol3</t>
  </si>
  <si>
    <t>description3</t>
  </si>
  <si>
    <t>avantage7</t>
  </si>
  <si>
    <t>symbol4</t>
  </si>
  <si>
    <t>description4</t>
  </si>
  <si>
    <t>avantage8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</si>
  <si>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</si>
  <si>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</si>
  <si>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</si>
  <si>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</si>
  <si>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</si>
  <si>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</si>
  <si>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</si>
  <si>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</si>
  <si>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</si>
  <si>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</si>
  <si>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</si>
  <si>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</si>
  <si>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</si>
  <si>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</si>
  <si>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</si>
  <si>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</si>
  <si>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</si>
  <si>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</si>
  <si>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</si>
  <si>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</si>
  <si>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</si>
  <si>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</si>
  <si>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</si>
  <si>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</si>
  <si>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</si>
  <si>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</si>
  <si>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</si>
  <si>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</si>
  <si>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</si>
  <si>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</si>
  <si>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</si>
  <si>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</si>
  <si>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</si>
  <si>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</si>
  <si>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</si>
  <si>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</si>
  <si>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</si>
  <si>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</si>
  <si>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</si>
  <si>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</si>
  <si>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</si>
  <si>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</si>
  <si>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</si>
  <si>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</si>
  <si>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</si>
  <si>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</si>
  <si>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</si>
  <si>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</si>
  <si>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</si>
  <si>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</si>
  <si>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</si>
  <si>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</si>
  <si>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Validation</t>
  </si>
  <si>
    <t>ADMIN</t>
  </si>
  <si>
    <t>Owner</t>
  </si>
  <si>
    <t xml:space="preserve">Démarrer le minage a partir de 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</si>
  <si>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</si>
  <si>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</si>
  <si>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</si>
  <si>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</si>
  <si>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</si>
  <si>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</si>
  <si>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</si>
  <si>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</si>
  <si>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</si>
  <si>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</si>
  <si>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</si>
  <si>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</si>
  <si>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</si>
  <si>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</si>
  <si>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</si>
  <si>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</si>
  <si>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</si>
  <si>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</si>
  <si>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</si>
  <si>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</si>
  <si>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</si>
  <si>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</si>
  <si>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</si>
  <si>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</si>
  <si>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</si>
  <si>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</si>
  <si>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metaboss.exe mint one  --keypair ./Keys/paul.json -r https://api.devnet.solana.com --receiver 799C3Tr6gxdwspPoDEBvFGgLCyzMrSrFjd3CkVW6ukar --nft-data-file ./Temp/to_mint_1652966071.108756.json</t>
  </si>
  <si>
    <t xml:space="preserve">[2022-05-19T13:14:31Z WARN  metaboss] Using a public RPC URL is not recommended for heavy tasks as you will be rate-limited and suffer a performance hit._x000D_
            Please use a private RPC endpoint for best performance results._x000D_
Tx id: 25Mbp5k39XrMRLRT49bKuTLDYvjz58w9QmUAq4cRqfKjNQMz2Y7ByPYabQzjmPtSNUFCXehszXK7mA9W33NzbD4f_x000D_
Mint account: 2oJceujFWbit1qouiuNXQYz3Eo6nzGPyJd5hrwQbWFnz_x000D_
Done!_x000D_
</t>
  </si>
  <si>
    <t>25Mbp5k39XrMRLRT49bKuTLDYvjz58w9QmUAq4cRqfKjNQMz2Y7ByPYabQzjmPtSNUFCXehszXK7mA9W33NzbD4f</t>
  </si>
  <si>
    <t>2oJceujFWbit1qouiuNXQYz3Eo6nzGPyJd5hrwQbWFnz</t>
  </si>
  <si>
    <t>Storage des datas offchain</t>
  </si>
  <si>
    <t>La Citadella, 5 ans - Pass NFT 5 jours pour 2 personnes, valable pour 5 éditions Calvi On The Rocks de votre choix.</t>
  </si>
  <si>
    <t>NfluenT for Calvi On The rocks</t>
  </si>
  <si>
    <t>Edition1</t>
  </si>
  <si>
    <t>Edition2</t>
  </si>
  <si>
    <t>Edition3</t>
  </si>
  <si>
    <t>Edition4</t>
  </si>
  <si>
    <t>Edition5</t>
  </si>
  <si>
    <t>Dernière utilisation</t>
  </si>
  <si>
    <t>accès aux Backstages pour deux (2) personnes</t>
  </si>
  <si>
    <t>rencontre privilégiée avec les artistes pour deux (2) personnes</t>
  </si>
  <si>
    <t>invitation aux soirées privées et villa artiste pour deux (2) personnes</t>
  </si>
  <si>
    <t>logistique dite « artiste » sur place et conciergerie (prestations demandées à la charge du NFT member) pour deux (2) personnes</t>
  </si>
  <si>
    <t>tirage spécial du magazine Numéro Art</t>
  </si>
  <si>
    <t>cadeaux partenaires</t>
  </si>
  <si>
    <t>La Citadella</t>
  </si>
  <si>
    <t>Calvi On The Rocks</t>
  </si>
  <si>
    <t>thomas</t>
  </si>
  <si>
    <t>A Madonna Di A Sierra, 3 ans - Pass NFT 5 jours pour 2 personnes, valable pour 3 éditions Calvi On The Rocks de votre choix.</t>
  </si>
  <si>
    <t>https://bafybeihs2h6dfatrcrjcffsngwdd2wxkb7u7ugsf4vpoc5ewqrinq7of4e.ipfs.nftstorage.link?visual2.png</t>
  </si>
  <si>
    <t>1 affiche numérotée (quelques unes seront signées au hasard)</t>
  </si>
  <si>
    <t>https://bafybeicgtrhjweckx2vfwtyokcngfyecfczyi234bo576emk7czddpc2du.ipfs.nftstorage.link?CALVI_12.mp4</t>
  </si>
  <si>
    <t>mp4</t>
  </si>
  <si>
    <t>A Madonna Di A Sierra</t>
  </si>
  <si>
    <t>https://bafybeicfeyuhjujtqz5qijc754pm2rbgqfelm6iz5k6qj4qitzupt5npie.ipfs.nftstorage.link?visual3.png</t>
  </si>
  <si>
    <t>https://bafybeifqwz6z2w5t76ozxnde33boh4jjcjl4qsx44bpminukf6gqbpiafy.ipfs.nftstorage.link?visual4.png</t>
  </si>
  <si>
    <t>https://bafybeihquo7xmb5y3apdxfw3wfboct2z3bnyavotl3gt5vtpi5vsrebuby.ipfs.nftstorage.link?visual5.png</t>
  </si>
  <si>
    <t>https://bafybeiewmb5atvf6zvl324kkph6rcuijkprir3uynsop6cgllpb6hwy6eu.ipfs.nftstorage.link?visual6.png</t>
  </si>
  <si>
    <t>https://bafybeig3tvhw4itgclr2le52crere763ke7lfnxypvmz5crwl5cajysb4m.ipfs.nftstorage.link?visual7.png</t>
  </si>
  <si>
    <t>https://bafybeic5znowrptwkhveqscavyfxeac2esdyoinoz7b55zupkxz7upz7fm.ipfs.nftstorage.link?visual8.png</t>
  </si>
  <si>
    <t>https://bafybeiejo4yxjzn4db52kudg4f44q5pagvrtmc2bzmryonrevo4ygfaeem.ipfs.nftstorage.link?visual9.png</t>
  </si>
  <si>
    <t>https://bafybeiecfa65amihuxka6bclllcpegnh6mb7kunzokzui4z2lcyu7jr5ky.ipfs.nftstorage.link?visual10.png</t>
  </si>
  <si>
    <t>https://bafybeiff5rn3wrz536fog5x2ve4xht7ocfzbkwptaxmerlncrw745d4pny.ipfs.nftstorage.link?visual11.png</t>
  </si>
  <si>
    <t>https://bafybeifelqehdyotoskirczuxehogaghk52dacdq6lpkddo3qlsoppc7ci.ipfs.nftstorage.link?visual12.png</t>
  </si>
  <si>
    <t>https://bafybeiahor5orbsur34n7cu72ldcx4e3zkiz7voo3unxul6q3k7neylofq.ipfs.nftstorage.link?visual13.png</t>
  </si>
  <si>
    <t>https://bafybeig5co2ksjm24xzyuqsiwzky45axgb4cwlksishtilt5l3cwufqley.ipfs.nftstorage.link?visual14.png</t>
  </si>
  <si>
    <t>https://bafybeig6rm4c3qtknb645ayntpxvdgg7ralbozibaqjo7cbfc7zcs33ceq.ipfs.nftstorage.link?visual15.png</t>
  </si>
  <si>
    <t>https://bafybeiekadpjhblridjsgpvk4rpz7gsdntuuckvkhosr2jyrdvju6huppe.ipfs.nftstorage.link?visual16.png</t>
  </si>
  <si>
    <t>https://bafybeiev4sdbllxvju2ynilxn4srrybina6kci2vsauuc3fjq653q6wx6q.ipfs.nftstorage.link?visual17.png</t>
  </si>
  <si>
    <t>https://bafybeih6xaonjhifyopkw2kpt4dq443ufg2jafrlzlh33iqcsptp4zlxvu.ipfs.nftstorage.link?visual18.png</t>
  </si>
  <si>
    <t>https://bafybeidwc3drcmnw2zbmtcdbl73jxp6xbmmpvmjkjz5nrrpgkxbqflh7ea.ipfs.nftstorage.link?visual19.png</t>
  </si>
  <si>
    <t>https://bafybeieyouuqoro7c4ndkf6mj6ux5ly7avm6iyiuadejzzqcqt2qxunjzm.ipfs.nftstorage.link?visual20.png</t>
  </si>
  <si>
    <t>https://bafybeiem3354uikctj7pbnsjytjitjyl547yjwklfvzmbyybj2fdoeq2em.ipfs.nftstorage.link?visual21.png</t>
  </si>
  <si>
    <t>https://bafybeifn66nejxx7rt6jn4suhgwmlyq7e4r6aridiqmyu7v4hqky7hmls4.ipfs.nftstorage.link?visual22.png</t>
  </si>
  <si>
    <t>https://bafybeidtqtromxhkelayphkjm24j45h2hagt2lsptrsoudykjpa2e7crcm.ipfs.nftstorage.link?visual23.png</t>
  </si>
  <si>
    <t>https://bafybeif2bhwpejyg4gu5cyerssze743mqqesjyduwqbvfqlwycyjlc4bra.ipfs.nftstorage.link?visual24.png</t>
  </si>
  <si>
    <t>https://bafybeig7xmla2v3w5c7lngdb43dmzjwtyvicdskanjtpay4wc26dqey35y.ipfs.nftstorage.link?visual25.png</t>
  </si>
  <si>
    <t>https://bafybeiaylo3bttjf2e3az7rnxpjc752jhuvsgyw634cnxxfhsl4ce2owiq.ipfs.nftstorage.link?visual26.png</t>
  </si>
  <si>
    <t>https://bafybeibz3hkeupsgmscgttlzdt6iin5zcgigqkge245xc6bglqgguqcgda.ipfs.nftstorage.link?visual27.png</t>
  </si>
  <si>
    <t>https://bafybeiftbctvtrbh5jvq5y4ci3nh6poyczei3fkajqcnbvtxrbfaf32xum.ipfs.nftstorage.link?visual28.png</t>
  </si>
  <si>
    <t>https://bafybeigwilgv2i5u5numqngwbfwc7wbrwlxjfz5oijbko36epe4tdtn4pe.ipfs.nftstorage.link?visual29.png</t>
  </si>
  <si>
    <t>https://bafybeiaqsm5jtxm2xzqesrbuwjw7hg6evn6sntwtahomckn7wmkfg6xsci.ipfs.nftstorage.link?visual30.png</t>
  </si>
  <si>
    <t>https://bafybeicfi5p5wry5tnu3xqqi3yjvvgicf6f2yg4ehs7xt2y7fckdofflk4.ipfs.nftstorage.link?visual31.png</t>
  </si>
  <si>
    <t>https://bafybeih6ebsj4kh2je66d74zt45kguwojpfw5abt3vz634qedwppeeax64.ipfs.nftstorage.link?visual32.png</t>
  </si>
  <si>
    <t>https://bafybeic4iywdosthoae7sx7naxozvooy5qjxugmisd6n3qpjdfssx2z5q4.ipfs.nftstorage.link?visual33.png</t>
  </si>
  <si>
    <t>https://bafybeibwhe3eb2raspitclkahb4n5feuiatafg4z4rhlvg3mn3lvd6t3qe.ipfs.nftstorage.link?visual34.png</t>
  </si>
  <si>
    <t>https://bafybeigyzokddccwnjtwtruf5cfzlyactcbrnr2acdcroosijeadgwx2am.ipfs.nftstorage.link?visual35.png</t>
  </si>
  <si>
    <t>https://bafybeiatxdt5maa6nsgffztw27ftrvby7pzdjrip3j4pyn7ukvxtho2p5y.ipfs.nftstorage.link?visual36.png</t>
  </si>
  <si>
    <t>https://bafybeih5d5lxzyizan6hd5aenhjbu4ugsdm3kqv5us53utf7dqo46b4xqy.ipfs.nftstorage.link?visual37.png</t>
  </si>
  <si>
    <t>https://bafybeigsnb3a6tbwcp6c64yxiqgelzelrv7tvuvm37mmc34u2nlfmdmag4.ipfs.nftstorage.link?visual38.png</t>
  </si>
  <si>
    <t>https://bafybeifmiplpldsy3xtzhkosfpxeg42wjf4uulx7c4qyne7grducpjoxiq.ipfs.nftstorage.link?visual39.png</t>
  </si>
  <si>
    <t>https://bafybeietli3eifgr6vuurorpuvguqiyfgw5ykaxwvmy7clltao55uibl2y.ipfs.nftstorage.link?visual40.png</t>
  </si>
  <si>
    <t>https://bafybeig6ruma6tnldwg5bqwsumflogz2ibt76xajjhebpfojbubz4g6viq.ipfs.nftstorage.link?visual41.png</t>
  </si>
  <si>
    <t>https://bafybeiana5rpqqiwijtdafkrzsxnnzcat33qww2vbkj327el6usj2taw5e.ipfs.nftstorage.link?visual42.png</t>
  </si>
  <si>
    <t>https://bafybeigk264uuwwhrt2nywulo42k4ylfjbz3fmpyszrazeopvneaejzoi4.ipfs.nftstorage.link?visual43.png</t>
  </si>
  <si>
    <t>https://bafybeigace26227x272omuzp2chpnhx6vv2rnglyou4o5sridutcztuk5y.ipfs.nftstorage.link?visual44.png</t>
  </si>
  <si>
    <t>https://bafybeihkyer3vcqybfdywfpfogd6hf7lguhoozaaw52ynglxdhstqwkxtm.ipfs.nftstorage.link?visual45.png</t>
  </si>
  <si>
    <t>https://bafybeibzd4s6wk3sznjmxogcnpxbkkhgonuawwmpc65fqe3fg2in3skgxm.ipfs.nftstorage.link?visual46.png</t>
  </si>
  <si>
    <t>https://bafybeiezlp3zpfsrt5kt436tupnmuzn2irqppxw2opitvbter2ijuw5oqu.ipfs.nftstorage.link?visual47.png</t>
  </si>
  <si>
    <t>https://bafybeib4mquntuhfbwno52olfavbnvvmefymhncv33nma3b7ok3j5n72oe.ipfs.nftstorage.link?visual48.png</t>
  </si>
  <si>
    <t>https://bafybeiasesgf5y334k6inn3jnbgushcdzw7txtlhylhduxtmqvfuxosyhu.ipfs.nftstorage.link?visual49.png</t>
  </si>
  <si>
    <t>https://bafybeie35uhrqt3p7ja6nksn7mwwum3odfpzm3wblulph6rvi26tdt6uyi.ipfs.nftstorage.link?visual50.png</t>
  </si>
  <si>
    <t>La Porteuse D'Eau, 3 ans - Pass NFT 5 jours pour 2 personnes, valable pour 3 éditions Calvi On The Rocks de votre choix.</t>
  </si>
  <si>
    <t>https://bafybeihq2d6zehgllk742aq7jsiyi5cehhnwllg7n4wkydyqvxzvognahq.ipfs.nftstorage.link?image_1.png</t>
  </si>
  <si>
    <t>La Porteuse D'Eau</t>
  </si>
  <si>
    <t>https://bafybeidizcobgccpx2mmgwhml4ohnz3szvapcdhnfcastwrkwgsimhrla4.ipfs.nftstorage.link?image_2.png</t>
  </si>
  <si>
    <t>https://bafybeifqocdtyiqames7ku7scinuwroubstxypwiiroecqckcehhl6fopu.ipfs.nftstorage.link?image_3.png</t>
  </si>
  <si>
    <t>https://bafybeif7vly34br6njb36rqvtbdl63pfnuuhnagank33mdlr7p5gctq4xy.ipfs.nftstorage.link?image_4.png</t>
  </si>
  <si>
    <t>https://bafybeiabysnvrxai6c3v4t6mg6dh6lvegid7s52666vvsrqsmlhlct7udq.ipfs.nftstorage.link?image_5.png</t>
  </si>
  <si>
    <t>https://bafybeihzut5ckldqoj3cu7f6plgftzytovtxf5dmz6cl5wl63p5tczvqge.ipfs.nftstorage.link?image_6.png</t>
  </si>
  <si>
    <t>https://bafybeiabpy2xwqhikhavpzxzyc6mhrqbkwea4iy6hi6vgxmvujq43buvn4.ipfs.nftstorage.link?image_7.png</t>
  </si>
  <si>
    <t>https://bafybeids7h5zro26e4shilrdvqj7i7tjyty2oqx652xwgafguce7vjbbem.ipfs.nftstorage.link?image_8.png</t>
  </si>
  <si>
    <t>https://bafybeidomhheaoacgwju3gav5lzdyg6bplai6hngzkt3utgdfcjwrv3bna.ipfs.nftstorage.link?image_9.png</t>
  </si>
  <si>
    <t>https://bafybeicordeza5gk2bza3mvxlpkuixf2rl7wnnuldoo222om2i4bxv2oqa.ipfs.nftstorage.link?image_10.png</t>
  </si>
  <si>
    <t>In Casa, 1 an - Pass NFT 1 jour pour 1 personne, valable pour 1 édition Calvi On The Rocks de votre choix.</t>
  </si>
  <si>
    <t>https://bafybeicoll5hta7svtdoafktcinhd425jp2rrb23igyngrt6gxvz5d5t4m.ipfs.nftstorage.link?image_1.png</t>
  </si>
  <si>
    <t>pour une(1) personne</t>
  </si>
  <si>
    <t>In Casa</t>
  </si>
  <si>
    <t>https://bafybeihs2mwol76ke7lxzkt42426xyyp3pifid6e4xfriqcgefem4z42ca.ipfs.nftstorage.link?image_2.png</t>
  </si>
  <si>
    <t>https://bafybeihg7br2nyp3bwduvcmw343g647l5yazn4lqifsrpmiju4ib4or3ca.ipfs.nftstorage.link?image_3.png</t>
  </si>
  <si>
    <t>https://bafybeifkznmi34p3yr7jyh3vxs5p4ixs2l6iyu7w5gfujhagnv6bvyqsoa.ipfs.nftstorage.link?image_4.png</t>
  </si>
  <si>
    <t>https://bafybeidcjat5b4fkmpuarowpxptwbdyhaqewb3hcf4k3k3jb4ci4tpdvdy.ipfs.nftstorage.link?image_5.png</t>
  </si>
  <si>
    <t>https://bafybeic5ibk7q6uy4axzy45eiwz7ixs2cbe4tp5qbbysdxnqlyjrekog5q.ipfs.nftstorage.link?image_6.png</t>
  </si>
  <si>
    <t>https://bafybeihfirwumpeac537ohp7j5iy5kasj5lhuoddx6duoqhj22ew7lrkba.ipfs.nftstorage.link?image_7.png</t>
  </si>
  <si>
    <t>https://bafybeibjbgbk63q42lrcdhtli2iqhp5efemuo3q5z4fgqleb2sjrjfoaya.ipfs.nftstorage.link?image_8.png</t>
  </si>
  <si>
    <t>https://bafybeiei46pxxotcdgfs5lg2osoxqs4jorf4lkezrt2i6qom776ygtoa6u.ipfs.nftstorage.link?image_9.png</t>
  </si>
  <si>
    <t>https://bafybeib64zppo6dfiejtgz67dh2uuff5mexka2747ogpkjabirujbpudh4.ipfs.nftstorage.link?image_10.png</t>
  </si>
  <si>
    <t>https://bafybeihm6o2khv7leb4kz2lgvo2vmt3bwcewrjv4a5xvqed4ol322u6nv4.ipfs.nftstorage.link?image_11.png</t>
  </si>
  <si>
    <t>https://bafybeibbiju5k463xbdqdmcqbqhcsrbym6lt4wdhybqzklvhzqpnvltvom.ipfs.nftstorage.link?image_12.png</t>
  </si>
  <si>
    <t>https://bafybeid7i4akooxuejxq2zmtsajshchkg2stmsst5pq5krk2bwvq46zwcy.ipfs.nftstorage.link?image_13.png</t>
  </si>
  <si>
    <t>https://bafybeig35i4gj4ijaps5itng2d7ivagpjp2qz6v7qdhxxkxkcnyhqrc7ma.ipfs.nftstorage.link?image_14.png</t>
  </si>
  <si>
    <t>https://bafybeiemmtdjejkk3fxg5dt7rosxaxwap2twqmw5ckvpbczukoq3hbp5by.ipfs.nftstorage.link?image_15.png</t>
  </si>
  <si>
    <t>https://bafybeifuk4acnivjp4r4ki3r5pfp726fldgbk3vfcoamjm73t2ycj5tg3m.ipfs.nftstorage.link?image_16.png</t>
  </si>
  <si>
    <t>https://bafybeia5c7daemckellktqrle4zsf5zxxgydguzb2t4jhwizwa2ddfhklu.ipfs.nftstorage.link?image_17.png</t>
  </si>
  <si>
    <t>https://bafybeicphs3qcir5ie2jo553gjupbxfwy2eh44oriqasmydazl757dss3i.ipfs.nftstorage.link?image_18.png</t>
  </si>
  <si>
    <t>https://bafybeif6ttfc74lqsdn45lhp6xug3cbz4sa64ykwq2cbozljqxb7dvg2om.ipfs.nftstorage.link?image_19.png</t>
  </si>
  <si>
    <t>https://bafybeiefaatdybxqagxi4cl36vbei75ne6hv4cew6otogtv6whnph6gdqu.ipfs.nftstorage.link?image_20.png</t>
  </si>
  <si>
    <t>https://bafybeicwojcjvg34jy4djfoe2ppagku65qqg3uj3xbwvvcn25be63xhbpu.ipfs.nftstorage.link?image_21.png</t>
  </si>
  <si>
    <t>https://bafybeidae6olwr27uutzzehvfowdhxjunmtjc3fypwxumyxxoa7ql5xtly.ipfs.nftstorage.link?image_22.png</t>
  </si>
  <si>
    <t>https://bafybeia64adrly342xzve6xqp2xu2xdr6mvwtftkz7c5kadx4ydecinqrq.ipfs.nftstorage.link?image_23.png</t>
  </si>
  <si>
    <t>https://bafybeichgctk7hfgrp3srhcfyyj3jhwphzucf5fssjjv3j4klilvryoapu.ipfs.nftstorage.link?image_24.png</t>
  </si>
  <si>
    <t>https://bafybeigo3ea2sztxcjn3hl72ebv6rubtgbaz3b3ztfhvabk47byxepaiby.ipfs.nftstorage.link?image_25.png</t>
  </si>
  <si>
    <t>https://bafybeig42qrpsu6iyhbhhy7q7kfpkopiibv6ili52fbnfh5vzmapfdhxlq.ipfs.nftstorage.link?image_26.png</t>
  </si>
  <si>
    <t>https://bafybeiezluznifxxxvzlgaz7upaz5t3ydvmyofmcdl75e3ofoccp44mhfe.ipfs.nftstorage.link?image_27.png</t>
  </si>
  <si>
    <t>https://bafybeic4wl5bjbkynw2cj5jmz5k6y4nxqbbojtodtf6vepr7xnl6an5yn4.ipfs.nftstorage.link?image_28.png</t>
  </si>
  <si>
    <t>https://bafybeihmq7nv7du37jtpkltzyizblm6v7iregzmbcsugxw4ugwa7bvkm6m.ipfs.nftstorage.link?image_29.png</t>
  </si>
  <si>
    <t>https://bafybeifpiy6ump2nkdalfsiiwafwgncmcp3bpq4fs6rsoaz77hisswzhlm.ipfs.nftstorage.link?image_30.png</t>
  </si>
  <si>
    <t>https://bafybeicrjz3acuufqoq4njhjrkjcw4tgqiwrj4vduosds2ukq7ws5m5oq4.ipfs.nftstorage.link?image_31.png</t>
  </si>
  <si>
    <t>https://bafybeia3kdwhk5sypyly7lcr7f5sum3mh5335i7rjcwrwbvnschpyy6w74.ipfs.nftstorage.link?image_32.png</t>
  </si>
  <si>
    <t>https://bafybeibwgz4pz23nc7q64hrankwlgww22p33ezrszvk6med5ddkssytqha.ipfs.nftstorage.link?image_33.png</t>
  </si>
  <si>
    <t>https://bafybeieevecaczohl2w5hcqqhou2dqkkgraa22kl6hovbt4mcshzj5uzze.ipfs.nftstorage.link?image_34.png</t>
  </si>
  <si>
    <t>https://bafybeid3hztvsplz5wwfh74vix3ycytlttcuc63g55727q5ub4n5hwybnm.ipfs.nftstorage.link?image_35.png</t>
  </si>
  <si>
    <t>https://bafybeiejafkg5hnvxhsd56gkkugnw62jlgfglp6m7aquw5gfye2f2lelzy.ipfs.nftstorage.link?image_36.png</t>
  </si>
  <si>
    <t>https://bafybeigwbo45aq4og73atyonjzvqjtvu47wlqgsn7x2akxxghw5uokzxna.ipfs.nftstorage.link?image_37.png</t>
  </si>
  <si>
    <t>https://bafybeigorzrkc5lugigqbl52x2zuu65jrrrufkpjqxjxp47tgvatc6wnem.ipfs.nftstorage.link?image_38.png</t>
  </si>
  <si>
    <t>https://bafybeibhthjppitimnt5moqnj5i44i7gqsts3n5tqc77pec2xtfz7dsvna.ipfs.nftstorage.link?image_39.png</t>
  </si>
  <si>
    <t>https://bafybeigi5bngpglrcvvtv2afmlky65g7c3tl2fnav754bb455phu7cxqry.ipfs.nftstorage.link?image_40.png</t>
  </si>
  <si>
    <t>https://bafybeigh7ljpuvn7skmx4anpow5rm5z5e6phywkvm6zjhdk7svgwtp32bi.ipfs.nftstorage.link?image_41.png</t>
  </si>
  <si>
    <t>https://bafybeih36fkexscaix2fi4ezikm4agozizkci5atvn4tlfwqlzk6jqyale.ipfs.nftstorage.link?image_42.png</t>
  </si>
  <si>
    <t>https://bafybeiepf2mmfhwxy2yfgiyakf4sr3c3lozzc72bkpy4c3wpujbpngapba.ipfs.nftstorage.link?image_43.png</t>
  </si>
  <si>
    <t>https://bafybeicbkrimta6u63lu37xvyys6gr7nftj4xzmwd4tw5ixvusqbwrpkhy.ipfs.nftstorage.link?image_44.png</t>
  </si>
  <si>
    <t>https://bafybeici7jwt5rdbrkdenuizedchyvnwqbeix2ny44c5pkoon3xowwxouu.ipfs.nftstorage.link?image_45.png</t>
  </si>
  <si>
    <t>https://bafybeidfbqo4nmxp2h46wujnl5fd7clgrj3rduhgcku475fnpf4hzhm6ui.ipfs.nftstorage.link?image_46.png</t>
  </si>
  <si>
    <t>https://bafybeicce3jue6k2jfz4u2cltz7rkznp6cnawbkyzeldbb56oifn76tkmm.ipfs.nftstorage.link?image_47.png</t>
  </si>
  <si>
    <t>https://bafybeifk3s3urdgsqmogbxnfdaxhkvqeojb34bn6qdtouby63d6vxwlb5u.ipfs.nftstorage.link?image_48.png</t>
  </si>
  <si>
    <t>https://bafybeidefyk2zvf7ylfslxbgjm7pdc4w5b4szrpgxh62t3srewbahcimwe.ipfs.nftstorage.link?image_49.png</t>
  </si>
  <si>
    <t>https://bafybeidakxptxt4ieutqjmqpupszvnao3uiiud7uhg5suqmtbcuuq4xvh4.ipfs.nftstorage.link?image_50.png</t>
  </si>
  <si>
    <t>https://bafybeiff4ejrpnavetojtg3f2alkvrnbgnbpquhv2xruyeuqk57yvkg2gq.ipfs.nftstorage.link?image_51.png</t>
  </si>
  <si>
    <t>https://bafybeidhsul6v627ocw23to3wvcoazwiuvxanxk5vakgoc3rnbapsspvh4.ipfs.nftstorage.link?image_52.png</t>
  </si>
  <si>
    <t>https://bafybeibbjjvf7nmfutg6oiokbkcebjvx545bqcqdkopzdzf2q4zfnvaqxi.ipfs.nftstorage.link?image_53.png</t>
  </si>
  <si>
    <t>https://bafybeig6dajub3zsvreyeynuwge3sdpolvsmhhnpporhsu6uurplucdowe.ipfs.nftstorage.link?image_54.png</t>
  </si>
  <si>
    <t>https://bafybeicse6agygkylqmn6q5ufcf52s2wa7wd5asvl2rqzo4k2dfh32ufsu.ipfs.nftstorage.link?image_55.png</t>
  </si>
  <si>
    <t>https://bafybeiblax7oq76vnezc62rqt3pzah6eym7ayffikv5zobzdawrzwpj32u.ipfs.nftstorage.link?image_56.png</t>
  </si>
  <si>
    <t>https://bafybeiaim7n4nom2mkvuuqjzjmblkx6v2bcvbyrfps7wpotgp5ufgi7ld4.ipfs.nftstorage.link?image_57.png</t>
  </si>
  <si>
    <t>https://bafybeihqbjbboop6ztdcv2bz2kz6thbtj3gdzt3rvz2lwaoxzsuskooqhi.ipfs.nftstorage.link?image_58.png</t>
  </si>
  <si>
    <t>https://bafybeihqtfqsyhidsal7p62q3rsme4wtym2xh4aru3lt7vlwpm76m2e2o4.ipfs.nftstorage.link?image_59.png</t>
  </si>
  <si>
    <t>https://bafybeidfiaiopx3m4oilu54xqz5el3hzrb6vmdez3signmas77h5uhjkry.ipfs.nftstorage.link?image_60.png</t>
  </si>
  <si>
    <t>https://bafybeicc536mtc3vwxymhzev4omj3lbpknbct4gu74yc2gt6amguarmk4a.ipfs.nftstorage.link?image_61.png</t>
  </si>
  <si>
    <t>https://bafybeigemaed5e4w5uesi5vrxfbxgbd73rm6bmoljgjc5w4x6e6mboe3sy.ipfs.nftstorage.link?image_62.png</t>
  </si>
  <si>
    <t>https://bafybeihfphislu5xsogrp55efv27xipghwjv5eyjrvzjkugcdbhskfakfq.ipfs.nftstorage.link?image_63.png</t>
  </si>
  <si>
    <t>https://bafybeih6pllty7u5bllrkhybu3ud5nkdjrfz6mj4fkgweykft2lin4cp74.ipfs.nftstorage.link?image_64.png</t>
  </si>
  <si>
    <t>https://bafybeigoncorcz4py43j3b2ynrvpjali2mmb5shx4bo4oij72absfsvrvu.ipfs.nftstorage.link?image_65.png</t>
  </si>
  <si>
    <t>https://bafybeia6mbkyuwxagggmfdx22smpexoyvpkemu3ovex2jfveyp3p3tzily.ipfs.nftstorage.link?image_66.png</t>
  </si>
  <si>
    <t>https://bafybeicfky5x2athgrdfowla7x5m6gm4guhv4dbzlgxcm5662fugdrhd6u.ipfs.nftstorage.link?image_67.png</t>
  </si>
  <si>
    <t>https://bafybeib2rwwtj5jbexgznjiwu2j6j6c2pb7oo6x6ehqifdsayneqjj6zai.ipfs.nftstorage.link?image_68.png</t>
  </si>
  <si>
    <t>https://bafybeigewp4od5qnefq4462vzpdmzvhhz3gepbmzdb2bdtyzzd3zwhij6m.ipfs.nftstorage.link?image_69.png</t>
  </si>
  <si>
    <t>https://bafybeig6c7tbs3rc3ubakaivbs3to6yxnsy2riwpcfl7xcfmapk3oray2e.ipfs.nftstorage.link?image_70.png</t>
  </si>
  <si>
    <t>https://bafybeidsmk456mdisgcz4el34yj7efuv5bjrzql67qp2ke7ymeg5hdqmom.ipfs.nftstorage.link?image_71.png</t>
  </si>
  <si>
    <t>https://bafybeicz7nes64p5aingffswz4vjcompsbn5ewcvtlopgdkxd4dmfvpqai.ipfs.nftstorage.link?image_72.png</t>
  </si>
  <si>
    <t>https://bafybeic5askllijlftb274ulyoehqra3l26m7vrhcyzg5srrzgkcjfkqtm.ipfs.nftstorage.link?image_73.png</t>
  </si>
  <si>
    <t>https://bafybeihulh3vzw5c3tfkqv5nin7qwq4om5ayt7ecaixldmoz6i5twx3rpy.ipfs.nftstorage.link?image_74.png</t>
  </si>
  <si>
    <t>https://bafybeiaetgdhdsx4us7e7lvqmtoajgmibyxlzbjzwn4py4x3iby76xdvii.ipfs.nftstorage.link?image_75.png</t>
  </si>
  <si>
    <t>https://bafybeihc3gzczmbdbrdlovituohd2niiqhqaeon3q73st7wmbxtntfcrm4.ipfs.nftstorage.link?image_76.png</t>
  </si>
  <si>
    <t>https://bafybeia4wzgbvxtlccvthcr36r65toigobijuu3trfgk6naoj7w67nnqsu.ipfs.nftstorage.link?image_77.png</t>
  </si>
  <si>
    <t>https://bafybeie6kamdjfnis4rjxukx47egoykgjyrrt4njmkeqxpvxfbsgkulgne.ipfs.nftstorage.link?image_78.png</t>
  </si>
  <si>
    <t>https://bafybeihtn2do4skkxhfl2wao7pxpkny6katwurabnxq4apfwh5yaktxt4m.ipfs.nftstorage.link?image_79.png</t>
  </si>
  <si>
    <t>https://bafybeibx4upif7v4uhk7dr2pizvncy7gywodsd3g4htbtawkdilvt3nfg4.ipfs.nftstorage.link?image_80.png</t>
  </si>
  <si>
    <t>https://bafybeiecpjkszjfihyajik3dbaqmwhgs4754pwlsyfupc7xzt5ltnm56oe.ipfs.nftstorage.link?image_81.png</t>
  </si>
  <si>
    <t>https://bafybeibbxzqmzm7fyve3n2izcihgq5iqpshf2pwrw7sphttybio2z2bdim.ipfs.nftstorage.link?image_82.png</t>
  </si>
  <si>
    <t>https://bafybeidear7246gqz3rg6btquloaayqfsa6bbwxwncw2hm6md4k5ue64oi.ipfs.nftstorage.link?image_83.png</t>
  </si>
  <si>
    <t>https://bafybeibmm4lre4uvodncdugwhzyn2pmdmexwabvwbmr5h2h74xxn7m7ale.ipfs.nftstorage.link?image_84.png</t>
  </si>
  <si>
    <t>https://bafybeical6wey46qjyce2itnrkn75cm4qvjnewuynsqcotimqwk7nccxxq.ipfs.nftstorage.link?image_85.png</t>
  </si>
  <si>
    <t>https://bafybeih5nog6yobsul5poc5m6qw6y4in63asdpt2l7a67aqhwt2xyra3oi.ipfs.nftstorage.link?image_86.png</t>
  </si>
  <si>
    <t>https://bafybeics7mek374va3phezzlmlng46jhs5ztwalr66sqxmmkgnyit62ini.ipfs.nftstorage.link?image_87.png</t>
  </si>
  <si>
    <t>https://bafybeidbbrpjvnvqxyiekdivbin62ibhywfzvpwwh66vvky7qmbepov2tq.ipfs.nftstorage.link?image_88.png</t>
  </si>
  <si>
    <t>https://bafybeiahqzwtgb2okltotmi3jmjkk4b3axiwduexzufe73pjvyoycevhoy.ipfs.nftstorage.link?image_89.png</t>
  </si>
  <si>
    <t>https://bafybeibaslkt7x4pfbxs26dsa4hvdu2l3i3ez3z3fgw5mb62xezghin5za.ipfs.nftstorage.link?image_90.png</t>
  </si>
  <si>
    <t>https://bafybeihgitfj2pbednpgkn4lbie4rjsxcon6je6f6vcbbfoakbkteopyki.ipfs.nftstorage.link?image_91.png</t>
  </si>
  <si>
    <t>https://bafybeib3yk7k4nmmqagnpltmikqtuusi2qd3urgn2tgap4a3tobk7fpaoa.ipfs.nftstorage.link?image_92.png</t>
  </si>
  <si>
    <t>https://bafybeidrphcekjbzwhnmjronjgbbsfwirtqb5eafoc3kfbeuilzat6m6ve.ipfs.nftstorage.link?image_93.png</t>
  </si>
  <si>
    <t>https://bafybeie6ba24c6vzctb37ouhx4y7ul27moxdxis3gw67it6pd7uhgtnfw4.ipfs.nftstorage.link?image_94.png</t>
  </si>
  <si>
    <t>https://bafybeicieu5ys3qn36pbqfirxbvzinnho5fhofexdfuyhnsjroj7w45xka.ipfs.nftstorage.link?image_95.png</t>
  </si>
  <si>
    <t>https://bafybeig2dfdhb44cf7irckvjmik2y2a2f3ucw7mcwc4zfpbibt437magiy.ipfs.nftstorage.link?image_96.png</t>
  </si>
  <si>
    <t>https://bafybeidlrvuybaok3od7ttzpiwmpv6qraizvrqt4m4nugbp3fiv26intm4.ipfs.nftstorage.link?image_97.png</t>
  </si>
  <si>
    <t>https://bafybeiaccmlitxktr65fxgpwcr27bt3xgwwc24kxk4eslkumvebekdpu2e.ipfs.nftstorage.link?image_98.png</t>
  </si>
  <si>
    <t>https://bafybeifiidlk54poeldkls7wll343w4nzapat536xyygxxghenv7q4c5wq.ipfs.nftstorage.link?image_99.png</t>
  </si>
  <si>
    <t>https://bafybeig7g2jprwxrb5gmuw5nagpe5eifjz2w2zpktcfv7rbmzl5rjtsplu.ipfs.nftstorage.link?image_100.png</t>
  </si>
  <si>
    <t>Google Cloud</t>
  </si>
  <si>
    <t>Miner / Update Authority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</si>
  <si>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</si>
  <si>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</si>
  <si>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</si>
  <si>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</si>
  <si>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</si>
  <si>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</si>
  <si>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</si>
  <si>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</si>
  <si>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</si>
  <si>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</si>
  <si>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Repository (si Github comme metadata)</t>
  </si>
  <si>
    <t>Repository</t>
  </si>
  <si>
    <t>airdrop</t>
  </si>
  <si>
    <t>test</t>
  </si>
  <si>
    <t>C:\Users\thoma\Downloads\Collection(lacit)\temp</t>
  </si>
  <si>
    <t>https://bafybeieb5gowbd2yayc4eefg62tpkvad5cyvunlyk44r3ppnpoqgd2j76m.ipfs.nftstorage.link?image_1.png</t>
  </si>
  <si>
    <t>https://bafybeifsadgrbtpzgroske3qggjle5irbkt6joq2n3hyrk2urnzm7phvym.ipfs.nftstorage.link?image_2.png</t>
  </si>
  <si>
    <t>https://bafybeihkvlzh3f7bvonc5rup65ywgxgovgzsgw5oibyfhpvqgpn7xjvmfy.ipfs.nftstorage.link?image_3.png</t>
  </si>
  <si>
    <t>https://bafybeigf6fbfhzua6kllohl2vzwo5o7bcgwd2w3h7orjzraf7uz55zrv24.ipfs.nftstorage.link?image_4.png</t>
  </si>
  <si>
    <t>https://bafybeib2nacyslyjp5vpypopuf6qgxsknvnyhdhfh4lhhgnz2gldin7gfi.ipfs.nftstorage.link?image_5.png</t>
  </si>
  <si>
    <t>https://bafybeig2gbsgxcqocd63aza57czcryvjsso3hnnus64xf3urjfuhhrtkzq.ipfs.nftstorage.link?image_6.png</t>
  </si>
  <si>
    <t>https://bafybeibplb2psb4mbinf6u4ihgsyf7lva77amjcklt2uy6vfuwn6c67p7y.ipfs.nftstorage.link?image_7.png</t>
  </si>
  <si>
    <t>https://bafybeih6cthl3l2rivjvokqh4p4pyo2xm5k2jpham6mezb2ebhxtc5tfau.ipfs.nftstorage.link?image_8.png</t>
  </si>
  <si>
    <t>https://bafybeia44xlm6hy5jxqdebyh73a6xcjr2jqmlefq4jnqm7crkqxs5qa7ai.ipfs.nftstorage.link?image_9.png</t>
  </si>
  <si>
    <t>https://bafybeiblrdmlrty6gqzqqx2d3khwvo2qsdslzcixtpr6bkzmxttxukm53i.ipfs.nftstorage.link?image_10.png</t>
  </si>
  <si>
    <t>Fichier JSON utilisé pour le minage</t>
  </si>
  <si>
    <t>Dudule</t>
  </si>
  <si>
    <t>DuduleMaster</t>
  </si>
  <si>
    <t>roger</t>
  </si>
  <si>
    <t>herve</t>
  </si>
  <si>
    <t>Fichier d'opération</t>
  </si>
  <si>
    <t>calvi22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</si>
</sst>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</cellStyleXfs>
  <cellXfs count="72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3" fillId="22" borderId="0" xfId="0" applyFont="1" applyFill="1"/>
    <xf numFmtId="0" fontId="11" fillId="15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Font="1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12" fillId="20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8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44821</xdr:rowOff>
    </xdr:from>
    <xdr:to>
      <xdr:col>0</xdr:col>
      <xdr:colOff>1792942</xdr:colOff>
      <xdr:row>4</xdr:row>
      <xdr:rowOff>224117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1"/>
          <a:ext cx="1714502" cy="997325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0.9.6</a:t>
          </a:r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11</xdr:row>
          <xdr:rowOff>9525</xdr:rowOff>
        </xdr:from>
        <xdr:to>
          <xdr:col>1</xdr:col>
          <xdr:colOff>66675</xdr:colOff>
          <xdr:row>12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2327413</xdr:colOff>
      <xdr:row>0</xdr:row>
      <xdr:rowOff>182216</xdr:rowOff>
    </xdr:from>
    <xdr:to>
      <xdr:col>7</xdr:col>
      <xdr:colOff>67503</xdr:colOff>
      <xdr:row>2</xdr:row>
      <xdr:rowOff>49695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15000" y="182216"/>
          <a:ext cx="2635112" cy="786849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99390</xdr:colOff>
      <xdr:row>10</xdr:row>
      <xdr:rowOff>49695</xdr:rowOff>
    </xdr:from>
    <xdr:to>
      <xdr:col>3</xdr:col>
      <xdr:colOff>207064</xdr:colOff>
      <xdr:row>14</xdr:row>
      <xdr:rowOff>57977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822173" y="2468217"/>
          <a:ext cx="1515717" cy="737151"/>
        </a:xfrm>
        <a:prstGeom prst="leftArrowCallout">
          <a:avLst>
            <a:gd name="adj1" fmla="val 17000"/>
            <a:gd name="adj2" fmla="val 14500"/>
            <a:gd name="adj3" fmla="val 31866"/>
            <a:gd name="adj4" fmla="val 6497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700"/>
            <a:t>Permet le chargement des fichiers images sur le serveur de stockage</a:t>
          </a:r>
          <a:r>
            <a:rPr lang="fr-FR" sz="700" baseline="0"/>
            <a:t> sélectionner</a:t>
          </a:r>
          <a:endParaRPr lang="fr-FR" sz="7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tokensol.nfluent.io/validate?" TargetMode="External"/><Relationship Id="rId7" Type="http://schemas.openxmlformats.org/officeDocument/2006/relationships/hyperlink" Target="https://bafybeigf6fbfhzua6kllohl2vzwo5o7bcgwd2w3h7orjzraf7uz55zrv24.ipfs.nftstorage.link/?image_4.png" TargetMode="External"/><Relationship Id="rId2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hyperlink" Target="https://bafybeifsadgrbtpzgroske3qggjle5irbkt6joq2n3hyrk2urnzm7phvym.ipfs.nftstorage.link/?image_2.png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s://bafybeihkvlzh3f7bvonc5rup65ywgxgovgzsgw5oibyfhpvqgpn7xjvmfy.ipfs.nftstorage.link/?image_3.png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bafybeieb5gowbd2yayc4eefg62tpkvad5cyvunlyk44r3ppnpoqgd2j76m.ipfs.nftstorage.link/?image_1.png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sol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T1224"/>
  <sheetViews>
    <sheetView showGridLines="0" tabSelected="1"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baseColWidth="10" defaultRowHeight="15" outlineLevelCol="1" x14ac:dyDescent="0.25"/>
  <cols>
    <col min="1" max="1" width="35.7109375" customWidth="1"/>
    <col min="2" max="2" width="5.85546875" style="20" customWidth="1"/>
    <col min="3" max="3" width="29.5703125" style="22" customWidth="1"/>
    <col min="4" max="4" width="13.42578125" customWidth="1"/>
    <col min="5" max="5" width="104.7109375" style="58" customWidth="1"/>
    <col min="6" max="6" width="24.7109375" style="20" customWidth="1"/>
    <col min="7" max="7" width="141.42578125" customWidth="1"/>
    <col min="8" max="8" width="12" style="20" customWidth="1"/>
    <col min="9" max="9" width="7.140625" customWidth="1"/>
    <col min="10" max="10" width="15.85546875" style="59" bestFit="1" customWidth="1"/>
    <col min="11" max="11" width="22.42578125" style="22" bestFit="1" customWidth="1"/>
    <col min="12" max="12" width="15.85546875" style="59" bestFit="1" customWidth="1"/>
    <col min="13" max="13" width="12.28515625" style="22" bestFit="1" customWidth="1"/>
    <col min="14" max="14" width="15.85546875" style="59" bestFit="1" customWidth="1"/>
    <col min="15" max="15" width="12.28515625" style="22" bestFit="1" customWidth="1"/>
    <col min="16" max="16" width="15.85546875" style="59" bestFit="1" customWidth="1"/>
    <col min="17" max="17" width="12.28515625" style="22" bestFit="1" customWidth="1"/>
    <col min="18" max="18" width="15.85546875" style="59" bestFit="1" customWidth="1" outlineLevel="1"/>
    <col min="19" max="19" width="12.28515625" style="22" bestFit="1" customWidth="1" outlineLevel="1"/>
    <col min="20" max="20" width="15.85546875" style="59" bestFit="1" customWidth="1" outlineLevel="1"/>
    <col min="21" max="21" width="12.28515625" style="22" bestFit="1" customWidth="1" outlineLevel="1"/>
    <col min="22" max="22" width="21.5703125" style="59" customWidth="1" outlineLevel="1"/>
    <col min="23" max="23" width="12.28515625" style="22" bestFit="1" customWidth="1" outlineLevel="1"/>
    <col min="24" max="24" width="15.85546875" style="59" bestFit="1" customWidth="1" outlineLevel="1"/>
    <col min="25" max="25" width="44.140625" style="22" bestFit="1" customWidth="1" outlineLevel="1"/>
    <col min="26" max="26" width="15.85546875" style="59" bestFit="1" customWidth="1" outlineLevel="1"/>
    <col min="27" max="27" width="82.28515625" style="22" bestFit="1" customWidth="1" outlineLevel="1"/>
    <col min="28" max="28" width="15.85546875" style="59" bestFit="1" customWidth="1" outlineLevel="1"/>
    <col min="29" max="29" width="56.5703125" style="22" bestFit="1" customWidth="1" outlineLevel="1"/>
    <col min="30" max="30" width="15.85546875" style="59" bestFit="1" customWidth="1" outlineLevel="1"/>
    <col min="31" max="31" width="61.140625" style="22" bestFit="1" customWidth="1" outlineLevel="1"/>
    <col min="32" max="32" width="15.85546875" style="59" bestFit="1" customWidth="1" outlineLevel="1"/>
    <col min="33" max="33" width="71" style="22" bestFit="1" customWidth="1" outlineLevel="1"/>
    <col min="34" max="34" width="15.85546875" style="59" bestFit="1" customWidth="1" outlineLevel="1"/>
    <col min="35" max="35" width="62.85546875" style="22" bestFit="1" customWidth="1" outlineLevel="1"/>
    <col min="36" max="36" width="15.85546875" style="59" bestFit="1" customWidth="1" outlineLevel="1"/>
    <col min="37" max="37" width="135.140625" style="22" bestFit="1" customWidth="1" outlineLevel="1"/>
    <col min="38" max="38" width="15.85546875" style="59" bestFit="1" customWidth="1" outlineLevel="1"/>
    <col min="39" max="39" width="57" style="22" bestFit="1" customWidth="1" outlineLevel="1"/>
    <col min="40" max="40" width="15.85546875" style="59" bestFit="1" customWidth="1" outlineLevel="1"/>
    <col min="41" max="41" width="19.7109375" style="22" bestFit="1" customWidth="1" outlineLevel="1"/>
    <col min="42" max="42" width="15.85546875" style="59" bestFit="1" customWidth="1" outlineLevel="1"/>
    <col min="43" max="43" width="12.28515625" style="22" bestFit="1" customWidth="1" outlineLevel="1"/>
    <col min="44" max="44" width="15.85546875" style="59" bestFit="1" customWidth="1" outlineLevel="1"/>
    <col min="45" max="45" width="12.28515625" style="22" bestFit="1" customWidth="1" outlineLevel="1"/>
    <col min="46" max="46" width="15.85546875" style="59" bestFit="1" customWidth="1" outlineLevel="1"/>
    <col min="47" max="47" width="12.28515625" style="22" bestFit="1" customWidth="1" outlineLevel="1"/>
    <col min="48" max="48" width="15.85546875" style="59" bestFit="1" customWidth="1" outlineLevel="1"/>
    <col min="49" max="49" width="44.7109375" customWidth="1" outlineLevel="1"/>
    <col min="50" max="55" width="13.85546875" style="20" customWidth="1"/>
    <col min="56" max="56" width="20" customWidth="1"/>
    <col min="57" max="57" width="12.85546875" customWidth="1"/>
    <col min="58" max="61" width="10.28515625" hidden="1" customWidth="1" outlineLevel="1"/>
    <col min="62" max="62" width="14.85546875" customWidth="1" collapsed="1"/>
    <col min="63" max="63" width="22.85546875" customWidth="1"/>
    <col min="64" max="65" width="0.28515625" style="20" customWidth="1"/>
    <col min="66" max="66" width="23.85546875" style="36" customWidth="1"/>
    <col min="67" max="67" width="23.85546875" style="36" hidden="1" customWidth="1" outlineLevel="1"/>
    <col min="68" max="69" width="23.85546875" hidden="1" customWidth="1" outlineLevel="1"/>
    <col min="70" max="70" width="23.85546875" style="38" hidden="1" customWidth="1" outlineLevel="1"/>
    <col min="71" max="71" width="27.42578125" customWidth="1" collapsed="1"/>
    <col min="72" max="72" width="42.42578125" style="20" customWidth="1"/>
  </cols>
  <sheetData>
    <row r="1" spans="1:72" s="29" customFormat="1" ht="21" customHeight="1" x14ac:dyDescent="0.4">
      <c r="B1" s="30"/>
      <c r="C1" s="66" t="s">
        <v>52</v>
      </c>
      <c r="D1" s="66"/>
      <c r="E1" s="66"/>
      <c r="F1" s="66"/>
      <c r="G1" s="66"/>
      <c r="H1" s="66"/>
      <c r="I1" s="66"/>
      <c r="J1" s="71" t="s">
        <v>54</v>
      </c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31"/>
      <c r="W1" s="31"/>
      <c r="X1" s="31"/>
      <c r="Y1" s="31"/>
      <c r="Z1" s="31"/>
      <c r="AA1" s="31"/>
      <c r="AB1" s="31"/>
      <c r="AC1" s="31"/>
      <c r="AD1" s="71" t="s">
        <v>54</v>
      </c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49"/>
      <c r="AQ1" s="49"/>
      <c r="AR1" s="49"/>
      <c r="AS1" s="49"/>
      <c r="AT1" s="49"/>
      <c r="AU1" s="49"/>
      <c r="AV1" s="49"/>
      <c r="AW1" s="49"/>
      <c r="AX1" s="68" t="s">
        <v>138</v>
      </c>
      <c r="AY1" s="68"/>
      <c r="AZ1" s="68"/>
      <c r="BA1" s="68"/>
      <c r="BB1" s="68"/>
      <c r="BC1" s="68"/>
      <c r="BD1" s="69" t="s">
        <v>15</v>
      </c>
      <c r="BE1" s="69"/>
      <c r="BF1" s="69"/>
      <c r="BG1" s="69"/>
      <c r="BH1" s="69"/>
      <c r="BI1" s="69"/>
      <c r="BJ1" s="70" t="s">
        <v>7</v>
      </c>
      <c r="BK1" s="70"/>
      <c r="BL1" s="33" t="s">
        <v>127</v>
      </c>
      <c r="BM1" s="33"/>
      <c r="BN1" s="67" t="s">
        <v>125</v>
      </c>
      <c r="BO1" s="67"/>
      <c r="BP1" s="67"/>
      <c r="BQ1" s="67"/>
      <c r="BR1" s="67"/>
      <c r="BS1" s="65" t="s">
        <v>135</v>
      </c>
      <c r="BT1" s="65"/>
    </row>
    <row r="2" spans="1:72" s="25" customFormat="1" ht="15.75" hidden="1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53</v>
      </c>
      <c r="I2" s="42" t="s">
        <v>34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37</v>
      </c>
      <c r="BL2" s="42" t="s">
        <v>84</v>
      </c>
      <c r="BM2" s="42"/>
      <c r="BN2" s="43" t="s">
        <v>151</v>
      </c>
      <c r="BO2" s="43" t="s">
        <v>152</v>
      </c>
      <c r="BP2" s="42" t="s">
        <v>153</v>
      </c>
      <c r="BQ2" s="42" t="s">
        <v>154</v>
      </c>
      <c r="BR2" s="44" t="s">
        <v>155</v>
      </c>
      <c r="BS2" s="25" t="s">
        <v>156</v>
      </c>
      <c r="BT2" s="26" t="s">
        <v>363</v>
      </c>
    </row>
    <row r="3" spans="1:72" s="9" customFormat="1" ht="21" customHeight="1" x14ac:dyDescent="0.25">
      <c r="B3" s="4" t="s">
        <v>118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126</v>
      </c>
      <c r="H3" s="4" t="s">
        <v>53</v>
      </c>
      <c r="I3" s="4" t="s">
        <v>34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37</v>
      </c>
      <c r="BL3" s="34" t="s">
        <v>84</v>
      </c>
      <c r="BM3" s="34"/>
      <c r="BN3" s="35" t="s">
        <v>121</v>
      </c>
      <c r="BO3" s="35" t="s">
        <v>122</v>
      </c>
      <c r="BP3" s="24" t="s">
        <v>123</v>
      </c>
      <c r="BQ3" s="24" t="s">
        <v>150</v>
      </c>
      <c r="BR3" s="37" t="s">
        <v>124</v>
      </c>
      <c r="BS3" s="48" t="s">
        <v>136</v>
      </c>
      <c r="BT3" s="48" t="s">
        <v>361</v>
      </c>
    </row>
    <row r="4" spans="1:72" ht="18.75" customHeight="1" x14ac:dyDescent="0.25">
      <c r="B4" s="20">
        <v>1</v>
      </c>
      <c r="C4" s="22" t="str">
        <f>+"La Citadella #"&amp;B4</f>
        <v>La Citadella #1</v>
      </c>
      <c r="D4" t="str">
        <f>"COR22A"&amp;B4</f>
        <v>COR22A1</v>
      </c>
      <c r="E4" s="58" t="s">
        <v>169</v>
      </c>
      <c r="F4" s="20">
        <v>1000</v>
      </c>
      <c r="G4" s="14" t="s">
        <v>372</v>
      </c>
      <c r="H4" s="23" t="s">
        <v>170</v>
      </c>
      <c r="J4" s="59" t="s">
        <v>38</v>
      </c>
      <c r="K4" s="22" t="s">
        <v>39</v>
      </c>
      <c r="L4" s="59" t="s">
        <v>171</v>
      </c>
      <c r="M4" s="22">
        <v>2</v>
      </c>
      <c r="N4" s="59" t="s">
        <v>172</v>
      </c>
      <c r="O4" s="22">
        <v>2</v>
      </c>
      <c r="P4" s="59" t="s">
        <v>173</v>
      </c>
      <c r="Q4" s="22">
        <v>2</v>
      </c>
      <c r="R4" s="59" t="s">
        <v>174</v>
      </c>
      <c r="S4" s="22">
        <v>2</v>
      </c>
      <c r="T4" s="59" t="s">
        <v>175</v>
      </c>
      <c r="U4" s="22">
        <v>2</v>
      </c>
      <c r="V4" s="59" t="s">
        <v>176</v>
      </c>
      <c r="X4" s="59" t="s">
        <v>40</v>
      </c>
      <c r="Y4" s="22" t="s">
        <v>177</v>
      </c>
      <c r="Z4" s="59" t="s">
        <v>41</v>
      </c>
      <c r="AA4" s="22" t="s">
        <v>46</v>
      </c>
      <c r="AB4" s="59" t="s">
        <v>42</v>
      </c>
      <c r="AC4" s="22" t="s">
        <v>178</v>
      </c>
      <c r="AD4" s="59" t="s">
        <v>43</v>
      </c>
      <c r="AE4" s="22" t="s">
        <v>179</v>
      </c>
      <c r="AF4" s="59" t="s">
        <v>44</v>
      </c>
      <c r="AG4" s="22" t="s">
        <v>47</v>
      </c>
      <c r="AH4" s="59" t="s">
        <v>75</v>
      </c>
      <c r="AI4" s="22" t="s">
        <v>48</v>
      </c>
      <c r="AJ4" s="59" t="s">
        <v>78</v>
      </c>
      <c r="AK4" s="22" t="s">
        <v>180</v>
      </c>
      <c r="AL4" s="59" t="s">
        <v>81</v>
      </c>
      <c r="AM4" s="22" t="s">
        <v>181</v>
      </c>
      <c r="AN4" s="59" t="s">
        <v>45</v>
      </c>
      <c r="AO4" s="22" t="s">
        <v>182</v>
      </c>
      <c r="AV4" s="59" t="s">
        <v>134</v>
      </c>
      <c r="AW4" s="22" t="str">
        <f>Settings!$B$5 &amp;  "?s=" &amp; D4 &amp; "&amp;platform=ftx"</f>
        <v>https://tokensol.nfluent.io?s=COR22A1&amp;platform=ftx</v>
      </c>
      <c r="AX4" s="20" t="s">
        <v>23</v>
      </c>
      <c r="AY4" s="20">
        <v>10</v>
      </c>
      <c r="AZ4" s="20" t="s">
        <v>24</v>
      </c>
      <c r="BA4" s="20">
        <v>90</v>
      </c>
      <c r="BD4" s="14"/>
      <c r="BJ4" t="s">
        <v>183</v>
      </c>
      <c r="BK4" t="s">
        <v>184</v>
      </c>
      <c r="BN4" s="36">
        <v>20000</v>
      </c>
      <c r="BO4" s="36">
        <v>4500</v>
      </c>
      <c r="BP4">
        <f>24*20</f>
        <v>480</v>
      </c>
      <c r="BR4" s="38">
        <v>44713</v>
      </c>
      <c r="BS4" s="20" t="s">
        <v>24</v>
      </c>
      <c r="BT4" s="20" t="str">
        <f t="shared" ref="BT4:BT13" si="0">SUBSTITUTE(BJ4," ","") &amp; "_" &amp; D4</f>
        <v>LaCitadella_COR22A1</v>
      </c>
    </row>
    <row r="5" spans="1:72" ht="18.75" customHeight="1" x14ac:dyDescent="0.25">
      <c r="B5" s="20">
        <f>+B4+1</f>
        <v>2</v>
      </c>
      <c r="C5" s="22" t="str">
        <f t="shared" ref="C5:C13" si="1">+"La Citadella #"&amp;B5</f>
        <v>La Citadella #2</v>
      </c>
      <c r="D5" t="str">
        <f t="shared" ref="D5:D13" si="2">"COR22A"&amp;B5</f>
        <v>COR22A2</v>
      </c>
      <c r="E5" s="58" t="s">
        <v>169</v>
      </c>
      <c r="F5" s="20">
        <v>1000</v>
      </c>
      <c r="G5" s="14" t="s">
        <v>373</v>
      </c>
      <c r="H5" s="23" t="s">
        <v>170</v>
      </c>
      <c r="J5" s="59" t="s">
        <v>38</v>
      </c>
      <c r="K5" s="22" t="s">
        <v>39</v>
      </c>
      <c r="L5" s="59" t="s">
        <v>171</v>
      </c>
      <c r="M5" s="22">
        <v>2</v>
      </c>
      <c r="N5" s="59" t="s">
        <v>172</v>
      </c>
      <c r="O5" s="22">
        <v>2</v>
      </c>
      <c r="P5" s="59" t="s">
        <v>173</v>
      </c>
      <c r="Q5" s="22">
        <v>2</v>
      </c>
      <c r="R5" s="59" t="s">
        <v>174</v>
      </c>
      <c r="S5" s="22">
        <v>2</v>
      </c>
      <c r="T5" s="59" t="s">
        <v>175</v>
      </c>
      <c r="U5" s="22">
        <v>2</v>
      </c>
      <c r="V5" s="59" t="s">
        <v>176</v>
      </c>
      <c r="X5" s="59" t="s">
        <v>40</v>
      </c>
      <c r="Y5" s="22" t="s">
        <v>177</v>
      </c>
      <c r="Z5" s="59" t="s">
        <v>41</v>
      </c>
      <c r="AA5" s="22" t="s">
        <v>46</v>
      </c>
      <c r="AB5" s="59" t="s">
        <v>42</v>
      </c>
      <c r="AC5" s="22" t="s">
        <v>178</v>
      </c>
      <c r="AD5" s="59" t="s">
        <v>43</v>
      </c>
      <c r="AE5" s="22" t="s">
        <v>179</v>
      </c>
      <c r="AF5" s="59" t="s">
        <v>44</v>
      </c>
      <c r="AG5" s="22" t="s">
        <v>47</v>
      </c>
      <c r="AH5" s="59" t="s">
        <v>75</v>
      </c>
      <c r="AI5" s="22" t="s">
        <v>48</v>
      </c>
      <c r="AJ5" s="59" t="s">
        <v>78</v>
      </c>
      <c r="AK5" s="22" t="s">
        <v>180</v>
      </c>
      <c r="AL5" s="59" t="s">
        <v>81</v>
      </c>
      <c r="AM5" s="22" t="s">
        <v>181</v>
      </c>
      <c r="AN5" s="59" t="s">
        <v>45</v>
      </c>
      <c r="AO5" s="22" t="s">
        <v>182</v>
      </c>
      <c r="AV5" s="59" t="s">
        <v>134</v>
      </c>
      <c r="AW5" s="22" t="str">
        <f>Settings!$B$5 &amp;  "?s=" &amp; D5 &amp; "&amp;platform=ftx"</f>
        <v>https://tokensol.nfluent.io?s=COR22A2&amp;platform=ftx</v>
      </c>
      <c r="AX5" s="20" t="s">
        <v>23</v>
      </c>
      <c r="AY5" s="20">
        <v>10</v>
      </c>
      <c r="AZ5" s="20" t="s">
        <v>24</v>
      </c>
      <c r="BA5" s="20">
        <v>90</v>
      </c>
      <c r="BD5" s="14"/>
      <c r="BJ5" t="s">
        <v>183</v>
      </c>
      <c r="BK5" t="s">
        <v>184</v>
      </c>
      <c r="BN5" s="36">
        <v>20000</v>
      </c>
      <c r="BO5" s="36">
        <v>4500</v>
      </c>
      <c r="BP5">
        <f t="shared" ref="BP5:BP63" si="3">24*20</f>
        <v>480</v>
      </c>
      <c r="BR5" s="38">
        <v>44713</v>
      </c>
      <c r="BS5" s="20" t="s">
        <v>24</v>
      </c>
      <c r="BT5" s="20" t="str">
        <f t="shared" si="0"/>
        <v>LaCitadella_COR22A2</v>
      </c>
    </row>
    <row r="6" spans="1:72" ht="18.75" customHeight="1" x14ac:dyDescent="0.25">
      <c r="B6" s="20">
        <f t="shared" ref="B6:B35" si="4">+B5+1</f>
        <v>3</v>
      </c>
      <c r="C6" s="22" t="str">
        <f t="shared" si="1"/>
        <v>La Citadella #3</v>
      </c>
      <c r="D6" t="str">
        <f t="shared" si="2"/>
        <v>COR22A3</v>
      </c>
      <c r="E6" s="58" t="s">
        <v>169</v>
      </c>
      <c r="F6" s="20">
        <v>1000</v>
      </c>
      <c r="G6" s="14" t="s">
        <v>374</v>
      </c>
      <c r="H6" s="23" t="s">
        <v>170</v>
      </c>
      <c r="J6" s="59" t="s">
        <v>38</v>
      </c>
      <c r="K6" s="22" t="s">
        <v>39</v>
      </c>
      <c r="L6" s="59" t="s">
        <v>171</v>
      </c>
      <c r="M6" s="22">
        <v>2</v>
      </c>
      <c r="N6" s="59" t="s">
        <v>172</v>
      </c>
      <c r="O6" s="22">
        <v>2</v>
      </c>
      <c r="P6" s="59" t="s">
        <v>173</v>
      </c>
      <c r="Q6" s="22">
        <v>2</v>
      </c>
      <c r="R6" s="59" t="s">
        <v>174</v>
      </c>
      <c r="S6" s="22">
        <v>2</v>
      </c>
      <c r="T6" s="59" t="s">
        <v>175</v>
      </c>
      <c r="U6" s="22">
        <v>2</v>
      </c>
      <c r="V6" s="59" t="s">
        <v>176</v>
      </c>
      <c r="X6" s="59" t="s">
        <v>40</v>
      </c>
      <c r="Y6" s="22" t="s">
        <v>177</v>
      </c>
      <c r="Z6" s="59" t="s">
        <v>41</v>
      </c>
      <c r="AA6" s="22" t="s">
        <v>46</v>
      </c>
      <c r="AB6" s="59" t="s">
        <v>42</v>
      </c>
      <c r="AC6" s="22" t="s">
        <v>178</v>
      </c>
      <c r="AD6" s="59" t="s">
        <v>43</v>
      </c>
      <c r="AE6" s="22" t="s">
        <v>179</v>
      </c>
      <c r="AF6" s="59" t="s">
        <v>44</v>
      </c>
      <c r="AG6" s="22" t="s">
        <v>47</v>
      </c>
      <c r="AH6" s="59" t="s">
        <v>75</v>
      </c>
      <c r="AI6" s="22" t="s">
        <v>48</v>
      </c>
      <c r="AJ6" s="59" t="s">
        <v>78</v>
      </c>
      <c r="AK6" s="22" t="s">
        <v>180</v>
      </c>
      <c r="AL6" s="59" t="s">
        <v>81</v>
      </c>
      <c r="AM6" s="22" t="s">
        <v>181</v>
      </c>
      <c r="AN6" s="59" t="s">
        <v>45</v>
      </c>
      <c r="AO6" s="22" t="s">
        <v>182</v>
      </c>
      <c r="AV6" s="59" t="s">
        <v>134</v>
      </c>
      <c r="AW6" s="22" t="str">
        <f>Settings!$B$5 &amp;  "?s=" &amp; D6 &amp; "&amp;platform=ftx"</f>
        <v>https://tokensol.nfluent.io?s=COR22A3&amp;platform=ftx</v>
      </c>
      <c r="AX6" s="20" t="s">
        <v>23</v>
      </c>
      <c r="AY6" s="20">
        <v>10</v>
      </c>
      <c r="AZ6" s="20" t="s">
        <v>24</v>
      </c>
      <c r="BA6" s="20">
        <v>90</v>
      </c>
      <c r="BD6" s="14"/>
      <c r="BJ6" t="s">
        <v>183</v>
      </c>
      <c r="BK6" t="s">
        <v>184</v>
      </c>
      <c r="BN6" s="36">
        <v>20000</v>
      </c>
      <c r="BO6" s="36">
        <v>4500</v>
      </c>
      <c r="BP6">
        <f t="shared" si="3"/>
        <v>480</v>
      </c>
      <c r="BR6" s="38">
        <v>44713</v>
      </c>
      <c r="BS6" s="20" t="s">
        <v>24</v>
      </c>
      <c r="BT6" s="20" t="str">
        <f t="shared" si="0"/>
        <v>LaCitadella_COR22A3</v>
      </c>
    </row>
    <row r="7" spans="1:72" ht="18.75" customHeight="1" x14ac:dyDescent="0.25">
      <c r="B7" s="20">
        <f t="shared" si="4"/>
        <v>4</v>
      </c>
      <c r="C7" s="22" t="str">
        <f t="shared" si="1"/>
        <v>La Citadella #4</v>
      </c>
      <c r="D7" t="str">
        <f t="shared" si="2"/>
        <v>COR22A4</v>
      </c>
      <c r="E7" s="58" t="s">
        <v>169</v>
      </c>
      <c r="F7" s="20">
        <v>1000</v>
      </c>
      <c r="G7" s="14" t="s">
        <v>375</v>
      </c>
      <c r="H7" s="23" t="s">
        <v>170</v>
      </c>
      <c r="J7" s="59" t="s">
        <v>38</v>
      </c>
      <c r="K7" s="22" t="s">
        <v>39</v>
      </c>
      <c r="L7" s="59" t="s">
        <v>171</v>
      </c>
      <c r="M7" s="22">
        <v>2</v>
      </c>
      <c r="N7" s="59" t="s">
        <v>172</v>
      </c>
      <c r="O7" s="22">
        <v>2</v>
      </c>
      <c r="P7" s="59" t="s">
        <v>173</v>
      </c>
      <c r="Q7" s="22">
        <v>2</v>
      </c>
      <c r="R7" s="59" t="s">
        <v>174</v>
      </c>
      <c r="S7" s="22">
        <v>2</v>
      </c>
      <c r="T7" s="59" t="s">
        <v>175</v>
      </c>
      <c r="U7" s="22">
        <v>2</v>
      </c>
      <c r="V7" s="59" t="s">
        <v>176</v>
      </c>
      <c r="X7" s="59" t="s">
        <v>40</v>
      </c>
      <c r="Y7" s="22" t="s">
        <v>177</v>
      </c>
      <c r="Z7" s="59" t="s">
        <v>41</v>
      </c>
      <c r="AA7" s="22" t="s">
        <v>46</v>
      </c>
      <c r="AB7" s="59" t="s">
        <v>42</v>
      </c>
      <c r="AC7" s="22" t="s">
        <v>178</v>
      </c>
      <c r="AD7" s="59" t="s">
        <v>43</v>
      </c>
      <c r="AE7" s="22" t="s">
        <v>179</v>
      </c>
      <c r="AF7" s="59" t="s">
        <v>44</v>
      </c>
      <c r="AG7" s="22" t="s">
        <v>47</v>
      </c>
      <c r="AH7" s="59" t="s">
        <v>75</v>
      </c>
      <c r="AI7" s="22" t="s">
        <v>48</v>
      </c>
      <c r="AJ7" s="59" t="s">
        <v>78</v>
      </c>
      <c r="AK7" s="22" t="s">
        <v>180</v>
      </c>
      <c r="AL7" s="59" t="s">
        <v>81</v>
      </c>
      <c r="AM7" s="22" t="s">
        <v>181</v>
      </c>
      <c r="AN7" s="59" t="s">
        <v>45</v>
      </c>
      <c r="AO7" s="22" t="s">
        <v>182</v>
      </c>
      <c r="AV7" s="59" t="s">
        <v>134</v>
      </c>
      <c r="AW7" s="22" t="str">
        <f>Settings!$B$5 &amp;  "?s=" &amp; D7 &amp; "&amp;platform=ftx"</f>
        <v>https://tokensol.nfluent.io?s=COR22A4&amp;platform=ftx</v>
      </c>
      <c r="AX7" s="20" t="s">
        <v>23</v>
      </c>
      <c r="AY7" s="20">
        <v>10</v>
      </c>
      <c r="AZ7" s="20" t="s">
        <v>24</v>
      </c>
      <c r="BA7" s="20">
        <v>90</v>
      </c>
      <c r="BD7" s="14"/>
      <c r="BJ7" t="s">
        <v>383</v>
      </c>
      <c r="BK7" t="s">
        <v>384</v>
      </c>
      <c r="BN7" s="36">
        <v>20000</v>
      </c>
      <c r="BO7" s="36">
        <v>4500</v>
      </c>
      <c r="BP7">
        <f t="shared" si="3"/>
        <v>480</v>
      </c>
      <c r="BR7" s="38">
        <v>44713</v>
      </c>
      <c r="BS7" s="20" t="s">
        <v>24</v>
      </c>
      <c r="BT7" s="20" t="str">
        <f t="shared" si="0"/>
        <v>Dudule_COR22A4</v>
      </c>
    </row>
    <row r="8" spans="1:72" ht="18.75" customHeight="1" x14ac:dyDescent="0.25">
      <c r="B8" s="20">
        <f t="shared" si="4"/>
        <v>5</v>
      </c>
      <c r="C8" s="22" t="str">
        <f t="shared" si="1"/>
        <v>La Citadella #5</v>
      </c>
      <c r="D8" t="str">
        <f t="shared" si="2"/>
        <v>COR22A5</v>
      </c>
      <c r="E8" s="58" t="s">
        <v>169</v>
      </c>
      <c r="F8" s="20">
        <v>1000</v>
      </c>
      <c r="G8" s="14" t="s">
        <v>376</v>
      </c>
      <c r="H8" s="23" t="s">
        <v>170</v>
      </c>
      <c r="J8" s="59" t="s">
        <v>38</v>
      </c>
      <c r="K8" s="22" t="s">
        <v>39</v>
      </c>
      <c r="L8" s="59" t="s">
        <v>171</v>
      </c>
      <c r="M8" s="22">
        <v>2</v>
      </c>
      <c r="N8" s="59" t="s">
        <v>172</v>
      </c>
      <c r="O8" s="22">
        <v>2</v>
      </c>
      <c r="P8" s="59" t="s">
        <v>173</v>
      </c>
      <c r="Q8" s="22">
        <v>2</v>
      </c>
      <c r="R8" s="59" t="s">
        <v>174</v>
      </c>
      <c r="S8" s="22">
        <v>2</v>
      </c>
      <c r="T8" s="59" t="s">
        <v>175</v>
      </c>
      <c r="U8" s="22">
        <v>2</v>
      </c>
      <c r="V8" s="59" t="s">
        <v>176</v>
      </c>
      <c r="X8" s="59" t="s">
        <v>40</v>
      </c>
      <c r="Y8" s="22" t="s">
        <v>177</v>
      </c>
      <c r="Z8" s="59" t="s">
        <v>41</v>
      </c>
      <c r="AA8" s="22" t="s">
        <v>46</v>
      </c>
      <c r="AB8" s="59" t="s">
        <v>42</v>
      </c>
      <c r="AC8" s="22" t="s">
        <v>178</v>
      </c>
      <c r="AD8" s="59" t="s">
        <v>43</v>
      </c>
      <c r="AE8" s="22" t="s">
        <v>179</v>
      </c>
      <c r="AF8" s="59" t="s">
        <v>44</v>
      </c>
      <c r="AG8" s="22" t="s">
        <v>47</v>
      </c>
      <c r="AH8" s="59" t="s">
        <v>75</v>
      </c>
      <c r="AI8" s="22" t="s">
        <v>48</v>
      </c>
      <c r="AJ8" s="59" t="s">
        <v>78</v>
      </c>
      <c r="AK8" s="22" t="s">
        <v>180</v>
      </c>
      <c r="AL8" s="59" t="s">
        <v>81</v>
      </c>
      <c r="AM8" s="22" t="s">
        <v>181</v>
      </c>
      <c r="AN8" s="59" t="s">
        <v>45</v>
      </c>
      <c r="AO8" s="22" t="s">
        <v>182</v>
      </c>
      <c r="AV8" s="59" t="s">
        <v>134</v>
      </c>
      <c r="AW8" s="22" t="str">
        <f>Settings!$B$5 &amp;  "?s=" &amp; D8 &amp; "&amp;platform=ftx"</f>
        <v>https://tokensol.nfluent.io?s=COR22A5&amp;platform=ftx</v>
      </c>
      <c r="AX8" s="20" t="s">
        <v>23</v>
      </c>
      <c r="AY8" s="20">
        <v>10</v>
      </c>
      <c r="AZ8" s="20" t="s">
        <v>24</v>
      </c>
      <c r="BA8" s="20">
        <v>90</v>
      </c>
      <c r="BD8" s="14"/>
      <c r="BJ8" t="s">
        <v>383</v>
      </c>
      <c r="BK8" t="s">
        <v>384</v>
      </c>
      <c r="BN8" s="36">
        <v>20000</v>
      </c>
      <c r="BO8" s="36">
        <v>4500</v>
      </c>
      <c r="BP8">
        <f t="shared" si="3"/>
        <v>480</v>
      </c>
      <c r="BR8" s="38">
        <v>44713</v>
      </c>
      <c r="BS8" s="20" t="s">
        <v>385</v>
      </c>
      <c r="BT8" s="20" t="str">
        <f t="shared" si="0"/>
        <v>Dudule_COR22A5</v>
      </c>
    </row>
    <row r="9" spans="1:72" ht="18.75" customHeight="1" x14ac:dyDescent="0.25">
      <c r="B9" s="20">
        <f t="shared" si="4"/>
        <v>6</v>
      </c>
      <c r="C9" s="22" t="str">
        <f t="shared" si="1"/>
        <v>La Citadella #6</v>
      </c>
      <c r="D9" t="str">
        <f t="shared" si="2"/>
        <v>COR22A6</v>
      </c>
      <c r="E9" s="58" t="s">
        <v>169</v>
      </c>
      <c r="F9" s="20">
        <v>1000</v>
      </c>
      <c r="G9" s="14" t="s">
        <v>377</v>
      </c>
      <c r="H9" s="23" t="s">
        <v>170</v>
      </c>
      <c r="J9" s="59" t="s">
        <v>38</v>
      </c>
      <c r="K9" s="22" t="s">
        <v>39</v>
      </c>
      <c r="L9" s="59" t="s">
        <v>171</v>
      </c>
      <c r="M9" s="22">
        <v>2</v>
      </c>
      <c r="N9" s="59" t="s">
        <v>172</v>
      </c>
      <c r="O9" s="22">
        <v>2</v>
      </c>
      <c r="P9" s="59" t="s">
        <v>173</v>
      </c>
      <c r="Q9" s="22">
        <v>2</v>
      </c>
      <c r="R9" s="59" t="s">
        <v>174</v>
      </c>
      <c r="S9" s="22">
        <v>2</v>
      </c>
      <c r="T9" s="59" t="s">
        <v>175</v>
      </c>
      <c r="U9" s="22">
        <v>2</v>
      </c>
      <c r="V9" s="59" t="s">
        <v>176</v>
      </c>
      <c r="X9" s="59" t="s">
        <v>40</v>
      </c>
      <c r="Y9" s="22" t="s">
        <v>177</v>
      </c>
      <c r="Z9" s="59" t="s">
        <v>41</v>
      </c>
      <c r="AA9" s="22" t="s">
        <v>46</v>
      </c>
      <c r="AB9" s="59" t="s">
        <v>42</v>
      </c>
      <c r="AC9" s="22" t="s">
        <v>178</v>
      </c>
      <c r="AD9" s="59" t="s">
        <v>43</v>
      </c>
      <c r="AE9" s="22" t="s">
        <v>179</v>
      </c>
      <c r="AF9" s="59" t="s">
        <v>44</v>
      </c>
      <c r="AG9" s="22" t="s">
        <v>47</v>
      </c>
      <c r="AH9" s="59" t="s">
        <v>75</v>
      </c>
      <c r="AI9" s="22" t="s">
        <v>48</v>
      </c>
      <c r="AJ9" s="59" t="s">
        <v>78</v>
      </c>
      <c r="AK9" s="22" t="s">
        <v>180</v>
      </c>
      <c r="AL9" s="59" t="s">
        <v>81</v>
      </c>
      <c r="AM9" s="22" t="s">
        <v>181</v>
      </c>
      <c r="AN9" s="59" t="s">
        <v>45</v>
      </c>
      <c r="AO9" s="22" t="s">
        <v>182</v>
      </c>
      <c r="AV9" s="59" t="s">
        <v>134</v>
      </c>
      <c r="AW9" s="22" t="str">
        <f>Settings!$B$5 &amp;  "?s=" &amp; D9 &amp; "&amp;platform=ftx"</f>
        <v>https://tokensol.nfluent.io?s=COR22A6&amp;platform=ftx</v>
      </c>
      <c r="AX9" s="20" t="s">
        <v>23</v>
      </c>
      <c r="AY9" s="20">
        <v>10</v>
      </c>
      <c r="AZ9" s="20" t="s">
        <v>24</v>
      </c>
      <c r="BA9" s="20">
        <v>90</v>
      </c>
      <c r="BD9" s="14"/>
      <c r="BJ9" t="s">
        <v>383</v>
      </c>
      <c r="BK9" t="s">
        <v>384</v>
      </c>
      <c r="BN9" s="36">
        <v>20000</v>
      </c>
      <c r="BO9" s="36">
        <v>4500</v>
      </c>
      <c r="BP9">
        <f t="shared" si="3"/>
        <v>480</v>
      </c>
      <c r="BR9" s="38">
        <v>44713</v>
      </c>
      <c r="BS9" s="20" t="s">
        <v>385</v>
      </c>
      <c r="BT9" s="20" t="str">
        <f t="shared" si="0"/>
        <v>Dudule_COR22A6</v>
      </c>
    </row>
    <row r="10" spans="1:72" ht="18.75" customHeight="1" x14ac:dyDescent="0.25">
      <c r="B10" s="20">
        <f t="shared" si="4"/>
        <v>7</v>
      </c>
      <c r="C10" s="22" t="str">
        <f t="shared" si="1"/>
        <v>La Citadella #7</v>
      </c>
      <c r="D10" t="str">
        <f t="shared" si="2"/>
        <v>COR22A7</v>
      </c>
      <c r="E10" s="58" t="s">
        <v>169</v>
      </c>
      <c r="F10" s="20">
        <v>1000</v>
      </c>
      <c r="G10" s="14" t="s">
        <v>378</v>
      </c>
      <c r="H10" s="23" t="s">
        <v>170</v>
      </c>
      <c r="J10" s="59" t="s">
        <v>38</v>
      </c>
      <c r="K10" s="22" t="s">
        <v>39</v>
      </c>
      <c r="L10" s="59" t="s">
        <v>171</v>
      </c>
      <c r="M10" s="22">
        <v>2</v>
      </c>
      <c r="N10" s="59" t="s">
        <v>172</v>
      </c>
      <c r="O10" s="22">
        <v>2</v>
      </c>
      <c r="P10" s="59" t="s">
        <v>173</v>
      </c>
      <c r="Q10" s="22">
        <v>2</v>
      </c>
      <c r="R10" s="59" t="s">
        <v>174</v>
      </c>
      <c r="S10" s="22">
        <v>2</v>
      </c>
      <c r="T10" s="59" t="s">
        <v>175</v>
      </c>
      <c r="U10" s="22">
        <v>2</v>
      </c>
      <c r="V10" s="59" t="s">
        <v>176</v>
      </c>
      <c r="X10" s="59" t="s">
        <v>40</v>
      </c>
      <c r="Y10" s="22" t="s">
        <v>177</v>
      </c>
      <c r="Z10" s="59" t="s">
        <v>41</v>
      </c>
      <c r="AA10" s="22" t="s">
        <v>46</v>
      </c>
      <c r="AB10" s="59" t="s">
        <v>42</v>
      </c>
      <c r="AC10" s="22" t="s">
        <v>178</v>
      </c>
      <c r="AD10" s="59" t="s">
        <v>43</v>
      </c>
      <c r="AE10" s="22" t="s">
        <v>179</v>
      </c>
      <c r="AF10" s="59" t="s">
        <v>44</v>
      </c>
      <c r="AG10" s="22" t="s">
        <v>47</v>
      </c>
      <c r="AH10" s="59" t="s">
        <v>75</v>
      </c>
      <c r="AI10" s="22" t="s">
        <v>48</v>
      </c>
      <c r="AJ10" s="59" t="s">
        <v>78</v>
      </c>
      <c r="AK10" s="22" t="s">
        <v>180</v>
      </c>
      <c r="AL10" s="59" t="s">
        <v>81</v>
      </c>
      <c r="AM10" s="22" t="s">
        <v>181</v>
      </c>
      <c r="AN10" s="59" t="s">
        <v>45</v>
      </c>
      <c r="AO10" s="22" t="s">
        <v>182</v>
      </c>
      <c r="AV10" s="59" t="s">
        <v>134</v>
      </c>
      <c r="AW10" s="22" t="str">
        <f>Settings!$B$5 &amp;  "?s=" &amp; D10 &amp; "&amp;platform=ftx"</f>
        <v>https://tokensol.nfluent.io?s=COR22A7&amp;platform=ftx</v>
      </c>
      <c r="AX10" s="20" t="s">
        <v>23</v>
      </c>
      <c r="AY10" s="20">
        <v>10</v>
      </c>
      <c r="AZ10" s="20" t="s">
        <v>24</v>
      </c>
      <c r="BA10" s="20">
        <v>90</v>
      </c>
      <c r="BD10" s="14"/>
      <c r="BJ10" t="s">
        <v>383</v>
      </c>
      <c r="BK10" t="s">
        <v>384</v>
      </c>
      <c r="BN10" s="36">
        <v>20000</v>
      </c>
      <c r="BO10" s="36">
        <v>4500</v>
      </c>
      <c r="BP10">
        <f t="shared" si="3"/>
        <v>480</v>
      </c>
      <c r="BR10" s="38">
        <v>44713</v>
      </c>
      <c r="BS10" s="20" t="s">
        <v>385</v>
      </c>
      <c r="BT10" s="20" t="str">
        <f t="shared" si="0"/>
        <v>Dudule_COR22A7</v>
      </c>
    </row>
    <row r="11" spans="1:72" ht="18.75" customHeight="1" x14ac:dyDescent="0.25">
      <c r="B11" s="20">
        <f t="shared" si="4"/>
        <v>8</v>
      </c>
      <c r="C11" s="22" t="str">
        <f t="shared" si="1"/>
        <v>La Citadella #8</v>
      </c>
      <c r="D11" t="str">
        <f t="shared" si="2"/>
        <v>COR22A8</v>
      </c>
      <c r="E11" s="58" t="s">
        <v>169</v>
      </c>
      <c r="F11" s="20">
        <v>1000</v>
      </c>
      <c r="G11" s="14" t="s">
        <v>379</v>
      </c>
      <c r="H11" s="23" t="s">
        <v>170</v>
      </c>
      <c r="J11" s="59" t="s">
        <v>38</v>
      </c>
      <c r="K11" s="22" t="s">
        <v>39</v>
      </c>
      <c r="L11" s="59" t="s">
        <v>171</v>
      </c>
      <c r="M11" s="22">
        <v>2</v>
      </c>
      <c r="N11" s="59" t="s">
        <v>172</v>
      </c>
      <c r="O11" s="22">
        <v>2</v>
      </c>
      <c r="P11" s="59" t="s">
        <v>173</v>
      </c>
      <c r="Q11" s="22">
        <v>2</v>
      </c>
      <c r="R11" s="59" t="s">
        <v>174</v>
      </c>
      <c r="S11" s="22">
        <v>2</v>
      </c>
      <c r="T11" s="59" t="s">
        <v>175</v>
      </c>
      <c r="U11" s="22">
        <v>2</v>
      </c>
      <c r="V11" s="59" t="s">
        <v>176</v>
      </c>
      <c r="X11" s="59" t="s">
        <v>40</v>
      </c>
      <c r="Y11" s="22" t="s">
        <v>177</v>
      </c>
      <c r="Z11" s="59" t="s">
        <v>41</v>
      </c>
      <c r="AA11" s="22" t="s">
        <v>46</v>
      </c>
      <c r="AB11" s="59" t="s">
        <v>42</v>
      </c>
      <c r="AC11" s="22" t="s">
        <v>178</v>
      </c>
      <c r="AD11" s="59" t="s">
        <v>43</v>
      </c>
      <c r="AE11" s="22" t="s">
        <v>179</v>
      </c>
      <c r="AF11" s="59" t="s">
        <v>44</v>
      </c>
      <c r="AG11" s="22" t="s">
        <v>47</v>
      </c>
      <c r="AH11" s="59" t="s">
        <v>75</v>
      </c>
      <c r="AI11" s="22" t="s">
        <v>48</v>
      </c>
      <c r="AJ11" s="59" t="s">
        <v>78</v>
      </c>
      <c r="AK11" s="22" t="s">
        <v>180</v>
      </c>
      <c r="AL11" s="59" t="s">
        <v>81</v>
      </c>
      <c r="AM11" s="22" t="s">
        <v>181</v>
      </c>
      <c r="AN11" s="59" t="s">
        <v>45</v>
      </c>
      <c r="AO11" s="22" t="s">
        <v>182</v>
      </c>
      <c r="AV11" s="59" t="s">
        <v>134</v>
      </c>
      <c r="AW11" s="22" t="str">
        <f>Settings!$B$5 &amp;  "?s=" &amp; D11 &amp; "&amp;platform=ftx"</f>
        <v>https://tokensol.nfluent.io?s=COR22A8&amp;platform=ftx</v>
      </c>
      <c r="AX11" s="20" t="s">
        <v>23</v>
      </c>
      <c r="AY11" s="20">
        <v>10</v>
      </c>
      <c r="AZ11" s="20" t="s">
        <v>24</v>
      </c>
      <c r="BA11" s="20">
        <v>90</v>
      </c>
      <c r="BD11" s="14"/>
      <c r="BJ11" t="s">
        <v>383</v>
      </c>
      <c r="BK11" t="s">
        <v>384</v>
      </c>
      <c r="BN11" s="36">
        <v>20000</v>
      </c>
      <c r="BO11" s="36">
        <v>4500</v>
      </c>
      <c r="BP11">
        <f t="shared" si="3"/>
        <v>480</v>
      </c>
      <c r="BR11" s="38">
        <v>44713</v>
      </c>
      <c r="BS11" s="20" t="s">
        <v>385</v>
      </c>
      <c r="BT11" s="20" t="str">
        <f t="shared" si="0"/>
        <v>Dudule_COR22A8</v>
      </c>
    </row>
    <row r="12" spans="1:72" ht="18.75" customHeight="1" x14ac:dyDescent="0.25">
      <c r="B12" s="20">
        <f t="shared" si="4"/>
        <v>9</v>
      </c>
      <c r="C12" s="22" t="str">
        <f t="shared" si="1"/>
        <v>La Citadella #9</v>
      </c>
      <c r="D12" t="str">
        <f t="shared" si="2"/>
        <v>COR22A9</v>
      </c>
      <c r="E12" s="58" t="s">
        <v>169</v>
      </c>
      <c r="F12" s="20">
        <v>1000</v>
      </c>
      <c r="G12" s="14" t="s">
        <v>380</v>
      </c>
      <c r="H12" s="23" t="s">
        <v>170</v>
      </c>
      <c r="J12" s="59" t="s">
        <v>38</v>
      </c>
      <c r="K12" s="22" t="s">
        <v>39</v>
      </c>
      <c r="L12" s="59" t="s">
        <v>171</v>
      </c>
      <c r="M12" s="22">
        <v>2</v>
      </c>
      <c r="N12" s="59" t="s">
        <v>172</v>
      </c>
      <c r="O12" s="22">
        <v>2</v>
      </c>
      <c r="P12" s="59" t="s">
        <v>173</v>
      </c>
      <c r="Q12" s="22">
        <v>2</v>
      </c>
      <c r="R12" s="59" t="s">
        <v>174</v>
      </c>
      <c r="S12" s="22">
        <v>2</v>
      </c>
      <c r="T12" s="59" t="s">
        <v>175</v>
      </c>
      <c r="U12" s="22">
        <v>2</v>
      </c>
      <c r="V12" s="59" t="s">
        <v>176</v>
      </c>
      <c r="X12" s="59" t="s">
        <v>40</v>
      </c>
      <c r="Y12" s="22" t="s">
        <v>177</v>
      </c>
      <c r="Z12" s="59" t="s">
        <v>41</v>
      </c>
      <c r="AA12" s="22" t="s">
        <v>46</v>
      </c>
      <c r="AB12" s="59" t="s">
        <v>42</v>
      </c>
      <c r="AC12" s="22" t="s">
        <v>178</v>
      </c>
      <c r="AD12" s="59" t="s">
        <v>43</v>
      </c>
      <c r="AE12" s="22" t="s">
        <v>179</v>
      </c>
      <c r="AF12" s="59" t="s">
        <v>44</v>
      </c>
      <c r="AG12" s="22" t="s">
        <v>47</v>
      </c>
      <c r="AH12" s="59" t="s">
        <v>75</v>
      </c>
      <c r="AI12" s="22" t="s">
        <v>48</v>
      </c>
      <c r="AJ12" s="59" t="s">
        <v>78</v>
      </c>
      <c r="AK12" s="22" t="s">
        <v>180</v>
      </c>
      <c r="AL12" s="59" t="s">
        <v>81</v>
      </c>
      <c r="AM12" s="22" t="s">
        <v>181</v>
      </c>
      <c r="AN12" s="59" t="s">
        <v>45</v>
      </c>
      <c r="AO12" s="22" t="s">
        <v>182</v>
      </c>
      <c r="AV12" s="59" t="s">
        <v>134</v>
      </c>
      <c r="AW12" s="22" t="str">
        <f>Settings!$B$5 &amp;  "?s=" &amp; D12 &amp; "&amp;platform=ftx"</f>
        <v>https://tokensol.nfluent.io?s=COR22A9&amp;platform=ftx</v>
      </c>
      <c r="AX12" s="20" t="s">
        <v>23</v>
      </c>
      <c r="AY12" s="20">
        <v>10</v>
      </c>
      <c r="AZ12" s="20" t="s">
        <v>24</v>
      </c>
      <c r="BA12" s="20">
        <v>90</v>
      </c>
      <c r="BD12" s="14"/>
      <c r="BJ12" t="s">
        <v>383</v>
      </c>
      <c r="BK12" t="s">
        <v>384</v>
      </c>
      <c r="BN12" s="36">
        <v>20000</v>
      </c>
      <c r="BO12" s="36">
        <v>4500</v>
      </c>
      <c r="BP12">
        <f t="shared" si="3"/>
        <v>480</v>
      </c>
      <c r="BR12" s="38">
        <v>44713</v>
      </c>
      <c r="BS12" s="20" t="s">
        <v>24</v>
      </c>
      <c r="BT12" s="20" t="str">
        <f t="shared" si="0"/>
        <v>Dudule_COR22A9</v>
      </c>
    </row>
    <row r="13" spans="1:72" ht="18.75" customHeight="1" x14ac:dyDescent="0.25">
      <c r="B13" s="20">
        <f t="shared" si="4"/>
        <v>10</v>
      </c>
      <c r="C13" s="22" t="str">
        <f t="shared" si="1"/>
        <v>La Citadella #10</v>
      </c>
      <c r="D13" t="str">
        <f t="shared" si="2"/>
        <v>COR22A10</v>
      </c>
      <c r="E13" s="58" t="s">
        <v>169</v>
      </c>
      <c r="F13" s="20">
        <v>1000</v>
      </c>
      <c r="G13" s="14" t="s">
        <v>381</v>
      </c>
      <c r="H13" s="23" t="s">
        <v>170</v>
      </c>
      <c r="J13" s="59" t="s">
        <v>38</v>
      </c>
      <c r="K13" s="22" t="s">
        <v>39</v>
      </c>
      <c r="L13" s="59" t="s">
        <v>171</v>
      </c>
      <c r="M13" s="22">
        <v>2</v>
      </c>
      <c r="N13" s="59" t="s">
        <v>172</v>
      </c>
      <c r="O13" s="22">
        <v>2</v>
      </c>
      <c r="P13" s="59" t="s">
        <v>173</v>
      </c>
      <c r="Q13" s="22">
        <v>2</v>
      </c>
      <c r="R13" s="59" t="s">
        <v>174</v>
      </c>
      <c r="S13" s="22">
        <v>2</v>
      </c>
      <c r="T13" s="59" t="s">
        <v>175</v>
      </c>
      <c r="U13" s="22">
        <v>2</v>
      </c>
      <c r="V13" s="59" t="s">
        <v>176</v>
      </c>
      <c r="X13" s="59" t="s">
        <v>40</v>
      </c>
      <c r="Y13" s="22" t="s">
        <v>177</v>
      </c>
      <c r="Z13" s="59" t="s">
        <v>41</v>
      </c>
      <c r="AA13" s="22" t="s">
        <v>46</v>
      </c>
      <c r="AB13" s="59" t="s">
        <v>42</v>
      </c>
      <c r="AC13" s="22" t="s">
        <v>178</v>
      </c>
      <c r="AD13" s="59" t="s">
        <v>43</v>
      </c>
      <c r="AE13" s="22" t="s">
        <v>179</v>
      </c>
      <c r="AF13" s="59" t="s">
        <v>44</v>
      </c>
      <c r="AG13" s="22" t="s">
        <v>47</v>
      </c>
      <c r="AH13" s="59" t="s">
        <v>75</v>
      </c>
      <c r="AI13" s="22" t="s">
        <v>48</v>
      </c>
      <c r="AJ13" s="59" t="s">
        <v>78</v>
      </c>
      <c r="AK13" s="22" t="s">
        <v>180</v>
      </c>
      <c r="AL13" s="59" t="s">
        <v>81</v>
      </c>
      <c r="AM13" s="22" t="s">
        <v>181</v>
      </c>
      <c r="AN13" s="59" t="s">
        <v>45</v>
      </c>
      <c r="AO13" s="22" t="s">
        <v>182</v>
      </c>
      <c r="AV13" s="59" t="s">
        <v>134</v>
      </c>
      <c r="AW13" s="22" t="str">
        <f>Settings!$B$5 &amp;  "?s=" &amp; D13 &amp; "&amp;platform=ftx"</f>
        <v>https://tokensol.nfluent.io?s=COR22A10&amp;platform=ftx</v>
      </c>
      <c r="AX13" s="20" t="s">
        <v>23</v>
      </c>
      <c r="AY13" s="20">
        <v>10</v>
      </c>
      <c r="AZ13" s="20" t="s">
        <v>24</v>
      </c>
      <c r="BA13" s="20">
        <v>90</v>
      </c>
      <c r="BD13" s="14"/>
      <c r="BJ13" t="s">
        <v>383</v>
      </c>
      <c r="BK13" t="s">
        <v>384</v>
      </c>
      <c r="BN13" s="36">
        <v>20000</v>
      </c>
      <c r="BO13" s="36">
        <v>4500</v>
      </c>
      <c r="BP13">
        <f t="shared" si="3"/>
        <v>480</v>
      </c>
      <c r="BR13" s="38">
        <v>44713</v>
      </c>
      <c r="BS13" s="20" t="s">
        <v>24</v>
      </c>
      <c r="BT13" s="20" t="str">
        <f t="shared" si="0"/>
        <v>Dudule_COR22A10</v>
      </c>
    </row>
    <row r="14" spans="1:72" ht="18.75" customHeight="1" x14ac:dyDescent="0.25">
      <c r="B14" s="20">
        <f t="shared" si="4"/>
        <v>11</v>
      </c>
      <c r="C14" s="22" t="str">
        <f>+"A Madonna Di A Sierra #"&amp;B14</f>
        <v>A Madonna Di A Sierra #11</v>
      </c>
      <c r="D14" t="str">
        <f>"COR22B"&amp;B14</f>
        <v>COR22B11</v>
      </c>
      <c r="E14" s="58" t="s">
        <v>186</v>
      </c>
      <c r="F14" s="20">
        <v>1000</v>
      </c>
      <c r="G14" s="14" t="s">
        <v>187</v>
      </c>
      <c r="H14" s="23" t="s">
        <v>170</v>
      </c>
      <c r="J14" s="59" t="s">
        <v>38</v>
      </c>
      <c r="K14" s="22" t="s">
        <v>39</v>
      </c>
      <c r="L14" s="59" t="s">
        <v>171</v>
      </c>
      <c r="M14" s="22">
        <v>2</v>
      </c>
      <c r="N14" s="59" t="s">
        <v>172</v>
      </c>
      <c r="O14" s="22">
        <v>2</v>
      </c>
      <c r="P14" s="59" t="s">
        <v>173</v>
      </c>
      <c r="Q14" s="22">
        <v>2</v>
      </c>
      <c r="V14" s="59" t="s">
        <v>176</v>
      </c>
      <c r="Z14" s="59" t="s">
        <v>40</v>
      </c>
      <c r="AA14" s="22" t="s">
        <v>46</v>
      </c>
      <c r="AF14" s="59" t="s">
        <v>41</v>
      </c>
      <c r="AG14" s="22" t="s">
        <v>47</v>
      </c>
      <c r="AH14" s="59" t="s">
        <v>42</v>
      </c>
      <c r="AI14" s="22" t="s">
        <v>48</v>
      </c>
      <c r="AJ14" s="59" t="s">
        <v>43</v>
      </c>
      <c r="AK14" s="22" t="s">
        <v>49</v>
      </c>
      <c r="AL14" s="59" t="s">
        <v>44</v>
      </c>
      <c r="AM14" s="22" t="s">
        <v>188</v>
      </c>
      <c r="AV14" s="59" t="s">
        <v>134</v>
      </c>
      <c r="AW14" s="22" t="str">
        <f>Settings!$B$5 &amp;  "?s=" &amp; D14 &amp; "&amp;platform=ftx"</f>
        <v>https://tokensol.nfluent.io?s=COR22B11&amp;platform=ftx</v>
      </c>
      <c r="AX14" s="20" t="s">
        <v>23</v>
      </c>
      <c r="AY14" s="20">
        <v>10</v>
      </c>
      <c r="AZ14" s="20" t="s">
        <v>24</v>
      </c>
      <c r="BA14" s="20">
        <v>90</v>
      </c>
      <c r="BD14" s="14" t="s">
        <v>189</v>
      </c>
      <c r="BE14" t="s">
        <v>190</v>
      </c>
      <c r="BJ14" t="s">
        <v>191</v>
      </c>
      <c r="BK14" t="s">
        <v>184</v>
      </c>
      <c r="BN14" s="36">
        <v>4500</v>
      </c>
      <c r="BO14" s="36">
        <v>4500</v>
      </c>
      <c r="BP14">
        <f t="shared" si="3"/>
        <v>480</v>
      </c>
      <c r="BR14" s="38">
        <v>44713</v>
      </c>
      <c r="BS14" s="20" t="s">
        <v>23</v>
      </c>
      <c r="BT14" s="20" t="str">
        <f t="shared" ref="BT14:BT68" si="5">SUBSTITUTE(BJ14," ","") &amp; "_" &amp; D14</f>
        <v>AMadonnaDiASierra_COR22B11</v>
      </c>
    </row>
    <row r="15" spans="1:72" ht="18.75" customHeight="1" x14ac:dyDescent="0.25">
      <c r="B15" s="20">
        <f t="shared" si="4"/>
        <v>12</v>
      </c>
      <c r="C15" s="22" t="str">
        <f t="shared" ref="C15:C63" si="6">+"A Madonna Di A Sierra #"&amp;B15</f>
        <v>A Madonna Di A Sierra #12</v>
      </c>
      <c r="D15" t="str">
        <f t="shared" ref="D15:D63" si="7">"COR22B"&amp;B15</f>
        <v>COR22B12</v>
      </c>
      <c r="E15" s="58" t="s">
        <v>186</v>
      </c>
      <c r="F15" s="20">
        <v>1000</v>
      </c>
      <c r="G15" s="14" t="s">
        <v>187</v>
      </c>
      <c r="H15" s="23" t="s">
        <v>170</v>
      </c>
      <c r="J15" s="59" t="s">
        <v>38</v>
      </c>
      <c r="K15" s="22" t="s">
        <v>39</v>
      </c>
      <c r="L15" s="59" t="s">
        <v>171</v>
      </c>
      <c r="M15" s="22">
        <v>2</v>
      </c>
      <c r="N15" s="59" t="s">
        <v>172</v>
      </c>
      <c r="O15" s="22">
        <v>2</v>
      </c>
      <c r="P15" s="59" t="s">
        <v>173</v>
      </c>
      <c r="Q15" s="22">
        <v>2</v>
      </c>
      <c r="V15" s="59" t="s">
        <v>176</v>
      </c>
      <c r="Z15" s="59" t="s">
        <v>40</v>
      </c>
      <c r="AA15" s="22" t="s">
        <v>46</v>
      </c>
      <c r="AF15" s="59" t="s">
        <v>41</v>
      </c>
      <c r="AG15" s="22" t="s">
        <v>47</v>
      </c>
      <c r="AH15" s="59" t="s">
        <v>42</v>
      </c>
      <c r="AI15" s="22" t="s">
        <v>48</v>
      </c>
      <c r="AJ15" s="59" t="s">
        <v>43</v>
      </c>
      <c r="AK15" s="22" t="s">
        <v>49</v>
      </c>
      <c r="AL15" s="59" t="s">
        <v>44</v>
      </c>
      <c r="AM15" s="22" t="s">
        <v>188</v>
      </c>
      <c r="AV15" s="59" t="s">
        <v>134</v>
      </c>
      <c r="AW15" s="22" t="str">
        <f>Settings!$B$5 &amp;  "?s=" &amp; D15 &amp; "&amp;platform=ftx"</f>
        <v>https://tokensol.nfluent.io?s=COR22B12&amp;platform=ftx</v>
      </c>
      <c r="AX15" s="20" t="s">
        <v>23</v>
      </c>
      <c r="AY15" s="20">
        <v>10</v>
      </c>
      <c r="AZ15" s="20" t="s">
        <v>24</v>
      </c>
      <c r="BA15" s="20">
        <v>90</v>
      </c>
      <c r="BD15" s="14" t="s">
        <v>189</v>
      </c>
      <c r="BE15" t="s">
        <v>190</v>
      </c>
      <c r="BJ15" t="s">
        <v>191</v>
      </c>
      <c r="BK15" t="s">
        <v>184</v>
      </c>
      <c r="BN15" s="36">
        <v>4500</v>
      </c>
      <c r="BO15" s="36">
        <v>4500</v>
      </c>
      <c r="BP15">
        <f t="shared" si="3"/>
        <v>480</v>
      </c>
      <c r="BR15" s="38">
        <v>44713</v>
      </c>
      <c r="BS15" s="20" t="s">
        <v>23</v>
      </c>
      <c r="BT15" s="20" t="str">
        <f t="shared" si="5"/>
        <v>AMadonnaDiASierra_COR22B12</v>
      </c>
    </row>
    <row r="16" spans="1:72" ht="18.75" customHeight="1" x14ac:dyDescent="0.25">
      <c r="A16" t="s">
        <v>119</v>
      </c>
      <c r="B16" s="20">
        <f t="shared" si="4"/>
        <v>13</v>
      </c>
      <c r="C16" s="22" t="str">
        <f t="shared" si="6"/>
        <v>A Madonna Di A Sierra #13</v>
      </c>
      <c r="D16" t="str">
        <f t="shared" si="7"/>
        <v>COR22B13</v>
      </c>
      <c r="E16" s="58" t="s">
        <v>186</v>
      </c>
      <c r="F16" s="20">
        <v>1000</v>
      </c>
      <c r="G16" s="14" t="s">
        <v>192</v>
      </c>
      <c r="H16" s="23" t="s">
        <v>170</v>
      </c>
      <c r="J16" s="59" t="s">
        <v>38</v>
      </c>
      <c r="K16" s="22" t="s">
        <v>39</v>
      </c>
      <c r="L16" s="59" t="s">
        <v>171</v>
      </c>
      <c r="M16" s="22">
        <v>2</v>
      </c>
      <c r="N16" s="59" t="s">
        <v>172</v>
      </c>
      <c r="O16" s="22">
        <v>2</v>
      </c>
      <c r="P16" s="59" t="s">
        <v>173</v>
      </c>
      <c r="Q16" s="22">
        <v>2</v>
      </c>
      <c r="V16" s="59" t="s">
        <v>176</v>
      </c>
      <c r="Z16" s="59" t="s">
        <v>40</v>
      </c>
      <c r="AA16" s="22" t="s">
        <v>46</v>
      </c>
      <c r="AF16" s="59" t="s">
        <v>41</v>
      </c>
      <c r="AG16" s="22" t="s">
        <v>47</v>
      </c>
      <c r="AH16" s="59" t="s">
        <v>42</v>
      </c>
      <c r="AI16" s="22" t="s">
        <v>48</v>
      </c>
      <c r="AJ16" s="59" t="s">
        <v>43</v>
      </c>
      <c r="AK16" s="22" t="s">
        <v>49</v>
      </c>
      <c r="AL16" s="59" t="s">
        <v>44</v>
      </c>
      <c r="AM16" s="22" t="s">
        <v>188</v>
      </c>
      <c r="AV16" s="59" t="s">
        <v>134</v>
      </c>
      <c r="AW16" s="22" t="str">
        <f>Settings!$B$5 &amp;  "?s=" &amp; D16 &amp; "&amp;platform=ftx"</f>
        <v>https://tokensol.nfluent.io?s=COR22B13&amp;platform=ftx</v>
      </c>
      <c r="AX16" s="20" t="s">
        <v>23</v>
      </c>
      <c r="AY16" s="20">
        <v>10</v>
      </c>
      <c r="AZ16" s="20" t="s">
        <v>24</v>
      </c>
      <c r="BA16" s="20">
        <v>90</v>
      </c>
      <c r="BD16" s="14" t="s">
        <v>189</v>
      </c>
      <c r="BE16" t="s">
        <v>190</v>
      </c>
      <c r="BJ16" t="s">
        <v>191</v>
      </c>
      <c r="BK16" t="s">
        <v>184</v>
      </c>
      <c r="BN16" s="36">
        <v>4500</v>
      </c>
      <c r="BO16" s="36">
        <v>4500</v>
      </c>
      <c r="BP16">
        <f t="shared" si="3"/>
        <v>480</v>
      </c>
      <c r="BR16" s="38">
        <v>44713</v>
      </c>
      <c r="BS16" s="20" t="s">
        <v>23</v>
      </c>
      <c r="BT16" s="20" t="str">
        <f t="shared" si="5"/>
        <v>AMadonnaDiASierra_COR22B13</v>
      </c>
    </row>
    <row r="17" spans="1:72" ht="18.75" customHeight="1" x14ac:dyDescent="0.25">
      <c r="A17" s="23" t="s">
        <v>120</v>
      </c>
      <c r="B17" s="20">
        <f t="shared" si="4"/>
        <v>14</v>
      </c>
      <c r="C17" s="22" t="str">
        <f t="shared" si="6"/>
        <v>A Madonna Di A Sierra #14</v>
      </c>
      <c r="D17" t="str">
        <f t="shared" si="7"/>
        <v>COR22B14</v>
      </c>
      <c r="E17" s="58" t="s">
        <v>186</v>
      </c>
      <c r="F17" s="20">
        <v>1000</v>
      </c>
      <c r="G17" s="14" t="s">
        <v>193</v>
      </c>
      <c r="H17" s="23" t="s">
        <v>170</v>
      </c>
      <c r="J17" s="59" t="s">
        <v>38</v>
      </c>
      <c r="K17" s="22" t="s">
        <v>39</v>
      </c>
      <c r="L17" s="59" t="s">
        <v>171</v>
      </c>
      <c r="M17" s="22">
        <v>2</v>
      </c>
      <c r="N17" s="59" t="s">
        <v>172</v>
      </c>
      <c r="O17" s="22">
        <v>2</v>
      </c>
      <c r="P17" s="59" t="s">
        <v>173</v>
      </c>
      <c r="Q17" s="22">
        <v>2</v>
      </c>
      <c r="V17" s="59" t="s">
        <v>176</v>
      </c>
      <c r="Z17" s="59" t="s">
        <v>40</v>
      </c>
      <c r="AA17" s="22" t="s">
        <v>46</v>
      </c>
      <c r="AF17" s="59" t="s">
        <v>41</v>
      </c>
      <c r="AG17" s="22" t="s">
        <v>47</v>
      </c>
      <c r="AH17" s="59" t="s">
        <v>42</v>
      </c>
      <c r="AI17" s="22" t="s">
        <v>48</v>
      </c>
      <c r="AJ17" s="59" t="s">
        <v>43</v>
      </c>
      <c r="AK17" s="22" t="s">
        <v>49</v>
      </c>
      <c r="AL17" s="59" t="s">
        <v>44</v>
      </c>
      <c r="AM17" s="22" t="s">
        <v>188</v>
      </c>
      <c r="AV17" s="59" t="s">
        <v>134</v>
      </c>
      <c r="AW17" s="22" t="str">
        <f>Settings!$B$5 &amp;  "?s=" &amp; D17 &amp; "&amp;platform=ftx"</f>
        <v>https://tokensol.nfluent.io?s=COR22B14&amp;platform=ftx</v>
      </c>
      <c r="AX17" s="20" t="s">
        <v>23</v>
      </c>
      <c r="AY17" s="20">
        <v>10</v>
      </c>
      <c r="AZ17" s="20" t="s">
        <v>24</v>
      </c>
      <c r="BA17" s="20">
        <v>90</v>
      </c>
      <c r="BD17" s="14" t="s">
        <v>189</v>
      </c>
      <c r="BE17" t="s">
        <v>190</v>
      </c>
      <c r="BJ17" t="s">
        <v>191</v>
      </c>
      <c r="BK17" t="s">
        <v>184</v>
      </c>
      <c r="BN17" s="36">
        <v>4500</v>
      </c>
      <c r="BO17" s="36">
        <v>4500</v>
      </c>
      <c r="BP17">
        <f t="shared" si="3"/>
        <v>480</v>
      </c>
      <c r="BR17" s="38">
        <v>44713</v>
      </c>
      <c r="BS17" s="20" t="s">
        <v>23</v>
      </c>
      <c r="BT17" s="20" t="str">
        <f t="shared" si="5"/>
        <v>AMadonnaDiASierra_COR22B14</v>
      </c>
    </row>
    <row r="18" spans="1:72" ht="18.75" customHeight="1" x14ac:dyDescent="0.25">
      <c r="B18" s="20">
        <f t="shared" si="4"/>
        <v>15</v>
      </c>
      <c r="C18" s="22" t="str">
        <f t="shared" si="6"/>
        <v>A Madonna Di A Sierra #15</v>
      </c>
      <c r="D18" t="str">
        <f t="shared" si="7"/>
        <v>COR22B15</v>
      </c>
      <c r="E18" s="58" t="s">
        <v>186</v>
      </c>
      <c r="F18" s="20">
        <v>1000</v>
      </c>
      <c r="G18" s="14" t="s">
        <v>194</v>
      </c>
      <c r="H18" s="23" t="s">
        <v>170</v>
      </c>
      <c r="J18" s="59" t="s">
        <v>38</v>
      </c>
      <c r="K18" s="22" t="s">
        <v>39</v>
      </c>
      <c r="L18" s="59" t="s">
        <v>171</v>
      </c>
      <c r="M18" s="22">
        <v>2</v>
      </c>
      <c r="N18" s="59" t="s">
        <v>172</v>
      </c>
      <c r="O18" s="22">
        <v>2</v>
      </c>
      <c r="P18" s="59" t="s">
        <v>173</v>
      </c>
      <c r="Q18" s="22">
        <v>2</v>
      </c>
      <c r="V18" s="59" t="s">
        <v>176</v>
      </c>
      <c r="Z18" s="59" t="s">
        <v>40</v>
      </c>
      <c r="AA18" s="22" t="s">
        <v>46</v>
      </c>
      <c r="AF18" s="59" t="s">
        <v>41</v>
      </c>
      <c r="AG18" s="22" t="s">
        <v>47</v>
      </c>
      <c r="AH18" s="59" t="s">
        <v>42</v>
      </c>
      <c r="AI18" s="22" t="s">
        <v>48</v>
      </c>
      <c r="AJ18" s="59" t="s">
        <v>43</v>
      </c>
      <c r="AK18" s="22" t="s">
        <v>49</v>
      </c>
      <c r="AL18" s="59" t="s">
        <v>44</v>
      </c>
      <c r="AM18" s="22" t="s">
        <v>188</v>
      </c>
      <c r="AV18" s="59" t="s">
        <v>134</v>
      </c>
      <c r="AW18" s="22" t="str">
        <f>Settings!$B$5 &amp;  "?s=" &amp; D18 &amp; "&amp;platform=ftx"</f>
        <v>https://tokensol.nfluent.io?s=COR22B15&amp;platform=ftx</v>
      </c>
      <c r="AX18" s="20" t="s">
        <v>23</v>
      </c>
      <c r="AY18" s="20">
        <v>10</v>
      </c>
      <c r="AZ18" s="20" t="s">
        <v>24</v>
      </c>
      <c r="BA18" s="20">
        <v>90</v>
      </c>
      <c r="BD18" s="14" t="s">
        <v>189</v>
      </c>
      <c r="BE18" t="s">
        <v>190</v>
      </c>
      <c r="BJ18" t="s">
        <v>191</v>
      </c>
      <c r="BK18" t="s">
        <v>184</v>
      </c>
      <c r="BN18" s="36">
        <v>4500</v>
      </c>
      <c r="BO18" s="36">
        <v>4500</v>
      </c>
      <c r="BP18">
        <f t="shared" si="3"/>
        <v>480</v>
      </c>
      <c r="BR18" s="38">
        <v>44713</v>
      </c>
      <c r="BS18" s="20" t="s">
        <v>386</v>
      </c>
      <c r="BT18" s="20" t="str">
        <f t="shared" si="5"/>
        <v>AMadonnaDiASierra_COR22B15</v>
      </c>
    </row>
    <row r="19" spans="1:72" ht="18.75" customHeight="1" x14ac:dyDescent="0.25">
      <c r="B19" s="20">
        <f t="shared" si="4"/>
        <v>16</v>
      </c>
      <c r="C19" s="22" t="str">
        <f t="shared" si="6"/>
        <v>A Madonna Di A Sierra #16</v>
      </c>
      <c r="D19" t="str">
        <f t="shared" si="7"/>
        <v>COR22B16</v>
      </c>
      <c r="E19" s="58" t="s">
        <v>186</v>
      </c>
      <c r="F19" s="20">
        <v>1000</v>
      </c>
      <c r="G19" s="14" t="s">
        <v>195</v>
      </c>
      <c r="H19" s="23" t="s">
        <v>170</v>
      </c>
      <c r="J19" s="59" t="s">
        <v>38</v>
      </c>
      <c r="K19" s="22" t="s">
        <v>39</v>
      </c>
      <c r="L19" s="59" t="s">
        <v>171</v>
      </c>
      <c r="M19" s="22">
        <v>2</v>
      </c>
      <c r="N19" s="59" t="s">
        <v>172</v>
      </c>
      <c r="O19" s="22">
        <v>2</v>
      </c>
      <c r="P19" s="59" t="s">
        <v>173</v>
      </c>
      <c r="Q19" s="22">
        <v>2</v>
      </c>
      <c r="V19" s="59" t="s">
        <v>176</v>
      </c>
      <c r="Z19" s="59" t="s">
        <v>40</v>
      </c>
      <c r="AA19" s="22" t="s">
        <v>46</v>
      </c>
      <c r="AF19" s="59" t="s">
        <v>41</v>
      </c>
      <c r="AG19" s="22" t="s">
        <v>47</v>
      </c>
      <c r="AH19" s="59" t="s">
        <v>42</v>
      </c>
      <c r="AI19" s="22" t="s">
        <v>48</v>
      </c>
      <c r="AJ19" s="59" t="s">
        <v>43</v>
      </c>
      <c r="AK19" s="22" t="s">
        <v>49</v>
      </c>
      <c r="AL19" s="59" t="s">
        <v>44</v>
      </c>
      <c r="AM19" s="22" t="s">
        <v>188</v>
      </c>
      <c r="AV19" s="59" t="s">
        <v>134</v>
      </c>
      <c r="AW19" s="22" t="str">
        <f>Settings!$B$5 &amp;  "?s=" &amp; D19 &amp; "&amp;platform=ftx"</f>
        <v>https://tokensol.nfluent.io?s=COR22B16&amp;platform=ftx</v>
      </c>
      <c r="AX19" s="20" t="s">
        <v>23</v>
      </c>
      <c r="AY19" s="20">
        <v>10</v>
      </c>
      <c r="AZ19" s="20" t="s">
        <v>24</v>
      </c>
      <c r="BA19" s="20">
        <v>90</v>
      </c>
      <c r="BD19" s="14" t="s">
        <v>189</v>
      </c>
      <c r="BE19" t="s">
        <v>190</v>
      </c>
      <c r="BJ19" t="s">
        <v>191</v>
      </c>
      <c r="BK19" t="s">
        <v>184</v>
      </c>
      <c r="BN19" s="36">
        <v>4500</v>
      </c>
      <c r="BO19" s="36">
        <v>4500</v>
      </c>
      <c r="BP19">
        <f t="shared" si="3"/>
        <v>480</v>
      </c>
      <c r="BR19" s="38">
        <v>44713</v>
      </c>
      <c r="BS19" s="20" t="s">
        <v>386</v>
      </c>
      <c r="BT19" s="20" t="str">
        <f t="shared" si="5"/>
        <v>AMadonnaDiASierra_COR22B16</v>
      </c>
    </row>
    <row r="20" spans="1:72" ht="18.75" customHeight="1" x14ac:dyDescent="0.25">
      <c r="B20" s="20">
        <f t="shared" si="4"/>
        <v>17</v>
      </c>
      <c r="C20" s="22" t="str">
        <f t="shared" si="6"/>
        <v>A Madonna Di A Sierra #17</v>
      </c>
      <c r="D20" t="str">
        <f t="shared" si="7"/>
        <v>COR22B17</v>
      </c>
      <c r="E20" s="58" t="s">
        <v>186</v>
      </c>
      <c r="F20" s="20">
        <v>1000</v>
      </c>
      <c r="G20" s="14" t="s">
        <v>196</v>
      </c>
      <c r="H20" s="23" t="s">
        <v>170</v>
      </c>
      <c r="J20" s="59" t="s">
        <v>38</v>
      </c>
      <c r="K20" s="22" t="s">
        <v>39</v>
      </c>
      <c r="L20" s="59" t="s">
        <v>171</v>
      </c>
      <c r="M20" s="22">
        <v>2</v>
      </c>
      <c r="N20" s="59" t="s">
        <v>172</v>
      </c>
      <c r="O20" s="22">
        <v>2</v>
      </c>
      <c r="P20" s="59" t="s">
        <v>173</v>
      </c>
      <c r="Q20" s="22">
        <v>2</v>
      </c>
      <c r="V20" s="59" t="s">
        <v>176</v>
      </c>
      <c r="Z20" s="59" t="s">
        <v>40</v>
      </c>
      <c r="AA20" s="22" t="s">
        <v>46</v>
      </c>
      <c r="AF20" s="59" t="s">
        <v>41</v>
      </c>
      <c r="AG20" s="22" t="s">
        <v>47</v>
      </c>
      <c r="AH20" s="59" t="s">
        <v>42</v>
      </c>
      <c r="AI20" s="22" t="s">
        <v>48</v>
      </c>
      <c r="AJ20" s="59" t="s">
        <v>43</v>
      </c>
      <c r="AK20" s="22" t="s">
        <v>49</v>
      </c>
      <c r="AL20" s="59" t="s">
        <v>44</v>
      </c>
      <c r="AM20" s="22" t="s">
        <v>188</v>
      </c>
      <c r="AV20" s="59" t="s">
        <v>134</v>
      </c>
      <c r="AW20" s="22" t="str">
        <f>Settings!$B$5 &amp;  "?s=" &amp; D20 &amp; "&amp;platform=ftx"</f>
        <v>https://tokensol.nfluent.io?s=COR22B17&amp;platform=ftx</v>
      </c>
      <c r="AX20" s="20" t="s">
        <v>23</v>
      </c>
      <c r="AY20" s="20">
        <v>10</v>
      </c>
      <c r="AZ20" s="20" t="s">
        <v>24</v>
      </c>
      <c r="BA20" s="20">
        <v>90</v>
      </c>
      <c r="BD20" s="14" t="s">
        <v>189</v>
      </c>
      <c r="BE20" t="s">
        <v>190</v>
      </c>
      <c r="BJ20" t="s">
        <v>191</v>
      </c>
      <c r="BK20" t="s">
        <v>184</v>
      </c>
      <c r="BN20" s="36">
        <v>4500</v>
      </c>
      <c r="BO20" s="36">
        <v>4500</v>
      </c>
      <c r="BP20">
        <f t="shared" si="3"/>
        <v>480</v>
      </c>
      <c r="BR20" s="38">
        <v>44713</v>
      </c>
      <c r="BS20" s="20" t="s">
        <v>386</v>
      </c>
      <c r="BT20" s="20" t="str">
        <f t="shared" si="5"/>
        <v>AMadonnaDiASierra_COR22B17</v>
      </c>
    </row>
    <row r="21" spans="1:72" ht="18.75" customHeight="1" x14ac:dyDescent="0.25">
      <c r="B21" s="20">
        <f t="shared" si="4"/>
        <v>18</v>
      </c>
      <c r="C21" s="22" t="str">
        <f t="shared" si="6"/>
        <v>A Madonna Di A Sierra #18</v>
      </c>
      <c r="D21" t="str">
        <f t="shared" si="7"/>
        <v>COR22B18</v>
      </c>
      <c r="E21" s="58" t="s">
        <v>186</v>
      </c>
      <c r="F21" s="20">
        <v>1000</v>
      </c>
      <c r="G21" s="14" t="s">
        <v>197</v>
      </c>
      <c r="H21" s="23" t="s">
        <v>170</v>
      </c>
      <c r="J21" s="59" t="s">
        <v>38</v>
      </c>
      <c r="K21" s="22" t="s">
        <v>39</v>
      </c>
      <c r="L21" s="59" t="s">
        <v>171</v>
      </c>
      <c r="M21" s="22">
        <v>2</v>
      </c>
      <c r="N21" s="59" t="s">
        <v>172</v>
      </c>
      <c r="O21" s="22">
        <v>2</v>
      </c>
      <c r="P21" s="59" t="s">
        <v>173</v>
      </c>
      <c r="Q21" s="22">
        <v>2</v>
      </c>
      <c r="V21" s="59" t="s">
        <v>176</v>
      </c>
      <c r="Z21" s="59" t="s">
        <v>40</v>
      </c>
      <c r="AA21" s="22" t="s">
        <v>46</v>
      </c>
      <c r="AF21" s="59" t="s">
        <v>41</v>
      </c>
      <c r="AG21" s="22" t="s">
        <v>47</v>
      </c>
      <c r="AH21" s="59" t="s">
        <v>42</v>
      </c>
      <c r="AI21" s="22" t="s">
        <v>48</v>
      </c>
      <c r="AJ21" s="59" t="s">
        <v>43</v>
      </c>
      <c r="AK21" s="22" t="s">
        <v>49</v>
      </c>
      <c r="AL21" s="59" t="s">
        <v>44</v>
      </c>
      <c r="AM21" s="22" t="s">
        <v>188</v>
      </c>
      <c r="AV21" s="59" t="s">
        <v>134</v>
      </c>
      <c r="AW21" s="22" t="str">
        <f>Settings!$B$5 &amp;  "?s=" &amp; D21 &amp; "&amp;platform=ftx"</f>
        <v>https://tokensol.nfluent.io?s=COR22B18&amp;platform=ftx</v>
      </c>
      <c r="AX21" s="20" t="s">
        <v>23</v>
      </c>
      <c r="AY21" s="20">
        <v>10</v>
      </c>
      <c r="AZ21" s="20" t="s">
        <v>24</v>
      </c>
      <c r="BA21" s="20">
        <v>90</v>
      </c>
      <c r="BD21" s="14" t="s">
        <v>189</v>
      </c>
      <c r="BE21" t="s">
        <v>190</v>
      </c>
      <c r="BJ21" t="s">
        <v>191</v>
      </c>
      <c r="BK21" t="s">
        <v>184</v>
      </c>
      <c r="BN21" s="36">
        <v>4500</v>
      </c>
      <c r="BO21" s="36">
        <v>4500</v>
      </c>
      <c r="BP21">
        <f t="shared" si="3"/>
        <v>480</v>
      </c>
      <c r="BR21" s="38">
        <v>44713</v>
      </c>
      <c r="BS21" s="20" t="s">
        <v>386</v>
      </c>
      <c r="BT21" s="20" t="str">
        <f t="shared" si="5"/>
        <v>AMadonnaDiASierra_COR22B18</v>
      </c>
    </row>
    <row r="22" spans="1:72" ht="18.75" customHeight="1" x14ac:dyDescent="0.25">
      <c r="B22" s="20">
        <f t="shared" si="4"/>
        <v>19</v>
      </c>
      <c r="C22" s="22" t="str">
        <f t="shared" si="6"/>
        <v>A Madonna Di A Sierra #19</v>
      </c>
      <c r="D22" t="str">
        <f t="shared" si="7"/>
        <v>COR22B19</v>
      </c>
      <c r="E22" s="58" t="s">
        <v>186</v>
      </c>
      <c r="F22" s="20">
        <v>1000</v>
      </c>
      <c r="G22" s="14" t="s">
        <v>198</v>
      </c>
      <c r="H22" s="23" t="s">
        <v>170</v>
      </c>
      <c r="J22" s="59" t="s">
        <v>38</v>
      </c>
      <c r="K22" s="22" t="s">
        <v>39</v>
      </c>
      <c r="L22" s="59" t="s">
        <v>171</v>
      </c>
      <c r="M22" s="22">
        <v>2</v>
      </c>
      <c r="N22" s="59" t="s">
        <v>172</v>
      </c>
      <c r="O22" s="22">
        <v>2</v>
      </c>
      <c r="P22" s="59" t="s">
        <v>173</v>
      </c>
      <c r="Q22" s="22">
        <v>2</v>
      </c>
      <c r="V22" s="59" t="s">
        <v>176</v>
      </c>
      <c r="Z22" s="59" t="s">
        <v>40</v>
      </c>
      <c r="AA22" s="22" t="s">
        <v>46</v>
      </c>
      <c r="AF22" s="59" t="s">
        <v>41</v>
      </c>
      <c r="AG22" s="22" t="s">
        <v>47</v>
      </c>
      <c r="AH22" s="59" t="s">
        <v>42</v>
      </c>
      <c r="AI22" s="22" t="s">
        <v>48</v>
      </c>
      <c r="AJ22" s="59" t="s">
        <v>43</v>
      </c>
      <c r="AK22" s="22" t="s">
        <v>49</v>
      </c>
      <c r="AL22" s="59" t="s">
        <v>44</v>
      </c>
      <c r="AM22" s="22" t="s">
        <v>188</v>
      </c>
      <c r="AV22" s="59" t="s">
        <v>134</v>
      </c>
      <c r="AW22" s="22" t="str">
        <f>Settings!$B$5 &amp;  "?s=" &amp; D22 &amp; "&amp;platform=ftx"</f>
        <v>https://tokensol.nfluent.io?s=COR22B19&amp;platform=ftx</v>
      </c>
      <c r="AX22" s="20" t="s">
        <v>23</v>
      </c>
      <c r="AY22" s="20">
        <v>10</v>
      </c>
      <c r="AZ22" s="20" t="s">
        <v>24</v>
      </c>
      <c r="BA22" s="20">
        <v>90</v>
      </c>
      <c r="BD22" s="14" t="s">
        <v>189</v>
      </c>
      <c r="BE22" t="s">
        <v>190</v>
      </c>
      <c r="BJ22" t="s">
        <v>191</v>
      </c>
      <c r="BK22" t="s">
        <v>184</v>
      </c>
      <c r="BN22" s="36">
        <v>4500</v>
      </c>
      <c r="BO22" s="36">
        <v>4500</v>
      </c>
      <c r="BP22">
        <f t="shared" si="3"/>
        <v>480</v>
      </c>
      <c r="BR22" s="38">
        <v>44713</v>
      </c>
      <c r="BS22" s="20" t="s">
        <v>386</v>
      </c>
      <c r="BT22" s="20" t="str">
        <f t="shared" si="5"/>
        <v>AMadonnaDiASierra_COR22B19</v>
      </c>
    </row>
    <row r="23" spans="1:72" ht="18.75" customHeight="1" x14ac:dyDescent="0.25">
      <c r="B23" s="20">
        <f t="shared" si="4"/>
        <v>20</v>
      </c>
      <c r="C23" s="22" t="str">
        <f t="shared" si="6"/>
        <v>A Madonna Di A Sierra #20</v>
      </c>
      <c r="D23" t="str">
        <f t="shared" si="7"/>
        <v>COR22B20</v>
      </c>
      <c r="E23" s="58" t="s">
        <v>186</v>
      </c>
      <c r="F23" s="20">
        <v>1000</v>
      </c>
      <c r="G23" s="14" t="s">
        <v>199</v>
      </c>
      <c r="H23" s="23" t="s">
        <v>170</v>
      </c>
      <c r="J23" s="59" t="s">
        <v>38</v>
      </c>
      <c r="K23" s="22" t="s">
        <v>39</v>
      </c>
      <c r="L23" s="59" t="s">
        <v>171</v>
      </c>
      <c r="M23" s="22">
        <v>2</v>
      </c>
      <c r="N23" s="59" t="s">
        <v>172</v>
      </c>
      <c r="O23" s="22">
        <v>2</v>
      </c>
      <c r="P23" s="59" t="s">
        <v>173</v>
      </c>
      <c r="Q23" s="22">
        <v>2</v>
      </c>
      <c r="V23" s="59" t="s">
        <v>176</v>
      </c>
      <c r="Z23" s="59" t="s">
        <v>40</v>
      </c>
      <c r="AA23" s="22" t="s">
        <v>46</v>
      </c>
      <c r="AF23" s="59" t="s">
        <v>41</v>
      </c>
      <c r="AG23" s="22" t="s">
        <v>47</v>
      </c>
      <c r="AH23" s="59" t="s">
        <v>42</v>
      </c>
      <c r="AI23" s="22" t="s">
        <v>48</v>
      </c>
      <c r="AJ23" s="59" t="s">
        <v>43</v>
      </c>
      <c r="AK23" s="22" t="s">
        <v>49</v>
      </c>
      <c r="AL23" s="59" t="s">
        <v>44</v>
      </c>
      <c r="AM23" s="22" t="s">
        <v>188</v>
      </c>
      <c r="AV23" s="59" t="s">
        <v>134</v>
      </c>
      <c r="AW23" s="22" t="str">
        <f>Settings!$B$5 &amp;  "?s=" &amp; D23 &amp; "&amp;platform=ftx"</f>
        <v>https://tokensol.nfluent.io?s=COR22B20&amp;platform=ftx</v>
      </c>
      <c r="AX23" s="20" t="s">
        <v>23</v>
      </c>
      <c r="AY23" s="20">
        <v>10</v>
      </c>
      <c r="AZ23" s="20" t="s">
        <v>24</v>
      </c>
      <c r="BA23" s="20">
        <v>90</v>
      </c>
      <c r="BD23" s="14" t="s">
        <v>189</v>
      </c>
      <c r="BE23" t="s">
        <v>190</v>
      </c>
      <c r="BJ23" t="s">
        <v>191</v>
      </c>
      <c r="BK23" t="s">
        <v>184</v>
      </c>
      <c r="BN23" s="36">
        <v>4500</v>
      </c>
      <c r="BO23" s="36">
        <v>4500</v>
      </c>
      <c r="BP23">
        <f t="shared" si="3"/>
        <v>480</v>
      </c>
      <c r="BR23" s="38">
        <v>44713</v>
      </c>
      <c r="BS23" s="20" t="s">
        <v>185</v>
      </c>
      <c r="BT23" s="20" t="str">
        <f t="shared" si="5"/>
        <v>AMadonnaDiASierra_COR22B20</v>
      </c>
    </row>
    <row r="24" spans="1:72" ht="18.75" customHeight="1" x14ac:dyDescent="0.25">
      <c r="B24" s="20">
        <f t="shared" si="4"/>
        <v>21</v>
      </c>
      <c r="C24" s="22" t="str">
        <f t="shared" si="6"/>
        <v>A Madonna Di A Sierra #21</v>
      </c>
      <c r="D24" t="str">
        <f t="shared" si="7"/>
        <v>COR22B21</v>
      </c>
      <c r="E24" s="58" t="s">
        <v>186</v>
      </c>
      <c r="F24" s="20">
        <v>1000</v>
      </c>
      <c r="G24" s="14" t="s">
        <v>200</v>
      </c>
      <c r="H24" s="23" t="s">
        <v>170</v>
      </c>
      <c r="J24" s="59" t="s">
        <v>38</v>
      </c>
      <c r="K24" s="22" t="s">
        <v>39</v>
      </c>
      <c r="L24" s="59" t="s">
        <v>171</v>
      </c>
      <c r="M24" s="22">
        <v>2</v>
      </c>
      <c r="N24" s="59" t="s">
        <v>172</v>
      </c>
      <c r="O24" s="22">
        <v>2</v>
      </c>
      <c r="P24" s="59" t="s">
        <v>173</v>
      </c>
      <c r="Q24" s="22">
        <v>2</v>
      </c>
      <c r="V24" s="59" t="s">
        <v>176</v>
      </c>
      <c r="Z24" s="59" t="s">
        <v>40</v>
      </c>
      <c r="AA24" s="22" t="s">
        <v>46</v>
      </c>
      <c r="AF24" s="59" t="s">
        <v>41</v>
      </c>
      <c r="AG24" s="22" t="s">
        <v>47</v>
      </c>
      <c r="AH24" s="59" t="s">
        <v>42</v>
      </c>
      <c r="AI24" s="22" t="s">
        <v>48</v>
      </c>
      <c r="AJ24" s="59" t="s">
        <v>43</v>
      </c>
      <c r="AK24" s="22" t="s">
        <v>49</v>
      </c>
      <c r="AL24" s="59" t="s">
        <v>44</v>
      </c>
      <c r="AM24" s="22" t="s">
        <v>188</v>
      </c>
      <c r="AV24" s="59" t="s">
        <v>134</v>
      </c>
      <c r="AW24" s="22" t="str">
        <f>Settings!$B$5 &amp;  "?s=" &amp; D24 &amp; "&amp;platform=ftx"</f>
        <v>https://tokensol.nfluent.io?s=COR22B21&amp;platform=ftx</v>
      </c>
      <c r="AX24" s="20" t="s">
        <v>23</v>
      </c>
      <c r="AY24" s="20">
        <v>10</v>
      </c>
      <c r="AZ24" s="20" t="s">
        <v>24</v>
      </c>
      <c r="BA24" s="20">
        <v>90</v>
      </c>
      <c r="BD24" s="14" t="s">
        <v>189</v>
      </c>
      <c r="BE24" t="s">
        <v>190</v>
      </c>
      <c r="BJ24" t="s">
        <v>191</v>
      </c>
      <c r="BK24" t="s">
        <v>184</v>
      </c>
      <c r="BN24" s="36">
        <v>4500</v>
      </c>
      <c r="BO24" s="36">
        <v>4500</v>
      </c>
      <c r="BP24">
        <f t="shared" si="3"/>
        <v>480</v>
      </c>
      <c r="BR24" s="38">
        <v>44713</v>
      </c>
      <c r="BS24" s="20" t="s">
        <v>185</v>
      </c>
      <c r="BT24" s="20" t="str">
        <f t="shared" si="5"/>
        <v>AMadonnaDiASierra_COR22B21</v>
      </c>
    </row>
    <row r="25" spans="1:72" ht="18.75" customHeight="1" x14ac:dyDescent="0.25">
      <c r="B25" s="20">
        <f t="shared" si="4"/>
        <v>22</v>
      </c>
      <c r="C25" s="22" t="str">
        <f t="shared" si="6"/>
        <v>A Madonna Di A Sierra #22</v>
      </c>
      <c r="D25" t="str">
        <f t="shared" si="7"/>
        <v>COR22B22</v>
      </c>
      <c r="E25" s="58" t="s">
        <v>186</v>
      </c>
      <c r="F25" s="20">
        <v>1000</v>
      </c>
      <c r="G25" s="14" t="s">
        <v>201</v>
      </c>
      <c r="H25" s="23" t="s">
        <v>170</v>
      </c>
      <c r="J25" s="59" t="s">
        <v>38</v>
      </c>
      <c r="K25" s="22" t="s">
        <v>39</v>
      </c>
      <c r="L25" s="59" t="s">
        <v>171</v>
      </c>
      <c r="M25" s="22">
        <v>2</v>
      </c>
      <c r="N25" s="59" t="s">
        <v>172</v>
      </c>
      <c r="O25" s="22">
        <v>2</v>
      </c>
      <c r="P25" s="59" t="s">
        <v>173</v>
      </c>
      <c r="Q25" s="22">
        <v>2</v>
      </c>
      <c r="V25" s="59" t="s">
        <v>176</v>
      </c>
      <c r="Z25" s="59" t="s">
        <v>40</v>
      </c>
      <c r="AA25" s="22" t="s">
        <v>46</v>
      </c>
      <c r="AF25" s="59" t="s">
        <v>41</v>
      </c>
      <c r="AG25" s="22" t="s">
        <v>47</v>
      </c>
      <c r="AH25" s="59" t="s">
        <v>42</v>
      </c>
      <c r="AI25" s="22" t="s">
        <v>48</v>
      </c>
      <c r="AJ25" s="59" t="s">
        <v>43</v>
      </c>
      <c r="AK25" s="22" t="s">
        <v>49</v>
      </c>
      <c r="AL25" s="59" t="s">
        <v>44</v>
      </c>
      <c r="AM25" s="22" t="s">
        <v>188</v>
      </c>
      <c r="AV25" s="59" t="s">
        <v>134</v>
      </c>
      <c r="AW25" s="22" t="str">
        <f>Settings!$B$5 &amp;  "?s=" &amp; D25 &amp; "&amp;platform=ftx"</f>
        <v>https://tokensol.nfluent.io?s=COR22B22&amp;platform=ftx</v>
      </c>
      <c r="AX25" s="20" t="s">
        <v>23</v>
      </c>
      <c r="AY25" s="20">
        <v>10</v>
      </c>
      <c r="AZ25" s="20" t="s">
        <v>24</v>
      </c>
      <c r="BA25" s="20">
        <v>90</v>
      </c>
      <c r="BD25" s="14" t="s">
        <v>189</v>
      </c>
      <c r="BE25" t="s">
        <v>190</v>
      </c>
      <c r="BJ25" t="s">
        <v>191</v>
      </c>
      <c r="BK25" t="s">
        <v>184</v>
      </c>
      <c r="BN25" s="36">
        <v>4500</v>
      </c>
      <c r="BO25" s="36">
        <v>4500</v>
      </c>
      <c r="BP25">
        <f t="shared" si="3"/>
        <v>480</v>
      </c>
      <c r="BR25" s="38">
        <v>44713</v>
      </c>
      <c r="BS25" s="20" t="s">
        <v>185</v>
      </c>
      <c r="BT25" s="20" t="str">
        <f t="shared" si="5"/>
        <v>AMadonnaDiASierra_COR22B22</v>
      </c>
    </row>
    <row r="26" spans="1:72" ht="18.75" customHeight="1" x14ac:dyDescent="0.25">
      <c r="B26" s="20">
        <f t="shared" si="4"/>
        <v>23</v>
      </c>
      <c r="C26" s="22" t="str">
        <f t="shared" si="6"/>
        <v>A Madonna Di A Sierra #23</v>
      </c>
      <c r="D26" t="str">
        <f t="shared" si="7"/>
        <v>COR22B23</v>
      </c>
      <c r="E26" s="58" t="s">
        <v>186</v>
      </c>
      <c r="F26" s="20">
        <v>1000</v>
      </c>
      <c r="G26" s="14" t="s">
        <v>202</v>
      </c>
      <c r="H26" s="23" t="s">
        <v>170</v>
      </c>
      <c r="J26" s="59" t="s">
        <v>38</v>
      </c>
      <c r="K26" s="22" t="s">
        <v>39</v>
      </c>
      <c r="L26" s="59" t="s">
        <v>171</v>
      </c>
      <c r="M26" s="22">
        <v>2</v>
      </c>
      <c r="N26" s="59" t="s">
        <v>172</v>
      </c>
      <c r="O26" s="22">
        <v>2</v>
      </c>
      <c r="P26" s="59" t="s">
        <v>173</v>
      </c>
      <c r="Q26" s="22">
        <v>2</v>
      </c>
      <c r="V26" s="59" t="s">
        <v>176</v>
      </c>
      <c r="Z26" s="59" t="s">
        <v>40</v>
      </c>
      <c r="AA26" s="22" t="s">
        <v>46</v>
      </c>
      <c r="AF26" s="59" t="s">
        <v>41</v>
      </c>
      <c r="AG26" s="22" t="s">
        <v>47</v>
      </c>
      <c r="AH26" s="59" t="s">
        <v>42</v>
      </c>
      <c r="AI26" s="22" t="s">
        <v>48</v>
      </c>
      <c r="AJ26" s="59" t="s">
        <v>43</v>
      </c>
      <c r="AK26" s="22" t="s">
        <v>49</v>
      </c>
      <c r="AL26" s="59" t="s">
        <v>44</v>
      </c>
      <c r="AM26" s="22" t="s">
        <v>188</v>
      </c>
      <c r="AV26" s="59" t="s">
        <v>134</v>
      </c>
      <c r="AW26" s="22" t="str">
        <f>Settings!$B$5 &amp;  "?s=" &amp; D26 &amp; "&amp;platform=ftx"</f>
        <v>https://tokensol.nfluent.io?s=COR22B23&amp;platform=ftx</v>
      </c>
      <c r="AX26" s="20" t="s">
        <v>23</v>
      </c>
      <c r="AY26" s="20">
        <v>10</v>
      </c>
      <c r="AZ26" s="20" t="s">
        <v>24</v>
      </c>
      <c r="BA26" s="20">
        <v>90</v>
      </c>
      <c r="BD26" s="14" t="s">
        <v>189</v>
      </c>
      <c r="BE26" t="s">
        <v>190</v>
      </c>
      <c r="BJ26" t="s">
        <v>191</v>
      </c>
      <c r="BK26" t="s">
        <v>184</v>
      </c>
      <c r="BN26" s="36">
        <v>4500</v>
      </c>
      <c r="BO26" s="36">
        <v>4500</v>
      </c>
      <c r="BP26">
        <f t="shared" si="3"/>
        <v>480</v>
      </c>
      <c r="BR26" s="38">
        <v>44713</v>
      </c>
      <c r="BS26" s="20" t="s">
        <v>185</v>
      </c>
      <c r="BT26" s="20" t="str">
        <f t="shared" si="5"/>
        <v>AMadonnaDiASierra_COR22B23</v>
      </c>
    </row>
    <row r="27" spans="1:72" ht="18.75" customHeight="1" x14ac:dyDescent="0.25">
      <c r="B27" s="20">
        <f t="shared" si="4"/>
        <v>24</v>
      </c>
      <c r="C27" s="22" t="str">
        <f t="shared" si="6"/>
        <v>A Madonna Di A Sierra #24</v>
      </c>
      <c r="D27" t="str">
        <f t="shared" si="7"/>
        <v>COR22B24</v>
      </c>
      <c r="E27" s="58" t="s">
        <v>186</v>
      </c>
      <c r="F27" s="20">
        <v>1000</v>
      </c>
      <c r="G27" s="14" t="s">
        <v>203</v>
      </c>
      <c r="H27" s="23" t="s">
        <v>170</v>
      </c>
      <c r="J27" s="59" t="s">
        <v>38</v>
      </c>
      <c r="K27" s="22" t="s">
        <v>39</v>
      </c>
      <c r="L27" s="59" t="s">
        <v>171</v>
      </c>
      <c r="M27" s="22">
        <v>2</v>
      </c>
      <c r="N27" s="59" t="s">
        <v>172</v>
      </c>
      <c r="O27" s="22">
        <v>2</v>
      </c>
      <c r="P27" s="59" t="s">
        <v>173</v>
      </c>
      <c r="Q27" s="22">
        <v>2</v>
      </c>
      <c r="V27" s="59" t="s">
        <v>176</v>
      </c>
      <c r="Z27" s="59" t="s">
        <v>40</v>
      </c>
      <c r="AA27" s="22" t="s">
        <v>46</v>
      </c>
      <c r="AF27" s="59" t="s">
        <v>41</v>
      </c>
      <c r="AG27" s="22" t="s">
        <v>47</v>
      </c>
      <c r="AH27" s="59" t="s">
        <v>42</v>
      </c>
      <c r="AI27" s="22" t="s">
        <v>48</v>
      </c>
      <c r="AJ27" s="59" t="s">
        <v>43</v>
      </c>
      <c r="AK27" s="22" t="s">
        <v>49</v>
      </c>
      <c r="AL27" s="59" t="s">
        <v>44</v>
      </c>
      <c r="AM27" s="22" t="s">
        <v>188</v>
      </c>
      <c r="AV27" s="59" t="s">
        <v>134</v>
      </c>
      <c r="AW27" s="22" t="str">
        <f>Settings!$B$5 &amp;  "?s=" &amp; D27 &amp; "&amp;platform=ftx"</f>
        <v>https://tokensol.nfluent.io?s=COR22B24&amp;platform=ftx</v>
      </c>
      <c r="AX27" s="20" t="s">
        <v>23</v>
      </c>
      <c r="AY27" s="20">
        <v>10</v>
      </c>
      <c r="AZ27" s="20" t="s">
        <v>24</v>
      </c>
      <c r="BA27" s="20">
        <v>90</v>
      </c>
      <c r="BD27" s="14" t="s">
        <v>189</v>
      </c>
      <c r="BE27" t="s">
        <v>190</v>
      </c>
      <c r="BJ27" t="s">
        <v>191</v>
      </c>
      <c r="BK27" t="s">
        <v>184</v>
      </c>
      <c r="BN27" s="36">
        <v>4500</v>
      </c>
      <c r="BO27" s="36">
        <v>4500</v>
      </c>
      <c r="BP27">
        <f t="shared" si="3"/>
        <v>480</v>
      </c>
      <c r="BR27" s="38">
        <v>44713</v>
      </c>
      <c r="BS27" s="20" t="s">
        <v>185</v>
      </c>
      <c r="BT27" s="20" t="str">
        <f t="shared" si="5"/>
        <v>AMadonnaDiASierra_COR22B24</v>
      </c>
    </row>
    <row r="28" spans="1:72" ht="18.75" customHeight="1" x14ac:dyDescent="0.25">
      <c r="B28" s="20">
        <f t="shared" si="4"/>
        <v>25</v>
      </c>
      <c r="C28" s="22" t="str">
        <f t="shared" si="6"/>
        <v>A Madonna Di A Sierra #25</v>
      </c>
      <c r="D28" t="str">
        <f t="shared" si="7"/>
        <v>COR22B25</v>
      </c>
      <c r="E28" s="58" t="s">
        <v>186</v>
      </c>
      <c r="F28" s="20">
        <v>1000</v>
      </c>
      <c r="G28" s="14" t="s">
        <v>204</v>
      </c>
      <c r="H28" s="23" t="s">
        <v>170</v>
      </c>
      <c r="J28" s="59" t="s">
        <v>38</v>
      </c>
      <c r="K28" s="22" t="s">
        <v>39</v>
      </c>
      <c r="L28" s="59" t="s">
        <v>171</v>
      </c>
      <c r="M28" s="22">
        <v>2</v>
      </c>
      <c r="N28" s="59" t="s">
        <v>172</v>
      </c>
      <c r="O28" s="22">
        <v>2</v>
      </c>
      <c r="P28" s="59" t="s">
        <v>173</v>
      </c>
      <c r="Q28" s="22">
        <v>2</v>
      </c>
      <c r="V28" s="59" t="s">
        <v>176</v>
      </c>
      <c r="Z28" s="59" t="s">
        <v>40</v>
      </c>
      <c r="AA28" s="22" t="s">
        <v>46</v>
      </c>
      <c r="AF28" s="59" t="s">
        <v>41</v>
      </c>
      <c r="AG28" s="22" t="s">
        <v>47</v>
      </c>
      <c r="AH28" s="59" t="s">
        <v>42</v>
      </c>
      <c r="AI28" s="22" t="s">
        <v>48</v>
      </c>
      <c r="AJ28" s="59" t="s">
        <v>43</v>
      </c>
      <c r="AK28" s="22" t="s">
        <v>49</v>
      </c>
      <c r="AL28" s="59" t="s">
        <v>44</v>
      </c>
      <c r="AM28" s="22" t="s">
        <v>188</v>
      </c>
      <c r="AV28" s="59" t="s">
        <v>134</v>
      </c>
      <c r="AW28" s="22" t="str">
        <f>Settings!$B$5 &amp;  "?s=" &amp; D28 &amp; "&amp;platform=ftx"</f>
        <v>https://tokensol.nfluent.io?s=COR22B25&amp;platform=ftx</v>
      </c>
      <c r="AX28" s="20" t="s">
        <v>23</v>
      </c>
      <c r="AY28" s="20">
        <v>10</v>
      </c>
      <c r="AZ28" s="20" t="s">
        <v>24</v>
      </c>
      <c r="BA28" s="20">
        <v>90</v>
      </c>
      <c r="BD28" s="14" t="s">
        <v>189</v>
      </c>
      <c r="BE28" t="s">
        <v>190</v>
      </c>
      <c r="BJ28" t="s">
        <v>191</v>
      </c>
      <c r="BK28" t="s">
        <v>184</v>
      </c>
      <c r="BN28" s="36">
        <v>4500</v>
      </c>
      <c r="BO28" s="36">
        <v>4500</v>
      </c>
      <c r="BP28">
        <f t="shared" si="3"/>
        <v>480</v>
      </c>
      <c r="BR28" s="38">
        <v>44713</v>
      </c>
      <c r="BS28" s="20" t="s">
        <v>185</v>
      </c>
      <c r="BT28" s="20" t="str">
        <f t="shared" si="5"/>
        <v>AMadonnaDiASierra_COR22B25</v>
      </c>
    </row>
    <row r="29" spans="1:72" ht="18.75" customHeight="1" x14ac:dyDescent="0.25">
      <c r="B29" s="20">
        <f t="shared" si="4"/>
        <v>26</v>
      </c>
      <c r="C29" s="22" t="str">
        <f t="shared" si="6"/>
        <v>A Madonna Di A Sierra #26</v>
      </c>
      <c r="D29" t="str">
        <f t="shared" si="7"/>
        <v>COR22B26</v>
      </c>
      <c r="E29" s="58" t="s">
        <v>186</v>
      </c>
      <c r="F29" s="20">
        <v>1000</v>
      </c>
      <c r="G29" s="14" t="s">
        <v>205</v>
      </c>
      <c r="H29" s="23" t="s">
        <v>170</v>
      </c>
      <c r="J29" s="59" t="s">
        <v>38</v>
      </c>
      <c r="K29" s="22" t="s">
        <v>39</v>
      </c>
      <c r="L29" s="59" t="s">
        <v>171</v>
      </c>
      <c r="M29" s="22">
        <v>2</v>
      </c>
      <c r="N29" s="59" t="s">
        <v>172</v>
      </c>
      <c r="O29" s="22">
        <v>2</v>
      </c>
      <c r="P29" s="59" t="s">
        <v>173</v>
      </c>
      <c r="Q29" s="22">
        <v>2</v>
      </c>
      <c r="V29" s="59" t="s">
        <v>176</v>
      </c>
      <c r="Z29" s="59" t="s">
        <v>40</v>
      </c>
      <c r="AA29" s="22" t="s">
        <v>46</v>
      </c>
      <c r="AF29" s="59" t="s">
        <v>41</v>
      </c>
      <c r="AG29" s="22" t="s">
        <v>47</v>
      </c>
      <c r="AH29" s="59" t="s">
        <v>42</v>
      </c>
      <c r="AI29" s="22" t="s">
        <v>48</v>
      </c>
      <c r="AJ29" s="59" t="s">
        <v>43</v>
      </c>
      <c r="AK29" s="22" t="s">
        <v>49</v>
      </c>
      <c r="AL29" s="59" t="s">
        <v>44</v>
      </c>
      <c r="AM29" s="22" t="s">
        <v>188</v>
      </c>
      <c r="AV29" s="59" t="s">
        <v>134</v>
      </c>
      <c r="AW29" s="22" t="str">
        <f>Settings!$B$5 &amp;  "?s=" &amp; D29 &amp; "&amp;platform=ftx"</f>
        <v>https://tokensol.nfluent.io?s=COR22B26&amp;platform=ftx</v>
      </c>
      <c r="AX29" s="20" t="s">
        <v>23</v>
      </c>
      <c r="AY29" s="20">
        <v>10</v>
      </c>
      <c r="AZ29" s="20" t="s">
        <v>24</v>
      </c>
      <c r="BA29" s="20">
        <v>90</v>
      </c>
      <c r="BD29" s="14" t="s">
        <v>189</v>
      </c>
      <c r="BE29" t="s">
        <v>190</v>
      </c>
      <c r="BJ29" t="s">
        <v>191</v>
      </c>
      <c r="BK29" t="s">
        <v>184</v>
      </c>
      <c r="BN29" s="36">
        <v>4500</v>
      </c>
      <c r="BO29" s="36">
        <v>4500</v>
      </c>
      <c r="BP29">
        <f t="shared" si="3"/>
        <v>480</v>
      </c>
      <c r="BR29" s="38">
        <v>44713</v>
      </c>
      <c r="BS29" s="20" t="s">
        <v>185</v>
      </c>
      <c r="BT29" s="20" t="str">
        <f t="shared" si="5"/>
        <v>AMadonnaDiASierra_COR22B26</v>
      </c>
    </row>
    <row r="30" spans="1:72" ht="18.75" customHeight="1" x14ac:dyDescent="0.25">
      <c r="B30" s="20">
        <f t="shared" si="4"/>
        <v>27</v>
      </c>
      <c r="C30" s="22" t="str">
        <f t="shared" si="6"/>
        <v>A Madonna Di A Sierra #27</v>
      </c>
      <c r="D30" t="str">
        <f t="shared" si="7"/>
        <v>COR22B27</v>
      </c>
      <c r="E30" s="58" t="s">
        <v>186</v>
      </c>
      <c r="F30" s="20">
        <v>1000</v>
      </c>
      <c r="G30" s="14" t="s">
        <v>206</v>
      </c>
      <c r="H30" s="23" t="s">
        <v>170</v>
      </c>
      <c r="J30" s="59" t="s">
        <v>38</v>
      </c>
      <c r="K30" s="22" t="s">
        <v>39</v>
      </c>
      <c r="L30" s="59" t="s">
        <v>171</v>
      </c>
      <c r="M30" s="22">
        <v>2</v>
      </c>
      <c r="N30" s="59" t="s">
        <v>172</v>
      </c>
      <c r="O30" s="22">
        <v>2</v>
      </c>
      <c r="P30" s="59" t="s">
        <v>173</v>
      </c>
      <c r="Q30" s="22">
        <v>2</v>
      </c>
      <c r="V30" s="59" t="s">
        <v>176</v>
      </c>
      <c r="Z30" s="59" t="s">
        <v>40</v>
      </c>
      <c r="AA30" s="22" t="s">
        <v>46</v>
      </c>
      <c r="AF30" s="59" t="s">
        <v>41</v>
      </c>
      <c r="AG30" s="22" t="s">
        <v>47</v>
      </c>
      <c r="AH30" s="59" t="s">
        <v>42</v>
      </c>
      <c r="AI30" s="22" t="s">
        <v>48</v>
      </c>
      <c r="AJ30" s="59" t="s">
        <v>43</v>
      </c>
      <c r="AK30" s="22" t="s">
        <v>49</v>
      </c>
      <c r="AL30" s="59" t="s">
        <v>44</v>
      </c>
      <c r="AM30" s="22" t="s">
        <v>188</v>
      </c>
      <c r="AV30" s="59" t="s">
        <v>134</v>
      </c>
      <c r="AW30" s="22" t="str">
        <f>Settings!$B$5 &amp;  "?s=" &amp; D30 &amp; "&amp;platform=ftx"</f>
        <v>https://tokensol.nfluent.io?s=COR22B27&amp;platform=ftx</v>
      </c>
      <c r="AX30" s="20" t="s">
        <v>23</v>
      </c>
      <c r="AY30" s="20">
        <v>10</v>
      </c>
      <c r="AZ30" s="20" t="s">
        <v>24</v>
      </c>
      <c r="BA30" s="20">
        <v>90</v>
      </c>
      <c r="BD30" s="14" t="s">
        <v>189</v>
      </c>
      <c r="BE30" t="s">
        <v>190</v>
      </c>
      <c r="BJ30" t="s">
        <v>191</v>
      </c>
      <c r="BK30" t="s">
        <v>184</v>
      </c>
      <c r="BN30" s="36">
        <v>4500</v>
      </c>
      <c r="BO30" s="36">
        <v>4500</v>
      </c>
      <c r="BP30">
        <f t="shared" si="3"/>
        <v>480</v>
      </c>
      <c r="BR30" s="38">
        <v>44713</v>
      </c>
      <c r="BS30" s="20" t="s">
        <v>185</v>
      </c>
      <c r="BT30" s="20" t="str">
        <f t="shared" si="5"/>
        <v>AMadonnaDiASierra_COR22B27</v>
      </c>
    </row>
    <row r="31" spans="1:72" ht="18.75" customHeight="1" x14ac:dyDescent="0.25">
      <c r="B31" s="20">
        <f t="shared" si="4"/>
        <v>28</v>
      </c>
      <c r="C31" s="22" t="str">
        <f t="shared" si="6"/>
        <v>A Madonna Di A Sierra #28</v>
      </c>
      <c r="D31" t="str">
        <f t="shared" si="7"/>
        <v>COR22B28</v>
      </c>
      <c r="E31" s="58" t="s">
        <v>186</v>
      </c>
      <c r="F31" s="20">
        <v>1000</v>
      </c>
      <c r="G31" s="14" t="s">
        <v>207</v>
      </c>
      <c r="H31" s="23" t="s">
        <v>170</v>
      </c>
      <c r="J31" s="59" t="s">
        <v>38</v>
      </c>
      <c r="K31" s="22" t="s">
        <v>39</v>
      </c>
      <c r="L31" s="59" t="s">
        <v>171</v>
      </c>
      <c r="M31" s="22">
        <v>2</v>
      </c>
      <c r="N31" s="59" t="s">
        <v>172</v>
      </c>
      <c r="O31" s="22">
        <v>2</v>
      </c>
      <c r="P31" s="59" t="s">
        <v>173</v>
      </c>
      <c r="Q31" s="22">
        <v>2</v>
      </c>
      <c r="V31" s="59" t="s">
        <v>176</v>
      </c>
      <c r="Z31" s="59" t="s">
        <v>40</v>
      </c>
      <c r="AA31" s="22" t="s">
        <v>46</v>
      </c>
      <c r="AF31" s="59" t="s">
        <v>41</v>
      </c>
      <c r="AG31" s="22" t="s">
        <v>47</v>
      </c>
      <c r="AH31" s="59" t="s">
        <v>42</v>
      </c>
      <c r="AI31" s="22" t="s">
        <v>48</v>
      </c>
      <c r="AJ31" s="59" t="s">
        <v>43</v>
      </c>
      <c r="AK31" s="22" t="s">
        <v>49</v>
      </c>
      <c r="AL31" s="59" t="s">
        <v>44</v>
      </c>
      <c r="AM31" s="22" t="s">
        <v>188</v>
      </c>
      <c r="AV31" s="59" t="s">
        <v>134</v>
      </c>
      <c r="AW31" s="22" t="str">
        <f>Settings!$B$5 &amp;  "?s=" &amp; D31 &amp; "&amp;platform=ftx"</f>
        <v>https://tokensol.nfluent.io?s=COR22B28&amp;platform=ftx</v>
      </c>
      <c r="AX31" s="20" t="s">
        <v>23</v>
      </c>
      <c r="AY31" s="20">
        <v>10</v>
      </c>
      <c r="AZ31" s="20" t="s">
        <v>24</v>
      </c>
      <c r="BA31" s="20">
        <v>90</v>
      </c>
      <c r="BD31" s="14" t="s">
        <v>189</v>
      </c>
      <c r="BE31" t="s">
        <v>190</v>
      </c>
      <c r="BJ31" t="s">
        <v>191</v>
      </c>
      <c r="BK31" t="s">
        <v>184</v>
      </c>
      <c r="BN31" s="36">
        <v>4500</v>
      </c>
      <c r="BO31" s="36">
        <v>4500</v>
      </c>
      <c r="BP31">
        <f t="shared" si="3"/>
        <v>480</v>
      </c>
      <c r="BR31" s="38">
        <v>44713</v>
      </c>
      <c r="BS31" s="20" t="s">
        <v>185</v>
      </c>
      <c r="BT31" s="20" t="str">
        <f t="shared" si="5"/>
        <v>AMadonnaDiASierra_COR22B28</v>
      </c>
    </row>
    <row r="32" spans="1:72" ht="18.75" customHeight="1" x14ac:dyDescent="0.25">
      <c r="B32" s="20">
        <f t="shared" si="4"/>
        <v>29</v>
      </c>
      <c r="C32" s="22" t="str">
        <f t="shared" si="6"/>
        <v>A Madonna Di A Sierra #29</v>
      </c>
      <c r="D32" t="str">
        <f t="shared" si="7"/>
        <v>COR22B29</v>
      </c>
      <c r="E32" s="58" t="s">
        <v>186</v>
      </c>
      <c r="F32" s="20">
        <v>1000</v>
      </c>
      <c r="G32" s="14" t="s">
        <v>208</v>
      </c>
      <c r="H32" s="23" t="s">
        <v>170</v>
      </c>
      <c r="J32" s="59" t="s">
        <v>38</v>
      </c>
      <c r="K32" s="22" t="s">
        <v>39</v>
      </c>
      <c r="L32" s="59" t="s">
        <v>171</v>
      </c>
      <c r="M32" s="22">
        <v>2</v>
      </c>
      <c r="N32" s="59" t="s">
        <v>172</v>
      </c>
      <c r="O32" s="22">
        <v>2</v>
      </c>
      <c r="P32" s="59" t="s">
        <v>173</v>
      </c>
      <c r="Q32" s="22">
        <v>2</v>
      </c>
      <c r="V32" s="59" t="s">
        <v>176</v>
      </c>
      <c r="Z32" s="59" t="s">
        <v>40</v>
      </c>
      <c r="AA32" s="22" t="s">
        <v>46</v>
      </c>
      <c r="AF32" s="59" t="s">
        <v>41</v>
      </c>
      <c r="AG32" s="22" t="s">
        <v>47</v>
      </c>
      <c r="AH32" s="59" t="s">
        <v>42</v>
      </c>
      <c r="AI32" s="22" t="s">
        <v>48</v>
      </c>
      <c r="AJ32" s="59" t="s">
        <v>43</v>
      </c>
      <c r="AK32" s="22" t="s">
        <v>49</v>
      </c>
      <c r="AL32" s="59" t="s">
        <v>44</v>
      </c>
      <c r="AM32" s="22" t="s">
        <v>188</v>
      </c>
      <c r="AV32" s="59" t="s">
        <v>134</v>
      </c>
      <c r="AW32" s="22" t="str">
        <f>Settings!$B$5 &amp;  "?s=" &amp; D32 &amp; "&amp;platform=ftx"</f>
        <v>https://tokensol.nfluent.io?s=COR22B29&amp;platform=ftx</v>
      </c>
      <c r="AX32" s="20" t="s">
        <v>23</v>
      </c>
      <c r="AY32" s="20">
        <v>10</v>
      </c>
      <c r="AZ32" s="20" t="s">
        <v>24</v>
      </c>
      <c r="BA32" s="20">
        <v>90</v>
      </c>
      <c r="BD32" s="14" t="s">
        <v>189</v>
      </c>
      <c r="BE32" t="s">
        <v>190</v>
      </c>
      <c r="BJ32" t="s">
        <v>191</v>
      </c>
      <c r="BK32" t="s">
        <v>184</v>
      </c>
      <c r="BN32" s="36">
        <v>4500</v>
      </c>
      <c r="BO32" s="36">
        <v>4500</v>
      </c>
      <c r="BP32">
        <f t="shared" si="3"/>
        <v>480</v>
      </c>
      <c r="BR32" s="38">
        <v>44713</v>
      </c>
      <c r="BS32" s="20" t="s">
        <v>185</v>
      </c>
      <c r="BT32" s="20" t="str">
        <f t="shared" si="5"/>
        <v>AMadonnaDiASierra_COR22B29</v>
      </c>
    </row>
    <row r="33" spans="2:72" ht="18.75" customHeight="1" x14ac:dyDescent="0.25">
      <c r="B33" s="20">
        <f t="shared" si="4"/>
        <v>30</v>
      </c>
      <c r="C33" s="22" t="str">
        <f t="shared" si="6"/>
        <v>A Madonna Di A Sierra #30</v>
      </c>
      <c r="D33" t="str">
        <f t="shared" si="7"/>
        <v>COR22B30</v>
      </c>
      <c r="E33" s="58" t="s">
        <v>186</v>
      </c>
      <c r="F33" s="20">
        <v>1000</v>
      </c>
      <c r="G33" s="14" t="s">
        <v>209</v>
      </c>
      <c r="H33" s="23" t="s">
        <v>170</v>
      </c>
      <c r="J33" s="59" t="s">
        <v>38</v>
      </c>
      <c r="K33" s="22" t="s">
        <v>39</v>
      </c>
      <c r="L33" s="59" t="s">
        <v>171</v>
      </c>
      <c r="M33" s="22">
        <v>2</v>
      </c>
      <c r="N33" s="59" t="s">
        <v>172</v>
      </c>
      <c r="O33" s="22">
        <v>2</v>
      </c>
      <c r="P33" s="59" t="s">
        <v>173</v>
      </c>
      <c r="Q33" s="22">
        <v>2</v>
      </c>
      <c r="V33" s="59" t="s">
        <v>176</v>
      </c>
      <c r="Z33" s="59" t="s">
        <v>40</v>
      </c>
      <c r="AA33" s="22" t="s">
        <v>46</v>
      </c>
      <c r="AF33" s="59" t="s">
        <v>41</v>
      </c>
      <c r="AG33" s="22" t="s">
        <v>47</v>
      </c>
      <c r="AH33" s="59" t="s">
        <v>42</v>
      </c>
      <c r="AI33" s="22" t="s">
        <v>48</v>
      </c>
      <c r="AJ33" s="59" t="s">
        <v>43</v>
      </c>
      <c r="AK33" s="22" t="s">
        <v>49</v>
      </c>
      <c r="AL33" s="59" t="s">
        <v>44</v>
      </c>
      <c r="AM33" s="22" t="s">
        <v>188</v>
      </c>
      <c r="AV33" s="59" t="s">
        <v>134</v>
      </c>
      <c r="AW33" s="22" t="str">
        <f>Settings!$B$5 &amp;  "?s=" &amp; D33 &amp; "&amp;platform=ftx"</f>
        <v>https://tokensol.nfluent.io?s=COR22B30&amp;platform=ftx</v>
      </c>
      <c r="AX33" s="20" t="s">
        <v>23</v>
      </c>
      <c r="AY33" s="20">
        <v>10</v>
      </c>
      <c r="AZ33" s="20" t="s">
        <v>24</v>
      </c>
      <c r="BA33" s="20">
        <v>90</v>
      </c>
      <c r="BD33" s="14" t="s">
        <v>189</v>
      </c>
      <c r="BE33" t="s">
        <v>190</v>
      </c>
      <c r="BJ33" t="s">
        <v>191</v>
      </c>
      <c r="BK33" t="s">
        <v>184</v>
      </c>
      <c r="BN33" s="36">
        <v>4500</v>
      </c>
      <c r="BO33" s="36">
        <v>4500</v>
      </c>
      <c r="BP33">
        <f t="shared" si="3"/>
        <v>480</v>
      </c>
      <c r="BR33" s="38">
        <v>44713</v>
      </c>
      <c r="BS33" s="20" t="s">
        <v>185</v>
      </c>
      <c r="BT33" s="20" t="str">
        <f t="shared" si="5"/>
        <v>AMadonnaDiASierra_COR22B30</v>
      </c>
    </row>
    <row r="34" spans="2:72" ht="18.75" customHeight="1" x14ac:dyDescent="0.25">
      <c r="B34" s="20">
        <f t="shared" si="4"/>
        <v>31</v>
      </c>
      <c r="C34" s="22" t="str">
        <f t="shared" si="6"/>
        <v>A Madonna Di A Sierra #31</v>
      </c>
      <c r="D34" t="str">
        <f t="shared" si="7"/>
        <v>COR22B31</v>
      </c>
      <c r="E34" s="58" t="s">
        <v>186</v>
      </c>
      <c r="F34" s="20">
        <v>1000</v>
      </c>
      <c r="G34" s="14" t="s">
        <v>210</v>
      </c>
      <c r="H34" s="23" t="s">
        <v>170</v>
      </c>
      <c r="J34" s="59" t="s">
        <v>38</v>
      </c>
      <c r="K34" s="22" t="s">
        <v>39</v>
      </c>
      <c r="L34" s="59" t="s">
        <v>171</v>
      </c>
      <c r="M34" s="22">
        <v>2</v>
      </c>
      <c r="N34" s="59" t="s">
        <v>172</v>
      </c>
      <c r="O34" s="22">
        <v>2</v>
      </c>
      <c r="P34" s="59" t="s">
        <v>173</v>
      </c>
      <c r="Q34" s="22">
        <v>2</v>
      </c>
      <c r="V34" s="59" t="s">
        <v>176</v>
      </c>
      <c r="Z34" s="59" t="s">
        <v>40</v>
      </c>
      <c r="AA34" s="22" t="s">
        <v>46</v>
      </c>
      <c r="AF34" s="59" t="s">
        <v>41</v>
      </c>
      <c r="AG34" s="22" t="s">
        <v>47</v>
      </c>
      <c r="AH34" s="59" t="s">
        <v>42</v>
      </c>
      <c r="AI34" s="22" t="s">
        <v>48</v>
      </c>
      <c r="AJ34" s="59" t="s">
        <v>43</v>
      </c>
      <c r="AK34" s="22" t="s">
        <v>49</v>
      </c>
      <c r="AL34" s="59" t="s">
        <v>44</v>
      </c>
      <c r="AM34" s="22" t="s">
        <v>188</v>
      </c>
      <c r="AV34" s="59" t="s">
        <v>134</v>
      </c>
      <c r="AW34" s="22" t="str">
        <f>Settings!$B$5 &amp;  "?s=" &amp; D34 &amp; "&amp;platform=ftx"</f>
        <v>https://tokensol.nfluent.io?s=COR22B31&amp;platform=ftx</v>
      </c>
      <c r="AX34" s="20" t="s">
        <v>23</v>
      </c>
      <c r="AY34" s="20">
        <v>10</v>
      </c>
      <c r="AZ34" s="20" t="s">
        <v>24</v>
      </c>
      <c r="BA34" s="20">
        <v>90</v>
      </c>
      <c r="BD34" s="14" t="s">
        <v>189</v>
      </c>
      <c r="BE34" t="s">
        <v>190</v>
      </c>
      <c r="BJ34" t="s">
        <v>191</v>
      </c>
      <c r="BK34" t="s">
        <v>184</v>
      </c>
      <c r="BN34" s="36">
        <v>4500</v>
      </c>
      <c r="BO34" s="36">
        <v>4500</v>
      </c>
      <c r="BP34">
        <f t="shared" si="3"/>
        <v>480</v>
      </c>
      <c r="BR34" s="38">
        <v>44713</v>
      </c>
      <c r="BS34" s="20" t="s">
        <v>185</v>
      </c>
      <c r="BT34" s="20" t="str">
        <f t="shared" si="5"/>
        <v>AMadonnaDiASierra_COR22B31</v>
      </c>
    </row>
    <row r="35" spans="2:72" ht="18.75" customHeight="1" x14ac:dyDescent="0.25">
      <c r="B35" s="20">
        <f t="shared" si="4"/>
        <v>32</v>
      </c>
      <c r="C35" s="22" t="str">
        <f t="shared" si="6"/>
        <v>A Madonna Di A Sierra #32</v>
      </c>
      <c r="D35" t="str">
        <f t="shared" si="7"/>
        <v>COR22B32</v>
      </c>
      <c r="E35" s="58" t="s">
        <v>186</v>
      </c>
      <c r="F35" s="20">
        <v>1000</v>
      </c>
      <c r="G35" s="14" t="s">
        <v>211</v>
      </c>
      <c r="H35" s="23" t="s">
        <v>170</v>
      </c>
      <c r="J35" s="59" t="s">
        <v>38</v>
      </c>
      <c r="K35" s="22" t="s">
        <v>39</v>
      </c>
      <c r="L35" s="59" t="s">
        <v>171</v>
      </c>
      <c r="M35" s="22">
        <v>2</v>
      </c>
      <c r="N35" s="59" t="s">
        <v>172</v>
      </c>
      <c r="O35" s="22">
        <v>2</v>
      </c>
      <c r="P35" s="59" t="s">
        <v>173</v>
      </c>
      <c r="Q35" s="22">
        <v>2</v>
      </c>
      <c r="V35" s="59" t="s">
        <v>176</v>
      </c>
      <c r="Z35" s="59" t="s">
        <v>40</v>
      </c>
      <c r="AA35" s="22" t="s">
        <v>46</v>
      </c>
      <c r="AF35" s="59" t="s">
        <v>41</v>
      </c>
      <c r="AG35" s="22" t="s">
        <v>47</v>
      </c>
      <c r="AH35" s="59" t="s">
        <v>42</v>
      </c>
      <c r="AI35" s="22" t="s">
        <v>48</v>
      </c>
      <c r="AJ35" s="59" t="s">
        <v>43</v>
      </c>
      <c r="AK35" s="22" t="s">
        <v>49</v>
      </c>
      <c r="AL35" s="59" t="s">
        <v>44</v>
      </c>
      <c r="AM35" s="22" t="s">
        <v>188</v>
      </c>
      <c r="AV35" s="59" t="s">
        <v>134</v>
      </c>
      <c r="AW35" s="22" t="str">
        <f>Settings!$B$5 &amp;  "?s=" &amp; D35 &amp; "&amp;platform=ftx"</f>
        <v>https://tokensol.nfluent.io?s=COR22B32&amp;platform=ftx</v>
      </c>
      <c r="AX35" s="20" t="s">
        <v>23</v>
      </c>
      <c r="AY35" s="20">
        <v>10</v>
      </c>
      <c r="AZ35" s="20" t="s">
        <v>24</v>
      </c>
      <c r="BA35" s="20">
        <v>90</v>
      </c>
      <c r="BD35" s="14" t="s">
        <v>189</v>
      </c>
      <c r="BE35" t="s">
        <v>190</v>
      </c>
      <c r="BJ35" t="s">
        <v>191</v>
      </c>
      <c r="BK35" t="s">
        <v>184</v>
      </c>
      <c r="BN35" s="36">
        <v>4500</v>
      </c>
      <c r="BO35" s="36">
        <v>4500</v>
      </c>
      <c r="BP35">
        <f t="shared" si="3"/>
        <v>480</v>
      </c>
      <c r="BR35" s="38">
        <v>44713</v>
      </c>
      <c r="BS35" s="20" t="s">
        <v>185</v>
      </c>
      <c r="BT35" s="20" t="str">
        <f t="shared" si="5"/>
        <v>AMadonnaDiASierra_COR22B32</v>
      </c>
    </row>
    <row r="36" spans="2:72" ht="18.75" customHeight="1" x14ac:dyDescent="0.25">
      <c r="B36" s="20">
        <f t="shared" ref="B6:B69" si="8">+B35+1</f>
        <v>33</v>
      </c>
      <c r="C36" s="22" t="str">
        <f t="shared" si="6"/>
        <v>A Madonna Di A Sierra #33</v>
      </c>
      <c r="D36" t="str">
        <f t="shared" si="7"/>
        <v>COR22B33</v>
      </c>
      <c r="E36" s="58" t="s">
        <v>186</v>
      </c>
      <c r="F36" s="20">
        <v>1000</v>
      </c>
      <c r="G36" s="14" t="s">
        <v>212</v>
      </c>
      <c r="H36" s="23" t="s">
        <v>170</v>
      </c>
      <c r="J36" s="59" t="s">
        <v>38</v>
      </c>
      <c r="K36" s="22" t="s">
        <v>39</v>
      </c>
      <c r="L36" s="59" t="s">
        <v>171</v>
      </c>
      <c r="M36" s="22">
        <v>2</v>
      </c>
      <c r="N36" s="59" t="s">
        <v>172</v>
      </c>
      <c r="O36" s="22">
        <v>2</v>
      </c>
      <c r="P36" s="59" t="s">
        <v>173</v>
      </c>
      <c r="Q36" s="22">
        <v>2</v>
      </c>
      <c r="V36" s="59" t="s">
        <v>176</v>
      </c>
      <c r="Z36" s="59" t="s">
        <v>40</v>
      </c>
      <c r="AA36" s="22" t="s">
        <v>46</v>
      </c>
      <c r="AF36" s="59" t="s">
        <v>41</v>
      </c>
      <c r="AG36" s="22" t="s">
        <v>47</v>
      </c>
      <c r="AH36" s="59" t="s">
        <v>42</v>
      </c>
      <c r="AI36" s="22" t="s">
        <v>48</v>
      </c>
      <c r="AJ36" s="59" t="s">
        <v>43</v>
      </c>
      <c r="AK36" s="22" t="s">
        <v>49</v>
      </c>
      <c r="AL36" s="59" t="s">
        <v>44</v>
      </c>
      <c r="AM36" s="22" t="s">
        <v>188</v>
      </c>
      <c r="AV36" s="59" t="s">
        <v>134</v>
      </c>
      <c r="AW36" s="22" t="str">
        <f>Settings!$B$5 &amp;  "?s=" &amp; D36 &amp; "&amp;platform=ftx"</f>
        <v>https://tokensol.nfluent.io?s=COR22B33&amp;platform=ftx</v>
      </c>
      <c r="AX36" s="20" t="s">
        <v>23</v>
      </c>
      <c r="AY36" s="20">
        <v>10</v>
      </c>
      <c r="AZ36" s="20" t="s">
        <v>24</v>
      </c>
      <c r="BA36" s="20">
        <v>90</v>
      </c>
      <c r="BD36" s="14" t="s">
        <v>189</v>
      </c>
      <c r="BE36" t="s">
        <v>190</v>
      </c>
      <c r="BJ36" t="s">
        <v>191</v>
      </c>
      <c r="BK36" t="s">
        <v>184</v>
      </c>
      <c r="BN36" s="36">
        <v>4500</v>
      </c>
      <c r="BO36" s="36">
        <v>4500</v>
      </c>
      <c r="BP36">
        <f t="shared" si="3"/>
        <v>480</v>
      </c>
      <c r="BR36" s="38">
        <v>44713</v>
      </c>
      <c r="BS36" s="20" t="s">
        <v>185</v>
      </c>
      <c r="BT36" s="20" t="str">
        <f t="shared" si="5"/>
        <v>AMadonnaDiASierra_COR22B33</v>
      </c>
    </row>
    <row r="37" spans="2:72" ht="18.75" customHeight="1" x14ac:dyDescent="0.25">
      <c r="B37" s="20">
        <f t="shared" si="8"/>
        <v>34</v>
      </c>
      <c r="C37" s="22" t="str">
        <f t="shared" si="6"/>
        <v>A Madonna Di A Sierra #34</v>
      </c>
      <c r="D37" t="str">
        <f t="shared" si="7"/>
        <v>COR22B34</v>
      </c>
      <c r="E37" s="58" t="s">
        <v>186</v>
      </c>
      <c r="F37" s="20">
        <v>1000</v>
      </c>
      <c r="G37" s="14" t="s">
        <v>213</v>
      </c>
      <c r="H37" s="23" t="s">
        <v>170</v>
      </c>
      <c r="J37" s="59" t="s">
        <v>38</v>
      </c>
      <c r="K37" s="22" t="s">
        <v>39</v>
      </c>
      <c r="L37" s="59" t="s">
        <v>171</v>
      </c>
      <c r="M37" s="22">
        <v>2</v>
      </c>
      <c r="N37" s="59" t="s">
        <v>172</v>
      </c>
      <c r="O37" s="22">
        <v>2</v>
      </c>
      <c r="P37" s="59" t="s">
        <v>173</v>
      </c>
      <c r="Q37" s="22">
        <v>2</v>
      </c>
      <c r="V37" s="59" t="s">
        <v>176</v>
      </c>
      <c r="Z37" s="59" t="s">
        <v>40</v>
      </c>
      <c r="AA37" s="22" t="s">
        <v>46</v>
      </c>
      <c r="AF37" s="59" t="s">
        <v>41</v>
      </c>
      <c r="AG37" s="22" t="s">
        <v>47</v>
      </c>
      <c r="AH37" s="59" t="s">
        <v>42</v>
      </c>
      <c r="AI37" s="22" t="s">
        <v>48</v>
      </c>
      <c r="AJ37" s="59" t="s">
        <v>43</v>
      </c>
      <c r="AK37" s="22" t="s">
        <v>49</v>
      </c>
      <c r="AL37" s="59" t="s">
        <v>44</v>
      </c>
      <c r="AM37" s="22" t="s">
        <v>188</v>
      </c>
      <c r="AV37" s="59" t="s">
        <v>134</v>
      </c>
      <c r="AW37" s="22" t="str">
        <f>Settings!$B$5 &amp;  "?s=" &amp; D37 &amp; "&amp;platform=ftx"</f>
        <v>https://tokensol.nfluent.io?s=COR22B34&amp;platform=ftx</v>
      </c>
      <c r="AX37" s="20" t="s">
        <v>23</v>
      </c>
      <c r="AY37" s="20">
        <v>10</v>
      </c>
      <c r="AZ37" s="20" t="s">
        <v>24</v>
      </c>
      <c r="BA37" s="20">
        <v>90</v>
      </c>
      <c r="BD37" s="14" t="s">
        <v>189</v>
      </c>
      <c r="BE37" t="s">
        <v>190</v>
      </c>
      <c r="BJ37" t="s">
        <v>191</v>
      </c>
      <c r="BK37" t="s">
        <v>184</v>
      </c>
      <c r="BN37" s="36">
        <v>4500</v>
      </c>
      <c r="BO37" s="36">
        <v>4500</v>
      </c>
      <c r="BP37">
        <f t="shared" si="3"/>
        <v>480</v>
      </c>
      <c r="BR37" s="38">
        <v>44713</v>
      </c>
      <c r="BS37" s="20" t="s">
        <v>185</v>
      </c>
      <c r="BT37" s="20" t="str">
        <f t="shared" si="5"/>
        <v>AMadonnaDiASierra_COR22B34</v>
      </c>
    </row>
    <row r="38" spans="2:72" ht="18.75" customHeight="1" x14ac:dyDescent="0.25">
      <c r="B38" s="20">
        <f t="shared" si="8"/>
        <v>35</v>
      </c>
      <c r="C38" s="22" t="str">
        <f t="shared" si="6"/>
        <v>A Madonna Di A Sierra #35</v>
      </c>
      <c r="D38" t="str">
        <f t="shared" si="7"/>
        <v>COR22B35</v>
      </c>
      <c r="E38" s="58" t="s">
        <v>186</v>
      </c>
      <c r="F38" s="20">
        <v>1000</v>
      </c>
      <c r="G38" s="14" t="s">
        <v>214</v>
      </c>
      <c r="H38" s="23" t="s">
        <v>170</v>
      </c>
      <c r="J38" s="59" t="s">
        <v>38</v>
      </c>
      <c r="K38" s="22" t="s">
        <v>39</v>
      </c>
      <c r="L38" s="59" t="s">
        <v>171</v>
      </c>
      <c r="M38" s="22">
        <v>2</v>
      </c>
      <c r="N38" s="59" t="s">
        <v>172</v>
      </c>
      <c r="O38" s="22">
        <v>2</v>
      </c>
      <c r="P38" s="59" t="s">
        <v>173</v>
      </c>
      <c r="Q38" s="22">
        <v>2</v>
      </c>
      <c r="V38" s="59" t="s">
        <v>176</v>
      </c>
      <c r="Z38" s="59" t="s">
        <v>40</v>
      </c>
      <c r="AA38" s="22" t="s">
        <v>46</v>
      </c>
      <c r="AF38" s="59" t="s">
        <v>41</v>
      </c>
      <c r="AG38" s="22" t="s">
        <v>47</v>
      </c>
      <c r="AH38" s="59" t="s">
        <v>42</v>
      </c>
      <c r="AI38" s="22" t="s">
        <v>48</v>
      </c>
      <c r="AJ38" s="59" t="s">
        <v>43</v>
      </c>
      <c r="AK38" s="22" t="s">
        <v>49</v>
      </c>
      <c r="AL38" s="59" t="s">
        <v>44</v>
      </c>
      <c r="AM38" s="22" t="s">
        <v>188</v>
      </c>
      <c r="AV38" s="59" t="s">
        <v>134</v>
      </c>
      <c r="AW38" s="22" t="str">
        <f>Settings!$B$5 &amp;  "?s=" &amp; D38 &amp; "&amp;platform=ftx"</f>
        <v>https://tokensol.nfluent.io?s=COR22B35&amp;platform=ftx</v>
      </c>
      <c r="AX38" s="20" t="s">
        <v>23</v>
      </c>
      <c r="AY38" s="20">
        <v>10</v>
      </c>
      <c r="AZ38" s="20" t="s">
        <v>24</v>
      </c>
      <c r="BA38" s="20">
        <v>90</v>
      </c>
      <c r="BD38" s="14" t="s">
        <v>189</v>
      </c>
      <c r="BE38" t="s">
        <v>190</v>
      </c>
      <c r="BJ38" t="s">
        <v>191</v>
      </c>
      <c r="BK38" t="s">
        <v>184</v>
      </c>
      <c r="BN38" s="36">
        <v>4500</v>
      </c>
      <c r="BO38" s="36">
        <v>4500</v>
      </c>
      <c r="BP38">
        <f t="shared" si="3"/>
        <v>480</v>
      </c>
      <c r="BR38" s="38">
        <v>44713</v>
      </c>
      <c r="BS38" s="20" t="s">
        <v>185</v>
      </c>
      <c r="BT38" s="20" t="str">
        <f t="shared" si="5"/>
        <v>AMadonnaDiASierra_COR22B35</v>
      </c>
    </row>
    <row r="39" spans="2:72" ht="18.75" customHeight="1" x14ac:dyDescent="0.25">
      <c r="B39" s="20">
        <f t="shared" si="8"/>
        <v>36</v>
      </c>
      <c r="C39" s="22" t="str">
        <f t="shared" si="6"/>
        <v>A Madonna Di A Sierra #36</v>
      </c>
      <c r="D39" t="str">
        <f t="shared" si="7"/>
        <v>COR22B36</v>
      </c>
      <c r="E39" s="58" t="s">
        <v>186</v>
      </c>
      <c r="F39" s="20">
        <v>1000</v>
      </c>
      <c r="G39" s="14" t="s">
        <v>215</v>
      </c>
      <c r="H39" s="23" t="s">
        <v>170</v>
      </c>
      <c r="J39" s="59" t="s">
        <v>38</v>
      </c>
      <c r="K39" s="22" t="s">
        <v>39</v>
      </c>
      <c r="L39" s="59" t="s">
        <v>171</v>
      </c>
      <c r="M39" s="22">
        <v>2</v>
      </c>
      <c r="N39" s="59" t="s">
        <v>172</v>
      </c>
      <c r="O39" s="22">
        <v>2</v>
      </c>
      <c r="P39" s="59" t="s">
        <v>173</v>
      </c>
      <c r="Q39" s="22">
        <v>2</v>
      </c>
      <c r="V39" s="59" t="s">
        <v>176</v>
      </c>
      <c r="Z39" s="59" t="s">
        <v>40</v>
      </c>
      <c r="AA39" s="22" t="s">
        <v>46</v>
      </c>
      <c r="AF39" s="59" t="s">
        <v>41</v>
      </c>
      <c r="AG39" s="22" t="s">
        <v>47</v>
      </c>
      <c r="AH39" s="59" t="s">
        <v>42</v>
      </c>
      <c r="AI39" s="22" t="s">
        <v>48</v>
      </c>
      <c r="AJ39" s="59" t="s">
        <v>43</v>
      </c>
      <c r="AK39" s="22" t="s">
        <v>49</v>
      </c>
      <c r="AL39" s="59" t="s">
        <v>44</v>
      </c>
      <c r="AM39" s="22" t="s">
        <v>188</v>
      </c>
      <c r="AV39" s="59" t="s">
        <v>134</v>
      </c>
      <c r="AW39" s="22" t="str">
        <f>Settings!$B$5 &amp;  "?s=" &amp; D39 &amp; "&amp;platform=ftx"</f>
        <v>https://tokensol.nfluent.io?s=COR22B36&amp;platform=ftx</v>
      </c>
      <c r="AX39" s="20" t="s">
        <v>23</v>
      </c>
      <c r="AY39" s="20">
        <v>10</v>
      </c>
      <c r="AZ39" s="20" t="s">
        <v>24</v>
      </c>
      <c r="BA39" s="20">
        <v>90</v>
      </c>
      <c r="BD39" s="14" t="s">
        <v>189</v>
      </c>
      <c r="BE39" t="s">
        <v>190</v>
      </c>
      <c r="BJ39" t="s">
        <v>191</v>
      </c>
      <c r="BK39" t="s">
        <v>184</v>
      </c>
      <c r="BN39" s="36">
        <v>4500</v>
      </c>
      <c r="BO39" s="36">
        <v>4500</v>
      </c>
      <c r="BP39">
        <f t="shared" si="3"/>
        <v>480</v>
      </c>
      <c r="BR39" s="38">
        <v>44713</v>
      </c>
      <c r="BS39" s="20" t="s">
        <v>185</v>
      </c>
      <c r="BT39" s="20" t="str">
        <f t="shared" si="5"/>
        <v>AMadonnaDiASierra_COR22B36</v>
      </c>
    </row>
    <row r="40" spans="2:72" ht="18.75" customHeight="1" x14ac:dyDescent="0.25">
      <c r="B40" s="20">
        <f t="shared" si="8"/>
        <v>37</v>
      </c>
      <c r="C40" s="22" t="str">
        <f t="shared" si="6"/>
        <v>A Madonna Di A Sierra #37</v>
      </c>
      <c r="D40" t="str">
        <f t="shared" si="7"/>
        <v>COR22B37</v>
      </c>
      <c r="E40" s="58" t="s">
        <v>186</v>
      </c>
      <c r="F40" s="20">
        <v>1000</v>
      </c>
      <c r="G40" s="14" t="s">
        <v>216</v>
      </c>
      <c r="H40" s="23" t="s">
        <v>170</v>
      </c>
      <c r="J40" s="59" t="s">
        <v>38</v>
      </c>
      <c r="K40" s="22" t="s">
        <v>39</v>
      </c>
      <c r="L40" s="59" t="s">
        <v>171</v>
      </c>
      <c r="M40" s="22">
        <v>2</v>
      </c>
      <c r="N40" s="59" t="s">
        <v>172</v>
      </c>
      <c r="O40" s="22">
        <v>2</v>
      </c>
      <c r="P40" s="59" t="s">
        <v>173</v>
      </c>
      <c r="Q40" s="22">
        <v>2</v>
      </c>
      <c r="V40" s="59" t="s">
        <v>176</v>
      </c>
      <c r="Z40" s="59" t="s">
        <v>40</v>
      </c>
      <c r="AA40" s="22" t="s">
        <v>46</v>
      </c>
      <c r="AF40" s="59" t="s">
        <v>41</v>
      </c>
      <c r="AG40" s="22" t="s">
        <v>47</v>
      </c>
      <c r="AH40" s="59" t="s">
        <v>42</v>
      </c>
      <c r="AI40" s="22" t="s">
        <v>48</v>
      </c>
      <c r="AJ40" s="59" t="s">
        <v>43</v>
      </c>
      <c r="AK40" s="22" t="s">
        <v>49</v>
      </c>
      <c r="AL40" s="59" t="s">
        <v>44</v>
      </c>
      <c r="AM40" s="22" t="s">
        <v>188</v>
      </c>
      <c r="AV40" s="59" t="s">
        <v>134</v>
      </c>
      <c r="AW40" s="22" t="str">
        <f>Settings!$B$5 &amp;  "?s=" &amp; D40 &amp; "&amp;platform=ftx"</f>
        <v>https://tokensol.nfluent.io?s=COR22B37&amp;platform=ftx</v>
      </c>
      <c r="AX40" s="20" t="s">
        <v>23</v>
      </c>
      <c r="AY40" s="20">
        <v>10</v>
      </c>
      <c r="AZ40" s="20" t="s">
        <v>24</v>
      </c>
      <c r="BA40" s="20">
        <v>90</v>
      </c>
      <c r="BD40" s="14" t="s">
        <v>189</v>
      </c>
      <c r="BE40" t="s">
        <v>190</v>
      </c>
      <c r="BJ40" t="s">
        <v>191</v>
      </c>
      <c r="BK40" t="s">
        <v>184</v>
      </c>
      <c r="BN40" s="36">
        <v>4500</v>
      </c>
      <c r="BO40" s="36">
        <v>4500</v>
      </c>
      <c r="BP40">
        <f t="shared" si="3"/>
        <v>480</v>
      </c>
      <c r="BR40" s="38">
        <v>44713</v>
      </c>
      <c r="BS40" s="20" t="s">
        <v>185</v>
      </c>
      <c r="BT40" s="20" t="str">
        <f t="shared" si="5"/>
        <v>AMadonnaDiASierra_COR22B37</v>
      </c>
    </row>
    <row r="41" spans="2:72" ht="18.75" customHeight="1" x14ac:dyDescent="0.25">
      <c r="B41" s="20">
        <f t="shared" si="8"/>
        <v>38</v>
      </c>
      <c r="C41" s="22" t="str">
        <f t="shared" si="6"/>
        <v>A Madonna Di A Sierra #38</v>
      </c>
      <c r="D41" t="str">
        <f t="shared" si="7"/>
        <v>COR22B38</v>
      </c>
      <c r="E41" s="58" t="s">
        <v>186</v>
      </c>
      <c r="F41" s="20">
        <v>1000</v>
      </c>
      <c r="G41" s="14" t="s">
        <v>217</v>
      </c>
      <c r="H41" s="23" t="s">
        <v>170</v>
      </c>
      <c r="J41" s="59" t="s">
        <v>38</v>
      </c>
      <c r="K41" s="22" t="s">
        <v>39</v>
      </c>
      <c r="L41" s="59" t="s">
        <v>171</v>
      </c>
      <c r="M41" s="22">
        <v>2</v>
      </c>
      <c r="N41" s="59" t="s">
        <v>172</v>
      </c>
      <c r="O41" s="22">
        <v>2</v>
      </c>
      <c r="P41" s="59" t="s">
        <v>173</v>
      </c>
      <c r="Q41" s="22">
        <v>2</v>
      </c>
      <c r="V41" s="59" t="s">
        <v>176</v>
      </c>
      <c r="Z41" s="59" t="s">
        <v>40</v>
      </c>
      <c r="AA41" s="22" t="s">
        <v>46</v>
      </c>
      <c r="AF41" s="59" t="s">
        <v>41</v>
      </c>
      <c r="AG41" s="22" t="s">
        <v>47</v>
      </c>
      <c r="AH41" s="59" t="s">
        <v>42</v>
      </c>
      <c r="AI41" s="22" t="s">
        <v>48</v>
      </c>
      <c r="AJ41" s="59" t="s">
        <v>43</v>
      </c>
      <c r="AK41" s="22" t="s">
        <v>49</v>
      </c>
      <c r="AL41" s="59" t="s">
        <v>44</v>
      </c>
      <c r="AM41" s="22" t="s">
        <v>188</v>
      </c>
      <c r="AV41" s="59" t="s">
        <v>134</v>
      </c>
      <c r="AW41" s="22" t="str">
        <f>Settings!$B$5 &amp;  "?s=" &amp; D41 &amp; "&amp;platform=ftx"</f>
        <v>https://tokensol.nfluent.io?s=COR22B38&amp;platform=ftx</v>
      </c>
      <c r="AX41" s="20" t="s">
        <v>23</v>
      </c>
      <c r="AY41" s="20">
        <v>10</v>
      </c>
      <c r="AZ41" s="20" t="s">
        <v>24</v>
      </c>
      <c r="BA41" s="20">
        <v>90</v>
      </c>
      <c r="BD41" s="14" t="s">
        <v>189</v>
      </c>
      <c r="BE41" t="s">
        <v>190</v>
      </c>
      <c r="BJ41" t="s">
        <v>191</v>
      </c>
      <c r="BK41" t="s">
        <v>184</v>
      </c>
      <c r="BN41" s="36">
        <v>4500</v>
      </c>
      <c r="BO41" s="36">
        <v>4500</v>
      </c>
      <c r="BP41">
        <f t="shared" si="3"/>
        <v>480</v>
      </c>
      <c r="BR41" s="38">
        <v>44713</v>
      </c>
      <c r="BS41" s="20" t="s">
        <v>185</v>
      </c>
      <c r="BT41" s="20" t="str">
        <f t="shared" si="5"/>
        <v>AMadonnaDiASierra_COR22B38</v>
      </c>
    </row>
    <row r="42" spans="2:72" ht="18.75" customHeight="1" x14ac:dyDescent="0.25">
      <c r="B42" s="20">
        <f t="shared" si="8"/>
        <v>39</v>
      </c>
      <c r="C42" s="22" t="str">
        <f t="shared" si="6"/>
        <v>A Madonna Di A Sierra #39</v>
      </c>
      <c r="D42" t="str">
        <f t="shared" si="7"/>
        <v>COR22B39</v>
      </c>
      <c r="E42" s="58" t="s">
        <v>186</v>
      </c>
      <c r="F42" s="20">
        <v>1000</v>
      </c>
      <c r="G42" s="14" t="s">
        <v>218</v>
      </c>
      <c r="H42" s="23" t="s">
        <v>170</v>
      </c>
      <c r="J42" s="59" t="s">
        <v>38</v>
      </c>
      <c r="K42" s="22" t="s">
        <v>39</v>
      </c>
      <c r="L42" s="59" t="s">
        <v>171</v>
      </c>
      <c r="M42" s="22">
        <v>2</v>
      </c>
      <c r="N42" s="59" t="s">
        <v>172</v>
      </c>
      <c r="O42" s="22">
        <v>2</v>
      </c>
      <c r="P42" s="59" t="s">
        <v>173</v>
      </c>
      <c r="Q42" s="22">
        <v>2</v>
      </c>
      <c r="V42" s="59" t="s">
        <v>176</v>
      </c>
      <c r="Z42" s="59" t="s">
        <v>40</v>
      </c>
      <c r="AA42" s="22" t="s">
        <v>46</v>
      </c>
      <c r="AF42" s="59" t="s">
        <v>41</v>
      </c>
      <c r="AG42" s="22" t="s">
        <v>47</v>
      </c>
      <c r="AH42" s="59" t="s">
        <v>42</v>
      </c>
      <c r="AI42" s="22" t="s">
        <v>48</v>
      </c>
      <c r="AJ42" s="59" t="s">
        <v>43</v>
      </c>
      <c r="AK42" s="22" t="s">
        <v>49</v>
      </c>
      <c r="AL42" s="59" t="s">
        <v>44</v>
      </c>
      <c r="AM42" s="22" t="s">
        <v>188</v>
      </c>
      <c r="AV42" s="59" t="s">
        <v>134</v>
      </c>
      <c r="AW42" s="22" t="str">
        <f>Settings!$B$5 &amp;  "?s=" &amp; D42 &amp; "&amp;platform=ftx"</f>
        <v>https://tokensol.nfluent.io?s=COR22B39&amp;platform=ftx</v>
      </c>
      <c r="AX42" s="20" t="s">
        <v>23</v>
      </c>
      <c r="AY42" s="20">
        <v>10</v>
      </c>
      <c r="AZ42" s="20" t="s">
        <v>24</v>
      </c>
      <c r="BA42" s="20">
        <v>90</v>
      </c>
      <c r="BD42" s="14" t="s">
        <v>189</v>
      </c>
      <c r="BE42" t="s">
        <v>190</v>
      </c>
      <c r="BJ42" t="s">
        <v>191</v>
      </c>
      <c r="BK42" t="s">
        <v>184</v>
      </c>
      <c r="BN42" s="36">
        <v>4500</v>
      </c>
      <c r="BO42" s="36">
        <v>4500</v>
      </c>
      <c r="BP42">
        <f t="shared" si="3"/>
        <v>480</v>
      </c>
      <c r="BR42" s="38">
        <v>44713</v>
      </c>
      <c r="BS42" s="20" t="s">
        <v>185</v>
      </c>
      <c r="BT42" s="20" t="str">
        <f t="shared" si="5"/>
        <v>AMadonnaDiASierra_COR22B39</v>
      </c>
    </row>
    <row r="43" spans="2:72" ht="18.75" customHeight="1" x14ac:dyDescent="0.25">
      <c r="B43" s="20">
        <f t="shared" si="8"/>
        <v>40</v>
      </c>
      <c r="C43" s="22" t="str">
        <f t="shared" si="6"/>
        <v>A Madonna Di A Sierra #40</v>
      </c>
      <c r="D43" t="str">
        <f t="shared" si="7"/>
        <v>COR22B40</v>
      </c>
      <c r="E43" s="58" t="s">
        <v>186</v>
      </c>
      <c r="F43" s="20">
        <v>1000</v>
      </c>
      <c r="G43" s="14" t="s">
        <v>219</v>
      </c>
      <c r="H43" s="23" t="s">
        <v>170</v>
      </c>
      <c r="J43" s="59" t="s">
        <v>38</v>
      </c>
      <c r="K43" s="22" t="s">
        <v>39</v>
      </c>
      <c r="L43" s="59" t="s">
        <v>171</v>
      </c>
      <c r="M43" s="22">
        <v>2</v>
      </c>
      <c r="N43" s="59" t="s">
        <v>172</v>
      </c>
      <c r="O43" s="22">
        <v>2</v>
      </c>
      <c r="P43" s="59" t="s">
        <v>173</v>
      </c>
      <c r="Q43" s="22">
        <v>2</v>
      </c>
      <c r="V43" s="59" t="s">
        <v>176</v>
      </c>
      <c r="Z43" s="59" t="s">
        <v>40</v>
      </c>
      <c r="AA43" s="22" t="s">
        <v>46</v>
      </c>
      <c r="AF43" s="59" t="s">
        <v>41</v>
      </c>
      <c r="AG43" s="22" t="s">
        <v>47</v>
      </c>
      <c r="AH43" s="59" t="s">
        <v>42</v>
      </c>
      <c r="AI43" s="22" t="s">
        <v>48</v>
      </c>
      <c r="AJ43" s="59" t="s">
        <v>43</v>
      </c>
      <c r="AK43" s="22" t="s">
        <v>49</v>
      </c>
      <c r="AL43" s="59" t="s">
        <v>44</v>
      </c>
      <c r="AM43" s="22" t="s">
        <v>188</v>
      </c>
      <c r="AV43" s="59" t="s">
        <v>134</v>
      </c>
      <c r="AW43" s="22" t="str">
        <f>Settings!$B$5 &amp;  "?s=" &amp; D43 &amp; "&amp;platform=ftx"</f>
        <v>https://tokensol.nfluent.io?s=COR22B40&amp;platform=ftx</v>
      </c>
      <c r="AX43" s="20" t="s">
        <v>23</v>
      </c>
      <c r="AY43" s="20">
        <v>10</v>
      </c>
      <c r="AZ43" s="20" t="s">
        <v>24</v>
      </c>
      <c r="BA43" s="20">
        <v>90</v>
      </c>
      <c r="BD43" s="14" t="s">
        <v>189</v>
      </c>
      <c r="BE43" t="s">
        <v>190</v>
      </c>
      <c r="BJ43" t="s">
        <v>191</v>
      </c>
      <c r="BK43" t="s">
        <v>184</v>
      </c>
      <c r="BN43" s="36">
        <v>4500</v>
      </c>
      <c r="BO43" s="36">
        <v>4500</v>
      </c>
      <c r="BP43">
        <f t="shared" si="3"/>
        <v>480</v>
      </c>
      <c r="BR43" s="38">
        <v>44713</v>
      </c>
      <c r="BS43" s="20" t="s">
        <v>185</v>
      </c>
      <c r="BT43" s="20" t="str">
        <f t="shared" si="5"/>
        <v>AMadonnaDiASierra_COR22B40</v>
      </c>
    </row>
    <row r="44" spans="2:72" ht="18.75" customHeight="1" x14ac:dyDescent="0.25">
      <c r="B44" s="20">
        <f t="shared" si="8"/>
        <v>41</v>
      </c>
      <c r="C44" s="22" t="str">
        <f t="shared" si="6"/>
        <v>A Madonna Di A Sierra #41</v>
      </c>
      <c r="D44" t="str">
        <f t="shared" si="7"/>
        <v>COR22B41</v>
      </c>
      <c r="E44" s="58" t="s">
        <v>186</v>
      </c>
      <c r="F44" s="20">
        <v>1000</v>
      </c>
      <c r="G44" s="14" t="s">
        <v>220</v>
      </c>
      <c r="H44" s="23" t="s">
        <v>170</v>
      </c>
      <c r="J44" s="59" t="s">
        <v>38</v>
      </c>
      <c r="K44" s="22" t="s">
        <v>39</v>
      </c>
      <c r="L44" s="59" t="s">
        <v>171</v>
      </c>
      <c r="M44" s="22">
        <v>2</v>
      </c>
      <c r="N44" s="59" t="s">
        <v>172</v>
      </c>
      <c r="O44" s="22">
        <v>2</v>
      </c>
      <c r="P44" s="59" t="s">
        <v>173</v>
      </c>
      <c r="Q44" s="22">
        <v>2</v>
      </c>
      <c r="V44" s="59" t="s">
        <v>176</v>
      </c>
      <c r="Z44" s="59" t="s">
        <v>40</v>
      </c>
      <c r="AA44" s="22" t="s">
        <v>46</v>
      </c>
      <c r="AF44" s="59" t="s">
        <v>41</v>
      </c>
      <c r="AG44" s="22" t="s">
        <v>47</v>
      </c>
      <c r="AH44" s="59" t="s">
        <v>42</v>
      </c>
      <c r="AI44" s="22" t="s">
        <v>48</v>
      </c>
      <c r="AJ44" s="59" t="s">
        <v>43</v>
      </c>
      <c r="AK44" s="22" t="s">
        <v>49</v>
      </c>
      <c r="AL44" s="59" t="s">
        <v>44</v>
      </c>
      <c r="AM44" s="22" t="s">
        <v>188</v>
      </c>
      <c r="AV44" s="59" t="s">
        <v>134</v>
      </c>
      <c r="AW44" s="22" t="str">
        <f>Settings!$B$5 &amp;  "?s=" &amp; D44 &amp; "&amp;platform=ftx"</f>
        <v>https://tokensol.nfluent.io?s=COR22B41&amp;platform=ftx</v>
      </c>
      <c r="AX44" s="20" t="s">
        <v>23</v>
      </c>
      <c r="AY44" s="20">
        <v>10</v>
      </c>
      <c r="AZ44" s="20" t="s">
        <v>24</v>
      </c>
      <c r="BA44" s="20">
        <v>90</v>
      </c>
      <c r="BD44" s="14" t="s">
        <v>189</v>
      </c>
      <c r="BE44" t="s">
        <v>190</v>
      </c>
      <c r="BJ44" t="s">
        <v>191</v>
      </c>
      <c r="BK44" t="s">
        <v>184</v>
      </c>
      <c r="BN44" s="36">
        <v>4500</v>
      </c>
      <c r="BO44" s="36">
        <v>4500</v>
      </c>
      <c r="BP44">
        <f t="shared" si="3"/>
        <v>480</v>
      </c>
      <c r="BR44" s="38">
        <v>44713</v>
      </c>
      <c r="BS44" s="20" t="s">
        <v>185</v>
      </c>
      <c r="BT44" s="20" t="str">
        <f t="shared" si="5"/>
        <v>AMadonnaDiASierra_COR22B41</v>
      </c>
    </row>
    <row r="45" spans="2:72" ht="18.75" customHeight="1" x14ac:dyDescent="0.25">
      <c r="B45" s="20">
        <f t="shared" si="8"/>
        <v>42</v>
      </c>
      <c r="C45" s="22" t="str">
        <f t="shared" si="6"/>
        <v>A Madonna Di A Sierra #42</v>
      </c>
      <c r="D45" t="str">
        <f t="shared" si="7"/>
        <v>COR22B42</v>
      </c>
      <c r="E45" s="58" t="s">
        <v>186</v>
      </c>
      <c r="F45" s="20">
        <v>1000</v>
      </c>
      <c r="G45" s="14" t="s">
        <v>221</v>
      </c>
      <c r="H45" s="23" t="s">
        <v>170</v>
      </c>
      <c r="J45" s="59" t="s">
        <v>38</v>
      </c>
      <c r="K45" s="22" t="s">
        <v>39</v>
      </c>
      <c r="L45" s="59" t="s">
        <v>171</v>
      </c>
      <c r="M45" s="22">
        <v>2</v>
      </c>
      <c r="N45" s="59" t="s">
        <v>172</v>
      </c>
      <c r="O45" s="22">
        <v>2</v>
      </c>
      <c r="P45" s="59" t="s">
        <v>173</v>
      </c>
      <c r="Q45" s="22">
        <v>2</v>
      </c>
      <c r="V45" s="59" t="s">
        <v>176</v>
      </c>
      <c r="Z45" s="59" t="s">
        <v>40</v>
      </c>
      <c r="AA45" s="22" t="s">
        <v>46</v>
      </c>
      <c r="AF45" s="59" t="s">
        <v>41</v>
      </c>
      <c r="AG45" s="22" t="s">
        <v>47</v>
      </c>
      <c r="AH45" s="59" t="s">
        <v>42</v>
      </c>
      <c r="AI45" s="22" t="s">
        <v>48</v>
      </c>
      <c r="AJ45" s="59" t="s">
        <v>43</v>
      </c>
      <c r="AK45" s="22" t="s">
        <v>49</v>
      </c>
      <c r="AL45" s="59" t="s">
        <v>44</v>
      </c>
      <c r="AM45" s="22" t="s">
        <v>188</v>
      </c>
      <c r="AV45" s="59" t="s">
        <v>134</v>
      </c>
      <c r="AW45" s="22" t="str">
        <f>Settings!$B$5 &amp;  "?s=" &amp; D45 &amp; "&amp;platform=ftx"</f>
        <v>https://tokensol.nfluent.io?s=COR22B42&amp;platform=ftx</v>
      </c>
      <c r="AX45" s="20" t="s">
        <v>23</v>
      </c>
      <c r="AY45" s="20">
        <v>10</v>
      </c>
      <c r="AZ45" s="20" t="s">
        <v>24</v>
      </c>
      <c r="BA45" s="20">
        <v>90</v>
      </c>
      <c r="BD45" s="14" t="s">
        <v>189</v>
      </c>
      <c r="BE45" t="s">
        <v>190</v>
      </c>
      <c r="BJ45" t="s">
        <v>191</v>
      </c>
      <c r="BK45" t="s">
        <v>184</v>
      </c>
      <c r="BN45" s="36">
        <v>4500</v>
      </c>
      <c r="BO45" s="36">
        <v>4500</v>
      </c>
      <c r="BP45">
        <f t="shared" si="3"/>
        <v>480</v>
      </c>
      <c r="BR45" s="38">
        <v>44713</v>
      </c>
      <c r="BS45" s="20" t="s">
        <v>185</v>
      </c>
      <c r="BT45" s="20" t="str">
        <f t="shared" si="5"/>
        <v>AMadonnaDiASierra_COR22B42</v>
      </c>
    </row>
    <row r="46" spans="2:72" ht="18.75" customHeight="1" x14ac:dyDescent="0.25">
      <c r="B46" s="20">
        <f t="shared" si="8"/>
        <v>43</v>
      </c>
      <c r="C46" s="22" t="str">
        <f t="shared" si="6"/>
        <v>A Madonna Di A Sierra #43</v>
      </c>
      <c r="D46" t="str">
        <f t="shared" si="7"/>
        <v>COR22B43</v>
      </c>
      <c r="E46" s="58" t="s">
        <v>186</v>
      </c>
      <c r="F46" s="20">
        <v>1000</v>
      </c>
      <c r="G46" s="14" t="s">
        <v>222</v>
      </c>
      <c r="H46" s="23" t="s">
        <v>170</v>
      </c>
      <c r="J46" s="59" t="s">
        <v>38</v>
      </c>
      <c r="K46" s="22" t="s">
        <v>39</v>
      </c>
      <c r="L46" s="59" t="s">
        <v>171</v>
      </c>
      <c r="M46" s="22">
        <v>2</v>
      </c>
      <c r="N46" s="59" t="s">
        <v>172</v>
      </c>
      <c r="O46" s="22">
        <v>2</v>
      </c>
      <c r="P46" s="59" t="s">
        <v>173</v>
      </c>
      <c r="Q46" s="22">
        <v>2</v>
      </c>
      <c r="V46" s="59" t="s">
        <v>176</v>
      </c>
      <c r="Z46" s="59" t="s">
        <v>40</v>
      </c>
      <c r="AA46" s="22" t="s">
        <v>46</v>
      </c>
      <c r="AF46" s="59" t="s">
        <v>41</v>
      </c>
      <c r="AG46" s="22" t="s">
        <v>47</v>
      </c>
      <c r="AH46" s="59" t="s">
        <v>42</v>
      </c>
      <c r="AI46" s="22" t="s">
        <v>48</v>
      </c>
      <c r="AJ46" s="59" t="s">
        <v>43</v>
      </c>
      <c r="AK46" s="22" t="s">
        <v>49</v>
      </c>
      <c r="AL46" s="59" t="s">
        <v>44</v>
      </c>
      <c r="AM46" s="22" t="s">
        <v>188</v>
      </c>
      <c r="AV46" s="59" t="s">
        <v>134</v>
      </c>
      <c r="AW46" s="22" t="str">
        <f>Settings!$B$5 &amp;  "?s=" &amp; D46 &amp; "&amp;platform=ftx"</f>
        <v>https://tokensol.nfluent.io?s=COR22B43&amp;platform=ftx</v>
      </c>
      <c r="AX46" s="20" t="s">
        <v>23</v>
      </c>
      <c r="AY46" s="20">
        <v>10</v>
      </c>
      <c r="AZ46" s="20" t="s">
        <v>24</v>
      </c>
      <c r="BA46" s="20">
        <v>90</v>
      </c>
      <c r="BD46" s="14" t="s">
        <v>189</v>
      </c>
      <c r="BE46" t="s">
        <v>190</v>
      </c>
      <c r="BJ46" t="s">
        <v>191</v>
      </c>
      <c r="BK46" t="s">
        <v>184</v>
      </c>
      <c r="BN46" s="36">
        <v>4500</v>
      </c>
      <c r="BO46" s="36">
        <v>4500</v>
      </c>
      <c r="BP46">
        <f t="shared" si="3"/>
        <v>480</v>
      </c>
      <c r="BR46" s="38">
        <v>44713</v>
      </c>
      <c r="BS46" s="20" t="s">
        <v>185</v>
      </c>
      <c r="BT46" s="20" t="str">
        <f t="shared" si="5"/>
        <v>AMadonnaDiASierra_COR22B43</v>
      </c>
    </row>
    <row r="47" spans="2:72" ht="18.75" customHeight="1" x14ac:dyDescent="0.25">
      <c r="B47" s="20">
        <f t="shared" si="8"/>
        <v>44</v>
      </c>
      <c r="C47" s="22" t="str">
        <f t="shared" si="6"/>
        <v>A Madonna Di A Sierra #44</v>
      </c>
      <c r="D47" t="str">
        <f t="shared" si="7"/>
        <v>COR22B44</v>
      </c>
      <c r="E47" s="58" t="s">
        <v>186</v>
      </c>
      <c r="F47" s="20">
        <v>1000</v>
      </c>
      <c r="G47" s="14" t="s">
        <v>223</v>
      </c>
      <c r="H47" s="23" t="s">
        <v>170</v>
      </c>
      <c r="J47" s="59" t="s">
        <v>38</v>
      </c>
      <c r="K47" s="22" t="s">
        <v>39</v>
      </c>
      <c r="L47" s="59" t="s">
        <v>171</v>
      </c>
      <c r="M47" s="22">
        <v>2</v>
      </c>
      <c r="N47" s="59" t="s">
        <v>172</v>
      </c>
      <c r="O47" s="22">
        <v>2</v>
      </c>
      <c r="P47" s="59" t="s">
        <v>173</v>
      </c>
      <c r="Q47" s="22">
        <v>2</v>
      </c>
      <c r="V47" s="59" t="s">
        <v>176</v>
      </c>
      <c r="Z47" s="59" t="s">
        <v>40</v>
      </c>
      <c r="AA47" s="22" t="s">
        <v>46</v>
      </c>
      <c r="AF47" s="59" t="s">
        <v>41</v>
      </c>
      <c r="AG47" s="22" t="s">
        <v>47</v>
      </c>
      <c r="AH47" s="59" t="s">
        <v>42</v>
      </c>
      <c r="AI47" s="22" t="s">
        <v>48</v>
      </c>
      <c r="AJ47" s="59" t="s">
        <v>43</v>
      </c>
      <c r="AK47" s="22" t="s">
        <v>49</v>
      </c>
      <c r="AL47" s="59" t="s">
        <v>44</v>
      </c>
      <c r="AM47" s="22" t="s">
        <v>188</v>
      </c>
      <c r="AV47" s="59" t="s">
        <v>134</v>
      </c>
      <c r="AW47" s="22" t="str">
        <f>Settings!$B$5 &amp;  "?s=" &amp; D47 &amp; "&amp;platform=ftx"</f>
        <v>https://tokensol.nfluent.io?s=COR22B44&amp;platform=ftx</v>
      </c>
      <c r="AX47" s="20" t="s">
        <v>23</v>
      </c>
      <c r="AY47" s="20">
        <v>10</v>
      </c>
      <c r="AZ47" s="20" t="s">
        <v>24</v>
      </c>
      <c r="BA47" s="20">
        <v>90</v>
      </c>
      <c r="BD47" s="14" t="s">
        <v>189</v>
      </c>
      <c r="BE47" t="s">
        <v>190</v>
      </c>
      <c r="BJ47" t="s">
        <v>191</v>
      </c>
      <c r="BK47" t="s">
        <v>184</v>
      </c>
      <c r="BN47" s="36">
        <v>4500</v>
      </c>
      <c r="BO47" s="36">
        <v>4500</v>
      </c>
      <c r="BP47">
        <f t="shared" si="3"/>
        <v>480</v>
      </c>
      <c r="BR47" s="38">
        <v>44713</v>
      </c>
      <c r="BS47" s="20" t="s">
        <v>185</v>
      </c>
      <c r="BT47" s="20" t="str">
        <f t="shared" si="5"/>
        <v>AMadonnaDiASierra_COR22B44</v>
      </c>
    </row>
    <row r="48" spans="2:72" ht="18.75" customHeight="1" x14ac:dyDescent="0.25">
      <c r="B48" s="20">
        <f t="shared" si="8"/>
        <v>45</v>
      </c>
      <c r="C48" s="22" t="str">
        <f t="shared" si="6"/>
        <v>A Madonna Di A Sierra #45</v>
      </c>
      <c r="D48" t="str">
        <f t="shared" si="7"/>
        <v>COR22B45</v>
      </c>
      <c r="E48" s="58" t="s">
        <v>186</v>
      </c>
      <c r="F48" s="20">
        <v>1000</v>
      </c>
      <c r="G48" s="14" t="s">
        <v>224</v>
      </c>
      <c r="H48" s="23" t="s">
        <v>170</v>
      </c>
      <c r="J48" s="59" t="s">
        <v>38</v>
      </c>
      <c r="K48" s="22" t="s">
        <v>39</v>
      </c>
      <c r="L48" s="59" t="s">
        <v>171</v>
      </c>
      <c r="M48" s="22">
        <v>2</v>
      </c>
      <c r="N48" s="59" t="s">
        <v>172</v>
      </c>
      <c r="O48" s="22">
        <v>2</v>
      </c>
      <c r="P48" s="59" t="s">
        <v>173</v>
      </c>
      <c r="Q48" s="22">
        <v>2</v>
      </c>
      <c r="V48" s="59" t="s">
        <v>176</v>
      </c>
      <c r="Z48" s="59" t="s">
        <v>40</v>
      </c>
      <c r="AA48" s="22" t="s">
        <v>46</v>
      </c>
      <c r="AF48" s="59" t="s">
        <v>41</v>
      </c>
      <c r="AG48" s="22" t="s">
        <v>47</v>
      </c>
      <c r="AH48" s="59" t="s">
        <v>42</v>
      </c>
      <c r="AI48" s="22" t="s">
        <v>48</v>
      </c>
      <c r="AJ48" s="59" t="s">
        <v>43</v>
      </c>
      <c r="AK48" s="22" t="s">
        <v>49</v>
      </c>
      <c r="AL48" s="59" t="s">
        <v>44</v>
      </c>
      <c r="AM48" s="22" t="s">
        <v>188</v>
      </c>
      <c r="AV48" s="59" t="s">
        <v>134</v>
      </c>
      <c r="AW48" s="22" t="str">
        <f>Settings!$B$5 &amp;  "?s=" &amp; D48 &amp; "&amp;platform=ftx"</f>
        <v>https://tokensol.nfluent.io?s=COR22B45&amp;platform=ftx</v>
      </c>
      <c r="AX48" s="20" t="s">
        <v>23</v>
      </c>
      <c r="AY48" s="20">
        <v>10</v>
      </c>
      <c r="AZ48" s="20" t="s">
        <v>24</v>
      </c>
      <c r="BA48" s="20">
        <v>90</v>
      </c>
      <c r="BD48" s="14" t="s">
        <v>189</v>
      </c>
      <c r="BE48" t="s">
        <v>190</v>
      </c>
      <c r="BJ48" t="s">
        <v>191</v>
      </c>
      <c r="BK48" t="s">
        <v>184</v>
      </c>
      <c r="BN48" s="36">
        <v>4500</v>
      </c>
      <c r="BO48" s="36">
        <v>4500</v>
      </c>
      <c r="BP48">
        <f t="shared" si="3"/>
        <v>480</v>
      </c>
      <c r="BR48" s="38">
        <v>44713</v>
      </c>
      <c r="BS48" s="20" t="s">
        <v>185</v>
      </c>
      <c r="BT48" s="20" t="str">
        <f t="shared" si="5"/>
        <v>AMadonnaDiASierra_COR22B45</v>
      </c>
    </row>
    <row r="49" spans="2:72" ht="18.75" customHeight="1" x14ac:dyDescent="0.25">
      <c r="B49" s="20">
        <f t="shared" si="8"/>
        <v>46</v>
      </c>
      <c r="C49" s="22" t="str">
        <f t="shared" si="6"/>
        <v>A Madonna Di A Sierra #46</v>
      </c>
      <c r="D49" t="str">
        <f t="shared" si="7"/>
        <v>COR22B46</v>
      </c>
      <c r="E49" s="58" t="s">
        <v>186</v>
      </c>
      <c r="F49" s="20">
        <v>1000</v>
      </c>
      <c r="G49" s="14" t="s">
        <v>225</v>
      </c>
      <c r="H49" s="23" t="s">
        <v>170</v>
      </c>
      <c r="J49" s="59" t="s">
        <v>38</v>
      </c>
      <c r="K49" s="22" t="s">
        <v>39</v>
      </c>
      <c r="L49" s="59" t="s">
        <v>171</v>
      </c>
      <c r="M49" s="22">
        <v>2</v>
      </c>
      <c r="N49" s="59" t="s">
        <v>172</v>
      </c>
      <c r="O49" s="22">
        <v>2</v>
      </c>
      <c r="P49" s="59" t="s">
        <v>173</v>
      </c>
      <c r="Q49" s="22">
        <v>2</v>
      </c>
      <c r="V49" s="59" t="s">
        <v>176</v>
      </c>
      <c r="Z49" s="59" t="s">
        <v>40</v>
      </c>
      <c r="AA49" s="22" t="s">
        <v>46</v>
      </c>
      <c r="AF49" s="59" t="s">
        <v>41</v>
      </c>
      <c r="AG49" s="22" t="s">
        <v>47</v>
      </c>
      <c r="AH49" s="59" t="s">
        <v>42</v>
      </c>
      <c r="AI49" s="22" t="s">
        <v>48</v>
      </c>
      <c r="AJ49" s="59" t="s">
        <v>43</v>
      </c>
      <c r="AK49" s="22" t="s">
        <v>49</v>
      </c>
      <c r="AL49" s="59" t="s">
        <v>44</v>
      </c>
      <c r="AM49" s="22" t="s">
        <v>188</v>
      </c>
      <c r="AV49" s="59" t="s">
        <v>134</v>
      </c>
      <c r="AW49" s="22" t="str">
        <f>Settings!$B$5 &amp;  "?s=" &amp; D49 &amp; "&amp;platform=ftx"</f>
        <v>https://tokensol.nfluent.io?s=COR22B46&amp;platform=ftx</v>
      </c>
      <c r="AX49" s="20" t="s">
        <v>23</v>
      </c>
      <c r="AY49" s="20">
        <v>10</v>
      </c>
      <c r="AZ49" s="20" t="s">
        <v>24</v>
      </c>
      <c r="BA49" s="20">
        <v>90</v>
      </c>
      <c r="BD49" s="14" t="s">
        <v>189</v>
      </c>
      <c r="BE49" t="s">
        <v>190</v>
      </c>
      <c r="BJ49" t="s">
        <v>191</v>
      </c>
      <c r="BK49" t="s">
        <v>184</v>
      </c>
      <c r="BN49" s="36">
        <v>4500</v>
      </c>
      <c r="BO49" s="36">
        <v>4500</v>
      </c>
      <c r="BP49">
        <f t="shared" si="3"/>
        <v>480</v>
      </c>
      <c r="BR49" s="38">
        <v>44713</v>
      </c>
      <c r="BS49" s="20" t="s">
        <v>185</v>
      </c>
      <c r="BT49" s="20" t="str">
        <f t="shared" si="5"/>
        <v>AMadonnaDiASierra_COR22B46</v>
      </c>
    </row>
    <row r="50" spans="2:72" ht="18.75" customHeight="1" x14ac:dyDescent="0.25">
      <c r="B50" s="20">
        <f t="shared" si="8"/>
        <v>47</v>
      </c>
      <c r="C50" s="22" t="str">
        <f t="shared" si="6"/>
        <v>A Madonna Di A Sierra #47</v>
      </c>
      <c r="D50" t="str">
        <f t="shared" si="7"/>
        <v>COR22B47</v>
      </c>
      <c r="E50" s="58" t="s">
        <v>186</v>
      </c>
      <c r="F50" s="20">
        <v>1000</v>
      </c>
      <c r="G50" s="14" t="s">
        <v>226</v>
      </c>
      <c r="H50" s="23" t="s">
        <v>170</v>
      </c>
      <c r="J50" s="59" t="s">
        <v>38</v>
      </c>
      <c r="K50" s="22" t="s">
        <v>39</v>
      </c>
      <c r="L50" s="59" t="s">
        <v>171</v>
      </c>
      <c r="M50" s="22">
        <v>2</v>
      </c>
      <c r="N50" s="59" t="s">
        <v>172</v>
      </c>
      <c r="O50" s="22">
        <v>2</v>
      </c>
      <c r="P50" s="59" t="s">
        <v>173</v>
      </c>
      <c r="Q50" s="22">
        <v>2</v>
      </c>
      <c r="V50" s="59" t="s">
        <v>176</v>
      </c>
      <c r="Z50" s="59" t="s">
        <v>40</v>
      </c>
      <c r="AA50" s="22" t="s">
        <v>46</v>
      </c>
      <c r="AF50" s="59" t="s">
        <v>41</v>
      </c>
      <c r="AG50" s="22" t="s">
        <v>47</v>
      </c>
      <c r="AH50" s="59" t="s">
        <v>42</v>
      </c>
      <c r="AI50" s="22" t="s">
        <v>48</v>
      </c>
      <c r="AJ50" s="59" t="s">
        <v>43</v>
      </c>
      <c r="AK50" s="22" t="s">
        <v>49</v>
      </c>
      <c r="AL50" s="59" t="s">
        <v>44</v>
      </c>
      <c r="AM50" s="22" t="s">
        <v>188</v>
      </c>
      <c r="AV50" s="59" t="s">
        <v>134</v>
      </c>
      <c r="AW50" s="22" t="str">
        <f>Settings!$B$5 &amp;  "?s=" &amp; D50 &amp; "&amp;platform=ftx"</f>
        <v>https://tokensol.nfluent.io?s=COR22B47&amp;platform=ftx</v>
      </c>
      <c r="AX50" s="20" t="s">
        <v>23</v>
      </c>
      <c r="AY50" s="20">
        <v>10</v>
      </c>
      <c r="AZ50" s="20" t="s">
        <v>24</v>
      </c>
      <c r="BA50" s="20">
        <v>90</v>
      </c>
      <c r="BD50" s="14" t="s">
        <v>189</v>
      </c>
      <c r="BE50" t="s">
        <v>190</v>
      </c>
      <c r="BJ50" t="s">
        <v>191</v>
      </c>
      <c r="BK50" t="s">
        <v>184</v>
      </c>
      <c r="BN50" s="36">
        <v>4500</v>
      </c>
      <c r="BO50" s="36">
        <v>4500</v>
      </c>
      <c r="BP50">
        <f t="shared" si="3"/>
        <v>480</v>
      </c>
      <c r="BR50" s="38">
        <v>44713</v>
      </c>
      <c r="BS50" s="20" t="s">
        <v>185</v>
      </c>
      <c r="BT50" s="20" t="str">
        <f t="shared" si="5"/>
        <v>AMadonnaDiASierra_COR22B47</v>
      </c>
    </row>
    <row r="51" spans="2:72" ht="18.75" customHeight="1" x14ac:dyDescent="0.25">
      <c r="B51" s="20">
        <f t="shared" si="8"/>
        <v>48</v>
      </c>
      <c r="C51" s="22" t="str">
        <f t="shared" si="6"/>
        <v>A Madonna Di A Sierra #48</v>
      </c>
      <c r="D51" t="str">
        <f t="shared" si="7"/>
        <v>COR22B48</v>
      </c>
      <c r="E51" s="58" t="s">
        <v>186</v>
      </c>
      <c r="F51" s="20">
        <v>1000</v>
      </c>
      <c r="G51" s="14" t="s">
        <v>227</v>
      </c>
      <c r="H51" s="23" t="s">
        <v>170</v>
      </c>
      <c r="J51" s="59" t="s">
        <v>38</v>
      </c>
      <c r="K51" s="22" t="s">
        <v>39</v>
      </c>
      <c r="L51" s="59" t="s">
        <v>171</v>
      </c>
      <c r="M51" s="22">
        <v>2</v>
      </c>
      <c r="N51" s="59" t="s">
        <v>172</v>
      </c>
      <c r="O51" s="22">
        <v>2</v>
      </c>
      <c r="P51" s="59" t="s">
        <v>173</v>
      </c>
      <c r="Q51" s="22">
        <v>2</v>
      </c>
      <c r="V51" s="59" t="s">
        <v>176</v>
      </c>
      <c r="Z51" s="59" t="s">
        <v>40</v>
      </c>
      <c r="AA51" s="22" t="s">
        <v>46</v>
      </c>
      <c r="AF51" s="59" t="s">
        <v>41</v>
      </c>
      <c r="AG51" s="22" t="s">
        <v>47</v>
      </c>
      <c r="AH51" s="59" t="s">
        <v>42</v>
      </c>
      <c r="AI51" s="22" t="s">
        <v>48</v>
      </c>
      <c r="AJ51" s="59" t="s">
        <v>43</v>
      </c>
      <c r="AK51" s="22" t="s">
        <v>49</v>
      </c>
      <c r="AL51" s="59" t="s">
        <v>44</v>
      </c>
      <c r="AM51" s="22" t="s">
        <v>188</v>
      </c>
      <c r="AV51" s="59" t="s">
        <v>134</v>
      </c>
      <c r="AW51" s="22" t="str">
        <f>Settings!$B$5 &amp;  "?s=" &amp; D51 &amp; "&amp;platform=ftx"</f>
        <v>https://tokensol.nfluent.io?s=COR22B48&amp;platform=ftx</v>
      </c>
      <c r="AX51" s="20" t="s">
        <v>23</v>
      </c>
      <c r="AY51" s="20">
        <v>10</v>
      </c>
      <c r="AZ51" s="20" t="s">
        <v>24</v>
      </c>
      <c r="BA51" s="20">
        <v>90</v>
      </c>
      <c r="BD51" s="14" t="s">
        <v>189</v>
      </c>
      <c r="BE51" t="s">
        <v>190</v>
      </c>
      <c r="BJ51" t="s">
        <v>191</v>
      </c>
      <c r="BK51" t="s">
        <v>184</v>
      </c>
      <c r="BN51" s="36">
        <v>4500</v>
      </c>
      <c r="BO51" s="36">
        <v>4500</v>
      </c>
      <c r="BP51">
        <f t="shared" si="3"/>
        <v>480</v>
      </c>
      <c r="BR51" s="38">
        <v>44713</v>
      </c>
      <c r="BS51" s="20" t="s">
        <v>185</v>
      </c>
      <c r="BT51" s="20" t="str">
        <f t="shared" si="5"/>
        <v>AMadonnaDiASierra_COR22B48</v>
      </c>
    </row>
    <row r="52" spans="2:72" ht="18.75" customHeight="1" x14ac:dyDescent="0.25">
      <c r="B52" s="20">
        <f t="shared" si="8"/>
        <v>49</v>
      </c>
      <c r="C52" s="22" t="str">
        <f t="shared" si="6"/>
        <v>A Madonna Di A Sierra #49</v>
      </c>
      <c r="D52" t="str">
        <f t="shared" si="7"/>
        <v>COR22B49</v>
      </c>
      <c r="E52" s="58" t="s">
        <v>186</v>
      </c>
      <c r="F52" s="20">
        <v>1000</v>
      </c>
      <c r="G52" s="14" t="s">
        <v>228</v>
      </c>
      <c r="H52" s="23" t="s">
        <v>170</v>
      </c>
      <c r="J52" s="59" t="s">
        <v>38</v>
      </c>
      <c r="K52" s="22" t="s">
        <v>39</v>
      </c>
      <c r="L52" s="59" t="s">
        <v>171</v>
      </c>
      <c r="M52" s="22">
        <v>2</v>
      </c>
      <c r="N52" s="59" t="s">
        <v>172</v>
      </c>
      <c r="O52" s="22">
        <v>2</v>
      </c>
      <c r="P52" s="59" t="s">
        <v>173</v>
      </c>
      <c r="Q52" s="22">
        <v>2</v>
      </c>
      <c r="V52" s="59" t="s">
        <v>176</v>
      </c>
      <c r="Z52" s="59" t="s">
        <v>40</v>
      </c>
      <c r="AA52" s="22" t="s">
        <v>46</v>
      </c>
      <c r="AF52" s="59" t="s">
        <v>41</v>
      </c>
      <c r="AG52" s="22" t="s">
        <v>47</v>
      </c>
      <c r="AH52" s="59" t="s">
        <v>42</v>
      </c>
      <c r="AI52" s="22" t="s">
        <v>48</v>
      </c>
      <c r="AJ52" s="59" t="s">
        <v>43</v>
      </c>
      <c r="AK52" s="22" t="s">
        <v>49</v>
      </c>
      <c r="AL52" s="59" t="s">
        <v>44</v>
      </c>
      <c r="AM52" s="22" t="s">
        <v>188</v>
      </c>
      <c r="AV52" s="59" t="s">
        <v>134</v>
      </c>
      <c r="AW52" s="22" t="str">
        <f>Settings!$B$5 &amp;  "?s=" &amp; D52 &amp; "&amp;platform=ftx"</f>
        <v>https://tokensol.nfluent.io?s=COR22B49&amp;platform=ftx</v>
      </c>
      <c r="AX52" s="20" t="s">
        <v>23</v>
      </c>
      <c r="AY52" s="20">
        <v>10</v>
      </c>
      <c r="AZ52" s="20" t="s">
        <v>24</v>
      </c>
      <c r="BA52" s="20">
        <v>90</v>
      </c>
      <c r="BD52" s="14" t="s">
        <v>189</v>
      </c>
      <c r="BE52" t="s">
        <v>190</v>
      </c>
      <c r="BJ52" t="s">
        <v>191</v>
      </c>
      <c r="BK52" t="s">
        <v>184</v>
      </c>
      <c r="BN52" s="36">
        <v>4500</v>
      </c>
      <c r="BO52" s="36">
        <v>4500</v>
      </c>
      <c r="BP52">
        <f t="shared" si="3"/>
        <v>480</v>
      </c>
      <c r="BR52" s="38">
        <v>44713</v>
      </c>
      <c r="BS52" s="20" t="s">
        <v>185</v>
      </c>
      <c r="BT52" s="20" t="str">
        <f t="shared" si="5"/>
        <v>AMadonnaDiASierra_COR22B49</v>
      </c>
    </row>
    <row r="53" spans="2:72" ht="18.75" customHeight="1" x14ac:dyDescent="0.25">
      <c r="B53" s="20">
        <f t="shared" si="8"/>
        <v>50</v>
      </c>
      <c r="C53" s="22" t="str">
        <f t="shared" si="6"/>
        <v>A Madonna Di A Sierra #50</v>
      </c>
      <c r="D53" t="str">
        <f t="shared" si="7"/>
        <v>COR22B50</v>
      </c>
      <c r="E53" s="58" t="s">
        <v>186</v>
      </c>
      <c r="F53" s="20">
        <v>1000</v>
      </c>
      <c r="G53" s="14" t="s">
        <v>229</v>
      </c>
      <c r="H53" s="23" t="s">
        <v>170</v>
      </c>
      <c r="J53" s="59" t="s">
        <v>38</v>
      </c>
      <c r="K53" s="22" t="s">
        <v>39</v>
      </c>
      <c r="L53" s="59" t="s">
        <v>171</v>
      </c>
      <c r="M53" s="22">
        <v>2</v>
      </c>
      <c r="N53" s="59" t="s">
        <v>172</v>
      </c>
      <c r="O53" s="22">
        <v>2</v>
      </c>
      <c r="P53" s="59" t="s">
        <v>173</v>
      </c>
      <c r="Q53" s="22">
        <v>2</v>
      </c>
      <c r="V53" s="59" t="s">
        <v>176</v>
      </c>
      <c r="Z53" s="59" t="s">
        <v>40</v>
      </c>
      <c r="AA53" s="22" t="s">
        <v>46</v>
      </c>
      <c r="AF53" s="59" t="s">
        <v>41</v>
      </c>
      <c r="AG53" s="22" t="s">
        <v>47</v>
      </c>
      <c r="AH53" s="59" t="s">
        <v>42</v>
      </c>
      <c r="AI53" s="22" t="s">
        <v>48</v>
      </c>
      <c r="AJ53" s="59" t="s">
        <v>43</v>
      </c>
      <c r="AK53" s="22" t="s">
        <v>49</v>
      </c>
      <c r="AL53" s="59" t="s">
        <v>44</v>
      </c>
      <c r="AM53" s="22" t="s">
        <v>188</v>
      </c>
      <c r="AV53" s="59" t="s">
        <v>134</v>
      </c>
      <c r="AW53" s="22" t="str">
        <f>Settings!$B$5 &amp;  "?s=" &amp; D53 &amp; "&amp;platform=ftx"</f>
        <v>https://tokensol.nfluent.io?s=COR22B50&amp;platform=ftx</v>
      </c>
      <c r="AX53" s="20" t="s">
        <v>23</v>
      </c>
      <c r="AY53" s="20">
        <v>10</v>
      </c>
      <c r="AZ53" s="20" t="s">
        <v>24</v>
      </c>
      <c r="BA53" s="20">
        <v>90</v>
      </c>
      <c r="BD53" s="14" t="s">
        <v>189</v>
      </c>
      <c r="BE53" t="s">
        <v>190</v>
      </c>
      <c r="BJ53" t="s">
        <v>191</v>
      </c>
      <c r="BK53" t="s">
        <v>184</v>
      </c>
      <c r="BN53" s="36">
        <v>4500</v>
      </c>
      <c r="BO53" s="36">
        <v>4500</v>
      </c>
      <c r="BP53">
        <f t="shared" si="3"/>
        <v>480</v>
      </c>
      <c r="BR53" s="38">
        <v>44713</v>
      </c>
      <c r="BS53" s="20" t="s">
        <v>185</v>
      </c>
      <c r="BT53" s="20" t="str">
        <f t="shared" si="5"/>
        <v>AMadonnaDiASierra_COR22B50</v>
      </c>
    </row>
    <row r="54" spans="2:72" ht="18.75" customHeight="1" x14ac:dyDescent="0.25">
      <c r="B54" s="20">
        <f t="shared" si="8"/>
        <v>51</v>
      </c>
      <c r="C54" s="22" t="str">
        <f t="shared" si="6"/>
        <v>A Madonna Di A Sierra #51</v>
      </c>
      <c r="D54" t="str">
        <f t="shared" si="7"/>
        <v>COR22B51</v>
      </c>
      <c r="E54" s="58" t="s">
        <v>186</v>
      </c>
      <c r="F54" s="20">
        <v>1000</v>
      </c>
      <c r="G54" s="14" t="s">
        <v>230</v>
      </c>
      <c r="H54" s="23" t="s">
        <v>170</v>
      </c>
      <c r="J54" s="59" t="s">
        <v>38</v>
      </c>
      <c r="K54" s="22" t="s">
        <v>39</v>
      </c>
      <c r="L54" s="59" t="s">
        <v>171</v>
      </c>
      <c r="M54" s="22">
        <v>2</v>
      </c>
      <c r="N54" s="59" t="s">
        <v>172</v>
      </c>
      <c r="O54" s="22">
        <v>2</v>
      </c>
      <c r="P54" s="59" t="s">
        <v>173</v>
      </c>
      <c r="Q54" s="22">
        <v>2</v>
      </c>
      <c r="V54" s="59" t="s">
        <v>176</v>
      </c>
      <c r="Z54" s="59" t="s">
        <v>40</v>
      </c>
      <c r="AA54" s="22" t="s">
        <v>46</v>
      </c>
      <c r="AF54" s="59" t="s">
        <v>41</v>
      </c>
      <c r="AG54" s="22" t="s">
        <v>47</v>
      </c>
      <c r="AH54" s="59" t="s">
        <v>42</v>
      </c>
      <c r="AI54" s="22" t="s">
        <v>48</v>
      </c>
      <c r="AJ54" s="59" t="s">
        <v>43</v>
      </c>
      <c r="AK54" s="22" t="s">
        <v>49</v>
      </c>
      <c r="AL54" s="59" t="s">
        <v>44</v>
      </c>
      <c r="AM54" s="22" t="s">
        <v>188</v>
      </c>
      <c r="AV54" s="59" t="s">
        <v>134</v>
      </c>
      <c r="AW54" s="22" t="str">
        <f>Settings!$B$5 &amp;  "?s=" &amp; D54 &amp; "&amp;platform=ftx"</f>
        <v>https://tokensol.nfluent.io?s=COR22B51&amp;platform=ftx</v>
      </c>
      <c r="AX54" s="20" t="s">
        <v>23</v>
      </c>
      <c r="AY54" s="20">
        <v>10</v>
      </c>
      <c r="AZ54" s="20" t="s">
        <v>24</v>
      </c>
      <c r="BA54" s="20">
        <v>90</v>
      </c>
      <c r="BD54" s="14" t="s">
        <v>189</v>
      </c>
      <c r="BE54" t="s">
        <v>190</v>
      </c>
      <c r="BJ54" t="s">
        <v>191</v>
      </c>
      <c r="BK54" t="s">
        <v>184</v>
      </c>
      <c r="BN54" s="36">
        <v>4500</v>
      </c>
      <c r="BO54" s="36">
        <v>4500</v>
      </c>
      <c r="BP54">
        <f t="shared" si="3"/>
        <v>480</v>
      </c>
      <c r="BR54" s="38">
        <v>44713</v>
      </c>
      <c r="BS54" s="20" t="s">
        <v>185</v>
      </c>
      <c r="BT54" s="20" t="str">
        <f t="shared" si="5"/>
        <v>AMadonnaDiASierra_COR22B51</v>
      </c>
    </row>
    <row r="55" spans="2:72" ht="18.75" customHeight="1" x14ac:dyDescent="0.25">
      <c r="B55" s="20">
        <f t="shared" si="8"/>
        <v>52</v>
      </c>
      <c r="C55" s="22" t="str">
        <f t="shared" si="6"/>
        <v>A Madonna Di A Sierra #52</v>
      </c>
      <c r="D55" t="str">
        <f t="shared" si="7"/>
        <v>COR22B52</v>
      </c>
      <c r="E55" s="58" t="s">
        <v>186</v>
      </c>
      <c r="F55" s="20">
        <v>1000</v>
      </c>
      <c r="G55" s="14" t="s">
        <v>231</v>
      </c>
      <c r="H55" s="23" t="s">
        <v>170</v>
      </c>
      <c r="J55" s="59" t="s">
        <v>38</v>
      </c>
      <c r="K55" s="22" t="s">
        <v>39</v>
      </c>
      <c r="L55" s="59" t="s">
        <v>171</v>
      </c>
      <c r="M55" s="22">
        <v>2</v>
      </c>
      <c r="N55" s="59" t="s">
        <v>172</v>
      </c>
      <c r="O55" s="22">
        <v>2</v>
      </c>
      <c r="P55" s="59" t="s">
        <v>173</v>
      </c>
      <c r="Q55" s="22">
        <v>2</v>
      </c>
      <c r="V55" s="59" t="s">
        <v>176</v>
      </c>
      <c r="Z55" s="59" t="s">
        <v>40</v>
      </c>
      <c r="AA55" s="22" t="s">
        <v>46</v>
      </c>
      <c r="AF55" s="59" t="s">
        <v>41</v>
      </c>
      <c r="AG55" s="22" t="s">
        <v>47</v>
      </c>
      <c r="AH55" s="59" t="s">
        <v>42</v>
      </c>
      <c r="AI55" s="22" t="s">
        <v>48</v>
      </c>
      <c r="AJ55" s="59" t="s">
        <v>43</v>
      </c>
      <c r="AK55" s="22" t="s">
        <v>49</v>
      </c>
      <c r="AL55" s="59" t="s">
        <v>44</v>
      </c>
      <c r="AM55" s="22" t="s">
        <v>188</v>
      </c>
      <c r="AV55" s="59" t="s">
        <v>134</v>
      </c>
      <c r="AW55" s="22" t="str">
        <f>Settings!$B$5 &amp;  "?s=" &amp; D55 &amp; "&amp;platform=ftx"</f>
        <v>https://tokensol.nfluent.io?s=COR22B52&amp;platform=ftx</v>
      </c>
      <c r="AX55" s="20" t="s">
        <v>23</v>
      </c>
      <c r="AY55" s="20">
        <v>10</v>
      </c>
      <c r="AZ55" s="20" t="s">
        <v>24</v>
      </c>
      <c r="BA55" s="20">
        <v>90</v>
      </c>
      <c r="BD55" s="14" t="s">
        <v>189</v>
      </c>
      <c r="BE55" t="s">
        <v>190</v>
      </c>
      <c r="BJ55" t="s">
        <v>191</v>
      </c>
      <c r="BK55" t="s">
        <v>184</v>
      </c>
      <c r="BN55" s="36">
        <v>4500</v>
      </c>
      <c r="BO55" s="36">
        <v>4500</v>
      </c>
      <c r="BP55">
        <f t="shared" si="3"/>
        <v>480</v>
      </c>
      <c r="BR55" s="38">
        <v>44713</v>
      </c>
      <c r="BS55" s="20" t="s">
        <v>185</v>
      </c>
      <c r="BT55" s="20" t="str">
        <f t="shared" si="5"/>
        <v>AMadonnaDiASierra_COR22B52</v>
      </c>
    </row>
    <row r="56" spans="2:72" ht="18.75" customHeight="1" x14ac:dyDescent="0.25">
      <c r="B56" s="20">
        <f t="shared" si="8"/>
        <v>53</v>
      </c>
      <c r="C56" s="22" t="str">
        <f t="shared" si="6"/>
        <v>A Madonna Di A Sierra #53</v>
      </c>
      <c r="D56" t="str">
        <f t="shared" si="7"/>
        <v>COR22B53</v>
      </c>
      <c r="E56" s="58" t="s">
        <v>186</v>
      </c>
      <c r="F56" s="20">
        <v>1000</v>
      </c>
      <c r="G56" s="14" t="s">
        <v>232</v>
      </c>
      <c r="H56" s="23" t="s">
        <v>170</v>
      </c>
      <c r="J56" s="59" t="s">
        <v>38</v>
      </c>
      <c r="K56" s="22" t="s">
        <v>39</v>
      </c>
      <c r="L56" s="59" t="s">
        <v>171</v>
      </c>
      <c r="M56" s="22">
        <v>2</v>
      </c>
      <c r="N56" s="59" t="s">
        <v>172</v>
      </c>
      <c r="O56" s="22">
        <v>2</v>
      </c>
      <c r="P56" s="59" t="s">
        <v>173</v>
      </c>
      <c r="Q56" s="22">
        <v>2</v>
      </c>
      <c r="V56" s="59" t="s">
        <v>176</v>
      </c>
      <c r="Z56" s="59" t="s">
        <v>40</v>
      </c>
      <c r="AA56" s="22" t="s">
        <v>46</v>
      </c>
      <c r="AF56" s="59" t="s">
        <v>41</v>
      </c>
      <c r="AG56" s="22" t="s">
        <v>47</v>
      </c>
      <c r="AH56" s="59" t="s">
        <v>42</v>
      </c>
      <c r="AI56" s="22" t="s">
        <v>48</v>
      </c>
      <c r="AJ56" s="59" t="s">
        <v>43</v>
      </c>
      <c r="AK56" s="22" t="s">
        <v>49</v>
      </c>
      <c r="AL56" s="59" t="s">
        <v>44</v>
      </c>
      <c r="AM56" s="22" t="s">
        <v>188</v>
      </c>
      <c r="AV56" s="59" t="s">
        <v>134</v>
      </c>
      <c r="AW56" s="22" t="str">
        <f>Settings!$B$5 &amp;  "?s=" &amp; D56 &amp; "&amp;platform=ftx"</f>
        <v>https://tokensol.nfluent.io?s=COR22B53&amp;platform=ftx</v>
      </c>
      <c r="AX56" s="20" t="s">
        <v>23</v>
      </c>
      <c r="AY56" s="20">
        <v>10</v>
      </c>
      <c r="AZ56" s="20" t="s">
        <v>24</v>
      </c>
      <c r="BA56" s="20">
        <v>90</v>
      </c>
      <c r="BD56" s="14" t="s">
        <v>189</v>
      </c>
      <c r="BE56" t="s">
        <v>190</v>
      </c>
      <c r="BJ56" t="s">
        <v>191</v>
      </c>
      <c r="BK56" t="s">
        <v>184</v>
      </c>
      <c r="BN56" s="36">
        <v>4500</v>
      </c>
      <c r="BO56" s="36">
        <v>4500</v>
      </c>
      <c r="BP56">
        <f t="shared" si="3"/>
        <v>480</v>
      </c>
      <c r="BR56" s="38">
        <v>44713</v>
      </c>
      <c r="BS56" s="20" t="s">
        <v>185</v>
      </c>
      <c r="BT56" s="20" t="str">
        <f t="shared" si="5"/>
        <v>AMadonnaDiASierra_COR22B53</v>
      </c>
    </row>
    <row r="57" spans="2:72" ht="18.75" customHeight="1" x14ac:dyDescent="0.25">
      <c r="B57" s="20">
        <f t="shared" si="8"/>
        <v>54</v>
      </c>
      <c r="C57" s="22" t="str">
        <f t="shared" si="6"/>
        <v>A Madonna Di A Sierra #54</v>
      </c>
      <c r="D57" t="str">
        <f t="shared" si="7"/>
        <v>COR22B54</v>
      </c>
      <c r="E57" s="58" t="s">
        <v>186</v>
      </c>
      <c r="F57" s="20">
        <v>1000</v>
      </c>
      <c r="G57" s="14" t="s">
        <v>233</v>
      </c>
      <c r="H57" s="23" t="s">
        <v>170</v>
      </c>
      <c r="J57" s="59" t="s">
        <v>38</v>
      </c>
      <c r="K57" s="22" t="s">
        <v>39</v>
      </c>
      <c r="L57" s="59" t="s">
        <v>171</v>
      </c>
      <c r="M57" s="22">
        <v>2</v>
      </c>
      <c r="N57" s="59" t="s">
        <v>172</v>
      </c>
      <c r="O57" s="22">
        <v>2</v>
      </c>
      <c r="P57" s="59" t="s">
        <v>173</v>
      </c>
      <c r="Q57" s="22">
        <v>2</v>
      </c>
      <c r="V57" s="59" t="s">
        <v>176</v>
      </c>
      <c r="Z57" s="59" t="s">
        <v>40</v>
      </c>
      <c r="AA57" s="22" t="s">
        <v>46</v>
      </c>
      <c r="AF57" s="59" t="s">
        <v>41</v>
      </c>
      <c r="AG57" s="22" t="s">
        <v>47</v>
      </c>
      <c r="AH57" s="59" t="s">
        <v>42</v>
      </c>
      <c r="AI57" s="22" t="s">
        <v>48</v>
      </c>
      <c r="AJ57" s="59" t="s">
        <v>43</v>
      </c>
      <c r="AK57" s="22" t="s">
        <v>49</v>
      </c>
      <c r="AL57" s="59" t="s">
        <v>44</v>
      </c>
      <c r="AM57" s="22" t="s">
        <v>188</v>
      </c>
      <c r="AV57" s="59" t="s">
        <v>134</v>
      </c>
      <c r="AW57" s="22" t="str">
        <f>Settings!$B$5 &amp;  "?s=" &amp; D57 &amp; "&amp;platform=ftx"</f>
        <v>https://tokensol.nfluent.io?s=COR22B54&amp;platform=ftx</v>
      </c>
      <c r="AX57" s="20" t="s">
        <v>23</v>
      </c>
      <c r="AY57" s="20">
        <v>10</v>
      </c>
      <c r="AZ57" s="20" t="s">
        <v>24</v>
      </c>
      <c r="BA57" s="20">
        <v>90</v>
      </c>
      <c r="BD57" s="14" t="s">
        <v>189</v>
      </c>
      <c r="BE57" t="s">
        <v>190</v>
      </c>
      <c r="BJ57" t="s">
        <v>191</v>
      </c>
      <c r="BK57" t="s">
        <v>184</v>
      </c>
      <c r="BN57" s="36">
        <v>4500</v>
      </c>
      <c r="BO57" s="36">
        <v>4500</v>
      </c>
      <c r="BP57">
        <f t="shared" si="3"/>
        <v>480</v>
      </c>
      <c r="BR57" s="38">
        <v>44713</v>
      </c>
      <c r="BS57" s="20" t="s">
        <v>185</v>
      </c>
      <c r="BT57" s="20" t="str">
        <f t="shared" si="5"/>
        <v>AMadonnaDiASierra_COR22B54</v>
      </c>
    </row>
    <row r="58" spans="2:72" ht="18.75" customHeight="1" x14ac:dyDescent="0.25">
      <c r="B58" s="20">
        <f t="shared" si="8"/>
        <v>55</v>
      </c>
      <c r="C58" s="22" t="str">
        <f t="shared" si="6"/>
        <v>A Madonna Di A Sierra #55</v>
      </c>
      <c r="D58" t="str">
        <f t="shared" si="7"/>
        <v>COR22B55</v>
      </c>
      <c r="E58" s="58" t="s">
        <v>186</v>
      </c>
      <c r="F58" s="20">
        <v>1000</v>
      </c>
      <c r="G58" s="14" t="s">
        <v>234</v>
      </c>
      <c r="H58" s="23" t="s">
        <v>170</v>
      </c>
      <c r="J58" s="59" t="s">
        <v>38</v>
      </c>
      <c r="K58" s="22" t="s">
        <v>39</v>
      </c>
      <c r="L58" s="59" t="s">
        <v>171</v>
      </c>
      <c r="M58" s="22">
        <v>2</v>
      </c>
      <c r="N58" s="59" t="s">
        <v>172</v>
      </c>
      <c r="O58" s="22">
        <v>2</v>
      </c>
      <c r="P58" s="59" t="s">
        <v>173</v>
      </c>
      <c r="Q58" s="22">
        <v>2</v>
      </c>
      <c r="V58" s="59" t="s">
        <v>176</v>
      </c>
      <c r="Z58" s="59" t="s">
        <v>40</v>
      </c>
      <c r="AA58" s="22" t="s">
        <v>46</v>
      </c>
      <c r="AF58" s="59" t="s">
        <v>41</v>
      </c>
      <c r="AG58" s="22" t="s">
        <v>47</v>
      </c>
      <c r="AH58" s="59" t="s">
        <v>42</v>
      </c>
      <c r="AI58" s="22" t="s">
        <v>48</v>
      </c>
      <c r="AJ58" s="59" t="s">
        <v>43</v>
      </c>
      <c r="AK58" s="22" t="s">
        <v>49</v>
      </c>
      <c r="AL58" s="59" t="s">
        <v>44</v>
      </c>
      <c r="AM58" s="22" t="s">
        <v>188</v>
      </c>
      <c r="AV58" s="59" t="s">
        <v>134</v>
      </c>
      <c r="AW58" s="22" t="str">
        <f>Settings!$B$5 &amp;  "?s=" &amp; D58 &amp; "&amp;platform=ftx"</f>
        <v>https://tokensol.nfluent.io?s=COR22B55&amp;platform=ftx</v>
      </c>
      <c r="AX58" s="20" t="s">
        <v>23</v>
      </c>
      <c r="AY58" s="20">
        <v>10</v>
      </c>
      <c r="AZ58" s="20" t="s">
        <v>24</v>
      </c>
      <c r="BA58" s="20">
        <v>90</v>
      </c>
      <c r="BD58" s="14" t="s">
        <v>189</v>
      </c>
      <c r="BE58" t="s">
        <v>190</v>
      </c>
      <c r="BJ58" t="s">
        <v>191</v>
      </c>
      <c r="BK58" t="s">
        <v>184</v>
      </c>
      <c r="BN58" s="36">
        <v>4500</v>
      </c>
      <c r="BO58" s="36">
        <v>4500</v>
      </c>
      <c r="BP58">
        <f t="shared" si="3"/>
        <v>480</v>
      </c>
      <c r="BR58" s="38">
        <v>44713</v>
      </c>
      <c r="BS58" s="20" t="s">
        <v>185</v>
      </c>
      <c r="BT58" s="20" t="str">
        <f t="shared" si="5"/>
        <v>AMadonnaDiASierra_COR22B55</v>
      </c>
    </row>
    <row r="59" spans="2:72" ht="18.75" customHeight="1" x14ac:dyDescent="0.25">
      <c r="B59" s="20">
        <f t="shared" si="8"/>
        <v>56</v>
      </c>
      <c r="C59" s="22" t="str">
        <f t="shared" si="6"/>
        <v>A Madonna Di A Sierra #56</v>
      </c>
      <c r="D59" t="str">
        <f t="shared" si="7"/>
        <v>COR22B56</v>
      </c>
      <c r="E59" s="58" t="s">
        <v>186</v>
      </c>
      <c r="F59" s="20">
        <v>1000</v>
      </c>
      <c r="G59" s="14" t="s">
        <v>235</v>
      </c>
      <c r="H59" s="23" t="s">
        <v>170</v>
      </c>
      <c r="J59" s="59" t="s">
        <v>38</v>
      </c>
      <c r="K59" s="22" t="s">
        <v>39</v>
      </c>
      <c r="L59" s="59" t="s">
        <v>171</v>
      </c>
      <c r="M59" s="22">
        <v>2</v>
      </c>
      <c r="N59" s="59" t="s">
        <v>172</v>
      </c>
      <c r="O59" s="22">
        <v>2</v>
      </c>
      <c r="P59" s="59" t="s">
        <v>173</v>
      </c>
      <c r="Q59" s="22">
        <v>2</v>
      </c>
      <c r="V59" s="59" t="s">
        <v>176</v>
      </c>
      <c r="Z59" s="59" t="s">
        <v>40</v>
      </c>
      <c r="AA59" s="22" t="s">
        <v>46</v>
      </c>
      <c r="AF59" s="59" t="s">
        <v>41</v>
      </c>
      <c r="AG59" s="22" t="s">
        <v>47</v>
      </c>
      <c r="AH59" s="59" t="s">
        <v>42</v>
      </c>
      <c r="AI59" s="22" t="s">
        <v>48</v>
      </c>
      <c r="AJ59" s="59" t="s">
        <v>43</v>
      </c>
      <c r="AK59" s="22" t="s">
        <v>49</v>
      </c>
      <c r="AL59" s="59" t="s">
        <v>44</v>
      </c>
      <c r="AM59" s="22" t="s">
        <v>188</v>
      </c>
      <c r="AV59" s="59" t="s">
        <v>134</v>
      </c>
      <c r="AW59" s="22" t="str">
        <f>Settings!$B$5 &amp;  "?s=" &amp; D59 &amp; "&amp;platform=ftx"</f>
        <v>https://tokensol.nfluent.io?s=COR22B56&amp;platform=ftx</v>
      </c>
      <c r="AX59" s="20" t="s">
        <v>23</v>
      </c>
      <c r="AY59" s="20">
        <v>10</v>
      </c>
      <c r="AZ59" s="20" t="s">
        <v>24</v>
      </c>
      <c r="BA59" s="20">
        <v>90</v>
      </c>
      <c r="BD59" s="14" t="s">
        <v>189</v>
      </c>
      <c r="BE59" t="s">
        <v>190</v>
      </c>
      <c r="BJ59" t="s">
        <v>191</v>
      </c>
      <c r="BK59" t="s">
        <v>184</v>
      </c>
      <c r="BN59" s="36">
        <v>4500</v>
      </c>
      <c r="BO59" s="36">
        <v>4500</v>
      </c>
      <c r="BP59">
        <f t="shared" si="3"/>
        <v>480</v>
      </c>
      <c r="BR59" s="38">
        <v>44713</v>
      </c>
      <c r="BS59" s="20" t="s">
        <v>185</v>
      </c>
      <c r="BT59" s="20" t="str">
        <f t="shared" si="5"/>
        <v>AMadonnaDiASierra_COR22B56</v>
      </c>
    </row>
    <row r="60" spans="2:72" ht="18.75" customHeight="1" x14ac:dyDescent="0.25">
      <c r="B60" s="20">
        <f t="shared" si="8"/>
        <v>57</v>
      </c>
      <c r="C60" s="22" t="str">
        <f t="shared" si="6"/>
        <v>A Madonna Di A Sierra #57</v>
      </c>
      <c r="D60" t="str">
        <f t="shared" si="7"/>
        <v>COR22B57</v>
      </c>
      <c r="E60" s="58" t="s">
        <v>186</v>
      </c>
      <c r="F60" s="20">
        <v>1000</v>
      </c>
      <c r="G60" s="14" t="s">
        <v>236</v>
      </c>
      <c r="H60" s="23" t="s">
        <v>170</v>
      </c>
      <c r="J60" s="59" t="s">
        <v>38</v>
      </c>
      <c r="K60" s="22" t="s">
        <v>39</v>
      </c>
      <c r="L60" s="59" t="s">
        <v>171</v>
      </c>
      <c r="M60" s="22">
        <v>2</v>
      </c>
      <c r="N60" s="59" t="s">
        <v>172</v>
      </c>
      <c r="O60" s="22">
        <v>2</v>
      </c>
      <c r="P60" s="59" t="s">
        <v>173</v>
      </c>
      <c r="Q60" s="22">
        <v>2</v>
      </c>
      <c r="V60" s="59" t="s">
        <v>176</v>
      </c>
      <c r="Z60" s="59" t="s">
        <v>40</v>
      </c>
      <c r="AA60" s="22" t="s">
        <v>46</v>
      </c>
      <c r="AF60" s="59" t="s">
        <v>41</v>
      </c>
      <c r="AG60" s="22" t="s">
        <v>47</v>
      </c>
      <c r="AH60" s="59" t="s">
        <v>42</v>
      </c>
      <c r="AI60" s="22" t="s">
        <v>48</v>
      </c>
      <c r="AJ60" s="59" t="s">
        <v>43</v>
      </c>
      <c r="AK60" s="22" t="s">
        <v>49</v>
      </c>
      <c r="AL60" s="59" t="s">
        <v>44</v>
      </c>
      <c r="AM60" s="22" t="s">
        <v>188</v>
      </c>
      <c r="AV60" s="59" t="s">
        <v>134</v>
      </c>
      <c r="AW60" s="22" t="str">
        <f>Settings!$B$5 &amp;  "?s=" &amp; D60 &amp; "&amp;platform=ftx"</f>
        <v>https://tokensol.nfluent.io?s=COR22B57&amp;platform=ftx</v>
      </c>
      <c r="AX60" s="20" t="s">
        <v>23</v>
      </c>
      <c r="AY60" s="20">
        <v>10</v>
      </c>
      <c r="AZ60" s="20" t="s">
        <v>24</v>
      </c>
      <c r="BA60" s="20">
        <v>90</v>
      </c>
      <c r="BD60" s="14" t="s">
        <v>189</v>
      </c>
      <c r="BE60" t="s">
        <v>190</v>
      </c>
      <c r="BJ60" t="s">
        <v>191</v>
      </c>
      <c r="BK60" t="s">
        <v>184</v>
      </c>
      <c r="BN60" s="36">
        <v>4500</v>
      </c>
      <c r="BO60" s="36">
        <v>4500</v>
      </c>
      <c r="BP60">
        <f t="shared" si="3"/>
        <v>480</v>
      </c>
      <c r="BR60" s="38">
        <v>44713</v>
      </c>
      <c r="BS60" s="20" t="s">
        <v>185</v>
      </c>
      <c r="BT60" s="20" t="str">
        <f t="shared" si="5"/>
        <v>AMadonnaDiASierra_COR22B57</v>
      </c>
    </row>
    <row r="61" spans="2:72" ht="18.75" customHeight="1" x14ac:dyDescent="0.25">
      <c r="B61" s="20">
        <f t="shared" si="8"/>
        <v>58</v>
      </c>
      <c r="C61" s="22" t="str">
        <f t="shared" si="6"/>
        <v>A Madonna Di A Sierra #58</v>
      </c>
      <c r="D61" t="str">
        <f t="shared" si="7"/>
        <v>COR22B58</v>
      </c>
      <c r="E61" s="58" t="s">
        <v>186</v>
      </c>
      <c r="F61" s="20">
        <v>1000</v>
      </c>
      <c r="G61" s="14" t="s">
        <v>237</v>
      </c>
      <c r="H61" s="23" t="s">
        <v>170</v>
      </c>
      <c r="J61" s="59" t="s">
        <v>38</v>
      </c>
      <c r="K61" s="22" t="s">
        <v>39</v>
      </c>
      <c r="L61" s="59" t="s">
        <v>171</v>
      </c>
      <c r="M61" s="22">
        <v>2</v>
      </c>
      <c r="N61" s="59" t="s">
        <v>172</v>
      </c>
      <c r="O61" s="22">
        <v>2</v>
      </c>
      <c r="P61" s="59" t="s">
        <v>173</v>
      </c>
      <c r="Q61" s="22">
        <v>2</v>
      </c>
      <c r="V61" s="59" t="s">
        <v>176</v>
      </c>
      <c r="Z61" s="59" t="s">
        <v>40</v>
      </c>
      <c r="AA61" s="22" t="s">
        <v>46</v>
      </c>
      <c r="AF61" s="59" t="s">
        <v>41</v>
      </c>
      <c r="AG61" s="22" t="s">
        <v>47</v>
      </c>
      <c r="AH61" s="59" t="s">
        <v>42</v>
      </c>
      <c r="AI61" s="22" t="s">
        <v>48</v>
      </c>
      <c r="AJ61" s="59" t="s">
        <v>43</v>
      </c>
      <c r="AK61" s="22" t="s">
        <v>49</v>
      </c>
      <c r="AL61" s="59" t="s">
        <v>44</v>
      </c>
      <c r="AM61" s="22" t="s">
        <v>188</v>
      </c>
      <c r="AV61" s="59" t="s">
        <v>134</v>
      </c>
      <c r="AW61" s="22" t="str">
        <f>Settings!$B$5 &amp;  "?s=" &amp; D61 &amp; "&amp;platform=ftx"</f>
        <v>https://tokensol.nfluent.io?s=COR22B58&amp;platform=ftx</v>
      </c>
      <c r="AX61" s="20" t="s">
        <v>23</v>
      </c>
      <c r="AY61" s="20">
        <v>10</v>
      </c>
      <c r="AZ61" s="20" t="s">
        <v>24</v>
      </c>
      <c r="BA61" s="20">
        <v>90</v>
      </c>
      <c r="BD61" s="14" t="s">
        <v>189</v>
      </c>
      <c r="BE61" t="s">
        <v>190</v>
      </c>
      <c r="BJ61" t="s">
        <v>191</v>
      </c>
      <c r="BK61" t="s">
        <v>184</v>
      </c>
      <c r="BN61" s="36">
        <v>4500</v>
      </c>
      <c r="BO61" s="36">
        <v>4500</v>
      </c>
      <c r="BP61">
        <f t="shared" si="3"/>
        <v>480</v>
      </c>
      <c r="BR61" s="38">
        <v>44713</v>
      </c>
      <c r="BS61" s="20" t="s">
        <v>185</v>
      </c>
      <c r="BT61" s="20" t="str">
        <f t="shared" si="5"/>
        <v>AMadonnaDiASierra_COR22B58</v>
      </c>
    </row>
    <row r="62" spans="2:72" ht="18.75" customHeight="1" x14ac:dyDescent="0.25">
      <c r="B62" s="20">
        <f t="shared" si="8"/>
        <v>59</v>
      </c>
      <c r="C62" s="22" t="str">
        <f t="shared" si="6"/>
        <v>A Madonna Di A Sierra #59</v>
      </c>
      <c r="D62" t="str">
        <f t="shared" si="7"/>
        <v>COR22B59</v>
      </c>
      <c r="E62" s="58" t="s">
        <v>186</v>
      </c>
      <c r="F62" s="20">
        <v>1000</v>
      </c>
      <c r="G62" s="14" t="s">
        <v>238</v>
      </c>
      <c r="H62" s="23" t="s">
        <v>170</v>
      </c>
      <c r="J62" s="59" t="s">
        <v>38</v>
      </c>
      <c r="K62" s="22" t="s">
        <v>39</v>
      </c>
      <c r="L62" s="59" t="s">
        <v>171</v>
      </c>
      <c r="M62" s="22">
        <v>2</v>
      </c>
      <c r="N62" s="59" t="s">
        <v>172</v>
      </c>
      <c r="O62" s="22">
        <v>2</v>
      </c>
      <c r="P62" s="59" t="s">
        <v>173</v>
      </c>
      <c r="Q62" s="22">
        <v>2</v>
      </c>
      <c r="V62" s="59" t="s">
        <v>176</v>
      </c>
      <c r="Z62" s="59" t="s">
        <v>40</v>
      </c>
      <c r="AA62" s="22" t="s">
        <v>46</v>
      </c>
      <c r="AF62" s="59" t="s">
        <v>41</v>
      </c>
      <c r="AG62" s="22" t="s">
        <v>47</v>
      </c>
      <c r="AH62" s="59" t="s">
        <v>42</v>
      </c>
      <c r="AI62" s="22" t="s">
        <v>48</v>
      </c>
      <c r="AJ62" s="59" t="s">
        <v>43</v>
      </c>
      <c r="AK62" s="22" t="s">
        <v>49</v>
      </c>
      <c r="AL62" s="59" t="s">
        <v>44</v>
      </c>
      <c r="AM62" s="22" t="s">
        <v>188</v>
      </c>
      <c r="AV62" s="59" t="s">
        <v>134</v>
      </c>
      <c r="AW62" s="22" t="str">
        <f>Settings!$B$5 &amp;  "?s=" &amp; D62 &amp; "&amp;platform=ftx"</f>
        <v>https://tokensol.nfluent.io?s=COR22B59&amp;platform=ftx</v>
      </c>
      <c r="AX62" s="20" t="s">
        <v>23</v>
      </c>
      <c r="AY62" s="20">
        <v>10</v>
      </c>
      <c r="AZ62" s="20" t="s">
        <v>24</v>
      </c>
      <c r="BA62" s="20">
        <v>90</v>
      </c>
      <c r="BD62" s="14" t="s">
        <v>189</v>
      </c>
      <c r="BE62" t="s">
        <v>190</v>
      </c>
      <c r="BJ62" t="s">
        <v>191</v>
      </c>
      <c r="BK62" t="s">
        <v>184</v>
      </c>
      <c r="BN62" s="36">
        <v>4500</v>
      </c>
      <c r="BO62" s="36">
        <v>4500</v>
      </c>
      <c r="BP62">
        <f t="shared" si="3"/>
        <v>480</v>
      </c>
      <c r="BR62" s="38">
        <v>44713</v>
      </c>
      <c r="BS62" s="20" t="s">
        <v>185</v>
      </c>
      <c r="BT62" s="20" t="str">
        <f t="shared" si="5"/>
        <v>AMadonnaDiASierra_COR22B59</v>
      </c>
    </row>
    <row r="63" spans="2:72" ht="18.75" customHeight="1" x14ac:dyDescent="0.25">
      <c r="B63" s="20">
        <f t="shared" si="8"/>
        <v>60</v>
      </c>
      <c r="C63" s="22" t="str">
        <f t="shared" si="6"/>
        <v>A Madonna Di A Sierra #60</v>
      </c>
      <c r="D63" t="str">
        <f t="shared" si="7"/>
        <v>COR22B60</v>
      </c>
      <c r="E63" s="58" t="s">
        <v>186</v>
      </c>
      <c r="F63" s="20">
        <v>1000</v>
      </c>
      <c r="G63" s="14" t="s">
        <v>239</v>
      </c>
      <c r="H63" s="23" t="s">
        <v>170</v>
      </c>
      <c r="J63" s="59" t="s">
        <v>38</v>
      </c>
      <c r="K63" s="22" t="s">
        <v>39</v>
      </c>
      <c r="L63" s="59" t="s">
        <v>171</v>
      </c>
      <c r="M63" s="22">
        <v>2</v>
      </c>
      <c r="N63" s="59" t="s">
        <v>172</v>
      </c>
      <c r="O63" s="22">
        <v>2</v>
      </c>
      <c r="P63" s="59" t="s">
        <v>173</v>
      </c>
      <c r="Q63" s="22">
        <v>2</v>
      </c>
      <c r="V63" s="59" t="s">
        <v>176</v>
      </c>
      <c r="Z63" s="59" t="s">
        <v>40</v>
      </c>
      <c r="AA63" s="22" t="s">
        <v>46</v>
      </c>
      <c r="AF63" s="59" t="s">
        <v>41</v>
      </c>
      <c r="AG63" s="22" t="s">
        <v>47</v>
      </c>
      <c r="AH63" s="59" t="s">
        <v>42</v>
      </c>
      <c r="AI63" s="22" t="s">
        <v>48</v>
      </c>
      <c r="AJ63" s="59" t="s">
        <v>43</v>
      </c>
      <c r="AK63" s="22" t="s">
        <v>49</v>
      </c>
      <c r="AL63" s="59" t="s">
        <v>44</v>
      </c>
      <c r="AM63" s="22" t="s">
        <v>188</v>
      </c>
      <c r="AV63" s="59" t="s">
        <v>134</v>
      </c>
      <c r="AW63" s="22" t="str">
        <f>Settings!$B$5 &amp;  "?s=" &amp; D63 &amp; "&amp;platform=ftx"</f>
        <v>https://tokensol.nfluent.io?s=COR22B60&amp;platform=ftx</v>
      </c>
      <c r="AX63" s="20" t="s">
        <v>23</v>
      </c>
      <c r="AY63" s="20">
        <v>10</v>
      </c>
      <c r="AZ63" s="20" t="s">
        <v>24</v>
      </c>
      <c r="BA63" s="20">
        <v>90</v>
      </c>
      <c r="BD63" s="14" t="s">
        <v>189</v>
      </c>
      <c r="BE63" t="s">
        <v>190</v>
      </c>
      <c r="BJ63" t="s">
        <v>191</v>
      </c>
      <c r="BK63" t="s">
        <v>184</v>
      </c>
      <c r="BN63" s="36">
        <v>4500</v>
      </c>
      <c r="BO63" s="36">
        <v>4500</v>
      </c>
      <c r="BP63">
        <f t="shared" si="3"/>
        <v>480</v>
      </c>
      <c r="BR63" s="38">
        <v>44713</v>
      </c>
      <c r="BS63" s="20" t="s">
        <v>185</v>
      </c>
      <c r="BT63" s="20" t="str">
        <f t="shared" si="5"/>
        <v>AMadonnaDiASierra_COR22B60</v>
      </c>
    </row>
    <row r="64" spans="2:72" ht="18.75" customHeight="1" x14ac:dyDescent="0.25">
      <c r="B64" s="20">
        <v>1</v>
      </c>
      <c r="C64" s="22" t="str">
        <f>+"La Porteuse D'Eau #"&amp;B64</f>
        <v>La Porteuse D'Eau #1</v>
      </c>
      <c r="D64" t="str">
        <f>"COR22C"&amp;B64</f>
        <v>COR22C1</v>
      </c>
      <c r="E64" s="58" t="s">
        <v>240</v>
      </c>
      <c r="F64" s="20">
        <v>1000</v>
      </c>
      <c r="G64" s="14" t="s">
        <v>241</v>
      </c>
      <c r="H64" s="23" t="s">
        <v>170</v>
      </c>
      <c r="J64" s="59" t="s">
        <v>38</v>
      </c>
      <c r="K64" s="22" t="s">
        <v>39</v>
      </c>
      <c r="L64" s="59" t="s">
        <v>171</v>
      </c>
      <c r="M64" s="22">
        <v>2</v>
      </c>
      <c r="N64" s="59" t="s">
        <v>172</v>
      </c>
      <c r="O64" s="22">
        <v>2</v>
      </c>
      <c r="P64" s="59" t="s">
        <v>173</v>
      </c>
      <c r="Q64" s="22">
        <v>2</v>
      </c>
      <c r="V64" s="59" t="s">
        <v>176</v>
      </c>
      <c r="Z64" s="59" t="s">
        <v>40</v>
      </c>
      <c r="AA64" s="22" t="s">
        <v>46</v>
      </c>
      <c r="AH64" s="59" t="s">
        <v>41</v>
      </c>
      <c r="AI64" s="22" t="s">
        <v>48</v>
      </c>
      <c r="AJ64" s="59" t="s">
        <v>42</v>
      </c>
      <c r="AK64" s="22" t="s">
        <v>49</v>
      </c>
      <c r="AL64" s="59" t="s">
        <v>43</v>
      </c>
      <c r="AM64" s="22" t="s">
        <v>50</v>
      </c>
      <c r="AV64" s="59" t="s">
        <v>134</v>
      </c>
      <c r="AW64" s="22" t="str">
        <f>Settings!$B$5 &amp;  "?s=" &amp; D64 &amp; "&amp;platform=ftx"</f>
        <v>https://tokensol.nfluent.io?s=COR22C1&amp;platform=ftx</v>
      </c>
      <c r="AX64" s="20" t="s">
        <v>23</v>
      </c>
      <c r="AY64" s="20">
        <v>10</v>
      </c>
      <c r="AZ64" s="20" t="s">
        <v>24</v>
      </c>
      <c r="BA64" s="20">
        <v>90</v>
      </c>
      <c r="BD64" s="14"/>
      <c r="BJ64" t="s">
        <v>242</v>
      </c>
      <c r="BK64" t="s">
        <v>184</v>
      </c>
      <c r="BN64" s="36">
        <v>3000</v>
      </c>
      <c r="BO64" s="36">
        <v>3000</v>
      </c>
      <c r="BP64">
        <f>24*20</f>
        <v>480</v>
      </c>
      <c r="BR64" s="38">
        <v>44713</v>
      </c>
      <c r="BS64" s="20" t="s">
        <v>185</v>
      </c>
      <c r="BT64" s="20" t="str">
        <f t="shared" si="5"/>
        <v>LaPorteuseD'Eau_COR22C1</v>
      </c>
    </row>
    <row r="65" spans="2:72" ht="18.75" customHeight="1" x14ac:dyDescent="0.25">
      <c r="B65" s="20">
        <f t="shared" si="8"/>
        <v>2</v>
      </c>
      <c r="C65" s="22" t="str">
        <f t="shared" ref="C65:C128" si="9">+"La Porteuse D'Eau #"&amp;B65</f>
        <v>La Porteuse D'Eau #2</v>
      </c>
      <c r="D65" t="str">
        <f t="shared" ref="D65:D128" si="10">"COR22C"&amp;B65</f>
        <v>COR22C2</v>
      </c>
      <c r="E65" s="58" t="s">
        <v>240</v>
      </c>
      <c r="F65" s="20">
        <v>1000</v>
      </c>
      <c r="G65" s="14" t="s">
        <v>243</v>
      </c>
      <c r="H65" s="23" t="s">
        <v>170</v>
      </c>
      <c r="J65" s="59" t="s">
        <v>38</v>
      </c>
      <c r="K65" s="22" t="s">
        <v>39</v>
      </c>
      <c r="L65" s="59" t="s">
        <v>171</v>
      </c>
      <c r="M65" s="22">
        <v>2</v>
      </c>
      <c r="N65" s="59" t="s">
        <v>172</v>
      </c>
      <c r="O65" s="22">
        <v>2</v>
      </c>
      <c r="P65" s="59" t="s">
        <v>173</v>
      </c>
      <c r="Q65" s="22">
        <v>2</v>
      </c>
      <c r="V65" s="59" t="s">
        <v>176</v>
      </c>
      <c r="Z65" s="59" t="s">
        <v>40</v>
      </c>
      <c r="AA65" s="22" t="s">
        <v>46</v>
      </c>
      <c r="AH65" s="59" t="s">
        <v>41</v>
      </c>
      <c r="AI65" s="22" t="s">
        <v>48</v>
      </c>
      <c r="AJ65" s="59" t="s">
        <v>42</v>
      </c>
      <c r="AK65" s="22" t="s">
        <v>49</v>
      </c>
      <c r="AL65" s="59" t="s">
        <v>43</v>
      </c>
      <c r="AM65" s="22" t="s">
        <v>50</v>
      </c>
      <c r="AV65" s="59" t="s">
        <v>134</v>
      </c>
      <c r="AW65" s="22" t="str">
        <f>Settings!$B$5 &amp;  "?s=" &amp; D65 &amp; "&amp;platform=ftx"</f>
        <v>https://tokensol.nfluent.io?s=COR22C2&amp;platform=ftx</v>
      </c>
      <c r="AX65" s="20" t="s">
        <v>23</v>
      </c>
      <c r="AY65" s="20">
        <v>10</v>
      </c>
      <c r="AZ65" s="20" t="s">
        <v>24</v>
      </c>
      <c r="BA65" s="20">
        <v>90</v>
      </c>
      <c r="BD65" s="14"/>
      <c r="BJ65" t="s">
        <v>242</v>
      </c>
      <c r="BK65" t="s">
        <v>184</v>
      </c>
      <c r="BN65" s="36">
        <v>3000</v>
      </c>
      <c r="BO65" s="36">
        <v>3000</v>
      </c>
      <c r="BP65">
        <f t="shared" ref="BP65:BP128" si="11">24*20</f>
        <v>480</v>
      </c>
      <c r="BR65" s="38">
        <v>44713</v>
      </c>
      <c r="BS65" s="20" t="s">
        <v>185</v>
      </c>
      <c r="BT65" s="20" t="str">
        <f t="shared" si="5"/>
        <v>LaPorteuseD'Eau_COR22C2</v>
      </c>
    </row>
    <row r="66" spans="2:72" ht="18.75" customHeight="1" x14ac:dyDescent="0.25">
      <c r="B66" s="20">
        <f t="shared" si="8"/>
        <v>3</v>
      </c>
      <c r="C66" s="22" t="str">
        <f t="shared" si="9"/>
        <v>La Porteuse D'Eau #3</v>
      </c>
      <c r="D66" t="str">
        <f t="shared" si="10"/>
        <v>COR22C3</v>
      </c>
      <c r="E66" s="58" t="s">
        <v>240</v>
      </c>
      <c r="F66" s="20">
        <v>1000</v>
      </c>
      <c r="G66" s="14" t="s">
        <v>244</v>
      </c>
      <c r="H66" s="23" t="s">
        <v>170</v>
      </c>
      <c r="J66" s="59" t="s">
        <v>38</v>
      </c>
      <c r="K66" s="22" t="s">
        <v>39</v>
      </c>
      <c r="L66" s="59" t="s">
        <v>171</v>
      </c>
      <c r="M66" s="22">
        <v>2</v>
      </c>
      <c r="N66" s="59" t="s">
        <v>172</v>
      </c>
      <c r="O66" s="22">
        <v>2</v>
      </c>
      <c r="P66" s="59" t="s">
        <v>173</v>
      </c>
      <c r="Q66" s="22">
        <v>2</v>
      </c>
      <c r="V66" s="59" t="s">
        <v>176</v>
      </c>
      <c r="Z66" s="59" t="s">
        <v>40</v>
      </c>
      <c r="AA66" s="22" t="s">
        <v>46</v>
      </c>
      <c r="AH66" s="59" t="s">
        <v>41</v>
      </c>
      <c r="AI66" s="22" t="s">
        <v>48</v>
      </c>
      <c r="AJ66" s="59" t="s">
        <v>42</v>
      </c>
      <c r="AK66" s="22" t="s">
        <v>49</v>
      </c>
      <c r="AL66" s="59" t="s">
        <v>43</v>
      </c>
      <c r="AM66" s="22" t="s">
        <v>50</v>
      </c>
      <c r="AV66" s="59" t="s">
        <v>134</v>
      </c>
      <c r="AW66" s="22" t="str">
        <f>Settings!$B$5 &amp;  "?s=" &amp; D66 &amp; "&amp;platform=ftx"</f>
        <v>https://tokensol.nfluent.io?s=COR22C3&amp;platform=ftx</v>
      </c>
      <c r="AX66" s="20" t="s">
        <v>23</v>
      </c>
      <c r="AY66" s="20">
        <v>10</v>
      </c>
      <c r="AZ66" s="20" t="s">
        <v>24</v>
      </c>
      <c r="BA66" s="20">
        <v>90</v>
      </c>
      <c r="BD66" s="14"/>
      <c r="BJ66" t="s">
        <v>242</v>
      </c>
      <c r="BK66" t="s">
        <v>184</v>
      </c>
      <c r="BN66" s="36">
        <v>3000</v>
      </c>
      <c r="BO66" s="36">
        <v>3000</v>
      </c>
      <c r="BP66">
        <f t="shared" si="11"/>
        <v>480</v>
      </c>
      <c r="BR66" s="38">
        <v>44713</v>
      </c>
      <c r="BS66" s="20" t="s">
        <v>185</v>
      </c>
      <c r="BT66" s="20" t="str">
        <f t="shared" si="5"/>
        <v>LaPorteuseD'Eau_COR22C3</v>
      </c>
    </row>
    <row r="67" spans="2:72" ht="18.75" customHeight="1" x14ac:dyDescent="0.25">
      <c r="B67" s="20">
        <f t="shared" si="8"/>
        <v>4</v>
      </c>
      <c r="C67" s="22" t="str">
        <f t="shared" si="9"/>
        <v>La Porteuse D'Eau #4</v>
      </c>
      <c r="D67" t="str">
        <f t="shared" si="10"/>
        <v>COR22C4</v>
      </c>
      <c r="E67" s="58" t="s">
        <v>240</v>
      </c>
      <c r="F67" s="20">
        <v>1000</v>
      </c>
      <c r="G67" s="14" t="s">
        <v>245</v>
      </c>
      <c r="H67" s="23" t="s">
        <v>170</v>
      </c>
      <c r="J67" s="59" t="s">
        <v>38</v>
      </c>
      <c r="K67" s="22" t="s">
        <v>39</v>
      </c>
      <c r="L67" s="59" t="s">
        <v>171</v>
      </c>
      <c r="M67" s="22">
        <v>2</v>
      </c>
      <c r="N67" s="59" t="s">
        <v>172</v>
      </c>
      <c r="O67" s="22">
        <v>2</v>
      </c>
      <c r="P67" s="59" t="s">
        <v>173</v>
      </c>
      <c r="Q67" s="22">
        <v>2</v>
      </c>
      <c r="V67" s="59" t="s">
        <v>176</v>
      </c>
      <c r="Z67" s="59" t="s">
        <v>40</v>
      </c>
      <c r="AA67" s="22" t="s">
        <v>46</v>
      </c>
      <c r="AH67" s="59" t="s">
        <v>41</v>
      </c>
      <c r="AI67" s="22" t="s">
        <v>48</v>
      </c>
      <c r="AJ67" s="59" t="s">
        <v>42</v>
      </c>
      <c r="AK67" s="22" t="s">
        <v>49</v>
      </c>
      <c r="AL67" s="59" t="s">
        <v>43</v>
      </c>
      <c r="AM67" s="22" t="s">
        <v>50</v>
      </c>
      <c r="AV67" s="59" t="s">
        <v>134</v>
      </c>
      <c r="AW67" s="22" t="str">
        <f>Settings!$B$5 &amp;  "?s=" &amp; D67 &amp; "&amp;platform=ftx"</f>
        <v>https://tokensol.nfluent.io?s=COR22C4&amp;platform=ftx</v>
      </c>
      <c r="AX67" s="20" t="s">
        <v>23</v>
      </c>
      <c r="AY67" s="20">
        <v>10</v>
      </c>
      <c r="AZ67" s="20" t="s">
        <v>24</v>
      </c>
      <c r="BA67" s="20">
        <v>90</v>
      </c>
      <c r="BD67" s="14"/>
      <c r="BJ67" t="s">
        <v>242</v>
      </c>
      <c r="BK67" t="s">
        <v>184</v>
      </c>
      <c r="BN67" s="36">
        <v>3000</v>
      </c>
      <c r="BO67" s="36">
        <v>3000</v>
      </c>
      <c r="BP67">
        <f t="shared" si="11"/>
        <v>480</v>
      </c>
      <c r="BR67" s="38">
        <v>44713</v>
      </c>
      <c r="BS67" s="20" t="s">
        <v>185</v>
      </c>
      <c r="BT67" s="20" t="str">
        <f t="shared" si="5"/>
        <v>LaPorteuseD'Eau_COR22C4</v>
      </c>
    </row>
    <row r="68" spans="2:72" ht="18.75" customHeight="1" x14ac:dyDescent="0.25">
      <c r="B68" s="20">
        <f t="shared" si="8"/>
        <v>5</v>
      </c>
      <c r="C68" s="22" t="str">
        <f t="shared" si="9"/>
        <v>La Porteuse D'Eau #5</v>
      </c>
      <c r="D68" t="str">
        <f t="shared" si="10"/>
        <v>COR22C5</v>
      </c>
      <c r="E68" s="58" t="s">
        <v>240</v>
      </c>
      <c r="F68" s="20">
        <v>1000</v>
      </c>
      <c r="G68" s="14" t="s">
        <v>246</v>
      </c>
      <c r="H68" s="23" t="s">
        <v>170</v>
      </c>
      <c r="J68" s="59" t="s">
        <v>38</v>
      </c>
      <c r="K68" s="22" t="s">
        <v>39</v>
      </c>
      <c r="L68" s="59" t="s">
        <v>171</v>
      </c>
      <c r="M68" s="22">
        <v>2</v>
      </c>
      <c r="N68" s="59" t="s">
        <v>172</v>
      </c>
      <c r="O68" s="22">
        <v>2</v>
      </c>
      <c r="P68" s="59" t="s">
        <v>173</v>
      </c>
      <c r="Q68" s="22">
        <v>2</v>
      </c>
      <c r="V68" s="59" t="s">
        <v>176</v>
      </c>
      <c r="Z68" s="59" t="s">
        <v>40</v>
      </c>
      <c r="AA68" s="22" t="s">
        <v>46</v>
      </c>
      <c r="AH68" s="59" t="s">
        <v>41</v>
      </c>
      <c r="AI68" s="22" t="s">
        <v>48</v>
      </c>
      <c r="AJ68" s="59" t="s">
        <v>42</v>
      </c>
      <c r="AK68" s="22" t="s">
        <v>49</v>
      </c>
      <c r="AL68" s="59" t="s">
        <v>43</v>
      </c>
      <c r="AM68" s="22" t="s">
        <v>50</v>
      </c>
      <c r="AV68" s="59" t="s">
        <v>134</v>
      </c>
      <c r="AW68" s="22" t="str">
        <f>Settings!$B$5 &amp;  "?s=" &amp; D68 &amp; "&amp;platform=ftx"</f>
        <v>https://tokensol.nfluent.io?s=COR22C5&amp;platform=ftx</v>
      </c>
      <c r="AX68" s="20" t="s">
        <v>23</v>
      </c>
      <c r="AY68" s="20">
        <v>10</v>
      </c>
      <c r="AZ68" s="20" t="s">
        <v>24</v>
      </c>
      <c r="BA68" s="20">
        <v>90</v>
      </c>
      <c r="BD68" s="14"/>
      <c r="BJ68" t="s">
        <v>242</v>
      </c>
      <c r="BK68" t="s">
        <v>184</v>
      </c>
      <c r="BN68" s="36">
        <v>3000</v>
      </c>
      <c r="BO68" s="36">
        <v>3000</v>
      </c>
      <c r="BP68">
        <f t="shared" si="11"/>
        <v>480</v>
      </c>
      <c r="BR68" s="38">
        <v>44713</v>
      </c>
      <c r="BS68" s="20" t="s">
        <v>185</v>
      </c>
      <c r="BT68" s="20" t="str">
        <f t="shared" si="5"/>
        <v>LaPorteuseD'Eau_COR22C5</v>
      </c>
    </row>
    <row r="69" spans="2:72" ht="18.75" customHeight="1" x14ac:dyDescent="0.25">
      <c r="B69" s="20">
        <f t="shared" si="8"/>
        <v>6</v>
      </c>
      <c r="C69" s="22" t="str">
        <f t="shared" si="9"/>
        <v>La Porteuse D'Eau #6</v>
      </c>
      <c r="D69" t="str">
        <f t="shared" si="10"/>
        <v>COR22C6</v>
      </c>
      <c r="E69" s="58" t="s">
        <v>240</v>
      </c>
      <c r="F69" s="20">
        <v>1000</v>
      </c>
      <c r="G69" s="14" t="s">
        <v>247</v>
      </c>
      <c r="H69" s="23" t="s">
        <v>170</v>
      </c>
      <c r="J69" s="59" t="s">
        <v>38</v>
      </c>
      <c r="K69" s="22" t="s">
        <v>39</v>
      </c>
      <c r="L69" s="59" t="s">
        <v>171</v>
      </c>
      <c r="M69" s="22">
        <v>2</v>
      </c>
      <c r="N69" s="59" t="s">
        <v>172</v>
      </c>
      <c r="O69" s="22">
        <v>2</v>
      </c>
      <c r="P69" s="59" t="s">
        <v>173</v>
      </c>
      <c r="Q69" s="22">
        <v>2</v>
      </c>
      <c r="V69" s="59" t="s">
        <v>176</v>
      </c>
      <c r="Z69" s="59" t="s">
        <v>40</v>
      </c>
      <c r="AA69" s="22" t="s">
        <v>46</v>
      </c>
      <c r="AH69" s="59" t="s">
        <v>41</v>
      </c>
      <c r="AI69" s="22" t="s">
        <v>48</v>
      </c>
      <c r="AJ69" s="59" t="s">
        <v>42</v>
      </c>
      <c r="AK69" s="22" t="s">
        <v>49</v>
      </c>
      <c r="AL69" s="59" t="s">
        <v>43</v>
      </c>
      <c r="AM69" s="22" t="s">
        <v>50</v>
      </c>
      <c r="AV69" s="59" t="s">
        <v>134</v>
      </c>
      <c r="AW69" s="22" t="str">
        <f>Settings!$B$5 &amp;  "?s=" &amp; D69 &amp; "&amp;platform=ftx"</f>
        <v>https://tokensol.nfluent.io?s=COR22C6&amp;platform=ftx</v>
      </c>
      <c r="AX69" s="20" t="s">
        <v>23</v>
      </c>
      <c r="AY69" s="20">
        <v>10</v>
      </c>
      <c r="AZ69" s="20" t="s">
        <v>24</v>
      </c>
      <c r="BA69" s="20">
        <v>90</v>
      </c>
      <c r="BD69" s="14"/>
      <c r="BJ69" t="s">
        <v>242</v>
      </c>
      <c r="BK69" t="s">
        <v>184</v>
      </c>
      <c r="BN69" s="36">
        <v>3000</v>
      </c>
      <c r="BO69" s="36">
        <v>3000</v>
      </c>
      <c r="BP69">
        <f t="shared" si="11"/>
        <v>480</v>
      </c>
      <c r="BR69" s="38">
        <v>44713</v>
      </c>
      <c r="BS69" s="20" t="s">
        <v>185</v>
      </c>
      <c r="BT69" s="20" t="str">
        <f t="shared" ref="BT69:BT132" si="12">SUBSTITUTE(BJ69," ","") &amp; "_" &amp; D69</f>
        <v>LaPorteuseD'Eau_COR22C6</v>
      </c>
    </row>
    <row r="70" spans="2:72" ht="18.75" customHeight="1" x14ac:dyDescent="0.25">
      <c r="B70" s="20">
        <f t="shared" ref="B70:B133" si="13">+B69+1</f>
        <v>7</v>
      </c>
      <c r="C70" s="22" t="str">
        <f t="shared" si="9"/>
        <v>La Porteuse D'Eau #7</v>
      </c>
      <c r="D70" t="str">
        <f t="shared" si="10"/>
        <v>COR22C7</v>
      </c>
      <c r="E70" s="58" t="s">
        <v>240</v>
      </c>
      <c r="F70" s="20">
        <v>1000</v>
      </c>
      <c r="G70" s="14" t="s">
        <v>248</v>
      </c>
      <c r="H70" s="23" t="s">
        <v>170</v>
      </c>
      <c r="J70" s="59" t="s">
        <v>38</v>
      </c>
      <c r="K70" s="22" t="s">
        <v>39</v>
      </c>
      <c r="L70" s="59" t="s">
        <v>171</v>
      </c>
      <c r="M70" s="22">
        <v>2</v>
      </c>
      <c r="N70" s="59" t="s">
        <v>172</v>
      </c>
      <c r="O70" s="22">
        <v>2</v>
      </c>
      <c r="P70" s="59" t="s">
        <v>173</v>
      </c>
      <c r="Q70" s="22">
        <v>2</v>
      </c>
      <c r="V70" s="59" t="s">
        <v>176</v>
      </c>
      <c r="Z70" s="59" t="s">
        <v>40</v>
      </c>
      <c r="AA70" s="22" t="s">
        <v>46</v>
      </c>
      <c r="AH70" s="59" t="s">
        <v>41</v>
      </c>
      <c r="AI70" s="22" t="s">
        <v>48</v>
      </c>
      <c r="AJ70" s="59" t="s">
        <v>42</v>
      </c>
      <c r="AK70" s="22" t="s">
        <v>49</v>
      </c>
      <c r="AL70" s="59" t="s">
        <v>43</v>
      </c>
      <c r="AM70" s="22" t="s">
        <v>50</v>
      </c>
      <c r="AV70" s="59" t="s">
        <v>134</v>
      </c>
      <c r="AW70" s="22" t="str">
        <f>Settings!$B$5 &amp;  "?s=" &amp; D70 &amp; "&amp;platform=ftx"</f>
        <v>https://tokensol.nfluent.io?s=COR22C7&amp;platform=ftx</v>
      </c>
      <c r="AX70" s="20" t="s">
        <v>23</v>
      </c>
      <c r="AY70" s="20">
        <v>10</v>
      </c>
      <c r="AZ70" s="20" t="s">
        <v>24</v>
      </c>
      <c r="BA70" s="20">
        <v>90</v>
      </c>
      <c r="BD70" s="14"/>
      <c r="BJ70" t="s">
        <v>242</v>
      </c>
      <c r="BK70" t="s">
        <v>184</v>
      </c>
      <c r="BN70" s="36">
        <v>3000</v>
      </c>
      <c r="BO70" s="36">
        <v>3000</v>
      </c>
      <c r="BP70">
        <f t="shared" si="11"/>
        <v>480</v>
      </c>
      <c r="BR70" s="38">
        <v>44713</v>
      </c>
      <c r="BS70" s="20" t="s">
        <v>185</v>
      </c>
      <c r="BT70" s="20" t="str">
        <f t="shared" si="12"/>
        <v>LaPorteuseD'Eau_COR22C7</v>
      </c>
    </row>
    <row r="71" spans="2:72" ht="18.75" customHeight="1" x14ac:dyDescent="0.25">
      <c r="B71" s="20">
        <f t="shared" si="13"/>
        <v>8</v>
      </c>
      <c r="C71" s="22" t="str">
        <f t="shared" si="9"/>
        <v>La Porteuse D'Eau #8</v>
      </c>
      <c r="D71" t="str">
        <f t="shared" si="10"/>
        <v>COR22C8</v>
      </c>
      <c r="E71" s="58" t="s">
        <v>240</v>
      </c>
      <c r="F71" s="20">
        <v>1000</v>
      </c>
      <c r="G71" s="14" t="s">
        <v>249</v>
      </c>
      <c r="H71" s="23" t="s">
        <v>170</v>
      </c>
      <c r="J71" s="59" t="s">
        <v>38</v>
      </c>
      <c r="K71" s="22" t="s">
        <v>39</v>
      </c>
      <c r="L71" s="59" t="s">
        <v>171</v>
      </c>
      <c r="M71" s="22">
        <v>2</v>
      </c>
      <c r="N71" s="59" t="s">
        <v>172</v>
      </c>
      <c r="O71" s="22">
        <v>2</v>
      </c>
      <c r="P71" s="59" t="s">
        <v>173</v>
      </c>
      <c r="Q71" s="22">
        <v>2</v>
      </c>
      <c r="V71" s="59" t="s">
        <v>176</v>
      </c>
      <c r="Z71" s="59" t="s">
        <v>40</v>
      </c>
      <c r="AA71" s="22" t="s">
        <v>46</v>
      </c>
      <c r="AH71" s="59" t="s">
        <v>41</v>
      </c>
      <c r="AI71" s="22" t="s">
        <v>48</v>
      </c>
      <c r="AJ71" s="59" t="s">
        <v>42</v>
      </c>
      <c r="AK71" s="22" t="s">
        <v>49</v>
      </c>
      <c r="AL71" s="59" t="s">
        <v>43</v>
      </c>
      <c r="AM71" s="22" t="s">
        <v>50</v>
      </c>
      <c r="AV71" s="59" t="s">
        <v>134</v>
      </c>
      <c r="AW71" s="22" t="str">
        <f>Settings!$B$5 &amp;  "?s=" &amp; D71 &amp; "&amp;platform=ftx"</f>
        <v>https://tokensol.nfluent.io?s=COR22C8&amp;platform=ftx</v>
      </c>
      <c r="AX71" s="20" t="s">
        <v>23</v>
      </c>
      <c r="AY71" s="20">
        <v>10</v>
      </c>
      <c r="AZ71" s="20" t="s">
        <v>24</v>
      </c>
      <c r="BA71" s="20">
        <v>90</v>
      </c>
      <c r="BD71" s="14"/>
      <c r="BJ71" t="s">
        <v>242</v>
      </c>
      <c r="BK71" t="s">
        <v>184</v>
      </c>
      <c r="BN71" s="36">
        <v>3000</v>
      </c>
      <c r="BO71" s="36">
        <v>3000</v>
      </c>
      <c r="BP71">
        <f t="shared" si="11"/>
        <v>480</v>
      </c>
      <c r="BR71" s="38">
        <v>44713</v>
      </c>
      <c r="BS71" s="20" t="s">
        <v>185</v>
      </c>
      <c r="BT71" s="20" t="str">
        <f t="shared" si="12"/>
        <v>LaPorteuseD'Eau_COR22C8</v>
      </c>
    </row>
    <row r="72" spans="2:72" ht="18.75" customHeight="1" x14ac:dyDescent="0.25">
      <c r="B72" s="20">
        <f t="shared" si="13"/>
        <v>9</v>
      </c>
      <c r="C72" s="22" t="str">
        <f t="shared" si="9"/>
        <v>La Porteuse D'Eau #9</v>
      </c>
      <c r="D72" t="str">
        <f t="shared" si="10"/>
        <v>COR22C9</v>
      </c>
      <c r="E72" s="58" t="s">
        <v>240</v>
      </c>
      <c r="F72" s="20">
        <v>1000</v>
      </c>
      <c r="G72" s="14" t="s">
        <v>250</v>
      </c>
      <c r="H72" s="23" t="s">
        <v>170</v>
      </c>
      <c r="J72" s="59" t="s">
        <v>38</v>
      </c>
      <c r="K72" s="22" t="s">
        <v>39</v>
      </c>
      <c r="L72" s="59" t="s">
        <v>171</v>
      </c>
      <c r="M72" s="22">
        <v>2</v>
      </c>
      <c r="N72" s="59" t="s">
        <v>172</v>
      </c>
      <c r="O72" s="22">
        <v>2</v>
      </c>
      <c r="P72" s="59" t="s">
        <v>173</v>
      </c>
      <c r="Q72" s="22">
        <v>2</v>
      </c>
      <c r="V72" s="59" t="s">
        <v>176</v>
      </c>
      <c r="Z72" s="59" t="s">
        <v>40</v>
      </c>
      <c r="AA72" s="22" t="s">
        <v>46</v>
      </c>
      <c r="AH72" s="59" t="s">
        <v>41</v>
      </c>
      <c r="AI72" s="22" t="s">
        <v>48</v>
      </c>
      <c r="AJ72" s="59" t="s">
        <v>42</v>
      </c>
      <c r="AK72" s="22" t="s">
        <v>49</v>
      </c>
      <c r="AL72" s="59" t="s">
        <v>43</v>
      </c>
      <c r="AM72" s="22" t="s">
        <v>50</v>
      </c>
      <c r="AV72" s="59" t="s">
        <v>134</v>
      </c>
      <c r="AW72" s="22" t="str">
        <f>Settings!$B$5 &amp;  "?s=" &amp; D72 &amp; "&amp;platform=ftx"</f>
        <v>https://tokensol.nfluent.io?s=COR22C9&amp;platform=ftx</v>
      </c>
      <c r="AX72" s="20" t="s">
        <v>23</v>
      </c>
      <c r="AY72" s="20">
        <v>10</v>
      </c>
      <c r="AZ72" s="20" t="s">
        <v>24</v>
      </c>
      <c r="BA72" s="20">
        <v>90</v>
      </c>
      <c r="BD72" s="14"/>
      <c r="BJ72" t="s">
        <v>242</v>
      </c>
      <c r="BK72" t="s">
        <v>184</v>
      </c>
      <c r="BN72" s="36">
        <v>3000</v>
      </c>
      <c r="BO72" s="36">
        <v>3000</v>
      </c>
      <c r="BP72">
        <f t="shared" si="11"/>
        <v>480</v>
      </c>
      <c r="BR72" s="38">
        <v>44713</v>
      </c>
      <c r="BS72" s="20" t="s">
        <v>185</v>
      </c>
      <c r="BT72" s="20" t="str">
        <f t="shared" si="12"/>
        <v>LaPorteuseD'Eau_COR22C9</v>
      </c>
    </row>
    <row r="73" spans="2:72" ht="18.75" customHeight="1" x14ac:dyDescent="0.25">
      <c r="B73" s="20">
        <f t="shared" si="13"/>
        <v>10</v>
      </c>
      <c r="C73" s="22" t="str">
        <f t="shared" si="9"/>
        <v>La Porteuse D'Eau #10</v>
      </c>
      <c r="D73" t="str">
        <f t="shared" si="10"/>
        <v>COR22C10</v>
      </c>
      <c r="E73" s="58" t="s">
        <v>240</v>
      </c>
      <c r="F73" s="20">
        <v>1000</v>
      </c>
      <c r="G73" s="14" t="s">
        <v>251</v>
      </c>
      <c r="H73" s="23" t="s">
        <v>170</v>
      </c>
      <c r="J73" s="59" t="s">
        <v>38</v>
      </c>
      <c r="K73" s="22" t="s">
        <v>39</v>
      </c>
      <c r="L73" s="59" t="s">
        <v>171</v>
      </c>
      <c r="M73" s="22">
        <v>2</v>
      </c>
      <c r="N73" s="59" t="s">
        <v>172</v>
      </c>
      <c r="O73" s="22">
        <v>2</v>
      </c>
      <c r="P73" s="59" t="s">
        <v>173</v>
      </c>
      <c r="Q73" s="22">
        <v>2</v>
      </c>
      <c r="V73" s="59" t="s">
        <v>176</v>
      </c>
      <c r="Z73" s="59" t="s">
        <v>40</v>
      </c>
      <c r="AA73" s="22" t="s">
        <v>46</v>
      </c>
      <c r="AH73" s="59" t="s">
        <v>41</v>
      </c>
      <c r="AI73" s="22" t="s">
        <v>48</v>
      </c>
      <c r="AJ73" s="59" t="s">
        <v>42</v>
      </c>
      <c r="AK73" s="22" t="s">
        <v>49</v>
      </c>
      <c r="AL73" s="59" t="s">
        <v>43</v>
      </c>
      <c r="AM73" s="22" t="s">
        <v>50</v>
      </c>
      <c r="AV73" s="59" t="s">
        <v>134</v>
      </c>
      <c r="AW73" s="22" t="str">
        <f>Settings!$B$5 &amp;  "?s=" &amp; D73 &amp; "&amp;platform=ftx"</f>
        <v>https://tokensol.nfluent.io?s=COR22C10&amp;platform=ftx</v>
      </c>
      <c r="AX73" s="20" t="s">
        <v>23</v>
      </c>
      <c r="AY73" s="20">
        <v>10</v>
      </c>
      <c r="AZ73" s="20" t="s">
        <v>24</v>
      </c>
      <c r="BA73" s="20">
        <v>90</v>
      </c>
      <c r="BD73" s="14"/>
      <c r="BJ73" t="s">
        <v>242</v>
      </c>
      <c r="BK73" t="s">
        <v>184</v>
      </c>
      <c r="BN73" s="36">
        <v>3000</v>
      </c>
      <c r="BO73" s="36">
        <v>3000</v>
      </c>
      <c r="BP73">
        <f t="shared" si="11"/>
        <v>480</v>
      </c>
      <c r="BR73" s="38">
        <v>44713</v>
      </c>
      <c r="BS73" s="20" t="s">
        <v>185</v>
      </c>
      <c r="BT73" s="20" t="str">
        <f t="shared" si="12"/>
        <v>LaPorteuseD'Eau_COR22C10</v>
      </c>
    </row>
    <row r="74" spans="2:72" ht="18.75" customHeight="1" x14ac:dyDescent="0.25">
      <c r="B74" s="20">
        <f t="shared" si="13"/>
        <v>11</v>
      </c>
      <c r="C74" s="22" t="str">
        <f t="shared" si="9"/>
        <v>La Porteuse D'Eau #11</v>
      </c>
      <c r="D74" t="str">
        <f t="shared" si="10"/>
        <v>COR22C11</v>
      </c>
      <c r="E74" s="58" t="s">
        <v>240</v>
      </c>
      <c r="F74" s="20">
        <v>1000</v>
      </c>
      <c r="G74" s="14" t="s">
        <v>251</v>
      </c>
      <c r="H74" s="23" t="s">
        <v>170</v>
      </c>
      <c r="J74" s="59" t="s">
        <v>38</v>
      </c>
      <c r="K74" s="22" t="s">
        <v>39</v>
      </c>
      <c r="L74" s="59" t="s">
        <v>171</v>
      </c>
      <c r="M74" s="22">
        <v>2</v>
      </c>
      <c r="N74" s="59" t="s">
        <v>172</v>
      </c>
      <c r="O74" s="22">
        <v>2</v>
      </c>
      <c r="P74" s="59" t="s">
        <v>173</v>
      </c>
      <c r="Q74" s="22">
        <v>2</v>
      </c>
      <c r="V74" s="59" t="s">
        <v>176</v>
      </c>
      <c r="Z74" s="59" t="s">
        <v>40</v>
      </c>
      <c r="AA74" s="22" t="s">
        <v>46</v>
      </c>
      <c r="AH74" s="59" t="s">
        <v>41</v>
      </c>
      <c r="AI74" s="22" t="s">
        <v>48</v>
      </c>
      <c r="AJ74" s="59" t="s">
        <v>42</v>
      </c>
      <c r="AK74" s="22" t="s">
        <v>49</v>
      </c>
      <c r="AL74" s="59" t="s">
        <v>43</v>
      </c>
      <c r="AM74" s="22" t="s">
        <v>50</v>
      </c>
      <c r="AV74" s="59" t="s">
        <v>134</v>
      </c>
      <c r="AW74" s="22" t="str">
        <f>Settings!$B$5 &amp;  "?s=" &amp; D74 &amp; "&amp;platform=ftx"</f>
        <v>https://tokensol.nfluent.io?s=COR22C11&amp;platform=ftx</v>
      </c>
      <c r="AX74" s="20" t="s">
        <v>23</v>
      </c>
      <c r="AY74" s="20">
        <v>10</v>
      </c>
      <c r="AZ74" s="20" t="s">
        <v>24</v>
      </c>
      <c r="BA74" s="20">
        <v>90</v>
      </c>
      <c r="BD74" s="14"/>
      <c r="BJ74" t="s">
        <v>242</v>
      </c>
      <c r="BK74" t="s">
        <v>184</v>
      </c>
      <c r="BN74" s="36">
        <v>3000</v>
      </c>
      <c r="BO74" s="36">
        <v>3000</v>
      </c>
      <c r="BP74">
        <f t="shared" si="11"/>
        <v>480</v>
      </c>
      <c r="BR74" s="38">
        <v>44713</v>
      </c>
      <c r="BS74" s="20" t="s">
        <v>185</v>
      </c>
      <c r="BT74" s="20" t="str">
        <f t="shared" si="12"/>
        <v>LaPorteuseD'Eau_COR22C11</v>
      </c>
    </row>
    <row r="75" spans="2:72" ht="18.75" customHeight="1" x14ac:dyDescent="0.25">
      <c r="B75" s="20">
        <f t="shared" si="13"/>
        <v>12</v>
      </c>
      <c r="C75" s="22" t="str">
        <f t="shared" si="9"/>
        <v>La Porteuse D'Eau #12</v>
      </c>
      <c r="D75" t="str">
        <f t="shared" si="10"/>
        <v>COR22C12</v>
      </c>
      <c r="E75" s="58" t="s">
        <v>240</v>
      </c>
      <c r="F75" s="20">
        <v>1000</v>
      </c>
      <c r="G75" s="14" t="s">
        <v>251</v>
      </c>
      <c r="H75" s="23" t="s">
        <v>170</v>
      </c>
      <c r="J75" s="59" t="s">
        <v>38</v>
      </c>
      <c r="K75" s="22" t="s">
        <v>39</v>
      </c>
      <c r="L75" s="59" t="s">
        <v>171</v>
      </c>
      <c r="M75" s="22">
        <v>2</v>
      </c>
      <c r="N75" s="59" t="s">
        <v>172</v>
      </c>
      <c r="O75" s="22">
        <v>2</v>
      </c>
      <c r="P75" s="59" t="s">
        <v>173</v>
      </c>
      <c r="Q75" s="22">
        <v>2</v>
      </c>
      <c r="V75" s="59" t="s">
        <v>176</v>
      </c>
      <c r="Z75" s="59" t="s">
        <v>40</v>
      </c>
      <c r="AA75" s="22" t="s">
        <v>46</v>
      </c>
      <c r="AH75" s="59" t="s">
        <v>41</v>
      </c>
      <c r="AI75" s="22" t="s">
        <v>48</v>
      </c>
      <c r="AJ75" s="59" t="s">
        <v>42</v>
      </c>
      <c r="AK75" s="22" t="s">
        <v>49</v>
      </c>
      <c r="AL75" s="59" t="s">
        <v>43</v>
      </c>
      <c r="AM75" s="22" t="s">
        <v>50</v>
      </c>
      <c r="AV75" s="59" t="s">
        <v>134</v>
      </c>
      <c r="AW75" s="22" t="str">
        <f>Settings!$B$5 &amp;  "?s=" &amp; D75 &amp; "&amp;platform=ftx"</f>
        <v>https://tokensol.nfluent.io?s=COR22C12&amp;platform=ftx</v>
      </c>
      <c r="AX75" s="20" t="s">
        <v>23</v>
      </c>
      <c r="AY75" s="20">
        <v>10</v>
      </c>
      <c r="AZ75" s="20" t="s">
        <v>24</v>
      </c>
      <c r="BA75" s="20">
        <v>90</v>
      </c>
      <c r="BD75" s="14"/>
      <c r="BJ75" t="s">
        <v>242</v>
      </c>
      <c r="BK75" t="s">
        <v>184</v>
      </c>
      <c r="BN75" s="36">
        <v>3000</v>
      </c>
      <c r="BO75" s="36">
        <v>3000</v>
      </c>
      <c r="BP75">
        <f t="shared" si="11"/>
        <v>480</v>
      </c>
      <c r="BR75" s="38">
        <v>44713</v>
      </c>
      <c r="BS75" s="20" t="s">
        <v>185</v>
      </c>
      <c r="BT75" s="20" t="str">
        <f t="shared" si="12"/>
        <v>LaPorteuseD'Eau_COR22C12</v>
      </c>
    </row>
    <row r="76" spans="2:72" ht="18.75" customHeight="1" x14ac:dyDescent="0.25">
      <c r="B76" s="20">
        <f t="shared" si="13"/>
        <v>13</v>
      </c>
      <c r="C76" s="22" t="str">
        <f t="shared" si="9"/>
        <v>La Porteuse D'Eau #13</v>
      </c>
      <c r="D76" t="str">
        <f t="shared" si="10"/>
        <v>COR22C13</v>
      </c>
      <c r="E76" s="58" t="s">
        <v>240</v>
      </c>
      <c r="F76" s="20">
        <v>1000</v>
      </c>
      <c r="G76" s="14" t="s">
        <v>251</v>
      </c>
      <c r="H76" s="23" t="s">
        <v>170</v>
      </c>
      <c r="J76" s="59" t="s">
        <v>38</v>
      </c>
      <c r="K76" s="22" t="s">
        <v>39</v>
      </c>
      <c r="L76" s="59" t="s">
        <v>171</v>
      </c>
      <c r="M76" s="22">
        <v>2</v>
      </c>
      <c r="N76" s="59" t="s">
        <v>172</v>
      </c>
      <c r="O76" s="22">
        <v>2</v>
      </c>
      <c r="P76" s="59" t="s">
        <v>173</v>
      </c>
      <c r="Q76" s="22">
        <v>2</v>
      </c>
      <c r="V76" s="59" t="s">
        <v>176</v>
      </c>
      <c r="Z76" s="59" t="s">
        <v>40</v>
      </c>
      <c r="AA76" s="22" t="s">
        <v>46</v>
      </c>
      <c r="AH76" s="59" t="s">
        <v>41</v>
      </c>
      <c r="AI76" s="22" t="s">
        <v>48</v>
      </c>
      <c r="AJ76" s="59" t="s">
        <v>42</v>
      </c>
      <c r="AK76" s="22" t="s">
        <v>49</v>
      </c>
      <c r="AL76" s="59" t="s">
        <v>43</v>
      </c>
      <c r="AM76" s="22" t="s">
        <v>50</v>
      </c>
      <c r="AV76" s="59" t="s">
        <v>134</v>
      </c>
      <c r="AW76" s="22" t="str">
        <f>Settings!$B$5 &amp;  "?s=" &amp; D76 &amp; "&amp;platform=ftx"</f>
        <v>https://tokensol.nfluent.io?s=COR22C13&amp;platform=ftx</v>
      </c>
      <c r="AX76" s="20" t="s">
        <v>23</v>
      </c>
      <c r="AY76" s="20">
        <v>10</v>
      </c>
      <c r="AZ76" s="20" t="s">
        <v>24</v>
      </c>
      <c r="BA76" s="20">
        <v>90</v>
      </c>
      <c r="BD76" s="14"/>
      <c r="BJ76" t="s">
        <v>242</v>
      </c>
      <c r="BK76" t="s">
        <v>184</v>
      </c>
      <c r="BN76" s="36">
        <v>3000</v>
      </c>
      <c r="BO76" s="36">
        <v>3000</v>
      </c>
      <c r="BP76">
        <f t="shared" si="11"/>
        <v>480</v>
      </c>
      <c r="BR76" s="38">
        <v>44713</v>
      </c>
      <c r="BS76" s="20" t="s">
        <v>185</v>
      </c>
      <c r="BT76" s="20" t="str">
        <f t="shared" si="12"/>
        <v>LaPorteuseD'Eau_COR22C13</v>
      </c>
    </row>
    <row r="77" spans="2:72" ht="18.75" customHeight="1" x14ac:dyDescent="0.25">
      <c r="B77" s="20">
        <f t="shared" si="13"/>
        <v>14</v>
      </c>
      <c r="C77" s="22" t="str">
        <f t="shared" si="9"/>
        <v>La Porteuse D'Eau #14</v>
      </c>
      <c r="D77" t="str">
        <f t="shared" si="10"/>
        <v>COR22C14</v>
      </c>
      <c r="E77" s="58" t="s">
        <v>240</v>
      </c>
      <c r="F77" s="20">
        <v>1000</v>
      </c>
      <c r="G77" s="14" t="s">
        <v>251</v>
      </c>
      <c r="H77" s="23" t="s">
        <v>170</v>
      </c>
      <c r="J77" s="59" t="s">
        <v>38</v>
      </c>
      <c r="K77" s="22" t="s">
        <v>39</v>
      </c>
      <c r="L77" s="59" t="s">
        <v>171</v>
      </c>
      <c r="M77" s="22">
        <v>2</v>
      </c>
      <c r="N77" s="59" t="s">
        <v>172</v>
      </c>
      <c r="O77" s="22">
        <v>2</v>
      </c>
      <c r="P77" s="59" t="s">
        <v>173</v>
      </c>
      <c r="Q77" s="22">
        <v>2</v>
      </c>
      <c r="V77" s="59" t="s">
        <v>176</v>
      </c>
      <c r="Z77" s="59" t="s">
        <v>40</v>
      </c>
      <c r="AA77" s="22" t="s">
        <v>46</v>
      </c>
      <c r="AH77" s="59" t="s">
        <v>41</v>
      </c>
      <c r="AI77" s="22" t="s">
        <v>48</v>
      </c>
      <c r="AJ77" s="59" t="s">
        <v>42</v>
      </c>
      <c r="AK77" s="22" t="s">
        <v>49</v>
      </c>
      <c r="AL77" s="59" t="s">
        <v>43</v>
      </c>
      <c r="AM77" s="22" t="s">
        <v>50</v>
      </c>
      <c r="AV77" s="59" t="s">
        <v>134</v>
      </c>
      <c r="AW77" s="22" t="str">
        <f>Settings!$B$5 &amp;  "?s=" &amp; D77 &amp; "&amp;platform=ftx"</f>
        <v>https://tokensol.nfluent.io?s=COR22C14&amp;platform=ftx</v>
      </c>
      <c r="AX77" s="20" t="s">
        <v>23</v>
      </c>
      <c r="AY77" s="20">
        <v>10</v>
      </c>
      <c r="AZ77" s="20" t="s">
        <v>24</v>
      </c>
      <c r="BA77" s="20">
        <v>90</v>
      </c>
      <c r="BD77" s="14"/>
      <c r="BJ77" t="s">
        <v>242</v>
      </c>
      <c r="BK77" t="s">
        <v>184</v>
      </c>
      <c r="BN77" s="36">
        <v>3000</v>
      </c>
      <c r="BO77" s="36">
        <v>3000</v>
      </c>
      <c r="BP77">
        <f t="shared" si="11"/>
        <v>480</v>
      </c>
      <c r="BR77" s="38">
        <v>44713</v>
      </c>
      <c r="BS77" s="20" t="s">
        <v>185</v>
      </c>
      <c r="BT77" s="20" t="str">
        <f t="shared" si="12"/>
        <v>LaPorteuseD'Eau_COR22C14</v>
      </c>
    </row>
    <row r="78" spans="2:72" ht="18.75" customHeight="1" x14ac:dyDescent="0.25">
      <c r="B78" s="20">
        <f t="shared" si="13"/>
        <v>15</v>
      </c>
      <c r="C78" s="22" t="str">
        <f t="shared" si="9"/>
        <v>La Porteuse D'Eau #15</v>
      </c>
      <c r="D78" t="str">
        <f t="shared" si="10"/>
        <v>COR22C15</v>
      </c>
      <c r="E78" s="58" t="s">
        <v>240</v>
      </c>
      <c r="F78" s="20">
        <v>1000</v>
      </c>
      <c r="G78" s="14" t="s">
        <v>251</v>
      </c>
      <c r="H78" s="23" t="s">
        <v>170</v>
      </c>
      <c r="J78" s="59" t="s">
        <v>38</v>
      </c>
      <c r="K78" s="22" t="s">
        <v>39</v>
      </c>
      <c r="L78" s="59" t="s">
        <v>171</v>
      </c>
      <c r="M78" s="22">
        <v>2</v>
      </c>
      <c r="N78" s="59" t="s">
        <v>172</v>
      </c>
      <c r="O78" s="22">
        <v>2</v>
      </c>
      <c r="P78" s="59" t="s">
        <v>173</v>
      </c>
      <c r="Q78" s="22">
        <v>2</v>
      </c>
      <c r="V78" s="59" t="s">
        <v>176</v>
      </c>
      <c r="Z78" s="59" t="s">
        <v>40</v>
      </c>
      <c r="AA78" s="22" t="s">
        <v>46</v>
      </c>
      <c r="AH78" s="59" t="s">
        <v>41</v>
      </c>
      <c r="AI78" s="22" t="s">
        <v>48</v>
      </c>
      <c r="AJ78" s="59" t="s">
        <v>42</v>
      </c>
      <c r="AK78" s="22" t="s">
        <v>49</v>
      </c>
      <c r="AL78" s="59" t="s">
        <v>43</v>
      </c>
      <c r="AM78" s="22" t="s">
        <v>50</v>
      </c>
      <c r="AV78" s="59" t="s">
        <v>134</v>
      </c>
      <c r="AW78" s="22" t="str">
        <f>Settings!$B$5 &amp;  "?s=" &amp; D78 &amp; "&amp;platform=ftx"</f>
        <v>https://tokensol.nfluent.io?s=COR22C15&amp;platform=ftx</v>
      </c>
      <c r="AX78" s="20" t="s">
        <v>23</v>
      </c>
      <c r="AY78" s="20">
        <v>10</v>
      </c>
      <c r="AZ78" s="20" t="s">
        <v>24</v>
      </c>
      <c r="BA78" s="20">
        <v>90</v>
      </c>
      <c r="BD78" s="14"/>
      <c r="BJ78" t="s">
        <v>242</v>
      </c>
      <c r="BK78" t="s">
        <v>184</v>
      </c>
      <c r="BN78" s="36">
        <v>3000</v>
      </c>
      <c r="BO78" s="36">
        <v>3000</v>
      </c>
      <c r="BP78">
        <f t="shared" si="11"/>
        <v>480</v>
      </c>
      <c r="BR78" s="38">
        <v>44713</v>
      </c>
      <c r="BS78" s="20" t="s">
        <v>185</v>
      </c>
      <c r="BT78" s="20" t="str">
        <f t="shared" si="12"/>
        <v>LaPorteuseD'Eau_COR22C15</v>
      </c>
    </row>
    <row r="79" spans="2:72" ht="18.75" customHeight="1" x14ac:dyDescent="0.25">
      <c r="B79" s="20">
        <f t="shared" si="13"/>
        <v>16</v>
      </c>
      <c r="C79" s="22" t="str">
        <f t="shared" si="9"/>
        <v>La Porteuse D'Eau #16</v>
      </c>
      <c r="D79" t="str">
        <f t="shared" si="10"/>
        <v>COR22C16</v>
      </c>
      <c r="E79" s="58" t="s">
        <v>240</v>
      </c>
      <c r="F79" s="20">
        <v>1000</v>
      </c>
      <c r="G79" s="14" t="s">
        <v>251</v>
      </c>
      <c r="H79" s="23" t="s">
        <v>170</v>
      </c>
      <c r="J79" s="59" t="s">
        <v>38</v>
      </c>
      <c r="K79" s="22" t="s">
        <v>39</v>
      </c>
      <c r="L79" s="59" t="s">
        <v>171</v>
      </c>
      <c r="M79" s="22">
        <v>2</v>
      </c>
      <c r="N79" s="59" t="s">
        <v>172</v>
      </c>
      <c r="O79" s="22">
        <v>2</v>
      </c>
      <c r="P79" s="59" t="s">
        <v>173</v>
      </c>
      <c r="Q79" s="22">
        <v>2</v>
      </c>
      <c r="V79" s="59" t="s">
        <v>176</v>
      </c>
      <c r="Z79" s="59" t="s">
        <v>40</v>
      </c>
      <c r="AA79" s="22" t="s">
        <v>46</v>
      </c>
      <c r="AH79" s="59" t="s">
        <v>41</v>
      </c>
      <c r="AI79" s="22" t="s">
        <v>48</v>
      </c>
      <c r="AJ79" s="59" t="s">
        <v>42</v>
      </c>
      <c r="AK79" s="22" t="s">
        <v>49</v>
      </c>
      <c r="AL79" s="59" t="s">
        <v>43</v>
      </c>
      <c r="AM79" s="22" t="s">
        <v>50</v>
      </c>
      <c r="AV79" s="59" t="s">
        <v>134</v>
      </c>
      <c r="AW79" s="22" t="str">
        <f>Settings!$B$5 &amp;  "?s=" &amp; D79 &amp; "&amp;platform=ftx"</f>
        <v>https://tokensol.nfluent.io?s=COR22C16&amp;platform=ftx</v>
      </c>
      <c r="AX79" s="20" t="s">
        <v>23</v>
      </c>
      <c r="AY79" s="20">
        <v>10</v>
      </c>
      <c r="AZ79" s="20" t="s">
        <v>24</v>
      </c>
      <c r="BA79" s="20">
        <v>90</v>
      </c>
      <c r="BD79" s="14"/>
      <c r="BJ79" t="s">
        <v>242</v>
      </c>
      <c r="BK79" t="s">
        <v>184</v>
      </c>
      <c r="BN79" s="36">
        <v>3000</v>
      </c>
      <c r="BO79" s="36">
        <v>3000</v>
      </c>
      <c r="BP79">
        <f t="shared" si="11"/>
        <v>480</v>
      </c>
      <c r="BR79" s="38">
        <v>44713</v>
      </c>
      <c r="BS79" s="20" t="s">
        <v>185</v>
      </c>
      <c r="BT79" s="20" t="str">
        <f t="shared" si="12"/>
        <v>LaPorteuseD'Eau_COR22C16</v>
      </c>
    </row>
    <row r="80" spans="2:72" ht="18.75" customHeight="1" x14ac:dyDescent="0.25">
      <c r="B80" s="20">
        <f t="shared" si="13"/>
        <v>17</v>
      </c>
      <c r="C80" s="22" t="str">
        <f t="shared" si="9"/>
        <v>La Porteuse D'Eau #17</v>
      </c>
      <c r="D80" t="str">
        <f t="shared" si="10"/>
        <v>COR22C17</v>
      </c>
      <c r="E80" s="58" t="s">
        <v>240</v>
      </c>
      <c r="F80" s="20">
        <v>1000</v>
      </c>
      <c r="G80" s="14" t="s">
        <v>251</v>
      </c>
      <c r="H80" s="23" t="s">
        <v>170</v>
      </c>
      <c r="J80" s="59" t="s">
        <v>38</v>
      </c>
      <c r="K80" s="22" t="s">
        <v>39</v>
      </c>
      <c r="L80" s="59" t="s">
        <v>171</v>
      </c>
      <c r="M80" s="22">
        <v>2</v>
      </c>
      <c r="N80" s="59" t="s">
        <v>172</v>
      </c>
      <c r="O80" s="22">
        <v>2</v>
      </c>
      <c r="P80" s="59" t="s">
        <v>173</v>
      </c>
      <c r="Q80" s="22">
        <v>2</v>
      </c>
      <c r="V80" s="59" t="s">
        <v>176</v>
      </c>
      <c r="Z80" s="59" t="s">
        <v>40</v>
      </c>
      <c r="AA80" s="22" t="s">
        <v>46</v>
      </c>
      <c r="AH80" s="59" t="s">
        <v>41</v>
      </c>
      <c r="AI80" s="22" t="s">
        <v>48</v>
      </c>
      <c r="AJ80" s="59" t="s">
        <v>42</v>
      </c>
      <c r="AK80" s="22" t="s">
        <v>49</v>
      </c>
      <c r="AL80" s="59" t="s">
        <v>43</v>
      </c>
      <c r="AM80" s="22" t="s">
        <v>50</v>
      </c>
      <c r="AV80" s="59" t="s">
        <v>134</v>
      </c>
      <c r="AW80" s="22" t="str">
        <f>Settings!$B$5 &amp;  "?s=" &amp; D80 &amp; "&amp;platform=ftx"</f>
        <v>https://tokensol.nfluent.io?s=COR22C17&amp;platform=ftx</v>
      </c>
      <c r="AX80" s="20" t="s">
        <v>23</v>
      </c>
      <c r="AY80" s="20">
        <v>10</v>
      </c>
      <c r="AZ80" s="20" t="s">
        <v>24</v>
      </c>
      <c r="BA80" s="20">
        <v>90</v>
      </c>
      <c r="BD80" s="14"/>
      <c r="BJ80" t="s">
        <v>242</v>
      </c>
      <c r="BK80" t="s">
        <v>184</v>
      </c>
      <c r="BN80" s="36">
        <v>3000</v>
      </c>
      <c r="BO80" s="36">
        <v>3000</v>
      </c>
      <c r="BP80">
        <f t="shared" si="11"/>
        <v>480</v>
      </c>
      <c r="BR80" s="38">
        <v>44713</v>
      </c>
      <c r="BS80" s="20" t="s">
        <v>185</v>
      </c>
      <c r="BT80" s="20" t="str">
        <f t="shared" si="12"/>
        <v>LaPorteuseD'Eau_COR22C17</v>
      </c>
    </row>
    <row r="81" spans="2:72" ht="18.75" customHeight="1" x14ac:dyDescent="0.25">
      <c r="B81" s="20">
        <f t="shared" si="13"/>
        <v>18</v>
      </c>
      <c r="C81" s="22" t="str">
        <f t="shared" si="9"/>
        <v>La Porteuse D'Eau #18</v>
      </c>
      <c r="D81" t="str">
        <f t="shared" si="10"/>
        <v>COR22C18</v>
      </c>
      <c r="E81" s="58" t="s">
        <v>240</v>
      </c>
      <c r="F81" s="20">
        <v>1000</v>
      </c>
      <c r="G81" s="14" t="s">
        <v>251</v>
      </c>
      <c r="H81" s="23" t="s">
        <v>170</v>
      </c>
      <c r="J81" s="59" t="s">
        <v>38</v>
      </c>
      <c r="K81" s="22" t="s">
        <v>39</v>
      </c>
      <c r="L81" s="59" t="s">
        <v>171</v>
      </c>
      <c r="M81" s="22">
        <v>2</v>
      </c>
      <c r="N81" s="59" t="s">
        <v>172</v>
      </c>
      <c r="O81" s="22">
        <v>2</v>
      </c>
      <c r="P81" s="59" t="s">
        <v>173</v>
      </c>
      <c r="Q81" s="22">
        <v>2</v>
      </c>
      <c r="V81" s="59" t="s">
        <v>176</v>
      </c>
      <c r="Z81" s="59" t="s">
        <v>40</v>
      </c>
      <c r="AA81" s="22" t="s">
        <v>46</v>
      </c>
      <c r="AH81" s="59" t="s">
        <v>41</v>
      </c>
      <c r="AI81" s="22" t="s">
        <v>48</v>
      </c>
      <c r="AJ81" s="59" t="s">
        <v>42</v>
      </c>
      <c r="AK81" s="22" t="s">
        <v>49</v>
      </c>
      <c r="AL81" s="59" t="s">
        <v>43</v>
      </c>
      <c r="AM81" s="22" t="s">
        <v>50</v>
      </c>
      <c r="AV81" s="59" t="s">
        <v>134</v>
      </c>
      <c r="AW81" s="22" t="str">
        <f>Settings!$B$5 &amp;  "?s=" &amp; D81 &amp; "&amp;platform=ftx"</f>
        <v>https://tokensol.nfluent.io?s=COR22C18&amp;platform=ftx</v>
      </c>
      <c r="AX81" s="20" t="s">
        <v>23</v>
      </c>
      <c r="AY81" s="20">
        <v>10</v>
      </c>
      <c r="AZ81" s="20" t="s">
        <v>24</v>
      </c>
      <c r="BA81" s="20">
        <v>90</v>
      </c>
      <c r="BD81" s="14"/>
      <c r="BJ81" t="s">
        <v>242</v>
      </c>
      <c r="BK81" t="s">
        <v>184</v>
      </c>
      <c r="BN81" s="36">
        <v>3000</v>
      </c>
      <c r="BO81" s="36">
        <v>3000</v>
      </c>
      <c r="BP81">
        <f t="shared" si="11"/>
        <v>480</v>
      </c>
      <c r="BR81" s="38">
        <v>44713</v>
      </c>
      <c r="BS81" s="20" t="s">
        <v>185</v>
      </c>
      <c r="BT81" s="20" t="str">
        <f t="shared" si="12"/>
        <v>LaPorteuseD'Eau_COR22C18</v>
      </c>
    </row>
    <row r="82" spans="2:72" ht="18.75" customHeight="1" x14ac:dyDescent="0.25">
      <c r="B82" s="20">
        <f t="shared" si="13"/>
        <v>19</v>
      </c>
      <c r="C82" s="22" t="str">
        <f t="shared" si="9"/>
        <v>La Porteuse D'Eau #19</v>
      </c>
      <c r="D82" t="str">
        <f t="shared" si="10"/>
        <v>COR22C19</v>
      </c>
      <c r="E82" s="58" t="s">
        <v>240</v>
      </c>
      <c r="F82" s="20">
        <v>1000</v>
      </c>
      <c r="G82" s="14" t="s">
        <v>251</v>
      </c>
      <c r="H82" s="23" t="s">
        <v>170</v>
      </c>
      <c r="J82" s="59" t="s">
        <v>38</v>
      </c>
      <c r="K82" s="22" t="s">
        <v>39</v>
      </c>
      <c r="L82" s="59" t="s">
        <v>171</v>
      </c>
      <c r="M82" s="22">
        <v>2</v>
      </c>
      <c r="N82" s="59" t="s">
        <v>172</v>
      </c>
      <c r="O82" s="22">
        <v>2</v>
      </c>
      <c r="P82" s="59" t="s">
        <v>173</v>
      </c>
      <c r="Q82" s="22">
        <v>2</v>
      </c>
      <c r="V82" s="59" t="s">
        <v>176</v>
      </c>
      <c r="Z82" s="59" t="s">
        <v>40</v>
      </c>
      <c r="AA82" s="22" t="s">
        <v>46</v>
      </c>
      <c r="AH82" s="59" t="s">
        <v>41</v>
      </c>
      <c r="AI82" s="22" t="s">
        <v>48</v>
      </c>
      <c r="AJ82" s="59" t="s">
        <v>42</v>
      </c>
      <c r="AK82" s="22" t="s">
        <v>49</v>
      </c>
      <c r="AL82" s="59" t="s">
        <v>43</v>
      </c>
      <c r="AM82" s="22" t="s">
        <v>50</v>
      </c>
      <c r="AV82" s="59" t="s">
        <v>134</v>
      </c>
      <c r="AW82" s="22" t="str">
        <f>Settings!$B$5 &amp;  "?s=" &amp; D82 &amp; "&amp;platform=ftx"</f>
        <v>https://tokensol.nfluent.io?s=COR22C19&amp;platform=ftx</v>
      </c>
      <c r="AX82" s="20" t="s">
        <v>23</v>
      </c>
      <c r="AY82" s="20">
        <v>10</v>
      </c>
      <c r="AZ82" s="20" t="s">
        <v>24</v>
      </c>
      <c r="BA82" s="20">
        <v>90</v>
      </c>
      <c r="BD82" s="14"/>
      <c r="BJ82" t="s">
        <v>242</v>
      </c>
      <c r="BK82" t="s">
        <v>184</v>
      </c>
      <c r="BN82" s="36">
        <v>3000</v>
      </c>
      <c r="BO82" s="36">
        <v>3000</v>
      </c>
      <c r="BP82">
        <f t="shared" si="11"/>
        <v>480</v>
      </c>
      <c r="BR82" s="38">
        <v>44713</v>
      </c>
      <c r="BS82" s="20" t="s">
        <v>185</v>
      </c>
      <c r="BT82" s="20" t="str">
        <f t="shared" si="12"/>
        <v>LaPorteuseD'Eau_COR22C19</v>
      </c>
    </row>
    <row r="83" spans="2:72" ht="18.75" customHeight="1" x14ac:dyDescent="0.25">
      <c r="B83" s="20">
        <f t="shared" si="13"/>
        <v>20</v>
      </c>
      <c r="C83" s="22" t="str">
        <f t="shared" si="9"/>
        <v>La Porteuse D'Eau #20</v>
      </c>
      <c r="D83" t="str">
        <f t="shared" si="10"/>
        <v>COR22C20</v>
      </c>
      <c r="E83" s="58" t="s">
        <v>240</v>
      </c>
      <c r="F83" s="20">
        <v>1000</v>
      </c>
      <c r="G83" s="14" t="s">
        <v>251</v>
      </c>
      <c r="H83" s="23" t="s">
        <v>170</v>
      </c>
      <c r="J83" s="59" t="s">
        <v>38</v>
      </c>
      <c r="K83" s="22" t="s">
        <v>39</v>
      </c>
      <c r="L83" s="59" t="s">
        <v>171</v>
      </c>
      <c r="M83" s="22">
        <v>2</v>
      </c>
      <c r="N83" s="59" t="s">
        <v>172</v>
      </c>
      <c r="O83" s="22">
        <v>2</v>
      </c>
      <c r="P83" s="59" t="s">
        <v>173</v>
      </c>
      <c r="Q83" s="22">
        <v>2</v>
      </c>
      <c r="V83" s="59" t="s">
        <v>176</v>
      </c>
      <c r="Z83" s="59" t="s">
        <v>40</v>
      </c>
      <c r="AA83" s="22" t="s">
        <v>46</v>
      </c>
      <c r="AH83" s="59" t="s">
        <v>41</v>
      </c>
      <c r="AI83" s="22" t="s">
        <v>48</v>
      </c>
      <c r="AJ83" s="59" t="s">
        <v>42</v>
      </c>
      <c r="AK83" s="22" t="s">
        <v>49</v>
      </c>
      <c r="AL83" s="59" t="s">
        <v>43</v>
      </c>
      <c r="AM83" s="22" t="s">
        <v>50</v>
      </c>
      <c r="AV83" s="59" t="s">
        <v>134</v>
      </c>
      <c r="AW83" s="22" t="str">
        <f>Settings!$B$5 &amp;  "?s=" &amp; D83 &amp; "&amp;platform=ftx"</f>
        <v>https://tokensol.nfluent.io?s=COR22C20&amp;platform=ftx</v>
      </c>
      <c r="AX83" s="20" t="s">
        <v>23</v>
      </c>
      <c r="AY83" s="20">
        <v>10</v>
      </c>
      <c r="AZ83" s="20" t="s">
        <v>24</v>
      </c>
      <c r="BA83" s="20">
        <v>90</v>
      </c>
      <c r="BD83" s="14"/>
      <c r="BJ83" t="s">
        <v>242</v>
      </c>
      <c r="BK83" t="s">
        <v>184</v>
      </c>
      <c r="BN83" s="36">
        <v>3000</v>
      </c>
      <c r="BO83" s="36">
        <v>3000</v>
      </c>
      <c r="BP83">
        <f t="shared" si="11"/>
        <v>480</v>
      </c>
      <c r="BR83" s="38">
        <v>44713</v>
      </c>
      <c r="BS83" s="20" t="s">
        <v>185</v>
      </c>
      <c r="BT83" s="20" t="str">
        <f t="shared" si="12"/>
        <v>LaPorteuseD'Eau_COR22C20</v>
      </c>
    </row>
    <row r="84" spans="2:72" ht="18.75" customHeight="1" x14ac:dyDescent="0.25">
      <c r="B84" s="20">
        <f t="shared" si="13"/>
        <v>21</v>
      </c>
      <c r="C84" s="22" t="str">
        <f t="shared" si="9"/>
        <v>La Porteuse D'Eau #21</v>
      </c>
      <c r="D84" t="str">
        <f t="shared" si="10"/>
        <v>COR22C21</v>
      </c>
      <c r="E84" s="58" t="s">
        <v>240</v>
      </c>
      <c r="F84" s="20">
        <v>1000</v>
      </c>
      <c r="G84" s="14" t="s">
        <v>251</v>
      </c>
      <c r="H84" s="23" t="s">
        <v>170</v>
      </c>
      <c r="J84" s="59" t="s">
        <v>38</v>
      </c>
      <c r="K84" s="22" t="s">
        <v>39</v>
      </c>
      <c r="L84" s="59" t="s">
        <v>171</v>
      </c>
      <c r="M84" s="22">
        <v>2</v>
      </c>
      <c r="N84" s="59" t="s">
        <v>172</v>
      </c>
      <c r="O84" s="22">
        <v>2</v>
      </c>
      <c r="P84" s="59" t="s">
        <v>173</v>
      </c>
      <c r="Q84" s="22">
        <v>2</v>
      </c>
      <c r="V84" s="59" t="s">
        <v>176</v>
      </c>
      <c r="Z84" s="59" t="s">
        <v>40</v>
      </c>
      <c r="AA84" s="22" t="s">
        <v>46</v>
      </c>
      <c r="AH84" s="59" t="s">
        <v>41</v>
      </c>
      <c r="AI84" s="22" t="s">
        <v>48</v>
      </c>
      <c r="AJ84" s="59" t="s">
        <v>42</v>
      </c>
      <c r="AK84" s="22" t="s">
        <v>49</v>
      </c>
      <c r="AL84" s="59" t="s">
        <v>43</v>
      </c>
      <c r="AM84" s="22" t="s">
        <v>50</v>
      </c>
      <c r="AV84" s="59" t="s">
        <v>134</v>
      </c>
      <c r="AW84" s="22" t="str">
        <f>Settings!$B$5 &amp;  "?s=" &amp; D84 &amp; "&amp;platform=ftx"</f>
        <v>https://tokensol.nfluent.io?s=COR22C21&amp;platform=ftx</v>
      </c>
      <c r="AX84" s="20" t="s">
        <v>23</v>
      </c>
      <c r="AY84" s="20">
        <v>10</v>
      </c>
      <c r="AZ84" s="20" t="s">
        <v>24</v>
      </c>
      <c r="BA84" s="20">
        <v>90</v>
      </c>
      <c r="BD84" s="14"/>
      <c r="BJ84" t="s">
        <v>242</v>
      </c>
      <c r="BK84" t="s">
        <v>184</v>
      </c>
      <c r="BN84" s="36">
        <v>3000</v>
      </c>
      <c r="BO84" s="36">
        <v>3000</v>
      </c>
      <c r="BP84">
        <f t="shared" si="11"/>
        <v>480</v>
      </c>
      <c r="BR84" s="38">
        <v>44713</v>
      </c>
      <c r="BS84" s="20" t="s">
        <v>185</v>
      </c>
      <c r="BT84" s="20" t="str">
        <f t="shared" si="12"/>
        <v>LaPorteuseD'Eau_COR22C21</v>
      </c>
    </row>
    <row r="85" spans="2:72" ht="18.75" customHeight="1" x14ac:dyDescent="0.25">
      <c r="B85" s="20">
        <f t="shared" si="13"/>
        <v>22</v>
      </c>
      <c r="C85" s="22" t="str">
        <f t="shared" si="9"/>
        <v>La Porteuse D'Eau #22</v>
      </c>
      <c r="D85" t="str">
        <f t="shared" si="10"/>
        <v>COR22C22</v>
      </c>
      <c r="E85" s="58" t="s">
        <v>240</v>
      </c>
      <c r="F85" s="20">
        <v>1000</v>
      </c>
      <c r="G85" s="14" t="s">
        <v>251</v>
      </c>
      <c r="H85" s="23" t="s">
        <v>170</v>
      </c>
      <c r="J85" s="59" t="s">
        <v>38</v>
      </c>
      <c r="K85" s="22" t="s">
        <v>39</v>
      </c>
      <c r="L85" s="59" t="s">
        <v>171</v>
      </c>
      <c r="M85" s="22">
        <v>2</v>
      </c>
      <c r="N85" s="59" t="s">
        <v>172</v>
      </c>
      <c r="O85" s="22">
        <v>2</v>
      </c>
      <c r="P85" s="59" t="s">
        <v>173</v>
      </c>
      <c r="Q85" s="22">
        <v>2</v>
      </c>
      <c r="V85" s="59" t="s">
        <v>176</v>
      </c>
      <c r="Z85" s="59" t="s">
        <v>40</v>
      </c>
      <c r="AA85" s="22" t="s">
        <v>46</v>
      </c>
      <c r="AH85" s="59" t="s">
        <v>41</v>
      </c>
      <c r="AI85" s="22" t="s">
        <v>48</v>
      </c>
      <c r="AJ85" s="59" t="s">
        <v>42</v>
      </c>
      <c r="AK85" s="22" t="s">
        <v>49</v>
      </c>
      <c r="AL85" s="59" t="s">
        <v>43</v>
      </c>
      <c r="AM85" s="22" t="s">
        <v>50</v>
      </c>
      <c r="AV85" s="59" t="s">
        <v>134</v>
      </c>
      <c r="AW85" s="22" t="str">
        <f>Settings!$B$5 &amp;  "?s=" &amp; D85 &amp; "&amp;platform=ftx"</f>
        <v>https://tokensol.nfluent.io?s=COR22C22&amp;platform=ftx</v>
      </c>
      <c r="AX85" s="20" t="s">
        <v>23</v>
      </c>
      <c r="AY85" s="20">
        <v>10</v>
      </c>
      <c r="AZ85" s="20" t="s">
        <v>24</v>
      </c>
      <c r="BA85" s="20">
        <v>90</v>
      </c>
      <c r="BD85" s="14"/>
      <c r="BJ85" t="s">
        <v>242</v>
      </c>
      <c r="BK85" t="s">
        <v>184</v>
      </c>
      <c r="BN85" s="36">
        <v>3000</v>
      </c>
      <c r="BO85" s="36">
        <v>3000</v>
      </c>
      <c r="BP85">
        <f t="shared" si="11"/>
        <v>480</v>
      </c>
      <c r="BR85" s="38">
        <v>44713</v>
      </c>
      <c r="BS85" s="20" t="s">
        <v>185</v>
      </c>
      <c r="BT85" s="20" t="str">
        <f t="shared" si="12"/>
        <v>LaPorteuseD'Eau_COR22C22</v>
      </c>
    </row>
    <row r="86" spans="2:72" ht="18.75" customHeight="1" x14ac:dyDescent="0.25">
      <c r="B86" s="20">
        <f t="shared" si="13"/>
        <v>23</v>
      </c>
      <c r="C86" s="22" t="str">
        <f t="shared" si="9"/>
        <v>La Porteuse D'Eau #23</v>
      </c>
      <c r="D86" t="str">
        <f t="shared" si="10"/>
        <v>COR22C23</v>
      </c>
      <c r="E86" s="58" t="s">
        <v>240</v>
      </c>
      <c r="F86" s="20">
        <v>1000</v>
      </c>
      <c r="G86" s="14" t="s">
        <v>251</v>
      </c>
      <c r="H86" s="23" t="s">
        <v>170</v>
      </c>
      <c r="J86" s="59" t="s">
        <v>38</v>
      </c>
      <c r="K86" s="22" t="s">
        <v>39</v>
      </c>
      <c r="L86" s="59" t="s">
        <v>171</v>
      </c>
      <c r="M86" s="22">
        <v>2</v>
      </c>
      <c r="N86" s="59" t="s">
        <v>172</v>
      </c>
      <c r="O86" s="22">
        <v>2</v>
      </c>
      <c r="P86" s="59" t="s">
        <v>173</v>
      </c>
      <c r="Q86" s="22">
        <v>2</v>
      </c>
      <c r="V86" s="59" t="s">
        <v>176</v>
      </c>
      <c r="Z86" s="59" t="s">
        <v>40</v>
      </c>
      <c r="AA86" s="22" t="s">
        <v>46</v>
      </c>
      <c r="AH86" s="59" t="s">
        <v>41</v>
      </c>
      <c r="AI86" s="22" t="s">
        <v>48</v>
      </c>
      <c r="AJ86" s="59" t="s">
        <v>42</v>
      </c>
      <c r="AK86" s="22" t="s">
        <v>49</v>
      </c>
      <c r="AL86" s="59" t="s">
        <v>43</v>
      </c>
      <c r="AM86" s="22" t="s">
        <v>50</v>
      </c>
      <c r="AV86" s="59" t="s">
        <v>134</v>
      </c>
      <c r="AW86" s="22" t="str">
        <f>Settings!$B$5 &amp;  "?s=" &amp; D86 &amp; "&amp;platform=ftx"</f>
        <v>https://tokensol.nfluent.io?s=COR22C23&amp;platform=ftx</v>
      </c>
      <c r="AX86" s="20" t="s">
        <v>23</v>
      </c>
      <c r="AY86" s="20">
        <v>10</v>
      </c>
      <c r="AZ86" s="20" t="s">
        <v>24</v>
      </c>
      <c r="BA86" s="20">
        <v>90</v>
      </c>
      <c r="BD86" s="14"/>
      <c r="BJ86" t="s">
        <v>242</v>
      </c>
      <c r="BK86" t="s">
        <v>184</v>
      </c>
      <c r="BN86" s="36">
        <v>3000</v>
      </c>
      <c r="BO86" s="36">
        <v>3000</v>
      </c>
      <c r="BP86">
        <f t="shared" si="11"/>
        <v>480</v>
      </c>
      <c r="BR86" s="38">
        <v>44713</v>
      </c>
      <c r="BS86" s="20" t="s">
        <v>185</v>
      </c>
      <c r="BT86" s="20" t="str">
        <f t="shared" si="12"/>
        <v>LaPorteuseD'Eau_COR22C23</v>
      </c>
    </row>
    <row r="87" spans="2:72" ht="18.75" customHeight="1" x14ac:dyDescent="0.25">
      <c r="B87" s="20">
        <f t="shared" si="13"/>
        <v>24</v>
      </c>
      <c r="C87" s="22" t="str">
        <f t="shared" si="9"/>
        <v>La Porteuse D'Eau #24</v>
      </c>
      <c r="D87" t="str">
        <f t="shared" si="10"/>
        <v>COR22C24</v>
      </c>
      <c r="E87" s="58" t="s">
        <v>240</v>
      </c>
      <c r="F87" s="20">
        <v>1000</v>
      </c>
      <c r="G87" s="14" t="s">
        <v>251</v>
      </c>
      <c r="H87" s="23" t="s">
        <v>170</v>
      </c>
      <c r="J87" s="59" t="s">
        <v>38</v>
      </c>
      <c r="K87" s="22" t="s">
        <v>39</v>
      </c>
      <c r="L87" s="59" t="s">
        <v>171</v>
      </c>
      <c r="M87" s="22">
        <v>2</v>
      </c>
      <c r="N87" s="59" t="s">
        <v>172</v>
      </c>
      <c r="O87" s="22">
        <v>2</v>
      </c>
      <c r="P87" s="59" t="s">
        <v>173</v>
      </c>
      <c r="Q87" s="22">
        <v>2</v>
      </c>
      <c r="V87" s="59" t="s">
        <v>176</v>
      </c>
      <c r="Z87" s="59" t="s">
        <v>40</v>
      </c>
      <c r="AA87" s="22" t="s">
        <v>46</v>
      </c>
      <c r="AH87" s="59" t="s">
        <v>41</v>
      </c>
      <c r="AI87" s="22" t="s">
        <v>48</v>
      </c>
      <c r="AJ87" s="59" t="s">
        <v>42</v>
      </c>
      <c r="AK87" s="22" t="s">
        <v>49</v>
      </c>
      <c r="AL87" s="59" t="s">
        <v>43</v>
      </c>
      <c r="AM87" s="22" t="s">
        <v>50</v>
      </c>
      <c r="AV87" s="59" t="s">
        <v>134</v>
      </c>
      <c r="AW87" s="22" t="str">
        <f>Settings!$B$5 &amp;  "?s=" &amp; D87 &amp; "&amp;platform=ftx"</f>
        <v>https://tokensol.nfluent.io?s=COR22C24&amp;platform=ftx</v>
      </c>
      <c r="AX87" s="20" t="s">
        <v>23</v>
      </c>
      <c r="AY87" s="20">
        <v>10</v>
      </c>
      <c r="AZ87" s="20" t="s">
        <v>24</v>
      </c>
      <c r="BA87" s="20">
        <v>90</v>
      </c>
      <c r="BD87" s="14"/>
      <c r="BJ87" t="s">
        <v>242</v>
      </c>
      <c r="BK87" t="s">
        <v>184</v>
      </c>
      <c r="BN87" s="36">
        <v>3000</v>
      </c>
      <c r="BO87" s="36">
        <v>3000</v>
      </c>
      <c r="BP87">
        <f t="shared" si="11"/>
        <v>480</v>
      </c>
      <c r="BR87" s="38">
        <v>44713</v>
      </c>
      <c r="BS87" s="20" t="s">
        <v>185</v>
      </c>
      <c r="BT87" s="20" t="str">
        <f t="shared" si="12"/>
        <v>LaPorteuseD'Eau_COR22C24</v>
      </c>
    </row>
    <row r="88" spans="2:72" ht="18.75" customHeight="1" x14ac:dyDescent="0.25">
      <c r="B88" s="20">
        <f t="shared" si="13"/>
        <v>25</v>
      </c>
      <c r="C88" s="22" t="str">
        <f t="shared" si="9"/>
        <v>La Porteuse D'Eau #25</v>
      </c>
      <c r="D88" t="str">
        <f t="shared" si="10"/>
        <v>COR22C25</v>
      </c>
      <c r="E88" s="58" t="s">
        <v>240</v>
      </c>
      <c r="F88" s="20">
        <v>1000</v>
      </c>
      <c r="G88" s="14" t="s">
        <v>251</v>
      </c>
      <c r="H88" s="23" t="s">
        <v>170</v>
      </c>
      <c r="J88" s="59" t="s">
        <v>38</v>
      </c>
      <c r="K88" s="22" t="s">
        <v>39</v>
      </c>
      <c r="L88" s="59" t="s">
        <v>171</v>
      </c>
      <c r="M88" s="22">
        <v>2</v>
      </c>
      <c r="N88" s="59" t="s">
        <v>172</v>
      </c>
      <c r="O88" s="22">
        <v>2</v>
      </c>
      <c r="P88" s="59" t="s">
        <v>173</v>
      </c>
      <c r="Q88" s="22">
        <v>2</v>
      </c>
      <c r="V88" s="59" t="s">
        <v>176</v>
      </c>
      <c r="Z88" s="59" t="s">
        <v>40</v>
      </c>
      <c r="AA88" s="22" t="s">
        <v>46</v>
      </c>
      <c r="AH88" s="59" t="s">
        <v>41</v>
      </c>
      <c r="AI88" s="22" t="s">
        <v>48</v>
      </c>
      <c r="AJ88" s="59" t="s">
        <v>42</v>
      </c>
      <c r="AK88" s="22" t="s">
        <v>49</v>
      </c>
      <c r="AL88" s="59" t="s">
        <v>43</v>
      </c>
      <c r="AM88" s="22" t="s">
        <v>50</v>
      </c>
      <c r="AV88" s="59" t="s">
        <v>134</v>
      </c>
      <c r="AW88" s="22" t="str">
        <f>Settings!$B$5 &amp;  "?s=" &amp; D88 &amp; "&amp;platform=ftx"</f>
        <v>https://tokensol.nfluent.io?s=COR22C25&amp;platform=ftx</v>
      </c>
      <c r="AX88" s="20" t="s">
        <v>23</v>
      </c>
      <c r="AY88" s="20">
        <v>10</v>
      </c>
      <c r="AZ88" s="20" t="s">
        <v>24</v>
      </c>
      <c r="BA88" s="20">
        <v>90</v>
      </c>
      <c r="BD88" s="14"/>
      <c r="BJ88" t="s">
        <v>242</v>
      </c>
      <c r="BK88" t="s">
        <v>184</v>
      </c>
      <c r="BN88" s="36">
        <v>3000</v>
      </c>
      <c r="BO88" s="36">
        <v>3000</v>
      </c>
      <c r="BP88">
        <f t="shared" si="11"/>
        <v>480</v>
      </c>
      <c r="BR88" s="38">
        <v>44713</v>
      </c>
      <c r="BS88" s="20" t="s">
        <v>185</v>
      </c>
      <c r="BT88" s="20" t="str">
        <f t="shared" si="12"/>
        <v>LaPorteuseD'Eau_COR22C25</v>
      </c>
    </row>
    <row r="89" spans="2:72" ht="18.75" customHeight="1" x14ac:dyDescent="0.25">
      <c r="B89" s="20">
        <f t="shared" si="13"/>
        <v>26</v>
      </c>
      <c r="C89" s="22" t="str">
        <f t="shared" si="9"/>
        <v>La Porteuse D'Eau #26</v>
      </c>
      <c r="D89" t="str">
        <f t="shared" si="10"/>
        <v>COR22C26</v>
      </c>
      <c r="E89" s="58" t="s">
        <v>240</v>
      </c>
      <c r="F89" s="20">
        <v>1000</v>
      </c>
      <c r="G89" s="14" t="s">
        <v>251</v>
      </c>
      <c r="H89" s="23" t="s">
        <v>170</v>
      </c>
      <c r="J89" s="59" t="s">
        <v>38</v>
      </c>
      <c r="K89" s="22" t="s">
        <v>39</v>
      </c>
      <c r="L89" s="59" t="s">
        <v>171</v>
      </c>
      <c r="M89" s="22">
        <v>2</v>
      </c>
      <c r="N89" s="59" t="s">
        <v>172</v>
      </c>
      <c r="O89" s="22">
        <v>2</v>
      </c>
      <c r="P89" s="59" t="s">
        <v>173</v>
      </c>
      <c r="Q89" s="22">
        <v>2</v>
      </c>
      <c r="V89" s="59" t="s">
        <v>176</v>
      </c>
      <c r="Z89" s="59" t="s">
        <v>40</v>
      </c>
      <c r="AA89" s="22" t="s">
        <v>46</v>
      </c>
      <c r="AH89" s="59" t="s">
        <v>41</v>
      </c>
      <c r="AI89" s="22" t="s">
        <v>48</v>
      </c>
      <c r="AJ89" s="59" t="s">
        <v>42</v>
      </c>
      <c r="AK89" s="22" t="s">
        <v>49</v>
      </c>
      <c r="AL89" s="59" t="s">
        <v>43</v>
      </c>
      <c r="AM89" s="22" t="s">
        <v>50</v>
      </c>
      <c r="AV89" s="59" t="s">
        <v>134</v>
      </c>
      <c r="AW89" s="22" t="str">
        <f>Settings!$B$5 &amp;  "?s=" &amp; D89 &amp; "&amp;platform=ftx"</f>
        <v>https://tokensol.nfluent.io?s=COR22C26&amp;platform=ftx</v>
      </c>
      <c r="AX89" s="20" t="s">
        <v>23</v>
      </c>
      <c r="AY89" s="20">
        <v>10</v>
      </c>
      <c r="AZ89" s="20" t="s">
        <v>24</v>
      </c>
      <c r="BA89" s="20">
        <v>90</v>
      </c>
      <c r="BD89" s="14"/>
      <c r="BJ89" t="s">
        <v>242</v>
      </c>
      <c r="BK89" t="s">
        <v>184</v>
      </c>
      <c r="BN89" s="36">
        <v>3000</v>
      </c>
      <c r="BO89" s="36">
        <v>3000</v>
      </c>
      <c r="BP89">
        <f t="shared" si="11"/>
        <v>480</v>
      </c>
      <c r="BR89" s="38">
        <v>44713</v>
      </c>
      <c r="BS89" s="20" t="s">
        <v>185</v>
      </c>
      <c r="BT89" s="20" t="str">
        <f t="shared" si="12"/>
        <v>LaPorteuseD'Eau_COR22C26</v>
      </c>
    </row>
    <row r="90" spans="2:72" ht="18.75" customHeight="1" x14ac:dyDescent="0.25">
      <c r="B90" s="20">
        <f t="shared" si="13"/>
        <v>27</v>
      </c>
      <c r="C90" s="22" t="str">
        <f t="shared" si="9"/>
        <v>La Porteuse D'Eau #27</v>
      </c>
      <c r="D90" t="str">
        <f t="shared" si="10"/>
        <v>COR22C27</v>
      </c>
      <c r="E90" s="58" t="s">
        <v>240</v>
      </c>
      <c r="F90" s="20">
        <v>1000</v>
      </c>
      <c r="G90" s="14" t="s">
        <v>251</v>
      </c>
      <c r="H90" s="23" t="s">
        <v>170</v>
      </c>
      <c r="J90" s="59" t="s">
        <v>38</v>
      </c>
      <c r="K90" s="22" t="s">
        <v>39</v>
      </c>
      <c r="L90" s="59" t="s">
        <v>171</v>
      </c>
      <c r="M90" s="22">
        <v>2</v>
      </c>
      <c r="N90" s="59" t="s">
        <v>172</v>
      </c>
      <c r="O90" s="22">
        <v>2</v>
      </c>
      <c r="P90" s="59" t="s">
        <v>173</v>
      </c>
      <c r="Q90" s="22">
        <v>2</v>
      </c>
      <c r="V90" s="59" t="s">
        <v>176</v>
      </c>
      <c r="Z90" s="59" t="s">
        <v>40</v>
      </c>
      <c r="AA90" s="22" t="s">
        <v>46</v>
      </c>
      <c r="AH90" s="59" t="s">
        <v>41</v>
      </c>
      <c r="AI90" s="22" t="s">
        <v>48</v>
      </c>
      <c r="AJ90" s="59" t="s">
        <v>42</v>
      </c>
      <c r="AK90" s="22" t="s">
        <v>49</v>
      </c>
      <c r="AL90" s="59" t="s">
        <v>43</v>
      </c>
      <c r="AM90" s="22" t="s">
        <v>50</v>
      </c>
      <c r="AV90" s="59" t="s">
        <v>134</v>
      </c>
      <c r="AW90" s="22" t="str">
        <f>Settings!$B$5 &amp;  "?s=" &amp; D90 &amp; "&amp;platform=ftx"</f>
        <v>https://tokensol.nfluent.io?s=COR22C27&amp;platform=ftx</v>
      </c>
      <c r="AX90" s="20" t="s">
        <v>23</v>
      </c>
      <c r="AY90" s="20">
        <v>10</v>
      </c>
      <c r="AZ90" s="20" t="s">
        <v>24</v>
      </c>
      <c r="BA90" s="20">
        <v>90</v>
      </c>
      <c r="BD90" s="14"/>
      <c r="BJ90" t="s">
        <v>242</v>
      </c>
      <c r="BK90" t="s">
        <v>184</v>
      </c>
      <c r="BN90" s="36">
        <v>3000</v>
      </c>
      <c r="BO90" s="36">
        <v>3000</v>
      </c>
      <c r="BP90">
        <f t="shared" si="11"/>
        <v>480</v>
      </c>
      <c r="BR90" s="38">
        <v>44713</v>
      </c>
      <c r="BS90" s="20" t="s">
        <v>185</v>
      </c>
      <c r="BT90" s="20" t="str">
        <f t="shared" si="12"/>
        <v>LaPorteuseD'Eau_COR22C27</v>
      </c>
    </row>
    <row r="91" spans="2:72" ht="18.75" customHeight="1" x14ac:dyDescent="0.25">
      <c r="B91" s="20">
        <f t="shared" si="13"/>
        <v>28</v>
      </c>
      <c r="C91" s="22" t="str">
        <f t="shared" si="9"/>
        <v>La Porteuse D'Eau #28</v>
      </c>
      <c r="D91" t="str">
        <f t="shared" si="10"/>
        <v>COR22C28</v>
      </c>
      <c r="E91" s="58" t="s">
        <v>240</v>
      </c>
      <c r="F91" s="20">
        <v>1000</v>
      </c>
      <c r="G91" s="14" t="s">
        <v>251</v>
      </c>
      <c r="H91" s="23" t="s">
        <v>170</v>
      </c>
      <c r="J91" s="59" t="s">
        <v>38</v>
      </c>
      <c r="K91" s="22" t="s">
        <v>39</v>
      </c>
      <c r="L91" s="59" t="s">
        <v>171</v>
      </c>
      <c r="M91" s="22">
        <v>2</v>
      </c>
      <c r="N91" s="59" t="s">
        <v>172</v>
      </c>
      <c r="O91" s="22">
        <v>2</v>
      </c>
      <c r="P91" s="59" t="s">
        <v>173</v>
      </c>
      <c r="Q91" s="22">
        <v>2</v>
      </c>
      <c r="V91" s="59" t="s">
        <v>176</v>
      </c>
      <c r="Z91" s="59" t="s">
        <v>40</v>
      </c>
      <c r="AA91" s="22" t="s">
        <v>46</v>
      </c>
      <c r="AH91" s="59" t="s">
        <v>41</v>
      </c>
      <c r="AI91" s="22" t="s">
        <v>48</v>
      </c>
      <c r="AJ91" s="59" t="s">
        <v>42</v>
      </c>
      <c r="AK91" s="22" t="s">
        <v>49</v>
      </c>
      <c r="AL91" s="59" t="s">
        <v>43</v>
      </c>
      <c r="AM91" s="22" t="s">
        <v>50</v>
      </c>
      <c r="AV91" s="59" t="s">
        <v>134</v>
      </c>
      <c r="AW91" s="22" t="str">
        <f>Settings!$B$5 &amp;  "?s=" &amp; D91 &amp; "&amp;platform=ftx"</f>
        <v>https://tokensol.nfluent.io?s=COR22C28&amp;platform=ftx</v>
      </c>
      <c r="AX91" s="20" t="s">
        <v>23</v>
      </c>
      <c r="AY91" s="20">
        <v>10</v>
      </c>
      <c r="AZ91" s="20" t="s">
        <v>24</v>
      </c>
      <c r="BA91" s="20">
        <v>90</v>
      </c>
      <c r="BD91" s="14"/>
      <c r="BJ91" t="s">
        <v>242</v>
      </c>
      <c r="BK91" t="s">
        <v>184</v>
      </c>
      <c r="BN91" s="36">
        <v>3000</v>
      </c>
      <c r="BO91" s="36">
        <v>3000</v>
      </c>
      <c r="BP91">
        <f t="shared" si="11"/>
        <v>480</v>
      </c>
      <c r="BR91" s="38">
        <v>44713</v>
      </c>
      <c r="BS91" s="20" t="s">
        <v>185</v>
      </c>
      <c r="BT91" s="20" t="str">
        <f t="shared" si="12"/>
        <v>LaPorteuseD'Eau_COR22C28</v>
      </c>
    </row>
    <row r="92" spans="2:72" ht="18.75" customHeight="1" x14ac:dyDescent="0.25">
      <c r="B92" s="20">
        <f t="shared" si="13"/>
        <v>29</v>
      </c>
      <c r="C92" s="22" t="str">
        <f t="shared" si="9"/>
        <v>La Porteuse D'Eau #29</v>
      </c>
      <c r="D92" t="str">
        <f t="shared" si="10"/>
        <v>COR22C29</v>
      </c>
      <c r="E92" s="58" t="s">
        <v>240</v>
      </c>
      <c r="F92" s="20">
        <v>1000</v>
      </c>
      <c r="G92" s="14" t="s">
        <v>251</v>
      </c>
      <c r="H92" s="23" t="s">
        <v>170</v>
      </c>
      <c r="J92" s="59" t="s">
        <v>38</v>
      </c>
      <c r="K92" s="22" t="s">
        <v>39</v>
      </c>
      <c r="L92" s="59" t="s">
        <v>171</v>
      </c>
      <c r="M92" s="22">
        <v>2</v>
      </c>
      <c r="N92" s="59" t="s">
        <v>172</v>
      </c>
      <c r="O92" s="22">
        <v>2</v>
      </c>
      <c r="P92" s="59" t="s">
        <v>173</v>
      </c>
      <c r="Q92" s="22">
        <v>2</v>
      </c>
      <c r="V92" s="59" t="s">
        <v>176</v>
      </c>
      <c r="Z92" s="59" t="s">
        <v>40</v>
      </c>
      <c r="AA92" s="22" t="s">
        <v>46</v>
      </c>
      <c r="AH92" s="59" t="s">
        <v>41</v>
      </c>
      <c r="AI92" s="22" t="s">
        <v>48</v>
      </c>
      <c r="AJ92" s="59" t="s">
        <v>42</v>
      </c>
      <c r="AK92" s="22" t="s">
        <v>49</v>
      </c>
      <c r="AL92" s="59" t="s">
        <v>43</v>
      </c>
      <c r="AM92" s="22" t="s">
        <v>50</v>
      </c>
      <c r="AV92" s="59" t="s">
        <v>134</v>
      </c>
      <c r="AW92" s="22" t="str">
        <f>Settings!$B$5 &amp;  "?s=" &amp; D92 &amp; "&amp;platform=ftx"</f>
        <v>https://tokensol.nfluent.io?s=COR22C29&amp;platform=ftx</v>
      </c>
      <c r="AX92" s="20" t="s">
        <v>23</v>
      </c>
      <c r="AY92" s="20">
        <v>10</v>
      </c>
      <c r="AZ92" s="20" t="s">
        <v>24</v>
      </c>
      <c r="BA92" s="20">
        <v>90</v>
      </c>
      <c r="BD92" s="14"/>
      <c r="BJ92" t="s">
        <v>242</v>
      </c>
      <c r="BK92" t="s">
        <v>184</v>
      </c>
      <c r="BN92" s="36">
        <v>3000</v>
      </c>
      <c r="BO92" s="36">
        <v>3000</v>
      </c>
      <c r="BP92">
        <f t="shared" si="11"/>
        <v>480</v>
      </c>
      <c r="BR92" s="38">
        <v>44713</v>
      </c>
      <c r="BS92" s="20" t="s">
        <v>185</v>
      </c>
      <c r="BT92" s="20" t="str">
        <f t="shared" si="12"/>
        <v>LaPorteuseD'Eau_COR22C29</v>
      </c>
    </row>
    <row r="93" spans="2:72" ht="18.75" customHeight="1" x14ac:dyDescent="0.25">
      <c r="B93" s="20">
        <f t="shared" si="13"/>
        <v>30</v>
      </c>
      <c r="C93" s="22" t="str">
        <f t="shared" si="9"/>
        <v>La Porteuse D'Eau #30</v>
      </c>
      <c r="D93" t="str">
        <f t="shared" si="10"/>
        <v>COR22C30</v>
      </c>
      <c r="E93" s="58" t="s">
        <v>240</v>
      </c>
      <c r="F93" s="20">
        <v>1000</v>
      </c>
      <c r="G93" s="14" t="s">
        <v>251</v>
      </c>
      <c r="H93" s="23" t="s">
        <v>170</v>
      </c>
      <c r="J93" s="59" t="s">
        <v>38</v>
      </c>
      <c r="K93" s="22" t="s">
        <v>39</v>
      </c>
      <c r="L93" s="59" t="s">
        <v>171</v>
      </c>
      <c r="M93" s="22">
        <v>2</v>
      </c>
      <c r="N93" s="59" t="s">
        <v>172</v>
      </c>
      <c r="O93" s="22">
        <v>2</v>
      </c>
      <c r="P93" s="59" t="s">
        <v>173</v>
      </c>
      <c r="Q93" s="22">
        <v>2</v>
      </c>
      <c r="V93" s="59" t="s">
        <v>176</v>
      </c>
      <c r="Z93" s="59" t="s">
        <v>40</v>
      </c>
      <c r="AA93" s="22" t="s">
        <v>46</v>
      </c>
      <c r="AH93" s="59" t="s">
        <v>41</v>
      </c>
      <c r="AI93" s="22" t="s">
        <v>48</v>
      </c>
      <c r="AJ93" s="59" t="s">
        <v>42</v>
      </c>
      <c r="AK93" s="22" t="s">
        <v>49</v>
      </c>
      <c r="AL93" s="59" t="s">
        <v>43</v>
      </c>
      <c r="AM93" s="22" t="s">
        <v>50</v>
      </c>
      <c r="AV93" s="59" t="s">
        <v>134</v>
      </c>
      <c r="AW93" s="22" t="str">
        <f>Settings!$B$5 &amp;  "?s=" &amp; D93 &amp; "&amp;platform=ftx"</f>
        <v>https://tokensol.nfluent.io?s=COR22C30&amp;platform=ftx</v>
      </c>
      <c r="AX93" s="20" t="s">
        <v>23</v>
      </c>
      <c r="AY93" s="20">
        <v>10</v>
      </c>
      <c r="AZ93" s="20" t="s">
        <v>24</v>
      </c>
      <c r="BA93" s="20">
        <v>90</v>
      </c>
      <c r="BD93" s="14"/>
      <c r="BJ93" t="s">
        <v>242</v>
      </c>
      <c r="BK93" t="s">
        <v>184</v>
      </c>
      <c r="BN93" s="36">
        <v>3000</v>
      </c>
      <c r="BO93" s="36">
        <v>3000</v>
      </c>
      <c r="BP93">
        <f t="shared" si="11"/>
        <v>480</v>
      </c>
      <c r="BR93" s="38">
        <v>44713</v>
      </c>
      <c r="BS93" s="20" t="s">
        <v>185</v>
      </c>
      <c r="BT93" s="20" t="str">
        <f t="shared" si="12"/>
        <v>LaPorteuseD'Eau_COR22C30</v>
      </c>
    </row>
    <row r="94" spans="2:72" ht="18.75" customHeight="1" x14ac:dyDescent="0.25">
      <c r="B94" s="20">
        <f t="shared" si="13"/>
        <v>31</v>
      </c>
      <c r="C94" s="22" t="str">
        <f t="shared" si="9"/>
        <v>La Porteuse D'Eau #31</v>
      </c>
      <c r="D94" t="str">
        <f t="shared" si="10"/>
        <v>COR22C31</v>
      </c>
      <c r="E94" s="58" t="s">
        <v>240</v>
      </c>
      <c r="F94" s="20">
        <v>1000</v>
      </c>
      <c r="G94" s="14" t="s">
        <v>251</v>
      </c>
      <c r="H94" s="23" t="s">
        <v>170</v>
      </c>
      <c r="J94" s="59" t="s">
        <v>38</v>
      </c>
      <c r="K94" s="22" t="s">
        <v>39</v>
      </c>
      <c r="L94" s="59" t="s">
        <v>171</v>
      </c>
      <c r="M94" s="22">
        <v>2</v>
      </c>
      <c r="N94" s="59" t="s">
        <v>172</v>
      </c>
      <c r="O94" s="22">
        <v>2</v>
      </c>
      <c r="P94" s="59" t="s">
        <v>173</v>
      </c>
      <c r="Q94" s="22">
        <v>2</v>
      </c>
      <c r="V94" s="59" t="s">
        <v>176</v>
      </c>
      <c r="Z94" s="59" t="s">
        <v>40</v>
      </c>
      <c r="AA94" s="22" t="s">
        <v>46</v>
      </c>
      <c r="AH94" s="59" t="s">
        <v>41</v>
      </c>
      <c r="AI94" s="22" t="s">
        <v>48</v>
      </c>
      <c r="AJ94" s="59" t="s">
        <v>42</v>
      </c>
      <c r="AK94" s="22" t="s">
        <v>49</v>
      </c>
      <c r="AL94" s="59" t="s">
        <v>43</v>
      </c>
      <c r="AM94" s="22" t="s">
        <v>50</v>
      </c>
      <c r="AV94" s="59" t="s">
        <v>134</v>
      </c>
      <c r="AW94" s="22" t="str">
        <f>Settings!$B$5 &amp;  "?s=" &amp; D94 &amp; "&amp;platform=ftx"</f>
        <v>https://tokensol.nfluent.io?s=COR22C31&amp;platform=ftx</v>
      </c>
      <c r="AX94" s="20" t="s">
        <v>23</v>
      </c>
      <c r="AY94" s="20">
        <v>10</v>
      </c>
      <c r="AZ94" s="20" t="s">
        <v>24</v>
      </c>
      <c r="BA94" s="20">
        <v>90</v>
      </c>
      <c r="BD94" s="14"/>
      <c r="BJ94" t="s">
        <v>242</v>
      </c>
      <c r="BK94" t="s">
        <v>184</v>
      </c>
      <c r="BN94" s="36">
        <v>3000</v>
      </c>
      <c r="BO94" s="36">
        <v>3000</v>
      </c>
      <c r="BP94">
        <f t="shared" si="11"/>
        <v>480</v>
      </c>
      <c r="BR94" s="38">
        <v>44713</v>
      </c>
      <c r="BS94" s="20" t="s">
        <v>185</v>
      </c>
      <c r="BT94" s="20" t="str">
        <f t="shared" si="12"/>
        <v>LaPorteuseD'Eau_COR22C31</v>
      </c>
    </row>
    <row r="95" spans="2:72" ht="18.75" customHeight="1" x14ac:dyDescent="0.25">
      <c r="B95" s="20">
        <f t="shared" si="13"/>
        <v>32</v>
      </c>
      <c r="C95" s="22" t="str">
        <f t="shared" si="9"/>
        <v>La Porteuse D'Eau #32</v>
      </c>
      <c r="D95" t="str">
        <f t="shared" si="10"/>
        <v>COR22C32</v>
      </c>
      <c r="E95" s="58" t="s">
        <v>240</v>
      </c>
      <c r="F95" s="20">
        <v>1000</v>
      </c>
      <c r="G95" s="14" t="s">
        <v>251</v>
      </c>
      <c r="H95" s="23" t="s">
        <v>170</v>
      </c>
      <c r="J95" s="59" t="s">
        <v>38</v>
      </c>
      <c r="K95" s="22" t="s">
        <v>39</v>
      </c>
      <c r="L95" s="59" t="s">
        <v>171</v>
      </c>
      <c r="M95" s="22">
        <v>2</v>
      </c>
      <c r="N95" s="59" t="s">
        <v>172</v>
      </c>
      <c r="O95" s="22">
        <v>2</v>
      </c>
      <c r="P95" s="59" t="s">
        <v>173</v>
      </c>
      <c r="Q95" s="22">
        <v>2</v>
      </c>
      <c r="V95" s="59" t="s">
        <v>176</v>
      </c>
      <c r="Z95" s="59" t="s">
        <v>40</v>
      </c>
      <c r="AA95" s="22" t="s">
        <v>46</v>
      </c>
      <c r="AH95" s="59" t="s">
        <v>41</v>
      </c>
      <c r="AI95" s="22" t="s">
        <v>48</v>
      </c>
      <c r="AJ95" s="59" t="s">
        <v>42</v>
      </c>
      <c r="AK95" s="22" t="s">
        <v>49</v>
      </c>
      <c r="AL95" s="59" t="s">
        <v>43</v>
      </c>
      <c r="AM95" s="22" t="s">
        <v>50</v>
      </c>
      <c r="AV95" s="59" t="s">
        <v>134</v>
      </c>
      <c r="AW95" s="22" t="str">
        <f>Settings!$B$5 &amp;  "?s=" &amp; D95 &amp; "&amp;platform=ftx"</f>
        <v>https://tokensol.nfluent.io?s=COR22C32&amp;platform=ftx</v>
      </c>
      <c r="AX95" s="20" t="s">
        <v>23</v>
      </c>
      <c r="AY95" s="20">
        <v>10</v>
      </c>
      <c r="AZ95" s="20" t="s">
        <v>24</v>
      </c>
      <c r="BA95" s="20">
        <v>90</v>
      </c>
      <c r="BD95" s="14"/>
      <c r="BJ95" t="s">
        <v>242</v>
      </c>
      <c r="BK95" t="s">
        <v>184</v>
      </c>
      <c r="BN95" s="36">
        <v>3000</v>
      </c>
      <c r="BO95" s="36">
        <v>3000</v>
      </c>
      <c r="BP95">
        <f t="shared" si="11"/>
        <v>480</v>
      </c>
      <c r="BR95" s="38">
        <v>44713</v>
      </c>
      <c r="BS95" s="20" t="s">
        <v>185</v>
      </c>
      <c r="BT95" s="20" t="str">
        <f t="shared" si="12"/>
        <v>LaPorteuseD'Eau_COR22C32</v>
      </c>
    </row>
    <row r="96" spans="2:72" ht="18.75" customHeight="1" x14ac:dyDescent="0.25">
      <c r="B96" s="20">
        <f t="shared" si="13"/>
        <v>33</v>
      </c>
      <c r="C96" s="22" t="str">
        <f t="shared" si="9"/>
        <v>La Porteuse D'Eau #33</v>
      </c>
      <c r="D96" t="str">
        <f t="shared" si="10"/>
        <v>COR22C33</v>
      </c>
      <c r="E96" s="58" t="s">
        <v>240</v>
      </c>
      <c r="F96" s="20">
        <v>1000</v>
      </c>
      <c r="G96" s="14" t="s">
        <v>251</v>
      </c>
      <c r="H96" s="23" t="s">
        <v>170</v>
      </c>
      <c r="J96" s="59" t="s">
        <v>38</v>
      </c>
      <c r="K96" s="22" t="s">
        <v>39</v>
      </c>
      <c r="L96" s="59" t="s">
        <v>171</v>
      </c>
      <c r="M96" s="22">
        <v>2</v>
      </c>
      <c r="N96" s="59" t="s">
        <v>172</v>
      </c>
      <c r="O96" s="22">
        <v>2</v>
      </c>
      <c r="P96" s="59" t="s">
        <v>173</v>
      </c>
      <c r="Q96" s="22">
        <v>2</v>
      </c>
      <c r="V96" s="59" t="s">
        <v>176</v>
      </c>
      <c r="Z96" s="59" t="s">
        <v>40</v>
      </c>
      <c r="AA96" s="22" t="s">
        <v>46</v>
      </c>
      <c r="AH96" s="59" t="s">
        <v>41</v>
      </c>
      <c r="AI96" s="22" t="s">
        <v>48</v>
      </c>
      <c r="AJ96" s="59" t="s">
        <v>42</v>
      </c>
      <c r="AK96" s="22" t="s">
        <v>49</v>
      </c>
      <c r="AL96" s="59" t="s">
        <v>43</v>
      </c>
      <c r="AM96" s="22" t="s">
        <v>50</v>
      </c>
      <c r="AV96" s="59" t="s">
        <v>134</v>
      </c>
      <c r="AW96" s="22" t="str">
        <f>Settings!$B$5 &amp;  "?s=" &amp; D96 &amp; "&amp;platform=ftx"</f>
        <v>https://tokensol.nfluent.io?s=COR22C33&amp;platform=ftx</v>
      </c>
      <c r="AX96" s="20" t="s">
        <v>23</v>
      </c>
      <c r="AY96" s="20">
        <v>10</v>
      </c>
      <c r="AZ96" s="20" t="s">
        <v>24</v>
      </c>
      <c r="BA96" s="20">
        <v>90</v>
      </c>
      <c r="BD96" s="14"/>
      <c r="BJ96" t="s">
        <v>242</v>
      </c>
      <c r="BK96" t="s">
        <v>184</v>
      </c>
      <c r="BN96" s="36">
        <v>3000</v>
      </c>
      <c r="BO96" s="36">
        <v>3000</v>
      </c>
      <c r="BP96">
        <f t="shared" si="11"/>
        <v>480</v>
      </c>
      <c r="BR96" s="38">
        <v>44713</v>
      </c>
      <c r="BS96" s="20" t="s">
        <v>185</v>
      </c>
      <c r="BT96" s="20" t="str">
        <f t="shared" si="12"/>
        <v>LaPorteuseD'Eau_COR22C33</v>
      </c>
    </row>
    <row r="97" spans="2:72" ht="18.75" customHeight="1" x14ac:dyDescent="0.25">
      <c r="B97" s="20">
        <f t="shared" si="13"/>
        <v>34</v>
      </c>
      <c r="C97" s="22" t="str">
        <f t="shared" si="9"/>
        <v>La Porteuse D'Eau #34</v>
      </c>
      <c r="D97" t="str">
        <f t="shared" si="10"/>
        <v>COR22C34</v>
      </c>
      <c r="E97" s="58" t="s">
        <v>240</v>
      </c>
      <c r="F97" s="20">
        <v>1000</v>
      </c>
      <c r="G97" s="14" t="s">
        <v>251</v>
      </c>
      <c r="H97" s="23" t="s">
        <v>170</v>
      </c>
      <c r="J97" s="59" t="s">
        <v>38</v>
      </c>
      <c r="K97" s="22" t="s">
        <v>39</v>
      </c>
      <c r="L97" s="59" t="s">
        <v>171</v>
      </c>
      <c r="M97" s="22">
        <v>2</v>
      </c>
      <c r="N97" s="59" t="s">
        <v>172</v>
      </c>
      <c r="O97" s="22">
        <v>2</v>
      </c>
      <c r="P97" s="59" t="s">
        <v>173</v>
      </c>
      <c r="Q97" s="22">
        <v>2</v>
      </c>
      <c r="V97" s="59" t="s">
        <v>176</v>
      </c>
      <c r="Z97" s="59" t="s">
        <v>40</v>
      </c>
      <c r="AA97" s="22" t="s">
        <v>46</v>
      </c>
      <c r="AH97" s="59" t="s">
        <v>41</v>
      </c>
      <c r="AI97" s="22" t="s">
        <v>48</v>
      </c>
      <c r="AJ97" s="59" t="s">
        <v>42</v>
      </c>
      <c r="AK97" s="22" t="s">
        <v>49</v>
      </c>
      <c r="AL97" s="59" t="s">
        <v>43</v>
      </c>
      <c r="AM97" s="22" t="s">
        <v>50</v>
      </c>
      <c r="AV97" s="59" t="s">
        <v>134</v>
      </c>
      <c r="AW97" s="22" t="str">
        <f>Settings!$B$5 &amp;  "?s=" &amp; D97 &amp; "&amp;platform=ftx"</f>
        <v>https://tokensol.nfluent.io?s=COR22C34&amp;platform=ftx</v>
      </c>
      <c r="AX97" s="20" t="s">
        <v>23</v>
      </c>
      <c r="AY97" s="20">
        <v>10</v>
      </c>
      <c r="AZ97" s="20" t="s">
        <v>24</v>
      </c>
      <c r="BA97" s="20">
        <v>90</v>
      </c>
      <c r="BD97" s="14"/>
      <c r="BJ97" t="s">
        <v>242</v>
      </c>
      <c r="BK97" t="s">
        <v>184</v>
      </c>
      <c r="BN97" s="36">
        <v>3000</v>
      </c>
      <c r="BO97" s="36">
        <v>3000</v>
      </c>
      <c r="BP97">
        <f t="shared" si="11"/>
        <v>480</v>
      </c>
      <c r="BR97" s="38">
        <v>44713</v>
      </c>
      <c r="BS97" s="20" t="s">
        <v>185</v>
      </c>
      <c r="BT97" s="20" t="str">
        <f t="shared" si="12"/>
        <v>LaPorteuseD'Eau_COR22C34</v>
      </c>
    </row>
    <row r="98" spans="2:72" ht="18.75" customHeight="1" x14ac:dyDescent="0.25">
      <c r="B98" s="20">
        <f t="shared" si="13"/>
        <v>35</v>
      </c>
      <c r="C98" s="22" t="str">
        <f t="shared" si="9"/>
        <v>La Porteuse D'Eau #35</v>
      </c>
      <c r="D98" t="str">
        <f t="shared" si="10"/>
        <v>COR22C35</v>
      </c>
      <c r="E98" s="58" t="s">
        <v>240</v>
      </c>
      <c r="F98" s="20">
        <v>1000</v>
      </c>
      <c r="G98" s="14" t="s">
        <v>251</v>
      </c>
      <c r="H98" s="23" t="s">
        <v>170</v>
      </c>
      <c r="J98" s="59" t="s">
        <v>38</v>
      </c>
      <c r="K98" s="22" t="s">
        <v>39</v>
      </c>
      <c r="L98" s="59" t="s">
        <v>171</v>
      </c>
      <c r="M98" s="22">
        <v>2</v>
      </c>
      <c r="N98" s="59" t="s">
        <v>172</v>
      </c>
      <c r="O98" s="22">
        <v>2</v>
      </c>
      <c r="P98" s="59" t="s">
        <v>173</v>
      </c>
      <c r="Q98" s="22">
        <v>2</v>
      </c>
      <c r="V98" s="59" t="s">
        <v>176</v>
      </c>
      <c r="Z98" s="59" t="s">
        <v>40</v>
      </c>
      <c r="AA98" s="22" t="s">
        <v>46</v>
      </c>
      <c r="AH98" s="59" t="s">
        <v>41</v>
      </c>
      <c r="AI98" s="22" t="s">
        <v>48</v>
      </c>
      <c r="AJ98" s="59" t="s">
        <v>42</v>
      </c>
      <c r="AK98" s="22" t="s">
        <v>49</v>
      </c>
      <c r="AL98" s="59" t="s">
        <v>43</v>
      </c>
      <c r="AM98" s="22" t="s">
        <v>50</v>
      </c>
      <c r="AV98" s="59" t="s">
        <v>134</v>
      </c>
      <c r="AW98" s="22" t="str">
        <f>Settings!$B$5 &amp;  "?s=" &amp; D98 &amp; "&amp;platform=ftx"</f>
        <v>https://tokensol.nfluent.io?s=COR22C35&amp;platform=ftx</v>
      </c>
      <c r="AX98" s="20" t="s">
        <v>23</v>
      </c>
      <c r="AY98" s="20">
        <v>10</v>
      </c>
      <c r="AZ98" s="20" t="s">
        <v>24</v>
      </c>
      <c r="BA98" s="20">
        <v>90</v>
      </c>
      <c r="BD98" s="14"/>
      <c r="BJ98" t="s">
        <v>242</v>
      </c>
      <c r="BK98" t="s">
        <v>184</v>
      </c>
      <c r="BN98" s="36">
        <v>3000</v>
      </c>
      <c r="BO98" s="36">
        <v>3000</v>
      </c>
      <c r="BP98">
        <f t="shared" si="11"/>
        <v>480</v>
      </c>
      <c r="BR98" s="38">
        <v>44713</v>
      </c>
      <c r="BS98" s="20" t="s">
        <v>185</v>
      </c>
      <c r="BT98" s="20" t="str">
        <f t="shared" si="12"/>
        <v>LaPorteuseD'Eau_COR22C35</v>
      </c>
    </row>
    <row r="99" spans="2:72" ht="18.75" customHeight="1" x14ac:dyDescent="0.25">
      <c r="B99" s="20">
        <f t="shared" si="13"/>
        <v>36</v>
      </c>
      <c r="C99" s="22" t="str">
        <f t="shared" si="9"/>
        <v>La Porteuse D'Eau #36</v>
      </c>
      <c r="D99" t="str">
        <f t="shared" si="10"/>
        <v>COR22C36</v>
      </c>
      <c r="E99" s="58" t="s">
        <v>240</v>
      </c>
      <c r="F99" s="20">
        <v>1000</v>
      </c>
      <c r="G99" s="14" t="s">
        <v>251</v>
      </c>
      <c r="H99" s="23" t="s">
        <v>170</v>
      </c>
      <c r="J99" s="59" t="s">
        <v>38</v>
      </c>
      <c r="K99" s="22" t="s">
        <v>39</v>
      </c>
      <c r="L99" s="59" t="s">
        <v>171</v>
      </c>
      <c r="M99" s="22">
        <v>2</v>
      </c>
      <c r="N99" s="59" t="s">
        <v>172</v>
      </c>
      <c r="O99" s="22">
        <v>2</v>
      </c>
      <c r="P99" s="59" t="s">
        <v>173</v>
      </c>
      <c r="Q99" s="22">
        <v>2</v>
      </c>
      <c r="V99" s="59" t="s">
        <v>176</v>
      </c>
      <c r="Z99" s="59" t="s">
        <v>40</v>
      </c>
      <c r="AA99" s="22" t="s">
        <v>46</v>
      </c>
      <c r="AH99" s="59" t="s">
        <v>41</v>
      </c>
      <c r="AI99" s="22" t="s">
        <v>48</v>
      </c>
      <c r="AJ99" s="59" t="s">
        <v>42</v>
      </c>
      <c r="AK99" s="22" t="s">
        <v>49</v>
      </c>
      <c r="AL99" s="59" t="s">
        <v>43</v>
      </c>
      <c r="AM99" s="22" t="s">
        <v>50</v>
      </c>
      <c r="AV99" s="59" t="s">
        <v>134</v>
      </c>
      <c r="AW99" s="22" t="str">
        <f>Settings!$B$5 &amp;  "?s=" &amp; D99 &amp; "&amp;platform=ftx"</f>
        <v>https://tokensol.nfluent.io?s=COR22C36&amp;platform=ftx</v>
      </c>
      <c r="AX99" s="20" t="s">
        <v>23</v>
      </c>
      <c r="AY99" s="20">
        <v>10</v>
      </c>
      <c r="AZ99" s="20" t="s">
        <v>24</v>
      </c>
      <c r="BA99" s="20">
        <v>90</v>
      </c>
      <c r="BD99" s="14"/>
      <c r="BJ99" t="s">
        <v>242</v>
      </c>
      <c r="BK99" t="s">
        <v>184</v>
      </c>
      <c r="BN99" s="36">
        <v>3000</v>
      </c>
      <c r="BO99" s="36">
        <v>3000</v>
      </c>
      <c r="BP99">
        <f t="shared" si="11"/>
        <v>480</v>
      </c>
      <c r="BR99" s="38">
        <v>44713</v>
      </c>
      <c r="BS99" s="20" t="s">
        <v>185</v>
      </c>
      <c r="BT99" s="20" t="str">
        <f t="shared" si="12"/>
        <v>LaPorteuseD'Eau_COR22C36</v>
      </c>
    </row>
    <row r="100" spans="2:72" ht="18.75" customHeight="1" x14ac:dyDescent="0.25">
      <c r="B100" s="20">
        <f t="shared" si="13"/>
        <v>37</v>
      </c>
      <c r="C100" s="22" t="str">
        <f t="shared" si="9"/>
        <v>La Porteuse D'Eau #37</v>
      </c>
      <c r="D100" t="str">
        <f t="shared" si="10"/>
        <v>COR22C37</v>
      </c>
      <c r="E100" s="58" t="s">
        <v>240</v>
      </c>
      <c r="F100" s="20">
        <v>1000</v>
      </c>
      <c r="G100" s="14" t="s">
        <v>251</v>
      </c>
      <c r="H100" s="23" t="s">
        <v>170</v>
      </c>
      <c r="J100" s="59" t="s">
        <v>38</v>
      </c>
      <c r="K100" s="22" t="s">
        <v>39</v>
      </c>
      <c r="L100" s="59" t="s">
        <v>171</v>
      </c>
      <c r="M100" s="22">
        <v>2</v>
      </c>
      <c r="N100" s="59" t="s">
        <v>172</v>
      </c>
      <c r="O100" s="22">
        <v>2</v>
      </c>
      <c r="P100" s="59" t="s">
        <v>173</v>
      </c>
      <c r="Q100" s="22">
        <v>2</v>
      </c>
      <c r="V100" s="59" t="s">
        <v>176</v>
      </c>
      <c r="Z100" s="59" t="s">
        <v>40</v>
      </c>
      <c r="AA100" s="22" t="s">
        <v>46</v>
      </c>
      <c r="AH100" s="59" t="s">
        <v>41</v>
      </c>
      <c r="AI100" s="22" t="s">
        <v>48</v>
      </c>
      <c r="AJ100" s="59" t="s">
        <v>42</v>
      </c>
      <c r="AK100" s="22" t="s">
        <v>49</v>
      </c>
      <c r="AL100" s="59" t="s">
        <v>43</v>
      </c>
      <c r="AM100" s="22" t="s">
        <v>50</v>
      </c>
      <c r="AV100" s="59" t="s">
        <v>134</v>
      </c>
      <c r="AW100" s="22" t="str">
        <f>Settings!$B$5 &amp;  "?s=" &amp; D100 &amp; "&amp;platform=ftx"</f>
        <v>https://tokensol.nfluent.io?s=COR22C37&amp;platform=ftx</v>
      </c>
      <c r="AX100" s="20" t="s">
        <v>23</v>
      </c>
      <c r="AY100" s="20">
        <v>10</v>
      </c>
      <c r="AZ100" s="20" t="s">
        <v>24</v>
      </c>
      <c r="BA100" s="20">
        <v>90</v>
      </c>
      <c r="BD100" s="14"/>
      <c r="BJ100" t="s">
        <v>242</v>
      </c>
      <c r="BK100" t="s">
        <v>184</v>
      </c>
      <c r="BN100" s="36">
        <v>3000</v>
      </c>
      <c r="BO100" s="36">
        <v>3000</v>
      </c>
      <c r="BP100">
        <f t="shared" si="11"/>
        <v>480</v>
      </c>
      <c r="BR100" s="38">
        <v>44713</v>
      </c>
      <c r="BS100" s="20" t="s">
        <v>185</v>
      </c>
      <c r="BT100" s="20" t="str">
        <f t="shared" si="12"/>
        <v>LaPorteuseD'Eau_COR22C37</v>
      </c>
    </row>
    <row r="101" spans="2:72" ht="18.75" customHeight="1" x14ac:dyDescent="0.25">
      <c r="B101" s="20">
        <f t="shared" si="13"/>
        <v>38</v>
      </c>
      <c r="C101" s="22" t="str">
        <f t="shared" si="9"/>
        <v>La Porteuse D'Eau #38</v>
      </c>
      <c r="D101" t="str">
        <f t="shared" si="10"/>
        <v>COR22C38</v>
      </c>
      <c r="E101" s="58" t="s">
        <v>240</v>
      </c>
      <c r="F101" s="20">
        <v>1000</v>
      </c>
      <c r="G101" s="14" t="s">
        <v>251</v>
      </c>
      <c r="H101" s="23" t="s">
        <v>170</v>
      </c>
      <c r="J101" s="59" t="s">
        <v>38</v>
      </c>
      <c r="K101" s="22" t="s">
        <v>39</v>
      </c>
      <c r="L101" s="59" t="s">
        <v>171</v>
      </c>
      <c r="M101" s="22">
        <v>2</v>
      </c>
      <c r="N101" s="59" t="s">
        <v>172</v>
      </c>
      <c r="O101" s="22">
        <v>2</v>
      </c>
      <c r="P101" s="59" t="s">
        <v>173</v>
      </c>
      <c r="Q101" s="22">
        <v>2</v>
      </c>
      <c r="V101" s="59" t="s">
        <v>176</v>
      </c>
      <c r="Z101" s="59" t="s">
        <v>40</v>
      </c>
      <c r="AA101" s="22" t="s">
        <v>46</v>
      </c>
      <c r="AH101" s="59" t="s">
        <v>41</v>
      </c>
      <c r="AI101" s="22" t="s">
        <v>48</v>
      </c>
      <c r="AJ101" s="59" t="s">
        <v>42</v>
      </c>
      <c r="AK101" s="22" t="s">
        <v>49</v>
      </c>
      <c r="AL101" s="59" t="s">
        <v>43</v>
      </c>
      <c r="AM101" s="22" t="s">
        <v>50</v>
      </c>
      <c r="AV101" s="59" t="s">
        <v>134</v>
      </c>
      <c r="AW101" s="22" t="str">
        <f>Settings!$B$5 &amp;  "?s=" &amp; D101 &amp; "&amp;platform=ftx"</f>
        <v>https://tokensol.nfluent.io?s=COR22C38&amp;platform=ftx</v>
      </c>
      <c r="AX101" s="20" t="s">
        <v>23</v>
      </c>
      <c r="AY101" s="20">
        <v>10</v>
      </c>
      <c r="AZ101" s="20" t="s">
        <v>24</v>
      </c>
      <c r="BA101" s="20">
        <v>90</v>
      </c>
      <c r="BD101" s="14"/>
      <c r="BJ101" t="s">
        <v>242</v>
      </c>
      <c r="BK101" t="s">
        <v>184</v>
      </c>
      <c r="BN101" s="36">
        <v>3000</v>
      </c>
      <c r="BO101" s="36">
        <v>3000</v>
      </c>
      <c r="BP101">
        <f t="shared" si="11"/>
        <v>480</v>
      </c>
      <c r="BR101" s="38">
        <v>44713</v>
      </c>
      <c r="BS101" s="20" t="s">
        <v>185</v>
      </c>
      <c r="BT101" s="20" t="str">
        <f t="shared" si="12"/>
        <v>LaPorteuseD'Eau_COR22C38</v>
      </c>
    </row>
    <row r="102" spans="2:72" ht="18.75" customHeight="1" x14ac:dyDescent="0.25">
      <c r="B102" s="20">
        <f t="shared" si="13"/>
        <v>39</v>
      </c>
      <c r="C102" s="22" t="str">
        <f t="shared" si="9"/>
        <v>La Porteuse D'Eau #39</v>
      </c>
      <c r="D102" t="str">
        <f t="shared" si="10"/>
        <v>COR22C39</v>
      </c>
      <c r="E102" s="58" t="s">
        <v>240</v>
      </c>
      <c r="F102" s="20">
        <v>1000</v>
      </c>
      <c r="G102" s="14" t="s">
        <v>251</v>
      </c>
      <c r="H102" s="23" t="s">
        <v>170</v>
      </c>
      <c r="J102" s="59" t="s">
        <v>38</v>
      </c>
      <c r="K102" s="22" t="s">
        <v>39</v>
      </c>
      <c r="L102" s="59" t="s">
        <v>171</v>
      </c>
      <c r="M102" s="22">
        <v>2</v>
      </c>
      <c r="N102" s="59" t="s">
        <v>172</v>
      </c>
      <c r="O102" s="22">
        <v>2</v>
      </c>
      <c r="P102" s="59" t="s">
        <v>173</v>
      </c>
      <c r="Q102" s="22">
        <v>2</v>
      </c>
      <c r="V102" s="59" t="s">
        <v>176</v>
      </c>
      <c r="Z102" s="59" t="s">
        <v>40</v>
      </c>
      <c r="AA102" s="22" t="s">
        <v>46</v>
      </c>
      <c r="AH102" s="59" t="s">
        <v>41</v>
      </c>
      <c r="AI102" s="22" t="s">
        <v>48</v>
      </c>
      <c r="AJ102" s="59" t="s">
        <v>42</v>
      </c>
      <c r="AK102" s="22" t="s">
        <v>49</v>
      </c>
      <c r="AL102" s="59" t="s">
        <v>43</v>
      </c>
      <c r="AM102" s="22" t="s">
        <v>50</v>
      </c>
      <c r="AV102" s="59" t="s">
        <v>134</v>
      </c>
      <c r="AW102" s="22" t="str">
        <f>Settings!$B$5 &amp;  "?s=" &amp; D102 &amp; "&amp;platform=ftx"</f>
        <v>https://tokensol.nfluent.io?s=COR22C39&amp;platform=ftx</v>
      </c>
      <c r="AX102" s="20" t="s">
        <v>23</v>
      </c>
      <c r="AY102" s="20">
        <v>10</v>
      </c>
      <c r="AZ102" s="20" t="s">
        <v>24</v>
      </c>
      <c r="BA102" s="20">
        <v>90</v>
      </c>
      <c r="BD102" s="14"/>
      <c r="BJ102" t="s">
        <v>242</v>
      </c>
      <c r="BK102" t="s">
        <v>184</v>
      </c>
      <c r="BN102" s="36">
        <v>3000</v>
      </c>
      <c r="BO102" s="36">
        <v>3000</v>
      </c>
      <c r="BP102">
        <f t="shared" si="11"/>
        <v>480</v>
      </c>
      <c r="BR102" s="38">
        <v>44713</v>
      </c>
      <c r="BS102" s="20" t="s">
        <v>185</v>
      </c>
      <c r="BT102" s="20" t="str">
        <f t="shared" si="12"/>
        <v>LaPorteuseD'Eau_COR22C39</v>
      </c>
    </row>
    <row r="103" spans="2:72" ht="18.75" customHeight="1" x14ac:dyDescent="0.25">
      <c r="B103" s="20">
        <f t="shared" si="13"/>
        <v>40</v>
      </c>
      <c r="C103" s="22" t="str">
        <f t="shared" si="9"/>
        <v>La Porteuse D'Eau #40</v>
      </c>
      <c r="D103" t="str">
        <f t="shared" si="10"/>
        <v>COR22C40</v>
      </c>
      <c r="E103" s="58" t="s">
        <v>240</v>
      </c>
      <c r="F103" s="20">
        <v>1000</v>
      </c>
      <c r="G103" s="14" t="s">
        <v>251</v>
      </c>
      <c r="H103" s="23" t="s">
        <v>170</v>
      </c>
      <c r="J103" s="59" t="s">
        <v>38</v>
      </c>
      <c r="K103" s="22" t="s">
        <v>39</v>
      </c>
      <c r="L103" s="59" t="s">
        <v>171</v>
      </c>
      <c r="M103" s="22">
        <v>2</v>
      </c>
      <c r="N103" s="59" t="s">
        <v>172</v>
      </c>
      <c r="O103" s="22">
        <v>2</v>
      </c>
      <c r="P103" s="59" t="s">
        <v>173</v>
      </c>
      <c r="Q103" s="22">
        <v>2</v>
      </c>
      <c r="V103" s="59" t="s">
        <v>176</v>
      </c>
      <c r="Z103" s="59" t="s">
        <v>40</v>
      </c>
      <c r="AA103" s="22" t="s">
        <v>46</v>
      </c>
      <c r="AH103" s="59" t="s">
        <v>41</v>
      </c>
      <c r="AI103" s="22" t="s">
        <v>48</v>
      </c>
      <c r="AJ103" s="59" t="s">
        <v>42</v>
      </c>
      <c r="AK103" s="22" t="s">
        <v>49</v>
      </c>
      <c r="AL103" s="59" t="s">
        <v>43</v>
      </c>
      <c r="AM103" s="22" t="s">
        <v>50</v>
      </c>
      <c r="AV103" s="59" t="s">
        <v>134</v>
      </c>
      <c r="AW103" s="22" t="str">
        <f>Settings!$B$5 &amp;  "?s=" &amp; D103 &amp; "&amp;platform=ftx"</f>
        <v>https://tokensol.nfluent.io?s=COR22C40&amp;platform=ftx</v>
      </c>
      <c r="AX103" s="20" t="s">
        <v>23</v>
      </c>
      <c r="AY103" s="20">
        <v>10</v>
      </c>
      <c r="AZ103" s="20" t="s">
        <v>24</v>
      </c>
      <c r="BA103" s="20">
        <v>90</v>
      </c>
      <c r="BD103" s="14"/>
      <c r="BJ103" t="s">
        <v>242</v>
      </c>
      <c r="BK103" t="s">
        <v>184</v>
      </c>
      <c r="BN103" s="36">
        <v>3000</v>
      </c>
      <c r="BO103" s="36">
        <v>3000</v>
      </c>
      <c r="BP103">
        <f t="shared" si="11"/>
        <v>480</v>
      </c>
      <c r="BR103" s="38">
        <v>44713</v>
      </c>
      <c r="BS103" s="20" t="s">
        <v>185</v>
      </c>
      <c r="BT103" s="20" t="str">
        <f t="shared" si="12"/>
        <v>LaPorteuseD'Eau_COR22C40</v>
      </c>
    </row>
    <row r="104" spans="2:72" ht="18.75" customHeight="1" x14ac:dyDescent="0.25">
      <c r="B104" s="20">
        <f t="shared" si="13"/>
        <v>41</v>
      </c>
      <c r="C104" s="22" t="str">
        <f t="shared" si="9"/>
        <v>La Porteuse D'Eau #41</v>
      </c>
      <c r="D104" t="str">
        <f t="shared" si="10"/>
        <v>COR22C41</v>
      </c>
      <c r="E104" s="58" t="s">
        <v>240</v>
      </c>
      <c r="F104" s="20">
        <v>1000</v>
      </c>
      <c r="G104" s="14" t="s">
        <v>251</v>
      </c>
      <c r="H104" s="23" t="s">
        <v>170</v>
      </c>
      <c r="J104" s="59" t="s">
        <v>38</v>
      </c>
      <c r="K104" s="22" t="s">
        <v>39</v>
      </c>
      <c r="L104" s="59" t="s">
        <v>171</v>
      </c>
      <c r="M104" s="22">
        <v>2</v>
      </c>
      <c r="N104" s="59" t="s">
        <v>172</v>
      </c>
      <c r="O104" s="22">
        <v>2</v>
      </c>
      <c r="P104" s="59" t="s">
        <v>173</v>
      </c>
      <c r="Q104" s="22">
        <v>2</v>
      </c>
      <c r="V104" s="59" t="s">
        <v>176</v>
      </c>
      <c r="Z104" s="59" t="s">
        <v>40</v>
      </c>
      <c r="AA104" s="22" t="s">
        <v>46</v>
      </c>
      <c r="AH104" s="59" t="s">
        <v>41</v>
      </c>
      <c r="AI104" s="22" t="s">
        <v>48</v>
      </c>
      <c r="AJ104" s="59" t="s">
        <v>42</v>
      </c>
      <c r="AK104" s="22" t="s">
        <v>49</v>
      </c>
      <c r="AL104" s="59" t="s">
        <v>43</v>
      </c>
      <c r="AM104" s="22" t="s">
        <v>50</v>
      </c>
      <c r="AV104" s="59" t="s">
        <v>134</v>
      </c>
      <c r="AW104" s="22" t="str">
        <f>Settings!$B$5 &amp;  "?s=" &amp; D104 &amp; "&amp;platform=ftx"</f>
        <v>https://tokensol.nfluent.io?s=COR22C41&amp;platform=ftx</v>
      </c>
      <c r="AX104" s="20" t="s">
        <v>23</v>
      </c>
      <c r="AY104" s="20">
        <v>10</v>
      </c>
      <c r="AZ104" s="20" t="s">
        <v>24</v>
      </c>
      <c r="BA104" s="20">
        <v>90</v>
      </c>
      <c r="BD104" s="14"/>
      <c r="BJ104" t="s">
        <v>242</v>
      </c>
      <c r="BK104" t="s">
        <v>184</v>
      </c>
      <c r="BN104" s="36">
        <v>3000</v>
      </c>
      <c r="BO104" s="36">
        <v>3000</v>
      </c>
      <c r="BP104">
        <f t="shared" si="11"/>
        <v>480</v>
      </c>
      <c r="BR104" s="38">
        <v>44713</v>
      </c>
      <c r="BS104" s="20" t="s">
        <v>185</v>
      </c>
      <c r="BT104" s="20" t="str">
        <f t="shared" si="12"/>
        <v>LaPorteuseD'Eau_COR22C41</v>
      </c>
    </row>
    <row r="105" spans="2:72" ht="18.75" customHeight="1" x14ac:dyDescent="0.25">
      <c r="B105" s="20">
        <f t="shared" si="13"/>
        <v>42</v>
      </c>
      <c r="C105" s="22" t="str">
        <f t="shared" si="9"/>
        <v>La Porteuse D'Eau #42</v>
      </c>
      <c r="D105" t="str">
        <f t="shared" si="10"/>
        <v>COR22C42</v>
      </c>
      <c r="E105" s="58" t="s">
        <v>240</v>
      </c>
      <c r="F105" s="20">
        <v>1000</v>
      </c>
      <c r="G105" s="14" t="s">
        <v>251</v>
      </c>
      <c r="H105" s="23" t="s">
        <v>170</v>
      </c>
      <c r="J105" s="59" t="s">
        <v>38</v>
      </c>
      <c r="K105" s="22" t="s">
        <v>39</v>
      </c>
      <c r="L105" s="59" t="s">
        <v>171</v>
      </c>
      <c r="M105" s="22">
        <v>2</v>
      </c>
      <c r="N105" s="59" t="s">
        <v>172</v>
      </c>
      <c r="O105" s="22">
        <v>2</v>
      </c>
      <c r="P105" s="59" t="s">
        <v>173</v>
      </c>
      <c r="Q105" s="22">
        <v>2</v>
      </c>
      <c r="V105" s="59" t="s">
        <v>176</v>
      </c>
      <c r="Z105" s="59" t="s">
        <v>40</v>
      </c>
      <c r="AA105" s="22" t="s">
        <v>46</v>
      </c>
      <c r="AH105" s="59" t="s">
        <v>41</v>
      </c>
      <c r="AI105" s="22" t="s">
        <v>48</v>
      </c>
      <c r="AJ105" s="59" t="s">
        <v>42</v>
      </c>
      <c r="AK105" s="22" t="s">
        <v>49</v>
      </c>
      <c r="AL105" s="59" t="s">
        <v>43</v>
      </c>
      <c r="AM105" s="22" t="s">
        <v>50</v>
      </c>
      <c r="AV105" s="59" t="s">
        <v>134</v>
      </c>
      <c r="AW105" s="22" t="str">
        <f>Settings!$B$5 &amp;  "?s=" &amp; D105 &amp; "&amp;platform=ftx"</f>
        <v>https://tokensol.nfluent.io?s=COR22C42&amp;platform=ftx</v>
      </c>
      <c r="AX105" s="20" t="s">
        <v>23</v>
      </c>
      <c r="AY105" s="20">
        <v>10</v>
      </c>
      <c r="AZ105" s="20" t="s">
        <v>24</v>
      </c>
      <c r="BA105" s="20">
        <v>90</v>
      </c>
      <c r="BD105" s="14"/>
      <c r="BJ105" t="s">
        <v>242</v>
      </c>
      <c r="BK105" t="s">
        <v>184</v>
      </c>
      <c r="BN105" s="36">
        <v>3000</v>
      </c>
      <c r="BO105" s="36">
        <v>3000</v>
      </c>
      <c r="BP105">
        <f t="shared" si="11"/>
        <v>480</v>
      </c>
      <c r="BR105" s="38">
        <v>44713</v>
      </c>
      <c r="BS105" s="20" t="s">
        <v>185</v>
      </c>
      <c r="BT105" s="20" t="str">
        <f t="shared" si="12"/>
        <v>LaPorteuseD'Eau_COR22C42</v>
      </c>
    </row>
    <row r="106" spans="2:72" ht="18.75" customHeight="1" x14ac:dyDescent="0.25">
      <c r="B106" s="20">
        <f t="shared" si="13"/>
        <v>43</v>
      </c>
      <c r="C106" s="22" t="str">
        <f t="shared" si="9"/>
        <v>La Porteuse D'Eau #43</v>
      </c>
      <c r="D106" t="str">
        <f t="shared" si="10"/>
        <v>COR22C43</v>
      </c>
      <c r="E106" s="58" t="s">
        <v>240</v>
      </c>
      <c r="F106" s="20">
        <v>1000</v>
      </c>
      <c r="G106" s="14" t="s">
        <v>251</v>
      </c>
      <c r="H106" s="23" t="s">
        <v>170</v>
      </c>
      <c r="J106" s="59" t="s">
        <v>38</v>
      </c>
      <c r="K106" s="22" t="s">
        <v>39</v>
      </c>
      <c r="L106" s="59" t="s">
        <v>171</v>
      </c>
      <c r="M106" s="22">
        <v>2</v>
      </c>
      <c r="N106" s="59" t="s">
        <v>172</v>
      </c>
      <c r="O106" s="22">
        <v>2</v>
      </c>
      <c r="P106" s="59" t="s">
        <v>173</v>
      </c>
      <c r="Q106" s="22">
        <v>2</v>
      </c>
      <c r="V106" s="59" t="s">
        <v>176</v>
      </c>
      <c r="Z106" s="59" t="s">
        <v>40</v>
      </c>
      <c r="AA106" s="22" t="s">
        <v>46</v>
      </c>
      <c r="AH106" s="59" t="s">
        <v>41</v>
      </c>
      <c r="AI106" s="22" t="s">
        <v>48</v>
      </c>
      <c r="AJ106" s="59" t="s">
        <v>42</v>
      </c>
      <c r="AK106" s="22" t="s">
        <v>49</v>
      </c>
      <c r="AL106" s="59" t="s">
        <v>43</v>
      </c>
      <c r="AM106" s="22" t="s">
        <v>50</v>
      </c>
      <c r="AV106" s="59" t="s">
        <v>134</v>
      </c>
      <c r="AW106" s="22" t="str">
        <f>Settings!$B$5 &amp;  "?s=" &amp; D106 &amp; "&amp;platform=ftx"</f>
        <v>https://tokensol.nfluent.io?s=COR22C43&amp;platform=ftx</v>
      </c>
      <c r="AX106" s="20" t="s">
        <v>23</v>
      </c>
      <c r="AY106" s="20">
        <v>10</v>
      </c>
      <c r="AZ106" s="20" t="s">
        <v>24</v>
      </c>
      <c r="BA106" s="20">
        <v>90</v>
      </c>
      <c r="BD106" s="14"/>
      <c r="BJ106" t="s">
        <v>242</v>
      </c>
      <c r="BK106" t="s">
        <v>184</v>
      </c>
      <c r="BN106" s="36">
        <v>3000</v>
      </c>
      <c r="BO106" s="36">
        <v>3000</v>
      </c>
      <c r="BP106">
        <f t="shared" si="11"/>
        <v>480</v>
      </c>
      <c r="BR106" s="38">
        <v>44713</v>
      </c>
      <c r="BS106" s="20" t="s">
        <v>185</v>
      </c>
      <c r="BT106" s="20" t="str">
        <f t="shared" si="12"/>
        <v>LaPorteuseD'Eau_COR22C43</v>
      </c>
    </row>
    <row r="107" spans="2:72" ht="18.75" customHeight="1" x14ac:dyDescent="0.25">
      <c r="B107" s="20">
        <f t="shared" si="13"/>
        <v>44</v>
      </c>
      <c r="C107" s="22" t="str">
        <f t="shared" si="9"/>
        <v>La Porteuse D'Eau #44</v>
      </c>
      <c r="D107" t="str">
        <f t="shared" si="10"/>
        <v>COR22C44</v>
      </c>
      <c r="E107" s="58" t="s">
        <v>240</v>
      </c>
      <c r="F107" s="20">
        <v>1000</v>
      </c>
      <c r="G107" s="14" t="s">
        <v>251</v>
      </c>
      <c r="H107" s="23" t="s">
        <v>170</v>
      </c>
      <c r="J107" s="59" t="s">
        <v>38</v>
      </c>
      <c r="K107" s="22" t="s">
        <v>39</v>
      </c>
      <c r="L107" s="59" t="s">
        <v>171</v>
      </c>
      <c r="M107" s="22">
        <v>2</v>
      </c>
      <c r="N107" s="59" t="s">
        <v>172</v>
      </c>
      <c r="O107" s="22">
        <v>2</v>
      </c>
      <c r="P107" s="59" t="s">
        <v>173</v>
      </c>
      <c r="Q107" s="22">
        <v>2</v>
      </c>
      <c r="V107" s="59" t="s">
        <v>176</v>
      </c>
      <c r="Z107" s="59" t="s">
        <v>40</v>
      </c>
      <c r="AA107" s="22" t="s">
        <v>46</v>
      </c>
      <c r="AH107" s="59" t="s">
        <v>41</v>
      </c>
      <c r="AI107" s="22" t="s">
        <v>48</v>
      </c>
      <c r="AJ107" s="59" t="s">
        <v>42</v>
      </c>
      <c r="AK107" s="22" t="s">
        <v>49</v>
      </c>
      <c r="AL107" s="59" t="s">
        <v>43</v>
      </c>
      <c r="AM107" s="22" t="s">
        <v>50</v>
      </c>
      <c r="AV107" s="59" t="s">
        <v>134</v>
      </c>
      <c r="AW107" s="22" t="str">
        <f>Settings!$B$5 &amp;  "?s=" &amp; D107 &amp; "&amp;platform=ftx"</f>
        <v>https://tokensol.nfluent.io?s=COR22C44&amp;platform=ftx</v>
      </c>
      <c r="AX107" s="20" t="s">
        <v>23</v>
      </c>
      <c r="AY107" s="20">
        <v>10</v>
      </c>
      <c r="AZ107" s="20" t="s">
        <v>24</v>
      </c>
      <c r="BA107" s="20">
        <v>90</v>
      </c>
      <c r="BD107" s="14"/>
      <c r="BJ107" t="s">
        <v>242</v>
      </c>
      <c r="BK107" t="s">
        <v>184</v>
      </c>
      <c r="BN107" s="36">
        <v>3000</v>
      </c>
      <c r="BO107" s="36">
        <v>3000</v>
      </c>
      <c r="BP107">
        <f t="shared" si="11"/>
        <v>480</v>
      </c>
      <c r="BR107" s="38">
        <v>44713</v>
      </c>
      <c r="BS107" s="20" t="s">
        <v>185</v>
      </c>
      <c r="BT107" s="20" t="str">
        <f t="shared" si="12"/>
        <v>LaPorteuseD'Eau_COR22C44</v>
      </c>
    </row>
    <row r="108" spans="2:72" ht="18.75" customHeight="1" x14ac:dyDescent="0.25">
      <c r="B108" s="20">
        <f t="shared" si="13"/>
        <v>45</v>
      </c>
      <c r="C108" s="22" t="str">
        <f t="shared" si="9"/>
        <v>La Porteuse D'Eau #45</v>
      </c>
      <c r="D108" t="str">
        <f t="shared" si="10"/>
        <v>COR22C45</v>
      </c>
      <c r="E108" s="58" t="s">
        <v>240</v>
      </c>
      <c r="F108" s="20">
        <v>1000</v>
      </c>
      <c r="G108" s="14" t="s">
        <v>251</v>
      </c>
      <c r="H108" s="23" t="s">
        <v>170</v>
      </c>
      <c r="J108" s="59" t="s">
        <v>38</v>
      </c>
      <c r="K108" s="22" t="s">
        <v>39</v>
      </c>
      <c r="L108" s="59" t="s">
        <v>171</v>
      </c>
      <c r="M108" s="22">
        <v>2</v>
      </c>
      <c r="N108" s="59" t="s">
        <v>172</v>
      </c>
      <c r="O108" s="22">
        <v>2</v>
      </c>
      <c r="P108" s="59" t="s">
        <v>173</v>
      </c>
      <c r="Q108" s="22">
        <v>2</v>
      </c>
      <c r="V108" s="59" t="s">
        <v>176</v>
      </c>
      <c r="Z108" s="59" t="s">
        <v>40</v>
      </c>
      <c r="AA108" s="22" t="s">
        <v>46</v>
      </c>
      <c r="AH108" s="59" t="s">
        <v>41</v>
      </c>
      <c r="AI108" s="22" t="s">
        <v>48</v>
      </c>
      <c r="AJ108" s="59" t="s">
        <v>42</v>
      </c>
      <c r="AK108" s="22" t="s">
        <v>49</v>
      </c>
      <c r="AL108" s="59" t="s">
        <v>43</v>
      </c>
      <c r="AM108" s="22" t="s">
        <v>50</v>
      </c>
      <c r="AV108" s="59" t="s">
        <v>134</v>
      </c>
      <c r="AW108" s="22" t="str">
        <f>Settings!$B$5 &amp;  "?s=" &amp; D108 &amp; "&amp;platform=ftx"</f>
        <v>https://tokensol.nfluent.io?s=COR22C45&amp;platform=ftx</v>
      </c>
      <c r="AX108" s="20" t="s">
        <v>23</v>
      </c>
      <c r="AY108" s="20">
        <v>10</v>
      </c>
      <c r="AZ108" s="20" t="s">
        <v>24</v>
      </c>
      <c r="BA108" s="20">
        <v>90</v>
      </c>
      <c r="BD108" s="14"/>
      <c r="BJ108" t="s">
        <v>242</v>
      </c>
      <c r="BK108" t="s">
        <v>184</v>
      </c>
      <c r="BN108" s="36">
        <v>3000</v>
      </c>
      <c r="BO108" s="36">
        <v>3000</v>
      </c>
      <c r="BP108">
        <f t="shared" si="11"/>
        <v>480</v>
      </c>
      <c r="BR108" s="38">
        <v>44713</v>
      </c>
      <c r="BS108" s="20" t="s">
        <v>185</v>
      </c>
      <c r="BT108" s="20" t="str">
        <f t="shared" si="12"/>
        <v>LaPorteuseD'Eau_COR22C45</v>
      </c>
    </row>
    <row r="109" spans="2:72" ht="18.75" customHeight="1" x14ac:dyDescent="0.25">
      <c r="B109" s="20">
        <f t="shared" si="13"/>
        <v>46</v>
      </c>
      <c r="C109" s="22" t="str">
        <f t="shared" si="9"/>
        <v>La Porteuse D'Eau #46</v>
      </c>
      <c r="D109" t="str">
        <f t="shared" si="10"/>
        <v>COR22C46</v>
      </c>
      <c r="E109" s="58" t="s">
        <v>240</v>
      </c>
      <c r="F109" s="20">
        <v>1000</v>
      </c>
      <c r="G109" s="14" t="s">
        <v>251</v>
      </c>
      <c r="H109" s="23" t="s">
        <v>170</v>
      </c>
      <c r="J109" s="59" t="s">
        <v>38</v>
      </c>
      <c r="K109" s="22" t="s">
        <v>39</v>
      </c>
      <c r="L109" s="59" t="s">
        <v>171</v>
      </c>
      <c r="M109" s="22">
        <v>2</v>
      </c>
      <c r="N109" s="59" t="s">
        <v>172</v>
      </c>
      <c r="O109" s="22">
        <v>2</v>
      </c>
      <c r="P109" s="59" t="s">
        <v>173</v>
      </c>
      <c r="Q109" s="22">
        <v>2</v>
      </c>
      <c r="V109" s="59" t="s">
        <v>176</v>
      </c>
      <c r="Z109" s="59" t="s">
        <v>40</v>
      </c>
      <c r="AA109" s="22" t="s">
        <v>46</v>
      </c>
      <c r="AH109" s="59" t="s">
        <v>41</v>
      </c>
      <c r="AI109" s="22" t="s">
        <v>48</v>
      </c>
      <c r="AJ109" s="59" t="s">
        <v>42</v>
      </c>
      <c r="AK109" s="22" t="s">
        <v>49</v>
      </c>
      <c r="AL109" s="59" t="s">
        <v>43</v>
      </c>
      <c r="AM109" s="22" t="s">
        <v>50</v>
      </c>
      <c r="AV109" s="59" t="s">
        <v>134</v>
      </c>
      <c r="AW109" s="22" t="str">
        <f>Settings!$B$5 &amp;  "?s=" &amp; D109 &amp; "&amp;platform=ftx"</f>
        <v>https://tokensol.nfluent.io?s=COR22C46&amp;platform=ftx</v>
      </c>
      <c r="AX109" s="20" t="s">
        <v>23</v>
      </c>
      <c r="AY109" s="20">
        <v>10</v>
      </c>
      <c r="AZ109" s="20" t="s">
        <v>24</v>
      </c>
      <c r="BA109" s="20">
        <v>90</v>
      </c>
      <c r="BD109" s="14"/>
      <c r="BJ109" t="s">
        <v>242</v>
      </c>
      <c r="BK109" t="s">
        <v>184</v>
      </c>
      <c r="BN109" s="36">
        <v>3000</v>
      </c>
      <c r="BO109" s="36">
        <v>3000</v>
      </c>
      <c r="BP109">
        <f t="shared" si="11"/>
        <v>480</v>
      </c>
      <c r="BR109" s="38">
        <v>44713</v>
      </c>
      <c r="BS109" s="20" t="s">
        <v>185</v>
      </c>
      <c r="BT109" s="20" t="str">
        <f t="shared" si="12"/>
        <v>LaPorteuseD'Eau_COR22C46</v>
      </c>
    </row>
    <row r="110" spans="2:72" ht="18.75" customHeight="1" x14ac:dyDescent="0.25">
      <c r="B110" s="20">
        <f t="shared" si="13"/>
        <v>47</v>
      </c>
      <c r="C110" s="22" t="str">
        <f t="shared" si="9"/>
        <v>La Porteuse D'Eau #47</v>
      </c>
      <c r="D110" t="str">
        <f t="shared" si="10"/>
        <v>COR22C47</v>
      </c>
      <c r="E110" s="58" t="s">
        <v>240</v>
      </c>
      <c r="F110" s="20">
        <v>1000</v>
      </c>
      <c r="G110" s="14" t="s">
        <v>251</v>
      </c>
      <c r="H110" s="23" t="s">
        <v>170</v>
      </c>
      <c r="J110" s="59" t="s">
        <v>38</v>
      </c>
      <c r="K110" s="22" t="s">
        <v>39</v>
      </c>
      <c r="L110" s="59" t="s">
        <v>171</v>
      </c>
      <c r="M110" s="22">
        <v>2</v>
      </c>
      <c r="N110" s="59" t="s">
        <v>172</v>
      </c>
      <c r="O110" s="22">
        <v>2</v>
      </c>
      <c r="P110" s="59" t="s">
        <v>173</v>
      </c>
      <c r="Q110" s="22">
        <v>2</v>
      </c>
      <c r="V110" s="59" t="s">
        <v>176</v>
      </c>
      <c r="Z110" s="59" t="s">
        <v>40</v>
      </c>
      <c r="AA110" s="22" t="s">
        <v>46</v>
      </c>
      <c r="AH110" s="59" t="s">
        <v>41</v>
      </c>
      <c r="AI110" s="22" t="s">
        <v>48</v>
      </c>
      <c r="AJ110" s="59" t="s">
        <v>42</v>
      </c>
      <c r="AK110" s="22" t="s">
        <v>49</v>
      </c>
      <c r="AL110" s="59" t="s">
        <v>43</v>
      </c>
      <c r="AM110" s="22" t="s">
        <v>50</v>
      </c>
      <c r="AV110" s="59" t="s">
        <v>134</v>
      </c>
      <c r="AW110" s="22" t="str">
        <f>Settings!$B$5 &amp;  "?s=" &amp; D110 &amp; "&amp;platform=ftx"</f>
        <v>https://tokensol.nfluent.io?s=COR22C47&amp;platform=ftx</v>
      </c>
      <c r="AX110" s="20" t="s">
        <v>23</v>
      </c>
      <c r="AY110" s="20">
        <v>10</v>
      </c>
      <c r="AZ110" s="20" t="s">
        <v>24</v>
      </c>
      <c r="BA110" s="20">
        <v>90</v>
      </c>
      <c r="BD110" s="14"/>
      <c r="BJ110" t="s">
        <v>242</v>
      </c>
      <c r="BK110" t="s">
        <v>184</v>
      </c>
      <c r="BN110" s="36">
        <v>3000</v>
      </c>
      <c r="BO110" s="36">
        <v>3000</v>
      </c>
      <c r="BP110">
        <f t="shared" si="11"/>
        <v>480</v>
      </c>
      <c r="BR110" s="38">
        <v>44713</v>
      </c>
      <c r="BS110" s="20" t="s">
        <v>185</v>
      </c>
      <c r="BT110" s="20" t="str">
        <f t="shared" si="12"/>
        <v>LaPorteuseD'Eau_COR22C47</v>
      </c>
    </row>
    <row r="111" spans="2:72" ht="18.75" customHeight="1" x14ac:dyDescent="0.25">
      <c r="B111" s="20">
        <f t="shared" si="13"/>
        <v>48</v>
      </c>
      <c r="C111" s="22" t="str">
        <f t="shared" si="9"/>
        <v>La Porteuse D'Eau #48</v>
      </c>
      <c r="D111" t="str">
        <f t="shared" si="10"/>
        <v>COR22C48</v>
      </c>
      <c r="E111" s="58" t="s">
        <v>240</v>
      </c>
      <c r="F111" s="20">
        <v>1000</v>
      </c>
      <c r="G111" s="14" t="s">
        <v>251</v>
      </c>
      <c r="H111" s="23" t="s">
        <v>170</v>
      </c>
      <c r="J111" s="59" t="s">
        <v>38</v>
      </c>
      <c r="K111" s="22" t="s">
        <v>39</v>
      </c>
      <c r="L111" s="59" t="s">
        <v>171</v>
      </c>
      <c r="M111" s="22">
        <v>2</v>
      </c>
      <c r="N111" s="59" t="s">
        <v>172</v>
      </c>
      <c r="O111" s="22">
        <v>2</v>
      </c>
      <c r="P111" s="59" t="s">
        <v>173</v>
      </c>
      <c r="Q111" s="22">
        <v>2</v>
      </c>
      <c r="V111" s="59" t="s">
        <v>176</v>
      </c>
      <c r="Z111" s="59" t="s">
        <v>40</v>
      </c>
      <c r="AA111" s="22" t="s">
        <v>46</v>
      </c>
      <c r="AH111" s="59" t="s">
        <v>41</v>
      </c>
      <c r="AI111" s="22" t="s">
        <v>48</v>
      </c>
      <c r="AJ111" s="59" t="s">
        <v>42</v>
      </c>
      <c r="AK111" s="22" t="s">
        <v>49</v>
      </c>
      <c r="AL111" s="59" t="s">
        <v>43</v>
      </c>
      <c r="AM111" s="22" t="s">
        <v>50</v>
      </c>
      <c r="AV111" s="59" t="s">
        <v>134</v>
      </c>
      <c r="AW111" s="22" t="str">
        <f>Settings!$B$5 &amp;  "?s=" &amp; D111 &amp; "&amp;platform=ftx"</f>
        <v>https://tokensol.nfluent.io?s=COR22C48&amp;platform=ftx</v>
      </c>
      <c r="AX111" s="20" t="s">
        <v>23</v>
      </c>
      <c r="AY111" s="20">
        <v>10</v>
      </c>
      <c r="AZ111" s="20" t="s">
        <v>24</v>
      </c>
      <c r="BA111" s="20">
        <v>90</v>
      </c>
      <c r="BD111" s="14"/>
      <c r="BJ111" t="s">
        <v>242</v>
      </c>
      <c r="BK111" t="s">
        <v>184</v>
      </c>
      <c r="BN111" s="36">
        <v>3000</v>
      </c>
      <c r="BO111" s="36">
        <v>3000</v>
      </c>
      <c r="BP111">
        <f t="shared" si="11"/>
        <v>480</v>
      </c>
      <c r="BR111" s="38">
        <v>44713</v>
      </c>
      <c r="BS111" s="20" t="s">
        <v>185</v>
      </c>
      <c r="BT111" s="20" t="str">
        <f t="shared" si="12"/>
        <v>LaPorteuseD'Eau_COR22C48</v>
      </c>
    </row>
    <row r="112" spans="2:72" ht="18.75" customHeight="1" x14ac:dyDescent="0.25">
      <c r="B112" s="20">
        <f t="shared" si="13"/>
        <v>49</v>
      </c>
      <c r="C112" s="22" t="str">
        <f t="shared" si="9"/>
        <v>La Porteuse D'Eau #49</v>
      </c>
      <c r="D112" t="str">
        <f t="shared" si="10"/>
        <v>COR22C49</v>
      </c>
      <c r="E112" s="58" t="s">
        <v>240</v>
      </c>
      <c r="F112" s="20">
        <v>1000</v>
      </c>
      <c r="G112" s="14" t="s">
        <v>251</v>
      </c>
      <c r="H112" s="23" t="s">
        <v>170</v>
      </c>
      <c r="J112" s="59" t="s">
        <v>38</v>
      </c>
      <c r="K112" s="22" t="s">
        <v>39</v>
      </c>
      <c r="L112" s="59" t="s">
        <v>171</v>
      </c>
      <c r="M112" s="22">
        <v>2</v>
      </c>
      <c r="N112" s="59" t="s">
        <v>172</v>
      </c>
      <c r="O112" s="22">
        <v>2</v>
      </c>
      <c r="P112" s="59" t="s">
        <v>173</v>
      </c>
      <c r="Q112" s="22">
        <v>2</v>
      </c>
      <c r="V112" s="59" t="s">
        <v>176</v>
      </c>
      <c r="Z112" s="59" t="s">
        <v>40</v>
      </c>
      <c r="AA112" s="22" t="s">
        <v>46</v>
      </c>
      <c r="AH112" s="59" t="s">
        <v>41</v>
      </c>
      <c r="AI112" s="22" t="s">
        <v>48</v>
      </c>
      <c r="AJ112" s="59" t="s">
        <v>42</v>
      </c>
      <c r="AK112" s="22" t="s">
        <v>49</v>
      </c>
      <c r="AL112" s="59" t="s">
        <v>43</v>
      </c>
      <c r="AM112" s="22" t="s">
        <v>50</v>
      </c>
      <c r="AV112" s="59" t="s">
        <v>134</v>
      </c>
      <c r="AW112" s="22" t="str">
        <f>Settings!$B$5 &amp;  "?s=" &amp; D112 &amp; "&amp;platform=ftx"</f>
        <v>https://tokensol.nfluent.io?s=COR22C49&amp;platform=ftx</v>
      </c>
      <c r="AX112" s="20" t="s">
        <v>23</v>
      </c>
      <c r="AY112" s="20">
        <v>10</v>
      </c>
      <c r="AZ112" s="20" t="s">
        <v>24</v>
      </c>
      <c r="BA112" s="20">
        <v>90</v>
      </c>
      <c r="BD112" s="14"/>
      <c r="BJ112" t="s">
        <v>242</v>
      </c>
      <c r="BK112" t="s">
        <v>184</v>
      </c>
      <c r="BN112" s="36">
        <v>3000</v>
      </c>
      <c r="BO112" s="36">
        <v>3000</v>
      </c>
      <c r="BP112">
        <f t="shared" si="11"/>
        <v>480</v>
      </c>
      <c r="BR112" s="38">
        <v>44713</v>
      </c>
      <c r="BS112" s="20" t="s">
        <v>185</v>
      </c>
      <c r="BT112" s="20" t="str">
        <f t="shared" si="12"/>
        <v>LaPorteuseD'Eau_COR22C49</v>
      </c>
    </row>
    <row r="113" spans="2:72" ht="18.75" customHeight="1" x14ac:dyDescent="0.25">
      <c r="B113" s="20">
        <f t="shared" si="13"/>
        <v>50</v>
      </c>
      <c r="C113" s="22" t="str">
        <f t="shared" si="9"/>
        <v>La Porteuse D'Eau #50</v>
      </c>
      <c r="D113" t="str">
        <f t="shared" si="10"/>
        <v>COR22C50</v>
      </c>
      <c r="E113" s="58" t="s">
        <v>240</v>
      </c>
      <c r="F113" s="20">
        <v>1000</v>
      </c>
      <c r="G113" s="14" t="s">
        <v>251</v>
      </c>
      <c r="H113" s="23" t="s">
        <v>170</v>
      </c>
      <c r="J113" s="59" t="s">
        <v>38</v>
      </c>
      <c r="K113" s="22" t="s">
        <v>39</v>
      </c>
      <c r="L113" s="59" t="s">
        <v>171</v>
      </c>
      <c r="M113" s="22">
        <v>2</v>
      </c>
      <c r="N113" s="59" t="s">
        <v>172</v>
      </c>
      <c r="O113" s="22">
        <v>2</v>
      </c>
      <c r="P113" s="59" t="s">
        <v>173</v>
      </c>
      <c r="Q113" s="22">
        <v>2</v>
      </c>
      <c r="V113" s="59" t="s">
        <v>176</v>
      </c>
      <c r="Z113" s="59" t="s">
        <v>40</v>
      </c>
      <c r="AA113" s="22" t="s">
        <v>46</v>
      </c>
      <c r="AH113" s="59" t="s">
        <v>41</v>
      </c>
      <c r="AI113" s="22" t="s">
        <v>48</v>
      </c>
      <c r="AJ113" s="59" t="s">
        <v>42</v>
      </c>
      <c r="AK113" s="22" t="s">
        <v>49</v>
      </c>
      <c r="AL113" s="59" t="s">
        <v>43</v>
      </c>
      <c r="AM113" s="22" t="s">
        <v>50</v>
      </c>
      <c r="AV113" s="59" t="s">
        <v>134</v>
      </c>
      <c r="AW113" s="22" t="str">
        <f>Settings!$B$5 &amp;  "?s=" &amp; D113 &amp; "&amp;platform=ftx"</f>
        <v>https://tokensol.nfluent.io?s=COR22C50&amp;platform=ftx</v>
      </c>
      <c r="AX113" s="20" t="s">
        <v>23</v>
      </c>
      <c r="AY113" s="20">
        <v>10</v>
      </c>
      <c r="AZ113" s="20" t="s">
        <v>24</v>
      </c>
      <c r="BA113" s="20">
        <v>90</v>
      </c>
      <c r="BD113" s="14"/>
      <c r="BJ113" t="s">
        <v>242</v>
      </c>
      <c r="BK113" t="s">
        <v>184</v>
      </c>
      <c r="BN113" s="36">
        <v>3000</v>
      </c>
      <c r="BO113" s="36">
        <v>3000</v>
      </c>
      <c r="BP113">
        <f t="shared" si="11"/>
        <v>480</v>
      </c>
      <c r="BR113" s="38">
        <v>44713</v>
      </c>
      <c r="BS113" s="20" t="s">
        <v>185</v>
      </c>
      <c r="BT113" s="20" t="str">
        <f t="shared" si="12"/>
        <v>LaPorteuseD'Eau_COR22C50</v>
      </c>
    </row>
    <row r="114" spans="2:72" ht="18.75" customHeight="1" x14ac:dyDescent="0.25">
      <c r="B114" s="20">
        <f t="shared" si="13"/>
        <v>51</v>
      </c>
      <c r="C114" s="22" t="str">
        <f t="shared" si="9"/>
        <v>La Porteuse D'Eau #51</v>
      </c>
      <c r="D114" t="str">
        <f t="shared" si="10"/>
        <v>COR22C51</v>
      </c>
      <c r="E114" s="58" t="s">
        <v>240</v>
      </c>
      <c r="F114" s="20">
        <v>1000</v>
      </c>
      <c r="G114" s="14" t="s">
        <v>251</v>
      </c>
      <c r="H114" s="23" t="s">
        <v>170</v>
      </c>
      <c r="J114" s="59" t="s">
        <v>38</v>
      </c>
      <c r="K114" s="22" t="s">
        <v>39</v>
      </c>
      <c r="L114" s="59" t="s">
        <v>171</v>
      </c>
      <c r="M114" s="22">
        <v>2</v>
      </c>
      <c r="N114" s="59" t="s">
        <v>172</v>
      </c>
      <c r="O114" s="22">
        <v>2</v>
      </c>
      <c r="P114" s="59" t="s">
        <v>173</v>
      </c>
      <c r="Q114" s="22">
        <v>2</v>
      </c>
      <c r="V114" s="59" t="s">
        <v>176</v>
      </c>
      <c r="Z114" s="59" t="s">
        <v>40</v>
      </c>
      <c r="AA114" s="22" t="s">
        <v>46</v>
      </c>
      <c r="AH114" s="59" t="s">
        <v>41</v>
      </c>
      <c r="AI114" s="22" t="s">
        <v>48</v>
      </c>
      <c r="AJ114" s="59" t="s">
        <v>42</v>
      </c>
      <c r="AK114" s="22" t="s">
        <v>49</v>
      </c>
      <c r="AL114" s="59" t="s">
        <v>43</v>
      </c>
      <c r="AM114" s="22" t="s">
        <v>50</v>
      </c>
      <c r="AV114" s="59" t="s">
        <v>134</v>
      </c>
      <c r="AW114" s="22" t="str">
        <f>Settings!$B$5 &amp;  "?s=" &amp; D114 &amp; "&amp;platform=ftx"</f>
        <v>https://tokensol.nfluent.io?s=COR22C51&amp;platform=ftx</v>
      </c>
      <c r="AX114" s="20" t="s">
        <v>23</v>
      </c>
      <c r="AY114" s="20">
        <v>10</v>
      </c>
      <c r="AZ114" s="20" t="s">
        <v>24</v>
      </c>
      <c r="BA114" s="20">
        <v>90</v>
      </c>
      <c r="BD114" s="14"/>
      <c r="BJ114" t="s">
        <v>242</v>
      </c>
      <c r="BK114" t="s">
        <v>184</v>
      </c>
      <c r="BN114" s="36">
        <v>3000</v>
      </c>
      <c r="BO114" s="36">
        <v>3000</v>
      </c>
      <c r="BP114">
        <f t="shared" si="11"/>
        <v>480</v>
      </c>
      <c r="BR114" s="38">
        <v>44713</v>
      </c>
      <c r="BS114" s="20" t="s">
        <v>185</v>
      </c>
      <c r="BT114" s="20" t="str">
        <f t="shared" si="12"/>
        <v>LaPorteuseD'Eau_COR22C51</v>
      </c>
    </row>
    <row r="115" spans="2:72" ht="18.75" customHeight="1" x14ac:dyDescent="0.25">
      <c r="B115" s="20">
        <f t="shared" si="13"/>
        <v>52</v>
      </c>
      <c r="C115" s="22" t="str">
        <f t="shared" si="9"/>
        <v>La Porteuse D'Eau #52</v>
      </c>
      <c r="D115" t="str">
        <f t="shared" si="10"/>
        <v>COR22C52</v>
      </c>
      <c r="E115" s="58" t="s">
        <v>240</v>
      </c>
      <c r="F115" s="20">
        <v>1000</v>
      </c>
      <c r="G115" s="14" t="s">
        <v>251</v>
      </c>
      <c r="H115" s="23" t="s">
        <v>170</v>
      </c>
      <c r="J115" s="59" t="s">
        <v>38</v>
      </c>
      <c r="K115" s="22" t="s">
        <v>39</v>
      </c>
      <c r="L115" s="59" t="s">
        <v>171</v>
      </c>
      <c r="M115" s="22">
        <v>2</v>
      </c>
      <c r="N115" s="59" t="s">
        <v>172</v>
      </c>
      <c r="O115" s="22">
        <v>2</v>
      </c>
      <c r="P115" s="59" t="s">
        <v>173</v>
      </c>
      <c r="Q115" s="22">
        <v>2</v>
      </c>
      <c r="V115" s="59" t="s">
        <v>176</v>
      </c>
      <c r="Z115" s="59" t="s">
        <v>40</v>
      </c>
      <c r="AA115" s="22" t="s">
        <v>46</v>
      </c>
      <c r="AH115" s="59" t="s">
        <v>41</v>
      </c>
      <c r="AI115" s="22" t="s">
        <v>48</v>
      </c>
      <c r="AJ115" s="59" t="s">
        <v>42</v>
      </c>
      <c r="AK115" s="22" t="s">
        <v>49</v>
      </c>
      <c r="AL115" s="59" t="s">
        <v>43</v>
      </c>
      <c r="AM115" s="22" t="s">
        <v>50</v>
      </c>
      <c r="AV115" s="59" t="s">
        <v>134</v>
      </c>
      <c r="AW115" s="22" t="str">
        <f>Settings!$B$5 &amp;  "?s=" &amp; D115 &amp; "&amp;platform=ftx"</f>
        <v>https://tokensol.nfluent.io?s=COR22C52&amp;platform=ftx</v>
      </c>
      <c r="AX115" s="20" t="s">
        <v>23</v>
      </c>
      <c r="AY115" s="20">
        <v>10</v>
      </c>
      <c r="AZ115" s="20" t="s">
        <v>24</v>
      </c>
      <c r="BA115" s="20">
        <v>90</v>
      </c>
      <c r="BD115" s="14"/>
      <c r="BJ115" t="s">
        <v>242</v>
      </c>
      <c r="BK115" t="s">
        <v>184</v>
      </c>
      <c r="BN115" s="36">
        <v>3000</v>
      </c>
      <c r="BO115" s="36">
        <v>3000</v>
      </c>
      <c r="BP115">
        <f t="shared" si="11"/>
        <v>480</v>
      </c>
      <c r="BR115" s="38">
        <v>44713</v>
      </c>
      <c r="BS115" s="20" t="s">
        <v>185</v>
      </c>
      <c r="BT115" s="20" t="str">
        <f t="shared" si="12"/>
        <v>LaPorteuseD'Eau_COR22C52</v>
      </c>
    </row>
    <row r="116" spans="2:72" ht="18.75" customHeight="1" x14ac:dyDescent="0.25">
      <c r="B116" s="20">
        <f t="shared" si="13"/>
        <v>53</v>
      </c>
      <c r="C116" s="22" t="str">
        <f t="shared" si="9"/>
        <v>La Porteuse D'Eau #53</v>
      </c>
      <c r="D116" t="str">
        <f t="shared" si="10"/>
        <v>COR22C53</v>
      </c>
      <c r="E116" s="58" t="s">
        <v>240</v>
      </c>
      <c r="F116" s="20">
        <v>1000</v>
      </c>
      <c r="G116" s="14" t="s">
        <v>251</v>
      </c>
      <c r="H116" s="23" t="s">
        <v>170</v>
      </c>
      <c r="J116" s="59" t="s">
        <v>38</v>
      </c>
      <c r="K116" s="22" t="s">
        <v>39</v>
      </c>
      <c r="L116" s="59" t="s">
        <v>171</v>
      </c>
      <c r="M116" s="22">
        <v>2</v>
      </c>
      <c r="N116" s="59" t="s">
        <v>172</v>
      </c>
      <c r="O116" s="22">
        <v>2</v>
      </c>
      <c r="P116" s="59" t="s">
        <v>173</v>
      </c>
      <c r="Q116" s="22">
        <v>2</v>
      </c>
      <c r="V116" s="59" t="s">
        <v>176</v>
      </c>
      <c r="Z116" s="59" t="s">
        <v>40</v>
      </c>
      <c r="AA116" s="22" t="s">
        <v>46</v>
      </c>
      <c r="AH116" s="59" t="s">
        <v>41</v>
      </c>
      <c r="AI116" s="22" t="s">
        <v>48</v>
      </c>
      <c r="AJ116" s="59" t="s">
        <v>42</v>
      </c>
      <c r="AK116" s="22" t="s">
        <v>49</v>
      </c>
      <c r="AL116" s="59" t="s">
        <v>43</v>
      </c>
      <c r="AM116" s="22" t="s">
        <v>50</v>
      </c>
      <c r="AV116" s="59" t="s">
        <v>134</v>
      </c>
      <c r="AW116" s="22" t="str">
        <f>Settings!$B$5 &amp;  "?s=" &amp; D116 &amp; "&amp;platform=ftx"</f>
        <v>https://tokensol.nfluent.io?s=COR22C53&amp;platform=ftx</v>
      </c>
      <c r="AX116" s="20" t="s">
        <v>23</v>
      </c>
      <c r="AY116" s="20">
        <v>10</v>
      </c>
      <c r="AZ116" s="20" t="s">
        <v>24</v>
      </c>
      <c r="BA116" s="20">
        <v>90</v>
      </c>
      <c r="BD116" s="14"/>
      <c r="BJ116" t="s">
        <v>242</v>
      </c>
      <c r="BK116" t="s">
        <v>184</v>
      </c>
      <c r="BN116" s="36">
        <v>3000</v>
      </c>
      <c r="BO116" s="36">
        <v>3000</v>
      </c>
      <c r="BP116">
        <f t="shared" si="11"/>
        <v>480</v>
      </c>
      <c r="BR116" s="38">
        <v>44713</v>
      </c>
      <c r="BS116" s="20" t="s">
        <v>185</v>
      </c>
      <c r="BT116" s="20" t="str">
        <f t="shared" si="12"/>
        <v>LaPorteuseD'Eau_COR22C53</v>
      </c>
    </row>
    <row r="117" spans="2:72" ht="18.75" customHeight="1" x14ac:dyDescent="0.25">
      <c r="B117" s="20">
        <f t="shared" si="13"/>
        <v>54</v>
      </c>
      <c r="C117" s="22" t="str">
        <f t="shared" si="9"/>
        <v>La Porteuse D'Eau #54</v>
      </c>
      <c r="D117" t="str">
        <f t="shared" si="10"/>
        <v>COR22C54</v>
      </c>
      <c r="E117" s="58" t="s">
        <v>240</v>
      </c>
      <c r="F117" s="20">
        <v>1000</v>
      </c>
      <c r="G117" s="14" t="s">
        <v>251</v>
      </c>
      <c r="H117" s="23" t="s">
        <v>170</v>
      </c>
      <c r="J117" s="59" t="s">
        <v>38</v>
      </c>
      <c r="K117" s="22" t="s">
        <v>39</v>
      </c>
      <c r="L117" s="59" t="s">
        <v>171</v>
      </c>
      <c r="M117" s="22">
        <v>2</v>
      </c>
      <c r="N117" s="59" t="s">
        <v>172</v>
      </c>
      <c r="O117" s="22">
        <v>2</v>
      </c>
      <c r="P117" s="59" t="s">
        <v>173</v>
      </c>
      <c r="Q117" s="22">
        <v>2</v>
      </c>
      <c r="V117" s="59" t="s">
        <v>176</v>
      </c>
      <c r="Z117" s="59" t="s">
        <v>40</v>
      </c>
      <c r="AA117" s="22" t="s">
        <v>46</v>
      </c>
      <c r="AH117" s="59" t="s">
        <v>41</v>
      </c>
      <c r="AI117" s="22" t="s">
        <v>48</v>
      </c>
      <c r="AJ117" s="59" t="s">
        <v>42</v>
      </c>
      <c r="AK117" s="22" t="s">
        <v>49</v>
      </c>
      <c r="AL117" s="59" t="s">
        <v>43</v>
      </c>
      <c r="AM117" s="22" t="s">
        <v>50</v>
      </c>
      <c r="AV117" s="59" t="s">
        <v>134</v>
      </c>
      <c r="AW117" s="22" t="str">
        <f>Settings!$B$5 &amp;  "?s=" &amp; D117 &amp; "&amp;platform=ftx"</f>
        <v>https://tokensol.nfluent.io?s=COR22C54&amp;platform=ftx</v>
      </c>
      <c r="AX117" s="20" t="s">
        <v>23</v>
      </c>
      <c r="AY117" s="20">
        <v>10</v>
      </c>
      <c r="AZ117" s="20" t="s">
        <v>24</v>
      </c>
      <c r="BA117" s="20">
        <v>90</v>
      </c>
      <c r="BD117" s="14"/>
      <c r="BJ117" t="s">
        <v>242</v>
      </c>
      <c r="BK117" t="s">
        <v>184</v>
      </c>
      <c r="BN117" s="36">
        <v>3000</v>
      </c>
      <c r="BO117" s="36">
        <v>3000</v>
      </c>
      <c r="BP117">
        <f t="shared" si="11"/>
        <v>480</v>
      </c>
      <c r="BR117" s="38">
        <v>44713</v>
      </c>
      <c r="BS117" s="20" t="s">
        <v>185</v>
      </c>
      <c r="BT117" s="20" t="str">
        <f t="shared" si="12"/>
        <v>LaPorteuseD'Eau_COR22C54</v>
      </c>
    </row>
    <row r="118" spans="2:72" ht="18.75" customHeight="1" x14ac:dyDescent="0.25">
      <c r="B118" s="20">
        <f t="shared" si="13"/>
        <v>55</v>
      </c>
      <c r="C118" s="22" t="str">
        <f t="shared" si="9"/>
        <v>La Porteuse D'Eau #55</v>
      </c>
      <c r="D118" t="str">
        <f t="shared" si="10"/>
        <v>COR22C55</v>
      </c>
      <c r="E118" s="58" t="s">
        <v>240</v>
      </c>
      <c r="F118" s="20">
        <v>1000</v>
      </c>
      <c r="G118" s="14" t="s">
        <v>251</v>
      </c>
      <c r="H118" s="23" t="s">
        <v>170</v>
      </c>
      <c r="J118" s="59" t="s">
        <v>38</v>
      </c>
      <c r="K118" s="22" t="s">
        <v>39</v>
      </c>
      <c r="L118" s="59" t="s">
        <v>171</v>
      </c>
      <c r="M118" s="22">
        <v>2</v>
      </c>
      <c r="N118" s="59" t="s">
        <v>172</v>
      </c>
      <c r="O118" s="22">
        <v>2</v>
      </c>
      <c r="P118" s="59" t="s">
        <v>173</v>
      </c>
      <c r="Q118" s="22">
        <v>2</v>
      </c>
      <c r="V118" s="59" t="s">
        <v>176</v>
      </c>
      <c r="Z118" s="59" t="s">
        <v>40</v>
      </c>
      <c r="AA118" s="22" t="s">
        <v>46</v>
      </c>
      <c r="AH118" s="59" t="s">
        <v>41</v>
      </c>
      <c r="AI118" s="22" t="s">
        <v>48</v>
      </c>
      <c r="AJ118" s="59" t="s">
        <v>42</v>
      </c>
      <c r="AK118" s="22" t="s">
        <v>49</v>
      </c>
      <c r="AL118" s="59" t="s">
        <v>43</v>
      </c>
      <c r="AM118" s="22" t="s">
        <v>50</v>
      </c>
      <c r="AV118" s="59" t="s">
        <v>134</v>
      </c>
      <c r="AW118" s="22" t="str">
        <f>Settings!$B$5 &amp;  "?s=" &amp; D118 &amp; "&amp;platform=ftx"</f>
        <v>https://tokensol.nfluent.io?s=COR22C55&amp;platform=ftx</v>
      </c>
      <c r="AX118" s="20" t="s">
        <v>23</v>
      </c>
      <c r="AY118" s="20">
        <v>10</v>
      </c>
      <c r="AZ118" s="20" t="s">
        <v>24</v>
      </c>
      <c r="BA118" s="20">
        <v>90</v>
      </c>
      <c r="BD118" s="14"/>
      <c r="BJ118" t="s">
        <v>242</v>
      </c>
      <c r="BK118" t="s">
        <v>184</v>
      </c>
      <c r="BN118" s="36">
        <v>3000</v>
      </c>
      <c r="BO118" s="36">
        <v>3000</v>
      </c>
      <c r="BP118">
        <f t="shared" si="11"/>
        <v>480</v>
      </c>
      <c r="BR118" s="38">
        <v>44713</v>
      </c>
      <c r="BS118" s="20" t="s">
        <v>185</v>
      </c>
      <c r="BT118" s="20" t="str">
        <f t="shared" si="12"/>
        <v>LaPorteuseD'Eau_COR22C55</v>
      </c>
    </row>
    <row r="119" spans="2:72" ht="18.75" customHeight="1" x14ac:dyDescent="0.25">
      <c r="B119" s="20">
        <f t="shared" si="13"/>
        <v>56</v>
      </c>
      <c r="C119" s="22" t="str">
        <f t="shared" si="9"/>
        <v>La Porteuse D'Eau #56</v>
      </c>
      <c r="D119" t="str">
        <f t="shared" si="10"/>
        <v>COR22C56</v>
      </c>
      <c r="E119" s="58" t="s">
        <v>240</v>
      </c>
      <c r="F119" s="20">
        <v>1000</v>
      </c>
      <c r="G119" s="14" t="s">
        <v>251</v>
      </c>
      <c r="H119" s="23" t="s">
        <v>170</v>
      </c>
      <c r="J119" s="59" t="s">
        <v>38</v>
      </c>
      <c r="K119" s="22" t="s">
        <v>39</v>
      </c>
      <c r="L119" s="59" t="s">
        <v>171</v>
      </c>
      <c r="M119" s="22">
        <v>2</v>
      </c>
      <c r="N119" s="59" t="s">
        <v>172</v>
      </c>
      <c r="O119" s="22">
        <v>2</v>
      </c>
      <c r="P119" s="59" t="s">
        <v>173</v>
      </c>
      <c r="Q119" s="22">
        <v>2</v>
      </c>
      <c r="V119" s="59" t="s">
        <v>176</v>
      </c>
      <c r="Z119" s="59" t="s">
        <v>40</v>
      </c>
      <c r="AA119" s="22" t="s">
        <v>46</v>
      </c>
      <c r="AH119" s="59" t="s">
        <v>41</v>
      </c>
      <c r="AI119" s="22" t="s">
        <v>48</v>
      </c>
      <c r="AJ119" s="59" t="s">
        <v>42</v>
      </c>
      <c r="AK119" s="22" t="s">
        <v>49</v>
      </c>
      <c r="AL119" s="59" t="s">
        <v>43</v>
      </c>
      <c r="AM119" s="22" t="s">
        <v>50</v>
      </c>
      <c r="AV119" s="59" t="s">
        <v>134</v>
      </c>
      <c r="AW119" s="22" t="str">
        <f>Settings!$B$5 &amp;  "?s=" &amp; D119 &amp; "&amp;platform=ftx"</f>
        <v>https://tokensol.nfluent.io?s=COR22C56&amp;platform=ftx</v>
      </c>
      <c r="AX119" s="20" t="s">
        <v>23</v>
      </c>
      <c r="AY119" s="20">
        <v>10</v>
      </c>
      <c r="AZ119" s="20" t="s">
        <v>24</v>
      </c>
      <c r="BA119" s="20">
        <v>90</v>
      </c>
      <c r="BD119" s="14"/>
      <c r="BJ119" t="s">
        <v>242</v>
      </c>
      <c r="BK119" t="s">
        <v>184</v>
      </c>
      <c r="BN119" s="36">
        <v>3000</v>
      </c>
      <c r="BO119" s="36">
        <v>3000</v>
      </c>
      <c r="BP119">
        <f t="shared" si="11"/>
        <v>480</v>
      </c>
      <c r="BR119" s="38">
        <v>44713</v>
      </c>
      <c r="BS119" s="20" t="s">
        <v>185</v>
      </c>
      <c r="BT119" s="20" t="str">
        <f t="shared" si="12"/>
        <v>LaPorteuseD'Eau_COR22C56</v>
      </c>
    </row>
    <row r="120" spans="2:72" ht="18.75" customHeight="1" x14ac:dyDescent="0.25">
      <c r="B120" s="20">
        <f t="shared" si="13"/>
        <v>57</v>
      </c>
      <c r="C120" s="22" t="str">
        <f t="shared" si="9"/>
        <v>La Porteuse D'Eau #57</v>
      </c>
      <c r="D120" t="str">
        <f t="shared" si="10"/>
        <v>COR22C57</v>
      </c>
      <c r="E120" s="58" t="s">
        <v>240</v>
      </c>
      <c r="F120" s="20">
        <v>1000</v>
      </c>
      <c r="G120" s="14" t="s">
        <v>251</v>
      </c>
      <c r="H120" s="23" t="s">
        <v>170</v>
      </c>
      <c r="J120" s="59" t="s">
        <v>38</v>
      </c>
      <c r="K120" s="22" t="s">
        <v>39</v>
      </c>
      <c r="L120" s="59" t="s">
        <v>171</v>
      </c>
      <c r="M120" s="22">
        <v>2</v>
      </c>
      <c r="N120" s="59" t="s">
        <v>172</v>
      </c>
      <c r="O120" s="22">
        <v>2</v>
      </c>
      <c r="P120" s="59" t="s">
        <v>173</v>
      </c>
      <c r="Q120" s="22">
        <v>2</v>
      </c>
      <c r="V120" s="59" t="s">
        <v>176</v>
      </c>
      <c r="Z120" s="59" t="s">
        <v>40</v>
      </c>
      <c r="AA120" s="22" t="s">
        <v>46</v>
      </c>
      <c r="AH120" s="59" t="s">
        <v>41</v>
      </c>
      <c r="AI120" s="22" t="s">
        <v>48</v>
      </c>
      <c r="AJ120" s="59" t="s">
        <v>42</v>
      </c>
      <c r="AK120" s="22" t="s">
        <v>49</v>
      </c>
      <c r="AL120" s="59" t="s">
        <v>43</v>
      </c>
      <c r="AM120" s="22" t="s">
        <v>50</v>
      </c>
      <c r="AV120" s="59" t="s">
        <v>134</v>
      </c>
      <c r="AW120" s="22" t="str">
        <f>Settings!$B$5 &amp;  "?s=" &amp; D120 &amp; "&amp;platform=ftx"</f>
        <v>https://tokensol.nfluent.io?s=COR22C57&amp;platform=ftx</v>
      </c>
      <c r="AX120" s="20" t="s">
        <v>23</v>
      </c>
      <c r="AY120" s="20">
        <v>10</v>
      </c>
      <c r="AZ120" s="20" t="s">
        <v>24</v>
      </c>
      <c r="BA120" s="20">
        <v>90</v>
      </c>
      <c r="BD120" s="14"/>
      <c r="BJ120" t="s">
        <v>242</v>
      </c>
      <c r="BK120" t="s">
        <v>184</v>
      </c>
      <c r="BN120" s="36">
        <v>3000</v>
      </c>
      <c r="BO120" s="36">
        <v>3000</v>
      </c>
      <c r="BP120">
        <f t="shared" si="11"/>
        <v>480</v>
      </c>
      <c r="BR120" s="38">
        <v>44713</v>
      </c>
      <c r="BS120" s="20" t="s">
        <v>185</v>
      </c>
      <c r="BT120" s="20" t="str">
        <f t="shared" si="12"/>
        <v>LaPorteuseD'Eau_COR22C57</v>
      </c>
    </row>
    <row r="121" spans="2:72" ht="18.75" customHeight="1" x14ac:dyDescent="0.25">
      <c r="B121" s="20">
        <f t="shared" si="13"/>
        <v>58</v>
      </c>
      <c r="C121" s="22" t="str">
        <f t="shared" si="9"/>
        <v>La Porteuse D'Eau #58</v>
      </c>
      <c r="D121" t="str">
        <f t="shared" si="10"/>
        <v>COR22C58</v>
      </c>
      <c r="E121" s="58" t="s">
        <v>240</v>
      </c>
      <c r="F121" s="20">
        <v>1000</v>
      </c>
      <c r="G121" s="14" t="s">
        <v>251</v>
      </c>
      <c r="H121" s="23" t="s">
        <v>170</v>
      </c>
      <c r="J121" s="59" t="s">
        <v>38</v>
      </c>
      <c r="K121" s="22" t="s">
        <v>39</v>
      </c>
      <c r="L121" s="59" t="s">
        <v>171</v>
      </c>
      <c r="M121" s="22">
        <v>2</v>
      </c>
      <c r="N121" s="59" t="s">
        <v>172</v>
      </c>
      <c r="O121" s="22">
        <v>2</v>
      </c>
      <c r="P121" s="59" t="s">
        <v>173</v>
      </c>
      <c r="Q121" s="22">
        <v>2</v>
      </c>
      <c r="V121" s="59" t="s">
        <v>176</v>
      </c>
      <c r="Z121" s="59" t="s">
        <v>40</v>
      </c>
      <c r="AA121" s="22" t="s">
        <v>46</v>
      </c>
      <c r="AH121" s="59" t="s">
        <v>41</v>
      </c>
      <c r="AI121" s="22" t="s">
        <v>48</v>
      </c>
      <c r="AJ121" s="59" t="s">
        <v>42</v>
      </c>
      <c r="AK121" s="22" t="s">
        <v>49</v>
      </c>
      <c r="AL121" s="59" t="s">
        <v>43</v>
      </c>
      <c r="AM121" s="22" t="s">
        <v>50</v>
      </c>
      <c r="AV121" s="59" t="s">
        <v>134</v>
      </c>
      <c r="AW121" s="22" t="str">
        <f>Settings!$B$5 &amp;  "?s=" &amp; D121 &amp; "&amp;platform=ftx"</f>
        <v>https://tokensol.nfluent.io?s=COR22C58&amp;platform=ftx</v>
      </c>
      <c r="AX121" s="20" t="s">
        <v>23</v>
      </c>
      <c r="AY121" s="20">
        <v>10</v>
      </c>
      <c r="AZ121" s="20" t="s">
        <v>24</v>
      </c>
      <c r="BA121" s="20">
        <v>90</v>
      </c>
      <c r="BD121" s="14"/>
      <c r="BJ121" t="s">
        <v>242</v>
      </c>
      <c r="BK121" t="s">
        <v>184</v>
      </c>
      <c r="BN121" s="36">
        <v>3000</v>
      </c>
      <c r="BO121" s="36">
        <v>3000</v>
      </c>
      <c r="BP121">
        <f t="shared" si="11"/>
        <v>480</v>
      </c>
      <c r="BR121" s="38">
        <v>44713</v>
      </c>
      <c r="BS121" s="20" t="s">
        <v>185</v>
      </c>
      <c r="BT121" s="20" t="str">
        <f t="shared" si="12"/>
        <v>LaPorteuseD'Eau_COR22C58</v>
      </c>
    </row>
    <row r="122" spans="2:72" ht="18.75" customHeight="1" x14ac:dyDescent="0.25">
      <c r="B122" s="20">
        <f t="shared" si="13"/>
        <v>59</v>
      </c>
      <c r="C122" s="22" t="str">
        <f t="shared" si="9"/>
        <v>La Porteuse D'Eau #59</v>
      </c>
      <c r="D122" t="str">
        <f t="shared" si="10"/>
        <v>COR22C59</v>
      </c>
      <c r="E122" s="58" t="s">
        <v>240</v>
      </c>
      <c r="F122" s="20">
        <v>1000</v>
      </c>
      <c r="G122" s="14" t="s">
        <v>251</v>
      </c>
      <c r="H122" s="23" t="s">
        <v>170</v>
      </c>
      <c r="J122" s="59" t="s">
        <v>38</v>
      </c>
      <c r="K122" s="22" t="s">
        <v>39</v>
      </c>
      <c r="L122" s="59" t="s">
        <v>171</v>
      </c>
      <c r="M122" s="22">
        <v>2</v>
      </c>
      <c r="N122" s="59" t="s">
        <v>172</v>
      </c>
      <c r="O122" s="22">
        <v>2</v>
      </c>
      <c r="P122" s="59" t="s">
        <v>173</v>
      </c>
      <c r="Q122" s="22">
        <v>2</v>
      </c>
      <c r="V122" s="59" t="s">
        <v>176</v>
      </c>
      <c r="Z122" s="59" t="s">
        <v>40</v>
      </c>
      <c r="AA122" s="22" t="s">
        <v>46</v>
      </c>
      <c r="AH122" s="59" t="s">
        <v>41</v>
      </c>
      <c r="AI122" s="22" t="s">
        <v>48</v>
      </c>
      <c r="AJ122" s="59" t="s">
        <v>42</v>
      </c>
      <c r="AK122" s="22" t="s">
        <v>49</v>
      </c>
      <c r="AL122" s="59" t="s">
        <v>43</v>
      </c>
      <c r="AM122" s="22" t="s">
        <v>50</v>
      </c>
      <c r="AV122" s="59" t="s">
        <v>134</v>
      </c>
      <c r="AW122" s="22" t="str">
        <f>Settings!$B$5 &amp;  "?s=" &amp; D122 &amp; "&amp;platform=ftx"</f>
        <v>https://tokensol.nfluent.io?s=COR22C59&amp;platform=ftx</v>
      </c>
      <c r="AX122" s="20" t="s">
        <v>23</v>
      </c>
      <c r="AY122" s="20">
        <v>10</v>
      </c>
      <c r="AZ122" s="20" t="s">
        <v>24</v>
      </c>
      <c r="BA122" s="20">
        <v>90</v>
      </c>
      <c r="BD122" s="14"/>
      <c r="BJ122" t="s">
        <v>242</v>
      </c>
      <c r="BK122" t="s">
        <v>184</v>
      </c>
      <c r="BN122" s="36">
        <v>3000</v>
      </c>
      <c r="BO122" s="36">
        <v>3000</v>
      </c>
      <c r="BP122">
        <f t="shared" si="11"/>
        <v>480</v>
      </c>
      <c r="BR122" s="38">
        <v>44713</v>
      </c>
      <c r="BS122" s="20" t="s">
        <v>185</v>
      </c>
      <c r="BT122" s="20" t="str">
        <f t="shared" si="12"/>
        <v>LaPorteuseD'Eau_COR22C59</v>
      </c>
    </row>
    <row r="123" spans="2:72" ht="18.75" customHeight="1" x14ac:dyDescent="0.25">
      <c r="B123" s="20">
        <f t="shared" si="13"/>
        <v>60</v>
      </c>
      <c r="C123" s="22" t="str">
        <f t="shared" si="9"/>
        <v>La Porteuse D'Eau #60</v>
      </c>
      <c r="D123" t="str">
        <f t="shared" si="10"/>
        <v>COR22C60</v>
      </c>
      <c r="E123" s="58" t="s">
        <v>240</v>
      </c>
      <c r="F123" s="20">
        <v>1000</v>
      </c>
      <c r="G123" s="14" t="s">
        <v>251</v>
      </c>
      <c r="H123" s="23" t="s">
        <v>170</v>
      </c>
      <c r="J123" s="59" t="s">
        <v>38</v>
      </c>
      <c r="K123" s="22" t="s">
        <v>39</v>
      </c>
      <c r="L123" s="59" t="s">
        <v>171</v>
      </c>
      <c r="M123" s="22">
        <v>2</v>
      </c>
      <c r="N123" s="59" t="s">
        <v>172</v>
      </c>
      <c r="O123" s="22">
        <v>2</v>
      </c>
      <c r="P123" s="59" t="s">
        <v>173</v>
      </c>
      <c r="Q123" s="22">
        <v>2</v>
      </c>
      <c r="V123" s="59" t="s">
        <v>176</v>
      </c>
      <c r="Z123" s="59" t="s">
        <v>40</v>
      </c>
      <c r="AA123" s="22" t="s">
        <v>46</v>
      </c>
      <c r="AH123" s="59" t="s">
        <v>41</v>
      </c>
      <c r="AI123" s="22" t="s">
        <v>48</v>
      </c>
      <c r="AJ123" s="59" t="s">
        <v>42</v>
      </c>
      <c r="AK123" s="22" t="s">
        <v>49</v>
      </c>
      <c r="AL123" s="59" t="s">
        <v>43</v>
      </c>
      <c r="AM123" s="22" t="s">
        <v>50</v>
      </c>
      <c r="AV123" s="59" t="s">
        <v>134</v>
      </c>
      <c r="AW123" s="22" t="str">
        <f>Settings!$B$5 &amp;  "?s=" &amp; D123 &amp; "&amp;platform=ftx"</f>
        <v>https://tokensol.nfluent.io?s=COR22C60&amp;platform=ftx</v>
      </c>
      <c r="AX123" s="20" t="s">
        <v>23</v>
      </c>
      <c r="AY123" s="20">
        <v>10</v>
      </c>
      <c r="AZ123" s="20" t="s">
        <v>24</v>
      </c>
      <c r="BA123" s="20">
        <v>90</v>
      </c>
      <c r="BD123" s="14"/>
      <c r="BJ123" t="s">
        <v>242</v>
      </c>
      <c r="BK123" t="s">
        <v>184</v>
      </c>
      <c r="BN123" s="36">
        <v>3000</v>
      </c>
      <c r="BO123" s="36">
        <v>3000</v>
      </c>
      <c r="BP123">
        <f t="shared" si="11"/>
        <v>480</v>
      </c>
      <c r="BR123" s="38">
        <v>44713</v>
      </c>
      <c r="BS123" s="20" t="s">
        <v>185</v>
      </c>
      <c r="BT123" s="20" t="str">
        <f t="shared" si="12"/>
        <v>LaPorteuseD'Eau_COR22C60</v>
      </c>
    </row>
    <row r="124" spans="2:72" ht="18.75" customHeight="1" x14ac:dyDescent="0.25">
      <c r="B124" s="20">
        <f t="shared" si="13"/>
        <v>61</v>
      </c>
      <c r="C124" s="22" t="str">
        <f t="shared" si="9"/>
        <v>La Porteuse D'Eau #61</v>
      </c>
      <c r="D124" t="str">
        <f t="shared" si="10"/>
        <v>COR22C61</v>
      </c>
      <c r="E124" s="58" t="s">
        <v>240</v>
      </c>
      <c r="F124" s="20">
        <v>1000</v>
      </c>
      <c r="G124" s="14" t="s">
        <v>251</v>
      </c>
      <c r="H124" s="23" t="s">
        <v>170</v>
      </c>
      <c r="J124" s="59" t="s">
        <v>38</v>
      </c>
      <c r="K124" s="22" t="s">
        <v>39</v>
      </c>
      <c r="L124" s="59" t="s">
        <v>171</v>
      </c>
      <c r="M124" s="22">
        <v>2</v>
      </c>
      <c r="N124" s="59" t="s">
        <v>172</v>
      </c>
      <c r="O124" s="22">
        <v>2</v>
      </c>
      <c r="P124" s="59" t="s">
        <v>173</v>
      </c>
      <c r="Q124" s="22">
        <v>2</v>
      </c>
      <c r="V124" s="59" t="s">
        <v>176</v>
      </c>
      <c r="Z124" s="59" t="s">
        <v>40</v>
      </c>
      <c r="AA124" s="22" t="s">
        <v>46</v>
      </c>
      <c r="AH124" s="59" t="s">
        <v>41</v>
      </c>
      <c r="AI124" s="22" t="s">
        <v>48</v>
      </c>
      <c r="AJ124" s="59" t="s">
        <v>42</v>
      </c>
      <c r="AK124" s="22" t="s">
        <v>49</v>
      </c>
      <c r="AL124" s="59" t="s">
        <v>43</v>
      </c>
      <c r="AM124" s="22" t="s">
        <v>50</v>
      </c>
      <c r="AV124" s="59" t="s">
        <v>134</v>
      </c>
      <c r="AW124" s="22" t="str">
        <f>Settings!$B$5 &amp;  "?s=" &amp; D124 &amp; "&amp;platform=ftx"</f>
        <v>https://tokensol.nfluent.io?s=COR22C61&amp;platform=ftx</v>
      </c>
      <c r="AX124" s="20" t="s">
        <v>23</v>
      </c>
      <c r="AY124" s="20">
        <v>10</v>
      </c>
      <c r="AZ124" s="20" t="s">
        <v>24</v>
      </c>
      <c r="BA124" s="20">
        <v>90</v>
      </c>
      <c r="BD124" s="14"/>
      <c r="BJ124" t="s">
        <v>242</v>
      </c>
      <c r="BK124" t="s">
        <v>184</v>
      </c>
      <c r="BN124" s="36">
        <v>3000</v>
      </c>
      <c r="BO124" s="36">
        <v>3000</v>
      </c>
      <c r="BP124">
        <f t="shared" si="11"/>
        <v>480</v>
      </c>
      <c r="BR124" s="38">
        <v>44713</v>
      </c>
      <c r="BS124" s="20" t="s">
        <v>185</v>
      </c>
      <c r="BT124" s="20" t="str">
        <f t="shared" si="12"/>
        <v>LaPorteuseD'Eau_COR22C61</v>
      </c>
    </row>
    <row r="125" spans="2:72" ht="18.75" customHeight="1" x14ac:dyDescent="0.25">
      <c r="B125" s="20">
        <f t="shared" si="13"/>
        <v>62</v>
      </c>
      <c r="C125" s="22" t="str">
        <f t="shared" si="9"/>
        <v>La Porteuse D'Eau #62</v>
      </c>
      <c r="D125" t="str">
        <f t="shared" si="10"/>
        <v>COR22C62</v>
      </c>
      <c r="E125" s="58" t="s">
        <v>240</v>
      </c>
      <c r="F125" s="20">
        <v>1000</v>
      </c>
      <c r="G125" s="14" t="s">
        <v>251</v>
      </c>
      <c r="H125" s="23" t="s">
        <v>170</v>
      </c>
      <c r="J125" s="59" t="s">
        <v>38</v>
      </c>
      <c r="K125" s="22" t="s">
        <v>39</v>
      </c>
      <c r="L125" s="59" t="s">
        <v>171</v>
      </c>
      <c r="M125" s="22">
        <v>2</v>
      </c>
      <c r="N125" s="59" t="s">
        <v>172</v>
      </c>
      <c r="O125" s="22">
        <v>2</v>
      </c>
      <c r="P125" s="59" t="s">
        <v>173</v>
      </c>
      <c r="Q125" s="22">
        <v>2</v>
      </c>
      <c r="V125" s="59" t="s">
        <v>176</v>
      </c>
      <c r="Z125" s="59" t="s">
        <v>40</v>
      </c>
      <c r="AA125" s="22" t="s">
        <v>46</v>
      </c>
      <c r="AH125" s="59" t="s">
        <v>41</v>
      </c>
      <c r="AI125" s="22" t="s">
        <v>48</v>
      </c>
      <c r="AJ125" s="59" t="s">
        <v>42</v>
      </c>
      <c r="AK125" s="22" t="s">
        <v>49</v>
      </c>
      <c r="AL125" s="59" t="s">
        <v>43</v>
      </c>
      <c r="AM125" s="22" t="s">
        <v>50</v>
      </c>
      <c r="AV125" s="59" t="s">
        <v>134</v>
      </c>
      <c r="AW125" s="22" t="str">
        <f>Settings!$B$5 &amp;  "?s=" &amp; D125 &amp; "&amp;platform=ftx"</f>
        <v>https://tokensol.nfluent.io?s=COR22C62&amp;platform=ftx</v>
      </c>
      <c r="AX125" s="20" t="s">
        <v>23</v>
      </c>
      <c r="AY125" s="20">
        <v>10</v>
      </c>
      <c r="AZ125" s="20" t="s">
        <v>24</v>
      </c>
      <c r="BA125" s="20">
        <v>90</v>
      </c>
      <c r="BD125" s="14"/>
      <c r="BJ125" t="s">
        <v>242</v>
      </c>
      <c r="BK125" t="s">
        <v>184</v>
      </c>
      <c r="BN125" s="36">
        <v>3000</v>
      </c>
      <c r="BO125" s="36">
        <v>3000</v>
      </c>
      <c r="BP125">
        <f t="shared" si="11"/>
        <v>480</v>
      </c>
      <c r="BR125" s="38">
        <v>44713</v>
      </c>
      <c r="BS125" s="20" t="s">
        <v>185</v>
      </c>
      <c r="BT125" s="20" t="str">
        <f t="shared" si="12"/>
        <v>LaPorteuseD'Eau_COR22C62</v>
      </c>
    </row>
    <row r="126" spans="2:72" ht="18.75" customHeight="1" x14ac:dyDescent="0.25">
      <c r="B126" s="20">
        <f t="shared" si="13"/>
        <v>63</v>
      </c>
      <c r="C126" s="22" t="str">
        <f t="shared" si="9"/>
        <v>La Porteuse D'Eau #63</v>
      </c>
      <c r="D126" t="str">
        <f t="shared" si="10"/>
        <v>COR22C63</v>
      </c>
      <c r="E126" s="58" t="s">
        <v>240</v>
      </c>
      <c r="F126" s="20">
        <v>1000</v>
      </c>
      <c r="G126" s="14" t="s">
        <v>251</v>
      </c>
      <c r="H126" s="23" t="s">
        <v>170</v>
      </c>
      <c r="J126" s="59" t="s">
        <v>38</v>
      </c>
      <c r="K126" s="22" t="s">
        <v>39</v>
      </c>
      <c r="L126" s="59" t="s">
        <v>171</v>
      </c>
      <c r="M126" s="22">
        <v>2</v>
      </c>
      <c r="N126" s="59" t="s">
        <v>172</v>
      </c>
      <c r="O126" s="22">
        <v>2</v>
      </c>
      <c r="P126" s="59" t="s">
        <v>173</v>
      </c>
      <c r="Q126" s="22">
        <v>2</v>
      </c>
      <c r="V126" s="59" t="s">
        <v>176</v>
      </c>
      <c r="Z126" s="59" t="s">
        <v>40</v>
      </c>
      <c r="AA126" s="22" t="s">
        <v>46</v>
      </c>
      <c r="AH126" s="59" t="s">
        <v>41</v>
      </c>
      <c r="AI126" s="22" t="s">
        <v>48</v>
      </c>
      <c r="AJ126" s="59" t="s">
        <v>42</v>
      </c>
      <c r="AK126" s="22" t="s">
        <v>49</v>
      </c>
      <c r="AL126" s="59" t="s">
        <v>43</v>
      </c>
      <c r="AM126" s="22" t="s">
        <v>50</v>
      </c>
      <c r="AV126" s="59" t="s">
        <v>134</v>
      </c>
      <c r="AW126" s="22" t="str">
        <f>Settings!$B$5 &amp;  "?s=" &amp; D126 &amp; "&amp;platform=ftx"</f>
        <v>https://tokensol.nfluent.io?s=COR22C63&amp;platform=ftx</v>
      </c>
      <c r="AX126" s="20" t="s">
        <v>23</v>
      </c>
      <c r="AY126" s="20">
        <v>10</v>
      </c>
      <c r="AZ126" s="20" t="s">
        <v>24</v>
      </c>
      <c r="BA126" s="20">
        <v>90</v>
      </c>
      <c r="BD126" s="14"/>
      <c r="BJ126" t="s">
        <v>242</v>
      </c>
      <c r="BK126" t="s">
        <v>184</v>
      </c>
      <c r="BN126" s="36">
        <v>3000</v>
      </c>
      <c r="BO126" s="36">
        <v>3000</v>
      </c>
      <c r="BP126">
        <f t="shared" si="11"/>
        <v>480</v>
      </c>
      <c r="BR126" s="38">
        <v>44713</v>
      </c>
      <c r="BS126" s="20" t="s">
        <v>185</v>
      </c>
      <c r="BT126" s="20" t="str">
        <f t="shared" si="12"/>
        <v>LaPorteuseD'Eau_COR22C63</v>
      </c>
    </row>
    <row r="127" spans="2:72" ht="18.75" customHeight="1" x14ac:dyDescent="0.25">
      <c r="B127" s="20">
        <f t="shared" si="13"/>
        <v>64</v>
      </c>
      <c r="C127" s="22" t="str">
        <f t="shared" si="9"/>
        <v>La Porteuse D'Eau #64</v>
      </c>
      <c r="D127" t="str">
        <f t="shared" si="10"/>
        <v>COR22C64</v>
      </c>
      <c r="E127" s="58" t="s">
        <v>240</v>
      </c>
      <c r="F127" s="20">
        <v>1000</v>
      </c>
      <c r="G127" s="14" t="s">
        <v>251</v>
      </c>
      <c r="H127" s="23" t="s">
        <v>170</v>
      </c>
      <c r="J127" s="59" t="s">
        <v>38</v>
      </c>
      <c r="K127" s="22" t="s">
        <v>39</v>
      </c>
      <c r="L127" s="59" t="s">
        <v>171</v>
      </c>
      <c r="M127" s="22">
        <v>2</v>
      </c>
      <c r="N127" s="59" t="s">
        <v>172</v>
      </c>
      <c r="O127" s="22">
        <v>2</v>
      </c>
      <c r="P127" s="59" t="s">
        <v>173</v>
      </c>
      <c r="Q127" s="22">
        <v>2</v>
      </c>
      <c r="V127" s="59" t="s">
        <v>176</v>
      </c>
      <c r="Z127" s="59" t="s">
        <v>40</v>
      </c>
      <c r="AA127" s="22" t="s">
        <v>46</v>
      </c>
      <c r="AH127" s="59" t="s">
        <v>41</v>
      </c>
      <c r="AI127" s="22" t="s">
        <v>48</v>
      </c>
      <c r="AJ127" s="59" t="s">
        <v>42</v>
      </c>
      <c r="AK127" s="22" t="s">
        <v>49</v>
      </c>
      <c r="AL127" s="59" t="s">
        <v>43</v>
      </c>
      <c r="AM127" s="22" t="s">
        <v>50</v>
      </c>
      <c r="AV127" s="59" t="s">
        <v>134</v>
      </c>
      <c r="AW127" s="22" t="str">
        <f>Settings!$B$5 &amp;  "?s=" &amp; D127 &amp; "&amp;platform=ftx"</f>
        <v>https://tokensol.nfluent.io?s=COR22C64&amp;platform=ftx</v>
      </c>
      <c r="AX127" s="20" t="s">
        <v>23</v>
      </c>
      <c r="AY127" s="20">
        <v>10</v>
      </c>
      <c r="AZ127" s="20" t="s">
        <v>24</v>
      </c>
      <c r="BA127" s="20">
        <v>90</v>
      </c>
      <c r="BD127" s="14"/>
      <c r="BJ127" t="s">
        <v>242</v>
      </c>
      <c r="BK127" t="s">
        <v>184</v>
      </c>
      <c r="BN127" s="36">
        <v>3000</v>
      </c>
      <c r="BO127" s="36">
        <v>3000</v>
      </c>
      <c r="BP127">
        <f t="shared" si="11"/>
        <v>480</v>
      </c>
      <c r="BR127" s="38">
        <v>44713</v>
      </c>
      <c r="BS127" s="20" t="s">
        <v>185</v>
      </c>
      <c r="BT127" s="20" t="str">
        <f t="shared" si="12"/>
        <v>LaPorteuseD'Eau_COR22C64</v>
      </c>
    </row>
    <row r="128" spans="2:72" ht="18.75" customHeight="1" x14ac:dyDescent="0.25">
      <c r="B128" s="20">
        <f t="shared" si="13"/>
        <v>65</v>
      </c>
      <c r="C128" s="22" t="str">
        <f t="shared" si="9"/>
        <v>La Porteuse D'Eau #65</v>
      </c>
      <c r="D128" t="str">
        <f t="shared" si="10"/>
        <v>COR22C65</v>
      </c>
      <c r="E128" s="58" t="s">
        <v>240</v>
      </c>
      <c r="F128" s="20">
        <v>1000</v>
      </c>
      <c r="G128" s="14" t="s">
        <v>251</v>
      </c>
      <c r="H128" s="23" t="s">
        <v>170</v>
      </c>
      <c r="J128" s="59" t="s">
        <v>38</v>
      </c>
      <c r="K128" s="22" t="s">
        <v>39</v>
      </c>
      <c r="L128" s="59" t="s">
        <v>171</v>
      </c>
      <c r="M128" s="22">
        <v>2</v>
      </c>
      <c r="N128" s="59" t="s">
        <v>172</v>
      </c>
      <c r="O128" s="22">
        <v>2</v>
      </c>
      <c r="P128" s="59" t="s">
        <v>173</v>
      </c>
      <c r="Q128" s="22">
        <v>2</v>
      </c>
      <c r="V128" s="59" t="s">
        <v>176</v>
      </c>
      <c r="Z128" s="59" t="s">
        <v>40</v>
      </c>
      <c r="AA128" s="22" t="s">
        <v>46</v>
      </c>
      <c r="AH128" s="59" t="s">
        <v>41</v>
      </c>
      <c r="AI128" s="22" t="s">
        <v>48</v>
      </c>
      <c r="AJ128" s="59" t="s">
        <v>42</v>
      </c>
      <c r="AK128" s="22" t="s">
        <v>49</v>
      </c>
      <c r="AL128" s="59" t="s">
        <v>43</v>
      </c>
      <c r="AM128" s="22" t="s">
        <v>50</v>
      </c>
      <c r="AV128" s="59" t="s">
        <v>134</v>
      </c>
      <c r="AW128" s="22" t="str">
        <f>Settings!$B$5 &amp;  "?s=" &amp; D128 &amp; "&amp;platform=ftx"</f>
        <v>https://tokensol.nfluent.io?s=COR22C65&amp;platform=ftx</v>
      </c>
      <c r="AX128" s="20" t="s">
        <v>23</v>
      </c>
      <c r="AY128" s="20">
        <v>10</v>
      </c>
      <c r="AZ128" s="20" t="s">
        <v>24</v>
      </c>
      <c r="BA128" s="20">
        <v>90</v>
      </c>
      <c r="BD128" s="14"/>
      <c r="BJ128" t="s">
        <v>242</v>
      </c>
      <c r="BK128" t="s">
        <v>184</v>
      </c>
      <c r="BN128" s="36">
        <v>3000</v>
      </c>
      <c r="BO128" s="36">
        <v>3000</v>
      </c>
      <c r="BP128">
        <f t="shared" si="11"/>
        <v>480</v>
      </c>
      <c r="BR128" s="38">
        <v>44713</v>
      </c>
      <c r="BS128" s="20" t="s">
        <v>185</v>
      </c>
      <c r="BT128" s="20" t="str">
        <f t="shared" si="12"/>
        <v>LaPorteuseD'Eau_COR22C65</v>
      </c>
    </row>
    <row r="129" spans="2:72" ht="18.75" customHeight="1" x14ac:dyDescent="0.25">
      <c r="B129" s="20">
        <f t="shared" si="13"/>
        <v>66</v>
      </c>
      <c r="C129" s="22" t="str">
        <f t="shared" ref="C129:C163" si="14">+"La Porteuse D'Eau #"&amp;B129</f>
        <v>La Porteuse D'Eau #66</v>
      </c>
      <c r="D129" t="str">
        <f t="shared" ref="D129:D163" si="15">"COR22C"&amp;B129</f>
        <v>COR22C66</v>
      </c>
      <c r="E129" s="58" t="s">
        <v>240</v>
      </c>
      <c r="F129" s="20">
        <v>1000</v>
      </c>
      <c r="G129" s="14" t="s">
        <v>251</v>
      </c>
      <c r="H129" s="23" t="s">
        <v>170</v>
      </c>
      <c r="J129" s="59" t="s">
        <v>38</v>
      </c>
      <c r="K129" s="22" t="s">
        <v>39</v>
      </c>
      <c r="L129" s="59" t="s">
        <v>171</v>
      </c>
      <c r="M129" s="22">
        <v>2</v>
      </c>
      <c r="N129" s="59" t="s">
        <v>172</v>
      </c>
      <c r="O129" s="22">
        <v>2</v>
      </c>
      <c r="P129" s="59" t="s">
        <v>173</v>
      </c>
      <c r="Q129" s="22">
        <v>2</v>
      </c>
      <c r="V129" s="59" t="s">
        <v>176</v>
      </c>
      <c r="Z129" s="59" t="s">
        <v>40</v>
      </c>
      <c r="AA129" s="22" t="s">
        <v>46</v>
      </c>
      <c r="AH129" s="59" t="s">
        <v>41</v>
      </c>
      <c r="AI129" s="22" t="s">
        <v>48</v>
      </c>
      <c r="AJ129" s="59" t="s">
        <v>42</v>
      </c>
      <c r="AK129" s="22" t="s">
        <v>49</v>
      </c>
      <c r="AL129" s="59" t="s">
        <v>43</v>
      </c>
      <c r="AM129" s="22" t="s">
        <v>50</v>
      </c>
      <c r="AV129" s="59" t="s">
        <v>134</v>
      </c>
      <c r="AW129" s="22" t="str">
        <f>Settings!$B$5 &amp;  "?s=" &amp; D129 &amp; "&amp;platform=ftx"</f>
        <v>https://tokensol.nfluent.io?s=COR22C66&amp;platform=ftx</v>
      </c>
      <c r="AX129" s="20" t="s">
        <v>23</v>
      </c>
      <c r="AY129" s="20">
        <v>10</v>
      </c>
      <c r="AZ129" s="20" t="s">
        <v>24</v>
      </c>
      <c r="BA129" s="20">
        <v>90</v>
      </c>
      <c r="BD129" s="14"/>
      <c r="BJ129" t="s">
        <v>242</v>
      </c>
      <c r="BK129" t="s">
        <v>184</v>
      </c>
      <c r="BN129" s="36">
        <v>3000</v>
      </c>
      <c r="BO129" s="36">
        <v>3000</v>
      </c>
      <c r="BP129">
        <f t="shared" ref="BP129:BP163" si="16">24*20</f>
        <v>480</v>
      </c>
      <c r="BR129" s="38">
        <v>44713</v>
      </c>
      <c r="BS129" s="20" t="s">
        <v>185</v>
      </c>
      <c r="BT129" s="20" t="str">
        <f t="shared" si="12"/>
        <v>LaPorteuseD'Eau_COR22C66</v>
      </c>
    </row>
    <row r="130" spans="2:72" ht="18.75" customHeight="1" x14ac:dyDescent="0.25">
      <c r="B130" s="20">
        <f t="shared" si="13"/>
        <v>67</v>
      </c>
      <c r="C130" s="22" t="str">
        <f t="shared" si="14"/>
        <v>La Porteuse D'Eau #67</v>
      </c>
      <c r="D130" t="str">
        <f t="shared" si="15"/>
        <v>COR22C67</v>
      </c>
      <c r="E130" s="58" t="s">
        <v>240</v>
      </c>
      <c r="F130" s="20">
        <v>1000</v>
      </c>
      <c r="G130" s="14" t="s">
        <v>251</v>
      </c>
      <c r="H130" s="23" t="s">
        <v>170</v>
      </c>
      <c r="J130" s="59" t="s">
        <v>38</v>
      </c>
      <c r="K130" s="22" t="s">
        <v>39</v>
      </c>
      <c r="L130" s="59" t="s">
        <v>171</v>
      </c>
      <c r="M130" s="22">
        <v>2</v>
      </c>
      <c r="N130" s="59" t="s">
        <v>172</v>
      </c>
      <c r="O130" s="22">
        <v>2</v>
      </c>
      <c r="P130" s="59" t="s">
        <v>173</v>
      </c>
      <c r="Q130" s="22">
        <v>2</v>
      </c>
      <c r="V130" s="59" t="s">
        <v>176</v>
      </c>
      <c r="Z130" s="59" t="s">
        <v>40</v>
      </c>
      <c r="AA130" s="22" t="s">
        <v>46</v>
      </c>
      <c r="AH130" s="59" t="s">
        <v>41</v>
      </c>
      <c r="AI130" s="22" t="s">
        <v>48</v>
      </c>
      <c r="AJ130" s="59" t="s">
        <v>42</v>
      </c>
      <c r="AK130" s="22" t="s">
        <v>49</v>
      </c>
      <c r="AL130" s="59" t="s">
        <v>43</v>
      </c>
      <c r="AM130" s="22" t="s">
        <v>50</v>
      </c>
      <c r="AV130" s="59" t="s">
        <v>134</v>
      </c>
      <c r="AW130" s="22" t="str">
        <f>Settings!$B$5 &amp;  "?s=" &amp; D130 &amp; "&amp;platform=ftx"</f>
        <v>https://tokensol.nfluent.io?s=COR22C67&amp;platform=ftx</v>
      </c>
      <c r="AX130" s="20" t="s">
        <v>23</v>
      </c>
      <c r="AY130" s="20">
        <v>10</v>
      </c>
      <c r="AZ130" s="20" t="s">
        <v>24</v>
      </c>
      <c r="BA130" s="20">
        <v>90</v>
      </c>
      <c r="BD130" s="14"/>
      <c r="BJ130" t="s">
        <v>242</v>
      </c>
      <c r="BK130" t="s">
        <v>184</v>
      </c>
      <c r="BN130" s="36">
        <v>3000</v>
      </c>
      <c r="BO130" s="36">
        <v>3000</v>
      </c>
      <c r="BP130">
        <f t="shared" si="16"/>
        <v>480</v>
      </c>
      <c r="BR130" s="38">
        <v>44713</v>
      </c>
      <c r="BS130" s="20" t="s">
        <v>185</v>
      </c>
      <c r="BT130" s="20" t="str">
        <f t="shared" si="12"/>
        <v>LaPorteuseD'Eau_COR22C67</v>
      </c>
    </row>
    <row r="131" spans="2:72" ht="18.75" customHeight="1" x14ac:dyDescent="0.25">
      <c r="B131" s="20">
        <f t="shared" si="13"/>
        <v>68</v>
      </c>
      <c r="C131" s="22" t="str">
        <f t="shared" si="14"/>
        <v>La Porteuse D'Eau #68</v>
      </c>
      <c r="D131" t="str">
        <f t="shared" si="15"/>
        <v>COR22C68</v>
      </c>
      <c r="E131" s="58" t="s">
        <v>240</v>
      </c>
      <c r="F131" s="20">
        <v>1000</v>
      </c>
      <c r="G131" s="14" t="s">
        <v>251</v>
      </c>
      <c r="H131" s="23" t="s">
        <v>170</v>
      </c>
      <c r="J131" s="59" t="s">
        <v>38</v>
      </c>
      <c r="K131" s="22" t="s">
        <v>39</v>
      </c>
      <c r="L131" s="59" t="s">
        <v>171</v>
      </c>
      <c r="M131" s="22">
        <v>2</v>
      </c>
      <c r="N131" s="59" t="s">
        <v>172</v>
      </c>
      <c r="O131" s="22">
        <v>2</v>
      </c>
      <c r="P131" s="59" t="s">
        <v>173</v>
      </c>
      <c r="Q131" s="22">
        <v>2</v>
      </c>
      <c r="V131" s="59" t="s">
        <v>176</v>
      </c>
      <c r="Z131" s="59" t="s">
        <v>40</v>
      </c>
      <c r="AA131" s="22" t="s">
        <v>46</v>
      </c>
      <c r="AH131" s="59" t="s">
        <v>41</v>
      </c>
      <c r="AI131" s="22" t="s">
        <v>48</v>
      </c>
      <c r="AJ131" s="59" t="s">
        <v>42</v>
      </c>
      <c r="AK131" s="22" t="s">
        <v>49</v>
      </c>
      <c r="AL131" s="59" t="s">
        <v>43</v>
      </c>
      <c r="AM131" s="22" t="s">
        <v>50</v>
      </c>
      <c r="AV131" s="59" t="s">
        <v>134</v>
      </c>
      <c r="AW131" s="22" t="str">
        <f>Settings!$B$5 &amp;  "?s=" &amp; D131 &amp; "&amp;platform=ftx"</f>
        <v>https://tokensol.nfluent.io?s=COR22C68&amp;platform=ftx</v>
      </c>
      <c r="AX131" s="20" t="s">
        <v>23</v>
      </c>
      <c r="AY131" s="20">
        <v>10</v>
      </c>
      <c r="AZ131" s="20" t="s">
        <v>24</v>
      </c>
      <c r="BA131" s="20">
        <v>90</v>
      </c>
      <c r="BD131" s="14"/>
      <c r="BJ131" t="s">
        <v>242</v>
      </c>
      <c r="BK131" t="s">
        <v>184</v>
      </c>
      <c r="BN131" s="36">
        <v>3000</v>
      </c>
      <c r="BO131" s="36">
        <v>3000</v>
      </c>
      <c r="BP131">
        <f t="shared" si="16"/>
        <v>480</v>
      </c>
      <c r="BR131" s="38">
        <v>44713</v>
      </c>
      <c r="BS131" s="20" t="s">
        <v>185</v>
      </c>
      <c r="BT131" s="20" t="str">
        <f t="shared" si="12"/>
        <v>LaPorteuseD'Eau_COR22C68</v>
      </c>
    </row>
    <row r="132" spans="2:72" ht="18.75" customHeight="1" x14ac:dyDescent="0.25">
      <c r="B132" s="20">
        <f t="shared" si="13"/>
        <v>69</v>
      </c>
      <c r="C132" s="22" t="str">
        <f t="shared" si="14"/>
        <v>La Porteuse D'Eau #69</v>
      </c>
      <c r="D132" t="str">
        <f t="shared" si="15"/>
        <v>COR22C69</v>
      </c>
      <c r="E132" s="58" t="s">
        <v>240</v>
      </c>
      <c r="F132" s="20">
        <v>1000</v>
      </c>
      <c r="G132" s="14" t="s">
        <v>251</v>
      </c>
      <c r="H132" s="23" t="s">
        <v>170</v>
      </c>
      <c r="J132" s="59" t="s">
        <v>38</v>
      </c>
      <c r="K132" s="22" t="s">
        <v>39</v>
      </c>
      <c r="L132" s="59" t="s">
        <v>171</v>
      </c>
      <c r="M132" s="22">
        <v>2</v>
      </c>
      <c r="N132" s="59" t="s">
        <v>172</v>
      </c>
      <c r="O132" s="22">
        <v>2</v>
      </c>
      <c r="P132" s="59" t="s">
        <v>173</v>
      </c>
      <c r="Q132" s="22">
        <v>2</v>
      </c>
      <c r="V132" s="59" t="s">
        <v>176</v>
      </c>
      <c r="Z132" s="59" t="s">
        <v>40</v>
      </c>
      <c r="AA132" s="22" t="s">
        <v>46</v>
      </c>
      <c r="AH132" s="59" t="s">
        <v>41</v>
      </c>
      <c r="AI132" s="22" t="s">
        <v>48</v>
      </c>
      <c r="AJ132" s="59" t="s">
        <v>42</v>
      </c>
      <c r="AK132" s="22" t="s">
        <v>49</v>
      </c>
      <c r="AL132" s="59" t="s">
        <v>43</v>
      </c>
      <c r="AM132" s="22" t="s">
        <v>50</v>
      </c>
      <c r="AV132" s="59" t="s">
        <v>134</v>
      </c>
      <c r="AW132" s="22" t="str">
        <f>Settings!$B$5 &amp;  "?s=" &amp; D132 &amp; "&amp;platform=ftx"</f>
        <v>https://tokensol.nfluent.io?s=COR22C69&amp;platform=ftx</v>
      </c>
      <c r="AX132" s="20" t="s">
        <v>23</v>
      </c>
      <c r="AY132" s="20">
        <v>10</v>
      </c>
      <c r="AZ132" s="20" t="s">
        <v>24</v>
      </c>
      <c r="BA132" s="20">
        <v>90</v>
      </c>
      <c r="BD132" s="14"/>
      <c r="BJ132" t="s">
        <v>242</v>
      </c>
      <c r="BK132" t="s">
        <v>184</v>
      </c>
      <c r="BN132" s="36">
        <v>3000</v>
      </c>
      <c r="BO132" s="36">
        <v>3000</v>
      </c>
      <c r="BP132">
        <f t="shared" si="16"/>
        <v>480</v>
      </c>
      <c r="BR132" s="38">
        <v>44713</v>
      </c>
      <c r="BS132" s="20" t="s">
        <v>185</v>
      </c>
      <c r="BT132" s="20" t="str">
        <f t="shared" si="12"/>
        <v>LaPorteuseD'Eau_COR22C69</v>
      </c>
    </row>
    <row r="133" spans="2:72" ht="18.75" customHeight="1" x14ac:dyDescent="0.25">
      <c r="B133" s="20">
        <f t="shared" si="13"/>
        <v>70</v>
      </c>
      <c r="C133" s="22" t="str">
        <f t="shared" si="14"/>
        <v>La Porteuse D'Eau #70</v>
      </c>
      <c r="D133" t="str">
        <f t="shared" si="15"/>
        <v>COR22C70</v>
      </c>
      <c r="E133" s="58" t="s">
        <v>240</v>
      </c>
      <c r="F133" s="20">
        <v>1000</v>
      </c>
      <c r="G133" s="14" t="s">
        <v>251</v>
      </c>
      <c r="H133" s="23" t="s">
        <v>170</v>
      </c>
      <c r="J133" s="59" t="s">
        <v>38</v>
      </c>
      <c r="K133" s="22" t="s">
        <v>39</v>
      </c>
      <c r="L133" s="59" t="s">
        <v>171</v>
      </c>
      <c r="M133" s="22">
        <v>2</v>
      </c>
      <c r="N133" s="59" t="s">
        <v>172</v>
      </c>
      <c r="O133" s="22">
        <v>2</v>
      </c>
      <c r="P133" s="59" t="s">
        <v>173</v>
      </c>
      <c r="Q133" s="22">
        <v>2</v>
      </c>
      <c r="V133" s="59" t="s">
        <v>176</v>
      </c>
      <c r="Z133" s="59" t="s">
        <v>40</v>
      </c>
      <c r="AA133" s="22" t="s">
        <v>46</v>
      </c>
      <c r="AH133" s="59" t="s">
        <v>41</v>
      </c>
      <c r="AI133" s="22" t="s">
        <v>48</v>
      </c>
      <c r="AJ133" s="59" t="s">
        <v>42</v>
      </c>
      <c r="AK133" s="22" t="s">
        <v>49</v>
      </c>
      <c r="AL133" s="59" t="s">
        <v>43</v>
      </c>
      <c r="AM133" s="22" t="s">
        <v>50</v>
      </c>
      <c r="AV133" s="59" t="s">
        <v>134</v>
      </c>
      <c r="AW133" s="22" t="str">
        <f>Settings!$B$5 &amp;  "?s=" &amp; D133 &amp; "&amp;platform=ftx"</f>
        <v>https://tokensol.nfluent.io?s=COR22C70&amp;platform=ftx</v>
      </c>
      <c r="AX133" s="20" t="s">
        <v>23</v>
      </c>
      <c r="AY133" s="20">
        <v>10</v>
      </c>
      <c r="AZ133" s="20" t="s">
        <v>24</v>
      </c>
      <c r="BA133" s="20">
        <v>90</v>
      </c>
      <c r="BD133" s="14"/>
      <c r="BJ133" t="s">
        <v>242</v>
      </c>
      <c r="BK133" t="s">
        <v>184</v>
      </c>
      <c r="BN133" s="36">
        <v>3000</v>
      </c>
      <c r="BO133" s="36">
        <v>3000</v>
      </c>
      <c r="BP133">
        <f t="shared" si="16"/>
        <v>480</v>
      </c>
      <c r="BR133" s="38">
        <v>44713</v>
      </c>
      <c r="BS133" s="20" t="s">
        <v>185</v>
      </c>
      <c r="BT133" s="20" t="str">
        <f t="shared" ref="BT133:BT196" si="17">SUBSTITUTE(BJ133," ","") &amp; "_" &amp; D133</f>
        <v>LaPorteuseD'Eau_COR22C70</v>
      </c>
    </row>
    <row r="134" spans="2:72" ht="18.75" customHeight="1" x14ac:dyDescent="0.25">
      <c r="B134" s="20">
        <f t="shared" ref="B134:B197" si="18">+B133+1</f>
        <v>71</v>
      </c>
      <c r="C134" s="22" t="str">
        <f t="shared" si="14"/>
        <v>La Porteuse D'Eau #71</v>
      </c>
      <c r="D134" t="str">
        <f t="shared" si="15"/>
        <v>COR22C71</v>
      </c>
      <c r="E134" s="58" t="s">
        <v>240</v>
      </c>
      <c r="F134" s="20">
        <v>1000</v>
      </c>
      <c r="G134" s="14" t="s">
        <v>251</v>
      </c>
      <c r="H134" s="23" t="s">
        <v>170</v>
      </c>
      <c r="J134" s="59" t="s">
        <v>38</v>
      </c>
      <c r="K134" s="22" t="s">
        <v>39</v>
      </c>
      <c r="L134" s="59" t="s">
        <v>171</v>
      </c>
      <c r="M134" s="22">
        <v>2</v>
      </c>
      <c r="N134" s="59" t="s">
        <v>172</v>
      </c>
      <c r="O134" s="22">
        <v>2</v>
      </c>
      <c r="P134" s="59" t="s">
        <v>173</v>
      </c>
      <c r="Q134" s="22">
        <v>2</v>
      </c>
      <c r="V134" s="59" t="s">
        <v>176</v>
      </c>
      <c r="Z134" s="59" t="s">
        <v>40</v>
      </c>
      <c r="AA134" s="22" t="s">
        <v>46</v>
      </c>
      <c r="AH134" s="59" t="s">
        <v>41</v>
      </c>
      <c r="AI134" s="22" t="s">
        <v>48</v>
      </c>
      <c r="AJ134" s="59" t="s">
        <v>42</v>
      </c>
      <c r="AK134" s="22" t="s">
        <v>49</v>
      </c>
      <c r="AL134" s="59" t="s">
        <v>43</v>
      </c>
      <c r="AM134" s="22" t="s">
        <v>50</v>
      </c>
      <c r="AV134" s="59" t="s">
        <v>134</v>
      </c>
      <c r="AW134" s="22" t="str">
        <f>Settings!$B$5 &amp;  "?s=" &amp; D134 &amp; "&amp;platform=ftx"</f>
        <v>https://tokensol.nfluent.io?s=COR22C71&amp;platform=ftx</v>
      </c>
      <c r="AX134" s="20" t="s">
        <v>23</v>
      </c>
      <c r="AY134" s="20">
        <v>10</v>
      </c>
      <c r="AZ134" s="20" t="s">
        <v>24</v>
      </c>
      <c r="BA134" s="20">
        <v>90</v>
      </c>
      <c r="BD134" s="14"/>
      <c r="BJ134" t="s">
        <v>242</v>
      </c>
      <c r="BK134" t="s">
        <v>184</v>
      </c>
      <c r="BN134" s="36">
        <v>3000</v>
      </c>
      <c r="BO134" s="36">
        <v>3000</v>
      </c>
      <c r="BP134">
        <f t="shared" si="16"/>
        <v>480</v>
      </c>
      <c r="BR134" s="38">
        <v>44713</v>
      </c>
      <c r="BS134" s="20" t="s">
        <v>185</v>
      </c>
      <c r="BT134" s="20" t="str">
        <f t="shared" si="17"/>
        <v>LaPorteuseD'Eau_COR22C71</v>
      </c>
    </row>
    <row r="135" spans="2:72" ht="18.75" customHeight="1" x14ac:dyDescent="0.25">
      <c r="B135" s="20">
        <f t="shared" si="18"/>
        <v>72</v>
      </c>
      <c r="C135" s="22" t="str">
        <f t="shared" si="14"/>
        <v>La Porteuse D'Eau #72</v>
      </c>
      <c r="D135" t="str">
        <f t="shared" si="15"/>
        <v>COR22C72</v>
      </c>
      <c r="E135" s="58" t="s">
        <v>240</v>
      </c>
      <c r="F135" s="20">
        <v>1000</v>
      </c>
      <c r="G135" s="14" t="s">
        <v>251</v>
      </c>
      <c r="H135" s="23" t="s">
        <v>170</v>
      </c>
      <c r="J135" s="59" t="s">
        <v>38</v>
      </c>
      <c r="K135" s="22" t="s">
        <v>39</v>
      </c>
      <c r="L135" s="59" t="s">
        <v>171</v>
      </c>
      <c r="M135" s="22">
        <v>2</v>
      </c>
      <c r="N135" s="59" t="s">
        <v>172</v>
      </c>
      <c r="O135" s="22">
        <v>2</v>
      </c>
      <c r="P135" s="59" t="s">
        <v>173</v>
      </c>
      <c r="Q135" s="22">
        <v>2</v>
      </c>
      <c r="V135" s="59" t="s">
        <v>176</v>
      </c>
      <c r="Z135" s="59" t="s">
        <v>40</v>
      </c>
      <c r="AA135" s="22" t="s">
        <v>46</v>
      </c>
      <c r="AH135" s="59" t="s">
        <v>41</v>
      </c>
      <c r="AI135" s="22" t="s">
        <v>48</v>
      </c>
      <c r="AJ135" s="59" t="s">
        <v>42</v>
      </c>
      <c r="AK135" s="22" t="s">
        <v>49</v>
      </c>
      <c r="AL135" s="59" t="s">
        <v>43</v>
      </c>
      <c r="AM135" s="22" t="s">
        <v>50</v>
      </c>
      <c r="AV135" s="59" t="s">
        <v>134</v>
      </c>
      <c r="AW135" s="22" t="str">
        <f>Settings!$B$5 &amp;  "?s=" &amp; D135 &amp; "&amp;platform=ftx"</f>
        <v>https://tokensol.nfluent.io?s=COR22C72&amp;platform=ftx</v>
      </c>
      <c r="AX135" s="20" t="s">
        <v>23</v>
      </c>
      <c r="AY135" s="20">
        <v>10</v>
      </c>
      <c r="AZ135" s="20" t="s">
        <v>24</v>
      </c>
      <c r="BA135" s="20">
        <v>90</v>
      </c>
      <c r="BD135" s="14"/>
      <c r="BJ135" t="s">
        <v>242</v>
      </c>
      <c r="BK135" t="s">
        <v>184</v>
      </c>
      <c r="BN135" s="36">
        <v>3000</v>
      </c>
      <c r="BO135" s="36">
        <v>3000</v>
      </c>
      <c r="BP135">
        <f t="shared" si="16"/>
        <v>480</v>
      </c>
      <c r="BR135" s="38">
        <v>44713</v>
      </c>
      <c r="BS135" s="20" t="s">
        <v>185</v>
      </c>
      <c r="BT135" s="20" t="str">
        <f t="shared" si="17"/>
        <v>LaPorteuseD'Eau_COR22C72</v>
      </c>
    </row>
    <row r="136" spans="2:72" ht="18.75" customHeight="1" x14ac:dyDescent="0.25">
      <c r="B136" s="20">
        <f t="shared" si="18"/>
        <v>73</v>
      </c>
      <c r="C136" s="22" t="str">
        <f t="shared" si="14"/>
        <v>La Porteuse D'Eau #73</v>
      </c>
      <c r="D136" t="str">
        <f t="shared" si="15"/>
        <v>COR22C73</v>
      </c>
      <c r="E136" s="58" t="s">
        <v>240</v>
      </c>
      <c r="F136" s="20">
        <v>1000</v>
      </c>
      <c r="G136" s="14" t="s">
        <v>251</v>
      </c>
      <c r="H136" s="23" t="s">
        <v>170</v>
      </c>
      <c r="J136" s="59" t="s">
        <v>38</v>
      </c>
      <c r="K136" s="22" t="s">
        <v>39</v>
      </c>
      <c r="L136" s="59" t="s">
        <v>171</v>
      </c>
      <c r="M136" s="22">
        <v>2</v>
      </c>
      <c r="N136" s="59" t="s">
        <v>172</v>
      </c>
      <c r="O136" s="22">
        <v>2</v>
      </c>
      <c r="P136" s="59" t="s">
        <v>173</v>
      </c>
      <c r="Q136" s="22">
        <v>2</v>
      </c>
      <c r="V136" s="59" t="s">
        <v>176</v>
      </c>
      <c r="Z136" s="59" t="s">
        <v>40</v>
      </c>
      <c r="AA136" s="22" t="s">
        <v>46</v>
      </c>
      <c r="AH136" s="59" t="s">
        <v>41</v>
      </c>
      <c r="AI136" s="22" t="s">
        <v>48</v>
      </c>
      <c r="AJ136" s="59" t="s">
        <v>42</v>
      </c>
      <c r="AK136" s="22" t="s">
        <v>49</v>
      </c>
      <c r="AL136" s="59" t="s">
        <v>43</v>
      </c>
      <c r="AM136" s="22" t="s">
        <v>50</v>
      </c>
      <c r="AV136" s="59" t="s">
        <v>134</v>
      </c>
      <c r="AW136" s="22" t="str">
        <f>Settings!$B$5 &amp;  "?s=" &amp; D136 &amp; "&amp;platform=ftx"</f>
        <v>https://tokensol.nfluent.io?s=COR22C73&amp;platform=ftx</v>
      </c>
      <c r="AX136" s="20" t="s">
        <v>23</v>
      </c>
      <c r="AY136" s="20">
        <v>10</v>
      </c>
      <c r="AZ136" s="20" t="s">
        <v>24</v>
      </c>
      <c r="BA136" s="20">
        <v>90</v>
      </c>
      <c r="BD136" s="14"/>
      <c r="BJ136" t="s">
        <v>242</v>
      </c>
      <c r="BK136" t="s">
        <v>184</v>
      </c>
      <c r="BN136" s="36">
        <v>3000</v>
      </c>
      <c r="BO136" s="36">
        <v>3000</v>
      </c>
      <c r="BP136">
        <f t="shared" si="16"/>
        <v>480</v>
      </c>
      <c r="BR136" s="38">
        <v>44713</v>
      </c>
      <c r="BS136" s="20" t="s">
        <v>185</v>
      </c>
      <c r="BT136" s="20" t="str">
        <f t="shared" si="17"/>
        <v>LaPorteuseD'Eau_COR22C73</v>
      </c>
    </row>
    <row r="137" spans="2:72" ht="18.75" customHeight="1" x14ac:dyDescent="0.25">
      <c r="B137" s="20">
        <f t="shared" si="18"/>
        <v>74</v>
      </c>
      <c r="C137" s="22" t="str">
        <f t="shared" si="14"/>
        <v>La Porteuse D'Eau #74</v>
      </c>
      <c r="D137" t="str">
        <f t="shared" si="15"/>
        <v>COR22C74</v>
      </c>
      <c r="E137" s="58" t="s">
        <v>240</v>
      </c>
      <c r="F137" s="20">
        <v>1000</v>
      </c>
      <c r="G137" s="14" t="s">
        <v>251</v>
      </c>
      <c r="H137" s="23" t="s">
        <v>170</v>
      </c>
      <c r="J137" s="59" t="s">
        <v>38</v>
      </c>
      <c r="K137" s="22" t="s">
        <v>39</v>
      </c>
      <c r="L137" s="59" t="s">
        <v>171</v>
      </c>
      <c r="M137" s="22">
        <v>2</v>
      </c>
      <c r="N137" s="59" t="s">
        <v>172</v>
      </c>
      <c r="O137" s="22">
        <v>2</v>
      </c>
      <c r="P137" s="59" t="s">
        <v>173</v>
      </c>
      <c r="Q137" s="22">
        <v>2</v>
      </c>
      <c r="V137" s="59" t="s">
        <v>176</v>
      </c>
      <c r="Z137" s="59" t="s">
        <v>40</v>
      </c>
      <c r="AA137" s="22" t="s">
        <v>46</v>
      </c>
      <c r="AH137" s="59" t="s">
        <v>41</v>
      </c>
      <c r="AI137" s="22" t="s">
        <v>48</v>
      </c>
      <c r="AJ137" s="59" t="s">
        <v>42</v>
      </c>
      <c r="AK137" s="22" t="s">
        <v>49</v>
      </c>
      <c r="AL137" s="59" t="s">
        <v>43</v>
      </c>
      <c r="AM137" s="22" t="s">
        <v>50</v>
      </c>
      <c r="AV137" s="59" t="s">
        <v>134</v>
      </c>
      <c r="AW137" s="22" t="str">
        <f>Settings!$B$5 &amp;  "?s=" &amp; D137 &amp; "&amp;platform=ftx"</f>
        <v>https://tokensol.nfluent.io?s=COR22C74&amp;platform=ftx</v>
      </c>
      <c r="AX137" s="20" t="s">
        <v>23</v>
      </c>
      <c r="AY137" s="20">
        <v>10</v>
      </c>
      <c r="AZ137" s="20" t="s">
        <v>24</v>
      </c>
      <c r="BA137" s="20">
        <v>90</v>
      </c>
      <c r="BD137" s="14"/>
      <c r="BJ137" t="s">
        <v>242</v>
      </c>
      <c r="BK137" t="s">
        <v>184</v>
      </c>
      <c r="BN137" s="36">
        <v>3000</v>
      </c>
      <c r="BO137" s="36">
        <v>3000</v>
      </c>
      <c r="BP137">
        <f t="shared" si="16"/>
        <v>480</v>
      </c>
      <c r="BR137" s="38">
        <v>44713</v>
      </c>
      <c r="BS137" s="20" t="s">
        <v>185</v>
      </c>
      <c r="BT137" s="20" t="str">
        <f t="shared" si="17"/>
        <v>LaPorteuseD'Eau_COR22C74</v>
      </c>
    </row>
    <row r="138" spans="2:72" ht="18.75" customHeight="1" x14ac:dyDescent="0.25">
      <c r="B138" s="20">
        <f t="shared" si="18"/>
        <v>75</v>
      </c>
      <c r="C138" s="22" t="str">
        <f t="shared" si="14"/>
        <v>La Porteuse D'Eau #75</v>
      </c>
      <c r="D138" t="str">
        <f t="shared" si="15"/>
        <v>COR22C75</v>
      </c>
      <c r="E138" s="58" t="s">
        <v>240</v>
      </c>
      <c r="F138" s="20">
        <v>1000</v>
      </c>
      <c r="G138" s="14" t="s">
        <v>251</v>
      </c>
      <c r="H138" s="23" t="s">
        <v>170</v>
      </c>
      <c r="J138" s="59" t="s">
        <v>38</v>
      </c>
      <c r="K138" s="22" t="s">
        <v>39</v>
      </c>
      <c r="L138" s="59" t="s">
        <v>171</v>
      </c>
      <c r="M138" s="22">
        <v>2</v>
      </c>
      <c r="N138" s="59" t="s">
        <v>172</v>
      </c>
      <c r="O138" s="22">
        <v>2</v>
      </c>
      <c r="P138" s="59" t="s">
        <v>173</v>
      </c>
      <c r="Q138" s="22">
        <v>2</v>
      </c>
      <c r="V138" s="59" t="s">
        <v>176</v>
      </c>
      <c r="Z138" s="59" t="s">
        <v>40</v>
      </c>
      <c r="AA138" s="22" t="s">
        <v>46</v>
      </c>
      <c r="AH138" s="59" t="s">
        <v>41</v>
      </c>
      <c r="AI138" s="22" t="s">
        <v>48</v>
      </c>
      <c r="AJ138" s="59" t="s">
        <v>42</v>
      </c>
      <c r="AK138" s="22" t="s">
        <v>49</v>
      </c>
      <c r="AL138" s="59" t="s">
        <v>43</v>
      </c>
      <c r="AM138" s="22" t="s">
        <v>50</v>
      </c>
      <c r="AV138" s="59" t="s">
        <v>134</v>
      </c>
      <c r="AW138" s="22" t="str">
        <f>Settings!$B$5 &amp;  "?s=" &amp; D138 &amp; "&amp;platform=ftx"</f>
        <v>https://tokensol.nfluent.io?s=COR22C75&amp;platform=ftx</v>
      </c>
      <c r="AX138" s="20" t="s">
        <v>23</v>
      </c>
      <c r="AY138" s="20">
        <v>10</v>
      </c>
      <c r="AZ138" s="20" t="s">
        <v>24</v>
      </c>
      <c r="BA138" s="20">
        <v>90</v>
      </c>
      <c r="BD138" s="14"/>
      <c r="BJ138" t="s">
        <v>242</v>
      </c>
      <c r="BK138" t="s">
        <v>184</v>
      </c>
      <c r="BN138" s="36">
        <v>3000</v>
      </c>
      <c r="BO138" s="36">
        <v>3000</v>
      </c>
      <c r="BP138">
        <f t="shared" si="16"/>
        <v>480</v>
      </c>
      <c r="BR138" s="38">
        <v>44713</v>
      </c>
      <c r="BS138" s="20" t="s">
        <v>185</v>
      </c>
      <c r="BT138" s="20" t="str">
        <f t="shared" si="17"/>
        <v>LaPorteuseD'Eau_COR22C75</v>
      </c>
    </row>
    <row r="139" spans="2:72" ht="18.75" customHeight="1" x14ac:dyDescent="0.25">
      <c r="B139" s="20">
        <f t="shared" si="18"/>
        <v>76</v>
      </c>
      <c r="C139" s="22" t="str">
        <f t="shared" si="14"/>
        <v>La Porteuse D'Eau #76</v>
      </c>
      <c r="D139" t="str">
        <f t="shared" si="15"/>
        <v>COR22C76</v>
      </c>
      <c r="E139" s="58" t="s">
        <v>240</v>
      </c>
      <c r="F139" s="20">
        <v>1000</v>
      </c>
      <c r="G139" s="14" t="s">
        <v>251</v>
      </c>
      <c r="H139" s="23" t="s">
        <v>170</v>
      </c>
      <c r="J139" s="59" t="s">
        <v>38</v>
      </c>
      <c r="K139" s="22" t="s">
        <v>39</v>
      </c>
      <c r="L139" s="59" t="s">
        <v>171</v>
      </c>
      <c r="M139" s="22">
        <v>2</v>
      </c>
      <c r="N139" s="59" t="s">
        <v>172</v>
      </c>
      <c r="O139" s="22">
        <v>2</v>
      </c>
      <c r="P139" s="59" t="s">
        <v>173</v>
      </c>
      <c r="Q139" s="22">
        <v>2</v>
      </c>
      <c r="V139" s="59" t="s">
        <v>176</v>
      </c>
      <c r="Z139" s="59" t="s">
        <v>40</v>
      </c>
      <c r="AA139" s="22" t="s">
        <v>46</v>
      </c>
      <c r="AH139" s="59" t="s">
        <v>41</v>
      </c>
      <c r="AI139" s="22" t="s">
        <v>48</v>
      </c>
      <c r="AJ139" s="59" t="s">
        <v>42</v>
      </c>
      <c r="AK139" s="22" t="s">
        <v>49</v>
      </c>
      <c r="AL139" s="59" t="s">
        <v>43</v>
      </c>
      <c r="AM139" s="22" t="s">
        <v>50</v>
      </c>
      <c r="AV139" s="59" t="s">
        <v>134</v>
      </c>
      <c r="AW139" s="22" t="str">
        <f>Settings!$B$5 &amp;  "?s=" &amp; D139 &amp; "&amp;platform=ftx"</f>
        <v>https://tokensol.nfluent.io?s=COR22C76&amp;platform=ftx</v>
      </c>
      <c r="AX139" s="20" t="s">
        <v>23</v>
      </c>
      <c r="AY139" s="20">
        <v>10</v>
      </c>
      <c r="AZ139" s="20" t="s">
        <v>24</v>
      </c>
      <c r="BA139" s="20">
        <v>90</v>
      </c>
      <c r="BD139" s="14"/>
      <c r="BJ139" t="s">
        <v>242</v>
      </c>
      <c r="BK139" t="s">
        <v>184</v>
      </c>
      <c r="BN139" s="36">
        <v>3000</v>
      </c>
      <c r="BO139" s="36">
        <v>3000</v>
      </c>
      <c r="BP139">
        <f t="shared" si="16"/>
        <v>480</v>
      </c>
      <c r="BR139" s="38">
        <v>44713</v>
      </c>
      <c r="BS139" s="20" t="s">
        <v>185</v>
      </c>
      <c r="BT139" s="20" t="str">
        <f t="shared" si="17"/>
        <v>LaPorteuseD'Eau_COR22C76</v>
      </c>
    </row>
    <row r="140" spans="2:72" ht="18.75" customHeight="1" x14ac:dyDescent="0.25">
      <c r="B140" s="20">
        <f t="shared" si="18"/>
        <v>77</v>
      </c>
      <c r="C140" s="22" t="str">
        <f t="shared" si="14"/>
        <v>La Porteuse D'Eau #77</v>
      </c>
      <c r="D140" t="str">
        <f t="shared" si="15"/>
        <v>COR22C77</v>
      </c>
      <c r="E140" s="58" t="s">
        <v>240</v>
      </c>
      <c r="F140" s="20">
        <v>1000</v>
      </c>
      <c r="G140" s="14" t="s">
        <v>251</v>
      </c>
      <c r="H140" s="23" t="s">
        <v>170</v>
      </c>
      <c r="J140" s="59" t="s">
        <v>38</v>
      </c>
      <c r="K140" s="22" t="s">
        <v>39</v>
      </c>
      <c r="L140" s="59" t="s">
        <v>171</v>
      </c>
      <c r="M140" s="22">
        <v>2</v>
      </c>
      <c r="N140" s="59" t="s">
        <v>172</v>
      </c>
      <c r="O140" s="22">
        <v>2</v>
      </c>
      <c r="P140" s="59" t="s">
        <v>173</v>
      </c>
      <c r="Q140" s="22">
        <v>2</v>
      </c>
      <c r="V140" s="59" t="s">
        <v>176</v>
      </c>
      <c r="Z140" s="59" t="s">
        <v>40</v>
      </c>
      <c r="AA140" s="22" t="s">
        <v>46</v>
      </c>
      <c r="AH140" s="59" t="s">
        <v>41</v>
      </c>
      <c r="AI140" s="22" t="s">
        <v>48</v>
      </c>
      <c r="AJ140" s="59" t="s">
        <v>42</v>
      </c>
      <c r="AK140" s="22" t="s">
        <v>49</v>
      </c>
      <c r="AL140" s="59" t="s">
        <v>43</v>
      </c>
      <c r="AM140" s="22" t="s">
        <v>50</v>
      </c>
      <c r="AV140" s="59" t="s">
        <v>134</v>
      </c>
      <c r="AW140" s="22" t="str">
        <f>Settings!$B$5 &amp;  "?s=" &amp; D140 &amp; "&amp;platform=ftx"</f>
        <v>https://tokensol.nfluent.io?s=COR22C77&amp;platform=ftx</v>
      </c>
      <c r="AX140" s="20" t="s">
        <v>23</v>
      </c>
      <c r="AY140" s="20">
        <v>10</v>
      </c>
      <c r="AZ140" s="20" t="s">
        <v>24</v>
      </c>
      <c r="BA140" s="20">
        <v>90</v>
      </c>
      <c r="BD140" s="14"/>
      <c r="BJ140" t="s">
        <v>242</v>
      </c>
      <c r="BK140" t="s">
        <v>184</v>
      </c>
      <c r="BN140" s="36">
        <v>3000</v>
      </c>
      <c r="BO140" s="36">
        <v>3000</v>
      </c>
      <c r="BP140">
        <f t="shared" si="16"/>
        <v>480</v>
      </c>
      <c r="BR140" s="38">
        <v>44713</v>
      </c>
      <c r="BS140" s="20" t="s">
        <v>185</v>
      </c>
      <c r="BT140" s="20" t="str">
        <f t="shared" si="17"/>
        <v>LaPorteuseD'Eau_COR22C77</v>
      </c>
    </row>
    <row r="141" spans="2:72" ht="18.75" customHeight="1" x14ac:dyDescent="0.25">
      <c r="B141" s="20">
        <f t="shared" si="18"/>
        <v>78</v>
      </c>
      <c r="C141" s="22" t="str">
        <f t="shared" si="14"/>
        <v>La Porteuse D'Eau #78</v>
      </c>
      <c r="D141" t="str">
        <f t="shared" si="15"/>
        <v>COR22C78</v>
      </c>
      <c r="E141" s="58" t="s">
        <v>240</v>
      </c>
      <c r="F141" s="20">
        <v>1000</v>
      </c>
      <c r="G141" s="14" t="s">
        <v>251</v>
      </c>
      <c r="H141" s="23" t="s">
        <v>170</v>
      </c>
      <c r="J141" s="59" t="s">
        <v>38</v>
      </c>
      <c r="K141" s="22" t="s">
        <v>39</v>
      </c>
      <c r="L141" s="59" t="s">
        <v>171</v>
      </c>
      <c r="M141" s="22">
        <v>2</v>
      </c>
      <c r="N141" s="59" t="s">
        <v>172</v>
      </c>
      <c r="O141" s="22">
        <v>2</v>
      </c>
      <c r="P141" s="59" t="s">
        <v>173</v>
      </c>
      <c r="Q141" s="22">
        <v>2</v>
      </c>
      <c r="V141" s="59" t="s">
        <v>176</v>
      </c>
      <c r="Z141" s="59" t="s">
        <v>40</v>
      </c>
      <c r="AA141" s="22" t="s">
        <v>46</v>
      </c>
      <c r="AH141" s="59" t="s">
        <v>41</v>
      </c>
      <c r="AI141" s="22" t="s">
        <v>48</v>
      </c>
      <c r="AJ141" s="59" t="s">
        <v>42</v>
      </c>
      <c r="AK141" s="22" t="s">
        <v>49</v>
      </c>
      <c r="AL141" s="59" t="s">
        <v>43</v>
      </c>
      <c r="AM141" s="22" t="s">
        <v>50</v>
      </c>
      <c r="AV141" s="59" t="s">
        <v>134</v>
      </c>
      <c r="AW141" s="22" t="str">
        <f>Settings!$B$5 &amp;  "?s=" &amp; D141 &amp; "&amp;platform=ftx"</f>
        <v>https://tokensol.nfluent.io?s=COR22C78&amp;platform=ftx</v>
      </c>
      <c r="AX141" s="20" t="s">
        <v>23</v>
      </c>
      <c r="AY141" s="20">
        <v>10</v>
      </c>
      <c r="AZ141" s="20" t="s">
        <v>24</v>
      </c>
      <c r="BA141" s="20">
        <v>90</v>
      </c>
      <c r="BD141" s="14"/>
      <c r="BJ141" t="s">
        <v>242</v>
      </c>
      <c r="BK141" t="s">
        <v>184</v>
      </c>
      <c r="BN141" s="36">
        <v>3000</v>
      </c>
      <c r="BO141" s="36">
        <v>3000</v>
      </c>
      <c r="BP141">
        <f t="shared" si="16"/>
        <v>480</v>
      </c>
      <c r="BR141" s="38">
        <v>44713</v>
      </c>
      <c r="BS141" s="20" t="s">
        <v>185</v>
      </c>
      <c r="BT141" s="20" t="str">
        <f t="shared" si="17"/>
        <v>LaPorteuseD'Eau_COR22C78</v>
      </c>
    </row>
    <row r="142" spans="2:72" ht="18.75" customHeight="1" x14ac:dyDescent="0.25">
      <c r="B142" s="20">
        <f t="shared" si="18"/>
        <v>79</v>
      </c>
      <c r="C142" s="22" t="str">
        <f t="shared" si="14"/>
        <v>La Porteuse D'Eau #79</v>
      </c>
      <c r="D142" t="str">
        <f t="shared" si="15"/>
        <v>COR22C79</v>
      </c>
      <c r="E142" s="58" t="s">
        <v>240</v>
      </c>
      <c r="F142" s="20">
        <v>1000</v>
      </c>
      <c r="G142" s="14" t="s">
        <v>251</v>
      </c>
      <c r="H142" s="23" t="s">
        <v>170</v>
      </c>
      <c r="J142" s="59" t="s">
        <v>38</v>
      </c>
      <c r="K142" s="22" t="s">
        <v>39</v>
      </c>
      <c r="L142" s="59" t="s">
        <v>171</v>
      </c>
      <c r="M142" s="22">
        <v>2</v>
      </c>
      <c r="N142" s="59" t="s">
        <v>172</v>
      </c>
      <c r="O142" s="22">
        <v>2</v>
      </c>
      <c r="P142" s="59" t="s">
        <v>173</v>
      </c>
      <c r="Q142" s="22">
        <v>2</v>
      </c>
      <c r="V142" s="59" t="s">
        <v>176</v>
      </c>
      <c r="Z142" s="59" t="s">
        <v>40</v>
      </c>
      <c r="AA142" s="22" t="s">
        <v>46</v>
      </c>
      <c r="AH142" s="59" t="s">
        <v>41</v>
      </c>
      <c r="AI142" s="22" t="s">
        <v>48</v>
      </c>
      <c r="AJ142" s="59" t="s">
        <v>42</v>
      </c>
      <c r="AK142" s="22" t="s">
        <v>49</v>
      </c>
      <c r="AL142" s="59" t="s">
        <v>43</v>
      </c>
      <c r="AM142" s="22" t="s">
        <v>50</v>
      </c>
      <c r="AV142" s="59" t="s">
        <v>134</v>
      </c>
      <c r="AW142" s="22" t="str">
        <f>Settings!$B$5 &amp;  "?s=" &amp; D142 &amp; "&amp;platform=ftx"</f>
        <v>https://tokensol.nfluent.io?s=COR22C79&amp;platform=ftx</v>
      </c>
      <c r="AX142" s="20" t="s">
        <v>23</v>
      </c>
      <c r="AY142" s="20">
        <v>10</v>
      </c>
      <c r="AZ142" s="20" t="s">
        <v>24</v>
      </c>
      <c r="BA142" s="20">
        <v>90</v>
      </c>
      <c r="BD142" s="14"/>
      <c r="BJ142" t="s">
        <v>242</v>
      </c>
      <c r="BK142" t="s">
        <v>184</v>
      </c>
      <c r="BN142" s="36">
        <v>3000</v>
      </c>
      <c r="BO142" s="36">
        <v>3000</v>
      </c>
      <c r="BP142">
        <f t="shared" si="16"/>
        <v>480</v>
      </c>
      <c r="BR142" s="38">
        <v>44713</v>
      </c>
      <c r="BS142" s="20" t="s">
        <v>185</v>
      </c>
      <c r="BT142" s="20" t="str">
        <f t="shared" si="17"/>
        <v>LaPorteuseD'Eau_COR22C79</v>
      </c>
    </row>
    <row r="143" spans="2:72" ht="18.75" customHeight="1" x14ac:dyDescent="0.25">
      <c r="B143" s="20">
        <f t="shared" si="18"/>
        <v>80</v>
      </c>
      <c r="C143" s="22" t="str">
        <f t="shared" si="14"/>
        <v>La Porteuse D'Eau #80</v>
      </c>
      <c r="D143" t="str">
        <f t="shared" si="15"/>
        <v>COR22C80</v>
      </c>
      <c r="E143" s="58" t="s">
        <v>240</v>
      </c>
      <c r="F143" s="20">
        <v>1000</v>
      </c>
      <c r="G143" s="14" t="s">
        <v>251</v>
      </c>
      <c r="H143" s="23" t="s">
        <v>170</v>
      </c>
      <c r="J143" s="59" t="s">
        <v>38</v>
      </c>
      <c r="K143" s="22" t="s">
        <v>39</v>
      </c>
      <c r="L143" s="59" t="s">
        <v>171</v>
      </c>
      <c r="M143" s="22">
        <v>2</v>
      </c>
      <c r="N143" s="59" t="s">
        <v>172</v>
      </c>
      <c r="O143" s="22">
        <v>2</v>
      </c>
      <c r="P143" s="59" t="s">
        <v>173</v>
      </c>
      <c r="Q143" s="22">
        <v>2</v>
      </c>
      <c r="V143" s="59" t="s">
        <v>176</v>
      </c>
      <c r="Z143" s="59" t="s">
        <v>40</v>
      </c>
      <c r="AA143" s="22" t="s">
        <v>46</v>
      </c>
      <c r="AH143" s="59" t="s">
        <v>41</v>
      </c>
      <c r="AI143" s="22" t="s">
        <v>48</v>
      </c>
      <c r="AJ143" s="59" t="s">
        <v>42</v>
      </c>
      <c r="AK143" s="22" t="s">
        <v>49</v>
      </c>
      <c r="AL143" s="59" t="s">
        <v>43</v>
      </c>
      <c r="AM143" s="22" t="s">
        <v>50</v>
      </c>
      <c r="AV143" s="59" t="s">
        <v>134</v>
      </c>
      <c r="AW143" s="22" t="str">
        <f>Settings!$B$5 &amp;  "?s=" &amp; D143 &amp; "&amp;platform=ftx"</f>
        <v>https://tokensol.nfluent.io?s=COR22C80&amp;platform=ftx</v>
      </c>
      <c r="AX143" s="20" t="s">
        <v>23</v>
      </c>
      <c r="AY143" s="20">
        <v>10</v>
      </c>
      <c r="AZ143" s="20" t="s">
        <v>24</v>
      </c>
      <c r="BA143" s="20">
        <v>90</v>
      </c>
      <c r="BD143" s="14"/>
      <c r="BJ143" t="s">
        <v>242</v>
      </c>
      <c r="BK143" t="s">
        <v>184</v>
      </c>
      <c r="BN143" s="36">
        <v>3000</v>
      </c>
      <c r="BO143" s="36">
        <v>3000</v>
      </c>
      <c r="BP143">
        <f t="shared" si="16"/>
        <v>480</v>
      </c>
      <c r="BR143" s="38">
        <v>44713</v>
      </c>
      <c r="BS143" s="20" t="s">
        <v>185</v>
      </c>
      <c r="BT143" s="20" t="str">
        <f t="shared" si="17"/>
        <v>LaPorteuseD'Eau_COR22C80</v>
      </c>
    </row>
    <row r="144" spans="2:72" ht="18.75" customHeight="1" x14ac:dyDescent="0.25">
      <c r="B144" s="20">
        <f t="shared" si="18"/>
        <v>81</v>
      </c>
      <c r="C144" s="22" t="str">
        <f t="shared" si="14"/>
        <v>La Porteuse D'Eau #81</v>
      </c>
      <c r="D144" t="str">
        <f t="shared" si="15"/>
        <v>COR22C81</v>
      </c>
      <c r="E144" s="58" t="s">
        <v>240</v>
      </c>
      <c r="F144" s="20">
        <v>1000</v>
      </c>
      <c r="G144" s="14" t="s">
        <v>251</v>
      </c>
      <c r="H144" s="23" t="s">
        <v>170</v>
      </c>
      <c r="J144" s="59" t="s">
        <v>38</v>
      </c>
      <c r="K144" s="22" t="s">
        <v>39</v>
      </c>
      <c r="L144" s="59" t="s">
        <v>171</v>
      </c>
      <c r="M144" s="22">
        <v>2</v>
      </c>
      <c r="N144" s="59" t="s">
        <v>172</v>
      </c>
      <c r="O144" s="22">
        <v>2</v>
      </c>
      <c r="P144" s="59" t="s">
        <v>173</v>
      </c>
      <c r="Q144" s="22">
        <v>2</v>
      </c>
      <c r="V144" s="59" t="s">
        <v>176</v>
      </c>
      <c r="Z144" s="59" t="s">
        <v>40</v>
      </c>
      <c r="AA144" s="22" t="s">
        <v>46</v>
      </c>
      <c r="AH144" s="59" t="s">
        <v>41</v>
      </c>
      <c r="AI144" s="22" t="s">
        <v>48</v>
      </c>
      <c r="AJ144" s="59" t="s">
        <v>42</v>
      </c>
      <c r="AK144" s="22" t="s">
        <v>49</v>
      </c>
      <c r="AL144" s="59" t="s">
        <v>43</v>
      </c>
      <c r="AM144" s="22" t="s">
        <v>50</v>
      </c>
      <c r="AV144" s="59" t="s">
        <v>134</v>
      </c>
      <c r="AW144" s="22" t="str">
        <f>Settings!$B$5 &amp;  "?s=" &amp; D144 &amp; "&amp;platform=ftx"</f>
        <v>https://tokensol.nfluent.io?s=COR22C81&amp;platform=ftx</v>
      </c>
      <c r="AX144" s="20" t="s">
        <v>23</v>
      </c>
      <c r="AY144" s="20">
        <v>10</v>
      </c>
      <c r="AZ144" s="20" t="s">
        <v>24</v>
      </c>
      <c r="BA144" s="20">
        <v>90</v>
      </c>
      <c r="BD144" s="14"/>
      <c r="BJ144" t="s">
        <v>242</v>
      </c>
      <c r="BK144" t="s">
        <v>184</v>
      </c>
      <c r="BN144" s="36">
        <v>3000</v>
      </c>
      <c r="BO144" s="36">
        <v>3000</v>
      </c>
      <c r="BP144">
        <f t="shared" si="16"/>
        <v>480</v>
      </c>
      <c r="BR144" s="38">
        <v>44713</v>
      </c>
      <c r="BS144" s="20" t="s">
        <v>185</v>
      </c>
      <c r="BT144" s="20" t="str">
        <f t="shared" si="17"/>
        <v>LaPorteuseD'Eau_COR22C81</v>
      </c>
    </row>
    <row r="145" spans="2:72" ht="18.75" customHeight="1" x14ac:dyDescent="0.25">
      <c r="B145" s="20">
        <f t="shared" si="18"/>
        <v>82</v>
      </c>
      <c r="C145" s="22" t="str">
        <f t="shared" si="14"/>
        <v>La Porteuse D'Eau #82</v>
      </c>
      <c r="D145" t="str">
        <f t="shared" si="15"/>
        <v>COR22C82</v>
      </c>
      <c r="E145" s="58" t="s">
        <v>240</v>
      </c>
      <c r="F145" s="20">
        <v>1000</v>
      </c>
      <c r="G145" s="14" t="s">
        <v>251</v>
      </c>
      <c r="H145" s="23" t="s">
        <v>170</v>
      </c>
      <c r="J145" s="59" t="s">
        <v>38</v>
      </c>
      <c r="K145" s="22" t="s">
        <v>39</v>
      </c>
      <c r="L145" s="59" t="s">
        <v>171</v>
      </c>
      <c r="M145" s="22">
        <v>2</v>
      </c>
      <c r="N145" s="59" t="s">
        <v>172</v>
      </c>
      <c r="O145" s="22">
        <v>2</v>
      </c>
      <c r="P145" s="59" t="s">
        <v>173</v>
      </c>
      <c r="Q145" s="22">
        <v>2</v>
      </c>
      <c r="V145" s="59" t="s">
        <v>176</v>
      </c>
      <c r="Z145" s="59" t="s">
        <v>40</v>
      </c>
      <c r="AA145" s="22" t="s">
        <v>46</v>
      </c>
      <c r="AH145" s="59" t="s">
        <v>41</v>
      </c>
      <c r="AI145" s="22" t="s">
        <v>48</v>
      </c>
      <c r="AJ145" s="59" t="s">
        <v>42</v>
      </c>
      <c r="AK145" s="22" t="s">
        <v>49</v>
      </c>
      <c r="AL145" s="59" t="s">
        <v>43</v>
      </c>
      <c r="AM145" s="22" t="s">
        <v>50</v>
      </c>
      <c r="AV145" s="59" t="s">
        <v>134</v>
      </c>
      <c r="AW145" s="22" t="str">
        <f>Settings!$B$5 &amp;  "?s=" &amp; D145 &amp; "&amp;platform=ftx"</f>
        <v>https://tokensol.nfluent.io?s=COR22C82&amp;platform=ftx</v>
      </c>
      <c r="AX145" s="20" t="s">
        <v>23</v>
      </c>
      <c r="AY145" s="20">
        <v>10</v>
      </c>
      <c r="AZ145" s="20" t="s">
        <v>24</v>
      </c>
      <c r="BA145" s="20">
        <v>90</v>
      </c>
      <c r="BD145" s="14"/>
      <c r="BJ145" t="s">
        <v>242</v>
      </c>
      <c r="BK145" t="s">
        <v>184</v>
      </c>
      <c r="BN145" s="36">
        <v>3000</v>
      </c>
      <c r="BO145" s="36">
        <v>3000</v>
      </c>
      <c r="BP145">
        <f t="shared" si="16"/>
        <v>480</v>
      </c>
      <c r="BR145" s="38">
        <v>44713</v>
      </c>
      <c r="BS145" s="20" t="s">
        <v>185</v>
      </c>
      <c r="BT145" s="20" t="str">
        <f t="shared" si="17"/>
        <v>LaPorteuseD'Eau_COR22C82</v>
      </c>
    </row>
    <row r="146" spans="2:72" ht="18.75" customHeight="1" x14ac:dyDescent="0.25">
      <c r="B146" s="20">
        <f t="shared" si="18"/>
        <v>83</v>
      </c>
      <c r="C146" s="22" t="str">
        <f t="shared" si="14"/>
        <v>La Porteuse D'Eau #83</v>
      </c>
      <c r="D146" t="str">
        <f t="shared" si="15"/>
        <v>COR22C83</v>
      </c>
      <c r="E146" s="58" t="s">
        <v>240</v>
      </c>
      <c r="F146" s="20">
        <v>1000</v>
      </c>
      <c r="G146" s="14" t="s">
        <v>251</v>
      </c>
      <c r="H146" s="23" t="s">
        <v>170</v>
      </c>
      <c r="J146" s="59" t="s">
        <v>38</v>
      </c>
      <c r="K146" s="22" t="s">
        <v>39</v>
      </c>
      <c r="L146" s="59" t="s">
        <v>171</v>
      </c>
      <c r="M146" s="22">
        <v>2</v>
      </c>
      <c r="N146" s="59" t="s">
        <v>172</v>
      </c>
      <c r="O146" s="22">
        <v>2</v>
      </c>
      <c r="P146" s="59" t="s">
        <v>173</v>
      </c>
      <c r="Q146" s="22">
        <v>2</v>
      </c>
      <c r="V146" s="59" t="s">
        <v>176</v>
      </c>
      <c r="Z146" s="59" t="s">
        <v>40</v>
      </c>
      <c r="AA146" s="22" t="s">
        <v>46</v>
      </c>
      <c r="AH146" s="59" t="s">
        <v>41</v>
      </c>
      <c r="AI146" s="22" t="s">
        <v>48</v>
      </c>
      <c r="AJ146" s="59" t="s">
        <v>42</v>
      </c>
      <c r="AK146" s="22" t="s">
        <v>49</v>
      </c>
      <c r="AL146" s="59" t="s">
        <v>43</v>
      </c>
      <c r="AM146" s="22" t="s">
        <v>50</v>
      </c>
      <c r="AV146" s="59" t="s">
        <v>134</v>
      </c>
      <c r="AW146" s="22" t="str">
        <f>Settings!$B$5 &amp;  "?s=" &amp; D146 &amp; "&amp;platform=ftx"</f>
        <v>https://tokensol.nfluent.io?s=COR22C83&amp;platform=ftx</v>
      </c>
      <c r="AX146" s="20" t="s">
        <v>23</v>
      </c>
      <c r="AY146" s="20">
        <v>10</v>
      </c>
      <c r="AZ146" s="20" t="s">
        <v>24</v>
      </c>
      <c r="BA146" s="20">
        <v>90</v>
      </c>
      <c r="BD146" s="14"/>
      <c r="BJ146" t="s">
        <v>242</v>
      </c>
      <c r="BK146" t="s">
        <v>184</v>
      </c>
      <c r="BN146" s="36">
        <v>3000</v>
      </c>
      <c r="BO146" s="36">
        <v>3000</v>
      </c>
      <c r="BP146">
        <f t="shared" si="16"/>
        <v>480</v>
      </c>
      <c r="BR146" s="38">
        <v>44713</v>
      </c>
      <c r="BS146" s="20" t="s">
        <v>185</v>
      </c>
      <c r="BT146" s="20" t="str">
        <f t="shared" si="17"/>
        <v>LaPorteuseD'Eau_COR22C83</v>
      </c>
    </row>
    <row r="147" spans="2:72" ht="18.75" customHeight="1" x14ac:dyDescent="0.25">
      <c r="B147" s="20">
        <f t="shared" si="18"/>
        <v>84</v>
      </c>
      <c r="C147" s="22" t="str">
        <f t="shared" si="14"/>
        <v>La Porteuse D'Eau #84</v>
      </c>
      <c r="D147" t="str">
        <f t="shared" si="15"/>
        <v>COR22C84</v>
      </c>
      <c r="E147" s="58" t="s">
        <v>240</v>
      </c>
      <c r="F147" s="20">
        <v>1000</v>
      </c>
      <c r="G147" s="14" t="s">
        <v>251</v>
      </c>
      <c r="H147" s="23" t="s">
        <v>170</v>
      </c>
      <c r="J147" s="59" t="s">
        <v>38</v>
      </c>
      <c r="K147" s="22" t="s">
        <v>39</v>
      </c>
      <c r="L147" s="59" t="s">
        <v>171</v>
      </c>
      <c r="M147" s="22">
        <v>2</v>
      </c>
      <c r="N147" s="59" t="s">
        <v>172</v>
      </c>
      <c r="O147" s="22">
        <v>2</v>
      </c>
      <c r="P147" s="59" t="s">
        <v>173</v>
      </c>
      <c r="Q147" s="22">
        <v>2</v>
      </c>
      <c r="V147" s="59" t="s">
        <v>176</v>
      </c>
      <c r="Z147" s="59" t="s">
        <v>40</v>
      </c>
      <c r="AA147" s="22" t="s">
        <v>46</v>
      </c>
      <c r="AH147" s="59" t="s">
        <v>41</v>
      </c>
      <c r="AI147" s="22" t="s">
        <v>48</v>
      </c>
      <c r="AJ147" s="59" t="s">
        <v>42</v>
      </c>
      <c r="AK147" s="22" t="s">
        <v>49</v>
      </c>
      <c r="AL147" s="59" t="s">
        <v>43</v>
      </c>
      <c r="AM147" s="22" t="s">
        <v>50</v>
      </c>
      <c r="AV147" s="59" t="s">
        <v>134</v>
      </c>
      <c r="AW147" s="22" t="str">
        <f>Settings!$B$5 &amp;  "?s=" &amp; D147 &amp; "&amp;platform=ftx"</f>
        <v>https://tokensol.nfluent.io?s=COR22C84&amp;platform=ftx</v>
      </c>
      <c r="AX147" s="20" t="s">
        <v>23</v>
      </c>
      <c r="AY147" s="20">
        <v>10</v>
      </c>
      <c r="AZ147" s="20" t="s">
        <v>24</v>
      </c>
      <c r="BA147" s="20">
        <v>90</v>
      </c>
      <c r="BD147" s="14"/>
      <c r="BJ147" t="s">
        <v>242</v>
      </c>
      <c r="BK147" t="s">
        <v>184</v>
      </c>
      <c r="BN147" s="36">
        <v>3000</v>
      </c>
      <c r="BO147" s="36">
        <v>3000</v>
      </c>
      <c r="BP147">
        <f t="shared" si="16"/>
        <v>480</v>
      </c>
      <c r="BR147" s="38">
        <v>44713</v>
      </c>
      <c r="BS147" s="20" t="s">
        <v>185</v>
      </c>
      <c r="BT147" s="20" t="str">
        <f t="shared" si="17"/>
        <v>LaPorteuseD'Eau_COR22C84</v>
      </c>
    </row>
    <row r="148" spans="2:72" ht="18.75" customHeight="1" x14ac:dyDescent="0.25">
      <c r="B148" s="20">
        <f t="shared" si="18"/>
        <v>85</v>
      </c>
      <c r="C148" s="22" t="str">
        <f t="shared" si="14"/>
        <v>La Porteuse D'Eau #85</v>
      </c>
      <c r="D148" t="str">
        <f t="shared" si="15"/>
        <v>COR22C85</v>
      </c>
      <c r="E148" s="58" t="s">
        <v>240</v>
      </c>
      <c r="F148" s="20">
        <v>1000</v>
      </c>
      <c r="G148" s="14" t="s">
        <v>251</v>
      </c>
      <c r="H148" s="23" t="s">
        <v>170</v>
      </c>
      <c r="J148" s="59" t="s">
        <v>38</v>
      </c>
      <c r="K148" s="22" t="s">
        <v>39</v>
      </c>
      <c r="L148" s="59" t="s">
        <v>171</v>
      </c>
      <c r="M148" s="22">
        <v>2</v>
      </c>
      <c r="N148" s="59" t="s">
        <v>172</v>
      </c>
      <c r="O148" s="22">
        <v>2</v>
      </c>
      <c r="P148" s="59" t="s">
        <v>173</v>
      </c>
      <c r="Q148" s="22">
        <v>2</v>
      </c>
      <c r="V148" s="59" t="s">
        <v>176</v>
      </c>
      <c r="Z148" s="59" t="s">
        <v>40</v>
      </c>
      <c r="AA148" s="22" t="s">
        <v>46</v>
      </c>
      <c r="AH148" s="59" t="s">
        <v>41</v>
      </c>
      <c r="AI148" s="22" t="s">
        <v>48</v>
      </c>
      <c r="AJ148" s="59" t="s">
        <v>42</v>
      </c>
      <c r="AK148" s="22" t="s">
        <v>49</v>
      </c>
      <c r="AL148" s="59" t="s">
        <v>43</v>
      </c>
      <c r="AM148" s="22" t="s">
        <v>50</v>
      </c>
      <c r="AV148" s="59" t="s">
        <v>134</v>
      </c>
      <c r="AW148" s="22" t="str">
        <f>Settings!$B$5 &amp;  "?s=" &amp; D148 &amp; "&amp;platform=ftx"</f>
        <v>https://tokensol.nfluent.io?s=COR22C85&amp;platform=ftx</v>
      </c>
      <c r="AX148" s="20" t="s">
        <v>23</v>
      </c>
      <c r="AY148" s="20">
        <v>10</v>
      </c>
      <c r="AZ148" s="20" t="s">
        <v>24</v>
      </c>
      <c r="BA148" s="20">
        <v>90</v>
      </c>
      <c r="BD148" s="14"/>
      <c r="BJ148" t="s">
        <v>242</v>
      </c>
      <c r="BK148" t="s">
        <v>184</v>
      </c>
      <c r="BN148" s="36">
        <v>3000</v>
      </c>
      <c r="BO148" s="36">
        <v>3000</v>
      </c>
      <c r="BP148">
        <f t="shared" si="16"/>
        <v>480</v>
      </c>
      <c r="BR148" s="38">
        <v>44713</v>
      </c>
      <c r="BS148" s="20" t="s">
        <v>185</v>
      </c>
      <c r="BT148" s="20" t="str">
        <f t="shared" si="17"/>
        <v>LaPorteuseD'Eau_COR22C85</v>
      </c>
    </row>
    <row r="149" spans="2:72" ht="18.75" customHeight="1" x14ac:dyDescent="0.25">
      <c r="B149" s="20">
        <f t="shared" si="18"/>
        <v>86</v>
      </c>
      <c r="C149" s="22" t="str">
        <f t="shared" si="14"/>
        <v>La Porteuse D'Eau #86</v>
      </c>
      <c r="D149" t="str">
        <f t="shared" si="15"/>
        <v>COR22C86</v>
      </c>
      <c r="E149" s="58" t="s">
        <v>240</v>
      </c>
      <c r="F149" s="20">
        <v>1000</v>
      </c>
      <c r="G149" s="14" t="s">
        <v>251</v>
      </c>
      <c r="H149" s="23" t="s">
        <v>170</v>
      </c>
      <c r="J149" s="59" t="s">
        <v>38</v>
      </c>
      <c r="K149" s="22" t="s">
        <v>39</v>
      </c>
      <c r="L149" s="59" t="s">
        <v>171</v>
      </c>
      <c r="M149" s="22">
        <v>2</v>
      </c>
      <c r="N149" s="59" t="s">
        <v>172</v>
      </c>
      <c r="O149" s="22">
        <v>2</v>
      </c>
      <c r="P149" s="59" t="s">
        <v>173</v>
      </c>
      <c r="Q149" s="22">
        <v>2</v>
      </c>
      <c r="V149" s="59" t="s">
        <v>176</v>
      </c>
      <c r="Z149" s="59" t="s">
        <v>40</v>
      </c>
      <c r="AA149" s="22" t="s">
        <v>46</v>
      </c>
      <c r="AH149" s="59" t="s">
        <v>41</v>
      </c>
      <c r="AI149" s="22" t="s">
        <v>48</v>
      </c>
      <c r="AJ149" s="59" t="s">
        <v>42</v>
      </c>
      <c r="AK149" s="22" t="s">
        <v>49</v>
      </c>
      <c r="AL149" s="59" t="s">
        <v>43</v>
      </c>
      <c r="AM149" s="22" t="s">
        <v>50</v>
      </c>
      <c r="AV149" s="59" t="s">
        <v>134</v>
      </c>
      <c r="AW149" s="22" t="str">
        <f>Settings!$B$5 &amp;  "?s=" &amp; D149 &amp; "&amp;platform=ftx"</f>
        <v>https://tokensol.nfluent.io?s=COR22C86&amp;platform=ftx</v>
      </c>
      <c r="AX149" s="20" t="s">
        <v>23</v>
      </c>
      <c r="AY149" s="20">
        <v>10</v>
      </c>
      <c r="AZ149" s="20" t="s">
        <v>24</v>
      </c>
      <c r="BA149" s="20">
        <v>90</v>
      </c>
      <c r="BD149" s="14"/>
      <c r="BJ149" t="s">
        <v>242</v>
      </c>
      <c r="BK149" t="s">
        <v>184</v>
      </c>
      <c r="BN149" s="36">
        <v>3000</v>
      </c>
      <c r="BO149" s="36">
        <v>3000</v>
      </c>
      <c r="BP149">
        <f t="shared" si="16"/>
        <v>480</v>
      </c>
      <c r="BR149" s="38">
        <v>44713</v>
      </c>
      <c r="BS149" s="20" t="s">
        <v>185</v>
      </c>
      <c r="BT149" s="20" t="str">
        <f t="shared" si="17"/>
        <v>LaPorteuseD'Eau_COR22C86</v>
      </c>
    </row>
    <row r="150" spans="2:72" ht="18.75" customHeight="1" x14ac:dyDescent="0.25">
      <c r="B150" s="20">
        <f t="shared" si="18"/>
        <v>87</v>
      </c>
      <c r="C150" s="22" t="str">
        <f t="shared" si="14"/>
        <v>La Porteuse D'Eau #87</v>
      </c>
      <c r="D150" t="str">
        <f t="shared" si="15"/>
        <v>COR22C87</v>
      </c>
      <c r="E150" s="58" t="s">
        <v>240</v>
      </c>
      <c r="F150" s="20">
        <v>1000</v>
      </c>
      <c r="G150" s="14" t="s">
        <v>251</v>
      </c>
      <c r="H150" s="23" t="s">
        <v>170</v>
      </c>
      <c r="J150" s="59" t="s">
        <v>38</v>
      </c>
      <c r="K150" s="22" t="s">
        <v>39</v>
      </c>
      <c r="L150" s="59" t="s">
        <v>171</v>
      </c>
      <c r="M150" s="22">
        <v>2</v>
      </c>
      <c r="N150" s="59" t="s">
        <v>172</v>
      </c>
      <c r="O150" s="22">
        <v>2</v>
      </c>
      <c r="P150" s="59" t="s">
        <v>173</v>
      </c>
      <c r="Q150" s="22">
        <v>2</v>
      </c>
      <c r="V150" s="59" t="s">
        <v>176</v>
      </c>
      <c r="Z150" s="59" t="s">
        <v>40</v>
      </c>
      <c r="AA150" s="22" t="s">
        <v>46</v>
      </c>
      <c r="AH150" s="59" t="s">
        <v>41</v>
      </c>
      <c r="AI150" s="22" t="s">
        <v>48</v>
      </c>
      <c r="AJ150" s="59" t="s">
        <v>42</v>
      </c>
      <c r="AK150" s="22" t="s">
        <v>49</v>
      </c>
      <c r="AL150" s="59" t="s">
        <v>43</v>
      </c>
      <c r="AM150" s="22" t="s">
        <v>50</v>
      </c>
      <c r="AV150" s="59" t="s">
        <v>134</v>
      </c>
      <c r="AW150" s="22" t="str">
        <f>Settings!$B$5 &amp;  "?s=" &amp; D150 &amp; "&amp;platform=ftx"</f>
        <v>https://tokensol.nfluent.io?s=COR22C87&amp;platform=ftx</v>
      </c>
      <c r="AX150" s="20" t="s">
        <v>23</v>
      </c>
      <c r="AY150" s="20">
        <v>10</v>
      </c>
      <c r="AZ150" s="20" t="s">
        <v>24</v>
      </c>
      <c r="BA150" s="20">
        <v>90</v>
      </c>
      <c r="BD150" s="14"/>
      <c r="BJ150" t="s">
        <v>242</v>
      </c>
      <c r="BK150" t="s">
        <v>184</v>
      </c>
      <c r="BN150" s="36">
        <v>3000</v>
      </c>
      <c r="BO150" s="36">
        <v>3000</v>
      </c>
      <c r="BP150">
        <f t="shared" si="16"/>
        <v>480</v>
      </c>
      <c r="BR150" s="38">
        <v>44713</v>
      </c>
      <c r="BS150" s="20" t="s">
        <v>185</v>
      </c>
      <c r="BT150" s="20" t="str">
        <f t="shared" si="17"/>
        <v>LaPorteuseD'Eau_COR22C87</v>
      </c>
    </row>
    <row r="151" spans="2:72" ht="18.75" customHeight="1" x14ac:dyDescent="0.25">
      <c r="B151" s="20">
        <f t="shared" si="18"/>
        <v>88</v>
      </c>
      <c r="C151" s="22" t="str">
        <f t="shared" si="14"/>
        <v>La Porteuse D'Eau #88</v>
      </c>
      <c r="D151" t="str">
        <f t="shared" si="15"/>
        <v>COR22C88</v>
      </c>
      <c r="E151" s="58" t="s">
        <v>240</v>
      </c>
      <c r="F151" s="20">
        <v>1000</v>
      </c>
      <c r="G151" s="14" t="s">
        <v>251</v>
      </c>
      <c r="H151" s="23" t="s">
        <v>170</v>
      </c>
      <c r="J151" s="59" t="s">
        <v>38</v>
      </c>
      <c r="K151" s="22" t="s">
        <v>39</v>
      </c>
      <c r="L151" s="59" t="s">
        <v>171</v>
      </c>
      <c r="M151" s="22">
        <v>2</v>
      </c>
      <c r="N151" s="59" t="s">
        <v>172</v>
      </c>
      <c r="O151" s="22">
        <v>2</v>
      </c>
      <c r="P151" s="59" t="s">
        <v>173</v>
      </c>
      <c r="Q151" s="22">
        <v>2</v>
      </c>
      <c r="V151" s="59" t="s">
        <v>176</v>
      </c>
      <c r="Z151" s="59" t="s">
        <v>40</v>
      </c>
      <c r="AA151" s="22" t="s">
        <v>46</v>
      </c>
      <c r="AH151" s="59" t="s">
        <v>41</v>
      </c>
      <c r="AI151" s="22" t="s">
        <v>48</v>
      </c>
      <c r="AJ151" s="59" t="s">
        <v>42</v>
      </c>
      <c r="AK151" s="22" t="s">
        <v>49</v>
      </c>
      <c r="AL151" s="59" t="s">
        <v>43</v>
      </c>
      <c r="AM151" s="22" t="s">
        <v>50</v>
      </c>
      <c r="AV151" s="59" t="s">
        <v>134</v>
      </c>
      <c r="AW151" s="22" t="str">
        <f>Settings!$B$5 &amp;  "?s=" &amp; D151 &amp; "&amp;platform=ftx"</f>
        <v>https://tokensol.nfluent.io?s=COR22C88&amp;platform=ftx</v>
      </c>
      <c r="AX151" s="20" t="s">
        <v>23</v>
      </c>
      <c r="AY151" s="20">
        <v>10</v>
      </c>
      <c r="AZ151" s="20" t="s">
        <v>24</v>
      </c>
      <c r="BA151" s="20">
        <v>90</v>
      </c>
      <c r="BD151" s="14"/>
      <c r="BJ151" t="s">
        <v>242</v>
      </c>
      <c r="BK151" t="s">
        <v>184</v>
      </c>
      <c r="BN151" s="36">
        <v>3000</v>
      </c>
      <c r="BO151" s="36">
        <v>3000</v>
      </c>
      <c r="BP151">
        <f t="shared" si="16"/>
        <v>480</v>
      </c>
      <c r="BR151" s="38">
        <v>44713</v>
      </c>
      <c r="BS151" s="20" t="s">
        <v>185</v>
      </c>
      <c r="BT151" s="20" t="str">
        <f t="shared" si="17"/>
        <v>LaPorteuseD'Eau_COR22C88</v>
      </c>
    </row>
    <row r="152" spans="2:72" ht="18.75" customHeight="1" x14ac:dyDescent="0.25">
      <c r="B152" s="20">
        <f t="shared" si="18"/>
        <v>89</v>
      </c>
      <c r="C152" s="22" t="str">
        <f t="shared" si="14"/>
        <v>La Porteuse D'Eau #89</v>
      </c>
      <c r="D152" t="str">
        <f t="shared" si="15"/>
        <v>COR22C89</v>
      </c>
      <c r="E152" s="58" t="s">
        <v>240</v>
      </c>
      <c r="F152" s="20">
        <v>1000</v>
      </c>
      <c r="G152" s="14" t="s">
        <v>251</v>
      </c>
      <c r="H152" s="23" t="s">
        <v>170</v>
      </c>
      <c r="J152" s="59" t="s">
        <v>38</v>
      </c>
      <c r="K152" s="22" t="s">
        <v>39</v>
      </c>
      <c r="L152" s="59" t="s">
        <v>171</v>
      </c>
      <c r="M152" s="22">
        <v>2</v>
      </c>
      <c r="N152" s="59" t="s">
        <v>172</v>
      </c>
      <c r="O152" s="22">
        <v>2</v>
      </c>
      <c r="P152" s="59" t="s">
        <v>173</v>
      </c>
      <c r="Q152" s="22">
        <v>2</v>
      </c>
      <c r="V152" s="59" t="s">
        <v>176</v>
      </c>
      <c r="Z152" s="59" t="s">
        <v>40</v>
      </c>
      <c r="AA152" s="22" t="s">
        <v>46</v>
      </c>
      <c r="AH152" s="59" t="s">
        <v>41</v>
      </c>
      <c r="AI152" s="22" t="s">
        <v>48</v>
      </c>
      <c r="AJ152" s="59" t="s">
        <v>42</v>
      </c>
      <c r="AK152" s="22" t="s">
        <v>49</v>
      </c>
      <c r="AL152" s="59" t="s">
        <v>43</v>
      </c>
      <c r="AM152" s="22" t="s">
        <v>50</v>
      </c>
      <c r="AV152" s="59" t="s">
        <v>134</v>
      </c>
      <c r="AW152" s="22" t="str">
        <f>Settings!$B$5 &amp;  "?s=" &amp; D152 &amp; "&amp;platform=ftx"</f>
        <v>https://tokensol.nfluent.io?s=COR22C89&amp;platform=ftx</v>
      </c>
      <c r="AX152" s="20" t="s">
        <v>23</v>
      </c>
      <c r="AY152" s="20">
        <v>10</v>
      </c>
      <c r="AZ152" s="20" t="s">
        <v>24</v>
      </c>
      <c r="BA152" s="20">
        <v>90</v>
      </c>
      <c r="BD152" s="14"/>
      <c r="BJ152" t="s">
        <v>242</v>
      </c>
      <c r="BK152" t="s">
        <v>184</v>
      </c>
      <c r="BN152" s="36">
        <v>3000</v>
      </c>
      <c r="BO152" s="36">
        <v>3000</v>
      </c>
      <c r="BP152">
        <f t="shared" si="16"/>
        <v>480</v>
      </c>
      <c r="BR152" s="38">
        <v>44713</v>
      </c>
      <c r="BS152" s="20" t="s">
        <v>185</v>
      </c>
      <c r="BT152" s="20" t="str">
        <f t="shared" si="17"/>
        <v>LaPorteuseD'Eau_COR22C89</v>
      </c>
    </row>
    <row r="153" spans="2:72" ht="18.75" customHeight="1" x14ac:dyDescent="0.25">
      <c r="B153" s="20">
        <f t="shared" si="18"/>
        <v>90</v>
      </c>
      <c r="C153" s="22" t="str">
        <f t="shared" si="14"/>
        <v>La Porteuse D'Eau #90</v>
      </c>
      <c r="D153" t="str">
        <f t="shared" si="15"/>
        <v>COR22C90</v>
      </c>
      <c r="E153" s="58" t="s">
        <v>240</v>
      </c>
      <c r="F153" s="20">
        <v>1000</v>
      </c>
      <c r="G153" s="14" t="s">
        <v>251</v>
      </c>
      <c r="H153" s="23" t="s">
        <v>170</v>
      </c>
      <c r="J153" s="59" t="s">
        <v>38</v>
      </c>
      <c r="K153" s="22" t="s">
        <v>39</v>
      </c>
      <c r="L153" s="59" t="s">
        <v>171</v>
      </c>
      <c r="M153" s="22">
        <v>2</v>
      </c>
      <c r="N153" s="59" t="s">
        <v>172</v>
      </c>
      <c r="O153" s="22">
        <v>2</v>
      </c>
      <c r="P153" s="59" t="s">
        <v>173</v>
      </c>
      <c r="Q153" s="22">
        <v>2</v>
      </c>
      <c r="V153" s="59" t="s">
        <v>176</v>
      </c>
      <c r="Z153" s="59" t="s">
        <v>40</v>
      </c>
      <c r="AA153" s="22" t="s">
        <v>46</v>
      </c>
      <c r="AH153" s="59" t="s">
        <v>41</v>
      </c>
      <c r="AI153" s="22" t="s">
        <v>48</v>
      </c>
      <c r="AJ153" s="59" t="s">
        <v>42</v>
      </c>
      <c r="AK153" s="22" t="s">
        <v>49</v>
      </c>
      <c r="AL153" s="59" t="s">
        <v>43</v>
      </c>
      <c r="AM153" s="22" t="s">
        <v>50</v>
      </c>
      <c r="AV153" s="59" t="s">
        <v>134</v>
      </c>
      <c r="AW153" s="22" t="str">
        <f>Settings!$B$5 &amp;  "?s=" &amp; D153 &amp; "&amp;platform=ftx"</f>
        <v>https://tokensol.nfluent.io?s=COR22C90&amp;platform=ftx</v>
      </c>
      <c r="AX153" s="20" t="s">
        <v>23</v>
      </c>
      <c r="AY153" s="20">
        <v>10</v>
      </c>
      <c r="AZ153" s="20" t="s">
        <v>24</v>
      </c>
      <c r="BA153" s="20">
        <v>90</v>
      </c>
      <c r="BD153" s="14"/>
      <c r="BJ153" t="s">
        <v>242</v>
      </c>
      <c r="BK153" t="s">
        <v>184</v>
      </c>
      <c r="BN153" s="36">
        <v>3000</v>
      </c>
      <c r="BO153" s="36">
        <v>3000</v>
      </c>
      <c r="BP153">
        <f t="shared" si="16"/>
        <v>480</v>
      </c>
      <c r="BR153" s="38">
        <v>44713</v>
      </c>
      <c r="BS153" s="20" t="s">
        <v>185</v>
      </c>
      <c r="BT153" s="20" t="str">
        <f t="shared" si="17"/>
        <v>LaPorteuseD'Eau_COR22C90</v>
      </c>
    </row>
    <row r="154" spans="2:72" ht="18.75" customHeight="1" x14ac:dyDescent="0.25">
      <c r="B154" s="20">
        <f t="shared" si="18"/>
        <v>91</v>
      </c>
      <c r="C154" s="22" t="str">
        <f t="shared" si="14"/>
        <v>La Porteuse D'Eau #91</v>
      </c>
      <c r="D154" t="str">
        <f t="shared" si="15"/>
        <v>COR22C91</v>
      </c>
      <c r="E154" s="58" t="s">
        <v>240</v>
      </c>
      <c r="F154" s="20">
        <v>1000</v>
      </c>
      <c r="G154" s="14" t="s">
        <v>251</v>
      </c>
      <c r="H154" s="23" t="s">
        <v>170</v>
      </c>
      <c r="J154" s="59" t="s">
        <v>38</v>
      </c>
      <c r="K154" s="22" t="s">
        <v>39</v>
      </c>
      <c r="L154" s="59" t="s">
        <v>171</v>
      </c>
      <c r="M154" s="22">
        <v>2</v>
      </c>
      <c r="N154" s="59" t="s">
        <v>172</v>
      </c>
      <c r="O154" s="22">
        <v>2</v>
      </c>
      <c r="P154" s="59" t="s">
        <v>173</v>
      </c>
      <c r="Q154" s="22">
        <v>2</v>
      </c>
      <c r="V154" s="59" t="s">
        <v>176</v>
      </c>
      <c r="Z154" s="59" t="s">
        <v>40</v>
      </c>
      <c r="AA154" s="22" t="s">
        <v>46</v>
      </c>
      <c r="AH154" s="59" t="s">
        <v>41</v>
      </c>
      <c r="AI154" s="22" t="s">
        <v>48</v>
      </c>
      <c r="AJ154" s="59" t="s">
        <v>42</v>
      </c>
      <c r="AK154" s="22" t="s">
        <v>49</v>
      </c>
      <c r="AL154" s="59" t="s">
        <v>43</v>
      </c>
      <c r="AM154" s="22" t="s">
        <v>50</v>
      </c>
      <c r="AV154" s="59" t="s">
        <v>134</v>
      </c>
      <c r="AW154" s="22" t="str">
        <f>Settings!$B$5 &amp;  "?s=" &amp; D154 &amp; "&amp;platform=ftx"</f>
        <v>https://tokensol.nfluent.io?s=COR22C91&amp;platform=ftx</v>
      </c>
      <c r="AX154" s="20" t="s">
        <v>23</v>
      </c>
      <c r="AY154" s="20">
        <v>10</v>
      </c>
      <c r="AZ154" s="20" t="s">
        <v>24</v>
      </c>
      <c r="BA154" s="20">
        <v>90</v>
      </c>
      <c r="BD154" s="14"/>
      <c r="BJ154" t="s">
        <v>242</v>
      </c>
      <c r="BK154" t="s">
        <v>184</v>
      </c>
      <c r="BN154" s="36">
        <v>3000</v>
      </c>
      <c r="BO154" s="36">
        <v>3000</v>
      </c>
      <c r="BP154">
        <f t="shared" si="16"/>
        <v>480</v>
      </c>
      <c r="BR154" s="38">
        <v>44713</v>
      </c>
      <c r="BS154" s="20" t="s">
        <v>185</v>
      </c>
      <c r="BT154" s="20" t="str">
        <f t="shared" si="17"/>
        <v>LaPorteuseD'Eau_COR22C91</v>
      </c>
    </row>
    <row r="155" spans="2:72" ht="18.75" customHeight="1" x14ac:dyDescent="0.25">
      <c r="B155" s="20">
        <f t="shared" si="18"/>
        <v>92</v>
      </c>
      <c r="C155" s="22" t="str">
        <f t="shared" si="14"/>
        <v>La Porteuse D'Eau #92</v>
      </c>
      <c r="D155" t="str">
        <f t="shared" si="15"/>
        <v>COR22C92</v>
      </c>
      <c r="E155" s="58" t="s">
        <v>240</v>
      </c>
      <c r="F155" s="20">
        <v>1000</v>
      </c>
      <c r="G155" s="14" t="s">
        <v>251</v>
      </c>
      <c r="H155" s="23" t="s">
        <v>170</v>
      </c>
      <c r="J155" s="59" t="s">
        <v>38</v>
      </c>
      <c r="K155" s="22" t="s">
        <v>39</v>
      </c>
      <c r="L155" s="59" t="s">
        <v>171</v>
      </c>
      <c r="M155" s="22">
        <v>2</v>
      </c>
      <c r="N155" s="59" t="s">
        <v>172</v>
      </c>
      <c r="O155" s="22">
        <v>2</v>
      </c>
      <c r="P155" s="59" t="s">
        <v>173</v>
      </c>
      <c r="Q155" s="22">
        <v>2</v>
      </c>
      <c r="V155" s="59" t="s">
        <v>176</v>
      </c>
      <c r="Z155" s="59" t="s">
        <v>40</v>
      </c>
      <c r="AA155" s="22" t="s">
        <v>46</v>
      </c>
      <c r="AH155" s="59" t="s">
        <v>41</v>
      </c>
      <c r="AI155" s="22" t="s">
        <v>48</v>
      </c>
      <c r="AJ155" s="59" t="s">
        <v>42</v>
      </c>
      <c r="AK155" s="22" t="s">
        <v>49</v>
      </c>
      <c r="AL155" s="59" t="s">
        <v>43</v>
      </c>
      <c r="AM155" s="22" t="s">
        <v>50</v>
      </c>
      <c r="AV155" s="59" t="s">
        <v>134</v>
      </c>
      <c r="AW155" s="22" t="str">
        <f>Settings!$B$5 &amp;  "?s=" &amp; D155 &amp; "&amp;platform=ftx"</f>
        <v>https://tokensol.nfluent.io?s=COR22C92&amp;platform=ftx</v>
      </c>
      <c r="AX155" s="20" t="s">
        <v>23</v>
      </c>
      <c r="AY155" s="20">
        <v>10</v>
      </c>
      <c r="AZ155" s="20" t="s">
        <v>24</v>
      </c>
      <c r="BA155" s="20">
        <v>90</v>
      </c>
      <c r="BD155" s="14"/>
      <c r="BJ155" t="s">
        <v>242</v>
      </c>
      <c r="BK155" t="s">
        <v>184</v>
      </c>
      <c r="BN155" s="36">
        <v>3000</v>
      </c>
      <c r="BO155" s="36">
        <v>3000</v>
      </c>
      <c r="BP155">
        <f t="shared" si="16"/>
        <v>480</v>
      </c>
      <c r="BR155" s="38">
        <v>44713</v>
      </c>
      <c r="BS155" s="20" t="s">
        <v>185</v>
      </c>
      <c r="BT155" s="20" t="str">
        <f t="shared" si="17"/>
        <v>LaPorteuseD'Eau_COR22C92</v>
      </c>
    </row>
    <row r="156" spans="2:72" ht="18.75" customHeight="1" x14ac:dyDescent="0.25">
      <c r="B156" s="20">
        <f t="shared" si="18"/>
        <v>93</v>
      </c>
      <c r="C156" s="22" t="str">
        <f t="shared" si="14"/>
        <v>La Porteuse D'Eau #93</v>
      </c>
      <c r="D156" t="str">
        <f t="shared" si="15"/>
        <v>COR22C93</v>
      </c>
      <c r="E156" s="58" t="s">
        <v>240</v>
      </c>
      <c r="F156" s="20">
        <v>1000</v>
      </c>
      <c r="G156" s="14" t="s">
        <v>251</v>
      </c>
      <c r="H156" s="23" t="s">
        <v>170</v>
      </c>
      <c r="J156" s="59" t="s">
        <v>38</v>
      </c>
      <c r="K156" s="22" t="s">
        <v>39</v>
      </c>
      <c r="L156" s="59" t="s">
        <v>171</v>
      </c>
      <c r="M156" s="22">
        <v>2</v>
      </c>
      <c r="N156" s="59" t="s">
        <v>172</v>
      </c>
      <c r="O156" s="22">
        <v>2</v>
      </c>
      <c r="P156" s="59" t="s">
        <v>173</v>
      </c>
      <c r="Q156" s="22">
        <v>2</v>
      </c>
      <c r="V156" s="59" t="s">
        <v>176</v>
      </c>
      <c r="Z156" s="59" t="s">
        <v>40</v>
      </c>
      <c r="AA156" s="22" t="s">
        <v>46</v>
      </c>
      <c r="AH156" s="59" t="s">
        <v>41</v>
      </c>
      <c r="AI156" s="22" t="s">
        <v>48</v>
      </c>
      <c r="AJ156" s="59" t="s">
        <v>42</v>
      </c>
      <c r="AK156" s="22" t="s">
        <v>49</v>
      </c>
      <c r="AL156" s="59" t="s">
        <v>43</v>
      </c>
      <c r="AM156" s="22" t="s">
        <v>50</v>
      </c>
      <c r="AV156" s="59" t="s">
        <v>134</v>
      </c>
      <c r="AW156" s="22" t="str">
        <f>Settings!$B$5 &amp;  "?s=" &amp; D156 &amp; "&amp;platform=ftx"</f>
        <v>https://tokensol.nfluent.io?s=COR22C93&amp;platform=ftx</v>
      </c>
      <c r="AX156" s="20" t="s">
        <v>23</v>
      </c>
      <c r="AY156" s="20">
        <v>10</v>
      </c>
      <c r="AZ156" s="20" t="s">
        <v>24</v>
      </c>
      <c r="BA156" s="20">
        <v>90</v>
      </c>
      <c r="BD156" s="14"/>
      <c r="BJ156" t="s">
        <v>242</v>
      </c>
      <c r="BK156" t="s">
        <v>184</v>
      </c>
      <c r="BN156" s="36">
        <v>3000</v>
      </c>
      <c r="BO156" s="36">
        <v>3000</v>
      </c>
      <c r="BP156">
        <f t="shared" si="16"/>
        <v>480</v>
      </c>
      <c r="BR156" s="38">
        <v>44713</v>
      </c>
      <c r="BS156" s="20" t="s">
        <v>185</v>
      </c>
      <c r="BT156" s="20" t="str">
        <f t="shared" si="17"/>
        <v>LaPorteuseD'Eau_COR22C93</v>
      </c>
    </row>
    <row r="157" spans="2:72" ht="18.75" customHeight="1" x14ac:dyDescent="0.25">
      <c r="B157" s="20">
        <f t="shared" si="18"/>
        <v>94</v>
      </c>
      <c r="C157" s="22" t="str">
        <f t="shared" si="14"/>
        <v>La Porteuse D'Eau #94</v>
      </c>
      <c r="D157" t="str">
        <f t="shared" si="15"/>
        <v>COR22C94</v>
      </c>
      <c r="E157" s="58" t="s">
        <v>240</v>
      </c>
      <c r="F157" s="20">
        <v>1000</v>
      </c>
      <c r="G157" s="14" t="s">
        <v>251</v>
      </c>
      <c r="H157" s="23" t="s">
        <v>170</v>
      </c>
      <c r="J157" s="59" t="s">
        <v>38</v>
      </c>
      <c r="K157" s="22" t="s">
        <v>39</v>
      </c>
      <c r="L157" s="59" t="s">
        <v>171</v>
      </c>
      <c r="M157" s="22">
        <v>2</v>
      </c>
      <c r="N157" s="59" t="s">
        <v>172</v>
      </c>
      <c r="O157" s="22">
        <v>2</v>
      </c>
      <c r="P157" s="59" t="s">
        <v>173</v>
      </c>
      <c r="Q157" s="22">
        <v>2</v>
      </c>
      <c r="V157" s="59" t="s">
        <v>176</v>
      </c>
      <c r="Z157" s="59" t="s">
        <v>40</v>
      </c>
      <c r="AA157" s="22" t="s">
        <v>46</v>
      </c>
      <c r="AH157" s="59" t="s">
        <v>41</v>
      </c>
      <c r="AI157" s="22" t="s">
        <v>48</v>
      </c>
      <c r="AJ157" s="59" t="s">
        <v>42</v>
      </c>
      <c r="AK157" s="22" t="s">
        <v>49</v>
      </c>
      <c r="AL157" s="59" t="s">
        <v>43</v>
      </c>
      <c r="AM157" s="22" t="s">
        <v>50</v>
      </c>
      <c r="AV157" s="59" t="s">
        <v>134</v>
      </c>
      <c r="AW157" s="22" t="str">
        <f>Settings!$B$5 &amp;  "?s=" &amp; D157 &amp; "&amp;platform=ftx"</f>
        <v>https://tokensol.nfluent.io?s=COR22C94&amp;platform=ftx</v>
      </c>
      <c r="AX157" s="20" t="s">
        <v>23</v>
      </c>
      <c r="AY157" s="20">
        <v>10</v>
      </c>
      <c r="AZ157" s="20" t="s">
        <v>24</v>
      </c>
      <c r="BA157" s="20">
        <v>90</v>
      </c>
      <c r="BD157" s="14"/>
      <c r="BJ157" t="s">
        <v>242</v>
      </c>
      <c r="BK157" t="s">
        <v>184</v>
      </c>
      <c r="BN157" s="36">
        <v>3000</v>
      </c>
      <c r="BO157" s="36">
        <v>3000</v>
      </c>
      <c r="BP157">
        <f t="shared" si="16"/>
        <v>480</v>
      </c>
      <c r="BR157" s="38">
        <v>44713</v>
      </c>
      <c r="BS157" s="20" t="s">
        <v>185</v>
      </c>
      <c r="BT157" s="20" t="str">
        <f t="shared" si="17"/>
        <v>LaPorteuseD'Eau_COR22C94</v>
      </c>
    </row>
    <row r="158" spans="2:72" ht="18.75" customHeight="1" x14ac:dyDescent="0.25">
      <c r="B158" s="20">
        <f t="shared" si="18"/>
        <v>95</v>
      </c>
      <c r="C158" s="22" t="str">
        <f t="shared" si="14"/>
        <v>La Porteuse D'Eau #95</v>
      </c>
      <c r="D158" t="str">
        <f t="shared" si="15"/>
        <v>COR22C95</v>
      </c>
      <c r="E158" s="58" t="s">
        <v>240</v>
      </c>
      <c r="F158" s="20">
        <v>1000</v>
      </c>
      <c r="G158" s="14" t="s">
        <v>251</v>
      </c>
      <c r="H158" s="23" t="s">
        <v>170</v>
      </c>
      <c r="J158" s="59" t="s">
        <v>38</v>
      </c>
      <c r="K158" s="22" t="s">
        <v>39</v>
      </c>
      <c r="L158" s="59" t="s">
        <v>171</v>
      </c>
      <c r="M158" s="22">
        <v>2</v>
      </c>
      <c r="N158" s="59" t="s">
        <v>172</v>
      </c>
      <c r="O158" s="22">
        <v>2</v>
      </c>
      <c r="P158" s="59" t="s">
        <v>173</v>
      </c>
      <c r="Q158" s="22">
        <v>2</v>
      </c>
      <c r="V158" s="59" t="s">
        <v>176</v>
      </c>
      <c r="Z158" s="59" t="s">
        <v>40</v>
      </c>
      <c r="AA158" s="22" t="s">
        <v>46</v>
      </c>
      <c r="AH158" s="59" t="s">
        <v>41</v>
      </c>
      <c r="AI158" s="22" t="s">
        <v>48</v>
      </c>
      <c r="AJ158" s="59" t="s">
        <v>42</v>
      </c>
      <c r="AK158" s="22" t="s">
        <v>49</v>
      </c>
      <c r="AL158" s="59" t="s">
        <v>43</v>
      </c>
      <c r="AM158" s="22" t="s">
        <v>50</v>
      </c>
      <c r="AV158" s="59" t="s">
        <v>134</v>
      </c>
      <c r="AW158" s="22" t="str">
        <f>Settings!$B$5 &amp;  "?s=" &amp; D158 &amp; "&amp;platform=ftx"</f>
        <v>https://tokensol.nfluent.io?s=COR22C95&amp;platform=ftx</v>
      </c>
      <c r="AX158" s="20" t="s">
        <v>23</v>
      </c>
      <c r="AY158" s="20">
        <v>10</v>
      </c>
      <c r="AZ158" s="20" t="s">
        <v>24</v>
      </c>
      <c r="BA158" s="20">
        <v>90</v>
      </c>
      <c r="BD158" s="14"/>
      <c r="BJ158" t="s">
        <v>242</v>
      </c>
      <c r="BK158" t="s">
        <v>184</v>
      </c>
      <c r="BN158" s="36">
        <v>3000</v>
      </c>
      <c r="BO158" s="36">
        <v>3000</v>
      </c>
      <c r="BP158">
        <f t="shared" si="16"/>
        <v>480</v>
      </c>
      <c r="BR158" s="38">
        <v>44713</v>
      </c>
      <c r="BS158" s="20" t="s">
        <v>185</v>
      </c>
      <c r="BT158" s="20" t="str">
        <f t="shared" si="17"/>
        <v>LaPorteuseD'Eau_COR22C95</v>
      </c>
    </row>
    <row r="159" spans="2:72" ht="18.75" customHeight="1" x14ac:dyDescent="0.25">
      <c r="B159" s="20">
        <f t="shared" si="18"/>
        <v>96</v>
      </c>
      <c r="C159" s="22" t="str">
        <f t="shared" si="14"/>
        <v>La Porteuse D'Eau #96</v>
      </c>
      <c r="D159" t="str">
        <f t="shared" si="15"/>
        <v>COR22C96</v>
      </c>
      <c r="E159" s="58" t="s">
        <v>240</v>
      </c>
      <c r="F159" s="20">
        <v>1000</v>
      </c>
      <c r="G159" s="14" t="s">
        <v>251</v>
      </c>
      <c r="H159" s="23" t="s">
        <v>170</v>
      </c>
      <c r="J159" s="59" t="s">
        <v>38</v>
      </c>
      <c r="K159" s="22" t="s">
        <v>39</v>
      </c>
      <c r="L159" s="59" t="s">
        <v>171</v>
      </c>
      <c r="M159" s="22">
        <v>2</v>
      </c>
      <c r="N159" s="59" t="s">
        <v>172</v>
      </c>
      <c r="O159" s="22">
        <v>2</v>
      </c>
      <c r="P159" s="59" t="s">
        <v>173</v>
      </c>
      <c r="Q159" s="22">
        <v>2</v>
      </c>
      <c r="V159" s="59" t="s">
        <v>176</v>
      </c>
      <c r="Z159" s="59" t="s">
        <v>40</v>
      </c>
      <c r="AA159" s="22" t="s">
        <v>46</v>
      </c>
      <c r="AH159" s="59" t="s">
        <v>41</v>
      </c>
      <c r="AI159" s="22" t="s">
        <v>48</v>
      </c>
      <c r="AJ159" s="59" t="s">
        <v>42</v>
      </c>
      <c r="AK159" s="22" t="s">
        <v>49</v>
      </c>
      <c r="AL159" s="59" t="s">
        <v>43</v>
      </c>
      <c r="AM159" s="22" t="s">
        <v>50</v>
      </c>
      <c r="AV159" s="59" t="s">
        <v>134</v>
      </c>
      <c r="AW159" s="22" t="str">
        <f>Settings!$B$5 &amp;  "?s=" &amp; D159 &amp; "&amp;platform=ftx"</f>
        <v>https://tokensol.nfluent.io?s=COR22C96&amp;platform=ftx</v>
      </c>
      <c r="AX159" s="20" t="s">
        <v>23</v>
      </c>
      <c r="AY159" s="20">
        <v>10</v>
      </c>
      <c r="AZ159" s="20" t="s">
        <v>24</v>
      </c>
      <c r="BA159" s="20">
        <v>90</v>
      </c>
      <c r="BD159" s="14"/>
      <c r="BJ159" t="s">
        <v>242</v>
      </c>
      <c r="BK159" t="s">
        <v>184</v>
      </c>
      <c r="BN159" s="36">
        <v>3000</v>
      </c>
      <c r="BO159" s="36">
        <v>3000</v>
      </c>
      <c r="BP159">
        <f t="shared" si="16"/>
        <v>480</v>
      </c>
      <c r="BR159" s="38">
        <v>44713</v>
      </c>
      <c r="BS159" s="20" t="s">
        <v>185</v>
      </c>
      <c r="BT159" s="20" t="str">
        <f t="shared" si="17"/>
        <v>LaPorteuseD'Eau_COR22C96</v>
      </c>
    </row>
    <row r="160" spans="2:72" ht="18.75" customHeight="1" x14ac:dyDescent="0.25">
      <c r="B160" s="20">
        <f t="shared" si="18"/>
        <v>97</v>
      </c>
      <c r="C160" s="22" t="str">
        <f t="shared" si="14"/>
        <v>La Porteuse D'Eau #97</v>
      </c>
      <c r="D160" t="str">
        <f t="shared" si="15"/>
        <v>COR22C97</v>
      </c>
      <c r="E160" s="58" t="s">
        <v>240</v>
      </c>
      <c r="F160" s="20">
        <v>1000</v>
      </c>
      <c r="G160" s="14" t="s">
        <v>251</v>
      </c>
      <c r="H160" s="23" t="s">
        <v>170</v>
      </c>
      <c r="J160" s="59" t="s">
        <v>38</v>
      </c>
      <c r="K160" s="22" t="s">
        <v>39</v>
      </c>
      <c r="L160" s="59" t="s">
        <v>171</v>
      </c>
      <c r="M160" s="22">
        <v>2</v>
      </c>
      <c r="N160" s="59" t="s">
        <v>172</v>
      </c>
      <c r="O160" s="22">
        <v>2</v>
      </c>
      <c r="P160" s="59" t="s">
        <v>173</v>
      </c>
      <c r="Q160" s="22">
        <v>2</v>
      </c>
      <c r="V160" s="59" t="s">
        <v>176</v>
      </c>
      <c r="Z160" s="59" t="s">
        <v>40</v>
      </c>
      <c r="AA160" s="22" t="s">
        <v>46</v>
      </c>
      <c r="AH160" s="59" t="s">
        <v>41</v>
      </c>
      <c r="AI160" s="22" t="s">
        <v>48</v>
      </c>
      <c r="AJ160" s="59" t="s">
        <v>42</v>
      </c>
      <c r="AK160" s="22" t="s">
        <v>49</v>
      </c>
      <c r="AL160" s="59" t="s">
        <v>43</v>
      </c>
      <c r="AM160" s="22" t="s">
        <v>50</v>
      </c>
      <c r="AV160" s="59" t="s">
        <v>134</v>
      </c>
      <c r="AW160" s="22" t="str">
        <f>Settings!$B$5 &amp;  "?s=" &amp; D160 &amp; "&amp;platform=ftx"</f>
        <v>https://tokensol.nfluent.io?s=COR22C97&amp;platform=ftx</v>
      </c>
      <c r="AX160" s="20" t="s">
        <v>23</v>
      </c>
      <c r="AY160" s="20">
        <v>10</v>
      </c>
      <c r="AZ160" s="20" t="s">
        <v>24</v>
      </c>
      <c r="BA160" s="20">
        <v>90</v>
      </c>
      <c r="BD160" s="14"/>
      <c r="BJ160" t="s">
        <v>242</v>
      </c>
      <c r="BK160" t="s">
        <v>184</v>
      </c>
      <c r="BN160" s="36">
        <v>3000</v>
      </c>
      <c r="BO160" s="36">
        <v>3000</v>
      </c>
      <c r="BP160">
        <f t="shared" si="16"/>
        <v>480</v>
      </c>
      <c r="BR160" s="38">
        <v>44713</v>
      </c>
      <c r="BS160" s="20" t="s">
        <v>185</v>
      </c>
      <c r="BT160" s="20" t="str">
        <f t="shared" si="17"/>
        <v>LaPorteuseD'Eau_COR22C97</v>
      </c>
    </row>
    <row r="161" spans="2:72" ht="18.75" customHeight="1" x14ac:dyDescent="0.25">
      <c r="B161" s="20">
        <f t="shared" si="18"/>
        <v>98</v>
      </c>
      <c r="C161" s="22" t="str">
        <f t="shared" si="14"/>
        <v>La Porteuse D'Eau #98</v>
      </c>
      <c r="D161" t="str">
        <f t="shared" si="15"/>
        <v>COR22C98</v>
      </c>
      <c r="E161" s="58" t="s">
        <v>240</v>
      </c>
      <c r="F161" s="20">
        <v>1000</v>
      </c>
      <c r="G161" s="14" t="s">
        <v>251</v>
      </c>
      <c r="H161" s="23" t="s">
        <v>170</v>
      </c>
      <c r="J161" s="59" t="s">
        <v>38</v>
      </c>
      <c r="K161" s="22" t="s">
        <v>39</v>
      </c>
      <c r="L161" s="59" t="s">
        <v>171</v>
      </c>
      <c r="M161" s="22">
        <v>2</v>
      </c>
      <c r="N161" s="59" t="s">
        <v>172</v>
      </c>
      <c r="O161" s="22">
        <v>2</v>
      </c>
      <c r="P161" s="59" t="s">
        <v>173</v>
      </c>
      <c r="Q161" s="22">
        <v>2</v>
      </c>
      <c r="V161" s="59" t="s">
        <v>176</v>
      </c>
      <c r="Z161" s="59" t="s">
        <v>40</v>
      </c>
      <c r="AA161" s="22" t="s">
        <v>46</v>
      </c>
      <c r="AH161" s="59" t="s">
        <v>41</v>
      </c>
      <c r="AI161" s="22" t="s">
        <v>48</v>
      </c>
      <c r="AJ161" s="59" t="s">
        <v>42</v>
      </c>
      <c r="AK161" s="22" t="s">
        <v>49</v>
      </c>
      <c r="AL161" s="59" t="s">
        <v>43</v>
      </c>
      <c r="AM161" s="22" t="s">
        <v>50</v>
      </c>
      <c r="AV161" s="59" t="s">
        <v>134</v>
      </c>
      <c r="AW161" s="22" t="str">
        <f>Settings!$B$5 &amp;  "?s=" &amp; D161 &amp; "&amp;platform=ftx"</f>
        <v>https://tokensol.nfluent.io?s=COR22C98&amp;platform=ftx</v>
      </c>
      <c r="AX161" s="20" t="s">
        <v>23</v>
      </c>
      <c r="AY161" s="20">
        <v>10</v>
      </c>
      <c r="AZ161" s="20" t="s">
        <v>24</v>
      </c>
      <c r="BA161" s="20">
        <v>90</v>
      </c>
      <c r="BD161" s="14"/>
      <c r="BJ161" t="s">
        <v>242</v>
      </c>
      <c r="BK161" t="s">
        <v>184</v>
      </c>
      <c r="BN161" s="36">
        <v>3000</v>
      </c>
      <c r="BO161" s="36">
        <v>3000</v>
      </c>
      <c r="BP161">
        <f t="shared" si="16"/>
        <v>480</v>
      </c>
      <c r="BR161" s="38">
        <v>44713</v>
      </c>
      <c r="BS161" s="20" t="s">
        <v>185</v>
      </c>
      <c r="BT161" s="20" t="str">
        <f t="shared" si="17"/>
        <v>LaPorteuseD'Eau_COR22C98</v>
      </c>
    </row>
    <row r="162" spans="2:72" ht="18.75" customHeight="1" x14ac:dyDescent="0.25">
      <c r="B162" s="20">
        <f t="shared" si="18"/>
        <v>99</v>
      </c>
      <c r="C162" s="22" t="str">
        <f t="shared" si="14"/>
        <v>La Porteuse D'Eau #99</v>
      </c>
      <c r="D162" t="str">
        <f t="shared" si="15"/>
        <v>COR22C99</v>
      </c>
      <c r="E162" s="58" t="s">
        <v>240</v>
      </c>
      <c r="F162" s="20">
        <v>1000</v>
      </c>
      <c r="G162" s="14" t="s">
        <v>251</v>
      </c>
      <c r="H162" s="23" t="s">
        <v>170</v>
      </c>
      <c r="J162" s="59" t="s">
        <v>38</v>
      </c>
      <c r="K162" s="22" t="s">
        <v>39</v>
      </c>
      <c r="L162" s="59" t="s">
        <v>171</v>
      </c>
      <c r="M162" s="22">
        <v>2</v>
      </c>
      <c r="N162" s="59" t="s">
        <v>172</v>
      </c>
      <c r="O162" s="22">
        <v>2</v>
      </c>
      <c r="P162" s="59" t="s">
        <v>173</v>
      </c>
      <c r="Q162" s="22">
        <v>2</v>
      </c>
      <c r="V162" s="59" t="s">
        <v>176</v>
      </c>
      <c r="Z162" s="59" t="s">
        <v>40</v>
      </c>
      <c r="AA162" s="22" t="s">
        <v>46</v>
      </c>
      <c r="AH162" s="59" t="s">
        <v>41</v>
      </c>
      <c r="AI162" s="22" t="s">
        <v>48</v>
      </c>
      <c r="AJ162" s="59" t="s">
        <v>42</v>
      </c>
      <c r="AK162" s="22" t="s">
        <v>49</v>
      </c>
      <c r="AL162" s="59" t="s">
        <v>43</v>
      </c>
      <c r="AM162" s="22" t="s">
        <v>50</v>
      </c>
      <c r="AV162" s="59" t="s">
        <v>134</v>
      </c>
      <c r="AW162" s="22" t="str">
        <f>Settings!$B$5 &amp;  "?s=" &amp; D162 &amp; "&amp;platform=ftx"</f>
        <v>https://tokensol.nfluent.io?s=COR22C99&amp;platform=ftx</v>
      </c>
      <c r="AX162" s="20" t="s">
        <v>23</v>
      </c>
      <c r="AY162" s="20">
        <v>10</v>
      </c>
      <c r="AZ162" s="20" t="s">
        <v>24</v>
      </c>
      <c r="BA162" s="20">
        <v>90</v>
      </c>
      <c r="BD162" s="14"/>
      <c r="BJ162" t="s">
        <v>242</v>
      </c>
      <c r="BK162" t="s">
        <v>184</v>
      </c>
      <c r="BN162" s="36">
        <v>3000</v>
      </c>
      <c r="BO162" s="36">
        <v>3000</v>
      </c>
      <c r="BP162">
        <f t="shared" si="16"/>
        <v>480</v>
      </c>
      <c r="BR162" s="38">
        <v>44713</v>
      </c>
      <c r="BS162" s="20" t="s">
        <v>185</v>
      </c>
      <c r="BT162" s="20" t="str">
        <f t="shared" si="17"/>
        <v>LaPorteuseD'Eau_COR22C99</v>
      </c>
    </row>
    <row r="163" spans="2:72" ht="18.75" customHeight="1" x14ac:dyDescent="0.25">
      <c r="B163" s="20">
        <f t="shared" si="18"/>
        <v>100</v>
      </c>
      <c r="C163" s="22" t="str">
        <f t="shared" si="14"/>
        <v>La Porteuse D'Eau #100</v>
      </c>
      <c r="D163" t="str">
        <f t="shared" si="15"/>
        <v>COR22C100</v>
      </c>
      <c r="E163" s="58" t="s">
        <v>240</v>
      </c>
      <c r="F163" s="20">
        <v>1000</v>
      </c>
      <c r="G163" s="14" t="s">
        <v>251</v>
      </c>
      <c r="H163" s="23" t="s">
        <v>170</v>
      </c>
      <c r="J163" s="59" t="s">
        <v>38</v>
      </c>
      <c r="K163" s="22" t="s">
        <v>39</v>
      </c>
      <c r="L163" s="59" t="s">
        <v>171</v>
      </c>
      <c r="M163" s="22">
        <v>2</v>
      </c>
      <c r="N163" s="59" t="s">
        <v>172</v>
      </c>
      <c r="O163" s="22">
        <v>2</v>
      </c>
      <c r="P163" s="59" t="s">
        <v>173</v>
      </c>
      <c r="Q163" s="22">
        <v>2</v>
      </c>
      <c r="V163" s="59" t="s">
        <v>176</v>
      </c>
      <c r="Z163" s="59" t="s">
        <v>40</v>
      </c>
      <c r="AA163" s="22" t="s">
        <v>46</v>
      </c>
      <c r="AH163" s="59" t="s">
        <v>41</v>
      </c>
      <c r="AI163" s="22" t="s">
        <v>48</v>
      </c>
      <c r="AJ163" s="59" t="s">
        <v>42</v>
      </c>
      <c r="AK163" s="22" t="s">
        <v>49</v>
      </c>
      <c r="AL163" s="59" t="s">
        <v>43</v>
      </c>
      <c r="AM163" s="22" t="s">
        <v>50</v>
      </c>
      <c r="AV163" s="59" t="s">
        <v>134</v>
      </c>
      <c r="AW163" s="22" t="str">
        <f>Settings!$B$5 &amp;  "?s=" &amp; D163 &amp; "&amp;platform=ftx"</f>
        <v>https://tokensol.nfluent.io?s=COR22C100&amp;platform=ftx</v>
      </c>
      <c r="AX163" s="20" t="s">
        <v>23</v>
      </c>
      <c r="AY163" s="20">
        <v>10</v>
      </c>
      <c r="AZ163" s="20" t="s">
        <v>24</v>
      </c>
      <c r="BA163" s="20">
        <v>90</v>
      </c>
      <c r="BD163" s="14"/>
      <c r="BJ163" t="s">
        <v>242</v>
      </c>
      <c r="BK163" t="s">
        <v>184</v>
      </c>
      <c r="BN163" s="36">
        <v>3000</v>
      </c>
      <c r="BO163" s="36">
        <v>3000</v>
      </c>
      <c r="BP163">
        <f t="shared" si="16"/>
        <v>480</v>
      </c>
      <c r="BR163" s="38">
        <v>44713</v>
      </c>
      <c r="BS163" s="20" t="s">
        <v>185</v>
      </c>
      <c r="BT163" s="20" t="str">
        <f t="shared" si="17"/>
        <v>LaPorteuseD'Eau_COR22C100</v>
      </c>
    </row>
    <row r="164" spans="2:72" ht="18.75" customHeight="1" x14ac:dyDescent="0.25">
      <c r="B164" s="20">
        <v>1</v>
      </c>
      <c r="C164" s="22" t="str">
        <f>+"In Casa #"&amp;B164</f>
        <v>In Casa #1</v>
      </c>
      <c r="D164" t="str">
        <f>"COR22D"&amp;B164</f>
        <v>COR22D1</v>
      </c>
      <c r="E164" s="58" t="s">
        <v>252</v>
      </c>
      <c r="F164" s="20">
        <v>1000</v>
      </c>
      <c r="G164" s="14" t="s">
        <v>253</v>
      </c>
      <c r="H164" s="23" t="s">
        <v>170</v>
      </c>
      <c r="J164" s="59" t="s">
        <v>38</v>
      </c>
      <c r="K164" s="22" t="s">
        <v>254</v>
      </c>
      <c r="L164" s="59" t="s">
        <v>171</v>
      </c>
      <c r="M164" s="22">
        <v>2</v>
      </c>
      <c r="V164" s="59" t="s">
        <v>176</v>
      </c>
      <c r="AL164" s="59" t="s">
        <v>40</v>
      </c>
      <c r="AM164" s="22" t="s">
        <v>188</v>
      </c>
      <c r="AV164" s="59" t="s">
        <v>134</v>
      </c>
      <c r="AW164" s="22" t="str">
        <f>Settings!$B$5 &amp;  "?s=" &amp; D164 &amp; "&amp;platform=ftx"</f>
        <v>https://tokensol.nfluent.io?s=COR22D1&amp;platform=ftx</v>
      </c>
      <c r="AX164" s="20" t="s">
        <v>23</v>
      </c>
      <c r="AY164" s="20">
        <v>10</v>
      </c>
      <c r="AZ164" s="20" t="s">
        <v>24</v>
      </c>
      <c r="BA164" s="20">
        <v>90</v>
      </c>
      <c r="BD164" s="14"/>
      <c r="BJ164" t="s">
        <v>255</v>
      </c>
      <c r="BK164" t="s">
        <v>184</v>
      </c>
      <c r="BN164" s="36">
        <v>100</v>
      </c>
      <c r="BO164" s="36">
        <v>100</v>
      </c>
      <c r="BP164">
        <f>24*20</f>
        <v>480</v>
      </c>
      <c r="BR164" s="38">
        <v>44713</v>
      </c>
      <c r="BS164" s="20" t="s">
        <v>185</v>
      </c>
      <c r="BT164" s="20" t="str">
        <f t="shared" si="17"/>
        <v>InCasa_COR22D1</v>
      </c>
    </row>
    <row r="165" spans="2:72" ht="18.75" customHeight="1" x14ac:dyDescent="0.25">
      <c r="B165" s="20">
        <f t="shared" si="18"/>
        <v>2</v>
      </c>
      <c r="C165" s="22" t="str">
        <f t="shared" ref="C165:C228" si="19">+"In Casa #"&amp;B165</f>
        <v>In Casa #2</v>
      </c>
      <c r="D165" t="str">
        <f t="shared" ref="D165:D228" si="20">"COR22D"&amp;B165</f>
        <v>COR22D2</v>
      </c>
      <c r="E165" s="58" t="s">
        <v>252</v>
      </c>
      <c r="F165" s="20">
        <v>1000</v>
      </c>
      <c r="G165" s="14" t="s">
        <v>256</v>
      </c>
      <c r="H165" s="23" t="s">
        <v>170</v>
      </c>
      <c r="J165" s="59" t="s">
        <v>38</v>
      </c>
      <c r="K165" s="22" t="s">
        <v>254</v>
      </c>
      <c r="L165" s="59" t="s">
        <v>171</v>
      </c>
      <c r="M165" s="22">
        <v>2</v>
      </c>
      <c r="V165" s="59" t="s">
        <v>176</v>
      </c>
      <c r="AL165" s="59" t="s">
        <v>40</v>
      </c>
      <c r="AM165" s="22" t="s">
        <v>188</v>
      </c>
      <c r="AV165" s="59" t="s">
        <v>134</v>
      </c>
      <c r="AW165" s="22" t="str">
        <f>Settings!$B$5 &amp;  "?s=" &amp; D165 &amp; "&amp;platform=ftx"</f>
        <v>https://tokensol.nfluent.io?s=COR22D2&amp;platform=ftx</v>
      </c>
      <c r="AX165" s="20" t="s">
        <v>23</v>
      </c>
      <c r="AY165" s="20">
        <v>10</v>
      </c>
      <c r="AZ165" s="20" t="s">
        <v>24</v>
      </c>
      <c r="BA165" s="20">
        <v>90</v>
      </c>
      <c r="BD165" s="14"/>
      <c r="BJ165" t="s">
        <v>255</v>
      </c>
      <c r="BK165" t="s">
        <v>184</v>
      </c>
      <c r="BN165" s="36">
        <v>100</v>
      </c>
      <c r="BO165" s="36">
        <v>100</v>
      </c>
      <c r="BP165">
        <f t="shared" ref="BP165:BP228" si="21">24*20</f>
        <v>480</v>
      </c>
      <c r="BR165" s="38">
        <v>44713</v>
      </c>
      <c r="BS165" s="20" t="s">
        <v>185</v>
      </c>
      <c r="BT165" s="20" t="str">
        <f t="shared" si="17"/>
        <v>InCasa_COR22D2</v>
      </c>
    </row>
    <row r="166" spans="2:72" ht="18.75" customHeight="1" x14ac:dyDescent="0.25">
      <c r="B166" s="20">
        <f t="shared" si="18"/>
        <v>3</v>
      </c>
      <c r="C166" s="22" t="str">
        <f t="shared" si="19"/>
        <v>In Casa #3</v>
      </c>
      <c r="D166" t="str">
        <f t="shared" si="20"/>
        <v>COR22D3</v>
      </c>
      <c r="E166" s="58" t="s">
        <v>252</v>
      </c>
      <c r="F166" s="20">
        <v>1000</v>
      </c>
      <c r="G166" s="14" t="s">
        <v>257</v>
      </c>
      <c r="H166" s="23" t="s">
        <v>170</v>
      </c>
      <c r="J166" s="59" t="s">
        <v>38</v>
      </c>
      <c r="K166" s="22" t="s">
        <v>254</v>
      </c>
      <c r="L166" s="59" t="s">
        <v>171</v>
      </c>
      <c r="M166" s="22">
        <v>2</v>
      </c>
      <c r="V166" s="59" t="s">
        <v>176</v>
      </c>
      <c r="AL166" s="59" t="s">
        <v>40</v>
      </c>
      <c r="AM166" s="22" t="s">
        <v>188</v>
      </c>
      <c r="AV166" s="59" t="s">
        <v>134</v>
      </c>
      <c r="AW166" s="22" t="str">
        <f>Settings!$B$5 &amp;  "?s=" &amp; D166 &amp; "&amp;platform=ftx"</f>
        <v>https://tokensol.nfluent.io?s=COR22D3&amp;platform=ftx</v>
      </c>
      <c r="AX166" s="20" t="s">
        <v>23</v>
      </c>
      <c r="AY166" s="20">
        <v>10</v>
      </c>
      <c r="AZ166" s="20" t="s">
        <v>24</v>
      </c>
      <c r="BA166" s="20">
        <v>90</v>
      </c>
      <c r="BD166" s="14"/>
      <c r="BJ166" t="s">
        <v>255</v>
      </c>
      <c r="BK166" t="s">
        <v>184</v>
      </c>
      <c r="BN166" s="36">
        <v>100</v>
      </c>
      <c r="BO166" s="36">
        <v>100</v>
      </c>
      <c r="BP166">
        <f t="shared" si="21"/>
        <v>480</v>
      </c>
      <c r="BR166" s="38">
        <v>44713</v>
      </c>
      <c r="BS166" s="20" t="s">
        <v>185</v>
      </c>
      <c r="BT166" s="20" t="str">
        <f t="shared" si="17"/>
        <v>InCasa_COR22D3</v>
      </c>
    </row>
    <row r="167" spans="2:72" ht="18.75" customHeight="1" x14ac:dyDescent="0.25">
      <c r="B167" s="20">
        <f t="shared" si="18"/>
        <v>4</v>
      </c>
      <c r="C167" s="22" t="str">
        <f t="shared" si="19"/>
        <v>In Casa #4</v>
      </c>
      <c r="D167" t="str">
        <f t="shared" si="20"/>
        <v>COR22D4</v>
      </c>
      <c r="E167" s="58" t="s">
        <v>252</v>
      </c>
      <c r="F167" s="20">
        <v>1000</v>
      </c>
      <c r="G167" s="14" t="s">
        <v>258</v>
      </c>
      <c r="H167" s="23" t="s">
        <v>170</v>
      </c>
      <c r="J167" s="59" t="s">
        <v>38</v>
      </c>
      <c r="K167" s="22" t="s">
        <v>254</v>
      </c>
      <c r="L167" s="59" t="s">
        <v>171</v>
      </c>
      <c r="M167" s="22">
        <v>2</v>
      </c>
      <c r="V167" s="59" t="s">
        <v>176</v>
      </c>
      <c r="AL167" s="59" t="s">
        <v>40</v>
      </c>
      <c r="AM167" s="22" t="s">
        <v>188</v>
      </c>
      <c r="AV167" s="59" t="s">
        <v>134</v>
      </c>
      <c r="AW167" s="22" t="str">
        <f>Settings!$B$5 &amp;  "?s=" &amp; D167 &amp; "&amp;platform=ftx"</f>
        <v>https://tokensol.nfluent.io?s=COR22D4&amp;platform=ftx</v>
      </c>
      <c r="AX167" s="20" t="s">
        <v>23</v>
      </c>
      <c r="AY167" s="20">
        <v>10</v>
      </c>
      <c r="AZ167" s="20" t="s">
        <v>24</v>
      </c>
      <c r="BA167" s="20">
        <v>90</v>
      </c>
      <c r="BD167" s="14"/>
      <c r="BJ167" t="s">
        <v>255</v>
      </c>
      <c r="BK167" t="s">
        <v>184</v>
      </c>
      <c r="BN167" s="36">
        <v>100</v>
      </c>
      <c r="BO167" s="36">
        <v>100</v>
      </c>
      <c r="BP167">
        <f t="shared" si="21"/>
        <v>480</v>
      </c>
      <c r="BR167" s="38">
        <v>44713</v>
      </c>
      <c r="BS167" s="20" t="s">
        <v>185</v>
      </c>
      <c r="BT167" s="20" t="str">
        <f t="shared" si="17"/>
        <v>InCasa_COR22D4</v>
      </c>
    </row>
    <row r="168" spans="2:72" ht="18.75" customHeight="1" x14ac:dyDescent="0.25">
      <c r="B168" s="20">
        <f t="shared" si="18"/>
        <v>5</v>
      </c>
      <c r="C168" s="22" t="str">
        <f t="shared" si="19"/>
        <v>In Casa #5</v>
      </c>
      <c r="D168" t="str">
        <f t="shared" si="20"/>
        <v>COR22D5</v>
      </c>
      <c r="E168" s="58" t="s">
        <v>252</v>
      </c>
      <c r="F168" s="20">
        <v>1000</v>
      </c>
      <c r="G168" s="14" t="s">
        <v>259</v>
      </c>
      <c r="H168" s="23" t="s">
        <v>170</v>
      </c>
      <c r="J168" s="59" t="s">
        <v>38</v>
      </c>
      <c r="K168" s="22" t="s">
        <v>254</v>
      </c>
      <c r="L168" s="59" t="s">
        <v>171</v>
      </c>
      <c r="M168" s="22">
        <v>2</v>
      </c>
      <c r="V168" s="59" t="s">
        <v>176</v>
      </c>
      <c r="AL168" s="59" t="s">
        <v>40</v>
      </c>
      <c r="AM168" s="22" t="s">
        <v>188</v>
      </c>
      <c r="AV168" s="59" t="s">
        <v>134</v>
      </c>
      <c r="AW168" s="22" t="str">
        <f>Settings!$B$5 &amp;  "?s=" &amp; D168 &amp; "&amp;platform=ftx"</f>
        <v>https://tokensol.nfluent.io?s=COR22D5&amp;platform=ftx</v>
      </c>
      <c r="AX168" s="20" t="s">
        <v>23</v>
      </c>
      <c r="AY168" s="20">
        <v>10</v>
      </c>
      <c r="AZ168" s="20" t="s">
        <v>24</v>
      </c>
      <c r="BA168" s="20">
        <v>90</v>
      </c>
      <c r="BD168" s="14"/>
      <c r="BJ168" t="s">
        <v>255</v>
      </c>
      <c r="BK168" t="s">
        <v>184</v>
      </c>
      <c r="BN168" s="36">
        <v>100</v>
      </c>
      <c r="BO168" s="36">
        <v>100</v>
      </c>
      <c r="BP168">
        <f t="shared" si="21"/>
        <v>480</v>
      </c>
      <c r="BR168" s="38">
        <v>44713</v>
      </c>
      <c r="BS168" s="20" t="s">
        <v>185</v>
      </c>
      <c r="BT168" s="20" t="str">
        <f t="shared" si="17"/>
        <v>InCasa_COR22D5</v>
      </c>
    </row>
    <row r="169" spans="2:72" ht="18.75" customHeight="1" x14ac:dyDescent="0.25">
      <c r="B169" s="20">
        <f t="shared" si="18"/>
        <v>6</v>
      </c>
      <c r="C169" s="22" t="str">
        <f t="shared" si="19"/>
        <v>In Casa #6</v>
      </c>
      <c r="D169" t="str">
        <f t="shared" si="20"/>
        <v>COR22D6</v>
      </c>
      <c r="E169" s="58" t="s">
        <v>252</v>
      </c>
      <c r="F169" s="20">
        <v>1000</v>
      </c>
      <c r="G169" s="14" t="s">
        <v>260</v>
      </c>
      <c r="H169" s="23" t="s">
        <v>170</v>
      </c>
      <c r="J169" s="59" t="s">
        <v>38</v>
      </c>
      <c r="K169" s="22" t="s">
        <v>254</v>
      </c>
      <c r="L169" s="59" t="s">
        <v>171</v>
      </c>
      <c r="M169" s="22">
        <v>2</v>
      </c>
      <c r="V169" s="59" t="s">
        <v>176</v>
      </c>
      <c r="AL169" s="59" t="s">
        <v>40</v>
      </c>
      <c r="AM169" s="22" t="s">
        <v>188</v>
      </c>
      <c r="AV169" s="59" t="s">
        <v>134</v>
      </c>
      <c r="AW169" s="22" t="str">
        <f>Settings!$B$5 &amp;  "?s=" &amp; D169 &amp; "&amp;platform=ftx"</f>
        <v>https://tokensol.nfluent.io?s=COR22D6&amp;platform=ftx</v>
      </c>
      <c r="AX169" s="20" t="s">
        <v>23</v>
      </c>
      <c r="AY169" s="20">
        <v>10</v>
      </c>
      <c r="AZ169" s="20" t="s">
        <v>24</v>
      </c>
      <c r="BA169" s="20">
        <v>90</v>
      </c>
      <c r="BD169" s="14"/>
      <c r="BJ169" t="s">
        <v>255</v>
      </c>
      <c r="BK169" t="s">
        <v>184</v>
      </c>
      <c r="BN169" s="36">
        <v>100</v>
      </c>
      <c r="BO169" s="36">
        <v>100</v>
      </c>
      <c r="BP169">
        <f t="shared" si="21"/>
        <v>480</v>
      </c>
      <c r="BR169" s="38">
        <v>44713</v>
      </c>
      <c r="BS169" s="20" t="s">
        <v>185</v>
      </c>
      <c r="BT169" s="20" t="str">
        <f t="shared" si="17"/>
        <v>InCasa_COR22D6</v>
      </c>
    </row>
    <row r="170" spans="2:72" ht="18.75" customHeight="1" x14ac:dyDescent="0.25">
      <c r="B170" s="20">
        <f t="shared" si="18"/>
        <v>7</v>
      </c>
      <c r="C170" s="22" t="str">
        <f t="shared" si="19"/>
        <v>In Casa #7</v>
      </c>
      <c r="D170" t="str">
        <f t="shared" si="20"/>
        <v>COR22D7</v>
      </c>
      <c r="E170" s="58" t="s">
        <v>252</v>
      </c>
      <c r="F170" s="20">
        <v>1000</v>
      </c>
      <c r="G170" s="14" t="s">
        <v>261</v>
      </c>
      <c r="H170" s="23" t="s">
        <v>170</v>
      </c>
      <c r="J170" s="59" t="s">
        <v>38</v>
      </c>
      <c r="K170" s="22" t="s">
        <v>254</v>
      </c>
      <c r="L170" s="59" t="s">
        <v>171</v>
      </c>
      <c r="M170" s="22">
        <v>2</v>
      </c>
      <c r="V170" s="59" t="s">
        <v>176</v>
      </c>
      <c r="AL170" s="59" t="s">
        <v>40</v>
      </c>
      <c r="AM170" s="22" t="s">
        <v>188</v>
      </c>
      <c r="AV170" s="59" t="s">
        <v>134</v>
      </c>
      <c r="AW170" s="22" t="str">
        <f>Settings!$B$5 &amp;  "?s=" &amp; D170 &amp; "&amp;platform=ftx"</f>
        <v>https://tokensol.nfluent.io?s=COR22D7&amp;platform=ftx</v>
      </c>
      <c r="AX170" s="20" t="s">
        <v>23</v>
      </c>
      <c r="AY170" s="20">
        <v>10</v>
      </c>
      <c r="AZ170" s="20" t="s">
        <v>24</v>
      </c>
      <c r="BA170" s="20">
        <v>90</v>
      </c>
      <c r="BD170" s="14"/>
      <c r="BJ170" t="s">
        <v>255</v>
      </c>
      <c r="BK170" t="s">
        <v>184</v>
      </c>
      <c r="BN170" s="36">
        <v>100</v>
      </c>
      <c r="BO170" s="36">
        <v>100</v>
      </c>
      <c r="BP170">
        <f t="shared" si="21"/>
        <v>480</v>
      </c>
      <c r="BR170" s="38">
        <v>44713</v>
      </c>
      <c r="BS170" s="20" t="s">
        <v>185</v>
      </c>
      <c r="BT170" s="20" t="str">
        <f t="shared" si="17"/>
        <v>InCasa_COR22D7</v>
      </c>
    </row>
    <row r="171" spans="2:72" ht="18.75" customHeight="1" x14ac:dyDescent="0.25">
      <c r="B171" s="20">
        <f t="shared" si="18"/>
        <v>8</v>
      </c>
      <c r="C171" s="22" t="str">
        <f t="shared" si="19"/>
        <v>In Casa #8</v>
      </c>
      <c r="D171" t="str">
        <f t="shared" si="20"/>
        <v>COR22D8</v>
      </c>
      <c r="E171" s="58" t="s">
        <v>252</v>
      </c>
      <c r="F171" s="20">
        <v>1000</v>
      </c>
      <c r="G171" s="14" t="s">
        <v>262</v>
      </c>
      <c r="H171" s="23" t="s">
        <v>170</v>
      </c>
      <c r="J171" s="59" t="s">
        <v>38</v>
      </c>
      <c r="K171" s="22" t="s">
        <v>254</v>
      </c>
      <c r="L171" s="59" t="s">
        <v>171</v>
      </c>
      <c r="M171" s="22">
        <v>2</v>
      </c>
      <c r="V171" s="59" t="s">
        <v>176</v>
      </c>
      <c r="AL171" s="59" t="s">
        <v>40</v>
      </c>
      <c r="AM171" s="22" t="s">
        <v>188</v>
      </c>
      <c r="AV171" s="59" t="s">
        <v>134</v>
      </c>
      <c r="AW171" s="22" t="str">
        <f>Settings!$B$5 &amp;  "?s=" &amp; D171 &amp; "&amp;platform=ftx"</f>
        <v>https://tokensol.nfluent.io?s=COR22D8&amp;platform=ftx</v>
      </c>
      <c r="AX171" s="20" t="s">
        <v>23</v>
      </c>
      <c r="AY171" s="20">
        <v>10</v>
      </c>
      <c r="AZ171" s="20" t="s">
        <v>24</v>
      </c>
      <c r="BA171" s="20">
        <v>90</v>
      </c>
      <c r="BD171" s="14"/>
      <c r="BJ171" t="s">
        <v>255</v>
      </c>
      <c r="BK171" t="s">
        <v>184</v>
      </c>
      <c r="BN171" s="36">
        <v>100</v>
      </c>
      <c r="BO171" s="36">
        <v>100</v>
      </c>
      <c r="BP171">
        <f t="shared" si="21"/>
        <v>480</v>
      </c>
      <c r="BR171" s="38">
        <v>44713</v>
      </c>
      <c r="BS171" s="20" t="s">
        <v>185</v>
      </c>
      <c r="BT171" s="20" t="str">
        <f t="shared" si="17"/>
        <v>InCasa_COR22D8</v>
      </c>
    </row>
    <row r="172" spans="2:72" ht="18.75" customHeight="1" x14ac:dyDescent="0.25">
      <c r="B172" s="20">
        <f t="shared" si="18"/>
        <v>9</v>
      </c>
      <c r="C172" s="22" t="str">
        <f t="shared" si="19"/>
        <v>In Casa #9</v>
      </c>
      <c r="D172" t="str">
        <f t="shared" si="20"/>
        <v>COR22D9</v>
      </c>
      <c r="E172" s="58" t="s">
        <v>252</v>
      </c>
      <c r="F172" s="20">
        <v>1000</v>
      </c>
      <c r="G172" s="14" t="s">
        <v>263</v>
      </c>
      <c r="H172" s="23" t="s">
        <v>170</v>
      </c>
      <c r="J172" s="59" t="s">
        <v>38</v>
      </c>
      <c r="K172" s="22" t="s">
        <v>254</v>
      </c>
      <c r="L172" s="59" t="s">
        <v>171</v>
      </c>
      <c r="M172" s="22">
        <v>2</v>
      </c>
      <c r="V172" s="59" t="s">
        <v>176</v>
      </c>
      <c r="AL172" s="59" t="s">
        <v>40</v>
      </c>
      <c r="AM172" s="22" t="s">
        <v>188</v>
      </c>
      <c r="AV172" s="59" t="s">
        <v>134</v>
      </c>
      <c r="AW172" s="22" t="str">
        <f>Settings!$B$5 &amp;  "?s=" &amp; D172 &amp; "&amp;platform=ftx"</f>
        <v>https://tokensol.nfluent.io?s=COR22D9&amp;platform=ftx</v>
      </c>
      <c r="AX172" s="20" t="s">
        <v>23</v>
      </c>
      <c r="AY172" s="20">
        <v>10</v>
      </c>
      <c r="AZ172" s="20" t="s">
        <v>24</v>
      </c>
      <c r="BA172" s="20">
        <v>90</v>
      </c>
      <c r="BD172" s="14"/>
      <c r="BJ172" t="s">
        <v>255</v>
      </c>
      <c r="BK172" t="s">
        <v>184</v>
      </c>
      <c r="BN172" s="36">
        <v>100</v>
      </c>
      <c r="BO172" s="36">
        <v>100</v>
      </c>
      <c r="BP172">
        <f t="shared" si="21"/>
        <v>480</v>
      </c>
      <c r="BR172" s="38">
        <v>44713</v>
      </c>
      <c r="BS172" s="20" t="s">
        <v>185</v>
      </c>
      <c r="BT172" s="20" t="str">
        <f t="shared" si="17"/>
        <v>InCasa_COR22D9</v>
      </c>
    </row>
    <row r="173" spans="2:72" ht="18.75" customHeight="1" x14ac:dyDescent="0.25">
      <c r="B173" s="20">
        <f t="shared" si="18"/>
        <v>10</v>
      </c>
      <c r="C173" s="22" t="str">
        <f t="shared" si="19"/>
        <v>In Casa #10</v>
      </c>
      <c r="D173" t="str">
        <f t="shared" si="20"/>
        <v>COR22D10</v>
      </c>
      <c r="E173" s="58" t="s">
        <v>252</v>
      </c>
      <c r="F173" s="20">
        <v>1000</v>
      </c>
      <c r="G173" s="14" t="s">
        <v>264</v>
      </c>
      <c r="H173" s="23" t="s">
        <v>170</v>
      </c>
      <c r="J173" s="59" t="s">
        <v>38</v>
      </c>
      <c r="K173" s="22" t="s">
        <v>254</v>
      </c>
      <c r="L173" s="59" t="s">
        <v>171</v>
      </c>
      <c r="M173" s="22">
        <v>2</v>
      </c>
      <c r="V173" s="59" t="s">
        <v>176</v>
      </c>
      <c r="AL173" s="59" t="s">
        <v>40</v>
      </c>
      <c r="AM173" s="22" t="s">
        <v>188</v>
      </c>
      <c r="AV173" s="59" t="s">
        <v>134</v>
      </c>
      <c r="AW173" s="22" t="str">
        <f>Settings!$B$5 &amp;  "?s=" &amp; D173 &amp; "&amp;platform=ftx"</f>
        <v>https://tokensol.nfluent.io?s=COR22D10&amp;platform=ftx</v>
      </c>
      <c r="AX173" s="20" t="s">
        <v>23</v>
      </c>
      <c r="AY173" s="20">
        <v>10</v>
      </c>
      <c r="AZ173" s="20" t="s">
        <v>24</v>
      </c>
      <c r="BA173" s="20">
        <v>90</v>
      </c>
      <c r="BD173" s="14"/>
      <c r="BJ173" t="s">
        <v>255</v>
      </c>
      <c r="BK173" t="s">
        <v>184</v>
      </c>
      <c r="BN173" s="36">
        <v>100</v>
      </c>
      <c r="BO173" s="36">
        <v>100</v>
      </c>
      <c r="BP173">
        <f t="shared" si="21"/>
        <v>480</v>
      </c>
      <c r="BR173" s="38">
        <v>44713</v>
      </c>
      <c r="BS173" s="20" t="s">
        <v>185</v>
      </c>
      <c r="BT173" s="20" t="str">
        <f t="shared" si="17"/>
        <v>InCasa_COR22D10</v>
      </c>
    </row>
    <row r="174" spans="2:72" ht="18.75" customHeight="1" x14ac:dyDescent="0.25">
      <c r="B174" s="20">
        <f t="shared" si="18"/>
        <v>11</v>
      </c>
      <c r="C174" s="22" t="str">
        <f t="shared" si="19"/>
        <v>In Casa #11</v>
      </c>
      <c r="D174" t="str">
        <f t="shared" si="20"/>
        <v>COR22D11</v>
      </c>
      <c r="E174" s="58" t="s">
        <v>252</v>
      </c>
      <c r="F174" s="20">
        <v>1000</v>
      </c>
      <c r="G174" s="14" t="s">
        <v>265</v>
      </c>
      <c r="H174" s="23" t="s">
        <v>170</v>
      </c>
      <c r="J174" s="59" t="s">
        <v>38</v>
      </c>
      <c r="K174" s="22" t="s">
        <v>254</v>
      </c>
      <c r="L174" s="59" t="s">
        <v>171</v>
      </c>
      <c r="M174" s="22">
        <v>2</v>
      </c>
      <c r="V174" s="59" t="s">
        <v>176</v>
      </c>
      <c r="AL174" s="59" t="s">
        <v>40</v>
      </c>
      <c r="AM174" s="22" t="s">
        <v>188</v>
      </c>
      <c r="AV174" s="59" t="s">
        <v>134</v>
      </c>
      <c r="AW174" s="22" t="str">
        <f>Settings!$B$5 &amp;  "?s=" &amp; D174 &amp; "&amp;platform=ftx"</f>
        <v>https://tokensol.nfluent.io?s=COR22D11&amp;platform=ftx</v>
      </c>
      <c r="AX174" s="20" t="s">
        <v>23</v>
      </c>
      <c r="AY174" s="20">
        <v>10</v>
      </c>
      <c r="AZ174" s="20" t="s">
        <v>24</v>
      </c>
      <c r="BA174" s="20">
        <v>90</v>
      </c>
      <c r="BD174" s="14"/>
      <c r="BJ174" t="s">
        <v>255</v>
      </c>
      <c r="BK174" t="s">
        <v>184</v>
      </c>
      <c r="BN174" s="36">
        <v>100</v>
      </c>
      <c r="BO174" s="36">
        <v>100</v>
      </c>
      <c r="BP174">
        <f t="shared" si="21"/>
        <v>480</v>
      </c>
      <c r="BR174" s="38">
        <v>44713</v>
      </c>
      <c r="BS174" s="20" t="s">
        <v>185</v>
      </c>
      <c r="BT174" s="20" t="str">
        <f t="shared" si="17"/>
        <v>InCasa_COR22D11</v>
      </c>
    </row>
    <row r="175" spans="2:72" ht="18.75" customHeight="1" x14ac:dyDescent="0.25">
      <c r="B175" s="20">
        <f t="shared" si="18"/>
        <v>12</v>
      </c>
      <c r="C175" s="22" t="str">
        <f t="shared" si="19"/>
        <v>In Casa #12</v>
      </c>
      <c r="D175" t="str">
        <f t="shared" si="20"/>
        <v>COR22D12</v>
      </c>
      <c r="E175" s="58" t="s">
        <v>252</v>
      </c>
      <c r="F175" s="20">
        <v>1000</v>
      </c>
      <c r="G175" s="14" t="s">
        <v>266</v>
      </c>
      <c r="H175" s="23" t="s">
        <v>170</v>
      </c>
      <c r="J175" s="59" t="s">
        <v>38</v>
      </c>
      <c r="K175" s="22" t="s">
        <v>254</v>
      </c>
      <c r="L175" s="59" t="s">
        <v>171</v>
      </c>
      <c r="M175" s="22">
        <v>2</v>
      </c>
      <c r="V175" s="59" t="s">
        <v>176</v>
      </c>
      <c r="AL175" s="59" t="s">
        <v>40</v>
      </c>
      <c r="AM175" s="22" t="s">
        <v>188</v>
      </c>
      <c r="AV175" s="59" t="s">
        <v>134</v>
      </c>
      <c r="AW175" s="22" t="str">
        <f>Settings!$B$5 &amp;  "?s=" &amp; D175 &amp; "&amp;platform=ftx"</f>
        <v>https://tokensol.nfluent.io?s=COR22D12&amp;platform=ftx</v>
      </c>
      <c r="AX175" s="20" t="s">
        <v>23</v>
      </c>
      <c r="AY175" s="20">
        <v>10</v>
      </c>
      <c r="AZ175" s="20" t="s">
        <v>24</v>
      </c>
      <c r="BA175" s="20">
        <v>90</v>
      </c>
      <c r="BD175" s="14"/>
      <c r="BJ175" t="s">
        <v>255</v>
      </c>
      <c r="BK175" t="s">
        <v>184</v>
      </c>
      <c r="BN175" s="36">
        <v>100</v>
      </c>
      <c r="BO175" s="36">
        <v>100</v>
      </c>
      <c r="BP175">
        <f t="shared" si="21"/>
        <v>480</v>
      </c>
      <c r="BR175" s="38">
        <v>44713</v>
      </c>
      <c r="BS175" s="20" t="s">
        <v>185</v>
      </c>
      <c r="BT175" s="20" t="str">
        <f t="shared" si="17"/>
        <v>InCasa_COR22D12</v>
      </c>
    </row>
    <row r="176" spans="2:72" ht="18.75" customHeight="1" x14ac:dyDescent="0.25">
      <c r="B176" s="20">
        <f t="shared" si="18"/>
        <v>13</v>
      </c>
      <c r="C176" s="22" t="str">
        <f t="shared" si="19"/>
        <v>In Casa #13</v>
      </c>
      <c r="D176" t="str">
        <f t="shared" si="20"/>
        <v>COR22D13</v>
      </c>
      <c r="E176" s="58" t="s">
        <v>252</v>
      </c>
      <c r="F176" s="20">
        <v>1000</v>
      </c>
      <c r="G176" s="14" t="s">
        <v>267</v>
      </c>
      <c r="H176" s="23" t="s">
        <v>170</v>
      </c>
      <c r="J176" s="59" t="s">
        <v>38</v>
      </c>
      <c r="K176" s="22" t="s">
        <v>254</v>
      </c>
      <c r="L176" s="59" t="s">
        <v>171</v>
      </c>
      <c r="M176" s="22">
        <v>2</v>
      </c>
      <c r="V176" s="59" t="s">
        <v>176</v>
      </c>
      <c r="AL176" s="59" t="s">
        <v>40</v>
      </c>
      <c r="AM176" s="22" t="s">
        <v>188</v>
      </c>
      <c r="AV176" s="59" t="s">
        <v>134</v>
      </c>
      <c r="AW176" s="22" t="str">
        <f>Settings!$B$5 &amp;  "?s=" &amp; D176 &amp; "&amp;platform=ftx"</f>
        <v>https://tokensol.nfluent.io?s=COR22D13&amp;platform=ftx</v>
      </c>
      <c r="AX176" s="20" t="s">
        <v>23</v>
      </c>
      <c r="AY176" s="20">
        <v>10</v>
      </c>
      <c r="AZ176" s="20" t="s">
        <v>24</v>
      </c>
      <c r="BA176" s="20">
        <v>90</v>
      </c>
      <c r="BD176" s="14"/>
      <c r="BJ176" t="s">
        <v>255</v>
      </c>
      <c r="BK176" t="s">
        <v>184</v>
      </c>
      <c r="BN176" s="36">
        <v>100</v>
      </c>
      <c r="BO176" s="36">
        <v>100</v>
      </c>
      <c r="BP176">
        <f t="shared" si="21"/>
        <v>480</v>
      </c>
      <c r="BR176" s="38">
        <v>44713</v>
      </c>
      <c r="BS176" s="20" t="s">
        <v>185</v>
      </c>
      <c r="BT176" s="20" t="str">
        <f t="shared" si="17"/>
        <v>InCasa_COR22D13</v>
      </c>
    </row>
    <row r="177" spans="2:72" ht="18.75" customHeight="1" x14ac:dyDescent="0.25">
      <c r="B177" s="20">
        <f t="shared" si="18"/>
        <v>14</v>
      </c>
      <c r="C177" s="22" t="str">
        <f t="shared" si="19"/>
        <v>In Casa #14</v>
      </c>
      <c r="D177" t="str">
        <f t="shared" si="20"/>
        <v>COR22D14</v>
      </c>
      <c r="E177" s="58" t="s">
        <v>252</v>
      </c>
      <c r="F177" s="20">
        <v>1000</v>
      </c>
      <c r="G177" s="14" t="s">
        <v>268</v>
      </c>
      <c r="H177" s="23" t="s">
        <v>170</v>
      </c>
      <c r="J177" s="59" t="s">
        <v>38</v>
      </c>
      <c r="K177" s="22" t="s">
        <v>254</v>
      </c>
      <c r="L177" s="59" t="s">
        <v>171</v>
      </c>
      <c r="M177" s="22">
        <v>2</v>
      </c>
      <c r="V177" s="59" t="s">
        <v>176</v>
      </c>
      <c r="AL177" s="59" t="s">
        <v>40</v>
      </c>
      <c r="AM177" s="22" t="s">
        <v>188</v>
      </c>
      <c r="AV177" s="59" t="s">
        <v>134</v>
      </c>
      <c r="AW177" s="22" t="str">
        <f>Settings!$B$5 &amp;  "?s=" &amp; D177 &amp; "&amp;platform=ftx"</f>
        <v>https://tokensol.nfluent.io?s=COR22D14&amp;platform=ftx</v>
      </c>
      <c r="AX177" s="20" t="s">
        <v>23</v>
      </c>
      <c r="AY177" s="20">
        <v>10</v>
      </c>
      <c r="AZ177" s="20" t="s">
        <v>24</v>
      </c>
      <c r="BA177" s="20">
        <v>90</v>
      </c>
      <c r="BD177" s="14"/>
      <c r="BJ177" t="s">
        <v>255</v>
      </c>
      <c r="BK177" t="s">
        <v>184</v>
      </c>
      <c r="BN177" s="36">
        <v>100</v>
      </c>
      <c r="BO177" s="36">
        <v>100</v>
      </c>
      <c r="BP177">
        <f t="shared" si="21"/>
        <v>480</v>
      </c>
      <c r="BR177" s="38">
        <v>44713</v>
      </c>
      <c r="BS177" s="20" t="s">
        <v>185</v>
      </c>
      <c r="BT177" s="20" t="str">
        <f t="shared" si="17"/>
        <v>InCasa_COR22D14</v>
      </c>
    </row>
    <row r="178" spans="2:72" ht="18.75" customHeight="1" x14ac:dyDescent="0.25">
      <c r="B178" s="20">
        <f t="shared" si="18"/>
        <v>15</v>
      </c>
      <c r="C178" s="22" t="str">
        <f t="shared" si="19"/>
        <v>In Casa #15</v>
      </c>
      <c r="D178" t="str">
        <f t="shared" si="20"/>
        <v>COR22D15</v>
      </c>
      <c r="E178" s="58" t="s">
        <v>252</v>
      </c>
      <c r="F178" s="20">
        <v>1000</v>
      </c>
      <c r="G178" s="14" t="s">
        <v>269</v>
      </c>
      <c r="H178" s="23" t="s">
        <v>170</v>
      </c>
      <c r="J178" s="59" t="s">
        <v>38</v>
      </c>
      <c r="K178" s="22" t="s">
        <v>254</v>
      </c>
      <c r="L178" s="59" t="s">
        <v>171</v>
      </c>
      <c r="M178" s="22">
        <v>2</v>
      </c>
      <c r="V178" s="59" t="s">
        <v>176</v>
      </c>
      <c r="AL178" s="59" t="s">
        <v>40</v>
      </c>
      <c r="AM178" s="22" t="s">
        <v>188</v>
      </c>
      <c r="AV178" s="59" t="s">
        <v>134</v>
      </c>
      <c r="AW178" s="22" t="str">
        <f>Settings!$B$5 &amp;  "?s=" &amp; D178 &amp; "&amp;platform=ftx"</f>
        <v>https://tokensol.nfluent.io?s=COR22D15&amp;platform=ftx</v>
      </c>
      <c r="AX178" s="20" t="s">
        <v>23</v>
      </c>
      <c r="AY178" s="20">
        <v>10</v>
      </c>
      <c r="AZ178" s="20" t="s">
        <v>24</v>
      </c>
      <c r="BA178" s="20">
        <v>90</v>
      </c>
      <c r="BD178" s="14"/>
      <c r="BJ178" t="s">
        <v>255</v>
      </c>
      <c r="BK178" t="s">
        <v>184</v>
      </c>
      <c r="BN178" s="36">
        <v>100</v>
      </c>
      <c r="BO178" s="36">
        <v>100</v>
      </c>
      <c r="BP178">
        <f t="shared" si="21"/>
        <v>480</v>
      </c>
      <c r="BR178" s="38">
        <v>44713</v>
      </c>
      <c r="BS178" s="20" t="s">
        <v>185</v>
      </c>
      <c r="BT178" s="20" t="str">
        <f t="shared" si="17"/>
        <v>InCasa_COR22D15</v>
      </c>
    </row>
    <row r="179" spans="2:72" ht="18.75" customHeight="1" x14ac:dyDescent="0.25">
      <c r="B179" s="20">
        <f t="shared" si="18"/>
        <v>16</v>
      </c>
      <c r="C179" s="22" t="str">
        <f t="shared" si="19"/>
        <v>In Casa #16</v>
      </c>
      <c r="D179" t="str">
        <f t="shared" si="20"/>
        <v>COR22D16</v>
      </c>
      <c r="E179" s="58" t="s">
        <v>252</v>
      </c>
      <c r="F179" s="20">
        <v>1000</v>
      </c>
      <c r="G179" s="14" t="s">
        <v>270</v>
      </c>
      <c r="H179" s="23" t="s">
        <v>170</v>
      </c>
      <c r="J179" s="59" t="s">
        <v>38</v>
      </c>
      <c r="K179" s="22" t="s">
        <v>254</v>
      </c>
      <c r="L179" s="59" t="s">
        <v>171</v>
      </c>
      <c r="M179" s="22">
        <v>2</v>
      </c>
      <c r="V179" s="59" t="s">
        <v>176</v>
      </c>
      <c r="AL179" s="59" t="s">
        <v>40</v>
      </c>
      <c r="AM179" s="22" t="s">
        <v>188</v>
      </c>
      <c r="AV179" s="59" t="s">
        <v>134</v>
      </c>
      <c r="AW179" s="22" t="str">
        <f>Settings!$B$5 &amp;  "?s=" &amp; D179 &amp; "&amp;platform=ftx"</f>
        <v>https://tokensol.nfluent.io?s=COR22D16&amp;platform=ftx</v>
      </c>
      <c r="AX179" s="20" t="s">
        <v>23</v>
      </c>
      <c r="AY179" s="20">
        <v>10</v>
      </c>
      <c r="AZ179" s="20" t="s">
        <v>24</v>
      </c>
      <c r="BA179" s="20">
        <v>90</v>
      </c>
      <c r="BD179" s="14"/>
      <c r="BJ179" t="s">
        <v>255</v>
      </c>
      <c r="BK179" t="s">
        <v>184</v>
      </c>
      <c r="BN179" s="36">
        <v>100</v>
      </c>
      <c r="BO179" s="36">
        <v>100</v>
      </c>
      <c r="BP179">
        <f t="shared" si="21"/>
        <v>480</v>
      </c>
      <c r="BR179" s="38">
        <v>44713</v>
      </c>
      <c r="BS179" s="20" t="s">
        <v>185</v>
      </c>
      <c r="BT179" s="20" t="str">
        <f t="shared" si="17"/>
        <v>InCasa_COR22D16</v>
      </c>
    </row>
    <row r="180" spans="2:72" ht="18.75" customHeight="1" x14ac:dyDescent="0.25">
      <c r="B180" s="20">
        <f t="shared" si="18"/>
        <v>17</v>
      </c>
      <c r="C180" s="22" t="str">
        <f t="shared" si="19"/>
        <v>In Casa #17</v>
      </c>
      <c r="D180" t="str">
        <f t="shared" si="20"/>
        <v>COR22D17</v>
      </c>
      <c r="E180" s="58" t="s">
        <v>252</v>
      </c>
      <c r="F180" s="20">
        <v>1000</v>
      </c>
      <c r="G180" s="14" t="s">
        <v>271</v>
      </c>
      <c r="H180" s="23" t="s">
        <v>170</v>
      </c>
      <c r="J180" s="59" t="s">
        <v>38</v>
      </c>
      <c r="K180" s="22" t="s">
        <v>254</v>
      </c>
      <c r="L180" s="59" t="s">
        <v>171</v>
      </c>
      <c r="M180" s="22">
        <v>2</v>
      </c>
      <c r="V180" s="59" t="s">
        <v>176</v>
      </c>
      <c r="AL180" s="59" t="s">
        <v>40</v>
      </c>
      <c r="AM180" s="22" t="s">
        <v>188</v>
      </c>
      <c r="AV180" s="59" t="s">
        <v>134</v>
      </c>
      <c r="AW180" s="22" t="str">
        <f>Settings!$B$5 &amp;  "?s=" &amp; D180 &amp; "&amp;platform=ftx"</f>
        <v>https://tokensol.nfluent.io?s=COR22D17&amp;platform=ftx</v>
      </c>
      <c r="AX180" s="20" t="s">
        <v>23</v>
      </c>
      <c r="AY180" s="20">
        <v>10</v>
      </c>
      <c r="AZ180" s="20" t="s">
        <v>24</v>
      </c>
      <c r="BA180" s="20">
        <v>90</v>
      </c>
      <c r="BD180" s="14"/>
      <c r="BJ180" t="s">
        <v>255</v>
      </c>
      <c r="BK180" t="s">
        <v>184</v>
      </c>
      <c r="BN180" s="36">
        <v>100</v>
      </c>
      <c r="BO180" s="36">
        <v>100</v>
      </c>
      <c r="BP180">
        <f t="shared" si="21"/>
        <v>480</v>
      </c>
      <c r="BR180" s="38">
        <v>44713</v>
      </c>
      <c r="BS180" s="20" t="s">
        <v>185</v>
      </c>
      <c r="BT180" s="20" t="str">
        <f t="shared" si="17"/>
        <v>InCasa_COR22D17</v>
      </c>
    </row>
    <row r="181" spans="2:72" ht="18.75" customHeight="1" x14ac:dyDescent="0.25">
      <c r="B181" s="20">
        <f t="shared" si="18"/>
        <v>18</v>
      </c>
      <c r="C181" s="22" t="str">
        <f t="shared" si="19"/>
        <v>In Casa #18</v>
      </c>
      <c r="D181" t="str">
        <f t="shared" si="20"/>
        <v>COR22D18</v>
      </c>
      <c r="E181" s="58" t="s">
        <v>252</v>
      </c>
      <c r="F181" s="20">
        <v>1000</v>
      </c>
      <c r="G181" s="14" t="s">
        <v>272</v>
      </c>
      <c r="H181" s="23" t="s">
        <v>170</v>
      </c>
      <c r="J181" s="59" t="s">
        <v>38</v>
      </c>
      <c r="K181" s="22" t="s">
        <v>254</v>
      </c>
      <c r="L181" s="59" t="s">
        <v>171</v>
      </c>
      <c r="M181" s="22">
        <v>2</v>
      </c>
      <c r="V181" s="59" t="s">
        <v>176</v>
      </c>
      <c r="AL181" s="59" t="s">
        <v>40</v>
      </c>
      <c r="AM181" s="22" t="s">
        <v>188</v>
      </c>
      <c r="AV181" s="59" t="s">
        <v>134</v>
      </c>
      <c r="AW181" s="22" t="str">
        <f>Settings!$B$5 &amp;  "?s=" &amp; D181 &amp; "&amp;platform=ftx"</f>
        <v>https://tokensol.nfluent.io?s=COR22D18&amp;platform=ftx</v>
      </c>
      <c r="AX181" s="20" t="s">
        <v>23</v>
      </c>
      <c r="AY181" s="20">
        <v>10</v>
      </c>
      <c r="AZ181" s="20" t="s">
        <v>24</v>
      </c>
      <c r="BA181" s="20">
        <v>90</v>
      </c>
      <c r="BD181" s="14"/>
      <c r="BJ181" t="s">
        <v>255</v>
      </c>
      <c r="BK181" t="s">
        <v>184</v>
      </c>
      <c r="BN181" s="36">
        <v>100</v>
      </c>
      <c r="BO181" s="36">
        <v>100</v>
      </c>
      <c r="BP181">
        <f t="shared" si="21"/>
        <v>480</v>
      </c>
      <c r="BR181" s="38">
        <v>44713</v>
      </c>
      <c r="BS181" s="20" t="s">
        <v>185</v>
      </c>
      <c r="BT181" s="20" t="str">
        <f t="shared" si="17"/>
        <v>InCasa_COR22D18</v>
      </c>
    </row>
    <row r="182" spans="2:72" ht="18.75" customHeight="1" x14ac:dyDescent="0.25">
      <c r="B182" s="20">
        <f t="shared" si="18"/>
        <v>19</v>
      </c>
      <c r="C182" s="22" t="str">
        <f t="shared" si="19"/>
        <v>In Casa #19</v>
      </c>
      <c r="D182" t="str">
        <f t="shared" si="20"/>
        <v>COR22D19</v>
      </c>
      <c r="E182" s="58" t="s">
        <v>252</v>
      </c>
      <c r="F182" s="20">
        <v>1000</v>
      </c>
      <c r="G182" s="14" t="s">
        <v>273</v>
      </c>
      <c r="H182" s="23" t="s">
        <v>170</v>
      </c>
      <c r="J182" s="59" t="s">
        <v>38</v>
      </c>
      <c r="K182" s="22" t="s">
        <v>254</v>
      </c>
      <c r="L182" s="59" t="s">
        <v>171</v>
      </c>
      <c r="M182" s="22">
        <v>2</v>
      </c>
      <c r="V182" s="59" t="s">
        <v>176</v>
      </c>
      <c r="AL182" s="59" t="s">
        <v>40</v>
      </c>
      <c r="AM182" s="22" t="s">
        <v>188</v>
      </c>
      <c r="AV182" s="59" t="s">
        <v>134</v>
      </c>
      <c r="AW182" s="22" t="str">
        <f>Settings!$B$5 &amp;  "?s=" &amp; D182 &amp; "&amp;platform=ftx"</f>
        <v>https://tokensol.nfluent.io?s=COR22D19&amp;platform=ftx</v>
      </c>
      <c r="AX182" s="20" t="s">
        <v>23</v>
      </c>
      <c r="AY182" s="20">
        <v>10</v>
      </c>
      <c r="AZ182" s="20" t="s">
        <v>24</v>
      </c>
      <c r="BA182" s="20">
        <v>90</v>
      </c>
      <c r="BD182" s="14"/>
      <c r="BJ182" t="s">
        <v>255</v>
      </c>
      <c r="BK182" t="s">
        <v>184</v>
      </c>
      <c r="BN182" s="36">
        <v>100</v>
      </c>
      <c r="BO182" s="36">
        <v>100</v>
      </c>
      <c r="BP182">
        <f t="shared" si="21"/>
        <v>480</v>
      </c>
      <c r="BR182" s="38">
        <v>44713</v>
      </c>
      <c r="BS182" s="20" t="s">
        <v>185</v>
      </c>
      <c r="BT182" s="20" t="str">
        <f t="shared" si="17"/>
        <v>InCasa_COR22D19</v>
      </c>
    </row>
    <row r="183" spans="2:72" ht="18.75" customHeight="1" x14ac:dyDescent="0.25">
      <c r="B183" s="20">
        <f t="shared" si="18"/>
        <v>20</v>
      </c>
      <c r="C183" s="22" t="str">
        <f t="shared" si="19"/>
        <v>In Casa #20</v>
      </c>
      <c r="D183" t="str">
        <f t="shared" si="20"/>
        <v>COR22D20</v>
      </c>
      <c r="E183" s="58" t="s">
        <v>252</v>
      </c>
      <c r="F183" s="20">
        <v>1000</v>
      </c>
      <c r="G183" s="14" t="s">
        <v>274</v>
      </c>
      <c r="H183" s="23" t="s">
        <v>170</v>
      </c>
      <c r="J183" s="59" t="s">
        <v>38</v>
      </c>
      <c r="K183" s="22" t="s">
        <v>254</v>
      </c>
      <c r="L183" s="59" t="s">
        <v>171</v>
      </c>
      <c r="M183" s="22">
        <v>2</v>
      </c>
      <c r="V183" s="59" t="s">
        <v>176</v>
      </c>
      <c r="AL183" s="59" t="s">
        <v>40</v>
      </c>
      <c r="AM183" s="22" t="s">
        <v>188</v>
      </c>
      <c r="AV183" s="59" t="s">
        <v>134</v>
      </c>
      <c r="AW183" s="22" t="str">
        <f>Settings!$B$5 &amp;  "?s=" &amp; D183 &amp; "&amp;platform=ftx"</f>
        <v>https://tokensol.nfluent.io?s=COR22D20&amp;platform=ftx</v>
      </c>
      <c r="AX183" s="20" t="s">
        <v>23</v>
      </c>
      <c r="AY183" s="20">
        <v>10</v>
      </c>
      <c r="AZ183" s="20" t="s">
        <v>24</v>
      </c>
      <c r="BA183" s="20">
        <v>90</v>
      </c>
      <c r="BD183" s="14"/>
      <c r="BJ183" t="s">
        <v>255</v>
      </c>
      <c r="BK183" t="s">
        <v>184</v>
      </c>
      <c r="BN183" s="36">
        <v>100</v>
      </c>
      <c r="BO183" s="36">
        <v>100</v>
      </c>
      <c r="BP183">
        <f t="shared" si="21"/>
        <v>480</v>
      </c>
      <c r="BR183" s="38">
        <v>44713</v>
      </c>
      <c r="BS183" s="20" t="s">
        <v>185</v>
      </c>
      <c r="BT183" s="20" t="str">
        <f t="shared" si="17"/>
        <v>InCasa_COR22D20</v>
      </c>
    </row>
    <row r="184" spans="2:72" ht="18.75" customHeight="1" x14ac:dyDescent="0.25">
      <c r="B184" s="20">
        <f t="shared" si="18"/>
        <v>21</v>
      </c>
      <c r="C184" s="22" t="str">
        <f t="shared" si="19"/>
        <v>In Casa #21</v>
      </c>
      <c r="D184" t="str">
        <f t="shared" si="20"/>
        <v>COR22D21</v>
      </c>
      <c r="E184" s="58" t="s">
        <v>252</v>
      </c>
      <c r="F184" s="20">
        <v>1000</v>
      </c>
      <c r="G184" s="14" t="s">
        <v>275</v>
      </c>
      <c r="H184" s="23" t="s">
        <v>170</v>
      </c>
      <c r="J184" s="59" t="s">
        <v>38</v>
      </c>
      <c r="K184" s="22" t="s">
        <v>254</v>
      </c>
      <c r="L184" s="59" t="s">
        <v>171</v>
      </c>
      <c r="M184" s="22">
        <v>2</v>
      </c>
      <c r="V184" s="59" t="s">
        <v>176</v>
      </c>
      <c r="AL184" s="59" t="s">
        <v>40</v>
      </c>
      <c r="AM184" s="22" t="s">
        <v>188</v>
      </c>
      <c r="AV184" s="59" t="s">
        <v>134</v>
      </c>
      <c r="AW184" s="22" t="str">
        <f>Settings!$B$5 &amp;  "?s=" &amp; D184 &amp; "&amp;platform=ftx"</f>
        <v>https://tokensol.nfluent.io?s=COR22D21&amp;platform=ftx</v>
      </c>
      <c r="AX184" s="20" t="s">
        <v>23</v>
      </c>
      <c r="AY184" s="20">
        <v>10</v>
      </c>
      <c r="AZ184" s="20" t="s">
        <v>24</v>
      </c>
      <c r="BA184" s="20">
        <v>90</v>
      </c>
      <c r="BD184" s="14"/>
      <c r="BJ184" t="s">
        <v>255</v>
      </c>
      <c r="BK184" t="s">
        <v>184</v>
      </c>
      <c r="BN184" s="36">
        <v>100</v>
      </c>
      <c r="BO184" s="36">
        <v>100</v>
      </c>
      <c r="BP184">
        <f t="shared" si="21"/>
        <v>480</v>
      </c>
      <c r="BR184" s="38">
        <v>44713</v>
      </c>
      <c r="BS184" s="20" t="s">
        <v>185</v>
      </c>
      <c r="BT184" s="20" t="str">
        <f t="shared" si="17"/>
        <v>InCasa_COR22D21</v>
      </c>
    </row>
    <row r="185" spans="2:72" ht="18.75" customHeight="1" x14ac:dyDescent="0.25">
      <c r="B185" s="20">
        <f t="shared" si="18"/>
        <v>22</v>
      </c>
      <c r="C185" s="22" t="str">
        <f t="shared" si="19"/>
        <v>In Casa #22</v>
      </c>
      <c r="D185" t="str">
        <f t="shared" si="20"/>
        <v>COR22D22</v>
      </c>
      <c r="E185" s="58" t="s">
        <v>252</v>
      </c>
      <c r="F185" s="20">
        <v>1000</v>
      </c>
      <c r="G185" s="14" t="s">
        <v>276</v>
      </c>
      <c r="H185" s="23" t="s">
        <v>170</v>
      </c>
      <c r="J185" s="59" t="s">
        <v>38</v>
      </c>
      <c r="K185" s="22" t="s">
        <v>254</v>
      </c>
      <c r="L185" s="59" t="s">
        <v>171</v>
      </c>
      <c r="M185" s="22">
        <v>2</v>
      </c>
      <c r="V185" s="59" t="s">
        <v>176</v>
      </c>
      <c r="AL185" s="59" t="s">
        <v>40</v>
      </c>
      <c r="AM185" s="22" t="s">
        <v>188</v>
      </c>
      <c r="AV185" s="59" t="s">
        <v>134</v>
      </c>
      <c r="AW185" s="22" t="str">
        <f>Settings!$B$5 &amp;  "?s=" &amp; D185 &amp; "&amp;platform=ftx"</f>
        <v>https://tokensol.nfluent.io?s=COR22D22&amp;platform=ftx</v>
      </c>
      <c r="AX185" s="20" t="s">
        <v>23</v>
      </c>
      <c r="AY185" s="20">
        <v>10</v>
      </c>
      <c r="AZ185" s="20" t="s">
        <v>24</v>
      </c>
      <c r="BA185" s="20">
        <v>90</v>
      </c>
      <c r="BD185" s="14"/>
      <c r="BJ185" t="s">
        <v>255</v>
      </c>
      <c r="BK185" t="s">
        <v>184</v>
      </c>
      <c r="BN185" s="36">
        <v>100</v>
      </c>
      <c r="BO185" s="36">
        <v>100</v>
      </c>
      <c r="BP185">
        <f t="shared" si="21"/>
        <v>480</v>
      </c>
      <c r="BR185" s="38">
        <v>44713</v>
      </c>
      <c r="BS185" s="20" t="s">
        <v>185</v>
      </c>
      <c r="BT185" s="20" t="str">
        <f t="shared" si="17"/>
        <v>InCasa_COR22D22</v>
      </c>
    </row>
    <row r="186" spans="2:72" ht="18.75" customHeight="1" x14ac:dyDescent="0.25">
      <c r="B186" s="20">
        <f t="shared" si="18"/>
        <v>23</v>
      </c>
      <c r="C186" s="22" t="str">
        <f t="shared" si="19"/>
        <v>In Casa #23</v>
      </c>
      <c r="D186" t="str">
        <f t="shared" si="20"/>
        <v>COR22D23</v>
      </c>
      <c r="E186" s="58" t="s">
        <v>252</v>
      </c>
      <c r="F186" s="20">
        <v>1000</v>
      </c>
      <c r="G186" s="14" t="s">
        <v>277</v>
      </c>
      <c r="H186" s="23" t="s">
        <v>170</v>
      </c>
      <c r="J186" s="59" t="s">
        <v>38</v>
      </c>
      <c r="K186" s="22" t="s">
        <v>254</v>
      </c>
      <c r="L186" s="59" t="s">
        <v>171</v>
      </c>
      <c r="M186" s="22">
        <v>2</v>
      </c>
      <c r="V186" s="59" t="s">
        <v>176</v>
      </c>
      <c r="AL186" s="59" t="s">
        <v>40</v>
      </c>
      <c r="AM186" s="22" t="s">
        <v>188</v>
      </c>
      <c r="AV186" s="59" t="s">
        <v>134</v>
      </c>
      <c r="AW186" s="22" t="str">
        <f>Settings!$B$5 &amp;  "?s=" &amp; D186 &amp; "&amp;platform=ftx"</f>
        <v>https://tokensol.nfluent.io?s=COR22D23&amp;platform=ftx</v>
      </c>
      <c r="AX186" s="20" t="s">
        <v>23</v>
      </c>
      <c r="AY186" s="20">
        <v>10</v>
      </c>
      <c r="AZ186" s="20" t="s">
        <v>24</v>
      </c>
      <c r="BA186" s="20">
        <v>90</v>
      </c>
      <c r="BD186" s="14"/>
      <c r="BJ186" t="s">
        <v>255</v>
      </c>
      <c r="BK186" t="s">
        <v>184</v>
      </c>
      <c r="BN186" s="36">
        <v>100</v>
      </c>
      <c r="BO186" s="36">
        <v>100</v>
      </c>
      <c r="BP186">
        <f t="shared" si="21"/>
        <v>480</v>
      </c>
      <c r="BR186" s="38">
        <v>44713</v>
      </c>
      <c r="BS186" s="20" t="s">
        <v>185</v>
      </c>
      <c r="BT186" s="20" t="str">
        <f t="shared" si="17"/>
        <v>InCasa_COR22D23</v>
      </c>
    </row>
    <row r="187" spans="2:72" ht="18.75" customHeight="1" x14ac:dyDescent="0.25">
      <c r="B187" s="20">
        <f t="shared" si="18"/>
        <v>24</v>
      </c>
      <c r="C187" s="22" t="str">
        <f t="shared" si="19"/>
        <v>In Casa #24</v>
      </c>
      <c r="D187" t="str">
        <f t="shared" si="20"/>
        <v>COR22D24</v>
      </c>
      <c r="E187" s="58" t="s">
        <v>252</v>
      </c>
      <c r="F187" s="20">
        <v>1000</v>
      </c>
      <c r="G187" s="14" t="s">
        <v>278</v>
      </c>
      <c r="H187" s="23" t="s">
        <v>170</v>
      </c>
      <c r="J187" s="59" t="s">
        <v>38</v>
      </c>
      <c r="K187" s="22" t="s">
        <v>254</v>
      </c>
      <c r="L187" s="59" t="s">
        <v>171</v>
      </c>
      <c r="M187" s="22">
        <v>2</v>
      </c>
      <c r="V187" s="59" t="s">
        <v>176</v>
      </c>
      <c r="AL187" s="59" t="s">
        <v>40</v>
      </c>
      <c r="AM187" s="22" t="s">
        <v>188</v>
      </c>
      <c r="AV187" s="59" t="s">
        <v>134</v>
      </c>
      <c r="AW187" s="22" t="str">
        <f>Settings!$B$5 &amp;  "?s=" &amp; D187 &amp; "&amp;platform=ftx"</f>
        <v>https://tokensol.nfluent.io?s=COR22D24&amp;platform=ftx</v>
      </c>
      <c r="AX187" s="20" t="s">
        <v>23</v>
      </c>
      <c r="AY187" s="20">
        <v>10</v>
      </c>
      <c r="AZ187" s="20" t="s">
        <v>24</v>
      </c>
      <c r="BA187" s="20">
        <v>90</v>
      </c>
      <c r="BD187" s="14"/>
      <c r="BJ187" t="s">
        <v>255</v>
      </c>
      <c r="BK187" t="s">
        <v>184</v>
      </c>
      <c r="BN187" s="36">
        <v>100</v>
      </c>
      <c r="BO187" s="36">
        <v>100</v>
      </c>
      <c r="BP187">
        <f t="shared" si="21"/>
        <v>480</v>
      </c>
      <c r="BR187" s="38">
        <v>44713</v>
      </c>
      <c r="BS187" s="20" t="s">
        <v>185</v>
      </c>
      <c r="BT187" s="20" t="str">
        <f t="shared" si="17"/>
        <v>InCasa_COR22D24</v>
      </c>
    </row>
    <row r="188" spans="2:72" ht="18.75" customHeight="1" x14ac:dyDescent="0.25">
      <c r="B188" s="20">
        <f t="shared" si="18"/>
        <v>25</v>
      </c>
      <c r="C188" s="22" t="str">
        <f t="shared" si="19"/>
        <v>In Casa #25</v>
      </c>
      <c r="D188" t="str">
        <f t="shared" si="20"/>
        <v>COR22D25</v>
      </c>
      <c r="E188" s="58" t="s">
        <v>252</v>
      </c>
      <c r="F188" s="20">
        <v>1000</v>
      </c>
      <c r="G188" s="14" t="s">
        <v>279</v>
      </c>
      <c r="H188" s="23" t="s">
        <v>170</v>
      </c>
      <c r="J188" s="59" t="s">
        <v>38</v>
      </c>
      <c r="K188" s="22" t="s">
        <v>254</v>
      </c>
      <c r="L188" s="59" t="s">
        <v>171</v>
      </c>
      <c r="M188" s="22">
        <v>2</v>
      </c>
      <c r="V188" s="59" t="s">
        <v>176</v>
      </c>
      <c r="AL188" s="59" t="s">
        <v>40</v>
      </c>
      <c r="AM188" s="22" t="s">
        <v>188</v>
      </c>
      <c r="AV188" s="59" t="s">
        <v>134</v>
      </c>
      <c r="AW188" s="22" t="str">
        <f>Settings!$B$5 &amp;  "?s=" &amp; D188 &amp; "&amp;platform=ftx"</f>
        <v>https://tokensol.nfluent.io?s=COR22D25&amp;platform=ftx</v>
      </c>
      <c r="AX188" s="20" t="s">
        <v>23</v>
      </c>
      <c r="AY188" s="20">
        <v>10</v>
      </c>
      <c r="AZ188" s="20" t="s">
        <v>24</v>
      </c>
      <c r="BA188" s="20">
        <v>90</v>
      </c>
      <c r="BD188" s="14"/>
      <c r="BJ188" t="s">
        <v>255</v>
      </c>
      <c r="BK188" t="s">
        <v>184</v>
      </c>
      <c r="BN188" s="36">
        <v>100</v>
      </c>
      <c r="BO188" s="36">
        <v>100</v>
      </c>
      <c r="BP188">
        <f t="shared" si="21"/>
        <v>480</v>
      </c>
      <c r="BR188" s="38">
        <v>44713</v>
      </c>
      <c r="BS188" s="20" t="s">
        <v>185</v>
      </c>
      <c r="BT188" s="20" t="str">
        <f t="shared" si="17"/>
        <v>InCasa_COR22D25</v>
      </c>
    </row>
    <row r="189" spans="2:72" ht="18.75" customHeight="1" x14ac:dyDescent="0.25">
      <c r="B189" s="20">
        <f t="shared" si="18"/>
        <v>26</v>
      </c>
      <c r="C189" s="22" t="str">
        <f t="shared" si="19"/>
        <v>In Casa #26</v>
      </c>
      <c r="D189" t="str">
        <f t="shared" si="20"/>
        <v>COR22D26</v>
      </c>
      <c r="E189" s="58" t="s">
        <v>252</v>
      </c>
      <c r="F189" s="20">
        <v>1000</v>
      </c>
      <c r="G189" s="14" t="s">
        <v>280</v>
      </c>
      <c r="H189" s="23" t="s">
        <v>170</v>
      </c>
      <c r="J189" s="59" t="s">
        <v>38</v>
      </c>
      <c r="K189" s="22" t="s">
        <v>254</v>
      </c>
      <c r="L189" s="59" t="s">
        <v>171</v>
      </c>
      <c r="M189" s="22">
        <v>2</v>
      </c>
      <c r="V189" s="59" t="s">
        <v>176</v>
      </c>
      <c r="AL189" s="59" t="s">
        <v>40</v>
      </c>
      <c r="AM189" s="22" t="s">
        <v>188</v>
      </c>
      <c r="AV189" s="59" t="s">
        <v>134</v>
      </c>
      <c r="AW189" s="22" t="str">
        <f>Settings!$B$5 &amp;  "?s=" &amp; D189 &amp; "&amp;platform=ftx"</f>
        <v>https://tokensol.nfluent.io?s=COR22D26&amp;platform=ftx</v>
      </c>
      <c r="AX189" s="20" t="s">
        <v>23</v>
      </c>
      <c r="AY189" s="20">
        <v>10</v>
      </c>
      <c r="AZ189" s="20" t="s">
        <v>24</v>
      </c>
      <c r="BA189" s="20">
        <v>90</v>
      </c>
      <c r="BD189" s="14"/>
      <c r="BJ189" t="s">
        <v>255</v>
      </c>
      <c r="BK189" t="s">
        <v>184</v>
      </c>
      <c r="BN189" s="36">
        <v>100</v>
      </c>
      <c r="BO189" s="36">
        <v>100</v>
      </c>
      <c r="BP189">
        <f t="shared" si="21"/>
        <v>480</v>
      </c>
      <c r="BR189" s="38">
        <v>44713</v>
      </c>
      <c r="BS189" s="20" t="s">
        <v>185</v>
      </c>
      <c r="BT189" s="20" t="str">
        <f t="shared" si="17"/>
        <v>InCasa_COR22D26</v>
      </c>
    </row>
    <row r="190" spans="2:72" ht="18.75" customHeight="1" x14ac:dyDescent="0.25">
      <c r="B190" s="20">
        <f t="shared" si="18"/>
        <v>27</v>
      </c>
      <c r="C190" s="22" t="str">
        <f t="shared" si="19"/>
        <v>In Casa #27</v>
      </c>
      <c r="D190" t="str">
        <f t="shared" si="20"/>
        <v>COR22D27</v>
      </c>
      <c r="E190" s="58" t="s">
        <v>252</v>
      </c>
      <c r="F190" s="20">
        <v>1000</v>
      </c>
      <c r="G190" s="14" t="s">
        <v>281</v>
      </c>
      <c r="H190" s="23" t="s">
        <v>170</v>
      </c>
      <c r="J190" s="59" t="s">
        <v>38</v>
      </c>
      <c r="K190" s="22" t="s">
        <v>254</v>
      </c>
      <c r="L190" s="59" t="s">
        <v>171</v>
      </c>
      <c r="M190" s="22">
        <v>2</v>
      </c>
      <c r="V190" s="59" t="s">
        <v>176</v>
      </c>
      <c r="AL190" s="59" t="s">
        <v>40</v>
      </c>
      <c r="AM190" s="22" t="s">
        <v>188</v>
      </c>
      <c r="AV190" s="59" t="s">
        <v>134</v>
      </c>
      <c r="AW190" s="22" t="str">
        <f>Settings!$B$5 &amp;  "?s=" &amp; D190 &amp; "&amp;platform=ftx"</f>
        <v>https://tokensol.nfluent.io?s=COR22D27&amp;platform=ftx</v>
      </c>
      <c r="AX190" s="20" t="s">
        <v>23</v>
      </c>
      <c r="AY190" s="20">
        <v>10</v>
      </c>
      <c r="AZ190" s="20" t="s">
        <v>24</v>
      </c>
      <c r="BA190" s="20">
        <v>90</v>
      </c>
      <c r="BD190" s="14"/>
      <c r="BJ190" t="s">
        <v>255</v>
      </c>
      <c r="BK190" t="s">
        <v>184</v>
      </c>
      <c r="BN190" s="36">
        <v>100</v>
      </c>
      <c r="BO190" s="36">
        <v>100</v>
      </c>
      <c r="BP190">
        <f t="shared" si="21"/>
        <v>480</v>
      </c>
      <c r="BR190" s="38">
        <v>44713</v>
      </c>
      <c r="BS190" s="20" t="s">
        <v>185</v>
      </c>
      <c r="BT190" s="20" t="str">
        <f t="shared" si="17"/>
        <v>InCasa_COR22D27</v>
      </c>
    </row>
    <row r="191" spans="2:72" ht="18.75" customHeight="1" x14ac:dyDescent="0.25">
      <c r="B191" s="20">
        <f t="shared" si="18"/>
        <v>28</v>
      </c>
      <c r="C191" s="22" t="str">
        <f t="shared" si="19"/>
        <v>In Casa #28</v>
      </c>
      <c r="D191" t="str">
        <f t="shared" si="20"/>
        <v>COR22D28</v>
      </c>
      <c r="E191" s="58" t="s">
        <v>252</v>
      </c>
      <c r="F191" s="20">
        <v>1000</v>
      </c>
      <c r="G191" s="14" t="s">
        <v>282</v>
      </c>
      <c r="H191" s="23" t="s">
        <v>170</v>
      </c>
      <c r="J191" s="59" t="s">
        <v>38</v>
      </c>
      <c r="K191" s="22" t="s">
        <v>254</v>
      </c>
      <c r="L191" s="59" t="s">
        <v>171</v>
      </c>
      <c r="M191" s="22">
        <v>2</v>
      </c>
      <c r="V191" s="59" t="s">
        <v>176</v>
      </c>
      <c r="AL191" s="59" t="s">
        <v>40</v>
      </c>
      <c r="AM191" s="22" t="s">
        <v>188</v>
      </c>
      <c r="AV191" s="59" t="s">
        <v>134</v>
      </c>
      <c r="AW191" s="22" t="str">
        <f>Settings!$B$5 &amp;  "?s=" &amp; D191 &amp; "&amp;platform=ftx"</f>
        <v>https://tokensol.nfluent.io?s=COR22D28&amp;platform=ftx</v>
      </c>
      <c r="AX191" s="20" t="s">
        <v>23</v>
      </c>
      <c r="AY191" s="20">
        <v>10</v>
      </c>
      <c r="AZ191" s="20" t="s">
        <v>24</v>
      </c>
      <c r="BA191" s="20">
        <v>90</v>
      </c>
      <c r="BD191" s="14"/>
      <c r="BJ191" t="s">
        <v>255</v>
      </c>
      <c r="BK191" t="s">
        <v>184</v>
      </c>
      <c r="BN191" s="36">
        <v>100</v>
      </c>
      <c r="BO191" s="36">
        <v>100</v>
      </c>
      <c r="BP191">
        <f t="shared" si="21"/>
        <v>480</v>
      </c>
      <c r="BR191" s="38">
        <v>44713</v>
      </c>
      <c r="BS191" s="20" t="s">
        <v>185</v>
      </c>
      <c r="BT191" s="20" t="str">
        <f t="shared" si="17"/>
        <v>InCasa_COR22D28</v>
      </c>
    </row>
    <row r="192" spans="2:72" ht="18.75" customHeight="1" x14ac:dyDescent="0.25">
      <c r="B192" s="20">
        <f t="shared" si="18"/>
        <v>29</v>
      </c>
      <c r="C192" s="22" t="str">
        <f t="shared" si="19"/>
        <v>In Casa #29</v>
      </c>
      <c r="D192" t="str">
        <f t="shared" si="20"/>
        <v>COR22D29</v>
      </c>
      <c r="E192" s="58" t="s">
        <v>252</v>
      </c>
      <c r="F192" s="20">
        <v>1000</v>
      </c>
      <c r="G192" s="14" t="s">
        <v>283</v>
      </c>
      <c r="H192" s="23" t="s">
        <v>170</v>
      </c>
      <c r="J192" s="59" t="s">
        <v>38</v>
      </c>
      <c r="K192" s="22" t="s">
        <v>254</v>
      </c>
      <c r="L192" s="59" t="s">
        <v>171</v>
      </c>
      <c r="M192" s="22">
        <v>2</v>
      </c>
      <c r="V192" s="59" t="s">
        <v>176</v>
      </c>
      <c r="AL192" s="59" t="s">
        <v>40</v>
      </c>
      <c r="AM192" s="22" t="s">
        <v>188</v>
      </c>
      <c r="AV192" s="59" t="s">
        <v>134</v>
      </c>
      <c r="AW192" s="22" t="str">
        <f>Settings!$B$5 &amp;  "?s=" &amp; D192 &amp; "&amp;platform=ftx"</f>
        <v>https://tokensol.nfluent.io?s=COR22D29&amp;platform=ftx</v>
      </c>
      <c r="AX192" s="20" t="s">
        <v>23</v>
      </c>
      <c r="AY192" s="20">
        <v>10</v>
      </c>
      <c r="AZ192" s="20" t="s">
        <v>24</v>
      </c>
      <c r="BA192" s="20">
        <v>90</v>
      </c>
      <c r="BD192" s="14"/>
      <c r="BJ192" t="s">
        <v>255</v>
      </c>
      <c r="BK192" t="s">
        <v>184</v>
      </c>
      <c r="BN192" s="36">
        <v>100</v>
      </c>
      <c r="BO192" s="36">
        <v>100</v>
      </c>
      <c r="BP192">
        <f t="shared" si="21"/>
        <v>480</v>
      </c>
      <c r="BR192" s="38">
        <v>44713</v>
      </c>
      <c r="BS192" s="20" t="s">
        <v>185</v>
      </c>
      <c r="BT192" s="20" t="str">
        <f t="shared" si="17"/>
        <v>InCasa_COR22D29</v>
      </c>
    </row>
    <row r="193" spans="2:72" ht="18.75" customHeight="1" x14ac:dyDescent="0.25">
      <c r="B193" s="20">
        <f t="shared" si="18"/>
        <v>30</v>
      </c>
      <c r="C193" s="22" t="str">
        <f t="shared" si="19"/>
        <v>In Casa #30</v>
      </c>
      <c r="D193" t="str">
        <f t="shared" si="20"/>
        <v>COR22D30</v>
      </c>
      <c r="E193" s="58" t="s">
        <v>252</v>
      </c>
      <c r="F193" s="20">
        <v>1000</v>
      </c>
      <c r="G193" s="14" t="s">
        <v>284</v>
      </c>
      <c r="H193" s="23" t="s">
        <v>170</v>
      </c>
      <c r="J193" s="59" t="s">
        <v>38</v>
      </c>
      <c r="K193" s="22" t="s">
        <v>254</v>
      </c>
      <c r="L193" s="59" t="s">
        <v>171</v>
      </c>
      <c r="M193" s="22">
        <v>2</v>
      </c>
      <c r="V193" s="59" t="s">
        <v>176</v>
      </c>
      <c r="AL193" s="59" t="s">
        <v>40</v>
      </c>
      <c r="AM193" s="22" t="s">
        <v>188</v>
      </c>
      <c r="AV193" s="59" t="s">
        <v>134</v>
      </c>
      <c r="AW193" s="22" t="str">
        <f>Settings!$B$5 &amp;  "?s=" &amp; D193 &amp; "&amp;platform=ftx"</f>
        <v>https://tokensol.nfluent.io?s=COR22D30&amp;platform=ftx</v>
      </c>
      <c r="AX193" s="20" t="s">
        <v>23</v>
      </c>
      <c r="AY193" s="20">
        <v>10</v>
      </c>
      <c r="AZ193" s="20" t="s">
        <v>24</v>
      </c>
      <c r="BA193" s="20">
        <v>90</v>
      </c>
      <c r="BD193" s="14"/>
      <c r="BJ193" t="s">
        <v>255</v>
      </c>
      <c r="BK193" t="s">
        <v>184</v>
      </c>
      <c r="BN193" s="36">
        <v>100</v>
      </c>
      <c r="BO193" s="36">
        <v>100</v>
      </c>
      <c r="BP193">
        <f t="shared" si="21"/>
        <v>480</v>
      </c>
      <c r="BR193" s="38">
        <v>44713</v>
      </c>
      <c r="BS193" s="20" t="s">
        <v>185</v>
      </c>
      <c r="BT193" s="20" t="str">
        <f t="shared" si="17"/>
        <v>InCasa_COR22D30</v>
      </c>
    </row>
    <row r="194" spans="2:72" ht="18.75" customHeight="1" x14ac:dyDescent="0.25">
      <c r="B194" s="20">
        <f t="shared" si="18"/>
        <v>31</v>
      </c>
      <c r="C194" s="22" t="str">
        <f t="shared" si="19"/>
        <v>In Casa #31</v>
      </c>
      <c r="D194" t="str">
        <f t="shared" si="20"/>
        <v>COR22D31</v>
      </c>
      <c r="E194" s="58" t="s">
        <v>252</v>
      </c>
      <c r="F194" s="20">
        <v>1000</v>
      </c>
      <c r="G194" s="14" t="s">
        <v>285</v>
      </c>
      <c r="H194" s="23" t="s">
        <v>170</v>
      </c>
      <c r="J194" s="59" t="s">
        <v>38</v>
      </c>
      <c r="K194" s="22" t="s">
        <v>254</v>
      </c>
      <c r="L194" s="59" t="s">
        <v>171</v>
      </c>
      <c r="M194" s="22">
        <v>2</v>
      </c>
      <c r="V194" s="59" t="s">
        <v>176</v>
      </c>
      <c r="AL194" s="59" t="s">
        <v>40</v>
      </c>
      <c r="AM194" s="22" t="s">
        <v>188</v>
      </c>
      <c r="AV194" s="59" t="s">
        <v>134</v>
      </c>
      <c r="AW194" s="22" t="str">
        <f>Settings!$B$5 &amp;  "?s=" &amp; D194 &amp; "&amp;platform=ftx"</f>
        <v>https://tokensol.nfluent.io?s=COR22D31&amp;platform=ftx</v>
      </c>
      <c r="AX194" s="20" t="s">
        <v>23</v>
      </c>
      <c r="AY194" s="20">
        <v>10</v>
      </c>
      <c r="AZ194" s="20" t="s">
        <v>24</v>
      </c>
      <c r="BA194" s="20">
        <v>90</v>
      </c>
      <c r="BD194" s="14"/>
      <c r="BJ194" t="s">
        <v>255</v>
      </c>
      <c r="BK194" t="s">
        <v>184</v>
      </c>
      <c r="BN194" s="36">
        <v>100</v>
      </c>
      <c r="BO194" s="36">
        <v>100</v>
      </c>
      <c r="BP194">
        <f t="shared" si="21"/>
        <v>480</v>
      </c>
      <c r="BR194" s="38">
        <v>44713</v>
      </c>
      <c r="BS194" s="20" t="s">
        <v>185</v>
      </c>
      <c r="BT194" s="20" t="str">
        <f t="shared" si="17"/>
        <v>InCasa_COR22D31</v>
      </c>
    </row>
    <row r="195" spans="2:72" ht="18.75" customHeight="1" x14ac:dyDescent="0.25">
      <c r="B195" s="20">
        <f t="shared" si="18"/>
        <v>32</v>
      </c>
      <c r="C195" s="22" t="str">
        <f t="shared" si="19"/>
        <v>In Casa #32</v>
      </c>
      <c r="D195" t="str">
        <f t="shared" si="20"/>
        <v>COR22D32</v>
      </c>
      <c r="E195" s="58" t="s">
        <v>252</v>
      </c>
      <c r="F195" s="20">
        <v>1000</v>
      </c>
      <c r="G195" s="14" t="s">
        <v>286</v>
      </c>
      <c r="H195" s="23" t="s">
        <v>170</v>
      </c>
      <c r="J195" s="59" t="s">
        <v>38</v>
      </c>
      <c r="K195" s="22" t="s">
        <v>254</v>
      </c>
      <c r="L195" s="59" t="s">
        <v>171</v>
      </c>
      <c r="M195" s="22">
        <v>2</v>
      </c>
      <c r="V195" s="59" t="s">
        <v>176</v>
      </c>
      <c r="AL195" s="59" t="s">
        <v>40</v>
      </c>
      <c r="AM195" s="22" t="s">
        <v>188</v>
      </c>
      <c r="AV195" s="59" t="s">
        <v>134</v>
      </c>
      <c r="AW195" s="22" t="str">
        <f>Settings!$B$5 &amp;  "?s=" &amp; D195 &amp; "&amp;platform=ftx"</f>
        <v>https://tokensol.nfluent.io?s=COR22D32&amp;platform=ftx</v>
      </c>
      <c r="AX195" s="20" t="s">
        <v>23</v>
      </c>
      <c r="AY195" s="20">
        <v>10</v>
      </c>
      <c r="AZ195" s="20" t="s">
        <v>24</v>
      </c>
      <c r="BA195" s="20">
        <v>90</v>
      </c>
      <c r="BD195" s="14"/>
      <c r="BJ195" t="s">
        <v>255</v>
      </c>
      <c r="BK195" t="s">
        <v>184</v>
      </c>
      <c r="BN195" s="36">
        <v>100</v>
      </c>
      <c r="BO195" s="36">
        <v>100</v>
      </c>
      <c r="BP195">
        <f t="shared" si="21"/>
        <v>480</v>
      </c>
      <c r="BR195" s="38">
        <v>44713</v>
      </c>
      <c r="BS195" s="20" t="s">
        <v>185</v>
      </c>
      <c r="BT195" s="20" t="str">
        <f t="shared" si="17"/>
        <v>InCasa_COR22D32</v>
      </c>
    </row>
    <row r="196" spans="2:72" ht="18.75" customHeight="1" x14ac:dyDescent="0.25">
      <c r="B196" s="20">
        <f t="shared" si="18"/>
        <v>33</v>
      </c>
      <c r="C196" s="22" t="str">
        <f t="shared" si="19"/>
        <v>In Casa #33</v>
      </c>
      <c r="D196" t="str">
        <f t="shared" si="20"/>
        <v>COR22D33</v>
      </c>
      <c r="E196" s="58" t="s">
        <v>252</v>
      </c>
      <c r="F196" s="20">
        <v>1000</v>
      </c>
      <c r="G196" s="14" t="s">
        <v>287</v>
      </c>
      <c r="H196" s="23" t="s">
        <v>170</v>
      </c>
      <c r="J196" s="59" t="s">
        <v>38</v>
      </c>
      <c r="K196" s="22" t="s">
        <v>254</v>
      </c>
      <c r="L196" s="59" t="s">
        <v>171</v>
      </c>
      <c r="M196" s="22">
        <v>2</v>
      </c>
      <c r="V196" s="59" t="s">
        <v>176</v>
      </c>
      <c r="AL196" s="59" t="s">
        <v>40</v>
      </c>
      <c r="AM196" s="22" t="s">
        <v>188</v>
      </c>
      <c r="AV196" s="59" t="s">
        <v>134</v>
      </c>
      <c r="AW196" s="22" t="str">
        <f>Settings!$B$5 &amp;  "?s=" &amp; D196 &amp; "&amp;platform=ftx"</f>
        <v>https://tokensol.nfluent.io?s=COR22D33&amp;platform=ftx</v>
      </c>
      <c r="AX196" s="20" t="s">
        <v>23</v>
      </c>
      <c r="AY196" s="20">
        <v>10</v>
      </c>
      <c r="AZ196" s="20" t="s">
        <v>24</v>
      </c>
      <c r="BA196" s="20">
        <v>90</v>
      </c>
      <c r="BD196" s="14"/>
      <c r="BJ196" t="s">
        <v>255</v>
      </c>
      <c r="BK196" t="s">
        <v>184</v>
      </c>
      <c r="BN196" s="36">
        <v>100</v>
      </c>
      <c r="BO196" s="36">
        <v>100</v>
      </c>
      <c r="BP196">
        <f t="shared" si="21"/>
        <v>480</v>
      </c>
      <c r="BR196" s="38">
        <v>44713</v>
      </c>
      <c r="BS196" s="20" t="s">
        <v>185</v>
      </c>
      <c r="BT196" s="20" t="str">
        <f t="shared" si="17"/>
        <v>InCasa_COR22D33</v>
      </c>
    </row>
    <row r="197" spans="2:72" ht="18.75" customHeight="1" x14ac:dyDescent="0.25">
      <c r="B197" s="20">
        <f t="shared" si="18"/>
        <v>34</v>
      </c>
      <c r="C197" s="22" t="str">
        <f t="shared" si="19"/>
        <v>In Casa #34</v>
      </c>
      <c r="D197" t="str">
        <f t="shared" si="20"/>
        <v>COR22D34</v>
      </c>
      <c r="E197" s="58" t="s">
        <v>252</v>
      </c>
      <c r="F197" s="20">
        <v>1000</v>
      </c>
      <c r="G197" s="14" t="s">
        <v>288</v>
      </c>
      <c r="H197" s="23" t="s">
        <v>170</v>
      </c>
      <c r="J197" s="59" t="s">
        <v>38</v>
      </c>
      <c r="K197" s="22" t="s">
        <v>254</v>
      </c>
      <c r="L197" s="59" t="s">
        <v>171</v>
      </c>
      <c r="M197" s="22">
        <v>2</v>
      </c>
      <c r="V197" s="59" t="s">
        <v>176</v>
      </c>
      <c r="AL197" s="59" t="s">
        <v>40</v>
      </c>
      <c r="AM197" s="22" t="s">
        <v>188</v>
      </c>
      <c r="AV197" s="59" t="s">
        <v>134</v>
      </c>
      <c r="AW197" s="22" t="str">
        <f>Settings!$B$5 &amp;  "?s=" &amp; D197 &amp; "&amp;platform=ftx"</f>
        <v>https://tokensol.nfluent.io?s=COR22D34&amp;platform=ftx</v>
      </c>
      <c r="AX197" s="20" t="s">
        <v>23</v>
      </c>
      <c r="AY197" s="20">
        <v>10</v>
      </c>
      <c r="AZ197" s="20" t="s">
        <v>24</v>
      </c>
      <c r="BA197" s="20">
        <v>90</v>
      </c>
      <c r="BD197" s="14"/>
      <c r="BJ197" t="s">
        <v>255</v>
      </c>
      <c r="BK197" t="s">
        <v>184</v>
      </c>
      <c r="BN197" s="36">
        <v>100</v>
      </c>
      <c r="BO197" s="36">
        <v>100</v>
      </c>
      <c r="BP197">
        <f t="shared" si="21"/>
        <v>480</v>
      </c>
      <c r="BR197" s="38">
        <v>44713</v>
      </c>
      <c r="BS197" s="20" t="s">
        <v>185</v>
      </c>
      <c r="BT197" s="20" t="str">
        <f t="shared" ref="BT197:BT260" si="22">SUBSTITUTE(BJ197," ","") &amp; "_" &amp; D197</f>
        <v>InCasa_COR22D34</v>
      </c>
    </row>
    <row r="198" spans="2:72" ht="18.75" customHeight="1" x14ac:dyDescent="0.25">
      <c r="B198" s="20">
        <f t="shared" ref="B198:B261" si="23">+B197+1</f>
        <v>35</v>
      </c>
      <c r="C198" s="22" t="str">
        <f t="shared" si="19"/>
        <v>In Casa #35</v>
      </c>
      <c r="D198" t="str">
        <f t="shared" si="20"/>
        <v>COR22D35</v>
      </c>
      <c r="E198" s="58" t="s">
        <v>252</v>
      </c>
      <c r="F198" s="20">
        <v>1000</v>
      </c>
      <c r="G198" s="14" t="s">
        <v>289</v>
      </c>
      <c r="H198" s="23" t="s">
        <v>170</v>
      </c>
      <c r="J198" s="59" t="s">
        <v>38</v>
      </c>
      <c r="K198" s="22" t="s">
        <v>254</v>
      </c>
      <c r="L198" s="59" t="s">
        <v>171</v>
      </c>
      <c r="M198" s="22">
        <v>2</v>
      </c>
      <c r="V198" s="59" t="s">
        <v>176</v>
      </c>
      <c r="AL198" s="59" t="s">
        <v>40</v>
      </c>
      <c r="AM198" s="22" t="s">
        <v>188</v>
      </c>
      <c r="AV198" s="59" t="s">
        <v>134</v>
      </c>
      <c r="AW198" s="22" t="str">
        <f>Settings!$B$5 &amp;  "?s=" &amp; D198 &amp; "&amp;platform=ftx"</f>
        <v>https://tokensol.nfluent.io?s=COR22D35&amp;platform=ftx</v>
      </c>
      <c r="AX198" s="20" t="s">
        <v>23</v>
      </c>
      <c r="AY198" s="20">
        <v>10</v>
      </c>
      <c r="AZ198" s="20" t="s">
        <v>24</v>
      </c>
      <c r="BA198" s="20">
        <v>90</v>
      </c>
      <c r="BD198" s="14"/>
      <c r="BJ198" t="s">
        <v>255</v>
      </c>
      <c r="BK198" t="s">
        <v>184</v>
      </c>
      <c r="BN198" s="36">
        <v>100</v>
      </c>
      <c r="BO198" s="36">
        <v>100</v>
      </c>
      <c r="BP198">
        <f t="shared" si="21"/>
        <v>480</v>
      </c>
      <c r="BR198" s="38">
        <v>44713</v>
      </c>
      <c r="BS198" s="20" t="s">
        <v>185</v>
      </c>
      <c r="BT198" s="20" t="str">
        <f t="shared" si="22"/>
        <v>InCasa_COR22D35</v>
      </c>
    </row>
    <row r="199" spans="2:72" ht="18.75" customHeight="1" x14ac:dyDescent="0.25">
      <c r="B199" s="20">
        <f t="shared" si="23"/>
        <v>36</v>
      </c>
      <c r="C199" s="22" t="str">
        <f t="shared" si="19"/>
        <v>In Casa #36</v>
      </c>
      <c r="D199" t="str">
        <f t="shared" si="20"/>
        <v>COR22D36</v>
      </c>
      <c r="E199" s="58" t="s">
        <v>252</v>
      </c>
      <c r="F199" s="20">
        <v>1000</v>
      </c>
      <c r="G199" s="14" t="s">
        <v>290</v>
      </c>
      <c r="H199" s="23" t="s">
        <v>170</v>
      </c>
      <c r="J199" s="59" t="s">
        <v>38</v>
      </c>
      <c r="K199" s="22" t="s">
        <v>254</v>
      </c>
      <c r="L199" s="59" t="s">
        <v>171</v>
      </c>
      <c r="M199" s="22">
        <v>2</v>
      </c>
      <c r="V199" s="59" t="s">
        <v>176</v>
      </c>
      <c r="AL199" s="59" t="s">
        <v>40</v>
      </c>
      <c r="AM199" s="22" t="s">
        <v>188</v>
      </c>
      <c r="AV199" s="59" t="s">
        <v>134</v>
      </c>
      <c r="AW199" s="22" t="str">
        <f>Settings!$B$5 &amp;  "?s=" &amp; D199 &amp; "&amp;platform=ftx"</f>
        <v>https://tokensol.nfluent.io?s=COR22D36&amp;platform=ftx</v>
      </c>
      <c r="AX199" s="20" t="s">
        <v>23</v>
      </c>
      <c r="AY199" s="20">
        <v>10</v>
      </c>
      <c r="AZ199" s="20" t="s">
        <v>24</v>
      </c>
      <c r="BA199" s="20">
        <v>90</v>
      </c>
      <c r="BD199" s="14"/>
      <c r="BJ199" t="s">
        <v>255</v>
      </c>
      <c r="BK199" t="s">
        <v>184</v>
      </c>
      <c r="BN199" s="36">
        <v>100</v>
      </c>
      <c r="BO199" s="36">
        <v>100</v>
      </c>
      <c r="BP199">
        <f t="shared" si="21"/>
        <v>480</v>
      </c>
      <c r="BR199" s="38">
        <v>44713</v>
      </c>
      <c r="BS199" s="20" t="s">
        <v>185</v>
      </c>
      <c r="BT199" s="20" t="str">
        <f t="shared" si="22"/>
        <v>InCasa_COR22D36</v>
      </c>
    </row>
    <row r="200" spans="2:72" ht="18.75" customHeight="1" x14ac:dyDescent="0.25">
      <c r="B200" s="20">
        <f t="shared" si="23"/>
        <v>37</v>
      </c>
      <c r="C200" s="22" t="str">
        <f t="shared" si="19"/>
        <v>In Casa #37</v>
      </c>
      <c r="D200" t="str">
        <f t="shared" si="20"/>
        <v>COR22D37</v>
      </c>
      <c r="E200" s="58" t="s">
        <v>252</v>
      </c>
      <c r="F200" s="20">
        <v>1000</v>
      </c>
      <c r="G200" s="14" t="s">
        <v>291</v>
      </c>
      <c r="H200" s="23" t="s">
        <v>170</v>
      </c>
      <c r="J200" s="59" t="s">
        <v>38</v>
      </c>
      <c r="K200" s="22" t="s">
        <v>254</v>
      </c>
      <c r="L200" s="59" t="s">
        <v>171</v>
      </c>
      <c r="M200" s="22">
        <v>2</v>
      </c>
      <c r="V200" s="59" t="s">
        <v>176</v>
      </c>
      <c r="AL200" s="59" t="s">
        <v>40</v>
      </c>
      <c r="AM200" s="22" t="s">
        <v>188</v>
      </c>
      <c r="AV200" s="59" t="s">
        <v>134</v>
      </c>
      <c r="AW200" s="22" t="str">
        <f>Settings!$B$5 &amp;  "?s=" &amp; D200 &amp; "&amp;platform=ftx"</f>
        <v>https://tokensol.nfluent.io?s=COR22D37&amp;platform=ftx</v>
      </c>
      <c r="AX200" s="20" t="s">
        <v>23</v>
      </c>
      <c r="AY200" s="20">
        <v>10</v>
      </c>
      <c r="AZ200" s="20" t="s">
        <v>24</v>
      </c>
      <c r="BA200" s="20">
        <v>90</v>
      </c>
      <c r="BD200" s="14"/>
      <c r="BJ200" t="s">
        <v>255</v>
      </c>
      <c r="BK200" t="s">
        <v>184</v>
      </c>
      <c r="BN200" s="36">
        <v>100</v>
      </c>
      <c r="BO200" s="36">
        <v>100</v>
      </c>
      <c r="BP200">
        <f t="shared" si="21"/>
        <v>480</v>
      </c>
      <c r="BR200" s="38">
        <v>44713</v>
      </c>
      <c r="BS200" s="20" t="s">
        <v>185</v>
      </c>
      <c r="BT200" s="20" t="str">
        <f t="shared" si="22"/>
        <v>InCasa_COR22D37</v>
      </c>
    </row>
    <row r="201" spans="2:72" ht="18.75" customHeight="1" x14ac:dyDescent="0.25">
      <c r="B201" s="20">
        <f t="shared" si="23"/>
        <v>38</v>
      </c>
      <c r="C201" s="22" t="str">
        <f t="shared" si="19"/>
        <v>In Casa #38</v>
      </c>
      <c r="D201" t="str">
        <f t="shared" si="20"/>
        <v>COR22D38</v>
      </c>
      <c r="E201" s="58" t="s">
        <v>252</v>
      </c>
      <c r="F201" s="20">
        <v>1000</v>
      </c>
      <c r="G201" s="14" t="s">
        <v>292</v>
      </c>
      <c r="H201" s="23" t="s">
        <v>170</v>
      </c>
      <c r="J201" s="59" t="s">
        <v>38</v>
      </c>
      <c r="K201" s="22" t="s">
        <v>254</v>
      </c>
      <c r="L201" s="59" t="s">
        <v>171</v>
      </c>
      <c r="M201" s="22">
        <v>2</v>
      </c>
      <c r="V201" s="59" t="s">
        <v>176</v>
      </c>
      <c r="AL201" s="59" t="s">
        <v>40</v>
      </c>
      <c r="AM201" s="22" t="s">
        <v>188</v>
      </c>
      <c r="AV201" s="59" t="s">
        <v>134</v>
      </c>
      <c r="AW201" s="22" t="str">
        <f>Settings!$B$5 &amp;  "?s=" &amp; D201 &amp; "&amp;platform=ftx"</f>
        <v>https://tokensol.nfluent.io?s=COR22D38&amp;platform=ftx</v>
      </c>
      <c r="AX201" s="20" t="s">
        <v>23</v>
      </c>
      <c r="AY201" s="20">
        <v>10</v>
      </c>
      <c r="AZ201" s="20" t="s">
        <v>24</v>
      </c>
      <c r="BA201" s="20">
        <v>90</v>
      </c>
      <c r="BD201" s="14"/>
      <c r="BJ201" t="s">
        <v>255</v>
      </c>
      <c r="BK201" t="s">
        <v>184</v>
      </c>
      <c r="BN201" s="36">
        <v>100</v>
      </c>
      <c r="BO201" s="36">
        <v>100</v>
      </c>
      <c r="BP201">
        <f t="shared" si="21"/>
        <v>480</v>
      </c>
      <c r="BR201" s="38">
        <v>44713</v>
      </c>
      <c r="BS201" s="20" t="s">
        <v>185</v>
      </c>
      <c r="BT201" s="20" t="str">
        <f t="shared" si="22"/>
        <v>InCasa_COR22D38</v>
      </c>
    </row>
    <row r="202" spans="2:72" ht="18.75" customHeight="1" x14ac:dyDescent="0.25">
      <c r="B202" s="20">
        <f t="shared" si="23"/>
        <v>39</v>
      </c>
      <c r="C202" s="22" t="str">
        <f t="shared" si="19"/>
        <v>In Casa #39</v>
      </c>
      <c r="D202" t="str">
        <f t="shared" si="20"/>
        <v>COR22D39</v>
      </c>
      <c r="E202" s="58" t="s">
        <v>252</v>
      </c>
      <c r="F202" s="20">
        <v>1000</v>
      </c>
      <c r="G202" s="14" t="s">
        <v>293</v>
      </c>
      <c r="H202" s="23" t="s">
        <v>170</v>
      </c>
      <c r="J202" s="59" t="s">
        <v>38</v>
      </c>
      <c r="K202" s="22" t="s">
        <v>254</v>
      </c>
      <c r="L202" s="59" t="s">
        <v>171</v>
      </c>
      <c r="M202" s="22">
        <v>2</v>
      </c>
      <c r="V202" s="59" t="s">
        <v>176</v>
      </c>
      <c r="AL202" s="59" t="s">
        <v>40</v>
      </c>
      <c r="AM202" s="22" t="s">
        <v>188</v>
      </c>
      <c r="AV202" s="59" t="s">
        <v>134</v>
      </c>
      <c r="AW202" s="22" t="str">
        <f>Settings!$B$5 &amp;  "?s=" &amp; D202 &amp; "&amp;platform=ftx"</f>
        <v>https://tokensol.nfluent.io?s=COR22D39&amp;platform=ftx</v>
      </c>
      <c r="AX202" s="20" t="s">
        <v>23</v>
      </c>
      <c r="AY202" s="20">
        <v>10</v>
      </c>
      <c r="AZ202" s="20" t="s">
        <v>24</v>
      </c>
      <c r="BA202" s="20">
        <v>90</v>
      </c>
      <c r="BD202" s="14"/>
      <c r="BJ202" t="s">
        <v>255</v>
      </c>
      <c r="BK202" t="s">
        <v>184</v>
      </c>
      <c r="BN202" s="36">
        <v>100</v>
      </c>
      <c r="BO202" s="36">
        <v>100</v>
      </c>
      <c r="BP202">
        <f t="shared" si="21"/>
        <v>480</v>
      </c>
      <c r="BR202" s="38">
        <v>44713</v>
      </c>
      <c r="BS202" s="20" t="s">
        <v>185</v>
      </c>
      <c r="BT202" s="20" t="str">
        <f t="shared" si="22"/>
        <v>InCasa_COR22D39</v>
      </c>
    </row>
    <row r="203" spans="2:72" ht="18.75" customHeight="1" x14ac:dyDescent="0.25">
      <c r="B203" s="20">
        <f t="shared" si="23"/>
        <v>40</v>
      </c>
      <c r="C203" s="22" t="str">
        <f t="shared" si="19"/>
        <v>In Casa #40</v>
      </c>
      <c r="D203" t="str">
        <f t="shared" si="20"/>
        <v>COR22D40</v>
      </c>
      <c r="E203" s="58" t="s">
        <v>252</v>
      </c>
      <c r="F203" s="20">
        <v>1000</v>
      </c>
      <c r="G203" s="14" t="s">
        <v>294</v>
      </c>
      <c r="H203" s="23" t="s">
        <v>170</v>
      </c>
      <c r="J203" s="59" t="s">
        <v>38</v>
      </c>
      <c r="K203" s="22" t="s">
        <v>254</v>
      </c>
      <c r="L203" s="59" t="s">
        <v>171</v>
      </c>
      <c r="M203" s="22">
        <v>2</v>
      </c>
      <c r="V203" s="59" t="s">
        <v>176</v>
      </c>
      <c r="AL203" s="59" t="s">
        <v>40</v>
      </c>
      <c r="AM203" s="22" t="s">
        <v>188</v>
      </c>
      <c r="AV203" s="59" t="s">
        <v>134</v>
      </c>
      <c r="AW203" s="22" t="str">
        <f>Settings!$B$5 &amp;  "?s=" &amp; D203 &amp; "&amp;platform=ftx"</f>
        <v>https://tokensol.nfluent.io?s=COR22D40&amp;platform=ftx</v>
      </c>
      <c r="AX203" s="20" t="s">
        <v>23</v>
      </c>
      <c r="AY203" s="20">
        <v>10</v>
      </c>
      <c r="AZ203" s="20" t="s">
        <v>24</v>
      </c>
      <c r="BA203" s="20">
        <v>90</v>
      </c>
      <c r="BD203" s="14"/>
      <c r="BJ203" t="s">
        <v>255</v>
      </c>
      <c r="BK203" t="s">
        <v>184</v>
      </c>
      <c r="BN203" s="36">
        <v>100</v>
      </c>
      <c r="BO203" s="36">
        <v>100</v>
      </c>
      <c r="BP203">
        <f t="shared" si="21"/>
        <v>480</v>
      </c>
      <c r="BR203" s="38">
        <v>44713</v>
      </c>
      <c r="BS203" s="20" t="s">
        <v>185</v>
      </c>
      <c r="BT203" s="20" t="str">
        <f t="shared" si="22"/>
        <v>InCasa_COR22D40</v>
      </c>
    </row>
    <row r="204" spans="2:72" ht="18.75" customHeight="1" x14ac:dyDescent="0.25">
      <c r="B204" s="20">
        <f t="shared" si="23"/>
        <v>41</v>
      </c>
      <c r="C204" s="22" t="str">
        <f t="shared" si="19"/>
        <v>In Casa #41</v>
      </c>
      <c r="D204" t="str">
        <f t="shared" si="20"/>
        <v>COR22D41</v>
      </c>
      <c r="E204" s="58" t="s">
        <v>252</v>
      </c>
      <c r="F204" s="20">
        <v>1000</v>
      </c>
      <c r="G204" s="14" t="s">
        <v>295</v>
      </c>
      <c r="H204" s="23" t="s">
        <v>170</v>
      </c>
      <c r="J204" s="59" t="s">
        <v>38</v>
      </c>
      <c r="K204" s="22" t="s">
        <v>254</v>
      </c>
      <c r="L204" s="59" t="s">
        <v>171</v>
      </c>
      <c r="M204" s="22">
        <v>2</v>
      </c>
      <c r="V204" s="59" t="s">
        <v>176</v>
      </c>
      <c r="AL204" s="59" t="s">
        <v>40</v>
      </c>
      <c r="AM204" s="22" t="s">
        <v>188</v>
      </c>
      <c r="AV204" s="59" t="s">
        <v>134</v>
      </c>
      <c r="AW204" s="22" t="str">
        <f>Settings!$B$5 &amp;  "?s=" &amp; D204 &amp; "&amp;platform=ftx"</f>
        <v>https://tokensol.nfluent.io?s=COR22D41&amp;platform=ftx</v>
      </c>
      <c r="AX204" s="20" t="s">
        <v>23</v>
      </c>
      <c r="AY204" s="20">
        <v>10</v>
      </c>
      <c r="AZ204" s="20" t="s">
        <v>24</v>
      </c>
      <c r="BA204" s="20">
        <v>90</v>
      </c>
      <c r="BD204" s="14"/>
      <c r="BJ204" t="s">
        <v>255</v>
      </c>
      <c r="BK204" t="s">
        <v>184</v>
      </c>
      <c r="BN204" s="36">
        <v>100</v>
      </c>
      <c r="BO204" s="36">
        <v>100</v>
      </c>
      <c r="BP204">
        <f t="shared" si="21"/>
        <v>480</v>
      </c>
      <c r="BR204" s="38">
        <v>44713</v>
      </c>
      <c r="BS204" s="20" t="s">
        <v>185</v>
      </c>
      <c r="BT204" s="20" t="str">
        <f t="shared" si="22"/>
        <v>InCasa_COR22D41</v>
      </c>
    </row>
    <row r="205" spans="2:72" ht="18.75" customHeight="1" x14ac:dyDescent="0.25">
      <c r="B205" s="20">
        <f t="shared" si="23"/>
        <v>42</v>
      </c>
      <c r="C205" s="22" t="str">
        <f t="shared" si="19"/>
        <v>In Casa #42</v>
      </c>
      <c r="D205" t="str">
        <f t="shared" si="20"/>
        <v>COR22D42</v>
      </c>
      <c r="E205" s="58" t="s">
        <v>252</v>
      </c>
      <c r="F205" s="20">
        <v>1000</v>
      </c>
      <c r="G205" s="14" t="s">
        <v>296</v>
      </c>
      <c r="H205" s="23" t="s">
        <v>170</v>
      </c>
      <c r="J205" s="59" t="s">
        <v>38</v>
      </c>
      <c r="K205" s="22" t="s">
        <v>254</v>
      </c>
      <c r="L205" s="59" t="s">
        <v>171</v>
      </c>
      <c r="M205" s="22">
        <v>2</v>
      </c>
      <c r="V205" s="59" t="s">
        <v>176</v>
      </c>
      <c r="AL205" s="59" t="s">
        <v>40</v>
      </c>
      <c r="AM205" s="22" t="s">
        <v>188</v>
      </c>
      <c r="AV205" s="59" t="s">
        <v>134</v>
      </c>
      <c r="AW205" s="22" t="str">
        <f>Settings!$B$5 &amp;  "?s=" &amp; D205 &amp; "&amp;platform=ftx"</f>
        <v>https://tokensol.nfluent.io?s=COR22D42&amp;platform=ftx</v>
      </c>
      <c r="AX205" s="20" t="s">
        <v>23</v>
      </c>
      <c r="AY205" s="20">
        <v>10</v>
      </c>
      <c r="AZ205" s="20" t="s">
        <v>24</v>
      </c>
      <c r="BA205" s="20">
        <v>90</v>
      </c>
      <c r="BD205" s="14"/>
      <c r="BJ205" t="s">
        <v>255</v>
      </c>
      <c r="BK205" t="s">
        <v>184</v>
      </c>
      <c r="BN205" s="36">
        <v>100</v>
      </c>
      <c r="BO205" s="36">
        <v>100</v>
      </c>
      <c r="BP205">
        <f t="shared" si="21"/>
        <v>480</v>
      </c>
      <c r="BR205" s="38">
        <v>44713</v>
      </c>
      <c r="BS205" s="20" t="s">
        <v>185</v>
      </c>
      <c r="BT205" s="20" t="str">
        <f t="shared" si="22"/>
        <v>InCasa_COR22D42</v>
      </c>
    </row>
    <row r="206" spans="2:72" ht="18.75" customHeight="1" x14ac:dyDescent="0.25">
      <c r="B206" s="20">
        <f t="shared" si="23"/>
        <v>43</v>
      </c>
      <c r="C206" s="22" t="str">
        <f t="shared" si="19"/>
        <v>In Casa #43</v>
      </c>
      <c r="D206" t="str">
        <f t="shared" si="20"/>
        <v>COR22D43</v>
      </c>
      <c r="E206" s="58" t="s">
        <v>252</v>
      </c>
      <c r="F206" s="20">
        <v>1000</v>
      </c>
      <c r="G206" s="14" t="s">
        <v>297</v>
      </c>
      <c r="H206" s="23" t="s">
        <v>170</v>
      </c>
      <c r="J206" s="59" t="s">
        <v>38</v>
      </c>
      <c r="K206" s="22" t="s">
        <v>254</v>
      </c>
      <c r="L206" s="59" t="s">
        <v>171</v>
      </c>
      <c r="M206" s="22">
        <v>2</v>
      </c>
      <c r="V206" s="59" t="s">
        <v>176</v>
      </c>
      <c r="AL206" s="59" t="s">
        <v>40</v>
      </c>
      <c r="AM206" s="22" t="s">
        <v>188</v>
      </c>
      <c r="AV206" s="59" t="s">
        <v>134</v>
      </c>
      <c r="AW206" s="22" t="str">
        <f>Settings!$B$5 &amp;  "?s=" &amp; D206 &amp; "&amp;platform=ftx"</f>
        <v>https://tokensol.nfluent.io?s=COR22D43&amp;platform=ftx</v>
      </c>
      <c r="AX206" s="20" t="s">
        <v>23</v>
      </c>
      <c r="AY206" s="20">
        <v>10</v>
      </c>
      <c r="AZ206" s="20" t="s">
        <v>24</v>
      </c>
      <c r="BA206" s="20">
        <v>90</v>
      </c>
      <c r="BD206" s="14"/>
      <c r="BJ206" t="s">
        <v>255</v>
      </c>
      <c r="BK206" t="s">
        <v>184</v>
      </c>
      <c r="BN206" s="36">
        <v>100</v>
      </c>
      <c r="BO206" s="36">
        <v>100</v>
      </c>
      <c r="BP206">
        <f t="shared" si="21"/>
        <v>480</v>
      </c>
      <c r="BR206" s="38">
        <v>44713</v>
      </c>
      <c r="BS206" s="20" t="s">
        <v>185</v>
      </c>
      <c r="BT206" s="20" t="str">
        <f t="shared" si="22"/>
        <v>InCasa_COR22D43</v>
      </c>
    </row>
    <row r="207" spans="2:72" ht="18.75" customHeight="1" x14ac:dyDescent="0.25">
      <c r="B207" s="20">
        <f t="shared" si="23"/>
        <v>44</v>
      </c>
      <c r="C207" s="22" t="str">
        <f t="shared" si="19"/>
        <v>In Casa #44</v>
      </c>
      <c r="D207" t="str">
        <f t="shared" si="20"/>
        <v>COR22D44</v>
      </c>
      <c r="E207" s="58" t="s">
        <v>252</v>
      </c>
      <c r="F207" s="20">
        <v>1000</v>
      </c>
      <c r="G207" s="14" t="s">
        <v>298</v>
      </c>
      <c r="H207" s="23" t="s">
        <v>170</v>
      </c>
      <c r="J207" s="59" t="s">
        <v>38</v>
      </c>
      <c r="K207" s="22" t="s">
        <v>254</v>
      </c>
      <c r="L207" s="59" t="s">
        <v>171</v>
      </c>
      <c r="M207" s="22">
        <v>2</v>
      </c>
      <c r="V207" s="59" t="s">
        <v>176</v>
      </c>
      <c r="AL207" s="59" t="s">
        <v>40</v>
      </c>
      <c r="AM207" s="22" t="s">
        <v>188</v>
      </c>
      <c r="AV207" s="59" t="s">
        <v>134</v>
      </c>
      <c r="AW207" s="22" t="str">
        <f>Settings!$B$5 &amp;  "?s=" &amp; D207 &amp; "&amp;platform=ftx"</f>
        <v>https://tokensol.nfluent.io?s=COR22D44&amp;platform=ftx</v>
      </c>
      <c r="AX207" s="20" t="s">
        <v>23</v>
      </c>
      <c r="AY207" s="20">
        <v>10</v>
      </c>
      <c r="AZ207" s="20" t="s">
        <v>24</v>
      </c>
      <c r="BA207" s="20">
        <v>90</v>
      </c>
      <c r="BD207" s="14"/>
      <c r="BJ207" t="s">
        <v>255</v>
      </c>
      <c r="BK207" t="s">
        <v>184</v>
      </c>
      <c r="BN207" s="36">
        <v>100</v>
      </c>
      <c r="BO207" s="36">
        <v>100</v>
      </c>
      <c r="BP207">
        <f t="shared" si="21"/>
        <v>480</v>
      </c>
      <c r="BR207" s="38">
        <v>44713</v>
      </c>
      <c r="BS207" s="20" t="s">
        <v>185</v>
      </c>
      <c r="BT207" s="20" t="str">
        <f t="shared" si="22"/>
        <v>InCasa_COR22D44</v>
      </c>
    </row>
    <row r="208" spans="2:72" ht="18.75" customHeight="1" x14ac:dyDescent="0.25">
      <c r="B208" s="20">
        <f t="shared" si="23"/>
        <v>45</v>
      </c>
      <c r="C208" s="22" t="str">
        <f t="shared" si="19"/>
        <v>In Casa #45</v>
      </c>
      <c r="D208" t="str">
        <f t="shared" si="20"/>
        <v>COR22D45</v>
      </c>
      <c r="E208" s="58" t="s">
        <v>252</v>
      </c>
      <c r="F208" s="20">
        <v>1000</v>
      </c>
      <c r="G208" s="14" t="s">
        <v>299</v>
      </c>
      <c r="H208" s="23" t="s">
        <v>170</v>
      </c>
      <c r="J208" s="59" t="s">
        <v>38</v>
      </c>
      <c r="K208" s="22" t="s">
        <v>254</v>
      </c>
      <c r="L208" s="59" t="s">
        <v>171</v>
      </c>
      <c r="M208" s="22">
        <v>2</v>
      </c>
      <c r="V208" s="59" t="s">
        <v>176</v>
      </c>
      <c r="AL208" s="59" t="s">
        <v>40</v>
      </c>
      <c r="AM208" s="22" t="s">
        <v>188</v>
      </c>
      <c r="AV208" s="59" t="s">
        <v>134</v>
      </c>
      <c r="AW208" s="22" t="str">
        <f>Settings!$B$5 &amp;  "?s=" &amp; D208 &amp; "&amp;platform=ftx"</f>
        <v>https://tokensol.nfluent.io?s=COR22D45&amp;platform=ftx</v>
      </c>
      <c r="AX208" s="20" t="s">
        <v>23</v>
      </c>
      <c r="AY208" s="20">
        <v>10</v>
      </c>
      <c r="AZ208" s="20" t="s">
        <v>24</v>
      </c>
      <c r="BA208" s="20">
        <v>90</v>
      </c>
      <c r="BD208" s="14"/>
      <c r="BJ208" t="s">
        <v>255</v>
      </c>
      <c r="BK208" t="s">
        <v>184</v>
      </c>
      <c r="BN208" s="36">
        <v>100</v>
      </c>
      <c r="BO208" s="36">
        <v>100</v>
      </c>
      <c r="BP208">
        <f t="shared" si="21"/>
        <v>480</v>
      </c>
      <c r="BR208" s="38">
        <v>44713</v>
      </c>
      <c r="BS208" s="20" t="s">
        <v>185</v>
      </c>
      <c r="BT208" s="20" t="str">
        <f t="shared" si="22"/>
        <v>InCasa_COR22D45</v>
      </c>
    </row>
    <row r="209" spans="2:72" ht="18.75" customHeight="1" x14ac:dyDescent="0.25">
      <c r="B209" s="20">
        <f t="shared" si="23"/>
        <v>46</v>
      </c>
      <c r="C209" s="22" t="str">
        <f t="shared" si="19"/>
        <v>In Casa #46</v>
      </c>
      <c r="D209" t="str">
        <f t="shared" si="20"/>
        <v>COR22D46</v>
      </c>
      <c r="E209" s="58" t="s">
        <v>252</v>
      </c>
      <c r="F209" s="20">
        <v>1000</v>
      </c>
      <c r="G209" s="14" t="s">
        <v>300</v>
      </c>
      <c r="H209" s="23" t="s">
        <v>170</v>
      </c>
      <c r="J209" s="59" t="s">
        <v>38</v>
      </c>
      <c r="K209" s="22" t="s">
        <v>254</v>
      </c>
      <c r="L209" s="59" t="s">
        <v>171</v>
      </c>
      <c r="M209" s="22">
        <v>2</v>
      </c>
      <c r="V209" s="59" t="s">
        <v>176</v>
      </c>
      <c r="AL209" s="59" t="s">
        <v>40</v>
      </c>
      <c r="AM209" s="22" t="s">
        <v>188</v>
      </c>
      <c r="AV209" s="59" t="s">
        <v>134</v>
      </c>
      <c r="AW209" s="22" t="str">
        <f>Settings!$B$5 &amp;  "?s=" &amp; D209 &amp; "&amp;platform=ftx"</f>
        <v>https://tokensol.nfluent.io?s=COR22D46&amp;platform=ftx</v>
      </c>
      <c r="AX209" s="20" t="s">
        <v>23</v>
      </c>
      <c r="AY209" s="20">
        <v>10</v>
      </c>
      <c r="AZ209" s="20" t="s">
        <v>24</v>
      </c>
      <c r="BA209" s="20">
        <v>90</v>
      </c>
      <c r="BD209" s="14"/>
      <c r="BJ209" t="s">
        <v>255</v>
      </c>
      <c r="BK209" t="s">
        <v>184</v>
      </c>
      <c r="BN209" s="36">
        <v>100</v>
      </c>
      <c r="BO209" s="36">
        <v>100</v>
      </c>
      <c r="BP209">
        <f t="shared" si="21"/>
        <v>480</v>
      </c>
      <c r="BR209" s="38">
        <v>44713</v>
      </c>
      <c r="BS209" s="20" t="s">
        <v>185</v>
      </c>
      <c r="BT209" s="20" t="str">
        <f t="shared" si="22"/>
        <v>InCasa_COR22D46</v>
      </c>
    </row>
    <row r="210" spans="2:72" ht="18.75" customHeight="1" x14ac:dyDescent="0.25">
      <c r="B210" s="20">
        <f t="shared" si="23"/>
        <v>47</v>
      </c>
      <c r="C210" s="22" t="str">
        <f t="shared" si="19"/>
        <v>In Casa #47</v>
      </c>
      <c r="D210" t="str">
        <f t="shared" si="20"/>
        <v>COR22D47</v>
      </c>
      <c r="E210" s="58" t="s">
        <v>252</v>
      </c>
      <c r="F210" s="20">
        <v>1000</v>
      </c>
      <c r="G210" s="14" t="s">
        <v>301</v>
      </c>
      <c r="H210" s="23" t="s">
        <v>170</v>
      </c>
      <c r="J210" s="59" t="s">
        <v>38</v>
      </c>
      <c r="K210" s="22" t="s">
        <v>254</v>
      </c>
      <c r="L210" s="59" t="s">
        <v>171</v>
      </c>
      <c r="M210" s="22">
        <v>2</v>
      </c>
      <c r="V210" s="59" t="s">
        <v>176</v>
      </c>
      <c r="AL210" s="59" t="s">
        <v>40</v>
      </c>
      <c r="AM210" s="22" t="s">
        <v>188</v>
      </c>
      <c r="AV210" s="59" t="s">
        <v>134</v>
      </c>
      <c r="AW210" s="22" t="str">
        <f>Settings!$B$5 &amp;  "?s=" &amp; D210 &amp; "&amp;platform=ftx"</f>
        <v>https://tokensol.nfluent.io?s=COR22D47&amp;platform=ftx</v>
      </c>
      <c r="AX210" s="20" t="s">
        <v>23</v>
      </c>
      <c r="AY210" s="20">
        <v>10</v>
      </c>
      <c r="AZ210" s="20" t="s">
        <v>24</v>
      </c>
      <c r="BA210" s="20">
        <v>90</v>
      </c>
      <c r="BD210" s="14"/>
      <c r="BJ210" t="s">
        <v>255</v>
      </c>
      <c r="BK210" t="s">
        <v>184</v>
      </c>
      <c r="BN210" s="36">
        <v>100</v>
      </c>
      <c r="BO210" s="36">
        <v>100</v>
      </c>
      <c r="BP210">
        <f t="shared" si="21"/>
        <v>480</v>
      </c>
      <c r="BR210" s="38">
        <v>44713</v>
      </c>
      <c r="BS210" s="20" t="s">
        <v>185</v>
      </c>
      <c r="BT210" s="20" t="str">
        <f t="shared" si="22"/>
        <v>InCasa_COR22D47</v>
      </c>
    </row>
    <row r="211" spans="2:72" ht="18.75" customHeight="1" x14ac:dyDescent="0.25">
      <c r="B211" s="20">
        <f t="shared" si="23"/>
        <v>48</v>
      </c>
      <c r="C211" s="22" t="str">
        <f t="shared" si="19"/>
        <v>In Casa #48</v>
      </c>
      <c r="D211" t="str">
        <f t="shared" si="20"/>
        <v>COR22D48</v>
      </c>
      <c r="E211" s="58" t="s">
        <v>252</v>
      </c>
      <c r="F211" s="20">
        <v>1000</v>
      </c>
      <c r="G211" s="14" t="s">
        <v>302</v>
      </c>
      <c r="H211" s="23" t="s">
        <v>170</v>
      </c>
      <c r="J211" s="59" t="s">
        <v>38</v>
      </c>
      <c r="K211" s="22" t="s">
        <v>254</v>
      </c>
      <c r="L211" s="59" t="s">
        <v>171</v>
      </c>
      <c r="M211" s="22">
        <v>2</v>
      </c>
      <c r="V211" s="59" t="s">
        <v>176</v>
      </c>
      <c r="AL211" s="59" t="s">
        <v>40</v>
      </c>
      <c r="AM211" s="22" t="s">
        <v>188</v>
      </c>
      <c r="AV211" s="59" t="s">
        <v>134</v>
      </c>
      <c r="AW211" s="22" t="str">
        <f>Settings!$B$5 &amp;  "?s=" &amp; D211 &amp; "&amp;platform=ftx"</f>
        <v>https://tokensol.nfluent.io?s=COR22D48&amp;platform=ftx</v>
      </c>
      <c r="AX211" s="20" t="s">
        <v>23</v>
      </c>
      <c r="AY211" s="20">
        <v>10</v>
      </c>
      <c r="AZ211" s="20" t="s">
        <v>24</v>
      </c>
      <c r="BA211" s="20">
        <v>90</v>
      </c>
      <c r="BD211" s="14"/>
      <c r="BJ211" t="s">
        <v>255</v>
      </c>
      <c r="BK211" t="s">
        <v>184</v>
      </c>
      <c r="BN211" s="36">
        <v>100</v>
      </c>
      <c r="BO211" s="36">
        <v>100</v>
      </c>
      <c r="BP211">
        <f t="shared" si="21"/>
        <v>480</v>
      </c>
      <c r="BR211" s="38">
        <v>44713</v>
      </c>
      <c r="BS211" s="20" t="s">
        <v>185</v>
      </c>
      <c r="BT211" s="20" t="str">
        <f t="shared" si="22"/>
        <v>InCasa_COR22D48</v>
      </c>
    </row>
    <row r="212" spans="2:72" ht="18.75" customHeight="1" x14ac:dyDescent="0.25">
      <c r="B212" s="20">
        <f t="shared" si="23"/>
        <v>49</v>
      </c>
      <c r="C212" s="22" t="str">
        <f t="shared" si="19"/>
        <v>In Casa #49</v>
      </c>
      <c r="D212" t="str">
        <f t="shared" si="20"/>
        <v>COR22D49</v>
      </c>
      <c r="E212" s="58" t="s">
        <v>252</v>
      </c>
      <c r="F212" s="20">
        <v>1000</v>
      </c>
      <c r="G212" s="14" t="s">
        <v>303</v>
      </c>
      <c r="H212" s="23" t="s">
        <v>170</v>
      </c>
      <c r="J212" s="59" t="s">
        <v>38</v>
      </c>
      <c r="K212" s="22" t="s">
        <v>254</v>
      </c>
      <c r="L212" s="59" t="s">
        <v>171</v>
      </c>
      <c r="M212" s="22">
        <v>2</v>
      </c>
      <c r="V212" s="59" t="s">
        <v>176</v>
      </c>
      <c r="AL212" s="59" t="s">
        <v>40</v>
      </c>
      <c r="AM212" s="22" t="s">
        <v>188</v>
      </c>
      <c r="AV212" s="59" t="s">
        <v>134</v>
      </c>
      <c r="AW212" s="22" t="str">
        <f>Settings!$B$5 &amp;  "?s=" &amp; D212 &amp; "&amp;platform=ftx"</f>
        <v>https://tokensol.nfluent.io?s=COR22D49&amp;platform=ftx</v>
      </c>
      <c r="AX212" s="20" t="s">
        <v>23</v>
      </c>
      <c r="AY212" s="20">
        <v>10</v>
      </c>
      <c r="AZ212" s="20" t="s">
        <v>24</v>
      </c>
      <c r="BA212" s="20">
        <v>90</v>
      </c>
      <c r="BD212" s="14"/>
      <c r="BJ212" t="s">
        <v>255</v>
      </c>
      <c r="BK212" t="s">
        <v>184</v>
      </c>
      <c r="BN212" s="36">
        <v>100</v>
      </c>
      <c r="BO212" s="36">
        <v>100</v>
      </c>
      <c r="BP212">
        <f t="shared" si="21"/>
        <v>480</v>
      </c>
      <c r="BR212" s="38">
        <v>44713</v>
      </c>
      <c r="BS212" s="20" t="s">
        <v>185</v>
      </c>
      <c r="BT212" s="20" t="str">
        <f t="shared" si="22"/>
        <v>InCasa_COR22D49</v>
      </c>
    </row>
    <row r="213" spans="2:72" ht="18.75" customHeight="1" x14ac:dyDescent="0.25">
      <c r="B213" s="20">
        <f t="shared" si="23"/>
        <v>50</v>
      </c>
      <c r="C213" s="22" t="str">
        <f t="shared" si="19"/>
        <v>In Casa #50</v>
      </c>
      <c r="D213" t="str">
        <f t="shared" si="20"/>
        <v>COR22D50</v>
      </c>
      <c r="E213" s="58" t="s">
        <v>252</v>
      </c>
      <c r="F213" s="20">
        <v>1000</v>
      </c>
      <c r="G213" s="14" t="s">
        <v>304</v>
      </c>
      <c r="H213" s="23" t="s">
        <v>170</v>
      </c>
      <c r="J213" s="59" t="s">
        <v>38</v>
      </c>
      <c r="K213" s="22" t="s">
        <v>254</v>
      </c>
      <c r="L213" s="59" t="s">
        <v>171</v>
      </c>
      <c r="M213" s="22">
        <v>2</v>
      </c>
      <c r="V213" s="59" t="s">
        <v>176</v>
      </c>
      <c r="AL213" s="59" t="s">
        <v>40</v>
      </c>
      <c r="AM213" s="22" t="s">
        <v>188</v>
      </c>
      <c r="AV213" s="59" t="s">
        <v>134</v>
      </c>
      <c r="AW213" s="22" t="str">
        <f>Settings!$B$5 &amp;  "?s=" &amp; D213 &amp; "&amp;platform=ftx"</f>
        <v>https://tokensol.nfluent.io?s=COR22D50&amp;platform=ftx</v>
      </c>
      <c r="AX213" s="20" t="s">
        <v>23</v>
      </c>
      <c r="AY213" s="20">
        <v>10</v>
      </c>
      <c r="AZ213" s="20" t="s">
        <v>24</v>
      </c>
      <c r="BA213" s="20">
        <v>90</v>
      </c>
      <c r="BD213" s="14"/>
      <c r="BJ213" t="s">
        <v>255</v>
      </c>
      <c r="BK213" t="s">
        <v>184</v>
      </c>
      <c r="BN213" s="36">
        <v>100</v>
      </c>
      <c r="BO213" s="36">
        <v>100</v>
      </c>
      <c r="BP213">
        <f t="shared" si="21"/>
        <v>480</v>
      </c>
      <c r="BR213" s="38">
        <v>44713</v>
      </c>
      <c r="BS213" s="20" t="s">
        <v>185</v>
      </c>
      <c r="BT213" s="20" t="str">
        <f t="shared" si="22"/>
        <v>InCasa_COR22D50</v>
      </c>
    </row>
    <row r="214" spans="2:72" ht="18.75" customHeight="1" x14ac:dyDescent="0.25">
      <c r="B214" s="20">
        <f t="shared" si="23"/>
        <v>51</v>
      </c>
      <c r="C214" s="22" t="str">
        <f t="shared" si="19"/>
        <v>In Casa #51</v>
      </c>
      <c r="D214" t="str">
        <f t="shared" si="20"/>
        <v>COR22D51</v>
      </c>
      <c r="E214" s="58" t="s">
        <v>252</v>
      </c>
      <c r="F214" s="20">
        <v>1000</v>
      </c>
      <c r="G214" s="14" t="s">
        <v>305</v>
      </c>
      <c r="H214" s="23" t="s">
        <v>170</v>
      </c>
      <c r="J214" s="59" t="s">
        <v>38</v>
      </c>
      <c r="K214" s="22" t="s">
        <v>254</v>
      </c>
      <c r="L214" s="59" t="s">
        <v>171</v>
      </c>
      <c r="M214" s="22">
        <v>2</v>
      </c>
      <c r="V214" s="59" t="s">
        <v>176</v>
      </c>
      <c r="AL214" s="59" t="s">
        <v>40</v>
      </c>
      <c r="AM214" s="22" t="s">
        <v>188</v>
      </c>
      <c r="AV214" s="59" t="s">
        <v>134</v>
      </c>
      <c r="AW214" s="22" t="str">
        <f>Settings!$B$5 &amp;  "?s=" &amp; D214 &amp; "&amp;platform=ftx"</f>
        <v>https://tokensol.nfluent.io?s=COR22D51&amp;platform=ftx</v>
      </c>
      <c r="AX214" s="20" t="s">
        <v>23</v>
      </c>
      <c r="AY214" s="20">
        <v>10</v>
      </c>
      <c r="AZ214" s="20" t="s">
        <v>24</v>
      </c>
      <c r="BA214" s="20">
        <v>90</v>
      </c>
      <c r="BD214" s="14"/>
      <c r="BJ214" t="s">
        <v>255</v>
      </c>
      <c r="BK214" t="s">
        <v>184</v>
      </c>
      <c r="BN214" s="36">
        <v>100</v>
      </c>
      <c r="BO214" s="36">
        <v>100</v>
      </c>
      <c r="BP214">
        <f t="shared" si="21"/>
        <v>480</v>
      </c>
      <c r="BR214" s="38">
        <v>44713</v>
      </c>
      <c r="BS214" s="20" t="s">
        <v>185</v>
      </c>
      <c r="BT214" s="20" t="str">
        <f t="shared" si="22"/>
        <v>InCasa_COR22D51</v>
      </c>
    </row>
    <row r="215" spans="2:72" ht="18.75" customHeight="1" x14ac:dyDescent="0.25">
      <c r="B215" s="20">
        <f t="shared" si="23"/>
        <v>52</v>
      </c>
      <c r="C215" s="22" t="str">
        <f t="shared" si="19"/>
        <v>In Casa #52</v>
      </c>
      <c r="D215" t="str">
        <f t="shared" si="20"/>
        <v>COR22D52</v>
      </c>
      <c r="E215" s="58" t="s">
        <v>252</v>
      </c>
      <c r="F215" s="20">
        <v>1000</v>
      </c>
      <c r="G215" s="14" t="s">
        <v>306</v>
      </c>
      <c r="H215" s="23" t="s">
        <v>170</v>
      </c>
      <c r="J215" s="59" t="s">
        <v>38</v>
      </c>
      <c r="K215" s="22" t="s">
        <v>254</v>
      </c>
      <c r="L215" s="59" t="s">
        <v>171</v>
      </c>
      <c r="M215" s="22">
        <v>2</v>
      </c>
      <c r="V215" s="59" t="s">
        <v>176</v>
      </c>
      <c r="AL215" s="59" t="s">
        <v>40</v>
      </c>
      <c r="AM215" s="22" t="s">
        <v>188</v>
      </c>
      <c r="AV215" s="59" t="s">
        <v>134</v>
      </c>
      <c r="AW215" s="22" t="str">
        <f>Settings!$B$5 &amp;  "?s=" &amp; D215 &amp; "&amp;platform=ftx"</f>
        <v>https://tokensol.nfluent.io?s=COR22D52&amp;platform=ftx</v>
      </c>
      <c r="AX215" s="20" t="s">
        <v>23</v>
      </c>
      <c r="AY215" s="20">
        <v>10</v>
      </c>
      <c r="AZ215" s="20" t="s">
        <v>24</v>
      </c>
      <c r="BA215" s="20">
        <v>90</v>
      </c>
      <c r="BD215" s="14"/>
      <c r="BJ215" t="s">
        <v>255</v>
      </c>
      <c r="BK215" t="s">
        <v>184</v>
      </c>
      <c r="BN215" s="36">
        <v>100</v>
      </c>
      <c r="BO215" s="36">
        <v>100</v>
      </c>
      <c r="BP215">
        <f t="shared" si="21"/>
        <v>480</v>
      </c>
      <c r="BR215" s="38">
        <v>44713</v>
      </c>
      <c r="BS215" s="20" t="s">
        <v>185</v>
      </c>
      <c r="BT215" s="20" t="str">
        <f t="shared" si="22"/>
        <v>InCasa_COR22D52</v>
      </c>
    </row>
    <row r="216" spans="2:72" ht="18.75" customHeight="1" x14ac:dyDescent="0.25">
      <c r="B216" s="20">
        <f t="shared" si="23"/>
        <v>53</v>
      </c>
      <c r="C216" s="22" t="str">
        <f t="shared" si="19"/>
        <v>In Casa #53</v>
      </c>
      <c r="D216" t="str">
        <f t="shared" si="20"/>
        <v>COR22D53</v>
      </c>
      <c r="E216" s="58" t="s">
        <v>252</v>
      </c>
      <c r="F216" s="20">
        <v>1000</v>
      </c>
      <c r="G216" s="14" t="s">
        <v>307</v>
      </c>
      <c r="H216" s="23" t="s">
        <v>170</v>
      </c>
      <c r="J216" s="59" t="s">
        <v>38</v>
      </c>
      <c r="K216" s="22" t="s">
        <v>254</v>
      </c>
      <c r="L216" s="59" t="s">
        <v>171</v>
      </c>
      <c r="M216" s="22">
        <v>2</v>
      </c>
      <c r="V216" s="59" t="s">
        <v>176</v>
      </c>
      <c r="AL216" s="59" t="s">
        <v>40</v>
      </c>
      <c r="AM216" s="22" t="s">
        <v>188</v>
      </c>
      <c r="AV216" s="59" t="s">
        <v>134</v>
      </c>
      <c r="AW216" s="22" t="str">
        <f>Settings!$B$5 &amp;  "?s=" &amp; D216 &amp; "&amp;platform=ftx"</f>
        <v>https://tokensol.nfluent.io?s=COR22D53&amp;platform=ftx</v>
      </c>
      <c r="AX216" s="20" t="s">
        <v>23</v>
      </c>
      <c r="AY216" s="20">
        <v>10</v>
      </c>
      <c r="AZ216" s="20" t="s">
        <v>24</v>
      </c>
      <c r="BA216" s="20">
        <v>90</v>
      </c>
      <c r="BD216" s="14"/>
      <c r="BJ216" t="s">
        <v>255</v>
      </c>
      <c r="BK216" t="s">
        <v>184</v>
      </c>
      <c r="BN216" s="36">
        <v>100</v>
      </c>
      <c r="BO216" s="36">
        <v>100</v>
      </c>
      <c r="BP216">
        <f t="shared" si="21"/>
        <v>480</v>
      </c>
      <c r="BR216" s="38">
        <v>44713</v>
      </c>
      <c r="BS216" s="20" t="s">
        <v>185</v>
      </c>
      <c r="BT216" s="20" t="str">
        <f t="shared" si="22"/>
        <v>InCasa_COR22D53</v>
      </c>
    </row>
    <row r="217" spans="2:72" ht="18.75" customHeight="1" x14ac:dyDescent="0.25">
      <c r="B217" s="20">
        <f t="shared" si="23"/>
        <v>54</v>
      </c>
      <c r="C217" s="22" t="str">
        <f t="shared" si="19"/>
        <v>In Casa #54</v>
      </c>
      <c r="D217" t="str">
        <f t="shared" si="20"/>
        <v>COR22D54</v>
      </c>
      <c r="E217" s="58" t="s">
        <v>252</v>
      </c>
      <c r="F217" s="20">
        <v>1000</v>
      </c>
      <c r="G217" s="14" t="s">
        <v>308</v>
      </c>
      <c r="H217" s="23" t="s">
        <v>170</v>
      </c>
      <c r="J217" s="59" t="s">
        <v>38</v>
      </c>
      <c r="K217" s="22" t="s">
        <v>254</v>
      </c>
      <c r="L217" s="59" t="s">
        <v>171</v>
      </c>
      <c r="M217" s="22">
        <v>2</v>
      </c>
      <c r="V217" s="59" t="s">
        <v>176</v>
      </c>
      <c r="AL217" s="59" t="s">
        <v>40</v>
      </c>
      <c r="AM217" s="22" t="s">
        <v>188</v>
      </c>
      <c r="AV217" s="59" t="s">
        <v>134</v>
      </c>
      <c r="AW217" s="22" t="str">
        <f>Settings!$B$5 &amp;  "?s=" &amp; D217 &amp; "&amp;platform=ftx"</f>
        <v>https://tokensol.nfluent.io?s=COR22D54&amp;platform=ftx</v>
      </c>
      <c r="AX217" s="20" t="s">
        <v>23</v>
      </c>
      <c r="AY217" s="20">
        <v>10</v>
      </c>
      <c r="AZ217" s="20" t="s">
        <v>24</v>
      </c>
      <c r="BA217" s="20">
        <v>90</v>
      </c>
      <c r="BD217" s="14"/>
      <c r="BJ217" t="s">
        <v>255</v>
      </c>
      <c r="BK217" t="s">
        <v>184</v>
      </c>
      <c r="BN217" s="36">
        <v>100</v>
      </c>
      <c r="BO217" s="36">
        <v>100</v>
      </c>
      <c r="BP217">
        <f t="shared" si="21"/>
        <v>480</v>
      </c>
      <c r="BR217" s="38">
        <v>44713</v>
      </c>
      <c r="BS217" s="20" t="s">
        <v>185</v>
      </c>
      <c r="BT217" s="20" t="str">
        <f t="shared" si="22"/>
        <v>InCasa_COR22D54</v>
      </c>
    </row>
    <row r="218" spans="2:72" ht="18.75" customHeight="1" x14ac:dyDescent="0.25">
      <c r="B218" s="20">
        <f t="shared" si="23"/>
        <v>55</v>
      </c>
      <c r="C218" s="22" t="str">
        <f t="shared" si="19"/>
        <v>In Casa #55</v>
      </c>
      <c r="D218" t="str">
        <f t="shared" si="20"/>
        <v>COR22D55</v>
      </c>
      <c r="E218" s="58" t="s">
        <v>252</v>
      </c>
      <c r="F218" s="20">
        <v>1000</v>
      </c>
      <c r="G218" s="14" t="s">
        <v>309</v>
      </c>
      <c r="H218" s="23" t="s">
        <v>170</v>
      </c>
      <c r="J218" s="59" t="s">
        <v>38</v>
      </c>
      <c r="K218" s="22" t="s">
        <v>254</v>
      </c>
      <c r="L218" s="59" t="s">
        <v>171</v>
      </c>
      <c r="M218" s="22">
        <v>2</v>
      </c>
      <c r="V218" s="59" t="s">
        <v>176</v>
      </c>
      <c r="AL218" s="59" t="s">
        <v>40</v>
      </c>
      <c r="AM218" s="22" t="s">
        <v>188</v>
      </c>
      <c r="AV218" s="59" t="s">
        <v>134</v>
      </c>
      <c r="AW218" s="22" t="str">
        <f>Settings!$B$5 &amp;  "?s=" &amp; D218 &amp; "&amp;platform=ftx"</f>
        <v>https://tokensol.nfluent.io?s=COR22D55&amp;platform=ftx</v>
      </c>
      <c r="AX218" s="20" t="s">
        <v>23</v>
      </c>
      <c r="AY218" s="20">
        <v>10</v>
      </c>
      <c r="AZ218" s="20" t="s">
        <v>24</v>
      </c>
      <c r="BA218" s="20">
        <v>90</v>
      </c>
      <c r="BD218" s="14"/>
      <c r="BJ218" t="s">
        <v>255</v>
      </c>
      <c r="BK218" t="s">
        <v>184</v>
      </c>
      <c r="BN218" s="36">
        <v>100</v>
      </c>
      <c r="BO218" s="36">
        <v>100</v>
      </c>
      <c r="BP218">
        <f t="shared" si="21"/>
        <v>480</v>
      </c>
      <c r="BR218" s="38">
        <v>44713</v>
      </c>
      <c r="BS218" s="20" t="s">
        <v>185</v>
      </c>
      <c r="BT218" s="20" t="str">
        <f t="shared" si="22"/>
        <v>InCasa_COR22D55</v>
      </c>
    </row>
    <row r="219" spans="2:72" ht="18.75" customHeight="1" x14ac:dyDescent="0.25">
      <c r="B219" s="20">
        <f t="shared" si="23"/>
        <v>56</v>
      </c>
      <c r="C219" s="22" t="str">
        <f t="shared" si="19"/>
        <v>In Casa #56</v>
      </c>
      <c r="D219" t="str">
        <f t="shared" si="20"/>
        <v>COR22D56</v>
      </c>
      <c r="E219" s="58" t="s">
        <v>252</v>
      </c>
      <c r="F219" s="20">
        <v>1000</v>
      </c>
      <c r="G219" s="14" t="s">
        <v>310</v>
      </c>
      <c r="H219" s="23" t="s">
        <v>170</v>
      </c>
      <c r="J219" s="59" t="s">
        <v>38</v>
      </c>
      <c r="K219" s="22" t="s">
        <v>254</v>
      </c>
      <c r="L219" s="59" t="s">
        <v>171</v>
      </c>
      <c r="M219" s="22">
        <v>2</v>
      </c>
      <c r="V219" s="59" t="s">
        <v>176</v>
      </c>
      <c r="AL219" s="59" t="s">
        <v>40</v>
      </c>
      <c r="AM219" s="22" t="s">
        <v>188</v>
      </c>
      <c r="AV219" s="59" t="s">
        <v>134</v>
      </c>
      <c r="AW219" s="22" t="str">
        <f>Settings!$B$5 &amp;  "?s=" &amp; D219 &amp; "&amp;platform=ftx"</f>
        <v>https://tokensol.nfluent.io?s=COR22D56&amp;platform=ftx</v>
      </c>
      <c r="AX219" s="20" t="s">
        <v>23</v>
      </c>
      <c r="AY219" s="20">
        <v>10</v>
      </c>
      <c r="AZ219" s="20" t="s">
        <v>24</v>
      </c>
      <c r="BA219" s="20">
        <v>90</v>
      </c>
      <c r="BD219" s="14"/>
      <c r="BJ219" t="s">
        <v>255</v>
      </c>
      <c r="BK219" t="s">
        <v>184</v>
      </c>
      <c r="BN219" s="36">
        <v>100</v>
      </c>
      <c r="BO219" s="36">
        <v>100</v>
      </c>
      <c r="BP219">
        <f t="shared" si="21"/>
        <v>480</v>
      </c>
      <c r="BR219" s="38">
        <v>44713</v>
      </c>
      <c r="BS219" s="20" t="s">
        <v>185</v>
      </c>
      <c r="BT219" s="20" t="str">
        <f t="shared" si="22"/>
        <v>InCasa_COR22D56</v>
      </c>
    </row>
    <row r="220" spans="2:72" ht="18.75" customHeight="1" x14ac:dyDescent="0.25">
      <c r="B220" s="20">
        <f t="shared" si="23"/>
        <v>57</v>
      </c>
      <c r="C220" s="22" t="str">
        <f t="shared" si="19"/>
        <v>In Casa #57</v>
      </c>
      <c r="D220" t="str">
        <f t="shared" si="20"/>
        <v>COR22D57</v>
      </c>
      <c r="E220" s="58" t="s">
        <v>252</v>
      </c>
      <c r="F220" s="20">
        <v>1000</v>
      </c>
      <c r="G220" s="14" t="s">
        <v>311</v>
      </c>
      <c r="H220" s="23" t="s">
        <v>170</v>
      </c>
      <c r="J220" s="59" t="s">
        <v>38</v>
      </c>
      <c r="K220" s="22" t="s">
        <v>254</v>
      </c>
      <c r="L220" s="59" t="s">
        <v>171</v>
      </c>
      <c r="M220" s="22">
        <v>2</v>
      </c>
      <c r="V220" s="59" t="s">
        <v>176</v>
      </c>
      <c r="AL220" s="59" t="s">
        <v>40</v>
      </c>
      <c r="AM220" s="22" t="s">
        <v>188</v>
      </c>
      <c r="AV220" s="59" t="s">
        <v>134</v>
      </c>
      <c r="AW220" s="22" t="str">
        <f>Settings!$B$5 &amp;  "?s=" &amp; D220 &amp; "&amp;platform=ftx"</f>
        <v>https://tokensol.nfluent.io?s=COR22D57&amp;platform=ftx</v>
      </c>
      <c r="AX220" s="20" t="s">
        <v>23</v>
      </c>
      <c r="AY220" s="20">
        <v>10</v>
      </c>
      <c r="AZ220" s="20" t="s">
        <v>24</v>
      </c>
      <c r="BA220" s="20">
        <v>90</v>
      </c>
      <c r="BD220" s="14"/>
      <c r="BJ220" t="s">
        <v>255</v>
      </c>
      <c r="BK220" t="s">
        <v>184</v>
      </c>
      <c r="BN220" s="36">
        <v>100</v>
      </c>
      <c r="BO220" s="36">
        <v>100</v>
      </c>
      <c r="BP220">
        <f t="shared" si="21"/>
        <v>480</v>
      </c>
      <c r="BR220" s="38">
        <v>44713</v>
      </c>
      <c r="BS220" s="20" t="s">
        <v>185</v>
      </c>
      <c r="BT220" s="20" t="str">
        <f t="shared" si="22"/>
        <v>InCasa_COR22D57</v>
      </c>
    </row>
    <row r="221" spans="2:72" ht="18.75" customHeight="1" x14ac:dyDescent="0.25">
      <c r="B221" s="20">
        <f t="shared" si="23"/>
        <v>58</v>
      </c>
      <c r="C221" s="22" t="str">
        <f t="shared" si="19"/>
        <v>In Casa #58</v>
      </c>
      <c r="D221" t="str">
        <f t="shared" si="20"/>
        <v>COR22D58</v>
      </c>
      <c r="E221" s="58" t="s">
        <v>252</v>
      </c>
      <c r="F221" s="20">
        <v>1000</v>
      </c>
      <c r="G221" s="14" t="s">
        <v>312</v>
      </c>
      <c r="H221" s="23" t="s">
        <v>170</v>
      </c>
      <c r="J221" s="59" t="s">
        <v>38</v>
      </c>
      <c r="K221" s="22" t="s">
        <v>254</v>
      </c>
      <c r="L221" s="59" t="s">
        <v>171</v>
      </c>
      <c r="M221" s="22">
        <v>2</v>
      </c>
      <c r="V221" s="59" t="s">
        <v>176</v>
      </c>
      <c r="AL221" s="59" t="s">
        <v>40</v>
      </c>
      <c r="AM221" s="22" t="s">
        <v>188</v>
      </c>
      <c r="AV221" s="59" t="s">
        <v>134</v>
      </c>
      <c r="AW221" s="22" t="str">
        <f>Settings!$B$5 &amp;  "?s=" &amp; D221 &amp; "&amp;platform=ftx"</f>
        <v>https://tokensol.nfluent.io?s=COR22D58&amp;platform=ftx</v>
      </c>
      <c r="AX221" s="20" t="s">
        <v>23</v>
      </c>
      <c r="AY221" s="20">
        <v>10</v>
      </c>
      <c r="AZ221" s="20" t="s">
        <v>24</v>
      </c>
      <c r="BA221" s="20">
        <v>90</v>
      </c>
      <c r="BD221" s="14"/>
      <c r="BJ221" t="s">
        <v>255</v>
      </c>
      <c r="BK221" t="s">
        <v>184</v>
      </c>
      <c r="BN221" s="36">
        <v>100</v>
      </c>
      <c r="BO221" s="36">
        <v>100</v>
      </c>
      <c r="BP221">
        <f t="shared" si="21"/>
        <v>480</v>
      </c>
      <c r="BR221" s="38">
        <v>44713</v>
      </c>
      <c r="BS221" s="20" t="s">
        <v>185</v>
      </c>
      <c r="BT221" s="20" t="str">
        <f t="shared" si="22"/>
        <v>InCasa_COR22D58</v>
      </c>
    </row>
    <row r="222" spans="2:72" ht="18.75" customHeight="1" x14ac:dyDescent="0.25">
      <c r="B222" s="20">
        <f t="shared" si="23"/>
        <v>59</v>
      </c>
      <c r="C222" s="22" t="str">
        <f t="shared" si="19"/>
        <v>In Casa #59</v>
      </c>
      <c r="D222" t="str">
        <f t="shared" si="20"/>
        <v>COR22D59</v>
      </c>
      <c r="E222" s="58" t="s">
        <v>252</v>
      </c>
      <c r="F222" s="20">
        <v>1000</v>
      </c>
      <c r="G222" s="14" t="s">
        <v>313</v>
      </c>
      <c r="H222" s="23" t="s">
        <v>170</v>
      </c>
      <c r="J222" s="59" t="s">
        <v>38</v>
      </c>
      <c r="K222" s="22" t="s">
        <v>254</v>
      </c>
      <c r="L222" s="59" t="s">
        <v>171</v>
      </c>
      <c r="M222" s="22">
        <v>2</v>
      </c>
      <c r="V222" s="59" t="s">
        <v>176</v>
      </c>
      <c r="AL222" s="59" t="s">
        <v>40</v>
      </c>
      <c r="AM222" s="22" t="s">
        <v>188</v>
      </c>
      <c r="AV222" s="59" t="s">
        <v>134</v>
      </c>
      <c r="AW222" s="22" t="str">
        <f>Settings!$B$5 &amp;  "?s=" &amp; D222 &amp; "&amp;platform=ftx"</f>
        <v>https://tokensol.nfluent.io?s=COR22D59&amp;platform=ftx</v>
      </c>
      <c r="AX222" s="20" t="s">
        <v>23</v>
      </c>
      <c r="AY222" s="20">
        <v>10</v>
      </c>
      <c r="AZ222" s="20" t="s">
        <v>24</v>
      </c>
      <c r="BA222" s="20">
        <v>90</v>
      </c>
      <c r="BD222" s="14"/>
      <c r="BJ222" t="s">
        <v>255</v>
      </c>
      <c r="BK222" t="s">
        <v>184</v>
      </c>
      <c r="BN222" s="36">
        <v>100</v>
      </c>
      <c r="BO222" s="36">
        <v>100</v>
      </c>
      <c r="BP222">
        <f t="shared" si="21"/>
        <v>480</v>
      </c>
      <c r="BR222" s="38">
        <v>44713</v>
      </c>
      <c r="BS222" s="20" t="s">
        <v>185</v>
      </c>
      <c r="BT222" s="20" t="str">
        <f t="shared" si="22"/>
        <v>InCasa_COR22D59</v>
      </c>
    </row>
    <row r="223" spans="2:72" ht="18.75" customHeight="1" x14ac:dyDescent="0.25">
      <c r="B223" s="20">
        <f t="shared" si="23"/>
        <v>60</v>
      </c>
      <c r="C223" s="22" t="str">
        <f t="shared" si="19"/>
        <v>In Casa #60</v>
      </c>
      <c r="D223" t="str">
        <f t="shared" si="20"/>
        <v>COR22D60</v>
      </c>
      <c r="E223" s="58" t="s">
        <v>252</v>
      </c>
      <c r="F223" s="20">
        <v>1000</v>
      </c>
      <c r="G223" s="14" t="s">
        <v>314</v>
      </c>
      <c r="H223" s="23" t="s">
        <v>170</v>
      </c>
      <c r="J223" s="59" t="s">
        <v>38</v>
      </c>
      <c r="K223" s="22" t="s">
        <v>254</v>
      </c>
      <c r="L223" s="59" t="s">
        <v>171</v>
      </c>
      <c r="M223" s="22">
        <v>2</v>
      </c>
      <c r="V223" s="59" t="s">
        <v>176</v>
      </c>
      <c r="AL223" s="59" t="s">
        <v>40</v>
      </c>
      <c r="AM223" s="22" t="s">
        <v>188</v>
      </c>
      <c r="AV223" s="59" t="s">
        <v>134</v>
      </c>
      <c r="AW223" s="22" t="str">
        <f>Settings!$B$5 &amp;  "?s=" &amp; D223 &amp; "&amp;platform=ftx"</f>
        <v>https://tokensol.nfluent.io?s=COR22D60&amp;platform=ftx</v>
      </c>
      <c r="AX223" s="20" t="s">
        <v>23</v>
      </c>
      <c r="AY223" s="20">
        <v>10</v>
      </c>
      <c r="AZ223" s="20" t="s">
        <v>24</v>
      </c>
      <c r="BA223" s="20">
        <v>90</v>
      </c>
      <c r="BD223" s="14"/>
      <c r="BJ223" t="s">
        <v>255</v>
      </c>
      <c r="BK223" t="s">
        <v>184</v>
      </c>
      <c r="BN223" s="36">
        <v>100</v>
      </c>
      <c r="BO223" s="36">
        <v>100</v>
      </c>
      <c r="BP223">
        <f t="shared" si="21"/>
        <v>480</v>
      </c>
      <c r="BR223" s="38">
        <v>44713</v>
      </c>
      <c r="BS223" s="20" t="s">
        <v>185</v>
      </c>
      <c r="BT223" s="20" t="str">
        <f t="shared" si="22"/>
        <v>InCasa_COR22D60</v>
      </c>
    </row>
    <row r="224" spans="2:72" ht="18.75" customHeight="1" x14ac:dyDescent="0.25">
      <c r="B224" s="20">
        <f t="shared" si="23"/>
        <v>61</v>
      </c>
      <c r="C224" s="22" t="str">
        <f t="shared" si="19"/>
        <v>In Casa #61</v>
      </c>
      <c r="D224" t="str">
        <f t="shared" si="20"/>
        <v>COR22D61</v>
      </c>
      <c r="E224" s="58" t="s">
        <v>252</v>
      </c>
      <c r="F224" s="20">
        <v>1000</v>
      </c>
      <c r="G224" s="14" t="s">
        <v>315</v>
      </c>
      <c r="H224" s="23" t="s">
        <v>170</v>
      </c>
      <c r="J224" s="59" t="s">
        <v>38</v>
      </c>
      <c r="K224" s="22" t="s">
        <v>254</v>
      </c>
      <c r="L224" s="59" t="s">
        <v>171</v>
      </c>
      <c r="M224" s="22">
        <v>2</v>
      </c>
      <c r="V224" s="59" t="s">
        <v>176</v>
      </c>
      <c r="AL224" s="59" t="s">
        <v>40</v>
      </c>
      <c r="AM224" s="22" t="s">
        <v>188</v>
      </c>
      <c r="AV224" s="59" t="s">
        <v>134</v>
      </c>
      <c r="AW224" s="22" t="str">
        <f>Settings!$B$5 &amp;  "?s=" &amp; D224 &amp; "&amp;platform=ftx"</f>
        <v>https://tokensol.nfluent.io?s=COR22D61&amp;platform=ftx</v>
      </c>
      <c r="AX224" s="20" t="s">
        <v>23</v>
      </c>
      <c r="AY224" s="20">
        <v>10</v>
      </c>
      <c r="AZ224" s="20" t="s">
        <v>24</v>
      </c>
      <c r="BA224" s="20">
        <v>90</v>
      </c>
      <c r="BD224" s="14"/>
      <c r="BJ224" t="s">
        <v>255</v>
      </c>
      <c r="BK224" t="s">
        <v>184</v>
      </c>
      <c r="BN224" s="36">
        <v>100</v>
      </c>
      <c r="BO224" s="36">
        <v>100</v>
      </c>
      <c r="BP224">
        <f t="shared" si="21"/>
        <v>480</v>
      </c>
      <c r="BR224" s="38">
        <v>44713</v>
      </c>
      <c r="BS224" s="20" t="s">
        <v>185</v>
      </c>
      <c r="BT224" s="20" t="str">
        <f t="shared" si="22"/>
        <v>InCasa_COR22D61</v>
      </c>
    </row>
    <row r="225" spans="2:72" ht="18.75" customHeight="1" x14ac:dyDescent="0.25">
      <c r="B225" s="20">
        <f t="shared" si="23"/>
        <v>62</v>
      </c>
      <c r="C225" s="22" t="str">
        <f t="shared" si="19"/>
        <v>In Casa #62</v>
      </c>
      <c r="D225" t="str">
        <f t="shared" si="20"/>
        <v>COR22D62</v>
      </c>
      <c r="E225" s="58" t="s">
        <v>252</v>
      </c>
      <c r="F225" s="20">
        <v>1000</v>
      </c>
      <c r="G225" s="14" t="s">
        <v>316</v>
      </c>
      <c r="H225" s="23" t="s">
        <v>170</v>
      </c>
      <c r="J225" s="59" t="s">
        <v>38</v>
      </c>
      <c r="K225" s="22" t="s">
        <v>254</v>
      </c>
      <c r="L225" s="59" t="s">
        <v>171</v>
      </c>
      <c r="M225" s="22">
        <v>2</v>
      </c>
      <c r="V225" s="59" t="s">
        <v>176</v>
      </c>
      <c r="AL225" s="59" t="s">
        <v>40</v>
      </c>
      <c r="AM225" s="22" t="s">
        <v>188</v>
      </c>
      <c r="AV225" s="59" t="s">
        <v>134</v>
      </c>
      <c r="AW225" s="22" t="str">
        <f>Settings!$B$5 &amp;  "?s=" &amp; D225 &amp; "&amp;platform=ftx"</f>
        <v>https://tokensol.nfluent.io?s=COR22D62&amp;platform=ftx</v>
      </c>
      <c r="AX225" s="20" t="s">
        <v>23</v>
      </c>
      <c r="AY225" s="20">
        <v>10</v>
      </c>
      <c r="AZ225" s="20" t="s">
        <v>24</v>
      </c>
      <c r="BA225" s="20">
        <v>90</v>
      </c>
      <c r="BD225" s="14"/>
      <c r="BJ225" t="s">
        <v>255</v>
      </c>
      <c r="BK225" t="s">
        <v>184</v>
      </c>
      <c r="BN225" s="36">
        <v>100</v>
      </c>
      <c r="BO225" s="36">
        <v>100</v>
      </c>
      <c r="BP225">
        <f t="shared" si="21"/>
        <v>480</v>
      </c>
      <c r="BR225" s="38">
        <v>44713</v>
      </c>
      <c r="BS225" s="20" t="s">
        <v>185</v>
      </c>
      <c r="BT225" s="20" t="str">
        <f t="shared" si="22"/>
        <v>InCasa_COR22D62</v>
      </c>
    </row>
    <row r="226" spans="2:72" ht="18.75" customHeight="1" x14ac:dyDescent="0.25">
      <c r="B226" s="20">
        <f t="shared" si="23"/>
        <v>63</v>
      </c>
      <c r="C226" s="22" t="str">
        <f t="shared" si="19"/>
        <v>In Casa #63</v>
      </c>
      <c r="D226" t="str">
        <f t="shared" si="20"/>
        <v>COR22D63</v>
      </c>
      <c r="E226" s="58" t="s">
        <v>252</v>
      </c>
      <c r="F226" s="20">
        <v>1000</v>
      </c>
      <c r="G226" s="14" t="s">
        <v>317</v>
      </c>
      <c r="H226" s="23" t="s">
        <v>170</v>
      </c>
      <c r="J226" s="59" t="s">
        <v>38</v>
      </c>
      <c r="K226" s="22" t="s">
        <v>254</v>
      </c>
      <c r="L226" s="59" t="s">
        <v>171</v>
      </c>
      <c r="M226" s="22">
        <v>2</v>
      </c>
      <c r="V226" s="59" t="s">
        <v>176</v>
      </c>
      <c r="AL226" s="59" t="s">
        <v>40</v>
      </c>
      <c r="AM226" s="22" t="s">
        <v>188</v>
      </c>
      <c r="AV226" s="59" t="s">
        <v>134</v>
      </c>
      <c r="AW226" s="22" t="str">
        <f>Settings!$B$5 &amp;  "?s=" &amp; D226 &amp; "&amp;platform=ftx"</f>
        <v>https://tokensol.nfluent.io?s=COR22D63&amp;platform=ftx</v>
      </c>
      <c r="AX226" s="20" t="s">
        <v>23</v>
      </c>
      <c r="AY226" s="20">
        <v>10</v>
      </c>
      <c r="AZ226" s="20" t="s">
        <v>24</v>
      </c>
      <c r="BA226" s="20">
        <v>90</v>
      </c>
      <c r="BD226" s="14"/>
      <c r="BJ226" t="s">
        <v>255</v>
      </c>
      <c r="BK226" t="s">
        <v>184</v>
      </c>
      <c r="BN226" s="36">
        <v>100</v>
      </c>
      <c r="BO226" s="36">
        <v>100</v>
      </c>
      <c r="BP226">
        <f t="shared" si="21"/>
        <v>480</v>
      </c>
      <c r="BR226" s="38">
        <v>44713</v>
      </c>
      <c r="BS226" s="20" t="s">
        <v>185</v>
      </c>
      <c r="BT226" s="20" t="str">
        <f t="shared" si="22"/>
        <v>InCasa_COR22D63</v>
      </c>
    </row>
    <row r="227" spans="2:72" ht="18.75" customHeight="1" x14ac:dyDescent="0.25">
      <c r="B227" s="20">
        <f t="shared" si="23"/>
        <v>64</v>
      </c>
      <c r="C227" s="22" t="str">
        <f t="shared" si="19"/>
        <v>In Casa #64</v>
      </c>
      <c r="D227" t="str">
        <f t="shared" si="20"/>
        <v>COR22D64</v>
      </c>
      <c r="E227" s="58" t="s">
        <v>252</v>
      </c>
      <c r="F227" s="20">
        <v>1000</v>
      </c>
      <c r="G227" s="14" t="s">
        <v>318</v>
      </c>
      <c r="H227" s="23" t="s">
        <v>170</v>
      </c>
      <c r="J227" s="59" t="s">
        <v>38</v>
      </c>
      <c r="K227" s="22" t="s">
        <v>254</v>
      </c>
      <c r="L227" s="59" t="s">
        <v>171</v>
      </c>
      <c r="M227" s="22">
        <v>2</v>
      </c>
      <c r="V227" s="59" t="s">
        <v>176</v>
      </c>
      <c r="AL227" s="59" t="s">
        <v>40</v>
      </c>
      <c r="AM227" s="22" t="s">
        <v>188</v>
      </c>
      <c r="AV227" s="59" t="s">
        <v>134</v>
      </c>
      <c r="AW227" s="22" t="str">
        <f>Settings!$B$5 &amp;  "?s=" &amp; D227 &amp; "&amp;platform=ftx"</f>
        <v>https://tokensol.nfluent.io?s=COR22D64&amp;platform=ftx</v>
      </c>
      <c r="AX227" s="20" t="s">
        <v>23</v>
      </c>
      <c r="AY227" s="20">
        <v>10</v>
      </c>
      <c r="AZ227" s="20" t="s">
        <v>24</v>
      </c>
      <c r="BA227" s="20">
        <v>90</v>
      </c>
      <c r="BD227" s="14"/>
      <c r="BJ227" t="s">
        <v>255</v>
      </c>
      <c r="BK227" t="s">
        <v>184</v>
      </c>
      <c r="BN227" s="36">
        <v>100</v>
      </c>
      <c r="BO227" s="36">
        <v>100</v>
      </c>
      <c r="BP227">
        <f t="shared" si="21"/>
        <v>480</v>
      </c>
      <c r="BR227" s="38">
        <v>44713</v>
      </c>
      <c r="BS227" s="20" t="s">
        <v>185</v>
      </c>
      <c r="BT227" s="20" t="str">
        <f t="shared" si="22"/>
        <v>InCasa_COR22D64</v>
      </c>
    </row>
    <row r="228" spans="2:72" ht="18.75" customHeight="1" x14ac:dyDescent="0.25">
      <c r="B228" s="20">
        <f t="shared" si="23"/>
        <v>65</v>
      </c>
      <c r="C228" s="22" t="str">
        <f t="shared" si="19"/>
        <v>In Casa #65</v>
      </c>
      <c r="D228" t="str">
        <f t="shared" si="20"/>
        <v>COR22D65</v>
      </c>
      <c r="E228" s="58" t="s">
        <v>252</v>
      </c>
      <c r="F228" s="20">
        <v>1000</v>
      </c>
      <c r="G228" s="14" t="s">
        <v>319</v>
      </c>
      <c r="H228" s="23" t="s">
        <v>170</v>
      </c>
      <c r="J228" s="59" t="s">
        <v>38</v>
      </c>
      <c r="K228" s="22" t="s">
        <v>254</v>
      </c>
      <c r="L228" s="59" t="s">
        <v>171</v>
      </c>
      <c r="M228" s="22">
        <v>2</v>
      </c>
      <c r="V228" s="59" t="s">
        <v>176</v>
      </c>
      <c r="AL228" s="59" t="s">
        <v>40</v>
      </c>
      <c r="AM228" s="22" t="s">
        <v>188</v>
      </c>
      <c r="AV228" s="59" t="s">
        <v>134</v>
      </c>
      <c r="AW228" s="22" t="str">
        <f>Settings!$B$5 &amp;  "?s=" &amp; D228 &amp; "&amp;platform=ftx"</f>
        <v>https://tokensol.nfluent.io?s=COR22D65&amp;platform=ftx</v>
      </c>
      <c r="AX228" s="20" t="s">
        <v>23</v>
      </c>
      <c r="AY228" s="20">
        <v>10</v>
      </c>
      <c r="AZ228" s="20" t="s">
        <v>24</v>
      </c>
      <c r="BA228" s="20">
        <v>90</v>
      </c>
      <c r="BD228" s="14"/>
      <c r="BJ228" t="s">
        <v>255</v>
      </c>
      <c r="BK228" t="s">
        <v>184</v>
      </c>
      <c r="BN228" s="36">
        <v>100</v>
      </c>
      <c r="BO228" s="36">
        <v>100</v>
      </c>
      <c r="BP228">
        <f t="shared" si="21"/>
        <v>480</v>
      </c>
      <c r="BR228" s="38">
        <v>44713</v>
      </c>
      <c r="BS228" s="20" t="s">
        <v>185</v>
      </c>
      <c r="BT228" s="20" t="str">
        <f t="shared" si="22"/>
        <v>InCasa_COR22D65</v>
      </c>
    </row>
    <row r="229" spans="2:72" ht="18.75" customHeight="1" x14ac:dyDescent="0.25">
      <c r="B229" s="20">
        <f t="shared" si="23"/>
        <v>66</v>
      </c>
      <c r="C229" s="22" t="str">
        <f t="shared" ref="C229:C292" si="24">+"In Casa #"&amp;B229</f>
        <v>In Casa #66</v>
      </c>
      <c r="D229" t="str">
        <f t="shared" ref="D229:D292" si="25">"COR22D"&amp;B229</f>
        <v>COR22D66</v>
      </c>
      <c r="E229" s="58" t="s">
        <v>252</v>
      </c>
      <c r="F229" s="20">
        <v>1000</v>
      </c>
      <c r="G229" s="14" t="s">
        <v>320</v>
      </c>
      <c r="H229" s="23" t="s">
        <v>170</v>
      </c>
      <c r="J229" s="59" t="s">
        <v>38</v>
      </c>
      <c r="K229" s="22" t="s">
        <v>254</v>
      </c>
      <c r="L229" s="59" t="s">
        <v>171</v>
      </c>
      <c r="M229" s="22">
        <v>2</v>
      </c>
      <c r="V229" s="59" t="s">
        <v>176</v>
      </c>
      <c r="AL229" s="59" t="s">
        <v>40</v>
      </c>
      <c r="AM229" s="22" t="s">
        <v>188</v>
      </c>
      <c r="AV229" s="59" t="s">
        <v>134</v>
      </c>
      <c r="AW229" s="22" t="str">
        <f>Settings!$B$5 &amp;  "?s=" &amp; D229 &amp; "&amp;platform=ftx"</f>
        <v>https://tokensol.nfluent.io?s=COR22D66&amp;platform=ftx</v>
      </c>
      <c r="AX229" s="20" t="s">
        <v>23</v>
      </c>
      <c r="AY229" s="20">
        <v>10</v>
      </c>
      <c r="AZ229" s="20" t="s">
        <v>24</v>
      </c>
      <c r="BA229" s="20">
        <v>90</v>
      </c>
      <c r="BD229" s="14"/>
      <c r="BJ229" t="s">
        <v>255</v>
      </c>
      <c r="BK229" t="s">
        <v>184</v>
      </c>
      <c r="BN229" s="36">
        <v>100</v>
      </c>
      <c r="BO229" s="36">
        <v>100</v>
      </c>
      <c r="BP229">
        <f t="shared" ref="BP229:BP292" si="26">24*20</f>
        <v>480</v>
      </c>
      <c r="BR229" s="38">
        <v>44713</v>
      </c>
      <c r="BS229" s="20" t="s">
        <v>185</v>
      </c>
      <c r="BT229" s="20" t="str">
        <f t="shared" si="22"/>
        <v>InCasa_COR22D66</v>
      </c>
    </row>
    <row r="230" spans="2:72" ht="18.75" customHeight="1" x14ac:dyDescent="0.25">
      <c r="B230" s="20">
        <f t="shared" si="23"/>
        <v>67</v>
      </c>
      <c r="C230" s="22" t="str">
        <f t="shared" si="24"/>
        <v>In Casa #67</v>
      </c>
      <c r="D230" t="str">
        <f t="shared" si="25"/>
        <v>COR22D67</v>
      </c>
      <c r="E230" s="58" t="s">
        <v>252</v>
      </c>
      <c r="F230" s="20">
        <v>1000</v>
      </c>
      <c r="G230" s="14" t="s">
        <v>321</v>
      </c>
      <c r="H230" s="23" t="s">
        <v>170</v>
      </c>
      <c r="J230" s="59" t="s">
        <v>38</v>
      </c>
      <c r="K230" s="22" t="s">
        <v>254</v>
      </c>
      <c r="L230" s="59" t="s">
        <v>171</v>
      </c>
      <c r="M230" s="22">
        <v>2</v>
      </c>
      <c r="V230" s="59" t="s">
        <v>176</v>
      </c>
      <c r="AL230" s="59" t="s">
        <v>40</v>
      </c>
      <c r="AM230" s="22" t="s">
        <v>188</v>
      </c>
      <c r="AV230" s="59" t="s">
        <v>134</v>
      </c>
      <c r="AW230" s="22" t="str">
        <f>Settings!$B$5 &amp;  "?s=" &amp; D230 &amp; "&amp;platform=ftx"</f>
        <v>https://tokensol.nfluent.io?s=COR22D67&amp;platform=ftx</v>
      </c>
      <c r="AX230" s="20" t="s">
        <v>23</v>
      </c>
      <c r="AY230" s="20">
        <v>10</v>
      </c>
      <c r="AZ230" s="20" t="s">
        <v>24</v>
      </c>
      <c r="BA230" s="20">
        <v>90</v>
      </c>
      <c r="BD230" s="14"/>
      <c r="BJ230" t="s">
        <v>255</v>
      </c>
      <c r="BK230" t="s">
        <v>184</v>
      </c>
      <c r="BN230" s="36">
        <v>100</v>
      </c>
      <c r="BO230" s="36">
        <v>100</v>
      </c>
      <c r="BP230">
        <f t="shared" si="26"/>
        <v>480</v>
      </c>
      <c r="BR230" s="38">
        <v>44713</v>
      </c>
      <c r="BS230" s="20" t="s">
        <v>185</v>
      </c>
      <c r="BT230" s="20" t="str">
        <f t="shared" si="22"/>
        <v>InCasa_COR22D67</v>
      </c>
    </row>
    <row r="231" spans="2:72" ht="18.75" customHeight="1" x14ac:dyDescent="0.25">
      <c r="B231" s="20">
        <f t="shared" si="23"/>
        <v>68</v>
      </c>
      <c r="C231" s="22" t="str">
        <f t="shared" si="24"/>
        <v>In Casa #68</v>
      </c>
      <c r="D231" t="str">
        <f t="shared" si="25"/>
        <v>COR22D68</v>
      </c>
      <c r="E231" s="58" t="s">
        <v>252</v>
      </c>
      <c r="F231" s="20">
        <v>1000</v>
      </c>
      <c r="G231" s="14" t="s">
        <v>322</v>
      </c>
      <c r="H231" s="23" t="s">
        <v>170</v>
      </c>
      <c r="J231" s="59" t="s">
        <v>38</v>
      </c>
      <c r="K231" s="22" t="s">
        <v>254</v>
      </c>
      <c r="L231" s="59" t="s">
        <v>171</v>
      </c>
      <c r="M231" s="22">
        <v>2</v>
      </c>
      <c r="V231" s="59" t="s">
        <v>176</v>
      </c>
      <c r="AL231" s="59" t="s">
        <v>40</v>
      </c>
      <c r="AM231" s="22" t="s">
        <v>188</v>
      </c>
      <c r="AV231" s="59" t="s">
        <v>134</v>
      </c>
      <c r="AW231" s="22" t="str">
        <f>Settings!$B$5 &amp;  "?s=" &amp; D231 &amp; "&amp;platform=ftx"</f>
        <v>https://tokensol.nfluent.io?s=COR22D68&amp;platform=ftx</v>
      </c>
      <c r="AX231" s="20" t="s">
        <v>23</v>
      </c>
      <c r="AY231" s="20">
        <v>10</v>
      </c>
      <c r="AZ231" s="20" t="s">
        <v>24</v>
      </c>
      <c r="BA231" s="20">
        <v>90</v>
      </c>
      <c r="BD231" s="14"/>
      <c r="BJ231" t="s">
        <v>255</v>
      </c>
      <c r="BK231" t="s">
        <v>184</v>
      </c>
      <c r="BN231" s="36">
        <v>100</v>
      </c>
      <c r="BO231" s="36">
        <v>100</v>
      </c>
      <c r="BP231">
        <f t="shared" si="26"/>
        <v>480</v>
      </c>
      <c r="BR231" s="38">
        <v>44713</v>
      </c>
      <c r="BS231" s="20" t="s">
        <v>185</v>
      </c>
      <c r="BT231" s="20" t="str">
        <f t="shared" si="22"/>
        <v>InCasa_COR22D68</v>
      </c>
    </row>
    <row r="232" spans="2:72" ht="18.75" customHeight="1" x14ac:dyDescent="0.25">
      <c r="B232" s="20">
        <f t="shared" si="23"/>
        <v>69</v>
      </c>
      <c r="C232" s="22" t="str">
        <f t="shared" si="24"/>
        <v>In Casa #69</v>
      </c>
      <c r="D232" t="str">
        <f t="shared" si="25"/>
        <v>COR22D69</v>
      </c>
      <c r="E232" s="58" t="s">
        <v>252</v>
      </c>
      <c r="F232" s="20">
        <v>1000</v>
      </c>
      <c r="G232" s="14" t="s">
        <v>323</v>
      </c>
      <c r="H232" s="23" t="s">
        <v>170</v>
      </c>
      <c r="J232" s="59" t="s">
        <v>38</v>
      </c>
      <c r="K232" s="22" t="s">
        <v>254</v>
      </c>
      <c r="L232" s="59" t="s">
        <v>171</v>
      </c>
      <c r="M232" s="22">
        <v>2</v>
      </c>
      <c r="V232" s="59" t="s">
        <v>176</v>
      </c>
      <c r="AL232" s="59" t="s">
        <v>40</v>
      </c>
      <c r="AM232" s="22" t="s">
        <v>188</v>
      </c>
      <c r="AV232" s="59" t="s">
        <v>134</v>
      </c>
      <c r="AW232" s="22" t="str">
        <f>Settings!$B$5 &amp;  "?s=" &amp; D232 &amp; "&amp;platform=ftx"</f>
        <v>https://tokensol.nfluent.io?s=COR22D69&amp;platform=ftx</v>
      </c>
      <c r="AX232" s="20" t="s">
        <v>23</v>
      </c>
      <c r="AY232" s="20">
        <v>10</v>
      </c>
      <c r="AZ232" s="20" t="s">
        <v>24</v>
      </c>
      <c r="BA232" s="20">
        <v>90</v>
      </c>
      <c r="BD232" s="14"/>
      <c r="BJ232" t="s">
        <v>255</v>
      </c>
      <c r="BK232" t="s">
        <v>184</v>
      </c>
      <c r="BN232" s="36">
        <v>100</v>
      </c>
      <c r="BO232" s="36">
        <v>100</v>
      </c>
      <c r="BP232">
        <f t="shared" si="26"/>
        <v>480</v>
      </c>
      <c r="BR232" s="38">
        <v>44713</v>
      </c>
      <c r="BS232" s="20" t="s">
        <v>185</v>
      </c>
      <c r="BT232" s="20" t="str">
        <f t="shared" si="22"/>
        <v>InCasa_COR22D69</v>
      </c>
    </row>
    <row r="233" spans="2:72" ht="18.75" customHeight="1" x14ac:dyDescent="0.25">
      <c r="B233" s="20">
        <f t="shared" si="23"/>
        <v>70</v>
      </c>
      <c r="C233" s="22" t="str">
        <f t="shared" si="24"/>
        <v>In Casa #70</v>
      </c>
      <c r="D233" t="str">
        <f t="shared" si="25"/>
        <v>COR22D70</v>
      </c>
      <c r="E233" s="58" t="s">
        <v>252</v>
      </c>
      <c r="F233" s="20">
        <v>1000</v>
      </c>
      <c r="G233" s="14" t="s">
        <v>324</v>
      </c>
      <c r="H233" s="23" t="s">
        <v>170</v>
      </c>
      <c r="J233" s="59" t="s">
        <v>38</v>
      </c>
      <c r="K233" s="22" t="s">
        <v>254</v>
      </c>
      <c r="L233" s="59" t="s">
        <v>171</v>
      </c>
      <c r="M233" s="22">
        <v>2</v>
      </c>
      <c r="V233" s="59" t="s">
        <v>176</v>
      </c>
      <c r="AL233" s="59" t="s">
        <v>40</v>
      </c>
      <c r="AM233" s="22" t="s">
        <v>188</v>
      </c>
      <c r="AV233" s="59" t="s">
        <v>134</v>
      </c>
      <c r="AW233" s="22" t="str">
        <f>Settings!$B$5 &amp;  "?s=" &amp; D233 &amp; "&amp;platform=ftx"</f>
        <v>https://tokensol.nfluent.io?s=COR22D70&amp;platform=ftx</v>
      </c>
      <c r="AX233" s="20" t="s">
        <v>23</v>
      </c>
      <c r="AY233" s="20">
        <v>10</v>
      </c>
      <c r="AZ233" s="20" t="s">
        <v>24</v>
      </c>
      <c r="BA233" s="20">
        <v>90</v>
      </c>
      <c r="BD233" s="14"/>
      <c r="BJ233" t="s">
        <v>255</v>
      </c>
      <c r="BK233" t="s">
        <v>184</v>
      </c>
      <c r="BN233" s="36">
        <v>100</v>
      </c>
      <c r="BO233" s="36">
        <v>100</v>
      </c>
      <c r="BP233">
        <f t="shared" si="26"/>
        <v>480</v>
      </c>
      <c r="BR233" s="38">
        <v>44713</v>
      </c>
      <c r="BS233" s="20" t="s">
        <v>185</v>
      </c>
      <c r="BT233" s="20" t="str">
        <f t="shared" si="22"/>
        <v>InCasa_COR22D70</v>
      </c>
    </row>
    <row r="234" spans="2:72" ht="18.75" customHeight="1" x14ac:dyDescent="0.25">
      <c r="B234" s="20">
        <f t="shared" si="23"/>
        <v>71</v>
      </c>
      <c r="C234" s="22" t="str">
        <f t="shared" si="24"/>
        <v>In Casa #71</v>
      </c>
      <c r="D234" t="str">
        <f t="shared" si="25"/>
        <v>COR22D71</v>
      </c>
      <c r="E234" s="58" t="s">
        <v>252</v>
      </c>
      <c r="F234" s="20">
        <v>1000</v>
      </c>
      <c r="G234" s="14" t="s">
        <v>325</v>
      </c>
      <c r="H234" s="23" t="s">
        <v>170</v>
      </c>
      <c r="J234" s="59" t="s">
        <v>38</v>
      </c>
      <c r="K234" s="22" t="s">
        <v>254</v>
      </c>
      <c r="L234" s="59" t="s">
        <v>171</v>
      </c>
      <c r="M234" s="22">
        <v>2</v>
      </c>
      <c r="V234" s="59" t="s">
        <v>176</v>
      </c>
      <c r="AL234" s="59" t="s">
        <v>40</v>
      </c>
      <c r="AM234" s="22" t="s">
        <v>188</v>
      </c>
      <c r="AV234" s="59" t="s">
        <v>134</v>
      </c>
      <c r="AW234" s="22" t="str">
        <f>Settings!$B$5 &amp;  "?s=" &amp; D234 &amp; "&amp;platform=ftx"</f>
        <v>https://tokensol.nfluent.io?s=COR22D71&amp;platform=ftx</v>
      </c>
      <c r="AX234" s="20" t="s">
        <v>23</v>
      </c>
      <c r="AY234" s="20">
        <v>10</v>
      </c>
      <c r="AZ234" s="20" t="s">
        <v>24</v>
      </c>
      <c r="BA234" s="20">
        <v>90</v>
      </c>
      <c r="BD234" s="14"/>
      <c r="BJ234" t="s">
        <v>255</v>
      </c>
      <c r="BK234" t="s">
        <v>184</v>
      </c>
      <c r="BN234" s="36">
        <v>100</v>
      </c>
      <c r="BO234" s="36">
        <v>100</v>
      </c>
      <c r="BP234">
        <f t="shared" si="26"/>
        <v>480</v>
      </c>
      <c r="BR234" s="38">
        <v>44713</v>
      </c>
      <c r="BS234" s="20" t="s">
        <v>185</v>
      </c>
      <c r="BT234" s="20" t="str">
        <f t="shared" si="22"/>
        <v>InCasa_COR22D71</v>
      </c>
    </row>
    <row r="235" spans="2:72" ht="18.75" customHeight="1" x14ac:dyDescent="0.25">
      <c r="B235" s="20">
        <f t="shared" si="23"/>
        <v>72</v>
      </c>
      <c r="C235" s="22" t="str">
        <f t="shared" si="24"/>
        <v>In Casa #72</v>
      </c>
      <c r="D235" t="str">
        <f t="shared" si="25"/>
        <v>COR22D72</v>
      </c>
      <c r="E235" s="58" t="s">
        <v>252</v>
      </c>
      <c r="F235" s="20">
        <v>1000</v>
      </c>
      <c r="G235" s="14" t="s">
        <v>326</v>
      </c>
      <c r="H235" s="23" t="s">
        <v>170</v>
      </c>
      <c r="J235" s="59" t="s">
        <v>38</v>
      </c>
      <c r="K235" s="22" t="s">
        <v>254</v>
      </c>
      <c r="L235" s="59" t="s">
        <v>171</v>
      </c>
      <c r="M235" s="22">
        <v>2</v>
      </c>
      <c r="V235" s="59" t="s">
        <v>176</v>
      </c>
      <c r="AL235" s="59" t="s">
        <v>40</v>
      </c>
      <c r="AM235" s="22" t="s">
        <v>188</v>
      </c>
      <c r="AV235" s="59" t="s">
        <v>134</v>
      </c>
      <c r="AW235" s="22" t="str">
        <f>Settings!$B$5 &amp;  "?s=" &amp; D235 &amp; "&amp;platform=ftx"</f>
        <v>https://tokensol.nfluent.io?s=COR22D72&amp;platform=ftx</v>
      </c>
      <c r="AX235" s="20" t="s">
        <v>23</v>
      </c>
      <c r="AY235" s="20">
        <v>10</v>
      </c>
      <c r="AZ235" s="20" t="s">
        <v>24</v>
      </c>
      <c r="BA235" s="20">
        <v>90</v>
      </c>
      <c r="BD235" s="14"/>
      <c r="BJ235" t="s">
        <v>255</v>
      </c>
      <c r="BK235" t="s">
        <v>184</v>
      </c>
      <c r="BN235" s="36">
        <v>100</v>
      </c>
      <c r="BO235" s="36">
        <v>100</v>
      </c>
      <c r="BP235">
        <f t="shared" si="26"/>
        <v>480</v>
      </c>
      <c r="BR235" s="38">
        <v>44713</v>
      </c>
      <c r="BS235" s="20" t="s">
        <v>185</v>
      </c>
      <c r="BT235" s="20" t="str">
        <f t="shared" si="22"/>
        <v>InCasa_COR22D72</v>
      </c>
    </row>
    <row r="236" spans="2:72" ht="18.75" customHeight="1" x14ac:dyDescent="0.25">
      <c r="B236" s="20">
        <f t="shared" si="23"/>
        <v>73</v>
      </c>
      <c r="C236" s="22" t="str">
        <f t="shared" si="24"/>
        <v>In Casa #73</v>
      </c>
      <c r="D236" t="str">
        <f t="shared" si="25"/>
        <v>COR22D73</v>
      </c>
      <c r="E236" s="58" t="s">
        <v>252</v>
      </c>
      <c r="F236" s="20">
        <v>1000</v>
      </c>
      <c r="G236" s="14" t="s">
        <v>327</v>
      </c>
      <c r="H236" s="23" t="s">
        <v>170</v>
      </c>
      <c r="J236" s="59" t="s">
        <v>38</v>
      </c>
      <c r="K236" s="22" t="s">
        <v>254</v>
      </c>
      <c r="L236" s="59" t="s">
        <v>171</v>
      </c>
      <c r="M236" s="22">
        <v>2</v>
      </c>
      <c r="V236" s="59" t="s">
        <v>176</v>
      </c>
      <c r="AL236" s="59" t="s">
        <v>40</v>
      </c>
      <c r="AM236" s="22" t="s">
        <v>188</v>
      </c>
      <c r="AV236" s="59" t="s">
        <v>134</v>
      </c>
      <c r="AW236" s="22" t="str">
        <f>Settings!$B$5 &amp;  "?s=" &amp; D236 &amp; "&amp;platform=ftx"</f>
        <v>https://tokensol.nfluent.io?s=COR22D73&amp;platform=ftx</v>
      </c>
      <c r="AX236" s="20" t="s">
        <v>23</v>
      </c>
      <c r="AY236" s="20">
        <v>10</v>
      </c>
      <c r="AZ236" s="20" t="s">
        <v>24</v>
      </c>
      <c r="BA236" s="20">
        <v>90</v>
      </c>
      <c r="BD236" s="14"/>
      <c r="BJ236" t="s">
        <v>255</v>
      </c>
      <c r="BK236" t="s">
        <v>184</v>
      </c>
      <c r="BN236" s="36">
        <v>100</v>
      </c>
      <c r="BO236" s="36">
        <v>100</v>
      </c>
      <c r="BP236">
        <f t="shared" si="26"/>
        <v>480</v>
      </c>
      <c r="BR236" s="38">
        <v>44713</v>
      </c>
      <c r="BS236" s="20" t="s">
        <v>185</v>
      </c>
      <c r="BT236" s="20" t="str">
        <f t="shared" si="22"/>
        <v>InCasa_COR22D73</v>
      </c>
    </row>
    <row r="237" spans="2:72" ht="18.75" customHeight="1" x14ac:dyDescent="0.25">
      <c r="B237" s="20">
        <f t="shared" si="23"/>
        <v>74</v>
      </c>
      <c r="C237" s="22" t="str">
        <f t="shared" si="24"/>
        <v>In Casa #74</v>
      </c>
      <c r="D237" t="str">
        <f t="shared" si="25"/>
        <v>COR22D74</v>
      </c>
      <c r="E237" s="58" t="s">
        <v>252</v>
      </c>
      <c r="F237" s="20">
        <v>1000</v>
      </c>
      <c r="G237" s="14" t="s">
        <v>328</v>
      </c>
      <c r="H237" s="23" t="s">
        <v>170</v>
      </c>
      <c r="J237" s="59" t="s">
        <v>38</v>
      </c>
      <c r="K237" s="22" t="s">
        <v>254</v>
      </c>
      <c r="L237" s="59" t="s">
        <v>171</v>
      </c>
      <c r="M237" s="22">
        <v>2</v>
      </c>
      <c r="V237" s="59" t="s">
        <v>176</v>
      </c>
      <c r="AL237" s="59" t="s">
        <v>40</v>
      </c>
      <c r="AM237" s="22" t="s">
        <v>188</v>
      </c>
      <c r="AV237" s="59" t="s">
        <v>134</v>
      </c>
      <c r="AW237" s="22" t="str">
        <f>Settings!$B$5 &amp;  "?s=" &amp; D237 &amp; "&amp;platform=ftx"</f>
        <v>https://tokensol.nfluent.io?s=COR22D74&amp;platform=ftx</v>
      </c>
      <c r="AX237" s="20" t="s">
        <v>23</v>
      </c>
      <c r="AY237" s="20">
        <v>10</v>
      </c>
      <c r="AZ237" s="20" t="s">
        <v>24</v>
      </c>
      <c r="BA237" s="20">
        <v>90</v>
      </c>
      <c r="BD237" s="14"/>
      <c r="BJ237" t="s">
        <v>255</v>
      </c>
      <c r="BK237" t="s">
        <v>184</v>
      </c>
      <c r="BN237" s="36">
        <v>100</v>
      </c>
      <c r="BO237" s="36">
        <v>100</v>
      </c>
      <c r="BP237">
        <f t="shared" si="26"/>
        <v>480</v>
      </c>
      <c r="BR237" s="38">
        <v>44713</v>
      </c>
      <c r="BS237" s="20" t="s">
        <v>185</v>
      </c>
      <c r="BT237" s="20" t="str">
        <f t="shared" si="22"/>
        <v>InCasa_COR22D74</v>
      </c>
    </row>
    <row r="238" spans="2:72" ht="18.75" customHeight="1" x14ac:dyDescent="0.25">
      <c r="B238" s="20">
        <f t="shared" si="23"/>
        <v>75</v>
      </c>
      <c r="C238" s="22" t="str">
        <f t="shared" si="24"/>
        <v>In Casa #75</v>
      </c>
      <c r="D238" t="str">
        <f t="shared" si="25"/>
        <v>COR22D75</v>
      </c>
      <c r="E238" s="58" t="s">
        <v>252</v>
      </c>
      <c r="F238" s="20">
        <v>1000</v>
      </c>
      <c r="G238" s="14" t="s">
        <v>329</v>
      </c>
      <c r="H238" s="23" t="s">
        <v>170</v>
      </c>
      <c r="J238" s="59" t="s">
        <v>38</v>
      </c>
      <c r="K238" s="22" t="s">
        <v>254</v>
      </c>
      <c r="L238" s="59" t="s">
        <v>171</v>
      </c>
      <c r="M238" s="22">
        <v>2</v>
      </c>
      <c r="V238" s="59" t="s">
        <v>176</v>
      </c>
      <c r="AL238" s="59" t="s">
        <v>40</v>
      </c>
      <c r="AM238" s="22" t="s">
        <v>188</v>
      </c>
      <c r="AV238" s="59" t="s">
        <v>134</v>
      </c>
      <c r="AW238" s="22" t="str">
        <f>Settings!$B$5 &amp;  "?s=" &amp; D238 &amp; "&amp;platform=ftx"</f>
        <v>https://tokensol.nfluent.io?s=COR22D75&amp;platform=ftx</v>
      </c>
      <c r="AX238" s="20" t="s">
        <v>23</v>
      </c>
      <c r="AY238" s="20">
        <v>10</v>
      </c>
      <c r="AZ238" s="20" t="s">
        <v>24</v>
      </c>
      <c r="BA238" s="20">
        <v>90</v>
      </c>
      <c r="BD238" s="14"/>
      <c r="BJ238" t="s">
        <v>255</v>
      </c>
      <c r="BK238" t="s">
        <v>184</v>
      </c>
      <c r="BN238" s="36">
        <v>100</v>
      </c>
      <c r="BO238" s="36">
        <v>100</v>
      </c>
      <c r="BP238">
        <f t="shared" si="26"/>
        <v>480</v>
      </c>
      <c r="BR238" s="38">
        <v>44713</v>
      </c>
      <c r="BS238" s="20" t="s">
        <v>185</v>
      </c>
      <c r="BT238" s="20" t="str">
        <f t="shared" si="22"/>
        <v>InCasa_COR22D75</v>
      </c>
    </row>
    <row r="239" spans="2:72" ht="18.75" customHeight="1" x14ac:dyDescent="0.25">
      <c r="B239" s="20">
        <f t="shared" si="23"/>
        <v>76</v>
      </c>
      <c r="C239" s="22" t="str">
        <f t="shared" si="24"/>
        <v>In Casa #76</v>
      </c>
      <c r="D239" t="str">
        <f t="shared" si="25"/>
        <v>COR22D76</v>
      </c>
      <c r="E239" s="58" t="s">
        <v>252</v>
      </c>
      <c r="F239" s="20">
        <v>1000</v>
      </c>
      <c r="G239" s="14" t="s">
        <v>330</v>
      </c>
      <c r="H239" s="23" t="s">
        <v>170</v>
      </c>
      <c r="J239" s="59" t="s">
        <v>38</v>
      </c>
      <c r="K239" s="22" t="s">
        <v>254</v>
      </c>
      <c r="L239" s="59" t="s">
        <v>171</v>
      </c>
      <c r="M239" s="22">
        <v>2</v>
      </c>
      <c r="V239" s="59" t="s">
        <v>176</v>
      </c>
      <c r="AL239" s="59" t="s">
        <v>40</v>
      </c>
      <c r="AM239" s="22" t="s">
        <v>188</v>
      </c>
      <c r="AV239" s="59" t="s">
        <v>134</v>
      </c>
      <c r="AW239" s="22" t="str">
        <f>Settings!$B$5 &amp;  "?s=" &amp; D239 &amp; "&amp;platform=ftx"</f>
        <v>https://tokensol.nfluent.io?s=COR22D76&amp;platform=ftx</v>
      </c>
      <c r="AX239" s="20" t="s">
        <v>23</v>
      </c>
      <c r="AY239" s="20">
        <v>10</v>
      </c>
      <c r="AZ239" s="20" t="s">
        <v>24</v>
      </c>
      <c r="BA239" s="20">
        <v>90</v>
      </c>
      <c r="BD239" s="14"/>
      <c r="BJ239" t="s">
        <v>255</v>
      </c>
      <c r="BK239" t="s">
        <v>184</v>
      </c>
      <c r="BN239" s="36">
        <v>100</v>
      </c>
      <c r="BO239" s="36">
        <v>100</v>
      </c>
      <c r="BP239">
        <f t="shared" si="26"/>
        <v>480</v>
      </c>
      <c r="BR239" s="38">
        <v>44713</v>
      </c>
      <c r="BS239" s="20" t="s">
        <v>185</v>
      </c>
      <c r="BT239" s="20" t="str">
        <f t="shared" si="22"/>
        <v>InCasa_COR22D76</v>
      </c>
    </row>
    <row r="240" spans="2:72" ht="18.75" customHeight="1" x14ac:dyDescent="0.25">
      <c r="B240" s="20">
        <f t="shared" si="23"/>
        <v>77</v>
      </c>
      <c r="C240" s="22" t="str">
        <f t="shared" si="24"/>
        <v>In Casa #77</v>
      </c>
      <c r="D240" t="str">
        <f t="shared" si="25"/>
        <v>COR22D77</v>
      </c>
      <c r="E240" s="58" t="s">
        <v>252</v>
      </c>
      <c r="F240" s="20">
        <v>1000</v>
      </c>
      <c r="G240" s="14" t="s">
        <v>331</v>
      </c>
      <c r="H240" s="23" t="s">
        <v>170</v>
      </c>
      <c r="J240" s="59" t="s">
        <v>38</v>
      </c>
      <c r="K240" s="22" t="s">
        <v>254</v>
      </c>
      <c r="L240" s="59" t="s">
        <v>171</v>
      </c>
      <c r="M240" s="22">
        <v>2</v>
      </c>
      <c r="V240" s="59" t="s">
        <v>176</v>
      </c>
      <c r="AL240" s="59" t="s">
        <v>40</v>
      </c>
      <c r="AM240" s="22" t="s">
        <v>188</v>
      </c>
      <c r="AV240" s="59" t="s">
        <v>134</v>
      </c>
      <c r="AW240" s="22" t="str">
        <f>Settings!$B$5 &amp;  "?s=" &amp; D240 &amp; "&amp;platform=ftx"</f>
        <v>https://tokensol.nfluent.io?s=COR22D77&amp;platform=ftx</v>
      </c>
      <c r="AX240" s="20" t="s">
        <v>23</v>
      </c>
      <c r="AY240" s="20">
        <v>10</v>
      </c>
      <c r="AZ240" s="20" t="s">
        <v>24</v>
      </c>
      <c r="BA240" s="20">
        <v>90</v>
      </c>
      <c r="BD240" s="14"/>
      <c r="BJ240" t="s">
        <v>255</v>
      </c>
      <c r="BK240" t="s">
        <v>184</v>
      </c>
      <c r="BN240" s="36">
        <v>100</v>
      </c>
      <c r="BO240" s="36">
        <v>100</v>
      </c>
      <c r="BP240">
        <f t="shared" si="26"/>
        <v>480</v>
      </c>
      <c r="BR240" s="38">
        <v>44713</v>
      </c>
      <c r="BS240" s="20" t="s">
        <v>185</v>
      </c>
      <c r="BT240" s="20" t="str">
        <f t="shared" si="22"/>
        <v>InCasa_COR22D77</v>
      </c>
    </row>
    <row r="241" spans="2:72" ht="18.75" customHeight="1" x14ac:dyDescent="0.25">
      <c r="B241" s="20">
        <f t="shared" si="23"/>
        <v>78</v>
      </c>
      <c r="C241" s="22" t="str">
        <f t="shared" si="24"/>
        <v>In Casa #78</v>
      </c>
      <c r="D241" t="str">
        <f t="shared" si="25"/>
        <v>COR22D78</v>
      </c>
      <c r="E241" s="58" t="s">
        <v>252</v>
      </c>
      <c r="F241" s="20">
        <v>1000</v>
      </c>
      <c r="G241" s="14" t="s">
        <v>332</v>
      </c>
      <c r="H241" s="23" t="s">
        <v>170</v>
      </c>
      <c r="J241" s="59" t="s">
        <v>38</v>
      </c>
      <c r="K241" s="22" t="s">
        <v>254</v>
      </c>
      <c r="L241" s="59" t="s">
        <v>171</v>
      </c>
      <c r="M241" s="22">
        <v>2</v>
      </c>
      <c r="V241" s="59" t="s">
        <v>176</v>
      </c>
      <c r="AL241" s="59" t="s">
        <v>40</v>
      </c>
      <c r="AM241" s="22" t="s">
        <v>188</v>
      </c>
      <c r="AV241" s="59" t="s">
        <v>134</v>
      </c>
      <c r="AW241" s="22" t="str">
        <f>Settings!$B$5 &amp;  "?s=" &amp; D241 &amp; "&amp;platform=ftx"</f>
        <v>https://tokensol.nfluent.io?s=COR22D78&amp;platform=ftx</v>
      </c>
      <c r="AX241" s="20" t="s">
        <v>23</v>
      </c>
      <c r="AY241" s="20">
        <v>10</v>
      </c>
      <c r="AZ241" s="20" t="s">
        <v>24</v>
      </c>
      <c r="BA241" s="20">
        <v>90</v>
      </c>
      <c r="BD241" s="14"/>
      <c r="BJ241" t="s">
        <v>255</v>
      </c>
      <c r="BK241" t="s">
        <v>184</v>
      </c>
      <c r="BN241" s="36">
        <v>100</v>
      </c>
      <c r="BO241" s="36">
        <v>100</v>
      </c>
      <c r="BP241">
        <f t="shared" si="26"/>
        <v>480</v>
      </c>
      <c r="BR241" s="38">
        <v>44713</v>
      </c>
      <c r="BS241" s="20" t="s">
        <v>185</v>
      </c>
      <c r="BT241" s="20" t="str">
        <f t="shared" si="22"/>
        <v>InCasa_COR22D78</v>
      </c>
    </row>
    <row r="242" spans="2:72" ht="18.75" customHeight="1" x14ac:dyDescent="0.25">
      <c r="B242" s="20">
        <f t="shared" si="23"/>
        <v>79</v>
      </c>
      <c r="C242" s="22" t="str">
        <f t="shared" si="24"/>
        <v>In Casa #79</v>
      </c>
      <c r="D242" t="str">
        <f t="shared" si="25"/>
        <v>COR22D79</v>
      </c>
      <c r="E242" s="58" t="s">
        <v>252</v>
      </c>
      <c r="F242" s="20">
        <v>1000</v>
      </c>
      <c r="G242" s="14" t="s">
        <v>333</v>
      </c>
      <c r="H242" s="23" t="s">
        <v>170</v>
      </c>
      <c r="J242" s="59" t="s">
        <v>38</v>
      </c>
      <c r="K242" s="22" t="s">
        <v>254</v>
      </c>
      <c r="L242" s="59" t="s">
        <v>171</v>
      </c>
      <c r="M242" s="22">
        <v>2</v>
      </c>
      <c r="V242" s="59" t="s">
        <v>176</v>
      </c>
      <c r="AL242" s="59" t="s">
        <v>40</v>
      </c>
      <c r="AM242" s="22" t="s">
        <v>188</v>
      </c>
      <c r="AV242" s="59" t="s">
        <v>134</v>
      </c>
      <c r="AW242" s="22" t="str">
        <f>Settings!$B$5 &amp;  "?s=" &amp; D242 &amp; "&amp;platform=ftx"</f>
        <v>https://tokensol.nfluent.io?s=COR22D79&amp;platform=ftx</v>
      </c>
      <c r="AX242" s="20" t="s">
        <v>23</v>
      </c>
      <c r="AY242" s="20">
        <v>10</v>
      </c>
      <c r="AZ242" s="20" t="s">
        <v>24</v>
      </c>
      <c r="BA242" s="20">
        <v>90</v>
      </c>
      <c r="BD242" s="14"/>
      <c r="BJ242" t="s">
        <v>255</v>
      </c>
      <c r="BK242" t="s">
        <v>184</v>
      </c>
      <c r="BN242" s="36">
        <v>100</v>
      </c>
      <c r="BO242" s="36">
        <v>100</v>
      </c>
      <c r="BP242">
        <f t="shared" si="26"/>
        <v>480</v>
      </c>
      <c r="BR242" s="38">
        <v>44713</v>
      </c>
      <c r="BS242" s="20" t="s">
        <v>185</v>
      </c>
      <c r="BT242" s="20" t="str">
        <f t="shared" si="22"/>
        <v>InCasa_COR22D79</v>
      </c>
    </row>
    <row r="243" spans="2:72" ht="18.75" customHeight="1" x14ac:dyDescent="0.25">
      <c r="B243" s="20">
        <f t="shared" si="23"/>
        <v>80</v>
      </c>
      <c r="C243" s="22" t="str">
        <f t="shared" si="24"/>
        <v>In Casa #80</v>
      </c>
      <c r="D243" t="str">
        <f t="shared" si="25"/>
        <v>COR22D80</v>
      </c>
      <c r="E243" s="58" t="s">
        <v>252</v>
      </c>
      <c r="F243" s="20">
        <v>1000</v>
      </c>
      <c r="G243" s="14" t="s">
        <v>334</v>
      </c>
      <c r="H243" s="23" t="s">
        <v>170</v>
      </c>
      <c r="J243" s="59" t="s">
        <v>38</v>
      </c>
      <c r="K243" s="22" t="s">
        <v>254</v>
      </c>
      <c r="L243" s="59" t="s">
        <v>171</v>
      </c>
      <c r="M243" s="22">
        <v>2</v>
      </c>
      <c r="V243" s="59" t="s">
        <v>176</v>
      </c>
      <c r="AL243" s="59" t="s">
        <v>40</v>
      </c>
      <c r="AM243" s="22" t="s">
        <v>188</v>
      </c>
      <c r="AV243" s="59" t="s">
        <v>134</v>
      </c>
      <c r="AW243" s="22" t="str">
        <f>Settings!$B$5 &amp;  "?s=" &amp; D243 &amp; "&amp;platform=ftx"</f>
        <v>https://tokensol.nfluent.io?s=COR22D80&amp;platform=ftx</v>
      </c>
      <c r="AX243" s="20" t="s">
        <v>23</v>
      </c>
      <c r="AY243" s="20">
        <v>10</v>
      </c>
      <c r="AZ243" s="20" t="s">
        <v>24</v>
      </c>
      <c r="BA243" s="20">
        <v>90</v>
      </c>
      <c r="BD243" s="14"/>
      <c r="BJ243" t="s">
        <v>255</v>
      </c>
      <c r="BK243" t="s">
        <v>184</v>
      </c>
      <c r="BN243" s="36">
        <v>100</v>
      </c>
      <c r="BO243" s="36">
        <v>100</v>
      </c>
      <c r="BP243">
        <f t="shared" si="26"/>
        <v>480</v>
      </c>
      <c r="BR243" s="38">
        <v>44713</v>
      </c>
      <c r="BS243" s="20" t="s">
        <v>185</v>
      </c>
      <c r="BT243" s="20" t="str">
        <f t="shared" si="22"/>
        <v>InCasa_COR22D80</v>
      </c>
    </row>
    <row r="244" spans="2:72" ht="18.75" customHeight="1" x14ac:dyDescent="0.25">
      <c r="B244" s="20">
        <f t="shared" si="23"/>
        <v>81</v>
      </c>
      <c r="C244" s="22" t="str">
        <f t="shared" si="24"/>
        <v>In Casa #81</v>
      </c>
      <c r="D244" t="str">
        <f t="shared" si="25"/>
        <v>COR22D81</v>
      </c>
      <c r="E244" s="58" t="s">
        <v>252</v>
      </c>
      <c r="F244" s="20">
        <v>1000</v>
      </c>
      <c r="G244" s="14" t="s">
        <v>335</v>
      </c>
      <c r="H244" s="23" t="s">
        <v>170</v>
      </c>
      <c r="J244" s="59" t="s">
        <v>38</v>
      </c>
      <c r="K244" s="22" t="s">
        <v>254</v>
      </c>
      <c r="L244" s="59" t="s">
        <v>171</v>
      </c>
      <c r="M244" s="22">
        <v>2</v>
      </c>
      <c r="V244" s="59" t="s">
        <v>176</v>
      </c>
      <c r="AL244" s="59" t="s">
        <v>40</v>
      </c>
      <c r="AM244" s="22" t="s">
        <v>188</v>
      </c>
      <c r="AV244" s="59" t="s">
        <v>134</v>
      </c>
      <c r="AW244" s="22" t="str">
        <f>Settings!$B$5 &amp;  "?s=" &amp; D244 &amp; "&amp;platform=ftx"</f>
        <v>https://tokensol.nfluent.io?s=COR22D81&amp;platform=ftx</v>
      </c>
      <c r="AX244" s="20" t="s">
        <v>23</v>
      </c>
      <c r="AY244" s="20">
        <v>10</v>
      </c>
      <c r="AZ244" s="20" t="s">
        <v>24</v>
      </c>
      <c r="BA244" s="20">
        <v>90</v>
      </c>
      <c r="BD244" s="14"/>
      <c r="BJ244" t="s">
        <v>255</v>
      </c>
      <c r="BK244" t="s">
        <v>184</v>
      </c>
      <c r="BN244" s="36">
        <v>100</v>
      </c>
      <c r="BO244" s="36">
        <v>100</v>
      </c>
      <c r="BP244">
        <f t="shared" si="26"/>
        <v>480</v>
      </c>
      <c r="BR244" s="38">
        <v>44713</v>
      </c>
      <c r="BS244" s="20" t="s">
        <v>185</v>
      </c>
      <c r="BT244" s="20" t="str">
        <f t="shared" si="22"/>
        <v>InCasa_COR22D81</v>
      </c>
    </row>
    <row r="245" spans="2:72" ht="18.75" customHeight="1" x14ac:dyDescent="0.25">
      <c r="B245" s="20">
        <f t="shared" si="23"/>
        <v>82</v>
      </c>
      <c r="C245" s="22" t="str">
        <f t="shared" si="24"/>
        <v>In Casa #82</v>
      </c>
      <c r="D245" t="str">
        <f t="shared" si="25"/>
        <v>COR22D82</v>
      </c>
      <c r="E245" s="58" t="s">
        <v>252</v>
      </c>
      <c r="F245" s="20">
        <v>1000</v>
      </c>
      <c r="G245" s="14" t="s">
        <v>336</v>
      </c>
      <c r="H245" s="23" t="s">
        <v>170</v>
      </c>
      <c r="J245" s="59" t="s">
        <v>38</v>
      </c>
      <c r="K245" s="22" t="s">
        <v>254</v>
      </c>
      <c r="L245" s="59" t="s">
        <v>171</v>
      </c>
      <c r="M245" s="22">
        <v>2</v>
      </c>
      <c r="V245" s="59" t="s">
        <v>176</v>
      </c>
      <c r="AL245" s="59" t="s">
        <v>40</v>
      </c>
      <c r="AM245" s="22" t="s">
        <v>188</v>
      </c>
      <c r="AV245" s="59" t="s">
        <v>134</v>
      </c>
      <c r="AW245" s="22" t="str">
        <f>Settings!$B$5 &amp;  "?s=" &amp; D245 &amp; "&amp;platform=ftx"</f>
        <v>https://tokensol.nfluent.io?s=COR22D82&amp;platform=ftx</v>
      </c>
      <c r="AX245" s="20" t="s">
        <v>23</v>
      </c>
      <c r="AY245" s="20">
        <v>10</v>
      </c>
      <c r="AZ245" s="20" t="s">
        <v>24</v>
      </c>
      <c r="BA245" s="20">
        <v>90</v>
      </c>
      <c r="BD245" s="14"/>
      <c r="BJ245" t="s">
        <v>255</v>
      </c>
      <c r="BK245" t="s">
        <v>184</v>
      </c>
      <c r="BN245" s="36">
        <v>100</v>
      </c>
      <c r="BO245" s="36">
        <v>100</v>
      </c>
      <c r="BP245">
        <f t="shared" si="26"/>
        <v>480</v>
      </c>
      <c r="BR245" s="38">
        <v>44713</v>
      </c>
      <c r="BS245" s="20" t="s">
        <v>185</v>
      </c>
      <c r="BT245" s="20" t="str">
        <f t="shared" si="22"/>
        <v>InCasa_COR22D82</v>
      </c>
    </row>
    <row r="246" spans="2:72" ht="18.75" customHeight="1" x14ac:dyDescent="0.25">
      <c r="B246" s="20">
        <f t="shared" si="23"/>
        <v>83</v>
      </c>
      <c r="C246" s="22" t="str">
        <f t="shared" si="24"/>
        <v>In Casa #83</v>
      </c>
      <c r="D246" t="str">
        <f t="shared" si="25"/>
        <v>COR22D83</v>
      </c>
      <c r="E246" s="58" t="s">
        <v>252</v>
      </c>
      <c r="F246" s="20">
        <v>1000</v>
      </c>
      <c r="G246" s="14" t="s">
        <v>337</v>
      </c>
      <c r="H246" s="23" t="s">
        <v>170</v>
      </c>
      <c r="J246" s="59" t="s">
        <v>38</v>
      </c>
      <c r="K246" s="22" t="s">
        <v>254</v>
      </c>
      <c r="L246" s="59" t="s">
        <v>171</v>
      </c>
      <c r="M246" s="22">
        <v>2</v>
      </c>
      <c r="V246" s="59" t="s">
        <v>176</v>
      </c>
      <c r="AL246" s="59" t="s">
        <v>40</v>
      </c>
      <c r="AM246" s="22" t="s">
        <v>188</v>
      </c>
      <c r="AV246" s="59" t="s">
        <v>134</v>
      </c>
      <c r="AW246" s="22" t="str">
        <f>Settings!$B$5 &amp;  "?s=" &amp; D246 &amp; "&amp;platform=ftx"</f>
        <v>https://tokensol.nfluent.io?s=COR22D83&amp;platform=ftx</v>
      </c>
      <c r="AX246" s="20" t="s">
        <v>23</v>
      </c>
      <c r="AY246" s="20">
        <v>10</v>
      </c>
      <c r="AZ246" s="20" t="s">
        <v>24</v>
      </c>
      <c r="BA246" s="20">
        <v>90</v>
      </c>
      <c r="BD246" s="14"/>
      <c r="BJ246" t="s">
        <v>255</v>
      </c>
      <c r="BK246" t="s">
        <v>184</v>
      </c>
      <c r="BN246" s="36">
        <v>100</v>
      </c>
      <c r="BO246" s="36">
        <v>100</v>
      </c>
      <c r="BP246">
        <f t="shared" si="26"/>
        <v>480</v>
      </c>
      <c r="BR246" s="38">
        <v>44713</v>
      </c>
      <c r="BS246" s="20" t="s">
        <v>185</v>
      </c>
      <c r="BT246" s="20" t="str">
        <f t="shared" si="22"/>
        <v>InCasa_COR22D83</v>
      </c>
    </row>
    <row r="247" spans="2:72" ht="18.75" customHeight="1" x14ac:dyDescent="0.25">
      <c r="B247" s="20">
        <f t="shared" si="23"/>
        <v>84</v>
      </c>
      <c r="C247" s="22" t="str">
        <f t="shared" si="24"/>
        <v>In Casa #84</v>
      </c>
      <c r="D247" t="str">
        <f t="shared" si="25"/>
        <v>COR22D84</v>
      </c>
      <c r="E247" s="58" t="s">
        <v>252</v>
      </c>
      <c r="F247" s="20">
        <v>1000</v>
      </c>
      <c r="G247" s="14" t="s">
        <v>338</v>
      </c>
      <c r="H247" s="23" t="s">
        <v>170</v>
      </c>
      <c r="J247" s="59" t="s">
        <v>38</v>
      </c>
      <c r="K247" s="22" t="s">
        <v>254</v>
      </c>
      <c r="L247" s="59" t="s">
        <v>171</v>
      </c>
      <c r="M247" s="22">
        <v>2</v>
      </c>
      <c r="V247" s="59" t="s">
        <v>176</v>
      </c>
      <c r="AL247" s="59" t="s">
        <v>40</v>
      </c>
      <c r="AM247" s="22" t="s">
        <v>188</v>
      </c>
      <c r="AV247" s="59" t="s">
        <v>134</v>
      </c>
      <c r="AW247" s="22" t="str">
        <f>Settings!$B$5 &amp;  "?s=" &amp; D247 &amp; "&amp;platform=ftx"</f>
        <v>https://tokensol.nfluent.io?s=COR22D84&amp;platform=ftx</v>
      </c>
      <c r="AX247" s="20" t="s">
        <v>23</v>
      </c>
      <c r="AY247" s="20">
        <v>10</v>
      </c>
      <c r="AZ247" s="20" t="s">
        <v>24</v>
      </c>
      <c r="BA247" s="20">
        <v>90</v>
      </c>
      <c r="BD247" s="14"/>
      <c r="BJ247" t="s">
        <v>255</v>
      </c>
      <c r="BK247" t="s">
        <v>184</v>
      </c>
      <c r="BN247" s="36">
        <v>100</v>
      </c>
      <c r="BO247" s="36">
        <v>100</v>
      </c>
      <c r="BP247">
        <f t="shared" si="26"/>
        <v>480</v>
      </c>
      <c r="BR247" s="38">
        <v>44713</v>
      </c>
      <c r="BS247" s="20" t="s">
        <v>185</v>
      </c>
      <c r="BT247" s="20" t="str">
        <f t="shared" si="22"/>
        <v>InCasa_COR22D84</v>
      </c>
    </row>
    <row r="248" spans="2:72" ht="18.75" customHeight="1" x14ac:dyDescent="0.25">
      <c r="B248" s="20">
        <f t="shared" si="23"/>
        <v>85</v>
      </c>
      <c r="C248" s="22" t="str">
        <f t="shared" si="24"/>
        <v>In Casa #85</v>
      </c>
      <c r="D248" t="str">
        <f t="shared" si="25"/>
        <v>COR22D85</v>
      </c>
      <c r="E248" s="58" t="s">
        <v>252</v>
      </c>
      <c r="F248" s="20">
        <v>1000</v>
      </c>
      <c r="G248" s="14" t="s">
        <v>339</v>
      </c>
      <c r="H248" s="23" t="s">
        <v>170</v>
      </c>
      <c r="J248" s="59" t="s">
        <v>38</v>
      </c>
      <c r="K248" s="22" t="s">
        <v>254</v>
      </c>
      <c r="L248" s="59" t="s">
        <v>171</v>
      </c>
      <c r="M248" s="22">
        <v>2</v>
      </c>
      <c r="V248" s="59" t="s">
        <v>176</v>
      </c>
      <c r="AL248" s="59" t="s">
        <v>40</v>
      </c>
      <c r="AM248" s="22" t="s">
        <v>188</v>
      </c>
      <c r="AV248" s="59" t="s">
        <v>134</v>
      </c>
      <c r="AW248" s="22" t="str">
        <f>Settings!$B$5 &amp;  "?s=" &amp; D248 &amp; "&amp;platform=ftx"</f>
        <v>https://tokensol.nfluent.io?s=COR22D85&amp;platform=ftx</v>
      </c>
      <c r="AX248" s="20" t="s">
        <v>23</v>
      </c>
      <c r="AY248" s="20">
        <v>10</v>
      </c>
      <c r="AZ248" s="20" t="s">
        <v>24</v>
      </c>
      <c r="BA248" s="20">
        <v>90</v>
      </c>
      <c r="BD248" s="14"/>
      <c r="BJ248" t="s">
        <v>255</v>
      </c>
      <c r="BK248" t="s">
        <v>184</v>
      </c>
      <c r="BN248" s="36">
        <v>100</v>
      </c>
      <c r="BO248" s="36">
        <v>100</v>
      </c>
      <c r="BP248">
        <f t="shared" si="26"/>
        <v>480</v>
      </c>
      <c r="BR248" s="38">
        <v>44713</v>
      </c>
      <c r="BS248" s="20" t="s">
        <v>185</v>
      </c>
      <c r="BT248" s="20" t="str">
        <f t="shared" si="22"/>
        <v>InCasa_COR22D85</v>
      </c>
    </row>
    <row r="249" spans="2:72" ht="18.75" customHeight="1" x14ac:dyDescent="0.25">
      <c r="B249" s="20">
        <f t="shared" si="23"/>
        <v>86</v>
      </c>
      <c r="C249" s="22" t="str">
        <f t="shared" si="24"/>
        <v>In Casa #86</v>
      </c>
      <c r="D249" t="str">
        <f t="shared" si="25"/>
        <v>COR22D86</v>
      </c>
      <c r="E249" s="58" t="s">
        <v>252</v>
      </c>
      <c r="F249" s="20">
        <v>1000</v>
      </c>
      <c r="G249" s="14" t="s">
        <v>340</v>
      </c>
      <c r="H249" s="23" t="s">
        <v>170</v>
      </c>
      <c r="J249" s="59" t="s">
        <v>38</v>
      </c>
      <c r="K249" s="22" t="s">
        <v>254</v>
      </c>
      <c r="L249" s="59" t="s">
        <v>171</v>
      </c>
      <c r="M249" s="22">
        <v>2</v>
      </c>
      <c r="V249" s="59" t="s">
        <v>176</v>
      </c>
      <c r="AL249" s="59" t="s">
        <v>40</v>
      </c>
      <c r="AM249" s="22" t="s">
        <v>188</v>
      </c>
      <c r="AV249" s="59" t="s">
        <v>134</v>
      </c>
      <c r="AW249" s="22" t="str">
        <f>Settings!$B$5 &amp;  "?s=" &amp; D249 &amp; "&amp;platform=ftx"</f>
        <v>https://tokensol.nfluent.io?s=COR22D86&amp;platform=ftx</v>
      </c>
      <c r="AX249" s="20" t="s">
        <v>23</v>
      </c>
      <c r="AY249" s="20">
        <v>10</v>
      </c>
      <c r="AZ249" s="20" t="s">
        <v>24</v>
      </c>
      <c r="BA249" s="20">
        <v>90</v>
      </c>
      <c r="BD249" s="14"/>
      <c r="BJ249" t="s">
        <v>255</v>
      </c>
      <c r="BK249" t="s">
        <v>184</v>
      </c>
      <c r="BN249" s="36">
        <v>100</v>
      </c>
      <c r="BO249" s="36">
        <v>100</v>
      </c>
      <c r="BP249">
        <f t="shared" si="26"/>
        <v>480</v>
      </c>
      <c r="BR249" s="38">
        <v>44713</v>
      </c>
      <c r="BS249" s="20" t="s">
        <v>185</v>
      </c>
      <c r="BT249" s="20" t="str">
        <f t="shared" si="22"/>
        <v>InCasa_COR22D86</v>
      </c>
    </row>
    <row r="250" spans="2:72" ht="18.75" customHeight="1" x14ac:dyDescent="0.25">
      <c r="B250" s="20">
        <f t="shared" si="23"/>
        <v>87</v>
      </c>
      <c r="C250" s="22" t="str">
        <f t="shared" si="24"/>
        <v>In Casa #87</v>
      </c>
      <c r="D250" t="str">
        <f t="shared" si="25"/>
        <v>COR22D87</v>
      </c>
      <c r="E250" s="58" t="s">
        <v>252</v>
      </c>
      <c r="F250" s="20">
        <v>1000</v>
      </c>
      <c r="G250" s="14" t="s">
        <v>341</v>
      </c>
      <c r="H250" s="23" t="s">
        <v>170</v>
      </c>
      <c r="J250" s="59" t="s">
        <v>38</v>
      </c>
      <c r="K250" s="22" t="s">
        <v>254</v>
      </c>
      <c r="L250" s="59" t="s">
        <v>171</v>
      </c>
      <c r="M250" s="22">
        <v>2</v>
      </c>
      <c r="V250" s="59" t="s">
        <v>176</v>
      </c>
      <c r="AL250" s="59" t="s">
        <v>40</v>
      </c>
      <c r="AM250" s="22" t="s">
        <v>188</v>
      </c>
      <c r="AV250" s="59" t="s">
        <v>134</v>
      </c>
      <c r="AW250" s="22" t="str">
        <f>Settings!$B$5 &amp;  "?s=" &amp; D250 &amp; "&amp;platform=ftx"</f>
        <v>https://tokensol.nfluent.io?s=COR22D87&amp;platform=ftx</v>
      </c>
      <c r="AX250" s="20" t="s">
        <v>23</v>
      </c>
      <c r="AY250" s="20">
        <v>10</v>
      </c>
      <c r="AZ250" s="20" t="s">
        <v>24</v>
      </c>
      <c r="BA250" s="20">
        <v>90</v>
      </c>
      <c r="BD250" s="14"/>
      <c r="BJ250" t="s">
        <v>255</v>
      </c>
      <c r="BK250" t="s">
        <v>184</v>
      </c>
      <c r="BN250" s="36">
        <v>100</v>
      </c>
      <c r="BO250" s="36">
        <v>100</v>
      </c>
      <c r="BP250">
        <f t="shared" si="26"/>
        <v>480</v>
      </c>
      <c r="BR250" s="38">
        <v>44713</v>
      </c>
      <c r="BS250" s="20" t="s">
        <v>185</v>
      </c>
      <c r="BT250" s="20" t="str">
        <f t="shared" si="22"/>
        <v>InCasa_COR22D87</v>
      </c>
    </row>
    <row r="251" spans="2:72" ht="18.75" customHeight="1" x14ac:dyDescent="0.25">
      <c r="B251" s="20">
        <f t="shared" si="23"/>
        <v>88</v>
      </c>
      <c r="C251" s="22" t="str">
        <f t="shared" si="24"/>
        <v>In Casa #88</v>
      </c>
      <c r="D251" t="str">
        <f t="shared" si="25"/>
        <v>COR22D88</v>
      </c>
      <c r="E251" s="58" t="s">
        <v>252</v>
      </c>
      <c r="F251" s="20">
        <v>1000</v>
      </c>
      <c r="G251" s="14" t="s">
        <v>342</v>
      </c>
      <c r="H251" s="23" t="s">
        <v>170</v>
      </c>
      <c r="J251" s="59" t="s">
        <v>38</v>
      </c>
      <c r="K251" s="22" t="s">
        <v>254</v>
      </c>
      <c r="L251" s="59" t="s">
        <v>171</v>
      </c>
      <c r="M251" s="22">
        <v>2</v>
      </c>
      <c r="V251" s="59" t="s">
        <v>176</v>
      </c>
      <c r="AL251" s="59" t="s">
        <v>40</v>
      </c>
      <c r="AM251" s="22" t="s">
        <v>188</v>
      </c>
      <c r="AV251" s="59" t="s">
        <v>134</v>
      </c>
      <c r="AW251" s="22" t="str">
        <f>Settings!$B$5 &amp;  "?s=" &amp; D251 &amp; "&amp;platform=ftx"</f>
        <v>https://tokensol.nfluent.io?s=COR22D88&amp;platform=ftx</v>
      </c>
      <c r="AX251" s="20" t="s">
        <v>23</v>
      </c>
      <c r="AY251" s="20">
        <v>10</v>
      </c>
      <c r="AZ251" s="20" t="s">
        <v>24</v>
      </c>
      <c r="BA251" s="20">
        <v>90</v>
      </c>
      <c r="BD251" s="14"/>
      <c r="BJ251" t="s">
        <v>255</v>
      </c>
      <c r="BK251" t="s">
        <v>184</v>
      </c>
      <c r="BN251" s="36">
        <v>100</v>
      </c>
      <c r="BO251" s="36">
        <v>100</v>
      </c>
      <c r="BP251">
        <f t="shared" si="26"/>
        <v>480</v>
      </c>
      <c r="BR251" s="38">
        <v>44713</v>
      </c>
      <c r="BS251" s="20" t="s">
        <v>185</v>
      </c>
      <c r="BT251" s="20" t="str">
        <f t="shared" si="22"/>
        <v>InCasa_COR22D88</v>
      </c>
    </row>
    <row r="252" spans="2:72" ht="18.75" customHeight="1" x14ac:dyDescent="0.25">
      <c r="B252" s="20">
        <f t="shared" si="23"/>
        <v>89</v>
      </c>
      <c r="C252" s="22" t="str">
        <f t="shared" si="24"/>
        <v>In Casa #89</v>
      </c>
      <c r="D252" t="str">
        <f t="shared" si="25"/>
        <v>COR22D89</v>
      </c>
      <c r="E252" s="58" t="s">
        <v>252</v>
      </c>
      <c r="F252" s="20">
        <v>1000</v>
      </c>
      <c r="G252" s="14" t="s">
        <v>343</v>
      </c>
      <c r="H252" s="23" t="s">
        <v>170</v>
      </c>
      <c r="J252" s="59" t="s">
        <v>38</v>
      </c>
      <c r="K252" s="22" t="s">
        <v>254</v>
      </c>
      <c r="L252" s="59" t="s">
        <v>171</v>
      </c>
      <c r="M252" s="22">
        <v>2</v>
      </c>
      <c r="V252" s="59" t="s">
        <v>176</v>
      </c>
      <c r="AL252" s="59" t="s">
        <v>40</v>
      </c>
      <c r="AM252" s="22" t="s">
        <v>188</v>
      </c>
      <c r="AV252" s="59" t="s">
        <v>134</v>
      </c>
      <c r="AW252" s="22" t="str">
        <f>Settings!$B$5 &amp;  "?s=" &amp; D252 &amp; "&amp;platform=ftx"</f>
        <v>https://tokensol.nfluent.io?s=COR22D89&amp;platform=ftx</v>
      </c>
      <c r="AX252" s="20" t="s">
        <v>23</v>
      </c>
      <c r="AY252" s="20">
        <v>10</v>
      </c>
      <c r="AZ252" s="20" t="s">
        <v>24</v>
      </c>
      <c r="BA252" s="20">
        <v>90</v>
      </c>
      <c r="BD252" s="14"/>
      <c r="BJ252" t="s">
        <v>255</v>
      </c>
      <c r="BK252" t="s">
        <v>184</v>
      </c>
      <c r="BN252" s="36">
        <v>100</v>
      </c>
      <c r="BO252" s="36">
        <v>100</v>
      </c>
      <c r="BP252">
        <f t="shared" si="26"/>
        <v>480</v>
      </c>
      <c r="BR252" s="38">
        <v>44713</v>
      </c>
      <c r="BS252" s="20" t="s">
        <v>185</v>
      </c>
      <c r="BT252" s="20" t="str">
        <f t="shared" si="22"/>
        <v>InCasa_COR22D89</v>
      </c>
    </row>
    <row r="253" spans="2:72" ht="18.75" customHeight="1" x14ac:dyDescent="0.25">
      <c r="B253" s="20">
        <f t="shared" si="23"/>
        <v>90</v>
      </c>
      <c r="C253" s="22" t="str">
        <f t="shared" si="24"/>
        <v>In Casa #90</v>
      </c>
      <c r="D253" t="str">
        <f t="shared" si="25"/>
        <v>COR22D90</v>
      </c>
      <c r="E253" s="58" t="s">
        <v>252</v>
      </c>
      <c r="F253" s="20">
        <v>1000</v>
      </c>
      <c r="G253" s="14" t="s">
        <v>344</v>
      </c>
      <c r="H253" s="23" t="s">
        <v>170</v>
      </c>
      <c r="J253" s="59" t="s">
        <v>38</v>
      </c>
      <c r="K253" s="22" t="s">
        <v>254</v>
      </c>
      <c r="L253" s="59" t="s">
        <v>171</v>
      </c>
      <c r="M253" s="22">
        <v>2</v>
      </c>
      <c r="V253" s="59" t="s">
        <v>176</v>
      </c>
      <c r="AL253" s="59" t="s">
        <v>40</v>
      </c>
      <c r="AM253" s="22" t="s">
        <v>188</v>
      </c>
      <c r="AV253" s="59" t="s">
        <v>134</v>
      </c>
      <c r="AW253" s="22" t="str">
        <f>Settings!$B$5 &amp;  "?s=" &amp; D253 &amp; "&amp;platform=ftx"</f>
        <v>https://tokensol.nfluent.io?s=COR22D90&amp;platform=ftx</v>
      </c>
      <c r="AX253" s="20" t="s">
        <v>23</v>
      </c>
      <c r="AY253" s="20">
        <v>10</v>
      </c>
      <c r="AZ253" s="20" t="s">
        <v>24</v>
      </c>
      <c r="BA253" s="20">
        <v>90</v>
      </c>
      <c r="BD253" s="14"/>
      <c r="BJ253" t="s">
        <v>255</v>
      </c>
      <c r="BK253" t="s">
        <v>184</v>
      </c>
      <c r="BN253" s="36">
        <v>100</v>
      </c>
      <c r="BO253" s="36">
        <v>100</v>
      </c>
      <c r="BP253">
        <f t="shared" si="26"/>
        <v>480</v>
      </c>
      <c r="BR253" s="38">
        <v>44713</v>
      </c>
      <c r="BS253" s="20" t="s">
        <v>185</v>
      </c>
      <c r="BT253" s="20" t="str">
        <f t="shared" si="22"/>
        <v>InCasa_COR22D90</v>
      </c>
    </row>
    <row r="254" spans="2:72" ht="18.75" customHeight="1" x14ac:dyDescent="0.25">
      <c r="B254" s="20">
        <f t="shared" si="23"/>
        <v>91</v>
      </c>
      <c r="C254" s="22" t="str">
        <f t="shared" si="24"/>
        <v>In Casa #91</v>
      </c>
      <c r="D254" t="str">
        <f t="shared" si="25"/>
        <v>COR22D91</v>
      </c>
      <c r="E254" s="58" t="s">
        <v>252</v>
      </c>
      <c r="F254" s="20">
        <v>1000</v>
      </c>
      <c r="G254" s="14" t="s">
        <v>345</v>
      </c>
      <c r="H254" s="23" t="s">
        <v>170</v>
      </c>
      <c r="J254" s="59" t="s">
        <v>38</v>
      </c>
      <c r="K254" s="22" t="s">
        <v>254</v>
      </c>
      <c r="L254" s="59" t="s">
        <v>171</v>
      </c>
      <c r="M254" s="22">
        <v>2</v>
      </c>
      <c r="V254" s="59" t="s">
        <v>176</v>
      </c>
      <c r="AL254" s="59" t="s">
        <v>40</v>
      </c>
      <c r="AM254" s="22" t="s">
        <v>188</v>
      </c>
      <c r="AV254" s="59" t="s">
        <v>134</v>
      </c>
      <c r="AW254" s="22" t="str">
        <f>Settings!$B$5 &amp;  "?s=" &amp; D254 &amp; "&amp;platform=ftx"</f>
        <v>https://tokensol.nfluent.io?s=COR22D91&amp;platform=ftx</v>
      </c>
      <c r="AX254" s="20" t="s">
        <v>23</v>
      </c>
      <c r="AY254" s="20">
        <v>10</v>
      </c>
      <c r="AZ254" s="20" t="s">
        <v>24</v>
      </c>
      <c r="BA254" s="20">
        <v>90</v>
      </c>
      <c r="BD254" s="14"/>
      <c r="BJ254" t="s">
        <v>255</v>
      </c>
      <c r="BK254" t="s">
        <v>184</v>
      </c>
      <c r="BN254" s="36">
        <v>100</v>
      </c>
      <c r="BO254" s="36">
        <v>100</v>
      </c>
      <c r="BP254">
        <f t="shared" si="26"/>
        <v>480</v>
      </c>
      <c r="BR254" s="38">
        <v>44713</v>
      </c>
      <c r="BS254" s="20" t="s">
        <v>185</v>
      </c>
      <c r="BT254" s="20" t="str">
        <f t="shared" si="22"/>
        <v>InCasa_COR22D91</v>
      </c>
    </row>
    <row r="255" spans="2:72" ht="18.75" customHeight="1" x14ac:dyDescent="0.25">
      <c r="B255" s="20">
        <f t="shared" si="23"/>
        <v>92</v>
      </c>
      <c r="C255" s="22" t="str">
        <f t="shared" si="24"/>
        <v>In Casa #92</v>
      </c>
      <c r="D255" t="str">
        <f t="shared" si="25"/>
        <v>COR22D92</v>
      </c>
      <c r="E255" s="58" t="s">
        <v>252</v>
      </c>
      <c r="F255" s="20">
        <v>1000</v>
      </c>
      <c r="G255" s="14" t="s">
        <v>346</v>
      </c>
      <c r="H255" s="23" t="s">
        <v>170</v>
      </c>
      <c r="J255" s="59" t="s">
        <v>38</v>
      </c>
      <c r="K255" s="22" t="s">
        <v>254</v>
      </c>
      <c r="L255" s="59" t="s">
        <v>171</v>
      </c>
      <c r="M255" s="22">
        <v>2</v>
      </c>
      <c r="V255" s="59" t="s">
        <v>176</v>
      </c>
      <c r="AL255" s="59" t="s">
        <v>40</v>
      </c>
      <c r="AM255" s="22" t="s">
        <v>188</v>
      </c>
      <c r="AV255" s="59" t="s">
        <v>134</v>
      </c>
      <c r="AW255" s="22" t="str">
        <f>Settings!$B$5 &amp;  "?s=" &amp; D255 &amp; "&amp;platform=ftx"</f>
        <v>https://tokensol.nfluent.io?s=COR22D92&amp;platform=ftx</v>
      </c>
      <c r="AX255" s="20" t="s">
        <v>23</v>
      </c>
      <c r="AY255" s="20">
        <v>10</v>
      </c>
      <c r="AZ255" s="20" t="s">
        <v>24</v>
      </c>
      <c r="BA255" s="20">
        <v>90</v>
      </c>
      <c r="BD255" s="14"/>
      <c r="BJ255" t="s">
        <v>255</v>
      </c>
      <c r="BK255" t="s">
        <v>184</v>
      </c>
      <c r="BN255" s="36">
        <v>100</v>
      </c>
      <c r="BO255" s="36">
        <v>100</v>
      </c>
      <c r="BP255">
        <f t="shared" si="26"/>
        <v>480</v>
      </c>
      <c r="BR255" s="38">
        <v>44713</v>
      </c>
      <c r="BS255" s="20" t="s">
        <v>185</v>
      </c>
      <c r="BT255" s="20" t="str">
        <f t="shared" si="22"/>
        <v>InCasa_COR22D92</v>
      </c>
    </row>
    <row r="256" spans="2:72" ht="18.75" customHeight="1" x14ac:dyDescent="0.25">
      <c r="B256" s="20">
        <f t="shared" si="23"/>
        <v>93</v>
      </c>
      <c r="C256" s="22" t="str">
        <f t="shared" si="24"/>
        <v>In Casa #93</v>
      </c>
      <c r="D256" t="str">
        <f t="shared" si="25"/>
        <v>COR22D93</v>
      </c>
      <c r="E256" s="58" t="s">
        <v>252</v>
      </c>
      <c r="F256" s="20">
        <v>1000</v>
      </c>
      <c r="G256" s="14" t="s">
        <v>347</v>
      </c>
      <c r="H256" s="23" t="s">
        <v>170</v>
      </c>
      <c r="J256" s="59" t="s">
        <v>38</v>
      </c>
      <c r="K256" s="22" t="s">
        <v>254</v>
      </c>
      <c r="L256" s="59" t="s">
        <v>171</v>
      </c>
      <c r="M256" s="22">
        <v>2</v>
      </c>
      <c r="V256" s="59" t="s">
        <v>176</v>
      </c>
      <c r="AL256" s="59" t="s">
        <v>40</v>
      </c>
      <c r="AM256" s="22" t="s">
        <v>188</v>
      </c>
      <c r="AV256" s="59" t="s">
        <v>134</v>
      </c>
      <c r="AW256" s="22" t="str">
        <f>Settings!$B$5 &amp;  "?s=" &amp; D256 &amp; "&amp;platform=ftx"</f>
        <v>https://tokensol.nfluent.io?s=COR22D93&amp;platform=ftx</v>
      </c>
      <c r="AX256" s="20" t="s">
        <v>23</v>
      </c>
      <c r="AY256" s="20">
        <v>10</v>
      </c>
      <c r="AZ256" s="20" t="s">
        <v>24</v>
      </c>
      <c r="BA256" s="20">
        <v>90</v>
      </c>
      <c r="BD256" s="14"/>
      <c r="BJ256" t="s">
        <v>255</v>
      </c>
      <c r="BK256" t="s">
        <v>184</v>
      </c>
      <c r="BN256" s="36">
        <v>100</v>
      </c>
      <c r="BO256" s="36">
        <v>100</v>
      </c>
      <c r="BP256">
        <f t="shared" si="26"/>
        <v>480</v>
      </c>
      <c r="BR256" s="38">
        <v>44713</v>
      </c>
      <c r="BS256" s="20" t="s">
        <v>185</v>
      </c>
      <c r="BT256" s="20" t="str">
        <f t="shared" si="22"/>
        <v>InCasa_COR22D93</v>
      </c>
    </row>
    <row r="257" spans="2:72" ht="18.75" customHeight="1" x14ac:dyDescent="0.25">
      <c r="B257" s="20">
        <f t="shared" si="23"/>
        <v>94</v>
      </c>
      <c r="C257" s="22" t="str">
        <f t="shared" si="24"/>
        <v>In Casa #94</v>
      </c>
      <c r="D257" t="str">
        <f t="shared" si="25"/>
        <v>COR22D94</v>
      </c>
      <c r="E257" s="58" t="s">
        <v>252</v>
      </c>
      <c r="F257" s="20">
        <v>1000</v>
      </c>
      <c r="G257" s="14" t="s">
        <v>348</v>
      </c>
      <c r="H257" s="23" t="s">
        <v>170</v>
      </c>
      <c r="J257" s="59" t="s">
        <v>38</v>
      </c>
      <c r="K257" s="22" t="s">
        <v>254</v>
      </c>
      <c r="L257" s="59" t="s">
        <v>171</v>
      </c>
      <c r="M257" s="22">
        <v>2</v>
      </c>
      <c r="V257" s="59" t="s">
        <v>176</v>
      </c>
      <c r="AL257" s="59" t="s">
        <v>40</v>
      </c>
      <c r="AM257" s="22" t="s">
        <v>188</v>
      </c>
      <c r="AV257" s="59" t="s">
        <v>134</v>
      </c>
      <c r="AW257" s="22" t="str">
        <f>Settings!$B$5 &amp;  "?s=" &amp; D257 &amp; "&amp;platform=ftx"</f>
        <v>https://tokensol.nfluent.io?s=COR22D94&amp;platform=ftx</v>
      </c>
      <c r="AX257" s="20" t="s">
        <v>23</v>
      </c>
      <c r="AY257" s="20">
        <v>10</v>
      </c>
      <c r="AZ257" s="20" t="s">
        <v>24</v>
      </c>
      <c r="BA257" s="20">
        <v>90</v>
      </c>
      <c r="BD257" s="14"/>
      <c r="BJ257" t="s">
        <v>255</v>
      </c>
      <c r="BK257" t="s">
        <v>184</v>
      </c>
      <c r="BN257" s="36">
        <v>100</v>
      </c>
      <c r="BO257" s="36">
        <v>100</v>
      </c>
      <c r="BP257">
        <f t="shared" si="26"/>
        <v>480</v>
      </c>
      <c r="BR257" s="38">
        <v>44713</v>
      </c>
      <c r="BS257" s="20" t="s">
        <v>185</v>
      </c>
      <c r="BT257" s="20" t="str">
        <f t="shared" si="22"/>
        <v>InCasa_COR22D94</v>
      </c>
    </row>
    <row r="258" spans="2:72" ht="18.75" customHeight="1" x14ac:dyDescent="0.25">
      <c r="B258" s="20">
        <f t="shared" si="23"/>
        <v>95</v>
      </c>
      <c r="C258" s="22" t="str">
        <f t="shared" si="24"/>
        <v>In Casa #95</v>
      </c>
      <c r="D258" t="str">
        <f t="shared" si="25"/>
        <v>COR22D95</v>
      </c>
      <c r="E258" s="58" t="s">
        <v>252</v>
      </c>
      <c r="F258" s="20">
        <v>1000</v>
      </c>
      <c r="G258" s="14" t="s">
        <v>349</v>
      </c>
      <c r="H258" s="23" t="s">
        <v>170</v>
      </c>
      <c r="J258" s="59" t="s">
        <v>38</v>
      </c>
      <c r="K258" s="22" t="s">
        <v>254</v>
      </c>
      <c r="L258" s="59" t="s">
        <v>171</v>
      </c>
      <c r="M258" s="22">
        <v>2</v>
      </c>
      <c r="V258" s="59" t="s">
        <v>176</v>
      </c>
      <c r="AL258" s="59" t="s">
        <v>40</v>
      </c>
      <c r="AM258" s="22" t="s">
        <v>188</v>
      </c>
      <c r="AV258" s="59" t="s">
        <v>134</v>
      </c>
      <c r="AW258" s="22" t="str">
        <f>Settings!$B$5 &amp;  "?s=" &amp; D258 &amp; "&amp;platform=ftx"</f>
        <v>https://tokensol.nfluent.io?s=COR22D95&amp;platform=ftx</v>
      </c>
      <c r="AX258" s="20" t="s">
        <v>23</v>
      </c>
      <c r="AY258" s="20">
        <v>10</v>
      </c>
      <c r="AZ258" s="20" t="s">
        <v>24</v>
      </c>
      <c r="BA258" s="20">
        <v>90</v>
      </c>
      <c r="BD258" s="14"/>
      <c r="BJ258" t="s">
        <v>255</v>
      </c>
      <c r="BK258" t="s">
        <v>184</v>
      </c>
      <c r="BN258" s="36">
        <v>100</v>
      </c>
      <c r="BO258" s="36">
        <v>100</v>
      </c>
      <c r="BP258">
        <f t="shared" si="26"/>
        <v>480</v>
      </c>
      <c r="BR258" s="38">
        <v>44713</v>
      </c>
      <c r="BS258" s="20" t="s">
        <v>185</v>
      </c>
      <c r="BT258" s="20" t="str">
        <f t="shared" si="22"/>
        <v>InCasa_COR22D95</v>
      </c>
    </row>
    <row r="259" spans="2:72" ht="18.75" customHeight="1" x14ac:dyDescent="0.25">
      <c r="B259" s="20">
        <f t="shared" si="23"/>
        <v>96</v>
      </c>
      <c r="C259" s="22" t="str">
        <f t="shared" si="24"/>
        <v>In Casa #96</v>
      </c>
      <c r="D259" t="str">
        <f t="shared" si="25"/>
        <v>COR22D96</v>
      </c>
      <c r="E259" s="58" t="s">
        <v>252</v>
      </c>
      <c r="F259" s="20">
        <v>1000</v>
      </c>
      <c r="G259" s="14" t="s">
        <v>350</v>
      </c>
      <c r="H259" s="23" t="s">
        <v>170</v>
      </c>
      <c r="J259" s="59" t="s">
        <v>38</v>
      </c>
      <c r="K259" s="22" t="s">
        <v>254</v>
      </c>
      <c r="L259" s="59" t="s">
        <v>171</v>
      </c>
      <c r="M259" s="22">
        <v>2</v>
      </c>
      <c r="V259" s="59" t="s">
        <v>176</v>
      </c>
      <c r="AL259" s="59" t="s">
        <v>40</v>
      </c>
      <c r="AM259" s="22" t="s">
        <v>188</v>
      </c>
      <c r="AV259" s="59" t="s">
        <v>134</v>
      </c>
      <c r="AW259" s="22" t="str">
        <f>Settings!$B$5 &amp;  "?s=" &amp; D259 &amp; "&amp;platform=ftx"</f>
        <v>https://tokensol.nfluent.io?s=COR22D96&amp;platform=ftx</v>
      </c>
      <c r="AX259" s="20" t="s">
        <v>23</v>
      </c>
      <c r="AY259" s="20">
        <v>10</v>
      </c>
      <c r="AZ259" s="20" t="s">
        <v>24</v>
      </c>
      <c r="BA259" s="20">
        <v>90</v>
      </c>
      <c r="BD259" s="14"/>
      <c r="BJ259" t="s">
        <v>255</v>
      </c>
      <c r="BK259" t="s">
        <v>184</v>
      </c>
      <c r="BN259" s="36">
        <v>100</v>
      </c>
      <c r="BO259" s="36">
        <v>100</v>
      </c>
      <c r="BP259">
        <f t="shared" si="26"/>
        <v>480</v>
      </c>
      <c r="BR259" s="38">
        <v>44713</v>
      </c>
      <c r="BS259" s="20" t="s">
        <v>185</v>
      </c>
      <c r="BT259" s="20" t="str">
        <f t="shared" si="22"/>
        <v>InCasa_COR22D96</v>
      </c>
    </row>
    <row r="260" spans="2:72" ht="18.75" customHeight="1" x14ac:dyDescent="0.25">
      <c r="B260" s="20">
        <f t="shared" si="23"/>
        <v>97</v>
      </c>
      <c r="C260" s="22" t="str">
        <f t="shared" si="24"/>
        <v>In Casa #97</v>
      </c>
      <c r="D260" t="str">
        <f t="shared" si="25"/>
        <v>COR22D97</v>
      </c>
      <c r="E260" s="58" t="s">
        <v>252</v>
      </c>
      <c r="F260" s="20">
        <v>1000</v>
      </c>
      <c r="G260" s="14" t="s">
        <v>351</v>
      </c>
      <c r="H260" s="23" t="s">
        <v>170</v>
      </c>
      <c r="J260" s="59" t="s">
        <v>38</v>
      </c>
      <c r="K260" s="22" t="s">
        <v>254</v>
      </c>
      <c r="L260" s="59" t="s">
        <v>171</v>
      </c>
      <c r="M260" s="22">
        <v>2</v>
      </c>
      <c r="V260" s="59" t="s">
        <v>176</v>
      </c>
      <c r="AL260" s="59" t="s">
        <v>40</v>
      </c>
      <c r="AM260" s="22" t="s">
        <v>188</v>
      </c>
      <c r="AV260" s="59" t="s">
        <v>134</v>
      </c>
      <c r="AW260" s="22" t="str">
        <f>Settings!$B$5 &amp;  "?s=" &amp; D260 &amp; "&amp;platform=ftx"</f>
        <v>https://tokensol.nfluent.io?s=COR22D97&amp;platform=ftx</v>
      </c>
      <c r="AX260" s="20" t="s">
        <v>23</v>
      </c>
      <c r="AY260" s="20">
        <v>10</v>
      </c>
      <c r="AZ260" s="20" t="s">
        <v>24</v>
      </c>
      <c r="BA260" s="20">
        <v>90</v>
      </c>
      <c r="BD260" s="14"/>
      <c r="BJ260" t="s">
        <v>255</v>
      </c>
      <c r="BK260" t="s">
        <v>184</v>
      </c>
      <c r="BN260" s="36">
        <v>100</v>
      </c>
      <c r="BO260" s="36">
        <v>100</v>
      </c>
      <c r="BP260">
        <f t="shared" si="26"/>
        <v>480</v>
      </c>
      <c r="BR260" s="38">
        <v>44713</v>
      </c>
      <c r="BS260" s="20" t="s">
        <v>185</v>
      </c>
      <c r="BT260" s="20" t="str">
        <f t="shared" si="22"/>
        <v>InCasa_COR22D97</v>
      </c>
    </row>
    <row r="261" spans="2:72" ht="18.75" customHeight="1" x14ac:dyDescent="0.25">
      <c r="B261" s="20">
        <f t="shared" si="23"/>
        <v>98</v>
      </c>
      <c r="C261" s="22" t="str">
        <f t="shared" si="24"/>
        <v>In Casa #98</v>
      </c>
      <c r="D261" t="str">
        <f t="shared" si="25"/>
        <v>COR22D98</v>
      </c>
      <c r="E261" s="58" t="s">
        <v>252</v>
      </c>
      <c r="F261" s="20">
        <v>1000</v>
      </c>
      <c r="G261" s="14" t="s">
        <v>352</v>
      </c>
      <c r="H261" s="23" t="s">
        <v>170</v>
      </c>
      <c r="J261" s="59" t="s">
        <v>38</v>
      </c>
      <c r="K261" s="22" t="s">
        <v>254</v>
      </c>
      <c r="L261" s="59" t="s">
        <v>171</v>
      </c>
      <c r="M261" s="22">
        <v>2</v>
      </c>
      <c r="V261" s="59" t="s">
        <v>176</v>
      </c>
      <c r="AL261" s="59" t="s">
        <v>40</v>
      </c>
      <c r="AM261" s="22" t="s">
        <v>188</v>
      </c>
      <c r="AV261" s="59" t="s">
        <v>134</v>
      </c>
      <c r="AW261" s="22" t="str">
        <f>Settings!$B$5 &amp;  "?s=" &amp; D261 &amp; "&amp;platform=ftx"</f>
        <v>https://tokensol.nfluent.io?s=COR22D98&amp;platform=ftx</v>
      </c>
      <c r="AX261" s="20" t="s">
        <v>23</v>
      </c>
      <c r="AY261" s="20">
        <v>10</v>
      </c>
      <c r="AZ261" s="20" t="s">
        <v>24</v>
      </c>
      <c r="BA261" s="20">
        <v>90</v>
      </c>
      <c r="BD261" s="14"/>
      <c r="BJ261" t="s">
        <v>255</v>
      </c>
      <c r="BK261" t="s">
        <v>184</v>
      </c>
      <c r="BN261" s="36">
        <v>100</v>
      </c>
      <c r="BO261" s="36">
        <v>100</v>
      </c>
      <c r="BP261">
        <f t="shared" si="26"/>
        <v>480</v>
      </c>
      <c r="BR261" s="38">
        <v>44713</v>
      </c>
      <c r="BS261" s="20" t="s">
        <v>185</v>
      </c>
      <c r="BT261" s="20" t="str">
        <f t="shared" ref="BT261:BT324" si="27">SUBSTITUTE(BJ261," ","") &amp; "_" &amp; D261</f>
        <v>InCasa_COR22D98</v>
      </c>
    </row>
    <row r="262" spans="2:72" ht="18.75" customHeight="1" x14ac:dyDescent="0.25">
      <c r="B262" s="20">
        <f t="shared" ref="B262:B325" si="28">+B261+1</f>
        <v>99</v>
      </c>
      <c r="C262" s="22" t="str">
        <f t="shared" si="24"/>
        <v>In Casa #99</v>
      </c>
      <c r="D262" t="str">
        <f t="shared" si="25"/>
        <v>COR22D99</v>
      </c>
      <c r="E262" s="58" t="s">
        <v>252</v>
      </c>
      <c r="F262" s="20">
        <v>1000</v>
      </c>
      <c r="G262" s="14" t="s">
        <v>353</v>
      </c>
      <c r="H262" s="23" t="s">
        <v>170</v>
      </c>
      <c r="J262" s="59" t="s">
        <v>38</v>
      </c>
      <c r="K262" s="22" t="s">
        <v>254</v>
      </c>
      <c r="L262" s="59" t="s">
        <v>171</v>
      </c>
      <c r="M262" s="22">
        <v>2</v>
      </c>
      <c r="V262" s="59" t="s">
        <v>176</v>
      </c>
      <c r="AL262" s="59" t="s">
        <v>40</v>
      </c>
      <c r="AM262" s="22" t="s">
        <v>188</v>
      </c>
      <c r="AV262" s="59" t="s">
        <v>134</v>
      </c>
      <c r="AW262" s="22" t="str">
        <f>Settings!$B$5 &amp;  "?s=" &amp; D262 &amp; "&amp;platform=ftx"</f>
        <v>https://tokensol.nfluent.io?s=COR22D99&amp;platform=ftx</v>
      </c>
      <c r="AX262" s="20" t="s">
        <v>23</v>
      </c>
      <c r="AY262" s="20">
        <v>10</v>
      </c>
      <c r="AZ262" s="20" t="s">
        <v>24</v>
      </c>
      <c r="BA262" s="20">
        <v>90</v>
      </c>
      <c r="BD262" s="14"/>
      <c r="BJ262" t="s">
        <v>255</v>
      </c>
      <c r="BK262" t="s">
        <v>184</v>
      </c>
      <c r="BN262" s="36">
        <v>100</v>
      </c>
      <c r="BO262" s="36">
        <v>100</v>
      </c>
      <c r="BP262">
        <f t="shared" si="26"/>
        <v>480</v>
      </c>
      <c r="BR262" s="38">
        <v>44713</v>
      </c>
      <c r="BS262" s="20" t="s">
        <v>185</v>
      </c>
      <c r="BT262" s="20" t="str">
        <f t="shared" si="27"/>
        <v>InCasa_COR22D99</v>
      </c>
    </row>
    <row r="263" spans="2:72" ht="18.75" customHeight="1" x14ac:dyDescent="0.25">
      <c r="B263" s="20">
        <f t="shared" si="28"/>
        <v>100</v>
      </c>
      <c r="C263" s="22" t="str">
        <f t="shared" si="24"/>
        <v>In Casa #100</v>
      </c>
      <c r="D263" t="str">
        <f t="shared" si="25"/>
        <v>COR22D100</v>
      </c>
      <c r="E263" s="58" t="s">
        <v>252</v>
      </c>
      <c r="F263" s="20">
        <v>1000</v>
      </c>
      <c r="G263" s="14" t="s">
        <v>354</v>
      </c>
      <c r="H263" s="23" t="s">
        <v>170</v>
      </c>
      <c r="J263" s="59" t="s">
        <v>38</v>
      </c>
      <c r="K263" s="22" t="s">
        <v>254</v>
      </c>
      <c r="L263" s="59" t="s">
        <v>171</v>
      </c>
      <c r="M263" s="22">
        <v>2</v>
      </c>
      <c r="V263" s="59" t="s">
        <v>176</v>
      </c>
      <c r="AL263" s="59" t="s">
        <v>40</v>
      </c>
      <c r="AM263" s="22" t="s">
        <v>188</v>
      </c>
      <c r="AV263" s="59" t="s">
        <v>134</v>
      </c>
      <c r="AW263" s="22" t="str">
        <f>Settings!$B$5 &amp;  "?s=" &amp; D263 &amp; "&amp;platform=ftx"</f>
        <v>https://tokensol.nfluent.io?s=COR22D100&amp;platform=ftx</v>
      </c>
      <c r="AX263" s="20" t="s">
        <v>23</v>
      </c>
      <c r="AY263" s="20">
        <v>10</v>
      </c>
      <c r="AZ263" s="20" t="s">
        <v>24</v>
      </c>
      <c r="BA263" s="20">
        <v>90</v>
      </c>
      <c r="BD263" s="14"/>
      <c r="BJ263" t="s">
        <v>255</v>
      </c>
      <c r="BK263" t="s">
        <v>184</v>
      </c>
      <c r="BN263" s="36">
        <v>100</v>
      </c>
      <c r="BO263" s="36">
        <v>100</v>
      </c>
      <c r="BP263">
        <f t="shared" si="26"/>
        <v>480</v>
      </c>
      <c r="BR263" s="38">
        <v>44713</v>
      </c>
      <c r="BS263" s="20" t="s">
        <v>185</v>
      </c>
      <c r="BT263" s="20" t="str">
        <f t="shared" si="27"/>
        <v>InCasa_COR22D100</v>
      </c>
    </row>
    <row r="264" spans="2:72" ht="18.75" customHeight="1" x14ac:dyDescent="0.25">
      <c r="B264" s="20">
        <f t="shared" si="28"/>
        <v>101</v>
      </c>
      <c r="C264" s="22" t="str">
        <f t="shared" si="24"/>
        <v>In Casa #101</v>
      </c>
      <c r="D264" t="str">
        <f t="shared" si="25"/>
        <v>COR22D101</v>
      </c>
      <c r="E264" s="58" t="s">
        <v>252</v>
      </c>
      <c r="F264" s="20">
        <v>1000</v>
      </c>
      <c r="G264" s="14" t="s">
        <v>354</v>
      </c>
      <c r="H264" s="23" t="s">
        <v>170</v>
      </c>
      <c r="J264" s="59" t="s">
        <v>38</v>
      </c>
      <c r="K264" s="22" t="s">
        <v>254</v>
      </c>
      <c r="L264" s="59" t="s">
        <v>171</v>
      </c>
      <c r="M264" s="22">
        <v>2</v>
      </c>
      <c r="V264" s="59" t="s">
        <v>176</v>
      </c>
      <c r="AL264" s="59" t="s">
        <v>40</v>
      </c>
      <c r="AM264" s="22" t="s">
        <v>188</v>
      </c>
      <c r="AV264" s="59" t="s">
        <v>134</v>
      </c>
      <c r="AW264" s="22" t="str">
        <f>Settings!$B$5 &amp;  "?s=" &amp; D264 &amp; "&amp;platform=ftx"</f>
        <v>https://tokensol.nfluent.io?s=COR22D101&amp;platform=ftx</v>
      </c>
      <c r="AX264" s="20" t="s">
        <v>23</v>
      </c>
      <c r="AY264" s="20">
        <v>10</v>
      </c>
      <c r="AZ264" s="20" t="s">
        <v>24</v>
      </c>
      <c r="BA264" s="20">
        <v>90</v>
      </c>
      <c r="BD264" s="14"/>
      <c r="BJ264" t="s">
        <v>255</v>
      </c>
      <c r="BK264" t="s">
        <v>184</v>
      </c>
      <c r="BN264" s="36">
        <v>100</v>
      </c>
      <c r="BO264" s="36">
        <v>100</v>
      </c>
      <c r="BP264">
        <f t="shared" si="26"/>
        <v>480</v>
      </c>
      <c r="BR264" s="38">
        <v>44713</v>
      </c>
      <c r="BS264" s="20" t="s">
        <v>185</v>
      </c>
      <c r="BT264" s="20" t="str">
        <f t="shared" si="27"/>
        <v>InCasa_COR22D101</v>
      </c>
    </row>
    <row r="265" spans="2:72" ht="18.75" customHeight="1" x14ac:dyDescent="0.25">
      <c r="B265" s="20">
        <f t="shared" si="28"/>
        <v>102</v>
      </c>
      <c r="C265" s="22" t="str">
        <f t="shared" si="24"/>
        <v>In Casa #102</v>
      </c>
      <c r="D265" t="str">
        <f t="shared" si="25"/>
        <v>COR22D102</v>
      </c>
      <c r="E265" s="58" t="s">
        <v>252</v>
      </c>
      <c r="F265" s="20">
        <v>1000</v>
      </c>
      <c r="G265" s="14" t="s">
        <v>354</v>
      </c>
      <c r="H265" s="23" t="s">
        <v>170</v>
      </c>
      <c r="J265" s="59" t="s">
        <v>38</v>
      </c>
      <c r="K265" s="22" t="s">
        <v>254</v>
      </c>
      <c r="L265" s="59" t="s">
        <v>171</v>
      </c>
      <c r="M265" s="22">
        <v>2</v>
      </c>
      <c r="V265" s="59" t="s">
        <v>176</v>
      </c>
      <c r="AL265" s="59" t="s">
        <v>40</v>
      </c>
      <c r="AM265" s="22" t="s">
        <v>188</v>
      </c>
      <c r="AV265" s="59" t="s">
        <v>134</v>
      </c>
      <c r="AW265" s="22" t="str">
        <f>Settings!$B$5 &amp;  "?s=" &amp; D265 &amp; "&amp;platform=ftx"</f>
        <v>https://tokensol.nfluent.io?s=COR22D102&amp;platform=ftx</v>
      </c>
      <c r="AX265" s="20" t="s">
        <v>23</v>
      </c>
      <c r="AY265" s="20">
        <v>10</v>
      </c>
      <c r="AZ265" s="20" t="s">
        <v>24</v>
      </c>
      <c r="BA265" s="20">
        <v>90</v>
      </c>
      <c r="BD265" s="14"/>
      <c r="BJ265" t="s">
        <v>255</v>
      </c>
      <c r="BK265" t="s">
        <v>184</v>
      </c>
      <c r="BN265" s="36">
        <v>100</v>
      </c>
      <c r="BO265" s="36">
        <v>100</v>
      </c>
      <c r="BP265">
        <f t="shared" si="26"/>
        <v>480</v>
      </c>
      <c r="BR265" s="38">
        <v>44713</v>
      </c>
      <c r="BS265" s="20" t="s">
        <v>185</v>
      </c>
      <c r="BT265" s="20" t="str">
        <f t="shared" si="27"/>
        <v>InCasa_COR22D102</v>
      </c>
    </row>
    <row r="266" spans="2:72" ht="18.75" customHeight="1" x14ac:dyDescent="0.25">
      <c r="B266" s="20">
        <f t="shared" si="28"/>
        <v>103</v>
      </c>
      <c r="C266" s="22" t="str">
        <f t="shared" si="24"/>
        <v>In Casa #103</v>
      </c>
      <c r="D266" t="str">
        <f t="shared" si="25"/>
        <v>COR22D103</v>
      </c>
      <c r="E266" s="58" t="s">
        <v>252</v>
      </c>
      <c r="F266" s="20">
        <v>1000</v>
      </c>
      <c r="G266" s="14" t="s">
        <v>354</v>
      </c>
      <c r="H266" s="23" t="s">
        <v>170</v>
      </c>
      <c r="J266" s="59" t="s">
        <v>38</v>
      </c>
      <c r="K266" s="22" t="s">
        <v>254</v>
      </c>
      <c r="L266" s="59" t="s">
        <v>171</v>
      </c>
      <c r="M266" s="22">
        <v>2</v>
      </c>
      <c r="V266" s="59" t="s">
        <v>176</v>
      </c>
      <c r="AL266" s="59" t="s">
        <v>40</v>
      </c>
      <c r="AM266" s="22" t="s">
        <v>188</v>
      </c>
      <c r="AV266" s="59" t="s">
        <v>134</v>
      </c>
      <c r="AW266" s="22" t="str">
        <f>Settings!$B$5 &amp;  "?s=" &amp; D266 &amp; "&amp;platform=ftx"</f>
        <v>https://tokensol.nfluent.io?s=COR22D103&amp;platform=ftx</v>
      </c>
      <c r="AX266" s="20" t="s">
        <v>23</v>
      </c>
      <c r="AY266" s="20">
        <v>10</v>
      </c>
      <c r="AZ266" s="20" t="s">
        <v>24</v>
      </c>
      <c r="BA266" s="20">
        <v>90</v>
      </c>
      <c r="BD266" s="14"/>
      <c r="BJ266" t="s">
        <v>255</v>
      </c>
      <c r="BK266" t="s">
        <v>184</v>
      </c>
      <c r="BN266" s="36">
        <v>100</v>
      </c>
      <c r="BO266" s="36">
        <v>100</v>
      </c>
      <c r="BP266">
        <f t="shared" si="26"/>
        <v>480</v>
      </c>
      <c r="BR266" s="38">
        <v>44713</v>
      </c>
      <c r="BS266" s="20" t="s">
        <v>185</v>
      </c>
      <c r="BT266" s="20" t="str">
        <f t="shared" si="27"/>
        <v>InCasa_COR22D103</v>
      </c>
    </row>
    <row r="267" spans="2:72" ht="18.75" customHeight="1" x14ac:dyDescent="0.25">
      <c r="B267" s="20">
        <f t="shared" si="28"/>
        <v>104</v>
      </c>
      <c r="C267" s="22" t="str">
        <f t="shared" si="24"/>
        <v>In Casa #104</v>
      </c>
      <c r="D267" t="str">
        <f t="shared" si="25"/>
        <v>COR22D104</v>
      </c>
      <c r="E267" s="58" t="s">
        <v>252</v>
      </c>
      <c r="F267" s="20">
        <v>1000</v>
      </c>
      <c r="G267" s="14" t="s">
        <v>354</v>
      </c>
      <c r="H267" s="23" t="s">
        <v>170</v>
      </c>
      <c r="J267" s="59" t="s">
        <v>38</v>
      </c>
      <c r="K267" s="22" t="s">
        <v>254</v>
      </c>
      <c r="L267" s="59" t="s">
        <v>171</v>
      </c>
      <c r="M267" s="22">
        <v>2</v>
      </c>
      <c r="V267" s="59" t="s">
        <v>176</v>
      </c>
      <c r="AL267" s="59" t="s">
        <v>40</v>
      </c>
      <c r="AM267" s="22" t="s">
        <v>188</v>
      </c>
      <c r="AV267" s="59" t="s">
        <v>134</v>
      </c>
      <c r="AW267" s="22" t="str">
        <f>Settings!$B$5 &amp;  "?s=" &amp; D267 &amp; "&amp;platform=ftx"</f>
        <v>https://tokensol.nfluent.io?s=COR22D104&amp;platform=ftx</v>
      </c>
      <c r="AX267" s="20" t="s">
        <v>23</v>
      </c>
      <c r="AY267" s="20">
        <v>10</v>
      </c>
      <c r="AZ267" s="20" t="s">
        <v>24</v>
      </c>
      <c r="BA267" s="20">
        <v>90</v>
      </c>
      <c r="BD267" s="14"/>
      <c r="BJ267" t="s">
        <v>255</v>
      </c>
      <c r="BK267" t="s">
        <v>184</v>
      </c>
      <c r="BN267" s="36">
        <v>100</v>
      </c>
      <c r="BO267" s="36">
        <v>100</v>
      </c>
      <c r="BP267">
        <f t="shared" si="26"/>
        <v>480</v>
      </c>
      <c r="BR267" s="38">
        <v>44713</v>
      </c>
      <c r="BS267" s="20" t="s">
        <v>185</v>
      </c>
      <c r="BT267" s="20" t="str">
        <f t="shared" si="27"/>
        <v>InCasa_COR22D104</v>
      </c>
    </row>
    <row r="268" spans="2:72" ht="18.75" customHeight="1" x14ac:dyDescent="0.25">
      <c r="B268" s="20">
        <f t="shared" si="28"/>
        <v>105</v>
      </c>
      <c r="C268" s="22" t="str">
        <f t="shared" si="24"/>
        <v>In Casa #105</v>
      </c>
      <c r="D268" t="str">
        <f t="shared" si="25"/>
        <v>COR22D105</v>
      </c>
      <c r="E268" s="58" t="s">
        <v>252</v>
      </c>
      <c r="F268" s="20">
        <v>1000</v>
      </c>
      <c r="G268" s="14" t="s">
        <v>354</v>
      </c>
      <c r="H268" s="23" t="s">
        <v>170</v>
      </c>
      <c r="J268" s="59" t="s">
        <v>38</v>
      </c>
      <c r="K268" s="22" t="s">
        <v>254</v>
      </c>
      <c r="L268" s="59" t="s">
        <v>171</v>
      </c>
      <c r="M268" s="22">
        <v>2</v>
      </c>
      <c r="V268" s="59" t="s">
        <v>176</v>
      </c>
      <c r="AL268" s="59" t="s">
        <v>40</v>
      </c>
      <c r="AM268" s="22" t="s">
        <v>188</v>
      </c>
      <c r="AV268" s="59" t="s">
        <v>134</v>
      </c>
      <c r="AW268" s="22" t="str">
        <f>Settings!$B$5 &amp;  "?s=" &amp; D268 &amp; "&amp;platform=ftx"</f>
        <v>https://tokensol.nfluent.io?s=COR22D105&amp;platform=ftx</v>
      </c>
      <c r="AX268" s="20" t="s">
        <v>23</v>
      </c>
      <c r="AY268" s="20">
        <v>10</v>
      </c>
      <c r="AZ268" s="20" t="s">
        <v>24</v>
      </c>
      <c r="BA268" s="20">
        <v>90</v>
      </c>
      <c r="BD268" s="14"/>
      <c r="BJ268" t="s">
        <v>255</v>
      </c>
      <c r="BK268" t="s">
        <v>184</v>
      </c>
      <c r="BN268" s="36">
        <v>100</v>
      </c>
      <c r="BO268" s="36">
        <v>100</v>
      </c>
      <c r="BP268">
        <f t="shared" si="26"/>
        <v>480</v>
      </c>
      <c r="BR268" s="38">
        <v>44713</v>
      </c>
      <c r="BS268" s="20" t="s">
        <v>185</v>
      </c>
      <c r="BT268" s="20" t="str">
        <f t="shared" si="27"/>
        <v>InCasa_COR22D105</v>
      </c>
    </row>
    <row r="269" spans="2:72" ht="18.75" customHeight="1" x14ac:dyDescent="0.25">
      <c r="B269" s="20">
        <f t="shared" si="28"/>
        <v>106</v>
      </c>
      <c r="C269" s="22" t="str">
        <f t="shared" si="24"/>
        <v>In Casa #106</v>
      </c>
      <c r="D269" t="str">
        <f t="shared" si="25"/>
        <v>COR22D106</v>
      </c>
      <c r="E269" s="58" t="s">
        <v>252</v>
      </c>
      <c r="F269" s="20">
        <v>1000</v>
      </c>
      <c r="G269" s="14" t="s">
        <v>354</v>
      </c>
      <c r="H269" s="23" t="s">
        <v>170</v>
      </c>
      <c r="J269" s="59" t="s">
        <v>38</v>
      </c>
      <c r="K269" s="22" t="s">
        <v>254</v>
      </c>
      <c r="L269" s="59" t="s">
        <v>171</v>
      </c>
      <c r="M269" s="22">
        <v>2</v>
      </c>
      <c r="V269" s="59" t="s">
        <v>176</v>
      </c>
      <c r="AL269" s="59" t="s">
        <v>40</v>
      </c>
      <c r="AM269" s="22" t="s">
        <v>188</v>
      </c>
      <c r="AV269" s="59" t="s">
        <v>134</v>
      </c>
      <c r="AW269" s="22" t="str">
        <f>Settings!$B$5 &amp;  "?s=" &amp; D269 &amp; "&amp;platform=ftx"</f>
        <v>https://tokensol.nfluent.io?s=COR22D106&amp;platform=ftx</v>
      </c>
      <c r="AX269" s="20" t="s">
        <v>23</v>
      </c>
      <c r="AY269" s="20">
        <v>10</v>
      </c>
      <c r="AZ269" s="20" t="s">
        <v>24</v>
      </c>
      <c r="BA269" s="20">
        <v>90</v>
      </c>
      <c r="BD269" s="14"/>
      <c r="BJ269" t="s">
        <v>255</v>
      </c>
      <c r="BK269" t="s">
        <v>184</v>
      </c>
      <c r="BN269" s="36">
        <v>100</v>
      </c>
      <c r="BO269" s="36">
        <v>100</v>
      </c>
      <c r="BP269">
        <f t="shared" si="26"/>
        <v>480</v>
      </c>
      <c r="BR269" s="38">
        <v>44713</v>
      </c>
      <c r="BS269" s="20" t="s">
        <v>185</v>
      </c>
      <c r="BT269" s="20" t="str">
        <f t="shared" si="27"/>
        <v>InCasa_COR22D106</v>
      </c>
    </row>
    <row r="270" spans="2:72" ht="18.75" customHeight="1" x14ac:dyDescent="0.25">
      <c r="B270" s="20">
        <f t="shared" si="28"/>
        <v>107</v>
      </c>
      <c r="C270" s="22" t="str">
        <f t="shared" si="24"/>
        <v>In Casa #107</v>
      </c>
      <c r="D270" t="str">
        <f t="shared" si="25"/>
        <v>COR22D107</v>
      </c>
      <c r="E270" s="58" t="s">
        <v>252</v>
      </c>
      <c r="F270" s="20">
        <v>1000</v>
      </c>
      <c r="G270" s="14" t="s">
        <v>354</v>
      </c>
      <c r="H270" s="23" t="s">
        <v>170</v>
      </c>
      <c r="J270" s="59" t="s">
        <v>38</v>
      </c>
      <c r="K270" s="22" t="s">
        <v>254</v>
      </c>
      <c r="L270" s="59" t="s">
        <v>171</v>
      </c>
      <c r="M270" s="22">
        <v>2</v>
      </c>
      <c r="V270" s="59" t="s">
        <v>176</v>
      </c>
      <c r="AL270" s="59" t="s">
        <v>40</v>
      </c>
      <c r="AM270" s="22" t="s">
        <v>188</v>
      </c>
      <c r="AV270" s="59" t="s">
        <v>134</v>
      </c>
      <c r="AW270" s="22" t="str">
        <f>Settings!$B$5 &amp;  "?s=" &amp; D270 &amp; "&amp;platform=ftx"</f>
        <v>https://tokensol.nfluent.io?s=COR22D107&amp;platform=ftx</v>
      </c>
      <c r="AX270" s="20" t="s">
        <v>23</v>
      </c>
      <c r="AY270" s="20">
        <v>10</v>
      </c>
      <c r="AZ270" s="20" t="s">
        <v>24</v>
      </c>
      <c r="BA270" s="20">
        <v>90</v>
      </c>
      <c r="BD270" s="14"/>
      <c r="BJ270" t="s">
        <v>255</v>
      </c>
      <c r="BK270" t="s">
        <v>184</v>
      </c>
      <c r="BN270" s="36">
        <v>100</v>
      </c>
      <c r="BO270" s="36">
        <v>100</v>
      </c>
      <c r="BP270">
        <f t="shared" si="26"/>
        <v>480</v>
      </c>
      <c r="BR270" s="38">
        <v>44713</v>
      </c>
      <c r="BS270" s="20" t="s">
        <v>185</v>
      </c>
      <c r="BT270" s="20" t="str">
        <f t="shared" si="27"/>
        <v>InCasa_COR22D107</v>
      </c>
    </row>
    <row r="271" spans="2:72" ht="18.75" customHeight="1" x14ac:dyDescent="0.25">
      <c r="B271" s="20">
        <f t="shared" si="28"/>
        <v>108</v>
      </c>
      <c r="C271" s="22" t="str">
        <f t="shared" si="24"/>
        <v>In Casa #108</v>
      </c>
      <c r="D271" t="str">
        <f t="shared" si="25"/>
        <v>COR22D108</v>
      </c>
      <c r="E271" s="58" t="s">
        <v>252</v>
      </c>
      <c r="F271" s="20">
        <v>1000</v>
      </c>
      <c r="G271" s="14" t="s">
        <v>354</v>
      </c>
      <c r="H271" s="23" t="s">
        <v>170</v>
      </c>
      <c r="J271" s="59" t="s">
        <v>38</v>
      </c>
      <c r="K271" s="22" t="s">
        <v>254</v>
      </c>
      <c r="L271" s="59" t="s">
        <v>171</v>
      </c>
      <c r="M271" s="22">
        <v>2</v>
      </c>
      <c r="V271" s="59" t="s">
        <v>176</v>
      </c>
      <c r="AL271" s="59" t="s">
        <v>40</v>
      </c>
      <c r="AM271" s="22" t="s">
        <v>188</v>
      </c>
      <c r="AV271" s="59" t="s">
        <v>134</v>
      </c>
      <c r="AW271" s="22" t="str">
        <f>Settings!$B$5 &amp;  "?s=" &amp; D271 &amp; "&amp;platform=ftx"</f>
        <v>https://tokensol.nfluent.io?s=COR22D108&amp;platform=ftx</v>
      </c>
      <c r="AX271" s="20" t="s">
        <v>23</v>
      </c>
      <c r="AY271" s="20">
        <v>10</v>
      </c>
      <c r="AZ271" s="20" t="s">
        <v>24</v>
      </c>
      <c r="BA271" s="20">
        <v>90</v>
      </c>
      <c r="BD271" s="14"/>
      <c r="BJ271" t="s">
        <v>255</v>
      </c>
      <c r="BK271" t="s">
        <v>184</v>
      </c>
      <c r="BN271" s="36">
        <v>100</v>
      </c>
      <c r="BO271" s="36">
        <v>100</v>
      </c>
      <c r="BP271">
        <f t="shared" si="26"/>
        <v>480</v>
      </c>
      <c r="BR271" s="38">
        <v>44713</v>
      </c>
      <c r="BS271" s="20" t="s">
        <v>185</v>
      </c>
      <c r="BT271" s="20" t="str">
        <f t="shared" si="27"/>
        <v>InCasa_COR22D108</v>
      </c>
    </row>
    <row r="272" spans="2:72" ht="18.75" customHeight="1" x14ac:dyDescent="0.25">
      <c r="B272" s="20">
        <f t="shared" si="28"/>
        <v>109</v>
      </c>
      <c r="C272" s="22" t="str">
        <f t="shared" si="24"/>
        <v>In Casa #109</v>
      </c>
      <c r="D272" t="str">
        <f t="shared" si="25"/>
        <v>COR22D109</v>
      </c>
      <c r="E272" s="58" t="s">
        <v>252</v>
      </c>
      <c r="F272" s="20">
        <v>1000</v>
      </c>
      <c r="G272" s="14" t="s">
        <v>354</v>
      </c>
      <c r="H272" s="23" t="s">
        <v>170</v>
      </c>
      <c r="J272" s="59" t="s">
        <v>38</v>
      </c>
      <c r="K272" s="22" t="s">
        <v>254</v>
      </c>
      <c r="L272" s="59" t="s">
        <v>171</v>
      </c>
      <c r="M272" s="22">
        <v>2</v>
      </c>
      <c r="V272" s="59" t="s">
        <v>176</v>
      </c>
      <c r="AL272" s="59" t="s">
        <v>40</v>
      </c>
      <c r="AM272" s="22" t="s">
        <v>188</v>
      </c>
      <c r="AV272" s="59" t="s">
        <v>134</v>
      </c>
      <c r="AW272" s="22" t="str">
        <f>Settings!$B$5 &amp;  "?s=" &amp; D272 &amp; "&amp;platform=ftx"</f>
        <v>https://tokensol.nfluent.io?s=COR22D109&amp;platform=ftx</v>
      </c>
      <c r="AX272" s="20" t="s">
        <v>23</v>
      </c>
      <c r="AY272" s="20">
        <v>10</v>
      </c>
      <c r="AZ272" s="20" t="s">
        <v>24</v>
      </c>
      <c r="BA272" s="20">
        <v>90</v>
      </c>
      <c r="BD272" s="14"/>
      <c r="BJ272" t="s">
        <v>255</v>
      </c>
      <c r="BK272" t="s">
        <v>184</v>
      </c>
      <c r="BN272" s="36">
        <v>100</v>
      </c>
      <c r="BO272" s="36">
        <v>100</v>
      </c>
      <c r="BP272">
        <f t="shared" si="26"/>
        <v>480</v>
      </c>
      <c r="BR272" s="38">
        <v>44713</v>
      </c>
      <c r="BS272" s="20" t="s">
        <v>185</v>
      </c>
      <c r="BT272" s="20" t="str">
        <f t="shared" si="27"/>
        <v>InCasa_COR22D109</v>
      </c>
    </row>
    <row r="273" spans="2:72" ht="18.75" customHeight="1" x14ac:dyDescent="0.25">
      <c r="B273" s="20">
        <f t="shared" si="28"/>
        <v>110</v>
      </c>
      <c r="C273" s="22" t="str">
        <f t="shared" si="24"/>
        <v>In Casa #110</v>
      </c>
      <c r="D273" t="str">
        <f t="shared" si="25"/>
        <v>COR22D110</v>
      </c>
      <c r="E273" s="58" t="s">
        <v>252</v>
      </c>
      <c r="F273" s="20">
        <v>1000</v>
      </c>
      <c r="G273" s="14" t="s">
        <v>354</v>
      </c>
      <c r="H273" s="23" t="s">
        <v>170</v>
      </c>
      <c r="J273" s="59" t="s">
        <v>38</v>
      </c>
      <c r="K273" s="22" t="s">
        <v>254</v>
      </c>
      <c r="L273" s="59" t="s">
        <v>171</v>
      </c>
      <c r="M273" s="22">
        <v>2</v>
      </c>
      <c r="V273" s="59" t="s">
        <v>176</v>
      </c>
      <c r="AL273" s="59" t="s">
        <v>40</v>
      </c>
      <c r="AM273" s="22" t="s">
        <v>188</v>
      </c>
      <c r="AV273" s="59" t="s">
        <v>134</v>
      </c>
      <c r="AW273" s="22" t="str">
        <f>Settings!$B$5 &amp;  "?s=" &amp; D273 &amp; "&amp;platform=ftx"</f>
        <v>https://tokensol.nfluent.io?s=COR22D110&amp;platform=ftx</v>
      </c>
      <c r="AX273" s="20" t="s">
        <v>23</v>
      </c>
      <c r="AY273" s="20">
        <v>10</v>
      </c>
      <c r="AZ273" s="20" t="s">
        <v>24</v>
      </c>
      <c r="BA273" s="20">
        <v>90</v>
      </c>
      <c r="BD273" s="14"/>
      <c r="BJ273" t="s">
        <v>255</v>
      </c>
      <c r="BK273" t="s">
        <v>184</v>
      </c>
      <c r="BN273" s="36">
        <v>100</v>
      </c>
      <c r="BO273" s="36">
        <v>100</v>
      </c>
      <c r="BP273">
        <f t="shared" si="26"/>
        <v>480</v>
      </c>
      <c r="BR273" s="38">
        <v>44713</v>
      </c>
      <c r="BS273" s="20" t="s">
        <v>185</v>
      </c>
      <c r="BT273" s="20" t="str">
        <f t="shared" si="27"/>
        <v>InCasa_COR22D110</v>
      </c>
    </row>
    <row r="274" spans="2:72" ht="18.75" customHeight="1" x14ac:dyDescent="0.25">
      <c r="B274" s="20">
        <f t="shared" si="28"/>
        <v>111</v>
      </c>
      <c r="C274" s="22" t="str">
        <f t="shared" si="24"/>
        <v>In Casa #111</v>
      </c>
      <c r="D274" t="str">
        <f t="shared" si="25"/>
        <v>COR22D111</v>
      </c>
      <c r="E274" s="58" t="s">
        <v>252</v>
      </c>
      <c r="F274" s="20">
        <v>1000</v>
      </c>
      <c r="G274" s="14" t="s">
        <v>354</v>
      </c>
      <c r="H274" s="23" t="s">
        <v>170</v>
      </c>
      <c r="J274" s="59" t="s">
        <v>38</v>
      </c>
      <c r="K274" s="22" t="s">
        <v>254</v>
      </c>
      <c r="L274" s="59" t="s">
        <v>171</v>
      </c>
      <c r="M274" s="22">
        <v>2</v>
      </c>
      <c r="V274" s="59" t="s">
        <v>176</v>
      </c>
      <c r="AL274" s="59" t="s">
        <v>40</v>
      </c>
      <c r="AM274" s="22" t="s">
        <v>188</v>
      </c>
      <c r="AV274" s="59" t="s">
        <v>134</v>
      </c>
      <c r="AW274" s="22" t="str">
        <f>Settings!$B$5 &amp;  "?s=" &amp; D274 &amp; "&amp;platform=ftx"</f>
        <v>https://tokensol.nfluent.io?s=COR22D111&amp;platform=ftx</v>
      </c>
      <c r="AX274" s="20" t="s">
        <v>23</v>
      </c>
      <c r="AY274" s="20">
        <v>10</v>
      </c>
      <c r="AZ274" s="20" t="s">
        <v>24</v>
      </c>
      <c r="BA274" s="20">
        <v>90</v>
      </c>
      <c r="BD274" s="14"/>
      <c r="BJ274" t="s">
        <v>255</v>
      </c>
      <c r="BK274" t="s">
        <v>184</v>
      </c>
      <c r="BN274" s="36">
        <v>100</v>
      </c>
      <c r="BO274" s="36">
        <v>100</v>
      </c>
      <c r="BP274">
        <f t="shared" si="26"/>
        <v>480</v>
      </c>
      <c r="BR274" s="38">
        <v>44713</v>
      </c>
      <c r="BS274" s="20" t="s">
        <v>185</v>
      </c>
      <c r="BT274" s="20" t="str">
        <f t="shared" si="27"/>
        <v>InCasa_COR22D111</v>
      </c>
    </row>
    <row r="275" spans="2:72" ht="18.75" customHeight="1" x14ac:dyDescent="0.25">
      <c r="B275" s="20">
        <f t="shared" si="28"/>
        <v>112</v>
      </c>
      <c r="C275" s="22" t="str">
        <f t="shared" si="24"/>
        <v>In Casa #112</v>
      </c>
      <c r="D275" t="str">
        <f t="shared" si="25"/>
        <v>COR22D112</v>
      </c>
      <c r="E275" s="58" t="s">
        <v>252</v>
      </c>
      <c r="F275" s="20">
        <v>1000</v>
      </c>
      <c r="G275" s="14" t="s">
        <v>354</v>
      </c>
      <c r="H275" s="23" t="s">
        <v>170</v>
      </c>
      <c r="J275" s="59" t="s">
        <v>38</v>
      </c>
      <c r="K275" s="22" t="s">
        <v>254</v>
      </c>
      <c r="L275" s="59" t="s">
        <v>171</v>
      </c>
      <c r="M275" s="22">
        <v>2</v>
      </c>
      <c r="V275" s="59" t="s">
        <v>176</v>
      </c>
      <c r="AL275" s="59" t="s">
        <v>40</v>
      </c>
      <c r="AM275" s="22" t="s">
        <v>188</v>
      </c>
      <c r="AV275" s="59" t="s">
        <v>134</v>
      </c>
      <c r="AW275" s="22" t="str">
        <f>Settings!$B$5 &amp;  "?s=" &amp; D275 &amp; "&amp;platform=ftx"</f>
        <v>https://tokensol.nfluent.io?s=COR22D112&amp;platform=ftx</v>
      </c>
      <c r="AX275" s="20" t="s">
        <v>23</v>
      </c>
      <c r="AY275" s="20">
        <v>10</v>
      </c>
      <c r="AZ275" s="20" t="s">
        <v>24</v>
      </c>
      <c r="BA275" s="20">
        <v>90</v>
      </c>
      <c r="BD275" s="14"/>
      <c r="BJ275" t="s">
        <v>255</v>
      </c>
      <c r="BK275" t="s">
        <v>184</v>
      </c>
      <c r="BN275" s="36">
        <v>100</v>
      </c>
      <c r="BO275" s="36">
        <v>100</v>
      </c>
      <c r="BP275">
        <f t="shared" si="26"/>
        <v>480</v>
      </c>
      <c r="BR275" s="38">
        <v>44713</v>
      </c>
      <c r="BS275" s="20" t="s">
        <v>185</v>
      </c>
      <c r="BT275" s="20" t="str">
        <f t="shared" si="27"/>
        <v>InCasa_COR22D112</v>
      </c>
    </row>
    <row r="276" spans="2:72" ht="18.75" customHeight="1" x14ac:dyDescent="0.25">
      <c r="B276" s="20">
        <f t="shared" si="28"/>
        <v>113</v>
      </c>
      <c r="C276" s="22" t="str">
        <f t="shared" si="24"/>
        <v>In Casa #113</v>
      </c>
      <c r="D276" t="str">
        <f t="shared" si="25"/>
        <v>COR22D113</v>
      </c>
      <c r="E276" s="58" t="s">
        <v>252</v>
      </c>
      <c r="F276" s="20">
        <v>1000</v>
      </c>
      <c r="G276" s="14" t="s">
        <v>354</v>
      </c>
      <c r="H276" s="23" t="s">
        <v>170</v>
      </c>
      <c r="J276" s="59" t="s">
        <v>38</v>
      </c>
      <c r="K276" s="22" t="s">
        <v>254</v>
      </c>
      <c r="L276" s="59" t="s">
        <v>171</v>
      </c>
      <c r="M276" s="22">
        <v>2</v>
      </c>
      <c r="V276" s="59" t="s">
        <v>176</v>
      </c>
      <c r="AL276" s="59" t="s">
        <v>40</v>
      </c>
      <c r="AM276" s="22" t="s">
        <v>188</v>
      </c>
      <c r="AV276" s="59" t="s">
        <v>134</v>
      </c>
      <c r="AW276" s="22" t="str">
        <f>Settings!$B$5 &amp;  "?s=" &amp; D276 &amp; "&amp;platform=ftx"</f>
        <v>https://tokensol.nfluent.io?s=COR22D113&amp;platform=ftx</v>
      </c>
      <c r="AX276" s="20" t="s">
        <v>23</v>
      </c>
      <c r="AY276" s="20">
        <v>10</v>
      </c>
      <c r="AZ276" s="20" t="s">
        <v>24</v>
      </c>
      <c r="BA276" s="20">
        <v>90</v>
      </c>
      <c r="BD276" s="14"/>
      <c r="BJ276" t="s">
        <v>255</v>
      </c>
      <c r="BK276" t="s">
        <v>184</v>
      </c>
      <c r="BN276" s="36">
        <v>100</v>
      </c>
      <c r="BO276" s="36">
        <v>100</v>
      </c>
      <c r="BP276">
        <f t="shared" si="26"/>
        <v>480</v>
      </c>
      <c r="BR276" s="38">
        <v>44713</v>
      </c>
      <c r="BS276" s="20" t="s">
        <v>185</v>
      </c>
      <c r="BT276" s="20" t="str">
        <f t="shared" si="27"/>
        <v>InCasa_COR22D113</v>
      </c>
    </row>
    <row r="277" spans="2:72" ht="18.75" customHeight="1" x14ac:dyDescent="0.25">
      <c r="B277" s="20">
        <f t="shared" si="28"/>
        <v>114</v>
      </c>
      <c r="C277" s="22" t="str">
        <f t="shared" si="24"/>
        <v>In Casa #114</v>
      </c>
      <c r="D277" t="str">
        <f t="shared" si="25"/>
        <v>COR22D114</v>
      </c>
      <c r="E277" s="58" t="s">
        <v>252</v>
      </c>
      <c r="F277" s="20">
        <v>1000</v>
      </c>
      <c r="G277" s="14" t="s">
        <v>354</v>
      </c>
      <c r="H277" s="23" t="s">
        <v>170</v>
      </c>
      <c r="J277" s="59" t="s">
        <v>38</v>
      </c>
      <c r="K277" s="22" t="s">
        <v>254</v>
      </c>
      <c r="L277" s="59" t="s">
        <v>171</v>
      </c>
      <c r="M277" s="22">
        <v>2</v>
      </c>
      <c r="V277" s="59" t="s">
        <v>176</v>
      </c>
      <c r="AL277" s="59" t="s">
        <v>40</v>
      </c>
      <c r="AM277" s="22" t="s">
        <v>188</v>
      </c>
      <c r="AV277" s="59" t="s">
        <v>134</v>
      </c>
      <c r="AW277" s="22" t="str">
        <f>Settings!$B$5 &amp;  "?s=" &amp; D277 &amp; "&amp;platform=ftx"</f>
        <v>https://tokensol.nfluent.io?s=COR22D114&amp;platform=ftx</v>
      </c>
      <c r="AX277" s="20" t="s">
        <v>23</v>
      </c>
      <c r="AY277" s="20">
        <v>10</v>
      </c>
      <c r="AZ277" s="20" t="s">
        <v>24</v>
      </c>
      <c r="BA277" s="20">
        <v>90</v>
      </c>
      <c r="BD277" s="14"/>
      <c r="BJ277" t="s">
        <v>255</v>
      </c>
      <c r="BK277" t="s">
        <v>184</v>
      </c>
      <c r="BN277" s="36">
        <v>100</v>
      </c>
      <c r="BO277" s="36">
        <v>100</v>
      </c>
      <c r="BP277">
        <f t="shared" si="26"/>
        <v>480</v>
      </c>
      <c r="BR277" s="38">
        <v>44713</v>
      </c>
      <c r="BS277" s="20" t="s">
        <v>185</v>
      </c>
      <c r="BT277" s="20" t="str">
        <f t="shared" si="27"/>
        <v>InCasa_COR22D114</v>
      </c>
    </row>
    <row r="278" spans="2:72" ht="18.75" customHeight="1" x14ac:dyDescent="0.25">
      <c r="B278" s="20">
        <f t="shared" si="28"/>
        <v>115</v>
      </c>
      <c r="C278" s="22" t="str">
        <f t="shared" si="24"/>
        <v>In Casa #115</v>
      </c>
      <c r="D278" t="str">
        <f t="shared" si="25"/>
        <v>COR22D115</v>
      </c>
      <c r="E278" s="58" t="s">
        <v>252</v>
      </c>
      <c r="F278" s="20">
        <v>1000</v>
      </c>
      <c r="G278" s="14" t="s">
        <v>354</v>
      </c>
      <c r="H278" s="23" t="s">
        <v>170</v>
      </c>
      <c r="J278" s="59" t="s">
        <v>38</v>
      </c>
      <c r="K278" s="22" t="s">
        <v>254</v>
      </c>
      <c r="L278" s="59" t="s">
        <v>171</v>
      </c>
      <c r="M278" s="22">
        <v>2</v>
      </c>
      <c r="V278" s="59" t="s">
        <v>176</v>
      </c>
      <c r="AL278" s="59" t="s">
        <v>40</v>
      </c>
      <c r="AM278" s="22" t="s">
        <v>188</v>
      </c>
      <c r="AV278" s="59" t="s">
        <v>134</v>
      </c>
      <c r="AW278" s="22" t="str">
        <f>Settings!$B$5 &amp;  "?s=" &amp; D278 &amp; "&amp;platform=ftx"</f>
        <v>https://tokensol.nfluent.io?s=COR22D115&amp;platform=ftx</v>
      </c>
      <c r="AX278" s="20" t="s">
        <v>23</v>
      </c>
      <c r="AY278" s="20">
        <v>10</v>
      </c>
      <c r="AZ278" s="20" t="s">
        <v>24</v>
      </c>
      <c r="BA278" s="20">
        <v>90</v>
      </c>
      <c r="BD278" s="14"/>
      <c r="BJ278" t="s">
        <v>255</v>
      </c>
      <c r="BK278" t="s">
        <v>184</v>
      </c>
      <c r="BN278" s="36">
        <v>100</v>
      </c>
      <c r="BO278" s="36">
        <v>100</v>
      </c>
      <c r="BP278">
        <f t="shared" si="26"/>
        <v>480</v>
      </c>
      <c r="BR278" s="38">
        <v>44713</v>
      </c>
      <c r="BS278" s="20" t="s">
        <v>185</v>
      </c>
      <c r="BT278" s="20" t="str">
        <f t="shared" si="27"/>
        <v>InCasa_COR22D115</v>
      </c>
    </row>
    <row r="279" spans="2:72" ht="18.75" customHeight="1" x14ac:dyDescent="0.25">
      <c r="B279" s="20">
        <f t="shared" si="28"/>
        <v>116</v>
      </c>
      <c r="C279" s="22" t="str">
        <f t="shared" si="24"/>
        <v>In Casa #116</v>
      </c>
      <c r="D279" t="str">
        <f t="shared" si="25"/>
        <v>COR22D116</v>
      </c>
      <c r="E279" s="58" t="s">
        <v>252</v>
      </c>
      <c r="F279" s="20">
        <v>1000</v>
      </c>
      <c r="G279" s="14" t="s">
        <v>354</v>
      </c>
      <c r="H279" s="23" t="s">
        <v>170</v>
      </c>
      <c r="J279" s="59" t="s">
        <v>38</v>
      </c>
      <c r="K279" s="22" t="s">
        <v>254</v>
      </c>
      <c r="L279" s="59" t="s">
        <v>171</v>
      </c>
      <c r="M279" s="22">
        <v>2</v>
      </c>
      <c r="V279" s="59" t="s">
        <v>176</v>
      </c>
      <c r="AL279" s="59" t="s">
        <v>40</v>
      </c>
      <c r="AM279" s="22" t="s">
        <v>188</v>
      </c>
      <c r="AV279" s="59" t="s">
        <v>134</v>
      </c>
      <c r="AW279" s="22" t="str">
        <f>Settings!$B$5 &amp;  "?s=" &amp; D279 &amp; "&amp;platform=ftx"</f>
        <v>https://tokensol.nfluent.io?s=COR22D116&amp;platform=ftx</v>
      </c>
      <c r="AX279" s="20" t="s">
        <v>23</v>
      </c>
      <c r="AY279" s="20">
        <v>10</v>
      </c>
      <c r="AZ279" s="20" t="s">
        <v>24</v>
      </c>
      <c r="BA279" s="20">
        <v>90</v>
      </c>
      <c r="BD279" s="14"/>
      <c r="BJ279" t="s">
        <v>255</v>
      </c>
      <c r="BK279" t="s">
        <v>184</v>
      </c>
      <c r="BN279" s="36">
        <v>100</v>
      </c>
      <c r="BO279" s="36">
        <v>100</v>
      </c>
      <c r="BP279">
        <f t="shared" si="26"/>
        <v>480</v>
      </c>
      <c r="BR279" s="38">
        <v>44713</v>
      </c>
      <c r="BS279" s="20" t="s">
        <v>185</v>
      </c>
      <c r="BT279" s="20" t="str">
        <f t="shared" si="27"/>
        <v>InCasa_COR22D116</v>
      </c>
    </row>
    <row r="280" spans="2:72" ht="18.75" customHeight="1" x14ac:dyDescent="0.25">
      <c r="B280" s="20">
        <f t="shared" si="28"/>
        <v>117</v>
      </c>
      <c r="C280" s="22" t="str">
        <f t="shared" si="24"/>
        <v>In Casa #117</v>
      </c>
      <c r="D280" t="str">
        <f t="shared" si="25"/>
        <v>COR22D117</v>
      </c>
      <c r="E280" s="58" t="s">
        <v>252</v>
      </c>
      <c r="F280" s="20">
        <v>1000</v>
      </c>
      <c r="G280" s="14" t="s">
        <v>354</v>
      </c>
      <c r="H280" s="23" t="s">
        <v>170</v>
      </c>
      <c r="J280" s="59" t="s">
        <v>38</v>
      </c>
      <c r="K280" s="22" t="s">
        <v>254</v>
      </c>
      <c r="L280" s="59" t="s">
        <v>171</v>
      </c>
      <c r="M280" s="22">
        <v>2</v>
      </c>
      <c r="V280" s="59" t="s">
        <v>176</v>
      </c>
      <c r="AL280" s="59" t="s">
        <v>40</v>
      </c>
      <c r="AM280" s="22" t="s">
        <v>188</v>
      </c>
      <c r="AV280" s="59" t="s">
        <v>134</v>
      </c>
      <c r="AW280" s="22" t="str">
        <f>Settings!$B$5 &amp;  "?s=" &amp; D280 &amp; "&amp;platform=ftx"</f>
        <v>https://tokensol.nfluent.io?s=COR22D117&amp;platform=ftx</v>
      </c>
      <c r="AX280" s="20" t="s">
        <v>23</v>
      </c>
      <c r="AY280" s="20">
        <v>10</v>
      </c>
      <c r="AZ280" s="20" t="s">
        <v>24</v>
      </c>
      <c r="BA280" s="20">
        <v>90</v>
      </c>
      <c r="BD280" s="14"/>
      <c r="BJ280" t="s">
        <v>255</v>
      </c>
      <c r="BK280" t="s">
        <v>184</v>
      </c>
      <c r="BN280" s="36">
        <v>100</v>
      </c>
      <c r="BO280" s="36">
        <v>100</v>
      </c>
      <c r="BP280">
        <f t="shared" si="26"/>
        <v>480</v>
      </c>
      <c r="BR280" s="38">
        <v>44713</v>
      </c>
      <c r="BS280" s="20" t="s">
        <v>185</v>
      </c>
      <c r="BT280" s="20" t="str">
        <f t="shared" si="27"/>
        <v>InCasa_COR22D117</v>
      </c>
    </row>
    <row r="281" spans="2:72" ht="18.75" customHeight="1" x14ac:dyDescent="0.25">
      <c r="B281" s="20">
        <f t="shared" si="28"/>
        <v>118</v>
      </c>
      <c r="C281" s="22" t="str">
        <f t="shared" si="24"/>
        <v>In Casa #118</v>
      </c>
      <c r="D281" t="str">
        <f t="shared" si="25"/>
        <v>COR22D118</v>
      </c>
      <c r="E281" s="58" t="s">
        <v>252</v>
      </c>
      <c r="F281" s="20">
        <v>1000</v>
      </c>
      <c r="G281" s="14" t="s">
        <v>354</v>
      </c>
      <c r="H281" s="23" t="s">
        <v>170</v>
      </c>
      <c r="J281" s="59" t="s">
        <v>38</v>
      </c>
      <c r="K281" s="22" t="s">
        <v>254</v>
      </c>
      <c r="L281" s="59" t="s">
        <v>171</v>
      </c>
      <c r="M281" s="22">
        <v>2</v>
      </c>
      <c r="V281" s="59" t="s">
        <v>176</v>
      </c>
      <c r="AL281" s="59" t="s">
        <v>40</v>
      </c>
      <c r="AM281" s="22" t="s">
        <v>188</v>
      </c>
      <c r="AV281" s="59" t="s">
        <v>134</v>
      </c>
      <c r="AW281" s="22" t="str">
        <f>Settings!$B$5 &amp;  "?s=" &amp; D281 &amp; "&amp;platform=ftx"</f>
        <v>https://tokensol.nfluent.io?s=COR22D118&amp;platform=ftx</v>
      </c>
      <c r="AX281" s="20" t="s">
        <v>23</v>
      </c>
      <c r="AY281" s="20">
        <v>10</v>
      </c>
      <c r="AZ281" s="20" t="s">
        <v>24</v>
      </c>
      <c r="BA281" s="20">
        <v>90</v>
      </c>
      <c r="BD281" s="14"/>
      <c r="BJ281" t="s">
        <v>255</v>
      </c>
      <c r="BK281" t="s">
        <v>184</v>
      </c>
      <c r="BN281" s="36">
        <v>100</v>
      </c>
      <c r="BO281" s="36">
        <v>100</v>
      </c>
      <c r="BP281">
        <f t="shared" si="26"/>
        <v>480</v>
      </c>
      <c r="BR281" s="38">
        <v>44713</v>
      </c>
      <c r="BS281" s="20" t="s">
        <v>185</v>
      </c>
      <c r="BT281" s="20" t="str">
        <f t="shared" si="27"/>
        <v>InCasa_COR22D118</v>
      </c>
    </row>
    <row r="282" spans="2:72" ht="18.75" customHeight="1" x14ac:dyDescent="0.25">
      <c r="B282" s="20">
        <f t="shared" si="28"/>
        <v>119</v>
      </c>
      <c r="C282" s="22" t="str">
        <f t="shared" si="24"/>
        <v>In Casa #119</v>
      </c>
      <c r="D282" t="str">
        <f t="shared" si="25"/>
        <v>COR22D119</v>
      </c>
      <c r="E282" s="58" t="s">
        <v>252</v>
      </c>
      <c r="F282" s="20">
        <v>1000</v>
      </c>
      <c r="G282" s="14" t="s">
        <v>354</v>
      </c>
      <c r="H282" s="23" t="s">
        <v>170</v>
      </c>
      <c r="J282" s="59" t="s">
        <v>38</v>
      </c>
      <c r="K282" s="22" t="s">
        <v>254</v>
      </c>
      <c r="L282" s="59" t="s">
        <v>171</v>
      </c>
      <c r="M282" s="22">
        <v>2</v>
      </c>
      <c r="V282" s="59" t="s">
        <v>176</v>
      </c>
      <c r="AL282" s="59" t="s">
        <v>40</v>
      </c>
      <c r="AM282" s="22" t="s">
        <v>188</v>
      </c>
      <c r="AV282" s="59" t="s">
        <v>134</v>
      </c>
      <c r="AW282" s="22" t="str">
        <f>Settings!$B$5 &amp;  "?s=" &amp; D282 &amp; "&amp;platform=ftx"</f>
        <v>https://tokensol.nfluent.io?s=COR22D119&amp;platform=ftx</v>
      </c>
      <c r="AX282" s="20" t="s">
        <v>23</v>
      </c>
      <c r="AY282" s="20">
        <v>10</v>
      </c>
      <c r="AZ282" s="20" t="s">
        <v>24</v>
      </c>
      <c r="BA282" s="20">
        <v>90</v>
      </c>
      <c r="BD282" s="14"/>
      <c r="BJ282" t="s">
        <v>255</v>
      </c>
      <c r="BK282" t="s">
        <v>184</v>
      </c>
      <c r="BN282" s="36">
        <v>100</v>
      </c>
      <c r="BO282" s="36">
        <v>100</v>
      </c>
      <c r="BP282">
        <f t="shared" si="26"/>
        <v>480</v>
      </c>
      <c r="BR282" s="38">
        <v>44713</v>
      </c>
      <c r="BS282" s="20" t="s">
        <v>185</v>
      </c>
      <c r="BT282" s="20" t="str">
        <f t="shared" si="27"/>
        <v>InCasa_COR22D119</v>
      </c>
    </row>
    <row r="283" spans="2:72" ht="18.75" customHeight="1" x14ac:dyDescent="0.25">
      <c r="B283" s="20">
        <f t="shared" si="28"/>
        <v>120</v>
      </c>
      <c r="C283" s="22" t="str">
        <f t="shared" si="24"/>
        <v>In Casa #120</v>
      </c>
      <c r="D283" t="str">
        <f t="shared" si="25"/>
        <v>COR22D120</v>
      </c>
      <c r="E283" s="58" t="s">
        <v>252</v>
      </c>
      <c r="F283" s="20">
        <v>1000</v>
      </c>
      <c r="G283" s="14" t="s">
        <v>354</v>
      </c>
      <c r="H283" s="23" t="s">
        <v>170</v>
      </c>
      <c r="J283" s="59" t="s">
        <v>38</v>
      </c>
      <c r="K283" s="22" t="s">
        <v>254</v>
      </c>
      <c r="L283" s="59" t="s">
        <v>171</v>
      </c>
      <c r="M283" s="22">
        <v>2</v>
      </c>
      <c r="V283" s="59" t="s">
        <v>176</v>
      </c>
      <c r="AL283" s="59" t="s">
        <v>40</v>
      </c>
      <c r="AM283" s="22" t="s">
        <v>188</v>
      </c>
      <c r="AV283" s="59" t="s">
        <v>134</v>
      </c>
      <c r="AW283" s="22" t="str">
        <f>Settings!$B$5 &amp;  "?s=" &amp; D283 &amp; "&amp;platform=ftx"</f>
        <v>https://tokensol.nfluent.io?s=COR22D120&amp;platform=ftx</v>
      </c>
      <c r="AX283" s="20" t="s">
        <v>23</v>
      </c>
      <c r="AY283" s="20">
        <v>10</v>
      </c>
      <c r="AZ283" s="20" t="s">
        <v>24</v>
      </c>
      <c r="BA283" s="20">
        <v>90</v>
      </c>
      <c r="BD283" s="14"/>
      <c r="BJ283" t="s">
        <v>255</v>
      </c>
      <c r="BK283" t="s">
        <v>184</v>
      </c>
      <c r="BN283" s="36">
        <v>100</v>
      </c>
      <c r="BO283" s="36">
        <v>100</v>
      </c>
      <c r="BP283">
        <f t="shared" si="26"/>
        <v>480</v>
      </c>
      <c r="BR283" s="38">
        <v>44713</v>
      </c>
      <c r="BS283" s="20" t="s">
        <v>185</v>
      </c>
      <c r="BT283" s="20" t="str">
        <f t="shared" si="27"/>
        <v>InCasa_COR22D120</v>
      </c>
    </row>
    <row r="284" spans="2:72" ht="18.75" customHeight="1" x14ac:dyDescent="0.25">
      <c r="B284" s="20">
        <f t="shared" si="28"/>
        <v>121</v>
      </c>
      <c r="C284" s="22" t="str">
        <f t="shared" si="24"/>
        <v>In Casa #121</v>
      </c>
      <c r="D284" t="str">
        <f t="shared" si="25"/>
        <v>COR22D121</v>
      </c>
      <c r="E284" s="58" t="s">
        <v>252</v>
      </c>
      <c r="F284" s="20">
        <v>1000</v>
      </c>
      <c r="G284" s="14" t="s">
        <v>354</v>
      </c>
      <c r="H284" s="23" t="s">
        <v>170</v>
      </c>
      <c r="J284" s="59" t="s">
        <v>38</v>
      </c>
      <c r="K284" s="22" t="s">
        <v>254</v>
      </c>
      <c r="L284" s="59" t="s">
        <v>171</v>
      </c>
      <c r="M284" s="22">
        <v>2</v>
      </c>
      <c r="V284" s="59" t="s">
        <v>176</v>
      </c>
      <c r="AL284" s="59" t="s">
        <v>40</v>
      </c>
      <c r="AM284" s="22" t="s">
        <v>188</v>
      </c>
      <c r="AV284" s="59" t="s">
        <v>134</v>
      </c>
      <c r="AW284" s="22" t="str">
        <f>Settings!$B$5 &amp;  "?s=" &amp; D284 &amp; "&amp;platform=ftx"</f>
        <v>https://tokensol.nfluent.io?s=COR22D121&amp;platform=ftx</v>
      </c>
      <c r="AX284" s="20" t="s">
        <v>23</v>
      </c>
      <c r="AY284" s="20">
        <v>10</v>
      </c>
      <c r="AZ284" s="20" t="s">
        <v>24</v>
      </c>
      <c r="BA284" s="20">
        <v>90</v>
      </c>
      <c r="BD284" s="14"/>
      <c r="BJ284" t="s">
        <v>255</v>
      </c>
      <c r="BK284" t="s">
        <v>184</v>
      </c>
      <c r="BN284" s="36">
        <v>100</v>
      </c>
      <c r="BO284" s="36">
        <v>100</v>
      </c>
      <c r="BP284">
        <f t="shared" si="26"/>
        <v>480</v>
      </c>
      <c r="BR284" s="38">
        <v>44713</v>
      </c>
      <c r="BS284" s="20" t="s">
        <v>185</v>
      </c>
      <c r="BT284" s="20" t="str">
        <f t="shared" si="27"/>
        <v>InCasa_COR22D121</v>
      </c>
    </row>
    <row r="285" spans="2:72" ht="18.75" customHeight="1" x14ac:dyDescent="0.25">
      <c r="B285" s="20">
        <f t="shared" si="28"/>
        <v>122</v>
      </c>
      <c r="C285" s="22" t="str">
        <f t="shared" si="24"/>
        <v>In Casa #122</v>
      </c>
      <c r="D285" t="str">
        <f t="shared" si="25"/>
        <v>COR22D122</v>
      </c>
      <c r="E285" s="58" t="s">
        <v>252</v>
      </c>
      <c r="F285" s="20">
        <v>1000</v>
      </c>
      <c r="G285" s="14" t="s">
        <v>354</v>
      </c>
      <c r="H285" s="23" t="s">
        <v>170</v>
      </c>
      <c r="J285" s="59" t="s">
        <v>38</v>
      </c>
      <c r="K285" s="22" t="s">
        <v>254</v>
      </c>
      <c r="L285" s="59" t="s">
        <v>171</v>
      </c>
      <c r="M285" s="22">
        <v>2</v>
      </c>
      <c r="V285" s="59" t="s">
        <v>176</v>
      </c>
      <c r="AL285" s="59" t="s">
        <v>40</v>
      </c>
      <c r="AM285" s="22" t="s">
        <v>188</v>
      </c>
      <c r="AV285" s="59" t="s">
        <v>134</v>
      </c>
      <c r="AW285" s="22" t="str">
        <f>Settings!$B$5 &amp;  "?s=" &amp; D285 &amp; "&amp;platform=ftx"</f>
        <v>https://tokensol.nfluent.io?s=COR22D122&amp;platform=ftx</v>
      </c>
      <c r="AX285" s="20" t="s">
        <v>23</v>
      </c>
      <c r="AY285" s="20">
        <v>10</v>
      </c>
      <c r="AZ285" s="20" t="s">
        <v>24</v>
      </c>
      <c r="BA285" s="20">
        <v>90</v>
      </c>
      <c r="BD285" s="14"/>
      <c r="BJ285" t="s">
        <v>255</v>
      </c>
      <c r="BK285" t="s">
        <v>184</v>
      </c>
      <c r="BN285" s="36">
        <v>100</v>
      </c>
      <c r="BO285" s="36">
        <v>100</v>
      </c>
      <c r="BP285">
        <f t="shared" si="26"/>
        <v>480</v>
      </c>
      <c r="BR285" s="38">
        <v>44713</v>
      </c>
      <c r="BS285" s="20" t="s">
        <v>185</v>
      </c>
      <c r="BT285" s="20" t="str">
        <f t="shared" si="27"/>
        <v>InCasa_COR22D122</v>
      </c>
    </row>
    <row r="286" spans="2:72" ht="18.75" customHeight="1" x14ac:dyDescent="0.25">
      <c r="B286" s="20">
        <f t="shared" si="28"/>
        <v>123</v>
      </c>
      <c r="C286" s="22" t="str">
        <f t="shared" si="24"/>
        <v>In Casa #123</v>
      </c>
      <c r="D286" t="str">
        <f t="shared" si="25"/>
        <v>COR22D123</v>
      </c>
      <c r="E286" s="58" t="s">
        <v>252</v>
      </c>
      <c r="F286" s="20">
        <v>1000</v>
      </c>
      <c r="G286" s="14" t="s">
        <v>354</v>
      </c>
      <c r="H286" s="23" t="s">
        <v>170</v>
      </c>
      <c r="J286" s="59" t="s">
        <v>38</v>
      </c>
      <c r="K286" s="22" t="s">
        <v>254</v>
      </c>
      <c r="L286" s="59" t="s">
        <v>171</v>
      </c>
      <c r="M286" s="22">
        <v>2</v>
      </c>
      <c r="V286" s="59" t="s">
        <v>176</v>
      </c>
      <c r="AL286" s="59" t="s">
        <v>40</v>
      </c>
      <c r="AM286" s="22" t="s">
        <v>188</v>
      </c>
      <c r="AV286" s="59" t="s">
        <v>134</v>
      </c>
      <c r="AW286" s="22" t="str">
        <f>Settings!$B$5 &amp;  "?s=" &amp; D286 &amp; "&amp;platform=ftx"</f>
        <v>https://tokensol.nfluent.io?s=COR22D123&amp;platform=ftx</v>
      </c>
      <c r="AX286" s="20" t="s">
        <v>23</v>
      </c>
      <c r="AY286" s="20">
        <v>10</v>
      </c>
      <c r="AZ286" s="20" t="s">
        <v>24</v>
      </c>
      <c r="BA286" s="20">
        <v>90</v>
      </c>
      <c r="BD286" s="14"/>
      <c r="BJ286" t="s">
        <v>255</v>
      </c>
      <c r="BK286" t="s">
        <v>184</v>
      </c>
      <c r="BN286" s="36">
        <v>100</v>
      </c>
      <c r="BO286" s="36">
        <v>100</v>
      </c>
      <c r="BP286">
        <f t="shared" si="26"/>
        <v>480</v>
      </c>
      <c r="BR286" s="38">
        <v>44713</v>
      </c>
      <c r="BS286" s="20" t="s">
        <v>185</v>
      </c>
      <c r="BT286" s="20" t="str">
        <f t="shared" si="27"/>
        <v>InCasa_COR22D123</v>
      </c>
    </row>
    <row r="287" spans="2:72" ht="18.75" customHeight="1" x14ac:dyDescent="0.25">
      <c r="B287" s="20">
        <f t="shared" si="28"/>
        <v>124</v>
      </c>
      <c r="C287" s="22" t="str">
        <f t="shared" si="24"/>
        <v>In Casa #124</v>
      </c>
      <c r="D287" t="str">
        <f t="shared" si="25"/>
        <v>COR22D124</v>
      </c>
      <c r="E287" s="58" t="s">
        <v>252</v>
      </c>
      <c r="F287" s="20">
        <v>1000</v>
      </c>
      <c r="G287" s="14" t="s">
        <v>354</v>
      </c>
      <c r="H287" s="23" t="s">
        <v>170</v>
      </c>
      <c r="J287" s="59" t="s">
        <v>38</v>
      </c>
      <c r="K287" s="22" t="s">
        <v>254</v>
      </c>
      <c r="L287" s="59" t="s">
        <v>171</v>
      </c>
      <c r="M287" s="22">
        <v>2</v>
      </c>
      <c r="V287" s="59" t="s">
        <v>176</v>
      </c>
      <c r="AL287" s="59" t="s">
        <v>40</v>
      </c>
      <c r="AM287" s="22" t="s">
        <v>188</v>
      </c>
      <c r="AV287" s="59" t="s">
        <v>134</v>
      </c>
      <c r="AW287" s="22" t="str">
        <f>Settings!$B$5 &amp;  "?s=" &amp; D287 &amp; "&amp;platform=ftx"</f>
        <v>https://tokensol.nfluent.io?s=COR22D124&amp;platform=ftx</v>
      </c>
      <c r="AX287" s="20" t="s">
        <v>23</v>
      </c>
      <c r="AY287" s="20">
        <v>10</v>
      </c>
      <c r="AZ287" s="20" t="s">
        <v>24</v>
      </c>
      <c r="BA287" s="20">
        <v>90</v>
      </c>
      <c r="BD287" s="14"/>
      <c r="BJ287" t="s">
        <v>255</v>
      </c>
      <c r="BK287" t="s">
        <v>184</v>
      </c>
      <c r="BN287" s="36">
        <v>100</v>
      </c>
      <c r="BO287" s="36">
        <v>100</v>
      </c>
      <c r="BP287">
        <f t="shared" si="26"/>
        <v>480</v>
      </c>
      <c r="BR287" s="38">
        <v>44713</v>
      </c>
      <c r="BS287" s="20" t="s">
        <v>185</v>
      </c>
      <c r="BT287" s="20" t="str">
        <f t="shared" si="27"/>
        <v>InCasa_COR22D124</v>
      </c>
    </row>
    <row r="288" spans="2:72" ht="18.75" customHeight="1" x14ac:dyDescent="0.25">
      <c r="B288" s="20">
        <f t="shared" si="28"/>
        <v>125</v>
      </c>
      <c r="C288" s="22" t="str">
        <f t="shared" si="24"/>
        <v>In Casa #125</v>
      </c>
      <c r="D288" t="str">
        <f t="shared" si="25"/>
        <v>COR22D125</v>
      </c>
      <c r="E288" s="58" t="s">
        <v>252</v>
      </c>
      <c r="F288" s="20">
        <v>1000</v>
      </c>
      <c r="G288" s="14" t="s">
        <v>354</v>
      </c>
      <c r="H288" s="23" t="s">
        <v>170</v>
      </c>
      <c r="J288" s="59" t="s">
        <v>38</v>
      </c>
      <c r="K288" s="22" t="s">
        <v>254</v>
      </c>
      <c r="L288" s="59" t="s">
        <v>171</v>
      </c>
      <c r="M288" s="22">
        <v>2</v>
      </c>
      <c r="V288" s="59" t="s">
        <v>176</v>
      </c>
      <c r="AL288" s="59" t="s">
        <v>40</v>
      </c>
      <c r="AM288" s="22" t="s">
        <v>188</v>
      </c>
      <c r="AV288" s="59" t="s">
        <v>134</v>
      </c>
      <c r="AW288" s="22" t="str">
        <f>Settings!$B$5 &amp;  "?s=" &amp; D288 &amp; "&amp;platform=ftx"</f>
        <v>https://tokensol.nfluent.io?s=COR22D125&amp;platform=ftx</v>
      </c>
      <c r="AX288" s="20" t="s">
        <v>23</v>
      </c>
      <c r="AY288" s="20">
        <v>10</v>
      </c>
      <c r="AZ288" s="20" t="s">
        <v>24</v>
      </c>
      <c r="BA288" s="20">
        <v>90</v>
      </c>
      <c r="BD288" s="14"/>
      <c r="BJ288" t="s">
        <v>255</v>
      </c>
      <c r="BK288" t="s">
        <v>184</v>
      </c>
      <c r="BN288" s="36">
        <v>100</v>
      </c>
      <c r="BO288" s="36">
        <v>100</v>
      </c>
      <c r="BP288">
        <f t="shared" si="26"/>
        <v>480</v>
      </c>
      <c r="BR288" s="38">
        <v>44713</v>
      </c>
      <c r="BS288" s="20" t="s">
        <v>185</v>
      </c>
      <c r="BT288" s="20" t="str">
        <f t="shared" si="27"/>
        <v>InCasa_COR22D125</v>
      </c>
    </row>
    <row r="289" spans="2:72" ht="18.75" customHeight="1" x14ac:dyDescent="0.25">
      <c r="B289" s="20">
        <f t="shared" si="28"/>
        <v>126</v>
      </c>
      <c r="C289" s="22" t="str">
        <f t="shared" si="24"/>
        <v>In Casa #126</v>
      </c>
      <c r="D289" t="str">
        <f t="shared" si="25"/>
        <v>COR22D126</v>
      </c>
      <c r="E289" s="58" t="s">
        <v>252</v>
      </c>
      <c r="F289" s="20">
        <v>1000</v>
      </c>
      <c r="G289" s="14" t="s">
        <v>354</v>
      </c>
      <c r="H289" s="23" t="s">
        <v>170</v>
      </c>
      <c r="J289" s="59" t="s">
        <v>38</v>
      </c>
      <c r="K289" s="22" t="s">
        <v>254</v>
      </c>
      <c r="L289" s="59" t="s">
        <v>171</v>
      </c>
      <c r="M289" s="22">
        <v>2</v>
      </c>
      <c r="V289" s="59" t="s">
        <v>176</v>
      </c>
      <c r="AL289" s="59" t="s">
        <v>40</v>
      </c>
      <c r="AM289" s="22" t="s">
        <v>188</v>
      </c>
      <c r="AV289" s="59" t="s">
        <v>134</v>
      </c>
      <c r="AW289" s="22" t="str">
        <f>Settings!$B$5 &amp;  "?s=" &amp; D289 &amp; "&amp;platform=ftx"</f>
        <v>https://tokensol.nfluent.io?s=COR22D126&amp;platform=ftx</v>
      </c>
      <c r="AX289" s="20" t="s">
        <v>23</v>
      </c>
      <c r="AY289" s="20">
        <v>10</v>
      </c>
      <c r="AZ289" s="20" t="s">
        <v>24</v>
      </c>
      <c r="BA289" s="20">
        <v>90</v>
      </c>
      <c r="BD289" s="14"/>
      <c r="BJ289" t="s">
        <v>255</v>
      </c>
      <c r="BK289" t="s">
        <v>184</v>
      </c>
      <c r="BN289" s="36">
        <v>100</v>
      </c>
      <c r="BO289" s="36">
        <v>100</v>
      </c>
      <c r="BP289">
        <f t="shared" si="26"/>
        <v>480</v>
      </c>
      <c r="BR289" s="38">
        <v>44713</v>
      </c>
      <c r="BS289" s="20" t="s">
        <v>185</v>
      </c>
      <c r="BT289" s="20" t="str">
        <f t="shared" si="27"/>
        <v>InCasa_COR22D126</v>
      </c>
    </row>
    <row r="290" spans="2:72" ht="18.75" customHeight="1" x14ac:dyDescent="0.25">
      <c r="B290" s="20">
        <f t="shared" si="28"/>
        <v>127</v>
      </c>
      <c r="C290" s="22" t="str">
        <f t="shared" si="24"/>
        <v>In Casa #127</v>
      </c>
      <c r="D290" t="str">
        <f t="shared" si="25"/>
        <v>COR22D127</v>
      </c>
      <c r="E290" s="58" t="s">
        <v>252</v>
      </c>
      <c r="F290" s="20">
        <v>1000</v>
      </c>
      <c r="G290" s="14" t="s">
        <v>354</v>
      </c>
      <c r="H290" s="23" t="s">
        <v>170</v>
      </c>
      <c r="J290" s="59" t="s">
        <v>38</v>
      </c>
      <c r="K290" s="22" t="s">
        <v>254</v>
      </c>
      <c r="L290" s="59" t="s">
        <v>171</v>
      </c>
      <c r="M290" s="22">
        <v>2</v>
      </c>
      <c r="V290" s="59" t="s">
        <v>176</v>
      </c>
      <c r="AL290" s="59" t="s">
        <v>40</v>
      </c>
      <c r="AM290" s="22" t="s">
        <v>188</v>
      </c>
      <c r="AV290" s="59" t="s">
        <v>134</v>
      </c>
      <c r="AW290" s="22" t="str">
        <f>Settings!$B$5 &amp;  "?s=" &amp; D290 &amp; "&amp;platform=ftx"</f>
        <v>https://tokensol.nfluent.io?s=COR22D127&amp;platform=ftx</v>
      </c>
      <c r="AX290" s="20" t="s">
        <v>23</v>
      </c>
      <c r="AY290" s="20">
        <v>10</v>
      </c>
      <c r="AZ290" s="20" t="s">
        <v>24</v>
      </c>
      <c r="BA290" s="20">
        <v>90</v>
      </c>
      <c r="BD290" s="14"/>
      <c r="BJ290" t="s">
        <v>255</v>
      </c>
      <c r="BK290" t="s">
        <v>184</v>
      </c>
      <c r="BN290" s="36">
        <v>100</v>
      </c>
      <c r="BO290" s="36">
        <v>100</v>
      </c>
      <c r="BP290">
        <f t="shared" si="26"/>
        <v>480</v>
      </c>
      <c r="BR290" s="38">
        <v>44713</v>
      </c>
      <c r="BS290" s="20" t="s">
        <v>185</v>
      </c>
      <c r="BT290" s="20" t="str">
        <f t="shared" si="27"/>
        <v>InCasa_COR22D127</v>
      </c>
    </row>
    <row r="291" spans="2:72" ht="18.75" customHeight="1" x14ac:dyDescent="0.25">
      <c r="B291" s="20">
        <f t="shared" si="28"/>
        <v>128</v>
      </c>
      <c r="C291" s="22" t="str">
        <f t="shared" si="24"/>
        <v>In Casa #128</v>
      </c>
      <c r="D291" t="str">
        <f t="shared" si="25"/>
        <v>COR22D128</v>
      </c>
      <c r="E291" s="58" t="s">
        <v>252</v>
      </c>
      <c r="F291" s="20">
        <v>1000</v>
      </c>
      <c r="G291" s="14" t="s">
        <v>354</v>
      </c>
      <c r="H291" s="23" t="s">
        <v>170</v>
      </c>
      <c r="J291" s="59" t="s">
        <v>38</v>
      </c>
      <c r="K291" s="22" t="s">
        <v>254</v>
      </c>
      <c r="L291" s="59" t="s">
        <v>171</v>
      </c>
      <c r="M291" s="22">
        <v>2</v>
      </c>
      <c r="V291" s="59" t="s">
        <v>176</v>
      </c>
      <c r="AL291" s="59" t="s">
        <v>40</v>
      </c>
      <c r="AM291" s="22" t="s">
        <v>188</v>
      </c>
      <c r="AV291" s="59" t="s">
        <v>134</v>
      </c>
      <c r="AW291" s="22" t="str">
        <f>Settings!$B$5 &amp;  "?s=" &amp; D291 &amp; "&amp;platform=ftx"</f>
        <v>https://tokensol.nfluent.io?s=COR22D128&amp;platform=ftx</v>
      </c>
      <c r="AX291" s="20" t="s">
        <v>23</v>
      </c>
      <c r="AY291" s="20">
        <v>10</v>
      </c>
      <c r="AZ291" s="20" t="s">
        <v>24</v>
      </c>
      <c r="BA291" s="20">
        <v>90</v>
      </c>
      <c r="BD291" s="14"/>
      <c r="BJ291" t="s">
        <v>255</v>
      </c>
      <c r="BK291" t="s">
        <v>184</v>
      </c>
      <c r="BN291" s="36">
        <v>100</v>
      </c>
      <c r="BO291" s="36">
        <v>100</v>
      </c>
      <c r="BP291">
        <f t="shared" si="26"/>
        <v>480</v>
      </c>
      <c r="BR291" s="38">
        <v>44713</v>
      </c>
      <c r="BS291" s="20" t="s">
        <v>185</v>
      </c>
      <c r="BT291" s="20" t="str">
        <f t="shared" si="27"/>
        <v>InCasa_COR22D128</v>
      </c>
    </row>
    <row r="292" spans="2:72" ht="18.75" customHeight="1" x14ac:dyDescent="0.25">
      <c r="B292" s="20">
        <f t="shared" si="28"/>
        <v>129</v>
      </c>
      <c r="C292" s="22" t="str">
        <f t="shared" si="24"/>
        <v>In Casa #129</v>
      </c>
      <c r="D292" t="str">
        <f t="shared" si="25"/>
        <v>COR22D129</v>
      </c>
      <c r="E292" s="58" t="s">
        <v>252</v>
      </c>
      <c r="F292" s="20">
        <v>1000</v>
      </c>
      <c r="G292" s="14" t="s">
        <v>354</v>
      </c>
      <c r="H292" s="23" t="s">
        <v>170</v>
      </c>
      <c r="J292" s="59" t="s">
        <v>38</v>
      </c>
      <c r="K292" s="22" t="s">
        <v>254</v>
      </c>
      <c r="L292" s="59" t="s">
        <v>171</v>
      </c>
      <c r="M292" s="22">
        <v>2</v>
      </c>
      <c r="V292" s="59" t="s">
        <v>176</v>
      </c>
      <c r="AL292" s="59" t="s">
        <v>40</v>
      </c>
      <c r="AM292" s="22" t="s">
        <v>188</v>
      </c>
      <c r="AV292" s="59" t="s">
        <v>134</v>
      </c>
      <c r="AW292" s="22" t="str">
        <f>Settings!$B$5 &amp;  "?s=" &amp; D292 &amp; "&amp;platform=ftx"</f>
        <v>https://tokensol.nfluent.io?s=COR22D129&amp;platform=ftx</v>
      </c>
      <c r="AX292" s="20" t="s">
        <v>23</v>
      </c>
      <c r="AY292" s="20">
        <v>10</v>
      </c>
      <c r="AZ292" s="20" t="s">
        <v>24</v>
      </c>
      <c r="BA292" s="20">
        <v>90</v>
      </c>
      <c r="BD292" s="14"/>
      <c r="BJ292" t="s">
        <v>255</v>
      </c>
      <c r="BK292" t="s">
        <v>184</v>
      </c>
      <c r="BN292" s="36">
        <v>100</v>
      </c>
      <c r="BO292" s="36">
        <v>100</v>
      </c>
      <c r="BP292">
        <f t="shared" si="26"/>
        <v>480</v>
      </c>
      <c r="BR292" s="38">
        <v>44713</v>
      </c>
      <c r="BS292" s="20" t="s">
        <v>185</v>
      </c>
      <c r="BT292" s="20" t="str">
        <f t="shared" si="27"/>
        <v>InCasa_COR22D129</v>
      </c>
    </row>
    <row r="293" spans="2:72" ht="18.75" customHeight="1" x14ac:dyDescent="0.25">
      <c r="B293" s="20">
        <f t="shared" si="28"/>
        <v>130</v>
      </c>
      <c r="C293" s="22" t="str">
        <f t="shared" ref="C293:C356" si="29">+"In Casa #"&amp;B293</f>
        <v>In Casa #130</v>
      </c>
      <c r="D293" t="str">
        <f t="shared" ref="D293:D356" si="30">"COR22D"&amp;B293</f>
        <v>COR22D130</v>
      </c>
      <c r="E293" s="58" t="s">
        <v>252</v>
      </c>
      <c r="F293" s="20">
        <v>1000</v>
      </c>
      <c r="G293" s="14" t="s">
        <v>354</v>
      </c>
      <c r="H293" s="23" t="s">
        <v>170</v>
      </c>
      <c r="J293" s="59" t="s">
        <v>38</v>
      </c>
      <c r="K293" s="22" t="s">
        <v>254</v>
      </c>
      <c r="L293" s="59" t="s">
        <v>171</v>
      </c>
      <c r="M293" s="22">
        <v>2</v>
      </c>
      <c r="V293" s="59" t="s">
        <v>176</v>
      </c>
      <c r="AL293" s="59" t="s">
        <v>40</v>
      </c>
      <c r="AM293" s="22" t="s">
        <v>188</v>
      </c>
      <c r="AV293" s="59" t="s">
        <v>134</v>
      </c>
      <c r="AW293" s="22" t="str">
        <f>Settings!$B$5 &amp;  "?s=" &amp; D293 &amp; "&amp;platform=ftx"</f>
        <v>https://tokensol.nfluent.io?s=COR22D130&amp;platform=ftx</v>
      </c>
      <c r="AX293" s="20" t="s">
        <v>23</v>
      </c>
      <c r="AY293" s="20">
        <v>10</v>
      </c>
      <c r="AZ293" s="20" t="s">
        <v>24</v>
      </c>
      <c r="BA293" s="20">
        <v>90</v>
      </c>
      <c r="BD293" s="14"/>
      <c r="BJ293" t="s">
        <v>255</v>
      </c>
      <c r="BK293" t="s">
        <v>184</v>
      </c>
      <c r="BN293" s="36">
        <v>100</v>
      </c>
      <c r="BO293" s="36">
        <v>100</v>
      </c>
      <c r="BP293">
        <f t="shared" ref="BP293:BP356" si="31">24*20</f>
        <v>480</v>
      </c>
      <c r="BR293" s="38">
        <v>44713</v>
      </c>
      <c r="BS293" s="20" t="s">
        <v>185</v>
      </c>
      <c r="BT293" s="20" t="str">
        <f t="shared" si="27"/>
        <v>InCasa_COR22D130</v>
      </c>
    </row>
    <row r="294" spans="2:72" ht="18.75" customHeight="1" x14ac:dyDescent="0.25">
      <c r="B294" s="20">
        <f t="shared" si="28"/>
        <v>131</v>
      </c>
      <c r="C294" s="22" t="str">
        <f t="shared" si="29"/>
        <v>In Casa #131</v>
      </c>
      <c r="D294" t="str">
        <f t="shared" si="30"/>
        <v>COR22D131</v>
      </c>
      <c r="E294" s="58" t="s">
        <v>252</v>
      </c>
      <c r="F294" s="20">
        <v>1000</v>
      </c>
      <c r="G294" s="14" t="s">
        <v>354</v>
      </c>
      <c r="H294" s="23" t="s">
        <v>170</v>
      </c>
      <c r="J294" s="59" t="s">
        <v>38</v>
      </c>
      <c r="K294" s="22" t="s">
        <v>254</v>
      </c>
      <c r="L294" s="59" t="s">
        <v>171</v>
      </c>
      <c r="M294" s="22">
        <v>2</v>
      </c>
      <c r="V294" s="59" t="s">
        <v>176</v>
      </c>
      <c r="AL294" s="59" t="s">
        <v>40</v>
      </c>
      <c r="AM294" s="22" t="s">
        <v>188</v>
      </c>
      <c r="AV294" s="59" t="s">
        <v>134</v>
      </c>
      <c r="AW294" s="22" t="str">
        <f>Settings!$B$5 &amp;  "?s=" &amp; D294 &amp; "&amp;platform=ftx"</f>
        <v>https://tokensol.nfluent.io?s=COR22D131&amp;platform=ftx</v>
      </c>
      <c r="AX294" s="20" t="s">
        <v>23</v>
      </c>
      <c r="AY294" s="20">
        <v>10</v>
      </c>
      <c r="AZ294" s="20" t="s">
        <v>24</v>
      </c>
      <c r="BA294" s="20">
        <v>90</v>
      </c>
      <c r="BD294" s="14"/>
      <c r="BJ294" t="s">
        <v>255</v>
      </c>
      <c r="BK294" t="s">
        <v>184</v>
      </c>
      <c r="BN294" s="36">
        <v>100</v>
      </c>
      <c r="BO294" s="36">
        <v>100</v>
      </c>
      <c r="BP294">
        <f t="shared" si="31"/>
        <v>480</v>
      </c>
      <c r="BR294" s="38">
        <v>44713</v>
      </c>
      <c r="BS294" s="20" t="s">
        <v>185</v>
      </c>
      <c r="BT294" s="20" t="str">
        <f t="shared" si="27"/>
        <v>InCasa_COR22D131</v>
      </c>
    </row>
    <row r="295" spans="2:72" ht="18.75" customHeight="1" x14ac:dyDescent="0.25">
      <c r="B295" s="20">
        <f t="shared" si="28"/>
        <v>132</v>
      </c>
      <c r="C295" s="22" t="str">
        <f t="shared" si="29"/>
        <v>In Casa #132</v>
      </c>
      <c r="D295" t="str">
        <f t="shared" si="30"/>
        <v>COR22D132</v>
      </c>
      <c r="E295" s="58" t="s">
        <v>252</v>
      </c>
      <c r="F295" s="20">
        <v>1000</v>
      </c>
      <c r="G295" s="14" t="s">
        <v>354</v>
      </c>
      <c r="H295" s="23" t="s">
        <v>170</v>
      </c>
      <c r="J295" s="59" t="s">
        <v>38</v>
      </c>
      <c r="K295" s="22" t="s">
        <v>254</v>
      </c>
      <c r="L295" s="59" t="s">
        <v>171</v>
      </c>
      <c r="M295" s="22">
        <v>2</v>
      </c>
      <c r="V295" s="59" t="s">
        <v>176</v>
      </c>
      <c r="AL295" s="59" t="s">
        <v>40</v>
      </c>
      <c r="AM295" s="22" t="s">
        <v>188</v>
      </c>
      <c r="AV295" s="59" t="s">
        <v>134</v>
      </c>
      <c r="AW295" s="22" t="str">
        <f>Settings!$B$5 &amp;  "?s=" &amp; D295 &amp; "&amp;platform=ftx"</f>
        <v>https://tokensol.nfluent.io?s=COR22D132&amp;platform=ftx</v>
      </c>
      <c r="AX295" s="20" t="s">
        <v>23</v>
      </c>
      <c r="AY295" s="20">
        <v>10</v>
      </c>
      <c r="AZ295" s="20" t="s">
        <v>24</v>
      </c>
      <c r="BA295" s="20">
        <v>90</v>
      </c>
      <c r="BD295" s="14"/>
      <c r="BJ295" t="s">
        <v>255</v>
      </c>
      <c r="BK295" t="s">
        <v>184</v>
      </c>
      <c r="BN295" s="36">
        <v>100</v>
      </c>
      <c r="BO295" s="36">
        <v>100</v>
      </c>
      <c r="BP295">
        <f t="shared" si="31"/>
        <v>480</v>
      </c>
      <c r="BR295" s="38">
        <v>44713</v>
      </c>
      <c r="BS295" s="20" t="s">
        <v>185</v>
      </c>
      <c r="BT295" s="20" t="str">
        <f t="shared" si="27"/>
        <v>InCasa_COR22D132</v>
      </c>
    </row>
    <row r="296" spans="2:72" ht="18.75" customHeight="1" x14ac:dyDescent="0.25">
      <c r="B296" s="20">
        <f t="shared" si="28"/>
        <v>133</v>
      </c>
      <c r="C296" s="22" t="str">
        <f t="shared" si="29"/>
        <v>In Casa #133</v>
      </c>
      <c r="D296" t="str">
        <f t="shared" si="30"/>
        <v>COR22D133</v>
      </c>
      <c r="E296" s="58" t="s">
        <v>252</v>
      </c>
      <c r="F296" s="20">
        <v>1000</v>
      </c>
      <c r="G296" s="14" t="s">
        <v>354</v>
      </c>
      <c r="H296" s="23" t="s">
        <v>170</v>
      </c>
      <c r="J296" s="59" t="s">
        <v>38</v>
      </c>
      <c r="K296" s="22" t="s">
        <v>254</v>
      </c>
      <c r="L296" s="59" t="s">
        <v>171</v>
      </c>
      <c r="M296" s="22">
        <v>2</v>
      </c>
      <c r="V296" s="59" t="s">
        <v>176</v>
      </c>
      <c r="AL296" s="59" t="s">
        <v>40</v>
      </c>
      <c r="AM296" s="22" t="s">
        <v>188</v>
      </c>
      <c r="AV296" s="59" t="s">
        <v>134</v>
      </c>
      <c r="AW296" s="22" t="str">
        <f>Settings!$B$5 &amp;  "?s=" &amp; D296 &amp; "&amp;platform=ftx"</f>
        <v>https://tokensol.nfluent.io?s=COR22D133&amp;platform=ftx</v>
      </c>
      <c r="AX296" s="20" t="s">
        <v>23</v>
      </c>
      <c r="AY296" s="20">
        <v>10</v>
      </c>
      <c r="AZ296" s="20" t="s">
        <v>24</v>
      </c>
      <c r="BA296" s="20">
        <v>90</v>
      </c>
      <c r="BD296" s="14"/>
      <c r="BJ296" t="s">
        <v>255</v>
      </c>
      <c r="BK296" t="s">
        <v>184</v>
      </c>
      <c r="BN296" s="36">
        <v>100</v>
      </c>
      <c r="BO296" s="36">
        <v>100</v>
      </c>
      <c r="BP296">
        <f t="shared" si="31"/>
        <v>480</v>
      </c>
      <c r="BR296" s="38">
        <v>44713</v>
      </c>
      <c r="BS296" s="20" t="s">
        <v>185</v>
      </c>
      <c r="BT296" s="20" t="str">
        <f t="shared" si="27"/>
        <v>InCasa_COR22D133</v>
      </c>
    </row>
    <row r="297" spans="2:72" ht="18.75" customHeight="1" x14ac:dyDescent="0.25">
      <c r="B297" s="20">
        <f t="shared" si="28"/>
        <v>134</v>
      </c>
      <c r="C297" s="22" t="str">
        <f t="shared" si="29"/>
        <v>In Casa #134</v>
      </c>
      <c r="D297" t="str">
        <f t="shared" si="30"/>
        <v>COR22D134</v>
      </c>
      <c r="E297" s="58" t="s">
        <v>252</v>
      </c>
      <c r="F297" s="20">
        <v>1000</v>
      </c>
      <c r="G297" s="14" t="s">
        <v>354</v>
      </c>
      <c r="H297" s="23" t="s">
        <v>170</v>
      </c>
      <c r="J297" s="59" t="s">
        <v>38</v>
      </c>
      <c r="K297" s="22" t="s">
        <v>254</v>
      </c>
      <c r="L297" s="59" t="s">
        <v>171</v>
      </c>
      <c r="M297" s="22">
        <v>2</v>
      </c>
      <c r="V297" s="59" t="s">
        <v>176</v>
      </c>
      <c r="AL297" s="59" t="s">
        <v>40</v>
      </c>
      <c r="AM297" s="22" t="s">
        <v>188</v>
      </c>
      <c r="AV297" s="59" t="s">
        <v>134</v>
      </c>
      <c r="AW297" s="22" t="str">
        <f>Settings!$B$5 &amp;  "?s=" &amp; D297 &amp; "&amp;platform=ftx"</f>
        <v>https://tokensol.nfluent.io?s=COR22D134&amp;platform=ftx</v>
      </c>
      <c r="AX297" s="20" t="s">
        <v>23</v>
      </c>
      <c r="AY297" s="20">
        <v>10</v>
      </c>
      <c r="AZ297" s="20" t="s">
        <v>24</v>
      </c>
      <c r="BA297" s="20">
        <v>90</v>
      </c>
      <c r="BD297" s="14"/>
      <c r="BJ297" t="s">
        <v>255</v>
      </c>
      <c r="BK297" t="s">
        <v>184</v>
      </c>
      <c r="BN297" s="36">
        <v>100</v>
      </c>
      <c r="BO297" s="36">
        <v>100</v>
      </c>
      <c r="BP297">
        <f t="shared" si="31"/>
        <v>480</v>
      </c>
      <c r="BR297" s="38">
        <v>44713</v>
      </c>
      <c r="BS297" s="20" t="s">
        <v>185</v>
      </c>
      <c r="BT297" s="20" t="str">
        <f t="shared" si="27"/>
        <v>InCasa_COR22D134</v>
      </c>
    </row>
    <row r="298" spans="2:72" ht="18.75" customHeight="1" x14ac:dyDescent="0.25">
      <c r="B298" s="20">
        <f t="shared" si="28"/>
        <v>135</v>
      </c>
      <c r="C298" s="22" t="str">
        <f t="shared" si="29"/>
        <v>In Casa #135</v>
      </c>
      <c r="D298" t="str">
        <f t="shared" si="30"/>
        <v>COR22D135</v>
      </c>
      <c r="E298" s="58" t="s">
        <v>252</v>
      </c>
      <c r="F298" s="20">
        <v>1000</v>
      </c>
      <c r="G298" s="14" t="s">
        <v>354</v>
      </c>
      <c r="H298" s="23" t="s">
        <v>170</v>
      </c>
      <c r="J298" s="59" t="s">
        <v>38</v>
      </c>
      <c r="K298" s="22" t="s">
        <v>254</v>
      </c>
      <c r="L298" s="59" t="s">
        <v>171</v>
      </c>
      <c r="M298" s="22">
        <v>2</v>
      </c>
      <c r="V298" s="59" t="s">
        <v>176</v>
      </c>
      <c r="AL298" s="59" t="s">
        <v>40</v>
      </c>
      <c r="AM298" s="22" t="s">
        <v>188</v>
      </c>
      <c r="AV298" s="59" t="s">
        <v>134</v>
      </c>
      <c r="AW298" s="22" t="str">
        <f>Settings!$B$5 &amp;  "?s=" &amp; D298 &amp; "&amp;platform=ftx"</f>
        <v>https://tokensol.nfluent.io?s=COR22D135&amp;platform=ftx</v>
      </c>
      <c r="AX298" s="20" t="s">
        <v>23</v>
      </c>
      <c r="AY298" s="20">
        <v>10</v>
      </c>
      <c r="AZ298" s="20" t="s">
        <v>24</v>
      </c>
      <c r="BA298" s="20">
        <v>90</v>
      </c>
      <c r="BD298" s="14"/>
      <c r="BJ298" t="s">
        <v>255</v>
      </c>
      <c r="BK298" t="s">
        <v>184</v>
      </c>
      <c r="BN298" s="36">
        <v>100</v>
      </c>
      <c r="BO298" s="36">
        <v>100</v>
      </c>
      <c r="BP298">
        <f t="shared" si="31"/>
        <v>480</v>
      </c>
      <c r="BR298" s="38">
        <v>44713</v>
      </c>
      <c r="BS298" s="20" t="s">
        <v>185</v>
      </c>
      <c r="BT298" s="20" t="str">
        <f t="shared" si="27"/>
        <v>InCasa_COR22D135</v>
      </c>
    </row>
    <row r="299" spans="2:72" ht="18.75" customHeight="1" x14ac:dyDescent="0.25">
      <c r="B299" s="20">
        <f t="shared" si="28"/>
        <v>136</v>
      </c>
      <c r="C299" s="22" t="str">
        <f t="shared" si="29"/>
        <v>In Casa #136</v>
      </c>
      <c r="D299" t="str">
        <f t="shared" si="30"/>
        <v>COR22D136</v>
      </c>
      <c r="E299" s="58" t="s">
        <v>252</v>
      </c>
      <c r="F299" s="20">
        <v>1000</v>
      </c>
      <c r="G299" s="14" t="s">
        <v>354</v>
      </c>
      <c r="H299" s="23" t="s">
        <v>170</v>
      </c>
      <c r="J299" s="59" t="s">
        <v>38</v>
      </c>
      <c r="K299" s="22" t="s">
        <v>254</v>
      </c>
      <c r="L299" s="59" t="s">
        <v>171</v>
      </c>
      <c r="M299" s="22">
        <v>2</v>
      </c>
      <c r="V299" s="59" t="s">
        <v>176</v>
      </c>
      <c r="AL299" s="59" t="s">
        <v>40</v>
      </c>
      <c r="AM299" s="22" t="s">
        <v>188</v>
      </c>
      <c r="AV299" s="59" t="s">
        <v>134</v>
      </c>
      <c r="AW299" s="22" t="str">
        <f>Settings!$B$5 &amp;  "?s=" &amp; D299 &amp; "&amp;platform=ftx"</f>
        <v>https://tokensol.nfluent.io?s=COR22D136&amp;platform=ftx</v>
      </c>
      <c r="AX299" s="20" t="s">
        <v>23</v>
      </c>
      <c r="AY299" s="20">
        <v>10</v>
      </c>
      <c r="AZ299" s="20" t="s">
        <v>24</v>
      </c>
      <c r="BA299" s="20">
        <v>90</v>
      </c>
      <c r="BD299" s="14"/>
      <c r="BJ299" t="s">
        <v>255</v>
      </c>
      <c r="BK299" t="s">
        <v>184</v>
      </c>
      <c r="BN299" s="36">
        <v>100</v>
      </c>
      <c r="BO299" s="36">
        <v>100</v>
      </c>
      <c r="BP299">
        <f t="shared" si="31"/>
        <v>480</v>
      </c>
      <c r="BR299" s="38">
        <v>44713</v>
      </c>
      <c r="BS299" s="20" t="s">
        <v>185</v>
      </c>
      <c r="BT299" s="20" t="str">
        <f t="shared" si="27"/>
        <v>InCasa_COR22D136</v>
      </c>
    </row>
    <row r="300" spans="2:72" ht="18.75" customHeight="1" x14ac:dyDescent="0.25">
      <c r="B300" s="20">
        <f t="shared" si="28"/>
        <v>137</v>
      </c>
      <c r="C300" s="22" t="str">
        <f t="shared" si="29"/>
        <v>In Casa #137</v>
      </c>
      <c r="D300" t="str">
        <f t="shared" si="30"/>
        <v>COR22D137</v>
      </c>
      <c r="E300" s="58" t="s">
        <v>252</v>
      </c>
      <c r="F300" s="20">
        <v>1000</v>
      </c>
      <c r="G300" s="14" t="s">
        <v>354</v>
      </c>
      <c r="H300" s="23" t="s">
        <v>170</v>
      </c>
      <c r="J300" s="59" t="s">
        <v>38</v>
      </c>
      <c r="K300" s="22" t="s">
        <v>254</v>
      </c>
      <c r="L300" s="59" t="s">
        <v>171</v>
      </c>
      <c r="M300" s="22">
        <v>2</v>
      </c>
      <c r="V300" s="59" t="s">
        <v>176</v>
      </c>
      <c r="AL300" s="59" t="s">
        <v>40</v>
      </c>
      <c r="AM300" s="22" t="s">
        <v>188</v>
      </c>
      <c r="AV300" s="59" t="s">
        <v>134</v>
      </c>
      <c r="AW300" s="22" t="str">
        <f>Settings!$B$5 &amp;  "?s=" &amp; D300 &amp; "&amp;platform=ftx"</f>
        <v>https://tokensol.nfluent.io?s=COR22D137&amp;platform=ftx</v>
      </c>
      <c r="AX300" s="20" t="s">
        <v>23</v>
      </c>
      <c r="AY300" s="20">
        <v>10</v>
      </c>
      <c r="AZ300" s="20" t="s">
        <v>24</v>
      </c>
      <c r="BA300" s="20">
        <v>90</v>
      </c>
      <c r="BD300" s="14"/>
      <c r="BJ300" t="s">
        <v>255</v>
      </c>
      <c r="BK300" t="s">
        <v>184</v>
      </c>
      <c r="BN300" s="36">
        <v>100</v>
      </c>
      <c r="BO300" s="36">
        <v>100</v>
      </c>
      <c r="BP300">
        <f t="shared" si="31"/>
        <v>480</v>
      </c>
      <c r="BR300" s="38">
        <v>44713</v>
      </c>
      <c r="BS300" s="20" t="s">
        <v>185</v>
      </c>
      <c r="BT300" s="20" t="str">
        <f t="shared" si="27"/>
        <v>InCasa_COR22D137</v>
      </c>
    </row>
    <row r="301" spans="2:72" ht="18.75" customHeight="1" x14ac:dyDescent="0.25">
      <c r="B301" s="20">
        <f t="shared" si="28"/>
        <v>138</v>
      </c>
      <c r="C301" s="22" t="str">
        <f t="shared" si="29"/>
        <v>In Casa #138</v>
      </c>
      <c r="D301" t="str">
        <f t="shared" si="30"/>
        <v>COR22D138</v>
      </c>
      <c r="E301" s="58" t="s">
        <v>252</v>
      </c>
      <c r="F301" s="20">
        <v>1000</v>
      </c>
      <c r="G301" s="14" t="s">
        <v>354</v>
      </c>
      <c r="H301" s="23" t="s">
        <v>170</v>
      </c>
      <c r="J301" s="59" t="s">
        <v>38</v>
      </c>
      <c r="K301" s="22" t="s">
        <v>254</v>
      </c>
      <c r="L301" s="59" t="s">
        <v>171</v>
      </c>
      <c r="M301" s="22">
        <v>2</v>
      </c>
      <c r="V301" s="59" t="s">
        <v>176</v>
      </c>
      <c r="AL301" s="59" t="s">
        <v>40</v>
      </c>
      <c r="AM301" s="22" t="s">
        <v>188</v>
      </c>
      <c r="AV301" s="59" t="s">
        <v>134</v>
      </c>
      <c r="AW301" s="22" t="str">
        <f>Settings!$B$5 &amp;  "?s=" &amp; D301 &amp; "&amp;platform=ftx"</f>
        <v>https://tokensol.nfluent.io?s=COR22D138&amp;platform=ftx</v>
      </c>
      <c r="AX301" s="20" t="s">
        <v>23</v>
      </c>
      <c r="AY301" s="20">
        <v>10</v>
      </c>
      <c r="AZ301" s="20" t="s">
        <v>24</v>
      </c>
      <c r="BA301" s="20">
        <v>90</v>
      </c>
      <c r="BD301" s="14"/>
      <c r="BJ301" t="s">
        <v>255</v>
      </c>
      <c r="BK301" t="s">
        <v>184</v>
      </c>
      <c r="BN301" s="36">
        <v>100</v>
      </c>
      <c r="BO301" s="36">
        <v>100</v>
      </c>
      <c r="BP301">
        <f t="shared" si="31"/>
        <v>480</v>
      </c>
      <c r="BR301" s="38">
        <v>44713</v>
      </c>
      <c r="BS301" s="20" t="s">
        <v>185</v>
      </c>
      <c r="BT301" s="20" t="str">
        <f t="shared" si="27"/>
        <v>InCasa_COR22D138</v>
      </c>
    </row>
    <row r="302" spans="2:72" ht="18.75" customHeight="1" x14ac:dyDescent="0.25">
      <c r="B302" s="20">
        <f t="shared" si="28"/>
        <v>139</v>
      </c>
      <c r="C302" s="22" t="str">
        <f t="shared" si="29"/>
        <v>In Casa #139</v>
      </c>
      <c r="D302" t="str">
        <f t="shared" si="30"/>
        <v>COR22D139</v>
      </c>
      <c r="E302" s="58" t="s">
        <v>252</v>
      </c>
      <c r="F302" s="20">
        <v>1000</v>
      </c>
      <c r="G302" s="14" t="s">
        <v>354</v>
      </c>
      <c r="H302" s="23" t="s">
        <v>170</v>
      </c>
      <c r="J302" s="59" t="s">
        <v>38</v>
      </c>
      <c r="K302" s="22" t="s">
        <v>254</v>
      </c>
      <c r="L302" s="59" t="s">
        <v>171</v>
      </c>
      <c r="M302" s="22">
        <v>2</v>
      </c>
      <c r="V302" s="59" t="s">
        <v>176</v>
      </c>
      <c r="AL302" s="59" t="s">
        <v>40</v>
      </c>
      <c r="AM302" s="22" t="s">
        <v>188</v>
      </c>
      <c r="AV302" s="59" t="s">
        <v>134</v>
      </c>
      <c r="AW302" s="22" t="str">
        <f>Settings!$B$5 &amp;  "?s=" &amp; D302 &amp; "&amp;platform=ftx"</f>
        <v>https://tokensol.nfluent.io?s=COR22D139&amp;platform=ftx</v>
      </c>
      <c r="AX302" s="20" t="s">
        <v>23</v>
      </c>
      <c r="AY302" s="20">
        <v>10</v>
      </c>
      <c r="AZ302" s="20" t="s">
        <v>24</v>
      </c>
      <c r="BA302" s="20">
        <v>90</v>
      </c>
      <c r="BD302" s="14"/>
      <c r="BJ302" t="s">
        <v>255</v>
      </c>
      <c r="BK302" t="s">
        <v>184</v>
      </c>
      <c r="BN302" s="36">
        <v>100</v>
      </c>
      <c r="BO302" s="36">
        <v>100</v>
      </c>
      <c r="BP302">
        <f t="shared" si="31"/>
        <v>480</v>
      </c>
      <c r="BR302" s="38">
        <v>44713</v>
      </c>
      <c r="BS302" s="20" t="s">
        <v>185</v>
      </c>
      <c r="BT302" s="20" t="str">
        <f t="shared" si="27"/>
        <v>InCasa_COR22D139</v>
      </c>
    </row>
    <row r="303" spans="2:72" ht="18.75" customHeight="1" x14ac:dyDescent="0.25">
      <c r="B303" s="20">
        <f t="shared" si="28"/>
        <v>140</v>
      </c>
      <c r="C303" s="22" t="str">
        <f t="shared" si="29"/>
        <v>In Casa #140</v>
      </c>
      <c r="D303" t="str">
        <f t="shared" si="30"/>
        <v>COR22D140</v>
      </c>
      <c r="E303" s="58" t="s">
        <v>252</v>
      </c>
      <c r="F303" s="20">
        <v>1000</v>
      </c>
      <c r="G303" s="14" t="s">
        <v>354</v>
      </c>
      <c r="H303" s="23" t="s">
        <v>170</v>
      </c>
      <c r="J303" s="59" t="s">
        <v>38</v>
      </c>
      <c r="K303" s="22" t="s">
        <v>254</v>
      </c>
      <c r="L303" s="59" t="s">
        <v>171</v>
      </c>
      <c r="M303" s="22">
        <v>2</v>
      </c>
      <c r="V303" s="59" t="s">
        <v>176</v>
      </c>
      <c r="AL303" s="59" t="s">
        <v>40</v>
      </c>
      <c r="AM303" s="22" t="s">
        <v>188</v>
      </c>
      <c r="AV303" s="59" t="s">
        <v>134</v>
      </c>
      <c r="AW303" s="22" t="str">
        <f>Settings!$B$5 &amp;  "?s=" &amp; D303 &amp; "&amp;platform=ftx"</f>
        <v>https://tokensol.nfluent.io?s=COR22D140&amp;platform=ftx</v>
      </c>
      <c r="AX303" s="20" t="s">
        <v>23</v>
      </c>
      <c r="AY303" s="20">
        <v>10</v>
      </c>
      <c r="AZ303" s="20" t="s">
        <v>24</v>
      </c>
      <c r="BA303" s="20">
        <v>90</v>
      </c>
      <c r="BD303" s="14"/>
      <c r="BJ303" t="s">
        <v>255</v>
      </c>
      <c r="BK303" t="s">
        <v>184</v>
      </c>
      <c r="BN303" s="36">
        <v>100</v>
      </c>
      <c r="BO303" s="36">
        <v>100</v>
      </c>
      <c r="BP303">
        <f t="shared" si="31"/>
        <v>480</v>
      </c>
      <c r="BR303" s="38">
        <v>44713</v>
      </c>
      <c r="BS303" s="20" t="s">
        <v>185</v>
      </c>
      <c r="BT303" s="20" t="str">
        <f t="shared" si="27"/>
        <v>InCasa_COR22D140</v>
      </c>
    </row>
    <row r="304" spans="2:72" ht="18.75" customHeight="1" x14ac:dyDescent="0.25">
      <c r="B304" s="20">
        <f t="shared" si="28"/>
        <v>141</v>
      </c>
      <c r="C304" s="22" t="str">
        <f t="shared" si="29"/>
        <v>In Casa #141</v>
      </c>
      <c r="D304" t="str">
        <f t="shared" si="30"/>
        <v>COR22D141</v>
      </c>
      <c r="E304" s="58" t="s">
        <v>252</v>
      </c>
      <c r="F304" s="20">
        <v>1000</v>
      </c>
      <c r="G304" s="14" t="s">
        <v>354</v>
      </c>
      <c r="H304" s="23" t="s">
        <v>170</v>
      </c>
      <c r="J304" s="59" t="s">
        <v>38</v>
      </c>
      <c r="K304" s="22" t="s">
        <v>254</v>
      </c>
      <c r="L304" s="59" t="s">
        <v>171</v>
      </c>
      <c r="M304" s="22">
        <v>2</v>
      </c>
      <c r="V304" s="59" t="s">
        <v>176</v>
      </c>
      <c r="AL304" s="59" t="s">
        <v>40</v>
      </c>
      <c r="AM304" s="22" t="s">
        <v>188</v>
      </c>
      <c r="AV304" s="59" t="s">
        <v>134</v>
      </c>
      <c r="AW304" s="22" t="str">
        <f>Settings!$B$5 &amp;  "?s=" &amp; D304 &amp; "&amp;platform=ftx"</f>
        <v>https://tokensol.nfluent.io?s=COR22D141&amp;platform=ftx</v>
      </c>
      <c r="AX304" s="20" t="s">
        <v>23</v>
      </c>
      <c r="AY304" s="20">
        <v>10</v>
      </c>
      <c r="AZ304" s="20" t="s">
        <v>24</v>
      </c>
      <c r="BA304" s="20">
        <v>90</v>
      </c>
      <c r="BD304" s="14"/>
      <c r="BJ304" t="s">
        <v>255</v>
      </c>
      <c r="BK304" t="s">
        <v>184</v>
      </c>
      <c r="BN304" s="36">
        <v>100</v>
      </c>
      <c r="BO304" s="36">
        <v>100</v>
      </c>
      <c r="BP304">
        <f t="shared" si="31"/>
        <v>480</v>
      </c>
      <c r="BR304" s="38">
        <v>44713</v>
      </c>
      <c r="BS304" s="20" t="s">
        <v>185</v>
      </c>
      <c r="BT304" s="20" t="str">
        <f t="shared" si="27"/>
        <v>InCasa_COR22D141</v>
      </c>
    </row>
    <row r="305" spans="2:72" ht="18.75" customHeight="1" x14ac:dyDescent="0.25">
      <c r="B305" s="20">
        <f t="shared" si="28"/>
        <v>142</v>
      </c>
      <c r="C305" s="22" t="str">
        <f t="shared" si="29"/>
        <v>In Casa #142</v>
      </c>
      <c r="D305" t="str">
        <f t="shared" si="30"/>
        <v>COR22D142</v>
      </c>
      <c r="E305" s="58" t="s">
        <v>252</v>
      </c>
      <c r="F305" s="20">
        <v>1000</v>
      </c>
      <c r="G305" s="14" t="s">
        <v>354</v>
      </c>
      <c r="H305" s="23" t="s">
        <v>170</v>
      </c>
      <c r="J305" s="59" t="s">
        <v>38</v>
      </c>
      <c r="K305" s="22" t="s">
        <v>254</v>
      </c>
      <c r="L305" s="59" t="s">
        <v>171</v>
      </c>
      <c r="M305" s="22">
        <v>2</v>
      </c>
      <c r="V305" s="59" t="s">
        <v>176</v>
      </c>
      <c r="AL305" s="59" t="s">
        <v>40</v>
      </c>
      <c r="AM305" s="22" t="s">
        <v>188</v>
      </c>
      <c r="AV305" s="59" t="s">
        <v>134</v>
      </c>
      <c r="AW305" s="22" t="str">
        <f>Settings!$B$5 &amp;  "?s=" &amp; D305 &amp; "&amp;platform=ftx"</f>
        <v>https://tokensol.nfluent.io?s=COR22D142&amp;platform=ftx</v>
      </c>
      <c r="AX305" s="20" t="s">
        <v>23</v>
      </c>
      <c r="AY305" s="20">
        <v>10</v>
      </c>
      <c r="AZ305" s="20" t="s">
        <v>24</v>
      </c>
      <c r="BA305" s="20">
        <v>90</v>
      </c>
      <c r="BD305" s="14"/>
      <c r="BJ305" t="s">
        <v>255</v>
      </c>
      <c r="BK305" t="s">
        <v>184</v>
      </c>
      <c r="BN305" s="36">
        <v>100</v>
      </c>
      <c r="BO305" s="36">
        <v>100</v>
      </c>
      <c r="BP305">
        <f t="shared" si="31"/>
        <v>480</v>
      </c>
      <c r="BR305" s="38">
        <v>44713</v>
      </c>
      <c r="BS305" s="20" t="s">
        <v>185</v>
      </c>
      <c r="BT305" s="20" t="str">
        <f t="shared" si="27"/>
        <v>InCasa_COR22D142</v>
      </c>
    </row>
    <row r="306" spans="2:72" ht="18.75" customHeight="1" x14ac:dyDescent="0.25">
      <c r="B306" s="20">
        <f t="shared" si="28"/>
        <v>143</v>
      </c>
      <c r="C306" s="22" t="str">
        <f t="shared" si="29"/>
        <v>In Casa #143</v>
      </c>
      <c r="D306" t="str">
        <f t="shared" si="30"/>
        <v>COR22D143</v>
      </c>
      <c r="E306" s="58" t="s">
        <v>252</v>
      </c>
      <c r="F306" s="20">
        <v>1000</v>
      </c>
      <c r="G306" s="14" t="s">
        <v>354</v>
      </c>
      <c r="H306" s="23" t="s">
        <v>170</v>
      </c>
      <c r="J306" s="59" t="s">
        <v>38</v>
      </c>
      <c r="K306" s="22" t="s">
        <v>254</v>
      </c>
      <c r="L306" s="59" t="s">
        <v>171</v>
      </c>
      <c r="M306" s="22">
        <v>2</v>
      </c>
      <c r="V306" s="59" t="s">
        <v>176</v>
      </c>
      <c r="AL306" s="59" t="s">
        <v>40</v>
      </c>
      <c r="AM306" s="22" t="s">
        <v>188</v>
      </c>
      <c r="AV306" s="59" t="s">
        <v>134</v>
      </c>
      <c r="AW306" s="22" t="str">
        <f>Settings!$B$5 &amp;  "?s=" &amp; D306 &amp; "&amp;platform=ftx"</f>
        <v>https://tokensol.nfluent.io?s=COR22D143&amp;platform=ftx</v>
      </c>
      <c r="AX306" s="20" t="s">
        <v>23</v>
      </c>
      <c r="AY306" s="20">
        <v>10</v>
      </c>
      <c r="AZ306" s="20" t="s">
        <v>24</v>
      </c>
      <c r="BA306" s="20">
        <v>90</v>
      </c>
      <c r="BD306" s="14"/>
      <c r="BJ306" t="s">
        <v>255</v>
      </c>
      <c r="BK306" t="s">
        <v>184</v>
      </c>
      <c r="BN306" s="36">
        <v>100</v>
      </c>
      <c r="BO306" s="36">
        <v>100</v>
      </c>
      <c r="BP306">
        <f t="shared" si="31"/>
        <v>480</v>
      </c>
      <c r="BR306" s="38">
        <v>44713</v>
      </c>
      <c r="BS306" s="20" t="s">
        <v>185</v>
      </c>
      <c r="BT306" s="20" t="str">
        <f t="shared" si="27"/>
        <v>InCasa_COR22D143</v>
      </c>
    </row>
    <row r="307" spans="2:72" ht="18.75" customHeight="1" x14ac:dyDescent="0.25">
      <c r="B307" s="20">
        <f t="shared" si="28"/>
        <v>144</v>
      </c>
      <c r="C307" s="22" t="str">
        <f t="shared" si="29"/>
        <v>In Casa #144</v>
      </c>
      <c r="D307" t="str">
        <f t="shared" si="30"/>
        <v>COR22D144</v>
      </c>
      <c r="E307" s="58" t="s">
        <v>252</v>
      </c>
      <c r="F307" s="20">
        <v>1000</v>
      </c>
      <c r="G307" s="14" t="s">
        <v>354</v>
      </c>
      <c r="H307" s="23" t="s">
        <v>170</v>
      </c>
      <c r="J307" s="59" t="s">
        <v>38</v>
      </c>
      <c r="K307" s="22" t="s">
        <v>254</v>
      </c>
      <c r="L307" s="59" t="s">
        <v>171</v>
      </c>
      <c r="M307" s="22">
        <v>2</v>
      </c>
      <c r="V307" s="59" t="s">
        <v>176</v>
      </c>
      <c r="AL307" s="59" t="s">
        <v>40</v>
      </c>
      <c r="AM307" s="22" t="s">
        <v>188</v>
      </c>
      <c r="AV307" s="59" t="s">
        <v>134</v>
      </c>
      <c r="AW307" s="22" t="str">
        <f>Settings!$B$5 &amp;  "?s=" &amp; D307 &amp; "&amp;platform=ftx"</f>
        <v>https://tokensol.nfluent.io?s=COR22D144&amp;platform=ftx</v>
      </c>
      <c r="AX307" s="20" t="s">
        <v>23</v>
      </c>
      <c r="AY307" s="20">
        <v>10</v>
      </c>
      <c r="AZ307" s="20" t="s">
        <v>24</v>
      </c>
      <c r="BA307" s="20">
        <v>90</v>
      </c>
      <c r="BD307" s="14"/>
      <c r="BJ307" t="s">
        <v>255</v>
      </c>
      <c r="BK307" t="s">
        <v>184</v>
      </c>
      <c r="BN307" s="36">
        <v>100</v>
      </c>
      <c r="BO307" s="36">
        <v>100</v>
      </c>
      <c r="BP307">
        <f t="shared" si="31"/>
        <v>480</v>
      </c>
      <c r="BR307" s="38">
        <v>44713</v>
      </c>
      <c r="BS307" s="20" t="s">
        <v>185</v>
      </c>
      <c r="BT307" s="20" t="str">
        <f t="shared" si="27"/>
        <v>InCasa_COR22D144</v>
      </c>
    </row>
    <row r="308" spans="2:72" ht="18.75" customHeight="1" x14ac:dyDescent="0.25">
      <c r="B308" s="20">
        <f t="shared" si="28"/>
        <v>145</v>
      </c>
      <c r="C308" s="22" t="str">
        <f t="shared" si="29"/>
        <v>In Casa #145</v>
      </c>
      <c r="D308" t="str">
        <f t="shared" si="30"/>
        <v>COR22D145</v>
      </c>
      <c r="E308" s="58" t="s">
        <v>252</v>
      </c>
      <c r="F308" s="20">
        <v>1000</v>
      </c>
      <c r="G308" s="14" t="s">
        <v>354</v>
      </c>
      <c r="H308" s="23" t="s">
        <v>170</v>
      </c>
      <c r="J308" s="59" t="s">
        <v>38</v>
      </c>
      <c r="K308" s="22" t="s">
        <v>254</v>
      </c>
      <c r="L308" s="59" t="s">
        <v>171</v>
      </c>
      <c r="M308" s="22">
        <v>2</v>
      </c>
      <c r="V308" s="59" t="s">
        <v>176</v>
      </c>
      <c r="AL308" s="59" t="s">
        <v>40</v>
      </c>
      <c r="AM308" s="22" t="s">
        <v>188</v>
      </c>
      <c r="AV308" s="59" t="s">
        <v>134</v>
      </c>
      <c r="AW308" s="22" t="str">
        <f>Settings!$B$5 &amp;  "?s=" &amp; D308 &amp; "&amp;platform=ftx"</f>
        <v>https://tokensol.nfluent.io?s=COR22D145&amp;platform=ftx</v>
      </c>
      <c r="AX308" s="20" t="s">
        <v>23</v>
      </c>
      <c r="AY308" s="20">
        <v>10</v>
      </c>
      <c r="AZ308" s="20" t="s">
        <v>24</v>
      </c>
      <c r="BA308" s="20">
        <v>90</v>
      </c>
      <c r="BD308" s="14"/>
      <c r="BJ308" t="s">
        <v>255</v>
      </c>
      <c r="BK308" t="s">
        <v>184</v>
      </c>
      <c r="BN308" s="36">
        <v>100</v>
      </c>
      <c r="BO308" s="36">
        <v>100</v>
      </c>
      <c r="BP308">
        <f t="shared" si="31"/>
        <v>480</v>
      </c>
      <c r="BR308" s="38">
        <v>44713</v>
      </c>
      <c r="BS308" s="20" t="s">
        <v>185</v>
      </c>
      <c r="BT308" s="20" t="str">
        <f t="shared" si="27"/>
        <v>InCasa_COR22D145</v>
      </c>
    </row>
    <row r="309" spans="2:72" ht="18.75" customHeight="1" x14ac:dyDescent="0.25">
      <c r="B309" s="20">
        <f t="shared" si="28"/>
        <v>146</v>
      </c>
      <c r="C309" s="22" t="str">
        <f t="shared" si="29"/>
        <v>In Casa #146</v>
      </c>
      <c r="D309" t="str">
        <f t="shared" si="30"/>
        <v>COR22D146</v>
      </c>
      <c r="E309" s="58" t="s">
        <v>252</v>
      </c>
      <c r="F309" s="20">
        <v>1000</v>
      </c>
      <c r="G309" s="14" t="s">
        <v>354</v>
      </c>
      <c r="H309" s="23" t="s">
        <v>170</v>
      </c>
      <c r="J309" s="59" t="s">
        <v>38</v>
      </c>
      <c r="K309" s="22" t="s">
        <v>254</v>
      </c>
      <c r="L309" s="59" t="s">
        <v>171</v>
      </c>
      <c r="M309" s="22">
        <v>2</v>
      </c>
      <c r="V309" s="59" t="s">
        <v>176</v>
      </c>
      <c r="AL309" s="59" t="s">
        <v>40</v>
      </c>
      <c r="AM309" s="22" t="s">
        <v>188</v>
      </c>
      <c r="AV309" s="59" t="s">
        <v>134</v>
      </c>
      <c r="AW309" s="22" t="str">
        <f>Settings!$B$5 &amp;  "?s=" &amp; D309 &amp; "&amp;platform=ftx"</f>
        <v>https://tokensol.nfluent.io?s=COR22D146&amp;platform=ftx</v>
      </c>
      <c r="AX309" s="20" t="s">
        <v>23</v>
      </c>
      <c r="AY309" s="20">
        <v>10</v>
      </c>
      <c r="AZ309" s="20" t="s">
        <v>24</v>
      </c>
      <c r="BA309" s="20">
        <v>90</v>
      </c>
      <c r="BD309" s="14"/>
      <c r="BJ309" t="s">
        <v>255</v>
      </c>
      <c r="BK309" t="s">
        <v>184</v>
      </c>
      <c r="BN309" s="36">
        <v>100</v>
      </c>
      <c r="BO309" s="36">
        <v>100</v>
      </c>
      <c r="BP309">
        <f t="shared" si="31"/>
        <v>480</v>
      </c>
      <c r="BR309" s="38">
        <v>44713</v>
      </c>
      <c r="BS309" s="20" t="s">
        <v>185</v>
      </c>
      <c r="BT309" s="20" t="str">
        <f t="shared" si="27"/>
        <v>InCasa_COR22D146</v>
      </c>
    </row>
    <row r="310" spans="2:72" ht="18.75" customHeight="1" x14ac:dyDescent="0.25">
      <c r="B310" s="20">
        <f t="shared" si="28"/>
        <v>147</v>
      </c>
      <c r="C310" s="22" t="str">
        <f t="shared" si="29"/>
        <v>In Casa #147</v>
      </c>
      <c r="D310" t="str">
        <f t="shared" si="30"/>
        <v>COR22D147</v>
      </c>
      <c r="E310" s="58" t="s">
        <v>252</v>
      </c>
      <c r="F310" s="20">
        <v>1000</v>
      </c>
      <c r="G310" s="14" t="s">
        <v>354</v>
      </c>
      <c r="H310" s="23" t="s">
        <v>170</v>
      </c>
      <c r="J310" s="59" t="s">
        <v>38</v>
      </c>
      <c r="K310" s="22" t="s">
        <v>254</v>
      </c>
      <c r="L310" s="59" t="s">
        <v>171</v>
      </c>
      <c r="M310" s="22">
        <v>2</v>
      </c>
      <c r="V310" s="59" t="s">
        <v>176</v>
      </c>
      <c r="AL310" s="59" t="s">
        <v>40</v>
      </c>
      <c r="AM310" s="22" t="s">
        <v>188</v>
      </c>
      <c r="AV310" s="59" t="s">
        <v>134</v>
      </c>
      <c r="AW310" s="22" t="str">
        <f>Settings!$B$5 &amp;  "?s=" &amp; D310 &amp; "&amp;platform=ftx"</f>
        <v>https://tokensol.nfluent.io?s=COR22D147&amp;platform=ftx</v>
      </c>
      <c r="AX310" s="20" t="s">
        <v>23</v>
      </c>
      <c r="AY310" s="20">
        <v>10</v>
      </c>
      <c r="AZ310" s="20" t="s">
        <v>24</v>
      </c>
      <c r="BA310" s="20">
        <v>90</v>
      </c>
      <c r="BD310" s="14"/>
      <c r="BJ310" t="s">
        <v>255</v>
      </c>
      <c r="BK310" t="s">
        <v>184</v>
      </c>
      <c r="BN310" s="36">
        <v>100</v>
      </c>
      <c r="BO310" s="36">
        <v>100</v>
      </c>
      <c r="BP310">
        <f t="shared" si="31"/>
        <v>480</v>
      </c>
      <c r="BR310" s="38">
        <v>44713</v>
      </c>
      <c r="BS310" s="20" t="s">
        <v>185</v>
      </c>
      <c r="BT310" s="20" t="str">
        <f t="shared" si="27"/>
        <v>InCasa_COR22D147</v>
      </c>
    </row>
    <row r="311" spans="2:72" ht="18.75" customHeight="1" x14ac:dyDescent="0.25">
      <c r="B311" s="20">
        <f t="shared" si="28"/>
        <v>148</v>
      </c>
      <c r="C311" s="22" t="str">
        <f t="shared" si="29"/>
        <v>In Casa #148</v>
      </c>
      <c r="D311" t="str">
        <f t="shared" si="30"/>
        <v>COR22D148</v>
      </c>
      <c r="E311" s="58" t="s">
        <v>252</v>
      </c>
      <c r="F311" s="20">
        <v>1000</v>
      </c>
      <c r="G311" s="14" t="s">
        <v>354</v>
      </c>
      <c r="H311" s="23" t="s">
        <v>170</v>
      </c>
      <c r="J311" s="59" t="s">
        <v>38</v>
      </c>
      <c r="K311" s="22" t="s">
        <v>254</v>
      </c>
      <c r="L311" s="59" t="s">
        <v>171</v>
      </c>
      <c r="M311" s="22">
        <v>2</v>
      </c>
      <c r="V311" s="59" t="s">
        <v>176</v>
      </c>
      <c r="AL311" s="59" t="s">
        <v>40</v>
      </c>
      <c r="AM311" s="22" t="s">
        <v>188</v>
      </c>
      <c r="AV311" s="59" t="s">
        <v>134</v>
      </c>
      <c r="AW311" s="22" t="str">
        <f>Settings!$B$5 &amp;  "?s=" &amp; D311 &amp; "&amp;platform=ftx"</f>
        <v>https://tokensol.nfluent.io?s=COR22D148&amp;platform=ftx</v>
      </c>
      <c r="AX311" s="20" t="s">
        <v>23</v>
      </c>
      <c r="AY311" s="20">
        <v>10</v>
      </c>
      <c r="AZ311" s="20" t="s">
        <v>24</v>
      </c>
      <c r="BA311" s="20">
        <v>90</v>
      </c>
      <c r="BD311" s="14"/>
      <c r="BJ311" t="s">
        <v>255</v>
      </c>
      <c r="BK311" t="s">
        <v>184</v>
      </c>
      <c r="BN311" s="36">
        <v>100</v>
      </c>
      <c r="BO311" s="36">
        <v>100</v>
      </c>
      <c r="BP311">
        <f t="shared" si="31"/>
        <v>480</v>
      </c>
      <c r="BR311" s="38">
        <v>44713</v>
      </c>
      <c r="BS311" s="20" t="s">
        <v>185</v>
      </c>
      <c r="BT311" s="20" t="str">
        <f t="shared" si="27"/>
        <v>InCasa_COR22D148</v>
      </c>
    </row>
    <row r="312" spans="2:72" ht="18.75" customHeight="1" x14ac:dyDescent="0.25">
      <c r="B312" s="20">
        <f t="shared" si="28"/>
        <v>149</v>
      </c>
      <c r="C312" s="22" t="str">
        <f t="shared" si="29"/>
        <v>In Casa #149</v>
      </c>
      <c r="D312" t="str">
        <f t="shared" si="30"/>
        <v>COR22D149</v>
      </c>
      <c r="E312" s="58" t="s">
        <v>252</v>
      </c>
      <c r="F312" s="20">
        <v>1000</v>
      </c>
      <c r="G312" s="14" t="s">
        <v>354</v>
      </c>
      <c r="H312" s="23" t="s">
        <v>170</v>
      </c>
      <c r="J312" s="59" t="s">
        <v>38</v>
      </c>
      <c r="K312" s="22" t="s">
        <v>254</v>
      </c>
      <c r="L312" s="59" t="s">
        <v>171</v>
      </c>
      <c r="M312" s="22">
        <v>2</v>
      </c>
      <c r="V312" s="59" t="s">
        <v>176</v>
      </c>
      <c r="AL312" s="59" t="s">
        <v>40</v>
      </c>
      <c r="AM312" s="22" t="s">
        <v>188</v>
      </c>
      <c r="AV312" s="59" t="s">
        <v>134</v>
      </c>
      <c r="AW312" s="22" t="str">
        <f>Settings!$B$5 &amp;  "?s=" &amp; D312 &amp; "&amp;platform=ftx"</f>
        <v>https://tokensol.nfluent.io?s=COR22D149&amp;platform=ftx</v>
      </c>
      <c r="AX312" s="20" t="s">
        <v>23</v>
      </c>
      <c r="AY312" s="20">
        <v>10</v>
      </c>
      <c r="AZ312" s="20" t="s">
        <v>24</v>
      </c>
      <c r="BA312" s="20">
        <v>90</v>
      </c>
      <c r="BD312" s="14"/>
      <c r="BJ312" t="s">
        <v>255</v>
      </c>
      <c r="BK312" t="s">
        <v>184</v>
      </c>
      <c r="BN312" s="36">
        <v>100</v>
      </c>
      <c r="BO312" s="36">
        <v>100</v>
      </c>
      <c r="BP312">
        <f t="shared" si="31"/>
        <v>480</v>
      </c>
      <c r="BR312" s="38">
        <v>44713</v>
      </c>
      <c r="BS312" s="20" t="s">
        <v>185</v>
      </c>
      <c r="BT312" s="20" t="str">
        <f t="shared" si="27"/>
        <v>InCasa_COR22D149</v>
      </c>
    </row>
    <row r="313" spans="2:72" ht="18.75" customHeight="1" x14ac:dyDescent="0.25">
      <c r="B313" s="20">
        <f t="shared" si="28"/>
        <v>150</v>
      </c>
      <c r="C313" s="22" t="str">
        <f t="shared" si="29"/>
        <v>In Casa #150</v>
      </c>
      <c r="D313" t="str">
        <f t="shared" si="30"/>
        <v>COR22D150</v>
      </c>
      <c r="E313" s="58" t="s">
        <v>252</v>
      </c>
      <c r="F313" s="20">
        <v>1000</v>
      </c>
      <c r="G313" s="14" t="s">
        <v>354</v>
      </c>
      <c r="H313" s="23" t="s">
        <v>170</v>
      </c>
      <c r="J313" s="59" t="s">
        <v>38</v>
      </c>
      <c r="K313" s="22" t="s">
        <v>254</v>
      </c>
      <c r="L313" s="59" t="s">
        <v>171</v>
      </c>
      <c r="M313" s="22">
        <v>2</v>
      </c>
      <c r="V313" s="59" t="s">
        <v>176</v>
      </c>
      <c r="AL313" s="59" t="s">
        <v>40</v>
      </c>
      <c r="AM313" s="22" t="s">
        <v>188</v>
      </c>
      <c r="AV313" s="59" t="s">
        <v>134</v>
      </c>
      <c r="AW313" s="22" t="str">
        <f>Settings!$B$5 &amp;  "?s=" &amp; D313 &amp; "&amp;platform=ftx"</f>
        <v>https://tokensol.nfluent.io?s=COR22D150&amp;platform=ftx</v>
      </c>
      <c r="AX313" s="20" t="s">
        <v>23</v>
      </c>
      <c r="AY313" s="20">
        <v>10</v>
      </c>
      <c r="AZ313" s="20" t="s">
        <v>24</v>
      </c>
      <c r="BA313" s="20">
        <v>90</v>
      </c>
      <c r="BD313" s="14"/>
      <c r="BJ313" t="s">
        <v>255</v>
      </c>
      <c r="BK313" t="s">
        <v>184</v>
      </c>
      <c r="BN313" s="36">
        <v>100</v>
      </c>
      <c r="BO313" s="36">
        <v>100</v>
      </c>
      <c r="BP313">
        <f t="shared" si="31"/>
        <v>480</v>
      </c>
      <c r="BR313" s="38">
        <v>44713</v>
      </c>
      <c r="BS313" s="20" t="s">
        <v>185</v>
      </c>
      <c r="BT313" s="20" t="str">
        <f t="shared" si="27"/>
        <v>InCasa_COR22D150</v>
      </c>
    </row>
    <row r="314" spans="2:72" ht="18.75" customHeight="1" x14ac:dyDescent="0.25">
      <c r="B314" s="20">
        <f t="shared" si="28"/>
        <v>151</v>
      </c>
      <c r="C314" s="22" t="str">
        <f t="shared" si="29"/>
        <v>In Casa #151</v>
      </c>
      <c r="D314" t="str">
        <f t="shared" si="30"/>
        <v>COR22D151</v>
      </c>
      <c r="E314" s="58" t="s">
        <v>252</v>
      </c>
      <c r="F314" s="20">
        <v>1000</v>
      </c>
      <c r="G314" s="14" t="s">
        <v>354</v>
      </c>
      <c r="H314" s="23" t="s">
        <v>170</v>
      </c>
      <c r="J314" s="59" t="s">
        <v>38</v>
      </c>
      <c r="K314" s="22" t="s">
        <v>254</v>
      </c>
      <c r="L314" s="59" t="s">
        <v>171</v>
      </c>
      <c r="M314" s="22">
        <v>2</v>
      </c>
      <c r="V314" s="59" t="s">
        <v>176</v>
      </c>
      <c r="AL314" s="59" t="s">
        <v>40</v>
      </c>
      <c r="AM314" s="22" t="s">
        <v>188</v>
      </c>
      <c r="AV314" s="59" t="s">
        <v>134</v>
      </c>
      <c r="AW314" s="22" t="str">
        <f>Settings!$B$5 &amp;  "?s=" &amp; D314 &amp; "&amp;platform=ftx"</f>
        <v>https://tokensol.nfluent.io?s=COR22D151&amp;platform=ftx</v>
      </c>
      <c r="AX314" s="20" t="s">
        <v>23</v>
      </c>
      <c r="AY314" s="20">
        <v>10</v>
      </c>
      <c r="AZ314" s="20" t="s">
        <v>24</v>
      </c>
      <c r="BA314" s="20">
        <v>90</v>
      </c>
      <c r="BD314" s="14"/>
      <c r="BJ314" t="s">
        <v>255</v>
      </c>
      <c r="BK314" t="s">
        <v>184</v>
      </c>
      <c r="BN314" s="36">
        <v>100</v>
      </c>
      <c r="BO314" s="36">
        <v>100</v>
      </c>
      <c r="BP314">
        <f t="shared" si="31"/>
        <v>480</v>
      </c>
      <c r="BR314" s="38">
        <v>44713</v>
      </c>
      <c r="BS314" s="20" t="s">
        <v>185</v>
      </c>
      <c r="BT314" s="20" t="str">
        <f t="shared" si="27"/>
        <v>InCasa_COR22D151</v>
      </c>
    </row>
    <row r="315" spans="2:72" ht="18.75" customHeight="1" x14ac:dyDescent="0.25">
      <c r="B315" s="20">
        <f t="shared" si="28"/>
        <v>152</v>
      </c>
      <c r="C315" s="22" t="str">
        <f t="shared" si="29"/>
        <v>In Casa #152</v>
      </c>
      <c r="D315" t="str">
        <f t="shared" si="30"/>
        <v>COR22D152</v>
      </c>
      <c r="E315" s="58" t="s">
        <v>252</v>
      </c>
      <c r="F315" s="20">
        <v>1000</v>
      </c>
      <c r="G315" s="14" t="s">
        <v>354</v>
      </c>
      <c r="H315" s="23" t="s">
        <v>170</v>
      </c>
      <c r="J315" s="59" t="s">
        <v>38</v>
      </c>
      <c r="K315" s="22" t="s">
        <v>254</v>
      </c>
      <c r="L315" s="59" t="s">
        <v>171</v>
      </c>
      <c r="M315" s="22">
        <v>2</v>
      </c>
      <c r="V315" s="59" t="s">
        <v>176</v>
      </c>
      <c r="AL315" s="59" t="s">
        <v>40</v>
      </c>
      <c r="AM315" s="22" t="s">
        <v>188</v>
      </c>
      <c r="AV315" s="59" t="s">
        <v>134</v>
      </c>
      <c r="AW315" s="22" t="str">
        <f>Settings!$B$5 &amp;  "?s=" &amp; D315 &amp; "&amp;platform=ftx"</f>
        <v>https://tokensol.nfluent.io?s=COR22D152&amp;platform=ftx</v>
      </c>
      <c r="AX315" s="20" t="s">
        <v>23</v>
      </c>
      <c r="AY315" s="20">
        <v>10</v>
      </c>
      <c r="AZ315" s="20" t="s">
        <v>24</v>
      </c>
      <c r="BA315" s="20">
        <v>90</v>
      </c>
      <c r="BD315" s="14"/>
      <c r="BJ315" t="s">
        <v>255</v>
      </c>
      <c r="BK315" t="s">
        <v>184</v>
      </c>
      <c r="BN315" s="36">
        <v>100</v>
      </c>
      <c r="BO315" s="36">
        <v>100</v>
      </c>
      <c r="BP315">
        <f t="shared" si="31"/>
        <v>480</v>
      </c>
      <c r="BR315" s="38">
        <v>44713</v>
      </c>
      <c r="BS315" s="20" t="s">
        <v>185</v>
      </c>
      <c r="BT315" s="20" t="str">
        <f t="shared" si="27"/>
        <v>InCasa_COR22D152</v>
      </c>
    </row>
    <row r="316" spans="2:72" ht="18.75" customHeight="1" x14ac:dyDescent="0.25">
      <c r="B316" s="20">
        <f t="shared" si="28"/>
        <v>153</v>
      </c>
      <c r="C316" s="22" t="str">
        <f t="shared" si="29"/>
        <v>In Casa #153</v>
      </c>
      <c r="D316" t="str">
        <f t="shared" si="30"/>
        <v>COR22D153</v>
      </c>
      <c r="E316" s="58" t="s">
        <v>252</v>
      </c>
      <c r="F316" s="20">
        <v>1000</v>
      </c>
      <c r="G316" s="14" t="s">
        <v>354</v>
      </c>
      <c r="H316" s="23" t="s">
        <v>170</v>
      </c>
      <c r="J316" s="59" t="s">
        <v>38</v>
      </c>
      <c r="K316" s="22" t="s">
        <v>254</v>
      </c>
      <c r="L316" s="59" t="s">
        <v>171</v>
      </c>
      <c r="M316" s="22">
        <v>2</v>
      </c>
      <c r="V316" s="59" t="s">
        <v>176</v>
      </c>
      <c r="AL316" s="59" t="s">
        <v>40</v>
      </c>
      <c r="AM316" s="22" t="s">
        <v>188</v>
      </c>
      <c r="AV316" s="59" t="s">
        <v>134</v>
      </c>
      <c r="AW316" s="22" t="str">
        <f>Settings!$B$5 &amp;  "?s=" &amp; D316 &amp; "&amp;platform=ftx"</f>
        <v>https://tokensol.nfluent.io?s=COR22D153&amp;platform=ftx</v>
      </c>
      <c r="AX316" s="20" t="s">
        <v>23</v>
      </c>
      <c r="AY316" s="20">
        <v>10</v>
      </c>
      <c r="AZ316" s="20" t="s">
        <v>24</v>
      </c>
      <c r="BA316" s="20">
        <v>90</v>
      </c>
      <c r="BD316" s="14"/>
      <c r="BJ316" t="s">
        <v>255</v>
      </c>
      <c r="BK316" t="s">
        <v>184</v>
      </c>
      <c r="BN316" s="36">
        <v>100</v>
      </c>
      <c r="BO316" s="36">
        <v>100</v>
      </c>
      <c r="BP316">
        <f t="shared" si="31"/>
        <v>480</v>
      </c>
      <c r="BR316" s="38">
        <v>44713</v>
      </c>
      <c r="BS316" s="20" t="s">
        <v>185</v>
      </c>
      <c r="BT316" s="20" t="str">
        <f t="shared" si="27"/>
        <v>InCasa_COR22D153</v>
      </c>
    </row>
    <row r="317" spans="2:72" ht="18.75" customHeight="1" x14ac:dyDescent="0.25">
      <c r="B317" s="20">
        <f t="shared" si="28"/>
        <v>154</v>
      </c>
      <c r="C317" s="22" t="str">
        <f t="shared" si="29"/>
        <v>In Casa #154</v>
      </c>
      <c r="D317" t="str">
        <f t="shared" si="30"/>
        <v>COR22D154</v>
      </c>
      <c r="E317" s="58" t="s">
        <v>252</v>
      </c>
      <c r="F317" s="20">
        <v>1000</v>
      </c>
      <c r="G317" s="14" t="s">
        <v>354</v>
      </c>
      <c r="H317" s="23" t="s">
        <v>170</v>
      </c>
      <c r="J317" s="59" t="s">
        <v>38</v>
      </c>
      <c r="K317" s="22" t="s">
        <v>254</v>
      </c>
      <c r="L317" s="59" t="s">
        <v>171</v>
      </c>
      <c r="M317" s="22">
        <v>2</v>
      </c>
      <c r="V317" s="59" t="s">
        <v>176</v>
      </c>
      <c r="AL317" s="59" t="s">
        <v>40</v>
      </c>
      <c r="AM317" s="22" t="s">
        <v>188</v>
      </c>
      <c r="AV317" s="59" t="s">
        <v>134</v>
      </c>
      <c r="AW317" s="22" t="str">
        <f>Settings!$B$5 &amp;  "?s=" &amp; D317 &amp; "&amp;platform=ftx"</f>
        <v>https://tokensol.nfluent.io?s=COR22D154&amp;platform=ftx</v>
      </c>
      <c r="AX317" s="20" t="s">
        <v>23</v>
      </c>
      <c r="AY317" s="20">
        <v>10</v>
      </c>
      <c r="AZ317" s="20" t="s">
        <v>24</v>
      </c>
      <c r="BA317" s="20">
        <v>90</v>
      </c>
      <c r="BD317" s="14"/>
      <c r="BJ317" t="s">
        <v>255</v>
      </c>
      <c r="BK317" t="s">
        <v>184</v>
      </c>
      <c r="BN317" s="36">
        <v>100</v>
      </c>
      <c r="BO317" s="36">
        <v>100</v>
      </c>
      <c r="BP317">
        <f t="shared" si="31"/>
        <v>480</v>
      </c>
      <c r="BR317" s="38">
        <v>44713</v>
      </c>
      <c r="BS317" s="20" t="s">
        <v>185</v>
      </c>
      <c r="BT317" s="20" t="str">
        <f t="shared" si="27"/>
        <v>InCasa_COR22D154</v>
      </c>
    </row>
    <row r="318" spans="2:72" ht="18.75" customHeight="1" x14ac:dyDescent="0.25">
      <c r="B318" s="20">
        <f t="shared" si="28"/>
        <v>155</v>
      </c>
      <c r="C318" s="22" t="str">
        <f t="shared" si="29"/>
        <v>In Casa #155</v>
      </c>
      <c r="D318" t="str">
        <f t="shared" si="30"/>
        <v>COR22D155</v>
      </c>
      <c r="E318" s="58" t="s">
        <v>252</v>
      </c>
      <c r="F318" s="20">
        <v>1000</v>
      </c>
      <c r="G318" s="14" t="s">
        <v>354</v>
      </c>
      <c r="H318" s="23" t="s">
        <v>170</v>
      </c>
      <c r="J318" s="59" t="s">
        <v>38</v>
      </c>
      <c r="K318" s="22" t="s">
        <v>254</v>
      </c>
      <c r="L318" s="59" t="s">
        <v>171</v>
      </c>
      <c r="M318" s="22">
        <v>2</v>
      </c>
      <c r="V318" s="59" t="s">
        <v>176</v>
      </c>
      <c r="AL318" s="59" t="s">
        <v>40</v>
      </c>
      <c r="AM318" s="22" t="s">
        <v>188</v>
      </c>
      <c r="AV318" s="59" t="s">
        <v>134</v>
      </c>
      <c r="AW318" s="22" t="str">
        <f>Settings!$B$5 &amp;  "?s=" &amp; D318 &amp; "&amp;platform=ftx"</f>
        <v>https://tokensol.nfluent.io?s=COR22D155&amp;platform=ftx</v>
      </c>
      <c r="AX318" s="20" t="s">
        <v>23</v>
      </c>
      <c r="AY318" s="20">
        <v>10</v>
      </c>
      <c r="AZ318" s="20" t="s">
        <v>24</v>
      </c>
      <c r="BA318" s="20">
        <v>90</v>
      </c>
      <c r="BD318" s="14"/>
      <c r="BJ318" t="s">
        <v>255</v>
      </c>
      <c r="BK318" t="s">
        <v>184</v>
      </c>
      <c r="BN318" s="36">
        <v>100</v>
      </c>
      <c r="BO318" s="36">
        <v>100</v>
      </c>
      <c r="BP318">
        <f t="shared" si="31"/>
        <v>480</v>
      </c>
      <c r="BR318" s="38">
        <v>44713</v>
      </c>
      <c r="BS318" s="20" t="s">
        <v>185</v>
      </c>
      <c r="BT318" s="20" t="str">
        <f t="shared" si="27"/>
        <v>InCasa_COR22D155</v>
      </c>
    </row>
    <row r="319" spans="2:72" ht="18.75" customHeight="1" x14ac:dyDescent="0.25">
      <c r="B319" s="20">
        <f t="shared" si="28"/>
        <v>156</v>
      </c>
      <c r="C319" s="22" t="str">
        <f t="shared" si="29"/>
        <v>In Casa #156</v>
      </c>
      <c r="D319" t="str">
        <f t="shared" si="30"/>
        <v>COR22D156</v>
      </c>
      <c r="E319" s="58" t="s">
        <v>252</v>
      </c>
      <c r="F319" s="20">
        <v>1000</v>
      </c>
      <c r="G319" s="14" t="s">
        <v>354</v>
      </c>
      <c r="H319" s="23" t="s">
        <v>170</v>
      </c>
      <c r="J319" s="59" t="s">
        <v>38</v>
      </c>
      <c r="K319" s="22" t="s">
        <v>254</v>
      </c>
      <c r="L319" s="59" t="s">
        <v>171</v>
      </c>
      <c r="M319" s="22">
        <v>2</v>
      </c>
      <c r="V319" s="59" t="s">
        <v>176</v>
      </c>
      <c r="AL319" s="59" t="s">
        <v>40</v>
      </c>
      <c r="AM319" s="22" t="s">
        <v>188</v>
      </c>
      <c r="AV319" s="59" t="s">
        <v>134</v>
      </c>
      <c r="AW319" s="22" t="str">
        <f>Settings!$B$5 &amp;  "?s=" &amp; D319 &amp; "&amp;platform=ftx"</f>
        <v>https://tokensol.nfluent.io?s=COR22D156&amp;platform=ftx</v>
      </c>
      <c r="AX319" s="20" t="s">
        <v>23</v>
      </c>
      <c r="AY319" s="20">
        <v>10</v>
      </c>
      <c r="AZ319" s="20" t="s">
        <v>24</v>
      </c>
      <c r="BA319" s="20">
        <v>90</v>
      </c>
      <c r="BD319" s="14"/>
      <c r="BJ319" t="s">
        <v>255</v>
      </c>
      <c r="BK319" t="s">
        <v>184</v>
      </c>
      <c r="BN319" s="36">
        <v>100</v>
      </c>
      <c r="BO319" s="36">
        <v>100</v>
      </c>
      <c r="BP319">
        <f t="shared" si="31"/>
        <v>480</v>
      </c>
      <c r="BR319" s="38">
        <v>44713</v>
      </c>
      <c r="BS319" s="20" t="s">
        <v>185</v>
      </c>
      <c r="BT319" s="20" t="str">
        <f t="shared" si="27"/>
        <v>InCasa_COR22D156</v>
      </c>
    </row>
    <row r="320" spans="2:72" ht="18.75" customHeight="1" x14ac:dyDescent="0.25">
      <c r="B320" s="20">
        <f t="shared" si="28"/>
        <v>157</v>
      </c>
      <c r="C320" s="22" t="str">
        <f t="shared" si="29"/>
        <v>In Casa #157</v>
      </c>
      <c r="D320" t="str">
        <f t="shared" si="30"/>
        <v>COR22D157</v>
      </c>
      <c r="E320" s="58" t="s">
        <v>252</v>
      </c>
      <c r="F320" s="20">
        <v>1000</v>
      </c>
      <c r="G320" s="14" t="s">
        <v>354</v>
      </c>
      <c r="H320" s="23" t="s">
        <v>170</v>
      </c>
      <c r="J320" s="59" t="s">
        <v>38</v>
      </c>
      <c r="K320" s="22" t="s">
        <v>254</v>
      </c>
      <c r="L320" s="59" t="s">
        <v>171</v>
      </c>
      <c r="M320" s="22">
        <v>2</v>
      </c>
      <c r="V320" s="59" t="s">
        <v>176</v>
      </c>
      <c r="AL320" s="59" t="s">
        <v>40</v>
      </c>
      <c r="AM320" s="22" t="s">
        <v>188</v>
      </c>
      <c r="AV320" s="59" t="s">
        <v>134</v>
      </c>
      <c r="AW320" s="22" t="str">
        <f>Settings!$B$5 &amp;  "?s=" &amp; D320 &amp; "&amp;platform=ftx"</f>
        <v>https://tokensol.nfluent.io?s=COR22D157&amp;platform=ftx</v>
      </c>
      <c r="AX320" s="20" t="s">
        <v>23</v>
      </c>
      <c r="AY320" s="20">
        <v>10</v>
      </c>
      <c r="AZ320" s="20" t="s">
        <v>24</v>
      </c>
      <c r="BA320" s="20">
        <v>90</v>
      </c>
      <c r="BD320" s="14"/>
      <c r="BJ320" t="s">
        <v>255</v>
      </c>
      <c r="BK320" t="s">
        <v>184</v>
      </c>
      <c r="BN320" s="36">
        <v>100</v>
      </c>
      <c r="BO320" s="36">
        <v>100</v>
      </c>
      <c r="BP320">
        <f t="shared" si="31"/>
        <v>480</v>
      </c>
      <c r="BR320" s="38">
        <v>44713</v>
      </c>
      <c r="BS320" s="20" t="s">
        <v>185</v>
      </c>
      <c r="BT320" s="20" t="str">
        <f t="shared" si="27"/>
        <v>InCasa_COR22D157</v>
      </c>
    </row>
    <row r="321" spans="2:72" ht="18.75" customHeight="1" x14ac:dyDescent="0.25">
      <c r="B321" s="20">
        <f t="shared" si="28"/>
        <v>158</v>
      </c>
      <c r="C321" s="22" t="str">
        <f t="shared" si="29"/>
        <v>In Casa #158</v>
      </c>
      <c r="D321" t="str">
        <f t="shared" si="30"/>
        <v>COR22D158</v>
      </c>
      <c r="E321" s="58" t="s">
        <v>252</v>
      </c>
      <c r="F321" s="20">
        <v>1000</v>
      </c>
      <c r="G321" s="14" t="s">
        <v>354</v>
      </c>
      <c r="H321" s="23" t="s">
        <v>170</v>
      </c>
      <c r="J321" s="59" t="s">
        <v>38</v>
      </c>
      <c r="K321" s="22" t="s">
        <v>254</v>
      </c>
      <c r="L321" s="59" t="s">
        <v>171</v>
      </c>
      <c r="M321" s="22">
        <v>2</v>
      </c>
      <c r="V321" s="59" t="s">
        <v>176</v>
      </c>
      <c r="AL321" s="59" t="s">
        <v>40</v>
      </c>
      <c r="AM321" s="22" t="s">
        <v>188</v>
      </c>
      <c r="AV321" s="59" t="s">
        <v>134</v>
      </c>
      <c r="AW321" s="22" t="str">
        <f>Settings!$B$5 &amp;  "?s=" &amp; D321 &amp; "&amp;platform=ftx"</f>
        <v>https://tokensol.nfluent.io?s=COR22D158&amp;platform=ftx</v>
      </c>
      <c r="AX321" s="20" t="s">
        <v>23</v>
      </c>
      <c r="AY321" s="20">
        <v>10</v>
      </c>
      <c r="AZ321" s="20" t="s">
        <v>24</v>
      </c>
      <c r="BA321" s="20">
        <v>90</v>
      </c>
      <c r="BD321" s="14"/>
      <c r="BJ321" t="s">
        <v>255</v>
      </c>
      <c r="BK321" t="s">
        <v>184</v>
      </c>
      <c r="BN321" s="36">
        <v>100</v>
      </c>
      <c r="BO321" s="36">
        <v>100</v>
      </c>
      <c r="BP321">
        <f t="shared" si="31"/>
        <v>480</v>
      </c>
      <c r="BR321" s="38">
        <v>44713</v>
      </c>
      <c r="BS321" s="20" t="s">
        <v>185</v>
      </c>
      <c r="BT321" s="20" t="str">
        <f t="shared" si="27"/>
        <v>InCasa_COR22D158</v>
      </c>
    </row>
    <row r="322" spans="2:72" ht="18.75" customHeight="1" x14ac:dyDescent="0.25">
      <c r="B322" s="20">
        <f t="shared" si="28"/>
        <v>159</v>
      </c>
      <c r="C322" s="22" t="str">
        <f t="shared" si="29"/>
        <v>In Casa #159</v>
      </c>
      <c r="D322" t="str">
        <f t="shared" si="30"/>
        <v>COR22D159</v>
      </c>
      <c r="E322" s="58" t="s">
        <v>252</v>
      </c>
      <c r="F322" s="20">
        <v>1000</v>
      </c>
      <c r="G322" s="14" t="s">
        <v>354</v>
      </c>
      <c r="H322" s="23" t="s">
        <v>170</v>
      </c>
      <c r="J322" s="59" t="s">
        <v>38</v>
      </c>
      <c r="K322" s="22" t="s">
        <v>254</v>
      </c>
      <c r="L322" s="59" t="s">
        <v>171</v>
      </c>
      <c r="M322" s="22">
        <v>2</v>
      </c>
      <c r="V322" s="59" t="s">
        <v>176</v>
      </c>
      <c r="AL322" s="59" t="s">
        <v>40</v>
      </c>
      <c r="AM322" s="22" t="s">
        <v>188</v>
      </c>
      <c r="AV322" s="59" t="s">
        <v>134</v>
      </c>
      <c r="AW322" s="22" t="str">
        <f>Settings!$B$5 &amp;  "?s=" &amp; D322 &amp; "&amp;platform=ftx"</f>
        <v>https://tokensol.nfluent.io?s=COR22D159&amp;platform=ftx</v>
      </c>
      <c r="AX322" s="20" t="s">
        <v>23</v>
      </c>
      <c r="AY322" s="20">
        <v>10</v>
      </c>
      <c r="AZ322" s="20" t="s">
        <v>24</v>
      </c>
      <c r="BA322" s="20">
        <v>90</v>
      </c>
      <c r="BD322" s="14"/>
      <c r="BJ322" t="s">
        <v>255</v>
      </c>
      <c r="BK322" t="s">
        <v>184</v>
      </c>
      <c r="BN322" s="36">
        <v>100</v>
      </c>
      <c r="BO322" s="36">
        <v>100</v>
      </c>
      <c r="BP322">
        <f t="shared" si="31"/>
        <v>480</v>
      </c>
      <c r="BR322" s="38">
        <v>44713</v>
      </c>
      <c r="BS322" s="20" t="s">
        <v>185</v>
      </c>
      <c r="BT322" s="20" t="str">
        <f t="shared" si="27"/>
        <v>InCasa_COR22D159</v>
      </c>
    </row>
    <row r="323" spans="2:72" ht="18.75" customHeight="1" x14ac:dyDescent="0.25">
      <c r="B323" s="20">
        <f t="shared" si="28"/>
        <v>160</v>
      </c>
      <c r="C323" s="22" t="str">
        <f t="shared" si="29"/>
        <v>In Casa #160</v>
      </c>
      <c r="D323" t="str">
        <f t="shared" si="30"/>
        <v>COR22D160</v>
      </c>
      <c r="E323" s="58" t="s">
        <v>252</v>
      </c>
      <c r="F323" s="20">
        <v>1000</v>
      </c>
      <c r="G323" s="14" t="s">
        <v>354</v>
      </c>
      <c r="H323" s="23" t="s">
        <v>170</v>
      </c>
      <c r="J323" s="59" t="s">
        <v>38</v>
      </c>
      <c r="K323" s="22" t="s">
        <v>254</v>
      </c>
      <c r="L323" s="59" t="s">
        <v>171</v>
      </c>
      <c r="M323" s="22">
        <v>2</v>
      </c>
      <c r="V323" s="59" t="s">
        <v>176</v>
      </c>
      <c r="AL323" s="59" t="s">
        <v>40</v>
      </c>
      <c r="AM323" s="22" t="s">
        <v>188</v>
      </c>
      <c r="AV323" s="59" t="s">
        <v>134</v>
      </c>
      <c r="AW323" s="22" t="str">
        <f>Settings!$B$5 &amp;  "?s=" &amp; D323 &amp; "&amp;platform=ftx"</f>
        <v>https://tokensol.nfluent.io?s=COR22D160&amp;platform=ftx</v>
      </c>
      <c r="AX323" s="20" t="s">
        <v>23</v>
      </c>
      <c r="AY323" s="20">
        <v>10</v>
      </c>
      <c r="AZ323" s="20" t="s">
        <v>24</v>
      </c>
      <c r="BA323" s="20">
        <v>90</v>
      </c>
      <c r="BD323" s="14"/>
      <c r="BJ323" t="s">
        <v>255</v>
      </c>
      <c r="BK323" t="s">
        <v>184</v>
      </c>
      <c r="BN323" s="36">
        <v>100</v>
      </c>
      <c r="BO323" s="36">
        <v>100</v>
      </c>
      <c r="BP323">
        <f t="shared" si="31"/>
        <v>480</v>
      </c>
      <c r="BR323" s="38">
        <v>44713</v>
      </c>
      <c r="BS323" s="20" t="s">
        <v>185</v>
      </c>
      <c r="BT323" s="20" t="str">
        <f t="shared" si="27"/>
        <v>InCasa_COR22D160</v>
      </c>
    </row>
    <row r="324" spans="2:72" ht="18.75" customHeight="1" x14ac:dyDescent="0.25">
      <c r="B324" s="20">
        <f t="shared" si="28"/>
        <v>161</v>
      </c>
      <c r="C324" s="22" t="str">
        <f t="shared" si="29"/>
        <v>In Casa #161</v>
      </c>
      <c r="D324" t="str">
        <f t="shared" si="30"/>
        <v>COR22D161</v>
      </c>
      <c r="E324" s="58" t="s">
        <v>252</v>
      </c>
      <c r="F324" s="20">
        <v>1000</v>
      </c>
      <c r="G324" s="14" t="s">
        <v>354</v>
      </c>
      <c r="H324" s="23" t="s">
        <v>170</v>
      </c>
      <c r="J324" s="59" t="s">
        <v>38</v>
      </c>
      <c r="K324" s="22" t="s">
        <v>254</v>
      </c>
      <c r="L324" s="59" t="s">
        <v>171</v>
      </c>
      <c r="M324" s="22">
        <v>2</v>
      </c>
      <c r="V324" s="59" t="s">
        <v>176</v>
      </c>
      <c r="AL324" s="59" t="s">
        <v>40</v>
      </c>
      <c r="AM324" s="22" t="s">
        <v>188</v>
      </c>
      <c r="AV324" s="59" t="s">
        <v>134</v>
      </c>
      <c r="AW324" s="22" t="str">
        <f>Settings!$B$5 &amp;  "?s=" &amp; D324 &amp; "&amp;platform=ftx"</f>
        <v>https://tokensol.nfluent.io?s=COR22D161&amp;platform=ftx</v>
      </c>
      <c r="AX324" s="20" t="s">
        <v>23</v>
      </c>
      <c r="AY324" s="20">
        <v>10</v>
      </c>
      <c r="AZ324" s="20" t="s">
        <v>24</v>
      </c>
      <c r="BA324" s="20">
        <v>90</v>
      </c>
      <c r="BD324" s="14"/>
      <c r="BJ324" t="s">
        <v>255</v>
      </c>
      <c r="BK324" t="s">
        <v>184</v>
      </c>
      <c r="BN324" s="36">
        <v>100</v>
      </c>
      <c r="BO324" s="36">
        <v>100</v>
      </c>
      <c r="BP324">
        <f t="shared" si="31"/>
        <v>480</v>
      </c>
      <c r="BR324" s="38">
        <v>44713</v>
      </c>
      <c r="BS324" s="20" t="s">
        <v>185</v>
      </c>
      <c r="BT324" s="20" t="str">
        <f t="shared" si="27"/>
        <v>InCasa_COR22D161</v>
      </c>
    </row>
    <row r="325" spans="2:72" ht="18.75" customHeight="1" x14ac:dyDescent="0.25">
      <c r="B325" s="20">
        <f t="shared" si="28"/>
        <v>162</v>
      </c>
      <c r="C325" s="22" t="str">
        <f t="shared" si="29"/>
        <v>In Casa #162</v>
      </c>
      <c r="D325" t="str">
        <f t="shared" si="30"/>
        <v>COR22D162</v>
      </c>
      <c r="E325" s="58" t="s">
        <v>252</v>
      </c>
      <c r="F325" s="20">
        <v>1000</v>
      </c>
      <c r="G325" s="14" t="s">
        <v>354</v>
      </c>
      <c r="H325" s="23" t="s">
        <v>170</v>
      </c>
      <c r="J325" s="59" t="s">
        <v>38</v>
      </c>
      <c r="K325" s="22" t="s">
        <v>254</v>
      </c>
      <c r="L325" s="59" t="s">
        <v>171</v>
      </c>
      <c r="M325" s="22">
        <v>2</v>
      </c>
      <c r="V325" s="59" t="s">
        <v>176</v>
      </c>
      <c r="AL325" s="59" t="s">
        <v>40</v>
      </c>
      <c r="AM325" s="22" t="s">
        <v>188</v>
      </c>
      <c r="AV325" s="59" t="s">
        <v>134</v>
      </c>
      <c r="AW325" s="22" t="str">
        <f>Settings!$B$5 &amp;  "?s=" &amp; D325 &amp; "&amp;platform=ftx"</f>
        <v>https://tokensol.nfluent.io?s=COR22D162&amp;platform=ftx</v>
      </c>
      <c r="AX325" s="20" t="s">
        <v>23</v>
      </c>
      <c r="AY325" s="20">
        <v>10</v>
      </c>
      <c r="AZ325" s="20" t="s">
        <v>24</v>
      </c>
      <c r="BA325" s="20">
        <v>90</v>
      </c>
      <c r="BD325" s="14"/>
      <c r="BJ325" t="s">
        <v>255</v>
      </c>
      <c r="BK325" t="s">
        <v>184</v>
      </c>
      <c r="BN325" s="36">
        <v>100</v>
      </c>
      <c r="BO325" s="36">
        <v>100</v>
      </c>
      <c r="BP325">
        <f t="shared" si="31"/>
        <v>480</v>
      </c>
      <c r="BR325" s="38">
        <v>44713</v>
      </c>
      <c r="BS325" s="20" t="s">
        <v>185</v>
      </c>
      <c r="BT325" s="20" t="str">
        <f t="shared" ref="BT325:BT388" si="32">SUBSTITUTE(BJ325," ","") &amp; "_" &amp; D325</f>
        <v>InCasa_COR22D162</v>
      </c>
    </row>
    <row r="326" spans="2:72" ht="18.75" customHeight="1" x14ac:dyDescent="0.25">
      <c r="B326" s="20">
        <f t="shared" ref="B326:B389" si="33">+B325+1</f>
        <v>163</v>
      </c>
      <c r="C326" s="22" t="str">
        <f t="shared" si="29"/>
        <v>In Casa #163</v>
      </c>
      <c r="D326" t="str">
        <f t="shared" si="30"/>
        <v>COR22D163</v>
      </c>
      <c r="E326" s="58" t="s">
        <v>252</v>
      </c>
      <c r="F326" s="20">
        <v>1000</v>
      </c>
      <c r="G326" s="14" t="s">
        <v>354</v>
      </c>
      <c r="H326" s="23" t="s">
        <v>170</v>
      </c>
      <c r="J326" s="59" t="s">
        <v>38</v>
      </c>
      <c r="K326" s="22" t="s">
        <v>254</v>
      </c>
      <c r="L326" s="59" t="s">
        <v>171</v>
      </c>
      <c r="M326" s="22">
        <v>2</v>
      </c>
      <c r="V326" s="59" t="s">
        <v>176</v>
      </c>
      <c r="AL326" s="59" t="s">
        <v>40</v>
      </c>
      <c r="AM326" s="22" t="s">
        <v>188</v>
      </c>
      <c r="AV326" s="59" t="s">
        <v>134</v>
      </c>
      <c r="AW326" s="22" t="str">
        <f>Settings!$B$5 &amp;  "?s=" &amp; D326 &amp; "&amp;platform=ftx"</f>
        <v>https://tokensol.nfluent.io?s=COR22D163&amp;platform=ftx</v>
      </c>
      <c r="AX326" s="20" t="s">
        <v>23</v>
      </c>
      <c r="AY326" s="20">
        <v>10</v>
      </c>
      <c r="AZ326" s="20" t="s">
        <v>24</v>
      </c>
      <c r="BA326" s="20">
        <v>90</v>
      </c>
      <c r="BD326" s="14"/>
      <c r="BJ326" t="s">
        <v>255</v>
      </c>
      <c r="BK326" t="s">
        <v>184</v>
      </c>
      <c r="BN326" s="36">
        <v>100</v>
      </c>
      <c r="BO326" s="36">
        <v>100</v>
      </c>
      <c r="BP326">
        <f t="shared" si="31"/>
        <v>480</v>
      </c>
      <c r="BR326" s="38">
        <v>44713</v>
      </c>
      <c r="BS326" s="20" t="s">
        <v>185</v>
      </c>
      <c r="BT326" s="20" t="str">
        <f t="shared" si="32"/>
        <v>InCasa_COR22D163</v>
      </c>
    </row>
    <row r="327" spans="2:72" ht="18.75" customHeight="1" x14ac:dyDescent="0.25">
      <c r="B327" s="20">
        <f t="shared" si="33"/>
        <v>164</v>
      </c>
      <c r="C327" s="22" t="str">
        <f t="shared" si="29"/>
        <v>In Casa #164</v>
      </c>
      <c r="D327" t="str">
        <f t="shared" si="30"/>
        <v>COR22D164</v>
      </c>
      <c r="E327" s="58" t="s">
        <v>252</v>
      </c>
      <c r="F327" s="20">
        <v>1000</v>
      </c>
      <c r="G327" s="14" t="s">
        <v>354</v>
      </c>
      <c r="H327" s="23" t="s">
        <v>170</v>
      </c>
      <c r="J327" s="59" t="s">
        <v>38</v>
      </c>
      <c r="K327" s="22" t="s">
        <v>254</v>
      </c>
      <c r="L327" s="59" t="s">
        <v>171</v>
      </c>
      <c r="M327" s="22">
        <v>2</v>
      </c>
      <c r="V327" s="59" t="s">
        <v>176</v>
      </c>
      <c r="AL327" s="59" t="s">
        <v>40</v>
      </c>
      <c r="AM327" s="22" t="s">
        <v>188</v>
      </c>
      <c r="AV327" s="59" t="s">
        <v>134</v>
      </c>
      <c r="AW327" s="22" t="str">
        <f>Settings!$B$5 &amp;  "?s=" &amp; D327 &amp; "&amp;platform=ftx"</f>
        <v>https://tokensol.nfluent.io?s=COR22D164&amp;platform=ftx</v>
      </c>
      <c r="AX327" s="20" t="s">
        <v>23</v>
      </c>
      <c r="AY327" s="20">
        <v>10</v>
      </c>
      <c r="AZ327" s="20" t="s">
        <v>24</v>
      </c>
      <c r="BA327" s="20">
        <v>90</v>
      </c>
      <c r="BD327" s="14"/>
      <c r="BJ327" t="s">
        <v>255</v>
      </c>
      <c r="BK327" t="s">
        <v>184</v>
      </c>
      <c r="BN327" s="36">
        <v>100</v>
      </c>
      <c r="BO327" s="36">
        <v>100</v>
      </c>
      <c r="BP327">
        <f t="shared" si="31"/>
        <v>480</v>
      </c>
      <c r="BR327" s="38">
        <v>44713</v>
      </c>
      <c r="BS327" s="20" t="s">
        <v>185</v>
      </c>
      <c r="BT327" s="20" t="str">
        <f t="shared" si="32"/>
        <v>InCasa_COR22D164</v>
      </c>
    </row>
    <row r="328" spans="2:72" ht="18.75" customHeight="1" x14ac:dyDescent="0.25">
      <c r="B328" s="20">
        <f t="shared" si="33"/>
        <v>165</v>
      </c>
      <c r="C328" s="22" t="str">
        <f t="shared" si="29"/>
        <v>In Casa #165</v>
      </c>
      <c r="D328" t="str">
        <f t="shared" si="30"/>
        <v>COR22D165</v>
      </c>
      <c r="E328" s="58" t="s">
        <v>252</v>
      </c>
      <c r="F328" s="20">
        <v>1000</v>
      </c>
      <c r="G328" s="14" t="s">
        <v>354</v>
      </c>
      <c r="H328" s="23" t="s">
        <v>170</v>
      </c>
      <c r="J328" s="59" t="s">
        <v>38</v>
      </c>
      <c r="K328" s="22" t="s">
        <v>254</v>
      </c>
      <c r="L328" s="59" t="s">
        <v>171</v>
      </c>
      <c r="M328" s="22">
        <v>2</v>
      </c>
      <c r="V328" s="59" t="s">
        <v>176</v>
      </c>
      <c r="AL328" s="59" t="s">
        <v>40</v>
      </c>
      <c r="AM328" s="22" t="s">
        <v>188</v>
      </c>
      <c r="AV328" s="59" t="s">
        <v>134</v>
      </c>
      <c r="AW328" s="22" t="str">
        <f>Settings!$B$5 &amp;  "?s=" &amp; D328 &amp; "&amp;platform=ftx"</f>
        <v>https://tokensol.nfluent.io?s=COR22D165&amp;platform=ftx</v>
      </c>
      <c r="AX328" s="20" t="s">
        <v>23</v>
      </c>
      <c r="AY328" s="20">
        <v>10</v>
      </c>
      <c r="AZ328" s="20" t="s">
        <v>24</v>
      </c>
      <c r="BA328" s="20">
        <v>90</v>
      </c>
      <c r="BD328" s="14"/>
      <c r="BJ328" t="s">
        <v>255</v>
      </c>
      <c r="BK328" t="s">
        <v>184</v>
      </c>
      <c r="BN328" s="36">
        <v>100</v>
      </c>
      <c r="BO328" s="36">
        <v>100</v>
      </c>
      <c r="BP328">
        <f t="shared" si="31"/>
        <v>480</v>
      </c>
      <c r="BR328" s="38">
        <v>44713</v>
      </c>
      <c r="BS328" s="20" t="s">
        <v>185</v>
      </c>
      <c r="BT328" s="20" t="str">
        <f t="shared" si="32"/>
        <v>InCasa_COR22D165</v>
      </c>
    </row>
    <row r="329" spans="2:72" ht="18.75" customHeight="1" x14ac:dyDescent="0.25">
      <c r="B329" s="20">
        <f t="shared" si="33"/>
        <v>166</v>
      </c>
      <c r="C329" s="22" t="str">
        <f t="shared" si="29"/>
        <v>In Casa #166</v>
      </c>
      <c r="D329" t="str">
        <f t="shared" si="30"/>
        <v>COR22D166</v>
      </c>
      <c r="E329" s="58" t="s">
        <v>252</v>
      </c>
      <c r="F329" s="20">
        <v>1000</v>
      </c>
      <c r="G329" s="14" t="s">
        <v>354</v>
      </c>
      <c r="H329" s="23" t="s">
        <v>170</v>
      </c>
      <c r="J329" s="59" t="s">
        <v>38</v>
      </c>
      <c r="K329" s="22" t="s">
        <v>254</v>
      </c>
      <c r="L329" s="59" t="s">
        <v>171</v>
      </c>
      <c r="M329" s="22">
        <v>2</v>
      </c>
      <c r="V329" s="59" t="s">
        <v>176</v>
      </c>
      <c r="AL329" s="59" t="s">
        <v>40</v>
      </c>
      <c r="AM329" s="22" t="s">
        <v>188</v>
      </c>
      <c r="AV329" s="59" t="s">
        <v>134</v>
      </c>
      <c r="AW329" s="22" t="str">
        <f>Settings!$B$5 &amp;  "?s=" &amp; D329 &amp; "&amp;platform=ftx"</f>
        <v>https://tokensol.nfluent.io?s=COR22D166&amp;platform=ftx</v>
      </c>
      <c r="AX329" s="20" t="s">
        <v>23</v>
      </c>
      <c r="AY329" s="20">
        <v>10</v>
      </c>
      <c r="AZ329" s="20" t="s">
        <v>24</v>
      </c>
      <c r="BA329" s="20">
        <v>90</v>
      </c>
      <c r="BD329" s="14"/>
      <c r="BJ329" t="s">
        <v>255</v>
      </c>
      <c r="BK329" t="s">
        <v>184</v>
      </c>
      <c r="BN329" s="36">
        <v>100</v>
      </c>
      <c r="BO329" s="36">
        <v>100</v>
      </c>
      <c r="BP329">
        <f t="shared" si="31"/>
        <v>480</v>
      </c>
      <c r="BR329" s="38">
        <v>44713</v>
      </c>
      <c r="BS329" s="20" t="s">
        <v>185</v>
      </c>
      <c r="BT329" s="20" t="str">
        <f t="shared" si="32"/>
        <v>InCasa_COR22D166</v>
      </c>
    </row>
    <row r="330" spans="2:72" ht="18.75" customHeight="1" x14ac:dyDescent="0.25">
      <c r="B330" s="20">
        <f t="shared" si="33"/>
        <v>167</v>
      </c>
      <c r="C330" s="22" t="str">
        <f t="shared" si="29"/>
        <v>In Casa #167</v>
      </c>
      <c r="D330" t="str">
        <f t="shared" si="30"/>
        <v>COR22D167</v>
      </c>
      <c r="E330" s="58" t="s">
        <v>252</v>
      </c>
      <c r="F330" s="20">
        <v>1000</v>
      </c>
      <c r="G330" s="14" t="s">
        <v>354</v>
      </c>
      <c r="H330" s="23" t="s">
        <v>170</v>
      </c>
      <c r="J330" s="59" t="s">
        <v>38</v>
      </c>
      <c r="K330" s="22" t="s">
        <v>254</v>
      </c>
      <c r="L330" s="59" t="s">
        <v>171</v>
      </c>
      <c r="M330" s="22">
        <v>2</v>
      </c>
      <c r="V330" s="59" t="s">
        <v>176</v>
      </c>
      <c r="AL330" s="59" t="s">
        <v>40</v>
      </c>
      <c r="AM330" s="22" t="s">
        <v>188</v>
      </c>
      <c r="AV330" s="59" t="s">
        <v>134</v>
      </c>
      <c r="AW330" s="22" t="str">
        <f>Settings!$B$5 &amp;  "?s=" &amp; D330 &amp; "&amp;platform=ftx"</f>
        <v>https://tokensol.nfluent.io?s=COR22D167&amp;platform=ftx</v>
      </c>
      <c r="AX330" s="20" t="s">
        <v>23</v>
      </c>
      <c r="AY330" s="20">
        <v>10</v>
      </c>
      <c r="AZ330" s="20" t="s">
        <v>24</v>
      </c>
      <c r="BA330" s="20">
        <v>90</v>
      </c>
      <c r="BD330" s="14"/>
      <c r="BJ330" t="s">
        <v>255</v>
      </c>
      <c r="BK330" t="s">
        <v>184</v>
      </c>
      <c r="BN330" s="36">
        <v>100</v>
      </c>
      <c r="BO330" s="36">
        <v>100</v>
      </c>
      <c r="BP330">
        <f t="shared" si="31"/>
        <v>480</v>
      </c>
      <c r="BR330" s="38">
        <v>44713</v>
      </c>
      <c r="BS330" s="20" t="s">
        <v>185</v>
      </c>
      <c r="BT330" s="20" t="str">
        <f t="shared" si="32"/>
        <v>InCasa_COR22D167</v>
      </c>
    </row>
    <row r="331" spans="2:72" ht="18.75" customHeight="1" x14ac:dyDescent="0.25">
      <c r="B331" s="20">
        <f t="shared" si="33"/>
        <v>168</v>
      </c>
      <c r="C331" s="22" t="str">
        <f t="shared" si="29"/>
        <v>In Casa #168</v>
      </c>
      <c r="D331" t="str">
        <f t="shared" si="30"/>
        <v>COR22D168</v>
      </c>
      <c r="E331" s="58" t="s">
        <v>252</v>
      </c>
      <c r="F331" s="20">
        <v>1000</v>
      </c>
      <c r="G331" s="14" t="s">
        <v>354</v>
      </c>
      <c r="H331" s="23" t="s">
        <v>170</v>
      </c>
      <c r="J331" s="59" t="s">
        <v>38</v>
      </c>
      <c r="K331" s="22" t="s">
        <v>254</v>
      </c>
      <c r="L331" s="59" t="s">
        <v>171</v>
      </c>
      <c r="M331" s="22">
        <v>2</v>
      </c>
      <c r="V331" s="59" t="s">
        <v>176</v>
      </c>
      <c r="AL331" s="59" t="s">
        <v>40</v>
      </c>
      <c r="AM331" s="22" t="s">
        <v>188</v>
      </c>
      <c r="AV331" s="59" t="s">
        <v>134</v>
      </c>
      <c r="AW331" s="22" t="str">
        <f>Settings!$B$5 &amp;  "?s=" &amp; D331 &amp; "&amp;platform=ftx"</f>
        <v>https://tokensol.nfluent.io?s=COR22D168&amp;platform=ftx</v>
      </c>
      <c r="AX331" s="20" t="s">
        <v>23</v>
      </c>
      <c r="AY331" s="20">
        <v>10</v>
      </c>
      <c r="AZ331" s="20" t="s">
        <v>24</v>
      </c>
      <c r="BA331" s="20">
        <v>90</v>
      </c>
      <c r="BD331" s="14"/>
      <c r="BJ331" t="s">
        <v>255</v>
      </c>
      <c r="BK331" t="s">
        <v>184</v>
      </c>
      <c r="BN331" s="36">
        <v>100</v>
      </c>
      <c r="BO331" s="36">
        <v>100</v>
      </c>
      <c r="BP331">
        <f t="shared" si="31"/>
        <v>480</v>
      </c>
      <c r="BR331" s="38">
        <v>44713</v>
      </c>
      <c r="BS331" s="20" t="s">
        <v>185</v>
      </c>
      <c r="BT331" s="20" t="str">
        <f t="shared" si="32"/>
        <v>InCasa_COR22D168</v>
      </c>
    </row>
    <row r="332" spans="2:72" ht="18.75" customHeight="1" x14ac:dyDescent="0.25">
      <c r="B332" s="20">
        <f t="shared" si="33"/>
        <v>169</v>
      </c>
      <c r="C332" s="22" t="str">
        <f t="shared" si="29"/>
        <v>In Casa #169</v>
      </c>
      <c r="D332" t="str">
        <f t="shared" si="30"/>
        <v>COR22D169</v>
      </c>
      <c r="E332" s="58" t="s">
        <v>252</v>
      </c>
      <c r="F332" s="20">
        <v>1000</v>
      </c>
      <c r="G332" s="14" t="s">
        <v>354</v>
      </c>
      <c r="H332" s="23" t="s">
        <v>170</v>
      </c>
      <c r="J332" s="59" t="s">
        <v>38</v>
      </c>
      <c r="K332" s="22" t="s">
        <v>254</v>
      </c>
      <c r="L332" s="59" t="s">
        <v>171</v>
      </c>
      <c r="M332" s="22">
        <v>2</v>
      </c>
      <c r="V332" s="59" t="s">
        <v>176</v>
      </c>
      <c r="AL332" s="59" t="s">
        <v>40</v>
      </c>
      <c r="AM332" s="22" t="s">
        <v>188</v>
      </c>
      <c r="AV332" s="59" t="s">
        <v>134</v>
      </c>
      <c r="AW332" s="22" t="str">
        <f>Settings!$B$5 &amp;  "?s=" &amp; D332 &amp; "&amp;platform=ftx"</f>
        <v>https://tokensol.nfluent.io?s=COR22D169&amp;platform=ftx</v>
      </c>
      <c r="AX332" s="20" t="s">
        <v>23</v>
      </c>
      <c r="AY332" s="20">
        <v>10</v>
      </c>
      <c r="AZ332" s="20" t="s">
        <v>24</v>
      </c>
      <c r="BA332" s="20">
        <v>90</v>
      </c>
      <c r="BD332" s="14"/>
      <c r="BJ332" t="s">
        <v>255</v>
      </c>
      <c r="BK332" t="s">
        <v>184</v>
      </c>
      <c r="BN332" s="36">
        <v>100</v>
      </c>
      <c r="BO332" s="36">
        <v>100</v>
      </c>
      <c r="BP332">
        <f t="shared" si="31"/>
        <v>480</v>
      </c>
      <c r="BR332" s="38">
        <v>44713</v>
      </c>
      <c r="BS332" s="20" t="s">
        <v>185</v>
      </c>
      <c r="BT332" s="20" t="str">
        <f t="shared" si="32"/>
        <v>InCasa_COR22D169</v>
      </c>
    </row>
    <row r="333" spans="2:72" ht="18.75" customHeight="1" x14ac:dyDescent="0.25">
      <c r="B333" s="20">
        <f t="shared" si="33"/>
        <v>170</v>
      </c>
      <c r="C333" s="22" t="str">
        <f t="shared" si="29"/>
        <v>In Casa #170</v>
      </c>
      <c r="D333" t="str">
        <f t="shared" si="30"/>
        <v>COR22D170</v>
      </c>
      <c r="E333" s="58" t="s">
        <v>252</v>
      </c>
      <c r="F333" s="20">
        <v>1000</v>
      </c>
      <c r="G333" s="14" t="s">
        <v>354</v>
      </c>
      <c r="H333" s="23" t="s">
        <v>170</v>
      </c>
      <c r="J333" s="59" t="s">
        <v>38</v>
      </c>
      <c r="K333" s="22" t="s">
        <v>254</v>
      </c>
      <c r="L333" s="59" t="s">
        <v>171</v>
      </c>
      <c r="M333" s="22">
        <v>2</v>
      </c>
      <c r="V333" s="59" t="s">
        <v>176</v>
      </c>
      <c r="AL333" s="59" t="s">
        <v>40</v>
      </c>
      <c r="AM333" s="22" t="s">
        <v>188</v>
      </c>
      <c r="AV333" s="59" t="s">
        <v>134</v>
      </c>
      <c r="AW333" s="22" t="str">
        <f>Settings!$B$5 &amp;  "?s=" &amp; D333 &amp; "&amp;platform=ftx"</f>
        <v>https://tokensol.nfluent.io?s=COR22D170&amp;platform=ftx</v>
      </c>
      <c r="AX333" s="20" t="s">
        <v>23</v>
      </c>
      <c r="AY333" s="20">
        <v>10</v>
      </c>
      <c r="AZ333" s="20" t="s">
        <v>24</v>
      </c>
      <c r="BA333" s="20">
        <v>90</v>
      </c>
      <c r="BD333" s="14"/>
      <c r="BJ333" t="s">
        <v>255</v>
      </c>
      <c r="BK333" t="s">
        <v>184</v>
      </c>
      <c r="BN333" s="36">
        <v>100</v>
      </c>
      <c r="BO333" s="36">
        <v>100</v>
      </c>
      <c r="BP333">
        <f t="shared" si="31"/>
        <v>480</v>
      </c>
      <c r="BR333" s="38">
        <v>44713</v>
      </c>
      <c r="BS333" s="20" t="s">
        <v>185</v>
      </c>
      <c r="BT333" s="20" t="str">
        <f t="shared" si="32"/>
        <v>InCasa_COR22D170</v>
      </c>
    </row>
    <row r="334" spans="2:72" ht="18.75" customHeight="1" x14ac:dyDescent="0.25">
      <c r="B334" s="20">
        <f t="shared" si="33"/>
        <v>171</v>
      </c>
      <c r="C334" s="22" t="str">
        <f t="shared" si="29"/>
        <v>In Casa #171</v>
      </c>
      <c r="D334" t="str">
        <f t="shared" si="30"/>
        <v>COR22D171</v>
      </c>
      <c r="E334" s="58" t="s">
        <v>252</v>
      </c>
      <c r="F334" s="20">
        <v>1000</v>
      </c>
      <c r="G334" s="14" t="s">
        <v>354</v>
      </c>
      <c r="H334" s="23" t="s">
        <v>170</v>
      </c>
      <c r="J334" s="59" t="s">
        <v>38</v>
      </c>
      <c r="K334" s="22" t="s">
        <v>254</v>
      </c>
      <c r="L334" s="59" t="s">
        <v>171</v>
      </c>
      <c r="M334" s="22">
        <v>2</v>
      </c>
      <c r="V334" s="59" t="s">
        <v>176</v>
      </c>
      <c r="AL334" s="59" t="s">
        <v>40</v>
      </c>
      <c r="AM334" s="22" t="s">
        <v>188</v>
      </c>
      <c r="AV334" s="59" t="s">
        <v>134</v>
      </c>
      <c r="AW334" s="22" t="str">
        <f>Settings!$B$5 &amp;  "?s=" &amp; D334 &amp; "&amp;platform=ftx"</f>
        <v>https://tokensol.nfluent.io?s=COR22D171&amp;platform=ftx</v>
      </c>
      <c r="AX334" s="20" t="s">
        <v>23</v>
      </c>
      <c r="AY334" s="20">
        <v>10</v>
      </c>
      <c r="AZ334" s="20" t="s">
        <v>24</v>
      </c>
      <c r="BA334" s="20">
        <v>90</v>
      </c>
      <c r="BD334" s="14"/>
      <c r="BJ334" t="s">
        <v>255</v>
      </c>
      <c r="BK334" t="s">
        <v>184</v>
      </c>
      <c r="BN334" s="36">
        <v>100</v>
      </c>
      <c r="BO334" s="36">
        <v>100</v>
      </c>
      <c r="BP334">
        <f t="shared" si="31"/>
        <v>480</v>
      </c>
      <c r="BR334" s="38">
        <v>44713</v>
      </c>
      <c r="BS334" s="20" t="s">
        <v>185</v>
      </c>
      <c r="BT334" s="20" t="str">
        <f t="shared" si="32"/>
        <v>InCasa_COR22D171</v>
      </c>
    </row>
    <row r="335" spans="2:72" ht="18.75" customHeight="1" x14ac:dyDescent="0.25">
      <c r="B335" s="20">
        <f t="shared" si="33"/>
        <v>172</v>
      </c>
      <c r="C335" s="22" t="str">
        <f t="shared" si="29"/>
        <v>In Casa #172</v>
      </c>
      <c r="D335" t="str">
        <f t="shared" si="30"/>
        <v>COR22D172</v>
      </c>
      <c r="E335" s="58" t="s">
        <v>252</v>
      </c>
      <c r="F335" s="20">
        <v>1000</v>
      </c>
      <c r="G335" s="14" t="s">
        <v>354</v>
      </c>
      <c r="H335" s="23" t="s">
        <v>170</v>
      </c>
      <c r="J335" s="59" t="s">
        <v>38</v>
      </c>
      <c r="K335" s="22" t="s">
        <v>254</v>
      </c>
      <c r="L335" s="59" t="s">
        <v>171</v>
      </c>
      <c r="M335" s="22">
        <v>2</v>
      </c>
      <c r="V335" s="59" t="s">
        <v>176</v>
      </c>
      <c r="AL335" s="59" t="s">
        <v>40</v>
      </c>
      <c r="AM335" s="22" t="s">
        <v>188</v>
      </c>
      <c r="AV335" s="59" t="s">
        <v>134</v>
      </c>
      <c r="AW335" s="22" t="str">
        <f>Settings!$B$5 &amp;  "?s=" &amp; D335 &amp; "&amp;platform=ftx"</f>
        <v>https://tokensol.nfluent.io?s=COR22D172&amp;platform=ftx</v>
      </c>
      <c r="AX335" s="20" t="s">
        <v>23</v>
      </c>
      <c r="AY335" s="20">
        <v>10</v>
      </c>
      <c r="AZ335" s="20" t="s">
        <v>24</v>
      </c>
      <c r="BA335" s="20">
        <v>90</v>
      </c>
      <c r="BD335" s="14"/>
      <c r="BJ335" t="s">
        <v>255</v>
      </c>
      <c r="BK335" t="s">
        <v>184</v>
      </c>
      <c r="BN335" s="36">
        <v>100</v>
      </c>
      <c r="BO335" s="36">
        <v>100</v>
      </c>
      <c r="BP335">
        <f t="shared" si="31"/>
        <v>480</v>
      </c>
      <c r="BR335" s="38">
        <v>44713</v>
      </c>
      <c r="BS335" s="20" t="s">
        <v>185</v>
      </c>
      <c r="BT335" s="20" t="str">
        <f t="shared" si="32"/>
        <v>InCasa_COR22D172</v>
      </c>
    </row>
    <row r="336" spans="2:72" ht="18.75" customHeight="1" x14ac:dyDescent="0.25">
      <c r="B336" s="20">
        <f t="shared" si="33"/>
        <v>173</v>
      </c>
      <c r="C336" s="22" t="str">
        <f t="shared" si="29"/>
        <v>In Casa #173</v>
      </c>
      <c r="D336" t="str">
        <f t="shared" si="30"/>
        <v>COR22D173</v>
      </c>
      <c r="E336" s="58" t="s">
        <v>252</v>
      </c>
      <c r="F336" s="20">
        <v>1000</v>
      </c>
      <c r="G336" s="14" t="s">
        <v>354</v>
      </c>
      <c r="H336" s="23" t="s">
        <v>170</v>
      </c>
      <c r="J336" s="59" t="s">
        <v>38</v>
      </c>
      <c r="K336" s="22" t="s">
        <v>254</v>
      </c>
      <c r="L336" s="59" t="s">
        <v>171</v>
      </c>
      <c r="M336" s="22">
        <v>2</v>
      </c>
      <c r="V336" s="59" t="s">
        <v>176</v>
      </c>
      <c r="AL336" s="59" t="s">
        <v>40</v>
      </c>
      <c r="AM336" s="22" t="s">
        <v>188</v>
      </c>
      <c r="AV336" s="59" t="s">
        <v>134</v>
      </c>
      <c r="AW336" s="22" t="str">
        <f>Settings!$B$5 &amp;  "?s=" &amp; D336 &amp; "&amp;platform=ftx"</f>
        <v>https://tokensol.nfluent.io?s=COR22D173&amp;platform=ftx</v>
      </c>
      <c r="AX336" s="20" t="s">
        <v>23</v>
      </c>
      <c r="AY336" s="20">
        <v>10</v>
      </c>
      <c r="AZ336" s="20" t="s">
        <v>24</v>
      </c>
      <c r="BA336" s="20">
        <v>90</v>
      </c>
      <c r="BD336" s="14"/>
      <c r="BJ336" t="s">
        <v>255</v>
      </c>
      <c r="BK336" t="s">
        <v>184</v>
      </c>
      <c r="BN336" s="36">
        <v>100</v>
      </c>
      <c r="BO336" s="36">
        <v>100</v>
      </c>
      <c r="BP336">
        <f t="shared" si="31"/>
        <v>480</v>
      </c>
      <c r="BR336" s="38">
        <v>44713</v>
      </c>
      <c r="BS336" s="20" t="s">
        <v>185</v>
      </c>
      <c r="BT336" s="20" t="str">
        <f t="shared" si="32"/>
        <v>InCasa_COR22D173</v>
      </c>
    </row>
    <row r="337" spans="2:72" ht="18.75" customHeight="1" x14ac:dyDescent="0.25">
      <c r="B337" s="20">
        <f t="shared" si="33"/>
        <v>174</v>
      </c>
      <c r="C337" s="22" t="str">
        <f t="shared" si="29"/>
        <v>In Casa #174</v>
      </c>
      <c r="D337" t="str">
        <f t="shared" si="30"/>
        <v>COR22D174</v>
      </c>
      <c r="E337" s="58" t="s">
        <v>252</v>
      </c>
      <c r="F337" s="20">
        <v>1000</v>
      </c>
      <c r="G337" s="14" t="s">
        <v>354</v>
      </c>
      <c r="H337" s="23" t="s">
        <v>170</v>
      </c>
      <c r="J337" s="59" t="s">
        <v>38</v>
      </c>
      <c r="K337" s="22" t="s">
        <v>254</v>
      </c>
      <c r="L337" s="59" t="s">
        <v>171</v>
      </c>
      <c r="M337" s="22">
        <v>2</v>
      </c>
      <c r="V337" s="59" t="s">
        <v>176</v>
      </c>
      <c r="AL337" s="59" t="s">
        <v>40</v>
      </c>
      <c r="AM337" s="22" t="s">
        <v>188</v>
      </c>
      <c r="AV337" s="59" t="s">
        <v>134</v>
      </c>
      <c r="AW337" s="22" t="str">
        <f>Settings!$B$5 &amp;  "?s=" &amp; D337 &amp; "&amp;platform=ftx"</f>
        <v>https://tokensol.nfluent.io?s=COR22D174&amp;platform=ftx</v>
      </c>
      <c r="AX337" s="20" t="s">
        <v>23</v>
      </c>
      <c r="AY337" s="20">
        <v>10</v>
      </c>
      <c r="AZ337" s="20" t="s">
        <v>24</v>
      </c>
      <c r="BA337" s="20">
        <v>90</v>
      </c>
      <c r="BD337" s="14"/>
      <c r="BJ337" t="s">
        <v>255</v>
      </c>
      <c r="BK337" t="s">
        <v>184</v>
      </c>
      <c r="BN337" s="36">
        <v>100</v>
      </c>
      <c r="BO337" s="36">
        <v>100</v>
      </c>
      <c r="BP337">
        <f t="shared" si="31"/>
        <v>480</v>
      </c>
      <c r="BR337" s="38">
        <v>44713</v>
      </c>
      <c r="BS337" s="20" t="s">
        <v>185</v>
      </c>
      <c r="BT337" s="20" t="str">
        <f t="shared" si="32"/>
        <v>InCasa_COR22D174</v>
      </c>
    </row>
    <row r="338" spans="2:72" ht="18.75" customHeight="1" x14ac:dyDescent="0.25">
      <c r="B338" s="20">
        <f t="shared" si="33"/>
        <v>175</v>
      </c>
      <c r="C338" s="22" t="str">
        <f t="shared" si="29"/>
        <v>In Casa #175</v>
      </c>
      <c r="D338" t="str">
        <f t="shared" si="30"/>
        <v>COR22D175</v>
      </c>
      <c r="E338" s="58" t="s">
        <v>252</v>
      </c>
      <c r="F338" s="20">
        <v>1000</v>
      </c>
      <c r="G338" s="14" t="s">
        <v>354</v>
      </c>
      <c r="H338" s="23" t="s">
        <v>170</v>
      </c>
      <c r="J338" s="59" t="s">
        <v>38</v>
      </c>
      <c r="K338" s="22" t="s">
        <v>254</v>
      </c>
      <c r="L338" s="59" t="s">
        <v>171</v>
      </c>
      <c r="M338" s="22">
        <v>2</v>
      </c>
      <c r="V338" s="59" t="s">
        <v>176</v>
      </c>
      <c r="AL338" s="59" t="s">
        <v>40</v>
      </c>
      <c r="AM338" s="22" t="s">
        <v>188</v>
      </c>
      <c r="AV338" s="59" t="s">
        <v>134</v>
      </c>
      <c r="AW338" s="22" t="str">
        <f>Settings!$B$5 &amp;  "?s=" &amp; D338 &amp; "&amp;platform=ftx"</f>
        <v>https://tokensol.nfluent.io?s=COR22D175&amp;platform=ftx</v>
      </c>
      <c r="AX338" s="20" t="s">
        <v>23</v>
      </c>
      <c r="AY338" s="20">
        <v>10</v>
      </c>
      <c r="AZ338" s="20" t="s">
        <v>24</v>
      </c>
      <c r="BA338" s="20">
        <v>90</v>
      </c>
      <c r="BD338" s="14"/>
      <c r="BJ338" t="s">
        <v>255</v>
      </c>
      <c r="BK338" t="s">
        <v>184</v>
      </c>
      <c r="BN338" s="36">
        <v>100</v>
      </c>
      <c r="BO338" s="36">
        <v>100</v>
      </c>
      <c r="BP338">
        <f t="shared" si="31"/>
        <v>480</v>
      </c>
      <c r="BR338" s="38">
        <v>44713</v>
      </c>
      <c r="BS338" s="20" t="s">
        <v>185</v>
      </c>
      <c r="BT338" s="20" t="str">
        <f t="shared" si="32"/>
        <v>InCasa_COR22D175</v>
      </c>
    </row>
    <row r="339" spans="2:72" ht="18.75" customHeight="1" x14ac:dyDescent="0.25">
      <c r="B339" s="20">
        <f t="shared" si="33"/>
        <v>176</v>
      </c>
      <c r="C339" s="22" t="str">
        <f t="shared" si="29"/>
        <v>In Casa #176</v>
      </c>
      <c r="D339" t="str">
        <f t="shared" si="30"/>
        <v>COR22D176</v>
      </c>
      <c r="E339" s="58" t="s">
        <v>252</v>
      </c>
      <c r="F339" s="20">
        <v>1000</v>
      </c>
      <c r="G339" s="14" t="s">
        <v>354</v>
      </c>
      <c r="H339" s="23" t="s">
        <v>170</v>
      </c>
      <c r="J339" s="59" t="s">
        <v>38</v>
      </c>
      <c r="K339" s="22" t="s">
        <v>254</v>
      </c>
      <c r="L339" s="59" t="s">
        <v>171</v>
      </c>
      <c r="M339" s="22">
        <v>2</v>
      </c>
      <c r="V339" s="59" t="s">
        <v>176</v>
      </c>
      <c r="AL339" s="59" t="s">
        <v>40</v>
      </c>
      <c r="AM339" s="22" t="s">
        <v>188</v>
      </c>
      <c r="AV339" s="59" t="s">
        <v>134</v>
      </c>
      <c r="AW339" s="22" t="str">
        <f>Settings!$B$5 &amp;  "?s=" &amp; D339 &amp; "&amp;platform=ftx"</f>
        <v>https://tokensol.nfluent.io?s=COR22D176&amp;platform=ftx</v>
      </c>
      <c r="AX339" s="20" t="s">
        <v>23</v>
      </c>
      <c r="AY339" s="20">
        <v>10</v>
      </c>
      <c r="AZ339" s="20" t="s">
        <v>24</v>
      </c>
      <c r="BA339" s="20">
        <v>90</v>
      </c>
      <c r="BD339" s="14"/>
      <c r="BJ339" t="s">
        <v>255</v>
      </c>
      <c r="BK339" t="s">
        <v>184</v>
      </c>
      <c r="BN339" s="36">
        <v>100</v>
      </c>
      <c r="BO339" s="36">
        <v>100</v>
      </c>
      <c r="BP339">
        <f t="shared" si="31"/>
        <v>480</v>
      </c>
      <c r="BR339" s="38">
        <v>44713</v>
      </c>
      <c r="BS339" s="20" t="s">
        <v>185</v>
      </c>
      <c r="BT339" s="20" t="str">
        <f t="shared" si="32"/>
        <v>InCasa_COR22D176</v>
      </c>
    </row>
    <row r="340" spans="2:72" ht="18.75" customHeight="1" x14ac:dyDescent="0.25">
      <c r="B340" s="20">
        <f t="shared" si="33"/>
        <v>177</v>
      </c>
      <c r="C340" s="22" t="str">
        <f t="shared" si="29"/>
        <v>In Casa #177</v>
      </c>
      <c r="D340" t="str">
        <f t="shared" si="30"/>
        <v>COR22D177</v>
      </c>
      <c r="E340" s="58" t="s">
        <v>252</v>
      </c>
      <c r="F340" s="20">
        <v>1000</v>
      </c>
      <c r="G340" s="14" t="s">
        <v>354</v>
      </c>
      <c r="H340" s="23" t="s">
        <v>170</v>
      </c>
      <c r="J340" s="59" t="s">
        <v>38</v>
      </c>
      <c r="K340" s="22" t="s">
        <v>254</v>
      </c>
      <c r="L340" s="59" t="s">
        <v>171</v>
      </c>
      <c r="M340" s="22">
        <v>2</v>
      </c>
      <c r="V340" s="59" t="s">
        <v>176</v>
      </c>
      <c r="AL340" s="59" t="s">
        <v>40</v>
      </c>
      <c r="AM340" s="22" t="s">
        <v>188</v>
      </c>
      <c r="AV340" s="59" t="s">
        <v>134</v>
      </c>
      <c r="AW340" s="22" t="str">
        <f>Settings!$B$5 &amp;  "?s=" &amp; D340 &amp; "&amp;platform=ftx"</f>
        <v>https://tokensol.nfluent.io?s=COR22D177&amp;platform=ftx</v>
      </c>
      <c r="AX340" s="20" t="s">
        <v>23</v>
      </c>
      <c r="AY340" s="20">
        <v>10</v>
      </c>
      <c r="AZ340" s="20" t="s">
        <v>24</v>
      </c>
      <c r="BA340" s="20">
        <v>90</v>
      </c>
      <c r="BD340" s="14"/>
      <c r="BJ340" t="s">
        <v>255</v>
      </c>
      <c r="BK340" t="s">
        <v>184</v>
      </c>
      <c r="BN340" s="36">
        <v>100</v>
      </c>
      <c r="BO340" s="36">
        <v>100</v>
      </c>
      <c r="BP340">
        <f t="shared" si="31"/>
        <v>480</v>
      </c>
      <c r="BR340" s="38">
        <v>44713</v>
      </c>
      <c r="BS340" s="20" t="s">
        <v>185</v>
      </c>
      <c r="BT340" s="20" t="str">
        <f t="shared" si="32"/>
        <v>InCasa_COR22D177</v>
      </c>
    </row>
    <row r="341" spans="2:72" ht="18.75" customHeight="1" x14ac:dyDescent="0.25">
      <c r="B341" s="20">
        <f t="shared" si="33"/>
        <v>178</v>
      </c>
      <c r="C341" s="22" t="str">
        <f t="shared" si="29"/>
        <v>In Casa #178</v>
      </c>
      <c r="D341" t="str">
        <f t="shared" si="30"/>
        <v>COR22D178</v>
      </c>
      <c r="E341" s="58" t="s">
        <v>252</v>
      </c>
      <c r="F341" s="20">
        <v>1000</v>
      </c>
      <c r="G341" s="14" t="s">
        <v>354</v>
      </c>
      <c r="H341" s="23" t="s">
        <v>170</v>
      </c>
      <c r="J341" s="59" t="s">
        <v>38</v>
      </c>
      <c r="K341" s="22" t="s">
        <v>254</v>
      </c>
      <c r="L341" s="59" t="s">
        <v>171</v>
      </c>
      <c r="M341" s="22">
        <v>2</v>
      </c>
      <c r="V341" s="59" t="s">
        <v>176</v>
      </c>
      <c r="AL341" s="59" t="s">
        <v>40</v>
      </c>
      <c r="AM341" s="22" t="s">
        <v>188</v>
      </c>
      <c r="AV341" s="59" t="s">
        <v>134</v>
      </c>
      <c r="AW341" s="22" t="str">
        <f>Settings!$B$5 &amp;  "?s=" &amp; D341 &amp; "&amp;platform=ftx"</f>
        <v>https://tokensol.nfluent.io?s=COR22D178&amp;platform=ftx</v>
      </c>
      <c r="AX341" s="20" t="s">
        <v>23</v>
      </c>
      <c r="AY341" s="20">
        <v>10</v>
      </c>
      <c r="AZ341" s="20" t="s">
        <v>24</v>
      </c>
      <c r="BA341" s="20">
        <v>90</v>
      </c>
      <c r="BD341" s="14"/>
      <c r="BJ341" t="s">
        <v>255</v>
      </c>
      <c r="BK341" t="s">
        <v>184</v>
      </c>
      <c r="BN341" s="36">
        <v>100</v>
      </c>
      <c r="BO341" s="36">
        <v>100</v>
      </c>
      <c r="BP341">
        <f t="shared" si="31"/>
        <v>480</v>
      </c>
      <c r="BR341" s="38">
        <v>44713</v>
      </c>
      <c r="BS341" s="20" t="s">
        <v>185</v>
      </c>
      <c r="BT341" s="20" t="str">
        <f t="shared" si="32"/>
        <v>InCasa_COR22D178</v>
      </c>
    </row>
    <row r="342" spans="2:72" ht="18.75" customHeight="1" x14ac:dyDescent="0.25">
      <c r="B342" s="20">
        <f t="shared" si="33"/>
        <v>179</v>
      </c>
      <c r="C342" s="22" t="str">
        <f t="shared" si="29"/>
        <v>In Casa #179</v>
      </c>
      <c r="D342" t="str">
        <f t="shared" si="30"/>
        <v>COR22D179</v>
      </c>
      <c r="E342" s="58" t="s">
        <v>252</v>
      </c>
      <c r="F342" s="20">
        <v>1000</v>
      </c>
      <c r="G342" s="14" t="s">
        <v>354</v>
      </c>
      <c r="H342" s="23" t="s">
        <v>170</v>
      </c>
      <c r="J342" s="59" t="s">
        <v>38</v>
      </c>
      <c r="K342" s="22" t="s">
        <v>254</v>
      </c>
      <c r="L342" s="59" t="s">
        <v>171</v>
      </c>
      <c r="M342" s="22">
        <v>2</v>
      </c>
      <c r="V342" s="59" t="s">
        <v>176</v>
      </c>
      <c r="AL342" s="59" t="s">
        <v>40</v>
      </c>
      <c r="AM342" s="22" t="s">
        <v>188</v>
      </c>
      <c r="AV342" s="59" t="s">
        <v>134</v>
      </c>
      <c r="AW342" s="22" t="str">
        <f>Settings!$B$5 &amp;  "?s=" &amp; D342 &amp; "&amp;platform=ftx"</f>
        <v>https://tokensol.nfluent.io?s=COR22D179&amp;platform=ftx</v>
      </c>
      <c r="AX342" s="20" t="s">
        <v>23</v>
      </c>
      <c r="AY342" s="20">
        <v>10</v>
      </c>
      <c r="AZ342" s="20" t="s">
        <v>24</v>
      </c>
      <c r="BA342" s="20">
        <v>90</v>
      </c>
      <c r="BD342" s="14"/>
      <c r="BJ342" t="s">
        <v>255</v>
      </c>
      <c r="BK342" t="s">
        <v>184</v>
      </c>
      <c r="BN342" s="36">
        <v>100</v>
      </c>
      <c r="BO342" s="36">
        <v>100</v>
      </c>
      <c r="BP342">
        <f t="shared" si="31"/>
        <v>480</v>
      </c>
      <c r="BR342" s="38">
        <v>44713</v>
      </c>
      <c r="BS342" s="20" t="s">
        <v>185</v>
      </c>
      <c r="BT342" s="20" t="str">
        <f t="shared" si="32"/>
        <v>InCasa_COR22D179</v>
      </c>
    </row>
    <row r="343" spans="2:72" ht="18.75" customHeight="1" x14ac:dyDescent="0.25">
      <c r="B343" s="20">
        <f t="shared" si="33"/>
        <v>180</v>
      </c>
      <c r="C343" s="22" t="str">
        <f t="shared" si="29"/>
        <v>In Casa #180</v>
      </c>
      <c r="D343" t="str">
        <f t="shared" si="30"/>
        <v>COR22D180</v>
      </c>
      <c r="E343" s="58" t="s">
        <v>252</v>
      </c>
      <c r="F343" s="20">
        <v>1000</v>
      </c>
      <c r="G343" s="14" t="s">
        <v>354</v>
      </c>
      <c r="H343" s="23" t="s">
        <v>170</v>
      </c>
      <c r="J343" s="59" t="s">
        <v>38</v>
      </c>
      <c r="K343" s="22" t="s">
        <v>254</v>
      </c>
      <c r="L343" s="59" t="s">
        <v>171</v>
      </c>
      <c r="M343" s="22">
        <v>2</v>
      </c>
      <c r="V343" s="59" t="s">
        <v>176</v>
      </c>
      <c r="AL343" s="59" t="s">
        <v>40</v>
      </c>
      <c r="AM343" s="22" t="s">
        <v>188</v>
      </c>
      <c r="AV343" s="59" t="s">
        <v>134</v>
      </c>
      <c r="AW343" s="22" t="str">
        <f>Settings!$B$5 &amp;  "?s=" &amp; D343 &amp; "&amp;platform=ftx"</f>
        <v>https://tokensol.nfluent.io?s=COR22D180&amp;platform=ftx</v>
      </c>
      <c r="AX343" s="20" t="s">
        <v>23</v>
      </c>
      <c r="AY343" s="20">
        <v>10</v>
      </c>
      <c r="AZ343" s="20" t="s">
        <v>24</v>
      </c>
      <c r="BA343" s="20">
        <v>90</v>
      </c>
      <c r="BD343" s="14"/>
      <c r="BJ343" t="s">
        <v>255</v>
      </c>
      <c r="BK343" t="s">
        <v>184</v>
      </c>
      <c r="BN343" s="36">
        <v>100</v>
      </c>
      <c r="BO343" s="36">
        <v>100</v>
      </c>
      <c r="BP343">
        <f t="shared" si="31"/>
        <v>480</v>
      </c>
      <c r="BR343" s="38">
        <v>44713</v>
      </c>
      <c r="BS343" s="20" t="s">
        <v>185</v>
      </c>
      <c r="BT343" s="20" t="str">
        <f t="shared" si="32"/>
        <v>InCasa_COR22D180</v>
      </c>
    </row>
    <row r="344" spans="2:72" ht="18.75" customHeight="1" x14ac:dyDescent="0.25">
      <c r="B344" s="20">
        <f t="shared" si="33"/>
        <v>181</v>
      </c>
      <c r="C344" s="22" t="str">
        <f t="shared" si="29"/>
        <v>In Casa #181</v>
      </c>
      <c r="D344" t="str">
        <f t="shared" si="30"/>
        <v>COR22D181</v>
      </c>
      <c r="E344" s="58" t="s">
        <v>252</v>
      </c>
      <c r="F344" s="20">
        <v>1000</v>
      </c>
      <c r="G344" s="14" t="s">
        <v>354</v>
      </c>
      <c r="H344" s="23" t="s">
        <v>170</v>
      </c>
      <c r="J344" s="59" t="s">
        <v>38</v>
      </c>
      <c r="K344" s="22" t="s">
        <v>254</v>
      </c>
      <c r="L344" s="59" t="s">
        <v>171</v>
      </c>
      <c r="M344" s="22">
        <v>2</v>
      </c>
      <c r="V344" s="59" t="s">
        <v>176</v>
      </c>
      <c r="AL344" s="59" t="s">
        <v>40</v>
      </c>
      <c r="AM344" s="22" t="s">
        <v>188</v>
      </c>
      <c r="AV344" s="59" t="s">
        <v>134</v>
      </c>
      <c r="AW344" s="22" t="str">
        <f>Settings!$B$5 &amp;  "?s=" &amp; D344 &amp; "&amp;platform=ftx"</f>
        <v>https://tokensol.nfluent.io?s=COR22D181&amp;platform=ftx</v>
      </c>
      <c r="AX344" s="20" t="s">
        <v>23</v>
      </c>
      <c r="AY344" s="20">
        <v>10</v>
      </c>
      <c r="AZ344" s="20" t="s">
        <v>24</v>
      </c>
      <c r="BA344" s="20">
        <v>90</v>
      </c>
      <c r="BD344" s="14"/>
      <c r="BJ344" t="s">
        <v>255</v>
      </c>
      <c r="BK344" t="s">
        <v>184</v>
      </c>
      <c r="BN344" s="36">
        <v>100</v>
      </c>
      <c r="BO344" s="36">
        <v>100</v>
      </c>
      <c r="BP344">
        <f t="shared" si="31"/>
        <v>480</v>
      </c>
      <c r="BR344" s="38">
        <v>44713</v>
      </c>
      <c r="BS344" s="20" t="s">
        <v>185</v>
      </c>
      <c r="BT344" s="20" t="str">
        <f t="shared" si="32"/>
        <v>InCasa_COR22D181</v>
      </c>
    </row>
    <row r="345" spans="2:72" ht="18.75" customHeight="1" x14ac:dyDescent="0.25">
      <c r="B345" s="20">
        <f t="shared" si="33"/>
        <v>182</v>
      </c>
      <c r="C345" s="22" t="str">
        <f t="shared" si="29"/>
        <v>In Casa #182</v>
      </c>
      <c r="D345" t="str">
        <f t="shared" si="30"/>
        <v>COR22D182</v>
      </c>
      <c r="E345" s="58" t="s">
        <v>252</v>
      </c>
      <c r="F345" s="20">
        <v>1000</v>
      </c>
      <c r="G345" s="14" t="s">
        <v>354</v>
      </c>
      <c r="H345" s="23" t="s">
        <v>170</v>
      </c>
      <c r="J345" s="59" t="s">
        <v>38</v>
      </c>
      <c r="K345" s="22" t="s">
        <v>254</v>
      </c>
      <c r="L345" s="59" t="s">
        <v>171</v>
      </c>
      <c r="M345" s="22">
        <v>2</v>
      </c>
      <c r="V345" s="59" t="s">
        <v>176</v>
      </c>
      <c r="AL345" s="59" t="s">
        <v>40</v>
      </c>
      <c r="AM345" s="22" t="s">
        <v>188</v>
      </c>
      <c r="AV345" s="59" t="s">
        <v>134</v>
      </c>
      <c r="AW345" s="22" t="str">
        <f>Settings!$B$5 &amp;  "?s=" &amp; D345 &amp; "&amp;platform=ftx"</f>
        <v>https://tokensol.nfluent.io?s=COR22D182&amp;platform=ftx</v>
      </c>
      <c r="AX345" s="20" t="s">
        <v>23</v>
      </c>
      <c r="AY345" s="20">
        <v>10</v>
      </c>
      <c r="AZ345" s="20" t="s">
        <v>24</v>
      </c>
      <c r="BA345" s="20">
        <v>90</v>
      </c>
      <c r="BD345" s="14"/>
      <c r="BJ345" t="s">
        <v>255</v>
      </c>
      <c r="BK345" t="s">
        <v>184</v>
      </c>
      <c r="BN345" s="36">
        <v>100</v>
      </c>
      <c r="BO345" s="36">
        <v>100</v>
      </c>
      <c r="BP345">
        <f t="shared" si="31"/>
        <v>480</v>
      </c>
      <c r="BR345" s="38">
        <v>44713</v>
      </c>
      <c r="BS345" s="20" t="s">
        <v>185</v>
      </c>
      <c r="BT345" s="20" t="str">
        <f t="shared" si="32"/>
        <v>InCasa_COR22D182</v>
      </c>
    </row>
    <row r="346" spans="2:72" ht="18.75" customHeight="1" x14ac:dyDescent="0.25">
      <c r="B346" s="20">
        <f t="shared" si="33"/>
        <v>183</v>
      </c>
      <c r="C346" s="22" t="str">
        <f t="shared" si="29"/>
        <v>In Casa #183</v>
      </c>
      <c r="D346" t="str">
        <f t="shared" si="30"/>
        <v>COR22D183</v>
      </c>
      <c r="E346" s="58" t="s">
        <v>252</v>
      </c>
      <c r="F346" s="20">
        <v>1000</v>
      </c>
      <c r="G346" s="14" t="s">
        <v>354</v>
      </c>
      <c r="H346" s="23" t="s">
        <v>170</v>
      </c>
      <c r="J346" s="59" t="s">
        <v>38</v>
      </c>
      <c r="K346" s="22" t="s">
        <v>254</v>
      </c>
      <c r="L346" s="59" t="s">
        <v>171</v>
      </c>
      <c r="M346" s="22">
        <v>2</v>
      </c>
      <c r="V346" s="59" t="s">
        <v>176</v>
      </c>
      <c r="AL346" s="59" t="s">
        <v>40</v>
      </c>
      <c r="AM346" s="22" t="s">
        <v>188</v>
      </c>
      <c r="AV346" s="59" t="s">
        <v>134</v>
      </c>
      <c r="AW346" s="22" t="str">
        <f>Settings!$B$5 &amp;  "?s=" &amp; D346 &amp; "&amp;platform=ftx"</f>
        <v>https://tokensol.nfluent.io?s=COR22D183&amp;platform=ftx</v>
      </c>
      <c r="AX346" s="20" t="s">
        <v>23</v>
      </c>
      <c r="AY346" s="20">
        <v>10</v>
      </c>
      <c r="AZ346" s="20" t="s">
        <v>24</v>
      </c>
      <c r="BA346" s="20">
        <v>90</v>
      </c>
      <c r="BD346" s="14"/>
      <c r="BJ346" t="s">
        <v>255</v>
      </c>
      <c r="BK346" t="s">
        <v>184</v>
      </c>
      <c r="BN346" s="36">
        <v>100</v>
      </c>
      <c r="BO346" s="36">
        <v>100</v>
      </c>
      <c r="BP346">
        <f t="shared" si="31"/>
        <v>480</v>
      </c>
      <c r="BR346" s="38">
        <v>44713</v>
      </c>
      <c r="BS346" s="20" t="s">
        <v>185</v>
      </c>
      <c r="BT346" s="20" t="str">
        <f t="shared" si="32"/>
        <v>InCasa_COR22D183</v>
      </c>
    </row>
    <row r="347" spans="2:72" ht="18.75" customHeight="1" x14ac:dyDescent="0.25">
      <c r="B347" s="20">
        <f t="shared" si="33"/>
        <v>184</v>
      </c>
      <c r="C347" s="22" t="str">
        <f t="shared" si="29"/>
        <v>In Casa #184</v>
      </c>
      <c r="D347" t="str">
        <f t="shared" si="30"/>
        <v>COR22D184</v>
      </c>
      <c r="E347" s="58" t="s">
        <v>252</v>
      </c>
      <c r="F347" s="20">
        <v>1000</v>
      </c>
      <c r="G347" s="14" t="s">
        <v>354</v>
      </c>
      <c r="H347" s="23" t="s">
        <v>170</v>
      </c>
      <c r="J347" s="59" t="s">
        <v>38</v>
      </c>
      <c r="K347" s="22" t="s">
        <v>254</v>
      </c>
      <c r="L347" s="59" t="s">
        <v>171</v>
      </c>
      <c r="M347" s="22">
        <v>2</v>
      </c>
      <c r="V347" s="59" t="s">
        <v>176</v>
      </c>
      <c r="AL347" s="59" t="s">
        <v>40</v>
      </c>
      <c r="AM347" s="22" t="s">
        <v>188</v>
      </c>
      <c r="AV347" s="59" t="s">
        <v>134</v>
      </c>
      <c r="AW347" s="22" t="str">
        <f>Settings!$B$5 &amp;  "?s=" &amp; D347 &amp; "&amp;platform=ftx"</f>
        <v>https://tokensol.nfluent.io?s=COR22D184&amp;platform=ftx</v>
      </c>
      <c r="AX347" s="20" t="s">
        <v>23</v>
      </c>
      <c r="AY347" s="20">
        <v>10</v>
      </c>
      <c r="AZ347" s="20" t="s">
        <v>24</v>
      </c>
      <c r="BA347" s="20">
        <v>90</v>
      </c>
      <c r="BD347" s="14"/>
      <c r="BJ347" t="s">
        <v>255</v>
      </c>
      <c r="BK347" t="s">
        <v>184</v>
      </c>
      <c r="BN347" s="36">
        <v>100</v>
      </c>
      <c r="BO347" s="36">
        <v>100</v>
      </c>
      <c r="BP347">
        <f t="shared" si="31"/>
        <v>480</v>
      </c>
      <c r="BR347" s="38">
        <v>44713</v>
      </c>
      <c r="BS347" s="20" t="s">
        <v>185</v>
      </c>
      <c r="BT347" s="20" t="str">
        <f t="shared" si="32"/>
        <v>InCasa_COR22D184</v>
      </c>
    </row>
    <row r="348" spans="2:72" ht="18.75" customHeight="1" x14ac:dyDescent="0.25">
      <c r="B348" s="20">
        <f t="shared" si="33"/>
        <v>185</v>
      </c>
      <c r="C348" s="22" t="str">
        <f t="shared" si="29"/>
        <v>In Casa #185</v>
      </c>
      <c r="D348" t="str">
        <f t="shared" si="30"/>
        <v>COR22D185</v>
      </c>
      <c r="E348" s="58" t="s">
        <v>252</v>
      </c>
      <c r="F348" s="20">
        <v>1000</v>
      </c>
      <c r="G348" s="14" t="s">
        <v>354</v>
      </c>
      <c r="H348" s="23" t="s">
        <v>170</v>
      </c>
      <c r="J348" s="59" t="s">
        <v>38</v>
      </c>
      <c r="K348" s="22" t="s">
        <v>254</v>
      </c>
      <c r="L348" s="59" t="s">
        <v>171</v>
      </c>
      <c r="M348" s="22">
        <v>2</v>
      </c>
      <c r="V348" s="59" t="s">
        <v>176</v>
      </c>
      <c r="AL348" s="59" t="s">
        <v>40</v>
      </c>
      <c r="AM348" s="22" t="s">
        <v>188</v>
      </c>
      <c r="AV348" s="59" t="s">
        <v>134</v>
      </c>
      <c r="AW348" s="22" t="str">
        <f>Settings!$B$5 &amp;  "?s=" &amp; D348 &amp; "&amp;platform=ftx"</f>
        <v>https://tokensol.nfluent.io?s=COR22D185&amp;platform=ftx</v>
      </c>
      <c r="AX348" s="20" t="s">
        <v>23</v>
      </c>
      <c r="AY348" s="20">
        <v>10</v>
      </c>
      <c r="AZ348" s="20" t="s">
        <v>24</v>
      </c>
      <c r="BA348" s="20">
        <v>90</v>
      </c>
      <c r="BD348" s="14"/>
      <c r="BJ348" t="s">
        <v>255</v>
      </c>
      <c r="BK348" t="s">
        <v>184</v>
      </c>
      <c r="BN348" s="36">
        <v>100</v>
      </c>
      <c r="BO348" s="36">
        <v>100</v>
      </c>
      <c r="BP348">
        <f t="shared" si="31"/>
        <v>480</v>
      </c>
      <c r="BR348" s="38">
        <v>44713</v>
      </c>
      <c r="BS348" s="20" t="s">
        <v>185</v>
      </c>
      <c r="BT348" s="20" t="str">
        <f t="shared" si="32"/>
        <v>InCasa_COR22D185</v>
      </c>
    </row>
    <row r="349" spans="2:72" ht="18.75" customHeight="1" x14ac:dyDescent="0.25">
      <c r="B349" s="20">
        <f t="shared" si="33"/>
        <v>186</v>
      </c>
      <c r="C349" s="22" t="str">
        <f t="shared" si="29"/>
        <v>In Casa #186</v>
      </c>
      <c r="D349" t="str">
        <f t="shared" si="30"/>
        <v>COR22D186</v>
      </c>
      <c r="E349" s="58" t="s">
        <v>252</v>
      </c>
      <c r="F349" s="20">
        <v>1000</v>
      </c>
      <c r="G349" s="14" t="s">
        <v>354</v>
      </c>
      <c r="H349" s="23" t="s">
        <v>170</v>
      </c>
      <c r="J349" s="59" t="s">
        <v>38</v>
      </c>
      <c r="K349" s="22" t="s">
        <v>254</v>
      </c>
      <c r="L349" s="59" t="s">
        <v>171</v>
      </c>
      <c r="M349" s="22">
        <v>2</v>
      </c>
      <c r="V349" s="59" t="s">
        <v>176</v>
      </c>
      <c r="AL349" s="59" t="s">
        <v>40</v>
      </c>
      <c r="AM349" s="22" t="s">
        <v>188</v>
      </c>
      <c r="AV349" s="59" t="s">
        <v>134</v>
      </c>
      <c r="AW349" s="22" t="str">
        <f>Settings!$B$5 &amp;  "?s=" &amp; D349 &amp; "&amp;platform=ftx"</f>
        <v>https://tokensol.nfluent.io?s=COR22D186&amp;platform=ftx</v>
      </c>
      <c r="AX349" s="20" t="s">
        <v>23</v>
      </c>
      <c r="AY349" s="20">
        <v>10</v>
      </c>
      <c r="AZ349" s="20" t="s">
        <v>24</v>
      </c>
      <c r="BA349" s="20">
        <v>90</v>
      </c>
      <c r="BD349" s="14"/>
      <c r="BJ349" t="s">
        <v>255</v>
      </c>
      <c r="BK349" t="s">
        <v>184</v>
      </c>
      <c r="BN349" s="36">
        <v>100</v>
      </c>
      <c r="BO349" s="36">
        <v>100</v>
      </c>
      <c r="BP349">
        <f t="shared" si="31"/>
        <v>480</v>
      </c>
      <c r="BR349" s="38">
        <v>44713</v>
      </c>
      <c r="BS349" s="20" t="s">
        <v>185</v>
      </c>
      <c r="BT349" s="20" t="str">
        <f t="shared" si="32"/>
        <v>InCasa_COR22D186</v>
      </c>
    </row>
    <row r="350" spans="2:72" ht="18.75" customHeight="1" x14ac:dyDescent="0.25">
      <c r="B350" s="20">
        <f t="shared" si="33"/>
        <v>187</v>
      </c>
      <c r="C350" s="22" t="str">
        <f t="shared" si="29"/>
        <v>In Casa #187</v>
      </c>
      <c r="D350" t="str">
        <f t="shared" si="30"/>
        <v>COR22D187</v>
      </c>
      <c r="E350" s="58" t="s">
        <v>252</v>
      </c>
      <c r="F350" s="20">
        <v>1000</v>
      </c>
      <c r="G350" s="14" t="s">
        <v>354</v>
      </c>
      <c r="H350" s="23" t="s">
        <v>170</v>
      </c>
      <c r="J350" s="59" t="s">
        <v>38</v>
      </c>
      <c r="K350" s="22" t="s">
        <v>254</v>
      </c>
      <c r="L350" s="59" t="s">
        <v>171</v>
      </c>
      <c r="M350" s="22">
        <v>2</v>
      </c>
      <c r="V350" s="59" t="s">
        <v>176</v>
      </c>
      <c r="AL350" s="59" t="s">
        <v>40</v>
      </c>
      <c r="AM350" s="22" t="s">
        <v>188</v>
      </c>
      <c r="AV350" s="59" t="s">
        <v>134</v>
      </c>
      <c r="AW350" s="22" t="str">
        <f>Settings!$B$5 &amp;  "?s=" &amp; D350 &amp; "&amp;platform=ftx"</f>
        <v>https://tokensol.nfluent.io?s=COR22D187&amp;platform=ftx</v>
      </c>
      <c r="AX350" s="20" t="s">
        <v>23</v>
      </c>
      <c r="AY350" s="20">
        <v>10</v>
      </c>
      <c r="AZ350" s="20" t="s">
        <v>24</v>
      </c>
      <c r="BA350" s="20">
        <v>90</v>
      </c>
      <c r="BD350" s="14"/>
      <c r="BJ350" t="s">
        <v>255</v>
      </c>
      <c r="BK350" t="s">
        <v>184</v>
      </c>
      <c r="BN350" s="36">
        <v>100</v>
      </c>
      <c r="BO350" s="36">
        <v>100</v>
      </c>
      <c r="BP350">
        <f t="shared" si="31"/>
        <v>480</v>
      </c>
      <c r="BR350" s="38">
        <v>44713</v>
      </c>
      <c r="BS350" s="20" t="s">
        <v>185</v>
      </c>
      <c r="BT350" s="20" t="str">
        <f t="shared" si="32"/>
        <v>InCasa_COR22D187</v>
      </c>
    </row>
    <row r="351" spans="2:72" ht="18.75" customHeight="1" x14ac:dyDescent="0.25">
      <c r="B351" s="20">
        <f t="shared" si="33"/>
        <v>188</v>
      </c>
      <c r="C351" s="22" t="str">
        <f t="shared" si="29"/>
        <v>In Casa #188</v>
      </c>
      <c r="D351" t="str">
        <f t="shared" si="30"/>
        <v>COR22D188</v>
      </c>
      <c r="E351" s="58" t="s">
        <v>252</v>
      </c>
      <c r="F351" s="20">
        <v>1000</v>
      </c>
      <c r="G351" s="14" t="s">
        <v>354</v>
      </c>
      <c r="H351" s="23" t="s">
        <v>170</v>
      </c>
      <c r="J351" s="59" t="s">
        <v>38</v>
      </c>
      <c r="K351" s="22" t="s">
        <v>254</v>
      </c>
      <c r="L351" s="59" t="s">
        <v>171</v>
      </c>
      <c r="M351" s="22">
        <v>2</v>
      </c>
      <c r="V351" s="59" t="s">
        <v>176</v>
      </c>
      <c r="AL351" s="59" t="s">
        <v>40</v>
      </c>
      <c r="AM351" s="22" t="s">
        <v>188</v>
      </c>
      <c r="AV351" s="59" t="s">
        <v>134</v>
      </c>
      <c r="AW351" s="22" t="str">
        <f>Settings!$B$5 &amp;  "?s=" &amp; D351 &amp; "&amp;platform=ftx"</f>
        <v>https://tokensol.nfluent.io?s=COR22D188&amp;platform=ftx</v>
      </c>
      <c r="AX351" s="20" t="s">
        <v>23</v>
      </c>
      <c r="AY351" s="20">
        <v>10</v>
      </c>
      <c r="AZ351" s="20" t="s">
        <v>24</v>
      </c>
      <c r="BA351" s="20">
        <v>90</v>
      </c>
      <c r="BD351" s="14"/>
      <c r="BJ351" t="s">
        <v>255</v>
      </c>
      <c r="BK351" t="s">
        <v>184</v>
      </c>
      <c r="BN351" s="36">
        <v>100</v>
      </c>
      <c r="BO351" s="36">
        <v>100</v>
      </c>
      <c r="BP351">
        <f t="shared" si="31"/>
        <v>480</v>
      </c>
      <c r="BR351" s="38">
        <v>44713</v>
      </c>
      <c r="BS351" s="20" t="s">
        <v>185</v>
      </c>
      <c r="BT351" s="20" t="str">
        <f t="shared" si="32"/>
        <v>InCasa_COR22D188</v>
      </c>
    </row>
    <row r="352" spans="2:72" ht="18.75" customHeight="1" x14ac:dyDescent="0.25">
      <c r="B352" s="20">
        <f t="shared" si="33"/>
        <v>189</v>
      </c>
      <c r="C352" s="22" t="str">
        <f t="shared" si="29"/>
        <v>In Casa #189</v>
      </c>
      <c r="D352" t="str">
        <f t="shared" si="30"/>
        <v>COR22D189</v>
      </c>
      <c r="E352" s="58" t="s">
        <v>252</v>
      </c>
      <c r="F352" s="20">
        <v>1000</v>
      </c>
      <c r="G352" s="14" t="s">
        <v>354</v>
      </c>
      <c r="H352" s="23" t="s">
        <v>170</v>
      </c>
      <c r="J352" s="59" t="s">
        <v>38</v>
      </c>
      <c r="K352" s="22" t="s">
        <v>254</v>
      </c>
      <c r="L352" s="59" t="s">
        <v>171</v>
      </c>
      <c r="M352" s="22">
        <v>2</v>
      </c>
      <c r="V352" s="59" t="s">
        <v>176</v>
      </c>
      <c r="AL352" s="59" t="s">
        <v>40</v>
      </c>
      <c r="AM352" s="22" t="s">
        <v>188</v>
      </c>
      <c r="AV352" s="59" t="s">
        <v>134</v>
      </c>
      <c r="AW352" s="22" t="str">
        <f>Settings!$B$5 &amp;  "?s=" &amp; D352 &amp; "&amp;platform=ftx"</f>
        <v>https://tokensol.nfluent.io?s=COR22D189&amp;platform=ftx</v>
      </c>
      <c r="AX352" s="20" t="s">
        <v>23</v>
      </c>
      <c r="AY352" s="20">
        <v>10</v>
      </c>
      <c r="AZ352" s="20" t="s">
        <v>24</v>
      </c>
      <c r="BA352" s="20">
        <v>90</v>
      </c>
      <c r="BD352" s="14"/>
      <c r="BJ352" t="s">
        <v>255</v>
      </c>
      <c r="BK352" t="s">
        <v>184</v>
      </c>
      <c r="BN352" s="36">
        <v>100</v>
      </c>
      <c r="BO352" s="36">
        <v>100</v>
      </c>
      <c r="BP352">
        <f t="shared" si="31"/>
        <v>480</v>
      </c>
      <c r="BR352" s="38">
        <v>44713</v>
      </c>
      <c r="BS352" s="20" t="s">
        <v>185</v>
      </c>
      <c r="BT352" s="20" t="str">
        <f t="shared" si="32"/>
        <v>InCasa_COR22D189</v>
      </c>
    </row>
    <row r="353" spans="2:72" ht="18.75" customHeight="1" x14ac:dyDescent="0.25">
      <c r="B353" s="20">
        <f t="shared" si="33"/>
        <v>190</v>
      </c>
      <c r="C353" s="22" t="str">
        <f t="shared" si="29"/>
        <v>In Casa #190</v>
      </c>
      <c r="D353" t="str">
        <f t="shared" si="30"/>
        <v>COR22D190</v>
      </c>
      <c r="E353" s="58" t="s">
        <v>252</v>
      </c>
      <c r="F353" s="20">
        <v>1000</v>
      </c>
      <c r="G353" s="14" t="s">
        <v>354</v>
      </c>
      <c r="H353" s="23" t="s">
        <v>170</v>
      </c>
      <c r="J353" s="59" t="s">
        <v>38</v>
      </c>
      <c r="K353" s="22" t="s">
        <v>254</v>
      </c>
      <c r="L353" s="59" t="s">
        <v>171</v>
      </c>
      <c r="M353" s="22">
        <v>2</v>
      </c>
      <c r="V353" s="59" t="s">
        <v>176</v>
      </c>
      <c r="AL353" s="59" t="s">
        <v>40</v>
      </c>
      <c r="AM353" s="22" t="s">
        <v>188</v>
      </c>
      <c r="AV353" s="59" t="s">
        <v>134</v>
      </c>
      <c r="AW353" s="22" t="str">
        <f>Settings!$B$5 &amp;  "?s=" &amp; D353 &amp; "&amp;platform=ftx"</f>
        <v>https://tokensol.nfluent.io?s=COR22D190&amp;platform=ftx</v>
      </c>
      <c r="AX353" s="20" t="s">
        <v>23</v>
      </c>
      <c r="AY353" s="20">
        <v>10</v>
      </c>
      <c r="AZ353" s="20" t="s">
        <v>24</v>
      </c>
      <c r="BA353" s="20">
        <v>90</v>
      </c>
      <c r="BD353" s="14"/>
      <c r="BJ353" t="s">
        <v>255</v>
      </c>
      <c r="BK353" t="s">
        <v>184</v>
      </c>
      <c r="BN353" s="36">
        <v>100</v>
      </c>
      <c r="BO353" s="36">
        <v>100</v>
      </c>
      <c r="BP353">
        <f t="shared" si="31"/>
        <v>480</v>
      </c>
      <c r="BR353" s="38">
        <v>44713</v>
      </c>
      <c r="BS353" s="20" t="s">
        <v>185</v>
      </c>
      <c r="BT353" s="20" t="str">
        <f t="shared" si="32"/>
        <v>InCasa_COR22D190</v>
      </c>
    </row>
    <row r="354" spans="2:72" ht="18.75" customHeight="1" x14ac:dyDescent="0.25">
      <c r="B354" s="20">
        <f t="shared" si="33"/>
        <v>191</v>
      </c>
      <c r="C354" s="22" t="str">
        <f t="shared" si="29"/>
        <v>In Casa #191</v>
      </c>
      <c r="D354" t="str">
        <f t="shared" si="30"/>
        <v>COR22D191</v>
      </c>
      <c r="E354" s="58" t="s">
        <v>252</v>
      </c>
      <c r="F354" s="20">
        <v>1000</v>
      </c>
      <c r="G354" s="14" t="s">
        <v>354</v>
      </c>
      <c r="H354" s="23" t="s">
        <v>170</v>
      </c>
      <c r="J354" s="59" t="s">
        <v>38</v>
      </c>
      <c r="K354" s="22" t="s">
        <v>254</v>
      </c>
      <c r="L354" s="59" t="s">
        <v>171</v>
      </c>
      <c r="M354" s="22">
        <v>2</v>
      </c>
      <c r="V354" s="59" t="s">
        <v>176</v>
      </c>
      <c r="AL354" s="59" t="s">
        <v>40</v>
      </c>
      <c r="AM354" s="22" t="s">
        <v>188</v>
      </c>
      <c r="AV354" s="59" t="s">
        <v>134</v>
      </c>
      <c r="AW354" s="22" t="str">
        <f>Settings!$B$5 &amp;  "?s=" &amp; D354 &amp; "&amp;platform=ftx"</f>
        <v>https://tokensol.nfluent.io?s=COR22D191&amp;platform=ftx</v>
      </c>
      <c r="AX354" s="20" t="s">
        <v>23</v>
      </c>
      <c r="AY354" s="20">
        <v>10</v>
      </c>
      <c r="AZ354" s="20" t="s">
        <v>24</v>
      </c>
      <c r="BA354" s="20">
        <v>90</v>
      </c>
      <c r="BD354" s="14"/>
      <c r="BJ354" t="s">
        <v>255</v>
      </c>
      <c r="BK354" t="s">
        <v>184</v>
      </c>
      <c r="BN354" s="36">
        <v>100</v>
      </c>
      <c r="BO354" s="36">
        <v>100</v>
      </c>
      <c r="BP354">
        <f t="shared" si="31"/>
        <v>480</v>
      </c>
      <c r="BR354" s="38">
        <v>44713</v>
      </c>
      <c r="BS354" s="20" t="s">
        <v>185</v>
      </c>
      <c r="BT354" s="20" t="str">
        <f t="shared" si="32"/>
        <v>InCasa_COR22D191</v>
      </c>
    </row>
    <row r="355" spans="2:72" ht="18.75" customHeight="1" x14ac:dyDescent="0.25">
      <c r="B355" s="20">
        <f t="shared" si="33"/>
        <v>192</v>
      </c>
      <c r="C355" s="22" t="str">
        <f t="shared" si="29"/>
        <v>In Casa #192</v>
      </c>
      <c r="D355" t="str">
        <f t="shared" si="30"/>
        <v>COR22D192</v>
      </c>
      <c r="E355" s="58" t="s">
        <v>252</v>
      </c>
      <c r="F355" s="20">
        <v>1000</v>
      </c>
      <c r="G355" s="14" t="s">
        <v>354</v>
      </c>
      <c r="H355" s="23" t="s">
        <v>170</v>
      </c>
      <c r="J355" s="59" t="s">
        <v>38</v>
      </c>
      <c r="K355" s="22" t="s">
        <v>254</v>
      </c>
      <c r="L355" s="59" t="s">
        <v>171</v>
      </c>
      <c r="M355" s="22">
        <v>2</v>
      </c>
      <c r="V355" s="59" t="s">
        <v>176</v>
      </c>
      <c r="AL355" s="59" t="s">
        <v>40</v>
      </c>
      <c r="AM355" s="22" t="s">
        <v>188</v>
      </c>
      <c r="AV355" s="59" t="s">
        <v>134</v>
      </c>
      <c r="AW355" s="22" t="str">
        <f>Settings!$B$5 &amp;  "?s=" &amp; D355 &amp; "&amp;platform=ftx"</f>
        <v>https://tokensol.nfluent.io?s=COR22D192&amp;platform=ftx</v>
      </c>
      <c r="AX355" s="20" t="s">
        <v>23</v>
      </c>
      <c r="AY355" s="20">
        <v>10</v>
      </c>
      <c r="AZ355" s="20" t="s">
        <v>24</v>
      </c>
      <c r="BA355" s="20">
        <v>90</v>
      </c>
      <c r="BD355" s="14"/>
      <c r="BJ355" t="s">
        <v>255</v>
      </c>
      <c r="BK355" t="s">
        <v>184</v>
      </c>
      <c r="BN355" s="36">
        <v>100</v>
      </c>
      <c r="BO355" s="36">
        <v>100</v>
      </c>
      <c r="BP355">
        <f t="shared" si="31"/>
        <v>480</v>
      </c>
      <c r="BR355" s="38">
        <v>44713</v>
      </c>
      <c r="BS355" s="20" t="s">
        <v>185</v>
      </c>
      <c r="BT355" s="20" t="str">
        <f t="shared" si="32"/>
        <v>InCasa_COR22D192</v>
      </c>
    </row>
    <row r="356" spans="2:72" ht="18.75" customHeight="1" x14ac:dyDescent="0.25">
      <c r="B356" s="20">
        <f t="shared" si="33"/>
        <v>193</v>
      </c>
      <c r="C356" s="22" t="str">
        <f t="shared" si="29"/>
        <v>In Casa #193</v>
      </c>
      <c r="D356" t="str">
        <f t="shared" si="30"/>
        <v>COR22D193</v>
      </c>
      <c r="E356" s="58" t="s">
        <v>252</v>
      </c>
      <c r="F356" s="20">
        <v>1000</v>
      </c>
      <c r="G356" s="14" t="s">
        <v>354</v>
      </c>
      <c r="H356" s="23" t="s">
        <v>170</v>
      </c>
      <c r="J356" s="59" t="s">
        <v>38</v>
      </c>
      <c r="K356" s="22" t="s">
        <v>254</v>
      </c>
      <c r="L356" s="59" t="s">
        <v>171</v>
      </c>
      <c r="M356" s="22">
        <v>2</v>
      </c>
      <c r="V356" s="59" t="s">
        <v>176</v>
      </c>
      <c r="AL356" s="59" t="s">
        <v>40</v>
      </c>
      <c r="AM356" s="22" t="s">
        <v>188</v>
      </c>
      <c r="AV356" s="59" t="s">
        <v>134</v>
      </c>
      <c r="AW356" s="22" t="str">
        <f>Settings!$B$5 &amp;  "?s=" &amp; D356 &amp; "&amp;platform=ftx"</f>
        <v>https://tokensol.nfluent.io?s=COR22D193&amp;platform=ftx</v>
      </c>
      <c r="AX356" s="20" t="s">
        <v>23</v>
      </c>
      <c r="AY356" s="20">
        <v>10</v>
      </c>
      <c r="AZ356" s="20" t="s">
        <v>24</v>
      </c>
      <c r="BA356" s="20">
        <v>90</v>
      </c>
      <c r="BD356" s="14"/>
      <c r="BJ356" t="s">
        <v>255</v>
      </c>
      <c r="BK356" t="s">
        <v>184</v>
      </c>
      <c r="BN356" s="36">
        <v>100</v>
      </c>
      <c r="BO356" s="36">
        <v>100</v>
      </c>
      <c r="BP356">
        <f t="shared" si="31"/>
        <v>480</v>
      </c>
      <c r="BR356" s="38">
        <v>44713</v>
      </c>
      <c r="BS356" s="20" t="s">
        <v>185</v>
      </c>
      <c r="BT356" s="20" t="str">
        <f t="shared" si="32"/>
        <v>InCasa_COR22D193</v>
      </c>
    </row>
    <row r="357" spans="2:72" ht="18.75" customHeight="1" x14ac:dyDescent="0.25">
      <c r="B357" s="20">
        <f t="shared" si="33"/>
        <v>194</v>
      </c>
      <c r="C357" s="22" t="str">
        <f t="shared" ref="C357:C420" si="34">+"In Casa #"&amp;B357</f>
        <v>In Casa #194</v>
      </c>
      <c r="D357" t="str">
        <f t="shared" ref="D357:D420" si="35">"COR22D"&amp;B357</f>
        <v>COR22D194</v>
      </c>
      <c r="E357" s="58" t="s">
        <v>252</v>
      </c>
      <c r="F357" s="20">
        <v>1000</v>
      </c>
      <c r="G357" s="14" t="s">
        <v>354</v>
      </c>
      <c r="H357" s="23" t="s">
        <v>170</v>
      </c>
      <c r="J357" s="59" t="s">
        <v>38</v>
      </c>
      <c r="K357" s="22" t="s">
        <v>254</v>
      </c>
      <c r="L357" s="59" t="s">
        <v>171</v>
      </c>
      <c r="M357" s="22">
        <v>2</v>
      </c>
      <c r="V357" s="59" t="s">
        <v>176</v>
      </c>
      <c r="AL357" s="59" t="s">
        <v>40</v>
      </c>
      <c r="AM357" s="22" t="s">
        <v>188</v>
      </c>
      <c r="AV357" s="59" t="s">
        <v>134</v>
      </c>
      <c r="AW357" s="22" t="str">
        <f>Settings!$B$5 &amp;  "?s=" &amp; D357 &amp; "&amp;platform=ftx"</f>
        <v>https://tokensol.nfluent.io?s=COR22D194&amp;platform=ftx</v>
      </c>
      <c r="AX357" s="20" t="s">
        <v>23</v>
      </c>
      <c r="AY357" s="20">
        <v>10</v>
      </c>
      <c r="AZ357" s="20" t="s">
        <v>24</v>
      </c>
      <c r="BA357" s="20">
        <v>90</v>
      </c>
      <c r="BD357" s="14"/>
      <c r="BJ357" t="s">
        <v>255</v>
      </c>
      <c r="BK357" t="s">
        <v>184</v>
      </c>
      <c r="BN357" s="36">
        <v>100</v>
      </c>
      <c r="BO357" s="36">
        <v>100</v>
      </c>
      <c r="BP357">
        <f t="shared" ref="BP357:BP420" si="36">24*20</f>
        <v>480</v>
      </c>
      <c r="BR357" s="38">
        <v>44713</v>
      </c>
      <c r="BS357" s="20" t="s">
        <v>185</v>
      </c>
      <c r="BT357" s="20" t="str">
        <f t="shared" si="32"/>
        <v>InCasa_COR22D194</v>
      </c>
    </row>
    <row r="358" spans="2:72" ht="18.75" customHeight="1" x14ac:dyDescent="0.25">
      <c r="B358" s="20">
        <f t="shared" si="33"/>
        <v>195</v>
      </c>
      <c r="C358" s="22" t="str">
        <f t="shared" si="34"/>
        <v>In Casa #195</v>
      </c>
      <c r="D358" t="str">
        <f t="shared" si="35"/>
        <v>COR22D195</v>
      </c>
      <c r="E358" s="58" t="s">
        <v>252</v>
      </c>
      <c r="F358" s="20">
        <v>1000</v>
      </c>
      <c r="G358" s="14" t="s">
        <v>354</v>
      </c>
      <c r="H358" s="23" t="s">
        <v>170</v>
      </c>
      <c r="J358" s="59" t="s">
        <v>38</v>
      </c>
      <c r="K358" s="22" t="s">
        <v>254</v>
      </c>
      <c r="L358" s="59" t="s">
        <v>171</v>
      </c>
      <c r="M358" s="22">
        <v>2</v>
      </c>
      <c r="V358" s="59" t="s">
        <v>176</v>
      </c>
      <c r="AL358" s="59" t="s">
        <v>40</v>
      </c>
      <c r="AM358" s="22" t="s">
        <v>188</v>
      </c>
      <c r="AV358" s="59" t="s">
        <v>134</v>
      </c>
      <c r="AW358" s="22" t="str">
        <f>Settings!$B$5 &amp;  "?s=" &amp; D358 &amp; "&amp;platform=ftx"</f>
        <v>https://tokensol.nfluent.io?s=COR22D195&amp;platform=ftx</v>
      </c>
      <c r="AX358" s="20" t="s">
        <v>23</v>
      </c>
      <c r="AY358" s="20">
        <v>10</v>
      </c>
      <c r="AZ358" s="20" t="s">
        <v>24</v>
      </c>
      <c r="BA358" s="20">
        <v>90</v>
      </c>
      <c r="BD358" s="14"/>
      <c r="BJ358" t="s">
        <v>255</v>
      </c>
      <c r="BK358" t="s">
        <v>184</v>
      </c>
      <c r="BN358" s="36">
        <v>100</v>
      </c>
      <c r="BO358" s="36">
        <v>100</v>
      </c>
      <c r="BP358">
        <f t="shared" si="36"/>
        <v>480</v>
      </c>
      <c r="BR358" s="38">
        <v>44713</v>
      </c>
      <c r="BS358" s="20" t="s">
        <v>185</v>
      </c>
      <c r="BT358" s="20" t="str">
        <f t="shared" si="32"/>
        <v>InCasa_COR22D195</v>
      </c>
    </row>
    <row r="359" spans="2:72" ht="18.75" customHeight="1" x14ac:dyDescent="0.25">
      <c r="B359" s="20">
        <f t="shared" si="33"/>
        <v>196</v>
      </c>
      <c r="C359" s="22" t="str">
        <f t="shared" si="34"/>
        <v>In Casa #196</v>
      </c>
      <c r="D359" t="str">
        <f t="shared" si="35"/>
        <v>COR22D196</v>
      </c>
      <c r="E359" s="58" t="s">
        <v>252</v>
      </c>
      <c r="F359" s="20">
        <v>1000</v>
      </c>
      <c r="G359" s="14" t="s">
        <v>354</v>
      </c>
      <c r="H359" s="23" t="s">
        <v>170</v>
      </c>
      <c r="J359" s="59" t="s">
        <v>38</v>
      </c>
      <c r="K359" s="22" t="s">
        <v>254</v>
      </c>
      <c r="L359" s="59" t="s">
        <v>171</v>
      </c>
      <c r="M359" s="22">
        <v>2</v>
      </c>
      <c r="V359" s="59" t="s">
        <v>176</v>
      </c>
      <c r="AL359" s="59" t="s">
        <v>40</v>
      </c>
      <c r="AM359" s="22" t="s">
        <v>188</v>
      </c>
      <c r="AV359" s="59" t="s">
        <v>134</v>
      </c>
      <c r="AW359" s="22" t="str">
        <f>Settings!$B$5 &amp;  "?s=" &amp; D359 &amp; "&amp;platform=ftx"</f>
        <v>https://tokensol.nfluent.io?s=COR22D196&amp;platform=ftx</v>
      </c>
      <c r="AX359" s="20" t="s">
        <v>23</v>
      </c>
      <c r="AY359" s="20">
        <v>10</v>
      </c>
      <c r="AZ359" s="20" t="s">
        <v>24</v>
      </c>
      <c r="BA359" s="20">
        <v>90</v>
      </c>
      <c r="BD359" s="14"/>
      <c r="BJ359" t="s">
        <v>255</v>
      </c>
      <c r="BK359" t="s">
        <v>184</v>
      </c>
      <c r="BN359" s="36">
        <v>100</v>
      </c>
      <c r="BO359" s="36">
        <v>100</v>
      </c>
      <c r="BP359">
        <f t="shared" si="36"/>
        <v>480</v>
      </c>
      <c r="BR359" s="38">
        <v>44713</v>
      </c>
      <c r="BS359" s="20" t="s">
        <v>185</v>
      </c>
      <c r="BT359" s="20" t="str">
        <f t="shared" si="32"/>
        <v>InCasa_COR22D196</v>
      </c>
    </row>
    <row r="360" spans="2:72" ht="18.75" customHeight="1" x14ac:dyDescent="0.25">
      <c r="B360" s="20">
        <f t="shared" si="33"/>
        <v>197</v>
      </c>
      <c r="C360" s="22" t="str">
        <f t="shared" si="34"/>
        <v>In Casa #197</v>
      </c>
      <c r="D360" t="str">
        <f t="shared" si="35"/>
        <v>COR22D197</v>
      </c>
      <c r="E360" s="58" t="s">
        <v>252</v>
      </c>
      <c r="F360" s="20">
        <v>1000</v>
      </c>
      <c r="G360" s="14" t="s">
        <v>354</v>
      </c>
      <c r="H360" s="23" t="s">
        <v>170</v>
      </c>
      <c r="J360" s="59" t="s">
        <v>38</v>
      </c>
      <c r="K360" s="22" t="s">
        <v>254</v>
      </c>
      <c r="L360" s="59" t="s">
        <v>171</v>
      </c>
      <c r="M360" s="22">
        <v>2</v>
      </c>
      <c r="V360" s="59" t="s">
        <v>176</v>
      </c>
      <c r="AL360" s="59" t="s">
        <v>40</v>
      </c>
      <c r="AM360" s="22" t="s">
        <v>188</v>
      </c>
      <c r="AV360" s="59" t="s">
        <v>134</v>
      </c>
      <c r="AW360" s="22" t="str">
        <f>Settings!$B$5 &amp;  "?s=" &amp; D360 &amp; "&amp;platform=ftx"</f>
        <v>https://tokensol.nfluent.io?s=COR22D197&amp;platform=ftx</v>
      </c>
      <c r="AX360" s="20" t="s">
        <v>23</v>
      </c>
      <c r="AY360" s="20">
        <v>10</v>
      </c>
      <c r="AZ360" s="20" t="s">
        <v>24</v>
      </c>
      <c r="BA360" s="20">
        <v>90</v>
      </c>
      <c r="BD360" s="14"/>
      <c r="BJ360" t="s">
        <v>255</v>
      </c>
      <c r="BK360" t="s">
        <v>184</v>
      </c>
      <c r="BN360" s="36">
        <v>100</v>
      </c>
      <c r="BO360" s="36">
        <v>100</v>
      </c>
      <c r="BP360">
        <f t="shared" si="36"/>
        <v>480</v>
      </c>
      <c r="BR360" s="38">
        <v>44713</v>
      </c>
      <c r="BS360" s="20" t="s">
        <v>185</v>
      </c>
      <c r="BT360" s="20" t="str">
        <f t="shared" si="32"/>
        <v>InCasa_COR22D197</v>
      </c>
    </row>
    <row r="361" spans="2:72" ht="18.75" customHeight="1" x14ac:dyDescent="0.25">
      <c r="B361" s="20">
        <f t="shared" si="33"/>
        <v>198</v>
      </c>
      <c r="C361" s="22" t="str">
        <f t="shared" si="34"/>
        <v>In Casa #198</v>
      </c>
      <c r="D361" t="str">
        <f t="shared" si="35"/>
        <v>COR22D198</v>
      </c>
      <c r="E361" s="58" t="s">
        <v>252</v>
      </c>
      <c r="F361" s="20">
        <v>1000</v>
      </c>
      <c r="G361" s="14" t="s">
        <v>354</v>
      </c>
      <c r="H361" s="23" t="s">
        <v>170</v>
      </c>
      <c r="J361" s="59" t="s">
        <v>38</v>
      </c>
      <c r="K361" s="22" t="s">
        <v>254</v>
      </c>
      <c r="L361" s="59" t="s">
        <v>171</v>
      </c>
      <c r="M361" s="22">
        <v>2</v>
      </c>
      <c r="V361" s="59" t="s">
        <v>176</v>
      </c>
      <c r="AL361" s="59" t="s">
        <v>40</v>
      </c>
      <c r="AM361" s="22" t="s">
        <v>188</v>
      </c>
      <c r="AV361" s="59" t="s">
        <v>134</v>
      </c>
      <c r="AW361" s="22" t="str">
        <f>Settings!$B$5 &amp;  "?s=" &amp; D361 &amp; "&amp;platform=ftx"</f>
        <v>https://tokensol.nfluent.io?s=COR22D198&amp;platform=ftx</v>
      </c>
      <c r="AX361" s="20" t="s">
        <v>23</v>
      </c>
      <c r="AY361" s="20">
        <v>10</v>
      </c>
      <c r="AZ361" s="20" t="s">
        <v>24</v>
      </c>
      <c r="BA361" s="20">
        <v>90</v>
      </c>
      <c r="BD361" s="14"/>
      <c r="BJ361" t="s">
        <v>255</v>
      </c>
      <c r="BK361" t="s">
        <v>184</v>
      </c>
      <c r="BN361" s="36">
        <v>100</v>
      </c>
      <c r="BO361" s="36">
        <v>100</v>
      </c>
      <c r="BP361">
        <f t="shared" si="36"/>
        <v>480</v>
      </c>
      <c r="BR361" s="38">
        <v>44713</v>
      </c>
      <c r="BS361" s="20" t="s">
        <v>185</v>
      </c>
      <c r="BT361" s="20" t="str">
        <f t="shared" si="32"/>
        <v>InCasa_COR22D198</v>
      </c>
    </row>
    <row r="362" spans="2:72" ht="18.75" customHeight="1" x14ac:dyDescent="0.25">
      <c r="B362" s="20">
        <f t="shared" si="33"/>
        <v>199</v>
      </c>
      <c r="C362" s="22" t="str">
        <f t="shared" si="34"/>
        <v>In Casa #199</v>
      </c>
      <c r="D362" t="str">
        <f t="shared" si="35"/>
        <v>COR22D199</v>
      </c>
      <c r="E362" s="58" t="s">
        <v>252</v>
      </c>
      <c r="F362" s="20">
        <v>1000</v>
      </c>
      <c r="G362" s="14" t="s">
        <v>354</v>
      </c>
      <c r="H362" s="23" t="s">
        <v>170</v>
      </c>
      <c r="J362" s="59" t="s">
        <v>38</v>
      </c>
      <c r="K362" s="22" t="s">
        <v>254</v>
      </c>
      <c r="L362" s="59" t="s">
        <v>171</v>
      </c>
      <c r="M362" s="22">
        <v>2</v>
      </c>
      <c r="V362" s="59" t="s">
        <v>176</v>
      </c>
      <c r="AL362" s="59" t="s">
        <v>40</v>
      </c>
      <c r="AM362" s="22" t="s">
        <v>188</v>
      </c>
      <c r="AV362" s="59" t="s">
        <v>134</v>
      </c>
      <c r="AW362" s="22" t="str">
        <f>Settings!$B$5 &amp;  "?s=" &amp; D362 &amp; "&amp;platform=ftx"</f>
        <v>https://tokensol.nfluent.io?s=COR22D199&amp;platform=ftx</v>
      </c>
      <c r="AX362" s="20" t="s">
        <v>23</v>
      </c>
      <c r="AY362" s="20">
        <v>10</v>
      </c>
      <c r="AZ362" s="20" t="s">
        <v>24</v>
      </c>
      <c r="BA362" s="20">
        <v>90</v>
      </c>
      <c r="BD362" s="14"/>
      <c r="BJ362" t="s">
        <v>255</v>
      </c>
      <c r="BK362" t="s">
        <v>184</v>
      </c>
      <c r="BN362" s="36">
        <v>100</v>
      </c>
      <c r="BO362" s="36">
        <v>100</v>
      </c>
      <c r="BP362">
        <f t="shared" si="36"/>
        <v>480</v>
      </c>
      <c r="BR362" s="38">
        <v>44713</v>
      </c>
      <c r="BS362" s="20" t="s">
        <v>185</v>
      </c>
      <c r="BT362" s="20" t="str">
        <f t="shared" si="32"/>
        <v>InCasa_COR22D199</v>
      </c>
    </row>
    <row r="363" spans="2:72" ht="18.75" customHeight="1" x14ac:dyDescent="0.25">
      <c r="B363" s="20">
        <f t="shared" si="33"/>
        <v>200</v>
      </c>
      <c r="C363" s="22" t="str">
        <f t="shared" si="34"/>
        <v>In Casa #200</v>
      </c>
      <c r="D363" t="str">
        <f t="shared" si="35"/>
        <v>COR22D200</v>
      </c>
      <c r="E363" s="58" t="s">
        <v>252</v>
      </c>
      <c r="F363" s="20">
        <v>1000</v>
      </c>
      <c r="G363" s="14" t="s">
        <v>354</v>
      </c>
      <c r="H363" s="23" t="s">
        <v>170</v>
      </c>
      <c r="J363" s="59" t="s">
        <v>38</v>
      </c>
      <c r="K363" s="22" t="s">
        <v>254</v>
      </c>
      <c r="L363" s="59" t="s">
        <v>171</v>
      </c>
      <c r="M363" s="22">
        <v>2</v>
      </c>
      <c r="V363" s="59" t="s">
        <v>176</v>
      </c>
      <c r="AL363" s="59" t="s">
        <v>40</v>
      </c>
      <c r="AM363" s="22" t="s">
        <v>188</v>
      </c>
      <c r="AV363" s="59" t="s">
        <v>134</v>
      </c>
      <c r="AW363" s="22" t="str">
        <f>Settings!$B$5 &amp;  "?s=" &amp; D363 &amp; "&amp;platform=ftx"</f>
        <v>https://tokensol.nfluent.io?s=COR22D200&amp;platform=ftx</v>
      </c>
      <c r="AX363" s="20" t="s">
        <v>23</v>
      </c>
      <c r="AY363" s="20">
        <v>10</v>
      </c>
      <c r="AZ363" s="20" t="s">
        <v>24</v>
      </c>
      <c r="BA363" s="20">
        <v>90</v>
      </c>
      <c r="BD363" s="14"/>
      <c r="BJ363" t="s">
        <v>255</v>
      </c>
      <c r="BK363" t="s">
        <v>184</v>
      </c>
      <c r="BN363" s="36">
        <v>100</v>
      </c>
      <c r="BO363" s="36">
        <v>100</v>
      </c>
      <c r="BP363">
        <f t="shared" si="36"/>
        <v>480</v>
      </c>
      <c r="BR363" s="38">
        <v>44713</v>
      </c>
      <c r="BS363" s="20" t="s">
        <v>185</v>
      </c>
      <c r="BT363" s="20" t="str">
        <f t="shared" si="32"/>
        <v>InCasa_COR22D200</v>
      </c>
    </row>
    <row r="364" spans="2:72" ht="18.75" customHeight="1" x14ac:dyDescent="0.25">
      <c r="B364" s="20">
        <f t="shared" si="33"/>
        <v>201</v>
      </c>
      <c r="C364" s="22" t="str">
        <f t="shared" si="34"/>
        <v>In Casa #201</v>
      </c>
      <c r="D364" t="str">
        <f t="shared" si="35"/>
        <v>COR22D201</v>
      </c>
      <c r="E364" s="58" t="s">
        <v>252</v>
      </c>
      <c r="F364" s="20">
        <v>1000</v>
      </c>
      <c r="G364" s="14" t="s">
        <v>354</v>
      </c>
      <c r="H364" s="23" t="s">
        <v>170</v>
      </c>
      <c r="J364" s="59" t="s">
        <v>38</v>
      </c>
      <c r="K364" s="22" t="s">
        <v>254</v>
      </c>
      <c r="L364" s="59" t="s">
        <v>171</v>
      </c>
      <c r="M364" s="22">
        <v>2</v>
      </c>
      <c r="V364" s="59" t="s">
        <v>176</v>
      </c>
      <c r="AL364" s="59" t="s">
        <v>40</v>
      </c>
      <c r="AM364" s="22" t="s">
        <v>188</v>
      </c>
      <c r="AV364" s="59" t="s">
        <v>134</v>
      </c>
      <c r="AW364" s="22" t="str">
        <f>Settings!$B$5 &amp;  "?s=" &amp; D364 &amp; "&amp;platform=ftx"</f>
        <v>https://tokensol.nfluent.io?s=COR22D201&amp;platform=ftx</v>
      </c>
      <c r="AX364" s="20" t="s">
        <v>23</v>
      </c>
      <c r="AY364" s="20">
        <v>10</v>
      </c>
      <c r="AZ364" s="20" t="s">
        <v>24</v>
      </c>
      <c r="BA364" s="20">
        <v>90</v>
      </c>
      <c r="BD364" s="14"/>
      <c r="BJ364" t="s">
        <v>255</v>
      </c>
      <c r="BK364" t="s">
        <v>184</v>
      </c>
      <c r="BN364" s="36">
        <v>100</v>
      </c>
      <c r="BO364" s="36">
        <v>100</v>
      </c>
      <c r="BP364">
        <f t="shared" si="36"/>
        <v>480</v>
      </c>
      <c r="BR364" s="38">
        <v>44713</v>
      </c>
      <c r="BS364" s="20" t="s">
        <v>185</v>
      </c>
      <c r="BT364" s="20" t="str">
        <f t="shared" si="32"/>
        <v>InCasa_COR22D201</v>
      </c>
    </row>
    <row r="365" spans="2:72" ht="18.75" customHeight="1" x14ac:dyDescent="0.25">
      <c r="B365" s="20">
        <f t="shared" si="33"/>
        <v>202</v>
      </c>
      <c r="C365" s="22" t="str">
        <f t="shared" si="34"/>
        <v>In Casa #202</v>
      </c>
      <c r="D365" t="str">
        <f t="shared" si="35"/>
        <v>COR22D202</v>
      </c>
      <c r="E365" s="58" t="s">
        <v>252</v>
      </c>
      <c r="F365" s="20">
        <v>1000</v>
      </c>
      <c r="G365" s="14" t="s">
        <v>354</v>
      </c>
      <c r="H365" s="23" t="s">
        <v>170</v>
      </c>
      <c r="J365" s="59" t="s">
        <v>38</v>
      </c>
      <c r="K365" s="22" t="s">
        <v>254</v>
      </c>
      <c r="L365" s="59" t="s">
        <v>171</v>
      </c>
      <c r="M365" s="22">
        <v>2</v>
      </c>
      <c r="V365" s="59" t="s">
        <v>176</v>
      </c>
      <c r="AL365" s="59" t="s">
        <v>40</v>
      </c>
      <c r="AM365" s="22" t="s">
        <v>188</v>
      </c>
      <c r="AV365" s="59" t="s">
        <v>134</v>
      </c>
      <c r="AW365" s="22" t="str">
        <f>Settings!$B$5 &amp;  "?s=" &amp; D365 &amp; "&amp;platform=ftx"</f>
        <v>https://tokensol.nfluent.io?s=COR22D202&amp;platform=ftx</v>
      </c>
      <c r="AX365" s="20" t="s">
        <v>23</v>
      </c>
      <c r="AY365" s="20">
        <v>10</v>
      </c>
      <c r="AZ365" s="20" t="s">
        <v>24</v>
      </c>
      <c r="BA365" s="20">
        <v>90</v>
      </c>
      <c r="BD365" s="14"/>
      <c r="BJ365" t="s">
        <v>255</v>
      </c>
      <c r="BK365" t="s">
        <v>184</v>
      </c>
      <c r="BN365" s="36">
        <v>100</v>
      </c>
      <c r="BO365" s="36">
        <v>100</v>
      </c>
      <c r="BP365">
        <f t="shared" si="36"/>
        <v>480</v>
      </c>
      <c r="BR365" s="38">
        <v>44713</v>
      </c>
      <c r="BS365" s="20" t="s">
        <v>185</v>
      </c>
      <c r="BT365" s="20" t="str">
        <f t="shared" si="32"/>
        <v>InCasa_COR22D202</v>
      </c>
    </row>
    <row r="366" spans="2:72" ht="18.75" customHeight="1" x14ac:dyDescent="0.25">
      <c r="B366" s="20">
        <f t="shared" si="33"/>
        <v>203</v>
      </c>
      <c r="C366" s="22" t="str">
        <f t="shared" si="34"/>
        <v>In Casa #203</v>
      </c>
      <c r="D366" t="str">
        <f t="shared" si="35"/>
        <v>COR22D203</v>
      </c>
      <c r="E366" s="58" t="s">
        <v>252</v>
      </c>
      <c r="F366" s="20">
        <v>1000</v>
      </c>
      <c r="G366" s="14" t="s">
        <v>354</v>
      </c>
      <c r="H366" s="23" t="s">
        <v>170</v>
      </c>
      <c r="J366" s="59" t="s">
        <v>38</v>
      </c>
      <c r="K366" s="22" t="s">
        <v>254</v>
      </c>
      <c r="L366" s="59" t="s">
        <v>171</v>
      </c>
      <c r="M366" s="22">
        <v>2</v>
      </c>
      <c r="V366" s="59" t="s">
        <v>176</v>
      </c>
      <c r="AL366" s="59" t="s">
        <v>40</v>
      </c>
      <c r="AM366" s="22" t="s">
        <v>188</v>
      </c>
      <c r="AV366" s="59" t="s">
        <v>134</v>
      </c>
      <c r="AW366" s="22" t="str">
        <f>Settings!$B$5 &amp;  "?s=" &amp; D366 &amp; "&amp;platform=ftx"</f>
        <v>https://tokensol.nfluent.io?s=COR22D203&amp;platform=ftx</v>
      </c>
      <c r="AX366" s="20" t="s">
        <v>23</v>
      </c>
      <c r="AY366" s="20">
        <v>10</v>
      </c>
      <c r="AZ366" s="20" t="s">
        <v>24</v>
      </c>
      <c r="BA366" s="20">
        <v>90</v>
      </c>
      <c r="BD366" s="14"/>
      <c r="BJ366" t="s">
        <v>255</v>
      </c>
      <c r="BK366" t="s">
        <v>184</v>
      </c>
      <c r="BN366" s="36">
        <v>100</v>
      </c>
      <c r="BO366" s="36">
        <v>100</v>
      </c>
      <c r="BP366">
        <f t="shared" si="36"/>
        <v>480</v>
      </c>
      <c r="BR366" s="38">
        <v>44713</v>
      </c>
      <c r="BS366" s="20" t="s">
        <v>185</v>
      </c>
      <c r="BT366" s="20" t="str">
        <f t="shared" si="32"/>
        <v>InCasa_COR22D203</v>
      </c>
    </row>
    <row r="367" spans="2:72" ht="18.75" customHeight="1" x14ac:dyDescent="0.25">
      <c r="B367" s="20">
        <f t="shared" si="33"/>
        <v>204</v>
      </c>
      <c r="C367" s="22" t="str">
        <f t="shared" si="34"/>
        <v>In Casa #204</v>
      </c>
      <c r="D367" t="str">
        <f t="shared" si="35"/>
        <v>COR22D204</v>
      </c>
      <c r="E367" s="58" t="s">
        <v>252</v>
      </c>
      <c r="F367" s="20">
        <v>1000</v>
      </c>
      <c r="G367" s="14" t="s">
        <v>354</v>
      </c>
      <c r="H367" s="23" t="s">
        <v>170</v>
      </c>
      <c r="J367" s="59" t="s">
        <v>38</v>
      </c>
      <c r="K367" s="22" t="s">
        <v>254</v>
      </c>
      <c r="L367" s="59" t="s">
        <v>171</v>
      </c>
      <c r="M367" s="22">
        <v>2</v>
      </c>
      <c r="V367" s="59" t="s">
        <v>176</v>
      </c>
      <c r="AL367" s="59" t="s">
        <v>40</v>
      </c>
      <c r="AM367" s="22" t="s">
        <v>188</v>
      </c>
      <c r="AV367" s="59" t="s">
        <v>134</v>
      </c>
      <c r="AW367" s="22" t="str">
        <f>Settings!$B$5 &amp;  "?s=" &amp; D367 &amp; "&amp;platform=ftx"</f>
        <v>https://tokensol.nfluent.io?s=COR22D204&amp;platform=ftx</v>
      </c>
      <c r="AX367" s="20" t="s">
        <v>23</v>
      </c>
      <c r="AY367" s="20">
        <v>10</v>
      </c>
      <c r="AZ367" s="20" t="s">
        <v>24</v>
      </c>
      <c r="BA367" s="20">
        <v>90</v>
      </c>
      <c r="BD367" s="14"/>
      <c r="BJ367" t="s">
        <v>255</v>
      </c>
      <c r="BK367" t="s">
        <v>184</v>
      </c>
      <c r="BN367" s="36">
        <v>100</v>
      </c>
      <c r="BO367" s="36">
        <v>100</v>
      </c>
      <c r="BP367">
        <f t="shared" si="36"/>
        <v>480</v>
      </c>
      <c r="BR367" s="38">
        <v>44713</v>
      </c>
      <c r="BS367" s="20" t="s">
        <v>185</v>
      </c>
      <c r="BT367" s="20" t="str">
        <f t="shared" si="32"/>
        <v>InCasa_COR22D204</v>
      </c>
    </row>
    <row r="368" spans="2:72" ht="18.75" customHeight="1" x14ac:dyDescent="0.25">
      <c r="B368" s="20">
        <f t="shared" si="33"/>
        <v>205</v>
      </c>
      <c r="C368" s="22" t="str">
        <f t="shared" si="34"/>
        <v>In Casa #205</v>
      </c>
      <c r="D368" t="str">
        <f t="shared" si="35"/>
        <v>COR22D205</v>
      </c>
      <c r="E368" s="58" t="s">
        <v>252</v>
      </c>
      <c r="F368" s="20">
        <v>1000</v>
      </c>
      <c r="G368" s="14" t="s">
        <v>354</v>
      </c>
      <c r="H368" s="23" t="s">
        <v>170</v>
      </c>
      <c r="J368" s="59" t="s">
        <v>38</v>
      </c>
      <c r="K368" s="22" t="s">
        <v>254</v>
      </c>
      <c r="L368" s="59" t="s">
        <v>171</v>
      </c>
      <c r="M368" s="22">
        <v>2</v>
      </c>
      <c r="V368" s="59" t="s">
        <v>176</v>
      </c>
      <c r="AL368" s="59" t="s">
        <v>40</v>
      </c>
      <c r="AM368" s="22" t="s">
        <v>188</v>
      </c>
      <c r="AV368" s="59" t="s">
        <v>134</v>
      </c>
      <c r="AW368" s="22" t="str">
        <f>Settings!$B$5 &amp;  "?s=" &amp; D368 &amp; "&amp;platform=ftx"</f>
        <v>https://tokensol.nfluent.io?s=COR22D205&amp;platform=ftx</v>
      </c>
      <c r="AX368" s="20" t="s">
        <v>23</v>
      </c>
      <c r="AY368" s="20">
        <v>10</v>
      </c>
      <c r="AZ368" s="20" t="s">
        <v>24</v>
      </c>
      <c r="BA368" s="20">
        <v>90</v>
      </c>
      <c r="BD368" s="14"/>
      <c r="BJ368" t="s">
        <v>255</v>
      </c>
      <c r="BK368" t="s">
        <v>184</v>
      </c>
      <c r="BN368" s="36">
        <v>100</v>
      </c>
      <c r="BO368" s="36">
        <v>100</v>
      </c>
      <c r="BP368">
        <f t="shared" si="36"/>
        <v>480</v>
      </c>
      <c r="BR368" s="38">
        <v>44713</v>
      </c>
      <c r="BS368" s="20" t="s">
        <v>185</v>
      </c>
      <c r="BT368" s="20" t="str">
        <f t="shared" si="32"/>
        <v>InCasa_COR22D205</v>
      </c>
    </row>
    <row r="369" spans="2:72" ht="18.75" customHeight="1" x14ac:dyDescent="0.25">
      <c r="B369" s="20">
        <f t="shared" si="33"/>
        <v>206</v>
      </c>
      <c r="C369" s="22" t="str">
        <f t="shared" si="34"/>
        <v>In Casa #206</v>
      </c>
      <c r="D369" t="str">
        <f t="shared" si="35"/>
        <v>COR22D206</v>
      </c>
      <c r="E369" s="58" t="s">
        <v>252</v>
      </c>
      <c r="F369" s="20">
        <v>1000</v>
      </c>
      <c r="G369" s="14" t="s">
        <v>354</v>
      </c>
      <c r="H369" s="23" t="s">
        <v>170</v>
      </c>
      <c r="J369" s="59" t="s">
        <v>38</v>
      </c>
      <c r="K369" s="22" t="s">
        <v>254</v>
      </c>
      <c r="L369" s="59" t="s">
        <v>171</v>
      </c>
      <c r="M369" s="22">
        <v>2</v>
      </c>
      <c r="V369" s="59" t="s">
        <v>176</v>
      </c>
      <c r="AL369" s="59" t="s">
        <v>40</v>
      </c>
      <c r="AM369" s="22" t="s">
        <v>188</v>
      </c>
      <c r="AV369" s="59" t="s">
        <v>134</v>
      </c>
      <c r="AW369" s="22" t="str">
        <f>Settings!$B$5 &amp;  "?s=" &amp; D369 &amp; "&amp;platform=ftx"</f>
        <v>https://tokensol.nfluent.io?s=COR22D206&amp;platform=ftx</v>
      </c>
      <c r="AX369" s="20" t="s">
        <v>23</v>
      </c>
      <c r="AY369" s="20">
        <v>10</v>
      </c>
      <c r="AZ369" s="20" t="s">
        <v>24</v>
      </c>
      <c r="BA369" s="20">
        <v>90</v>
      </c>
      <c r="BD369" s="14"/>
      <c r="BJ369" t="s">
        <v>255</v>
      </c>
      <c r="BK369" t="s">
        <v>184</v>
      </c>
      <c r="BN369" s="36">
        <v>100</v>
      </c>
      <c r="BO369" s="36">
        <v>100</v>
      </c>
      <c r="BP369">
        <f t="shared" si="36"/>
        <v>480</v>
      </c>
      <c r="BR369" s="38">
        <v>44713</v>
      </c>
      <c r="BS369" s="20" t="s">
        <v>185</v>
      </c>
      <c r="BT369" s="20" t="str">
        <f t="shared" si="32"/>
        <v>InCasa_COR22D206</v>
      </c>
    </row>
    <row r="370" spans="2:72" ht="18.75" customHeight="1" x14ac:dyDescent="0.25">
      <c r="B370" s="20">
        <f t="shared" si="33"/>
        <v>207</v>
      </c>
      <c r="C370" s="22" t="str">
        <f t="shared" si="34"/>
        <v>In Casa #207</v>
      </c>
      <c r="D370" t="str">
        <f t="shared" si="35"/>
        <v>COR22D207</v>
      </c>
      <c r="E370" s="58" t="s">
        <v>252</v>
      </c>
      <c r="F370" s="20">
        <v>1000</v>
      </c>
      <c r="G370" s="14" t="s">
        <v>354</v>
      </c>
      <c r="H370" s="23" t="s">
        <v>170</v>
      </c>
      <c r="J370" s="59" t="s">
        <v>38</v>
      </c>
      <c r="K370" s="22" t="s">
        <v>254</v>
      </c>
      <c r="L370" s="59" t="s">
        <v>171</v>
      </c>
      <c r="M370" s="22">
        <v>2</v>
      </c>
      <c r="V370" s="59" t="s">
        <v>176</v>
      </c>
      <c r="AL370" s="59" t="s">
        <v>40</v>
      </c>
      <c r="AM370" s="22" t="s">
        <v>188</v>
      </c>
      <c r="AV370" s="59" t="s">
        <v>134</v>
      </c>
      <c r="AW370" s="22" t="str">
        <f>Settings!$B$5 &amp;  "?s=" &amp; D370 &amp; "&amp;platform=ftx"</f>
        <v>https://tokensol.nfluent.io?s=COR22D207&amp;platform=ftx</v>
      </c>
      <c r="AX370" s="20" t="s">
        <v>23</v>
      </c>
      <c r="AY370" s="20">
        <v>10</v>
      </c>
      <c r="AZ370" s="20" t="s">
        <v>24</v>
      </c>
      <c r="BA370" s="20">
        <v>90</v>
      </c>
      <c r="BD370" s="14"/>
      <c r="BJ370" t="s">
        <v>255</v>
      </c>
      <c r="BK370" t="s">
        <v>184</v>
      </c>
      <c r="BN370" s="36">
        <v>100</v>
      </c>
      <c r="BO370" s="36">
        <v>100</v>
      </c>
      <c r="BP370">
        <f t="shared" si="36"/>
        <v>480</v>
      </c>
      <c r="BR370" s="38">
        <v>44713</v>
      </c>
      <c r="BS370" s="20" t="s">
        <v>185</v>
      </c>
      <c r="BT370" s="20" t="str">
        <f t="shared" si="32"/>
        <v>InCasa_COR22D207</v>
      </c>
    </row>
    <row r="371" spans="2:72" ht="18.75" customHeight="1" x14ac:dyDescent="0.25">
      <c r="B371" s="20">
        <f t="shared" si="33"/>
        <v>208</v>
      </c>
      <c r="C371" s="22" t="str">
        <f t="shared" si="34"/>
        <v>In Casa #208</v>
      </c>
      <c r="D371" t="str">
        <f t="shared" si="35"/>
        <v>COR22D208</v>
      </c>
      <c r="E371" s="58" t="s">
        <v>252</v>
      </c>
      <c r="F371" s="20">
        <v>1000</v>
      </c>
      <c r="G371" s="14" t="s">
        <v>354</v>
      </c>
      <c r="H371" s="23" t="s">
        <v>170</v>
      </c>
      <c r="J371" s="59" t="s">
        <v>38</v>
      </c>
      <c r="K371" s="22" t="s">
        <v>254</v>
      </c>
      <c r="L371" s="59" t="s">
        <v>171</v>
      </c>
      <c r="M371" s="22">
        <v>2</v>
      </c>
      <c r="V371" s="59" t="s">
        <v>176</v>
      </c>
      <c r="AL371" s="59" t="s">
        <v>40</v>
      </c>
      <c r="AM371" s="22" t="s">
        <v>188</v>
      </c>
      <c r="AV371" s="59" t="s">
        <v>134</v>
      </c>
      <c r="AW371" s="22" t="str">
        <f>Settings!$B$5 &amp;  "?s=" &amp; D371 &amp; "&amp;platform=ftx"</f>
        <v>https://tokensol.nfluent.io?s=COR22D208&amp;platform=ftx</v>
      </c>
      <c r="AX371" s="20" t="s">
        <v>23</v>
      </c>
      <c r="AY371" s="20">
        <v>10</v>
      </c>
      <c r="AZ371" s="20" t="s">
        <v>24</v>
      </c>
      <c r="BA371" s="20">
        <v>90</v>
      </c>
      <c r="BD371" s="14"/>
      <c r="BJ371" t="s">
        <v>255</v>
      </c>
      <c r="BK371" t="s">
        <v>184</v>
      </c>
      <c r="BN371" s="36">
        <v>100</v>
      </c>
      <c r="BO371" s="36">
        <v>100</v>
      </c>
      <c r="BP371">
        <f t="shared" si="36"/>
        <v>480</v>
      </c>
      <c r="BR371" s="38">
        <v>44713</v>
      </c>
      <c r="BS371" s="20" t="s">
        <v>185</v>
      </c>
      <c r="BT371" s="20" t="str">
        <f t="shared" si="32"/>
        <v>InCasa_COR22D208</v>
      </c>
    </row>
    <row r="372" spans="2:72" ht="18.75" customHeight="1" x14ac:dyDescent="0.25">
      <c r="B372" s="20">
        <f t="shared" si="33"/>
        <v>209</v>
      </c>
      <c r="C372" s="22" t="str">
        <f t="shared" si="34"/>
        <v>In Casa #209</v>
      </c>
      <c r="D372" t="str">
        <f t="shared" si="35"/>
        <v>COR22D209</v>
      </c>
      <c r="E372" s="58" t="s">
        <v>252</v>
      </c>
      <c r="F372" s="20">
        <v>1000</v>
      </c>
      <c r="G372" s="14" t="s">
        <v>354</v>
      </c>
      <c r="H372" s="23" t="s">
        <v>170</v>
      </c>
      <c r="J372" s="59" t="s">
        <v>38</v>
      </c>
      <c r="K372" s="22" t="s">
        <v>254</v>
      </c>
      <c r="L372" s="59" t="s">
        <v>171</v>
      </c>
      <c r="M372" s="22">
        <v>2</v>
      </c>
      <c r="V372" s="59" t="s">
        <v>176</v>
      </c>
      <c r="AL372" s="59" t="s">
        <v>40</v>
      </c>
      <c r="AM372" s="22" t="s">
        <v>188</v>
      </c>
      <c r="AV372" s="59" t="s">
        <v>134</v>
      </c>
      <c r="AW372" s="22" t="str">
        <f>Settings!$B$5 &amp;  "?s=" &amp; D372 &amp; "&amp;platform=ftx"</f>
        <v>https://tokensol.nfluent.io?s=COR22D209&amp;platform=ftx</v>
      </c>
      <c r="AX372" s="20" t="s">
        <v>23</v>
      </c>
      <c r="AY372" s="20">
        <v>10</v>
      </c>
      <c r="AZ372" s="20" t="s">
        <v>24</v>
      </c>
      <c r="BA372" s="20">
        <v>90</v>
      </c>
      <c r="BD372" s="14"/>
      <c r="BJ372" t="s">
        <v>255</v>
      </c>
      <c r="BK372" t="s">
        <v>184</v>
      </c>
      <c r="BN372" s="36">
        <v>100</v>
      </c>
      <c r="BO372" s="36">
        <v>100</v>
      </c>
      <c r="BP372">
        <f t="shared" si="36"/>
        <v>480</v>
      </c>
      <c r="BR372" s="38">
        <v>44713</v>
      </c>
      <c r="BS372" s="20" t="s">
        <v>185</v>
      </c>
      <c r="BT372" s="20" t="str">
        <f t="shared" si="32"/>
        <v>InCasa_COR22D209</v>
      </c>
    </row>
    <row r="373" spans="2:72" ht="18.75" customHeight="1" x14ac:dyDescent="0.25">
      <c r="B373" s="20">
        <f t="shared" si="33"/>
        <v>210</v>
      </c>
      <c r="C373" s="22" t="str">
        <f t="shared" si="34"/>
        <v>In Casa #210</v>
      </c>
      <c r="D373" t="str">
        <f t="shared" si="35"/>
        <v>COR22D210</v>
      </c>
      <c r="E373" s="58" t="s">
        <v>252</v>
      </c>
      <c r="F373" s="20">
        <v>1000</v>
      </c>
      <c r="G373" s="14" t="s">
        <v>354</v>
      </c>
      <c r="H373" s="23" t="s">
        <v>170</v>
      </c>
      <c r="J373" s="59" t="s">
        <v>38</v>
      </c>
      <c r="K373" s="22" t="s">
        <v>254</v>
      </c>
      <c r="L373" s="59" t="s">
        <v>171</v>
      </c>
      <c r="M373" s="22">
        <v>2</v>
      </c>
      <c r="V373" s="59" t="s">
        <v>176</v>
      </c>
      <c r="AL373" s="59" t="s">
        <v>40</v>
      </c>
      <c r="AM373" s="22" t="s">
        <v>188</v>
      </c>
      <c r="AV373" s="59" t="s">
        <v>134</v>
      </c>
      <c r="AW373" s="22" t="str">
        <f>Settings!$B$5 &amp;  "?s=" &amp; D373 &amp; "&amp;platform=ftx"</f>
        <v>https://tokensol.nfluent.io?s=COR22D210&amp;platform=ftx</v>
      </c>
      <c r="AX373" s="20" t="s">
        <v>23</v>
      </c>
      <c r="AY373" s="20">
        <v>10</v>
      </c>
      <c r="AZ373" s="20" t="s">
        <v>24</v>
      </c>
      <c r="BA373" s="20">
        <v>90</v>
      </c>
      <c r="BD373" s="14"/>
      <c r="BJ373" t="s">
        <v>255</v>
      </c>
      <c r="BK373" t="s">
        <v>184</v>
      </c>
      <c r="BN373" s="36">
        <v>100</v>
      </c>
      <c r="BO373" s="36">
        <v>100</v>
      </c>
      <c r="BP373">
        <f t="shared" si="36"/>
        <v>480</v>
      </c>
      <c r="BR373" s="38">
        <v>44713</v>
      </c>
      <c r="BS373" s="20" t="s">
        <v>185</v>
      </c>
      <c r="BT373" s="20" t="str">
        <f t="shared" si="32"/>
        <v>InCasa_COR22D210</v>
      </c>
    </row>
    <row r="374" spans="2:72" ht="18.75" customHeight="1" x14ac:dyDescent="0.25">
      <c r="B374" s="20">
        <f t="shared" si="33"/>
        <v>211</v>
      </c>
      <c r="C374" s="22" t="str">
        <f t="shared" si="34"/>
        <v>In Casa #211</v>
      </c>
      <c r="D374" t="str">
        <f t="shared" si="35"/>
        <v>COR22D211</v>
      </c>
      <c r="E374" s="58" t="s">
        <v>252</v>
      </c>
      <c r="F374" s="20">
        <v>1000</v>
      </c>
      <c r="G374" s="14" t="s">
        <v>354</v>
      </c>
      <c r="H374" s="23" t="s">
        <v>170</v>
      </c>
      <c r="J374" s="59" t="s">
        <v>38</v>
      </c>
      <c r="K374" s="22" t="s">
        <v>254</v>
      </c>
      <c r="L374" s="59" t="s">
        <v>171</v>
      </c>
      <c r="M374" s="22">
        <v>2</v>
      </c>
      <c r="V374" s="59" t="s">
        <v>176</v>
      </c>
      <c r="AL374" s="59" t="s">
        <v>40</v>
      </c>
      <c r="AM374" s="22" t="s">
        <v>188</v>
      </c>
      <c r="AV374" s="59" t="s">
        <v>134</v>
      </c>
      <c r="AW374" s="22" t="str">
        <f>Settings!$B$5 &amp;  "?s=" &amp; D374 &amp; "&amp;platform=ftx"</f>
        <v>https://tokensol.nfluent.io?s=COR22D211&amp;platform=ftx</v>
      </c>
      <c r="AX374" s="20" t="s">
        <v>23</v>
      </c>
      <c r="AY374" s="20">
        <v>10</v>
      </c>
      <c r="AZ374" s="20" t="s">
        <v>24</v>
      </c>
      <c r="BA374" s="20">
        <v>90</v>
      </c>
      <c r="BD374" s="14"/>
      <c r="BJ374" t="s">
        <v>255</v>
      </c>
      <c r="BK374" t="s">
        <v>184</v>
      </c>
      <c r="BN374" s="36">
        <v>100</v>
      </c>
      <c r="BO374" s="36">
        <v>100</v>
      </c>
      <c r="BP374">
        <f t="shared" si="36"/>
        <v>480</v>
      </c>
      <c r="BR374" s="38">
        <v>44713</v>
      </c>
      <c r="BS374" s="20" t="s">
        <v>185</v>
      </c>
      <c r="BT374" s="20" t="str">
        <f t="shared" si="32"/>
        <v>InCasa_COR22D211</v>
      </c>
    </row>
    <row r="375" spans="2:72" ht="18.75" customHeight="1" x14ac:dyDescent="0.25">
      <c r="B375" s="20">
        <f t="shared" si="33"/>
        <v>212</v>
      </c>
      <c r="C375" s="22" t="str">
        <f t="shared" si="34"/>
        <v>In Casa #212</v>
      </c>
      <c r="D375" t="str">
        <f t="shared" si="35"/>
        <v>COR22D212</v>
      </c>
      <c r="E375" s="58" t="s">
        <v>252</v>
      </c>
      <c r="F375" s="20">
        <v>1000</v>
      </c>
      <c r="G375" s="14" t="s">
        <v>354</v>
      </c>
      <c r="H375" s="23" t="s">
        <v>170</v>
      </c>
      <c r="J375" s="59" t="s">
        <v>38</v>
      </c>
      <c r="K375" s="22" t="s">
        <v>254</v>
      </c>
      <c r="L375" s="59" t="s">
        <v>171</v>
      </c>
      <c r="M375" s="22">
        <v>2</v>
      </c>
      <c r="V375" s="59" t="s">
        <v>176</v>
      </c>
      <c r="AL375" s="59" t="s">
        <v>40</v>
      </c>
      <c r="AM375" s="22" t="s">
        <v>188</v>
      </c>
      <c r="AV375" s="59" t="s">
        <v>134</v>
      </c>
      <c r="AW375" s="22" t="str">
        <f>Settings!$B$5 &amp;  "?s=" &amp; D375 &amp; "&amp;platform=ftx"</f>
        <v>https://tokensol.nfluent.io?s=COR22D212&amp;platform=ftx</v>
      </c>
      <c r="AX375" s="20" t="s">
        <v>23</v>
      </c>
      <c r="AY375" s="20">
        <v>10</v>
      </c>
      <c r="AZ375" s="20" t="s">
        <v>24</v>
      </c>
      <c r="BA375" s="20">
        <v>90</v>
      </c>
      <c r="BD375" s="14"/>
      <c r="BJ375" t="s">
        <v>255</v>
      </c>
      <c r="BK375" t="s">
        <v>184</v>
      </c>
      <c r="BN375" s="36">
        <v>100</v>
      </c>
      <c r="BO375" s="36">
        <v>100</v>
      </c>
      <c r="BP375">
        <f t="shared" si="36"/>
        <v>480</v>
      </c>
      <c r="BR375" s="38">
        <v>44713</v>
      </c>
      <c r="BS375" s="20" t="s">
        <v>185</v>
      </c>
      <c r="BT375" s="20" t="str">
        <f t="shared" si="32"/>
        <v>InCasa_COR22D212</v>
      </c>
    </row>
    <row r="376" spans="2:72" ht="18.75" customHeight="1" x14ac:dyDescent="0.25">
      <c r="B376" s="20">
        <f t="shared" si="33"/>
        <v>213</v>
      </c>
      <c r="C376" s="22" t="str">
        <f t="shared" si="34"/>
        <v>In Casa #213</v>
      </c>
      <c r="D376" t="str">
        <f t="shared" si="35"/>
        <v>COR22D213</v>
      </c>
      <c r="E376" s="58" t="s">
        <v>252</v>
      </c>
      <c r="F376" s="20">
        <v>1000</v>
      </c>
      <c r="G376" s="14" t="s">
        <v>354</v>
      </c>
      <c r="H376" s="23" t="s">
        <v>170</v>
      </c>
      <c r="J376" s="59" t="s">
        <v>38</v>
      </c>
      <c r="K376" s="22" t="s">
        <v>254</v>
      </c>
      <c r="L376" s="59" t="s">
        <v>171</v>
      </c>
      <c r="M376" s="22">
        <v>2</v>
      </c>
      <c r="V376" s="59" t="s">
        <v>176</v>
      </c>
      <c r="AL376" s="59" t="s">
        <v>40</v>
      </c>
      <c r="AM376" s="22" t="s">
        <v>188</v>
      </c>
      <c r="AV376" s="59" t="s">
        <v>134</v>
      </c>
      <c r="AW376" s="22" t="str">
        <f>Settings!$B$5 &amp;  "?s=" &amp; D376 &amp; "&amp;platform=ftx"</f>
        <v>https://tokensol.nfluent.io?s=COR22D213&amp;platform=ftx</v>
      </c>
      <c r="AX376" s="20" t="s">
        <v>23</v>
      </c>
      <c r="AY376" s="20">
        <v>10</v>
      </c>
      <c r="AZ376" s="20" t="s">
        <v>24</v>
      </c>
      <c r="BA376" s="20">
        <v>90</v>
      </c>
      <c r="BD376" s="14"/>
      <c r="BJ376" t="s">
        <v>255</v>
      </c>
      <c r="BK376" t="s">
        <v>184</v>
      </c>
      <c r="BN376" s="36">
        <v>100</v>
      </c>
      <c r="BO376" s="36">
        <v>100</v>
      </c>
      <c r="BP376">
        <f t="shared" si="36"/>
        <v>480</v>
      </c>
      <c r="BR376" s="38">
        <v>44713</v>
      </c>
      <c r="BS376" s="20" t="s">
        <v>185</v>
      </c>
      <c r="BT376" s="20" t="str">
        <f t="shared" si="32"/>
        <v>InCasa_COR22D213</v>
      </c>
    </row>
    <row r="377" spans="2:72" ht="18.75" customHeight="1" x14ac:dyDescent="0.25">
      <c r="B377" s="20">
        <f t="shared" si="33"/>
        <v>214</v>
      </c>
      <c r="C377" s="22" t="str">
        <f t="shared" si="34"/>
        <v>In Casa #214</v>
      </c>
      <c r="D377" t="str">
        <f t="shared" si="35"/>
        <v>COR22D214</v>
      </c>
      <c r="E377" s="58" t="s">
        <v>252</v>
      </c>
      <c r="F377" s="20">
        <v>1000</v>
      </c>
      <c r="G377" s="14" t="s">
        <v>354</v>
      </c>
      <c r="H377" s="23" t="s">
        <v>170</v>
      </c>
      <c r="J377" s="59" t="s">
        <v>38</v>
      </c>
      <c r="K377" s="22" t="s">
        <v>254</v>
      </c>
      <c r="L377" s="59" t="s">
        <v>171</v>
      </c>
      <c r="M377" s="22">
        <v>2</v>
      </c>
      <c r="V377" s="59" t="s">
        <v>176</v>
      </c>
      <c r="AL377" s="59" t="s">
        <v>40</v>
      </c>
      <c r="AM377" s="22" t="s">
        <v>188</v>
      </c>
      <c r="AV377" s="59" t="s">
        <v>134</v>
      </c>
      <c r="AW377" s="22" t="str">
        <f>Settings!$B$5 &amp;  "?s=" &amp; D377 &amp; "&amp;platform=ftx"</f>
        <v>https://tokensol.nfluent.io?s=COR22D214&amp;platform=ftx</v>
      </c>
      <c r="AX377" s="20" t="s">
        <v>23</v>
      </c>
      <c r="AY377" s="20">
        <v>10</v>
      </c>
      <c r="AZ377" s="20" t="s">
        <v>24</v>
      </c>
      <c r="BA377" s="20">
        <v>90</v>
      </c>
      <c r="BD377" s="14"/>
      <c r="BJ377" t="s">
        <v>255</v>
      </c>
      <c r="BK377" t="s">
        <v>184</v>
      </c>
      <c r="BN377" s="36">
        <v>100</v>
      </c>
      <c r="BO377" s="36">
        <v>100</v>
      </c>
      <c r="BP377">
        <f t="shared" si="36"/>
        <v>480</v>
      </c>
      <c r="BR377" s="38">
        <v>44713</v>
      </c>
      <c r="BS377" s="20" t="s">
        <v>185</v>
      </c>
      <c r="BT377" s="20" t="str">
        <f t="shared" si="32"/>
        <v>InCasa_COR22D214</v>
      </c>
    </row>
    <row r="378" spans="2:72" ht="18.75" customHeight="1" x14ac:dyDescent="0.25">
      <c r="B378" s="20">
        <f t="shared" si="33"/>
        <v>215</v>
      </c>
      <c r="C378" s="22" t="str">
        <f t="shared" si="34"/>
        <v>In Casa #215</v>
      </c>
      <c r="D378" t="str">
        <f t="shared" si="35"/>
        <v>COR22D215</v>
      </c>
      <c r="E378" s="58" t="s">
        <v>252</v>
      </c>
      <c r="F378" s="20">
        <v>1000</v>
      </c>
      <c r="G378" s="14" t="s">
        <v>354</v>
      </c>
      <c r="H378" s="23" t="s">
        <v>170</v>
      </c>
      <c r="J378" s="59" t="s">
        <v>38</v>
      </c>
      <c r="K378" s="22" t="s">
        <v>254</v>
      </c>
      <c r="L378" s="59" t="s">
        <v>171</v>
      </c>
      <c r="M378" s="22">
        <v>2</v>
      </c>
      <c r="V378" s="59" t="s">
        <v>176</v>
      </c>
      <c r="AL378" s="59" t="s">
        <v>40</v>
      </c>
      <c r="AM378" s="22" t="s">
        <v>188</v>
      </c>
      <c r="AV378" s="59" t="s">
        <v>134</v>
      </c>
      <c r="AW378" s="22" t="str">
        <f>Settings!$B$5 &amp;  "?s=" &amp; D378 &amp; "&amp;platform=ftx"</f>
        <v>https://tokensol.nfluent.io?s=COR22D215&amp;platform=ftx</v>
      </c>
      <c r="AX378" s="20" t="s">
        <v>23</v>
      </c>
      <c r="AY378" s="20">
        <v>10</v>
      </c>
      <c r="AZ378" s="20" t="s">
        <v>24</v>
      </c>
      <c r="BA378" s="20">
        <v>90</v>
      </c>
      <c r="BD378" s="14"/>
      <c r="BJ378" t="s">
        <v>255</v>
      </c>
      <c r="BK378" t="s">
        <v>184</v>
      </c>
      <c r="BN378" s="36">
        <v>100</v>
      </c>
      <c r="BO378" s="36">
        <v>100</v>
      </c>
      <c r="BP378">
        <f t="shared" si="36"/>
        <v>480</v>
      </c>
      <c r="BR378" s="38">
        <v>44713</v>
      </c>
      <c r="BS378" s="20" t="s">
        <v>185</v>
      </c>
      <c r="BT378" s="20" t="str">
        <f t="shared" si="32"/>
        <v>InCasa_COR22D215</v>
      </c>
    </row>
    <row r="379" spans="2:72" ht="18.75" customHeight="1" x14ac:dyDescent="0.25">
      <c r="B379" s="20">
        <f t="shared" si="33"/>
        <v>216</v>
      </c>
      <c r="C379" s="22" t="str">
        <f t="shared" si="34"/>
        <v>In Casa #216</v>
      </c>
      <c r="D379" t="str">
        <f t="shared" si="35"/>
        <v>COR22D216</v>
      </c>
      <c r="E379" s="58" t="s">
        <v>252</v>
      </c>
      <c r="F379" s="20">
        <v>1000</v>
      </c>
      <c r="G379" s="14" t="s">
        <v>354</v>
      </c>
      <c r="H379" s="23" t="s">
        <v>170</v>
      </c>
      <c r="J379" s="59" t="s">
        <v>38</v>
      </c>
      <c r="K379" s="22" t="s">
        <v>254</v>
      </c>
      <c r="L379" s="59" t="s">
        <v>171</v>
      </c>
      <c r="M379" s="22">
        <v>2</v>
      </c>
      <c r="V379" s="59" t="s">
        <v>176</v>
      </c>
      <c r="AL379" s="59" t="s">
        <v>40</v>
      </c>
      <c r="AM379" s="22" t="s">
        <v>188</v>
      </c>
      <c r="AV379" s="59" t="s">
        <v>134</v>
      </c>
      <c r="AW379" s="22" t="str">
        <f>Settings!$B$5 &amp;  "?s=" &amp; D379 &amp; "&amp;platform=ftx"</f>
        <v>https://tokensol.nfluent.io?s=COR22D216&amp;platform=ftx</v>
      </c>
      <c r="AX379" s="20" t="s">
        <v>23</v>
      </c>
      <c r="AY379" s="20">
        <v>10</v>
      </c>
      <c r="AZ379" s="20" t="s">
        <v>24</v>
      </c>
      <c r="BA379" s="20">
        <v>90</v>
      </c>
      <c r="BD379" s="14"/>
      <c r="BJ379" t="s">
        <v>255</v>
      </c>
      <c r="BK379" t="s">
        <v>184</v>
      </c>
      <c r="BN379" s="36">
        <v>100</v>
      </c>
      <c r="BO379" s="36">
        <v>100</v>
      </c>
      <c r="BP379">
        <f t="shared" si="36"/>
        <v>480</v>
      </c>
      <c r="BR379" s="38">
        <v>44713</v>
      </c>
      <c r="BS379" s="20" t="s">
        <v>185</v>
      </c>
      <c r="BT379" s="20" t="str">
        <f t="shared" si="32"/>
        <v>InCasa_COR22D216</v>
      </c>
    </row>
    <row r="380" spans="2:72" ht="18.75" customHeight="1" x14ac:dyDescent="0.25">
      <c r="B380" s="20">
        <f t="shared" si="33"/>
        <v>217</v>
      </c>
      <c r="C380" s="22" t="str">
        <f t="shared" si="34"/>
        <v>In Casa #217</v>
      </c>
      <c r="D380" t="str">
        <f t="shared" si="35"/>
        <v>COR22D217</v>
      </c>
      <c r="E380" s="58" t="s">
        <v>252</v>
      </c>
      <c r="F380" s="20">
        <v>1000</v>
      </c>
      <c r="G380" s="14" t="s">
        <v>354</v>
      </c>
      <c r="H380" s="23" t="s">
        <v>170</v>
      </c>
      <c r="J380" s="59" t="s">
        <v>38</v>
      </c>
      <c r="K380" s="22" t="s">
        <v>254</v>
      </c>
      <c r="L380" s="59" t="s">
        <v>171</v>
      </c>
      <c r="M380" s="22">
        <v>2</v>
      </c>
      <c r="V380" s="59" t="s">
        <v>176</v>
      </c>
      <c r="AL380" s="59" t="s">
        <v>40</v>
      </c>
      <c r="AM380" s="22" t="s">
        <v>188</v>
      </c>
      <c r="AV380" s="59" t="s">
        <v>134</v>
      </c>
      <c r="AW380" s="22" t="str">
        <f>Settings!$B$5 &amp;  "?s=" &amp; D380 &amp; "&amp;platform=ftx"</f>
        <v>https://tokensol.nfluent.io?s=COR22D217&amp;platform=ftx</v>
      </c>
      <c r="AX380" s="20" t="s">
        <v>23</v>
      </c>
      <c r="AY380" s="20">
        <v>10</v>
      </c>
      <c r="AZ380" s="20" t="s">
        <v>24</v>
      </c>
      <c r="BA380" s="20">
        <v>90</v>
      </c>
      <c r="BD380" s="14"/>
      <c r="BJ380" t="s">
        <v>255</v>
      </c>
      <c r="BK380" t="s">
        <v>184</v>
      </c>
      <c r="BN380" s="36">
        <v>100</v>
      </c>
      <c r="BO380" s="36">
        <v>100</v>
      </c>
      <c r="BP380">
        <f t="shared" si="36"/>
        <v>480</v>
      </c>
      <c r="BR380" s="38">
        <v>44713</v>
      </c>
      <c r="BS380" s="20" t="s">
        <v>185</v>
      </c>
      <c r="BT380" s="20" t="str">
        <f t="shared" si="32"/>
        <v>InCasa_COR22D217</v>
      </c>
    </row>
    <row r="381" spans="2:72" ht="18.75" customHeight="1" x14ac:dyDescent="0.25">
      <c r="B381" s="20">
        <f t="shared" si="33"/>
        <v>218</v>
      </c>
      <c r="C381" s="22" t="str">
        <f t="shared" si="34"/>
        <v>In Casa #218</v>
      </c>
      <c r="D381" t="str">
        <f t="shared" si="35"/>
        <v>COR22D218</v>
      </c>
      <c r="E381" s="58" t="s">
        <v>252</v>
      </c>
      <c r="F381" s="20">
        <v>1000</v>
      </c>
      <c r="G381" s="14" t="s">
        <v>354</v>
      </c>
      <c r="H381" s="23" t="s">
        <v>170</v>
      </c>
      <c r="J381" s="59" t="s">
        <v>38</v>
      </c>
      <c r="K381" s="22" t="s">
        <v>254</v>
      </c>
      <c r="L381" s="59" t="s">
        <v>171</v>
      </c>
      <c r="M381" s="22">
        <v>2</v>
      </c>
      <c r="V381" s="59" t="s">
        <v>176</v>
      </c>
      <c r="AL381" s="59" t="s">
        <v>40</v>
      </c>
      <c r="AM381" s="22" t="s">
        <v>188</v>
      </c>
      <c r="AV381" s="59" t="s">
        <v>134</v>
      </c>
      <c r="AW381" s="22" t="str">
        <f>Settings!$B$5 &amp;  "?s=" &amp; D381 &amp; "&amp;platform=ftx"</f>
        <v>https://tokensol.nfluent.io?s=COR22D218&amp;platform=ftx</v>
      </c>
      <c r="AX381" s="20" t="s">
        <v>23</v>
      </c>
      <c r="AY381" s="20">
        <v>10</v>
      </c>
      <c r="AZ381" s="20" t="s">
        <v>24</v>
      </c>
      <c r="BA381" s="20">
        <v>90</v>
      </c>
      <c r="BD381" s="14"/>
      <c r="BJ381" t="s">
        <v>255</v>
      </c>
      <c r="BK381" t="s">
        <v>184</v>
      </c>
      <c r="BN381" s="36">
        <v>100</v>
      </c>
      <c r="BO381" s="36">
        <v>100</v>
      </c>
      <c r="BP381">
        <f t="shared" si="36"/>
        <v>480</v>
      </c>
      <c r="BR381" s="38">
        <v>44713</v>
      </c>
      <c r="BS381" s="20" t="s">
        <v>185</v>
      </c>
      <c r="BT381" s="20" t="str">
        <f t="shared" si="32"/>
        <v>InCasa_COR22D218</v>
      </c>
    </row>
    <row r="382" spans="2:72" ht="18.75" customHeight="1" x14ac:dyDescent="0.25">
      <c r="B382" s="20">
        <f t="shared" si="33"/>
        <v>219</v>
      </c>
      <c r="C382" s="22" t="str">
        <f t="shared" si="34"/>
        <v>In Casa #219</v>
      </c>
      <c r="D382" t="str">
        <f t="shared" si="35"/>
        <v>COR22D219</v>
      </c>
      <c r="E382" s="58" t="s">
        <v>252</v>
      </c>
      <c r="F382" s="20">
        <v>1000</v>
      </c>
      <c r="G382" s="14" t="s">
        <v>354</v>
      </c>
      <c r="H382" s="23" t="s">
        <v>170</v>
      </c>
      <c r="J382" s="59" t="s">
        <v>38</v>
      </c>
      <c r="K382" s="22" t="s">
        <v>254</v>
      </c>
      <c r="L382" s="59" t="s">
        <v>171</v>
      </c>
      <c r="M382" s="22">
        <v>2</v>
      </c>
      <c r="V382" s="59" t="s">
        <v>176</v>
      </c>
      <c r="AL382" s="59" t="s">
        <v>40</v>
      </c>
      <c r="AM382" s="22" t="s">
        <v>188</v>
      </c>
      <c r="AV382" s="59" t="s">
        <v>134</v>
      </c>
      <c r="AW382" s="22" t="str">
        <f>Settings!$B$5 &amp;  "?s=" &amp; D382 &amp; "&amp;platform=ftx"</f>
        <v>https://tokensol.nfluent.io?s=COR22D219&amp;platform=ftx</v>
      </c>
      <c r="AX382" s="20" t="s">
        <v>23</v>
      </c>
      <c r="AY382" s="20">
        <v>10</v>
      </c>
      <c r="AZ382" s="20" t="s">
        <v>24</v>
      </c>
      <c r="BA382" s="20">
        <v>90</v>
      </c>
      <c r="BD382" s="14"/>
      <c r="BJ382" t="s">
        <v>255</v>
      </c>
      <c r="BK382" t="s">
        <v>184</v>
      </c>
      <c r="BN382" s="36">
        <v>100</v>
      </c>
      <c r="BO382" s="36">
        <v>100</v>
      </c>
      <c r="BP382">
        <f t="shared" si="36"/>
        <v>480</v>
      </c>
      <c r="BR382" s="38">
        <v>44713</v>
      </c>
      <c r="BS382" s="20" t="s">
        <v>185</v>
      </c>
      <c r="BT382" s="20" t="str">
        <f t="shared" si="32"/>
        <v>InCasa_COR22D219</v>
      </c>
    </row>
    <row r="383" spans="2:72" ht="18.75" customHeight="1" x14ac:dyDescent="0.25">
      <c r="B383" s="20">
        <f t="shared" si="33"/>
        <v>220</v>
      </c>
      <c r="C383" s="22" t="str">
        <f t="shared" si="34"/>
        <v>In Casa #220</v>
      </c>
      <c r="D383" t="str">
        <f t="shared" si="35"/>
        <v>COR22D220</v>
      </c>
      <c r="E383" s="58" t="s">
        <v>252</v>
      </c>
      <c r="F383" s="20">
        <v>1000</v>
      </c>
      <c r="G383" s="14" t="s">
        <v>354</v>
      </c>
      <c r="H383" s="23" t="s">
        <v>170</v>
      </c>
      <c r="J383" s="59" t="s">
        <v>38</v>
      </c>
      <c r="K383" s="22" t="s">
        <v>254</v>
      </c>
      <c r="L383" s="59" t="s">
        <v>171</v>
      </c>
      <c r="M383" s="22">
        <v>2</v>
      </c>
      <c r="V383" s="59" t="s">
        <v>176</v>
      </c>
      <c r="AL383" s="59" t="s">
        <v>40</v>
      </c>
      <c r="AM383" s="22" t="s">
        <v>188</v>
      </c>
      <c r="AV383" s="59" t="s">
        <v>134</v>
      </c>
      <c r="AW383" s="22" t="str">
        <f>Settings!$B$5 &amp;  "?s=" &amp; D383 &amp; "&amp;platform=ftx"</f>
        <v>https://tokensol.nfluent.io?s=COR22D220&amp;platform=ftx</v>
      </c>
      <c r="AX383" s="20" t="s">
        <v>23</v>
      </c>
      <c r="AY383" s="20">
        <v>10</v>
      </c>
      <c r="AZ383" s="20" t="s">
        <v>24</v>
      </c>
      <c r="BA383" s="20">
        <v>90</v>
      </c>
      <c r="BD383" s="14"/>
      <c r="BJ383" t="s">
        <v>255</v>
      </c>
      <c r="BK383" t="s">
        <v>184</v>
      </c>
      <c r="BN383" s="36">
        <v>100</v>
      </c>
      <c r="BO383" s="36">
        <v>100</v>
      </c>
      <c r="BP383">
        <f t="shared" si="36"/>
        <v>480</v>
      </c>
      <c r="BR383" s="38">
        <v>44713</v>
      </c>
      <c r="BS383" s="20" t="s">
        <v>185</v>
      </c>
      <c r="BT383" s="20" t="str">
        <f t="shared" si="32"/>
        <v>InCasa_COR22D220</v>
      </c>
    </row>
    <row r="384" spans="2:72" ht="18.75" customHeight="1" x14ac:dyDescent="0.25">
      <c r="B384" s="20">
        <f t="shared" si="33"/>
        <v>221</v>
      </c>
      <c r="C384" s="22" t="str">
        <f t="shared" si="34"/>
        <v>In Casa #221</v>
      </c>
      <c r="D384" t="str">
        <f t="shared" si="35"/>
        <v>COR22D221</v>
      </c>
      <c r="E384" s="58" t="s">
        <v>252</v>
      </c>
      <c r="F384" s="20">
        <v>1000</v>
      </c>
      <c r="G384" s="14" t="s">
        <v>354</v>
      </c>
      <c r="H384" s="23" t="s">
        <v>170</v>
      </c>
      <c r="J384" s="59" t="s">
        <v>38</v>
      </c>
      <c r="K384" s="22" t="s">
        <v>254</v>
      </c>
      <c r="L384" s="59" t="s">
        <v>171</v>
      </c>
      <c r="M384" s="22">
        <v>2</v>
      </c>
      <c r="V384" s="59" t="s">
        <v>176</v>
      </c>
      <c r="AL384" s="59" t="s">
        <v>40</v>
      </c>
      <c r="AM384" s="22" t="s">
        <v>188</v>
      </c>
      <c r="AV384" s="59" t="s">
        <v>134</v>
      </c>
      <c r="AW384" s="22" t="str">
        <f>Settings!$B$5 &amp;  "?s=" &amp; D384 &amp; "&amp;platform=ftx"</f>
        <v>https://tokensol.nfluent.io?s=COR22D221&amp;platform=ftx</v>
      </c>
      <c r="AX384" s="20" t="s">
        <v>23</v>
      </c>
      <c r="AY384" s="20">
        <v>10</v>
      </c>
      <c r="AZ384" s="20" t="s">
        <v>24</v>
      </c>
      <c r="BA384" s="20">
        <v>90</v>
      </c>
      <c r="BD384" s="14"/>
      <c r="BJ384" t="s">
        <v>255</v>
      </c>
      <c r="BK384" t="s">
        <v>184</v>
      </c>
      <c r="BN384" s="36">
        <v>100</v>
      </c>
      <c r="BO384" s="36">
        <v>100</v>
      </c>
      <c r="BP384">
        <f t="shared" si="36"/>
        <v>480</v>
      </c>
      <c r="BR384" s="38">
        <v>44713</v>
      </c>
      <c r="BS384" s="20" t="s">
        <v>185</v>
      </c>
      <c r="BT384" s="20" t="str">
        <f t="shared" si="32"/>
        <v>InCasa_COR22D221</v>
      </c>
    </row>
    <row r="385" spans="2:72" ht="18.75" customHeight="1" x14ac:dyDescent="0.25">
      <c r="B385" s="20">
        <f t="shared" si="33"/>
        <v>222</v>
      </c>
      <c r="C385" s="22" t="str">
        <f t="shared" si="34"/>
        <v>In Casa #222</v>
      </c>
      <c r="D385" t="str">
        <f t="shared" si="35"/>
        <v>COR22D222</v>
      </c>
      <c r="E385" s="58" t="s">
        <v>252</v>
      </c>
      <c r="F385" s="20">
        <v>1000</v>
      </c>
      <c r="G385" s="14" t="s">
        <v>354</v>
      </c>
      <c r="H385" s="23" t="s">
        <v>170</v>
      </c>
      <c r="J385" s="59" t="s">
        <v>38</v>
      </c>
      <c r="K385" s="22" t="s">
        <v>254</v>
      </c>
      <c r="L385" s="59" t="s">
        <v>171</v>
      </c>
      <c r="M385" s="22">
        <v>2</v>
      </c>
      <c r="V385" s="59" t="s">
        <v>176</v>
      </c>
      <c r="AL385" s="59" t="s">
        <v>40</v>
      </c>
      <c r="AM385" s="22" t="s">
        <v>188</v>
      </c>
      <c r="AV385" s="59" t="s">
        <v>134</v>
      </c>
      <c r="AW385" s="22" t="str">
        <f>Settings!$B$5 &amp;  "?s=" &amp; D385 &amp; "&amp;platform=ftx"</f>
        <v>https://tokensol.nfluent.io?s=COR22D222&amp;platform=ftx</v>
      </c>
      <c r="AX385" s="20" t="s">
        <v>23</v>
      </c>
      <c r="AY385" s="20">
        <v>10</v>
      </c>
      <c r="AZ385" s="20" t="s">
        <v>24</v>
      </c>
      <c r="BA385" s="20">
        <v>90</v>
      </c>
      <c r="BD385" s="14"/>
      <c r="BJ385" t="s">
        <v>255</v>
      </c>
      <c r="BK385" t="s">
        <v>184</v>
      </c>
      <c r="BN385" s="36">
        <v>100</v>
      </c>
      <c r="BO385" s="36">
        <v>100</v>
      </c>
      <c r="BP385">
        <f t="shared" si="36"/>
        <v>480</v>
      </c>
      <c r="BR385" s="38">
        <v>44713</v>
      </c>
      <c r="BS385" s="20" t="s">
        <v>185</v>
      </c>
      <c r="BT385" s="20" t="str">
        <f t="shared" si="32"/>
        <v>InCasa_COR22D222</v>
      </c>
    </row>
    <row r="386" spans="2:72" ht="18.75" customHeight="1" x14ac:dyDescent="0.25">
      <c r="B386" s="20">
        <f t="shared" si="33"/>
        <v>223</v>
      </c>
      <c r="C386" s="22" t="str">
        <f t="shared" si="34"/>
        <v>In Casa #223</v>
      </c>
      <c r="D386" t="str">
        <f t="shared" si="35"/>
        <v>COR22D223</v>
      </c>
      <c r="E386" s="58" t="s">
        <v>252</v>
      </c>
      <c r="F386" s="20">
        <v>1000</v>
      </c>
      <c r="G386" s="14" t="s">
        <v>354</v>
      </c>
      <c r="H386" s="23" t="s">
        <v>170</v>
      </c>
      <c r="J386" s="59" t="s">
        <v>38</v>
      </c>
      <c r="K386" s="22" t="s">
        <v>254</v>
      </c>
      <c r="L386" s="59" t="s">
        <v>171</v>
      </c>
      <c r="M386" s="22">
        <v>2</v>
      </c>
      <c r="V386" s="59" t="s">
        <v>176</v>
      </c>
      <c r="AL386" s="59" t="s">
        <v>40</v>
      </c>
      <c r="AM386" s="22" t="s">
        <v>188</v>
      </c>
      <c r="AV386" s="59" t="s">
        <v>134</v>
      </c>
      <c r="AW386" s="22" t="str">
        <f>Settings!$B$5 &amp;  "?s=" &amp; D386 &amp; "&amp;platform=ftx"</f>
        <v>https://tokensol.nfluent.io?s=COR22D223&amp;platform=ftx</v>
      </c>
      <c r="AX386" s="20" t="s">
        <v>23</v>
      </c>
      <c r="AY386" s="20">
        <v>10</v>
      </c>
      <c r="AZ386" s="20" t="s">
        <v>24</v>
      </c>
      <c r="BA386" s="20">
        <v>90</v>
      </c>
      <c r="BD386" s="14"/>
      <c r="BJ386" t="s">
        <v>255</v>
      </c>
      <c r="BK386" t="s">
        <v>184</v>
      </c>
      <c r="BN386" s="36">
        <v>100</v>
      </c>
      <c r="BO386" s="36">
        <v>100</v>
      </c>
      <c r="BP386">
        <f t="shared" si="36"/>
        <v>480</v>
      </c>
      <c r="BR386" s="38">
        <v>44713</v>
      </c>
      <c r="BS386" s="20" t="s">
        <v>185</v>
      </c>
      <c r="BT386" s="20" t="str">
        <f t="shared" si="32"/>
        <v>InCasa_COR22D223</v>
      </c>
    </row>
    <row r="387" spans="2:72" ht="18.75" customHeight="1" x14ac:dyDescent="0.25">
      <c r="B387" s="20">
        <f t="shared" si="33"/>
        <v>224</v>
      </c>
      <c r="C387" s="22" t="str">
        <f t="shared" si="34"/>
        <v>In Casa #224</v>
      </c>
      <c r="D387" t="str">
        <f t="shared" si="35"/>
        <v>COR22D224</v>
      </c>
      <c r="E387" s="58" t="s">
        <v>252</v>
      </c>
      <c r="F387" s="20">
        <v>1000</v>
      </c>
      <c r="G387" s="14" t="s">
        <v>354</v>
      </c>
      <c r="H387" s="23" t="s">
        <v>170</v>
      </c>
      <c r="J387" s="59" t="s">
        <v>38</v>
      </c>
      <c r="K387" s="22" t="s">
        <v>254</v>
      </c>
      <c r="L387" s="59" t="s">
        <v>171</v>
      </c>
      <c r="M387" s="22">
        <v>2</v>
      </c>
      <c r="V387" s="59" t="s">
        <v>176</v>
      </c>
      <c r="AL387" s="59" t="s">
        <v>40</v>
      </c>
      <c r="AM387" s="22" t="s">
        <v>188</v>
      </c>
      <c r="AV387" s="59" t="s">
        <v>134</v>
      </c>
      <c r="AW387" s="22" t="str">
        <f>Settings!$B$5 &amp;  "?s=" &amp; D387 &amp; "&amp;platform=ftx"</f>
        <v>https://tokensol.nfluent.io?s=COR22D224&amp;platform=ftx</v>
      </c>
      <c r="AX387" s="20" t="s">
        <v>23</v>
      </c>
      <c r="AY387" s="20">
        <v>10</v>
      </c>
      <c r="AZ387" s="20" t="s">
        <v>24</v>
      </c>
      <c r="BA387" s="20">
        <v>90</v>
      </c>
      <c r="BD387" s="14"/>
      <c r="BJ387" t="s">
        <v>255</v>
      </c>
      <c r="BK387" t="s">
        <v>184</v>
      </c>
      <c r="BN387" s="36">
        <v>100</v>
      </c>
      <c r="BO387" s="36">
        <v>100</v>
      </c>
      <c r="BP387">
        <f t="shared" si="36"/>
        <v>480</v>
      </c>
      <c r="BR387" s="38">
        <v>44713</v>
      </c>
      <c r="BS387" s="20" t="s">
        <v>185</v>
      </c>
      <c r="BT387" s="20" t="str">
        <f t="shared" si="32"/>
        <v>InCasa_COR22D224</v>
      </c>
    </row>
    <row r="388" spans="2:72" ht="18.75" customHeight="1" x14ac:dyDescent="0.25">
      <c r="B388" s="20">
        <f t="shared" si="33"/>
        <v>225</v>
      </c>
      <c r="C388" s="22" t="str">
        <f t="shared" si="34"/>
        <v>In Casa #225</v>
      </c>
      <c r="D388" t="str">
        <f t="shared" si="35"/>
        <v>COR22D225</v>
      </c>
      <c r="E388" s="58" t="s">
        <v>252</v>
      </c>
      <c r="F388" s="20">
        <v>1000</v>
      </c>
      <c r="G388" s="14" t="s">
        <v>354</v>
      </c>
      <c r="H388" s="23" t="s">
        <v>170</v>
      </c>
      <c r="J388" s="59" t="s">
        <v>38</v>
      </c>
      <c r="K388" s="22" t="s">
        <v>254</v>
      </c>
      <c r="L388" s="59" t="s">
        <v>171</v>
      </c>
      <c r="M388" s="22">
        <v>2</v>
      </c>
      <c r="V388" s="59" t="s">
        <v>176</v>
      </c>
      <c r="AL388" s="59" t="s">
        <v>40</v>
      </c>
      <c r="AM388" s="22" t="s">
        <v>188</v>
      </c>
      <c r="AV388" s="59" t="s">
        <v>134</v>
      </c>
      <c r="AW388" s="22" t="str">
        <f>Settings!$B$5 &amp;  "?s=" &amp; D388 &amp; "&amp;platform=ftx"</f>
        <v>https://tokensol.nfluent.io?s=COR22D225&amp;platform=ftx</v>
      </c>
      <c r="AX388" s="20" t="s">
        <v>23</v>
      </c>
      <c r="AY388" s="20">
        <v>10</v>
      </c>
      <c r="AZ388" s="20" t="s">
        <v>24</v>
      </c>
      <c r="BA388" s="20">
        <v>90</v>
      </c>
      <c r="BD388" s="14"/>
      <c r="BJ388" t="s">
        <v>255</v>
      </c>
      <c r="BK388" t="s">
        <v>184</v>
      </c>
      <c r="BN388" s="36">
        <v>100</v>
      </c>
      <c r="BO388" s="36">
        <v>100</v>
      </c>
      <c r="BP388">
        <f t="shared" si="36"/>
        <v>480</v>
      </c>
      <c r="BR388" s="38">
        <v>44713</v>
      </c>
      <c r="BS388" s="20" t="s">
        <v>185</v>
      </c>
      <c r="BT388" s="20" t="str">
        <f t="shared" si="32"/>
        <v>InCasa_COR22D225</v>
      </c>
    </row>
    <row r="389" spans="2:72" ht="18.75" customHeight="1" x14ac:dyDescent="0.25">
      <c r="B389" s="20">
        <f t="shared" si="33"/>
        <v>226</v>
      </c>
      <c r="C389" s="22" t="str">
        <f t="shared" si="34"/>
        <v>In Casa #226</v>
      </c>
      <c r="D389" t="str">
        <f t="shared" si="35"/>
        <v>COR22D226</v>
      </c>
      <c r="E389" s="58" t="s">
        <v>252</v>
      </c>
      <c r="F389" s="20">
        <v>1000</v>
      </c>
      <c r="G389" s="14" t="s">
        <v>354</v>
      </c>
      <c r="H389" s="23" t="s">
        <v>170</v>
      </c>
      <c r="J389" s="59" t="s">
        <v>38</v>
      </c>
      <c r="K389" s="22" t="s">
        <v>254</v>
      </c>
      <c r="L389" s="59" t="s">
        <v>171</v>
      </c>
      <c r="M389" s="22">
        <v>2</v>
      </c>
      <c r="V389" s="59" t="s">
        <v>176</v>
      </c>
      <c r="AL389" s="59" t="s">
        <v>40</v>
      </c>
      <c r="AM389" s="22" t="s">
        <v>188</v>
      </c>
      <c r="AV389" s="59" t="s">
        <v>134</v>
      </c>
      <c r="AW389" s="22" t="str">
        <f>Settings!$B$5 &amp;  "?s=" &amp; D389 &amp; "&amp;platform=ftx"</f>
        <v>https://tokensol.nfluent.io?s=COR22D226&amp;platform=ftx</v>
      </c>
      <c r="AX389" s="20" t="s">
        <v>23</v>
      </c>
      <c r="AY389" s="20">
        <v>10</v>
      </c>
      <c r="AZ389" s="20" t="s">
        <v>24</v>
      </c>
      <c r="BA389" s="20">
        <v>90</v>
      </c>
      <c r="BD389" s="14"/>
      <c r="BJ389" t="s">
        <v>255</v>
      </c>
      <c r="BK389" t="s">
        <v>184</v>
      </c>
      <c r="BN389" s="36">
        <v>100</v>
      </c>
      <c r="BO389" s="36">
        <v>100</v>
      </c>
      <c r="BP389">
        <f t="shared" si="36"/>
        <v>480</v>
      </c>
      <c r="BR389" s="38">
        <v>44713</v>
      </c>
      <c r="BS389" s="20" t="s">
        <v>185</v>
      </c>
      <c r="BT389" s="20" t="str">
        <f t="shared" ref="BT389:BT452" si="37">SUBSTITUTE(BJ389," ","") &amp; "_" &amp; D389</f>
        <v>InCasa_COR22D226</v>
      </c>
    </row>
    <row r="390" spans="2:72" ht="18.75" customHeight="1" x14ac:dyDescent="0.25">
      <c r="B390" s="20">
        <f t="shared" ref="B390:B453" si="38">+B389+1</f>
        <v>227</v>
      </c>
      <c r="C390" s="22" t="str">
        <f t="shared" si="34"/>
        <v>In Casa #227</v>
      </c>
      <c r="D390" t="str">
        <f t="shared" si="35"/>
        <v>COR22D227</v>
      </c>
      <c r="E390" s="58" t="s">
        <v>252</v>
      </c>
      <c r="F390" s="20">
        <v>1000</v>
      </c>
      <c r="G390" s="14" t="s">
        <v>354</v>
      </c>
      <c r="H390" s="23" t="s">
        <v>170</v>
      </c>
      <c r="J390" s="59" t="s">
        <v>38</v>
      </c>
      <c r="K390" s="22" t="s">
        <v>254</v>
      </c>
      <c r="L390" s="59" t="s">
        <v>171</v>
      </c>
      <c r="M390" s="22">
        <v>2</v>
      </c>
      <c r="V390" s="59" t="s">
        <v>176</v>
      </c>
      <c r="AL390" s="59" t="s">
        <v>40</v>
      </c>
      <c r="AM390" s="22" t="s">
        <v>188</v>
      </c>
      <c r="AV390" s="59" t="s">
        <v>134</v>
      </c>
      <c r="AW390" s="22" t="str">
        <f>Settings!$B$5 &amp;  "?s=" &amp; D390 &amp; "&amp;platform=ftx"</f>
        <v>https://tokensol.nfluent.io?s=COR22D227&amp;platform=ftx</v>
      </c>
      <c r="AX390" s="20" t="s">
        <v>23</v>
      </c>
      <c r="AY390" s="20">
        <v>10</v>
      </c>
      <c r="AZ390" s="20" t="s">
        <v>24</v>
      </c>
      <c r="BA390" s="20">
        <v>90</v>
      </c>
      <c r="BD390" s="14"/>
      <c r="BJ390" t="s">
        <v>255</v>
      </c>
      <c r="BK390" t="s">
        <v>184</v>
      </c>
      <c r="BN390" s="36">
        <v>100</v>
      </c>
      <c r="BO390" s="36">
        <v>100</v>
      </c>
      <c r="BP390">
        <f t="shared" si="36"/>
        <v>480</v>
      </c>
      <c r="BR390" s="38">
        <v>44713</v>
      </c>
      <c r="BS390" s="20" t="s">
        <v>185</v>
      </c>
      <c r="BT390" s="20" t="str">
        <f t="shared" si="37"/>
        <v>InCasa_COR22D227</v>
      </c>
    </row>
    <row r="391" spans="2:72" ht="18.75" customHeight="1" x14ac:dyDescent="0.25">
      <c r="B391" s="20">
        <f t="shared" si="38"/>
        <v>228</v>
      </c>
      <c r="C391" s="22" t="str">
        <f t="shared" si="34"/>
        <v>In Casa #228</v>
      </c>
      <c r="D391" t="str">
        <f t="shared" si="35"/>
        <v>COR22D228</v>
      </c>
      <c r="E391" s="58" t="s">
        <v>252</v>
      </c>
      <c r="F391" s="20">
        <v>1000</v>
      </c>
      <c r="G391" s="14" t="s">
        <v>354</v>
      </c>
      <c r="H391" s="23" t="s">
        <v>170</v>
      </c>
      <c r="J391" s="59" t="s">
        <v>38</v>
      </c>
      <c r="K391" s="22" t="s">
        <v>254</v>
      </c>
      <c r="L391" s="59" t="s">
        <v>171</v>
      </c>
      <c r="M391" s="22">
        <v>2</v>
      </c>
      <c r="V391" s="59" t="s">
        <v>176</v>
      </c>
      <c r="AL391" s="59" t="s">
        <v>40</v>
      </c>
      <c r="AM391" s="22" t="s">
        <v>188</v>
      </c>
      <c r="AV391" s="59" t="s">
        <v>134</v>
      </c>
      <c r="AW391" s="22" t="str">
        <f>Settings!$B$5 &amp;  "?s=" &amp; D391 &amp; "&amp;platform=ftx"</f>
        <v>https://tokensol.nfluent.io?s=COR22D228&amp;platform=ftx</v>
      </c>
      <c r="AX391" s="20" t="s">
        <v>23</v>
      </c>
      <c r="AY391" s="20">
        <v>10</v>
      </c>
      <c r="AZ391" s="20" t="s">
        <v>24</v>
      </c>
      <c r="BA391" s="20">
        <v>90</v>
      </c>
      <c r="BD391" s="14"/>
      <c r="BJ391" t="s">
        <v>255</v>
      </c>
      <c r="BK391" t="s">
        <v>184</v>
      </c>
      <c r="BN391" s="36">
        <v>100</v>
      </c>
      <c r="BO391" s="36">
        <v>100</v>
      </c>
      <c r="BP391">
        <f t="shared" si="36"/>
        <v>480</v>
      </c>
      <c r="BR391" s="38">
        <v>44713</v>
      </c>
      <c r="BS391" s="20" t="s">
        <v>185</v>
      </c>
      <c r="BT391" s="20" t="str">
        <f t="shared" si="37"/>
        <v>InCasa_COR22D228</v>
      </c>
    </row>
    <row r="392" spans="2:72" ht="18.75" customHeight="1" x14ac:dyDescent="0.25">
      <c r="B392" s="20">
        <f t="shared" si="38"/>
        <v>229</v>
      </c>
      <c r="C392" s="22" t="str">
        <f t="shared" si="34"/>
        <v>In Casa #229</v>
      </c>
      <c r="D392" t="str">
        <f t="shared" si="35"/>
        <v>COR22D229</v>
      </c>
      <c r="E392" s="58" t="s">
        <v>252</v>
      </c>
      <c r="F392" s="20">
        <v>1000</v>
      </c>
      <c r="G392" s="14" t="s">
        <v>354</v>
      </c>
      <c r="H392" s="23" t="s">
        <v>170</v>
      </c>
      <c r="J392" s="59" t="s">
        <v>38</v>
      </c>
      <c r="K392" s="22" t="s">
        <v>254</v>
      </c>
      <c r="L392" s="59" t="s">
        <v>171</v>
      </c>
      <c r="M392" s="22">
        <v>2</v>
      </c>
      <c r="V392" s="59" t="s">
        <v>176</v>
      </c>
      <c r="AL392" s="59" t="s">
        <v>40</v>
      </c>
      <c r="AM392" s="22" t="s">
        <v>188</v>
      </c>
      <c r="AV392" s="59" t="s">
        <v>134</v>
      </c>
      <c r="AW392" s="22" t="str">
        <f>Settings!$B$5 &amp;  "?s=" &amp; D392 &amp; "&amp;platform=ftx"</f>
        <v>https://tokensol.nfluent.io?s=COR22D229&amp;platform=ftx</v>
      </c>
      <c r="AX392" s="20" t="s">
        <v>23</v>
      </c>
      <c r="AY392" s="20">
        <v>10</v>
      </c>
      <c r="AZ392" s="20" t="s">
        <v>24</v>
      </c>
      <c r="BA392" s="20">
        <v>90</v>
      </c>
      <c r="BD392" s="14"/>
      <c r="BJ392" t="s">
        <v>255</v>
      </c>
      <c r="BK392" t="s">
        <v>184</v>
      </c>
      <c r="BN392" s="36">
        <v>100</v>
      </c>
      <c r="BO392" s="36">
        <v>100</v>
      </c>
      <c r="BP392">
        <f t="shared" si="36"/>
        <v>480</v>
      </c>
      <c r="BR392" s="38">
        <v>44713</v>
      </c>
      <c r="BS392" s="20" t="s">
        <v>185</v>
      </c>
      <c r="BT392" s="20" t="str">
        <f t="shared" si="37"/>
        <v>InCasa_COR22D229</v>
      </c>
    </row>
    <row r="393" spans="2:72" ht="18.75" customHeight="1" x14ac:dyDescent="0.25">
      <c r="B393" s="20">
        <f t="shared" si="38"/>
        <v>230</v>
      </c>
      <c r="C393" s="22" t="str">
        <f t="shared" si="34"/>
        <v>In Casa #230</v>
      </c>
      <c r="D393" t="str">
        <f t="shared" si="35"/>
        <v>COR22D230</v>
      </c>
      <c r="E393" s="58" t="s">
        <v>252</v>
      </c>
      <c r="F393" s="20">
        <v>1000</v>
      </c>
      <c r="G393" s="14" t="s">
        <v>354</v>
      </c>
      <c r="H393" s="23" t="s">
        <v>170</v>
      </c>
      <c r="J393" s="59" t="s">
        <v>38</v>
      </c>
      <c r="K393" s="22" t="s">
        <v>254</v>
      </c>
      <c r="L393" s="59" t="s">
        <v>171</v>
      </c>
      <c r="M393" s="22">
        <v>2</v>
      </c>
      <c r="V393" s="59" t="s">
        <v>176</v>
      </c>
      <c r="AL393" s="59" t="s">
        <v>40</v>
      </c>
      <c r="AM393" s="22" t="s">
        <v>188</v>
      </c>
      <c r="AV393" s="59" t="s">
        <v>134</v>
      </c>
      <c r="AW393" s="22" t="str">
        <f>Settings!$B$5 &amp;  "?s=" &amp; D393 &amp; "&amp;platform=ftx"</f>
        <v>https://tokensol.nfluent.io?s=COR22D230&amp;platform=ftx</v>
      </c>
      <c r="AX393" s="20" t="s">
        <v>23</v>
      </c>
      <c r="AY393" s="20">
        <v>10</v>
      </c>
      <c r="AZ393" s="20" t="s">
        <v>24</v>
      </c>
      <c r="BA393" s="20">
        <v>90</v>
      </c>
      <c r="BD393" s="14"/>
      <c r="BJ393" t="s">
        <v>255</v>
      </c>
      <c r="BK393" t="s">
        <v>184</v>
      </c>
      <c r="BN393" s="36">
        <v>100</v>
      </c>
      <c r="BO393" s="36">
        <v>100</v>
      </c>
      <c r="BP393">
        <f t="shared" si="36"/>
        <v>480</v>
      </c>
      <c r="BR393" s="38">
        <v>44713</v>
      </c>
      <c r="BS393" s="20" t="s">
        <v>185</v>
      </c>
      <c r="BT393" s="20" t="str">
        <f t="shared" si="37"/>
        <v>InCasa_COR22D230</v>
      </c>
    </row>
    <row r="394" spans="2:72" ht="18.75" customHeight="1" x14ac:dyDescent="0.25">
      <c r="B394" s="20">
        <f t="shared" si="38"/>
        <v>231</v>
      </c>
      <c r="C394" s="22" t="str">
        <f t="shared" si="34"/>
        <v>In Casa #231</v>
      </c>
      <c r="D394" t="str">
        <f t="shared" si="35"/>
        <v>COR22D231</v>
      </c>
      <c r="E394" s="58" t="s">
        <v>252</v>
      </c>
      <c r="F394" s="20">
        <v>1000</v>
      </c>
      <c r="G394" s="14" t="s">
        <v>354</v>
      </c>
      <c r="H394" s="23" t="s">
        <v>170</v>
      </c>
      <c r="J394" s="59" t="s">
        <v>38</v>
      </c>
      <c r="K394" s="22" t="s">
        <v>254</v>
      </c>
      <c r="L394" s="59" t="s">
        <v>171</v>
      </c>
      <c r="M394" s="22">
        <v>2</v>
      </c>
      <c r="V394" s="59" t="s">
        <v>176</v>
      </c>
      <c r="AL394" s="59" t="s">
        <v>40</v>
      </c>
      <c r="AM394" s="22" t="s">
        <v>188</v>
      </c>
      <c r="AV394" s="59" t="s">
        <v>134</v>
      </c>
      <c r="AW394" s="22" t="str">
        <f>Settings!$B$5 &amp;  "?s=" &amp; D394 &amp; "&amp;platform=ftx"</f>
        <v>https://tokensol.nfluent.io?s=COR22D231&amp;platform=ftx</v>
      </c>
      <c r="AX394" s="20" t="s">
        <v>23</v>
      </c>
      <c r="AY394" s="20">
        <v>10</v>
      </c>
      <c r="AZ394" s="20" t="s">
        <v>24</v>
      </c>
      <c r="BA394" s="20">
        <v>90</v>
      </c>
      <c r="BD394" s="14"/>
      <c r="BJ394" t="s">
        <v>255</v>
      </c>
      <c r="BK394" t="s">
        <v>184</v>
      </c>
      <c r="BN394" s="36">
        <v>100</v>
      </c>
      <c r="BO394" s="36">
        <v>100</v>
      </c>
      <c r="BP394">
        <f t="shared" si="36"/>
        <v>480</v>
      </c>
      <c r="BR394" s="38">
        <v>44713</v>
      </c>
      <c r="BS394" s="20" t="s">
        <v>185</v>
      </c>
      <c r="BT394" s="20" t="str">
        <f t="shared" si="37"/>
        <v>InCasa_COR22D231</v>
      </c>
    </row>
    <row r="395" spans="2:72" ht="18.75" customHeight="1" x14ac:dyDescent="0.25">
      <c r="B395" s="20">
        <f t="shared" si="38"/>
        <v>232</v>
      </c>
      <c r="C395" s="22" t="str">
        <f t="shared" si="34"/>
        <v>In Casa #232</v>
      </c>
      <c r="D395" t="str">
        <f t="shared" si="35"/>
        <v>COR22D232</v>
      </c>
      <c r="E395" s="58" t="s">
        <v>252</v>
      </c>
      <c r="F395" s="20">
        <v>1000</v>
      </c>
      <c r="G395" s="14" t="s">
        <v>354</v>
      </c>
      <c r="H395" s="23" t="s">
        <v>170</v>
      </c>
      <c r="J395" s="59" t="s">
        <v>38</v>
      </c>
      <c r="K395" s="22" t="s">
        <v>254</v>
      </c>
      <c r="L395" s="59" t="s">
        <v>171</v>
      </c>
      <c r="M395" s="22">
        <v>2</v>
      </c>
      <c r="V395" s="59" t="s">
        <v>176</v>
      </c>
      <c r="AL395" s="59" t="s">
        <v>40</v>
      </c>
      <c r="AM395" s="22" t="s">
        <v>188</v>
      </c>
      <c r="AV395" s="59" t="s">
        <v>134</v>
      </c>
      <c r="AW395" s="22" t="str">
        <f>Settings!$B$5 &amp;  "?s=" &amp; D395 &amp; "&amp;platform=ftx"</f>
        <v>https://tokensol.nfluent.io?s=COR22D232&amp;platform=ftx</v>
      </c>
      <c r="AX395" s="20" t="s">
        <v>23</v>
      </c>
      <c r="AY395" s="20">
        <v>10</v>
      </c>
      <c r="AZ395" s="20" t="s">
        <v>24</v>
      </c>
      <c r="BA395" s="20">
        <v>90</v>
      </c>
      <c r="BD395" s="14"/>
      <c r="BJ395" t="s">
        <v>255</v>
      </c>
      <c r="BK395" t="s">
        <v>184</v>
      </c>
      <c r="BN395" s="36">
        <v>100</v>
      </c>
      <c r="BO395" s="36">
        <v>100</v>
      </c>
      <c r="BP395">
        <f t="shared" si="36"/>
        <v>480</v>
      </c>
      <c r="BR395" s="38">
        <v>44713</v>
      </c>
      <c r="BS395" s="20" t="s">
        <v>185</v>
      </c>
      <c r="BT395" s="20" t="str">
        <f t="shared" si="37"/>
        <v>InCasa_COR22D232</v>
      </c>
    </row>
    <row r="396" spans="2:72" ht="18.75" customHeight="1" x14ac:dyDescent="0.25">
      <c r="B396" s="20">
        <f t="shared" si="38"/>
        <v>233</v>
      </c>
      <c r="C396" s="22" t="str">
        <f t="shared" si="34"/>
        <v>In Casa #233</v>
      </c>
      <c r="D396" t="str">
        <f t="shared" si="35"/>
        <v>COR22D233</v>
      </c>
      <c r="E396" s="58" t="s">
        <v>252</v>
      </c>
      <c r="F396" s="20">
        <v>1000</v>
      </c>
      <c r="G396" s="14" t="s">
        <v>354</v>
      </c>
      <c r="H396" s="23" t="s">
        <v>170</v>
      </c>
      <c r="J396" s="59" t="s">
        <v>38</v>
      </c>
      <c r="K396" s="22" t="s">
        <v>254</v>
      </c>
      <c r="L396" s="59" t="s">
        <v>171</v>
      </c>
      <c r="M396" s="22">
        <v>2</v>
      </c>
      <c r="V396" s="59" t="s">
        <v>176</v>
      </c>
      <c r="AL396" s="59" t="s">
        <v>40</v>
      </c>
      <c r="AM396" s="22" t="s">
        <v>188</v>
      </c>
      <c r="AV396" s="59" t="s">
        <v>134</v>
      </c>
      <c r="AW396" s="22" t="str">
        <f>Settings!$B$5 &amp;  "?s=" &amp; D396 &amp; "&amp;platform=ftx"</f>
        <v>https://tokensol.nfluent.io?s=COR22D233&amp;platform=ftx</v>
      </c>
      <c r="AX396" s="20" t="s">
        <v>23</v>
      </c>
      <c r="AY396" s="20">
        <v>10</v>
      </c>
      <c r="AZ396" s="20" t="s">
        <v>24</v>
      </c>
      <c r="BA396" s="20">
        <v>90</v>
      </c>
      <c r="BD396" s="14"/>
      <c r="BJ396" t="s">
        <v>255</v>
      </c>
      <c r="BK396" t="s">
        <v>184</v>
      </c>
      <c r="BN396" s="36">
        <v>100</v>
      </c>
      <c r="BO396" s="36">
        <v>100</v>
      </c>
      <c r="BP396">
        <f t="shared" si="36"/>
        <v>480</v>
      </c>
      <c r="BR396" s="38">
        <v>44713</v>
      </c>
      <c r="BS396" s="20" t="s">
        <v>185</v>
      </c>
      <c r="BT396" s="20" t="str">
        <f t="shared" si="37"/>
        <v>InCasa_COR22D233</v>
      </c>
    </row>
    <row r="397" spans="2:72" ht="18.75" customHeight="1" x14ac:dyDescent="0.25">
      <c r="B397" s="20">
        <f t="shared" si="38"/>
        <v>234</v>
      </c>
      <c r="C397" s="22" t="str">
        <f t="shared" si="34"/>
        <v>In Casa #234</v>
      </c>
      <c r="D397" t="str">
        <f t="shared" si="35"/>
        <v>COR22D234</v>
      </c>
      <c r="E397" s="58" t="s">
        <v>252</v>
      </c>
      <c r="F397" s="20">
        <v>1000</v>
      </c>
      <c r="G397" s="14" t="s">
        <v>354</v>
      </c>
      <c r="H397" s="23" t="s">
        <v>170</v>
      </c>
      <c r="J397" s="59" t="s">
        <v>38</v>
      </c>
      <c r="K397" s="22" t="s">
        <v>254</v>
      </c>
      <c r="L397" s="59" t="s">
        <v>171</v>
      </c>
      <c r="M397" s="22">
        <v>2</v>
      </c>
      <c r="V397" s="59" t="s">
        <v>176</v>
      </c>
      <c r="AL397" s="59" t="s">
        <v>40</v>
      </c>
      <c r="AM397" s="22" t="s">
        <v>188</v>
      </c>
      <c r="AV397" s="59" t="s">
        <v>134</v>
      </c>
      <c r="AW397" s="22" t="str">
        <f>Settings!$B$5 &amp;  "?s=" &amp; D397 &amp; "&amp;platform=ftx"</f>
        <v>https://tokensol.nfluent.io?s=COR22D234&amp;platform=ftx</v>
      </c>
      <c r="AX397" s="20" t="s">
        <v>23</v>
      </c>
      <c r="AY397" s="20">
        <v>10</v>
      </c>
      <c r="AZ397" s="20" t="s">
        <v>24</v>
      </c>
      <c r="BA397" s="20">
        <v>90</v>
      </c>
      <c r="BD397" s="14"/>
      <c r="BJ397" t="s">
        <v>255</v>
      </c>
      <c r="BK397" t="s">
        <v>184</v>
      </c>
      <c r="BN397" s="36">
        <v>100</v>
      </c>
      <c r="BO397" s="36">
        <v>100</v>
      </c>
      <c r="BP397">
        <f t="shared" si="36"/>
        <v>480</v>
      </c>
      <c r="BR397" s="38">
        <v>44713</v>
      </c>
      <c r="BS397" s="20" t="s">
        <v>185</v>
      </c>
      <c r="BT397" s="20" t="str">
        <f t="shared" si="37"/>
        <v>InCasa_COR22D234</v>
      </c>
    </row>
    <row r="398" spans="2:72" ht="18.75" customHeight="1" x14ac:dyDescent="0.25">
      <c r="B398" s="20">
        <f t="shared" si="38"/>
        <v>235</v>
      </c>
      <c r="C398" s="22" t="str">
        <f t="shared" si="34"/>
        <v>In Casa #235</v>
      </c>
      <c r="D398" t="str">
        <f t="shared" si="35"/>
        <v>COR22D235</v>
      </c>
      <c r="E398" s="58" t="s">
        <v>252</v>
      </c>
      <c r="F398" s="20">
        <v>1000</v>
      </c>
      <c r="G398" s="14" t="s">
        <v>354</v>
      </c>
      <c r="H398" s="23" t="s">
        <v>170</v>
      </c>
      <c r="J398" s="59" t="s">
        <v>38</v>
      </c>
      <c r="K398" s="22" t="s">
        <v>254</v>
      </c>
      <c r="L398" s="59" t="s">
        <v>171</v>
      </c>
      <c r="M398" s="22">
        <v>2</v>
      </c>
      <c r="V398" s="59" t="s">
        <v>176</v>
      </c>
      <c r="AL398" s="59" t="s">
        <v>40</v>
      </c>
      <c r="AM398" s="22" t="s">
        <v>188</v>
      </c>
      <c r="AV398" s="59" t="s">
        <v>134</v>
      </c>
      <c r="AW398" s="22" t="str">
        <f>Settings!$B$5 &amp;  "?s=" &amp; D398 &amp; "&amp;platform=ftx"</f>
        <v>https://tokensol.nfluent.io?s=COR22D235&amp;platform=ftx</v>
      </c>
      <c r="AX398" s="20" t="s">
        <v>23</v>
      </c>
      <c r="AY398" s="20">
        <v>10</v>
      </c>
      <c r="AZ398" s="20" t="s">
        <v>24</v>
      </c>
      <c r="BA398" s="20">
        <v>90</v>
      </c>
      <c r="BD398" s="14"/>
      <c r="BJ398" t="s">
        <v>255</v>
      </c>
      <c r="BK398" t="s">
        <v>184</v>
      </c>
      <c r="BN398" s="36">
        <v>100</v>
      </c>
      <c r="BO398" s="36">
        <v>100</v>
      </c>
      <c r="BP398">
        <f t="shared" si="36"/>
        <v>480</v>
      </c>
      <c r="BR398" s="38">
        <v>44713</v>
      </c>
      <c r="BS398" s="20" t="s">
        <v>185</v>
      </c>
      <c r="BT398" s="20" t="str">
        <f t="shared" si="37"/>
        <v>InCasa_COR22D235</v>
      </c>
    </row>
    <row r="399" spans="2:72" ht="18.75" customHeight="1" x14ac:dyDescent="0.25">
      <c r="B399" s="20">
        <f t="shared" si="38"/>
        <v>236</v>
      </c>
      <c r="C399" s="22" t="str">
        <f t="shared" si="34"/>
        <v>In Casa #236</v>
      </c>
      <c r="D399" t="str">
        <f t="shared" si="35"/>
        <v>COR22D236</v>
      </c>
      <c r="E399" s="58" t="s">
        <v>252</v>
      </c>
      <c r="F399" s="20">
        <v>1000</v>
      </c>
      <c r="G399" s="14" t="s">
        <v>354</v>
      </c>
      <c r="H399" s="23" t="s">
        <v>170</v>
      </c>
      <c r="J399" s="59" t="s">
        <v>38</v>
      </c>
      <c r="K399" s="22" t="s">
        <v>254</v>
      </c>
      <c r="L399" s="59" t="s">
        <v>171</v>
      </c>
      <c r="M399" s="22">
        <v>2</v>
      </c>
      <c r="V399" s="59" t="s">
        <v>176</v>
      </c>
      <c r="AL399" s="59" t="s">
        <v>40</v>
      </c>
      <c r="AM399" s="22" t="s">
        <v>188</v>
      </c>
      <c r="AV399" s="59" t="s">
        <v>134</v>
      </c>
      <c r="AW399" s="22" t="str">
        <f>Settings!$B$5 &amp;  "?s=" &amp; D399 &amp; "&amp;platform=ftx"</f>
        <v>https://tokensol.nfluent.io?s=COR22D236&amp;platform=ftx</v>
      </c>
      <c r="AX399" s="20" t="s">
        <v>23</v>
      </c>
      <c r="AY399" s="20">
        <v>10</v>
      </c>
      <c r="AZ399" s="20" t="s">
        <v>24</v>
      </c>
      <c r="BA399" s="20">
        <v>90</v>
      </c>
      <c r="BD399" s="14"/>
      <c r="BJ399" t="s">
        <v>255</v>
      </c>
      <c r="BK399" t="s">
        <v>184</v>
      </c>
      <c r="BN399" s="36">
        <v>100</v>
      </c>
      <c r="BO399" s="36">
        <v>100</v>
      </c>
      <c r="BP399">
        <f t="shared" si="36"/>
        <v>480</v>
      </c>
      <c r="BR399" s="38">
        <v>44713</v>
      </c>
      <c r="BS399" s="20" t="s">
        <v>185</v>
      </c>
      <c r="BT399" s="20" t="str">
        <f t="shared" si="37"/>
        <v>InCasa_COR22D236</v>
      </c>
    </row>
    <row r="400" spans="2:72" ht="18.75" customHeight="1" x14ac:dyDescent="0.25">
      <c r="B400" s="20">
        <f t="shared" si="38"/>
        <v>237</v>
      </c>
      <c r="C400" s="22" t="str">
        <f t="shared" si="34"/>
        <v>In Casa #237</v>
      </c>
      <c r="D400" t="str">
        <f t="shared" si="35"/>
        <v>COR22D237</v>
      </c>
      <c r="E400" s="58" t="s">
        <v>252</v>
      </c>
      <c r="F400" s="20">
        <v>1000</v>
      </c>
      <c r="G400" s="14" t="s">
        <v>354</v>
      </c>
      <c r="H400" s="23" t="s">
        <v>170</v>
      </c>
      <c r="J400" s="59" t="s">
        <v>38</v>
      </c>
      <c r="K400" s="22" t="s">
        <v>254</v>
      </c>
      <c r="L400" s="59" t="s">
        <v>171</v>
      </c>
      <c r="M400" s="22">
        <v>2</v>
      </c>
      <c r="V400" s="59" t="s">
        <v>176</v>
      </c>
      <c r="AL400" s="59" t="s">
        <v>40</v>
      </c>
      <c r="AM400" s="22" t="s">
        <v>188</v>
      </c>
      <c r="AV400" s="59" t="s">
        <v>134</v>
      </c>
      <c r="AW400" s="22" t="str">
        <f>Settings!$B$5 &amp;  "?s=" &amp; D400 &amp; "&amp;platform=ftx"</f>
        <v>https://tokensol.nfluent.io?s=COR22D237&amp;platform=ftx</v>
      </c>
      <c r="AX400" s="20" t="s">
        <v>23</v>
      </c>
      <c r="AY400" s="20">
        <v>10</v>
      </c>
      <c r="AZ400" s="20" t="s">
        <v>24</v>
      </c>
      <c r="BA400" s="20">
        <v>90</v>
      </c>
      <c r="BD400" s="14"/>
      <c r="BJ400" t="s">
        <v>255</v>
      </c>
      <c r="BK400" t="s">
        <v>184</v>
      </c>
      <c r="BN400" s="36">
        <v>100</v>
      </c>
      <c r="BO400" s="36">
        <v>100</v>
      </c>
      <c r="BP400">
        <f t="shared" si="36"/>
        <v>480</v>
      </c>
      <c r="BR400" s="38">
        <v>44713</v>
      </c>
      <c r="BS400" s="20" t="s">
        <v>185</v>
      </c>
      <c r="BT400" s="20" t="str">
        <f t="shared" si="37"/>
        <v>InCasa_COR22D237</v>
      </c>
    </row>
    <row r="401" spans="2:72" ht="18.75" customHeight="1" x14ac:dyDescent="0.25">
      <c r="B401" s="20">
        <f t="shared" si="38"/>
        <v>238</v>
      </c>
      <c r="C401" s="22" t="str">
        <f t="shared" si="34"/>
        <v>In Casa #238</v>
      </c>
      <c r="D401" t="str">
        <f t="shared" si="35"/>
        <v>COR22D238</v>
      </c>
      <c r="E401" s="58" t="s">
        <v>252</v>
      </c>
      <c r="F401" s="20">
        <v>1000</v>
      </c>
      <c r="G401" s="14" t="s">
        <v>354</v>
      </c>
      <c r="H401" s="23" t="s">
        <v>170</v>
      </c>
      <c r="J401" s="59" t="s">
        <v>38</v>
      </c>
      <c r="K401" s="22" t="s">
        <v>254</v>
      </c>
      <c r="L401" s="59" t="s">
        <v>171</v>
      </c>
      <c r="M401" s="22">
        <v>2</v>
      </c>
      <c r="V401" s="59" t="s">
        <v>176</v>
      </c>
      <c r="AL401" s="59" t="s">
        <v>40</v>
      </c>
      <c r="AM401" s="22" t="s">
        <v>188</v>
      </c>
      <c r="AV401" s="59" t="s">
        <v>134</v>
      </c>
      <c r="AW401" s="22" t="str">
        <f>Settings!$B$5 &amp;  "?s=" &amp; D401 &amp; "&amp;platform=ftx"</f>
        <v>https://tokensol.nfluent.io?s=COR22D238&amp;platform=ftx</v>
      </c>
      <c r="AX401" s="20" t="s">
        <v>23</v>
      </c>
      <c r="AY401" s="20">
        <v>10</v>
      </c>
      <c r="AZ401" s="20" t="s">
        <v>24</v>
      </c>
      <c r="BA401" s="20">
        <v>90</v>
      </c>
      <c r="BD401" s="14"/>
      <c r="BJ401" t="s">
        <v>255</v>
      </c>
      <c r="BK401" t="s">
        <v>184</v>
      </c>
      <c r="BN401" s="36">
        <v>100</v>
      </c>
      <c r="BO401" s="36">
        <v>100</v>
      </c>
      <c r="BP401">
        <f t="shared" si="36"/>
        <v>480</v>
      </c>
      <c r="BR401" s="38">
        <v>44713</v>
      </c>
      <c r="BS401" s="20" t="s">
        <v>185</v>
      </c>
      <c r="BT401" s="20" t="str">
        <f t="shared" si="37"/>
        <v>InCasa_COR22D238</v>
      </c>
    </row>
    <row r="402" spans="2:72" ht="18.75" customHeight="1" x14ac:dyDescent="0.25">
      <c r="B402" s="20">
        <f t="shared" si="38"/>
        <v>239</v>
      </c>
      <c r="C402" s="22" t="str">
        <f t="shared" si="34"/>
        <v>In Casa #239</v>
      </c>
      <c r="D402" t="str">
        <f t="shared" si="35"/>
        <v>COR22D239</v>
      </c>
      <c r="E402" s="58" t="s">
        <v>252</v>
      </c>
      <c r="F402" s="20">
        <v>1000</v>
      </c>
      <c r="G402" s="14" t="s">
        <v>354</v>
      </c>
      <c r="H402" s="23" t="s">
        <v>170</v>
      </c>
      <c r="J402" s="59" t="s">
        <v>38</v>
      </c>
      <c r="K402" s="22" t="s">
        <v>254</v>
      </c>
      <c r="L402" s="59" t="s">
        <v>171</v>
      </c>
      <c r="M402" s="22">
        <v>2</v>
      </c>
      <c r="V402" s="59" t="s">
        <v>176</v>
      </c>
      <c r="AL402" s="59" t="s">
        <v>40</v>
      </c>
      <c r="AM402" s="22" t="s">
        <v>188</v>
      </c>
      <c r="AV402" s="59" t="s">
        <v>134</v>
      </c>
      <c r="AW402" s="22" t="str">
        <f>Settings!$B$5 &amp;  "?s=" &amp; D402 &amp; "&amp;platform=ftx"</f>
        <v>https://tokensol.nfluent.io?s=COR22D239&amp;platform=ftx</v>
      </c>
      <c r="AX402" s="20" t="s">
        <v>23</v>
      </c>
      <c r="AY402" s="20">
        <v>10</v>
      </c>
      <c r="AZ402" s="20" t="s">
        <v>24</v>
      </c>
      <c r="BA402" s="20">
        <v>90</v>
      </c>
      <c r="BD402" s="14"/>
      <c r="BJ402" t="s">
        <v>255</v>
      </c>
      <c r="BK402" t="s">
        <v>184</v>
      </c>
      <c r="BN402" s="36">
        <v>100</v>
      </c>
      <c r="BO402" s="36">
        <v>100</v>
      </c>
      <c r="BP402">
        <f t="shared" si="36"/>
        <v>480</v>
      </c>
      <c r="BR402" s="38">
        <v>44713</v>
      </c>
      <c r="BS402" s="20" t="s">
        <v>185</v>
      </c>
      <c r="BT402" s="20" t="str">
        <f t="shared" si="37"/>
        <v>InCasa_COR22D239</v>
      </c>
    </row>
    <row r="403" spans="2:72" ht="18.75" customHeight="1" x14ac:dyDescent="0.25">
      <c r="B403" s="20">
        <f t="shared" si="38"/>
        <v>240</v>
      </c>
      <c r="C403" s="22" t="str">
        <f t="shared" si="34"/>
        <v>In Casa #240</v>
      </c>
      <c r="D403" t="str">
        <f t="shared" si="35"/>
        <v>COR22D240</v>
      </c>
      <c r="E403" s="58" t="s">
        <v>252</v>
      </c>
      <c r="F403" s="20">
        <v>1000</v>
      </c>
      <c r="G403" s="14" t="s">
        <v>354</v>
      </c>
      <c r="H403" s="23" t="s">
        <v>170</v>
      </c>
      <c r="J403" s="59" t="s">
        <v>38</v>
      </c>
      <c r="K403" s="22" t="s">
        <v>254</v>
      </c>
      <c r="L403" s="59" t="s">
        <v>171</v>
      </c>
      <c r="M403" s="22">
        <v>2</v>
      </c>
      <c r="V403" s="59" t="s">
        <v>176</v>
      </c>
      <c r="AL403" s="59" t="s">
        <v>40</v>
      </c>
      <c r="AM403" s="22" t="s">
        <v>188</v>
      </c>
      <c r="AV403" s="59" t="s">
        <v>134</v>
      </c>
      <c r="AW403" s="22" t="str">
        <f>Settings!$B$5 &amp;  "?s=" &amp; D403 &amp; "&amp;platform=ftx"</f>
        <v>https://tokensol.nfluent.io?s=COR22D240&amp;platform=ftx</v>
      </c>
      <c r="AX403" s="20" t="s">
        <v>23</v>
      </c>
      <c r="AY403" s="20">
        <v>10</v>
      </c>
      <c r="AZ403" s="20" t="s">
        <v>24</v>
      </c>
      <c r="BA403" s="20">
        <v>90</v>
      </c>
      <c r="BD403" s="14"/>
      <c r="BJ403" t="s">
        <v>255</v>
      </c>
      <c r="BK403" t="s">
        <v>184</v>
      </c>
      <c r="BN403" s="36">
        <v>100</v>
      </c>
      <c r="BO403" s="36">
        <v>100</v>
      </c>
      <c r="BP403">
        <f t="shared" si="36"/>
        <v>480</v>
      </c>
      <c r="BR403" s="38">
        <v>44713</v>
      </c>
      <c r="BS403" s="20" t="s">
        <v>185</v>
      </c>
      <c r="BT403" s="20" t="str">
        <f t="shared" si="37"/>
        <v>InCasa_COR22D240</v>
      </c>
    </row>
    <row r="404" spans="2:72" ht="18.75" customHeight="1" x14ac:dyDescent="0.25">
      <c r="B404" s="20">
        <f t="shared" si="38"/>
        <v>241</v>
      </c>
      <c r="C404" s="22" t="str">
        <f t="shared" si="34"/>
        <v>In Casa #241</v>
      </c>
      <c r="D404" t="str">
        <f t="shared" si="35"/>
        <v>COR22D241</v>
      </c>
      <c r="E404" s="58" t="s">
        <v>252</v>
      </c>
      <c r="F404" s="20">
        <v>1000</v>
      </c>
      <c r="G404" s="14" t="s">
        <v>354</v>
      </c>
      <c r="H404" s="23" t="s">
        <v>170</v>
      </c>
      <c r="J404" s="59" t="s">
        <v>38</v>
      </c>
      <c r="K404" s="22" t="s">
        <v>254</v>
      </c>
      <c r="L404" s="59" t="s">
        <v>171</v>
      </c>
      <c r="M404" s="22">
        <v>2</v>
      </c>
      <c r="V404" s="59" t="s">
        <v>176</v>
      </c>
      <c r="AL404" s="59" t="s">
        <v>40</v>
      </c>
      <c r="AM404" s="22" t="s">
        <v>188</v>
      </c>
      <c r="AV404" s="59" t="s">
        <v>134</v>
      </c>
      <c r="AW404" s="22" t="str">
        <f>Settings!$B$5 &amp;  "?s=" &amp; D404 &amp; "&amp;platform=ftx"</f>
        <v>https://tokensol.nfluent.io?s=COR22D241&amp;platform=ftx</v>
      </c>
      <c r="AX404" s="20" t="s">
        <v>23</v>
      </c>
      <c r="AY404" s="20">
        <v>10</v>
      </c>
      <c r="AZ404" s="20" t="s">
        <v>24</v>
      </c>
      <c r="BA404" s="20">
        <v>90</v>
      </c>
      <c r="BD404" s="14"/>
      <c r="BJ404" t="s">
        <v>255</v>
      </c>
      <c r="BK404" t="s">
        <v>184</v>
      </c>
      <c r="BN404" s="36">
        <v>100</v>
      </c>
      <c r="BO404" s="36">
        <v>100</v>
      </c>
      <c r="BP404">
        <f t="shared" si="36"/>
        <v>480</v>
      </c>
      <c r="BR404" s="38">
        <v>44713</v>
      </c>
      <c r="BS404" s="20" t="s">
        <v>185</v>
      </c>
      <c r="BT404" s="20" t="str">
        <f t="shared" si="37"/>
        <v>InCasa_COR22D241</v>
      </c>
    </row>
    <row r="405" spans="2:72" ht="18.75" customHeight="1" x14ac:dyDescent="0.25">
      <c r="B405" s="20">
        <f t="shared" si="38"/>
        <v>242</v>
      </c>
      <c r="C405" s="22" t="str">
        <f t="shared" si="34"/>
        <v>In Casa #242</v>
      </c>
      <c r="D405" t="str">
        <f t="shared" si="35"/>
        <v>COR22D242</v>
      </c>
      <c r="E405" s="58" t="s">
        <v>252</v>
      </c>
      <c r="F405" s="20">
        <v>1000</v>
      </c>
      <c r="G405" s="14" t="s">
        <v>354</v>
      </c>
      <c r="H405" s="23" t="s">
        <v>170</v>
      </c>
      <c r="J405" s="59" t="s">
        <v>38</v>
      </c>
      <c r="K405" s="22" t="s">
        <v>254</v>
      </c>
      <c r="L405" s="59" t="s">
        <v>171</v>
      </c>
      <c r="M405" s="22">
        <v>2</v>
      </c>
      <c r="V405" s="59" t="s">
        <v>176</v>
      </c>
      <c r="AL405" s="59" t="s">
        <v>40</v>
      </c>
      <c r="AM405" s="22" t="s">
        <v>188</v>
      </c>
      <c r="AV405" s="59" t="s">
        <v>134</v>
      </c>
      <c r="AW405" s="22" t="str">
        <f>Settings!$B$5 &amp;  "?s=" &amp; D405 &amp; "&amp;platform=ftx"</f>
        <v>https://tokensol.nfluent.io?s=COR22D242&amp;platform=ftx</v>
      </c>
      <c r="AX405" s="20" t="s">
        <v>23</v>
      </c>
      <c r="AY405" s="20">
        <v>10</v>
      </c>
      <c r="AZ405" s="20" t="s">
        <v>24</v>
      </c>
      <c r="BA405" s="20">
        <v>90</v>
      </c>
      <c r="BD405" s="14"/>
      <c r="BJ405" t="s">
        <v>255</v>
      </c>
      <c r="BK405" t="s">
        <v>184</v>
      </c>
      <c r="BN405" s="36">
        <v>100</v>
      </c>
      <c r="BO405" s="36">
        <v>100</v>
      </c>
      <c r="BP405">
        <f t="shared" si="36"/>
        <v>480</v>
      </c>
      <c r="BR405" s="38">
        <v>44713</v>
      </c>
      <c r="BS405" s="20" t="s">
        <v>185</v>
      </c>
      <c r="BT405" s="20" t="str">
        <f t="shared" si="37"/>
        <v>InCasa_COR22D242</v>
      </c>
    </row>
    <row r="406" spans="2:72" ht="18.75" customHeight="1" x14ac:dyDescent="0.25">
      <c r="B406" s="20">
        <f t="shared" si="38"/>
        <v>243</v>
      </c>
      <c r="C406" s="22" t="str">
        <f t="shared" si="34"/>
        <v>In Casa #243</v>
      </c>
      <c r="D406" t="str">
        <f t="shared" si="35"/>
        <v>COR22D243</v>
      </c>
      <c r="E406" s="58" t="s">
        <v>252</v>
      </c>
      <c r="F406" s="20">
        <v>1000</v>
      </c>
      <c r="G406" s="14" t="s">
        <v>354</v>
      </c>
      <c r="H406" s="23" t="s">
        <v>170</v>
      </c>
      <c r="J406" s="59" t="s">
        <v>38</v>
      </c>
      <c r="K406" s="22" t="s">
        <v>254</v>
      </c>
      <c r="L406" s="59" t="s">
        <v>171</v>
      </c>
      <c r="M406" s="22">
        <v>2</v>
      </c>
      <c r="V406" s="59" t="s">
        <v>176</v>
      </c>
      <c r="AL406" s="59" t="s">
        <v>40</v>
      </c>
      <c r="AM406" s="22" t="s">
        <v>188</v>
      </c>
      <c r="AV406" s="59" t="s">
        <v>134</v>
      </c>
      <c r="AW406" s="22" t="str">
        <f>Settings!$B$5 &amp;  "?s=" &amp; D406 &amp; "&amp;platform=ftx"</f>
        <v>https://tokensol.nfluent.io?s=COR22D243&amp;platform=ftx</v>
      </c>
      <c r="AX406" s="20" t="s">
        <v>23</v>
      </c>
      <c r="AY406" s="20">
        <v>10</v>
      </c>
      <c r="AZ406" s="20" t="s">
        <v>24</v>
      </c>
      <c r="BA406" s="20">
        <v>90</v>
      </c>
      <c r="BD406" s="14"/>
      <c r="BJ406" t="s">
        <v>255</v>
      </c>
      <c r="BK406" t="s">
        <v>184</v>
      </c>
      <c r="BN406" s="36">
        <v>100</v>
      </c>
      <c r="BO406" s="36">
        <v>100</v>
      </c>
      <c r="BP406">
        <f t="shared" si="36"/>
        <v>480</v>
      </c>
      <c r="BR406" s="38">
        <v>44713</v>
      </c>
      <c r="BS406" s="20" t="s">
        <v>185</v>
      </c>
      <c r="BT406" s="20" t="str">
        <f t="shared" si="37"/>
        <v>InCasa_COR22D243</v>
      </c>
    </row>
    <row r="407" spans="2:72" ht="18.75" customHeight="1" x14ac:dyDescent="0.25">
      <c r="B407" s="20">
        <f t="shared" si="38"/>
        <v>244</v>
      </c>
      <c r="C407" s="22" t="str">
        <f t="shared" si="34"/>
        <v>In Casa #244</v>
      </c>
      <c r="D407" t="str">
        <f t="shared" si="35"/>
        <v>COR22D244</v>
      </c>
      <c r="E407" s="58" t="s">
        <v>252</v>
      </c>
      <c r="F407" s="20">
        <v>1000</v>
      </c>
      <c r="G407" s="14" t="s">
        <v>354</v>
      </c>
      <c r="H407" s="23" t="s">
        <v>170</v>
      </c>
      <c r="J407" s="59" t="s">
        <v>38</v>
      </c>
      <c r="K407" s="22" t="s">
        <v>254</v>
      </c>
      <c r="L407" s="59" t="s">
        <v>171</v>
      </c>
      <c r="M407" s="22">
        <v>2</v>
      </c>
      <c r="V407" s="59" t="s">
        <v>176</v>
      </c>
      <c r="AL407" s="59" t="s">
        <v>40</v>
      </c>
      <c r="AM407" s="22" t="s">
        <v>188</v>
      </c>
      <c r="AV407" s="59" t="s">
        <v>134</v>
      </c>
      <c r="AW407" s="22" t="str">
        <f>Settings!$B$5 &amp;  "?s=" &amp; D407 &amp; "&amp;platform=ftx"</f>
        <v>https://tokensol.nfluent.io?s=COR22D244&amp;platform=ftx</v>
      </c>
      <c r="AX407" s="20" t="s">
        <v>23</v>
      </c>
      <c r="AY407" s="20">
        <v>10</v>
      </c>
      <c r="AZ407" s="20" t="s">
        <v>24</v>
      </c>
      <c r="BA407" s="20">
        <v>90</v>
      </c>
      <c r="BD407" s="14"/>
      <c r="BJ407" t="s">
        <v>255</v>
      </c>
      <c r="BK407" t="s">
        <v>184</v>
      </c>
      <c r="BN407" s="36">
        <v>100</v>
      </c>
      <c r="BO407" s="36">
        <v>100</v>
      </c>
      <c r="BP407">
        <f t="shared" si="36"/>
        <v>480</v>
      </c>
      <c r="BR407" s="38">
        <v>44713</v>
      </c>
      <c r="BS407" s="20" t="s">
        <v>185</v>
      </c>
      <c r="BT407" s="20" t="str">
        <f t="shared" si="37"/>
        <v>InCasa_COR22D244</v>
      </c>
    </row>
    <row r="408" spans="2:72" ht="18.75" customHeight="1" x14ac:dyDescent="0.25">
      <c r="B408" s="20">
        <f t="shared" si="38"/>
        <v>245</v>
      </c>
      <c r="C408" s="22" t="str">
        <f t="shared" si="34"/>
        <v>In Casa #245</v>
      </c>
      <c r="D408" t="str">
        <f t="shared" si="35"/>
        <v>COR22D245</v>
      </c>
      <c r="E408" s="58" t="s">
        <v>252</v>
      </c>
      <c r="F408" s="20">
        <v>1000</v>
      </c>
      <c r="G408" s="14" t="s">
        <v>354</v>
      </c>
      <c r="H408" s="23" t="s">
        <v>170</v>
      </c>
      <c r="J408" s="59" t="s">
        <v>38</v>
      </c>
      <c r="K408" s="22" t="s">
        <v>254</v>
      </c>
      <c r="L408" s="59" t="s">
        <v>171</v>
      </c>
      <c r="M408" s="22">
        <v>2</v>
      </c>
      <c r="V408" s="59" t="s">
        <v>176</v>
      </c>
      <c r="AL408" s="59" t="s">
        <v>40</v>
      </c>
      <c r="AM408" s="22" t="s">
        <v>188</v>
      </c>
      <c r="AV408" s="59" t="s">
        <v>134</v>
      </c>
      <c r="AW408" s="22" t="str">
        <f>Settings!$B$5 &amp;  "?s=" &amp; D408 &amp; "&amp;platform=ftx"</f>
        <v>https://tokensol.nfluent.io?s=COR22D245&amp;platform=ftx</v>
      </c>
      <c r="AX408" s="20" t="s">
        <v>23</v>
      </c>
      <c r="AY408" s="20">
        <v>10</v>
      </c>
      <c r="AZ408" s="20" t="s">
        <v>24</v>
      </c>
      <c r="BA408" s="20">
        <v>90</v>
      </c>
      <c r="BD408" s="14"/>
      <c r="BJ408" t="s">
        <v>255</v>
      </c>
      <c r="BK408" t="s">
        <v>184</v>
      </c>
      <c r="BN408" s="36">
        <v>100</v>
      </c>
      <c r="BO408" s="36">
        <v>100</v>
      </c>
      <c r="BP408">
        <f t="shared" si="36"/>
        <v>480</v>
      </c>
      <c r="BR408" s="38">
        <v>44713</v>
      </c>
      <c r="BS408" s="20" t="s">
        <v>185</v>
      </c>
      <c r="BT408" s="20" t="str">
        <f t="shared" si="37"/>
        <v>InCasa_COR22D245</v>
      </c>
    </row>
    <row r="409" spans="2:72" ht="18.75" customHeight="1" x14ac:dyDescent="0.25">
      <c r="B409" s="20">
        <f t="shared" si="38"/>
        <v>246</v>
      </c>
      <c r="C409" s="22" t="str">
        <f t="shared" si="34"/>
        <v>In Casa #246</v>
      </c>
      <c r="D409" t="str">
        <f t="shared" si="35"/>
        <v>COR22D246</v>
      </c>
      <c r="E409" s="58" t="s">
        <v>252</v>
      </c>
      <c r="F409" s="20">
        <v>1000</v>
      </c>
      <c r="G409" s="14" t="s">
        <v>354</v>
      </c>
      <c r="H409" s="23" t="s">
        <v>170</v>
      </c>
      <c r="J409" s="59" t="s">
        <v>38</v>
      </c>
      <c r="K409" s="22" t="s">
        <v>254</v>
      </c>
      <c r="L409" s="59" t="s">
        <v>171</v>
      </c>
      <c r="M409" s="22">
        <v>2</v>
      </c>
      <c r="V409" s="59" t="s">
        <v>176</v>
      </c>
      <c r="AL409" s="59" t="s">
        <v>40</v>
      </c>
      <c r="AM409" s="22" t="s">
        <v>188</v>
      </c>
      <c r="AV409" s="59" t="s">
        <v>134</v>
      </c>
      <c r="AW409" s="22" t="str">
        <f>Settings!$B$5 &amp;  "?s=" &amp; D409 &amp; "&amp;platform=ftx"</f>
        <v>https://tokensol.nfluent.io?s=COR22D246&amp;platform=ftx</v>
      </c>
      <c r="AX409" s="20" t="s">
        <v>23</v>
      </c>
      <c r="AY409" s="20">
        <v>10</v>
      </c>
      <c r="AZ409" s="20" t="s">
        <v>24</v>
      </c>
      <c r="BA409" s="20">
        <v>90</v>
      </c>
      <c r="BD409" s="14"/>
      <c r="BJ409" t="s">
        <v>255</v>
      </c>
      <c r="BK409" t="s">
        <v>184</v>
      </c>
      <c r="BN409" s="36">
        <v>100</v>
      </c>
      <c r="BO409" s="36">
        <v>100</v>
      </c>
      <c r="BP409">
        <f t="shared" si="36"/>
        <v>480</v>
      </c>
      <c r="BR409" s="38">
        <v>44713</v>
      </c>
      <c r="BS409" s="20" t="s">
        <v>185</v>
      </c>
      <c r="BT409" s="20" t="str">
        <f t="shared" si="37"/>
        <v>InCasa_COR22D246</v>
      </c>
    </row>
    <row r="410" spans="2:72" ht="18.75" customHeight="1" x14ac:dyDescent="0.25">
      <c r="B410" s="20">
        <f t="shared" si="38"/>
        <v>247</v>
      </c>
      <c r="C410" s="22" t="str">
        <f t="shared" si="34"/>
        <v>In Casa #247</v>
      </c>
      <c r="D410" t="str">
        <f t="shared" si="35"/>
        <v>COR22D247</v>
      </c>
      <c r="E410" s="58" t="s">
        <v>252</v>
      </c>
      <c r="F410" s="20">
        <v>1000</v>
      </c>
      <c r="G410" s="14" t="s">
        <v>354</v>
      </c>
      <c r="H410" s="23" t="s">
        <v>170</v>
      </c>
      <c r="J410" s="59" t="s">
        <v>38</v>
      </c>
      <c r="K410" s="22" t="s">
        <v>254</v>
      </c>
      <c r="L410" s="59" t="s">
        <v>171</v>
      </c>
      <c r="M410" s="22">
        <v>2</v>
      </c>
      <c r="V410" s="59" t="s">
        <v>176</v>
      </c>
      <c r="AL410" s="59" t="s">
        <v>40</v>
      </c>
      <c r="AM410" s="22" t="s">
        <v>188</v>
      </c>
      <c r="AV410" s="59" t="s">
        <v>134</v>
      </c>
      <c r="AW410" s="22" t="str">
        <f>Settings!$B$5 &amp;  "?s=" &amp; D410 &amp; "&amp;platform=ftx"</f>
        <v>https://tokensol.nfluent.io?s=COR22D247&amp;platform=ftx</v>
      </c>
      <c r="AX410" s="20" t="s">
        <v>23</v>
      </c>
      <c r="AY410" s="20">
        <v>10</v>
      </c>
      <c r="AZ410" s="20" t="s">
        <v>24</v>
      </c>
      <c r="BA410" s="20">
        <v>90</v>
      </c>
      <c r="BD410" s="14"/>
      <c r="BJ410" t="s">
        <v>255</v>
      </c>
      <c r="BK410" t="s">
        <v>184</v>
      </c>
      <c r="BN410" s="36">
        <v>100</v>
      </c>
      <c r="BO410" s="36">
        <v>100</v>
      </c>
      <c r="BP410">
        <f t="shared" si="36"/>
        <v>480</v>
      </c>
      <c r="BR410" s="38">
        <v>44713</v>
      </c>
      <c r="BS410" s="20" t="s">
        <v>185</v>
      </c>
      <c r="BT410" s="20" t="str">
        <f t="shared" si="37"/>
        <v>InCasa_COR22D247</v>
      </c>
    </row>
    <row r="411" spans="2:72" ht="18.75" customHeight="1" x14ac:dyDescent="0.25">
      <c r="B411" s="20">
        <f t="shared" si="38"/>
        <v>248</v>
      </c>
      <c r="C411" s="22" t="str">
        <f t="shared" si="34"/>
        <v>In Casa #248</v>
      </c>
      <c r="D411" t="str">
        <f t="shared" si="35"/>
        <v>COR22D248</v>
      </c>
      <c r="E411" s="58" t="s">
        <v>252</v>
      </c>
      <c r="F411" s="20">
        <v>1000</v>
      </c>
      <c r="G411" s="14" t="s">
        <v>354</v>
      </c>
      <c r="H411" s="23" t="s">
        <v>170</v>
      </c>
      <c r="J411" s="59" t="s">
        <v>38</v>
      </c>
      <c r="K411" s="22" t="s">
        <v>254</v>
      </c>
      <c r="L411" s="59" t="s">
        <v>171</v>
      </c>
      <c r="M411" s="22">
        <v>2</v>
      </c>
      <c r="V411" s="59" t="s">
        <v>176</v>
      </c>
      <c r="AL411" s="59" t="s">
        <v>40</v>
      </c>
      <c r="AM411" s="22" t="s">
        <v>188</v>
      </c>
      <c r="AV411" s="59" t="s">
        <v>134</v>
      </c>
      <c r="AW411" s="22" t="str">
        <f>Settings!$B$5 &amp;  "?s=" &amp; D411 &amp; "&amp;platform=ftx"</f>
        <v>https://tokensol.nfluent.io?s=COR22D248&amp;platform=ftx</v>
      </c>
      <c r="AX411" s="20" t="s">
        <v>23</v>
      </c>
      <c r="AY411" s="20">
        <v>10</v>
      </c>
      <c r="AZ411" s="20" t="s">
        <v>24</v>
      </c>
      <c r="BA411" s="20">
        <v>90</v>
      </c>
      <c r="BD411" s="14"/>
      <c r="BJ411" t="s">
        <v>255</v>
      </c>
      <c r="BK411" t="s">
        <v>184</v>
      </c>
      <c r="BN411" s="36">
        <v>100</v>
      </c>
      <c r="BO411" s="36">
        <v>100</v>
      </c>
      <c r="BP411">
        <f t="shared" si="36"/>
        <v>480</v>
      </c>
      <c r="BR411" s="38">
        <v>44713</v>
      </c>
      <c r="BS411" s="20" t="s">
        <v>185</v>
      </c>
      <c r="BT411" s="20" t="str">
        <f t="shared" si="37"/>
        <v>InCasa_COR22D248</v>
      </c>
    </row>
    <row r="412" spans="2:72" ht="18.75" customHeight="1" x14ac:dyDescent="0.25">
      <c r="B412" s="20">
        <f t="shared" si="38"/>
        <v>249</v>
      </c>
      <c r="C412" s="22" t="str">
        <f t="shared" si="34"/>
        <v>In Casa #249</v>
      </c>
      <c r="D412" t="str">
        <f t="shared" si="35"/>
        <v>COR22D249</v>
      </c>
      <c r="E412" s="58" t="s">
        <v>252</v>
      </c>
      <c r="F412" s="20">
        <v>1000</v>
      </c>
      <c r="G412" s="14" t="s">
        <v>354</v>
      </c>
      <c r="H412" s="23" t="s">
        <v>170</v>
      </c>
      <c r="J412" s="59" t="s">
        <v>38</v>
      </c>
      <c r="K412" s="22" t="s">
        <v>254</v>
      </c>
      <c r="L412" s="59" t="s">
        <v>171</v>
      </c>
      <c r="M412" s="22">
        <v>2</v>
      </c>
      <c r="V412" s="59" t="s">
        <v>176</v>
      </c>
      <c r="AL412" s="59" t="s">
        <v>40</v>
      </c>
      <c r="AM412" s="22" t="s">
        <v>188</v>
      </c>
      <c r="AV412" s="59" t="s">
        <v>134</v>
      </c>
      <c r="AW412" s="22" t="str">
        <f>Settings!$B$5 &amp;  "?s=" &amp; D412 &amp; "&amp;platform=ftx"</f>
        <v>https://tokensol.nfluent.io?s=COR22D249&amp;platform=ftx</v>
      </c>
      <c r="AX412" s="20" t="s">
        <v>23</v>
      </c>
      <c r="AY412" s="20">
        <v>10</v>
      </c>
      <c r="AZ412" s="20" t="s">
        <v>24</v>
      </c>
      <c r="BA412" s="20">
        <v>90</v>
      </c>
      <c r="BD412" s="14"/>
      <c r="BJ412" t="s">
        <v>255</v>
      </c>
      <c r="BK412" t="s">
        <v>184</v>
      </c>
      <c r="BN412" s="36">
        <v>100</v>
      </c>
      <c r="BO412" s="36">
        <v>100</v>
      </c>
      <c r="BP412">
        <f t="shared" si="36"/>
        <v>480</v>
      </c>
      <c r="BR412" s="38">
        <v>44713</v>
      </c>
      <c r="BS412" s="20" t="s">
        <v>185</v>
      </c>
      <c r="BT412" s="20" t="str">
        <f t="shared" si="37"/>
        <v>InCasa_COR22D249</v>
      </c>
    </row>
    <row r="413" spans="2:72" ht="18.75" customHeight="1" x14ac:dyDescent="0.25">
      <c r="B413" s="20">
        <f t="shared" si="38"/>
        <v>250</v>
      </c>
      <c r="C413" s="22" t="str">
        <f t="shared" si="34"/>
        <v>In Casa #250</v>
      </c>
      <c r="D413" t="str">
        <f t="shared" si="35"/>
        <v>COR22D250</v>
      </c>
      <c r="E413" s="58" t="s">
        <v>252</v>
      </c>
      <c r="F413" s="20">
        <v>1000</v>
      </c>
      <c r="G413" s="14" t="s">
        <v>354</v>
      </c>
      <c r="H413" s="23" t="s">
        <v>170</v>
      </c>
      <c r="J413" s="59" t="s">
        <v>38</v>
      </c>
      <c r="K413" s="22" t="s">
        <v>254</v>
      </c>
      <c r="L413" s="59" t="s">
        <v>171</v>
      </c>
      <c r="M413" s="22">
        <v>2</v>
      </c>
      <c r="V413" s="59" t="s">
        <v>176</v>
      </c>
      <c r="AL413" s="59" t="s">
        <v>40</v>
      </c>
      <c r="AM413" s="22" t="s">
        <v>188</v>
      </c>
      <c r="AV413" s="59" t="s">
        <v>134</v>
      </c>
      <c r="AW413" s="22" t="str">
        <f>Settings!$B$5 &amp;  "?s=" &amp; D413 &amp; "&amp;platform=ftx"</f>
        <v>https://tokensol.nfluent.io?s=COR22D250&amp;platform=ftx</v>
      </c>
      <c r="AX413" s="20" t="s">
        <v>23</v>
      </c>
      <c r="AY413" s="20">
        <v>10</v>
      </c>
      <c r="AZ413" s="20" t="s">
        <v>24</v>
      </c>
      <c r="BA413" s="20">
        <v>90</v>
      </c>
      <c r="BD413" s="14"/>
      <c r="BJ413" t="s">
        <v>255</v>
      </c>
      <c r="BK413" t="s">
        <v>184</v>
      </c>
      <c r="BN413" s="36">
        <v>100</v>
      </c>
      <c r="BO413" s="36">
        <v>100</v>
      </c>
      <c r="BP413">
        <f t="shared" si="36"/>
        <v>480</v>
      </c>
      <c r="BR413" s="38">
        <v>44713</v>
      </c>
      <c r="BS413" s="20" t="s">
        <v>185</v>
      </c>
      <c r="BT413" s="20" t="str">
        <f t="shared" si="37"/>
        <v>InCasa_COR22D250</v>
      </c>
    </row>
    <row r="414" spans="2:72" ht="18.75" customHeight="1" x14ac:dyDescent="0.25">
      <c r="B414" s="20">
        <f t="shared" si="38"/>
        <v>251</v>
      </c>
      <c r="C414" s="22" t="str">
        <f t="shared" si="34"/>
        <v>In Casa #251</v>
      </c>
      <c r="D414" t="str">
        <f t="shared" si="35"/>
        <v>COR22D251</v>
      </c>
      <c r="E414" s="58" t="s">
        <v>252</v>
      </c>
      <c r="F414" s="20">
        <v>1000</v>
      </c>
      <c r="G414" s="14" t="s">
        <v>354</v>
      </c>
      <c r="H414" s="23" t="s">
        <v>170</v>
      </c>
      <c r="J414" s="59" t="s">
        <v>38</v>
      </c>
      <c r="K414" s="22" t="s">
        <v>254</v>
      </c>
      <c r="L414" s="59" t="s">
        <v>171</v>
      </c>
      <c r="M414" s="22">
        <v>2</v>
      </c>
      <c r="V414" s="59" t="s">
        <v>176</v>
      </c>
      <c r="AL414" s="59" t="s">
        <v>40</v>
      </c>
      <c r="AM414" s="22" t="s">
        <v>188</v>
      </c>
      <c r="AV414" s="59" t="s">
        <v>134</v>
      </c>
      <c r="AW414" s="22" t="str">
        <f>Settings!$B$5 &amp;  "?s=" &amp; D414 &amp; "&amp;platform=ftx"</f>
        <v>https://tokensol.nfluent.io?s=COR22D251&amp;platform=ftx</v>
      </c>
      <c r="AX414" s="20" t="s">
        <v>23</v>
      </c>
      <c r="AY414" s="20">
        <v>10</v>
      </c>
      <c r="AZ414" s="20" t="s">
        <v>24</v>
      </c>
      <c r="BA414" s="20">
        <v>90</v>
      </c>
      <c r="BD414" s="14"/>
      <c r="BJ414" t="s">
        <v>255</v>
      </c>
      <c r="BK414" t="s">
        <v>184</v>
      </c>
      <c r="BN414" s="36">
        <v>100</v>
      </c>
      <c r="BO414" s="36">
        <v>100</v>
      </c>
      <c r="BP414">
        <f t="shared" si="36"/>
        <v>480</v>
      </c>
      <c r="BR414" s="38">
        <v>44713</v>
      </c>
      <c r="BS414" s="20" t="s">
        <v>185</v>
      </c>
      <c r="BT414" s="20" t="str">
        <f t="shared" si="37"/>
        <v>InCasa_COR22D251</v>
      </c>
    </row>
    <row r="415" spans="2:72" ht="18.75" customHeight="1" x14ac:dyDescent="0.25">
      <c r="B415" s="20">
        <f t="shared" si="38"/>
        <v>252</v>
      </c>
      <c r="C415" s="22" t="str">
        <f t="shared" si="34"/>
        <v>In Casa #252</v>
      </c>
      <c r="D415" t="str">
        <f t="shared" si="35"/>
        <v>COR22D252</v>
      </c>
      <c r="E415" s="58" t="s">
        <v>252</v>
      </c>
      <c r="F415" s="20">
        <v>1000</v>
      </c>
      <c r="G415" s="14" t="s">
        <v>354</v>
      </c>
      <c r="H415" s="23" t="s">
        <v>170</v>
      </c>
      <c r="J415" s="59" t="s">
        <v>38</v>
      </c>
      <c r="K415" s="22" t="s">
        <v>254</v>
      </c>
      <c r="L415" s="59" t="s">
        <v>171</v>
      </c>
      <c r="M415" s="22">
        <v>2</v>
      </c>
      <c r="V415" s="59" t="s">
        <v>176</v>
      </c>
      <c r="AL415" s="59" t="s">
        <v>40</v>
      </c>
      <c r="AM415" s="22" t="s">
        <v>188</v>
      </c>
      <c r="AV415" s="59" t="s">
        <v>134</v>
      </c>
      <c r="AW415" s="22" t="str">
        <f>Settings!$B$5 &amp;  "?s=" &amp; D415 &amp; "&amp;platform=ftx"</f>
        <v>https://tokensol.nfluent.io?s=COR22D252&amp;platform=ftx</v>
      </c>
      <c r="AX415" s="20" t="s">
        <v>23</v>
      </c>
      <c r="AY415" s="20">
        <v>10</v>
      </c>
      <c r="AZ415" s="20" t="s">
        <v>24</v>
      </c>
      <c r="BA415" s="20">
        <v>90</v>
      </c>
      <c r="BD415" s="14"/>
      <c r="BJ415" t="s">
        <v>255</v>
      </c>
      <c r="BK415" t="s">
        <v>184</v>
      </c>
      <c r="BN415" s="36">
        <v>100</v>
      </c>
      <c r="BO415" s="36">
        <v>100</v>
      </c>
      <c r="BP415">
        <f t="shared" si="36"/>
        <v>480</v>
      </c>
      <c r="BR415" s="38">
        <v>44713</v>
      </c>
      <c r="BS415" s="20" t="s">
        <v>185</v>
      </c>
      <c r="BT415" s="20" t="str">
        <f t="shared" si="37"/>
        <v>InCasa_COR22D252</v>
      </c>
    </row>
    <row r="416" spans="2:72" ht="18.75" customHeight="1" x14ac:dyDescent="0.25">
      <c r="B416" s="20">
        <f t="shared" si="38"/>
        <v>253</v>
      </c>
      <c r="C416" s="22" t="str">
        <f t="shared" si="34"/>
        <v>In Casa #253</v>
      </c>
      <c r="D416" t="str">
        <f t="shared" si="35"/>
        <v>COR22D253</v>
      </c>
      <c r="E416" s="58" t="s">
        <v>252</v>
      </c>
      <c r="F416" s="20">
        <v>1000</v>
      </c>
      <c r="G416" s="14" t="s">
        <v>354</v>
      </c>
      <c r="H416" s="23" t="s">
        <v>170</v>
      </c>
      <c r="J416" s="59" t="s">
        <v>38</v>
      </c>
      <c r="K416" s="22" t="s">
        <v>254</v>
      </c>
      <c r="L416" s="59" t="s">
        <v>171</v>
      </c>
      <c r="M416" s="22">
        <v>2</v>
      </c>
      <c r="V416" s="59" t="s">
        <v>176</v>
      </c>
      <c r="AL416" s="59" t="s">
        <v>40</v>
      </c>
      <c r="AM416" s="22" t="s">
        <v>188</v>
      </c>
      <c r="AV416" s="59" t="s">
        <v>134</v>
      </c>
      <c r="AW416" s="22" t="str">
        <f>Settings!$B$5 &amp;  "?s=" &amp; D416 &amp; "&amp;platform=ftx"</f>
        <v>https://tokensol.nfluent.io?s=COR22D253&amp;platform=ftx</v>
      </c>
      <c r="AX416" s="20" t="s">
        <v>23</v>
      </c>
      <c r="AY416" s="20">
        <v>10</v>
      </c>
      <c r="AZ416" s="20" t="s">
        <v>24</v>
      </c>
      <c r="BA416" s="20">
        <v>90</v>
      </c>
      <c r="BD416" s="14"/>
      <c r="BJ416" t="s">
        <v>255</v>
      </c>
      <c r="BK416" t="s">
        <v>184</v>
      </c>
      <c r="BN416" s="36">
        <v>100</v>
      </c>
      <c r="BO416" s="36">
        <v>100</v>
      </c>
      <c r="BP416">
        <f t="shared" si="36"/>
        <v>480</v>
      </c>
      <c r="BR416" s="38">
        <v>44713</v>
      </c>
      <c r="BS416" s="20" t="s">
        <v>185</v>
      </c>
      <c r="BT416" s="20" t="str">
        <f t="shared" si="37"/>
        <v>InCasa_COR22D253</v>
      </c>
    </row>
    <row r="417" spans="2:72" ht="18.75" customHeight="1" x14ac:dyDescent="0.25">
      <c r="B417" s="20">
        <f t="shared" si="38"/>
        <v>254</v>
      </c>
      <c r="C417" s="22" t="str">
        <f t="shared" si="34"/>
        <v>In Casa #254</v>
      </c>
      <c r="D417" t="str">
        <f t="shared" si="35"/>
        <v>COR22D254</v>
      </c>
      <c r="E417" s="58" t="s">
        <v>252</v>
      </c>
      <c r="F417" s="20">
        <v>1000</v>
      </c>
      <c r="G417" s="14" t="s">
        <v>354</v>
      </c>
      <c r="H417" s="23" t="s">
        <v>170</v>
      </c>
      <c r="J417" s="59" t="s">
        <v>38</v>
      </c>
      <c r="K417" s="22" t="s">
        <v>254</v>
      </c>
      <c r="L417" s="59" t="s">
        <v>171</v>
      </c>
      <c r="M417" s="22">
        <v>2</v>
      </c>
      <c r="V417" s="59" t="s">
        <v>176</v>
      </c>
      <c r="AL417" s="59" t="s">
        <v>40</v>
      </c>
      <c r="AM417" s="22" t="s">
        <v>188</v>
      </c>
      <c r="AV417" s="59" t="s">
        <v>134</v>
      </c>
      <c r="AW417" s="22" t="str">
        <f>Settings!$B$5 &amp;  "?s=" &amp; D417 &amp; "&amp;platform=ftx"</f>
        <v>https://tokensol.nfluent.io?s=COR22D254&amp;platform=ftx</v>
      </c>
      <c r="AX417" s="20" t="s">
        <v>23</v>
      </c>
      <c r="AY417" s="20">
        <v>10</v>
      </c>
      <c r="AZ417" s="20" t="s">
        <v>24</v>
      </c>
      <c r="BA417" s="20">
        <v>90</v>
      </c>
      <c r="BD417" s="14"/>
      <c r="BJ417" t="s">
        <v>255</v>
      </c>
      <c r="BK417" t="s">
        <v>184</v>
      </c>
      <c r="BN417" s="36">
        <v>100</v>
      </c>
      <c r="BO417" s="36">
        <v>100</v>
      </c>
      <c r="BP417">
        <f t="shared" si="36"/>
        <v>480</v>
      </c>
      <c r="BR417" s="38">
        <v>44713</v>
      </c>
      <c r="BS417" s="20" t="s">
        <v>185</v>
      </c>
      <c r="BT417" s="20" t="str">
        <f t="shared" si="37"/>
        <v>InCasa_COR22D254</v>
      </c>
    </row>
    <row r="418" spans="2:72" ht="18.75" customHeight="1" x14ac:dyDescent="0.25">
      <c r="B418" s="20">
        <f t="shared" si="38"/>
        <v>255</v>
      </c>
      <c r="C418" s="22" t="str">
        <f t="shared" si="34"/>
        <v>In Casa #255</v>
      </c>
      <c r="D418" t="str">
        <f t="shared" si="35"/>
        <v>COR22D255</v>
      </c>
      <c r="E418" s="58" t="s">
        <v>252</v>
      </c>
      <c r="F418" s="20">
        <v>1000</v>
      </c>
      <c r="G418" s="14" t="s">
        <v>354</v>
      </c>
      <c r="H418" s="23" t="s">
        <v>170</v>
      </c>
      <c r="J418" s="59" t="s">
        <v>38</v>
      </c>
      <c r="K418" s="22" t="s">
        <v>254</v>
      </c>
      <c r="L418" s="59" t="s">
        <v>171</v>
      </c>
      <c r="M418" s="22">
        <v>2</v>
      </c>
      <c r="V418" s="59" t="s">
        <v>176</v>
      </c>
      <c r="AL418" s="59" t="s">
        <v>40</v>
      </c>
      <c r="AM418" s="22" t="s">
        <v>188</v>
      </c>
      <c r="AV418" s="59" t="s">
        <v>134</v>
      </c>
      <c r="AW418" s="22" t="str">
        <f>Settings!$B$5 &amp;  "?s=" &amp; D418 &amp; "&amp;platform=ftx"</f>
        <v>https://tokensol.nfluent.io?s=COR22D255&amp;platform=ftx</v>
      </c>
      <c r="AX418" s="20" t="s">
        <v>23</v>
      </c>
      <c r="AY418" s="20">
        <v>10</v>
      </c>
      <c r="AZ418" s="20" t="s">
        <v>24</v>
      </c>
      <c r="BA418" s="20">
        <v>90</v>
      </c>
      <c r="BD418" s="14"/>
      <c r="BJ418" t="s">
        <v>255</v>
      </c>
      <c r="BK418" t="s">
        <v>184</v>
      </c>
      <c r="BN418" s="36">
        <v>100</v>
      </c>
      <c r="BO418" s="36">
        <v>100</v>
      </c>
      <c r="BP418">
        <f t="shared" si="36"/>
        <v>480</v>
      </c>
      <c r="BR418" s="38">
        <v>44713</v>
      </c>
      <c r="BS418" s="20" t="s">
        <v>185</v>
      </c>
      <c r="BT418" s="20" t="str">
        <f t="shared" si="37"/>
        <v>InCasa_COR22D255</v>
      </c>
    </row>
    <row r="419" spans="2:72" ht="18.75" customHeight="1" x14ac:dyDescent="0.25">
      <c r="B419" s="20">
        <f t="shared" si="38"/>
        <v>256</v>
      </c>
      <c r="C419" s="22" t="str">
        <f t="shared" si="34"/>
        <v>In Casa #256</v>
      </c>
      <c r="D419" t="str">
        <f t="shared" si="35"/>
        <v>COR22D256</v>
      </c>
      <c r="E419" s="58" t="s">
        <v>252</v>
      </c>
      <c r="F419" s="20">
        <v>1000</v>
      </c>
      <c r="G419" s="14" t="s">
        <v>354</v>
      </c>
      <c r="H419" s="23" t="s">
        <v>170</v>
      </c>
      <c r="J419" s="59" t="s">
        <v>38</v>
      </c>
      <c r="K419" s="22" t="s">
        <v>254</v>
      </c>
      <c r="L419" s="59" t="s">
        <v>171</v>
      </c>
      <c r="M419" s="22">
        <v>2</v>
      </c>
      <c r="V419" s="59" t="s">
        <v>176</v>
      </c>
      <c r="AL419" s="59" t="s">
        <v>40</v>
      </c>
      <c r="AM419" s="22" t="s">
        <v>188</v>
      </c>
      <c r="AV419" s="59" t="s">
        <v>134</v>
      </c>
      <c r="AW419" s="22" t="str">
        <f>Settings!$B$5 &amp;  "?s=" &amp; D419 &amp; "&amp;platform=ftx"</f>
        <v>https://tokensol.nfluent.io?s=COR22D256&amp;platform=ftx</v>
      </c>
      <c r="AX419" s="20" t="s">
        <v>23</v>
      </c>
      <c r="AY419" s="20">
        <v>10</v>
      </c>
      <c r="AZ419" s="20" t="s">
        <v>24</v>
      </c>
      <c r="BA419" s="20">
        <v>90</v>
      </c>
      <c r="BD419" s="14"/>
      <c r="BJ419" t="s">
        <v>255</v>
      </c>
      <c r="BK419" t="s">
        <v>184</v>
      </c>
      <c r="BN419" s="36">
        <v>100</v>
      </c>
      <c r="BO419" s="36">
        <v>100</v>
      </c>
      <c r="BP419">
        <f t="shared" si="36"/>
        <v>480</v>
      </c>
      <c r="BR419" s="38">
        <v>44713</v>
      </c>
      <c r="BS419" s="20" t="s">
        <v>185</v>
      </c>
      <c r="BT419" s="20" t="str">
        <f t="shared" si="37"/>
        <v>InCasa_COR22D256</v>
      </c>
    </row>
    <row r="420" spans="2:72" ht="18.75" customHeight="1" x14ac:dyDescent="0.25">
      <c r="B420" s="20">
        <f t="shared" si="38"/>
        <v>257</v>
      </c>
      <c r="C420" s="22" t="str">
        <f t="shared" si="34"/>
        <v>In Casa #257</v>
      </c>
      <c r="D420" t="str">
        <f t="shared" si="35"/>
        <v>COR22D257</v>
      </c>
      <c r="E420" s="58" t="s">
        <v>252</v>
      </c>
      <c r="F420" s="20">
        <v>1000</v>
      </c>
      <c r="G420" s="14" t="s">
        <v>354</v>
      </c>
      <c r="H420" s="23" t="s">
        <v>170</v>
      </c>
      <c r="J420" s="59" t="s">
        <v>38</v>
      </c>
      <c r="K420" s="22" t="s">
        <v>254</v>
      </c>
      <c r="L420" s="59" t="s">
        <v>171</v>
      </c>
      <c r="M420" s="22">
        <v>2</v>
      </c>
      <c r="V420" s="59" t="s">
        <v>176</v>
      </c>
      <c r="AL420" s="59" t="s">
        <v>40</v>
      </c>
      <c r="AM420" s="22" t="s">
        <v>188</v>
      </c>
      <c r="AV420" s="59" t="s">
        <v>134</v>
      </c>
      <c r="AW420" s="22" t="str">
        <f>Settings!$B$5 &amp;  "?s=" &amp; D420 &amp; "&amp;platform=ftx"</f>
        <v>https://tokensol.nfluent.io?s=COR22D257&amp;platform=ftx</v>
      </c>
      <c r="AX420" s="20" t="s">
        <v>23</v>
      </c>
      <c r="AY420" s="20">
        <v>10</v>
      </c>
      <c r="AZ420" s="20" t="s">
        <v>24</v>
      </c>
      <c r="BA420" s="20">
        <v>90</v>
      </c>
      <c r="BD420" s="14"/>
      <c r="BJ420" t="s">
        <v>255</v>
      </c>
      <c r="BK420" t="s">
        <v>184</v>
      </c>
      <c r="BN420" s="36">
        <v>100</v>
      </c>
      <c r="BO420" s="36">
        <v>100</v>
      </c>
      <c r="BP420">
        <f t="shared" si="36"/>
        <v>480</v>
      </c>
      <c r="BR420" s="38">
        <v>44713</v>
      </c>
      <c r="BS420" s="20" t="s">
        <v>185</v>
      </c>
      <c r="BT420" s="20" t="str">
        <f t="shared" si="37"/>
        <v>InCasa_COR22D257</v>
      </c>
    </row>
    <row r="421" spans="2:72" ht="18.75" customHeight="1" x14ac:dyDescent="0.25">
      <c r="B421" s="20">
        <f t="shared" si="38"/>
        <v>258</v>
      </c>
      <c r="C421" s="22" t="str">
        <f t="shared" ref="C421:C484" si="39">+"In Casa #"&amp;B421</f>
        <v>In Casa #258</v>
      </c>
      <c r="D421" t="str">
        <f t="shared" ref="D421:D484" si="40">"COR22D"&amp;B421</f>
        <v>COR22D258</v>
      </c>
      <c r="E421" s="58" t="s">
        <v>252</v>
      </c>
      <c r="F421" s="20">
        <v>1000</v>
      </c>
      <c r="G421" s="14" t="s">
        <v>354</v>
      </c>
      <c r="H421" s="23" t="s">
        <v>170</v>
      </c>
      <c r="J421" s="59" t="s">
        <v>38</v>
      </c>
      <c r="K421" s="22" t="s">
        <v>254</v>
      </c>
      <c r="L421" s="59" t="s">
        <v>171</v>
      </c>
      <c r="M421" s="22">
        <v>2</v>
      </c>
      <c r="V421" s="59" t="s">
        <v>176</v>
      </c>
      <c r="AL421" s="59" t="s">
        <v>40</v>
      </c>
      <c r="AM421" s="22" t="s">
        <v>188</v>
      </c>
      <c r="AV421" s="59" t="s">
        <v>134</v>
      </c>
      <c r="AW421" s="22" t="str">
        <f>Settings!$B$5 &amp;  "?s=" &amp; D421 &amp; "&amp;platform=ftx"</f>
        <v>https://tokensol.nfluent.io?s=COR22D258&amp;platform=ftx</v>
      </c>
      <c r="AX421" s="20" t="s">
        <v>23</v>
      </c>
      <c r="AY421" s="20">
        <v>10</v>
      </c>
      <c r="AZ421" s="20" t="s">
        <v>24</v>
      </c>
      <c r="BA421" s="20">
        <v>90</v>
      </c>
      <c r="BD421" s="14"/>
      <c r="BJ421" t="s">
        <v>255</v>
      </c>
      <c r="BK421" t="s">
        <v>184</v>
      </c>
      <c r="BN421" s="36">
        <v>100</v>
      </c>
      <c r="BO421" s="36">
        <v>100</v>
      </c>
      <c r="BP421">
        <f t="shared" ref="BP421:BP484" si="41">24*20</f>
        <v>480</v>
      </c>
      <c r="BR421" s="38">
        <v>44713</v>
      </c>
      <c r="BS421" s="20" t="s">
        <v>185</v>
      </c>
      <c r="BT421" s="20" t="str">
        <f t="shared" si="37"/>
        <v>InCasa_COR22D258</v>
      </c>
    </row>
    <row r="422" spans="2:72" ht="18.75" customHeight="1" x14ac:dyDescent="0.25">
      <c r="B422" s="20">
        <f t="shared" si="38"/>
        <v>259</v>
      </c>
      <c r="C422" s="22" t="str">
        <f t="shared" si="39"/>
        <v>In Casa #259</v>
      </c>
      <c r="D422" t="str">
        <f t="shared" si="40"/>
        <v>COR22D259</v>
      </c>
      <c r="E422" s="58" t="s">
        <v>252</v>
      </c>
      <c r="F422" s="20">
        <v>1000</v>
      </c>
      <c r="G422" s="14" t="s">
        <v>354</v>
      </c>
      <c r="H422" s="23" t="s">
        <v>170</v>
      </c>
      <c r="J422" s="59" t="s">
        <v>38</v>
      </c>
      <c r="K422" s="22" t="s">
        <v>254</v>
      </c>
      <c r="L422" s="59" t="s">
        <v>171</v>
      </c>
      <c r="M422" s="22">
        <v>2</v>
      </c>
      <c r="V422" s="59" t="s">
        <v>176</v>
      </c>
      <c r="AL422" s="59" t="s">
        <v>40</v>
      </c>
      <c r="AM422" s="22" t="s">
        <v>188</v>
      </c>
      <c r="AV422" s="59" t="s">
        <v>134</v>
      </c>
      <c r="AW422" s="22" t="str">
        <f>Settings!$B$5 &amp;  "?s=" &amp; D422 &amp; "&amp;platform=ftx"</f>
        <v>https://tokensol.nfluent.io?s=COR22D259&amp;platform=ftx</v>
      </c>
      <c r="AX422" s="20" t="s">
        <v>23</v>
      </c>
      <c r="AY422" s="20">
        <v>10</v>
      </c>
      <c r="AZ422" s="20" t="s">
        <v>24</v>
      </c>
      <c r="BA422" s="20">
        <v>90</v>
      </c>
      <c r="BD422" s="14"/>
      <c r="BJ422" t="s">
        <v>255</v>
      </c>
      <c r="BK422" t="s">
        <v>184</v>
      </c>
      <c r="BN422" s="36">
        <v>100</v>
      </c>
      <c r="BO422" s="36">
        <v>100</v>
      </c>
      <c r="BP422">
        <f t="shared" si="41"/>
        <v>480</v>
      </c>
      <c r="BR422" s="38">
        <v>44713</v>
      </c>
      <c r="BS422" s="20" t="s">
        <v>185</v>
      </c>
      <c r="BT422" s="20" t="str">
        <f t="shared" si="37"/>
        <v>InCasa_COR22D259</v>
      </c>
    </row>
    <row r="423" spans="2:72" ht="18.75" customHeight="1" x14ac:dyDescent="0.25">
      <c r="B423" s="20">
        <f t="shared" si="38"/>
        <v>260</v>
      </c>
      <c r="C423" s="22" t="str">
        <f t="shared" si="39"/>
        <v>In Casa #260</v>
      </c>
      <c r="D423" t="str">
        <f t="shared" si="40"/>
        <v>COR22D260</v>
      </c>
      <c r="E423" s="58" t="s">
        <v>252</v>
      </c>
      <c r="F423" s="20">
        <v>1000</v>
      </c>
      <c r="G423" s="14" t="s">
        <v>354</v>
      </c>
      <c r="H423" s="23" t="s">
        <v>170</v>
      </c>
      <c r="J423" s="59" t="s">
        <v>38</v>
      </c>
      <c r="K423" s="22" t="s">
        <v>254</v>
      </c>
      <c r="L423" s="59" t="s">
        <v>171</v>
      </c>
      <c r="M423" s="22">
        <v>2</v>
      </c>
      <c r="V423" s="59" t="s">
        <v>176</v>
      </c>
      <c r="AL423" s="59" t="s">
        <v>40</v>
      </c>
      <c r="AM423" s="22" t="s">
        <v>188</v>
      </c>
      <c r="AV423" s="59" t="s">
        <v>134</v>
      </c>
      <c r="AW423" s="22" t="str">
        <f>Settings!$B$5 &amp;  "?s=" &amp; D423 &amp; "&amp;platform=ftx"</f>
        <v>https://tokensol.nfluent.io?s=COR22D260&amp;platform=ftx</v>
      </c>
      <c r="AX423" s="20" t="s">
        <v>23</v>
      </c>
      <c r="AY423" s="20">
        <v>10</v>
      </c>
      <c r="AZ423" s="20" t="s">
        <v>24</v>
      </c>
      <c r="BA423" s="20">
        <v>90</v>
      </c>
      <c r="BD423" s="14"/>
      <c r="BJ423" t="s">
        <v>255</v>
      </c>
      <c r="BK423" t="s">
        <v>184</v>
      </c>
      <c r="BN423" s="36">
        <v>100</v>
      </c>
      <c r="BO423" s="36">
        <v>100</v>
      </c>
      <c r="BP423">
        <f t="shared" si="41"/>
        <v>480</v>
      </c>
      <c r="BR423" s="38">
        <v>44713</v>
      </c>
      <c r="BS423" s="20" t="s">
        <v>185</v>
      </c>
      <c r="BT423" s="20" t="str">
        <f t="shared" si="37"/>
        <v>InCasa_COR22D260</v>
      </c>
    </row>
    <row r="424" spans="2:72" ht="18.75" customHeight="1" x14ac:dyDescent="0.25">
      <c r="B424" s="20">
        <f t="shared" si="38"/>
        <v>261</v>
      </c>
      <c r="C424" s="22" t="str">
        <f t="shared" si="39"/>
        <v>In Casa #261</v>
      </c>
      <c r="D424" t="str">
        <f t="shared" si="40"/>
        <v>COR22D261</v>
      </c>
      <c r="E424" s="58" t="s">
        <v>252</v>
      </c>
      <c r="F424" s="20">
        <v>1000</v>
      </c>
      <c r="G424" s="14" t="s">
        <v>354</v>
      </c>
      <c r="H424" s="23" t="s">
        <v>170</v>
      </c>
      <c r="J424" s="59" t="s">
        <v>38</v>
      </c>
      <c r="K424" s="22" t="s">
        <v>254</v>
      </c>
      <c r="L424" s="59" t="s">
        <v>171</v>
      </c>
      <c r="M424" s="22">
        <v>2</v>
      </c>
      <c r="V424" s="59" t="s">
        <v>176</v>
      </c>
      <c r="AL424" s="59" t="s">
        <v>40</v>
      </c>
      <c r="AM424" s="22" t="s">
        <v>188</v>
      </c>
      <c r="AV424" s="59" t="s">
        <v>134</v>
      </c>
      <c r="AW424" s="22" t="str">
        <f>Settings!$B$5 &amp;  "?s=" &amp; D424 &amp; "&amp;platform=ftx"</f>
        <v>https://tokensol.nfluent.io?s=COR22D261&amp;platform=ftx</v>
      </c>
      <c r="AX424" s="20" t="s">
        <v>23</v>
      </c>
      <c r="AY424" s="20">
        <v>10</v>
      </c>
      <c r="AZ424" s="20" t="s">
        <v>24</v>
      </c>
      <c r="BA424" s="20">
        <v>90</v>
      </c>
      <c r="BD424" s="14"/>
      <c r="BJ424" t="s">
        <v>255</v>
      </c>
      <c r="BK424" t="s">
        <v>184</v>
      </c>
      <c r="BN424" s="36">
        <v>100</v>
      </c>
      <c r="BO424" s="36">
        <v>100</v>
      </c>
      <c r="BP424">
        <f t="shared" si="41"/>
        <v>480</v>
      </c>
      <c r="BR424" s="38">
        <v>44713</v>
      </c>
      <c r="BS424" s="20" t="s">
        <v>185</v>
      </c>
      <c r="BT424" s="20" t="str">
        <f t="shared" si="37"/>
        <v>InCasa_COR22D261</v>
      </c>
    </row>
    <row r="425" spans="2:72" ht="18.75" customHeight="1" x14ac:dyDescent="0.25">
      <c r="B425" s="20">
        <f t="shared" si="38"/>
        <v>262</v>
      </c>
      <c r="C425" s="22" t="str">
        <f t="shared" si="39"/>
        <v>In Casa #262</v>
      </c>
      <c r="D425" t="str">
        <f t="shared" si="40"/>
        <v>COR22D262</v>
      </c>
      <c r="E425" s="58" t="s">
        <v>252</v>
      </c>
      <c r="F425" s="20">
        <v>1000</v>
      </c>
      <c r="G425" s="14" t="s">
        <v>354</v>
      </c>
      <c r="H425" s="23" t="s">
        <v>170</v>
      </c>
      <c r="J425" s="59" t="s">
        <v>38</v>
      </c>
      <c r="K425" s="22" t="s">
        <v>254</v>
      </c>
      <c r="L425" s="59" t="s">
        <v>171</v>
      </c>
      <c r="M425" s="22">
        <v>2</v>
      </c>
      <c r="V425" s="59" t="s">
        <v>176</v>
      </c>
      <c r="AL425" s="59" t="s">
        <v>40</v>
      </c>
      <c r="AM425" s="22" t="s">
        <v>188</v>
      </c>
      <c r="AV425" s="59" t="s">
        <v>134</v>
      </c>
      <c r="AW425" s="22" t="str">
        <f>Settings!$B$5 &amp;  "?s=" &amp; D425 &amp; "&amp;platform=ftx"</f>
        <v>https://tokensol.nfluent.io?s=COR22D262&amp;platform=ftx</v>
      </c>
      <c r="AX425" s="20" t="s">
        <v>23</v>
      </c>
      <c r="AY425" s="20">
        <v>10</v>
      </c>
      <c r="AZ425" s="20" t="s">
        <v>24</v>
      </c>
      <c r="BA425" s="20">
        <v>90</v>
      </c>
      <c r="BD425" s="14"/>
      <c r="BJ425" t="s">
        <v>255</v>
      </c>
      <c r="BK425" t="s">
        <v>184</v>
      </c>
      <c r="BN425" s="36">
        <v>100</v>
      </c>
      <c r="BO425" s="36">
        <v>100</v>
      </c>
      <c r="BP425">
        <f t="shared" si="41"/>
        <v>480</v>
      </c>
      <c r="BR425" s="38">
        <v>44713</v>
      </c>
      <c r="BS425" s="20" t="s">
        <v>185</v>
      </c>
      <c r="BT425" s="20" t="str">
        <f t="shared" si="37"/>
        <v>InCasa_COR22D262</v>
      </c>
    </row>
    <row r="426" spans="2:72" ht="18.75" customHeight="1" x14ac:dyDescent="0.25">
      <c r="B426" s="20">
        <f t="shared" si="38"/>
        <v>263</v>
      </c>
      <c r="C426" s="22" t="str">
        <f t="shared" si="39"/>
        <v>In Casa #263</v>
      </c>
      <c r="D426" t="str">
        <f t="shared" si="40"/>
        <v>COR22D263</v>
      </c>
      <c r="E426" s="58" t="s">
        <v>252</v>
      </c>
      <c r="F426" s="20">
        <v>1000</v>
      </c>
      <c r="G426" s="14" t="s">
        <v>354</v>
      </c>
      <c r="H426" s="23" t="s">
        <v>170</v>
      </c>
      <c r="J426" s="59" t="s">
        <v>38</v>
      </c>
      <c r="K426" s="22" t="s">
        <v>254</v>
      </c>
      <c r="L426" s="59" t="s">
        <v>171</v>
      </c>
      <c r="M426" s="22">
        <v>2</v>
      </c>
      <c r="V426" s="59" t="s">
        <v>176</v>
      </c>
      <c r="AL426" s="59" t="s">
        <v>40</v>
      </c>
      <c r="AM426" s="22" t="s">
        <v>188</v>
      </c>
      <c r="AV426" s="59" t="s">
        <v>134</v>
      </c>
      <c r="AW426" s="22" t="str">
        <f>Settings!$B$5 &amp;  "?s=" &amp; D426 &amp; "&amp;platform=ftx"</f>
        <v>https://tokensol.nfluent.io?s=COR22D263&amp;platform=ftx</v>
      </c>
      <c r="AX426" s="20" t="s">
        <v>23</v>
      </c>
      <c r="AY426" s="20">
        <v>10</v>
      </c>
      <c r="AZ426" s="20" t="s">
        <v>24</v>
      </c>
      <c r="BA426" s="20">
        <v>90</v>
      </c>
      <c r="BD426" s="14"/>
      <c r="BJ426" t="s">
        <v>255</v>
      </c>
      <c r="BK426" t="s">
        <v>184</v>
      </c>
      <c r="BN426" s="36">
        <v>100</v>
      </c>
      <c r="BO426" s="36">
        <v>100</v>
      </c>
      <c r="BP426">
        <f t="shared" si="41"/>
        <v>480</v>
      </c>
      <c r="BR426" s="38">
        <v>44713</v>
      </c>
      <c r="BS426" s="20" t="s">
        <v>185</v>
      </c>
      <c r="BT426" s="20" t="str">
        <f t="shared" si="37"/>
        <v>InCasa_COR22D263</v>
      </c>
    </row>
    <row r="427" spans="2:72" ht="18.75" customHeight="1" x14ac:dyDescent="0.25">
      <c r="B427" s="20">
        <f t="shared" si="38"/>
        <v>264</v>
      </c>
      <c r="C427" s="22" t="str">
        <f t="shared" si="39"/>
        <v>In Casa #264</v>
      </c>
      <c r="D427" t="str">
        <f t="shared" si="40"/>
        <v>COR22D264</v>
      </c>
      <c r="E427" s="58" t="s">
        <v>252</v>
      </c>
      <c r="F427" s="20">
        <v>1000</v>
      </c>
      <c r="G427" s="14" t="s">
        <v>354</v>
      </c>
      <c r="H427" s="23" t="s">
        <v>170</v>
      </c>
      <c r="J427" s="59" t="s">
        <v>38</v>
      </c>
      <c r="K427" s="22" t="s">
        <v>254</v>
      </c>
      <c r="L427" s="59" t="s">
        <v>171</v>
      </c>
      <c r="M427" s="22">
        <v>2</v>
      </c>
      <c r="V427" s="59" t="s">
        <v>176</v>
      </c>
      <c r="AL427" s="59" t="s">
        <v>40</v>
      </c>
      <c r="AM427" s="22" t="s">
        <v>188</v>
      </c>
      <c r="AV427" s="59" t="s">
        <v>134</v>
      </c>
      <c r="AW427" s="22" t="str">
        <f>Settings!$B$5 &amp;  "?s=" &amp; D427 &amp; "&amp;platform=ftx"</f>
        <v>https://tokensol.nfluent.io?s=COR22D264&amp;platform=ftx</v>
      </c>
      <c r="AX427" s="20" t="s">
        <v>23</v>
      </c>
      <c r="AY427" s="20">
        <v>10</v>
      </c>
      <c r="AZ427" s="20" t="s">
        <v>24</v>
      </c>
      <c r="BA427" s="20">
        <v>90</v>
      </c>
      <c r="BD427" s="14"/>
      <c r="BJ427" t="s">
        <v>255</v>
      </c>
      <c r="BK427" t="s">
        <v>184</v>
      </c>
      <c r="BN427" s="36">
        <v>100</v>
      </c>
      <c r="BO427" s="36">
        <v>100</v>
      </c>
      <c r="BP427">
        <f t="shared" si="41"/>
        <v>480</v>
      </c>
      <c r="BR427" s="38">
        <v>44713</v>
      </c>
      <c r="BS427" s="20" t="s">
        <v>185</v>
      </c>
      <c r="BT427" s="20" t="str">
        <f t="shared" si="37"/>
        <v>InCasa_COR22D264</v>
      </c>
    </row>
    <row r="428" spans="2:72" ht="18.75" customHeight="1" x14ac:dyDescent="0.25">
      <c r="B428" s="20">
        <f t="shared" si="38"/>
        <v>265</v>
      </c>
      <c r="C428" s="22" t="str">
        <f t="shared" si="39"/>
        <v>In Casa #265</v>
      </c>
      <c r="D428" t="str">
        <f t="shared" si="40"/>
        <v>COR22D265</v>
      </c>
      <c r="E428" s="58" t="s">
        <v>252</v>
      </c>
      <c r="F428" s="20">
        <v>1000</v>
      </c>
      <c r="G428" s="14" t="s">
        <v>354</v>
      </c>
      <c r="H428" s="23" t="s">
        <v>170</v>
      </c>
      <c r="J428" s="59" t="s">
        <v>38</v>
      </c>
      <c r="K428" s="22" t="s">
        <v>254</v>
      </c>
      <c r="L428" s="59" t="s">
        <v>171</v>
      </c>
      <c r="M428" s="22">
        <v>2</v>
      </c>
      <c r="V428" s="59" t="s">
        <v>176</v>
      </c>
      <c r="AL428" s="59" t="s">
        <v>40</v>
      </c>
      <c r="AM428" s="22" t="s">
        <v>188</v>
      </c>
      <c r="AV428" s="59" t="s">
        <v>134</v>
      </c>
      <c r="AW428" s="22" t="str">
        <f>Settings!$B$5 &amp;  "?s=" &amp; D428 &amp; "&amp;platform=ftx"</f>
        <v>https://tokensol.nfluent.io?s=COR22D265&amp;platform=ftx</v>
      </c>
      <c r="AX428" s="20" t="s">
        <v>23</v>
      </c>
      <c r="AY428" s="20">
        <v>10</v>
      </c>
      <c r="AZ428" s="20" t="s">
        <v>24</v>
      </c>
      <c r="BA428" s="20">
        <v>90</v>
      </c>
      <c r="BD428" s="14"/>
      <c r="BJ428" t="s">
        <v>255</v>
      </c>
      <c r="BK428" t="s">
        <v>184</v>
      </c>
      <c r="BN428" s="36">
        <v>100</v>
      </c>
      <c r="BO428" s="36">
        <v>100</v>
      </c>
      <c r="BP428">
        <f t="shared" si="41"/>
        <v>480</v>
      </c>
      <c r="BR428" s="38">
        <v>44713</v>
      </c>
      <c r="BS428" s="20" t="s">
        <v>185</v>
      </c>
      <c r="BT428" s="20" t="str">
        <f t="shared" si="37"/>
        <v>InCasa_COR22D265</v>
      </c>
    </row>
    <row r="429" spans="2:72" ht="18.75" customHeight="1" x14ac:dyDescent="0.25">
      <c r="B429" s="20">
        <f t="shared" si="38"/>
        <v>266</v>
      </c>
      <c r="C429" s="22" t="str">
        <f t="shared" si="39"/>
        <v>In Casa #266</v>
      </c>
      <c r="D429" t="str">
        <f t="shared" si="40"/>
        <v>COR22D266</v>
      </c>
      <c r="E429" s="58" t="s">
        <v>252</v>
      </c>
      <c r="F429" s="20">
        <v>1000</v>
      </c>
      <c r="G429" s="14" t="s">
        <v>354</v>
      </c>
      <c r="H429" s="23" t="s">
        <v>170</v>
      </c>
      <c r="J429" s="59" t="s">
        <v>38</v>
      </c>
      <c r="K429" s="22" t="s">
        <v>254</v>
      </c>
      <c r="L429" s="59" t="s">
        <v>171</v>
      </c>
      <c r="M429" s="22">
        <v>2</v>
      </c>
      <c r="V429" s="59" t="s">
        <v>176</v>
      </c>
      <c r="AL429" s="59" t="s">
        <v>40</v>
      </c>
      <c r="AM429" s="22" t="s">
        <v>188</v>
      </c>
      <c r="AV429" s="59" t="s">
        <v>134</v>
      </c>
      <c r="AW429" s="22" t="str">
        <f>Settings!$B$5 &amp;  "?s=" &amp; D429 &amp; "&amp;platform=ftx"</f>
        <v>https://tokensol.nfluent.io?s=COR22D266&amp;platform=ftx</v>
      </c>
      <c r="AX429" s="20" t="s">
        <v>23</v>
      </c>
      <c r="AY429" s="20">
        <v>10</v>
      </c>
      <c r="AZ429" s="20" t="s">
        <v>24</v>
      </c>
      <c r="BA429" s="20">
        <v>90</v>
      </c>
      <c r="BD429" s="14"/>
      <c r="BJ429" t="s">
        <v>255</v>
      </c>
      <c r="BK429" t="s">
        <v>184</v>
      </c>
      <c r="BN429" s="36">
        <v>100</v>
      </c>
      <c r="BO429" s="36">
        <v>100</v>
      </c>
      <c r="BP429">
        <f t="shared" si="41"/>
        <v>480</v>
      </c>
      <c r="BR429" s="38">
        <v>44713</v>
      </c>
      <c r="BS429" s="20" t="s">
        <v>185</v>
      </c>
      <c r="BT429" s="20" t="str">
        <f t="shared" si="37"/>
        <v>InCasa_COR22D266</v>
      </c>
    </row>
    <row r="430" spans="2:72" ht="18.75" customHeight="1" x14ac:dyDescent="0.25">
      <c r="B430" s="20">
        <f t="shared" si="38"/>
        <v>267</v>
      </c>
      <c r="C430" s="22" t="str">
        <f t="shared" si="39"/>
        <v>In Casa #267</v>
      </c>
      <c r="D430" t="str">
        <f t="shared" si="40"/>
        <v>COR22D267</v>
      </c>
      <c r="E430" s="58" t="s">
        <v>252</v>
      </c>
      <c r="F430" s="20">
        <v>1000</v>
      </c>
      <c r="G430" s="14" t="s">
        <v>354</v>
      </c>
      <c r="H430" s="23" t="s">
        <v>170</v>
      </c>
      <c r="J430" s="59" t="s">
        <v>38</v>
      </c>
      <c r="K430" s="22" t="s">
        <v>254</v>
      </c>
      <c r="L430" s="59" t="s">
        <v>171</v>
      </c>
      <c r="M430" s="22">
        <v>2</v>
      </c>
      <c r="V430" s="59" t="s">
        <v>176</v>
      </c>
      <c r="AL430" s="59" t="s">
        <v>40</v>
      </c>
      <c r="AM430" s="22" t="s">
        <v>188</v>
      </c>
      <c r="AV430" s="59" t="s">
        <v>134</v>
      </c>
      <c r="AW430" s="22" t="str">
        <f>Settings!$B$5 &amp;  "?s=" &amp; D430 &amp; "&amp;platform=ftx"</f>
        <v>https://tokensol.nfluent.io?s=COR22D267&amp;platform=ftx</v>
      </c>
      <c r="AX430" s="20" t="s">
        <v>23</v>
      </c>
      <c r="AY430" s="20">
        <v>10</v>
      </c>
      <c r="AZ430" s="20" t="s">
        <v>24</v>
      </c>
      <c r="BA430" s="20">
        <v>90</v>
      </c>
      <c r="BD430" s="14"/>
      <c r="BJ430" t="s">
        <v>255</v>
      </c>
      <c r="BK430" t="s">
        <v>184</v>
      </c>
      <c r="BN430" s="36">
        <v>100</v>
      </c>
      <c r="BO430" s="36">
        <v>100</v>
      </c>
      <c r="BP430">
        <f t="shared" si="41"/>
        <v>480</v>
      </c>
      <c r="BR430" s="38">
        <v>44713</v>
      </c>
      <c r="BS430" s="20" t="s">
        <v>185</v>
      </c>
      <c r="BT430" s="20" t="str">
        <f t="shared" si="37"/>
        <v>InCasa_COR22D267</v>
      </c>
    </row>
    <row r="431" spans="2:72" ht="18.75" customHeight="1" x14ac:dyDescent="0.25">
      <c r="B431" s="20">
        <f t="shared" si="38"/>
        <v>268</v>
      </c>
      <c r="C431" s="22" t="str">
        <f t="shared" si="39"/>
        <v>In Casa #268</v>
      </c>
      <c r="D431" t="str">
        <f t="shared" si="40"/>
        <v>COR22D268</v>
      </c>
      <c r="E431" s="58" t="s">
        <v>252</v>
      </c>
      <c r="F431" s="20">
        <v>1000</v>
      </c>
      <c r="G431" s="14" t="s">
        <v>354</v>
      </c>
      <c r="H431" s="23" t="s">
        <v>170</v>
      </c>
      <c r="J431" s="59" t="s">
        <v>38</v>
      </c>
      <c r="K431" s="22" t="s">
        <v>254</v>
      </c>
      <c r="L431" s="59" t="s">
        <v>171</v>
      </c>
      <c r="M431" s="22">
        <v>2</v>
      </c>
      <c r="V431" s="59" t="s">
        <v>176</v>
      </c>
      <c r="AL431" s="59" t="s">
        <v>40</v>
      </c>
      <c r="AM431" s="22" t="s">
        <v>188</v>
      </c>
      <c r="AV431" s="59" t="s">
        <v>134</v>
      </c>
      <c r="AW431" s="22" t="str">
        <f>Settings!$B$5 &amp;  "?s=" &amp; D431 &amp; "&amp;platform=ftx"</f>
        <v>https://tokensol.nfluent.io?s=COR22D268&amp;platform=ftx</v>
      </c>
      <c r="AX431" s="20" t="s">
        <v>23</v>
      </c>
      <c r="AY431" s="20">
        <v>10</v>
      </c>
      <c r="AZ431" s="20" t="s">
        <v>24</v>
      </c>
      <c r="BA431" s="20">
        <v>90</v>
      </c>
      <c r="BD431" s="14"/>
      <c r="BJ431" t="s">
        <v>255</v>
      </c>
      <c r="BK431" t="s">
        <v>184</v>
      </c>
      <c r="BN431" s="36">
        <v>100</v>
      </c>
      <c r="BO431" s="36">
        <v>100</v>
      </c>
      <c r="BP431">
        <f t="shared" si="41"/>
        <v>480</v>
      </c>
      <c r="BR431" s="38">
        <v>44713</v>
      </c>
      <c r="BS431" s="20" t="s">
        <v>185</v>
      </c>
      <c r="BT431" s="20" t="str">
        <f t="shared" si="37"/>
        <v>InCasa_COR22D268</v>
      </c>
    </row>
    <row r="432" spans="2:72" ht="18.75" customHeight="1" x14ac:dyDescent="0.25">
      <c r="B432" s="20">
        <f t="shared" si="38"/>
        <v>269</v>
      </c>
      <c r="C432" s="22" t="str">
        <f t="shared" si="39"/>
        <v>In Casa #269</v>
      </c>
      <c r="D432" t="str">
        <f t="shared" si="40"/>
        <v>COR22D269</v>
      </c>
      <c r="E432" s="58" t="s">
        <v>252</v>
      </c>
      <c r="F432" s="20">
        <v>1000</v>
      </c>
      <c r="G432" s="14" t="s">
        <v>354</v>
      </c>
      <c r="H432" s="23" t="s">
        <v>170</v>
      </c>
      <c r="J432" s="59" t="s">
        <v>38</v>
      </c>
      <c r="K432" s="22" t="s">
        <v>254</v>
      </c>
      <c r="L432" s="59" t="s">
        <v>171</v>
      </c>
      <c r="M432" s="22">
        <v>2</v>
      </c>
      <c r="V432" s="59" t="s">
        <v>176</v>
      </c>
      <c r="AL432" s="59" t="s">
        <v>40</v>
      </c>
      <c r="AM432" s="22" t="s">
        <v>188</v>
      </c>
      <c r="AV432" s="59" t="s">
        <v>134</v>
      </c>
      <c r="AW432" s="22" t="str">
        <f>Settings!$B$5 &amp;  "?s=" &amp; D432 &amp; "&amp;platform=ftx"</f>
        <v>https://tokensol.nfluent.io?s=COR22D269&amp;platform=ftx</v>
      </c>
      <c r="AX432" s="20" t="s">
        <v>23</v>
      </c>
      <c r="AY432" s="20">
        <v>10</v>
      </c>
      <c r="AZ432" s="20" t="s">
        <v>24</v>
      </c>
      <c r="BA432" s="20">
        <v>90</v>
      </c>
      <c r="BD432" s="14"/>
      <c r="BJ432" t="s">
        <v>255</v>
      </c>
      <c r="BK432" t="s">
        <v>184</v>
      </c>
      <c r="BN432" s="36">
        <v>100</v>
      </c>
      <c r="BO432" s="36">
        <v>100</v>
      </c>
      <c r="BP432">
        <f t="shared" si="41"/>
        <v>480</v>
      </c>
      <c r="BR432" s="38">
        <v>44713</v>
      </c>
      <c r="BS432" s="20" t="s">
        <v>185</v>
      </c>
      <c r="BT432" s="20" t="str">
        <f t="shared" si="37"/>
        <v>InCasa_COR22D269</v>
      </c>
    </row>
    <row r="433" spans="2:72" ht="18.75" customHeight="1" x14ac:dyDescent="0.25">
      <c r="B433" s="20">
        <f t="shared" si="38"/>
        <v>270</v>
      </c>
      <c r="C433" s="22" t="str">
        <f t="shared" si="39"/>
        <v>In Casa #270</v>
      </c>
      <c r="D433" t="str">
        <f t="shared" si="40"/>
        <v>COR22D270</v>
      </c>
      <c r="E433" s="58" t="s">
        <v>252</v>
      </c>
      <c r="F433" s="20">
        <v>1000</v>
      </c>
      <c r="G433" s="14" t="s">
        <v>354</v>
      </c>
      <c r="H433" s="23" t="s">
        <v>170</v>
      </c>
      <c r="J433" s="59" t="s">
        <v>38</v>
      </c>
      <c r="K433" s="22" t="s">
        <v>254</v>
      </c>
      <c r="L433" s="59" t="s">
        <v>171</v>
      </c>
      <c r="M433" s="22">
        <v>2</v>
      </c>
      <c r="V433" s="59" t="s">
        <v>176</v>
      </c>
      <c r="AL433" s="59" t="s">
        <v>40</v>
      </c>
      <c r="AM433" s="22" t="s">
        <v>188</v>
      </c>
      <c r="AV433" s="59" t="s">
        <v>134</v>
      </c>
      <c r="AW433" s="22" t="str">
        <f>Settings!$B$5 &amp;  "?s=" &amp; D433 &amp; "&amp;platform=ftx"</f>
        <v>https://tokensol.nfluent.io?s=COR22D270&amp;platform=ftx</v>
      </c>
      <c r="AX433" s="20" t="s">
        <v>23</v>
      </c>
      <c r="AY433" s="20">
        <v>10</v>
      </c>
      <c r="AZ433" s="20" t="s">
        <v>24</v>
      </c>
      <c r="BA433" s="20">
        <v>90</v>
      </c>
      <c r="BD433" s="14"/>
      <c r="BJ433" t="s">
        <v>255</v>
      </c>
      <c r="BK433" t="s">
        <v>184</v>
      </c>
      <c r="BN433" s="36">
        <v>100</v>
      </c>
      <c r="BO433" s="36">
        <v>100</v>
      </c>
      <c r="BP433">
        <f t="shared" si="41"/>
        <v>480</v>
      </c>
      <c r="BR433" s="38">
        <v>44713</v>
      </c>
      <c r="BS433" s="20" t="s">
        <v>185</v>
      </c>
      <c r="BT433" s="20" t="str">
        <f t="shared" si="37"/>
        <v>InCasa_COR22D270</v>
      </c>
    </row>
    <row r="434" spans="2:72" ht="18.75" customHeight="1" x14ac:dyDescent="0.25">
      <c r="B434" s="20">
        <f t="shared" si="38"/>
        <v>271</v>
      </c>
      <c r="C434" s="22" t="str">
        <f t="shared" si="39"/>
        <v>In Casa #271</v>
      </c>
      <c r="D434" t="str">
        <f t="shared" si="40"/>
        <v>COR22D271</v>
      </c>
      <c r="E434" s="58" t="s">
        <v>252</v>
      </c>
      <c r="F434" s="20">
        <v>1000</v>
      </c>
      <c r="G434" s="14" t="s">
        <v>354</v>
      </c>
      <c r="H434" s="23" t="s">
        <v>170</v>
      </c>
      <c r="J434" s="59" t="s">
        <v>38</v>
      </c>
      <c r="K434" s="22" t="s">
        <v>254</v>
      </c>
      <c r="L434" s="59" t="s">
        <v>171</v>
      </c>
      <c r="M434" s="22">
        <v>2</v>
      </c>
      <c r="V434" s="59" t="s">
        <v>176</v>
      </c>
      <c r="AL434" s="59" t="s">
        <v>40</v>
      </c>
      <c r="AM434" s="22" t="s">
        <v>188</v>
      </c>
      <c r="AV434" s="59" t="s">
        <v>134</v>
      </c>
      <c r="AW434" s="22" t="str">
        <f>Settings!$B$5 &amp;  "?s=" &amp; D434 &amp; "&amp;platform=ftx"</f>
        <v>https://tokensol.nfluent.io?s=COR22D271&amp;platform=ftx</v>
      </c>
      <c r="AX434" s="20" t="s">
        <v>23</v>
      </c>
      <c r="AY434" s="20">
        <v>10</v>
      </c>
      <c r="AZ434" s="20" t="s">
        <v>24</v>
      </c>
      <c r="BA434" s="20">
        <v>90</v>
      </c>
      <c r="BD434" s="14"/>
      <c r="BJ434" t="s">
        <v>255</v>
      </c>
      <c r="BK434" t="s">
        <v>184</v>
      </c>
      <c r="BN434" s="36">
        <v>100</v>
      </c>
      <c r="BO434" s="36">
        <v>100</v>
      </c>
      <c r="BP434">
        <f t="shared" si="41"/>
        <v>480</v>
      </c>
      <c r="BR434" s="38">
        <v>44713</v>
      </c>
      <c r="BS434" s="20" t="s">
        <v>185</v>
      </c>
      <c r="BT434" s="20" t="str">
        <f t="shared" si="37"/>
        <v>InCasa_COR22D271</v>
      </c>
    </row>
    <row r="435" spans="2:72" ht="18.75" customHeight="1" x14ac:dyDescent="0.25">
      <c r="B435" s="20">
        <f t="shared" si="38"/>
        <v>272</v>
      </c>
      <c r="C435" s="22" t="str">
        <f t="shared" si="39"/>
        <v>In Casa #272</v>
      </c>
      <c r="D435" t="str">
        <f t="shared" si="40"/>
        <v>COR22D272</v>
      </c>
      <c r="E435" s="58" t="s">
        <v>252</v>
      </c>
      <c r="F435" s="20">
        <v>1000</v>
      </c>
      <c r="G435" s="14" t="s">
        <v>354</v>
      </c>
      <c r="H435" s="23" t="s">
        <v>170</v>
      </c>
      <c r="J435" s="59" t="s">
        <v>38</v>
      </c>
      <c r="K435" s="22" t="s">
        <v>254</v>
      </c>
      <c r="L435" s="59" t="s">
        <v>171</v>
      </c>
      <c r="M435" s="22">
        <v>2</v>
      </c>
      <c r="V435" s="59" t="s">
        <v>176</v>
      </c>
      <c r="AL435" s="59" t="s">
        <v>40</v>
      </c>
      <c r="AM435" s="22" t="s">
        <v>188</v>
      </c>
      <c r="AV435" s="59" t="s">
        <v>134</v>
      </c>
      <c r="AW435" s="22" t="str">
        <f>Settings!$B$5 &amp;  "?s=" &amp; D435 &amp; "&amp;platform=ftx"</f>
        <v>https://tokensol.nfluent.io?s=COR22D272&amp;platform=ftx</v>
      </c>
      <c r="AX435" s="20" t="s">
        <v>23</v>
      </c>
      <c r="AY435" s="20">
        <v>10</v>
      </c>
      <c r="AZ435" s="20" t="s">
        <v>24</v>
      </c>
      <c r="BA435" s="20">
        <v>90</v>
      </c>
      <c r="BD435" s="14"/>
      <c r="BJ435" t="s">
        <v>255</v>
      </c>
      <c r="BK435" t="s">
        <v>184</v>
      </c>
      <c r="BN435" s="36">
        <v>100</v>
      </c>
      <c r="BO435" s="36">
        <v>100</v>
      </c>
      <c r="BP435">
        <f t="shared" si="41"/>
        <v>480</v>
      </c>
      <c r="BR435" s="38">
        <v>44713</v>
      </c>
      <c r="BS435" s="20" t="s">
        <v>185</v>
      </c>
      <c r="BT435" s="20" t="str">
        <f t="shared" si="37"/>
        <v>InCasa_COR22D272</v>
      </c>
    </row>
    <row r="436" spans="2:72" ht="18.75" customHeight="1" x14ac:dyDescent="0.25">
      <c r="B436" s="20">
        <f t="shared" si="38"/>
        <v>273</v>
      </c>
      <c r="C436" s="22" t="str">
        <f t="shared" si="39"/>
        <v>In Casa #273</v>
      </c>
      <c r="D436" t="str">
        <f t="shared" si="40"/>
        <v>COR22D273</v>
      </c>
      <c r="E436" s="58" t="s">
        <v>252</v>
      </c>
      <c r="F436" s="20">
        <v>1000</v>
      </c>
      <c r="G436" s="14" t="s">
        <v>354</v>
      </c>
      <c r="H436" s="23" t="s">
        <v>170</v>
      </c>
      <c r="J436" s="59" t="s">
        <v>38</v>
      </c>
      <c r="K436" s="22" t="s">
        <v>254</v>
      </c>
      <c r="L436" s="59" t="s">
        <v>171</v>
      </c>
      <c r="M436" s="22">
        <v>2</v>
      </c>
      <c r="V436" s="59" t="s">
        <v>176</v>
      </c>
      <c r="AL436" s="59" t="s">
        <v>40</v>
      </c>
      <c r="AM436" s="22" t="s">
        <v>188</v>
      </c>
      <c r="AV436" s="59" t="s">
        <v>134</v>
      </c>
      <c r="AW436" s="22" t="str">
        <f>Settings!$B$5 &amp;  "?s=" &amp; D436 &amp; "&amp;platform=ftx"</f>
        <v>https://tokensol.nfluent.io?s=COR22D273&amp;platform=ftx</v>
      </c>
      <c r="AX436" s="20" t="s">
        <v>23</v>
      </c>
      <c r="AY436" s="20">
        <v>10</v>
      </c>
      <c r="AZ436" s="20" t="s">
        <v>24</v>
      </c>
      <c r="BA436" s="20">
        <v>90</v>
      </c>
      <c r="BD436" s="14"/>
      <c r="BJ436" t="s">
        <v>255</v>
      </c>
      <c r="BK436" t="s">
        <v>184</v>
      </c>
      <c r="BN436" s="36">
        <v>100</v>
      </c>
      <c r="BO436" s="36">
        <v>100</v>
      </c>
      <c r="BP436">
        <f t="shared" si="41"/>
        <v>480</v>
      </c>
      <c r="BR436" s="38">
        <v>44713</v>
      </c>
      <c r="BS436" s="20" t="s">
        <v>185</v>
      </c>
      <c r="BT436" s="20" t="str">
        <f t="shared" si="37"/>
        <v>InCasa_COR22D273</v>
      </c>
    </row>
    <row r="437" spans="2:72" ht="18.75" customHeight="1" x14ac:dyDescent="0.25">
      <c r="B437" s="20">
        <f t="shared" si="38"/>
        <v>274</v>
      </c>
      <c r="C437" s="22" t="str">
        <f t="shared" si="39"/>
        <v>In Casa #274</v>
      </c>
      <c r="D437" t="str">
        <f t="shared" si="40"/>
        <v>COR22D274</v>
      </c>
      <c r="E437" s="58" t="s">
        <v>252</v>
      </c>
      <c r="F437" s="20">
        <v>1000</v>
      </c>
      <c r="G437" s="14" t="s">
        <v>354</v>
      </c>
      <c r="H437" s="23" t="s">
        <v>170</v>
      </c>
      <c r="J437" s="59" t="s">
        <v>38</v>
      </c>
      <c r="K437" s="22" t="s">
        <v>254</v>
      </c>
      <c r="L437" s="59" t="s">
        <v>171</v>
      </c>
      <c r="M437" s="22">
        <v>2</v>
      </c>
      <c r="V437" s="59" t="s">
        <v>176</v>
      </c>
      <c r="AL437" s="59" t="s">
        <v>40</v>
      </c>
      <c r="AM437" s="22" t="s">
        <v>188</v>
      </c>
      <c r="AV437" s="59" t="s">
        <v>134</v>
      </c>
      <c r="AW437" s="22" t="str">
        <f>Settings!$B$5 &amp;  "?s=" &amp; D437 &amp; "&amp;platform=ftx"</f>
        <v>https://tokensol.nfluent.io?s=COR22D274&amp;platform=ftx</v>
      </c>
      <c r="AX437" s="20" t="s">
        <v>23</v>
      </c>
      <c r="AY437" s="20">
        <v>10</v>
      </c>
      <c r="AZ437" s="20" t="s">
        <v>24</v>
      </c>
      <c r="BA437" s="20">
        <v>90</v>
      </c>
      <c r="BD437" s="14"/>
      <c r="BJ437" t="s">
        <v>255</v>
      </c>
      <c r="BK437" t="s">
        <v>184</v>
      </c>
      <c r="BN437" s="36">
        <v>100</v>
      </c>
      <c r="BO437" s="36">
        <v>100</v>
      </c>
      <c r="BP437">
        <f t="shared" si="41"/>
        <v>480</v>
      </c>
      <c r="BR437" s="38">
        <v>44713</v>
      </c>
      <c r="BS437" s="20" t="s">
        <v>185</v>
      </c>
      <c r="BT437" s="20" t="str">
        <f t="shared" si="37"/>
        <v>InCasa_COR22D274</v>
      </c>
    </row>
    <row r="438" spans="2:72" ht="18.75" customHeight="1" x14ac:dyDescent="0.25">
      <c r="B438" s="20">
        <f t="shared" si="38"/>
        <v>275</v>
      </c>
      <c r="C438" s="22" t="str">
        <f t="shared" si="39"/>
        <v>In Casa #275</v>
      </c>
      <c r="D438" t="str">
        <f t="shared" si="40"/>
        <v>COR22D275</v>
      </c>
      <c r="E438" s="58" t="s">
        <v>252</v>
      </c>
      <c r="F438" s="20">
        <v>1000</v>
      </c>
      <c r="G438" s="14" t="s">
        <v>354</v>
      </c>
      <c r="H438" s="23" t="s">
        <v>170</v>
      </c>
      <c r="J438" s="59" t="s">
        <v>38</v>
      </c>
      <c r="K438" s="22" t="s">
        <v>254</v>
      </c>
      <c r="L438" s="59" t="s">
        <v>171</v>
      </c>
      <c r="M438" s="22">
        <v>2</v>
      </c>
      <c r="V438" s="59" t="s">
        <v>176</v>
      </c>
      <c r="AL438" s="59" t="s">
        <v>40</v>
      </c>
      <c r="AM438" s="22" t="s">
        <v>188</v>
      </c>
      <c r="AV438" s="59" t="s">
        <v>134</v>
      </c>
      <c r="AW438" s="22" t="str">
        <f>Settings!$B$5 &amp;  "?s=" &amp; D438 &amp; "&amp;platform=ftx"</f>
        <v>https://tokensol.nfluent.io?s=COR22D275&amp;platform=ftx</v>
      </c>
      <c r="AX438" s="20" t="s">
        <v>23</v>
      </c>
      <c r="AY438" s="20">
        <v>10</v>
      </c>
      <c r="AZ438" s="20" t="s">
        <v>24</v>
      </c>
      <c r="BA438" s="20">
        <v>90</v>
      </c>
      <c r="BD438" s="14"/>
      <c r="BJ438" t="s">
        <v>255</v>
      </c>
      <c r="BK438" t="s">
        <v>184</v>
      </c>
      <c r="BN438" s="36">
        <v>100</v>
      </c>
      <c r="BO438" s="36">
        <v>100</v>
      </c>
      <c r="BP438">
        <f t="shared" si="41"/>
        <v>480</v>
      </c>
      <c r="BR438" s="38">
        <v>44713</v>
      </c>
      <c r="BS438" s="20" t="s">
        <v>185</v>
      </c>
      <c r="BT438" s="20" t="str">
        <f t="shared" si="37"/>
        <v>InCasa_COR22D275</v>
      </c>
    </row>
    <row r="439" spans="2:72" ht="18.75" customHeight="1" x14ac:dyDescent="0.25">
      <c r="B439" s="20">
        <f t="shared" si="38"/>
        <v>276</v>
      </c>
      <c r="C439" s="22" t="str">
        <f t="shared" si="39"/>
        <v>In Casa #276</v>
      </c>
      <c r="D439" t="str">
        <f t="shared" si="40"/>
        <v>COR22D276</v>
      </c>
      <c r="E439" s="58" t="s">
        <v>252</v>
      </c>
      <c r="F439" s="20">
        <v>1000</v>
      </c>
      <c r="G439" s="14" t="s">
        <v>354</v>
      </c>
      <c r="H439" s="23" t="s">
        <v>170</v>
      </c>
      <c r="J439" s="59" t="s">
        <v>38</v>
      </c>
      <c r="K439" s="22" t="s">
        <v>254</v>
      </c>
      <c r="L439" s="59" t="s">
        <v>171</v>
      </c>
      <c r="M439" s="22">
        <v>2</v>
      </c>
      <c r="V439" s="59" t="s">
        <v>176</v>
      </c>
      <c r="AL439" s="59" t="s">
        <v>40</v>
      </c>
      <c r="AM439" s="22" t="s">
        <v>188</v>
      </c>
      <c r="AV439" s="59" t="s">
        <v>134</v>
      </c>
      <c r="AW439" s="22" t="str">
        <f>Settings!$B$5 &amp;  "?s=" &amp; D439 &amp; "&amp;platform=ftx"</f>
        <v>https://tokensol.nfluent.io?s=COR22D276&amp;platform=ftx</v>
      </c>
      <c r="AX439" s="20" t="s">
        <v>23</v>
      </c>
      <c r="AY439" s="20">
        <v>10</v>
      </c>
      <c r="AZ439" s="20" t="s">
        <v>24</v>
      </c>
      <c r="BA439" s="20">
        <v>90</v>
      </c>
      <c r="BD439" s="14"/>
      <c r="BJ439" t="s">
        <v>255</v>
      </c>
      <c r="BK439" t="s">
        <v>184</v>
      </c>
      <c r="BN439" s="36">
        <v>100</v>
      </c>
      <c r="BO439" s="36">
        <v>100</v>
      </c>
      <c r="BP439">
        <f t="shared" si="41"/>
        <v>480</v>
      </c>
      <c r="BR439" s="38">
        <v>44713</v>
      </c>
      <c r="BS439" s="20" t="s">
        <v>185</v>
      </c>
      <c r="BT439" s="20" t="str">
        <f t="shared" si="37"/>
        <v>InCasa_COR22D276</v>
      </c>
    </row>
    <row r="440" spans="2:72" ht="18.75" customHeight="1" x14ac:dyDescent="0.25">
      <c r="B440" s="20">
        <f t="shared" si="38"/>
        <v>277</v>
      </c>
      <c r="C440" s="22" t="str">
        <f t="shared" si="39"/>
        <v>In Casa #277</v>
      </c>
      <c r="D440" t="str">
        <f t="shared" si="40"/>
        <v>COR22D277</v>
      </c>
      <c r="E440" s="58" t="s">
        <v>252</v>
      </c>
      <c r="F440" s="20">
        <v>1000</v>
      </c>
      <c r="G440" s="14" t="s">
        <v>354</v>
      </c>
      <c r="H440" s="23" t="s">
        <v>170</v>
      </c>
      <c r="J440" s="59" t="s">
        <v>38</v>
      </c>
      <c r="K440" s="22" t="s">
        <v>254</v>
      </c>
      <c r="L440" s="59" t="s">
        <v>171</v>
      </c>
      <c r="M440" s="22">
        <v>2</v>
      </c>
      <c r="V440" s="59" t="s">
        <v>176</v>
      </c>
      <c r="AL440" s="59" t="s">
        <v>40</v>
      </c>
      <c r="AM440" s="22" t="s">
        <v>188</v>
      </c>
      <c r="AV440" s="59" t="s">
        <v>134</v>
      </c>
      <c r="AW440" s="22" t="str">
        <f>Settings!$B$5 &amp;  "?s=" &amp; D440 &amp; "&amp;platform=ftx"</f>
        <v>https://tokensol.nfluent.io?s=COR22D277&amp;platform=ftx</v>
      </c>
      <c r="AX440" s="20" t="s">
        <v>23</v>
      </c>
      <c r="AY440" s="20">
        <v>10</v>
      </c>
      <c r="AZ440" s="20" t="s">
        <v>24</v>
      </c>
      <c r="BA440" s="20">
        <v>90</v>
      </c>
      <c r="BD440" s="14"/>
      <c r="BJ440" t="s">
        <v>255</v>
      </c>
      <c r="BK440" t="s">
        <v>184</v>
      </c>
      <c r="BN440" s="36">
        <v>100</v>
      </c>
      <c r="BO440" s="36">
        <v>100</v>
      </c>
      <c r="BP440">
        <f t="shared" si="41"/>
        <v>480</v>
      </c>
      <c r="BR440" s="38">
        <v>44713</v>
      </c>
      <c r="BS440" s="20" t="s">
        <v>185</v>
      </c>
      <c r="BT440" s="20" t="str">
        <f t="shared" si="37"/>
        <v>InCasa_COR22D277</v>
      </c>
    </row>
    <row r="441" spans="2:72" ht="18.75" customHeight="1" x14ac:dyDescent="0.25">
      <c r="B441" s="20">
        <f t="shared" si="38"/>
        <v>278</v>
      </c>
      <c r="C441" s="22" t="str">
        <f t="shared" si="39"/>
        <v>In Casa #278</v>
      </c>
      <c r="D441" t="str">
        <f t="shared" si="40"/>
        <v>COR22D278</v>
      </c>
      <c r="E441" s="58" t="s">
        <v>252</v>
      </c>
      <c r="F441" s="20">
        <v>1000</v>
      </c>
      <c r="G441" s="14" t="s">
        <v>354</v>
      </c>
      <c r="H441" s="23" t="s">
        <v>170</v>
      </c>
      <c r="J441" s="59" t="s">
        <v>38</v>
      </c>
      <c r="K441" s="22" t="s">
        <v>254</v>
      </c>
      <c r="L441" s="59" t="s">
        <v>171</v>
      </c>
      <c r="M441" s="22">
        <v>2</v>
      </c>
      <c r="V441" s="59" t="s">
        <v>176</v>
      </c>
      <c r="AL441" s="59" t="s">
        <v>40</v>
      </c>
      <c r="AM441" s="22" t="s">
        <v>188</v>
      </c>
      <c r="AV441" s="59" t="s">
        <v>134</v>
      </c>
      <c r="AW441" s="22" t="str">
        <f>Settings!$B$5 &amp;  "?s=" &amp; D441 &amp; "&amp;platform=ftx"</f>
        <v>https://tokensol.nfluent.io?s=COR22D278&amp;platform=ftx</v>
      </c>
      <c r="AX441" s="20" t="s">
        <v>23</v>
      </c>
      <c r="AY441" s="20">
        <v>10</v>
      </c>
      <c r="AZ441" s="20" t="s">
        <v>24</v>
      </c>
      <c r="BA441" s="20">
        <v>90</v>
      </c>
      <c r="BD441" s="14"/>
      <c r="BJ441" t="s">
        <v>255</v>
      </c>
      <c r="BK441" t="s">
        <v>184</v>
      </c>
      <c r="BN441" s="36">
        <v>100</v>
      </c>
      <c r="BO441" s="36">
        <v>100</v>
      </c>
      <c r="BP441">
        <f t="shared" si="41"/>
        <v>480</v>
      </c>
      <c r="BR441" s="38">
        <v>44713</v>
      </c>
      <c r="BS441" s="20" t="s">
        <v>185</v>
      </c>
      <c r="BT441" s="20" t="str">
        <f t="shared" si="37"/>
        <v>InCasa_COR22D278</v>
      </c>
    </row>
    <row r="442" spans="2:72" ht="18.75" customHeight="1" x14ac:dyDescent="0.25">
      <c r="B442" s="20">
        <f t="shared" si="38"/>
        <v>279</v>
      </c>
      <c r="C442" s="22" t="str">
        <f t="shared" si="39"/>
        <v>In Casa #279</v>
      </c>
      <c r="D442" t="str">
        <f t="shared" si="40"/>
        <v>COR22D279</v>
      </c>
      <c r="E442" s="58" t="s">
        <v>252</v>
      </c>
      <c r="F442" s="20">
        <v>1000</v>
      </c>
      <c r="G442" s="14" t="s">
        <v>354</v>
      </c>
      <c r="H442" s="23" t="s">
        <v>170</v>
      </c>
      <c r="J442" s="59" t="s">
        <v>38</v>
      </c>
      <c r="K442" s="22" t="s">
        <v>254</v>
      </c>
      <c r="L442" s="59" t="s">
        <v>171</v>
      </c>
      <c r="M442" s="22">
        <v>2</v>
      </c>
      <c r="V442" s="59" t="s">
        <v>176</v>
      </c>
      <c r="AL442" s="59" t="s">
        <v>40</v>
      </c>
      <c r="AM442" s="22" t="s">
        <v>188</v>
      </c>
      <c r="AV442" s="59" t="s">
        <v>134</v>
      </c>
      <c r="AW442" s="22" t="str">
        <f>Settings!$B$5 &amp;  "?s=" &amp; D442 &amp; "&amp;platform=ftx"</f>
        <v>https://tokensol.nfluent.io?s=COR22D279&amp;platform=ftx</v>
      </c>
      <c r="AX442" s="20" t="s">
        <v>23</v>
      </c>
      <c r="AY442" s="20">
        <v>10</v>
      </c>
      <c r="AZ442" s="20" t="s">
        <v>24</v>
      </c>
      <c r="BA442" s="20">
        <v>90</v>
      </c>
      <c r="BD442" s="14"/>
      <c r="BJ442" t="s">
        <v>255</v>
      </c>
      <c r="BK442" t="s">
        <v>184</v>
      </c>
      <c r="BN442" s="36">
        <v>100</v>
      </c>
      <c r="BO442" s="36">
        <v>100</v>
      </c>
      <c r="BP442">
        <f t="shared" si="41"/>
        <v>480</v>
      </c>
      <c r="BR442" s="38">
        <v>44713</v>
      </c>
      <c r="BS442" s="20" t="s">
        <v>185</v>
      </c>
      <c r="BT442" s="20" t="str">
        <f t="shared" si="37"/>
        <v>InCasa_COR22D279</v>
      </c>
    </row>
    <row r="443" spans="2:72" ht="18.75" customHeight="1" x14ac:dyDescent="0.25">
      <c r="B443" s="20">
        <f t="shared" si="38"/>
        <v>280</v>
      </c>
      <c r="C443" s="22" t="str">
        <f t="shared" si="39"/>
        <v>In Casa #280</v>
      </c>
      <c r="D443" t="str">
        <f t="shared" si="40"/>
        <v>COR22D280</v>
      </c>
      <c r="E443" s="58" t="s">
        <v>252</v>
      </c>
      <c r="F443" s="20">
        <v>1000</v>
      </c>
      <c r="G443" s="14" t="s">
        <v>354</v>
      </c>
      <c r="H443" s="23" t="s">
        <v>170</v>
      </c>
      <c r="J443" s="59" t="s">
        <v>38</v>
      </c>
      <c r="K443" s="22" t="s">
        <v>254</v>
      </c>
      <c r="L443" s="59" t="s">
        <v>171</v>
      </c>
      <c r="M443" s="22">
        <v>2</v>
      </c>
      <c r="V443" s="59" t="s">
        <v>176</v>
      </c>
      <c r="AL443" s="59" t="s">
        <v>40</v>
      </c>
      <c r="AM443" s="22" t="s">
        <v>188</v>
      </c>
      <c r="AV443" s="59" t="s">
        <v>134</v>
      </c>
      <c r="AW443" s="22" t="str">
        <f>Settings!$B$5 &amp;  "?s=" &amp; D443 &amp; "&amp;platform=ftx"</f>
        <v>https://tokensol.nfluent.io?s=COR22D280&amp;platform=ftx</v>
      </c>
      <c r="AX443" s="20" t="s">
        <v>23</v>
      </c>
      <c r="AY443" s="20">
        <v>10</v>
      </c>
      <c r="AZ443" s="20" t="s">
        <v>24</v>
      </c>
      <c r="BA443" s="20">
        <v>90</v>
      </c>
      <c r="BD443" s="14"/>
      <c r="BJ443" t="s">
        <v>255</v>
      </c>
      <c r="BK443" t="s">
        <v>184</v>
      </c>
      <c r="BN443" s="36">
        <v>100</v>
      </c>
      <c r="BO443" s="36">
        <v>100</v>
      </c>
      <c r="BP443">
        <f t="shared" si="41"/>
        <v>480</v>
      </c>
      <c r="BR443" s="38">
        <v>44713</v>
      </c>
      <c r="BS443" s="20" t="s">
        <v>185</v>
      </c>
      <c r="BT443" s="20" t="str">
        <f t="shared" si="37"/>
        <v>InCasa_COR22D280</v>
      </c>
    </row>
    <row r="444" spans="2:72" ht="18.75" customHeight="1" x14ac:dyDescent="0.25">
      <c r="B444" s="20">
        <f t="shared" si="38"/>
        <v>281</v>
      </c>
      <c r="C444" s="22" t="str">
        <f t="shared" si="39"/>
        <v>In Casa #281</v>
      </c>
      <c r="D444" t="str">
        <f t="shared" si="40"/>
        <v>COR22D281</v>
      </c>
      <c r="E444" s="58" t="s">
        <v>252</v>
      </c>
      <c r="F444" s="20">
        <v>1000</v>
      </c>
      <c r="G444" s="14" t="s">
        <v>354</v>
      </c>
      <c r="H444" s="23" t="s">
        <v>170</v>
      </c>
      <c r="J444" s="59" t="s">
        <v>38</v>
      </c>
      <c r="K444" s="22" t="s">
        <v>254</v>
      </c>
      <c r="L444" s="59" t="s">
        <v>171</v>
      </c>
      <c r="M444" s="22">
        <v>2</v>
      </c>
      <c r="V444" s="59" t="s">
        <v>176</v>
      </c>
      <c r="AL444" s="59" t="s">
        <v>40</v>
      </c>
      <c r="AM444" s="22" t="s">
        <v>188</v>
      </c>
      <c r="AV444" s="59" t="s">
        <v>134</v>
      </c>
      <c r="AW444" s="22" t="str">
        <f>Settings!$B$5 &amp;  "?s=" &amp; D444 &amp; "&amp;platform=ftx"</f>
        <v>https://tokensol.nfluent.io?s=COR22D281&amp;platform=ftx</v>
      </c>
      <c r="AX444" s="20" t="s">
        <v>23</v>
      </c>
      <c r="AY444" s="20">
        <v>10</v>
      </c>
      <c r="AZ444" s="20" t="s">
        <v>24</v>
      </c>
      <c r="BA444" s="20">
        <v>90</v>
      </c>
      <c r="BD444" s="14"/>
      <c r="BJ444" t="s">
        <v>255</v>
      </c>
      <c r="BK444" t="s">
        <v>184</v>
      </c>
      <c r="BN444" s="36">
        <v>100</v>
      </c>
      <c r="BO444" s="36">
        <v>100</v>
      </c>
      <c r="BP444">
        <f t="shared" si="41"/>
        <v>480</v>
      </c>
      <c r="BR444" s="38">
        <v>44713</v>
      </c>
      <c r="BS444" s="20" t="s">
        <v>185</v>
      </c>
      <c r="BT444" s="20" t="str">
        <f t="shared" si="37"/>
        <v>InCasa_COR22D281</v>
      </c>
    </row>
    <row r="445" spans="2:72" ht="18.75" customHeight="1" x14ac:dyDescent="0.25">
      <c r="B445" s="20">
        <f t="shared" si="38"/>
        <v>282</v>
      </c>
      <c r="C445" s="22" t="str">
        <f t="shared" si="39"/>
        <v>In Casa #282</v>
      </c>
      <c r="D445" t="str">
        <f t="shared" si="40"/>
        <v>COR22D282</v>
      </c>
      <c r="E445" s="58" t="s">
        <v>252</v>
      </c>
      <c r="F445" s="20">
        <v>1000</v>
      </c>
      <c r="G445" s="14" t="s">
        <v>354</v>
      </c>
      <c r="H445" s="23" t="s">
        <v>170</v>
      </c>
      <c r="J445" s="59" t="s">
        <v>38</v>
      </c>
      <c r="K445" s="22" t="s">
        <v>254</v>
      </c>
      <c r="L445" s="59" t="s">
        <v>171</v>
      </c>
      <c r="M445" s="22">
        <v>2</v>
      </c>
      <c r="V445" s="59" t="s">
        <v>176</v>
      </c>
      <c r="AL445" s="59" t="s">
        <v>40</v>
      </c>
      <c r="AM445" s="22" t="s">
        <v>188</v>
      </c>
      <c r="AV445" s="59" t="s">
        <v>134</v>
      </c>
      <c r="AW445" s="22" t="str">
        <f>Settings!$B$5 &amp;  "?s=" &amp; D445 &amp; "&amp;platform=ftx"</f>
        <v>https://tokensol.nfluent.io?s=COR22D282&amp;platform=ftx</v>
      </c>
      <c r="AX445" s="20" t="s">
        <v>23</v>
      </c>
      <c r="AY445" s="20">
        <v>10</v>
      </c>
      <c r="AZ445" s="20" t="s">
        <v>24</v>
      </c>
      <c r="BA445" s="20">
        <v>90</v>
      </c>
      <c r="BD445" s="14"/>
      <c r="BJ445" t="s">
        <v>255</v>
      </c>
      <c r="BK445" t="s">
        <v>184</v>
      </c>
      <c r="BN445" s="36">
        <v>100</v>
      </c>
      <c r="BO445" s="36">
        <v>100</v>
      </c>
      <c r="BP445">
        <f t="shared" si="41"/>
        <v>480</v>
      </c>
      <c r="BR445" s="38">
        <v>44713</v>
      </c>
      <c r="BS445" s="20" t="s">
        <v>185</v>
      </c>
      <c r="BT445" s="20" t="str">
        <f t="shared" si="37"/>
        <v>InCasa_COR22D282</v>
      </c>
    </row>
    <row r="446" spans="2:72" ht="18.75" customHeight="1" x14ac:dyDescent="0.25">
      <c r="B446" s="20">
        <f t="shared" si="38"/>
        <v>283</v>
      </c>
      <c r="C446" s="22" t="str">
        <f t="shared" si="39"/>
        <v>In Casa #283</v>
      </c>
      <c r="D446" t="str">
        <f t="shared" si="40"/>
        <v>COR22D283</v>
      </c>
      <c r="E446" s="58" t="s">
        <v>252</v>
      </c>
      <c r="F446" s="20">
        <v>1000</v>
      </c>
      <c r="G446" s="14" t="s">
        <v>354</v>
      </c>
      <c r="H446" s="23" t="s">
        <v>170</v>
      </c>
      <c r="J446" s="59" t="s">
        <v>38</v>
      </c>
      <c r="K446" s="22" t="s">
        <v>254</v>
      </c>
      <c r="L446" s="59" t="s">
        <v>171</v>
      </c>
      <c r="M446" s="22">
        <v>2</v>
      </c>
      <c r="V446" s="59" t="s">
        <v>176</v>
      </c>
      <c r="AL446" s="59" t="s">
        <v>40</v>
      </c>
      <c r="AM446" s="22" t="s">
        <v>188</v>
      </c>
      <c r="AV446" s="59" t="s">
        <v>134</v>
      </c>
      <c r="AW446" s="22" t="str">
        <f>Settings!$B$5 &amp;  "?s=" &amp; D446 &amp; "&amp;platform=ftx"</f>
        <v>https://tokensol.nfluent.io?s=COR22D283&amp;platform=ftx</v>
      </c>
      <c r="AX446" s="20" t="s">
        <v>23</v>
      </c>
      <c r="AY446" s="20">
        <v>10</v>
      </c>
      <c r="AZ446" s="20" t="s">
        <v>24</v>
      </c>
      <c r="BA446" s="20">
        <v>90</v>
      </c>
      <c r="BD446" s="14"/>
      <c r="BJ446" t="s">
        <v>255</v>
      </c>
      <c r="BK446" t="s">
        <v>184</v>
      </c>
      <c r="BN446" s="36">
        <v>100</v>
      </c>
      <c r="BO446" s="36">
        <v>100</v>
      </c>
      <c r="BP446">
        <f t="shared" si="41"/>
        <v>480</v>
      </c>
      <c r="BR446" s="38">
        <v>44713</v>
      </c>
      <c r="BS446" s="20" t="s">
        <v>185</v>
      </c>
      <c r="BT446" s="20" t="str">
        <f t="shared" si="37"/>
        <v>InCasa_COR22D283</v>
      </c>
    </row>
    <row r="447" spans="2:72" ht="18.75" customHeight="1" x14ac:dyDescent="0.25">
      <c r="B447" s="20">
        <f t="shared" si="38"/>
        <v>284</v>
      </c>
      <c r="C447" s="22" t="str">
        <f t="shared" si="39"/>
        <v>In Casa #284</v>
      </c>
      <c r="D447" t="str">
        <f t="shared" si="40"/>
        <v>COR22D284</v>
      </c>
      <c r="E447" s="58" t="s">
        <v>252</v>
      </c>
      <c r="F447" s="20">
        <v>1000</v>
      </c>
      <c r="G447" s="14" t="s">
        <v>354</v>
      </c>
      <c r="H447" s="23" t="s">
        <v>170</v>
      </c>
      <c r="J447" s="59" t="s">
        <v>38</v>
      </c>
      <c r="K447" s="22" t="s">
        <v>254</v>
      </c>
      <c r="L447" s="59" t="s">
        <v>171</v>
      </c>
      <c r="M447" s="22">
        <v>2</v>
      </c>
      <c r="V447" s="59" t="s">
        <v>176</v>
      </c>
      <c r="AL447" s="59" t="s">
        <v>40</v>
      </c>
      <c r="AM447" s="22" t="s">
        <v>188</v>
      </c>
      <c r="AV447" s="59" t="s">
        <v>134</v>
      </c>
      <c r="AW447" s="22" t="str">
        <f>Settings!$B$5 &amp;  "?s=" &amp; D447 &amp; "&amp;platform=ftx"</f>
        <v>https://tokensol.nfluent.io?s=COR22D284&amp;platform=ftx</v>
      </c>
      <c r="AX447" s="20" t="s">
        <v>23</v>
      </c>
      <c r="AY447" s="20">
        <v>10</v>
      </c>
      <c r="AZ447" s="20" t="s">
        <v>24</v>
      </c>
      <c r="BA447" s="20">
        <v>90</v>
      </c>
      <c r="BD447" s="14"/>
      <c r="BJ447" t="s">
        <v>255</v>
      </c>
      <c r="BK447" t="s">
        <v>184</v>
      </c>
      <c r="BN447" s="36">
        <v>100</v>
      </c>
      <c r="BO447" s="36">
        <v>100</v>
      </c>
      <c r="BP447">
        <f t="shared" si="41"/>
        <v>480</v>
      </c>
      <c r="BR447" s="38">
        <v>44713</v>
      </c>
      <c r="BS447" s="20" t="s">
        <v>185</v>
      </c>
      <c r="BT447" s="20" t="str">
        <f t="shared" si="37"/>
        <v>InCasa_COR22D284</v>
      </c>
    </row>
    <row r="448" spans="2:72" ht="18.75" customHeight="1" x14ac:dyDescent="0.25">
      <c r="B448" s="20">
        <f t="shared" si="38"/>
        <v>285</v>
      </c>
      <c r="C448" s="22" t="str">
        <f t="shared" si="39"/>
        <v>In Casa #285</v>
      </c>
      <c r="D448" t="str">
        <f t="shared" si="40"/>
        <v>COR22D285</v>
      </c>
      <c r="E448" s="58" t="s">
        <v>252</v>
      </c>
      <c r="F448" s="20">
        <v>1000</v>
      </c>
      <c r="G448" s="14" t="s">
        <v>354</v>
      </c>
      <c r="H448" s="23" t="s">
        <v>170</v>
      </c>
      <c r="J448" s="59" t="s">
        <v>38</v>
      </c>
      <c r="K448" s="22" t="s">
        <v>254</v>
      </c>
      <c r="L448" s="59" t="s">
        <v>171</v>
      </c>
      <c r="M448" s="22">
        <v>2</v>
      </c>
      <c r="V448" s="59" t="s">
        <v>176</v>
      </c>
      <c r="AL448" s="59" t="s">
        <v>40</v>
      </c>
      <c r="AM448" s="22" t="s">
        <v>188</v>
      </c>
      <c r="AV448" s="59" t="s">
        <v>134</v>
      </c>
      <c r="AW448" s="22" t="str">
        <f>Settings!$B$5 &amp;  "?s=" &amp; D448 &amp; "&amp;platform=ftx"</f>
        <v>https://tokensol.nfluent.io?s=COR22D285&amp;platform=ftx</v>
      </c>
      <c r="AX448" s="20" t="s">
        <v>23</v>
      </c>
      <c r="AY448" s="20">
        <v>10</v>
      </c>
      <c r="AZ448" s="20" t="s">
        <v>24</v>
      </c>
      <c r="BA448" s="20">
        <v>90</v>
      </c>
      <c r="BD448" s="14"/>
      <c r="BJ448" t="s">
        <v>255</v>
      </c>
      <c r="BK448" t="s">
        <v>184</v>
      </c>
      <c r="BN448" s="36">
        <v>100</v>
      </c>
      <c r="BO448" s="36">
        <v>100</v>
      </c>
      <c r="BP448">
        <f t="shared" si="41"/>
        <v>480</v>
      </c>
      <c r="BR448" s="38">
        <v>44713</v>
      </c>
      <c r="BS448" s="20" t="s">
        <v>185</v>
      </c>
      <c r="BT448" s="20" t="str">
        <f t="shared" si="37"/>
        <v>InCasa_COR22D285</v>
      </c>
    </row>
    <row r="449" spans="2:72" ht="18.75" customHeight="1" x14ac:dyDescent="0.25">
      <c r="B449" s="20">
        <f t="shared" si="38"/>
        <v>286</v>
      </c>
      <c r="C449" s="22" t="str">
        <f t="shared" si="39"/>
        <v>In Casa #286</v>
      </c>
      <c r="D449" t="str">
        <f t="shared" si="40"/>
        <v>COR22D286</v>
      </c>
      <c r="E449" s="58" t="s">
        <v>252</v>
      </c>
      <c r="F449" s="20">
        <v>1000</v>
      </c>
      <c r="G449" s="14" t="s">
        <v>354</v>
      </c>
      <c r="H449" s="23" t="s">
        <v>170</v>
      </c>
      <c r="J449" s="59" t="s">
        <v>38</v>
      </c>
      <c r="K449" s="22" t="s">
        <v>254</v>
      </c>
      <c r="L449" s="59" t="s">
        <v>171</v>
      </c>
      <c r="M449" s="22">
        <v>2</v>
      </c>
      <c r="V449" s="59" t="s">
        <v>176</v>
      </c>
      <c r="AL449" s="59" t="s">
        <v>40</v>
      </c>
      <c r="AM449" s="22" t="s">
        <v>188</v>
      </c>
      <c r="AV449" s="59" t="s">
        <v>134</v>
      </c>
      <c r="AW449" s="22" t="str">
        <f>Settings!$B$5 &amp;  "?s=" &amp; D449 &amp; "&amp;platform=ftx"</f>
        <v>https://tokensol.nfluent.io?s=COR22D286&amp;platform=ftx</v>
      </c>
      <c r="AX449" s="20" t="s">
        <v>23</v>
      </c>
      <c r="AY449" s="20">
        <v>10</v>
      </c>
      <c r="AZ449" s="20" t="s">
        <v>24</v>
      </c>
      <c r="BA449" s="20">
        <v>90</v>
      </c>
      <c r="BD449" s="14"/>
      <c r="BJ449" t="s">
        <v>255</v>
      </c>
      <c r="BK449" t="s">
        <v>184</v>
      </c>
      <c r="BN449" s="36">
        <v>100</v>
      </c>
      <c r="BO449" s="36">
        <v>100</v>
      </c>
      <c r="BP449">
        <f t="shared" si="41"/>
        <v>480</v>
      </c>
      <c r="BR449" s="38">
        <v>44713</v>
      </c>
      <c r="BS449" s="20" t="s">
        <v>185</v>
      </c>
      <c r="BT449" s="20" t="str">
        <f t="shared" si="37"/>
        <v>InCasa_COR22D286</v>
      </c>
    </row>
    <row r="450" spans="2:72" ht="18.75" customHeight="1" x14ac:dyDescent="0.25">
      <c r="B450" s="20">
        <f t="shared" si="38"/>
        <v>287</v>
      </c>
      <c r="C450" s="22" t="str">
        <f t="shared" si="39"/>
        <v>In Casa #287</v>
      </c>
      <c r="D450" t="str">
        <f t="shared" si="40"/>
        <v>COR22D287</v>
      </c>
      <c r="E450" s="58" t="s">
        <v>252</v>
      </c>
      <c r="F450" s="20">
        <v>1000</v>
      </c>
      <c r="G450" s="14" t="s">
        <v>354</v>
      </c>
      <c r="H450" s="23" t="s">
        <v>170</v>
      </c>
      <c r="J450" s="59" t="s">
        <v>38</v>
      </c>
      <c r="K450" s="22" t="s">
        <v>254</v>
      </c>
      <c r="L450" s="59" t="s">
        <v>171</v>
      </c>
      <c r="M450" s="22">
        <v>2</v>
      </c>
      <c r="V450" s="59" t="s">
        <v>176</v>
      </c>
      <c r="AL450" s="59" t="s">
        <v>40</v>
      </c>
      <c r="AM450" s="22" t="s">
        <v>188</v>
      </c>
      <c r="AV450" s="59" t="s">
        <v>134</v>
      </c>
      <c r="AW450" s="22" t="str">
        <f>Settings!$B$5 &amp;  "?s=" &amp; D450 &amp; "&amp;platform=ftx"</f>
        <v>https://tokensol.nfluent.io?s=COR22D287&amp;platform=ftx</v>
      </c>
      <c r="AX450" s="20" t="s">
        <v>23</v>
      </c>
      <c r="AY450" s="20">
        <v>10</v>
      </c>
      <c r="AZ450" s="20" t="s">
        <v>24</v>
      </c>
      <c r="BA450" s="20">
        <v>90</v>
      </c>
      <c r="BD450" s="14"/>
      <c r="BJ450" t="s">
        <v>255</v>
      </c>
      <c r="BK450" t="s">
        <v>184</v>
      </c>
      <c r="BN450" s="36">
        <v>100</v>
      </c>
      <c r="BO450" s="36">
        <v>100</v>
      </c>
      <c r="BP450">
        <f t="shared" si="41"/>
        <v>480</v>
      </c>
      <c r="BR450" s="38">
        <v>44713</v>
      </c>
      <c r="BS450" s="20" t="s">
        <v>185</v>
      </c>
      <c r="BT450" s="20" t="str">
        <f t="shared" si="37"/>
        <v>InCasa_COR22D287</v>
      </c>
    </row>
    <row r="451" spans="2:72" ht="18.75" customHeight="1" x14ac:dyDescent="0.25">
      <c r="B451" s="20">
        <f t="shared" si="38"/>
        <v>288</v>
      </c>
      <c r="C451" s="22" t="str">
        <f t="shared" si="39"/>
        <v>In Casa #288</v>
      </c>
      <c r="D451" t="str">
        <f t="shared" si="40"/>
        <v>COR22D288</v>
      </c>
      <c r="E451" s="58" t="s">
        <v>252</v>
      </c>
      <c r="F451" s="20">
        <v>1000</v>
      </c>
      <c r="G451" s="14" t="s">
        <v>354</v>
      </c>
      <c r="H451" s="23" t="s">
        <v>170</v>
      </c>
      <c r="J451" s="59" t="s">
        <v>38</v>
      </c>
      <c r="K451" s="22" t="s">
        <v>254</v>
      </c>
      <c r="L451" s="59" t="s">
        <v>171</v>
      </c>
      <c r="M451" s="22">
        <v>2</v>
      </c>
      <c r="V451" s="59" t="s">
        <v>176</v>
      </c>
      <c r="AL451" s="59" t="s">
        <v>40</v>
      </c>
      <c r="AM451" s="22" t="s">
        <v>188</v>
      </c>
      <c r="AV451" s="59" t="s">
        <v>134</v>
      </c>
      <c r="AW451" s="22" t="str">
        <f>Settings!$B$5 &amp;  "?s=" &amp; D451 &amp; "&amp;platform=ftx"</f>
        <v>https://tokensol.nfluent.io?s=COR22D288&amp;platform=ftx</v>
      </c>
      <c r="AX451" s="20" t="s">
        <v>23</v>
      </c>
      <c r="AY451" s="20">
        <v>10</v>
      </c>
      <c r="AZ451" s="20" t="s">
        <v>24</v>
      </c>
      <c r="BA451" s="20">
        <v>90</v>
      </c>
      <c r="BD451" s="14"/>
      <c r="BJ451" t="s">
        <v>255</v>
      </c>
      <c r="BK451" t="s">
        <v>184</v>
      </c>
      <c r="BN451" s="36">
        <v>100</v>
      </c>
      <c r="BO451" s="36">
        <v>100</v>
      </c>
      <c r="BP451">
        <f t="shared" si="41"/>
        <v>480</v>
      </c>
      <c r="BR451" s="38">
        <v>44713</v>
      </c>
      <c r="BS451" s="20" t="s">
        <v>185</v>
      </c>
      <c r="BT451" s="20" t="str">
        <f t="shared" si="37"/>
        <v>InCasa_COR22D288</v>
      </c>
    </row>
    <row r="452" spans="2:72" ht="18.75" customHeight="1" x14ac:dyDescent="0.25">
      <c r="B452" s="20">
        <f t="shared" si="38"/>
        <v>289</v>
      </c>
      <c r="C452" s="22" t="str">
        <f t="shared" si="39"/>
        <v>In Casa #289</v>
      </c>
      <c r="D452" t="str">
        <f t="shared" si="40"/>
        <v>COR22D289</v>
      </c>
      <c r="E452" s="58" t="s">
        <v>252</v>
      </c>
      <c r="F452" s="20">
        <v>1000</v>
      </c>
      <c r="G452" s="14" t="s">
        <v>354</v>
      </c>
      <c r="H452" s="23" t="s">
        <v>170</v>
      </c>
      <c r="J452" s="59" t="s">
        <v>38</v>
      </c>
      <c r="K452" s="22" t="s">
        <v>254</v>
      </c>
      <c r="L452" s="59" t="s">
        <v>171</v>
      </c>
      <c r="M452" s="22">
        <v>2</v>
      </c>
      <c r="V452" s="59" t="s">
        <v>176</v>
      </c>
      <c r="AL452" s="59" t="s">
        <v>40</v>
      </c>
      <c r="AM452" s="22" t="s">
        <v>188</v>
      </c>
      <c r="AV452" s="59" t="s">
        <v>134</v>
      </c>
      <c r="AW452" s="22" t="str">
        <f>Settings!$B$5 &amp;  "?s=" &amp; D452 &amp; "&amp;platform=ftx"</f>
        <v>https://tokensol.nfluent.io?s=COR22D289&amp;platform=ftx</v>
      </c>
      <c r="AX452" s="20" t="s">
        <v>23</v>
      </c>
      <c r="AY452" s="20">
        <v>10</v>
      </c>
      <c r="AZ452" s="20" t="s">
        <v>24</v>
      </c>
      <c r="BA452" s="20">
        <v>90</v>
      </c>
      <c r="BD452" s="14"/>
      <c r="BJ452" t="s">
        <v>255</v>
      </c>
      <c r="BK452" t="s">
        <v>184</v>
      </c>
      <c r="BN452" s="36">
        <v>100</v>
      </c>
      <c r="BO452" s="36">
        <v>100</v>
      </c>
      <c r="BP452">
        <f t="shared" si="41"/>
        <v>480</v>
      </c>
      <c r="BR452" s="38">
        <v>44713</v>
      </c>
      <c r="BS452" s="20" t="s">
        <v>185</v>
      </c>
      <c r="BT452" s="20" t="str">
        <f t="shared" si="37"/>
        <v>InCasa_COR22D289</v>
      </c>
    </row>
    <row r="453" spans="2:72" ht="18.75" customHeight="1" x14ac:dyDescent="0.25">
      <c r="B453" s="20">
        <f t="shared" si="38"/>
        <v>290</v>
      </c>
      <c r="C453" s="22" t="str">
        <f t="shared" si="39"/>
        <v>In Casa #290</v>
      </c>
      <c r="D453" t="str">
        <f t="shared" si="40"/>
        <v>COR22D290</v>
      </c>
      <c r="E453" s="58" t="s">
        <v>252</v>
      </c>
      <c r="F453" s="20">
        <v>1000</v>
      </c>
      <c r="G453" s="14" t="s">
        <v>354</v>
      </c>
      <c r="H453" s="23" t="s">
        <v>170</v>
      </c>
      <c r="J453" s="59" t="s">
        <v>38</v>
      </c>
      <c r="K453" s="22" t="s">
        <v>254</v>
      </c>
      <c r="L453" s="59" t="s">
        <v>171</v>
      </c>
      <c r="M453" s="22">
        <v>2</v>
      </c>
      <c r="V453" s="59" t="s">
        <v>176</v>
      </c>
      <c r="AL453" s="59" t="s">
        <v>40</v>
      </c>
      <c r="AM453" s="22" t="s">
        <v>188</v>
      </c>
      <c r="AV453" s="59" t="s">
        <v>134</v>
      </c>
      <c r="AW453" s="22" t="str">
        <f>Settings!$B$5 &amp;  "?s=" &amp; D453 &amp; "&amp;platform=ftx"</f>
        <v>https://tokensol.nfluent.io?s=COR22D290&amp;platform=ftx</v>
      </c>
      <c r="AX453" s="20" t="s">
        <v>23</v>
      </c>
      <c r="AY453" s="20">
        <v>10</v>
      </c>
      <c r="AZ453" s="20" t="s">
        <v>24</v>
      </c>
      <c r="BA453" s="20">
        <v>90</v>
      </c>
      <c r="BD453" s="14"/>
      <c r="BJ453" t="s">
        <v>255</v>
      </c>
      <c r="BK453" t="s">
        <v>184</v>
      </c>
      <c r="BN453" s="36">
        <v>100</v>
      </c>
      <c r="BO453" s="36">
        <v>100</v>
      </c>
      <c r="BP453">
        <f t="shared" si="41"/>
        <v>480</v>
      </c>
      <c r="BR453" s="38">
        <v>44713</v>
      </c>
      <c r="BS453" s="20" t="s">
        <v>185</v>
      </c>
      <c r="BT453" s="20" t="str">
        <f t="shared" ref="BT453:BT516" si="42">SUBSTITUTE(BJ453," ","") &amp; "_" &amp; D453</f>
        <v>InCasa_COR22D290</v>
      </c>
    </row>
    <row r="454" spans="2:72" ht="18.75" customHeight="1" x14ac:dyDescent="0.25">
      <c r="B454" s="20">
        <f t="shared" ref="B454:B517" si="43">+B453+1</f>
        <v>291</v>
      </c>
      <c r="C454" s="22" t="str">
        <f t="shared" si="39"/>
        <v>In Casa #291</v>
      </c>
      <c r="D454" t="str">
        <f t="shared" si="40"/>
        <v>COR22D291</v>
      </c>
      <c r="E454" s="58" t="s">
        <v>252</v>
      </c>
      <c r="F454" s="20">
        <v>1000</v>
      </c>
      <c r="G454" s="14" t="s">
        <v>354</v>
      </c>
      <c r="H454" s="23" t="s">
        <v>170</v>
      </c>
      <c r="J454" s="59" t="s">
        <v>38</v>
      </c>
      <c r="K454" s="22" t="s">
        <v>254</v>
      </c>
      <c r="L454" s="59" t="s">
        <v>171</v>
      </c>
      <c r="M454" s="22">
        <v>2</v>
      </c>
      <c r="V454" s="59" t="s">
        <v>176</v>
      </c>
      <c r="AL454" s="59" t="s">
        <v>40</v>
      </c>
      <c r="AM454" s="22" t="s">
        <v>188</v>
      </c>
      <c r="AV454" s="59" t="s">
        <v>134</v>
      </c>
      <c r="AW454" s="22" t="str">
        <f>Settings!$B$5 &amp;  "?s=" &amp; D454 &amp; "&amp;platform=ftx"</f>
        <v>https://tokensol.nfluent.io?s=COR22D291&amp;platform=ftx</v>
      </c>
      <c r="AX454" s="20" t="s">
        <v>23</v>
      </c>
      <c r="AY454" s="20">
        <v>10</v>
      </c>
      <c r="AZ454" s="20" t="s">
        <v>24</v>
      </c>
      <c r="BA454" s="20">
        <v>90</v>
      </c>
      <c r="BD454" s="14"/>
      <c r="BJ454" t="s">
        <v>255</v>
      </c>
      <c r="BK454" t="s">
        <v>184</v>
      </c>
      <c r="BN454" s="36">
        <v>100</v>
      </c>
      <c r="BO454" s="36">
        <v>100</v>
      </c>
      <c r="BP454">
        <f t="shared" si="41"/>
        <v>480</v>
      </c>
      <c r="BR454" s="38">
        <v>44713</v>
      </c>
      <c r="BS454" s="20" t="s">
        <v>185</v>
      </c>
      <c r="BT454" s="20" t="str">
        <f t="shared" si="42"/>
        <v>InCasa_COR22D291</v>
      </c>
    </row>
    <row r="455" spans="2:72" ht="18.75" customHeight="1" x14ac:dyDescent="0.25">
      <c r="B455" s="20">
        <f t="shared" si="43"/>
        <v>292</v>
      </c>
      <c r="C455" s="22" t="str">
        <f t="shared" si="39"/>
        <v>In Casa #292</v>
      </c>
      <c r="D455" t="str">
        <f t="shared" si="40"/>
        <v>COR22D292</v>
      </c>
      <c r="E455" s="58" t="s">
        <v>252</v>
      </c>
      <c r="F455" s="20">
        <v>1000</v>
      </c>
      <c r="G455" s="14" t="s">
        <v>354</v>
      </c>
      <c r="H455" s="23" t="s">
        <v>170</v>
      </c>
      <c r="J455" s="59" t="s">
        <v>38</v>
      </c>
      <c r="K455" s="22" t="s">
        <v>254</v>
      </c>
      <c r="L455" s="59" t="s">
        <v>171</v>
      </c>
      <c r="M455" s="22">
        <v>2</v>
      </c>
      <c r="V455" s="59" t="s">
        <v>176</v>
      </c>
      <c r="AL455" s="59" t="s">
        <v>40</v>
      </c>
      <c r="AM455" s="22" t="s">
        <v>188</v>
      </c>
      <c r="AV455" s="59" t="s">
        <v>134</v>
      </c>
      <c r="AW455" s="22" t="str">
        <f>Settings!$B$5 &amp;  "?s=" &amp; D455 &amp; "&amp;platform=ftx"</f>
        <v>https://tokensol.nfluent.io?s=COR22D292&amp;platform=ftx</v>
      </c>
      <c r="AX455" s="20" t="s">
        <v>23</v>
      </c>
      <c r="AY455" s="20">
        <v>10</v>
      </c>
      <c r="AZ455" s="20" t="s">
        <v>24</v>
      </c>
      <c r="BA455" s="20">
        <v>90</v>
      </c>
      <c r="BD455" s="14"/>
      <c r="BJ455" t="s">
        <v>255</v>
      </c>
      <c r="BK455" t="s">
        <v>184</v>
      </c>
      <c r="BN455" s="36">
        <v>100</v>
      </c>
      <c r="BO455" s="36">
        <v>100</v>
      </c>
      <c r="BP455">
        <f t="shared" si="41"/>
        <v>480</v>
      </c>
      <c r="BR455" s="38">
        <v>44713</v>
      </c>
      <c r="BS455" s="20" t="s">
        <v>185</v>
      </c>
      <c r="BT455" s="20" t="str">
        <f t="shared" si="42"/>
        <v>InCasa_COR22D292</v>
      </c>
    </row>
    <row r="456" spans="2:72" ht="18.75" customHeight="1" x14ac:dyDescent="0.25">
      <c r="B456" s="20">
        <f t="shared" si="43"/>
        <v>293</v>
      </c>
      <c r="C456" s="22" t="str">
        <f t="shared" si="39"/>
        <v>In Casa #293</v>
      </c>
      <c r="D456" t="str">
        <f t="shared" si="40"/>
        <v>COR22D293</v>
      </c>
      <c r="E456" s="58" t="s">
        <v>252</v>
      </c>
      <c r="F456" s="20">
        <v>1000</v>
      </c>
      <c r="G456" s="14" t="s">
        <v>354</v>
      </c>
      <c r="H456" s="23" t="s">
        <v>170</v>
      </c>
      <c r="J456" s="59" t="s">
        <v>38</v>
      </c>
      <c r="K456" s="22" t="s">
        <v>254</v>
      </c>
      <c r="L456" s="59" t="s">
        <v>171</v>
      </c>
      <c r="M456" s="22">
        <v>2</v>
      </c>
      <c r="V456" s="59" t="s">
        <v>176</v>
      </c>
      <c r="AL456" s="59" t="s">
        <v>40</v>
      </c>
      <c r="AM456" s="22" t="s">
        <v>188</v>
      </c>
      <c r="AV456" s="59" t="s">
        <v>134</v>
      </c>
      <c r="AW456" s="22" t="str">
        <f>Settings!$B$5 &amp;  "?s=" &amp; D456 &amp; "&amp;platform=ftx"</f>
        <v>https://tokensol.nfluent.io?s=COR22D293&amp;platform=ftx</v>
      </c>
      <c r="AX456" s="20" t="s">
        <v>23</v>
      </c>
      <c r="AY456" s="20">
        <v>10</v>
      </c>
      <c r="AZ456" s="20" t="s">
        <v>24</v>
      </c>
      <c r="BA456" s="20">
        <v>90</v>
      </c>
      <c r="BD456" s="14"/>
      <c r="BJ456" t="s">
        <v>255</v>
      </c>
      <c r="BK456" t="s">
        <v>184</v>
      </c>
      <c r="BN456" s="36">
        <v>100</v>
      </c>
      <c r="BO456" s="36">
        <v>100</v>
      </c>
      <c r="BP456">
        <f t="shared" si="41"/>
        <v>480</v>
      </c>
      <c r="BR456" s="38">
        <v>44713</v>
      </c>
      <c r="BS456" s="20" t="s">
        <v>185</v>
      </c>
      <c r="BT456" s="20" t="str">
        <f t="shared" si="42"/>
        <v>InCasa_COR22D293</v>
      </c>
    </row>
    <row r="457" spans="2:72" ht="18.75" customHeight="1" x14ac:dyDescent="0.25">
      <c r="B457" s="20">
        <f t="shared" si="43"/>
        <v>294</v>
      </c>
      <c r="C457" s="22" t="str">
        <f t="shared" si="39"/>
        <v>In Casa #294</v>
      </c>
      <c r="D457" t="str">
        <f t="shared" si="40"/>
        <v>COR22D294</v>
      </c>
      <c r="E457" s="58" t="s">
        <v>252</v>
      </c>
      <c r="F457" s="20">
        <v>1000</v>
      </c>
      <c r="G457" s="14" t="s">
        <v>354</v>
      </c>
      <c r="H457" s="23" t="s">
        <v>170</v>
      </c>
      <c r="J457" s="59" t="s">
        <v>38</v>
      </c>
      <c r="K457" s="22" t="s">
        <v>254</v>
      </c>
      <c r="L457" s="59" t="s">
        <v>171</v>
      </c>
      <c r="M457" s="22">
        <v>2</v>
      </c>
      <c r="V457" s="59" t="s">
        <v>176</v>
      </c>
      <c r="AL457" s="59" t="s">
        <v>40</v>
      </c>
      <c r="AM457" s="22" t="s">
        <v>188</v>
      </c>
      <c r="AV457" s="59" t="s">
        <v>134</v>
      </c>
      <c r="AW457" s="22" t="str">
        <f>Settings!$B$5 &amp;  "?s=" &amp; D457 &amp; "&amp;platform=ftx"</f>
        <v>https://tokensol.nfluent.io?s=COR22D294&amp;platform=ftx</v>
      </c>
      <c r="AX457" s="20" t="s">
        <v>23</v>
      </c>
      <c r="AY457" s="20">
        <v>10</v>
      </c>
      <c r="AZ457" s="20" t="s">
        <v>24</v>
      </c>
      <c r="BA457" s="20">
        <v>90</v>
      </c>
      <c r="BD457" s="14"/>
      <c r="BJ457" t="s">
        <v>255</v>
      </c>
      <c r="BK457" t="s">
        <v>184</v>
      </c>
      <c r="BN457" s="36">
        <v>100</v>
      </c>
      <c r="BO457" s="36">
        <v>100</v>
      </c>
      <c r="BP457">
        <f t="shared" si="41"/>
        <v>480</v>
      </c>
      <c r="BR457" s="38">
        <v>44713</v>
      </c>
      <c r="BS457" s="20" t="s">
        <v>185</v>
      </c>
      <c r="BT457" s="20" t="str">
        <f t="shared" si="42"/>
        <v>InCasa_COR22D294</v>
      </c>
    </row>
    <row r="458" spans="2:72" ht="18.75" customHeight="1" x14ac:dyDescent="0.25">
      <c r="B458" s="20">
        <f t="shared" si="43"/>
        <v>295</v>
      </c>
      <c r="C458" s="22" t="str">
        <f t="shared" si="39"/>
        <v>In Casa #295</v>
      </c>
      <c r="D458" t="str">
        <f t="shared" si="40"/>
        <v>COR22D295</v>
      </c>
      <c r="E458" s="58" t="s">
        <v>252</v>
      </c>
      <c r="F458" s="20">
        <v>1000</v>
      </c>
      <c r="G458" s="14" t="s">
        <v>354</v>
      </c>
      <c r="H458" s="23" t="s">
        <v>170</v>
      </c>
      <c r="J458" s="59" t="s">
        <v>38</v>
      </c>
      <c r="K458" s="22" t="s">
        <v>254</v>
      </c>
      <c r="L458" s="59" t="s">
        <v>171</v>
      </c>
      <c r="M458" s="22">
        <v>2</v>
      </c>
      <c r="V458" s="59" t="s">
        <v>176</v>
      </c>
      <c r="AL458" s="59" t="s">
        <v>40</v>
      </c>
      <c r="AM458" s="22" t="s">
        <v>188</v>
      </c>
      <c r="AV458" s="59" t="s">
        <v>134</v>
      </c>
      <c r="AW458" s="22" t="str">
        <f>Settings!$B$5 &amp;  "?s=" &amp; D458 &amp; "&amp;platform=ftx"</f>
        <v>https://tokensol.nfluent.io?s=COR22D295&amp;platform=ftx</v>
      </c>
      <c r="AX458" s="20" t="s">
        <v>23</v>
      </c>
      <c r="AY458" s="20">
        <v>10</v>
      </c>
      <c r="AZ458" s="20" t="s">
        <v>24</v>
      </c>
      <c r="BA458" s="20">
        <v>90</v>
      </c>
      <c r="BD458" s="14"/>
      <c r="BJ458" t="s">
        <v>255</v>
      </c>
      <c r="BK458" t="s">
        <v>184</v>
      </c>
      <c r="BN458" s="36">
        <v>100</v>
      </c>
      <c r="BO458" s="36">
        <v>100</v>
      </c>
      <c r="BP458">
        <f t="shared" si="41"/>
        <v>480</v>
      </c>
      <c r="BR458" s="38">
        <v>44713</v>
      </c>
      <c r="BS458" s="20" t="s">
        <v>185</v>
      </c>
      <c r="BT458" s="20" t="str">
        <f t="shared" si="42"/>
        <v>InCasa_COR22D295</v>
      </c>
    </row>
    <row r="459" spans="2:72" ht="18.75" customHeight="1" x14ac:dyDescent="0.25">
      <c r="B459" s="20">
        <f t="shared" si="43"/>
        <v>296</v>
      </c>
      <c r="C459" s="22" t="str">
        <f t="shared" si="39"/>
        <v>In Casa #296</v>
      </c>
      <c r="D459" t="str">
        <f t="shared" si="40"/>
        <v>COR22D296</v>
      </c>
      <c r="E459" s="58" t="s">
        <v>252</v>
      </c>
      <c r="F459" s="20">
        <v>1000</v>
      </c>
      <c r="G459" s="14" t="s">
        <v>354</v>
      </c>
      <c r="H459" s="23" t="s">
        <v>170</v>
      </c>
      <c r="J459" s="59" t="s">
        <v>38</v>
      </c>
      <c r="K459" s="22" t="s">
        <v>254</v>
      </c>
      <c r="L459" s="59" t="s">
        <v>171</v>
      </c>
      <c r="M459" s="22">
        <v>2</v>
      </c>
      <c r="V459" s="59" t="s">
        <v>176</v>
      </c>
      <c r="AL459" s="59" t="s">
        <v>40</v>
      </c>
      <c r="AM459" s="22" t="s">
        <v>188</v>
      </c>
      <c r="AV459" s="59" t="s">
        <v>134</v>
      </c>
      <c r="AW459" s="22" t="str">
        <f>Settings!$B$5 &amp;  "?s=" &amp; D459 &amp; "&amp;platform=ftx"</f>
        <v>https://tokensol.nfluent.io?s=COR22D296&amp;platform=ftx</v>
      </c>
      <c r="AX459" s="20" t="s">
        <v>23</v>
      </c>
      <c r="AY459" s="20">
        <v>10</v>
      </c>
      <c r="AZ459" s="20" t="s">
        <v>24</v>
      </c>
      <c r="BA459" s="20">
        <v>90</v>
      </c>
      <c r="BD459" s="14"/>
      <c r="BJ459" t="s">
        <v>255</v>
      </c>
      <c r="BK459" t="s">
        <v>184</v>
      </c>
      <c r="BN459" s="36">
        <v>100</v>
      </c>
      <c r="BO459" s="36">
        <v>100</v>
      </c>
      <c r="BP459">
        <f t="shared" si="41"/>
        <v>480</v>
      </c>
      <c r="BR459" s="38">
        <v>44713</v>
      </c>
      <c r="BS459" s="20" t="s">
        <v>185</v>
      </c>
      <c r="BT459" s="20" t="str">
        <f t="shared" si="42"/>
        <v>InCasa_COR22D296</v>
      </c>
    </row>
    <row r="460" spans="2:72" ht="18.75" customHeight="1" x14ac:dyDescent="0.25">
      <c r="B460" s="20">
        <f t="shared" si="43"/>
        <v>297</v>
      </c>
      <c r="C460" s="22" t="str">
        <f t="shared" si="39"/>
        <v>In Casa #297</v>
      </c>
      <c r="D460" t="str">
        <f t="shared" si="40"/>
        <v>COR22D297</v>
      </c>
      <c r="E460" s="58" t="s">
        <v>252</v>
      </c>
      <c r="F460" s="20">
        <v>1000</v>
      </c>
      <c r="G460" s="14" t="s">
        <v>354</v>
      </c>
      <c r="H460" s="23" t="s">
        <v>170</v>
      </c>
      <c r="J460" s="59" t="s">
        <v>38</v>
      </c>
      <c r="K460" s="22" t="s">
        <v>254</v>
      </c>
      <c r="L460" s="59" t="s">
        <v>171</v>
      </c>
      <c r="M460" s="22">
        <v>2</v>
      </c>
      <c r="V460" s="59" t="s">
        <v>176</v>
      </c>
      <c r="AL460" s="59" t="s">
        <v>40</v>
      </c>
      <c r="AM460" s="22" t="s">
        <v>188</v>
      </c>
      <c r="AV460" s="59" t="s">
        <v>134</v>
      </c>
      <c r="AW460" s="22" t="str">
        <f>Settings!$B$5 &amp;  "?s=" &amp; D460 &amp; "&amp;platform=ftx"</f>
        <v>https://tokensol.nfluent.io?s=COR22D297&amp;platform=ftx</v>
      </c>
      <c r="AX460" s="20" t="s">
        <v>23</v>
      </c>
      <c r="AY460" s="20">
        <v>10</v>
      </c>
      <c r="AZ460" s="20" t="s">
        <v>24</v>
      </c>
      <c r="BA460" s="20">
        <v>90</v>
      </c>
      <c r="BD460" s="14"/>
      <c r="BJ460" t="s">
        <v>255</v>
      </c>
      <c r="BK460" t="s">
        <v>184</v>
      </c>
      <c r="BN460" s="36">
        <v>100</v>
      </c>
      <c r="BO460" s="36">
        <v>100</v>
      </c>
      <c r="BP460">
        <f t="shared" si="41"/>
        <v>480</v>
      </c>
      <c r="BR460" s="38">
        <v>44713</v>
      </c>
      <c r="BS460" s="20" t="s">
        <v>185</v>
      </c>
      <c r="BT460" s="20" t="str">
        <f t="shared" si="42"/>
        <v>InCasa_COR22D297</v>
      </c>
    </row>
    <row r="461" spans="2:72" ht="18.75" customHeight="1" x14ac:dyDescent="0.25">
      <c r="B461" s="20">
        <f t="shared" si="43"/>
        <v>298</v>
      </c>
      <c r="C461" s="22" t="str">
        <f t="shared" si="39"/>
        <v>In Casa #298</v>
      </c>
      <c r="D461" t="str">
        <f t="shared" si="40"/>
        <v>COR22D298</v>
      </c>
      <c r="E461" s="58" t="s">
        <v>252</v>
      </c>
      <c r="F461" s="20">
        <v>1000</v>
      </c>
      <c r="G461" s="14" t="s">
        <v>354</v>
      </c>
      <c r="H461" s="23" t="s">
        <v>170</v>
      </c>
      <c r="J461" s="59" t="s">
        <v>38</v>
      </c>
      <c r="K461" s="22" t="s">
        <v>254</v>
      </c>
      <c r="L461" s="59" t="s">
        <v>171</v>
      </c>
      <c r="M461" s="22">
        <v>2</v>
      </c>
      <c r="V461" s="59" t="s">
        <v>176</v>
      </c>
      <c r="AL461" s="59" t="s">
        <v>40</v>
      </c>
      <c r="AM461" s="22" t="s">
        <v>188</v>
      </c>
      <c r="AV461" s="59" t="s">
        <v>134</v>
      </c>
      <c r="AW461" s="22" t="str">
        <f>Settings!$B$5 &amp;  "?s=" &amp; D461 &amp; "&amp;platform=ftx"</f>
        <v>https://tokensol.nfluent.io?s=COR22D298&amp;platform=ftx</v>
      </c>
      <c r="AX461" s="20" t="s">
        <v>23</v>
      </c>
      <c r="AY461" s="20">
        <v>10</v>
      </c>
      <c r="AZ461" s="20" t="s">
        <v>24</v>
      </c>
      <c r="BA461" s="20">
        <v>90</v>
      </c>
      <c r="BD461" s="14"/>
      <c r="BJ461" t="s">
        <v>255</v>
      </c>
      <c r="BK461" t="s">
        <v>184</v>
      </c>
      <c r="BN461" s="36">
        <v>100</v>
      </c>
      <c r="BO461" s="36">
        <v>100</v>
      </c>
      <c r="BP461">
        <f t="shared" si="41"/>
        <v>480</v>
      </c>
      <c r="BR461" s="38">
        <v>44713</v>
      </c>
      <c r="BS461" s="20" t="s">
        <v>185</v>
      </c>
      <c r="BT461" s="20" t="str">
        <f t="shared" si="42"/>
        <v>InCasa_COR22D298</v>
      </c>
    </row>
    <row r="462" spans="2:72" ht="18.75" customHeight="1" x14ac:dyDescent="0.25">
      <c r="B462" s="20">
        <f t="shared" si="43"/>
        <v>299</v>
      </c>
      <c r="C462" s="22" t="str">
        <f t="shared" si="39"/>
        <v>In Casa #299</v>
      </c>
      <c r="D462" t="str">
        <f t="shared" si="40"/>
        <v>COR22D299</v>
      </c>
      <c r="E462" s="58" t="s">
        <v>252</v>
      </c>
      <c r="F462" s="20">
        <v>1000</v>
      </c>
      <c r="G462" s="14" t="s">
        <v>354</v>
      </c>
      <c r="H462" s="23" t="s">
        <v>170</v>
      </c>
      <c r="J462" s="59" t="s">
        <v>38</v>
      </c>
      <c r="K462" s="22" t="s">
        <v>254</v>
      </c>
      <c r="L462" s="59" t="s">
        <v>171</v>
      </c>
      <c r="M462" s="22">
        <v>2</v>
      </c>
      <c r="V462" s="59" t="s">
        <v>176</v>
      </c>
      <c r="AL462" s="59" t="s">
        <v>40</v>
      </c>
      <c r="AM462" s="22" t="s">
        <v>188</v>
      </c>
      <c r="AV462" s="59" t="s">
        <v>134</v>
      </c>
      <c r="AW462" s="22" t="str">
        <f>Settings!$B$5 &amp;  "?s=" &amp; D462 &amp; "&amp;platform=ftx"</f>
        <v>https://tokensol.nfluent.io?s=COR22D299&amp;platform=ftx</v>
      </c>
      <c r="AX462" s="20" t="s">
        <v>23</v>
      </c>
      <c r="AY462" s="20">
        <v>10</v>
      </c>
      <c r="AZ462" s="20" t="s">
        <v>24</v>
      </c>
      <c r="BA462" s="20">
        <v>90</v>
      </c>
      <c r="BD462" s="14"/>
      <c r="BJ462" t="s">
        <v>255</v>
      </c>
      <c r="BK462" t="s">
        <v>184</v>
      </c>
      <c r="BN462" s="36">
        <v>100</v>
      </c>
      <c r="BO462" s="36">
        <v>100</v>
      </c>
      <c r="BP462">
        <f t="shared" si="41"/>
        <v>480</v>
      </c>
      <c r="BR462" s="38">
        <v>44713</v>
      </c>
      <c r="BS462" s="20" t="s">
        <v>185</v>
      </c>
      <c r="BT462" s="20" t="str">
        <f t="shared" si="42"/>
        <v>InCasa_COR22D299</v>
      </c>
    </row>
    <row r="463" spans="2:72" ht="18.75" customHeight="1" x14ac:dyDescent="0.25">
      <c r="B463" s="20">
        <f t="shared" si="43"/>
        <v>300</v>
      </c>
      <c r="C463" s="22" t="str">
        <f t="shared" si="39"/>
        <v>In Casa #300</v>
      </c>
      <c r="D463" t="str">
        <f t="shared" si="40"/>
        <v>COR22D300</v>
      </c>
      <c r="E463" s="58" t="s">
        <v>252</v>
      </c>
      <c r="F463" s="20">
        <v>1000</v>
      </c>
      <c r="G463" s="14" t="s">
        <v>354</v>
      </c>
      <c r="H463" s="23" t="s">
        <v>170</v>
      </c>
      <c r="J463" s="59" t="s">
        <v>38</v>
      </c>
      <c r="K463" s="22" t="s">
        <v>254</v>
      </c>
      <c r="L463" s="59" t="s">
        <v>171</v>
      </c>
      <c r="M463" s="22">
        <v>2</v>
      </c>
      <c r="V463" s="59" t="s">
        <v>176</v>
      </c>
      <c r="AL463" s="59" t="s">
        <v>40</v>
      </c>
      <c r="AM463" s="22" t="s">
        <v>188</v>
      </c>
      <c r="AV463" s="59" t="s">
        <v>134</v>
      </c>
      <c r="AW463" s="22" t="str">
        <f>Settings!$B$5 &amp;  "?s=" &amp; D463 &amp; "&amp;platform=ftx"</f>
        <v>https://tokensol.nfluent.io?s=COR22D300&amp;platform=ftx</v>
      </c>
      <c r="AX463" s="20" t="s">
        <v>23</v>
      </c>
      <c r="AY463" s="20">
        <v>10</v>
      </c>
      <c r="AZ463" s="20" t="s">
        <v>24</v>
      </c>
      <c r="BA463" s="20">
        <v>90</v>
      </c>
      <c r="BD463" s="14"/>
      <c r="BJ463" t="s">
        <v>255</v>
      </c>
      <c r="BK463" t="s">
        <v>184</v>
      </c>
      <c r="BN463" s="36">
        <v>100</v>
      </c>
      <c r="BO463" s="36">
        <v>100</v>
      </c>
      <c r="BP463">
        <f t="shared" si="41"/>
        <v>480</v>
      </c>
      <c r="BR463" s="38">
        <v>44713</v>
      </c>
      <c r="BS463" s="20" t="s">
        <v>185</v>
      </c>
      <c r="BT463" s="20" t="str">
        <f t="shared" si="42"/>
        <v>InCasa_COR22D300</v>
      </c>
    </row>
    <row r="464" spans="2:72" ht="18.75" customHeight="1" x14ac:dyDescent="0.25">
      <c r="B464" s="20">
        <f t="shared" si="43"/>
        <v>301</v>
      </c>
      <c r="C464" s="22" t="str">
        <f t="shared" si="39"/>
        <v>In Casa #301</v>
      </c>
      <c r="D464" t="str">
        <f t="shared" si="40"/>
        <v>COR22D301</v>
      </c>
      <c r="E464" s="58" t="s">
        <v>252</v>
      </c>
      <c r="F464" s="20">
        <v>1000</v>
      </c>
      <c r="G464" s="14" t="s">
        <v>354</v>
      </c>
      <c r="H464" s="23" t="s">
        <v>170</v>
      </c>
      <c r="J464" s="59" t="s">
        <v>38</v>
      </c>
      <c r="K464" s="22" t="s">
        <v>254</v>
      </c>
      <c r="L464" s="59" t="s">
        <v>171</v>
      </c>
      <c r="M464" s="22">
        <v>2</v>
      </c>
      <c r="V464" s="59" t="s">
        <v>176</v>
      </c>
      <c r="AL464" s="59" t="s">
        <v>40</v>
      </c>
      <c r="AM464" s="22" t="s">
        <v>188</v>
      </c>
      <c r="AV464" s="59" t="s">
        <v>134</v>
      </c>
      <c r="AW464" s="22" t="str">
        <f>Settings!$B$5 &amp;  "?s=" &amp; D464 &amp; "&amp;platform=ftx"</f>
        <v>https://tokensol.nfluent.io?s=COR22D301&amp;platform=ftx</v>
      </c>
      <c r="AX464" s="20" t="s">
        <v>23</v>
      </c>
      <c r="AY464" s="20">
        <v>10</v>
      </c>
      <c r="AZ464" s="20" t="s">
        <v>24</v>
      </c>
      <c r="BA464" s="20">
        <v>90</v>
      </c>
      <c r="BD464" s="14"/>
      <c r="BJ464" t="s">
        <v>255</v>
      </c>
      <c r="BK464" t="s">
        <v>184</v>
      </c>
      <c r="BN464" s="36">
        <v>100</v>
      </c>
      <c r="BO464" s="36">
        <v>100</v>
      </c>
      <c r="BP464">
        <f t="shared" si="41"/>
        <v>480</v>
      </c>
      <c r="BR464" s="38">
        <v>44713</v>
      </c>
      <c r="BS464" s="20" t="s">
        <v>185</v>
      </c>
      <c r="BT464" s="20" t="str">
        <f t="shared" si="42"/>
        <v>InCasa_COR22D301</v>
      </c>
    </row>
    <row r="465" spans="2:72" ht="18.75" customHeight="1" x14ac:dyDescent="0.25">
      <c r="B465" s="20">
        <f t="shared" si="43"/>
        <v>302</v>
      </c>
      <c r="C465" s="22" t="str">
        <f t="shared" si="39"/>
        <v>In Casa #302</v>
      </c>
      <c r="D465" t="str">
        <f t="shared" si="40"/>
        <v>COR22D302</v>
      </c>
      <c r="E465" s="58" t="s">
        <v>252</v>
      </c>
      <c r="F465" s="20">
        <v>1000</v>
      </c>
      <c r="G465" s="14" t="s">
        <v>354</v>
      </c>
      <c r="H465" s="23" t="s">
        <v>170</v>
      </c>
      <c r="J465" s="59" t="s">
        <v>38</v>
      </c>
      <c r="K465" s="22" t="s">
        <v>254</v>
      </c>
      <c r="L465" s="59" t="s">
        <v>171</v>
      </c>
      <c r="M465" s="22">
        <v>2</v>
      </c>
      <c r="V465" s="59" t="s">
        <v>176</v>
      </c>
      <c r="AL465" s="59" t="s">
        <v>40</v>
      </c>
      <c r="AM465" s="22" t="s">
        <v>188</v>
      </c>
      <c r="AV465" s="59" t="s">
        <v>134</v>
      </c>
      <c r="AW465" s="22" t="str">
        <f>Settings!$B$5 &amp;  "?s=" &amp; D465 &amp; "&amp;platform=ftx"</f>
        <v>https://tokensol.nfluent.io?s=COR22D302&amp;platform=ftx</v>
      </c>
      <c r="AX465" s="20" t="s">
        <v>23</v>
      </c>
      <c r="AY465" s="20">
        <v>10</v>
      </c>
      <c r="AZ465" s="20" t="s">
        <v>24</v>
      </c>
      <c r="BA465" s="20">
        <v>90</v>
      </c>
      <c r="BD465" s="14"/>
      <c r="BJ465" t="s">
        <v>255</v>
      </c>
      <c r="BK465" t="s">
        <v>184</v>
      </c>
      <c r="BN465" s="36">
        <v>100</v>
      </c>
      <c r="BO465" s="36">
        <v>100</v>
      </c>
      <c r="BP465">
        <f t="shared" si="41"/>
        <v>480</v>
      </c>
      <c r="BR465" s="38">
        <v>44713</v>
      </c>
      <c r="BS465" s="20" t="s">
        <v>185</v>
      </c>
      <c r="BT465" s="20" t="str">
        <f t="shared" si="42"/>
        <v>InCasa_COR22D302</v>
      </c>
    </row>
    <row r="466" spans="2:72" ht="18.75" customHeight="1" x14ac:dyDescent="0.25">
      <c r="B466" s="20">
        <f t="shared" si="43"/>
        <v>303</v>
      </c>
      <c r="C466" s="22" t="str">
        <f t="shared" si="39"/>
        <v>In Casa #303</v>
      </c>
      <c r="D466" t="str">
        <f t="shared" si="40"/>
        <v>COR22D303</v>
      </c>
      <c r="E466" s="58" t="s">
        <v>252</v>
      </c>
      <c r="F466" s="20">
        <v>1000</v>
      </c>
      <c r="G466" s="14" t="s">
        <v>354</v>
      </c>
      <c r="H466" s="23" t="s">
        <v>170</v>
      </c>
      <c r="J466" s="59" t="s">
        <v>38</v>
      </c>
      <c r="K466" s="22" t="s">
        <v>254</v>
      </c>
      <c r="L466" s="59" t="s">
        <v>171</v>
      </c>
      <c r="M466" s="22">
        <v>2</v>
      </c>
      <c r="V466" s="59" t="s">
        <v>176</v>
      </c>
      <c r="AL466" s="59" t="s">
        <v>40</v>
      </c>
      <c r="AM466" s="22" t="s">
        <v>188</v>
      </c>
      <c r="AV466" s="59" t="s">
        <v>134</v>
      </c>
      <c r="AW466" s="22" t="str">
        <f>Settings!$B$5 &amp;  "?s=" &amp; D466 &amp; "&amp;platform=ftx"</f>
        <v>https://tokensol.nfluent.io?s=COR22D303&amp;platform=ftx</v>
      </c>
      <c r="AX466" s="20" t="s">
        <v>23</v>
      </c>
      <c r="AY466" s="20">
        <v>10</v>
      </c>
      <c r="AZ466" s="20" t="s">
        <v>24</v>
      </c>
      <c r="BA466" s="20">
        <v>90</v>
      </c>
      <c r="BD466" s="14"/>
      <c r="BJ466" t="s">
        <v>255</v>
      </c>
      <c r="BK466" t="s">
        <v>184</v>
      </c>
      <c r="BN466" s="36">
        <v>100</v>
      </c>
      <c r="BO466" s="36">
        <v>100</v>
      </c>
      <c r="BP466">
        <f t="shared" si="41"/>
        <v>480</v>
      </c>
      <c r="BR466" s="38">
        <v>44713</v>
      </c>
      <c r="BS466" s="20" t="s">
        <v>185</v>
      </c>
      <c r="BT466" s="20" t="str">
        <f t="shared" si="42"/>
        <v>InCasa_COR22D303</v>
      </c>
    </row>
    <row r="467" spans="2:72" ht="18.75" customHeight="1" x14ac:dyDescent="0.25">
      <c r="B467" s="20">
        <f t="shared" si="43"/>
        <v>304</v>
      </c>
      <c r="C467" s="22" t="str">
        <f t="shared" si="39"/>
        <v>In Casa #304</v>
      </c>
      <c r="D467" t="str">
        <f t="shared" si="40"/>
        <v>COR22D304</v>
      </c>
      <c r="E467" s="58" t="s">
        <v>252</v>
      </c>
      <c r="F467" s="20">
        <v>1000</v>
      </c>
      <c r="G467" s="14" t="s">
        <v>354</v>
      </c>
      <c r="H467" s="23" t="s">
        <v>170</v>
      </c>
      <c r="J467" s="59" t="s">
        <v>38</v>
      </c>
      <c r="K467" s="22" t="s">
        <v>254</v>
      </c>
      <c r="L467" s="59" t="s">
        <v>171</v>
      </c>
      <c r="M467" s="22">
        <v>2</v>
      </c>
      <c r="V467" s="59" t="s">
        <v>176</v>
      </c>
      <c r="AL467" s="59" t="s">
        <v>40</v>
      </c>
      <c r="AM467" s="22" t="s">
        <v>188</v>
      </c>
      <c r="AV467" s="59" t="s">
        <v>134</v>
      </c>
      <c r="AW467" s="22" t="str">
        <f>Settings!$B$5 &amp;  "?s=" &amp; D467 &amp; "&amp;platform=ftx"</f>
        <v>https://tokensol.nfluent.io?s=COR22D304&amp;platform=ftx</v>
      </c>
      <c r="AX467" s="20" t="s">
        <v>23</v>
      </c>
      <c r="AY467" s="20">
        <v>10</v>
      </c>
      <c r="AZ467" s="20" t="s">
        <v>24</v>
      </c>
      <c r="BA467" s="20">
        <v>90</v>
      </c>
      <c r="BD467" s="14"/>
      <c r="BJ467" t="s">
        <v>255</v>
      </c>
      <c r="BK467" t="s">
        <v>184</v>
      </c>
      <c r="BN467" s="36">
        <v>100</v>
      </c>
      <c r="BO467" s="36">
        <v>100</v>
      </c>
      <c r="BP467">
        <f t="shared" si="41"/>
        <v>480</v>
      </c>
      <c r="BR467" s="38">
        <v>44713</v>
      </c>
      <c r="BS467" s="20" t="s">
        <v>185</v>
      </c>
      <c r="BT467" s="20" t="str">
        <f t="shared" si="42"/>
        <v>InCasa_COR22D304</v>
      </c>
    </row>
    <row r="468" spans="2:72" ht="18.75" customHeight="1" x14ac:dyDescent="0.25">
      <c r="B468" s="20">
        <f t="shared" si="43"/>
        <v>305</v>
      </c>
      <c r="C468" s="22" t="str">
        <f t="shared" si="39"/>
        <v>In Casa #305</v>
      </c>
      <c r="D468" t="str">
        <f t="shared" si="40"/>
        <v>COR22D305</v>
      </c>
      <c r="E468" s="58" t="s">
        <v>252</v>
      </c>
      <c r="F468" s="20">
        <v>1000</v>
      </c>
      <c r="G468" s="14" t="s">
        <v>354</v>
      </c>
      <c r="H468" s="23" t="s">
        <v>170</v>
      </c>
      <c r="J468" s="59" t="s">
        <v>38</v>
      </c>
      <c r="K468" s="22" t="s">
        <v>254</v>
      </c>
      <c r="L468" s="59" t="s">
        <v>171</v>
      </c>
      <c r="M468" s="22">
        <v>2</v>
      </c>
      <c r="V468" s="59" t="s">
        <v>176</v>
      </c>
      <c r="AL468" s="59" t="s">
        <v>40</v>
      </c>
      <c r="AM468" s="22" t="s">
        <v>188</v>
      </c>
      <c r="AV468" s="59" t="s">
        <v>134</v>
      </c>
      <c r="AW468" s="22" t="str">
        <f>Settings!$B$5 &amp;  "?s=" &amp; D468 &amp; "&amp;platform=ftx"</f>
        <v>https://tokensol.nfluent.io?s=COR22D305&amp;platform=ftx</v>
      </c>
      <c r="AX468" s="20" t="s">
        <v>23</v>
      </c>
      <c r="AY468" s="20">
        <v>10</v>
      </c>
      <c r="AZ468" s="20" t="s">
        <v>24</v>
      </c>
      <c r="BA468" s="20">
        <v>90</v>
      </c>
      <c r="BD468" s="14"/>
      <c r="BJ468" t="s">
        <v>255</v>
      </c>
      <c r="BK468" t="s">
        <v>184</v>
      </c>
      <c r="BN468" s="36">
        <v>100</v>
      </c>
      <c r="BO468" s="36">
        <v>100</v>
      </c>
      <c r="BP468">
        <f t="shared" si="41"/>
        <v>480</v>
      </c>
      <c r="BR468" s="38">
        <v>44713</v>
      </c>
      <c r="BS468" s="20" t="s">
        <v>185</v>
      </c>
      <c r="BT468" s="20" t="str">
        <f t="shared" si="42"/>
        <v>InCasa_COR22D305</v>
      </c>
    </row>
    <row r="469" spans="2:72" ht="18.75" customHeight="1" x14ac:dyDescent="0.25">
      <c r="B469" s="20">
        <f t="shared" si="43"/>
        <v>306</v>
      </c>
      <c r="C469" s="22" t="str">
        <f t="shared" si="39"/>
        <v>In Casa #306</v>
      </c>
      <c r="D469" t="str">
        <f t="shared" si="40"/>
        <v>COR22D306</v>
      </c>
      <c r="E469" s="58" t="s">
        <v>252</v>
      </c>
      <c r="F469" s="20">
        <v>1000</v>
      </c>
      <c r="G469" s="14" t="s">
        <v>354</v>
      </c>
      <c r="H469" s="23" t="s">
        <v>170</v>
      </c>
      <c r="J469" s="59" t="s">
        <v>38</v>
      </c>
      <c r="K469" s="22" t="s">
        <v>254</v>
      </c>
      <c r="L469" s="59" t="s">
        <v>171</v>
      </c>
      <c r="M469" s="22">
        <v>2</v>
      </c>
      <c r="V469" s="59" t="s">
        <v>176</v>
      </c>
      <c r="AL469" s="59" t="s">
        <v>40</v>
      </c>
      <c r="AM469" s="22" t="s">
        <v>188</v>
      </c>
      <c r="AV469" s="59" t="s">
        <v>134</v>
      </c>
      <c r="AW469" s="22" t="str">
        <f>Settings!$B$5 &amp;  "?s=" &amp; D469 &amp; "&amp;platform=ftx"</f>
        <v>https://tokensol.nfluent.io?s=COR22D306&amp;platform=ftx</v>
      </c>
      <c r="AX469" s="20" t="s">
        <v>23</v>
      </c>
      <c r="AY469" s="20">
        <v>10</v>
      </c>
      <c r="AZ469" s="20" t="s">
        <v>24</v>
      </c>
      <c r="BA469" s="20">
        <v>90</v>
      </c>
      <c r="BD469" s="14"/>
      <c r="BJ469" t="s">
        <v>255</v>
      </c>
      <c r="BK469" t="s">
        <v>184</v>
      </c>
      <c r="BN469" s="36">
        <v>100</v>
      </c>
      <c r="BO469" s="36">
        <v>100</v>
      </c>
      <c r="BP469">
        <f t="shared" si="41"/>
        <v>480</v>
      </c>
      <c r="BR469" s="38">
        <v>44713</v>
      </c>
      <c r="BS469" s="20" t="s">
        <v>185</v>
      </c>
      <c r="BT469" s="20" t="str">
        <f t="shared" si="42"/>
        <v>InCasa_COR22D306</v>
      </c>
    </row>
    <row r="470" spans="2:72" ht="18.75" customHeight="1" x14ac:dyDescent="0.25">
      <c r="B470" s="20">
        <f t="shared" si="43"/>
        <v>307</v>
      </c>
      <c r="C470" s="22" t="str">
        <f t="shared" si="39"/>
        <v>In Casa #307</v>
      </c>
      <c r="D470" t="str">
        <f t="shared" si="40"/>
        <v>COR22D307</v>
      </c>
      <c r="E470" s="58" t="s">
        <v>252</v>
      </c>
      <c r="F470" s="20">
        <v>1000</v>
      </c>
      <c r="G470" s="14" t="s">
        <v>354</v>
      </c>
      <c r="H470" s="23" t="s">
        <v>170</v>
      </c>
      <c r="J470" s="59" t="s">
        <v>38</v>
      </c>
      <c r="K470" s="22" t="s">
        <v>254</v>
      </c>
      <c r="L470" s="59" t="s">
        <v>171</v>
      </c>
      <c r="M470" s="22">
        <v>2</v>
      </c>
      <c r="V470" s="59" t="s">
        <v>176</v>
      </c>
      <c r="AL470" s="59" t="s">
        <v>40</v>
      </c>
      <c r="AM470" s="22" t="s">
        <v>188</v>
      </c>
      <c r="AV470" s="59" t="s">
        <v>134</v>
      </c>
      <c r="AW470" s="22" t="str">
        <f>Settings!$B$5 &amp;  "?s=" &amp; D470 &amp; "&amp;platform=ftx"</f>
        <v>https://tokensol.nfluent.io?s=COR22D307&amp;platform=ftx</v>
      </c>
      <c r="AX470" s="20" t="s">
        <v>23</v>
      </c>
      <c r="AY470" s="20">
        <v>10</v>
      </c>
      <c r="AZ470" s="20" t="s">
        <v>24</v>
      </c>
      <c r="BA470" s="20">
        <v>90</v>
      </c>
      <c r="BD470" s="14"/>
      <c r="BJ470" t="s">
        <v>255</v>
      </c>
      <c r="BK470" t="s">
        <v>184</v>
      </c>
      <c r="BN470" s="36">
        <v>100</v>
      </c>
      <c r="BO470" s="36">
        <v>100</v>
      </c>
      <c r="BP470">
        <f t="shared" si="41"/>
        <v>480</v>
      </c>
      <c r="BR470" s="38">
        <v>44713</v>
      </c>
      <c r="BS470" s="20" t="s">
        <v>185</v>
      </c>
      <c r="BT470" s="20" t="str">
        <f t="shared" si="42"/>
        <v>InCasa_COR22D307</v>
      </c>
    </row>
    <row r="471" spans="2:72" ht="18.75" customHeight="1" x14ac:dyDescent="0.25">
      <c r="B471" s="20">
        <f t="shared" si="43"/>
        <v>308</v>
      </c>
      <c r="C471" s="22" t="str">
        <f t="shared" si="39"/>
        <v>In Casa #308</v>
      </c>
      <c r="D471" t="str">
        <f t="shared" si="40"/>
        <v>COR22D308</v>
      </c>
      <c r="E471" s="58" t="s">
        <v>252</v>
      </c>
      <c r="F471" s="20">
        <v>1000</v>
      </c>
      <c r="G471" s="14" t="s">
        <v>354</v>
      </c>
      <c r="H471" s="23" t="s">
        <v>170</v>
      </c>
      <c r="J471" s="59" t="s">
        <v>38</v>
      </c>
      <c r="K471" s="22" t="s">
        <v>254</v>
      </c>
      <c r="L471" s="59" t="s">
        <v>171</v>
      </c>
      <c r="M471" s="22">
        <v>2</v>
      </c>
      <c r="V471" s="59" t="s">
        <v>176</v>
      </c>
      <c r="AL471" s="59" t="s">
        <v>40</v>
      </c>
      <c r="AM471" s="22" t="s">
        <v>188</v>
      </c>
      <c r="AV471" s="59" t="s">
        <v>134</v>
      </c>
      <c r="AW471" s="22" t="str">
        <f>Settings!$B$5 &amp;  "?s=" &amp; D471 &amp; "&amp;platform=ftx"</f>
        <v>https://tokensol.nfluent.io?s=COR22D308&amp;platform=ftx</v>
      </c>
      <c r="AX471" s="20" t="s">
        <v>23</v>
      </c>
      <c r="AY471" s="20">
        <v>10</v>
      </c>
      <c r="AZ471" s="20" t="s">
        <v>24</v>
      </c>
      <c r="BA471" s="20">
        <v>90</v>
      </c>
      <c r="BD471" s="14"/>
      <c r="BJ471" t="s">
        <v>255</v>
      </c>
      <c r="BK471" t="s">
        <v>184</v>
      </c>
      <c r="BN471" s="36">
        <v>100</v>
      </c>
      <c r="BO471" s="36">
        <v>100</v>
      </c>
      <c r="BP471">
        <f t="shared" si="41"/>
        <v>480</v>
      </c>
      <c r="BR471" s="38">
        <v>44713</v>
      </c>
      <c r="BS471" s="20" t="s">
        <v>185</v>
      </c>
      <c r="BT471" s="20" t="str">
        <f t="shared" si="42"/>
        <v>InCasa_COR22D308</v>
      </c>
    </row>
    <row r="472" spans="2:72" ht="18.75" customHeight="1" x14ac:dyDescent="0.25">
      <c r="B472" s="20">
        <f t="shared" si="43"/>
        <v>309</v>
      </c>
      <c r="C472" s="22" t="str">
        <f t="shared" si="39"/>
        <v>In Casa #309</v>
      </c>
      <c r="D472" t="str">
        <f t="shared" si="40"/>
        <v>COR22D309</v>
      </c>
      <c r="E472" s="58" t="s">
        <v>252</v>
      </c>
      <c r="F472" s="20">
        <v>1000</v>
      </c>
      <c r="G472" s="14" t="s">
        <v>354</v>
      </c>
      <c r="H472" s="23" t="s">
        <v>170</v>
      </c>
      <c r="J472" s="59" t="s">
        <v>38</v>
      </c>
      <c r="K472" s="22" t="s">
        <v>254</v>
      </c>
      <c r="L472" s="59" t="s">
        <v>171</v>
      </c>
      <c r="M472" s="22">
        <v>2</v>
      </c>
      <c r="V472" s="59" t="s">
        <v>176</v>
      </c>
      <c r="AL472" s="59" t="s">
        <v>40</v>
      </c>
      <c r="AM472" s="22" t="s">
        <v>188</v>
      </c>
      <c r="AV472" s="59" t="s">
        <v>134</v>
      </c>
      <c r="AW472" s="22" t="str">
        <f>Settings!$B$5 &amp;  "?s=" &amp; D472 &amp; "&amp;platform=ftx"</f>
        <v>https://tokensol.nfluent.io?s=COR22D309&amp;platform=ftx</v>
      </c>
      <c r="AX472" s="20" t="s">
        <v>23</v>
      </c>
      <c r="AY472" s="20">
        <v>10</v>
      </c>
      <c r="AZ472" s="20" t="s">
        <v>24</v>
      </c>
      <c r="BA472" s="20">
        <v>90</v>
      </c>
      <c r="BD472" s="14"/>
      <c r="BJ472" t="s">
        <v>255</v>
      </c>
      <c r="BK472" t="s">
        <v>184</v>
      </c>
      <c r="BN472" s="36">
        <v>100</v>
      </c>
      <c r="BO472" s="36">
        <v>100</v>
      </c>
      <c r="BP472">
        <f t="shared" si="41"/>
        <v>480</v>
      </c>
      <c r="BR472" s="38">
        <v>44713</v>
      </c>
      <c r="BS472" s="20" t="s">
        <v>185</v>
      </c>
      <c r="BT472" s="20" t="str">
        <f t="shared" si="42"/>
        <v>InCasa_COR22D309</v>
      </c>
    </row>
    <row r="473" spans="2:72" ht="18.75" customHeight="1" x14ac:dyDescent="0.25">
      <c r="B473" s="20">
        <f t="shared" si="43"/>
        <v>310</v>
      </c>
      <c r="C473" s="22" t="str">
        <f t="shared" si="39"/>
        <v>In Casa #310</v>
      </c>
      <c r="D473" t="str">
        <f t="shared" si="40"/>
        <v>COR22D310</v>
      </c>
      <c r="E473" s="58" t="s">
        <v>252</v>
      </c>
      <c r="F473" s="20">
        <v>1000</v>
      </c>
      <c r="G473" s="14" t="s">
        <v>354</v>
      </c>
      <c r="H473" s="23" t="s">
        <v>170</v>
      </c>
      <c r="J473" s="59" t="s">
        <v>38</v>
      </c>
      <c r="K473" s="22" t="s">
        <v>254</v>
      </c>
      <c r="L473" s="59" t="s">
        <v>171</v>
      </c>
      <c r="M473" s="22">
        <v>2</v>
      </c>
      <c r="V473" s="59" t="s">
        <v>176</v>
      </c>
      <c r="AL473" s="59" t="s">
        <v>40</v>
      </c>
      <c r="AM473" s="22" t="s">
        <v>188</v>
      </c>
      <c r="AV473" s="59" t="s">
        <v>134</v>
      </c>
      <c r="AW473" s="22" t="str">
        <f>Settings!$B$5 &amp;  "?s=" &amp; D473 &amp; "&amp;platform=ftx"</f>
        <v>https://tokensol.nfluent.io?s=COR22D310&amp;platform=ftx</v>
      </c>
      <c r="AX473" s="20" t="s">
        <v>23</v>
      </c>
      <c r="AY473" s="20">
        <v>10</v>
      </c>
      <c r="AZ473" s="20" t="s">
        <v>24</v>
      </c>
      <c r="BA473" s="20">
        <v>90</v>
      </c>
      <c r="BD473" s="14"/>
      <c r="BJ473" t="s">
        <v>255</v>
      </c>
      <c r="BK473" t="s">
        <v>184</v>
      </c>
      <c r="BN473" s="36">
        <v>100</v>
      </c>
      <c r="BO473" s="36">
        <v>100</v>
      </c>
      <c r="BP473">
        <f t="shared" si="41"/>
        <v>480</v>
      </c>
      <c r="BR473" s="38">
        <v>44713</v>
      </c>
      <c r="BS473" s="20" t="s">
        <v>185</v>
      </c>
      <c r="BT473" s="20" t="str">
        <f t="shared" si="42"/>
        <v>InCasa_COR22D310</v>
      </c>
    </row>
    <row r="474" spans="2:72" ht="18.75" customHeight="1" x14ac:dyDescent="0.25">
      <c r="B474" s="20">
        <f t="shared" si="43"/>
        <v>311</v>
      </c>
      <c r="C474" s="22" t="str">
        <f t="shared" si="39"/>
        <v>In Casa #311</v>
      </c>
      <c r="D474" t="str">
        <f t="shared" si="40"/>
        <v>COR22D311</v>
      </c>
      <c r="E474" s="58" t="s">
        <v>252</v>
      </c>
      <c r="F474" s="20">
        <v>1000</v>
      </c>
      <c r="G474" s="14" t="s">
        <v>354</v>
      </c>
      <c r="H474" s="23" t="s">
        <v>170</v>
      </c>
      <c r="J474" s="59" t="s">
        <v>38</v>
      </c>
      <c r="K474" s="22" t="s">
        <v>254</v>
      </c>
      <c r="L474" s="59" t="s">
        <v>171</v>
      </c>
      <c r="M474" s="22">
        <v>2</v>
      </c>
      <c r="V474" s="59" t="s">
        <v>176</v>
      </c>
      <c r="AL474" s="59" t="s">
        <v>40</v>
      </c>
      <c r="AM474" s="22" t="s">
        <v>188</v>
      </c>
      <c r="AV474" s="59" t="s">
        <v>134</v>
      </c>
      <c r="AW474" s="22" t="str">
        <f>Settings!$B$5 &amp;  "?s=" &amp; D474 &amp; "&amp;platform=ftx"</f>
        <v>https://tokensol.nfluent.io?s=COR22D311&amp;platform=ftx</v>
      </c>
      <c r="AX474" s="20" t="s">
        <v>23</v>
      </c>
      <c r="AY474" s="20">
        <v>10</v>
      </c>
      <c r="AZ474" s="20" t="s">
        <v>24</v>
      </c>
      <c r="BA474" s="20">
        <v>90</v>
      </c>
      <c r="BD474" s="14"/>
      <c r="BJ474" t="s">
        <v>255</v>
      </c>
      <c r="BK474" t="s">
        <v>184</v>
      </c>
      <c r="BN474" s="36">
        <v>100</v>
      </c>
      <c r="BO474" s="36">
        <v>100</v>
      </c>
      <c r="BP474">
        <f t="shared" si="41"/>
        <v>480</v>
      </c>
      <c r="BR474" s="38">
        <v>44713</v>
      </c>
      <c r="BS474" s="20" t="s">
        <v>185</v>
      </c>
      <c r="BT474" s="20" t="str">
        <f t="shared" si="42"/>
        <v>InCasa_COR22D311</v>
      </c>
    </row>
    <row r="475" spans="2:72" ht="18.75" customHeight="1" x14ac:dyDescent="0.25">
      <c r="B475" s="20">
        <f t="shared" si="43"/>
        <v>312</v>
      </c>
      <c r="C475" s="22" t="str">
        <f t="shared" si="39"/>
        <v>In Casa #312</v>
      </c>
      <c r="D475" t="str">
        <f t="shared" si="40"/>
        <v>COR22D312</v>
      </c>
      <c r="E475" s="58" t="s">
        <v>252</v>
      </c>
      <c r="F475" s="20">
        <v>1000</v>
      </c>
      <c r="G475" s="14" t="s">
        <v>354</v>
      </c>
      <c r="H475" s="23" t="s">
        <v>170</v>
      </c>
      <c r="J475" s="59" t="s">
        <v>38</v>
      </c>
      <c r="K475" s="22" t="s">
        <v>254</v>
      </c>
      <c r="L475" s="59" t="s">
        <v>171</v>
      </c>
      <c r="M475" s="22">
        <v>2</v>
      </c>
      <c r="V475" s="59" t="s">
        <v>176</v>
      </c>
      <c r="AL475" s="59" t="s">
        <v>40</v>
      </c>
      <c r="AM475" s="22" t="s">
        <v>188</v>
      </c>
      <c r="AV475" s="59" t="s">
        <v>134</v>
      </c>
      <c r="AW475" s="22" t="str">
        <f>Settings!$B$5 &amp;  "?s=" &amp; D475 &amp; "&amp;platform=ftx"</f>
        <v>https://tokensol.nfluent.io?s=COR22D312&amp;platform=ftx</v>
      </c>
      <c r="AX475" s="20" t="s">
        <v>23</v>
      </c>
      <c r="AY475" s="20">
        <v>10</v>
      </c>
      <c r="AZ475" s="20" t="s">
        <v>24</v>
      </c>
      <c r="BA475" s="20">
        <v>90</v>
      </c>
      <c r="BD475" s="14"/>
      <c r="BJ475" t="s">
        <v>255</v>
      </c>
      <c r="BK475" t="s">
        <v>184</v>
      </c>
      <c r="BN475" s="36">
        <v>100</v>
      </c>
      <c r="BO475" s="36">
        <v>100</v>
      </c>
      <c r="BP475">
        <f t="shared" si="41"/>
        <v>480</v>
      </c>
      <c r="BR475" s="38">
        <v>44713</v>
      </c>
      <c r="BS475" s="20" t="s">
        <v>185</v>
      </c>
      <c r="BT475" s="20" t="str">
        <f t="shared" si="42"/>
        <v>InCasa_COR22D312</v>
      </c>
    </row>
    <row r="476" spans="2:72" ht="18.75" customHeight="1" x14ac:dyDescent="0.25">
      <c r="B476" s="20">
        <f t="shared" si="43"/>
        <v>313</v>
      </c>
      <c r="C476" s="22" t="str">
        <f t="shared" si="39"/>
        <v>In Casa #313</v>
      </c>
      <c r="D476" t="str">
        <f t="shared" si="40"/>
        <v>COR22D313</v>
      </c>
      <c r="E476" s="58" t="s">
        <v>252</v>
      </c>
      <c r="F476" s="20">
        <v>1000</v>
      </c>
      <c r="G476" s="14" t="s">
        <v>354</v>
      </c>
      <c r="H476" s="23" t="s">
        <v>170</v>
      </c>
      <c r="J476" s="59" t="s">
        <v>38</v>
      </c>
      <c r="K476" s="22" t="s">
        <v>254</v>
      </c>
      <c r="L476" s="59" t="s">
        <v>171</v>
      </c>
      <c r="M476" s="22">
        <v>2</v>
      </c>
      <c r="V476" s="59" t="s">
        <v>176</v>
      </c>
      <c r="AL476" s="59" t="s">
        <v>40</v>
      </c>
      <c r="AM476" s="22" t="s">
        <v>188</v>
      </c>
      <c r="AV476" s="59" t="s">
        <v>134</v>
      </c>
      <c r="AW476" s="22" t="str">
        <f>Settings!$B$5 &amp;  "?s=" &amp; D476 &amp; "&amp;platform=ftx"</f>
        <v>https://tokensol.nfluent.io?s=COR22D313&amp;platform=ftx</v>
      </c>
      <c r="AX476" s="20" t="s">
        <v>23</v>
      </c>
      <c r="AY476" s="20">
        <v>10</v>
      </c>
      <c r="AZ476" s="20" t="s">
        <v>24</v>
      </c>
      <c r="BA476" s="20">
        <v>90</v>
      </c>
      <c r="BD476" s="14"/>
      <c r="BJ476" t="s">
        <v>255</v>
      </c>
      <c r="BK476" t="s">
        <v>184</v>
      </c>
      <c r="BN476" s="36">
        <v>100</v>
      </c>
      <c r="BO476" s="36">
        <v>100</v>
      </c>
      <c r="BP476">
        <f t="shared" si="41"/>
        <v>480</v>
      </c>
      <c r="BR476" s="38">
        <v>44713</v>
      </c>
      <c r="BS476" s="20" t="s">
        <v>185</v>
      </c>
      <c r="BT476" s="20" t="str">
        <f t="shared" si="42"/>
        <v>InCasa_COR22D313</v>
      </c>
    </row>
    <row r="477" spans="2:72" ht="18.75" customHeight="1" x14ac:dyDescent="0.25">
      <c r="B477" s="20">
        <f t="shared" si="43"/>
        <v>314</v>
      </c>
      <c r="C477" s="22" t="str">
        <f t="shared" si="39"/>
        <v>In Casa #314</v>
      </c>
      <c r="D477" t="str">
        <f t="shared" si="40"/>
        <v>COR22D314</v>
      </c>
      <c r="E477" s="58" t="s">
        <v>252</v>
      </c>
      <c r="F477" s="20">
        <v>1000</v>
      </c>
      <c r="G477" s="14" t="s">
        <v>354</v>
      </c>
      <c r="H477" s="23" t="s">
        <v>170</v>
      </c>
      <c r="J477" s="59" t="s">
        <v>38</v>
      </c>
      <c r="K477" s="22" t="s">
        <v>254</v>
      </c>
      <c r="L477" s="59" t="s">
        <v>171</v>
      </c>
      <c r="M477" s="22">
        <v>2</v>
      </c>
      <c r="V477" s="59" t="s">
        <v>176</v>
      </c>
      <c r="AL477" s="59" t="s">
        <v>40</v>
      </c>
      <c r="AM477" s="22" t="s">
        <v>188</v>
      </c>
      <c r="AV477" s="59" t="s">
        <v>134</v>
      </c>
      <c r="AW477" s="22" t="str">
        <f>Settings!$B$5 &amp;  "?s=" &amp; D477 &amp; "&amp;platform=ftx"</f>
        <v>https://tokensol.nfluent.io?s=COR22D314&amp;platform=ftx</v>
      </c>
      <c r="AX477" s="20" t="s">
        <v>23</v>
      </c>
      <c r="AY477" s="20">
        <v>10</v>
      </c>
      <c r="AZ477" s="20" t="s">
        <v>24</v>
      </c>
      <c r="BA477" s="20">
        <v>90</v>
      </c>
      <c r="BD477" s="14"/>
      <c r="BJ477" t="s">
        <v>255</v>
      </c>
      <c r="BK477" t="s">
        <v>184</v>
      </c>
      <c r="BN477" s="36">
        <v>100</v>
      </c>
      <c r="BO477" s="36">
        <v>100</v>
      </c>
      <c r="BP477">
        <f t="shared" si="41"/>
        <v>480</v>
      </c>
      <c r="BR477" s="38">
        <v>44713</v>
      </c>
      <c r="BS477" s="20" t="s">
        <v>185</v>
      </c>
      <c r="BT477" s="20" t="str">
        <f t="shared" si="42"/>
        <v>InCasa_COR22D314</v>
      </c>
    </row>
    <row r="478" spans="2:72" ht="18.75" customHeight="1" x14ac:dyDescent="0.25">
      <c r="B478" s="20">
        <f t="shared" si="43"/>
        <v>315</v>
      </c>
      <c r="C478" s="22" t="str">
        <f t="shared" si="39"/>
        <v>In Casa #315</v>
      </c>
      <c r="D478" t="str">
        <f t="shared" si="40"/>
        <v>COR22D315</v>
      </c>
      <c r="E478" s="58" t="s">
        <v>252</v>
      </c>
      <c r="F478" s="20">
        <v>1000</v>
      </c>
      <c r="G478" s="14" t="s">
        <v>354</v>
      </c>
      <c r="H478" s="23" t="s">
        <v>170</v>
      </c>
      <c r="J478" s="59" t="s">
        <v>38</v>
      </c>
      <c r="K478" s="22" t="s">
        <v>254</v>
      </c>
      <c r="L478" s="59" t="s">
        <v>171</v>
      </c>
      <c r="M478" s="22">
        <v>2</v>
      </c>
      <c r="V478" s="59" t="s">
        <v>176</v>
      </c>
      <c r="AL478" s="59" t="s">
        <v>40</v>
      </c>
      <c r="AM478" s="22" t="s">
        <v>188</v>
      </c>
      <c r="AV478" s="59" t="s">
        <v>134</v>
      </c>
      <c r="AW478" s="22" t="str">
        <f>Settings!$B$5 &amp;  "?s=" &amp; D478 &amp; "&amp;platform=ftx"</f>
        <v>https://tokensol.nfluent.io?s=COR22D315&amp;platform=ftx</v>
      </c>
      <c r="AX478" s="20" t="s">
        <v>23</v>
      </c>
      <c r="AY478" s="20">
        <v>10</v>
      </c>
      <c r="AZ478" s="20" t="s">
        <v>24</v>
      </c>
      <c r="BA478" s="20">
        <v>90</v>
      </c>
      <c r="BD478" s="14"/>
      <c r="BJ478" t="s">
        <v>255</v>
      </c>
      <c r="BK478" t="s">
        <v>184</v>
      </c>
      <c r="BN478" s="36">
        <v>100</v>
      </c>
      <c r="BO478" s="36">
        <v>100</v>
      </c>
      <c r="BP478">
        <f t="shared" si="41"/>
        <v>480</v>
      </c>
      <c r="BR478" s="38">
        <v>44713</v>
      </c>
      <c r="BS478" s="20" t="s">
        <v>185</v>
      </c>
      <c r="BT478" s="20" t="str">
        <f t="shared" si="42"/>
        <v>InCasa_COR22D315</v>
      </c>
    </row>
    <row r="479" spans="2:72" ht="18.75" customHeight="1" x14ac:dyDescent="0.25">
      <c r="B479" s="20">
        <f t="shared" si="43"/>
        <v>316</v>
      </c>
      <c r="C479" s="22" t="str">
        <f t="shared" si="39"/>
        <v>In Casa #316</v>
      </c>
      <c r="D479" t="str">
        <f t="shared" si="40"/>
        <v>COR22D316</v>
      </c>
      <c r="E479" s="58" t="s">
        <v>252</v>
      </c>
      <c r="F479" s="20">
        <v>1000</v>
      </c>
      <c r="G479" s="14" t="s">
        <v>354</v>
      </c>
      <c r="H479" s="23" t="s">
        <v>170</v>
      </c>
      <c r="J479" s="59" t="s">
        <v>38</v>
      </c>
      <c r="K479" s="22" t="s">
        <v>254</v>
      </c>
      <c r="L479" s="59" t="s">
        <v>171</v>
      </c>
      <c r="M479" s="22">
        <v>2</v>
      </c>
      <c r="V479" s="59" t="s">
        <v>176</v>
      </c>
      <c r="AL479" s="59" t="s">
        <v>40</v>
      </c>
      <c r="AM479" s="22" t="s">
        <v>188</v>
      </c>
      <c r="AV479" s="59" t="s">
        <v>134</v>
      </c>
      <c r="AW479" s="22" t="str">
        <f>Settings!$B$5 &amp;  "?s=" &amp; D479 &amp; "&amp;platform=ftx"</f>
        <v>https://tokensol.nfluent.io?s=COR22D316&amp;platform=ftx</v>
      </c>
      <c r="AX479" s="20" t="s">
        <v>23</v>
      </c>
      <c r="AY479" s="20">
        <v>10</v>
      </c>
      <c r="AZ479" s="20" t="s">
        <v>24</v>
      </c>
      <c r="BA479" s="20">
        <v>90</v>
      </c>
      <c r="BD479" s="14"/>
      <c r="BJ479" t="s">
        <v>255</v>
      </c>
      <c r="BK479" t="s">
        <v>184</v>
      </c>
      <c r="BN479" s="36">
        <v>100</v>
      </c>
      <c r="BO479" s="36">
        <v>100</v>
      </c>
      <c r="BP479">
        <f t="shared" si="41"/>
        <v>480</v>
      </c>
      <c r="BR479" s="38">
        <v>44713</v>
      </c>
      <c r="BS479" s="20" t="s">
        <v>185</v>
      </c>
      <c r="BT479" s="20" t="str">
        <f t="shared" si="42"/>
        <v>InCasa_COR22D316</v>
      </c>
    </row>
    <row r="480" spans="2:72" ht="18.75" customHeight="1" x14ac:dyDescent="0.25">
      <c r="B480" s="20">
        <f t="shared" si="43"/>
        <v>317</v>
      </c>
      <c r="C480" s="22" t="str">
        <f t="shared" si="39"/>
        <v>In Casa #317</v>
      </c>
      <c r="D480" t="str">
        <f t="shared" si="40"/>
        <v>COR22D317</v>
      </c>
      <c r="E480" s="58" t="s">
        <v>252</v>
      </c>
      <c r="F480" s="20">
        <v>1000</v>
      </c>
      <c r="G480" s="14" t="s">
        <v>354</v>
      </c>
      <c r="H480" s="23" t="s">
        <v>170</v>
      </c>
      <c r="J480" s="59" t="s">
        <v>38</v>
      </c>
      <c r="K480" s="22" t="s">
        <v>254</v>
      </c>
      <c r="L480" s="59" t="s">
        <v>171</v>
      </c>
      <c r="M480" s="22">
        <v>2</v>
      </c>
      <c r="V480" s="59" t="s">
        <v>176</v>
      </c>
      <c r="AL480" s="59" t="s">
        <v>40</v>
      </c>
      <c r="AM480" s="22" t="s">
        <v>188</v>
      </c>
      <c r="AV480" s="59" t="s">
        <v>134</v>
      </c>
      <c r="AW480" s="22" t="str">
        <f>Settings!$B$5 &amp;  "?s=" &amp; D480 &amp; "&amp;platform=ftx"</f>
        <v>https://tokensol.nfluent.io?s=COR22D317&amp;platform=ftx</v>
      </c>
      <c r="AX480" s="20" t="s">
        <v>23</v>
      </c>
      <c r="AY480" s="20">
        <v>10</v>
      </c>
      <c r="AZ480" s="20" t="s">
        <v>24</v>
      </c>
      <c r="BA480" s="20">
        <v>90</v>
      </c>
      <c r="BD480" s="14"/>
      <c r="BJ480" t="s">
        <v>255</v>
      </c>
      <c r="BK480" t="s">
        <v>184</v>
      </c>
      <c r="BN480" s="36">
        <v>100</v>
      </c>
      <c r="BO480" s="36">
        <v>100</v>
      </c>
      <c r="BP480">
        <f t="shared" si="41"/>
        <v>480</v>
      </c>
      <c r="BR480" s="38">
        <v>44713</v>
      </c>
      <c r="BS480" s="20" t="s">
        <v>185</v>
      </c>
      <c r="BT480" s="20" t="str">
        <f t="shared" si="42"/>
        <v>InCasa_COR22D317</v>
      </c>
    </row>
    <row r="481" spans="2:72" ht="18.75" customHeight="1" x14ac:dyDescent="0.25">
      <c r="B481" s="20">
        <f t="shared" si="43"/>
        <v>318</v>
      </c>
      <c r="C481" s="22" t="str">
        <f t="shared" si="39"/>
        <v>In Casa #318</v>
      </c>
      <c r="D481" t="str">
        <f t="shared" si="40"/>
        <v>COR22D318</v>
      </c>
      <c r="E481" s="58" t="s">
        <v>252</v>
      </c>
      <c r="F481" s="20">
        <v>1000</v>
      </c>
      <c r="G481" s="14" t="s">
        <v>354</v>
      </c>
      <c r="H481" s="23" t="s">
        <v>170</v>
      </c>
      <c r="J481" s="59" t="s">
        <v>38</v>
      </c>
      <c r="K481" s="22" t="s">
        <v>254</v>
      </c>
      <c r="L481" s="59" t="s">
        <v>171</v>
      </c>
      <c r="M481" s="22">
        <v>2</v>
      </c>
      <c r="V481" s="59" t="s">
        <v>176</v>
      </c>
      <c r="AL481" s="59" t="s">
        <v>40</v>
      </c>
      <c r="AM481" s="22" t="s">
        <v>188</v>
      </c>
      <c r="AV481" s="59" t="s">
        <v>134</v>
      </c>
      <c r="AW481" s="22" t="str">
        <f>Settings!$B$5 &amp;  "?s=" &amp; D481 &amp; "&amp;platform=ftx"</f>
        <v>https://tokensol.nfluent.io?s=COR22D318&amp;platform=ftx</v>
      </c>
      <c r="AX481" s="20" t="s">
        <v>23</v>
      </c>
      <c r="AY481" s="20">
        <v>10</v>
      </c>
      <c r="AZ481" s="20" t="s">
        <v>24</v>
      </c>
      <c r="BA481" s="20">
        <v>90</v>
      </c>
      <c r="BD481" s="14"/>
      <c r="BJ481" t="s">
        <v>255</v>
      </c>
      <c r="BK481" t="s">
        <v>184</v>
      </c>
      <c r="BN481" s="36">
        <v>100</v>
      </c>
      <c r="BO481" s="36">
        <v>100</v>
      </c>
      <c r="BP481">
        <f t="shared" si="41"/>
        <v>480</v>
      </c>
      <c r="BR481" s="38">
        <v>44713</v>
      </c>
      <c r="BS481" s="20" t="s">
        <v>185</v>
      </c>
      <c r="BT481" s="20" t="str">
        <f t="shared" si="42"/>
        <v>InCasa_COR22D318</v>
      </c>
    </row>
    <row r="482" spans="2:72" ht="18.75" customHeight="1" x14ac:dyDescent="0.25">
      <c r="B482" s="20">
        <f t="shared" si="43"/>
        <v>319</v>
      </c>
      <c r="C482" s="22" t="str">
        <f t="shared" si="39"/>
        <v>In Casa #319</v>
      </c>
      <c r="D482" t="str">
        <f t="shared" si="40"/>
        <v>COR22D319</v>
      </c>
      <c r="E482" s="58" t="s">
        <v>252</v>
      </c>
      <c r="F482" s="20">
        <v>1000</v>
      </c>
      <c r="G482" s="14" t="s">
        <v>354</v>
      </c>
      <c r="H482" s="23" t="s">
        <v>170</v>
      </c>
      <c r="J482" s="59" t="s">
        <v>38</v>
      </c>
      <c r="K482" s="22" t="s">
        <v>254</v>
      </c>
      <c r="L482" s="59" t="s">
        <v>171</v>
      </c>
      <c r="M482" s="22">
        <v>2</v>
      </c>
      <c r="V482" s="59" t="s">
        <v>176</v>
      </c>
      <c r="AL482" s="59" t="s">
        <v>40</v>
      </c>
      <c r="AM482" s="22" t="s">
        <v>188</v>
      </c>
      <c r="AV482" s="59" t="s">
        <v>134</v>
      </c>
      <c r="AW482" s="22" t="str">
        <f>Settings!$B$5 &amp;  "?s=" &amp; D482 &amp; "&amp;platform=ftx"</f>
        <v>https://tokensol.nfluent.io?s=COR22D319&amp;platform=ftx</v>
      </c>
      <c r="AX482" s="20" t="s">
        <v>23</v>
      </c>
      <c r="AY482" s="20">
        <v>10</v>
      </c>
      <c r="AZ482" s="20" t="s">
        <v>24</v>
      </c>
      <c r="BA482" s="20">
        <v>90</v>
      </c>
      <c r="BD482" s="14"/>
      <c r="BJ482" t="s">
        <v>255</v>
      </c>
      <c r="BK482" t="s">
        <v>184</v>
      </c>
      <c r="BN482" s="36">
        <v>100</v>
      </c>
      <c r="BO482" s="36">
        <v>100</v>
      </c>
      <c r="BP482">
        <f t="shared" si="41"/>
        <v>480</v>
      </c>
      <c r="BR482" s="38">
        <v>44713</v>
      </c>
      <c r="BS482" s="20" t="s">
        <v>185</v>
      </c>
      <c r="BT482" s="20" t="str">
        <f t="shared" si="42"/>
        <v>InCasa_COR22D319</v>
      </c>
    </row>
    <row r="483" spans="2:72" ht="18.75" customHeight="1" x14ac:dyDescent="0.25">
      <c r="B483" s="20">
        <f t="shared" si="43"/>
        <v>320</v>
      </c>
      <c r="C483" s="22" t="str">
        <f t="shared" si="39"/>
        <v>In Casa #320</v>
      </c>
      <c r="D483" t="str">
        <f t="shared" si="40"/>
        <v>COR22D320</v>
      </c>
      <c r="E483" s="58" t="s">
        <v>252</v>
      </c>
      <c r="F483" s="20">
        <v>1000</v>
      </c>
      <c r="G483" s="14" t="s">
        <v>354</v>
      </c>
      <c r="H483" s="23" t="s">
        <v>170</v>
      </c>
      <c r="J483" s="59" t="s">
        <v>38</v>
      </c>
      <c r="K483" s="22" t="s">
        <v>254</v>
      </c>
      <c r="L483" s="59" t="s">
        <v>171</v>
      </c>
      <c r="M483" s="22">
        <v>2</v>
      </c>
      <c r="V483" s="59" t="s">
        <v>176</v>
      </c>
      <c r="AL483" s="59" t="s">
        <v>40</v>
      </c>
      <c r="AM483" s="22" t="s">
        <v>188</v>
      </c>
      <c r="AV483" s="59" t="s">
        <v>134</v>
      </c>
      <c r="AW483" s="22" t="str">
        <f>Settings!$B$5 &amp;  "?s=" &amp; D483 &amp; "&amp;platform=ftx"</f>
        <v>https://tokensol.nfluent.io?s=COR22D320&amp;platform=ftx</v>
      </c>
      <c r="AX483" s="20" t="s">
        <v>23</v>
      </c>
      <c r="AY483" s="20">
        <v>10</v>
      </c>
      <c r="AZ483" s="20" t="s">
        <v>24</v>
      </c>
      <c r="BA483" s="20">
        <v>90</v>
      </c>
      <c r="BD483" s="14"/>
      <c r="BJ483" t="s">
        <v>255</v>
      </c>
      <c r="BK483" t="s">
        <v>184</v>
      </c>
      <c r="BN483" s="36">
        <v>100</v>
      </c>
      <c r="BO483" s="36">
        <v>100</v>
      </c>
      <c r="BP483">
        <f t="shared" si="41"/>
        <v>480</v>
      </c>
      <c r="BR483" s="38">
        <v>44713</v>
      </c>
      <c r="BS483" s="20" t="s">
        <v>185</v>
      </c>
      <c r="BT483" s="20" t="str">
        <f t="shared" si="42"/>
        <v>InCasa_COR22D320</v>
      </c>
    </row>
    <row r="484" spans="2:72" ht="18.75" customHeight="1" x14ac:dyDescent="0.25">
      <c r="B484" s="20">
        <f t="shared" si="43"/>
        <v>321</v>
      </c>
      <c r="C484" s="22" t="str">
        <f t="shared" si="39"/>
        <v>In Casa #321</v>
      </c>
      <c r="D484" t="str">
        <f t="shared" si="40"/>
        <v>COR22D321</v>
      </c>
      <c r="E484" s="58" t="s">
        <v>252</v>
      </c>
      <c r="F484" s="20">
        <v>1000</v>
      </c>
      <c r="G484" s="14" t="s">
        <v>354</v>
      </c>
      <c r="H484" s="23" t="s">
        <v>170</v>
      </c>
      <c r="J484" s="59" t="s">
        <v>38</v>
      </c>
      <c r="K484" s="22" t="s">
        <v>254</v>
      </c>
      <c r="L484" s="59" t="s">
        <v>171</v>
      </c>
      <c r="M484" s="22">
        <v>2</v>
      </c>
      <c r="V484" s="59" t="s">
        <v>176</v>
      </c>
      <c r="AL484" s="59" t="s">
        <v>40</v>
      </c>
      <c r="AM484" s="22" t="s">
        <v>188</v>
      </c>
      <c r="AV484" s="59" t="s">
        <v>134</v>
      </c>
      <c r="AW484" s="22" t="str">
        <f>Settings!$B$5 &amp;  "?s=" &amp; D484 &amp; "&amp;platform=ftx"</f>
        <v>https://tokensol.nfluent.io?s=COR22D321&amp;platform=ftx</v>
      </c>
      <c r="AX484" s="20" t="s">
        <v>23</v>
      </c>
      <c r="AY484" s="20">
        <v>10</v>
      </c>
      <c r="AZ484" s="20" t="s">
        <v>24</v>
      </c>
      <c r="BA484" s="20">
        <v>90</v>
      </c>
      <c r="BD484" s="14"/>
      <c r="BJ484" t="s">
        <v>255</v>
      </c>
      <c r="BK484" t="s">
        <v>184</v>
      </c>
      <c r="BN484" s="36">
        <v>100</v>
      </c>
      <c r="BO484" s="36">
        <v>100</v>
      </c>
      <c r="BP484">
        <f t="shared" si="41"/>
        <v>480</v>
      </c>
      <c r="BR484" s="38">
        <v>44713</v>
      </c>
      <c r="BS484" s="20" t="s">
        <v>185</v>
      </c>
      <c r="BT484" s="20" t="str">
        <f t="shared" si="42"/>
        <v>InCasa_COR22D321</v>
      </c>
    </row>
    <row r="485" spans="2:72" ht="18.75" customHeight="1" x14ac:dyDescent="0.25">
      <c r="B485" s="20">
        <f t="shared" si="43"/>
        <v>322</v>
      </c>
      <c r="C485" s="22" t="str">
        <f t="shared" ref="C485:C548" si="44">+"In Casa #"&amp;B485</f>
        <v>In Casa #322</v>
      </c>
      <c r="D485" t="str">
        <f t="shared" ref="D485:D548" si="45">"COR22D"&amp;B485</f>
        <v>COR22D322</v>
      </c>
      <c r="E485" s="58" t="s">
        <v>252</v>
      </c>
      <c r="F485" s="20">
        <v>1000</v>
      </c>
      <c r="G485" s="14" t="s">
        <v>354</v>
      </c>
      <c r="H485" s="23" t="s">
        <v>170</v>
      </c>
      <c r="J485" s="59" t="s">
        <v>38</v>
      </c>
      <c r="K485" s="22" t="s">
        <v>254</v>
      </c>
      <c r="L485" s="59" t="s">
        <v>171</v>
      </c>
      <c r="M485" s="22">
        <v>2</v>
      </c>
      <c r="V485" s="59" t="s">
        <v>176</v>
      </c>
      <c r="AL485" s="59" t="s">
        <v>40</v>
      </c>
      <c r="AM485" s="22" t="s">
        <v>188</v>
      </c>
      <c r="AV485" s="59" t="s">
        <v>134</v>
      </c>
      <c r="AW485" s="22" t="str">
        <f>Settings!$B$5 &amp;  "?s=" &amp; D485 &amp; "&amp;platform=ftx"</f>
        <v>https://tokensol.nfluent.io?s=COR22D322&amp;platform=ftx</v>
      </c>
      <c r="AX485" s="20" t="s">
        <v>23</v>
      </c>
      <c r="AY485" s="20">
        <v>10</v>
      </c>
      <c r="AZ485" s="20" t="s">
        <v>24</v>
      </c>
      <c r="BA485" s="20">
        <v>90</v>
      </c>
      <c r="BD485" s="14"/>
      <c r="BJ485" t="s">
        <v>255</v>
      </c>
      <c r="BK485" t="s">
        <v>184</v>
      </c>
      <c r="BN485" s="36">
        <v>100</v>
      </c>
      <c r="BO485" s="36">
        <v>100</v>
      </c>
      <c r="BP485">
        <f t="shared" ref="BP485:BP548" si="46">24*20</f>
        <v>480</v>
      </c>
      <c r="BR485" s="38">
        <v>44713</v>
      </c>
      <c r="BS485" s="20" t="s">
        <v>185</v>
      </c>
      <c r="BT485" s="20" t="str">
        <f t="shared" si="42"/>
        <v>InCasa_COR22D322</v>
      </c>
    </row>
    <row r="486" spans="2:72" ht="18.75" customHeight="1" x14ac:dyDescent="0.25">
      <c r="B486" s="20">
        <f t="shared" si="43"/>
        <v>323</v>
      </c>
      <c r="C486" s="22" t="str">
        <f t="shared" si="44"/>
        <v>In Casa #323</v>
      </c>
      <c r="D486" t="str">
        <f t="shared" si="45"/>
        <v>COR22D323</v>
      </c>
      <c r="E486" s="58" t="s">
        <v>252</v>
      </c>
      <c r="F486" s="20">
        <v>1000</v>
      </c>
      <c r="G486" s="14" t="s">
        <v>354</v>
      </c>
      <c r="H486" s="23" t="s">
        <v>170</v>
      </c>
      <c r="J486" s="59" t="s">
        <v>38</v>
      </c>
      <c r="K486" s="22" t="s">
        <v>254</v>
      </c>
      <c r="L486" s="59" t="s">
        <v>171</v>
      </c>
      <c r="M486" s="22">
        <v>2</v>
      </c>
      <c r="V486" s="59" t="s">
        <v>176</v>
      </c>
      <c r="AL486" s="59" t="s">
        <v>40</v>
      </c>
      <c r="AM486" s="22" t="s">
        <v>188</v>
      </c>
      <c r="AV486" s="59" t="s">
        <v>134</v>
      </c>
      <c r="AW486" s="22" t="str">
        <f>Settings!$B$5 &amp;  "?s=" &amp; D486 &amp; "&amp;platform=ftx"</f>
        <v>https://tokensol.nfluent.io?s=COR22D323&amp;platform=ftx</v>
      </c>
      <c r="AX486" s="20" t="s">
        <v>23</v>
      </c>
      <c r="AY486" s="20">
        <v>10</v>
      </c>
      <c r="AZ486" s="20" t="s">
        <v>24</v>
      </c>
      <c r="BA486" s="20">
        <v>90</v>
      </c>
      <c r="BD486" s="14"/>
      <c r="BJ486" t="s">
        <v>255</v>
      </c>
      <c r="BK486" t="s">
        <v>184</v>
      </c>
      <c r="BN486" s="36">
        <v>100</v>
      </c>
      <c r="BO486" s="36">
        <v>100</v>
      </c>
      <c r="BP486">
        <f t="shared" si="46"/>
        <v>480</v>
      </c>
      <c r="BR486" s="38">
        <v>44713</v>
      </c>
      <c r="BS486" s="20" t="s">
        <v>185</v>
      </c>
      <c r="BT486" s="20" t="str">
        <f t="shared" si="42"/>
        <v>InCasa_COR22D323</v>
      </c>
    </row>
    <row r="487" spans="2:72" ht="18.75" customHeight="1" x14ac:dyDescent="0.25">
      <c r="B487" s="20">
        <f t="shared" si="43"/>
        <v>324</v>
      </c>
      <c r="C487" s="22" t="str">
        <f t="shared" si="44"/>
        <v>In Casa #324</v>
      </c>
      <c r="D487" t="str">
        <f t="shared" si="45"/>
        <v>COR22D324</v>
      </c>
      <c r="E487" s="58" t="s">
        <v>252</v>
      </c>
      <c r="F487" s="20">
        <v>1000</v>
      </c>
      <c r="G487" s="14" t="s">
        <v>354</v>
      </c>
      <c r="H487" s="23" t="s">
        <v>170</v>
      </c>
      <c r="J487" s="59" t="s">
        <v>38</v>
      </c>
      <c r="K487" s="22" t="s">
        <v>254</v>
      </c>
      <c r="L487" s="59" t="s">
        <v>171</v>
      </c>
      <c r="M487" s="22">
        <v>2</v>
      </c>
      <c r="V487" s="59" t="s">
        <v>176</v>
      </c>
      <c r="AL487" s="59" t="s">
        <v>40</v>
      </c>
      <c r="AM487" s="22" t="s">
        <v>188</v>
      </c>
      <c r="AV487" s="59" t="s">
        <v>134</v>
      </c>
      <c r="AW487" s="22" t="str">
        <f>Settings!$B$5 &amp;  "?s=" &amp; D487 &amp; "&amp;platform=ftx"</f>
        <v>https://tokensol.nfluent.io?s=COR22D324&amp;platform=ftx</v>
      </c>
      <c r="AX487" s="20" t="s">
        <v>23</v>
      </c>
      <c r="AY487" s="20">
        <v>10</v>
      </c>
      <c r="AZ487" s="20" t="s">
        <v>24</v>
      </c>
      <c r="BA487" s="20">
        <v>90</v>
      </c>
      <c r="BD487" s="14"/>
      <c r="BJ487" t="s">
        <v>255</v>
      </c>
      <c r="BK487" t="s">
        <v>184</v>
      </c>
      <c r="BN487" s="36">
        <v>100</v>
      </c>
      <c r="BO487" s="36">
        <v>100</v>
      </c>
      <c r="BP487">
        <f t="shared" si="46"/>
        <v>480</v>
      </c>
      <c r="BR487" s="38">
        <v>44713</v>
      </c>
      <c r="BS487" s="20" t="s">
        <v>185</v>
      </c>
      <c r="BT487" s="20" t="str">
        <f t="shared" si="42"/>
        <v>InCasa_COR22D324</v>
      </c>
    </row>
    <row r="488" spans="2:72" ht="18.75" customHeight="1" x14ac:dyDescent="0.25">
      <c r="B488" s="20">
        <f t="shared" si="43"/>
        <v>325</v>
      </c>
      <c r="C488" s="22" t="str">
        <f t="shared" si="44"/>
        <v>In Casa #325</v>
      </c>
      <c r="D488" t="str">
        <f t="shared" si="45"/>
        <v>COR22D325</v>
      </c>
      <c r="E488" s="58" t="s">
        <v>252</v>
      </c>
      <c r="F488" s="20">
        <v>1000</v>
      </c>
      <c r="G488" s="14" t="s">
        <v>354</v>
      </c>
      <c r="H488" s="23" t="s">
        <v>170</v>
      </c>
      <c r="J488" s="59" t="s">
        <v>38</v>
      </c>
      <c r="K488" s="22" t="s">
        <v>254</v>
      </c>
      <c r="L488" s="59" t="s">
        <v>171</v>
      </c>
      <c r="M488" s="22">
        <v>2</v>
      </c>
      <c r="V488" s="59" t="s">
        <v>176</v>
      </c>
      <c r="AL488" s="59" t="s">
        <v>40</v>
      </c>
      <c r="AM488" s="22" t="s">
        <v>188</v>
      </c>
      <c r="AV488" s="59" t="s">
        <v>134</v>
      </c>
      <c r="AW488" s="22" t="str">
        <f>Settings!$B$5 &amp;  "?s=" &amp; D488 &amp; "&amp;platform=ftx"</f>
        <v>https://tokensol.nfluent.io?s=COR22D325&amp;platform=ftx</v>
      </c>
      <c r="AX488" s="20" t="s">
        <v>23</v>
      </c>
      <c r="AY488" s="20">
        <v>10</v>
      </c>
      <c r="AZ488" s="20" t="s">
        <v>24</v>
      </c>
      <c r="BA488" s="20">
        <v>90</v>
      </c>
      <c r="BD488" s="14"/>
      <c r="BJ488" t="s">
        <v>255</v>
      </c>
      <c r="BK488" t="s">
        <v>184</v>
      </c>
      <c r="BN488" s="36">
        <v>100</v>
      </c>
      <c r="BO488" s="36">
        <v>100</v>
      </c>
      <c r="BP488">
        <f t="shared" si="46"/>
        <v>480</v>
      </c>
      <c r="BR488" s="38">
        <v>44713</v>
      </c>
      <c r="BS488" s="20" t="s">
        <v>185</v>
      </c>
      <c r="BT488" s="20" t="str">
        <f t="shared" si="42"/>
        <v>InCasa_COR22D325</v>
      </c>
    </row>
    <row r="489" spans="2:72" ht="18.75" customHeight="1" x14ac:dyDescent="0.25">
      <c r="B489" s="20">
        <f t="shared" si="43"/>
        <v>326</v>
      </c>
      <c r="C489" s="22" t="str">
        <f t="shared" si="44"/>
        <v>In Casa #326</v>
      </c>
      <c r="D489" t="str">
        <f t="shared" si="45"/>
        <v>COR22D326</v>
      </c>
      <c r="E489" s="58" t="s">
        <v>252</v>
      </c>
      <c r="F489" s="20">
        <v>1000</v>
      </c>
      <c r="G489" s="14" t="s">
        <v>354</v>
      </c>
      <c r="H489" s="23" t="s">
        <v>170</v>
      </c>
      <c r="J489" s="59" t="s">
        <v>38</v>
      </c>
      <c r="K489" s="22" t="s">
        <v>254</v>
      </c>
      <c r="L489" s="59" t="s">
        <v>171</v>
      </c>
      <c r="M489" s="22">
        <v>2</v>
      </c>
      <c r="V489" s="59" t="s">
        <v>176</v>
      </c>
      <c r="AL489" s="59" t="s">
        <v>40</v>
      </c>
      <c r="AM489" s="22" t="s">
        <v>188</v>
      </c>
      <c r="AV489" s="59" t="s">
        <v>134</v>
      </c>
      <c r="AW489" s="22" t="str">
        <f>Settings!$B$5 &amp;  "?s=" &amp; D489 &amp; "&amp;platform=ftx"</f>
        <v>https://tokensol.nfluent.io?s=COR22D326&amp;platform=ftx</v>
      </c>
      <c r="AX489" s="20" t="s">
        <v>23</v>
      </c>
      <c r="AY489" s="20">
        <v>10</v>
      </c>
      <c r="AZ489" s="20" t="s">
        <v>24</v>
      </c>
      <c r="BA489" s="20">
        <v>90</v>
      </c>
      <c r="BD489" s="14"/>
      <c r="BJ489" t="s">
        <v>255</v>
      </c>
      <c r="BK489" t="s">
        <v>184</v>
      </c>
      <c r="BN489" s="36">
        <v>100</v>
      </c>
      <c r="BO489" s="36">
        <v>100</v>
      </c>
      <c r="BP489">
        <f t="shared" si="46"/>
        <v>480</v>
      </c>
      <c r="BR489" s="38">
        <v>44713</v>
      </c>
      <c r="BS489" s="20" t="s">
        <v>185</v>
      </c>
      <c r="BT489" s="20" t="str">
        <f t="shared" si="42"/>
        <v>InCasa_COR22D326</v>
      </c>
    </row>
    <row r="490" spans="2:72" ht="18.75" customHeight="1" x14ac:dyDescent="0.25">
      <c r="B490" s="20">
        <f t="shared" si="43"/>
        <v>327</v>
      </c>
      <c r="C490" s="22" t="str">
        <f t="shared" si="44"/>
        <v>In Casa #327</v>
      </c>
      <c r="D490" t="str">
        <f t="shared" si="45"/>
        <v>COR22D327</v>
      </c>
      <c r="E490" s="58" t="s">
        <v>252</v>
      </c>
      <c r="F490" s="20">
        <v>1000</v>
      </c>
      <c r="G490" s="14" t="s">
        <v>354</v>
      </c>
      <c r="H490" s="23" t="s">
        <v>170</v>
      </c>
      <c r="J490" s="59" t="s">
        <v>38</v>
      </c>
      <c r="K490" s="22" t="s">
        <v>254</v>
      </c>
      <c r="L490" s="59" t="s">
        <v>171</v>
      </c>
      <c r="M490" s="22">
        <v>2</v>
      </c>
      <c r="V490" s="59" t="s">
        <v>176</v>
      </c>
      <c r="AL490" s="59" t="s">
        <v>40</v>
      </c>
      <c r="AM490" s="22" t="s">
        <v>188</v>
      </c>
      <c r="AV490" s="59" t="s">
        <v>134</v>
      </c>
      <c r="AW490" s="22" t="str">
        <f>Settings!$B$5 &amp;  "?s=" &amp; D490 &amp; "&amp;platform=ftx"</f>
        <v>https://tokensol.nfluent.io?s=COR22D327&amp;platform=ftx</v>
      </c>
      <c r="AX490" s="20" t="s">
        <v>23</v>
      </c>
      <c r="AY490" s="20">
        <v>10</v>
      </c>
      <c r="AZ490" s="20" t="s">
        <v>24</v>
      </c>
      <c r="BA490" s="20">
        <v>90</v>
      </c>
      <c r="BD490" s="14"/>
      <c r="BJ490" t="s">
        <v>255</v>
      </c>
      <c r="BK490" t="s">
        <v>184</v>
      </c>
      <c r="BN490" s="36">
        <v>100</v>
      </c>
      <c r="BO490" s="36">
        <v>100</v>
      </c>
      <c r="BP490">
        <f t="shared" si="46"/>
        <v>480</v>
      </c>
      <c r="BR490" s="38">
        <v>44713</v>
      </c>
      <c r="BS490" s="20" t="s">
        <v>185</v>
      </c>
      <c r="BT490" s="20" t="str">
        <f t="shared" si="42"/>
        <v>InCasa_COR22D327</v>
      </c>
    </row>
    <row r="491" spans="2:72" ht="18.75" customHeight="1" x14ac:dyDescent="0.25">
      <c r="B491" s="20">
        <f t="shared" si="43"/>
        <v>328</v>
      </c>
      <c r="C491" s="22" t="str">
        <f t="shared" si="44"/>
        <v>In Casa #328</v>
      </c>
      <c r="D491" t="str">
        <f t="shared" si="45"/>
        <v>COR22D328</v>
      </c>
      <c r="E491" s="58" t="s">
        <v>252</v>
      </c>
      <c r="F491" s="20">
        <v>1000</v>
      </c>
      <c r="G491" s="14" t="s">
        <v>354</v>
      </c>
      <c r="H491" s="23" t="s">
        <v>170</v>
      </c>
      <c r="J491" s="59" t="s">
        <v>38</v>
      </c>
      <c r="K491" s="22" t="s">
        <v>254</v>
      </c>
      <c r="L491" s="59" t="s">
        <v>171</v>
      </c>
      <c r="M491" s="22">
        <v>2</v>
      </c>
      <c r="V491" s="59" t="s">
        <v>176</v>
      </c>
      <c r="AL491" s="59" t="s">
        <v>40</v>
      </c>
      <c r="AM491" s="22" t="s">
        <v>188</v>
      </c>
      <c r="AV491" s="59" t="s">
        <v>134</v>
      </c>
      <c r="AW491" s="22" t="str">
        <f>Settings!$B$5 &amp;  "?s=" &amp; D491 &amp; "&amp;platform=ftx"</f>
        <v>https://tokensol.nfluent.io?s=COR22D328&amp;platform=ftx</v>
      </c>
      <c r="AX491" s="20" t="s">
        <v>23</v>
      </c>
      <c r="AY491" s="20">
        <v>10</v>
      </c>
      <c r="AZ491" s="20" t="s">
        <v>24</v>
      </c>
      <c r="BA491" s="20">
        <v>90</v>
      </c>
      <c r="BD491" s="14"/>
      <c r="BJ491" t="s">
        <v>255</v>
      </c>
      <c r="BK491" t="s">
        <v>184</v>
      </c>
      <c r="BN491" s="36">
        <v>100</v>
      </c>
      <c r="BO491" s="36">
        <v>100</v>
      </c>
      <c r="BP491">
        <f t="shared" si="46"/>
        <v>480</v>
      </c>
      <c r="BR491" s="38">
        <v>44713</v>
      </c>
      <c r="BS491" s="20" t="s">
        <v>185</v>
      </c>
      <c r="BT491" s="20" t="str">
        <f t="shared" si="42"/>
        <v>InCasa_COR22D328</v>
      </c>
    </row>
    <row r="492" spans="2:72" ht="18.75" customHeight="1" x14ac:dyDescent="0.25">
      <c r="B492" s="20">
        <f t="shared" si="43"/>
        <v>329</v>
      </c>
      <c r="C492" s="22" t="str">
        <f t="shared" si="44"/>
        <v>In Casa #329</v>
      </c>
      <c r="D492" t="str">
        <f t="shared" si="45"/>
        <v>COR22D329</v>
      </c>
      <c r="E492" s="58" t="s">
        <v>252</v>
      </c>
      <c r="F492" s="20">
        <v>1000</v>
      </c>
      <c r="G492" s="14" t="s">
        <v>354</v>
      </c>
      <c r="H492" s="23" t="s">
        <v>170</v>
      </c>
      <c r="J492" s="59" t="s">
        <v>38</v>
      </c>
      <c r="K492" s="22" t="s">
        <v>254</v>
      </c>
      <c r="L492" s="59" t="s">
        <v>171</v>
      </c>
      <c r="M492" s="22">
        <v>2</v>
      </c>
      <c r="V492" s="59" t="s">
        <v>176</v>
      </c>
      <c r="AL492" s="59" t="s">
        <v>40</v>
      </c>
      <c r="AM492" s="22" t="s">
        <v>188</v>
      </c>
      <c r="AV492" s="59" t="s">
        <v>134</v>
      </c>
      <c r="AW492" s="22" t="str">
        <f>Settings!$B$5 &amp;  "?s=" &amp; D492 &amp; "&amp;platform=ftx"</f>
        <v>https://tokensol.nfluent.io?s=COR22D329&amp;platform=ftx</v>
      </c>
      <c r="AX492" s="20" t="s">
        <v>23</v>
      </c>
      <c r="AY492" s="20">
        <v>10</v>
      </c>
      <c r="AZ492" s="20" t="s">
        <v>24</v>
      </c>
      <c r="BA492" s="20">
        <v>90</v>
      </c>
      <c r="BD492" s="14"/>
      <c r="BJ492" t="s">
        <v>255</v>
      </c>
      <c r="BK492" t="s">
        <v>184</v>
      </c>
      <c r="BN492" s="36">
        <v>100</v>
      </c>
      <c r="BO492" s="36">
        <v>100</v>
      </c>
      <c r="BP492">
        <f t="shared" si="46"/>
        <v>480</v>
      </c>
      <c r="BR492" s="38">
        <v>44713</v>
      </c>
      <c r="BS492" s="20" t="s">
        <v>185</v>
      </c>
      <c r="BT492" s="20" t="str">
        <f t="shared" si="42"/>
        <v>InCasa_COR22D329</v>
      </c>
    </row>
    <row r="493" spans="2:72" ht="18.75" customHeight="1" x14ac:dyDescent="0.25">
      <c r="B493" s="20">
        <f t="shared" si="43"/>
        <v>330</v>
      </c>
      <c r="C493" s="22" t="str">
        <f t="shared" si="44"/>
        <v>In Casa #330</v>
      </c>
      <c r="D493" t="str">
        <f t="shared" si="45"/>
        <v>COR22D330</v>
      </c>
      <c r="E493" s="58" t="s">
        <v>252</v>
      </c>
      <c r="F493" s="20">
        <v>1000</v>
      </c>
      <c r="G493" s="14" t="s">
        <v>354</v>
      </c>
      <c r="H493" s="23" t="s">
        <v>170</v>
      </c>
      <c r="J493" s="59" t="s">
        <v>38</v>
      </c>
      <c r="K493" s="22" t="s">
        <v>254</v>
      </c>
      <c r="L493" s="59" t="s">
        <v>171</v>
      </c>
      <c r="M493" s="22">
        <v>2</v>
      </c>
      <c r="V493" s="59" t="s">
        <v>176</v>
      </c>
      <c r="AL493" s="59" t="s">
        <v>40</v>
      </c>
      <c r="AM493" s="22" t="s">
        <v>188</v>
      </c>
      <c r="AV493" s="59" t="s">
        <v>134</v>
      </c>
      <c r="AW493" s="22" t="str">
        <f>Settings!$B$5 &amp;  "?s=" &amp; D493 &amp; "&amp;platform=ftx"</f>
        <v>https://tokensol.nfluent.io?s=COR22D330&amp;platform=ftx</v>
      </c>
      <c r="AX493" s="20" t="s">
        <v>23</v>
      </c>
      <c r="AY493" s="20">
        <v>10</v>
      </c>
      <c r="AZ493" s="20" t="s">
        <v>24</v>
      </c>
      <c r="BA493" s="20">
        <v>90</v>
      </c>
      <c r="BD493" s="14"/>
      <c r="BJ493" t="s">
        <v>255</v>
      </c>
      <c r="BK493" t="s">
        <v>184</v>
      </c>
      <c r="BN493" s="36">
        <v>100</v>
      </c>
      <c r="BO493" s="36">
        <v>100</v>
      </c>
      <c r="BP493">
        <f t="shared" si="46"/>
        <v>480</v>
      </c>
      <c r="BR493" s="38">
        <v>44713</v>
      </c>
      <c r="BS493" s="20" t="s">
        <v>185</v>
      </c>
      <c r="BT493" s="20" t="str">
        <f t="shared" si="42"/>
        <v>InCasa_COR22D330</v>
      </c>
    </row>
    <row r="494" spans="2:72" ht="18.75" customHeight="1" x14ac:dyDescent="0.25">
      <c r="B494" s="20">
        <f t="shared" si="43"/>
        <v>331</v>
      </c>
      <c r="C494" s="22" t="str">
        <f t="shared" si="44"/>
        <v>In Casa #331</v>
      </c>
      <c r="D494" t="str">
        <f t="shared" si="45"/>
        <v>COR22D331</v>
      </c>
      <c r="E494" s="58" t="s">
        <v>252</v>
      </c>
      <c r="F494" s="20">
        <v>1000</v>
      </c>
      <c r="G494" s="14" t="s">
        <v>354</v>
      </c>
      <c r="H494" s="23" t="s">
        <v>170</v>
      </c>
      <c r="J494" s="59" t="s">
        <v>38</v>
      </c>
      <c r="K494" s="22" t="s">
        <v>254</v>
      </c>
      <c r="L494" s="59" t="s">
        <v>171</v>
      </c>
      <c r="M494" s="22">
        <v>2</v>
      </c>
      <c r="V494" s="59" t="s">
        <v>176</v>
      </c>
      <c r="AL494" s="59" t="s">
        <v>40</v>
      </c>
      <c r="AM494" s="22" t="s">
        <v>188</v>
      </c>
      <c r="AV494" s="59" t="s">
        <v>134</v>
      </c>
      <c r="AW494" s="22" t="str">
        <f>Settings!$B$5 &amp;  "?s=" &amp; D494 &amp; "&amp;platform=ftx"</f>
        <v>https://tokensol.nfluent.io?s=COR22D331&amp;platform=ftx</v>
      </c>
      <c r="AX494" s="20" t="s">
        <v>23</v>
      </c>
      <c r="AY494" s="20">
        <v>10</v>
      </c>
      <c r="AZ494" s="20" t="s">
        <v>24</v>
      </c>
      <c r="BA494" s="20">
        <v>90</v>
      </c>
      <c r="BD494" s="14"/>
      <c r="BJ494" t="s">
        <v>255</v>
      </c>
      <c r="BK494" t="s">
        <v>184</v>
      </c>
      <c r="BN494" s="36">
        <v>100</v>
      </c>
      <c r="BO494" s="36">
        <v>100</v>
      </c>
      <c r="BP494">
        <f t="shared" si="46"/>
        <v>480</v>
      </c>
      <c r="BR494" s="38">
        <v>44713</v>
      </c>
      <c r="BS494" s="20" t="s">
        <v>185</v>
      </c>
      <c r="BT494" s="20" t="str">
        <f t="shared" si="42"/>
        <v>InCasa_COR22D331</v>
      </c>
    </row>
    <row r="495" spans="2:72" ht="18.75" customHeight="1" x14ac:dyDescent="0.25">
      <c r="B495" s="20">
        <f t="shared" si="43"/>
        <v>332</v>
      </c>
      <c r="C495" s="22" t="str">
        <f t="shared" si="44"/>
        <v>In Casa #332</v>
      </c>
      <c r="D495" t="str">
        <f t="shared" si="45"/>
        <v>COR22D332</v>
      </c>
      <c r="E495" s="58" t="s">
        <v>252</v>
      </c>
      <c r="F495" s="20">
        <v>1000</v>
      </c>
      <c r="G495" s="14" t="s">
        <v>354</v>
      </c>
      <c r="H495" s="23" t="s">
        <v>170</v>
      </c>
      <c r="J495" s="59" t="s">
        <v>38</v>
      </c>
      <c r="K495" s="22" t="s">
        <v>254</v>
      </c>
      <c r="L495" s="59" t="s">
        <v>171</v>
      </c>
      <c r="M495" s="22">
        <v>2</v>
      </c>
      <c r="V495" s="59" t="s">
        <v>176</v>
      </c>
      <c r="AL495" s="59" t="s">
        <v>40</v>
      </c>
      <c r="AM495" s="22" t="s">
        <v>188</v>
      </c>
      <c r="AV495" s="59" t="s">
        <v>134</v>
      </c>
      <c r="AW495" s="22" t="str">
        <f>Settings!$B$5 &amp;  "?s=" &amp; D495 &amp; "&amp;platform=ftx"</f>
        <v>https://tokensol.nfluent.io?s=COR22D332&amp;platform=ftx</v>
      </c>
      <c r="AX495" s="20" t="s">
        <v>23</v>
      </c>
      <c r="AY495" s="20">
        <v>10</v>
      </c>
      <c r="AZ495" s="20" t="s">
        <v>24</v>
      </c>
      <c r="BA495" s="20">
        <v>90</v>
      </c>
      <c r="BD495" s="14"/>
      <c r="BJ495" t="s">
        <v>255</v>
      </c>
      <c r="BK495" t="s">
        <v>184</v>
      </c>
      <c r="BN495" s="36">
        <v>100</v>
      </c>
      <c r="BO495" s="36">
        <v>100</v>
      </c>
      <c r="BP495">
        <f t="shared" si="46"/>
        <v>480</v>
      </c>
      <c r="BR495" s="38">
        <v>44713</v>
      </c>
      <c r="BS495" s="20" t="s">
        <v>185</v>
      </c>
      <c r="BT495" s="20" t="str">
        <f t="shared" si="42"/>
        <v>InCasa_COR22D332</v>
      </c>
    </row>
    <row r="496" spans="2:72" ht="18.75" customHeight="1" x14ac:dyDescent="0.25">
      <c r="B496" s="20">
        <f t="shared" si="43"/>
        <v>333</v>
      </c>
      <c r="C496" s="22" t="str">
        <f t="shared" si="44"/>
        <v>In Casa #333</v>
      </c>
      <c r="D496" t="str">
        <f t="shared" si="45"/>
        <v>COR22D333</v>
      </c>
      <c r="E496" s="58" t="s">
        <v>252</v>
      </c>
      <c r="F496" s="20">
        <v>1000</v>
      </c>
      <c r="G496" s="14" t="s">
        <v>354</v>
      </c>
      <c r="H496" s="23" t="s">
        <v>170</v>
      </c>
      <c r="J496" s="59" t="s">
        <v>38</v>
      </c>
      <c r="K496" s="22" t="s">
        <v>254</v>
      </c>
      <c r="L496" s="59" t="s">
        <v>171</v>
      </c>
      <c r="M496" s="22">
        <v>2</v>
      </c>
      <c r="V496" s="59" t="s">
        <v>176</v>
      </c>
      <c r="AL496" s="59" t="s">
        <v>40</v>
      </c>
      <c r="AM496" s="22" t="s">
        <v>188</v>
      </c>
      <c r="AV496" s="59" t="s">
        <v>134</v>
      </c>
      <c r="AW496" s="22" t="str">
        <f>Settings!$B$5 &amp;  "?s=" &amp; D496 &amp; "&amp;platform=ftx"</f>
        <v>https://tokensol.nfluent.io?s=COR22D333&amp;platform=ftx</v>
      </c>
      <c r="AX496" s="20" t="s">
        <v>23</v>
      </c>
      <c r="AY496" s="20">
        <v>10</v>
      </c>
      <c r="AZ496" s="20" t="s">
        <v>24</v>
      </c>
      <c r="BA496" s="20">
        <v>90</v>
      </c>
      <c r="BD496" s="14"/>
      <c r="BJ496" t="s">
        <v>255</v>
      </c>
      <c r="BK496" t="s">
        <v>184</v>
      </c>
      <c r="BN496" s="36">
        <v>100</v>
      </c>
      <c r="BO496" s="36">
        <v>100</v>
      </c>
      <c r="BP496">
        <f t="shared" si="46"/>
        <v>480</v>
      </c>
      <c r="BR496" s="38">
        <v>44713</v>
      </c>
      <c r="BS496" s="20" t="s">
        <v>185</v>
      </c>
      <c r="BT496" s="20" t="str">
        <f t="shared" si="42"/>
        <v>InCasa_COR22D333</v>
      </c>
    </row>
    <row r="497" spans="2:72" ht="18.75" customHeight="1" x14ac:dyDescent="0.25">
      <c r="B497" s="20">
        <f t="shared" si="43"/>
        <v>334</v>
      </c>
      <c r="C497" s="22" t="str">
        <f t="shared" si="44"/>
        <v>In Casa #334</v>
      </c>
      <c r="D497" t="str">
        <f t="shared" si="45"/>
        <v>COR22D334</v>
      </c>
      <c r="E497" s="58" t="s">
        <v>252</v>
      </c>
      <c r="F497" s="20">
        <v>1000</v>
      </c>
      <c r="G497" s="14" t="s">
        <v>354</v>
      </c>
      <c r="H497" s="23" t="s">
        <v>170</v>
      </c>
      <c r="J497" s="59" t="s">
        <v>38</v>
      </c>
      <c r="K497" s="22" t="s">
        <v>254</v>
      </c>
      <c r="L497" s="59" t="s">
        <v>171</v>
      </c>
      <c r="M497" s="22">
        <v>2</v>
      </c>
      <c r="V497" s="59" t="s">
        <v>176</v>
      </c>
      <c r="AL497" s="59" t="s">
        <v>40</v>
      </c>
      <c r="AM497" s="22" t="s">
        <v>188</v>
      </c>
      <c r="AV497" s="59" t="s">
        <v>134</v>
      </c>
      <c r="AW497" s="22" t="str">
        <f>Settings!$B$5 &amp;  "?s=" &amp; D497 &amp; "&amp;platform=ftx"</f>
        <v>https://tokensol.nfluent.io?s=COR22D334&amp;platform=ftx</v>
      </c>
      <c r="AX497" s="20" t="s">
        <v>23</v>
      </c>
      <c r="AY497" s="20">
        <v>10</v>
      </c>
      <c r="AZ497" s="20" t="s">
        <v>24</v>
      </c>
      <c r="BA497" s="20">
        <v>90</v>
      </c>
      <c r="BD497" s="14"/>
      <c r="BJ497" t="s">
        <v>255</v>
      </c>
      <c r="BK497" t="s">
        <v>184</v>
      </c>
      <c r="BN497" s="36">
        <v>100</v>
      </c>
      <c r="BO497" s="36">
        <v>100</v>
      </c>
      <c r="BP497">
        <f t="shared" si="46"/>
        <v>480</v>
      </c>
      <c r="BR497" s="38">
        <v>44713</v>
      </c>
      <c r="BS497" s="20" t="s">
        <v>185</v>
      </c>
      <c r="BT497" s="20" t="str">
        <f t="shared" si="42"/>
        <v>InCasa_COR22D334</v>
      </c>
    </row>
    <row r="498" spans="2:72" ht="18.75" customHeight="1" x14ac:dyDescent="0.25">
      <c r="B498" s="20">
        <f t="shared" si="43"/>
        <v>335</v>
      </c>
      <c r="C498" s="22" t="str">
        <f t="shared" si="44"/>
        <v>In Casa #335</v>
      </c>
      <c r="D498" t="str">
        <f t="shared" si="45"/>
        <v>COR22D335</v>
      </c>
      <c r="E498" s="58" t="s">
        <v>252</v>
      </c>
      <c r="F498" s="20">
        <v>1000</v>
      </c>
      <c r="G498" s="14" t="s">
        <v>354</v>
      </c>
      <c r="H498" s="23" t="s">
        <v>170</v>
      </c>
      <c r="J498" s="59" t="s">
        <v>38</v>
      </c>
      <c r="K498" s="22" t="s">
        <v>254</v>
      </c>
      <c r="L498" s="59" t="s">
        <v>171</v>
      </c>
      <c r="M498" s="22">
        <v>2</v>
      </c>
      <c r="V498" s="59" t="s">
        <v>176</v>
      </c>
      <c r="AL498" s="59" t="s">
        <v>40</v>
      </c>
      <c r="AM498" s="22" t="s">
        <v>188</v>
      </c>
      <c r="AV498" s="59" t="s">
        <v>134</v>
      </c>
      <c r="AW498" s="22" t="str">
        <f>Settings!$B$5 &amp;  "?s=" &amp; D498 &amp; "&amp;platform=ftx"</f>
        <v>https://tokensol.nfluent.io?s=COR22D335&amp;platform=ftx</v>
      </c>
      <c r="AX498" s="20" t="s">
        <v>23</v>
      </c>
      <c r="AY498" s="20">
        <v>10</v>
      </c>
      <c r="AZ498" s="20" t="s">
        <v>24</v>
      </c>
      <c r="BA498" s="20">
        <v>90</v>
      </c>
      <c r="BD498" s="14"/>
      <c r="BJ498" t="s">
        <v>255</v>
      </c>
      <c r="BK498" t="s">
        <v>184</v>
      </c>
      <c r="BN498" s="36">
        <v>100</v>
      </c>
      <c r="BO498" s="36">
        <v>100</v>
      </c>
      <c r="BP498">
        <f t="shared" si="46"/>
        <v>480</v>
      </c>
      <c r="BR498" s="38">
        <v>44713</v>
      </c>
      <c r="BS498" s="20" t="s">
        <v>185</v>
      </c>
      <c r="BT498" s="20" t="str">
        <f t="shared" si="42"/>
        <v>InCasa_COR22D335</v>
      </c>
    </row>
    <row r="499" spans="2:72" ht="18.75" customHeight="1" x14ac:dyDescent="0.25">
      <c r="B499" s="20">
        <f t="shared" si="43"/>
        <v>336</v>
      </c>
      <c r="C499" s="22" t="str">
        <f t="shared" si="44"/>
        <v>In Casa #336</v>
      </c>
      <c r="D499" t="str">
        <f t="shared" si="45"/>
        <v>COR22D336</v>
      </c>
      <c r="E499" s="58" t="s">
        <v>252</v>
      </c>
      <c r="F499" s="20">
        <v>1000</v>
      </c>
      <c r="G499" s="14" t="s">
        <v>354</v>
      </c>
      <c r="H499" s="23" t="s">
        <v>170</v>
      </c>
      <c r="J499" s="59" t="s">
        <v>38</v>
      </c>
      <c r="K499" s="22" t="s">
        <v>254</v>
      </c>
      <c r="L499" s="59" t="s">
        <v>171</v>
      </c>
      <c r="M499" s="22">
        <v>2</v>
      </c>
      <c r="V499" s="59" t="s">
        <v>176</v>
      </c>
      <c r="AL499" s="59" t="s">
        <v>40</v>
      </c>
      <c r="AM499" s="22" t="s">
        <v>188</v>
      </c>
      <c r="AV499" s="59" t="s">
        <v>134</v>
      </c>
      <c r="AW499" s="22" t="str">
        <f>Settings!$B$5 &amp;  "?s=" &amp; D499 &amp; "&amp;platform=ftx"</f>
        <v>https://tokensol.nfluent.io?s=COR22D336&amp;platform=ftx</v>
      </c>
      <c r="AX499" s="20" t="s">
        <v>23</v>
      </c>
      <c r="AY499" s="20">
        <v>10</v>
      </c>
      <c r="AZ499" s="20" t="s">
        <v>24</v>
      </c>
      <c r="BA499" s="20">
        <v>90</v>
      </c>
      <c r="BD499" s="14"/>
      <c r="BJ499" t="s">
        <v>255</v>
      </c>
      <c r="BK499" t="s">
        <v>184</v>
      </c>
      <c r="BN499" s="36">
        <v>100</v>
      </c>
      <c r="BO499" s="36">
        <v>100</v>
      </c>
      <c r="BP499">
        <f t="shared" si="46"/>
        <v>480</v>
      </c>
      <c r="BR499" s="38">
        <v>44713</v>
      </c>
      <c r="BS499" s="20" t="s">
        <v>185</v>
      </c>
      <c r="BT499" s="20" t="str">
        <f t="shared" si="42"/>
        <v>InCasa_COR22D336</v>
      </c>
    </row>
    <row r="500" spans="2:72" ht="18.75" customHeight="1" x14ac:dyDescent="0.25">
      <c r="B500" s="20">
        <f t="shared" si="43"/>
        <v>337</v>
      </c>
      <c r="C500" s="22" t="str">
        <f t="shared" si="44"/>
        <v>In Casa #337</v>
      </c>
      <c r="D500" t="str">
        <f t="shared" si="45"/>
        <v>COR22D337</v>
      </c>
      <c r="E500" s="58" t="s">
        <v>252</v>
      </c>
      <c r="F500" s="20">
        <v>1000</v>
      </c>
      <c r="G500" s="14" t="s">
        <v>354</v>
      </c>
      <c r="H500" s="23" t="s">
        <v>170</v>
      </c>
      <c r="J500" s="59" t="s">
        <v>38</v>
      </c>
      <c r="K500" s="22" t="s">
        <v>254</v>
      </c>
      <c r="L500" s="59" t="s">
        <v>171</v>
      </c>
      <c r="M500" s="22">
        <v>2</v>
      </c>
      <c r="V500" s="59" t="s">
        <v>176</v>
      </c>
      <c r="AL500" s="59" t="s">
        <v>40</v>
      </c>
      <c r="AM500" s="22" t="s">
        <v>188</v>
      </c>
      <c r="AV500" s="59" t="s">
        <v>134</v>
      </c>
      <c r="AW500" s="22" t="str">
        <f>Settings!$B$5 &amp;  "?s=" &amp; D500 &amp; "&amp;platform=ftx"</f>
        <v>https://tokensol.nfluent.io?s=COR22D337&amp;platform=ftx</v>
      </c>
      <c r="AX500" s="20" t="s">
        <v>23</v>
      </c>
      <c r="AY500" s="20">
        <v>10</v>
      </c>
      <c r="AZ500" s="20" t="s">
        <v>24</v>
      </c>
      <c r="BA500" s="20">
        <v>90</v>
      </c>
      <c r="BD500" s="14"/>
      <c r="BJ500" t="s">
        <v>255</v>
      </c>
      <c r="BK500" t="s">
        <v>184</v>
      </c>
      <c r="BN500" s="36">
        <v>100</v>
      </c>
      <c r="BO500" s="36">
        <v>100</v>
      </c>
      <c r="BP500">
        <f t="shared" si="46"/>
        <v>480</v>
      </c>
      <c r="BR500" s="38">
        <v>44713</v>
      </c>
      <c r="BS500" s="20" t="s">
        <v>185</v>
      </c>
      <c r="BT500" s="20" t="str">
        <f t="shared" si="42"/>
        <v>InCasa_COR22D337</v>
      </c>
    </row>
    <row r="501" spans="2:72" ht="18.75" customHeight="1" x14ac:dyDescent="0.25">
      <c r="B501" s="20">
        <f t="shared" si="43"/>
        <v>338</v>
      </c>
      <c r="C501" s="22" t="str">
        <f t="shared" si="44"/>
        <v>In Casa #338</v>
      </c>
      <c r="D501" t="str">
        <f t="shared" si="45"/>
        <v>COR22D338</v>
      </c>
      <c r="E501" s="58" t="s">
        <v>252</v>
      </c>
      <c r="F501" s="20">
        <v>1000</v>
      </c>
      <c r="G501" s="14" t="s">
        <v>354</v>
      </c>
      <c r="H501" s="23" t="s">
        <v>170</v>
      </c>
      <c r="J501" s="59" t="s">
        <v>38</v>
      </c>
      <c r="K501" s="22" t="s">
        <v>254</v>
      </c>
      <c r="L501" s="59" t="s">
        <v>171</v>
      </c>
      <c r="M501" s="22">
        <v>2</v>
      </c>
      <c r="V501" s="59" t="s">
        <v>176</v>
      </c>
      <c r="AL501" s="59" t="s">
        <v>40</v>
      </c>
      <c r="AM501" s="22" t="s">
        <v>188</v>
      </c>
      <c r="AV501" s="59" t="s">
        <v>134</v>
      </c>
      <c r="AW501" s="22" t="str">
        <f>Settings!$B$5 &amp;  "?s=" &amp; D501 &amp; "&amp;platform=ftx"</f>
        <v>https://tokensol.nfluent.io?s=COR22D338&amp;platform=ftx</v>
      </c>
      <c r="AX501" s="20" t="s">
        <v>23</v>
      </c>
      <c r="AY501" s="20">
        <v>10</v>
      </c>
      <c r="AZ501" s="20" t="s">
        <v>24</v>
      </c>
      <c r="BA501" s="20">
        <v>90</v>
      </c>
      <c r="BD501" s="14"/>
      <c r="BJ501" t="s">
        <v>255</v>
      </c>
      <c r="BK501" t="s">
        <v>184</v>
      </c>
      <c r="BN501" s="36">
        <v>100</v>
      </c>
      <c r="BO501" s="36">
        <v>100</v>
      </c>
      <c r="BP501">
        <f t="shared" si="46"/>
        <v>480</v>
      </c>
      <c r="BR501" s="38">
        <v>44713</v>
      </c>
      <c r="BS501" s="20" t="s">
        <v>185</v>
      </c>
      <c r="BT501" s="20" t="str">
        <f t="shared" si="42"/>
        <v>InCasa_COR22D338</v>
      </c>
    </row>
    <row r="502" spans="2:72" ht="18.75" customHeight="1" x14ac:dyDescent="0.25">
      <c r="B502" s="20">
        <f t="shared" si="43"/>
        <v>339</v>
      </c>
      <c r="C502" s="22" t="str">
        <f t="shared" si="44"/>
        <v>In Casa #339</v>
      </c>
      <c r="D502" t="str">
        <f t="shared" si="45"/>
        <v>COR22D339</v>
      </c>
      <c r="E502" s="58" t="s">
        <v>252</v>
      </c>
      <c r="F502" s="20">
        <v>1000</v>
      </c>
      <c r="G502" s="14" t="s">
        <v>354</v>
      </c>
      <c r="H502" s="23" t="s">
        <v>170</v>
      </c>
      <c r="J502" s="59" t="s">
        <v>38</v>
      </c>
      <c r="K502" s="22" t="s">
        <v>254</v>
      </c>
      <c r="L502" s="59" t="s">
        <v>171</v>
      </c>
      <c r="M502" s="22">
        <v>2</v>
      </c>
      <c r="V502" s="59" t="s">
        <v>176</v>
      </c>
      <c r="AL502" s="59" t="s">
        <v>40</v>
      </c>
      <c r="AM502" s="22" t="s">
        <v>188</v>
      </c>
      <c r="AV502" s="59" t="s">
        <v>134</v>
      </c>
      <c r="AW502" s="22" t="str">
        <f>Settings!$B$5 &amp;  "?s=" &amp; D502 &amp; "&amp;platform=ftx"</f>
        <v>https://tokensol.nfluent.io?s=COR22D339&amp;platform=ftx</v>
      </c>
      <c r="AX502" s="20" t="s">
        <v>23</v>
      </c>
      <c r="AY502" s="20">
        <v>10</v>
      </c>
      <c r="AZ502" s="20" t="s">
        <v>24</v>
      </c>
      <c r="BA502" s="20">
        <v>90</v>
      </c>
      <c r="BD502" s="14"/>
      <c r="BJ502" t="s">
        <v>255</v>
      </c>
      <c r="BK502" t="s">
        <v>184</v>
      </c>
      <c r="BN502" s="36">
        <v>100</v>
      </c>
      <c r="BO502" s="36">
        <v>100</v>
      </c>
      <c r="BP502">
        <f t="shared" si="46"/>
        <v>480</v>
      </c>
      <c r="BR502" s="38">
        <v>44713</v>
      </c>
      <c r="BS502" s="20" t="s">
        <v>185</v>
      </c>
      <c r="BT502" s="20" t="str">
        <f t="shared" si="42"/>
        <v>InCasa_COR22D339</v>
      </c>
    </row>
    <row r="503" spans="2:72" ht="18.75" customHeight="1" x14ac:dyDescent="0.25">
      <c r="B503" s="20">
        <f t="shared" si="43"/>
        <v>340</v>
      </c>
      <c r="C503" s="22" t="str">
        <f t="shared" si="44"/>
        <v>In Casa #340</v>
      </c>
      <c r="D503" t="str">
        <f t="shared" si="45"/>
        <v>COR22D340</v>
      </c>
      <c r="E503" s="58" t="s">
        <v>252</v>
      </c>
      <c r="F503" s="20">
        <v>1000</v>
      </c>
      <c r="G503" s="14" t="s">
        <v>354</v>
      </c>
      <c r="H503" s="23" t="s">
        <v>170</v>
      </c>
      <c r="J503" s="59" t="s">
        <v>38</v>
      </c>
      <c r="K503" s="22" t="s">
        <v>254</v>
      </c>
      <c r="L503" s="59" t="s">
        <v>171</v>
      </c>
      <c r="M503" s="22">
        <v>2</v>
      </c>
      <c r="V503" s="59" t="s">
        <v>176</v>
      </c>
      <c r="AL503" s="59" t="s">
        <v>40</v>
      </c>
      <c r="AM503" s="22" t="s">
        <v>188</v>
      </c>
      <c r="AV503" s="59" t="s">
        <v>134</v>
      </c>
      <c r="AW503" s="22" t="str">
        <f>Settings!$B$5 &amp;  "?s=" &amp; D503 &amp; "&amp;platform=ftx"</f>
        <v>https://tokensol.nfluent.io?s=COR22D340&amp;platform=ftx</v>
      </c>
      <c r="AX503" s="20" t="s">
        <v>23</v>
      </c>
      <c r="AY503" s="20">
        <v>10</v>
      </c>
      <c r="AZ503" s="20" t="s">
        <v>24</v>
      </c>
      <c r="BA503" s="20">
        <v>90</v>
      </c>
      <c r="BD503" s="14"/>
      <c r="BJ503" t="s">
        <v>255</v>
      </c>
      <c r="BK503" t="s">
        <v>184</v>
      </c>
      <c r="BN503" s="36">
        <v>100</v>
      </c>
      <c r="BO503" s="36">
        <v>100</v>
      </c>
      <c r="BP503">
        <f t="shared" si="46"/>
        <v>480</v>
      </c>
      <c r="BR503" s="38">
        <v>44713</v>
      </c>
      <c r="BS503" s="20" t="s">
        <v>185</v>
      </c>
      <c r="BT503" s="20" t="str">
        <f t="shared" si="42"/>
        <v>InCasa_COR22D340</v>
      </c>
    </row>
    <row r="504" spans="2:72" ht="18.75" customHeight="1" x14ac:dyDescent="0.25">
      <c r="B504" s="20">
        <f t="shared" si="43"/>
        <v>341</v>
      </c>
      <c r="C504" s="22" t="str">
        <f t="shared" si="44"/>
        <v>In Casa #341</v>
      </c>
      <c r="D504" t="str">
        <f t="shared" si="45"/>
        <v>COR22D341</v>
      </c>
      <c r="E504" s="58" t="s">
        <v>252</v>
      </c>
      <c r="F504" s="20">
        <v>1000</v>
      </c>
      <c r="G504" s="14" t="s">
        <v>354</v>
      </c>
      <c r="H504" s="23" t="s">
        <v>170</v>
      </c>
      <c r="J504" s="59" t="s">
        <v>38</v>
      </c>
      <c r="K504" s="22" t="s">
        <v>254</v>
      </c>
      <c r="L504" s="59" t="s">
        <v>171</v>
      </c>
      <c r="M504" s="22">
        <v>2</v>
      </c>
      <c r="V504" s="59" t="s">
        <v>176</v>
      </c>
      <c r="AL504" s="59" t="s">
        <v>40</v>
      </c>
      <c r="AM504" s="22" t="s">
        <v>188</v>
      </c>
      <c r="AV504" s="59" t="s">
        <v>134</v>
      </c>
      <c r="AW504" s="22" t="str">
        <f>Settings!$B$5 &amp;  "?s=" &amp; D504 &amp; "&amp;platform=ftx"</f>
        <v>https://tokensol.nfluent.io?s=COR22D341&amp;platform=ftx</v>
      </c>
      <c r="AX504" s="20" t="s">
        <v>23</v>
      </c>
      <c r="AY504" s="20">
        <v>10</v>
      </c>
      <c r="AZ504" s="20" t="s">
        <v>24</v>
      </c>
      <c r="BA504" s="20">
        <v>90</v>
      </c>
      <c r="BD504" s="14"/>
      <c r="BJ504" t="s">
        <v>255</v>
      </c>
      <c r="BK504" t="s">
        <v>184</v>
      </c>
      <c r="BN504" s="36">
        <v>100</v>
      </c>
      <c r="BO504" s="36">
        <v>100</v>
      </c>
      <c r="BP504">
        <f t="shared" si="46"/>
        <v>480</v>
      </c>
      <c r="BR504" s="38">
        <v>44713</v>
      </c>
      <c r="BS504" s="20" t="s">
        <v>185</v>
      </c>
      <c r="BT504" s="20" t="str">
        <f t="shared" si="42"/>
        <v>InCasa_COR22D341</v>
      </c>
    </row>
    <row r="505" spans="2:72" ht="18.75" customHeight="1" x14ac:dyDescent="0.25">
      <c r="B505" s="20">
        <f t="shared" si="43"/>
        <v>342</v>
      </c>
      <c r="C505" s="22" t="str">
        <f t="shared" si="44"/>
        <v>In Casa #342</v>
      </c>
      <c r="D505" t="str">
        <f t="shared" si="45"/>
        <v>COR22D342</v>
      </c>
      <c r="E505" s="58" t="s">
        <v>252</v>
      </c>
      <c r="F505" s="20">
        <v>1000</v>
      </c>
      <c r="G505" s="14" t="s">
        <v>354</v>
      </c>
      <c r="H505" s="23" t="s">
        <v>170</v>
      </c>
      <c r="J505" s="59" t="s">
        <v>38</v>
      </c>
      <c r="K505" s="22" t="s">
        <v>254</v>
      </c>
      <c r="L505" s="59" t="s">
        <v>171</v>
      </c>
      <c r="M505" s="22">
        <v>2</v>
      </c>
      <c r="V505" s="59" t="s">
        <v>176</v>
      </c>
      <c r="AL505" s="59" t="s">
        <v>40</v>
      </c>
      <c r="AM505" s="22" t="s">
        <v>188</v>
      </c>
      <c r="AV505" s="59" t="s">
        <v>134</v>
      </c>
      <c r="AW505" s="22" t="str">
        <f>Settings!$B$5 &amp;  "?s=" &amp; D505 &amp; "&amp;platform=ftx"</f>
        <v>https://tokensol.nfluent.io?s=COR22D342&amp;platform=ftx</v>
      </c>
      <c r="AX505" s="20" t="s">
        <v>23</v>
      </c>
      <c r="AY505" s="20">
        <v>10</v>
      </c>
      <c r="AZ505" s="20" t="s">
        <v>24</v>
      </c>
      <c r="BA505" s="20">
        <v>90</v>
      </c>
      <c r="BD505" s="14"/>
      <c r="BJ505" t="s">
        <v>255</v>
      </c>
      <c r="BK505" t="s">
        <v>184</v>
      </c>
      <c r="BN505" s="36">
        <v>100</v>
      </c>
      <c r="BO505" s="36">
        <v>100</v>
      </c>
      <c r="BP505">
        <f t="shared" si="46"/>
        <v>480</v>
      </c>
      <c r="BR505" s="38">
        <v>44713</v>
      </c>
      <c r="BS505" s="20" t="s">
        <v>185</v>
      </c>
      <c r="BT505" s="20" t="str">
        <f t="shared" si="42"/>
        <v>InCasa_COR22D342</v>
      </c>
    </row>
    <row r="506" spans="2:72" ht="18.75" customHeight="1" x14ac:dyDescent="0.25">
      <c r="B506" s="20">
        <f t="shared" si="43"/>
        <v>343</v>
      </c>
      <c r="C506" s="22" t="str">
        <f t="shared" si="44"/>
        <v>In Casa #343</v>
      </c>
      <c r="D506" t="str">
        <f t="shared" si="45"/>
        <v>COR22D343</v>
      </c>
      <c r="E506" s="58" t="s">
        <v>252</v>
      </c>
      <c r="F506" s="20">
        <v>1000</v>
      </c>
      <c r="G506" s="14" t="s">
        <v>354</v>
      </c>
      <c r="H506" s="23" t="s">
        <v>170</v>
      </c>
      <c r="J506" s="59" t="s">
        <v>38</v>
      </c>
      <c r="K506" s="22" t="s">
        <v>254</v>
      </c>
      <c r="L506" s="59" t="s">
        <v>171</v>
      </c>
      <c r="M506" s="22">
        <v>2</v>
      </c>
      <c r="V506" s="59" t="s">
        <v>176</v>
      </c>
      <c r="AL506" s="59" t="s">
        <v>40</v>
      </c>
      <c r="AM506" s="22" t="s">
        <v>188</v>
      </c>
      <c r="AV506" s="59" t="s">
        <v>134</v>
      </c>
      <c r="AW506" s="22" t="str">
        <f>Settings!$B$5 &amp;  "?s=" &amp; D506 &amp; "&amp;platform=ftx"</f>
        <v>https://tokensol.nfluent.io?s=COR22D343&amp;platform=ftx</v>
      </c>
      <c r="AX506" s="20" t="s">
        <v>23</v>
      </c>
      <c r="AY506" s="20">
        <v>10</v>
      </c>
      <c r="AZ506" s="20" t="s">
        <v>24</v>
      </c>
      <c r="BA506" s="20">
        <v>90</v>
      </c>
      <c r="BD506" s="14"/>
      <c r="BJ506" t="s">
        <v>255</v>
      </c>
      <c r="BK506" t="s">
        <v>184</v>
      </c>
      <c r="BN506" s="36">
        <v>100</v>
      </c>
      <c r="BO506" s="36">
        <v>100</v>
      </c>
      <c r="BP506">
        <f t="shared" si="46"/>
        <v>480</v>
      </c>
      <c r="BR506" s="38">
        <v>44713</v>
      </c>
      <c r="BS506" s="20" t="s">
        <v>185</v>
      </c>
      <c r="BT506" s="20" t="str">
        <f t="shared" si="42"/>
        <v>InCasa_COR22D343</v>
      </c>
    </row>
    <row r="507" spans="2:72" ht="18.75" customHeight="1" x14ac:dyDescent="0.25">
      <c r="B507" s="20">
        <f t="shared" si="43"/>
        <v>344</v>
      </c>
      <c r="C507" s="22" t="str">
        <f t="shared" si="44"/>
        <v>In Casa #344</v>
      </c>
      <c r="D507" t="str">
        <f t="shared" si="45"/>
        <v>COR22D344</v>
      </c>
      <c r="E507" s="58" t="s">
        <v>252</v>
      </c>
      <c r="F507" s="20">
        <v>1000</v>
      </c>
      <c r="G507" s="14" t="s">
        <v>354</v>
      </c>
      <c r="H507" s="23" t="s">
        <v>170</v>
      </c>
      <c r="J507" s="59" t="s">
        <v>38</v>
      </c>
      <c r="K507" s="22" t="s">
        <v>254</v>
      </c>
      <c r="L507" s="59" t="s">
        <v>171</v>
      </c>
      <c r="M507" s="22">
        <v>2</v>
      </c>
      <c r="V507" s="59" t="s">
        <v>176</v>
      </c>
      <c r="AL507" s="59" t="s">
        <v>40</v>
      </c>
      <c r="AM507" s="22" t="s">
        <v>188</v>
      </c>
      <c r="AV507" s="59" t="s">
        <v>134</v>
      </c>
      <c r="AW507" s="22" t="str">
        <f>Settings!$B$5 &amp;  "?s=" &amp; D507 &amp; "&amp;platform=ftx"</f>
        <v>https://tokensol.nfluent.io?s=COR22D344&amp;platform=ftx</v>
      </c>
      <c r="AX507" s="20" t="s">
        <v>23</v>
      </c>
      <c r="AY507" s="20">
        <v>10</v>
      </c>
      <c r="AZ507" s="20" t="s">
        <v>24</v>
      </c>
      <c r="BA507" s="20">
        <v>90</v>
      </c>
      <c r="BD507" s="14"/>
      <c r="BJ507" t="s">
        <v>255</v>
      </c>
      <c r="BK507" t="s">
        <v>184</v>
      </c>
      <c r="BN507" s="36">
        <v>100</v>
      </c>
      <c r="BO507" s="36">
        <v>100</v>
      </c>
      <c r="BP507">
        <f t="shared" si="46"/>
        <v>480</v>
      </c>
      <c r="BR507" s="38">
        <v>44713</v>
      </c>
      <c r="BS507" s="20" t="s">
        <v>185</v>
      </c>
      <c r="BT507" s="20" t="str">
        <f t="shared" si="42"/>
        <v>InCasa_COR22D344</v>
      </c>
    </row>
    <row r="508" spans="2:72" ht="18.75" customHeight="1" x14ac:dyDescent="0.25">
      <c r="B508" s="20">
        <f t="shared" si="43"/>
        <v>345</v>
      </c>
      <c r="C508" s="22" t="str">
        <f t="shared" si="44"/>
        <v>In Casa #345</v>
      </c>
      <c r="D508" t="str">
        <f t="shared" si="45"/>
        <v>COR22D345</v>
      </c>
      <c r="E508" s="58" t="s">
        <v>252</v>
      </c>
      <c r="F508" s="20">
        <v>1000</v>
      </c>
      <c r="G508" s="14" t="s">
        <v>354</v>
      </c>
      <c r="H508" s="23" t="s">
        <v>170</v>
      </c>
      <c r="J508" s="59" t="s">
        <v>38</v>
      </c>
      <c r="K508" s="22" t="s">
        <v>254</v>
      </c>
      <c r="L508" s="59" t="s">
        <v>171</v>
      </c>
      <c r="M508" s="22">
        <v>2</v>
      </c>
      <c r="V508" s="59" t="s">
        <v>176</v>
      </c>
      <c r="AL508" s="59" t="s">
        <v>40</v>
      </c>
      <c r="AM508" s="22" t="s">
        <v>188</v>
      </c>
      <c r="AV508" s="59" t="s">
        <v>134</v>
      </c>
      <c r="AW508" s="22" t="str">
        <f>Settings!$B$5 &amp;  "?s=" &amp; D508 &amp; "&amp;platform=ftx"</f>
        <v>https://tokensol.nfluent.io?s=COR22D345&amp;platform=ftx</v>
      </c>
      <c r="AX508" s="20" t="s">
        <v>23</v>
      </c>
      <c r="AY508" s="20">
        <v>10</v>
      </c>
      <c r="AZ508" s="20" t="s">
        <v>24</v>
      </c>
      <c r="BA508" s="20">
        <v>90</v>
      </c>
      <c r="BD508" s="14"/>
      <c r="BJ508" t="s">
        <v>255</v>
      </c>
      <c r="BK508" t="s">
        <v>184</v>
      </c>
      <c r="BN508" s="36">
        <v>100</v>
      </c>
      <c r="BO508" s="36">
        <v>100</v>
      </c>
      <c r="BP508">
        <f t="shared" si="46"/>
        <v>480</v>
      </c>
      <c r="BR508" s="38">
        <v>44713</v>
      </c>
      <c r="BS508" s="20" t="s">
        <v>185</v>
      </c>
      <c r="BT508" s="20" t="str">
        <f t="shared" si="42"/>
        <v>InCasa_COR22D345</v>
      </c>
    </row>
    <row r="509" spans="2:72" ht="18.75" customHeight="1" x14ac:dyDescent="0.25">
      <c r="B509" s="20">
        <f t="shared" si="43"/>
        <v>346</v>
      </c>
      <c r="C509" s="22" t="str">
        <f t="shared" si="44"/>
        <v>In Casa #346</v>
      </c>
      <c r="D509" t="str">
        <f t="shared" si="45"/>
        <v>COR22D346</v>
      </c>
      <c r="E509" s="58" t="s">
        <v>252</v>
      </c>
      <c r="F509" s="20">
        <v>1000</v>
      </c>
      <c r="G509" s="14" t="s">
        <v>354</v>
      </c>
      <c r="H509" s="23" t="s">
        <v>170</v>
      </c>
      <c r="J509" s="59" t="s">
        <v>38</v>
      </c>
      <c r="K509" s="22" t="s">
        <v>254</v>
      </c>
      <c r="L509" s="59" t="s">
        <v>171</v>
      </c>
      <c r="M509" s="22">
        <v>2</v>
      </c>
      <c r="V509" s="59" t="s">
        <v>176</v>
      </c>
      <c r="AL509" s="59" t="s">
        <v>40</v>
      </c>
      <c r="AM509" s="22" t="s">
        <v>188</v>
      </c>
      <c r="AV509" s="59" t="s">
        <v>134</v>
      </c>
      <c r="AW509" s="22" t="str">
        <f>Settings!$B$5 &amp;  "?s=" &amp; D509 &amp; "&amp;platform=ftx"</f>
        <v>https://tokensol.nfluent.io?s=COR22D346&amp;platform=ftx</v>
      </c>
      <c r="AX509" s="20" t="s">
        <v>23</v>
      </c>
      <c r="AY509" s="20">
        <v>10</v>
      </c>
      <c r="AZ509" s="20" t="s">
        <v>24</v>
      </c>
      <c r="BA509" s="20">
        <v>90</v>
      </c>
      <c r="BD509" s="14"/>
      <c r="BJ509" t="s">
        <v>255</v>
      </c>
      <c r="BK509" t="s">
        <v>184</v>
      </c>
      <c r="BN509" s="36">
        <v>100</v>
      </c>
      <c r="BO509" s="36">
        <v>100</v>
      </c>
      <c r="BP509">
        <f t="shared" si="46"/>
        <v>480</v>
      </c>
      <c r="BR509" s="38">
        <v>44713</v>
      </c>
      <c r="BS509" s="20" t="s">
        <v>185</v>
      </c>
      <c r="BT509" s="20" t="str">
        <f t="shared" si="42"/>
        <v>InCasa_COR22D346</v>
      </c>
    </row>
    <row r="510" spans="2:72" ht="18.75" customHeight="1" x14ac:dyDescent="0.25">
      <c r="B510" s="20">
        <f t="shared" si="43"/>
        <v>347</v>
      </c>
      <c r="C510" s="22" t="str">
        <f t="shared" si="44"/>
        <v>In Casa #347</v>
      </c>
      <c r="D510" t="str">
        <f t="shared" si="45"/>
        <v>COR22D347</v>
      </c>
      <c r="E510" s="58" t="s">
        <v>252</v>
      </c>
      <c r="F510" s="20">
        <v>1000</v>
      </c>
      <c r="G510" s="14" t="s">
        <v>354</v>
      </c>
      <c r="H510" s="23" t="s">
        <v>170</v>
      </c>
      <c r="J510" s="59" t="s">
        <v>38</v>
      </c>
      <c r="K510" s="22" t="s">
        <v>254</v>
      </c>
      <c r="L510" s="59" t="s">
        <v>171</v>
      </c>
      <c r="M510" s="22">
        <v>2</v>
      </c>
      <c r="V510" s="59" t="s">
        <v>176</v>
      </c>
      <c r="AL510" s="59" t="s">
        <v>40</v>
      </c>
      <c r="AM510" s="22" t="s">
        <v>188</v>
      </c>
      <c r="AV510" s="59" t="s">
        <v>134</v>
      </c>
      <c r="AW510" s="22" t="str">
        <f>Settings!$B$5 &amp;  "?s=" &amp; D510 &amp; "&amp;platform=ftx"</f>
        <v>https://tokensol.nfluent.io?s=COR22D347&amp;platform=ftx</v>
      </c>
      <c r="AX510" s="20" t="s">
        <v>23</v>
      </c>
      <c r="AY510" s="20">
        <v>10</v>
      </c>
      <c r="AZ510" s="20" t="s">
        <v>24</v>
      </c>
      <c r="BA510" s="20">
        <v>90</v>
      </c>
      <c r="BD510" s="14"/>
      <c r="BJ510" t="s">
        <v>255</v>
      </c>
      <c r="BK510" t="s">
        <v>184</v>
      </c>
      <c r="BN510" s="36">
        <v>100</v>
      </c>
      <c r="BO510" s="36">
        <v>100</v>
      </c>
      <c r="BP510">
        <f t="shared" si="46"/>
        <v>480</v>
      </c>
      <c r="BR510" s="38">
        <v>44713</v>
      </c>
      <c r="BS510" s="20" t="s">
        <v>185</v>
      </c>
      <c r="BT510" s="20" t="str">
        <f t="shared" si="42"/>
        <v>InCasa_COR22D347</v>
      </c>
    </row>
    <row r="511" spans="2:72" ht="18.75" customHeight="1" x14ac:dyDescent="0.25">
      <c r="B511" s="20">
        <f t="shared" si="43"/>
        <v>348</v>
      </c>
      <c r="C511" s="22" t="str">
        <f t="shared" si="44"/>
        <v>In Casa #348</v>
      </c>
      <c r="D511" t="str">
        <f t="shared" si="45"/>
        <v>COR22D348</v>
      </c>
      <c r="E511" s="58" t="s">
        <v>252</v>
      </c>
      <c r="F511" s="20">
        <v>1000</v>
      </c>
      <c r="G511" s="14" t="s">
        <v>354</v>
      </c>
      <c r="H511" s="23" t="s">
        <v>170</v>
      </c>
      <c r="J511" s="59" t="s">
        <v>38</v>
      </c>
      <c r="K511" s="22" t="s">
        <v>254</v>
      </c>
      <c r="L511" s="59" t="s">
        <v>171</v>
      </c>
      <c r="M511" s="22">
        <v>2</v>
      </c>
      <c r="V511" s="59" t="s">
        <v>176</v>
      </c>
      <c r="AL511" s="59" t="s">
        <v>40</v>
      </c>
      <c r="AM511" s="22" t="s">
        <v>188</v>
      </c>
      <c r="AV511" s="59" t="s">
        <v>134</v>
      </c>
      <c r="AW511" s="22" t="str">
        <f>Settings!$B$5 &amp;  "?s=" &amp; D511 &amp; "&amp;platform=ftx"</f>
        <v>https://tokensol.nfluent.io?s=COR22D348&amp;platform=ftx</v>
      </c>
      <c r="AX511" s="20" t="s">
        <v>23</v>
      </c>
      <c r="AY511" s="20">
        <v>10</v>
      </c>
      <c r="AZ511" s="20" t="s">
        <v>24</v>
      </c>
      <c r="BA511" s="20">
        <v>90</v>
      </c>
      <c r="BD511" s="14"/>
      <c r="BJ511" t="s">
        <v>255</v>
      </c>
      <c r="BK511" t="s">
        <v>184</v>
      </c>
      <c r="BN511" s="36">
        <v>100</v>
      </c>
      <c r="BO511" s="36">
        <v>100</v>
      </c>
      <c r="BP511">
        <f t="shared" si="46"/>
        <v>480</v>
      </c>
      <c r="BR511" s="38">
        <v>44713</v>
      </c>
      <c r="BS511" s="20" t="s">
        <v>185</v>
      </c>
      <c r="BT511" s="20" t="str">
        <f t="shared" si="42"/>
        <v>InCasa_COR22D348</v>
      </c>
    </row>
    <row r="512" spans="2:72" ht="18.75" customHeight="1" x14ac:dyDescent="0.25">
      <c r="B512" s="20">
        <f t="shared" si="43"/>
        <v>349</v>
      </c>
      <c r="C512" s="22" t="str">
        <f t="shared" si="44"/>
        <v>In Casa #349</v>
      </c>
      <c r="D512" t="str">
        <f t="shared" si="45"/>
        <v>COR22D349</v>
      </c>
      <c r="E512" s="58" t="s">
        <v>252</v>
      </c>
      <c r="F512" s="20">
        <v>1000</v>
      </c>
      <c r="G512" s="14" t="s">
        <v>354</v>
      </c>
      <c r="H512" s="23" t="s">
        <v>170</v>
      </c>
      <c r="J512" s="59" t="s">
        <v>38</v>
      </c>
      <c r="K512" s="22" t="s">
        <v>254</v>
      </c>
      <c r="L512" s="59" t="s">
        <v>171</v>
      </c>
      <c r="M512" s="22">
        <v>2</v>
      </c>
      <c r="V512" s="59" t="s">
        <v>176</v>
      </c>
      <c r="AL512" s="59" t="s">
        <v>40</v>
      </c>
      <c r="AM512" s="22" t="s">
        <v>188</v>
      </c>
      <c r="AV512" s="59" t="s">
        <v>134</v>
      </c>
      <c r="AW512" s="22" t="str">
        <f>Settings!$B$5 &amp;  "?s=" &amp; D512 &amp; "&amp;platform=ftx"</f>
        <v>https://tokensol.nfluent.io?s=COR22D349&amp;platform=ftx</v>
      </c>
      <c r="AX512" s="20" t="s">
        <v>23</v>
      </c>
      <c r="AY512" s="20">
        <v>10</v>
      </c>
      <c r="AZ512" s="20" t="s">
        <v>24</v>
      </c>
      <c r="BA512" s="20">
        <v>90</v>
      </c>
      <c r="BD512" s="14"/>
      <c r="BJ512" t="s">
        <v>255</v>
      </c>
      <c r="BK512" t="s">
        <v>184</v>
      </c>
      <c r="BN512" s="36">
        <v>100</v>
      </c>
      <c r="BO512" s="36">
        <v>100</v>
      </c>
      <c r="BP512">
        <f t="shared" si="46"/>
        <v>480</v>
      </c>
      <c r="BR512" s="38">
        <v>44713</v>
      </c>
      <c r="BS512" s="20" t="s">
        <v>185</v>
      </c>
      <c r="BT512" s="20" t="str">
        <f t="shared" si="42"/>
        <v>InCasa_COR22D349</v>
      </c>
    </row>
    <row r="513" spans="2:72" ht="18.75" customHeight="1" x14ac:dyDescent="0.25">
      <c r="B513" s="20">
        <f t="shared" si="43"/>
        <v>350</v>
      </c>
      <c r="C513" s="22" t="str">
        <f t="shared" si="44"/>
        <v>In Casa #350</v>
      </c>
      <c r="D513" t="str">
        <f t="shared" si="45"/>
        <v>COR22D350</v>
      </c>
      <c r="E513" s="58" t="s">
        <v>252</v>
      </c>
      <c r="F513" s="20">
        <v>1000</v>
      </c>
      <c r="G513" s="14" t="s">
        <v>354</v>
      </c>
      <c r="H513" s="23" t="s">
        <v>170</v>
      </c>
      <c r="J513" s="59" t="s">
        <v>38</v>
      </c>
      <c r="K513" s="22" t="s">
        <v>254</v>
      </c>
      <c r="L513" s="59" t="s">
        <v>171</v>
      </c>
      <c r="M513" s="22">
        <v>2</v>
      </c>
      <c r="V513" s="59" t="s">
        <v>176</v>
      </c>
      <c r="AL513" s="59" t="s">
        <v>40</v>
      </c>
      <c r="AM513" s="22" t="s">
        <v>188</v>
      </c>
      <c r="AV513" s="59" t="s">
        <v>134</v>
      </c>
      <c r="AW513" s="22" t="str">
        <f>Settings!$B$5 &amp;  "?s=" &amp; D513 &amp; "&amp;platform=ftx"</f>
        <v>https://tokensol.nfluent.io?s=COR22D350&amp;platform=ftx</v>
      </c>
      <c r="AX513" s="20" t="s">
        <v>23</v>
      </c>
      <c r="AY513" s="20">
        <v>10</v>
      </c>
      <c r="AZ513" s="20" t="s">
        <v>24</v>
      </c>
      <c r="BA513" s="20">
        <v>90</v>
      </c>
      <c r="BD513" s="14"/>
      <c r="BJ513" t="s">
        <v>255</v>
      </c>
      <c r="BK513" t="s">
        <v>184</v>
      </c>
      <c r="BN513" s="36">
        <v>100</v>
      </c>
      <c r="BO513" s="36">
        <v>100</v>
      </c>
      <c r="BP513">
        <f t="shared" si="46"/>
        <v>480</v>
      </c>
      <c r="BR513" s="38">
        <v>44713</v>
      </c>
      <c r="BS513" s="20" t="s">
        <v>185</v>
      </c>
      <c r="BT513" s="20" t="str">
        <f t="shared" si="42"/>
        <v>InCasa_COR22D350</v>
      </c>
    </row>
    <row r="514" spans="2:72" ht="18.75" customHeight="1" x14ac:dyDescent="0.25">
      <c r="B514" s="20">
        <f t="shared" si="43"/>
        <v>351</v>
      </c>
      <c r="C514" s="22" t="str">
        <f t="shared" si="44"/>
        <v>In Casa #351</v>
      </c>
      <c r="D514" t="str">
        <f t="shared" si="45"/>
        <v>COR22D351</v>
      </c>
      <c r="E514" s="58" t="s">
        <v>252</v>
      </c>
      <c r="F514" s="20">
        <v>1000</v>
      </c>
      <c r="G514" s="14" t="s">
        <v>354</v>
      </c>
      <c r="H514" s="23" t="s">
        <v>170</v>
      </c>
      <c r="J514" s="59" t="s">
        <v>38</v>
      </c>
      <c r="K514" s="22" t="s">
        <v>254</v>
      </c>
      <c r="L514" s="59" t="s">
        <v>171</v>
      </c>
      <c r="M514" s="22">
        <v>2</v>
      </c>
      <c r="V514" s="59" t="s">
        <v>176</v>
      </c>
      <c r="AL514" s="59" t="s">
        <v>40</v>
      </c>
      <c r="AM514" s="22" t="s">
        <v>188</v>
      </c>
      <c r="AV514" s="59" t="s">
        <v>134</v>
      </c>
      <c r="AW514" s="22" t="str">
        <f>Settings!$B$5 &amp;  "?s=" &amp; D514 &amp; "&amp;platform=ftx"</f>
        <v>https://tokensol.nfluent.io?s=COR22D351&amp;platform=ftx</v>
      </c>
      <c r="AX514" s="20" t="s">
        <v>23</v>
      </c>
      <c r="AY514" s="20">
        <v>10</v>
      </c>
      <c r="AZ514" s="20" t="s">
        <v>24</v>
      </c>
      <c r="BA514" s="20">
        <v>90</v>
      </c>
      <c r="BD514" s="14"/>
      <c r="BJ514" t="s">
        <v>255</v>
      </c>
      <c r="BK514" t="s">
        <v>184</v>
      </c>
      <c r="BN514" s="36">
        <v>100</v>
      </c>
      <c r="BO514" s="36">
        <v>100</v>
      </c>
      <c r="BP514">
        <f t="shared" si="46"/>
        <v>480</v>
      </c>
      <c r="BR514" s="38">
        <v>44713</v>
      </c>
      <c r="BS514" s="20" t="s">
        <v>185</v>
      </c>
      <c r="BT514" s="20" t="str">
        <f t="shared" si="42"/>
        <v>InCasa_COR22D351</v>
      </c>
    </row>
    <row r="515" spans="2:72" ht="18.75" customHeight="1" x14ac:dyDescent="0.25">
      <c r="B515" s="20">
        <f t="shared" si="43"/>
        <v>352</v>
      </c>
      <c r="C515" s="22" t="str">
        <f t="shared" si="44"/>
        <v>In Casa #352</v>
      </c>
      <c r="D515" t="str">
        <f t="shared" si="45"/>
        <v>COR22D352</v>
      </c>
      <c r="E515" s="58" t="s">
        <v>252</v>
      </c>
      <c r="F515" s="20">
        <v>1000</v>
      </c>
      <c r="G515" s="14" t="s">
        <v>354</v>
      </c>
      <c r="H515" s="23" t="s">
        <v>170</v>
      </c>
      <c r="J515" s="59" t="s">
        <v>38</v>
      </c>
      <c r="K515" s="22" t="s">
        <v>254</v>
      </c>
      <c r="L515" s="59" t="s">
        <v>171</v>
      </c>
      <c r="M515" s="22">
        <v>2</v>
      </c>
      <c r="V515" s="59" t="s">
        <v>176</v>
      </c>
      <c r="AL515" s="59" t="s">
        <v>40</v>
      </c>
      <c r="AM515" s="22" t="s">
        <v>188</v>
      </c>
      <c r="AV515" s="59" t="s">
        <v>134</v>
      </c>
      <c r="AW515" s="22" t="str">
        <f>Settings!$B$5 &amp;  "?s=" &amp; D515 &amp; "&amp;platform=ftx"</f>
        <v>https://tokensol.nfluent.io?s=COR22D352&amp;platform=ftx</v>
      </c>
      <c r="AX515" s="20" t="s">
        <v>23</v>
      </c>
      <c r="AY515" s="20">
        <v>10</v>
      </c>
      <c r="AZ515" s="20" t="s">
        <v>24</v>
      </c>
      <c r="BA515" s="20">
        <v>90</v>
      </c>
      <c r="BD515" s="14"/>
      <c r="BJ515" t="s">
        <v>255</v>
      </c>
      <c r="BK515" t="s">
        <v>184</v>
      </c>
      <c r="BN515" s="36">
        <v>100</v>
      </c>
      <c r="BO515" s="36">
        <v>100</v>
      </c>
      <c r="BP515">
        <f t="shared" si="46"/>
        <v>480</v>
      </c>
      <c r="BR515" s="38">
        <v>44713</v>
      </c>
      <c r="BS515" s="20" t="s">
        <v>185</v>
      </c>
      <c r="BT515" s="20" t="str">
        <f t="shared" si="42"/>
        <v>InCasa_COR22D352</v>
      </c>
    </row>
    <row r="516" spans="2:72" ht="18.75" customHeight="1" x14ac:dyDescent="0.25">
      <c r="B516" s="20">
        <f t="shared" si="43"/>
        <v>353</v>
      </c>
      <c r="C516" s="22" t="str">
        <f t="shared" si="44"/>
        <v>In Casa #353</v>
      </c>
      <c r="D516" t="str">
        <f t="shared" si="45"/>
        <v>COR22D353</v>
      </c>
      <c r="E516" s="58" t="s">
        <v>252</v>
      </c>
      <c r="F516" s="20">
        <v>1000</v>
      </c>
      <c r="G516" s="14" t="s">
        <v>354</v>
      </c>
      <c r="H516" s="23" t="s">
        <v>170</v>
      </c>
      <c r="J516" s="59" t="s">
        <v>38</v>
      </c>
      <c r="K516" s="22" t="s">
        <v>254</v>
      </c>
      <c r="L516" s="59" t="s">
        <v>171</v>
      </c>
      <c r="M516" s="22">
        <v>2</v>
      </c>
      <c r="V516" s="59" t="s">
        <v>176</v>
      </c>
      <c r="AL516" s="59" t="s">
        <v>40</v>
      </c>
      <c r="AM516" s="22" t="s">
        <v>188</v>
      </c>
      <c r="AV516" s="59" t="s">
        <v>134</v>
      </c>
      <c r="AW516" s="22" t="str">
        <f>Settings!$B$5 &amp;  "?s=" &amp; D516 &amp; "&amp;platform=ftx"</f>
        <v>https://tokensol.nfluent.io?s=COR22D353&amp;platform=ftx</v>
      </c>
      <c r="AX516" s="20" t="s">
        <v>23</v>
      </c>
      <c r="AY516" s="20">
        <v>10</v>
      </c>
      <c r="AZ516" s="20" t="s">
        <v>24</v>
      </c>
      <c r="BA516" s="20">
        <v>90</v>
      </c>
      <c r="BD516" s="14"/>
      <c r="BJ516" t="s">
        <v>255</v>
      </c>
      <c r="BK516" t="s">
        <v>184</v>
      </c>
      <c r="BN516" s="36">
        <v>100</v>
      </c>
      <c r="BO516" s="36">
        <v>100</v>
      </c>
      <c r="BP516">
        <f t="shared" si="46"/>
        <v>480</v>
      </c>
      <c r="BR516" s="38">
        <v>44713</v>
      </c>
      <c r="BS516" s="20" t="s">
        <v>185</v>
      </c>
      <c r="BT516" s="20" t="str">
        <f t="shared" si="42"/>
        <v>InCasa_COR22D353</v>
      </c>
    </row>
    <row r="517" spans="2:72" ht="18.75" customHeight="1" x14ac:dyDescent="0.25">
      <c r="B517" s="20">
        <f t="shared" si="43"/>
        <v>354</v>
      </c>
      <c r="C517" s="22" t="str">
        <f t="shared" si="44"/>
        <v>In Casa #354</v>
      </c>
      <c r="D517" t="str">
        <f t="shared" si="45"/>
        <v>COR22D354</v>
      </c>
      <c r="E517" s="58" t="s">
        <v>252</v>
      </c>
      <c r="F517" s="20">
        <v>1000</v>
      </c>
      <c r="G517" s="14" t="s">
        <v>354</v>
      </c>
      <c r="H517" s="23" t="s">
        <v>170</v>
      </c>
      <c r="J517" s="59" t="s">
        <v>38</v>
      </c>
      <c r="K517" s="22" t="s">
        <v>254</v>
      </c>
      <c r="L517" s="59" t="s">
        <v>171</v>
      </c>
      <c r="M517" s="22">
        <v>2</v>
      </c>
      <c r="V517" s="59" t="s">
        <v>176</v>
      </c>
      <c r="AL517" s="59" t="s">
        <v>40</v>
      </c>
      <c r="AM517" s="22" t="s">
        <v>188</v>
      </c>
      <c r="AV517" s="59" t="s">
        <v>134</v>
      </c>
      <c r="AW517" s="22" t="str">
        <f>Settings!$B$5 &amp;  "?s=" &amp; D517 &amp; "&amp;platform=ftx"</f>
        <v>https://tokensol.nfluent.io?s=COR22D354&amp;platform=ftx</v>
      </c>
      <c r="AX517" s="20" t="s">
        <v>23</v>
      </c>
      <c r="AY517" s="20">
        <v>10</v>
      </c>
      <c r="AZ517" s="20" t="s">
        <v>24</v>
      </c>
      <c r="BA517" s="20">
        <v>90</v>
      </c>
      <c r="BD517" s="14"/>
      <c r="BJ517" t="s">
        <v>255</v>
      </c>
      <c r="BK517" t="s">
        <v>184</v>
      </c>
      <c r="BN517" s="36">
        <v>100</v>
      </c>
      <c r="BO517" s="36">
        <v>100</v>
      </c>
      <c r="BP517">
        <f t="shared" si="46"/>
        <v>480</v>
      </c>
      <c r="BR517" s="38">
        <v>44713</v>
      </c>
      <c r="BS517" s="20" t="s">
        <v>185</v>
      </c>
      <c r="BT517" s="20" t="str">
        <f t="shared" ref="BT517:BT580" si="47">SUBSTITUTE(BJ517," ","") &amp; "_" &amp; D517</f>
        <v>InCasa_COR22D354</v>
      </c>
    </row>
    <row r="518" spans="2:72" ht="18.75" customHeight="1" x14ac:dyDescent="0.25">
      <c r="B518" s="20">
        <f t="shared" ref="B518:B581" si="48">+B517+1</f>
        <v>355</v>
      </c>
      <c r="C518" s="22" t="str">
        <f t="shared" si="44"/>
        <v>In Casa #355</v>
      </c>
      <c r="D518" t="str">
        <f t="shared" si="45"/>
        <v>COR22D355</v>
      </c>
      <c r="E518" s="58" t="s">
        <v>252</v>
      </c>
      <c r="F518" s="20">
        <v>1000</v>
      </c>
      <c r="G518" s="14" t="s">
        <v>354</v>
      </c>
      <c r="H518" s="23" t="s">
        <v>170</v>
      </c>
      <c r="J518" s="59" t="s">
        <v>38</v>
      </c>
      <c r="K518" s="22" t="s">
        <v>254</v>
      </c>
      <c r="L518" s="59" t="s">
        <v>171</v>
      </c>
      <c r="M518" s="22">
        <v>2</v>
      </c>
      <c r="V518" s="59" t="s">
        <v>176</v>
      </c>
      <c r="AL518" s="59" t="s">
        <v>40</v>
      </c>
      <c r="AM518" s="22" t="s">
        <v>188</v>
      </c>
      <c r="AV518" s="59" t="s">
        <v>134</v>
      </c>
      <c r="AW518" s="22" t="str">
        <f>Settings!$B$5 &amp;  "?s=" &amp; D518 &amp; "&amp;platform=ftx"</f>
        <v>https://tokensol.nfluent.io?s=COR22D355&amp;platform=ftx</v>
      </c>
      <c r="AX518" s="20" t="s">
        <v>23</v>
      </c>
      <c r="AY518" s="20">
        <v>10</v>
      </c>
      <c r="AZ518" s="20" t="s">
        <v>24</v>
      </c>
      <c r="BA518" s="20">
        <v>90</v>
      </c>
      <c r="BD518" s="14"/>
      <c r="BJ518" t="s">
        <v>255</v>
      </c>
      <c r="BK518" t="s">
        <v>184</v>
      </c>
      <c r="BN518" s="36">
        <v>100</v>
      </c>
      <c r="BO518" s="36">
        <v>100</v>
      </c>
      <c r="BP518">
        <f t="shared" si="46"/>
        <v>480</v>
      </c>
      <c r="BR518" s="38">
        <v>44713</v>
      </c>
      <c r="BS518" s="20" t="s">
        <v>185</v>
      </c>
      <c r="BT518" s="20" t="str">
        <f t="shared" si="47"/>
        <v>InCasa_COR22D355</v>
      </c>
    </row>
    <row r="519" spans="2:72" ht="18.75" customHeight="1" x14ac:dyDescent="0.25">
      <c r="B519" s="20">
        <f t="shared" si="48"/>
        <v>356</v>
      </c>
      <c r="C519" s="22" t="str">
        <f t="shared" si="44"/>
        <v>In Casa #356</v>
      </c>
      <c r="D519" t="str">
        <f t="shared" si="45"/>
        <v>COR22D356</v>
      </c>
      <c r="E519" s="58" t="s">
        <v>252</v>
      </c>
      <c r="F519" s="20">
        <v>1000</v>
      </c>
      <c r="G519" s="14" t="s">
        <v>354</v>
      </c>
      <c r="H519" s="23" t="s">
        <v>170</v>
      </c>
      <c r="J519" s="59" t="s">
        <v>38</v>
      </c>
      <c r="K519" s="22" t="s">
        <v>254</v>
      </c>
      <c r="L519" s="59" t="s">
        <v>171</v>
      </c>
      <c r="M519" s="22">
        <v>2</v>
      </c>
      <c r="V519" s="59" t="s">
        <v>176</v>
      </c>
      <c r="AL519" s="59" t="s">
        <v>40</v>
      </c>
      <c r="AM519" s="22" t="s">
        <v>188</v>
      </c>
      <c r="AV519" s="59" t="s">
        <v>134</v>
      </c>
      <c r="AW519" s="22" t="str">
        <f>Settings!$B$5 &amp;  "?s=" &amp; D519 &amp; "&amp;platform=ftx"</f>
        <v>https://tokensol.nfluent.io?s=COR22D356&amp;platform=ftx</v>
      </c>
      <c r="AX519" s="20" t="s">
        <v>23</v>
      </c>
      <c r="AY519" s="20">
        <v>10</v>
      </c>
      <c r="AZ519" s="20" t="s">
        <v>24</v>
      </c>
      <c r="BA519" s="20">
        <v>90</v>
      </c>
      <c r="BD519" s="14"/>
      <c r="BJ519" t="s">
        <v>255</v>
      </c>
      <c r="BK519" t="s">
        <v>184</v>
      </c>
      <c r="BN519" s="36">
        <v>100</v>
      </c>
      <c r="BO519" s="36">
        <v>100</v>
      </c>
      <c r="BP519">
        <f t="shared" si="46"/>
        <v>480</v>
      </c>
      <c r="BR519" s="38">
        <v>44713</v>
      </c>
      <c r="BS519" s="20" t="s">
        <v>185</v>
      </c>
      <c r="BT519" s="20" t="str">
        <f t="shared" si="47"/>
        <v>InCasa_COR22D356</v>
      </c>
    </row>
    <row r="520" spans="2:72" ht="18.75" customHeight="1" x14ac:dyDescent="0.25">
      <c r="B520" s="20">
        <f t="shared" si="48"/>
        <v>357</v>
      </c>
      <c r="C520" s="22" t="str">
        <f t="shared" si="44"/>
        <v>In Casa #357</v>
      </c>
      <c r="D520" t="str">
        <f t="shared" si="45"/>
        <v>COR22D357</v>
      </c>
      <c r="E520" s="58" t="s">
        <v>252</v>
      </c>
      <c r="F520" s="20">
        <v>1000</v>
      </c>
      <c r="G520" s="14" t="s">
        <v>354</v>
      </c>
      <c r="H520" s="23" t="s">
        <v>170</v>
      </c>
      <c r="J520" s="59" t="s">
        <v>38</v>
      </c>
      <c r="K520" s="22" t="s">
        <v>254</v>
      </c>
      <c r="L520" s="59" t="s">
        <v>171</v>
      </c>
      <c r="M520" s="22">
        <v>2</v>
      </c>
      <c r="V520" s="59" t="s">
        <v>176</v>
      </c>
      <c r="AL520" s="59" t="s">
        <v>40</v>
      </c>
      <c r="AM520" s="22" t="s">
        <v>188</v>
      </c>
      <c r="AV520" s="59" t="s">
        <v>134</v>
      </c>
      <c r="AW520" s="22" t="str">
        <f>Settings!$B$5 &amp;  "?s=" &amp; D520 &amp; "&amp;platform=ftx"</f>
        <v>https://tokensol.nfluent.io?s=COR22D357&amp;platform=ftx</v>
      </c>
      <c r="AX520" s="20" t="s">
        <v>23</v>
      </c>
      <c r="AY520" s="20">
        <v>10</v>
      </c>
      <c r="AZ520" s="20" t="s">
        <v>24</v>
      </c>
      <c r="BA520" s="20">
        <v>90</v>
      </c>
      <c r="BD520" s="14"/>
      <c r="BJ520" t="s">
        <v>255</v>
      </c>
      <c r="BK520" t="s">
        <v>184</v>
      </c>
      <c r="BN520" s="36">
        <v>100</v>
      </c>
      <c r="BO520" s="36">
        <v>100</v>
      </c>
      <c r="BP520">
        <f t="shared" si="46"/>
        <v>480</v>
      </c>
      <c r="BR520" s="38">
        <v>44713</v>
      </c>
      <c r="BS520" s="20" t="s">
        <v>185</v>
      </c>
      <c r="BT520" s="20" t="str">
        <f t="shared" si="47"/>
        <v>InCasa_COR22D357</v>
      </c>
    </row>
    <row r="521" spans="2:72" ht="18.75" customHeight="1" x14ac:dyDescent="0.25">
      <c r="B521" s="20">
        <f t="shared" si="48"/>
        <v>358</v>
      </c>
      <c r="C521" s="22" t="str">
        <f t="shared" si="44"/>
        <v>In Casa #358</v>
      </c>
      <c r="D521" t="str">
        <f t="shared" si="45"/>
        <v>COR22D358</v>
      </c>
      <c r="E521" s="58" t="s">
        <v>252</v>
      </c>
      <c r="F521" s="20">
        <v>1000</v>
      </c>
      <c r="G521" s="14" t="s">
        <v>354</v>
      </c>
      <c r="H521" s="23" t="s">
        <v>170</v>
      </c>
      <c r="J521" s="59" t="s">
        <v>38</v>
      </c>
      <c r="K521" s="22" t="s">
        <v>254</v>
      </c>
      <c r="L521" s="59" t="s">
        <v>171</v>
      </c>
      <c r="M521" s="22">
        <v>2</v>
      </c>
      <c r="V521" s="59" t="s">
        <v>176</v>
      </c>
      <c r="AL521" s="59" t="s">
        <v>40</v>
      </c>
      <c r="AM521" s="22" t="s">
        <v>188</v>
      </c>
      <c r="AV521" s="59" t="s">
        <v>134</v>
      </c>
      <c r="AW521" s="22" t="str">
        <f>Settings!$B$5 &amp;  "?s=" &amp; D521 &amp; "&amp;platform=ftx"</f>
        <v>https://tokensol.nfluent.io?s=COR22D358&amp;platform=ftx</v>
      </c>
      <c r="AX521" s="20" t="s">
        <v>23</v>
      </c>
      <c r="AY521" s="20">
        <v>10</v>
      </c>
      <c r="AZ521" s="20" t="s">
        <v>24</v>
      </c>
      <c r="BA521" s="20">
        <v>90</v>
      </c>
      <c r="BD521" s="14"/>
      <c r="BJ521" t="s">
        <v>255</v>
      </c>
      <c r="BK521" t="s">
        <v>184</v>
      </c>
      <c r="BN521" s="36">
        <v>100</v>
      </c>
      <c r="BO521" s="36">
        <v>100</v>
      </c>
      <c r="BP521">
        <f t="shared" si="46"/>
        <v>480</v>
      </c>
      <c r="BR521" s="38">
        <v>44713</v>
      </c>
      <c r="BS521" s="20" t="s">
        <v>185</v>
      </c>
      <c r="BT521" s="20" t="str">
        <f t="shared" si="47"/>
        <v>InCasa_COR22D358</v>
      </c>
    </row>
    <row r="522" spans="2:72" ht="18.75" customHeight="1" x14ac:dyDescent="0.25">
      <c r="B522" s="20">
        <f t="shared" si="48"/>
        <v>359</v>
      </c>
      <c r="C522" s="22" t="str">
        <f t="shared" si="44"/>
        <v>In Casa #359</v>
      </c>
      <c r="D522" t="str">
        <f t="shared" si="45"/>
        <v>COR22D359</v>
      </c>
      <c r="E522" s="58" t="s">
        <v>252</v>
      </c>
      <c r="F522" s="20">
        <v>1000</v>
      </c>
      <c r="G522" s="14" t="s">
        <v>354</v>
      </c>
      <c r="H522" s="23" t="s">
        <v>170</v>
      </c>
      <c r="J522" s="59" t="s">
        <v>38</v>
      </c>
      <c r="K522" s="22" t="s">
        <v>254</v>
      </c>
      <c r="L522" s="59" t="s">
        <v>171</v>
      </c>
      <c r="M522" s="22">
        <v>2</v>
      </c>
      <c r="V522" s="59" t="s">
        <v>176</v>
      </c>
      <c r="AL522" s="59" t="s">
        <v>40</v>
      </c>
      <c r="AM522" s="22" t="s">
        <v>188</v>
      </c>
      <c r="AV522" s="59" t="s">
        <v>134</v>
      </c>
      <c r="AW522" s="22" t="str">
        <f>Settings!$B$5 &amp;  "?s=" &amp; D522 &amp; "&amp;platform=ftx"</f>
        <v>https://tokensol.nfluent.io?s=COR22D359&amp;platform=ftx</v>
      </c>
      <c r="AX522" s="20" t="s">
        <v>23</v>
      </c>
      <c r="AY522" s="20">
        <v>10</v>
      </c>
      <c r="AZ522" s="20" t="s">
        <v>24</v>
      </c>
      <c r="BA522" s="20">
        <v>90</v>
      </c>
      <c r="BD522" s="14"/>
      <c r="BJ522" t="s">
        <v>255</v>
      </c>
      <c r="BK522" t="s">
        <v>184</v>
      </c>
      <c r="BN522" s="36">
        <v>100</v>
      </c>
      <c r="BO522" s="36">
        <v>100</v>
      </c>
      <c r="BP522">
        <f t="shared" si="46"/>
        <v>480</v>
      </c>
      <c r="BR522" s="38">
        <v>44713</v>
      </c>
      <c r="BS522" s="20" t="s">
        <v>185</v>
      </c>
      <c r="BT522" s="20" t="str">
        <f t="shared" si="47"/>
        <v>InCasa_COR22D359</v>
      </c>
    </row>
    <row r="523" spans="2:72" ht="18.75" customHeight="1" x14ac:dyDescent="0.25">
      <c r="B523" s="20">
        <f t="shared" si="48"/>
        <v>360</v>
      </c>
      <c r="C523" s="22" t="str">
        <f t="shared" si="44"/>
        <v>In Casa #360</v>
      </c>
      <c r="D523" t="str">
        <f t="shared" si="45"/>
        <v>COR22D360</v>
      </c>
      <c r="E523" s="58" t="s">
        <v>252</v>
      </c>
      <c r="F523" s="20">
        <v>1000</v>
      </c>
      <c r="G523" s="14" t="s">
        <v>354</v>
      </c>
      <c r="H523" s="23" t="s">
        <v>170</v>
      </c>
      <c r="J523" s="59" t="s">
        <v>38</v>
      </c>
      <c r="K523" s="22" t="s">
        <v>254</v>
      </c>
      <c r="L523" s="59" t="s">
        <v>171</v>
      </c>
      <c r="M523" s="22">
        <v>2</v>
      </c>
      <c r="V523" s="59" t="s">
        <v>176</v>
      </c>
      <c r="AL523" s="59" t="s">
        <v>40</v>
      </c>
      <c r="AM523" s="22" t="s">
        <v>188</v>
      </c>
      <c r="AV523" s="59" t="s">
        <v>134</v>
      </c>
      <c r="AW523" s="22" t="str">
        <f>Settings!$B$5 &amp;  "?s=" &amp; D523 &amp; "&amp;platform=ftx"</f>
        <v>https://tokensol.nfluent.io?s=COR22D360&amp;platform=ftx</v>
      </c>
      <c r="AX523" s="20" t="s">
        <v>23</v>
      </c>
      <c r="AY523" s="20">
        <v>10</v>
      </c>
      <c r="AZ523" s="20" t="s">
        <v>24</v>
      </c>
      <c r="BA523" s="20">
        <v>90</v>
      </c>
      <c r="BD523" s="14"/>
      <c r="BJ523" t="s">
        <v>255</v>
      </c>
      <c r="BK523" t="s">
        <v>184</v>
      </c>
      <c r="BN523" s="36">
        <v>100</v>
      </c>
      <c r="BO523" s="36">
        <v>100</v>
      </c>
      <c r="BP523">
        <f t="shared" si="46"/>
        <v>480</v>
      </c>
      <c r="BR523" s="38">
        <v>44713</v>
      </c>
      <c r="BS523" s="20" t="s">
        <v>185</v>
      </c>
      <c r="BT523" s="20" t="str">
        <f t="shared" si="47"/>
        <v>InCasa_COR22D360</v>
      </c>
    </row>
    <row r="524" spans="2:72" ht="18.75" customHeight="1" x14ac:dyDescent="0.25">
      <c r="B524" s="20">
        <f t="shared" si="48"/>
        <v>361</v>
      </c>
      <c r="C524" s="22" t="str">
        <f t="shared" si="44"/>
        <v>In Casa #361</v>
      </c>
      <c r="D524" t="str">
        <f t="shared" si="45"/>
        <v>COR22D361</v>
      </c>
      <c r="E524" s="58" t="s">
        <v>252</v>
      </c>
      <c r="F524" s="20">
        <v>1000</v>
      </c>
      <c r="G524" s="14" t="s">
        <v>354</v>
      </c>
      <c r="H524" s="23" t="s">
        <v>170</v>
      </c>
      <c r="J524" s="59" t="s">
        <v>38</v>
      </c>
      <c r="K524" s="22" t="s">
        <v>254</v>
      </c>
      <c r="L524" s="59" t="s">
        <v>171</v>
      </c>
      <c r="M524" s="22">
        <v>2</v>
      </c>
      <c r="V524" s="59" t="s">
        <v>176</v>
      </c>
      <c r="AL524" s="59" t="s">
        <v>40</v>
      </c>
      <c r="AM524" s="22" t="s">
        <v>188</v>
      </c>
      <c r="AV524" s="59" t="s">
        <v>134</v>
      </c>
      <c r="AW524" s="22" t="str">
        <f>Settings!$B$5 &amp;  "?s=" &amp; D524 &amp; "&amp;platform=ftx"</f>
        <v>https://tokensol.nfluent.io?s=COR22D361&amp;platform=ftx</v>
      </c>
      <c r="AX524" s="20" t="s">
        <v>23</v>
      </c>
      <c r="AY524" s="20">
        <v>10</v>
      </c>
      <c r="AZ524" s="20" t="s">
        <v>24</v>
      </c>
      <c r="BA524" s="20">
        <v>90</v>
      </c>
      <c r="BD524" s="14"/>
      <c r="BJ524" t="s">
        <v>255</v>
      </c>
      <c r="BK524" t="s">
        <v>184</v>
      </c>
      <c r="BN524" s="36">
        <v>100</v>
      </c>
      <c r="BO524" s="36">
        <v>100</v>
      </c>
      <c r="BP524">
        <f t="shared" si="46"/>
        <v>480</v>
      </c>
      <c r="BR524" s="38">
        <v>44713</v>
      </c>
      <c r="BS524" s="20" t="s">
        <v>185</v>
      </c>
      <c r="BT524" s="20" t="str">
        <f t="shared" si="47"/>
        <v>InCasa_COR22D361</v>
      </c>
    </row>
    <row r="525" spans="2:72" ht="18.75" customHeight="1" x14ac:dyDescent="0.25">
      <c r="B525" s="20">
        <f t="shared" si="48"/>
        <v>362</v>
      </c>
      <c r="C525" s="22" t="str">
        <f t="shared" si="44"/>
        <v>In Casa #362</v>
      </c>
      <c r="D525" t="str">
        <f t="shared" si="45"/>
        <v>COR22D362</v>
      </c>
      <c r="E525" s="58" t="s">
        <v>252</v>
      </c>
      <c r="F525" s="20">
        <v>1000</v>
      </c>
      <c r="G525" s="14" t="s">
        <v>354</v>
      </c>
      <c r="H525" s="23" t="s">
        <v>170</v>
      </c>
      <c r="J525" s="59" t="s">
        <v>38</v>
      </c>
      <c r="K525" s="22" t="s">
        <v>254</v>
      </c>
      <c r="L525" s="59" t="s">
        <v>171</v>
      </c>
      <c r="M525" s="22">
        <v>2</v>
      </c>
      <c r="V525" s="59" t="s">
        <v>176</v>
      </c>
      <c r="AL525" s="59" t="s">
        <v>40</v>
      </c>
      <c r="AM525" s="22" t="s">
        <v>188</v>
      </c>
      <c r="AV525" s="59" t="s">
        <v>134</v>
      </c>
      <c r="AW525" s="22" t="str">
        <f>Settings!$B$5 &amp;  "?s=" &amp; D525 &amp; "&amp;platform=ftx"</f>
        <v>https://tokensol.nfluent.io?s=COR22D362&amp;platform=ftx</v>
      </c>
      <c r="AX525" s="20" t="s">
        <v>23</v>
      </c>
      <c r="AY525" s="20">
        <v>10</v>
      </c>
      <c r="AZ525" s="20" t="s">
        <v>24</v>
      </c>
      <c r="BA525" s="20">
        <v>90</v>
      </c>
      <c r="BD525" s="14"/>
      <c r="BJ525" t="s">
        <v>255</v>
      </c>
      <c r="BK525" t="s">
        <v>184</v>
      </c>
      <c r="BN525" s="36">
        <v>100</v>
      </c>
      <c r="BO525" s="36">
        <v>100</v>
      </c>
      <c r="BP525">
        <f t="shared" si="46"/>
        <v>480</v>
      </c>
      <c r="BR525" s="38">
        <v>44713</v>
      </c>
      <c r="BS525" s="20" t="s">
        <v>185</v>
      </c>
      <c r="BT525" s="20" t="str">
        <f t="shared" si="47"/>
        <v>InCasa_COR22D362</v>
      </c>
    </row>
    <row r="526" spans="2:72" ht="18.75" customHeight="1" x14ac:dyDescent="0.25">
      <c r="B526" s="20">
        <f t="shared" si="48"/>
        <v>363</v>
      </c>
      <c r="C526" s="22" t="str">
        <f t="shared" si="44"/>
        <v>In Casa #363</v>
      </c>
      <c r="D526" t="str">
        <f t="shared" si="45"/>
        <v>COR22D363</v>
      </c>
      <c r="E526" s="58" t="s">
        <v>252</v>
      </c>
      <c r="F526" s="20">
        <v>1000</v>
      </c>
      <c r="G526" s="14" t="s">
        <v>354</v>
      </c>
      <c r="H526" s="23" t="s">
        <v>170</v>
      </c>
      <c r="J526" s="59" t="s">
        <v>38</v>
      </c>
      <c r="K526" s="22" t="s">
        <v>254</v>
      </c>
      <c r="L526" s="59" t="s">
        <v>171</v>
      </c>
      <c r="M526" s="22">
        <v>2</v>
      </c>
      <c r="V526" s="59" t="s">
        <v>176</v>
      </c>
      <c r="AL526" s="59" t="s">
        <v>40</v>
      </c>
      <c r="AM526" s="22" t="s">
        <v>188</v>
      </c>
      <c r="AV526" s="59" t="s">
        <v>134</v>
      </c>
      <c r="AW526" s="22" t="str">
        <f>Settings!$B$5 &amp;  "?s=" &amp; D526 &amp; "&amp;platform=ftx"</f>
        <v>https://tokensol.nfluent.io?s=COR22D363&amp;platform=ftx</v>
      </c>
      <c r="AX526" s="20" t="s">
        <v>23</v>
      </c>
      <c r="AY526" s="20">
        <v>10</v>
      </c>
      <c r="AZ526" s="20" t="s">
        <v>24</v>
      </c>
      <c r="BA526" s="20">
        <v>90</v>
      </c>
      <c r="BD526" s="14"/>
      <c r="BJ526" t="s">
        <v>255</v>
      </c>
      <c r="BK526" t="s">
        <v>184</v>
      </c>
      <c r="BN526" s="36">
        <v>100</v>
      </c>
      <c r="BO526" s="36">
        <v>100</v>
      </c>
      <c r="BP526">
        <f t="shared" si="46"/>
        <v>480</v>
      </c>
      <c r="BR526" s="38">
        <v>44713</v>
      </c>
      <c r="BS526" s="20" t="s">
        <v>185</v>
      </c>
      <c r="BT526" s="20" t="str">
        <f t="shared" si="47"/>
        <v>InCasa_COR22D363</v>
      </c>
    </row>
    <row r="527" spans="2:72" ht="18.75" customHeight="1" x14ac:dyDescent="0.25">
      <c r="B527" s="20">
        <f t="shared" si="48"/>
        <v>364</v>
      </c>
      <c r="C527" s="22" t="str">
        <f t="shared" si="44"/>
        <v>In Casa #364</v>
      </c>
      <c r="D527" t="str">
        <f t="shared" si="45"/>
        <v>COR22D364</v>
      </c>
      <c r="E527" s="58" t="s">
        <v>252</v>
      </c>
      <c r="F527" s="20">
        <v>1000</v>
      </c>
      <c r="G527" s="14" t="s">
        <v>354</v>
      </c>
      <c r="H527" s="23" t="s">
        <v>170</v>
      </c>
      <c r="J527" s="59" t="s">
        <v>38</v>
      </c>
      <c r="K527" s="22" t="s">
        <v>254</v>
      </c>
      <c r="L527" s="59" t="s">
        <v>171</v>
      </c>
      <c r="M527" s="22">
        <v>2</v>
      </c>
      <c r="V527" s="59" t="s">
        <v>176</v>
      </c>
      <c r="AL527" s="59" t="s">
        <v>40</v>
      </c>
      <c r="AM527" s="22" t="s">
        <v>188</v>
      </c>
      <c r="AV527" s="59" t="s">
        <v>134</v>
      </c>
      <c r="AW527" s="22" t="str">
        <f>Settings!$B$5 &amp;  "?s=" &amp; D527 &amp; "&amp;platform=ftx"</f>
        <v>https://tokensol.nfluent.io?s=COR22D364&amp;platform=ftx</v>
      </c>
      <c r="AX527" s="20" t="s">
        <v>23</v>
      </c>
      <c r="AY527" s="20">
        <v>10</v>
      </c>
      <c r="AZ527" s="20" t="s">
        <v>24</v>
      </c>
      <c r="BA527" s="20">
        <v>90</v>
      </c>
      <c r="BD527" s="14"/>
      <c r="BJ527" t="s">
        <v>255</v>
      </c>
      <c r="BK527" t="s">
        <v>184</v>
      </c>
      <c r="BN527" s="36">
        <v>100</v>
      </c>
      <c r="BO527" s="36">
        <v>100</v>
      </c>
      <c r="BP527">
        <f t="shared" si="46"/>
        <v>480</v>
      </c>
      <c r="BR527" s="38">
        <v>44713</v>
      </c>
      <c r="BS527" s="20" t="s">
        <v>185</v>
      </c>
      <c r="BT527" s="20" t="str">
        <f t="shared" si="47"/>
        <v>InCasa_COR22D364</v>
      </c>
    </row>
    <row r="528" spans="2:72" ht="18.75" customHeight="1" x14ac:dyDescent="0.25">
      <c r="B528" s="20">
        <f t="shared" si="48"/>
        <v>365</v>
      </c>
      <c r="C528" s="22" t="str">
        <f t="shared" si="44"/>
        <v>In Casa #365</v>
      </c>
      <c r="D528" t="str">
        <f t="shared" si="45"/>
        <v>COR22D365</v>
      </c>
      <c r="E528" s="58" t="s">
        <v>252</v>
      </c>
      <c r="F528" s="20">
        <v>1000</v>
      </c>
      <c r="G528" s="14" t="s">
        <v>354</v>
      </c>
      <c r="H528" s="23" t="s">
        <v>170</v>
      </c>
      <c r="J528" s="59" t="s">
        <v>38</v>
      </c>
      <c r="K528" s="22" t="s">
        <v>254</v>
      </c>
      <c r="L528" s="59" t="s">
        <v>171</v>
      </c>
      <c r="M528" s="22">
        <v>2</v>
      </c>
      <c r="V528" s="59" t="s">
        <v>176</v>
      </c>
      <c r="AL528" s="59" t="s">
        <v>40</v>
      </c>
      <c r="AM528" s="22" t="s">
        <v>188</v>
      </c>
      <c r="AV528" s="59" t="s">
        <v>134</v>
      </c>
      <c r="AW528" s="22" t="str">
        <f>Settings!$B$5 &amp;  "?s=" &amp; D528 &amp; "&amp;platform=ftx"</f>
        <v>https://tokensol.nfluent.io?s=COR22D365&amp;platform=ftx</v>
      </c>
      <c r="AX528" s="20" t="s">
        <v>23</v>
      </c>
      <c r="AY528" s="20">
        <v>10</v>
      </c>
      <c r="AZ528" s="20" t="s">
        <v>24</v>
      </c>
      <c r="BA528" s="20">
        <v>90</v>
      </c>
      <c r="BD528" s="14"/>
      <c r="BJ528" t="s">
        <v>255</v>
      </c>
      <c r="BK528" t="s">
        <v>184</v>
      </c>
      <c r="BN528" s="36">
        <v>100</v>
      </c>
      <c r="BO528" s="36">
        <v>100</v>
      </c>
      <c r="BP528">
        <f t="shared" si="46"/>
        <v>480</v>
      </c>
      <c r="BR528" s="38">
        <v>44713</v>
      </c>
      <c r="BS528" s="20" t="s">
        <v>185</v>
      </c>
      <c r="BT528" s="20" t="str">
        <f t="shared" si="47"/>
        <v>InCasa_COR22D365</v>
      </c>
    </row>
    <row r="529" spans="2:72" ht="18.75" customHeight="1" x14ac:dyDescent="0.25">
      <c r="B529" s="20">
        <f t="shared" si="48"/>
        <v>366</v>
      </c>
      <c r="C529" s="22" t="str">
        <f t="shared" si="44"/>
        <v>In Casa #366</v>
      </c>
      <c r="D529" t="str">
        <f t="shared" si="45"/>
        <v>COR22D366</v>
      </c>
      <c r="E529" s="58" t="s">
        <v>252</v>
      </c>
      <c r="F529" s="20">
        <v>1000</v>
      </c>
      <c r="G529" s="14" t="s">
        <v>354</v>
      </c>
      <c r="H529" s="23" t="s">
        <v>170</v>
      </c>
      <c r="J529" s="59" t="s">
        <v>38</v>
      </c>
      <c r="K529" s="22" t="s">
        <v>254</v>
      </c>
      <c r="L529" s="59" t="s">
        <v>171</v>
      </c>
      <c r="M529" s="22">
        <v>2</v>
      </c>
      <c r="V529" s="59" t="s">
        <v>176</v>
      </c>
      <c r="AL529" s="59" t="s">
        <v>40</v>
      </c>
      <c r="AM529" s="22" t="s">
        <v>188</v>
      </c>
      <c r="AV529" s="59" t="s">
        <v>134</v>
      </c>
      <c r="AW529" s="22" t="str">
        <f>Settings!$B$5 &amp;  "?s=" &amp; D529 &amp; "&amp;platform=ftx"</f>
        <v>https://tokensol.nfluent.io?s=COR22D366&amp;platform=ftx</v>
      </c>
      <c r="AX529" s="20" t="s">
        <v>23</v>
      </c>
      <c r="AY529" s="20">
        <v>10</v>
      </c>
      <c r="AZ529" s="20" t="s">
        <v>24</v>
      </c>
      <c r="BA529" s="20">
        <v>90</v>
      </c>
      <c r="BD529" s="14"/>
      <c r="BJ529" t="s">
        <v>255</v>
      </c>
      <c r="BK529" t="s">
        <v>184</v>
      </c>
      <c r="BN529" s="36">
        <v>100</v>
      </c>
      <c r="BO529" s="36">
        <v>100</v>
      </c>
      <c r="BP529">
        <f t="shared" si="46"/>
        <v>480</v>
      </c>
      <c r="BR529" s="38">
        <v>44713</v>
      </c>
      <c r="BS529" s="20" t="s">
        <v>185</v>
      </c>
      <c r="BT529" s="20" t="str">
        <f t="shared" si="47"/>
        <v>InCasa_COR22D366</v>
      </c>
    </row>
    <row r="530" spans="2:72" ht="18.75" customHeight="1" x14ac:dyDescent="0.25">
      <c r="B530" s="20">
        <f t="shared" si="48"/>
        <v>367</v>
      </c>
      <c r="C530" s="22" t="str">
        <f t="shared" si="44"/>
        <v>In Casa #367</v>
      </c>
      <c r="D530" t="str">
        <f t="shared" si="45"/>
        <v>COR22D367</v>
      </c>
      <c r="E530" s="58" t="s">
        <v>252</v>
      </c>
      <c r="F530" s="20">
        <v>1000</v>
      </c>
      <c r="G530" s="14" t="s">
        <v>354</v>
      </c>
      <c r="H530" s="23" t="s">
        <v>170</v>
      </c>
      <c r="J530" s="59" t="s">
        <v>38</v>
      </c>
      <c r="K530" s="22" t="s">
        <v>254</v>
      </c>
      <c r="L530" s="59" t="s">
        <v>171</v>
      </c>
      <c r="M530" s="22">
        <v>2</v>
      </c>
      <c r="V530" s="59" t="s">
        <v>176</v>
      </c>
      <c r="AL530" s="59" t="s">
        <v>40</v>
      </c>
      <c r="AM530" s="22" t="s">
        <v>188</v>
      </c>
      <c r="AV530" s="59" t="s">
        <v>134</v>
      </c>
      <c r="AW530" s="22" t="str">
        <f>Settings!$B$5 &amp;  "?s=" &amp; D530 &amp; "&amp;platform=ftx"</f>
        <v>https://tokensol.nfluent.io?s=COR22D367&amp;platform=ftx</v>
      </c>
      <c r="AX530" s="20" t="s">
        <v>23</v>
      </c>
      <c r="AY530" s="20">
        <v>10</v>
      </c>
      <c r="AZ530" s="20" t="s">
        <v>24</v>
      </c>
      <c r="BA530" s="20">
        <v>90</v>
      </c>
      <c r="BD530" s="14"/>
      <c r="BJ530" t="s">
        <v>255</v>
      </c>
      <c r="BK530" t="s">
        <v>184</v>
      </c>
      <c r="BN530" s="36">
        <v>100</v>
      </c>
      <c r="BO530" s="36">
        <v>100</v>
      </c>
      <c r="BP530">
        <f t="shared" si="46"/>
        <v>480</v>
      </c>
      <c r="BR530" s="38">
        <v>44713</v>
      </c>
      <c r="BS530" s="20" t="s">
        <v>185</v>
      </c>
      <c r="BT530" s="20" t="str">
        <f t="shared" si="47"/>
        <v>InCasa_COR22D367</v>
      </c>
    </row>
    <row r="531" spans="2:72" ht="18.75" customHeight="1" x14ac:dyDescent="0.25">
      <c r="B531" s="20">
        <f t="shared" si="48"/>
        <v>368</v>
      </c>
      <c r="C531" s="22" t="str">
        <f t="shared" si="44"/>
        <v>In Casa #368</v>
      </c>
      <c r="D531" t="str">
        <f t="shared" si="45"/>
        <v>COR22D368</v>
      </c>
      <c r="E531" s="58" t="s">
        <v>252</v>
      </c>
      <c r="F531" s="20">
        <v>1000</v>
      </c>
      <c r="G531" s="14" t="s">
        <v>354</v>
      </c>
      <c r="H531" s="23" t="s">
        <v>170</v>
      </c>
      <c r="J531" s="59" t="s">
        <v>38</v>
      </c>
      <c r="K531" s="22" t="s">
        <v>254</v>
      </c>
      <c r="L531" s="59" t="s">
        <v>171</v>
      </c>
      <c r="M531" s="22">
        <v>2</v>
      </c>
      <c r="V531" s="59" t="s">
        <v>176</v>
      </c>
      <c r="AL531" s="59" t="s">
        <v>40</v>
      </c>
      <c r="AM531" s="22" t="s">
        <v>188</v>
      </c>
      <c r="AV531" s="59" t="s">
        <v>134</v>
      </c>
      <c r="AW531" s="22" t="str">
        <f>Settings!$B$5 &amp;  "?s=" &amp; D531 &amp; "&amp;platform=ftx"</f>
        <v>https://tokensol.nfluent.io?s=COR22D368&amp;platform=ftx</v>
      </c>
      <c r="AX531" s="20" t="s">
        <v>23</v>
      </c>
      <c r="AY531" s="20">
        <v>10</v>
      </c>
      <c r="AZ531" s="20" t="s">
        <v>24</v>
      </c>
      <c r="BA531" s="20">
        <v>90</v>
      </c>
      <c r="BD531" s="14"/>
      <c r="BJ531" t="s">
        <v>255</v>
      </c>
      <c r="BK531" t="s">
        <v>184</v>
      </c>
      <c r="BN531" s="36">
        <v>100</v>
      </c>
      <c r="BO531" s="36">
        <v>100</v>
      </c>
      <c r="BP531">
        <f t="shared" si="46"/>
        <v>480</v>
      </c>
      <c r="BR531" s="38">
        <v>44713</v>
      </c>
      <c r="BS531" s="20" t="s">
        <v>185</v>
      </c>
      <c r="BT531" s="20" t="str">
        <f t="shared" si="47"/>
        <v>InCasa_COR22D368</v>
      </c>
    </row>
    <row r="532" spans="2:72" ht="18.75" customHeight="1" x14ac:dyDescent="0.25">
      <c r="B532" s="20">
        <f t="shared" si="48"/>
        <v>369</v>
      </c>
      <c r="C532" s="22" t="str">
        <f t="shared" si="44"/>
        <v>In Casa #369</v>
      </c>
      <c r="D532" t="str">
        <f t="shared" si="45"/>
        <v>COR22D369</v>
      </c>
      <c r="E532" s="58" t="s">
        <v>252</v>
      </c>
      <c r="F532" s="20">
        <v>1000</v>
      </c>
      <c r="G532" s="14" t="s">
        <v>354</v>
      </c>
      <c r="H532" s="23" t="s">
        <v>170</v>
      </c>
      <c r="J532" s="59" t="s">
        <v>38</v>
      </c>
      <c r="K532" s="22" t="s">
        <v>254</v>
      </c>
      <c r="L532" s="59" t="s">
        <v>171</v>
      </c>
      <c r="M532" s="22">
        <v>2</v>
      </c>
      <c r="V532" s="59" t="s">
        <v>176</v>
      </c>
      <c r="AL532" s="59" t="s">
        <v>40</v>
      </c>
      <c r="AM532" s="22" t="s">
        <v>188</v>
      </c>
      <c r="AV532" s="59" t="s">
        <v>134</v>
      </c>
      <c r="AW532" s="22" t="str">
        <f>Settings!$B$5 &amp;  "?s=" &amp; D532 &amp; "&amp;platform=ftx"</f>
        <v>https://tokensol.nfluent.io?s=COR22D369&amp;platform=ftx</v>
      </c>
      <c r="AX532" s="20" t="s">
        <v>23</v>
      </c>
      <c r="AY532" s="20">
        <v>10</v>
      </c>
      <c r="AZ532" s="20" t="s">
        <v>24</v>
      </c>
      <c r="BA532" s="20">
        <v>90</v>
      </c>
      <c r="BD532" s="14"/>
      <c r="BJ532" t="s">
        <v>255</v>
      </c>
      <c r="BK532" t="s">
        <v>184</v>
      </c>
      <c r="BN532" s="36">
        <v>100</v>
      </c>
      <c r="BO532" s="36">
        <v>100</v>
      </c>
      <c r="BP532">
        <f t="shared" si="46"/>
        <v>480</v>
      </c>
      <c r="BR532" s="38">
        <v>44713</v>
      </c>
      <c r="BS532" s="20" t="s">
        <v>185</v>
      </c>
      <c r="BT532" s="20" t="str">
        <f t="shared" si="47"/>
        <v>InCasa_COR22D369</v>
      </c>
    </row>
    <row r="533" spans="2:72" ht="18.75" customHeight="1" x14ac:dyDescent="0.25">
      <c r="B533" s="20">
        <f t="shared" si="48"/>
        <v>370</v>
      </c>
      <c r="C533" s="22" t="str">
        <f t="shared" si="44"/>
        <v>In Casa #370</v>
      </c>
      <c r="D533" t="str">
        <f t="shared" si="45"/>
        <v>COR22D370</v>
      </c>
      <c r="E533" s="58" t="s">
        <v>252</v>
      </c>
      <c r="F533" s="20">
        <v>1000</v>
      </c>
      <c r="G533" s="14" t="s">
        <v>354</v>
      </c>
      <c r="H533" s="23" t="s">
        <v>170</v>
      </c>
      <c r="J533" s="59" t="s">
        <v>38</v>
      </c>
      <c r="K533" s="22" t="s">
        <v>254</v>
      </c>
      <c r="L533" s="59" t="s">
        <v>171</v>
      </c>
      <c r="M533" s="22">
        <v>2</v>
      </c>
      <c r="V533" s="59" t="s">
        <v>176</v>
      </c>
      <c r="AL533" s="59" t="s">
        <v>40</v>
      </c>
      <c r="AM533" s="22" t="s">
        <v>188</v>
      </c>
      <c r="AV533" s="59" t="s">
        <v>134</v>
      </c>
      <c r="AW533" s="22" t="str">
        <f>Settings!$B$5 &amp;  "?s=" &amp; D533 &amp; "&amp;platform=ftx"</f>
        <v>https://tokensol.nfluent.io?s=COR22D370&amp;platform=ftx</v>
      </c>
      <c r="AX533" s="20" t="s">
        <v>23</v>
      </c>
      <c r="AY533" s="20">
        <v>10</v>
      </c>
      <c r="AZ533" s="20" t="s">
        <v>24</v>
      </c>
      <c r="BA533" s="20">
        <v>90</v>
      </c>
      <c r="BD533" s="14"/>
      <c r="BJ533" t="s">
        <v>255</v>
      </c>
      <c r="BK533" t="s">
        <v>184</v>
      </c>
      <c r="BN533" s="36">
        <v>100</v>
      </c>
      <c r="BO533" s="36">
        <v>100</v>
      </c>
      <c r="BP533">
        <f t="shared" si="46"/>
        <v>480</v>
      </c>
      <c r="BR533" s="38">
        <v>44713</v>
      </c>
      <c r="BS533" s="20" t="s">
        <v>185</v>
      </c>
      <c r="BT533" s="20" t="str">
        <f t="shared" si="47"/>
        <v>InCasa_COR22D370</v>
      </c>
    </row>
    <row r="534" spans="2:72" ht="18.75" customHeight="1" x14ac:dyDescent="0.25">
      <c r="B534" s="20">
        <f t="shared" si="48"/>
        <v>371</v>
      </c>
      <c r="C534" s="22" t="str">
        <f t="shared" si="44"/>
        <v>In Casa #371</v>
      </c>
      <c r="D534" t="str">
        <f t="shared" si="45"/>
        <v>COR22D371</v>
      </c>
      <c r="E534" s="58" t="s">
        <v>252</v>
      </c>
      <c r="F534" s="20">
        <v>1000</v>
      </c>
      <c r="G534" s="14" t="s">
        <v>354</v>
      </c>
      <c r="H534" s="23" t="s">
        <v>170</v>
      </c>
      <c r="J534" s="59" t="s">
        <v>38</v>
      </c>
      <c r="K534" s="22" t="s">
        <v>254</v>
      </c>
      <c r="L534" s="59" t="s">
        <v>171</v>
      </c>
      <c r="M534" s="22">
        <v>2</v>
      </c>
      <c r="V534" s="59" t="s">
        <v>176</v>
      </c>
      <c r="AL534" s="59" t="s">
        <v>40</v>
      </c>
      <c r="AM534" s="22" t="s">
        <v>188</v>
      </c>
      <c r="AV534" s="59" t="s">
        <v>134</v>
      </c>
      <c r="AW534" s="22" t="str">
        <f>Settings!$B$5 &amp;  "?s=" &amp; D534 &amp; "&amp;platform=ftx"</f>
        <v>https://tokensol.nfluent.io?s=COR22D371&amp;platform=ftx</v>
      </c>
      <c r="AX534" s="20" t="s">
        <v>23</v>
      </c>
      <c r="AY534" s="20">
        <v>10</v>
      </c>
      <c r="AZ534" s="20" t="s">
        <v>24</v>
      </c>
      <c r="BA534" s="20">
        <v>90</v>
      </c>
      <c r="BD534" s="14"/>
      <c r="BJ534" t="s">
        <v>255</v>
      </c>
      <c r="BK534" t="s">
        <v>184</v>
      </c>
      <c r="BN534" s="36">
        <v>100</v>
      </c>
      <c r="BO534" s="36">
        <v>100</v>
      </c>
      <c r="BP534">
        <f t="shared" si="46"/>
        <v>480</v>
      </c>
      <c r="BR534" s="38">
        <v>44713</v>
      </c>
      <c r="BS534" s="20" t="s">
        <v>185</v>
      </c>
      <c r="BT534" s="20" t="str">
        <f t="shared" si="47"/>
        <v>InCasa_COR22D371</v>
      </c>
    </row>
    <row r="535" spans="2:72" ht="18.75" customHeight="1" x14ac:dyDescent="0.25">
      <c r="B535" s="20">
        <f t="shared" si="48"/>
        <v>372</v>
      </c>
      <c r="C535" s="22" t="str">
        <f t="shared" si="44"/>
        <v>In Casa #372</v>
      </c>
      <c r="D535" t="str">
        <f t="shared" si="45"/>
        <v>COR22D372</v>
      </c>
      <c r="E535" s="58" t="s">
        <v>252</v>
      </c>
      <c r="F535" s="20">
        <v>1000</v>
      </c>
      <c r="G535" s="14" t="s">
        <v>354</v>
      </c>
      <c r="H535" s="23" t="s">
        <v>170</v>
      </c>
      <c r="J535" s="59" t="s">
        <v>38</v>
      </c>
      <c r="K535" s="22" t="s">
        <v>254</v>
      </c>
      <c r="L535" s="59" t="s">
        <v>171</v>
      </c>
      <c r="M535" s="22">
        <v>2</v>
      </c>
      <c r="V535" s="59" t="s">
        <v>176</v>
      </c>
      <c r="AL535" s="59" t="s">
        <v>40</v>
      </c>
      <c r="AM535" s="22" t="s">
        <v>188</v>
      </c>
      <c r="AV535" s="59" t="s">
        <v>134</v>
      </c>
      <c r="AW535" s="22" t="str">
        <f>Settings!$B$5 &amp;  "?s=" &amp; D535 &amp; "&amp;platform=ftx"</f>
        <v>https://tokensol.nfluent.io?s=COR22D372&amp;platform=ftx</v>
      </c>
      <c r="AX535" s="20" t="s">
        <v>23</v>
      </c>
      <c r="AY535" s="20">
        <v>10</v>
      </c>
      <c r="AZ535" s="20" t="s">
        <v>24</v>
      </c>
      <c r="BA535" s="20">
        <v>90</v>
      </c>
      <c r="BD535" s="14"/>
      <c r="BJ535" t="s">
        <v>255</v>
      </c>
      <c r="BK535" t="s">
        <v>184</v>
      </c>
      <c r="BN535" s="36">
        <v>100</v>
      </c>
      <c r="BO535" s="36">
        <v>100</v>
      </c>
      <c r="BP535">
        <f t="shared" si="46"/>
        <v>480</v>
      </c>
      <c r="BR535" s="38">
        <v>44713</v>
      </c>
      <c r="BS535" s="20" t="s">
        <v>185</v>
      </c>
      <c r="BT535" s="20" t="str">
        <f t="shared" si="47"/>
        <v>InCasa_COR22D372</v>
      </c>
    </row>
    <row r="536" spans="2:72" ht="18.75" customHeight="1" x14ac:dyDescent="0.25">
      <c r="B536" s="20">
        <f t="shared" si="48"/>
        <v>373</v>
      </c>
      <c r="C536" s="22" t="str">
        <f t="shared" si="44"/>
        <v>In Casa #373</v>
      </c>
      <c r="D536" t="str">
        <f t="shared" si="45"/>
        <v>COR22D373</v>
      </c>
      <c r="E536" s="58" t="s">
        <v>252</v>
      </c>
      <c r="F536" s="20">
        <v>1000</v>
      </c>
      <c r="G536" s="14" t="s">
        <v>354</v>
      </c>
      <c r="H536" s="23" t="s">
        <v>170</v>
      </c>
      <c r="J536" s="59" t="s">
        <v>38</v>
      </c>
      <c r="K536" s="22" t="s">
        <v>254</v>
      </c>
      <c r="L536" s="59" t="s">
        <v>171</v>
      </c>
      <c r="M536" s="22">
        <v>2</v>
      </c>
      <c r="V536" s="59" t="s">
        <v>176</v>
      </c>
      <c r="AL536" s="59" t="s">
        <v>40</v>
      </c>
      <c r="AM536" s="22" t="s">
        <v>188</v>
      </c>
      <c r="AV536" s="59" t="s">
        <v>134</v>
      </c>
      <c r="AW536" s="22" t="str">
        <f>Settings!$B$5 &amp;  "?s=" &amp; D536 &amp; "&amp;platform=ftx"</f>
        <v>https://tokensol.nfluent.io?s=COR22D373&amp;platform=ftx</v>
      </c>
      <c r="AX536" s="20" t="s">
        <v>23</v>
      </c>
      <c r="AY536" s="20">
        <v>10</v>
      </c>
      <c r="AZ536" s="20" t="s">
        <v>24</v>
      </c>
      <c r="BA536" s="20">
        <v>90</v>
      </c>
      <c r="BD536" s="14"/>
      <c r="BJ536" t="s">
        <v>255</v>
      </c>
      <c r="BK536" t="s">
        <v>184</v>
      </c>
      <c r="BN536" s="36">
        <v>100</v>
      </c>
      <c r="BO536" s="36">
        <v>100</v>
      </c>
      <c r="BP536">
        <f t="shared" si="46"/>
        <v>480</v>
      </c>
      <c r="BR536" s="38">
        <v>44713</v>
      </c>
      <c r="BS536" s="20" t="s">
        <v>185</v>
      </c>
      <c r="BT536" s="20" t="str">
        <f t="shared" si="47"/>
        <v>InCasa_COR22D373</v>
      </c>
    </row>
    <row r="537" spans="2:72" ht="18.75" customHeight="1" x14ac:dyDescent="0.25">
      <c r="B537" s="20">
        <f t="shared" si="48"/>
        <v>374</v>
      </c>
      <c r="C537" s="22" t="str">
        <f t="shared" si="44"/>
        <v>In Casa #374</v>
      </c>
      <c r="D537" t="str">
        <f t="shared" si="45"/>
        <v>COR22D374</v>
      </c>
      <c r="E537" s="58" t="s">
        <v>252</v>
      </c>
      <c r="F537" s="20">
        <v>1000</v>
      </c>
      <c r="G537" s="14" t="s">
        <v>354</v>
      </c>
      <c r="H537" s="23" t="s">
        <v>170</v>
      </c>
      <c r="J537" s="59" t="s">
        <v>38</v>
      </c>
      <c r="K537" s="22" t="s">
        <v>254</v>
      </c>
      <c r="L537" s="59" t="s">
        <v>171</v>
      </c>
      <c r="M537" s="22">
        <v>2</v>
      </c>
      <c r="V537" s="59" t="s">
        <v>176</v>
      </c>
      <c r="AL537" s="59" t="s">
        <v>40</v>
      </c>
      <c r="AM537" s="22" t="s">
        <v>188</v>
      </c>
      <c r="AV537" s="59" t="s">
        <v>134</v>
      </c>
      <c r="AW537" s="22" t="str">
        <f>Settings!$B$5 &amp;  "?s=" &amp; D537 &amp; "&amp;platform=ftx"</f>
        <v>https://tokensol.nfluent.io?s=COR22D374&amp;platform=ftx</v>
      </c>
      <c r="AX537" s="20" t="s">
        <v>23</v>
      </c>
      <c r="AY537" s="20">
        <v>10</v>
      </c>
      <c r="AZ537" s="20" t="s">
        <v>24</v>
      </c>
      <c r="BA537" s="20">
        <v>90</v>
      </c>
      <c r="BD537" s="14"/>
      <c r="BJ537" t="s">
        <v>255</v>
      </c>
      <c r="BK537" t="s">
        <v>184</v>
      </c>
      <c r="BN537" s="36">
        <v>100</v>
      </c>
      <c r="BO537" s="36">
        <v>100</v>
      </c>
      <c r="BP537">
        <f t="shared" si="46"/>
        <v>480</v>
      </c>
      <c r="BR537" s="38">
        <v>44713</v>
      </c>
      <c r="BS537" s="20" t="s">
        <v>185</v>
      </c>
      <c r="BT537" s="20" t="str">
        <f t="shared" si="47"/>
        <v>InCasa_COR22D374</v>
      </c>
    </row>
    <row r="538" spans="2:72" ht="18.75" customHeight="1" x14ac:dyDescent="0.25">
      <c r="B538" s="20">
        <f t="shared" si="48"/>
        <v>375</v>
      </c>
      <c r="C538" s="22" t="str">
        <f t="shared" si="44"/>
        <v>In Casa #375</v>
      </c>
      <c r="D538" t="str">
        <f t="shared" si="45"/>
        <v>COR22D375</v>
      </c>
      <c r="E538" s="58" t="s">
        <v>252</v>
      </c>
      <c r="F538" s="20">
        <v>1000</v>
      </c>
      <c r="G538" s="14" t="s">
        <v>354</v>
      </c>
      <c r="H538" s="23" t="s">
        <v>170</v>
      </c>
      <c r="J538" s="59" t="s">
        <v>38</v>
      </c>
      <c r="K538" s="22" t="s">
        <v>254</v>
      </c>
      <c r="L538" s="59" t="s">
        <v>171</v>
      </c>
      <c r="M538" s="22">
        <v>2</v>
      </c>
      <c r="V538" s="59" t="s">
        <v>176</v>
      </c>
      <c r="AL538" s="59" t="s">
        <v>40</v>
      </c>
      <c r="AM538" s="22" t="s">
        <v>188</v>
      </c>
      <c r="AV538" s="59" t="s">
        <v>134</v>
      </c>
      <c r="AW538" s="22" t="str">
        <f>Settings!$B$5 &amp;  "?s=" &amp; D538 &amp; "&amp;platform=ftx"</f>
        <v>https://tokensol.nfluent.io?s=COR22D375&amp;platform=ftx</v>
      </c>
      <c r="AX538" s="20" t="s">
        <v>23</v>
      </c>
      <c r="AY538" s="20">
        <v>10</v>
      </c>
      <c r="AZ538" s="20" t="s">
        <v>24</v>
      </c>
      <c r="BA538" s="20">
        <v>90</v>
      </c>
      <c r="BD538" s="14"/>
      <c r="BJ538" t="s">
        <v>255</v>
      </c>
      <c r="BK538" t="s">
        <v>184</v>
      </c>
      <c r="BN538" s="36">
        <v>100</v>
      </c>
      <c r="BO538" s="36">
        <v>100</v>
      </c>
      <c r="BP538">
        <f t="shared" si="46"/>
        <v>480</v>
      </c>
      <c r="BR538" s="38">
        <v>44713</v>
      </c>
      <c r="BS538" s="20" t="s">
        <v>185</v>
      </c>
      <c r="BT538" s="20" t="str">
        <f t="shared" si="47"/>
        <v>InCasa_COR22D375</v>
      </c>
    </row>
    <row r="539" spans="2:72" ht="18.75" customHeight="1" x14ac:dyDescent="0.25">
      <c r="B539" s="20">
        <f t="shared" si="48"/>
        <v>376</v>
      </c>
      <c r="C539" s="22" t="str">
        <f t="shared" si="44"/>
        <v>In Casa #376</v>
      </c>
      <c r="D539" t="str">
        <f t="shared" si="45"/>
        <v>COR22D376</v>
      </c>
      <c r="E539" s="58" t="s">
        <v>252</v>
      </c>
      <c r="F539" s="20">
        <v>1000</v>
      </c>
      <c r="G539" s="14" t="s">
        <v>354</v>
      </c>
      <c r="H539" s="23" t="s">
        <v>170</v>
      </c>
      <c r="J539" s="59" t="s">
        <v>38</v>
      </c>
      <c r="K539" s="22" t="s">
        <v>254</v>
      </c>
      <c r="L539" s="59" t="s">
        <v>171</v>
      </c>
      <c r="M539" s="22">
        <v>2</v>
      </c>
      <c r="V539" s="59" t="s">
        <v>176</v>
      </c>
      <c r="AL539" s="59" t="s">
        <v>40</v>
      </c>
      <c r="AM539" s="22" t="s">
        <v>188</v>
      </c>
      <c r="AV539" s="59" t="s">
        <v>134</v>
      </c>
      <c r="AW539" s="22" t="str">
        <f>Settings!$B$5 &amp;  "?s=" &amp; D539 &amp; "&amp;platform=ftx"</f>
        <v>https://tokensol.nfluent.io?s=COR22D376&amp;platform=ftx</v>
      </c>
      <c r="AX539" s="20" t="s">
        <v>23</v>
      </c>
      <c r="AY539" s="20">
        <v>10</v>
      </c>
      <c r="AZ539" s="20" t="s">
        <v>24</v>
      </c>
      <c r="BA539" s="20">
        <v>90</v>
      </c>
      <c r="BD539" s="14"/>
      <c r="BJ539" t="s">
        <v>255</v>
      </c>
      <c r="BK539" t="s">
        <v>184</v>
      </c>
      <c r="BN539" s="36">
        <v>100</v>
      </c>
      <c r="BO539" s="36">
        <v>100</v>
      </c>
      <c r="BP539">
        <f t="shared" si="46"/>
        <v>480</v>
      </c>
      <c r="BR539" s="38">
        <v>44713</v>
      </c>
      <c r="BS539" s="20" t="s">
        <v>185</v>
      </c>
      <c r="BT539" s="20" t="str">
        <f t="shared" si="47"/>
        <v>InCasa_COR22D376</v>
      </c>
    </row>
    <row r="540" spans="2:72" ht="18.75" customHeight="1" x14ac:dyDescent="0.25">
      <c r="B540" s="20">
        <f t="shared" si="48"/>
        <v>377</v>
      </c>
      <c r="C540" s="22" t="str">
        <f t="shared" si="44"/>
        <v>In Casa #377</v>
      </c>
      <c r="D540" t="str">
        <f t="shared" si="45"/>
        <v>COR22D377</v>
      </c>
      <c r="E540" s="58" t="s">
        <v>252</v>
      </c>
      <c r="F540" s="20">
        <v>1000</v>
      </c>
      <c r="G540" s="14" t="s">
        <v>354</v>
      </c>
      <c r="H540" s="23" t="s">
        <v>170</v>
      </c>
      <c r="J540" s="59" t="s">
        <v>38</v>
      </c>
      <c r="K540" s="22" t="s">
        <v>254</v>
      </c>
      <c r="L540" s="59" t="s">
        <v>171</v>
      </c>
      <c r="M540" s="22">
        <v>2</v>
      </c>
      <c r="V540" s="59" t="s">
        <v>176</v>
      </c>
      <c r="AL540" s="59" t="s">
        <v>40</v>
      </c>
      <c r="AM540" s="22" t="s">
        <v>188</v>
      </c>
      <c r="AV540" s="59" t="s">
        <v>134</v>
      </c>
      <c r="AW540" s="22" t="str">
        <f>Settings!$B$5 &amp;  "?s=" &amp; D540 &amp; "&amp;platform=ftx"</f>
        <v>https://tokensol.nfluent.io?s=COR22D377&amp;platform=ftx</v>
      </c>
      <c r="AX540" s="20" t="s">
        <v>23</v>
      </c>
      <c r="AY540" s="20">
        <v>10</v>
      </c>
      <c r="AZ540" s="20" t="s">
        <v>24</v>
      </c>
      <c r="BA540" s="20">
        <v>90</v>
      </c>
      <c r="BD540" s="14"/>
      <c r="BJ540" t="s">
        <v>255</v>
      </c>
      <c r="BK540" t="s">
        <v>184</v>
      </c>
      <c r="BN540" s="36">
        <v>100</v>
      </c>
      <c r="BO540" s="36">
        <v>100</v>
      </c>
      <c r="BP540">
        <f t="shared" si="46"/>
        <v>480</v>
      </c>
      <c r="BR540" s="38">
        <v>44713</v>
      </c>
      <c r="BS540" s="20" t="s">
        <v>185</v>
      </c>
      <c r="BT540" s="20" t="str">
        <f t="shared" si="47"/>
        <v>InCasa_COR22D377</v>
      </c>
    </row>
    <row r="541" spans="2:72" ht="18.75" customHeight="1" x14ac:dyDescent="0.25">
      <c r="B541" s="20">
        <f t="shared" si="48"/>
        <v>378</v>
      </c>
      <c r="C541" s="22" t="str">
        <f t="shared" si="44"/>
        <v>In Casa #378</v>
      </c>
      <c r="D541" t="str">
        <f t="shared" si="45"/>
        <v>COR22D378</v>
      </c>
      <c r="E541" s="58" t="s">
        <v>252</v>
      </c>
      <c r="F541" s="20">
        <v>1000</v>
      </c>
      <c r="G541" s="14" t="s">
        <v>354</v>
      </c>
      <c r="H541" s="23" t="s">
        <v>170</v>
      </c>
      <c r="J541" s="59" t="s">
        <v>38</v>
      </c>
      <c r="K541" s="22" t="s">
        <v>254</v>
      </c>
      <c r="L541" s="59" t="s">
        <v>171</v>
      </c>
      <c r="M541" s="22">
        <v>2</v>
      </c>
      <c r="V541" s="59" t="s">
        <v>176</v>
      </c>
      <c r="AL541" s="59" t="s">
        <v>40</v>
      </c>
      <c r="AM541" s="22" t="s">
        <v>188</v>
      </c>
      <c r="AV541" s="59" t="s">
        <v>134</v>
      </c>
      <c r="AW541" s="22" t="str">
        <f>Settings!$B$5 &amp;  "?s=" &amp; D541 &amp; "&amp;platform=ftx"</f>
        <v>https://tokensol.nfluent.io?s=COR22D378&amp;platform=ftx</v>
      </c>
      <c r="AX541" s="20" t="s">
        <v>23</v>
      </c>
      <c r="AY541" s="20">
        <v>10</v>
      </c>
      <c r="AZ541" s="20" t="s">
        <v>24</v>
      </c>
      <c r="BA541" s="20">
        <v>90</v>
      </c>
      <c r="BD541" s="14"/>
      <c r="BJ541" t="s">
        <v>255</v>
      </c>
      <c r="BK541" t="s">
        <v>184</v>
      </c>
      <c r="BN541" s="36">
        <v>100</v>
      </c>
      <c r="BO541" s="36">
        <v>100</v>
      </c>
      <c r="BP541">
        <f t="shared" si="46"/>
        <v>480</v>
      </c>
      <c r="BR541" s="38">
        <v>44713</v>
      </c>
      <c r="BS541" s="20" t="s">
        <v>185</v>
      </c>
      <c r="BT541" s="20" t="str">
        <f t="shared" si="47"/>
        <v>InCasa_COR22D378</v>
      </c>
    </row>
    <row r="542" spans="2:72" ht="18.75" customHeight="1" x14ac:dyDescent="0.25">
      <c r="B542" s="20">
        <f t="shared" si="48"/>
        <v>379</v>
      </c>
      <c r="C542" s="22" t="str">
        <f t="shared" si="44"/>
        <v>In Casa #379</v>
      </c>
      <c r="D542" t="str">
        <f t="shared" si="45"/>
        <v>COR22D379</v>
      </c>
      <c r="E542" s="58" t="s">
        <v>252</v>
      </c>
      <c r="F542" s="20">
        <v>1000</v>
      </c>
      <c r="G542" s="14" t="s">
        <v>354</v>
      </c>
      <c r="H542" s="23" t="s">
        <v>170</v>
      </c>
      <c r="J542" s="59" t="s">
        <v>38</v>
      </c>
      <c r="K542" s="22" t="s">
        <v>254</v>
      </c>
      <c r="L542" s="59" t="s">
        <v>171</v>
      </c>
      <c r="M542" s="22">
        <v>2</v>
      </c>
      <c r="V542" s="59" t="s">
        <v>176</v>
      </c>
      <c r="AL542" s="59" t="s">
        <v>40</v>
      </c>
      <c r="AM542" s="22" t="s">
        <v>188</v>
      </c>
      <c r="AV542" s="59" t="s">
        <v>134</v>
      </c>
      <c r="AW542" s="22" t="str">
        <f>Settings!$B$5 &amp;  "?s=" &amp; D542 &amp; "&amp;platform=ftx"</f>
        <v>https://tokensol.nfluent.io?s=COR22D379&amp;platform=ftx</v>
      </c>
      <c r="AX542" s="20" t="s">
        <v>23</v>
      </c>
      <c r="AY542" s="20">
        <v>10</v>
      </c>
      <c r="AZ542" s="20" t="s">
        <v>24</v>
      </c>
      <c r="BA542" s="20">
        <v>90</v>
      </c>
      <c r="BD542" s="14"/>
      <c r="BJ542" t="s">
        <v>255</v>
      </c>
      <c r="BK542" t="s">
        <v>184</v>
      </c>
      <c r="BN542" s="36">
        <v>100</v>
      </c>
      <c r="BO542" s="36">
        <v>100</v>
      </c>
      <c r="BP542">
        <f t="shared" si="46"/>
        <v>480</v>
      </c>
      <c r="BR542" s="38">
        <v>44713</v>
      </c>
      <c r="BS542" s="20" t="s">
        <v>185</v>
      </c>
      <c r="BT542" s="20" t="str">
        <f t="shared" si="47"/>
        <v>InCasa_COR22D379</v>
      </c>
    </row>
    <row r="543" spans="2:72" ht="18.75" customHeight="1" x14ac:dyDescent="0.25">
      <c r="B543" s="20">
        <f t="shared" si="48"/>
        <v>380</v>
      </c>
      <c r="C543" s="22" t="str">
        <f t="shared" si="44"/>
        <v>In Casa #380</v>
      </c>
      <c r="D543" t="str">
        <f t="shared" si="45"/>
        <v>COR22D380</v>
      </c>
      <c r="E543" s="58" t="s">
        <v>252</v>
      </c>
      <c r="F543" s="20">
        <v>1000</v>
      </c>
      <c r="G543" s="14" t="s">
        <v>354</v>
      </c>
      <c r="H543" s="23" t="s">
        <v>170</v>
      </c>
      <c r="J543" s="59" t="s">
        <v>38</v>
      </c>
      <c r="K543" s="22" t="s">
        <v>254</v>
      </c>
      <c r="L543" s="59" t="s">
        <v>171</v>
      </c>
      <c r="M543" s="22">
        <v>2</v>
      </c>
      <c r="V543" s="59" t="s">
        <v>176</v>
      </c>
      <c r="AL543" s="59" t="s">
        <v>40</v>
      </c>
      <c r="AM543" s="22" t="s">
        <v>188</v>
      </c>
      <c r="AV543" s="59" t="s">
        <v>134</v>
      </c>
      <c r="AW543" s="22" t="str">
        <f>Settings!$B$5 &amp;  "?s=" &amp; D543 &amp; "&amp;platform=ftx"</f>
        <v>https://tokensol.nfluent.io?s=COR22D380&amp;platform=ftx</v>
      </c>
      <c r="AX543" s="20" t="s">
        <v>23</v>
      </c>
      <c r="AY543" s="20">
        <v>10</v>
      </c>
      <c r="AZ543" s="20" t="s">
        <v>24</v>
      </c>
      <c r="BA543" s="20">
        <v>90</v>
      </c>
      <c r="BD543" s="14"/>
      <c r="BJ543" t="s">
        <v>255</v>
      </c>
      <c r="BK543" t="s">
        <v>184</v>
      </c>
      <c r="BN543" s="36">
        <v>100</v>
      </c>
      <c r="BO543" s="36">
        <v>100</v>
      </c>
      <c r="BP543">
        <f t="shared" si="46"/>
        <v>480</v>
      </c>
      <c r="BR543" s="38">
        <v>44713</v>
      </c>
      <c r="BS543" s="20" t="s">
        <v>185</v>
      </c>
      <c r="BT543" s="20" t="str">
        <f t="shared" si="47"/>
        <v>InCasa_COR22D380</v>
      </c>
    </row>
    <row r="544" spans="2:72" ht="18.75" customHeight="1" x14ac:dyDescent="0.25">
      <c r="B544" s="20">
        <f t="shared" si="48"/>
        <v>381</v>
      </c>
      <c r="C544" s="22" t="str">
        <f t="shared" si="44"/>
        <v>In Casa #381</v>
      </c>
      <c r="D544" t="str">
        <f t="shared" si="45"/>
        <v>COR22D381</v>
      </c>
      <c r="E544" s="58" t="s">
        <v>252</v>
      </c>
      <c r="F544" s="20">
        <v>1000</v>
      </c>
      <c r="G544" s="14" t="s">
        <v>354</v>
      </c>
      <c r="H544" s="23" t="s">
        <v>170</v>
      </c>
      <c r="J544" s="59" t="s">
        <v>38</v>
      </c>
      <c r="K544" s="22" t="s">
        <v>254</v>
      </c>
      <c r="L544" s="59" t="s">
        <v>171</v>
      </c>
      <c r="M544" s="22">
        <v>2</v>
      </c>
      <c r="V544" s="59" t="s">
        <v>176</v>
      </c>
      <c r="AL544" s="59" t="s">
        <v>40</v>
      </c>
      <c r="AM544" s="22" t="s">
        <v>188</v>
      </c>
      <c r="AV544" s="59" t="s">
        <v>134</v>
      </c>
      <c r="AW544" s="22" t="str">
        <f>Settings!$B$5 &amp;  "?s=" &amp; D544 &amp; "&amp;platform=ftx"</f>
        <v>https://tokensol.nfluent.io?s=COR22D381&amp;platform=ftx</v>
      </c>
      <c r="AX544" s="20" t="s">
        <v>23</v>
      </c>
      <c r="AY544" s="20">
        <v>10</v>
      </c>
      <c r="AZ544" s="20" t="s">
        <v>24</v>
      </c>
      <c r="BA544" s="20">
        <v>90</v>
      </c>
      <c r="BD544" s="14"/>
      <c r="BJ544" t="s">
        <v>255</v>
      </c>
      <c r="BK544" t="s">
        <v>184</v>
      </c>
      <c r="BN544" s="36">
        <v>100</v>
      </c>
      <c r="BO544" s="36">
        <v>100</v>
      </c>
      <c r="BP544">
        <f t="shared" si="46"/>
        <v>480</v>
      </c>
      <c r="BR544" s="38">
        <v>44713</v>
      </c>
      <c r="BS544" s="20" t="s">
        <v>185</v>
      </c>
      <c r="BT544" s="20" t="str">
        <f t="shared" si="47"/>
        <v>InCasa_COR22D381</v>
      </c>
    </row>
    <row r="545" spans="2:72" ht="18.75" customHeight="1" x14ac:dyDescent="0.25">
      <c r="B545" s="20">
        <f t="shared" si="48"/>
        <v>382</v>
      </c>
      <c r="C545" s="22" t="str">
        <f t="shared" si="44"/>
        <v>In Casa #382</v>
      </c>
      <c r="D545" t="str">
        <f t="shared" si="45"/>
        <v>COR22D382</v>
      </c>
      <c r="E545" s="58" t="s">
        <v>252</v>
      </c>
      <c r="F545" s="20">
        <v>1000</v>
      </c>
      <c r="G545" s="14" t="s">
        <v>354</v>
      </c>
      <c r="H545" s="23" t="s">
        <v>170</v>
      </c>
      <c r="J545" s="59" t="s">
        <v>38</v>
      </c>
      <c r="K545" s="22" t="s">
        <v>254</v>
      </c>
      <c r="L545" s="59" t="s">
        <v>171</v>
      </c>
      <c r="M545" s="22">
        <v>2</v>
      </c>
      <c r="V545" s="59" t="s">
        <v>176</v>
      </c>
      <c r="AL545" s="59" t="s">
        <v>40</v>
      </c>
      <c r="AM545" s="22" t="s">
        <v>188</v>
      </c>
      <c r="AV545" s="59" t="s">
        <v>134</v>
      </c>
      <c r="AW545" s="22" t="str">
        <f>Settings!$B$5 &amp;  "?s=" &amp; D545 &amp; "&amp;platform=ftx"</f>
        <v>https://tokensol.nfluent.io?s=COR22D382&amp;platform=ftx</v>
      </c>
      <c r="AX545" s="20" t="s">
        <v>23</v>
      </c>
      <c r="AY545" s="20">
        <v>10</v>
      </c>
      <c r="AZ545" s="20" t="s">
        <v>24</v>
      </c>
      <c r="BA545" s="20">
        <v>90</v>
      </c>
      <c r="BD545" s="14"/>
      <c r="BJ545" t="s">
        <v>255</v>
      </c>
      <c r="BK545" t="s">
        <v>184</v>
      </c>
      <c r="BN545" s="36">
        <v>100</v>
      </c>
      <c r="BO545" s="36">
        <v>100</v>
      </c>
      <c r="BP545">
        <f t="shared" si="46"/>
        <v>480</v>
      </c>
      <c r="BR545" s="38">
        <v>44713</v>
      </c>
      <c r="BS545" s="20" t="s">
        <v>185</v>
      </c>
      <c r="BT545" s="20" t="str">
        <f t="shared" si="47"/>
        <v>InCasa_COR22D382</v>
      </c>
    </row>
    <row r="546" spans="2:72" ht="18.75" customHeight="1" x14ac:dyDescent="0.25">
      <c r="B546" s="20">
        <f t="shared" si="48"/>
        <v>383</v>
      </c>
      <c r="C546" s="22" t="str">
        <f t="shared" si="44"/>
        <v>In Casa #383</v>
      </c>
      <c r="D546" t="str">
        <f t="shared" si="45"/>
        <v>COR22D383</v>
      </c>
      <c r="E546" s="58" t="s">
        <v>252</v>
      </c>
      <c r="F546" s="20">
        <v>1000</v>
      </c>
      <c r="G546" s="14" t="s">
        <v>354</v>
      </c>
      <c r="H546" s="23" t="s">
        <v>170</v>
      </c>
      <c r="J546" s="59" t="s">
        <v>38</v>
      </c>
      <c r="K546" s="22" t="s">
        <v>254</v>
      </c>
      <c r="L546" s="59" t="s">
        <v>171</v>
      </c>
      <c r="M546" s="22">
        <v>2</v>
      </c>
      <c r="V546" s="59" t="s">
        <v>176</v>
      </c>
      <c r="AL546" s="59" t="s">
        <v>40</v>
      </c>
      <c r="AM546" s="22" t="s">
        <v>188</v>
      </c>
      <c r="AV546" s="59" t="s">
        <v>134</v>
      </c>
      <c r="AW546" s="22" t="str">
        <f>Settings!$B$5 &amp;  "?s=" &amp; D546 &amp; "&amp;platform=ftx"</f>
        <v>https://tokensol.nfluent.io?s=COR22D383&amp;platform=ftx</v>
      </c>
      <c r="AX546" s="20" t="s">
        <v>23</v>
      </c>
      <c r="AY546" s="20">
        <v>10</v>
      </c>
      <c r="AZ546" s="20" t="s">
        <v>24</v>
      </c>
      <c r="BA546" s="20">
        <v>90</v>
      </c>
      <c r="BD546" s="14"/>
      <c r="BJ546" t="s">
        <v>255</v>
      </c>
      <c r="BK546" t="s">
        <v>184</v>
      </c>
      <c r="BN546" s="36">
        <v>100</v>
      </c>
      <c r="BO546" s="36">
        <v>100</v>
      </c>
      <c r="BP546">
        <f t="shared" si="46"/>
        <v>480</v>
      </c>
      <c r="BR546" s="38">
        <v>44713</v>
      </c>
      <c r="BS546" s="20" t="s">
        <v>185</v>
      </c>
      <c r="BT546" s="20" t="str">
        <f t="shared" si="47"/>
        <v>InCasa_COR22D383</v>
      </c>
    </row>
    <row r="547" spans="2:72" ht="18.75" customHeight="1" x14ac:dyDescent="0.25">
      <c r="B547" s="20">
        <f t="shared" si="48"/>
        <v>384</v>
      </c>
      <c r="C547" s="22" t="str">
        <f t="shared" si="44"/>
        <v>In Casa #384</v>
      </c>
      <c r="D547" t="str">
        <f t="shared" si="45"/>
        <v>COR22D384</v>
      </c>
      <c r="E547" s="58" t="s">
        <v>252</v>
      </c>
      <c r="F547" s="20">
        <v>1000</v>
      </c>
      <c r="G547" s="14" t="s">
        <v>354</v>
      </c>
      <c r="H547" s="23" t="s">
        <v>170</v>
      </c>
      <c r="J547" s="59" t="s">
        <v>38</v>
      </c>
      <c r="K547" s="22" t="s">
        <v>254</v>
      </c>
      <c r="L547" s="59" t="s">
        <v>171</v>
      </c>
      <c r="M547" s="22">
        <v>2</v>
      </c>
      <c r="V547" s="59" t="s">
        <v>176</v>
      </c>
      <c r="AL547" s="59" t="s">
        <v>40</v>
      </c>
      <c r="AM547" s="22" t="s">
        <v>188</v>
      </c>
      <c r="AV547" s="59" t="s">
        <v>134</v>
      </c>
      <c r="AW547" s="22" t="str">
        <f>Settings!$B$5 &amp;  "?s=" &amp; D547 &amp; "&amp;platform=ftx"</f>
        <v>https://tokensol.nfluent.io?s=COR22D384&amp;platform=ftx</v>
      </c>
      <c r="AX547" s="20" t="s">
        <v>23</v>
      </c>
      <c r="AY547" s="20">
        <v>10</v>
      </c>
      <c r="AZ547" s="20" t="s">
        <v>24</v>
      </c>
      <c r="BA547" s="20">
        <v>90</v>
      </c>
      <c r="BD547" s="14"/>
      <c r="BJ547" t="s">
        <v>255</v>
      </c>
      <c r="BK547" t="s">
        <v>184</v>
      </c>
      <c r="BN547" s="36">
        <v>100</v>
      </c>
      <c r="BO547" s="36">
        <v>100</v>
      </c>
      <c r="BP547">
        <f t="shared" si="46"/>
        <v>480</v>
      </c>
      <c r="BR547" s="38">
        <v>44713</v>
      </c>
      <c r="BS547" s="20" t="s">
        <v>185</v>
      </c>
      <c r="BT547" s="20" t="str">
        <f t="shared" si="47"/>
        <v>InCasa_COR22D384</v>
      </c>
    </row>
    <row r="548" spans="2:72" ht="18.75" customHeight="1" x14ac:dyDescent="0.25">
      <c r="B548" s="20">
        <f t="shared" si="48"/>
        <v>385</v>
      </c>
      <c r="C548" s="22" t="str">
        <f t="shared" si="44"/>
        <v>In Casa #385</v>
      </c>
      <c r="D548" t="str">
        <f t="shared" si="45"/>
        <v>COR22D385</v>
      </c>
      <c r="E548" s="58" t="s">
        <v>252</v>
      </c>
      <c r="F548" s="20">
        <v>1000</v>
      </c>
      <c r="G548" s="14" t="s">
        <v>354</v>
      </c>
      <c r="H548" s="23" t="s">
        <v>170</v>
      </c>
      <c r="J548" s="59" t="s">
        <v>38</v>
      </c>
      <c r="K548" s="22" t="s">
        <v>254</v>
      </c>
      <c r="L548" s="59" t="s">
        <v>171</v>
      </c>
      <c r="M548" s="22">
        <v>2</v>
      </c>
      <c r="V548" s="59" t="s">
        <v>176</v>
      </c>
      <c r="AL548" s="59" t="s">
        <v>40</v>
      </c>
      <c r="AM548" s="22" t="s">
        <v>188</v>
      </c>
      <c r="AV548" s="59" t="s">
        <v>134</v>
      </c>
      <c r="AW548" s="22" t="str">
        <f>Settings!$B$5 &amp;  "?s=" &amp; D548 &amp; "&amp;platform=ftx"</f>
        <v>https://tokensol.nfluent.io?s=COR22D385&amp;platform=ftx</v>
      </c>
      <c r="AX548" s="20" t="s">
        <v>23</v>
      </c>
      <c r="AY548" s="20">
        <v>10</v>
      </c>
      <c r="AZ548" s="20" t="s">
        <v>24</v>
      </c>
      <c r="BA548" s="20">
        <v>90</v>
      </c>
      <c r="BD548" s="14"/>
      <c r="BJ548" t="s">
        <v>255</v>
      </c>
      <c r="BK548" t="s">
        <v>184</v>
      </c>
      <c r="BN548" s="36">
        <v>100</v>
      </c>
      <c r="BO548" s="36">
        <v>100</v>
      </c>
      <c r="BP548">
        <f t="shared" si="46"/>
        <v>480</v>
      </c>
      <c r="BR548" s="38">
        <v>44713</v>
      </c>
      <c r="BS548" s="20" t="s">
        <v>185</v>
      </c>
      <c r="BT548" s="20" t="str">
        <f t="shared" si="47"/>
        <v>InCasa_COR22D385</v>
      </c>
    </row>
    <row r="549" spans="2:72" ht="18.75" customHeight="1" x14ac:dyDescent="0.25">
      <c r="B549" s="20">
        <f t="shared" si="48"/>
        <v>386</v>
      </c>
      <c r="C549" s="22" t="str">
        <f t="shared" ref="C549:C612" si="49">+"In Casa #"&amp;B549</f>
        <v>In Casa #386</v>
      </c>
      <c r="D549" t="str">
        <f t="shared" ref="D549:D612" si="50">"COR22D"&amp;B549</f>
        <v>COR22D386</v>
      </c>
      <c r="E549" s="58" t="s">
        <v>252</v>
      </c>
      <c r="F549" s="20">
        <v>1000</v>
      </c>
      <c r="G549" s="14" t="s">
        <v>354</v>
      </c>
      <c r="H549" s="23" t="s">
        <v>170</v>
      </c>
      <c r="J549" s="59" t="s">
        <v>38</v>
      </c>
      <c r="K549" s="22" t="s">
        <v>254</v>
      </c>
      <c r="L549" s="59" t="s">
        <v>171</v>
      </c>
      <c r="M549" s="22">
        <v>2</v>
      </c>
      <c r="V549" s="59" t="s">
        <v>176</v>
      </c>
      <c r="AL549" s="59" t="s">
        <v>40</v>
      </c>
      <c r="AM549" s="22" t="s">
        <v>188</v>
      </c>
      <c r="AV549" s="59" t="s">
        <v>134</v>
      </c>
      <c r="AW549" s="22" t="str">
        <f>Settings!$B$5 &amp;  "?s=" &amp; D549 &amp; "&amp;platform=ftx"</f>
        <v>https://tokensol.nfluent.io?s=COR22D386&amp;platform=ftx</v>
      </c>
      <c r="AX549" s="20" t="s">
        <v>23</v>
      </c>
      <c r="AY549" s="20">
        <v>10</v>
      </c>
      <c r="AZ549" s="20" t="s">
        <v>24</v>
      </c>
      <c r="BA549" s="20">
        <v>90</v>
      </c>
      <c r="BD549" s="14"/>
      <c r="BJ549" t="s">
        <v>255</v>
      </c>
      <c r="BK549" t="s">
        <v>184</v>
      </c>
      <c r="BN549" s="36">
        <v>100</v>
      </c>
      <c r="BO549" s="36">
        <v>100</v>
      </c>
      <c r="BP549">
        <f t="shared" ref="BP549:BP612" si="51">24*20</f>
        <v>480</v>
      </c>
      <c r="BR549" s="38">
        <v>44713</v>
      </c>
      <c r="BS549" s="20" t="s">
        <v>185</v>
      </c>
      <c r="BT549" s="20" t="str">
        <f t="shared" si="47"/>
        <v>InCasa_COR22D386</v>
      </c>
    </row>
    <row r="550" spans="2:72" ht="18.75" customHeight="1" x14ac:dyDescent="0.25">
      <c r="B550" s="20">
        <f t="shared" si="48"/>
        <v>387</v>
      </c>
      <c r="C550" s="22" t="str">
        <f t="shared" si="49"/>
        <v>In Casa #387</v>
      </c>
      <c r="D550" t="str">
        <f t="shared" si="50"/>
        <v>COR22D387</v>
      </c>
      <c r="E550" s="58" t="s">
        <v>252</v>
      </c>
      <c r="F550" s="20">
        <v>1000</v>
      </c>
      <c r="G550" s="14" t="s">
        <v>354</v>
      </c>
      <c r="H550" s="23" t="s">
        <v>170</v>
      </c>
      <c r="J550" s="59" t="s">
        <v>38</v>
      </c>
      <c r="K550" s="22" t="s">
        <v>254</v>
      </c>
      <c r="L550" s="59" t="s">
        <v>171</v>
      </c>
      <c r="M550" s="22">
        <v>2</v>
      </c>
      <c r="V550" s="59" t="s">
        <v>176</v>
      </c>
      <c r="AL550" s="59" t="s">
        <v>40</v>
      </c>
      <c r="AM550" s="22" t="s">
        <v>188</v>
      </c>
      <c r="AV550" s="59" t="s">
        <v>134</v>
      </c>
      <c r="AW550" s="22" t="str">
        <f>Settings!$B$5 &amp;  "?s=" &amp; D550 &amp; "&amp;platform=ftx"</f>
        <v>https://tokensol.nfluent.io?s=COR22D387&amp;platform=ftx</v>
      </c>
      <c r="AX550" s="20" t="s">
        <v>23</v>
      </c>
      <c r="AY550" s="20">
        <v>10</v>
      </c>
      <c r="AZ550" s="20" t="s">
        <v>24</v>
      </c>
      <c r="BA550" s="20">
        <v>90</v>
      </c>
      <c r="BD550" s="14"/>
      <c r="BJ550" t="s">
        <v>255</v>
      </c>
      <c r="BK550" t="s">
        <v>184</v>
      </c>
      <c r="BN550" s="36">
        <v>100</v>
      </c>
      <c r="BO550" s="36">
        <v>100</v>
      </c>
      <c r="BP550">
        <f t="shared" si="51"/>
        <v>480</v>
      </c>
      <c r="BR550" s="38">
        <v>44713</v>
      </c>
      <c r="BS550" s="20" t="s">
        <v>185</v>
      </c>
      <c r="BT550" s="20" t="str">
        <f t="shared" si="47"/>
        <v>InCasa_COR22D387</v>
      </c>
    </row>
    <row r="551" spans="2:72" ht="18.75" customHeight="1" x14ac:dyDescent="0.25">
      <c r="B551" s="20">
        <f t="shared" si="48"/>
        <v>388</v>
      </c>
      <c r="C551" s="22" t="str">
        <f t="shared" si="49"/>
        <v>In Casa #388</v>
      </c>
      <c r="D551" t="str">
        <f t="shared" si="50"/>
        <v>COR22D388</v>
      </c>
      <c r="E551" s="58" t="s">
        <v>252</v>
      </c>
      <c r="F551" s="20">
        <v>1000</v>
      </c>
      <c r="G551" s="14" t="s">
        <v>354</v>
      </c>
      <c r="H551" s="23" t="s">
        <v>170</v>
      </c>
      <c r="J551" s="59" t="s">
        <v>38</v>
      </c>
      <c r="K551" s="22" t="s">
        <v>254</v>
      </c>
      <c r="L551" s="59" t="s">
        <v>171</v>
      </c>
      <c r="M551" s="22">
        <v>2</v>
      </c>
      <c r="V551" s="59" t="s">
        <v>176</v>
      </c>
      <c r="AL551" s="59" t="s">
        <v>40</v>
      </c>
      <c r="AM551" s="22" t="s">
        <v>188</v>
      </c>
      <c r="AV551" s="59" t="s">
        <v>134</v>
      </c>
      <c r="AW551" s="22" t="str">
        <f>Settings!$B$5 &amp;  "?s=" &amp; D551 &amp; "&amp;platform=ftx"</f>
        <v>https://tokensol.nfluent.io?s=COR22D388&amp;platform=ftx</v>
      </c>
      <c r="AX551" s="20" t="s">
        <v>23</v>
      </c>
      <c r="AY551" s="20">
        <v>10</v>
      </c>
      <c r="AZ551" s="20" t="s">
        <v>24</v>
      </c>
      <c r="BA551" s="20">
        <v>90</v>
      </c>
      <c r="BD551" s="14"/>
      <c r="BJ551" t="s">
        <v>255</v>
      </c>
      <c r="BK551" t="s">
        <v>184</v>
      </c>
      <c r="BN551" s="36">
        <v>100</v>
      </c>
      <c r="BO551" s="36">
        <v>100</v>
      </c>
      <c r="BP551">
        <f t="shared" si="51"/>
        <v>480</v>
      </c>
      <c r="BR551" s="38">
        <v>44713</v>
      </c>
      <c r="BS551" s="20" t="s">
        <v>185</v>
      </c>
      <c r="BT551" s="20" t="str">
        <f t="shared" si="47"/>
        <v>InCasa_COR22D388</v>
      </c>
    </row>
    <row r="552" spans="2:72" ht="18.75" customHeight="1" x14ac:dyDescent="0.25">
      <c r="B552" s="20">
        <f t="shared" si="48"/>
        <v>389</v>
      </c>
      <c r="C552" s="22" t="str">
        <f t="shared" si="49"/>
        <v>In Casa #389</v>
      </c>
      <c r="D552" t="str">
        <f t="shared" si="50"/>
        <v>COR22D389</v>
      </c>
      <c r="E552" s="58" t="s">
        <v>252</v>
      </c>
      <c r="F552" s="20">
        <v>1000</v>
      </c>
      <c r="G552" s="14" t="s">
        <v>354</v>
      </c>
      <c r="H552" s="23" t="s">
        <v>170</v>
      </c>
      <c r="J552" s="59" t="s">
        <v>38</v>
      </c>
      <c r="K552" s="22" t="s">
        <v>254</v>
      </c>
      <c r="L552" s="59" t="s">
        <v>171</v>
      </c>
      <c r="M552" s="22">
        <v>2</v>
      </c>
      <c r="V552" s="59" t="s">
        <v>176</v>
      </c>
      <c r="AL552" s="59" t="s">
        <v>40</v>
      </c>
      <c r="AM552" s="22" t="s">
        <v>188</v>
      </c>
      <c r="AV552" s="59" t="s">
        <v>134</v>
      </c>
      <c r="AW552" s="22" t="str">
        <f>Settings!$B$5 &amp;  "?s=" &amp; D552 &amp; "&amp;platform=ftx"</f>
        <v>https://tokensol.nfluent.io?s=COR22D389&amp;platform=ftx</v>
      </c>
      <c r="AX552" s="20" t="s">
        <v>23</v>
      </c>
      <c r="AY552" s="20">
        <v>10</v>
      </c>
      <c r="AZ552" s="20" t="s">
        <v>24</v>
      </c>
      <c r="BA552" s="20">
        <v>90</v>
      </c>
      <c r="BD552" s="14"/>
      <c r="BJ552" t="s">
        <v>255</v>
      </c>
      <c r="BK552" t="s">
        <v>184</v>
      </c>
      <c r="BN552" s="36">
        <v>100</v>
      </c>
      <c r="BO552" s="36">
        <v>100</v>
      </c>
      <c r="BP552">
        <f t="shared" si="51"/>
        <v>480</v>
      </c>
      <c r="BR552" s="38">
        <v>44713</v>
      </c>
      <c r="BS552" s="20" t="s">
        <v>185</v>
      </c>
      <c r="BT552" s="20" t="str">
        <f t="shared" si="47"/>
        <v>InCasa_COR22D389</v>
      </c>
    </row>
    <row r="553" spans="2:72" ht="18.75" customHeight="1" x14ac:dyDescent="0.25">
      <c r="B553" s="20">
        <f t="shared" si="48"/>
        <v>390</v>
      </c>
      <c r="C553" s="22" t="str">
        <f t="shared" si="49"/>
        <v>In Casa #390</v>
      </c>
      <c r="D553" t="str">
        <f t="shared" si="50"/>
        <v>COR22D390</v>
      </c>
      <c r="E553" s="58" t="s">
        <v>252</v>
      </c>
      <c r="F553" s="20">
        <v>1000</v>
      </c>
      <c r="G553" s="14" t="s">
        <v>354</v>
      </c>
      <c r="H553" s="23" t="s">
        <v>170</v>
      </c>
      <c r="J553" s="59" t="s">
        <v>38</v>
      </c>
      <c r="K553" s="22" t="s">
        <v>254</v>
      </c>
      <c r="L553" s="59" t="s">
        <v>171</v>
      </c>
      <c r="M553" s="22">
        <v>2</v>
      </c>
      <c r="V553" s="59" t="s">
        <v>176</v>
      </c>
      <c r="AL553" s="59" t="s">
        <v>40</v>
      </c>
      <c r="AM553" s="22" t="s">
        <v>188</v>
      </c>
      <c r="AV553" s="59" t="s">
        <v>134</v>
      </c>
      <c r="AW553" s="22" t="str">
        <f>Settings!$B$5 &amp;  "?s=" &amp; D553 &amp; "&amp;platform=ftx"</f>
        <v>https://tokensol.nfluent.io?s=COR22D390&amp;platform=ftx</v>
      </c>
      <c r="AX553" s="20" t="s">
        <v>23</v>
      </c>
      <c r="AY553" s="20">
        <v>10</v>
      </c>
      <c r="AZ553" s="20" t="s">
        <v>24</v>
      </c>
      <c r="BA553" s="20">
        <v>90</v>
      </c>
      <c r="BD553" s="14"/>
      <c r="BJ553" t="s">
        <v>255</v>
      </c>
      <c r="BK553" t="s">
        <v>184</v>
      </c>
      <c r="BN553" s="36">
        <v>100</v>
      </c>
      <c r="BO553" s="36">
        <v>100</v>
      </c>
      <c r="BP553">
        <f t="shared" si="51"/>
        <v>480</v>
      </c>
      <c r="BR553" s="38">
        <v>44713</v>
      </c>
      <c r="BS553" s="20" t="s">
        <v>185</v>
      </c>
      <c r="BT553" s="20" t="str">
        <f t="shared" si="47"/>
        <v>InCasa_COR22D390</v>
      </c>
    </row>
    <row r="554" spans="2:72" ht="18.75" customHeight="1" x14ac:dyDescent="0.25">
      <c r="B554" s="20">
        <f t="shared" si="48"/>
        <v>391</v>
      </c>
      <c r="C554" s="22" t="str">
        <f t="shared" si="49"/>
        <v>In Casa #391</v>
      </c>
      <c r="D554" t="str">
        <f t="shared" si="50"/>
        <v>COR22D391</v>
      </c>
      <c r="E554" s="58" t="s">
        <v>252</v>
      </c>
      <c r="F554" s="20">
        <v>1000</v>
      </c>
      <c r="G554" s="14" t="s">
        <v>354</v>
      </c>
      <c r="H554" s="23" t="s">
        <v>170</v>
      </c>
      <c r="J554" s="59" t="s">
        <v>38</v>
      </c>
      <c r="K554" s="22" t="s">
        <v>254</v>
      </c>
      <c r="L554" s="59" t="s">
        <v>171</v>
      </c>
      <c r="M554" s="22">
        <v>2</v>
      </c>
      <c r="V554" s="59" t="s">
        <v>176</v>
      </c>
      <c r="AL554" s="59" t="s">
        <v>40</v>
      </c>
      <c r="AM554" s="22" t="s">
        <v>188</v>
      </c>
      <c r="AV554" s="59" t="s">
        <v>134</v>
      </c>
      <c r="AW554" s="22" t="str">
        <f>Settings!$B$5 &amp;  "?s=" &amp; D554 &amp; "&amp;platform=ftx"</f>
        <v>https://tokensol.nfluent.io?s=COR22D391&amp;platform=ftx</v>
      </c>
      <c r="AX554" s="20" t="s">
        <v>23</v>
      </c>
      <c r="AY554" s="20">
        <v>10</v>
      </c>
      <c r="AZ554" s="20" t="s">
        <v>24</v>
      </c>
      <c r="BA554" s="20">
        <v>90</v>
      </c>
      <c r="BD554" s="14"/>
      <c r="BJ554" t="s">
        <v>255</v>
      </c>
      <c r="BK554" t="s">
        <v>184</v>
      </c>
      <c r="BN554" s="36">
        <v>100</v>
      </c>
      <c r="BO554" s="36">
        <v>100</v>
      </c>
      <c r="BP554">
        <f t="shared" si="51"/>
        <v>480</v>
      </c>
      <c r="BR554" s="38">
        <v>44713</v>
      </c>
      <c r="BS554" s="20" t="s">
        <v>185</v>
      </c>
      <c r="BT554" s="20" t="str">
        <f t="shared" si="47"/>
        <v>InCasa_COR22D391</v>
      </c>
    </row>
    <row r="555" spans="2:72" ht="18.75" customHeight="1" x14ac:dyDescent="0.25">
      <c r="B555" s="20">
        <f t="shared" si="48"/>
        <v>392</v>
      </c>
      <c r="C555" s="22" t="str">
        <f t="shared" si="49"/>
        <v>In Casa #392</v>
      </c>
      <c r="D555" t="str">
        <f t="shared" si="50"/>
        <v>COR22D392</v>
      </c>
      <c r="E555" s="58" t="s">
        <v>252</v>
      </c>
      <c r="F555" s="20">
        <v>1000</v>
      </c>
      <c r="G555" s="14" t="s">
        <v>354</v>
      </c>
      <c r="H555" s="23" t="s">
        <v>170</v>
      </c>
      <c r="J555" s="59" t="s">
        <v>38</v>
      </c>
      <c r="K555" s="22" t="s">
        <v>254</v>
      </c>
      <c r="L555" s="59" t="s">
        <v>171</v>
      </c>
      <c r="M555" s="22">
        <v>2</v>
      </c>
      <c r="V555" s="59" t="s">
        <v>176</v>
      </c>
      <c r="AL555" s="59" t="s">
        <v>40</v>
      </c>
      <c r="AM555" s="22" t="s">
        <v>188</v>
      </c>
      <c r="AV555" s="59" t="s">
        <v>134</v>
      </c>
      <c r="AW555" s="22" t="str">
        <f>Settings!$B$5 &amp;  "?s=" &amp; D555 &amp; "&amp;platform=ftx"</f>
        <v>https://tokensol.nfluent.io?s=COR22D392&amp;platform=ftx</v>
      </c>
      <c r="AX555" s="20" t="s">
        <v>23</v>
      </c>
      <c r="AY555" s="20">
        <v>10</v>
      </c>
      <c r="AZ555" s="20" t="s">
        <v>24</v>
      </c>
      <c r="BA555" s="20">
        <v>90</v>
      </c>
      <c r="BD555" s="14"/>
      <c r="BJ555" t="s">
        <v>255</v>
      </c>
      <c r="BK555" t="s">
        <v>184</v>
      </c>
      <c r="BN555" s="36">
        <v>100</v>
      </c>
      <c r="BO555" s="36">
        <v>100</v>
      </c>
      <c r="BP555">
        <f t="shared" si="51"/>
        <v>480</v>
      </c>
      <c r="BR555" s="38">
        <v>44713</v>
      </c>
      <c r="BS555" s="20" t="s">
        <v>185</v>
      </c>
      <c r="BT555" s="20" t="str">
        <f t="shared" si="47"/>
        <v>InCasa_COR22D392</v>
      </c>
    </row>
    <row r="556" spans="2:72" ht="18.75" customHeight="1" x14ac:dyDescent="0.25">
      <c r="B556" s="20">
        <f t="shared" si="48"/>
        <v>393</v>
      </c>
      <c r="C556" s="22" t="str">
        <f t="shared" si="49"/>
        <v>In Casa #393</v>
      </c>
      <c r="D556" t="str">
        <f t="shared" si="50"/>
        <v>COR22D393</v>
      </c>
      <c r="E556" s="58" t="s">
        <v>252</v>
      </c>
      <c r="F556" s="20">
        <v>1000</v>
      </c>
      <c r="G556" s="14" t="s">
        <v>354</v>
      </c>
      <c r="H556" s="23" t="s">
        <v>170</v>
      </c>
      <c r="J556" s="59" t="s">
        <v>38</v>
      </c>
      <c r="K556" s="22" t="s">
        <v>254</v>
      </c>
      <c r="L556" s="59" t="s">
        <v>171</v>
      </c>
      <c r="M556" s="22">
        <v>2</v>
      </c>
      <c r="V556" s="59" t="s">
        <v>176</v>
      </c>
      <c r="AL556" s="59" t="s">
        <v>40</v>
      </c>
      <c r="AM556" s="22" t="s">
        <v>188</v>
      </c>
      <c r="AV556" s="59" t="s">
        <v>134</v>
      </c>
      <c r="AW556" s="22" t="str">
        <f>Settings!$B$5 &amp;  "?s=" &amp; D556 &amp; "&amp;platform=ftx"</f>
        <v>https://tokensol.nfluent.io?s=COR22D393&amp;platform=ftx</v>
      </c>
      <c r="AX556" s="20" t="s">
        <v>23</v>
      </c>
      <c r="AY556" s="20">
        <v>10</v>
      </c>
      <c r="AZ556" s="20" t="s">
        <v>24</v>
      </c>
      <c r="BA556" s="20">
        <v>90</v>
      </c>
      <c r="BD556" s="14"/>
      <c r="BJ556" t="s">
        <v>255</v>
      </c>
      <c r="BK556" t="s">
        <v>184</v>
      </c>
      <c r="BN556" s="36">
        <v>100</v>
      </c>
      <c r="BO556" s="36">
        <v>100</v>
      </c>
      <c r="BP556">
        <f t="shared" si="51"/>
        <v>480</v>
      </c>
      <c r="BR556" s="38">
        <v>44713</v>
      </c>
      <c r="BS556" s="20" t="s">
        <v>185</v>
      </c>
      <c r="BT556" s="20" t="str">
        <f t="shared" si="47"/>
        <v>InCasa_COR22D393</v>
      </c>
    </row>
    <row r="557" spans="2:72" ht="18.75" customHeight="1" x14ac:dyDescent="0.25">
      <c r="B557" s="20">
        <f t="shared" si="48"/>
        <v>394</v>
      </c>
      <c r="C557" s="22" t="str">
        <f t="shared" si="49"/>
        <v>In Casa #394</v>
      </c>
      <c r="D557" t="str">
        <f t="shared" si="50"/>
        <v>COR22D394</v>
      </c>
      <c r="E557" s="58" t="s">
        <v>252</v>
      </c>
      <c r="F557" s="20">
        <v>1000</v>
      </c>
      <c r="G557" s="14" t="s">
        <v>354</v>
      </c>
      <c r="H557" s="23" t="s">
        <v>170</v>
      </c>
      <c r="J557" s="59" t="s">
        <v>38</v>
      </c>
      <c r="K557" s="22" t="s">
        <v>254</v>
      </c>
      <c r="L557" s="59" t="s">
        <v>171</v>
      </c>
      <c r="M557" s="22">
        <v>2</v>
      </c>
      <c r="V557" s="59" t="s">
        <v>176</v>
      </c>
      <c r="AL557" s="59" t="s">
        <v>40</v>
      </c>
      <c r="AM557" s="22" t="s">
        <v>188</v>
      </c>
      <c r="AV557" s="59" t="s">
        <v>134</v>
      </c>
      <c r="AW557" s="22" t="str">
        <f>Settings!$B$5 &amp;  "?s=" &amp; D557 &amp; "&amp;platform=ftx"</f>
        <v>https://tokensol.nfluent.io?s=COR22D394&amp;platform=ftx</v>
      </c>
      <c r="AX557" s="20" t="s">
        <v>23</v>
      </c>
      <c r="AY557" s="20">
        <v>10</v>
      </c>
      <c r="AZ557" s="20" t="s">
        <v>24</v>
      </c>
      <c r="BA557" s="20">
        <v>90</v>
      </c>
      <c r="BD557" s="14"/>
      <c r="BJ557" t="s">
        <v>255</v>
      </c>
      <c r="BK557" t="s">
        <v>184</v>
      </c>
      <c r="BN557" s="36">
        <v>100</v>
      </c>
      <c r="BO557" s="36">
        <v>100</v>
      </c>
      <c r="BP557">
        <f t="shared" si="51"/>
        <v>480</v>
      </c>
      <c r="BR557" s="38">
        <v>44713</v>
      </c>
      <c r="BS557" s="20" t="s">
        <v>185</v>
      </c>
      <c r="BT557" s="20" t="str">
        <f t="shared" si="47"/>
        <v>InCasa_COR22D394</v>
      </c>
    </row>
    <row r="558" spans="2:72" ht="18.75" customHeight="1" x14ac:dyDescent="0.25">
      <c r="B558" s="20">
        <f t="shared" si="48"/>
        <v>395</v>
      </c>
      <c r="C558" s="22" t="str">
        <f t="shared" si="49"/>
        <v>In Casa #395</v>
      </c>
      <c r="D558" t="str">
        <f t="shared" si="50"/>
        <v>COR22D395</v>
      </c>
      <c r="E558" s="58" t="s">
        <v>252</v>
      </c>
      <c r="F558" s="20">
        <v>1000</v>
      </c>
      <c r="G558" s="14" t="s">
        <v>354</v>
      </c>
      <c r="H558" s="23" t="s">
        <v>170</v>
      </c>
      <c r="J558" s="59" t="s">
        <v>38</v>
      </c>
      <c r="K558" s="22" t="s">
        <v>254</v>
      </c>
      <c r="L558" s="59" t="s">
        <v>171</v>
      </c>
      <c r="M558" s="22">
        <v>2</v>
      </c>
      <c r="V558" s="59" t="s">
        <v>176</v>
      </c>
      <c r="AL558" s="59" t="s">
        <v>40</v>
      </c>
      <c r="AM558" s="22" t="s">
        <v>188</v>
      </c>
      <c r="AV558" s="59" t="s">
        <v>134</v>
      </c>
      <c r="AW558" s="22" t="str">
        <f>Settings!$B$5 &amp;  "?s=" &amp; D558 &amp; "&amp;platform=ftx"</f>
        <v>https://tokensol.nfluent.io?s=COR22D395&amp;platform=ftx</v>
      </c>
      <c r="AX558" s="20" t="s">
        <v>23</v>
      </c>
      <c r="AY558" s="20">
        <v>10</v>
      </c>
      <c r="AZ558" s="20" t="s">
        <v>24</v>
      </c>
      <c r="BA558" s="20">
        <v>90</v>
      </c>
      <c r="BD558" s="14"/>
      <c r="BJ558" t="s">
        <v>255</v>
      </c>
      <c r="BK558" t="s">
        <v>184</v>
      </c>
      <c r="BN558" s="36">
        <v>100</v>
      </c>
      <c r="BO558" s="36">
        <v>100</v>
      </c>
      <c r="BP558">
        <f t="shared" si="51"/>
        <v>480</v>
      </c>
      <c r="BR558" s="38">
        <v>44713</v>
      </c>
      <c r="BS558" s="20" t="s">
        <v>185</v>
      </c>
      <c r="BT558" s="20" t="str">
        <f t="shared" si="47"/>
        <v>InCasa_COR22D395</v>
      </c>
    </row>
    <row r="559" spans="2:72" ht="18.75" customHeight="1" x14ac:dyDescent="0.25">
      <c r="B559" s="20">
        <f t="shared" si="48"/>
        <v>396</v>
      </c>
      <c r="C559" s="22" t="str">
        <f t="shared" si="49"/>
        <v>In Casa #396</v>
      </c>
      <c r="D559" t="str">
        <f t="shared" si="50"/>
        <v>COR22D396</v>
      </c>
      <c r="E559" s="58" t="s">
        <v>252</v>
      </c>
      <c r="F559" s="20">
        <v>1000</v>
      </c>
      <c r="G559" s="14" t="s">
        <v>354</v>
      </c>
      <c r="H559" s="23" t="s">
        <v>170</v>
      </c>
      <c r="J559" s="59" t="s">
        <v>38</v>
      </c>
      <c r="K559" s="22" t="s">
        <v>254</v>
      </c>
      <c r="L559" s="59" t="s">
        <v>171</v>
      </c>
      <c r="M559" s="22">
        <v>2</v>
      </c>
      <c r="V559" s="59" t="s">
        <v>176</v>
      </c>
      <c r="AL559" s="59" t="s">
        <v>40</v>
      </c>
      <c r="AM559" s="22" t="s">
        <v>188</v>
      </c>
      <c r="AV559" s="59" t="s">
        <v>134</v>
      </c>
      <c r="AW559" s="22" t="str">
        <f>Settings!$B$5 &amp;  "?s=" &amp; D559 &amp; "&amp;platform=ftx"</f>
        <v>https://tokensol.nfluent.io?s=COR22D396&amp;platform=ftx</v>
      </c>
      <c r="AX559" s="20" t="s">
        <v>23</v>
      </c>
      <c r="AY559" s="20">
        <v>10</v>
      </c>
      <c r="AZ559" s="20" t="s">
        <v>24</v>
      </c>
      <c r="BA559" s="20">
        <v>90</v>
      </c>
      <c r="BD559" s="14"/>
      <c r="BJ559" t="s">
        <v>255</v>
      </c>
      <c r="BK559" t="s">
        <v>184</v>
      </c>
      <c r="BN559" s="36">
        <v>100</v>
      </c>
      <c r="BO559" s="36">
        <v>100</v>
      </c>
      <c r="BP559">
        <f t="shared" si="51"/>
        <v>480</v>
      </c>
      <c r="BR559" s="38">
        <v>44713</v>
      </c>
      <c r="BS559" s="20" t="s">
        <v>185</v>
      </c>
      <c r="BT559" s="20" t="str">
        <f t="shared" si="47"/>
        <v>InCasa_COR22D396</v>
      </c>
    </row>
    <row r="560" spans="2:72" ht="18.75" customHeight="1" x14ac:dyDescent="0.25">
      <c r="B560" s="20">
        <f t="shared" si="48"/>
        <v>397</v>
      </c>
      <c r="C560" s="22" t="str">
        <f t="shared" si="49"/>
        <v>In Casa #397</v>
      </c>
      <c r="D560" t="str">
        <f t="shared" si="50"/>
        <v>COR22D397</v>
      </c>
      <c r="E560" s="58" t="s">
        <v>252</v>
      </c>
      <c r="F560" s="20">
        <v>1000</v>
      </c>
      <c r="G560" s="14" t="s">
        <v>354</v>
      </c>
      <c r="H560" s="23" t="s">
        <v>170</v>
      </c>
      <c r="J560" s="59" t="s">
        <v>38</v>
      </c>
      <c r="K560" s="22" t="s">
        <v>254</v>
      </c>
      <c r="L560" s="59" t="s">
        <v>171</v>
      </c>
      <c r="M560" s="22">
        <v>2</v>
      </c>
      <c r="V560" s="59" t="s">
        <v>176</v>
      </c>
      <c r="AL560" s="59" t="s">
        <v>40</v>
      </c>
      <c r="AM560" s="22" t="s">
        <v>188</v>
      </c>
      <c r="AV560" s="59" t="s">
        <v>134</v>
      </c>
      <c r="AW560" s="22" t="str">
        <f>Settings!$B$5 &amp;  "?s=" &amp; D560 &amp; "&amp;platform=ftx"</f>
        <v>https://tokensol.nfluent.io?s=COR22D397&amp;platform=ftx</v>
      </c>
      <c r="AX560" s="20" t="s">
        <v>23</v>
      </c>
      <c r="AY560" s="20">
        <v>10</v>
      </c>
      <c r="AZ560" s="20" t="s">
        <v>24</v>
      </c>
      <c r="BA560" s="20">
        <v>90</v>
      </c>
      <c r="BD560" s="14"/>
      <c r="BJ560" t="s">
        <v>255</v>
      </c>
      <c r="BK560" t="s">
        <v>184</v>
      </c>
      <c r="BN560" s="36">
        <v>100</v>
      </c>
      <c r="BO560" s="36">
        <v>100</v>
      </c>
      <c r="BP560">
        <f t="shared" si="51"/>
        <v>480</v>
      </c>
      <c r="BR560" s="38">
        <v>44713</v>
      </c>
      <c r="BS560" s="20" t="s">
        <v>185</v>
      </c>
      <c r="BT560" s="20" t="str">
        <f t="shared" si="47"/>
        <v>InCasa_COR22D397</v>
      </c>
    </row>
    <row r="561" spans="2:72" ht="18.75" customHeight="1" x14ac:dyDescent="0.25">
      <c r="B561" s="20">
        <f t="shared" si="48"/>
        <v>398</v>
      </c>
      <c r="C561" s="22" t="str">
        <f t="shared" si="49"/>
        <v>In Casa #398</v>
      </c>
      <c r="D561" t="str">
        <f t="shared" si="50"/>
        <v>COR22D398</v>
      </c>
      <c r="E561" s="58" t="s">
        <v>252</v>
      </c>
      <c r="F561" s="20">
        <v>1000</v>
      </c>
      <c r="G561" s="14" t="s">
        <v>354</v>
      </c>
      <c r="H561" s="23" t="s">
        <v>170</v>
      </c>
      <c r="J561" s="59" t="s">
        <v>38</v>
      </c>
      <c r="K561" s="22" t="s">
        <v>254</v>
      </c>
      <c r="L561" s="59" t="s">
        <v>171</v>
      </c>
      <c r="M561" s="22">
        <v>2</v>
      </c>
      <c r="V561" s="59" t="s">
        <v>176</v>
      </c>
      <c r="AL561" s="59" t="s">
        <v>40</v>
      </c>
      <c r="AM561" s="22" t="s">
        <v>188</v>
      </c>
      <c r="AV561" s="59" t="s">
        <v>134</v>
      </c>
      <c r="AW561" s="22" t="str">
        <f>Settings!$B$5 &amp;  "?s=" &amp; D561 &amp; "&amp;platform=ftx"</f>
        <v>https://tokensol.nfluent.io?s=COR22D398&amp;platform=ftx</v>
      </c>
      <c r="AX561" s="20" t="s">
        <v>23</v>
      </c>
      <c r="AY561" s="20">
        <v>10</v>
      </c>
      <c r="AZ561" s="20" t="s">
        <v>24</v>
      </c>
      <c r="BA561" s="20">
        <v>90</v>
      </c>
      <c r="BD561" s="14"/>
      <c r="BJ561" t="s">
        <v>255</v>
      </c>
      <c r="BK561" t="s">
        <v>184</v>
      </c>
      <c r="BN561" s="36">
        <v>100</v>
      </c>
      <c r="BO561" s="36">
        <v>100</v>
      </c>
      <c r="BP561">
        <f t="shared" si="51"/>
        <v>480</v>
      </c>
      <c r="BR561" s="38">
        <v>44713</v>
      </c>
      <c r="BS561" s="20" t="s">
        <v>185</v>
      </c>
      <c r="BT561" s="20" t="str">
        <f t="shared" si="47"/>
        <v>InCasa_COR22D398</v>
      </c>
    </row>
    <row r="562" spans="2:72" ht="18.75" customHeight="1" x14ac:dyDescent="0.25">
      <c r="B562" s="20">
        <f t="shared" si="48"/>
        <v>399</v>
      </c>
      <c r="C562" s="22" t="str">
        <f t="shared" si="49"/>
        <v>In Casa #399</v>
      </c>
      <c r="D562" t="str">
        <f t="shared" si="50"/>
        <v>COR22D399</v>
      </c>
      <c r="E562" s="58" t="s">
        <v>252</v>
      </c>
      <c r="F562" s="20">
        <v>1000</v>
      </c>
      <c r="G562" s="14" t="s">
        <v>354</v>
      </c>
      <c r="H562" s="23" t="s">
        <v>170</v>
      </c>
      <c r="J562" s="59" t="s">
        <v>38</v>
      </c>
      <c r="K562" s="22" t="s">
        <v>254</v>
      </c>
      <c r="L562" s="59" t="s">
        <v>171</v>
      </c>
      <c r="M562" s="22">
        <v>2</v>
      </c>
      <c r="V562" s="59" t="s">
        <v>176</v>
      </c>
      <c r="AL562" s="59" t="s">
        <v>40</v>
      </c>
      <c r="AM562" s="22" t="s">
        <v>188</v>
      </c>
      <c r="AV562" s="59" t="s">
        <v>134</v>
      </c>
      <c r="AW562" s="22" t="str">
        <f>Settings!$B$5 &amp;  "?s=" &amp; D562 &amp; "&amp;platform=ftx"</f>
        <v>https://tokensol.nfluent.io?s=COR22D399&amp;platform=ftx</v>
      </c>
      <c r="AX562" s="20" t="s">
        <v>23</v>
      </c>
      <c r="AY562" s="20">
        <v>10</v>
      </c>
      <c r="AZ562" s="20" t="s">
        <v>24</v>
      </c>
      <c r="BA562" s="20">
        <v>90</v>
      </c>
      <c r="BD562" s="14"/>
      <c r="BJ562" t="s">
        <v>255</v>
      </c>
      <c r="BK562" t="s">
        <v>184</v>
      </c>
      <c r="BN562" s="36">
        <v>100</v>
      </c>
      <c r="BO562" s="36">
        <v>100</v>
      </c>
      <c r="BP562">
        <f t="shared" si="51"/>
        <v>480</v>
      </c>
      <c r="BR562" s="38">
        <v>44713</v>
      </c>
      <c r="BS562" s="20" t="s">
        <v>185</v>
      </c>
      <c r="BT562" s="20" t="str">
        <f t="shared" si="47"/>
        <v>InCasa_COR22D399</v>
      </c>
    </row>
    <row r="563" spans="2:72" ht="18.75" customHeight="1" x14ac:dyDescent="0.25">
      <c r="B563" s="20">
        <f t="shared" si="48"/>
        <v>400</v>
      </c>
      <c r="C563" s="22" t="str">
        <f t="shared" si="49"/>
        <v>In Casa #400</v>
      </c>
      <c r="D563" t="str">
        <f t="shared" si="50"/>
        <v>COR22D400</v>
      </c>
      <c r="E563" s="58" t="s">
        <v>252</v>
      </c>
      <c r="F563" s="20">
        <v>1000</v>
      </c>
      <c r="G563" s="14" t="s">
        <v>354</v>
      </c>
      <c r="H563" s="23" t="s">
        <v>170</v>
      </c>
      <c r="J563" s="59" t="s">
        <v>38</v>
      </c>
      <c r="K563" s="22" t="s">
        <v>254</v>
      </c>
      <c r="L563" s="59" t="s">
        <v>171</v>
      </c>
      <c r="M563" s="22">
        <v>2</v>
      </c>
      <c r="V563" s="59" t="s">
        <v>176</v>
      </c>
      <c r="AL563" s="59" t="s">
        <v>40</v>
      </c>
      <c r="AM563" s="22" t="s">
        <v>188</v>
      </c>
      <c r="AV563" s="59" t="s">
        <v>134</v>
      </c>
      <c r="AW563" s="22" t="str">
        <f>Settings!$B$5 &amp;  "?s=" &amp; D563 &amp; "&amp;platform=ftx"</f>
        <v>https://tokensol.nfluent.io?s=COR22D400&amp;platform=ftx</v>
      </c>
      <c r="AX563" s="20" t="s">
        <v>23</v>
      </c>
      <c r="AY563" s="20">
        <v>10</v>
      </c>
      <c r="AZ563" s="20" t="s">
        <v>24</v>
      </c>
      <c r="BA563" s="20">
        <v>90</v>
      </c>
      <c r="BD563" s="14"/>
      <c r="BJ563" t="s">
        <v>255</v>
      </c>
      <c r="BK563" t="s">
        <v>184</v>
      </c>
      <c r="BN563" s="36">
        <v>100</v>
      </c>
      <c r="BO563" s="36">
        <v>100</v>
      </c>
      <c r="BP563">
        <f t="shared" si="51"/>
        <v>480</v>
      </c>
      <c r="BR563" s="38">
        <v>44713</v>
      </c>
      <c r="BS563" s="20" t="s">
        <v>185</v>
      </c>
      <c r="BT563" s="20" t="str">
        <f t="shared" si="47"/>
        <v>InCasa_COR22D400</v>
      </c>
    </row>
    <row r="564" spans="2:72" ht="18.75" customHeight="1" x14ac:dyDescent="0.25">
      <c r="B564" s="20">
        <f t="shared" si="48"/>
        <v>401</v>
      </c>
      <c r="C564" s="22" t="str">
        <f t="shared" si="49"/>
        <v>In Casa #401</v>
      </c>
      <c r="D564" t="str">
        <f t="shared" si="50"/>
        <v>COR22D401</v>
      </c>
      <c r="E564" s="58" t="s">
        <v>252</v>
      </c>
      <c r="F564" s="20">
        <v>1000</v>
      </c>
      <c r="G564" s="14" t="s">
        <v>354</v>
      </c>
      <c r="H564" s="23" t="s">
        <v>170</v>
      </c>
      <c r="J564" s="59" t="s">
        <v>38</v>
      </c>
      <c r="K564" s="22" t="s">
        <v>254</v>
      </c>
      <c r="L564" s="59" t="s">
        <v>171</v>
      </c>
      <c r="M564" s="22">
        <v>2</v>
      </c>
      <c r="V564" s="59" t="s">
        <v>176</v>
      </c>
      <c r="AL564" s="59" t="s">
        <v>40</v>
      </c>
      <c r="AM564" s="22" t="s">
        <v>188</v>
      </c>
      <c r="AV564" s="59" t="s">
        <v>134</v>
      </c>
      <c r="AW564" s="22" t="str">
        <f>Settings!$B$5 &amp;  "?s=" &amp; D564 &amp; "&amp;platform=ftx"</f>
        <v>https://tokensol.nfluent.io?s=COR22D401&amp;platform=ftx</v>
      </c>
      <c r="AX564" s="20" t="s">
        <v>23</v>
      </c>
      <c r="AY564" s="20">
        <v>10</v>
      </c>
      <c r="AZ564" s="20" t="s">
        <v>24</v>
      </c>
      <c r="BA564" s="20">
        <v>90</v>
      </c>
      <c r="BD564" s="14"/>
      <c r="BJ564" t="s">
        <v>255</v>
      </c>
      <c r="BK564" t="s">
        <v>184</v>
      </c>
      <c r="BN564" s="36">
        <v>100</v>
      </c>
      <c r="BO564" s="36">
        <v>100</v>
      </c>
      <c r="BP564">
        <f t="shared" si="51"/>
        <v>480</v>
      </c>
      <c r="BR564" s="38">
        <v>44713</v>
      </c>
      <c r="BS564" s="20" t="s">
        <v>185</v>
      </c>
      <c r="BT564" s="20" t="str">
        <f t="shared" si="47"/>
        <v>InCasa_COR22D401</v>
      </c>
    </row>
    <row r="565" spans="2:72" ht="18.75" customHeight="1" x14ac:dyDescent="0.25">
      <c r="B565" s="20">
        <f t="shared" si="48"/>
        <v>402</v>
      </c>
      <c r="C565" s="22" t="str">
        <f t="shared" si="49"/>
        <v>In Casa #402</v>
      </c>
      <c r="D565" t="str">
        <f t="shared" si="50"/>
        <v>COR22D402</v>
      </c>
      <c r="E565" s="58" t="s">
        <v>252</v>
      </c>
      <c r="F565" s="20">
        <v>1000</v>
      </c>
      <c r="G565" s="14" t="s">
        <v>354</v>
      </c>
      <c r="H565" s="23" t="s">
        <v>170</v>
      </c>
      <c r="J565" s="59" t="s">
        <v>38</v>
      </c>
      <c r="K565" s="22" t="s">
        <v>254</v>
      </c>
      <c r="L565" s="59" t="s">
        <v>171</v>
      </c>
      <c r="M565" s="22">
        <v>2</v>
      </c>
      <c r="V565" s="59" t="s">
        <v>176</v>
      </c>
      <c r="AL565" s="59" t="s">
        <v>40</v>
      </c>
      <c r="AM565" s="22" t="s">
        <v>188</v>
      </c>
      <c r="AV565" s="59" t="s">
        <v>134</v>
      </c>
      <c r="AW565" s="22" t="str">
        <f>Settings!$B$5 &amp;  "?s=" &amp; D565 &amp; "&amp;platform=ftx"</f>
        <v>https://tokensol.nfluent.io?s=COR22D402&amp;platform=ftx</v>
      </c>
      <c r="AX565" s="20" t="s">
        <v>23</v>
      </c>
      <c r="AY565" s="20">
        <v>10</v>
      </c>
      <c r="AZ565" s="20" t="s">
        <v>24</v>
      </c>
      <c r="BA565" s="20">
        <v>90</v>
      </c>
      <c r="BD565" s="14"/>
      <c r="BJ565" t="s">
        <v>255</v>
      </c>
      <c r="BK565" t="s">
        <v>184</v>
      </c>
      <c r="BN565" s="36">
        <v>100</v>
      </c>
      <c r="BO565" s="36">
        <v>100</v>
      </c>
      <c r="BP565">
        <f t="shared" si="51"/>
        <v>480</v>
      </c>
      <c r="BR565" s="38">
        <v>44713</v>
      </c>
      <c r="BS565" s="20" t="s">
        <v>185</v>
      </c>
      <c r="BT565" s="20" t="str">
        <f t="shared" si="47"/>
        <v>InCasa_COR22D402</v>
      </c>
    </row>
    <row r="566" spans="2:72" ht="18.75" customHeight="1" x14ac:dyDescent="0.25">
      <c r="B566" s="20">
        <f t="shared" si="48"/>
        <v>403</v>
      </c>
      <c r="C566" s="22" t="str">
        <f t="shared" si="49"/>
        <v>In Casa #403</v>
      </c>
      <c r="D566" t="str">
        <f t="shared" si="50"/>
        <v>COR22D403</v>
      </c>
      <c r="E566" s="58" t="s">
        <v>252</v>
      </c>
      <c r="F566" s="20">
        <v>1000</v>
      </c>
      <c r="G566" s="14" t="s">
        <v>354</v>
      </c>
      <c r="H566" s="23" t="s">
        <v>170</v>
      </c>
      <c r="J566" s="59" t="s">
        <v>38</v>
      </c>
      <c r="K566" s="22" t="s">
        <v>254</v>
      </c>
      <c r="L566" s="59" t="s">
        <v>171</v>
      </c>
      <c r="M566" s="22">
        <v>2</v>
      </c>
      <c r="V566" s="59" t="s">
        <v>176</v>
      </c>
      <c r="AL566" s="59" t="s">
        <v>40</v>
      </c>
      <c r="AM566" s="22" t="s">
        <v>188</v>
      </c>
      <c r="AV566" s="59" t="s">
        <v>134</v>
      </c>
      <c r="AW566" s="22" t="str">
        <f>Settings!$B$5 &amp;  "?s=" &amp; D566 &amp; "&amp;platform=ftx"</f>
        <v>https://tokensol.nfluent.io?s=COR22D403&amp;platform=ftx</v>
      </c>
      <c r="AX566" s="20" t="s">
        <v>23</v>
      </c>
      <c r="AY566" s="20">
        <v>10</v>
      </c>
      <c r="AZ566" s="20" t="s">
        <v>24</v>
      </c>
      <c r="BA566" s="20">
        <v>90</v>
      </c>
      <c r="BD566" s="14"/>
      <c r="BJ566" t="s">
        <v>255</v>
      </c>
      <c r="BK566" t="s">
        <v>184</v>
      </c>
      <c r="BN566" s="36">
        <v>100</v>
      </c>
      <c r="BO566" s="36">
        <v>100</v>
      </c>
      <c r="BP566">
        <f t="shared" si="51"/>
        <v>480</v>
      </c>
      <c r="BR566" s="38">
        <v>44713</v>
      </c>
      <c r="BS566" s="20" t="s">
        <v>185</v>
      </c>
      <c r="BT566" s="20" t="str">
        <f t="shared" si="47"/>
        <v>InCasa_COR22D403</v>
      </c>
    </row>
    <row r="567" spans="2:72" ht="18.75" customHeight="1" x14ac:dyDescent="0.25">
      <c r="B567" s="20">
        <f t="shared" si="48"/>
        <v>404</v>
      </c>
      <c r="C567" s="22" t="str">
        <f t="shared" si="49"/>
        <v>In Casa #404</v>
      </c>
      <c r="D567" t="str">
        <f t="shared" si="50"/>
        <v>COR22D404</v>
      </c>
      <c r="E567" s="58" t="s">
        <v>252</v>
      </c>
      <c r="F567" s="20">
        <v>1000</v>
      </c>
      <c r="G567" s="14" t="s">
        <v>354</v>
      </c>
      <c r="H567" s="23" t="s">
        <v>170</v>
      </c>
      <c r="J567" s="59" t="s">
        <v>38</v>
      </c>
      <c r="K567" s="22" t="s">
        <v>254</v>
      </c>
      <c r="L567" s="59" t="s">
        <v>171</v>
      </c>
      <c r="M567" s="22">
        <v>2</v>
      </c>
      <c r="V567" s="59" t="s">
        <v>176</v>
      </c>
      <c r="AL567" s="59" t="s">
        <v>40</v>
      </c>
      <c r="AM567" s="22" t="s">
        <v>188</v>
      </c>
      <c r="AV567" s="59" t="s">
        <v>134</v>
      </c>
      <c r="AW567" s="22" t="str">
        <f>Settings!$B$5 &amp;  "?s=" &amp; D567 &amp; "&amp;platform=ftx"</f>
        <v>https://tokensol.nfluent.io?s=COR22D404&amp;platform=ftx</v>
      </c>
      <c r="AX567" s="20" t="s">
        <v>23</v>
      </c>
      <c r="AY567" s="20">
        <v>10</v>
      </c>
      <c r="AZ567" s="20" t="s">
        <v>24</v>
      </c>
      <c r="BA567" s="20">
        <v>90</v>
      </c>
      <c r="BD567" s="14"/>
      <c r="BJ567" t="s">
        <v>255</v>
      </c>
      <c r="BK567" t="s">
        <v>184</v>
      </c>
      <c r="BN567" s="36">
        <v>100</v>
      </c>
      <c r="BO567" s="36">
        <v>100</v>
      </c>
      <c r="BP567">
        <f t="shared" si="51"/>
        <v>480</v>
      </c>
      <c r="BR567" s="38">
        <v>44713</v>
      </c>
      <c r="BS567" s="20" t="s">
        <v>185</v>
      </c>
      <c r="BT567" s="20" t="str">
        <f t="shared" si="47"/>
        <v>InCasa_COR22D404</v>
      </c>
    </row>
    <row r="568" spans="2:72" ht="18.75" customHeight="1" x14ac:dyDescent="0.25">
      <c r="B568" s="20">
        <f t="shared" si="48"/>
        <v>405</v>
      </c>
      <c r="C568" s="22" t="str">
        <f t="shared" si="49"/>
        <v>In Casa #405</v>
      </c>
      <c r="D568" t="str">
        <f t="shared" si="50"/>
        <v>COR22D405</v>
      </c>
      <c r="E568" s="58" t="s">
        <v>252</v>
      </c>
      <c r="F568" s="20">
        <v>1000</v>
      </c>
      <c r="G568" s="14" t="s">
        <v>354</v>
      </c>
      <c r="H568" s="23" t="s">
        <v>170</v>
      </c>
      <c r="J568" s="59" t="s">
        <v>38</v>
      </c>
      <c r="K568" s="22" t="s">
        <v>254</v>
      </c>
      <c r="L568" s="59" t="s">
        <v>171</v>
      </c>
      <c r="M568" s="22">
        <v>2</v>
      </c>
      <c r="V568" s="59" t="s">
        <v>176</v>
      </c>
      <c r="AL568" s="59" t="s">
        <v>40</v>
      </c>
      <c r="AM568" s="22" t="s">
        <v>188</v>
      </c>
      <c r="AV568" s="59" t="s">
        <v>134</v>
      </c>
      <c r="AW568" s="22" t="str">
        <f>Settings!$B$5 &amp;  "?s=" &amp; D568 &amp; "&amp;platform=ftx"</f>
        <v>https://tokensol.nfluent.io?s=COR22D405&amp;platform=ftx</v>
      </c>
      <c r="AX568" s="20" t="s">
        <v>23</v>
      </c>
      <c r="AY568" s="20">
        <v>10</v>
      </c>
      <c r="AZ568" s="20" t="s">
        <v>24</v>
      </c>
      <c r="BA568" s="20">
        <v>90</v>
      </c>
      <c r="BD568" s="14"/>
      <c r="BJ568" t="s">
        <v>255</v>
      </c>
      <c r="BK568" t="s">
        <v>184</v>
      </c>
      <c r="BN568" s="36">
        <v>100</v>
      </c>
      <c r="BO568" s="36">
        <v>100</v>
      </c>
      <c r="BP568">
        <f t="shared" si="51"/>
        <v>480</v>
      </c>
      <c r="BR568" s="38">
        <v>44713</v>
      </c>
      <c r="BS568" s="20" t="s">
        <v>185</v>
      </c>
      <c r="BT568" s="20" t="str">
        <f t="shared" si="47"/>
        <v>InCasa_COR22D405</v>
      </c>
    </row>
    <row r="569" spans="2:72" ht="18.75" customHeight="1" x14ac:dyDescent="0.25">
      <c r="B569" s="20">
        <f t="shared" si="48"/>
        <v>406</v>
      </c>
      <c r="C569" s="22" t="str">
        <f t="shared" si="49"/>
        <v>In Casa #406</v>
      </c>
      <c r="D569" t="str">
        <f t="shared" si="50"/>
        <v>COR22D406</v>
      </c>
      <c r="E569" s="58" t="s">
        <v>252</v>
      </c>
      <c r="F569" s="20">
        <v>1000</v>
      </c>
      <c r="G569" s="14" t="s">
        <v>354</v>
      </c>
      <c r="H569" s="23" t="s">
        <v>170</v>
      </c>
      <c r="J569" s="59" t="s">
        <v>38</v>
      </c>
      <c r="K569" s="22" t="s">
        <v>254</v>
      </c>
      <c r="L569" s="59" t="s">
        <v>171</v>
      </c>
      <c r="M569" s="22">
        <v>2</v>
      </c>
      <c r="V569" s="59" t="s">
        <v>176</v>
      </c>
      <c r="AL569" s="59" t="s">
        <v>40</v>
      </c>
      <c r="AM569" s="22" t="s">
        <v>188</v>
      </c>
      <c r="AV569" s="59" t="s">
        <v>134</v>
      </c>
      <c r="AW569" s="22" t="str">
        <f>Settings!$B$5 &amp;  "?s=" &amp; D569 &amp; "&amp;platform=ftx"</f>
        <v>https://tokensol.nfluent.io?s=COR22D406&amp;platform=ftx</v>
      </c>
      <c r="AX569" s="20" t="s">
        <v>23</v>
      </c>
      <c r="AY569" s="20">
        <v>10</v>
      </c>
      <c r="AZ569" s="20" t="s">
        <v>24</v>
      </c>
      <c r="BA569" s="20">
        <v>90</v>
      </c>
      <c r="BD569" s="14"/>
      <c r="BJ569" t="s">
        <v>255</v>
      </c>
      <c r="BK569" t="s">
        <v>184</v>
      </c>
      <c r="BN569" s="36">
        <v>100</v>
      </c>
      <c r="BO569" s="36">
        <v>100</v>
      </c>
      <c r="BP569">
        <f t="shared" si="51"/>
        <v>480</v>
      </c>
      <c r="BR569" s="38">
        <v>44713</v>
      </c>
      <c r="BS569" s="20" t="s">
        <v>185</v>
      </c>
      <c r="BT569" s="20" t="str">
        <f t="shared" si="47"/>
        <v>InCasa_COR22D406</v>
      </c>
    </row>
    <row r="570" spans="2:72" ht="18.75" customHeight="1" x14ac:dyDescent="0.25">
      <c r="B570" s="20">
        <f t="shared" si="48"/>
        <v>407</v>
      </c>
      <c r="C570" s="22" t="str">
        <f t="shared" si="49"/>
        <v>In Casa #407</v>
      </c>
      <c r="D570" t="str">
        <f t="shared" si="50"/>
        <v>COR22D407</v>
      </c>
      <c r="E570" s="58" t="s">
        <v>252</v>
      </c>
      <c r="F570" s="20">
        <v>1000</v>
      </c>
      <c r="G570" s="14" t="s">
        <v>354</v>
      </c>
      <c r="H570" s="23" t="s">
        <v>170</v>
      </c>
      <c r="J570" s="59" t="s">
        <v>38</v>
      </c>
      <c r="K570" s="22" t="s">
        <v>254</v>
      </c>
      <c r="L570" s="59" t="s">
        <v>171</v>
      </c>
      <c r="M570" s="22">
        <v>2</v>
      </c>
      <c r="V570" s="59" t="s">
        <v>176</v>
      </c>
      <c r="AL570" s="59" t="s">
        <v>40</v>
      </c>
      <c r="AM570" s="22" t="s">
        <v>188</v>
      </c>
      <c r="AV570" s="59" t="s">
        <v>134</v>
      </c>
      <c r="AW570" s="22" t="str">
        <f>Settings!$B$5 &amp;  "?s=" &amp; D570 &amp; "&amp;platform=ftx"</f>
        <v>https://tokensol.nfluent.io?s=COR22D407&amp;platform=ftx</v>
      </c>
      <c r="AX570" s="20" t="s">
        <v>23</v>
      </c>
      <c r="AY570" s="20">
        <v>10</v>
      </c>
      <c r="AZ570" s="20" t="s">
        <v>24</v>
      </c>
      <c r="BA570" s="20">
        <v>90</v>
      </c>
      <c r="BD570" s="14"/>
      <c r="BJ570" t="s">
        <v>255</v>
      </c>
      <c r="BK570" t="s">
        <v>184</v>
      </c>
      <c r="BN570" s="36">
        <v>100</v>
      </c>
      <c r="BO570" s="36">
        <v>100</v>
      </c>
      <c r="BP570">
        <f t="shared" si="51"/>
        <v>480</v>
      </c>
      <c r="BR570" s="38">
        <v>44713</v>
      </c>
      <c r="BS570" s="20" t="s">
        <v>185</v>
      </c>
      <c r="BT570" s="20" t="str">
        <f t="shared" si="47"/>
        <v>InCasa_COR22D407</v>
      </c>
    </row>
    <row r="571" spans="2:72" ht="18.75" customHeight="1" x14ac:dyDescent="0.25">
      <c r="B571" s="20">
        <f t="shared" si="48"/>
        <v>408</v>
      </c>
      <c r="C571" s="22" t="str">
        <f t="shared" si="49"/>
        <v>In Casa #408</v>
      </c>
      <c r="D571" t="str">
        <f t="shared" si="50"/>
        <v>COR22D408</v>
      </c>
      <c r="E571" s="58" t="s">
        <v>252</v>
      </c>
      <c r="F571" s="20">
        <v>1000</v>
      </c>
      <c r="G571" s="14" t="s">
        <v>354</v>
      </c>
      <c r="H571" s="23" t="s">
        <v>170</v>
      </c>
      <c r="J571" s="59" t="s">
        <v>38</v>
      </c>
      <c r="K571" s="22" t="s">
        <v>254</v>
      </c>
      <c r="L571" s="59" t="s">
        <v>171</v>
      </c>
      <c r="M571" s="22">
        <v>2</v>
      </c>
      <c r="V571" s="59" t="s">
        <v>176</v>
      </c>
      <c r="AL571" s="59" t="s">
        <v>40</v>
      </c>
      <c r="AM571" s="22" t="s">
        <v>188</v>
      </c>
      <c r="AV571" s="59" t="s">
        <v>134</v>
      </c>
      <c r="AW571" s="22" t="str">
        <f>Settings!$B$5 &amp;  "?s=" &amp; D571 &amp; "&amp;platform=ftx"</f>
        <v>https://tokensol.nfluent.io?s=COR22D408&amp;platform=ftx</v>
      </c>
      <c r="AX571" s="20" t="s">
        <v>23</v>
      </c>
      <c r="AY571" s="20">
        <v>10</v>
      </c>
      <c r="AZ571" s="20" t="s">
        <v>24</v>
      </c>
      <c r="BA571" s="20">
        <v>90</v>
      </c>
      <c r="BD571" s="14"/>
      <c r="BJ571" t="s">
        <v>255</v>
      </c>
      <c r="BK571" t="s">
        <v>184</v>
      </c>
      <c r="BN571" s="36">
        <v>100</v>
      </c>
      <c r="BO571" s="36">
        <v>100</v>
      </c>
      <c r="BP571">
        <f t="shared" si="51"/>
        <v>480</v>
      </c>
      <c r="BR571" s="38">
        <v>44713</v>
      </c>
      <c r="BS571" s="20" t="s">
        <v>185</v>
      </c>
      <c r="BT571" s="20" t="str">
        <f t="shared" si="47"/>
        <v>InCasa_COR22D408</v>
      </c>
    </row>
    <row r="572" spans="2:72" ht="18.75" customHeight="1" x14ac:dyDescent="0.25">
      <c r="B572" s="20">
        <f t="shared" si="48"/>
        <v>409</v>
      </c>
      <c r="C572" s="22" t="str">
        <f t="shared" si="49"/>
        <v>In Casa #409</v>
      </c>
      <c r="D572" t="str">
        <f t="shared" si="50"/>
        <v>COR22D409</v>
      </c>
      <c r="E572" s="58" t="s">
        <v>252</v>
      </c>
      <c r="F572" s="20">
        <v>1000</v>
      </c>
      <c r="G572" s="14" t="s">
        <v>354</v>
      </c>
      <c r="H572" s="23" t="s">
        <v>170</v>
      </c>
      <c r="J572" s="59" t="s">
        <v>38</v>
      </c>
      <c r="K572" s="22" t="s">
        <v>254</v>
      </c>
      <c r="L572" s="59" t="s">
        <v>171</v>
      </c>
      <c r="M572" s="22">
        <v>2</v>
      </c>
      <c r="V572" s="59" t="s">
        <v>176</v>
      </c>
      <c r="AL572" s="59" t="s">
        <v>40</v>
      </c>
      <c r="AM572" s="22" t="s">
        <v>188</v>
      </c>
      <c r="AV572" s="59" t="s">
        <v>134</v>
      </c>
      <c r="AW572" s="22" t="str">
        <f>Settings!$B$5 &amp;  "?s=" &amp; D572 &amp; "&amp;platform=ftx"</f>
        <v>https://tokensol.nfluent.io?s=COR22D409&amp;platform=ftx</v>
      </c>
      <c r="AX572" s="20" t="s">
        <v>23</v>
      </c>
      <c r="AY572" s="20">
        <v>10</v>
      </c>
      <c r="AZ572" s="20" t="s">
        <v>24</v>
      </c>
      <c r="BA572" s="20">
        <v>90</v>
      </c>
      <c r="BD572" s="14"/>
      <c r="BJ572" t="s">
        <v>255</v>
      </c>
      <c r="BK572" t="s">
        <v>184</v>
      </c>
      <c r="BN572" s="36">
        <v>100</v>
      </c>
      <c r="BO572" s="36">
        <v>100</v>
      </c>
      <c r="BP572">
        <f t="shared" si="51"/>
        <v>480</v>
      </c>
      <c r="BR572" s="38">
        <v>44713</v>
      </c>
      <c r="BS572" s="20" t="s">
        <v>185</v>
      </c>
      <c r="BT572" s="20" t="str">
        <f t="shared" si="47"/>
        <v>InCasa_COR22D409</v>
      </c>
    </row>
    <row r="573" spans="2:72" ht="18.75" customHeight="1" x14ac:dyDescent="0.25">
      <c r="B573" s="20">
        <f t="shared" si="48"/>
        <v>410</v>
      </c>
      <c r="C573" s="22" t="str">
        <f t="shared" si="49"/>
        <v>In Casa #410</v>
      </c>
      <c r="D573" t="str">
        <f t="shared" si="50"/>
        <v>COR22D410</v>
      </c>
      <c r="E573" s="58" t="s">
        <v>252</v>
      </c>
      <c r="F573" s="20">
        <v>1000</v>
      </c>
      <c r="G573" s="14" t="s">
        <v>354</v>
      </c>
      <c r="H573" s="23" t="s">
        <v>170</v>
      </c>
      <c r="J573" s="59" t="s">
        <v>38</v>
      </c>
      <c r="K573" s="22" t="s">
        <v>254</v>
      </c>
      <c r="L573" s="59" t="s">
        <v>171</v>
      </c>
      <c r="M573" s="22">
        <v>2</v>
      </c>
      <c r="V573" s="59" t="s">
        <v>176</v>
      </c>
      <c r="AL573" s="59" t="s">
        <v>40</v>
      </c>
      <c r="AM573" s="22" t="s">
        <v>188</v>
      </c>
      <c r="AV573" s="59" t="s">
        <v>134</v>
      </c>
      <c r="AW573" s="22" t="str">
        <f>Settings!$B$5 &amp;  "?s=" &amp; D573 &amp; "&amp;platform=ftx"</f>
        <v>https://tokensol.nfluent.io?s=COR22D410&amp;platform=ftx</v>
      </c>
      <c r="AX573" s="20" t="s">
        <v>23</v>
      </c>
      <c r="AY573" s="20">
        <v>10</v>
      </c>
      <c r="AZ573" s="20" t="s">
        <v>24</v>
      </c>
      <c r="BA573" s="20">
        <v>90</v>
      </c>
      <c r="BD573" s="14"/>
      <c r="BJ573" t="s">
        <v>255</v>
      </c>
      <c r="BK573" t="s">
        <v>184</v>
      </c>
      <c r="BN573" s="36">
        <v>100</v>
      </c>
      <c r="BO573" s="36">
        <v>100</v>
      </c>
      <c r="BP573">
        <f t="shared" si="51"/>
        <v>480</v>
      </c>
      <c r="BR573" s="38">
        <v>44713</v>
      </c>
      <c r="BS573" s="20" t="s">
        <v>185</v>
      </c>
      <c r="BT573" s="20" t="str">
        <f t="shared" si="47"/>
        <v>InCasa_COR22D410</v>
      </c>
    </row>
    <row r="574" spans="2:72" ht="18.75" customHeight="1" x14ac:dyDescent="0.25">
      <c r="B574" s="20">
        <f t="shared" si="48"/>
        <v>411</v>
      </c>
      <c r="C574" s="22" t="str">
        <f t="shared" si="49"/>
        <v>In Casa #411</v>
      </c>
      <c r="D574" t="str">
        <f t="shared" si="50"/>
        <v>COR22D411</v>
      </c>
      <c r="E574" s="58" t="s">
        <v>252</v>
      </c>
      <c r="F574" s="20">
        <v>1000</v>
      </c>
      <c r="G574" s="14" t="s">
        <v>354</v>
      </c>
      <c r="H574" s="23" t="s">
        <v>170</v>
      </c>
      <c r="J574" s="59" t="s">
        <v>38</v>
      </c>
      <c r="K574" s="22" t="s">
        <v>254</v>
      </c>
      <c r="L574" s="59" t="s">
        <v>171</v>
      </c>
      <c r="M574" s="22">
        <v>2</v>
      </c>
      <c r="V574" s="59" t="s">
        <v>176</v>
      </c>
      <c r="AL574" s="59" t="s">
        <v>40</v>
      </c>
      <c r="AM574" s="22" t="s">
        <v>188</v>
      </c>
      <c r="AV574" s="59" t="s">
        <v>134</v>
      </c>
      <c r="AW574" s="22" t="str">
        <f>Settings!$B$5 &amp;  "?s=" &amp; D574 &amp; "&amp;platform=ftx"</f>
        <v>https://tokensol.nfluent.io?s=COR22D411&amp;platform=ftx</v>
      </c>
      <c r="AX574" s="20" t="s">
        <v>23</v>
      </c>
      <c r="AY574" s="20">
        <v>10</v>
      </c>
      <c r="AZ574" s="20" t="s">
        <v>24</v>
      </c>
      <c r="BA574" s="20">
        <v>90</v>
      </c>
      <c r="BD574" s="14"/>
      <c r="BJ574" t="s">
        <v>255</v>
      </c>
      <c r="BK574" t="s">
        <v>184</v>
      </c>
      <c r="BN574" s="36">
        <v>100</v>
      </c>
      <c r="BO574" s="36">
        <v>100</v>
      </c>
      <c r="BP574">
        <f t="shared" si="51"/>
        <v>480</v>
      </c>
      <c r="BR574" s="38">
        <v>44713</v>
      </c>
      <c r="BS574" s="20" t="s">
        <v>185</v>
      </c>
      <c r="BT574" s="20" t="str">
        <f t="shared" si="47"/>
        <v>InCasa_COR22D411</v>
      </c>
    </row>
    <row r="575" spans="2:72" ht="18.75" customHeight="1" x14ac:dyDescent="0.25">
      <c r="B575" s="20">
        <f t="shared" si="48"/>
        <v>412</v>
      </c>
      <c r="C575" s="22" t="str">
        <f t="shared" si="49"/>
        <v>In Casa #412</v>
      </c>
      <c r="D575" t="str">
        <f t="shared" si="50"/>
        <v>COR22D412</v>
      </c>
      <c r="E575" s="58" t="s">
        <v>252</v>
      </c>
      <c r="F575" s="20">
        <v>1000</v>
      </c>
      <c r="G575" s="14" t="s">
        <v>354</v>
      </c>
      <c r="H575" s="23" t="s">
        <v>170</v>
      </c>
      <c r="J575" s="59" t="s">
        <v>38</v>
      </c>
      <c r="K575" s="22" t="s">
        <v>254</v>
      </c>
      <c r="L575" s="59" t="s">
        <v>171</v>
      </c>
      <c r="M575" s="22">
        <v>2</v>
      </c>
      <c r="V575" s="59" t="s">
        <v>176</v>
      </c>
      <c r="AL575" s="59" t="s">
        <v>40</v>
      </c>
      <c r="AM575" s="22" t="s">
        <v>188</v>
      </c>
      <c r="AV575" s="59" t="s">
        <v>134</v>
      </c>
      <c r="AW575" s="22" t="str">
        <f>Settings!$B$5 &amp;  "?s=" &amp; D575 &amp; "&amp;platform=ftx"</f>
        <v>https://tokensol.nfluent.io?s=COR22D412&amp;platform=ftx</v>
      </c>
      <c r="AX575" s="20" t="s">
        <v>23</v>
      </c>
      <c r="AY575" s="20">
        <v>10</v>
      </c>
      <c r="AZ575" s="20" t="s">
        <v>24</v>
      </c>
      <c r="BA575" s="20">
        <v>90</v>
      </c>
      <c r="BD575" s="14"/>
      <c r="BJ575" t="s">
        <v>255</v>
      </c>
      <c r="BK575" t="s">
        <v>184</v>
      </c>
      <c r="BN575" s="36">
        <v>100</v>
      </c>
      <c r="BO575" s="36">
        <v>100</v>
      </c>
      <c r="BP575">
        <f t="shared" si="51"/>
        <v>480</v>
      </c>
      <c r="BR575" s="38">
        <v>44713</v>
      </c>
      <c r="BS575" s="20" t="s">
        <v>185</v>
      </c>
      <c r="BT575" s="20" t="str">
        <f t="shared" si="47"/>
        <v>InCasa_COR22D412</v>
      </c>
    </row>
    <row r="576" spans="2:72" ht="18.75" customHeight="1" x14ac:dyDescent="0.25">
      <c r="B576" s="20">
        <f t="shared" si="48"/>
        <v>413</v>
      </c>
      <c r="C576" s="22" t="str">
        <f t="shared" si="49"/>
        <v>In Casa #413</v>
      </c>
      <c r="D576" t="str">
        <f t="shared" si="50"/>
        <v>COR22D413</v>
      </c>
      <c r="E576" s="58" t="s">
        <v>252</v>
      </c>
      <c r="F576" s="20">
        <v>1000</v>
      </c>
      <c r="G576" s="14" t="s">
        <v>354</v>
      </c>
      <c r="H576" s="23" t="s">
        <v>170</v>
      </c>
      <c r="J576" s="59" t="s">
        <v>38</v>
      </c>
      <c r="K576" s="22" t="s">
        <v>254</v>
      </c>
      <c r="L576" s="59" t="s">
        <v>171</v>
      </c>
      <c r="M576" s="22">
        <v>2</v>
      </c>
      <c r="V576" s="59" t="s">
        <v>176</v>
      </c>
      <c r="AL576" s="59" t="s">
        <v>40</v>
      </c>
      <c r="AM576" s="22" t="s">
        <v>188</v>
      </c>
      <c r="AV576" s="59" t="s">
        <v>134</v>
      </c>
      <c r="AW576" s="22" t="str">
        <f>Settings!$B$5 &amp;  "?s=" &amp; D576 &amp; "&amp;platform=ftx"</f>
        <v>https://tokensol.nfluent.io?s=COR22D413&amp;platform=ftx</v>
      </c>
      <c r="AX576" s="20" t="s">
        <v>23</v>
      </c>
      <c r="AY576" s="20">
        <v>10</v>
      </c>
      <c r="AZ576" s="20" t="s">
        <v>24</v>
      </c>
      <c r="BA576" s="20">
        <v>90</v>
      </c>
      <c r="BD576" s="14"/>
      <c r="BJ576" t="s">
        <v>255</v>
      </c>
      <c r="BK576" t="s">
        <v>184</v>
      </c>
      <c r="BN576" s="36">
        <v>100</v>
      </c>
      <c r="BO576" s="36">
        <v>100</v>
      </c>
      <c r="BP576">
        <f t="shared" si="51"/>
        <v>480</v>
      </c>
      <c r="BR576" s="38">
        <v>44713</v>
      </c>
      <c r="BS576" s="20" t="s">
        <v>185</v>
      </c>
      <c r="BT576" s="20" t="str">
        <f t="shared" si="47"/>
        <v>InCasa_COR22D413</v>
      </c>
    </row>
    <row r="577" spans="2:72" ht="18.75" customHeight="1" x14ac:dyDescent="0.25">
      <c r="B577" s="20">
        <f t="shared" si="48"/>
        <v>414</v>
      </c>
      <c r="C577" s="22" t="str">
        <f t="shared" si="49"/>
        <v>In Casa #414</v>
      </c>
      <c r="D577" t="str">
        <f t="shared" si="50"/>
        <v>COR22D414</v>
      </c>
      <c r="E577" s="58" t="s">
        <v>252</v>
      </c>
      <c r="F577" s="20">
        <v>1000</v>
      </c>
      <c r="G577" s="14" t="s">
        <v>354</v>
      </c>
      <c r="H577" s="23" t="s">
        <v>170</v>
      </c>
      <c r="J577" s="59" t="s">
        <v>38</v>
      </c>
      <c r="K577" s="22" t="s">
        <v>254</v>
      </c>
      <c r="L577" s="59" t="s">
        <v>171</v>
      </c>
      <c r="M577" s="22">
        <v>2</v>
      </c>
      <c r="V577" s="59" t="s">
        <v>176</v>
      </c>
      <c r="AL577" s="59" t="s">
        <v>40</v>
      </c>
      <c r="AM577" s="22" t="s">
        <v>188</v>
      </c>
      <c r="AV577" s="59" t="s">
        <v>134</v>
      </c>
      <c r="AW577" s="22" t="str">
        <f>Settings!$B$5 &amp;  "?s=" &amp; D577 &amp; "&amp;platform=ftx"</f>
        <v>https://tokensol.nfluent.io?s=COR22D414&amp;platform=ftx</v>
      </c>
      <c r="AX577" s="20" t="s">
        <v>23</v>
      </c>
      <c r="AY577" s="20">
        <v>10</v>
      </c>
      <c r="AZ577" s="20" t="s">
        <v>24</v>
      </c>
      <c r="BA577" s="20">
        <v>90</v>
      </c>
      <c r="BD577" s="14"/>
      <c r="BJ577" t="s">
        <v>255</v>
      </c>
      <c r="BK577" t="s">
        <v>184</v>
      </c>
      <c r="BN577" s="36">
        <v>100</v>
      </c>
      <c r="BO577" s="36">
        <v>100</v>
      </c>
      <c r="BP577">
        <f t="shared" si="51"/>
        <v>480</v>
      </c>
      <c r="BR577" s="38">
        <v>44713</v>
      </c>
      <c r="BS577" s="20" t="s">
        <v>185</v>
      </c>
      <c r="BT577" s="20" t="str">
        <f t="shared" si="47"/>
        <v>InCasa_COR22D414</v>
      </c>
    </row>
    <row r="578" spans="2:72" ht="18.75" customHeight="1" x14ac:dyDescent="0.25">
      <c r="B578" s="20">
        <f t="shared" si="48"/>
        <v>415</v>
      </c>
      <c r="C578" s="22" t="str">
        <f t="shared" si="49"/>
        <v>In Casa #415</v>
      </c>
      <c r="D578" t="str">
        <f t="shared" si="50"/>
        <v>COR22D415</v>
      </c>
      <c r="E578" s="58" t="s">
        <v>252</v>
      </c>
      <c r="F578" s="20">
        <v>1000</v>
      </c>
      <c r="G578" s="14" t="s">
        <v>354</v>
      </c>
      <c r="H578" s="23" t="s">
        <v>170</v>
      </c>
      <c r="J578" s="59" t="s">
        <v>38</v>
      </c>
      <c r="K578" s="22" t="s">
        <v>254</v>
      </c>
      <c r="L578" s="59" t="s">
        <v>171</v>
      </c>
      <c r="M578" s="22">
        <v>2</v>
      </c>
      <c r="V578" s="59" t="s">
        <v>176</v>
      </c>
      <c r="AL578" s="59" t="s">
        <v>40</v>
      </c>
      <c r="AM578" s="22" t="s">
        <v>188</v>
      </c>
      <c r="AV578" s="59" t="s">
        <v>134</v>
      </c>
      <c r="AW578" s="22" t="str">
        <f>Settings!$B$5 &amp;  "?s=" &amp; D578 &amp; "&amp;platform=ftx"</f>
        <v>https://tokensol.nfluent.io?s=COR22D415&amp;platform=ftx</v>
      </c>
      <c r="AX578" s="20" t="s">
        <v>23</v>
      </c>
      <c r="AY578" s="20">
        <v>10</v>
      </c>
      <c r="AZ578" s="20" t="s">
        <v>24</v>
      </c>
      <c r="BA578" s="20">
        <v>90</v>
      </c>
      <c r="BD578" s="14"/>
      <c r="BJ578" t="s">
        <v>255</v>
      </c>
      <c r="BK578" t="s">
        <v>184</v>
      </c>
      <c r="BN578" s="36">
        <v>100</v>
      </c>
      <c r="BO578" s="36">
        <v>100</v>
      </c>
      <c r="BP578">
        <f t="shared" si="51"/>
        <v>480</v>
      </c>
      <c r="BR578" s="38">
        <v>44713</v>
      </c>
      <c r="BS578" s="20" t="s">
        <v>185</v>
      </c>
      <c r="BT578" s="20" t="str">
        <f t="shared" si="47"/>
        <v>InCasa_COR22D415</v>
      </c>
    </row>
    <row r="579" spans="2:72" ht="18.75" customHeight="1" x14ac:dyDescent="0.25">
      <c r="B579" s="20">
        <f t="shared" si="48"/>
        <v>416</v>
      </c>
      <c r="C579" s="22" t="str">
        <f t="shared" si="49"/>
        <v>In Casa #416</v>
      </c>
      <c r="D579" t="str">
        <f t="shared" si="50"/>
        <v>COR22D416</v>
      </c>
      <c r="E579" s="58" t="s">
        <v>252</v>
      </c>
      <c r="F579" s="20">
        <v>1000</v>
      </c>
      <c r="G579" s="14" t="s">
        <v>354</v>
      </c>
      <c r="H579" s="23" t="s">
        <v>170</v>
      </c>
      <c r="J579" s="59" t="s">
        <v>38</v>
      </c>
      <c r="K579" s="22" t="s">
        <v>254</v>
      </c>
      <c r="L579" s="59" t="s">
        <v>171</v>
      </c>
      <c r="M579" s="22">
        <v>2</v>
      </c>
      <c r="V579" s="59" t="s">
        <v>176</v>
      </c>
      <c r="AL579" s="59" t="s">
        <v>40</v>
      </c>
      <c r="AM579" s="22" t="s">
        <v>188</v>
      </c>
      <c r="AV579" s="59" t="s">
        <v>134</v>
      </c>
      <c r="AW579" s="22" t="str">
        <f>Settings!$B$5 &amp;  "?s=" &amp; D579 &amp; "&amp;platform=ftx"</f>
        <v>https://tokensol.nfluent.io?s=COR22D416&amp;platform=ftx</v>
      </c>
      <c r="AX579" s="20" t="s">
        <v>23</v>
      </c>
      <c r="AY579" s="20">
        <v>10</v>
      </c>
      <c r="AZ579" s="20" t="s">
        <v>24</v>
      </c>
      <c r="BA579" s="20">
        <v>90</v>
      </c>
      <c r="BD579" s="14"/>
      <c r="BJ579" t="s">
        <v>255</v>
      </c>
      <c r="BK579" t="s">
        <v>184</v>
      </c>
      <c r="BN579" s="36">
        <v>100</v>
      </c>
      <c r="BO579" s="36">
        <v>100</v>
      </c>
      <c r="BP579">
        <f t="shared" si="51"/>
        <v>480</v>
      </c>
      <c r="BR579" s="38">
        <v>44713</v>
      </c>
      <c r="BS579" s="20" t="s">
        <v>185</v>
      </c>
      <c r="BT579" s="20" t="str">
        <f t="shared" si="47"/>
        <v>InCasa_COR22D416</v>
      </c>
    </row>
    <row r="580" spans="2:72" ht="18.75" customHeight="1" x14ac:dyDescent="0.25">
      <c r="B580" s="20">
        <f t="shared" si="48"/>
        <v>417</v>
      </c>
      <c r="C580" s="22" t="str">
        <f t="shared" si="49"/>
        <v>In Casa #417</v>
      </c>
      <c r="D580" t="str">
        <f t="shared" si="50"/>
        <v>COR22D417</v>
      </c>
      <c r="E580" s="58" t="s">
        <v>252</v>
      </c>
      <c r="F580" s="20">
        <v>1000</v>
      </c>
      <c r="G580" s="14" t="s">
        <v>354</v>
      </c>
      <c r="H580" s="23" t="s">
        <v>170</v>
      </c>
      <c r="J580" s="59" t="s">
        <v>38</v>
      </c>
      <c r="K580" s="22" t="s">
        <v>254</v>
      </c>
      <c r="L580" s="59" t="s">
        <v>171</v>
      </c>
      <c r="M580" s="22">
        <v>2</v>
      </c>
      <c r="V580" s="59" t="s">
        <v>176</v>
      </c>
      <c r="AL580" s="59" t="s">
        <v>40</v>
      </c>
      <c r="AM580" s="22" t="s">
        <v>188</v>
      </c>
      <c r="AV580" s="59" t="s">
        <v>134</v>
      </c>
      <c r="AW580" s="22" t="str">
        <f>Settings!$B$5 &amp;  "?s=" &amp; D580 &amp; "&amp;platform=ftx"</f>
        <v>https://tokensol.nfluent.io?s=COR22D417&amp;platform=ftx</v>
      </c>
      <c r="AX580" s="20" t="s">
        <v>23</v>
      </c>
      <c r="AY580" s="20">
        <v>10</v>
      </c>
      <c r="AZ580" s="20" t="s">
        <v>24</v>
      </c>
      <c r="BA580" s="20">
        <v>90</v>
      </c>
      <c r="BD580" s="14"/>
      <c r="BJ580" t="s">
        <v>255</v>
      </c>
      <c r="BK580" t="s">
        <v>184</v>
      </c>
      <c r="BN580" s="36">
        <v>100</v>
      </c>
      <c r="BO580" s="36">
        <v>100</v>
      </c>
      <c r="BP580">
        <f t="shared" si="51"/>
        <v>480</v>
      </c>
      <c r="BR580" s="38">
        <v>44713</v>
      </c>
      <c r="BS580" s="20" t="s">
        <v>185</v>
      </c>
      <c r="BT580" s="20" t="str">
        <f t="shared" si="47"/>
        <v>InCasa_COR22D417</v>
      </c>
    </row>
    <row r="581" spans="2:72" ht="18.75" customHeight="1" x14ac:dyDescent="0.25">
      <c r="B581" s="20">
        <f t="shared" si="48"/>
        <v>418</v>
      </c>
      <c r="C581" s="22" t="str">
        <f t="shared" si="49"/>
        <v>In Casa #418</v>
      </c>
      <c r="D581" t="str">
        <f t="shared" si="50"/>
        <v>COR22D418</v>
      </c>
      <c r="E581" s="58" t="s">
        <v>252</v>
      </c>
      <c r="F581" s="20">
        <v>1000</v>
      </c>
      <c r="G581" s="14" t="s">
        <v>354</v>
      </c>
      <c r="H581" s="23" t="s">
        <v>170</v>
      </c>
      <c r="J581" s="59" t="s">
        <v>38</v>
      </c>
      <c r="K581" s="22" t="s">
        <v>254</v>
      </c>
      <c r="L581" s="59" t="s">
        <v>171</v>
      </c>
      <c r="M581" s="22">
        <v>2</v>
      </c>
      <c r="V581" s="59" t="s">
        <v>176</v>
      </c>
      <c r="AL581" s="59" t="s">
        <v>40</v>
      </c>
      <c r="AM581" s="22" t="s">
        <v>188</v>
      </c>
      <c r="AV581" s="59" t="s">
        <v>134</v>
      </c>
      <c r="AW581" s="22" t="str">
        <f>Settings!$B$5 &amp;  "?s=" &amp; D581 &amp; "&amp;platform=ftx"</f>
        <v>https://tokensol.nfluent.io?s=COR22D418&amp;platform=ftx</v>
      </c>
      <c r="AX581" s="20" t="s">
        <v>23</v>
      </c>
      <c r="AY581" s="20">
        <v>10</v>
      </c>
      <c r="AZ581" s="20" t="s">
        <v>24</v>
      </c>
      <c r="BA581" s="20">
        <v>90</v>
      </c>
      <c r="BD581" s="14"/>
      <c r="BJ581" t="s">
        <v>255</v>
      </c>
      <c r="BK581" t="s">
        <v>184</v>
      </c>
      <c r="BN581" s="36">
        <v>100</v>
      </c>
      <c r="BO581" s="36">
        <v>100</v>
      </c>
      <c r="BP581">
        <f t="shared" si="51"/>
        <v>480</v>
      </c>
      <c r="BR581" s="38">
        <v>44713</v>
      </c>
      <c r="BS581" s="20" t="s">
        <v>185</v>
      </c>
      <c r="BT581" s="20" t="str">
        <f t="shared" ref="BT581:BT644" si="52">SUBSTITUTE(BJ581," ","") &amp; "_" &amp; D581</f>
        <v>InCasa_COR22D418</v>
      </c>
    </row>
    <row r="582" spans="2:72" ht="18.75" customHeight="1" x14ac:dyDescent="0.25">
      <c r="B582" s="20">
        <f t="shared" ref="B582:B645" si="53">+B581+1</f>
        <v>419</v>
      </c>
      <c r="C582" s="22" t="str">
        <f t="shared" si="49"/>
        <v>In Casa #419</v>
      </c>
      <c r="D582" t="str">
        <f t="shared" si="50"/>
        <v>COR22D419</v>
      </c>
      <c r="E582" s="58" t="s">
        <v>252</v>
      </c>
      <c r="F582" s="20">
        <v>1000</v>
      </c>
      <c r="G582" s="14" t="s">
        <v>354</v>
      </c>
      <c r="H582" s="23" t="s">
        <v>170</v>
      </c>
      <c r="J582" s="59" t="s">
        <v>38</v>
      </c>
      <c r="K582" s="22" t="s">
        <v>254</v>
      </c>
      <c r="L582" s="59" t="s">
        <v>171</v>
      </c>
      <c r="M582" s="22">
        <v>2</v>
      </c>
      <c r="V582" s="59" t="s">
        <v>176</v>
      </c>
      <c r="AL582" s="59" t="s">
        <v>40</v>
      </c>
      <c r="AM582" s="22" t="s">
        <v>188</v>
      </c>
      <c r="AV582" s="59" t="s">
        <v>134</v>
      </c>
      <c r="AW582" s="22" t="str">
        <f>Settings!$B$5 &amp;  "?s=" &amp; D582 &amp; "&amp;platform=ftx"</f>
        <v>https://tokensol.nfluent.io?s=COR22D419&amp;platform=ftx</v>
      </c>
      <c r="AX582" s="20" t="s">
        <v>23</v>
      </c>
      <c r="AY582" s="20">
        <v>10</v>
      </c>
      <c r="AZ582" s="20" t="s">
        <v>24</v>
      </c>
      <c r="BA582" s="20">
        <v>90</v>
      </c>
      <c r="BD582" s="14"/>
      <c r="BJ582" t="s">
        <v>255</v>
      </c>
      <c r="BK582" t="s">
        <v>184</v>
      </c>
      <c r="BN582" s="36">
        <v>100</v>
      </c>
      <c r="BO582" s="36">
        <v>100</v>
      </c>
      <c r="BP582">
        <f t="shared" si="51"/>
        <v>480</v>
      </c>
      <c r="BR582" s="38">
        <v>44713</v>
      </c>
      <c r="BS582" s="20" t="s">
        <v>185</v>
      </c>
      <c r="BT582" s="20" t="str">
        <f t="shared" si="52"/>
        <v>InCasa_COR22D419</v>
      </c>
    </row>
    <row r="583" spans="2:72" ht="18.75" customHeight="1" x14ac:dyDescent="0.25">
      <c r="B583" s="20">
        <f t="shared" si="53"/>
        <v>420</v>
      </c>
      <c r="C583" s="22" t="str">
        <f t="shared" si="49"/>
        <v>In Casa #420</v>
      </c>
      <c r="D583" t="str">
        <f t="shared" si="50"/>
        <v>COR22D420</v>
      </c>
      <c r="E583" s="58" t="s">
        <v>252</v>
      </c>
      <c r="F583" s="20">
        <v>1000</v>
      </c>
      <c r="G583" s="14" t="s">
        <v>354</v>
      </c>
      <c r="H583" s="23" t="s">
        <v>170</v>
      </c>
      <c r="J583" s="59" t="s">
        <v>38</v>
      </c>
      <c r="K583" s="22" t="s">
        <v>254</v>
      </c>
      <c r="L583" s="59" t="s">
        <v>171</v>
      </c>
      <c r="M583" s="22">
        <v>2</v>
      </c>
      <c r="V583" s="59" t="s">
        <v>176</v>
      </c>
      <c r="AL583" s="59" t="s">
        <v>40</v>
      </c>
      <c r="AM583" s="22" t="s">
        <v>188</v>
      </c>
      <c r="AV583" s="59" t="s">
        <v>134</v>
      </c>
      <c r="AW583" s="22" t="str">
        <f>Settings!$B$5 &amp;  "?s=" &amp; D583 &amp; "&amp;platform=ftx"</f>
        <v>https://tokensol.nfluent.io?s=COR22D420&amp;platform=ftx</v>
      </c>
      <c r="AX583" s="20" t="s">
        <v>23</v>
      </c>
      <c r="AY583" s="20">
        <v>10</v>
      </c>
      <c r="AZ583" s="20" t="s">
        <v>24</v>
      </c>
      <c r="BA583" s="20">
        <v>90</v>
      </c>
      <c r="BD583" s="14"/>
      <c r="BJ583" t="s">
        <v>255</v>
      </c>
      <c r="BK583" t="s">
        <v>184</v>
      </c>
      <c r="BN583" s="36">
        <v>100</v>
      </c>
      <c r="BO583" s="36">
        <v>100</v>
      </c>
      <c r="BP583">
        <f t="shared" si="51"/>
        <v>480</v>
      </c>
      <c r="BR583" s="38">
        <v>44713</v>
      </c>
      <c r="BS583" s="20" t="s">
        <v>185</v>
      </c>
      <c r="BT583" s="20" t="str">
        <f t="shared" si="52"/>
        <v>InCasa_COR22D420</v>
      </c>
    </row>
    <row r="584" spans="2:72" ht="18.75" customHeight="1" x14ac:dyDescent="0.25">
      <c r="B584" s="20">
        <f t="shared" si="53"/>
        <v>421</v>
      </c>
      <c r="C584" s="22" t="str">
        <f t="shared" si="49"/>
        <v>In Casa #421</v>
      </c>
      <c r="D584" t="str">
        <f t="shared" si="50"/>
        <v>COR22D421</v>
      </c>
      <c r="E584" s="58" t="s">
        <v>252</v>
      </c>
      <c r="F584" s="20">
        <v>1000</v>
      </c>
      <c r="G584" s="14" t="s">
        <v>354</v>
      </c>
      <c r="H584" s="23" t="s">
        <v>170</v>
      </c>
      <c r="J584" s="59" t="s">
        <v>38</v>
      </c>
      <c r="K584" s="22" t="s">
        <v>254</v>
      </c>
      <c r="L584" s="59" t="s">
        <v>171</v>
      </c>
      <c r="M584" s="22">
        <v>2</v>
      </c>
      <c r="V584" s="59" t="s">
        <v>176</v>
      </c>
      <c r="AL584" s="59" t="s">
        <v>40</v>
      </c>
      <c r="AM584" s="22" t="s">
        <v>188</v>
      </c>
      <c r="AV584" s="59" t="s">
        <v>134</v>
      </c>
      <c r="AW584" s="22" t="str">
        <f>Settings!$B$5 &amp;  "?s=" &amp; D584 &amp; "&amp;platform=ftx"</f>
        <v>https://tokensol.nfluent.io?s=COR22D421&amp;platform=ftx</v>
      </c>
      <c r="AX584" s="20" t="s">
        <v>23</v>
      </c>
      <c r="AY584" s="20">
        <v>10</v>
      </c>
      <c r="AZ584" s="20" t="s">
        <v>24</v>
      </c>
      <c r="BA584" s="20">
        <v>90</v>
      </c>
      <c r="BD584" s="14"/>
      <c r="BJ584" t="s">
        <v>255</v>
      </c>
      <c r="BK584" t="s">
        <v>184</v>
      </c>
      <c r="BN584" s="36">
        <v>100</v>
      </c>
      <c r="BO584" s="36">
        <v>100</v>
      </c>
      <c r="BP584">
        <f t="shared" si="51"/>
        <v>480</v>
      </c>
      <c r="BR584" s="38">
        <v>44713</v>
      </c>
      <c r="BS584" s="20" t="s">
        <v>185</v>
      </c>
      <c r="BT584" s="20" t="str">
        <f t="shared" si="52"/>
        <v>InCasa_COR22D421</v>
      </c>
    </row>
    <row r="585" spans="2:72" ht="18.75" customHeight="1" x14ac:dyDescent="0.25">
      <c r="B585" s="20">
        <f t="shared" si="53"/>
        <v>422</v>
      </c>
      <c r="C585" s="22" t="str">
        <f t="shared" si="49"/>
        <v>In Casa #422</v>
      </c>
      <c r="D585" t="str">
        <f t="shared" si="50"/>
        <v>COR22D422</v>
      </c>
      <c r="E585" s="58" t="s">
        <v>252</v>
      </c>
      <c r="F585" s="20">
        <v>1000</v>
      </c>
      <c r="G585" s="14" t="s">
        <v>354</v>
      </c>
      <c r="H585" s="23" t="s">
        <v>170</v>
      </c>
      <c r="J585" s="59" t="s">
        <v>38</v>
      </c>
      <c r="K585" s="22" t="s">
        <v>254</v>
      </c>
      <c r="L585" s="59" t="s">
        <v>171</v>
      </c>
      <c r="M585" s="22">
        <v>2</v>
      </c>
      <c r="V585" s="59" t="s">
        <v>176</v>
      </c>
      <c r="AL585" s="59" t="s">
        <v>40</v>
      </c>
      <c r="AM585" s="22" t="s">
        <v>188</v>
      </c>
      <c r="AV585" s="59" t="s">
        <v>134</v>
      </c>
      <c r="AW585" s="22" t="str">
        <f>Settings!$B$5 &amp;  "?s=" &amp; D585 &amp; "&amp;platform=ftx"</f>
        <v>https://tokensol.nfluent.io?s=COR22D422&amp;platform=ftx</v>
      </c>
      <c r="AX585" s="20" t="s">
        <v>23</v>
      </c>
      <c r="AY585" s="20">
        <v>10</v>
      </c>
      <c r="AZ585" s="20" t="s">
        <v>24</v>
      </c>
      <c r="BA585" s="20">
        <v>90</v>
      </c>
      <c r="BD585" s="14"/>
      <c r="BJ585" t="s">
        <v>255</v>
      </c>
      <c r="BK585" t="s">
        <v>184</v>
      </c>
      <c r="BN585" s="36">
        <v>100</v>
      </c>
      <c r="BO585" s="36">
        <v>100</v>
      </c>
      <c r="BP585">
        <f t="shared" si="51"/>
        <v>480</v>
      </c>
      <c r="BR585" s="38">
        <v>44713</v>
      </c>
      <c r="BS585" s="20" t="s">
        <v>185</v>
      </c>
      <c r="BT585" s="20" t="str">
        <f t="shared" si="52"/>
        <v>InCasa_COR22D422</v>
      </c>
    </row>
    <row r="586" spans="2:72" ht="18.75" customHeight="1" x14ac:dyDescent="0.25">
      <c r="B586" s="20">
        <f t="shared" si="53"/>
        <v>423</v>
      </c>
      <c r="C586" s="22" t="str">
        <f t="shared" si="49"/>
        <v>In Casa #423</v>
      </c>
      <c r="D586" t="str">
        <f t="shared" si="50"/>
        <v>COR22D423</v>
      </c>
      <c r="E586" s="58" t="s">
        <v>252</v>
      </c>
      <c r="F586" s="20">
        <v>1000</v>
      </c>
      <c r="G586" s="14" t="s">
        <v>354</v>
      </c>
      <c r="H586" s="23" t="s">
        <v>170</v>
      </c>
      <c r="J586" s="59" t="s">
        <v>38</v>
      </c>
      <c r="K586" s="22" t="s">
        <v>254</v>
      </c>
      <c r="L586" s="59" t="s">
        <v>171</v>
      </c>
      <c r="M586" s="22">
        <v>2</v>
      </c>
      <c r="V586" s="59" t="s">
        <v>176</v>
      </c>
      <c r="AL586" s="59" t="s">
        <v>40</v>
      </c>
      <c r="AM586" s="22" t="s">
        <v>188</v>
      </c>
      <c r="AV586" s="59" t="s">
        <v>134</v>
      </c>
      <c r="AW586" s="22" t="str">
        <f>Settings!$B$5 &amp;  "?s=" &amp; D586 &amp; "&amp;platform=ftx"</f>
        <v>https://tokensol.nfluent.io?s=COR22D423&amp;platform=ftx</v>
      </c>
      <c r="AX586" s="20" t="s">
        <v>23</v>
      </c>
      <c r="AY586" s="20">
        <v>10</v>
      </c>
      <c r="AZ586" s="20" t="s">
        <v>24</v>
      </c>
      <c r="BA586" s="20">
        <v>90</v>
      </c>
      <c r="BD586" s="14"/>
      <c r="BJ586" t="s">
        <v>255</v>
      </c>
      <c r="BK586" t="s">
        <v>184</v>
      </c>
      <c r="BN586" s="36">
        <v>100</v>
      </c>
      <c r="BO586" s="36">
        <v>100</v>
      </c>
      <c r="BP586">
        <f t="shared" si="51"/>
        <v>480</v>
      </c>
      <c r="BR586" s="38">
        <v>44713</v>
      </c>
      <c r="BS586" s="20" t="s">
        <v>185</v>
      </c>
      <c r="BT586" s="20" t="str">
        <f t="shared" si="52"/>
        <v>InCasa_COR22D423</v>
      </c>
    </row>
    <row r="587" spans="2:72" ht="18.75" customHeight="1" x14ac:dyDescent="0.25">
      <c r="B587" s="20">
        <f t="shared" si="53"/>
        <v>424</v>
      </c>
      <c r="C587" s="22" t="str">
        <f t="shared" si="49"/>
        <v>In Casa #424</v>
      </c>
      <c r="D587" t="str">
        <f t="shared" si="50"/>
        <v>COR22D424</v>
      </c>
      <c r="E587" s="58" t="s">
        <v>252</v>
      </c>
      <c r="F587" s="20">
        <v>1000</v>
      </c>
      <c r="G587" s="14" t="s">
        <v>354</v>
      </c>
      <c r="H587" s="23" t="s">
        <v>170</v>
      </c>
      <c r="J587" s="59" t="s">
        <v>38</v>
      </c>
      <c r="K587" s="22" t="s">
        <v>254</v>
      </c>
      <c r="L587" s="59" t="s">
        <v>171</v>
      </c>
      <c r="M587" s="22">
        <v>2</v>
      </c>
      <c r="V587" s="59" t="s">
        <v>176</v>
      </c>
      <c r="AL587" s="59" t="s">
        <v>40</v>
      </c>
      <c r="AM587" s="22" t="s">
        <v>188</v>
      </c>
      <c r="AV587" s="59" t="s">
        <v>134</v>
      </c>
      <c r="AW587" s="22" t="str">
        <f>Settings!$B$5 &amp;  "?s=" &amp; D587 &amp; "&amp;platform=ftx"</f>
        <v>https://tokensol.nfluent.io?s=COR22D424&amp;platform=ftx</v>
      </c>
      <c r="AX587" s="20" t="s">
        <v>23</v>
      </c>
      <c r="AY587" s="20">
        <v>10</v>
      </c>
      <c r="AZ587" s="20" t="s">
        <v>24</v>
      </c>
      <c r="BA587" s="20">
        <v>90</v>
      </c>
      <c r="BD587" s="14"/>
      <c r="BJ587" t="s">
        <v>255</v>
      </c>
      <c r="BK587" t="s">
        <v>184</v>
      </c>
      <c r="BN587" s="36">
        <v>100</v>
      </c>
      <c r="BO587" s="36">
        <v>100</v>
      </c>
      <c r="BP587">
        <f t="shared" si="51"/>
        <v>480</v>
      </c>
      <c r="BR587" s="38">
        <v>44713</v>
      </c>
      <c r="BS587" s="20" t="s">
        <v>185</v>
      </c>
      <c r="BT587" s="20" t="str">
        <f t="shared" si="52"/>
        <v>InCasa_COR22D424</v>
      </c>
    </row>
    <row r="588" spans="2:72" ht="18.75" customHeight="1" x14ac:dyDescent="0.25">
      <c r="B588" s="20">
        <f t="shared" si="53"/>
        <v>425</v>
      </c>
      <c r="C588" s="22" t="str">
        <f t="shared" si="49"/>
        <v>In Casa #425</v>
      </c>
      <c r="D588" t="str">
        <f t="shared" si="50"/>
        <v>COR22D425</v>
      </c>
      <c r="E588" s="58" t="s">
        <v>252</v>
      </c>
      <c r="F588" s="20">
        <v>1000</v>
      </c>
      <c r="G588" s="14" t="s">
        <v>354</v>
      </c>
      <c r="H588" s="23" t="s">
        <v>170</v>
      </c>
      <c r="J588" s="59" t="s">
        <v>38</v>
      </c>
      <c r="K588" s="22" t="s">
        <v>254</v>
      </c>
      <c r="L588" s="59" t="s">
        <v>171</v>
      </c>
      <c r="M588" s="22">
        <v>2</v>
      </c>
      <c r="V588" s="59" t="s">
        <v>176</v>
      </c>
      <c r="AL588" s="59" t="s">
        <v>40</v>
      </c>
      <c r="AM588" s="22" t="s">
        <v>188</v>
      </c>
      <c r="AV588" s="59" t="s">
        <v>134</v>
      </c>
      <c r="AW588" s="22" t="str">
        <f>Settings!$B$5 &amp;  "?s=" &amp; D588 &amp; "&amp;platform=ftx"</f>
        <v>https://tokensol.nfluent.io?s=COR22D425&amp;platform=ftx</v>
      </c>
      <c r="AX588" s="20" t="s">
        <v>23</v>
      </c>
      <c r="AY588" s="20">
        <v>10</v>
      </c>
      <c r="AZ588" s="20" t="s">
        <v>24</v>
      </c>
      <c r="BA588" s="20">
        <v>90</v>
      </c>
      <c r="BD588" s="14"/>
      <c r="BJ588" t="s">
        <v>255</v>
      </c>
      <c r="BK588" t="s">
        <v>184</v>
      </c>
      <c r="BN588" s="36">
        <v>100</v>
      </c>
      <c r="BO588" s="36">
        <v>100</v>
      </c>
      <c r="BP588">
        <f t="shared" si="51"/>
        <v>480</v>
      </c>
      <c r="BR588" s="38">
        <v>44713</v>
      </c>
      <c r="BS588" s="20" t="s">
        <v>185</v>
      </c>
      <c r="BT588" s="20" t="str">
        <f t="shared" si="52"/>
        <v>InCasa_COR22D425</v>
      </c>
    </row>
    <row r="589" spans="2:72" ht="18.75" customHeight="1" x14ac:dyDescent="0.25">
      <c r="B589" s="20">
        <f t="shared" si="53"/>
        <v>426</v>
      </c>
      <c r="C589" s="22" t="str">
        <f t="shared" si="49"/>
        <v>In Casa #426</v>
      </c>
      <c r="D589" t="str">
        <f t="shared" si="50"/>
        <v>COR22D426</v>
      </c>
      <c r="E589" s="58" t="s">
        <v>252</v>
      </c>
      <c r="F589" s="20">
        <v>1000</v>
      </c>
      <c r="G589" s="14" t="s">
        <v>354</v>
      </c>
      <c r="H589" s="23" t="s">
        <v>170</v>
      </c>
      <c r="J589" s="59" t="s">
        <v>38</v>
      </c>
      <c r="K589" s="22" t="s">
        <v>254</v>
      </c>
      <c r="L589" s="59" t="s">
        <v>171</v>
      </c>
      <c r="M589" s="22">
        <v>2</v>
      </c>
      <c r="V589" s="59" t="s">
        <v>176</v>
      </c>
      <c r="AL589" s="59" t="s">
        <v>40</v>
      </c>
      <c r="AM589" s="22" t="s">
        <v>188</v>
      </c>
      <c r="AV589" s="59" t="s">
        <v>134</v>
      </c>
      <c r="AW589" s="22" t="str">
        <f>Settings!$B$5 &amp;  "?s=" &amp; D589 &amp; "&amp;platform=ftx"</f>
        <v>https://tokensol.nfluent.io?s=COR22D426&amp;platform=ftx</v>
      </c>
      <c r="AX589" s="20" t="s">
        <v>23</v>
      </c>
      <c r="AY589" s="20">
        <v>10</v>
      </c>
      <c r="AZ589" s="20" t="s">
        <v>24</v>
      </c>
      <c r="BA589" s="20">
        <v>90</v>
      </c>
      <c r="BD589" s="14"/>
      <c r="BJ589" t="s">
        <v>255</v>
      </c>
      <c r="BK589" t="s">
        <v>184</v>
      </c>
      <c r="BN589" s="36">
        <v>100</v>
      </c>
      <c r="BO589" s="36">
        <v>100</v>
      </c>
      <c r="BP589">
        <f t="shared" si="51"/>
        <v>480</v>
      </c>
      <c r="BR589" s="38">
        <v>44713</v>
      </c>
      <c r="BS589" s="20" t="s">
        <v>185</v>
      </c>
      <c r="BT589" s="20" t="str">
        <f t="shared" si="52"/>
        <v>InCasa_COR22D426</v>
      </c>
    </row>
    <row r="590" spans="2:72" ht="18.75" customHeight="1" x14ac:dyDescent="0.25">
      <c r="B590" s="20">
        <f t="shared" si="53"/>
        <v>427</v>
      </c>
      <c r="C590" s="22" t="str">
        <f t="shared" si="49"/>
        <v>In Casa #427</v>
      </c>
      <c r="D590" t="str">
        <f t="shared" si="50"/>
        <v>COR22D427</v>
      </c>
      <c r="E590" s="58" t="s">
        <v>252</v>
      </c>
      <c r="F590" s="20">
        <v>1000</v>
      </c>
      <c r="G590" s="14" t="s">
        <v>354</v>
      </c>
      <c r="H590" s="23" t="s">
        <v>170</v>
      </c>
      <c r="J590" s="59" t="s">
        <v>38</v>
      </c>
      <c r="K590" s="22" t="s">
        <v>254</v>
      </c>
      <c r="L590" s="59" t="s">
        <v>171</v>
      </c>
      <c r="M590" s="22">
        <v>2</v>
      </c>
      <c r="V590" s="59" t="s">
        <v>176</v>
      </c>
      <c r="AL590" s="59" t="s">
        <v>40</v>
      </c>
      <c r="AM590" s="22" t="s">
        <v>188</v>
      </c>
      <c r="AV590" s="59" t="s">
        <v>134</v>
      </c>
      <c r="AW590" s="22" t="str">
        <f>Settings!$B$5 &amp;  "?s=" &amp; D590 &amp; "&amp;platform=ftx"</f>
        <v>https://tokensol.nfluent.io?s=COR22D427&amp;platform=ftx</v>
      </c>
      <c r="AX590" s="20" t="s">
        <v>23</v>
      </c>
      <c r="AY590" s="20">
        <v>10</v>
      </c>
      <c r="AZ590" s="20" t="s">
        <v>24</v>
      </c>
      <c r="BA590" s="20">
        <v>90</v>
      </c>
      <c r="BD590" s="14"/>
      <c r="BJ590" t="s">
        <v>255</v>
      </c>
      <c r="BK590" t="s">
        <v>184</v>
      </c>
      <c r="BN590" s="36">
        <v>100</v>
      </c>
      <c r="BO590" s="36">
        <v>100</v>
      </c>
      <c r="BP590">
        <f t="shared" si="51"/>
        <v>480</v>
      </c>
      <c r="BR590" s="38">
        <v>44713</v>
      </c>
      <c r="BS590" s="20" t="s">
        <v>185</v>
      </c>
      <c r="BT590" s="20" t="str">
        <f t="shared" si="52"/>
        <v>InCasa_COR22D427</v>
      </c>
    </row>
    <row r="591" spans="2:72" ht="18.75" customHeight="1" x14ac:dyDescent="0.25">
      <c r="B591" s="20">
        <f t="shared" si="53"/>
        <v>428</v>
      </c>
      <c r="C591" s="22" t="str">
        <f t="shared" si="49"/>
        <v>In Casa #428</v>
      </c>
      <c r="D591" t="str">
        <f t="shared" si="50"/>
        <v>COR22D428</v>
      </c>
      <c r="E591" s="58" t="s">
        <v>252</v>
      </c>
      <c r="F591" s="20">
        <v>1000</v>
      </c>
      <c r="G591" s="14" t="s">
        <v>354</v>
      </c>
      <c r="H591" s="23" t="s">
        <v>170</v>
      </c>
      <c r="J591" s="59" t="s">
        <v>38</v>
      </c>
      <c r="K591" s="22" t="s">
        <v>254</v>
      </c>
      <c r="L591" s="59" t="s">
        <v>171</v>
      </c>
      <c r="M591" s="22">
        <v>2</v>
      </c>
      <c r="V591" s="59" t="s">
        <v>176</v>
      </c>
      <c r="AL591" s="59" t="s">
        <v>40</v>
      </c>
      <c r="AM591" s="22" t="s">
        <v>188</v>
      </c>
      <c r="AV591" s="59" t="s">
        <v>134</v>
      </c>
      <c r="AW591" s="22" t="str">
        <f>Settings!$B$5 &amp;  "?s=" &amp; D591 &amp; "&amp;platform=ftx"</f>
        <v>https://tokensol.nfluent.io?s=COR22D428&amp;platform=ftx</v>
      </c>
      <c r="AX591" s="20" t="s">
        <v>23</v>
      </c>
      <c r="AY591" s="20">
        <v>10</v>
      </c>
      <c r="AZ591" s="20" t="s">
        <v>24</v>
      </c>
      <c r="BA591" s="20">
        <v>90</v>
      </c>
      <c r="BD591" s="14"/>
      <c r="BJ591" t="s">
        <v>255</v>
      </c>
      <c r="BK591" t="s">
        <v>184</v>
      </c>
      <c r="BN591" s="36">
        <v>100</v>
      </c>
      <c r="BO591" s="36">
        <v>100</v>
      </c>
      <c r="BP591">
        <f t="shared" si="51"/>
        <v>480</v>
      </c>
      <c r="BR591" s="38">
        <v>44713</v>
      </c>
      <c r="BS591" s="20" t="s">
        <v>185</v>
      </c>
      <c r="BT591" s="20" t="str">
        <f t="shared" si="52"/>
        <v>InCasa_COR22D428</v>
      </c>
    </row>
    <row r="592" spans="2:72" ht="18.75" customHeight="1" x14ac:dyDescent="0.25">
      <c r="B592" s="20">
        <f t="shared" si="53"/>
        <v>429</v>
      </c>
      <c r="C592" s="22" t="str">
        <f t="shared" si="49"/>
        <v>In Casa #429</v>
      </c>
      <c r="D592" t="str">
        <f t="shared" si="50"/>
        <v>COR22D429</v>
      </c>
      <c r="E592" s="58" t="s">
        <v>252</v>
      </c>
      <c r="F592" s="20">
        <v>1000</v>
      </c>
      <c r="G592" s="14" t="s">
        <v>354</v>
      </c>
      <c r="H592" s="23" t="s">
        <v>170</v>
      </c>
      <c r="J592" s="59" t="s">
        <v>38</v>
      </c>
      <c r="K592" s="22" t="s">
        <v>254</v>
      </c>
      <c r="L592" s="59" t="s">
        <v>171</v>
      </c>
      <c r="M592" s="22">
        <v>2</v>
      </c>
      <c r="V592" s="59" t="s">
        <v>176</v>
      </c>
      <c r="AL592" s="59" t="s">
        <v>40</v>
      </c>
      <c r="AM592" s="22" t="s">
        <v>188</v>
      </c>
      <c r="AV592" s="59" t="s">
        <v>134</v>
      </c>
      <c r="AW592" s="22" t="str">
        <f>Settings!$B$5 &amp;  "?s=" &amp; D592 &amp; "&amp;platform=ftx"</f>
        <v>https://tokensol.nfluent.io?s=COR22D429&amp;platform=ftx</v>
      </c>
      <c r="AX592" s="20" t="s">
        <v>23</v>
      </c>
      <c r="AY592" s="20">
        <v>10</v>
      </c>
      <c r="AZ592" s="20" t="s">
        <v>24</v>
      </c>
      <c r="BA592" s="20">
        <v>90</v>
      </c>
      <c r="BD592" s="14"/>
      <c r="BJ592" t="s">
        <v>255</v>
      </c>
      <c r="BK592" t="s">
        <v>184</v>
      </c>
      <c r="BN592" s="36">
        <v>100</v>
      </c>
      <c r="BO592" s="36">
        <v>100</v>
      </c>
      <c r="BP592">
        <f t="shared" si="51"/>
        <v>480</v>
      </c>
      <c r="BR592" s="38">
        <v>44713</v>
      </c>
      <c r="BS592" s="20" t="s">
        <v>185</v>
      </c>
      <c r="BT592" s="20" t="str">
        <f t="shared" si="52"/>
        <v>InCasa_COR22D429</v>
      </c>
    </row>
    <row r="593" spans="2:72" ht="18.75" customHeight="1" x14ac:dyDescent="0.25">
      <c r="B593" s="20">
        <f t="shared" si="53"/>
        <v>430</v>
      </c>
      <c r="C593" s="22" t="str">
        <f t="shared" si="49"/>
        <v>In Casa #430</v>
      </c>
      <c r="D593" t="str">
        <f t="shared" si="50"/>
        <v>COR22D430</v>
      </c>
      <c r="E593" s="58" t="s">
        <v>252</v>
      </c>
      <c r="F593" s="20">
        <v>1000</v>
      </c>
      <c r="G593" s="14" t="s">
        <v>354</v>
      </c>
      <c r="H593" s="23" t="s">
        <v>170</v>
      </c>
      <c r="J593" s="59" t="s">
        <v>38</v>
      </c>
      <c r="K593" s="22" t="s">
        <v>254</v>
      </c>
      <c r="L593" s="59" t="s">
        <v>171</v>
      </c>
      <c r="M593" s="22">
        <v>2</v>
      </c>
      <c r="V593" s="59" t="s">
        <v>176</v>
      </c>
      <c r="AL593" s="59" t="s">
        <v>40</v>
      </c>
      <c r="AM593" s="22" t="s">
        <v>188</v>
      </c>
      <c r="AV593" s="59" t="s">
        <v>134</v>
      </c>
      <c r="AW593" s="22" t="str">
        <f>Settings!$B$5 &amp;  "?s=" &amp; D593 &amp; "&amp;platform=ftx"</f>
        <v>https://tokensol.nfluent.io?s=COR22D430&amp;platform=ftx</v>
      </c>
      <c r="AX593" s="20" t="s">
        <v>23</v>
      </c>
      <c r="AY593" s="20">
        <v>10</v>
      </c>
      <c r="AZ593" s="20" t="s">
        <v>24</v>
      </c>
      <c r="BA593" s="20">
        <v>90</v>
      </c>
      <c r="BD593" s="14"/>
      <c r="BJ593" t="s">
        <v>255</v>
      </c>
      <c r="BK593" t="s">
        <v>184</v>
      </c>
      <c r="BN593" s="36">
        <v>100</v>
      </c>
      <c r="BO593" s="36">
        <v>100</v>
      </c>
      <c r="BP593">
        <f t="shared" si="51"/>
        <v>480</v>
      </c>
      <c r="BR593" s="38">
        <v>44713</v>
      </c>
      <c r="BS593" s="20" t="s">
        <v>185</v>
      </c>
      <c r="BT593" s="20" t="str">
        <f t="shared" si="52"/>
        <v>InCasa_COR22D430</v>
      </c>
    </row>
    <row r="594" spans="2:72" ht="18.75" customHeight="1" x14ac:dyDescent="0.25">
      <c r="B594" s="20">
        <f t="shared" si="53"/>
        <v>431</v>
      </c>
      <c r="C594" s="22" t="str">
        <f t="shared" si="49"/>
        <v>In Casa #431</v>
      </c>
      <c r="D594" t="str">
        <f t="shared" si="50"/>
        <v>COR22D431</v>
      </c>
      <c r="E594" s="58" t="s">
        <v>252</v>
      </c>
      <c r="F594" s="20">
        <v>1000</v>
      </c>
      <c r="G594" s="14" t="s">
        <v>354</v>
      </c>
      <c r="H594" s="23" t="s">
        <v>170</v>
      </c>
      <c r="J594" s="59" t="s">
        <v>38</v>
      </c>
      <c r="K594" s="22" t="s">
        <v>254</v>
      </c>
      <c r="L594" s="59" t="s">
        <v>171</v>
      </c>
      <c r="M594" s="22">
        <v>2</v>
      </c>
      <c r="V594" s="59" t="s">
        <v>176</v>
      </c>
      <c r="AL594" s="59" t="s">
        <v>40</v>
      </c>
      <c r="AM594" s="22" t="s">
        <v>188</v>
      </c>
      <c r="AV594" s="59" t="s">
        <v>134</v>
      </c>
      <c r="AW594" s="22" t="str">
        <f>Settings!$B$5 &amp;  "?s=" &amp; D594 &amp; "&amp;platform=ftx"</f>
        <v>https://tokensol.nfluent.io?s=COR22D431&amp;platform=ftx</v>
      </c>
      <c r="AX594" s="20" t="s">
        <v>23</v>
      </c>
      <c r="AY594" s="20">
        <v>10</v>
      </c>
      <c r="AZ594" s="20" t="s">
        <v>24</v>
      </c>
      <c r="BA594" s="20">
        <v>90</v>
      </c>
      <c r="BD594" s="14"/>
      <c r="BJ594" t="s">
        <v>255</v>
      </c>
      <c r="BK594" t="s">
        <v>184</v>
      </c>
      <c r="BN594" s="36">
        <v>100</v>
      </c>
      <c r="BO594" s="36">
        <v>100</v>
      </c>
      <c r="BP594">
        <f t="shared" si="51"/>
        <v>480</v>
      </c>
      <c r="BR594" s="38">
        <v>44713</v>
      </c>
      <c r="BS594" s="20" t="s">
        <v>185</v>
      </c>
      <c r="BT594" s="20" t="str">
        <f t="shared" si="52"/>
        <v>InCasa_COR22D431</v>
      </c>
    </row>
    <row r="595" spans="2:72" ht="18.75" customHeight="1" x14ac:dyDescent="0.25">
      <c r="B595" s="20">
        <f t="shared" si="53"/>
        <v>432</v>
      </c>
      <c r="C595" s="22" t="str">
        <f t="shared" si="49"/>
        <v>In Casa #432</v>
      </c>
      <c r="D595" t="str">
        <f t="shared" si="50"/>
        <v>COR22D432</v>
      </c>
      <c r="E595" s="58" t="s">
        <v>252</v>
      </c>
      <c r="F595" s="20">
        <v>1000</v>
      </c>
      <c r="G595" s="14" t="s">
        <v>354</v>
      </c>
      <c r="H595" s="23" t="s">
        <v>170</v>
      </c>
      <c r="J595" s="59" t="s">
        <v>38</v>
      </c>
      <c r="K595" s="22" t="s">
        <v>254</v>
      </c>
      <c r="L595" s="59" t="s">
        <v>171</v>
      </c>
      <c r="M595" s="22">
        <v>2</v>
      </c>
      <c r="V595" s="59" t="s">
        <v>176</v>
      </c>
      <c r="AL595" s="59" t="s">
        <v>40</v>
      </c>
      <c r="AM595" s="22" t="s">
        <v>188</v>
      </c>
      <c r="AV595" s="59" t="s">
        <v>134</v>
      </c>
      <c r="AW595" s="22" t="str">
        <f>Settings!$B$5 &amp;  "?s=" &amp; D595 &amp; "&amp;platform=ftx"</f>
        <v>https://tokensol.nfluent.io?s=COR22D432&amp;platform=ftx</v>
      </c>
      <c r="AX595" s="20" t="s">
        <v>23</v>
      </c>
      <c r="AY595" s="20">
        <v>10</v>
      </c>
      <c r="AZ595" s="20" t="s">
        <v>24</v>
      </c>
      <c r="BA595" s="20">
        <v>90</v>
      </c>
      <c r="BD595" s="14"/>
      <c r="BJ595" t="s">
        <v>255</v>
      </c>
      <c r="BK595" t="s">
        <v>184</v>
      </c>
      <c r="BN595" s="36">
        <v>100</v>
      </c>
      <c r="BO595" s="36">
        <v>100</v>
      </c>
      <c r="BP595">
        <f t="shared" si="51"/>
        <v>480</v>
      </c>
      <c r="BR595" s="38">
        <v>44713</v>
      </c>
      <c r="BS595" s="20" t="s">
        <v>185</v>
      </c>
      <c r="BT595" s="20" t="str">
        <f t="shared" si="52"/>
        <v>InCasa_COR22D432</v>
      </c>
    </row>
    <row r="596" spans="2:72" ht="18.75" customHeight="1" x14ac:dyDescent="0.25">
      <c r="B596" s="20">
        <f t="shared" si="53"/>
        <v>433</v>
      </c>
      <c r="C596" s="22" t="str">
        <f t="shared" si="49"/>
        <v>In Casa #433</v>
      </c>
      <c r="D596" t="str">
        <f t="shared" si="50"/>
        <v>COR22D433</v>
      </c>
      <c r="E596" s="58" t="s">
        <v>252</v>
      </c>
      <c r="F596" s="20">
        <v>1000</v>
      </c>
      <c r="G596" s="14" t="s">
        <v>354</v>
      </c>
      <c r="H596" s="23" t="s">
        <v>170</v>
      </c>
      <c r="J596" s="59" t="s">
        <v>38</v>
      </c>
      <c r="K596" s="22" t="s">
        <v>254</v>
      </c>
      <c r="L596" s="59" t="s">
        <v>171</v>
      </c>
      <c r="M596" s="22">
        <v>2</v>
      </c>
      <c r="V596" s="59" t="s">
        <v>176</v>
      </c>
      <c r="AL596" s="59" t="s">
        <v>40</v>
      </c>
      <c r="AM596" s="22" t="s">
        <v>188</v>
      </c>
      <c r="AV596" s="59" t="s">
        <v>134</v>
      </c>
      <c r="AW596" s="22" t="str">
        <f>Settings!$B$5 &amp;  "?s=" &amp; D596 &amp; "&amp;platform=ftx"</f>
        <v>https://tokensol.nfluent.io?s=COR22D433&amp;platform=ftx</v>
      </c>
      <c r="AX596" s="20" t="s">
        <v>23</v>
      </c>
      <c r="AY596" s="20">
        <v>10</v>
      </c>
      <c r="AZ596" s="20" t="s">
        <v>24</v>
      </c>
      <c r="BA596" s="20">
        <v>90</v>
      </c>
      <c r="BD596" s="14"/>
      <c r="BJ596" t="s">
        <v>255</v>
      </c>
      <c r="BK596" t="s">
        <v>184</v>
      </c>
      <c r="BN596" s="36">
        <v>100</v>
      </c>
      <c r="BO596" s="36">
        <v>100</v>
      </c>
      <c r="BP596">
        <f t="shared" si="51"/>
        <v>480</v>
      </c>
      <c r="BR596" s="38">
        <v>44713</v>
      </c>
      <c r="BS596" s="20" t="s">
        <v>185</v>
      </c>
      <c r="BT596" s="20" t="str">
        <f t="shared" si="52"/>
        <v>InCasa_COR22D433</v>
      </c>
    </row>
    <row r="597" spans="2:72" ht="18.75" customHeight="1" x14ac:dyDescent="0.25">
      <c r="B597" s="20">
        <f t="shared" si="53"/>
        <v>434</v>
      </c>
      <c r="C597" s="22" t="str">
        <f t="shared" si="49"/>
        <v>In Casa #434</v>
      </c>
      <c r="D597" t="str">
        <f t="shared" si="50"/>
        <v>COR22D434</v>
      </c>
      <c r="E597" s="58" t="s">
        <v>252</v>
      </c>
      <c r="F597" s="20">
        <v>1000</v>
      </c>
      <c r="G597" s="14" t="s">
        <v>354</v>
      </c>
      <c r="H597" s="23" t="s">
        <v>170</v>
      </c>
      <c r="J597" s="59" t="s">
        <v>38</v>
      </c>
      <c r="K597" s="22" t="s">
        <v>254</v>
      </c>
      <c r="L597" s="59" t="s">
        <v>171</v>
      </c>
      <c r="M597" s="22">
        <v>2</v>
      </c>
      <c r="V597" s="59" t="s">
        <v>176</v>
      </c>
      <c r="AL597" s="59" t="s">
        <v>40</v>
      </c>
      <c r="AM597" s="22" t="s">
        <v>188</v>
      </c>
      <c r="AV597" s="59" t="s">
        <v>134</v>
      </c>
      <c r="AW597" s="22" t="str">
        <f>Settings!$B$5 &amp;  "?s=" &amp; D597 &amp; "&amp;platform=ftx"</f>
        <v>https://tokensol.nfluent.io?s=COR22D434&amp;platform=ftx</v>
      </c>
      <c r="AX597" s="20" t="s">
        <v>23</v>
      </c>
      <c r="AY597" s="20">
        <v>10</v>
      </c>
      <c r="AZ597" s="20" t="s">
        <v>24</v>
      </c>
      <c r="BA597" s="20">
        <v>90</v>
      </c>
      <c r="BD597" s="14"/>
      <c r="BJ597" t="s">
        <v>255</v>
      </c>
      <c r="BK597" t="s">
        <v>184</v>
      </c>
      <c r="BN597" s="36">
        <v>100</v>
      </c>
      <c r="BO597" s="36">
        <v>100</v>
      </c>
      <c r="BP597">
        <f t="shared" si="51"/>
        <v>480</v>
      </c>
      <c r="BR597" s="38">
        <v>44713</v>
      </c>
      <c r="BS597" s="20" t="s">
        <v>185</v>
      </c>
      <c r="BT597" s="20" t="str">
        <f t="shared" si="52"/>
        <v>InCasa_COR22D434</v>
      </c>
    </row>
    <row r="598" spans="2:72" ht="18.75" customHeight="1" x14ac:dyDescent="0.25">
      <c r="B598" s="20">
        <f t="shared" si="53"/>
        <v>435</v>
      </c>
      <c r="C598" s="22" t="str">
        <f t="shared" si="49"/>
        <v>In Casa #435</v>
      </c>
      <c r="D598" t="str">
        <f t="shared" si="50"/>
        <v>COR22D435</v>
      </c>
      <c r="E598" s="58" t="s">
        <v>252</v>
      </c>
      <c r="F598" s="20">
        <v>1000</v>
      </c>
      <c r="G598" s="14" t="s">
        <v>354</v>
      </c>
      <c r="H598" s="23" t="s">
        <v>170</v>
      </c>
      <c r="J598" s="59" t="s">
        <v>38</v>
      </c>
      <c r="K598" s="22" t="s">
        <v>254</v>
      </c>
      <c r="L598" s="59" t="s">
        <v>171</v>
      </c>
      <c r="M598" s="22">
        <v>2</v>
      </c>
      <c r="V598" s="59" t="s">
        <v>176</v>
      </c>
      <c r="AL598" s="59" t="s">
        <v>40</v>
      </c>
      <c r="AM598" s="22" t="s">
        <v>188</v>
      </c>
      <c r="AV598" s="59" t="s">
        <v>134</v>
      </c>
      <c r="AW598" s="22" t="str">
        <f>Settings!$B$5 &amp;  "?s=" &amp; D598 &amp; "&amp;platform=ftx"</f>
        <v>https://tokensol.nfluent.io?s=COR22D435&amp;platform=ftx</v>
      </c>
      <c r="AX598" s="20" t="s">
        <v>23</v>
      </c>
      <c r="AY598" s="20">
        <v>10</v>
      </c>
      <c r="AZ598" s="20" t="s">
        <v>24</v>
      </c>
      <c r="BA598" s="20">
        <v>90</v>
      </c>
      <c r="BD598" s="14"/>
      <c r="BJ598" t="s">
        <v>255</v>
      </c>
      <c r="BK598" t="s">
        <v>184</v>
      </c>
      <c r="BN598" s="36">
        <v>100</v>
      </c>
      <c r="BO598" s="36">
        <v>100</v>
      </c>
      <c r="BP598">
        <f t="shared" si="51"/>
        <v>480</v>
      </c>
      <c r="BR598" s="38">
        <v>44713</v>
      </c>
      <c r="BS598" s="20" t="s">
        <v>185</v>
      </c>
      <c r="BT598" s="20" t="str">
        <f t="shared" si="52"/>
        <v>InCasa_COR22D435</v>
      </c>
    </row>
    <row r="599" spans="2:72" ht="18.75" customHeight="1" x14ac:dyDescent="0.25">
      <c r="B599" s="20">
        <f t="shared" si="53"/>
        <v>436</v>
      </c>
      <c r="C599" s="22" t="str">
        <f t="shared" si="49"/>
        <v>In Casa #436</v>
      </c>
      <c r="D599" t="str">
        <f t="shared" si="50"/>
        <v>COR22D436</v>
      </c>
      <c r="E599" s="58" t="s">
        <v>252</v>
      </c>
      <c r="F599" s="20">
        <v>1000</v>
      </c>
      <c r="G599" s="14" t="s">
        <v>354</v>
      </c>
      <c r="H599" s="23" t="s">
        <v>170</v>
      </c>
      <c r="J599" s="59" t="s">
        <v>38</v>
      </c>
      <c r="K599" s="22" t="s">
        <v>254</v>
      </c>
      <c r="L599" s="59" t="s">
        <v>171</v>
      </c>
      <c r="M599" s="22">
        <v>2</v>
      </c>
      <c r="V599" s="59" t="s">
        <v>176</v>
      </c>
      <c r="AL599" s="59" t="s">
        <v>40</v>
      </c>
      <c r="AM599" s="22" t="s">
        <v>188</v>
      </c>
      <c r="AV599" s="59" t="s">
        <v>134</v>
      </c>
      <c r="AW599" s="22" t="str">
        <f>Settings!$B$5 &amp;  "?s=" &amp; D599 &amp; "&amp;platform=ftx"</f>
        <v>https://tokensol.nfluent.io?s=COR22D436&amp;platform=ftx</v>
      </c>
      <c r="AX599" s="20" t="s">
        <v>23</v>
      </c>
      <c r="AY599" s="20">
        <v>10</v>
      </c>
      <c r="AZ599" s="20" t="s">
        <v>24</v>
      </c>
      <c r="BA599" s="20">
        <v>90</v>
      </c>
      <c r="BD599" s="14"/>
      <c r="BJ599" t="s">
        <v>255</v>
      </c>
      <c r="BK599" t="s">
        <v>184</v>
      </c>
      <c r="BN599" s="36">
        <v>100</v>
      </c>
      <c r="BO599" s="36">
        <v>100</v>
      </c>
      <c r="BP599">
        <f t="shared" si="51"/>
        <v>480</v>
      </c>
      <c r="BR599" s="38">
        <v>44713</v>
      </c>
      <c r="BS599" s="20" t="s">
        <v>185</v>
      </c>
      <c r="BT599" s="20" t="str">
        <f t="shared" si="52"/>
        <v>InCasa_COR22D436</v>
      </c>
    </row>
    <row r="600" spans="2:72" ht="18.75" customHeight="1" x14ac:dyDescent="0.25">
      <c r="B600" s="20">
        <f t="shared" si="53"/>
        <v>437</v>
      </c>
      <c r="C600" s="22" t="str">
        <f t="shared" si="49"/>
        <v>In Casa #437</v>
      </c>
      <c r="D600" t="str">
        <f t="shared" si="50"/>
        <v>COR22D437</v>
      </c>
      <c r="E600" s="58" t="s">
        <v>252</v>
      </c>
      <c r="F600" s="20">
        <v>1000</v>
      </c>
      <c r="G600" s="14" t="s">
        <v>354</v>
      </c>
      <c r="H600" s="23" t="s">
        <v>170</v>
      </c>
      <c r="J600" s="59" t="s">
        <v>38</v>
      </c>
      <c r="K600" s="22" t="s">
        <v>254</v>
      </c>
      <c r="L600" s="59" t="s">
        <v>171</v>
      </c>
      <c r="M600" s="22">
        <v>2</v>
      </c>
      <c r="V600" s="59" t="s">
        <v>176</v>
      </c>
      <c r="AL600" s="59" t="s">
        <v>40</v>
      </c>
      <c r="AM600" s="22" t="s">
        <v>188</v>
      </c>
      <c r="AV600" s="59" t="s">
        <v>134</v>
      </c>
      <c r="AW600" s="22" t="str">
        <f>Settings!$B$5 &amp;  "?s=" &amp; D600 &amp; "&amp;platform=ftx"</f>
        <v>https://tokensol.nfluent.io?s=COR22D437&amp;platform=ftx</v>
      </c>
      <c r="AX600" s="20" t="s">
        <v>23</v>
      </c>
      <c r="AY600" s="20">
        <v>10</v>
      </c>
      <c r="AZ600" s="20" t="s">
        <v>24</v>
      </c>
      <c r="BA600" s="20">
        <v>90</v>
      </c>
      <c r="BD600" s="14"/>
      <c r="BJ600" t="s">
        <v>255</v>
      </c>
      <c r="BK600" t="s">
        <v>184</v>
      </c>
      <c r="BN600" s="36">
        <v>100</v>
      </c>
      <c r="BO600" s="36">
        <v>100</v>
      </c>
      <c r="BP600">
        <f t="shared" si="51"/>
        <v>480</v>
      </c>
      <c r="BR600" s="38">
        <v>44713</v>
      </c>
      <c r="BS600" s="20" t="s">
        <v>185</v>
      </c>
      <c r="BT600" s="20" t="str">
        <f t="shared" si="52"/>
        <v>InCasa_COR22D437</v>
      </c>
    </row>
    <row r="601" spans="2:72" ht="18.75" customHeight="1" x14ac:dyDescent="0.25">
      <c r="B601" s="20">
        <f t="shared" si="53"/>
        <v>438</v>
      </c>
      <c r="C601" s="22" t="str">
        <f t="shared" si="49"/>
        <v>In Casa #438</v>
      </c>
      <c r="D601" t="str">
        <f t="shared" si="50"/>
        <v>COR22D438</v>
      </c>
      <c r="E601" s="58" t="s">
        <v>252</v>
      </c>
      <c r="F601" s="20">
        <v>1000</v>
      </c>
      <c r="G601" s="14" t="s">
        <v>354</v>
      </c>
      <c r="H601" s="23" t="s">
        <v>170</v>
      </c>
      <c r="J601" s="59" t="s">
        <v>38</v>
      </c>
      <c r="K601" s="22" t="s">
        <v>254</v>
      </c>
      <c r="L601" s="59" t="s">
        <v>171</v>
      </c>
      <c r="M601" s="22">
        <v>2</v>
      </c>
      <c r="V601" s="59" t="s">
        <v>176</v>
      </c>
      <c r="AL601" s="59" t="s">
        <v>40</v>
      </c>
      <c r="AM601" s="22" t="s">
        <v>188</v>
      </c>
      <c r="AV601" s="59" t="s">
        <v>134</v>
      </c>
      <c r="AW601" s="22" t="str">
        <f>Settings!$B$5 &amp;  "?s=" &amp; D601 &amp; "&amp;platform=ftx"</f>
        <v>https://tokensol.nfluent.io?s=COR22D438&amp;platform=ftx</v>
      </c>
      <c r="AX601" s="20" t="s">
        <v>23</v>
      </c>
      <c r="AY601" s="20">
        <v>10</v>
      </c>
      <c r="AZ601" s="20" t="s">
        <v>24</v>
      </c>
      <c r="BA601" s="20">
        <v>90</v>
      </c>
      <c r="BD601" s="14"/>
      <c r="BJ601" t="s">
        <v>255</v>
      </c>
      <c r="BK601" t="s">
        <v>184</v>
      </c>
      <c r="BN601" s="36">
        <v>100</v>
      </c>
      <c r="BO601" s="36">
        <v>100</v>
      </c>
      <c r="BP601">
        <f t="shared" si="51"/>
        <v>480</v>
      </c>
      <c r="BR601" s="38">
        <v>44713</v>
      </c>
      <c r="BS601" s="20" t="s">
        <v>185</v>
      </c>
      <c r="BT601" s="20" t="str">
        <f t="shared" si="52"/>
        <v>InCasa_COR22D438</v>
      </c>
    </row>
    <row r="602" spans="2:72" ht="18.75" customHeight="1" x14ac:dyDescent="0.25">
      <c r="B602" s="20">
        <f t="shared" si="53"/>
        <v>439</v>
      </c>
      <c r="C602" s="22" t="str">
        <f t="shared" si="49"/>
        <v>In Casa #439</v>
      </c>
      <c r="D602" t="str">
        <f t="shared" si="50"/>
        <v>COR22D439</v>
      </c>
      <c r="E602" s="58" t="s">
        <v>252</v>
      </c>
      <c r="F602" s="20">
        <v>1000</v>
      </c>
      <c r="G602" s="14" t="s">
        <v>354</v>
      </c>
      <c r="H602" s="23" t="s">
        <v>170</v>
      </c>
      <c r="J602" s="59" t="s">
        <v>38</v>
      </c>
      <c r="K602" s="22" t="s">
        <v>254</v>
      </c>
      <c r="L602" s="59" t="s">
        <v>171</v>
      </c>
      <c r="M602" s="22">
        <v>2</v>
      </c>
      <c r="V602" s="59" t="s">
        <v>176</v>
      </c>
      <c r="AL602" s="59" t="s">
        <v>40</v>
      </c>
      <c r="AM602" s="22" t="s">
        <v>188</v>
      </c>
      <c r="AV602" s="59" t="s">
        <v>134</v>
      </c>
      <c r="AW602" s="22" t="str">
        <f>Settings!$B$5 &amp;  "?s=" &amp; D602 &amp; "&amp;platform=ftx"</f>
        <v>https://tokensol.nfluent.io?s=COR22D439&amp;platform=ftx</v>
      </c>
      <c r="AX602" s="20" t="s">
        <v>23</v>
      </c>
      <c r="AY602" s="20">
        <v>10</v>
      </c>
      <c r="AZ602" s="20" t="s">
        <v>24</v>
      </c>
      <c r="BA602" s="20">
        <v>90</v>
      </c>
      <c r="BD602" s="14"/>
      <c r="BJ602" t="s">
        <v>255</v>
      </c>
      <c r="BK602" t="s">
        <v>184</v>
      </c>
      <c r="BN602" s="36">
        <v>100</v>
      </c>
      <c r="BO602" s="36">
        <v>100</v>
      </c>
      <c r="BP602">
        <f t="shared" si="51"/>
        <v>480</v>
      </c>
      <c r="BR602" s="38">
        <v>44713</v>
      </c>
      <c r="BS602" s="20" t="s">
        <v>185</v>
      </c>
      <c r="BT602" s="20" t="str">
        <f t="shared" si="52"/>
        <v>InCasa_COR22D439</v>
      </c>
    </row>
    <row r="603" spans="2:72" ht="18.75" customHeight="1" x14ac:dyDescent="0.25">
      <c r="B603" s="20">
        <f t="shared" si="53"/>
        <v>440</v>
      </c>
      <c r="C603" s="22" t="str">
        <f t="shared" si="49"/>
        <v>In Casa #440</v>
      </c>
      <c r="D603" t="str">
        <f t="shared" si="50"/>
        <v>COR22D440</v>
      </c>
      <c r="E603" s="58" t="s">
        <v>252</v>
      </c>
      <c r="F603" s="20">
        <v>1000</v>
      </c>
      <c r="G603" s="14" t="s">
        <v>354</v>
      </c>
      <c r="H603" s="23" t="s">
        <v>170</v>
      </c>
      <c r="J603" s="59" t="s">
        <v>38</v>
      </c>
      <c r="K603" s="22" t="s">
        <v>254</v>
      </c>
      <c r="L603" s="59" t="s">
        <v>171</v>
      </c>
      <c r="M603" s="22">
        <v>2</v>
      </c>
      <c r="V603" s="59" t="s">
        <v>176</v>
      </c>
      <c r="AL603" s="59" t="s">
        <v>40</v>
      </c>
      <c r="AM603" s="22" t="s">
        <v>188</v>
      </c>
      <c r="AV603" s="59" t="s">
        <v>134</v>
      </c>
      <c r="AW603" s="22" t="str">
        <f>Settings!$B$5 &amp;  "?s=" &amp; D603 &amp; "&amp;platform=ftx"</f>
        <v>https://tokensol.nfluent.io?s=COR22D440&amp;platform=ftx</v>
      </c>
      <c r="AX603" s="20" t="s">
        <v>23</v>
      </c>
      <c r="AY603" s="20">
        <v>10</v>
      </c>
      <c r="AZ603" s="20" t="s">
        <v>24</v>
      </c>
      <c r="BA603" s="20">
        <v>90</v>
      </c>
      <c r="BD603" s="14"/>
      <c r="BJ603" t="s">
        <v>255</v>
      </c>
      <c r="BK603" t="s">
        <v>184</v>
      </c>
      <c r="BN603" s="36">
        <v>100</v>
      </c>
      <c r="BO603" s="36">
        <v>100</v>
      </c>
      <c r="BP603">
        <f t="shared" si="51"/>
        <v>480</v>
      </c>
      <c r="BR603" s="38">
        <v>44713</v>
      </c>
      <c r="BS603" s="20" t="s">
        <v>185</v>
      </c>
      <c r="BT603" s="20" t="str">
        <f t="shared" si="52"/>
        <v>InCasa_COR22D440</v>
      </c>
    </row>
    <row r="604" spans="2:72" ht="18.75" customHeight="1" x14ac:dyDescent="0.25">
      <c r="B604" s="20">
        <f t="shared" si="53"/>
        <v>441</v>
      </c>
      <c r="C604" s="22" t="str">
        <f t="shared" si="49"/>
        <v>In Casa #441</v>
      </c>
      <c r="D604" t="str">
        <f t="shared" si="50"/>
        <v>COR22D441</v>
      </c>
      <c r="E604" s="58" t="s">
        <v>252</v>
      </c>
      <c r="F604" s="20">
        <v>1000</v>
      </c>
      <c r="G604" s="14" t="s">
        <v>354</v>
      </c>
      <c r="H604" s="23" t="s">
        <v>170</v>
      </c>
      <c r="J604" s="59" t="s">
        <v>38</v>
      </c>
      <c r="K604" s="22" t="s">
        <v>254</v>
      </c>
      <c r="L604" s="59" t="s">
        <v>171</v>
      </c>
      <c r="M604" s="22">
        <v>2</v>
      </c>
      <c r="V604" s="59" t="s">
        <v>176</v>
      </c>
      <c r="AL604" s="59" t="s">
        <v>40</v>
      </c>
      <c r="AM604" s="22" t="s">
        <v>188</v>
      </c>
      <c r="AV604" s="59" t="s">
        <v>134</v>
      </c>
      <c r="AW604" s="22" t="str">
        <f>Settings!$B$5 &amp;  "?s=" &amp; D604 &amp; "&amp;platform=ftx"</f>
        <v>https://tokensol.nfluent.io?s=COR22D441&amp;platform=ftx</v>
      </c>
      <c r="AX604" s="20" t="s">
        <v>23</v>
      </c>
      <c r="AY604" s="20">
        <v>10</v>
      </c>
      <c r="AZ604" s="20" t="s">
        <v>24</v>
      </c>
      <c r="BA604" s="20">
        <v>90</v>
      </c>
      <c r="BD604" s="14"/>
      <c r="BJ604" t="s">
        <v>255</v>
      </c>
      <c r="BK604" t="s">
        <v>184</v>
      </c>
      <c r="BN604" s="36">
        <v>100</v>
      </c>
      <c r="BO604" s="36">
        <v>100</v>
      </c>
      <c r="BP604">
        <f t="shared" si="51"/>
        <v>480</v>
      </c>
      <c r="BR604" s="38">
        <v>44713</v>
      </c>
      <c r="BS604" s="20" t="s">
        <v>185</v>
      </c>
      <c r="BT604" s="20" t="str">
        <f t="shared" si="52"/>
        <v>InCasa_COR22D441</v>
      </c>
    </row>
    <row r="605" spans="2:72" ht="18.75" customHeight="1" x14ac:dyDescent="0.25">
      <c r="B605" s="20">
        <f t="shared" si="53"/>
        <v>442</v>
      </c>
      <c r="C605" s="22" t="str">
        <f t="shared" si="49"/>
        <v>In Casa #442</v>
      </c>
      <c r="D605" t="str">
        <f t="shared" si="50"/>
        <v>COR22D442</v>
      </c>
      <c r="E605" s="58" t="s">
        <v>252</v>
      </c>
      <c r="F605" s="20">
        <v>1000</v>
      </c>
      <c r="G605" s="14" t="s">
        <v>354</v>
      </c>
      <c r="H605" s="23" t="s">
        <v>170</v>
      </c>
      <c r="J605" s="59" t="s">
        <v>38</v>
      </c>
      <c r="K605" s="22" t="s">
        <v>254</v>
      </c>
      <c r="L605" s="59" t="s">
        <v>171</v>
      </c>
      <c r="M605" s="22">
        <v>2</v>
      </c>
      <c r="V605" s="59" t="s">
        <v>176</v>
      </c>
      <c r="AL605" s="59" t="s">
        <v>40</v>
      </c>
      <c r="AM605" s="22" t="s">
        <v>188</v>
      </c>
      <c r="AV605" s="59" t="s">
        <v>134</v>
      </c>
      <c r="AW605" s="22" t="str">
        <f>Settings!$B$5 &amp;  "?s=" &amp; D605 &amp; "&amp;platform=ftx"</f>
        <v>https://tokensol.nfluent.io?s=COR22D442&amp;platform=ftx</v>
      </c>
      <c r="AX605" s="20" t="s">
        <v>23</v>
      </c>
      <c r="AY605" s="20">
        <v>10</v>
      </c>
      <c r="AZ605" s="20" t="s">
        <v>24</v>
      </c>
      <c r="BA605" s="20">
        <v>90</v>
      </c>
      <c r="BD605" s="14"/>
      <c r="BJ605" t="s">
        <v>255</v>
      </c>
      <c r="BK605" t="s">
        <v>184</v>
      </c>
      <c r="BN605" s="36">
        <v>100</v>
      </c>
      <c r="BO605" s="36">
        <v>100</v>
      </c>
      <c r="BP605">
        <f t="shared" si="51"/>
        <v>480</v>
      </c>
      <c r="BR605" s="38">
        <v>44713</v>
      </c>
      <c r="BS605" s="20" t="s">
        <v>185</v>
      </c>
      <c r="BT605" s="20" t="str">
        <f t="shared" si="52"/>
        <v>InCasa_COR22D442</v>
      </c>
    </row>
    <row r="606" spans="2:72" ht="18.75" customHeight="1" x14ac:dyDescent="0.25">
      <c r="B606" s="20">
        <f t="shared" si="53"/>
        <v>443</v>
      </c>
      <c r="C606" s="22" t="str">
        <f t="shared" si="49"/>
        <v>In Casa #443</v>
      </c>
      <c r="D606" t="str">
        <f t="shared" si="50"/>
        <v>COR22D443</v>
      </c>
      <c r="E606" s="58" t="s">
        <v>252</v>
      </c>
      <c r="F606" s="20">
        <v>1000</v>
      </c>
      <c r="G606" s="14" t="s">
        <v>354</v>
      </c>
      <c r="H606" s="23" t="s">
        <v>170</v>
      </c>
      <c r="J606" s="59" t="s">
        <v>38</v>
      </c>
      <c r="K606" s="22" t="s">
        <v>254</v>
      </c>
      <c r="L606" s="59" t="s">
        <v>171</v>
      </c>
      <c r="M606" s="22">
        <v>2</v>
      </c>
      <c r="V606" s="59" t="s">
        <v>176</v>
      </c>
      <c r="AL606" s="59" t="s">
        <v>40</v>
      </c>
      <c r="AM606" s="22" t="s">
        <v>188</v>
      </c>
      <c r="AV606" s="59" t="s">
        <v>134</v>
      </c>
      <c r="AW606" s="22" t="str">
        <f>Settings!$B$5 &amp;  "?s=" &amp; D606 &amp; "&amp;platform=ftx"</f>
        <v>https://tokensol.nfluent.io?s=COR22D443&amp;platform=ftx</v>
      </c>
      <c r="AX606" s="20" t="s">
        <v>23</v>
      </c>
      <c r="AY606" s="20">
        <v>10</v>
      </c>
      <c r="AZ606" s="20" t="s">
        <v>24</v>
      </c>
      <c r="BA606" s="20">
        <v>90</v>
      </c>
      <c r="BD606" s="14"/>
      <c r="BJ606" t="s">
        <v>255</v>
      </c>
      <c r="BK606" t="s">
        <v>184</v>
      </c>
      <c r="BN606" s="36">
        <v>100</v>
      </c>
      <c r="BO606" s="36">
        <v>100</v>
      </c>
      <c r="BP606">
        <f t="shared" si="51"/>
        <v>480</v>
      </c>
      <c r="BR606" s="38">
        <v>44713</v>
      </c>
      <c r="BS606" s="20" t="s">
        <v>185</v>
      </c>
      <c r="BT606" s="20" t="str">
        <f t="shared" si="52"/>
        <v>InCasa_COR22D443</v>
      </c>
    </row>
    <row r="607" spans="2:72" ht="18.75" customHeight="1" x14ac:dyDescent="0.25">
      <c r="B607" s="20">
        <f t="shared" si="53"/>
        <v>444</v>
      </c>
      <c r="C607" s="22" t="str">
        <f t="shared" si="49"/>
        <v>In Casa #444</v>
      </c>
      <c r="D607" t="str">
        <f t="shared" si="50"/>
        <v>COR22D444</v>
      </c>
      <c r="E607" s="58" t="s">
        <v>252</v>
      </c>
      <c r="F607" s="20">
        <v>1000</v>
      </c>
      <c r="G607" s="14" t="s">
        <v>354</v>
      </c>
      <c r="H607" s="23" t="s">
        <v>170</v>
      </c>
      <c r="J607" s="59" t="s">
        <v>38</v>
      </c>
      <c r="K607" s="22" t="s">
        <v>254</v>
      </c>
      <c r="L607" s="59" t="s">
        <v>171</v>
      </c>
      <c r="M607" s="22">
        <v>2</v>
      </c>
      <c r="V607" s="59" t="s">
        <v>176</v>
      </c>
      <c r="AL607" s="59" t="s">
        <v>40</v>
      </c>
      <c r="AM607" s="22" t="s">
        <v>188</v>
      </c>
      <c r="AV607" s="59" t="s">
        <v>134</v>
      </c>
      <c r="AW607" s="22" t="str">
        <f>Settings!$B$5 &amp;  "?s=" &amp; D607 &amp; "&amp;platform=ftx"</f>
        <v>https://tokensol.nfluent.io?s=COR22D444&amp;platform=ftx</v>
      </c>
      <c r="AX607" s="20" t="s">
        <v>23</v>
      </c>
      <c r="AY607" s="20">
        <v>10</v>
      </c>
      <c r="AZ607" s="20" t="s">
        <v>24</v>
      </c>
      <c r="BA607" s="20">
        <v>90</v>
      </c>
      <c r="BD607" s="14"/>
      <c r="BJ607" t="s">
        <v>255</v>
      </c>
      <c r="BK607" t="s">
        <v>184</v>
      </c>
      <c r="BN607" s="36">
        <v>100</v>
      </c>
      <c r="BO607" s="36">
        <v>100</v>
      </c>
      <c r="BP607">
        <f t="shared" si="51"/>
        <v>480</v>
      </c>
      <c r="BR607" s="38">
        <v>44713</v>
      </c>
      <c r="BS607" s="20" t="s">
        <v>185</v>
      </c>
      <c r="BT607" s="20" t="str">
        <f t="shared" si="52"/>
        <v>InCasa_COR22D444</v>
      </c>
    </row>
    <row r="608" spans="2:72" ht="18.75" customHeight="1" x14ac:dyDescent="0.25">
      <c r="B608" s="20">
        <f t="shared" si="53"/>
        <v>445</v>
      </c>
      <c r="C608" s="22" t="str">
        <f t="shared" si="49"/>
        <v>In Casa #445</v>
      </c>
      <c r="D608" t="str">
        <f t="shared" si="50"/>
        <v>COR22D445</v>
      </c>
      <c r="E608" s="58" t="s">
        <v>252</v>
      </c>
      <c r="F608" s="20">
        <v>1000</v>
      </c>
      <c r="G608" s="14" t="s">
        <v>354</v>
      </c>
      <c r="H608" s="23" t="s">
        <v>170</v>
      </c>
      <c r="J608" s="59" t="s">
        <v>38</v>
      </c>
      <c r="K608" s="22" t="s">
        <v>254</v>
      </c>
      <c r="L608" s="59" t="s">
        <v>171</v>
      </c>
      <c r="M608" s="22">
        <v>2</v>
      </c>
      <c r="V608" s="59" t="s">
        <v>176</v>
      </c>
      <c r="AL608" s="59" t="s">
        <v>40</v>
      </c>
      <c r="AM608" s="22" t="s">
        <v>188</v>
      </c>
      <c r="AV608" s="59" t="s">
        <v>134</v>
      </c>
      <c r="AW608" s="22" t="str">
        <f>Settings!$B$5 &amp;  "?s=" &amp; D608 &amp; "&amp;platform=ftx"</f>
        <v>https://tokensol.nfluent.io?s=COR22D445&amp;platform=ftx</v>
      </c>
      <c r="AX608" s="20" t="s">
        <v>23</v>
      </c>
      <c r="AY608" s="20">
        <v>10</v>
      </c>
      <c r="AZ608" s="20" t="s">
        <v>24</v>
      </c>
      <c r="BA608" s="20">
        <v>90</v>
      </c>
      <c r="BD608" s="14"/>
      <c r="BJ608" t="s">
        <v>255</v>
      </c>
      <c r="BK608" t="s">
        <v>184</v>
      </c>
      <c r="BN608" s="36">
        <v>100</v>
      </c>
      <c r="BO608" s="36">
        <v>100</v>
      </c>
      <c r="BP608">
        <f t="shared" si="51"/>
        <v>480</v>
      </c>
      <c r="BR608" s="38">
        <v>44713</v>
      </c>
      <c r="BS608" s="20" t="s">
        <v>185</v>
      </c>
      <c r="BT608" s="20" t="str">
        <f t="shared" si="52"/>
        <v>InCasa_COR22D445</v>
      </c>
    </row>
    <row r="609" spans="2:72" ht="18.75" customHeight="1" x14ac:dyDescent="0.25">
      <c r="B609" s="20">
        <f t="shared" si="53"/>
        <v>446</v>
      </c>
      <c r="C609" s="22" t="str">
        <f t="shared" si="49"/>
        <v>In Casa #446</v>
      </c>
      <c r="D609" t="str">
        <f t="shared" si="50"/>
        <v>COR22D446</v>
      </c>
      <c r="E609" s="58" t="s">
        <v>252</v>
      </c>
      <c r="F609" s="20">
        <v>1000</v>
      </c>
      <c r="G609" s="14" t="s">
        <v>354</v>
      </c>
      <c r="H609" s="23" t="s">
        <v>170</v>
      </c>
      <c r="J609" s="59" t="s">
        <v>38</v>
      </c>
      <c r="K609" s="22" t="s">
        <v>254</v>
      </c>
      <c r="L609" s="59" t="s">
        <v>171</v>
      </c>
      <c r="M609" s="22">
        <v>2</v>
      </c>
      <c r="V609" s="59" t="s">
        <v>176</v>
      </c>
      <c r="AL609" s="59" t="s">
        <v>40</v>
      </c>
      <c r="AM609" s="22" t="s">
        <v>188</v>
      </c>
      <c r="AV609" s="59" t="s">
        <v>134</v>
      </c>
      <c r="AW609" s="22" t="str">
        <f>Settings!$B$5 &amp;  "?s=" &amp; D609 &amp; "&amp;platform=ftx"</f>
        <v>https://tokensol.nfluent.io?s=COR22D446&amp;platform=ftx</v>
      </c>
      <c r="AX609" s="20" t="s">
        <v>23</v>
      </c>
      <c r="AY609" s="20">
        <v>10</v>
      </c>
      <c r="AZ609" s="20" t="s">
        <v>24</v>
      </c>
      <c r="BA609" s="20">
        <v>90</v>
      </c>
      <c r="BD609" s="14"/>
      <c r="BJ609" t="s">
        <v>255</v>
      </c>
      <c r="BK609" t="s">
        <v>184</v>
      </c>
      <c r="BN609" s="36">
        <v>100</v>
      </c>
      <c r="BO609" s="36">
        <v>100</v>
      </c>
      <c r="BP609">
        <f t="shared" si="51"/>
        <v>480</v>
      </c>
      <c r="BR609" s="38">
        <v>44713</v>
      </c>
      <c r="BS609" s="20" t="s">
        <v>185</v>
      </c>
      <c r="BT609" s="20" t="str">
        <f t="shared" si="52"/>
        <v>InCasa_COR22D446</v>
      </c>
    </row>
    <row r="610" spans="2:72" ht="18.75" customHeight="1" x14ac:dyDescent="0.25">
      <c r="B610" s="20">
        <f t="shared" si="53"/>
        <v>447</v>
      </c>
      <c r="C610" s="22" t="str">
        <f t="shared" si="49"/>
        <v>In Casa #447</v>
      </c>
      <c r="D610" t="str">
        <f t="shared" si="50"/>
        <v>COR22D447</v>
      </c>
      <c r="E610" s="58" t="s">
        <v>252</v>
      </c>
      <c r="F610" s="20">
        <v>1000</v>
      </c>
      <c r="G610" s="14" t="s">
        <v>354</v>
      </c>
      <c r="H610" s="23" t="s">
        <v>170</v>
      </c>
      <c r="J610" s="59" t="s">
        <v>38</v>
      </c>
      <c r="K610" s="22" t="s">
        <v>254</v>
      </c>
      <c r="L610" s="59" t="s">
        <v>171</v>
      </c>
      <c r="M610" s="22">
        <v>2</v>
      </c>
      <c r="V610" s="59" t="s">
        <v>176</v>
      </c>
      <c r="AL610" s="59" t="s">
        <v>40</v>
      </c>
      <c r="AM610" s="22" t="s">
        <v>188</v>
      </c>
      <c r="AV610" s="59" t="s">
        <v>134</v>
      </c>
      <c r="AW610" s="22" t="str">
        <f>Settings!$B$5 &amp;  "?s=" &amp; D610 &amp; "&amp;platform=ftx"</f>
        <v>https://tokensol.nfluent.io?s=COR22D447&amp;platform=ftx</v>
      </c>
      <c r="AX610" s="20" t="s">
        <v>23</v>
      </c>
      <c r="AY610" s="20">
        <v>10</v>
      </c>
      <c r="AZ610" s="20" t="s">
        <v>24</v>
      </c>
      <c r="BA610" s="20">
        <v>90</v>
      </c>
      <c r="BD610" s="14"/>
      <c r="BJ610" t="s">
        <v>255</v>
      </c>
      <c r="BK610" t="s">
        <v>184</v>
      </c>
      <c r="BN610" s="36">
        <v>100</v>
      </c>
      <c r="BO610" s="36">
        <v>100</v>
      </c>
      <c r="BP610">
        <f t="shared" si="51"/>
        <v>480</v>
      </c>
      <c r="BR610" s="38">
        <v>44713</v>
      </c>
      <c r="BS610" s="20" t="s">
        <v>185</v>
      </c>
      <c r="BT610" s="20" t="str">
        <f t="shared" si="52"/>
        <v>InCasa_COR22D447</v>
      </c>
    </row>
    <row r="611" spans="2:72" ht="18.75" customHeight="1" x14ac:dyDescent="0.25">
      <c r="B611" s="20">
        <f t="shared" si="53"/>
        <v>448</v>
      </c>
      <c r="C611" s="22" t="str">
        <f t="shared" si="49"/>
        <v>In Casa #448</v>
      </c>
      <c r="D611" t="str">
        <f t="shared" si="50"/>
        <v>COR22D448</v>
      </c>
      <c r="E611" s="58" t="s">
        <v>252</v>
      </c>
      <c r="F611" s="20">
        <v>1000</v>
      </c>
      <c r="G611" s="14" t="s">
        <v>354</v>
      </c>
      <c r="H611" s="23" t="s">
        <v>170</v>
      </c>
      <c r="J611" s="59" t="s">
        <v>38</v>
      </c>
      <c r="K611" s="22" t="s">
        <v>254</v>
      </c>
      <c r="L611" s="59" t="s">
        <v>171</v>
      </c>
      <c r="M611" s="22">
        <v>2</v>
      </c>
      <c r="V611" s="59" t="s">
        <v>176</v>
      </c>
      <c r="AL611" s="59" t="s">
        <v>40</v>
      </c>
      <c r="AM611" s="22" t="s">
        <v>188</v>
      </c>
      <c r="AV611" s="59" t="s">
        <v>134</v>
      </c>
      <c r="AW611" s="22" t="str">
        <f>Settings!$B$5 &amp;  "?s=" &amp; D611 &amp; "&amp;platform=ftx"</f>
        <v>https://tokensol.nfluent.io?s=COR22D448&amp;platform=ftx</v>
      </c>
      <c r="AX611" s="20" t="s">
        <v>23</v>
      </c>
      <c r="AY611" s="20">
        <v>10</v>
      </c>
      <c r="AZ611" s="20" t="s">
        <v>24</v>
      </c>
      <c r="BA611" s="20">
        <v>90</v>
      </c>
      <c r="BD611" s="14"/>
      <c r="BJ611" t="s">
        <v>255</v>
      </c>
      <c r="BK611" t="s">
        <v>184</v>
      </c>
      <c r="BN611" s="36">
        <v>100</v>
      </c>
      <c r="BO611" s="36">
        <v>100</v>
      </c>
      <c r="BP611">
        <f t="shared" si="51"/>
        <v>480</v>
      </c>
      <c r="BR611" s="38">
        <v>44713</v>
      </c>
      <c r="BS611" s="20" t="s">
        <v>185</v>
      </c>
      <c r="BT611" s="20" t="str">
        <f t="shared" si="52"/>
        <v>InCasa_COR22D448</v>
      </c>
    </row>
    <row r="612" spans="2:72" ht="18.75" customHeight="1" x14ac:dyDescent="0.25">
      <c r="B612" s="20">
        <f t="shared" si="53"/>
        <v>449</v>
      </c>
      <c r="C612" s="22" t="str">
        <f t="shared" si="49"/>
        <v>In Casa #449</v>
      </c>
      <c r="D612" t="str">
        <f t="shared" si="50"/>
        <v>COR22D449</v>
      </c>
      <c r="E612" s="58" t="s">
        <v>252</v>
      </c>
      <c r="F612" s="20">
        <v>1000</v>
      </c>
      <c r="G612" s="14" t="s">
        <v>354</v>
      </c>
      <c r="H612" s="23" t="s">
        <v>170</v>
      </c>
      <c r="J612" s="59" t="s">
        <v>38</v>
      </c>
      <c r="K612" s="22" t="s">
        <v>254</v>
      </c>
      <c r="L612" s="59" t="s">
        <v>171</v>
      </c>
      <c r="M612" s="22">
        <v>2</v>
      </c>
      <c r="V612" s="59" t="s">
        <v>176</v>
      </c>
      <c r="AL612" s="59" t="s">
        <v>40</v>
      </c>
      <c r="AM612" s="22" t="s">
        <v>188</v>
      </c>
      <c r="AV612" s="59" t="s">
        <v>134</v>
      </c>
      <c r="AW612" s="22" t="str">
        <f>Settings!$B$5 &amp;  "?s=" &amp; D612 &amp; "&amp;platform=ftx"</f>
        <v>https://tokensol.nfluent.io?s=COR22D449&amp;platform=ftx</v>
      </c>
      <c r="AX612" s="20" t="s">
        <v>23</v>
      </c>
      <c r="AY612" s="20">
        <v>10</v>
      </c>
      <c r="AZ612" s="20" t="s">
        <v>24</v>
      </c>
      <c r="BA612" s="20">
        <v>90</v>
      </c>
      <c r="BD612" s="14"/>
      <c r="BJ612" t="s">
        <v>255</v>
      </c>
      <c r="BK612" t="s">
        <v>184</v>
      </c>
      <c r="BN612" s="36">
        <v>100</v>
      </c>
      <c r="BO612" s="36">
        <v>100</v>
      </c>
      <c r="BP612">
        <f t="shared" si="51"/>
        <v>480</v>
      </c>
      <c r="BR612" s="38">
        <v>44713</v>
      </c>
      <c r="BS612" s="20" t="s">
        <v>185</v>
      </c>
      <c r="BT612" s="20" t="str">
        <f t="shared" si="52"/>
        <v>InCasa_COR22D449</v>
      </c>
    </row>
    <row r="613" spans="2:72" ht="18.75" customHeight="1" x14ac:dyDescent="0.25">
      <c r="B613" s="20">
        <f t="shared" si="53"/>
        <v>450</v>
      </c>
      <c r="C613" s="22" t="str">
        <f t="shared" ref="C613:C676" si="54">+"In Casa #"&amp;B613</f>
        <v>In Casa #450</v>
      </c>
      <c r="D613" t="str">
        <f t="shared" ref="D613:D676" si="55">"COR22D"&amp;B613</f>
        <v>COR22D450</v>
      </c>
      <c r="E613" s="58" t="s">
        <v>252</v>
      </c>
      <c r="F613" s="20">
        <v>1000</v>
      </c>
      <c r="G613" s="14" t="s">
        <v>354</v>
      </c>
      <c r="H613" s="23" t="s">
        <v>170</v>
      </c>
      <c r="J613" s="59" t="s">
        <v>38</v>
      </c>
      <c r="K613" s="22" t="s">
        <v>254</v>
      </c>
      <c r="L613" s="59" t="s">
        <v>171</v>
      </c>
      <c r="M613" s="22">
        <v>2</v>
      </c>
      <c r="V613" s="59" t="s">
        <v>176</v>
      </c>
      <c r="AL613" s="59" t="s">
        <v>40</v>
      </c>
      <c r="AM613" s="22" t="s">
        <v>188</v>
      </c>
      <c r="AV613" s="59" t="s">
        <v>134</v>
      </c>
      <c r="AW613" s="22" t="str">
        <f>Settings!$B$5 &amp;  "?s=" &amp; D613 &amp; "&amp;platform=ftx"</f>
        <v>https://tokensol.nfluent.io?s=COR22D450&amp;platform=ftx</v>
      </c>
      <c r="AX613" s="20" t="s">
        <v>23</v>
      </c>
      <c r="AY613" s="20">
        <v>10</v>
      </c>
      <c r="AZ613" s="20" t="s">
        <v>24</v>
      </c>
      <c r="BA613" s="20">
        <v>90</v>
      </c>
      <c r="BD613" s="14"/>
      <c r="BJ613" t="s">
        <v>255</v>
      </c>
      <c r="BK613" t="s">
        <v>184</v>
      </c>
      <c r="BN613" s="36">
        <v>100</v>
      </c>
      <c r="BO613" s="36">
        <v>100</v>
      </c>
      <c r="BP613">
        <f t="shared" ref="BP613:BP676" si="56">24*20</f>
        <v>480</v>
      </c>
      <c r="BR613" s="38">
        <v>44713</v>
      </c>
      <c r="BS613" s="20" t="s">
        <v>185</v>
      </c>
      <c r="BT613" s="20" t="str">
        <f t="shared" si="52"/>
        <v>InCasa_COR22D450</v>
      </c>
    </row>
    <row r="614" spans="2:72" ht="18.75" customHeight="1" x14ac:dyDescent="0.25">
      <c r="B614" s="20">
        <f t="shared" si="53"/>
        <v>451</v>
      </c>
      <c r="C614" s="22" t="str">
        <f t="shared" si="54"/>
        <v>In Casa #451</v>
      </c>
      <c r="D614" t="str">
        <f t="shared" si="55"/>
        <v>COR22D451</v>
      </c>
      <c r="E614" s="58" t="s">
        <v>252</v>
      </c>
      <c r="F614" s="20">
        <v>1000</v>
      </c>
      <c r="G614" s="14" t="s">
        <v>354</v>
      </c>
      <c r="H614" s="23" t="s">
        <v>170</v>
      </c>
      <c r="J614" s="59" t="s">
        <v>38</v>
      </c>
      <c r="K614" s="22" t="s">
        <v>254</v>
      </c>
      <c r="L614" s="59" t="s">
        <v>171</v>
      </c>
      <c r="M614" s="22">
        <v>2</v>
      </c>
      <c r="V614" s="59" t="s">
        <v>176</v>
      </c>
      <c r="AL614" s="59" t="s">
        <v>40</v>
      </c>
      <c r="AM614" s="22" t="s">
        <v>188</v>
      </c>
      <c r="AV614" s="59" t="s">
        <v>134</v>
      </c>
      <c r="AW614" s="22" t="str">
        <f>Settings!$B$5 &amp;  "?s=" &amp; D614 &amp; "&amp;platform=ftx"</f>
        <v>https://tokensol.nfluent.io?s=COR22D451&amp;platform=ftx</v>
      </c>
      <c r="AX614" s="20" t="s">
        <v>23</v>
      </c>
      <c r="AY614" s="20">
        <v>10</v>
      </c>
      <c r="AZ614" s="20" t="s">
        <v>24</v>
      </c>
      <c r="BA614" s="20">
        <v>90</v>
      </c>
      <c r="BD614" s="14"/>
      <c r="BJ614" t="s">
        <v>255</v>
      </c>
      <c r="BK614" t="s">
        <v>184</v>
      </c>
      <c r="BN614" s="36">
        <v>100</v>
      </c>
      <c r="BO614" s="36">
        <v>100</v>
      </c>
      <c r="BP614">
        <f t="shared" si="56"/>
        <v>480</v>
      </c>
      <c r="BR614" s="38">
        <v>44713</v>
      </c>
      <c r="BS614" s="20" t="s">
        <v>185</v>
      </c>
      <c r="BT614" s="20" t="str">
        <f t="shared" si="52"/>
        <v>InCasa_COR22D451</v>
      </c>
    </row>
    <row r="615" spans="2:72" ht="18.75" customHeight="1" x14ac:dyDescent="0.25">
      <c r="B615" s="20">
        <f t="shared" si="53"/>
        <v>452</v>
      </c>
      <c r="C615" s="22" t="str">
        <f t="shared" si="54"/>
        <v>In Casa #452</v>
      </c>
      <c r="D615" t="str">
        <f t="shared" si="55"/>
        <v>COR22D452</v>
      </c>
      <c r="E615" s="58" t="s">
        <v>252</v>
      </c>
      <c r="F615" s="20">
        <v>1000</v>
      </c>
      <c r="G615" s="14" t="s">
        <v>354</v>
      </c>
      <c r="H615" s="23" t="s">
        <v>170</v>
      </c>
      <c r="J615" s="59" t="s">
        <v>38</v>
      </c>
      <c r="K615" s="22" t="s">
        <v>254</v>
      </c>
      <c r="L615" s="59" t="s">
        <v>171</v>
      </c>
      <c r="M615" s="22">
        <v>2</v>
      </c>
      <c r="V615" s="59" t="s">
        <v>176</v>
      </c>
      <c r="AL615" s="59" t="s">
        <v>40</v>
      </c>
      <c r="AM615" s="22" t="s">
        <v>188</v>
      </c>
      <c r="AV615" s="59" t="s">
        <v>134</v>
      </c>
      <c r="AW615" s="22" t="str">
        <f>Settings!$B$5 &amp;  "?s=" &amp; D615 &amp; "&amp;platform=ftx"</f>
        <v>https://tokensol.nfluent.io?s=COR22D452&amp;platform=ftx</v>
      </c>
      <c r="AX615" s="20" t="s">
        <v>23</v>
      </c>
      <c r="AY615" s="20">
        <v>10</v>
      </c>
      <c r="AZ615" s="20" t="s">
        <v>24</v>
      </c>
      <c r="BA615" s="20">
        <v>90</v>
      </c>
      <c r="BD615" s="14"/>
      <c r="BJ615" t="s">
        <v>255</v>
      </c>
      <c r="BK615" t="s">
        <v>184</v>
      </c>
      <c r="BN615" s="36">
        <v>100</v>
      </c>
      <c r="BO615" s="36">
        <v>100</v>
      </c>
      <c r="BP615">
        <f t="shared" si="56"/>
        <v>480</v>
      </c>
      <c r="BR615" s="38">
        <v>44713</v>
      </c>
      <c r="BS615" s="20" t="s">
        <v>185</v>
      </c>
      <c r="BT615" s="20" t="str">
        <f t="shared" si="52"/>
        <v>InCasa_COR22D452</v>
      </c>
    </row>
    <row r="616" spans="2:72" ht="18.75" customHeight="1" x14ac:dyDescent="0.25">
      <c r="B616" s="20">
        <f t="shared" si="53"/>
        <v>453</v>
      </c>
      <c r="C616" s="22" t="str">
        <f t="shared" si="54"/>
        <v>In Casa #453</v>
      </c>
      <c r="D616" t="str">
        <f t="shared" si="55"/>
        <v>COR22D453</v>
      </c>
      <c r="E616" s="58" t="s">
        <v>252</v>
      </c>
      <c r="F616" s="20">
        <v>1000</v>
      </c>
      <c r="G616" s="14" t="s">
        <v>354</v>
      </c>
      <c r="H616" s="23" t="s">
        <v>170</v>
      </c>
      <c r="J616" s="59" t="s">
        <v>38</v>
      </c>
      <c r="K616" s="22" t="s">
        <v>254</v>
      </c>
      <c r="L616" s="59" t="s">
        <v>171</v>
      </c>
      <c r="M616" s="22">
        <v>2</v>
      </c>
      <c r="V616" s="59" t="s">
        <v>176</v>
      </c>
      <c r="AL616" s="59" t="s">
        <v>40</v>
      </c>
      <c r="AM616" s="22" t="s">
        <v>188</v>
      </c>
      <c r="AV616" s="59" t="s">
        <v>134</v>
      </c>
      <c r="AW616" s="22" t="str">
        <f>Settings!$B$5 &amp;  "?s=" &amp; D616 &amp; "&amp;platform=ftx"</f>
        <v>https://tokensol.nfluent.io?s=COR22D453&amp;platform=ftx</v>
      </c>
      <c r="AX616" s="20" t="s">
        <v>23</v>
      </c>
      <c r="AY616" s="20">
        <v>10</v>
      </c>
      <c r="AZ616" s="20" t="s">
        <v>24</v>
      </c>
      <c r="BA616" s="20">
        <v>90</v>
      </c>
      <c r="BD616" s="14"/>
      <c r="BJ616" t="s">
        <v>255</v>
      </c>
      <c r="BK616" t="s">
        <v>184</v>
      </c>
      <c r="BN616" s="36">
        <v>100</v>
      </c>
      <c r="BO616" s="36">
        <v>100</v>
      </c>
      <c r="BP616">
        <f t="shared" si="56"/>
        <v>480</v>
      </c>
      <c r="BR616" s="38">
        <v>44713</v>
      </c>
      <c r="BS616" s="20" t="s">
        <v>185</v>
      </c>
      <c r="BT616" s="20" t="str">
        <f t="shared" si="52"/>
        <v>InCasa_COR22D453</v>
      </c>
    </row>
    <row r="617" spans="2:72" ht="18.75" customHeight="1" x14ac:dyDescent="0.25">
      <c r="B617" s="20">
        <f t="shared" si="53"/>
        <v>454</v>
      </c>
      <c r="C617" s="22" t="str">
        <f t="shared" si="54"/>
        <v>In Casa #454</v>
      </c>
      <c r="D617" t="str">
        <f t="shared" si="55"/>
        <v>COR22D454</v>
      </c>
      <c r="E617" s="58" t="s">
        <v>252</v>
      </c>
      <c r="F617" s="20">
        <v>1000</v>
      </c>
      <c r="G617" s="14" t="s">
        <v>354</v>
      </c>
      <c r="H617" s="23" t="s">
        <v>170</v>
      </c>
      <c r="J617" s="59" t="s">
        <v>38</v>
      </c>
      <c r="K617" s="22" t="s">
        <v>254</v>
      </c>
      <c r="L617" s="59" t="s">
        <v>171</v>
      </c>
      <c r="M617" s="22">
        <v>2</v>
      </c>
      <c r="V617" s="59" t="s">
        <v>176</v>
      </c>
      <c r="AL617" s="59" t="s">
        <v>40</v>
      </c>
      <c r="AM617" s="22" t="s">
        <v>188</v>
      </c>
      <c r="AV617" s="59" t="s">
        <v>134</v>
      </c>
      <c r="AW617" s="22" t="str">
        <f>Settings!$B$5 &amp;  "?s=" &amp; D617 &amp; "&amp;platform=ftx"</f>
        <v>https://tokensol.nfluent.io?s=COR22D454&amp;platform=ftx</v>
      </c>
      <c r="AX617" s="20" t="s">
        <v>23</v>
      </c>
      <c r="AY617" s="20">
        <v>10</v>
      </c>
      <c r="AZ617" s="20" t="s">
        <v>24</v>
      </c>
      <c r="BA617" s="20">
        <v>90</v>
      </c>
      <c r="BD617" s="14"/>
      <c r="BJ617" t="s">
        <v>255</v>
      </c>
      <c r="BK617" t="s">
        <v>184</v>
      </c>
      <c r="BN617" s="36">
        <v>100</v>
      </c>
      <c r="BO617" s="36">
        <v>100</v>
      </c>
      <c r="BP617">
        <f t="shared" si="56"/>
        <v>480</v>
      </c>
      <c r="BR617" s="38">
        <v>44713</v>
      </c>
      <c r="BS617" s="20" t="s">
        <v>185</v>
      </c>
      <c r="BT617" s="20" t="str">
        <f t="shared" si="52"/>
        <v>InCasa_COR22D454</v>
      </c>
    </row>
    <row r="618" spans="2:72" ht="18.75" customHeight="1" x14ac:dyDescent="0.25">
      <c r="B618" s="20">
        <f t="shared" si="53"/>
        <v>455</v>
      </c>
      <c r="C618" s="22" t="str">
        <f t="shared" si="54"/>
        <v>In Casa #455</v>
      </c>
      <c r="D618" t="str">
        <f t="shared" si="55"/>
        <v>COR22D455</v>
      </c>
      <c r="E618" s="58" t="s">
        <v>252</v>
      </c>
      <c r="F618" s="20">
        <v>1000</v>
      </c>
      <c r="G618" s="14" t="s">
        <v>354</v>
      </c>
      <c r="H618" s="23" t="s">
        <v>170</v>
      </c>
      <c r="J618" s="59" t="s">
        <v>38</v>
      </c>
      <c r="K618" s="22" t="s">
        <v>254</v>
      </c>
      <c r="L618" s="59" t="s">
        <v>171</v>
      </c>
      <c r="M618" s="22">
        <v>2</v>
      </c>
      <c r="V618" s="59" t="s">
        <v>176</v>
      </c>
      <c r="AL618" s="59" t="s">
        <v>40</v>
      </c>
      <c r="AM618" s="22" t="s">
        <v>188</v>
      </c>
      <c r="AV618" s="59" t="s">
        <v>134</v>
      </c>
      <c r="AW618" s="22" t="str">
        <f>Settings!$B$5 &amp;  "?s=" &amp; D618 &amp; "&amp;platform=ftx"</f>
        <v>https://tokensol.nfluent.io?s=COR22D455&amp;platform=ftx</v>
      </c>
      <c r="AX618" s="20" t="s">
        <v>23</v>
      </c>
      <c r="AY618" s="20">
        <v>10</v>
      </c>
      <c r="AZ618" s="20" t="s">
        <v>24</v>
      </c>
      <c r="BA618" s="20">
        <v>90</v>
      </c>
      <c r="BD618" s="14"/>
      <c r="BJ618" t="s">
        <v>255</v>
      </c>
      <c r="BK618" t="s">
        <v>184</v>
      </c>
      <c r="BN618" s="36">
        <v>100</v>
      </c>
      <c r="BO618" s="36">
        <v>100</v>
      </c>
      <c r="BP618">
        <f t="shared" si="56"/>
        <v>480</v>
      </c>
      <c r="BR618" s="38">
        <v>44713</v>
      </c>
      <c r="BS618" s="20" t="s">
        <v>185</v>
      </c>
      <c r="BT618" s="20" t="str">
        <f t="shared" si="52"/>
        <v>InCasa_COR22D455</v>
      </c>
    </row>
    <row r="619" spans="2:72" ht="18.75" customHeight="1" x14ac:dyDescent="0.25">
      <c r="B619" s="20">
        <f t="shared" si="53"/>
        <v>456</v>
      </c>
      <c r="C619" s="22" t="str">
        <f t="shared" si="54"/>
        <v>In Casa #456</v>
      </c>
      <c r="D619" t="str">
        <f t="shared" si="55"/>
        <v>COR22D456</v>
      </c>
      <c r="E619" s="58" t="s">
        <v>252</v>
      </c>
      <c r="F619" s="20">
        <v>1000</v>
      </c>
      <c r="G619" s="14" t="s">
        <v>354</v>
      </c>
      <c r="H619" s="23" t="s">
        <v>170</v>
      </c>
      <c r="J619" s="59" t="s">
        <v>38</v>
      </c>
      <c r="K619" s="22" t="s">
        <v>254</v>
      </c>
      <c r="L619" s="59" t="s">
        <v>171</v>
      </c>
      <c r="M619" s="22">
        <v>2</v>
      </c>
      <c r="V619" s="59" t="s">
        <v>176</v>
      </c>
      <c r="AL619" s="59" t="s">
        <v>40</v>
      </c>
      <c r="AM619" s="22" t="s">
        <v>188</v>
      </c>
      <c r="AV619" s="59" t="s">
        <v>134</v>
      </c>
      <c r="AW619" s="22" t="str">
        <f>Settings!$B$5 &amp;  "?s=" &amp; D619 &amp; "&amp;platform=ftx"</f>
        <v>https://tokensol.nfluent.io?s=COR22D456&amp;platform=ftx</v>
      </c>
      <c r="AX619" s="20" t="s">
        <v>23</v>
      </c>
      <c r="AY619" s="20">
        <v>10</v>
      </c>
      <c r="AZ619" s="20" t="s">
        <v>24</v>
      </c>
      <c r="BA619" s="20">
        <v>90</v>
      </c>
      <c r="BD619" s="14"/>
      <c r="BJ619" t="s">
        <v>255</v>
      </c>
      <c r="BK619" t="s">
        <v>184</v>
      </c>
      <c r="BN619" s="36">
        <v>100</v>
      </c>
      <c r="BO619" s="36">
        <v>100</v>
      </c>
      <c r="BP619">
        <f t="shared" si="56"/>
        <v>480</v>
      </c>
      <c r="BR619" s="38">
        <v>44713</v>
      </c>
      <c r="BS619" s="20" t="s">
        <v>185</v>
      </c>
      <c r="BT619" s="20" t="str">
        <f t="shared" si="52"/>
        <v>InCasa_COR22D456</v>
      </c>
    </row>
    <row r="620" spans="2:72" ht="18.75" customHeight="1" x14ac:dyDescent="0.25">
      <c r="B620" s="20">
        <f t="shared" si="53"/>
        <v>457</v>
      </c>
      <c r="C620" s="22" t="str">
        <f t="shared" si="54"/>
        <v>In Casa #457</v>
      </c>
      <c r="D620" t="str">
        <f t="shared" si="55"/>
        <v>COR22D457</v>
      </c>
      <c r="E620" s="58" t="s">
        <v>252</v>
      </c>
      <c r="F620" s="20">
        <v>1000</v>
      </c>
      <c r="G620" s="14" t="s">
        <v>354</v>
      </c>
      <c r="H620" s="23" t="s">
        <v>170</v>
      </c>
      <c r="J620" s="59" t="s">
        <v>38</v>
      </c>
      <c r="K620" s="22" t="s">
        <v>254</v>
      </c>
      <c r="L620" s="59" t="s">
        <v>171</v>
      </c>
      <c r="M620" s="22">
        <v>2</v>
      </c>
      <c r="V620" s="59" t="s">
        <v>176</v>
      </c>
      <c r="AL620" s="59" t="s">
        <v>40</v>
      </c>
      <c r="AM620" s="22" t="s">
        <v>188</v>
      </c>
      <c r="AV620" s="59" t="s">
        <v>134</v>
      </c>
      <c r="AW620" s="22" t="str">
        <f>Settings!$B$5 &amp;  "?s=" &amp; D620 &amp; "&amp;platform=ftx"</f>
        <v>https://tokensol.nfluent.io?s=COR22D457&amp;platform=ftx</v>
      </c>
      <c r="AX620" s="20" t="s">
        <v>23</v>
      </c>
      <c r="AY620" s="20">
        <v>10</v>
      </c>
      <c r="AZ620" s="20" t="s">
        <v>24</v>
      </c>
      <c r="BA620" s="20">
        <v>90</v>
      </c>
      <c r="BD620" s="14"/>
      <c r="BJ620" t="s">
        <v>255</v>
      </c>
      <c r="BK620" t="s">
        <v>184</v>
      </c>
      <c r="BN620" s="36">
        <v>100</v>
      </c>
      <c r="BO620" s="36">
        <v>100</v>
      </c>
      <c r="BP620">
        <f t="shared" si="56"/>
        <v>480</v>
      </c>
      <c r="BR620" s="38">
        <v>44713</v>
      </c>
      <c r="BS620" s="20" t="s">
        <v>185</v>
      </c>
      <c r="BT620" s="20" t="str">
        <f t="shared" si="52"/>
        <v>InCasa_COR22D457</v>
      </c>
    </row>
    <row r="621" spans="2:72" ht="18.75" customHeight="1" x14ac:dyDescent="0.25">
      <c r="B621" s="20">
        <f t="shared" si="53"/>
        <v>458</v>
      </c>
      <c r="C621" s="22" t="str">
        <f t="shared" si="54"/>
        <v>In Casa #458</v>
      </c>
      <c r="D621" t="str">
        <f t="shared" si="55"/>
        <v>COR22D458</v>
      </c>
      <c r="E621" s="58" t="s">
        <v>252</v>
      </c>
      <c r="F621" s="20">
        <v>1000</v>
      </c>
      <c r="G621" s="14" t="s">
        <v>354</v>
      </c>
      <c r="H621" s="23" t="s">
        <v>170</v>
      </c>
      <c r="J621" s="59" t="s">
        <v>38</v>
      </c>
      <c r="K621" s="22" t="s">
        <v>254</v>
      </c>
      <c r="L621" s="59" t="s">
        <v>171</v>
      </c>
      <c r="M621" s="22">
        <v>2</v>
      </c>
      <c r="V621" s="59" t="s">
        <v>176</v>
      </c>
      <c r="AL621" s="59" t="s">
        <v>40</v>
      </c>
      <c r="AM621" s="22" t="s">
        <v>188</v>
      </c>
      <c r="AV621" s="59" t="s">
        <v>134</v>
      </c>
      <c r="AW621" s="22" t="str">
        <f>Settings!$B$5 &amp;  "?s=" &amp; D621 &amp; "&amp;platform=ftx"</f>
        <v>https://tokensol.nfluent.io?s=COR22D458&amp;platform=ftx</v>
      </c>
      <c r="AX621" s="20" t="s">
        <v>23</v>
      </c>
      <c r="AY621" s="20">
        <v>10</v>
      </c>
      <c r="AZ621" s="20" t="s">
        <v>24</v>
      </c>
      <c r="BA621" s="20">
        <v>90</v>
      </c>
      <c r="BD621" s="14"/>
      <c r="BJ621" t="s">
        <v>255</v>
      </c>
      <c r="BK621" t="s">
        <v>184</v>
      </c>
      <c r="BN621" s="36">
        <v>100</v>
      </c>
      <c r="BO621" s="36">
        <v>100</v>
      </c>
      <c r="BP621">
        <f t="shared" si="56"/>
        <v>480</v>
      </c>
      <c r="BR621" s="38">
        <v>44713</v>
      </c>
      <c r="BS621" s="20" t="s">
        <v>185</v>
      </c>
      <c r="BT621" s="20" t="str">
        <f t="shared" si="52"/>
        <v>InCasa_COR22D458</v>
      </c>
    </row>
    <row r="622" spans="2:72" ht="18.75" customHeight="1" x14ac:dyDescent="0.25">
      <c r="B622" s="20">
        <f t="shared" si="53"/>
        <v>459</v>
      </c>
      <c r="C622" s="22" t="str">
        <f t="shared" si="54"/>
        <v>In Casa #459</v>
      </c>
      <c r="D622" t="str">
        <f t="shared" si="55"/>
        <v>COR22D459</v>
      </c>
      <c r="E622" s="58" t="s">
        <v>252</v>
      </c>
      <c r="F622" s="20">
        <v>1000</v>
      </c>
      <c r="G622" s="14" t="s">
        <v>354</v>
      </c>
      <c r="H622" s="23" t="s">
        <v>170</v>
      </c>
      <c r="J622" s="59" t="s">
        <v>38</v>
      </c>
      <c r="K622" s="22" t="s">
        <v>254</v>
      </c>
      <c r="L622" s="59" t="s">
        <v>171</v>
      </c>
      <c r="M622" s="22">
        <v>2</v>
      </c>
      <c r="V622" s="59" t="s">
        <v>176</v>
      </c>
      <c r="AL622" s="59" t="s">
        <v>40</v>
      </c>
      <c r="AM622" s="22" t="s">
        <v>188</v>
      </c>
      <c r="AV622" s="59" t="s">
        <v>134</v>
      </c>
      <c r="AW622" s="22" t="str">
        <f>Settings!$B$5 &amp;  "?s=" &amp; D622 &amp; "&amp;platform=ftx"</f>
        <v>https://tokensol.nfluent.io?s=COR22D459&amp;platform=ftx</v>
      </c>
      <c r="AX622" s="20" t="s">
        <v>23</v>
      </c>
      <c r="AY622" s="20">
        <v>10</v>
      </c>
      <c r="AZ622" s="20" t="s">
        <v>24</v>
      </c>
      <c r="BA622" s="20">
        <v>90</v>
      </c>
      <c r="BD622" s="14"/>
      <c r="BJ622" t="s">
        <v>255</v>
      </c>
      <c r="BK622" t="s">
        <v>184</v>
      </c>
      <c r="BN622" s="36">
        <v>100</v>
      </c>
      <c r="BO622" s="36">
        <v>100</v>
      </c>
      <c r="BP622">
        <f t="shared" si="56"/>
        <v>480</v>
      </c>
      <c r="BR622" s="38">
        <v>44713</v>
      </c>
      <c r="BS622" s="20" t="s">
        <v>185</v>
      </c>
      <c r="BT622" s="20" t="str">
        <f t="shared" si="52"/>
        <v>InCasa_COR22D459</v>
      </c>
    </row>
    <row r="623" spans="2:72" ht="18.75" customHeight="1" x14ac:dyDescent="0.25">
      <c r="B623" s="20">
        <f t="shared" si="53"/>
        <v>460</v>
      </c>
      <c r="C623" s="22" t="str">
        <f t="shared" si="54"/>
        <v>In Casa #460</v>
      </c>
      <c r="D623" t="str">
        <f t="shared" si="55"/>
        <v>COR22D460</v>
      </c>
      <c r="E623" s="58" t="s">
        <v>252</v>
      </c>
      <c r="F623" s="20">
        <v>1000</v>
      </c>
      <c r="G623" s="14" t="s">
        <v>354</v>
      </c>
      <c r="H623" s="23" t="s">
        <v>170</v>
      </c>
      <c r="J623" s="59" t="s">
        <v>38</v>
      </c>
      <c r="K623" s="22" t="s">
        <v>254</v>
      </c>
      <c r="L623" s="59" t="s">
        <v>171</v>
      </c>
      <c r="M623" s="22">
        <v>2</v>
      </c>
      <c r="V623" s="59" t="s">
        <v>176</v>
      </c>
      <c r="AL623" s="59" t="s">
        <v>40</v>
      </c>
      <c r="AM623" s="22" t="s">
        <v>188</v>
      </c>
      <c r="AV623" s="59" t="s">
        <v>134</v>
      </c>
      <c r="AW623" s="22" t="str">
        <f>Settings!$B$5 &amp;  "?s=" &amp; D623 &amp; "&amp;platform=ftx"</f>
        <v>https://tokensol.nfluent.io?s=COR22D460&amp;platform=ftx</v>
      </c>
      <c r="AX623" s="20" t="s">
        <v>23</v>
      </c>
      <c r="AY623" s="20">
        <v>10</v>
      </c>
      <c r="AZ623" s="20" t="s">
        <v>24</v>
      </c>
      <c r="BA623" s="20">
        <v>90</v>
      </c>
      <c r="BD623" s="14"/>
      <c r="BJ623" t="s">
        <v>255</v>
      </c>
      <c r="BK623" t="s">
        <v>184</v>
      </c>
      <c r="BN623" s="36">
        <v>100</v>
      </c>
      <c r="BO623" s="36">
        <v>100</v>
      </c>
      <c r="BP623">
        <f t="shared" si="56"/>
        <v>480</v>
      </c>
      <c r="BR623" s="38">
        <v>44713</v>
      </c>
      <c r="BS623" s="20" t="s">
        <v>185</v>
      </c>
      <c r="BT623" s="20" t="str">
        <f t="shared" si="52"/>
        <v>InCasa_COR22D460</v>
      </c>
    </row>
    <row r="624" spans="2:72" ht="18.75" customHeight="1" x14ac:dyDescent="0.25">
      <c r="B624" s="20">
        <f t="shared" si="53"/>
        <v>461</v>
      </c>
      <c r="C624" s="22" t="str">
        <f t="shared" si="54"/>
        <v>In Casa #461</v>
      </c>
      <c r="D624" t="str">
        <f t="shared" si="55"/>
        <v>COR22D461</v>
      </c>
      <c r="E624" s="58" t="s">
        <v>252</v>
      </c>
      <c r="F624" s="20">
        <v>1000</v>
      </c>
      <c r="G624" s="14" t="s">
        <v>354</v>
      </c>
      <c r="H624" s="23" t="s">
        <v>170</v>
      </c>
      <c r="J624" s="59" t="s">
        <v>38</v>
      </c>
      <c r="K624" s="22" t="s">
        <v>254</v>
      </c>
      <c r="L624" s="59" t="s">
        <v>171</v>
      </c>
      <c r="M624" s="22">
        <v>2</v>
      </c>
      <c r="V624" s="59" t="s">
        <v>176</v>
      </c>
      <c r="AL624" s="59" t="s">
        <v>40</v>
      </c>
      <c r="AM624" s="22" t="s">
        <v>188</v>
      </c>
      <c r="AV624" s="59" t="s">
        <v>134</v>
      </c>
      <c r="AW624" s="22" t="str">
        <f>Settings!$B$5 &amp;  "?s=" &amp; D624 &amp; "&amp;platform=ftx"</f>
        <v>https://tokensol.nfluent.io?s=COR22D461&amp;platform=ftx</v>
      </c>
      <c r="AX624" s="20" t="s">
        <v>23</v>
      </c>
      <c r="AY624" s="20">
        <v>10</v>
      </c>
      <c r="AZ624" s="20" t="s">
        <v>24</v>
      </c>
      <c r="BA624" s="20">
        <v>90</v>
      </c>
      <c r="BD624" s="14"/>
      <c r="BJ624" t="s">
        <v>255</v>
      </c>
      <c r="BK624" t="s">
        <v>184</v>
      </c>
      <c r="BN624" s="36">
        <v>100</v>
      </c>
      <c r="BO624" s="36">
        <v>100</v>
      </c>
      <c r="BP624">
        <f t="shared" si="56"/>
        <v>480</v>
      </c>
      <c r="BR624" s="38">
        <v>44713</v>
      </c>
      <c r="BS624" s="20" t="s">
        <v>185</v>
      </c>
      <c r="BT624" s="20" t="str">
        <f t="shared" si="52"/>
        <v>InCasa_COR22D461</v>
      </c>
    </row>
    <row r="625" spans="2:72" ht="18.75" customHeight="1" x14ac:dyDescent="0.25">
      <c r="B625" s="20">
        <f t="shared" si="53"/>
        <v>462</v>
      </c>
      <c r="C625" s="22" t="str">
        <f t="shared" si="54"/>
        <v>In Casa #462</v>
      </c>
      <c r="D625" t="str">
        <f t="shared" si="55"/>
        <v>COR22D462</v>
      </c>
      <c r="E625" s="58" t="s">
        <v>252</v>
      </c>
      <c r="F625" s="20">
        <v>1000</v>
      </c>
      <c r="G625" s="14" t="s">
        <v>354</v>
      </c>
      <c r="H625" s="23" t="s">
        <v>170</v>
      </c>
      <c r="J625" s="59" t="s">
        <v>38</v>
      </c>
      <c r="K625" s="22" t="s">
        <v>254</v>
      </c>
      <c r="L625" s="59" t="s">
        <v>171</v>
      </c>
      <c r="M625" s="22">
        <v>2</v>
      </c>
      <c r="V625" s="59" t="s">
        <v>176</v>
      </c>
      <c r="AL625" s="59" t="s">
        <v>40</v>
      </c>
      <c r="AM625" s="22" t="s">
        <v>188</v>
      </c>
      <c r="AV625" s="59" t="s">
        <v>134</v>
      </c>
      <c r="AW625" s="22" t="str">
        <f>Settings!$B$5 &amp;  "?s=" &amp; D625 &amp; "&amp;platform=ftx"</f>
        <v>https://tokensol.nfluent.io?s=COR22D462&amp;platform=ftx</v>
      </c>
      <c r="AX625" s="20" t="s">
        <v>23</v>
      </c>
      <c r="AY625" s="20">
        <v>10</v>
      </c>
      <c r="AZ625" s="20" t="s">
        <v>24</v>
      </c>
      <c r="BA625" s="20">
        <v>90</v>
      </c>
      <c r="BD625" s="14"/>
      <c r="BJ625" t="s">
        <v>255</v>
      </c>
      <c r="BK625" t="s">
        <v>184</v>
      </c>
      <c r="BN625" s="36">
        <v>100</v>
      </c>
      <c r="BO625" s="36">
        <v>100</v>
      </c>
      <c r="BP625">
        <f t="shared" si="56"/>
        <v>480</v>
      </c>
      <c r="BR625" s="38">
        <v>44713</v>
      </c>
      <c r="BS625" s="20" t="s">
        <v>185</v>
      </c>
      <c r="BT625" s="20" t="str">
        <f t="shared" si="52"/>
        <v>InCasa_COR22D462</v>
      </c>
    </row>
    <row r="626" spans="2:72" ht="18.75" customHeight="1" x14ac:dyDescent="0.25">
      <c r="B626" s="20">
        <f t="shared" si="53"/>
        <v>463</v>
      </c>
      <c r="C626" s="22" t="str">
        <f t="shared" si="54"/>
        <v>In Casa #463</v>
      </c>
      <c r="D626" t="str">
        <f t="shared" si="55"/>
        <v>COR22D463</v>
      </c>
      <c r="E626" s="58" t="s">
        <v>252</v>
      </c>
      <c r="F626" s="20">
        <v>1000</v>
      </c>
      <c r="G626" s="14" t="s">
        <v>354</v>
      </c>
      <c r="H626" s="23" t="s">
        <v>170</v>
      </c>
      <c r="J626" s="59" t="s">
        <v>38</v>
      </c>
      <c r="K626" s="22" t="s">
        <v>254</v>
      </c>
      <c r="L626" s="59" t="s">
        <v>171</v>
      </c>
      <c r="M626" s="22">
        <v>2</v>
      </c>
      <c r="V626" s="59" t="s">
        <v>176</v>
      </c>
      <c r="AL626" s="59" t="s">
        <v>40</v>
      </c>
      <c r="AM626" s="22" t="s">
        <v>188</v>
      </c>
      <c r="AV626" s="59" t="s">
        <v>134</v>
      </c>
      <c r="AW626" s="22" t="str">
        <f>Settings!$B$5 &amp;  "?s=" &amp; D626 &amp; "&amp;platform=ftx"</f>
        <v>https://tokensol.nfluent.io?s=COR22D463&amp;platform=ftx</v>
      </c>
      <c r="AX626" s="20" t="s">
        <v>23</v>
      </c>
      <c r="AY626" s="20">
        <v>10</v>
      </c>
      <c r="AZ626" s="20" t="s">
        <v>24</v>
      </c>
      <c r="BA626" s="20">
        <v>90</v>
      </c>
      <c r="BD626" s="14"/>
      <c r="BJ626" t="s">
        <v>255</v>
      </c>
      <c r="BK626" t="s">
        <v>184</v>
      </c>
      <c r="BN626" s="36">
        <v>100</v>
      </c>
      <c r="BO626" s="36">
        <v>100</v>
      </c>
      <c r="BP626">
        <f t="shared" si="56"/>
        <v>480</v>
      </c>
      <c r="BR626" s="38">
        <v>44713</v>
      </c>
      <c r="BS626" s="20" t="s">
        <v>185</v>
      </c>
      <c r="BT626" s="20" t="str">
        <f t="shared" si="52"/>
        <v>InCasa_COR22D463</v>
      </c>
    </row>
    <row r="627" spans="2:72" ht="18.75" customHeight="1" x14ac:dyDescent="0.25">
      <c r="B627" s="20">
        <f t="shared" si="53"/>
        <v>464</v>
      </c>
      <c r="C627" s="22" t="str">
        <f t="shared" si="54"/>
        <v>In Casa #464</v>
      </c>
      <c r="D627" t="str">
        <f t="shared" si="55"/>
        <v>COR22D464</v>
      </c>
      <c r="E627" s="58" t="s">
        <v>252</v>
      </c>
      <c r="F627" s="20">
        <v>1000</v>
      </c>
      <c r="G627" s="14" t="s">
        <v>354</v>
      </c>
      <c r="H627" s="23" t="s">
        <v>170</v>
      </c>
      <c r="J627" s="59" t="s">
        <v>38</v>
      </c>
      <c r="K627" s="22" t="s">
        <v>254</v>
      </c>
      <c r="L627" s="59" t="s">
        <v>171</v>
      </c>
      <c r="M627" s="22">
        <v>2</v>
      </c>
      <c r="V627" s="59" t="s">
        <v>176</v>
      </c>
      <c r="AL627" s="59" t="s">
        <v>40</v>
      </c>
      <c r="AM627" s="22" t="s">
        <v>188</v>
      </c>
      <c r="AV627" s="59" t="s">
        <v>134</v>
      </c>
      <c r="AW627" s="22" t="str">
        <f>Settings!$B$5 &amp;  "?s=" &amp; D627 &amp; "&amp;platform=ftx"</f>
        <v>https://tokensol.nfluent.io?s=COR22D464&amp;platform=ftx</v>
      </c>
      <c r="AX627" s="20" t="s">
        <v>23</v>
      </c>
      <c r="AY627" s="20">
        <v>10</v>
      </c>
      <c r="AZ627" s="20" t="s">
        <v>24</v>
      </c>
      <c r="BA627" s="20">
        <v>90</v>
      </c>
      <c r="BD627" s="14"/>
      <c r="BJ627" t="s">
        <v>255</v>
      </c>
      <c r="BK627" t="s">
        <v>184</v>
      </c>
      <c r="BN627" s="36">
        <v>100</v>
      </c>
      <c r="BO627" s="36">
        <v>100</v>
      </c>
      <c r="BP627">
        <f t="shared" si="56"/>
        <v>480</v>
      </c>
      <c r="BR627" s="38">
        <v>44713</v>
      </c>
      <c r="BS627" s="20" t="s">
        <v>185</v>
      </c>
      <c r="BT627" s="20" t="str">
        <f t="shared" si="52"/>
        <v>InCasa_COR22D464</v>
      </c>
    </row>
    <row r="628" spans="2:72" ht="18.75" customHeight="1" x14ac:dyDescent="0.25">
      <c r="B628" s="20">
        <f t="shared" si="53"/>
        <v>465</v>
      </c>
      <c r="C628" s="22" t="str">
        <f t="shared" si="54"/>
        <v>In Casa #465</v>
      </c>
      <c r="D628" t="str">
        <f t="shared" si="55"/>
        <v>COR22D465</v>
      </c>
      <c r="E628" s="58" t="s">
        <v>252</v>
      </c>
      <c r="F628" s="20">
        <v>1000</v>
      </c>
      <c r="G628" s="14" t="s">
        <v>354</v>
      </c>
      <c r="H628" s="23" t="s">
        <v>170</v>
      </c>
      <c r="J628" s="59" t="s">
        <v>38</v>
      </c>
      <c r="K628" s="22" t="s">
        <v>254</v>
      </c>
      <c r="L628" s="59" t="s">
        <v>171</v>
      </c>
      <c r="M628" s="22">
        <v>2</v>
      </c>
      <c r="V628" s="59" t="s">
        <v>176</v>
      </c>
      <c r="AL628" s="59" t="s">
        <v>40</v>
      </c>
      <c r="AM628" s="22" t="s">
        <v>188</v>
      </c>
      <c r="AV628" s="59" t="s">
        <v>134</v>
      </c>
      <c r="AW628" s="22" t="str">
        <f>Settings!$B$5 &amp;  "?s=" &amp; D628 &amp; "&amp;platform=ftx"</f>
        <v>https://tokensol.nfluent.io?s=COR22D465&amp;platform=ftx</v>
      </c>
      <c r="AX628" s="20" t="s">
        <v>23</v>
      </c>
      <c r="AY628" s="20">
        <v>10</v>
      </c>
      <c r="AZ628" s="20" t="s">
        <v>24</v>
      </c>
      <c r="BA628" s="20">
        <v>90</v>
      </c>
      <c r="BD628" s="14"/>
      <c r="BJ628" t="s">
        <v>255</v>
      </c>
      <c r="BK628" t="s">
        <v>184</v>
      </c>
      <c r="BN628" s="36">
        <v>100</v>
      </c>
      <c r="BO628" s="36">
        <v>100</v>
      </c>
      <c r="BP628">
        <f t="shared" si="56"/>
        <v>480</v>
      </c>
      <c r="BR628" s="38">
        <v>44713</v>
      </c>
      <c r="BS628" s="20" t="s">
        <v>185</v>
      </c>
      <c r="BT628" s="20" t="str">
        <f t="shared" si="52"/>
        <v>InCasa_COR22D465</v>
      </c>
    </row>
    <row r="629" spans="2:72" ht="18.75" customHeight="1" x14ac:dyDescent="0.25">
      <c r="B629" s="20">
        <f t="shared" si="53"/>
        <v>466</v>
      </c>
      <c r="C629" s="22" t="str">
        <f t="shared" si="54"/>
        <v>In Casa #466</v>
      </c>
      <c r="D629" t="str">
        <f t="shared" si="55"/>
        <v>COR22D466</v>
      </c>
      <c r="E629" s="58" t="s">
        <v>252</v>
      </c>
      <c r="F629" s="20">
        <v>1000</v>
      </c>
      <c r="G629" s="14" t="s">
        <v>354</v>
      </c>
      <c r="H629" s="23" t="s">
        <v>170</v>
      </c>
      <c r="J629" s="59" t="s">
        <v>38</v>
      </c>
      <c r="K629" s="22" t="s">
        <v>254</v>
      </c>
      <c r="L629" s="59" t="s">
        <v>171</v>
      </c>
      <c r="M629" s="22">
        <v>2</v>
      </c>
      <c r="V629" s="59" t="s">
        <v>176</v>
      </c>
      <c r="AL629" s="59" t="s">
        <v>40</v>
      </c>
      <c r="AM629" s="22" t="s">
        <v>188</v>
      </c>
      <c r="AV629" s="59" t="s">
        <v>134</v>
      </c>
      <c r="AW629" s="22" t="str">
        <f>Settings!$B$5 &amp;  "?s=" &amp; D629 &amp; "&amp;platform=ftx"</f>
        <v>https://tokensol.nfluent.io?s=COR22D466&amp;platform=ftx</v>
      </c>
      <c r="AX629" s="20" t="s">
        <v>23</v>
      </c>
      <c r="AY629" s="20">
        <v>10</v>
      </c>
      <c r="AZ629" s="20" t="s">
        <v>24</v>
      </c>
      <c r="BA629" s="20">
        <v>90</v>
      </c>
      <c r="BD629" s="14"/>
      <c r="BJ629" t="s">
        <v>255</v>
      </c>
      <c r="BK629" t="s">
        <v>184</v>
      </c>
      <c r="BN629" s="36">
        <v>100</v>
      </c>
      <c r="BO629" s="36">
        <v>100</v>
      </c>
      <c r="BP629">
        <f t="shared" si="56"/>
        <v>480</v>
      </c>
      <c r="BR629" s="38">
        <v>44713</v>
      </c>
      <c r="BS629" s="20" t="s">
        <v>185</v>
      </c>
      <c r="BT629" s="20" t="str">
        <f t="shared" si="52"/>
        <v>InCasa_COR22D466</v>
      </c>
    </row>
    <row r="630" spans="2:72" ht="18.75" customHeight="1" x14ac:dyDescent="0.25">
      <c r="B630" s="20">
        <f t="shared" si="53"/>
        <v>467</v>
      </c>
      <c r="C630" s="22" t="str">
        <f t="shared" si="54"/>
        <v>In Casa #467</v>
      </c>
      <c r="D630" t="str">
        <f t="shared" si="55"/>
        <v>COR22D467</v>
      </c>
      <c r="E630" s="58" t="s">
        <v>252</v>
      </c>
      <c r="F630" s="20">
        <v>1000</v>
      </c>
      <c r="G630" s="14" t="s">
        <v>354</v>
      </c>
      <c r="H630" s="23" t="s">
        <v>170</v>
      </c>
      <c r="J630" s="59" t="s">
        <v>38</v>
      </c>
      <c r="K630" s="22" t="s">
        <v>254</v>
      </c>
      <c r="L630" s="59" t="s">
        <v>171</v>
      </c>
      <c r="M630" s="22">
        <v>2</v>
      </c>
      <c r="V630" s="59" t="s">
        <v>176</v>
      </c>
      <c r="AL630" s="59" t="s">
        <v>40</v>
      </c>
      <c r="AM630" s="22" t="s">
        <v>188</v>
      </c>
      <c r="AV630" s="59" t="s">
        <v>134</v>
      </c>
      <c r="AW630" s="22" t="str">
        <f>Settings!$B$5 &amp;  "?s=" &amp; D630 &amp; "&amp;platform=ftx"</f>
        <v>https://tokensol.nfluent.io?s=COR22D467&amp;platform=ftx</v>
      </c>
      <c r="AX630" s="20" t="s">
        <v>23</v>
      </c>
      <c r="AY630" s="20">
        <v>10</v>
      </c>
      <c r="AZ630" s="20" t="s">
        <v>24</v>
      </c>
      <c r="BA630" s="20">
        <v>90</v>
      </c>
      <c r="BD630" s="14"/>
      <c r="BJ630" t="s">
        <v>255</v>
      </c>
      <c r="BK630" t="s">
        <v>184</v>
      </c>
      <c r="BN630" s="36">
        <v>100</v>
      </c>
      <c r="BO630" s="36">
        <v>100</v>
      </c>
      <c r="BP630">
        <f t="shared" si="56"/>
        <v>480</v>
      </c>
      <c r="BR630" s="38">
        <v>44713</v>
      </c>
      <c r="BS630" s="20" t="s">
        <v>185</v>
      </c>
      <c r="BT630" s="20" t="str">
        <f t="shared" si="52"/>
        <v>InCasa_COR22D467</v>
      </c>
    </row>
    <row r="631" spans="2:72" ht="18.75" customHeight="1" x14ac:dyDescent="0.25">
      <c r="B631" s="20">
        <f t="shared" si="53"/>
        <v>468</v>
      </c>
      <c r="C631" s="22" t="str">
        <f t="shared" si="54"/>
        <v>In Casa #468</v>
      </c>
      <c r="D631" t="str">
        <f t="shared" si="55"/>
        <v>COR22D468</v>
      </c>
      <c r="E631" s="58" t="s">
        <v>252</v>
      </c>
      <c r="F631" s="20">
        <v>1000</v>
      </c>
      <c r="G631" s="14" t="s">
        <v>354</v>
      </c>
      <c r="H631" s="23" t="s">
        <v>170</v>
      </c>
      <c r="J631" s="59" t="s">
        <v>38</v>
      </c>
      <c r="K631" s="22" t="s">
        <v>254</v>
      </c>
      <c r="L631" s="59" t="s">
        <v>171</v>
      </c>
      <c r="M631" s="22">
        <v>2</v>
      </c>
      <c r="V631" s="59" t="s">
        <v>176</v>
      </c>
      <c r="AL631" s="59" t="s">
        <v>40</v>
      </c>
      <c r="AM631" s="22" t="s">
        <v>188</v>
      </c>
      <c r="AV631" s="59" t="s">
        <v>134</v>
      </c>
      <c r="AW631" s="22" t="str">
        <f>Settings!$B$5 &amp;  "?s=" &amp; D631 &amp; "&amp;platform=ftx"</f>
        <v>https://tokensol.nfluent.io?s=COR22D468&amp;platform=ftx</v>
      </c>
      <c r="AX631" s="20" t="s">
        <v>23</v>
      </c>
      <c r="AY631" s="20">
        <v>10</v>
      </c>
      <c r="AZ631" s="20" t="s">
        <v>24</v>
      </c>
      <c r="BA631" s="20">
        <v>90</v>
      </c>
      <c r="BD631" s="14"/>
      <c r="BJ631" t="s">
        <v>255</v>
      </c>
      <c r="BK631" t="s">
        <v>184</v>
      </c>
      <c r="BN631" s="36">
        <v>100</v>
      </c>
      <c r="BO631" s="36">
        <v>100</v>
      </c>
      <c r="BP631">
        <f t="shared" si="56"/>
        <v>480</v>
      </c>
      <c r="BR631" s="38">
        <v>44713</v>
      </c>
      <c r="BS631" s="20" t="s">
        <v>185</v>
      </c>
      <c r="BT631" s="20" t="str">
        <f t="shared" si="52"/>
        <v>InCasa_COR22D468</v>
      </c>
    </row>
    <row r="632" spans="2:72" ht="18.75" customHeight="1" x14ac:dyDescent="0.25">
      <c r="B632" s="20">
        <f t="shared" si="53"/>
        <v>469</v>
      </c>
      <c r="C632" s="22" t="str">
        <f t="shared" si="54"/>
        <v>In Casa #469</v>
      </c>
      <c r="D632" t="str">
        <f t="shared" si="55"/>
        <v>COR22D469</v>
      </c>
      <c r="E632" s="58" t="s">
        <v>252</v>
      </c>
      <c r="F632" s="20">
        <v>1000</v>
      </c>
      <c r="G632" s="14" t="s">
        <v>354</v>
      </c>
      <c r="H632" s="23" t="s">
        <v>170</v>
      </c>
      <c r="J632" s="59" t="s">
        <v>38</v>
      </c>
      <c r="K632" s="22" t="s">
        <v>254</v>
      </c>
      <c r="L632" s="59" t="s">
        <v>171</v>
      </c>
      <c r="M632" s="22">
        <v>2</v>
      </c>
      <c r="V632" s="59" t="s">
        <v>176</v>
      </c>
      <c r="AL632" s="59" t="s">
        <v>40</v>
      </c>
      <c r="AM632" s="22" t="s">
        <v>188</v>
      </c>
      <c r="AV632" s="59" t="s">
        <v>134</v>
      </c>
      <c r="AW632" s="22" t="str">
        <f>Settings!$B$5 &amp;  "?s=" &amp; D632 &amp; "&amp;platform=ftx"</f>
        <v>https://tokensol.nfluent.io?s=COR22D469&amp;platform=ftx</v>
      </c>
      <c r="AX632" s="20" t="s">
        <v>23</v>
      </c>
      <c r="AY632" s="20">
        <v>10</v>
      </c>
      <c r="AZ632" s="20" t="s">
        <v>24</v>
      </c>
      <c r="BA632" s="20">
        <v>90</v>
      </c>
      <c r="BD632" s="14"/>
      <c r="BJ632" t="s">
        <v>255</v>
      </c>
      <c r="BK632" t="s">
        <v>184</v>
      </c>
      <c r="BN632" s="36">
        <v>100</v>
      </c>
      <c r="BO632" s="36">
        <v>100</v>
      </c>
      <c r="BP632">
        <f t="shared" si="56"/>
        <v>480</v>
      </c>
      <c r="BR632" s="38">
        <v>44713</v>
      </c>
      <c r="BS632" s="20" t="s">
        <v>185</v>
      </c>
      <c r="BT632" s="20" t="str">
        <f t="shared" si="52"/>
        <v>InCasa_COR22D469</v>
      </c>
    </row>
    <row r="633" spans="2:72" ht="18.75" customHeight="1" x14ac:dyDescent="0.25">
      <c r="B633" s="20">
        <f t="shared" si="53"/>
        <v>470</v>
      </c>
      <c r="C633" s="22" t="str">
        <f t="shared" si="54"/>
        <v>In Casa #470</v>
      </c>
      <c r="D633" t="str">
        <f t="shared" si="55"/>
        <v>COR22D470</v>
      </c>
      <c r="E633" s="58" t="s">
        <v>252</v>
      </c>
      <c r="F633" s="20">
        <v>1000</v>
      </c>
      <c r="G633" s="14" t="s">
        <v>354</v>
      </c>
      <c r="H633" s="23" t="s">
        <v>170</v>
      </c>
      <c r="J633" s="59" t="s">
        <v>38</v>
      </c>
      <c r="K633" s="22" t="s">
        <v>254</v>
      </c>
      <c r="L633" s="59" t="s">
        <v>171</v>
      </c>
      <c r="M633" s="22">
        <v>2</v>
      </c>
      <c r="V633" s="59" t="s">
        <v>176</v>
      </c>
      <c r="AL633" s="59" t="s">
        <v>40</v>
      </c>
      <c r="AM633" s="22" t="s">
        <v>188</v>
      </c>
      <c r="AV633" s="59" t="s">
        <v>134</v>
      </c>
      <c r="AW633" s="22" t="str">
        <f>Settings!$B$5 &amp;  "?s=" &amp; D633 &amp; "&amp;platform=ftx"</f>
        <v>https://tokensol.nfluent.io?s=COR22D470&amp;platform=ftx</v>
      </c>
      <c r="AX633" s="20" t="s">
        <v>23</v>
      </c>
      <c r="AY633" s="20">
        <v>10</v>
      </c>
      <c r="AZ633" s="20" t="s">
        <v>24</v>
      </c>
      <c r="BA633" s="20">
        <v>90</v>
      </c>
      <c r="BD633" s="14"/>
      <c r="BJ633" t="s">
        <v>255</v>
      </c>
      <c r="BK633" t="s">
        <v>184</v>
      </c>
      <c r="BN633" s="36">
        <v>100</v>
      </c>
      <c r="BO633" s="36">
        <v>100</v>
      </c>
      <c r="BP633">
        <f t="shared" si="56"/>
        <v>480</v>
      </c>
      <c r="BR633" s="38">
        <v>44713</v>
      </c>
      <c r="BS633" s="20" t="s">
        <v>185</v>
      </c>
      <c r="BT633" s="20" t="str">
        <f t="shared" si="52"/>
        <v>InCasa_COR22D470</v>
      </c>
    </row>
    <row r="634" spans="2:72" ht="18.75" customHeight="1" x14ac:dyDescent="0.25">
      <c r="B634" s="20">
        <f t="shared" si="53"/>
        <v>471</v>
      </c>
      <c r="C634" s="22" t="str">
        <f t="shared" si="54"/>
        <v>In Casa #471</v>
      </c>
      <c r="D634" t="str">
        <f t="shared" si="55"/>
        <v>COR22D471</v>
      </c>
      <c r="E634" s="58" t="s">
        <v>252</v>
      </c>
      <c r="F634" s="20">
        <v>1000</v>
      </c>
      <c r="G634" s="14" t="s">
        <v>354</v>
      </c>
      <c r="H634" s="23" t="s">
        <v>170</v>
      </c>
      <c r="J634" s="59" t="s">
        <v>38</v>
      </c>
      <c r="K634" s="22" t="s">
        <v>254</v>
      </c>
      <c r="L634" s="59" t="s">
        <v>171</v>
      </c>
      <c r="M634" s="22">
        <v>2</v>
      </c>
      <c r="V634" s="59" t="s">
        <v>176</v>
      </c>
      <c r="AL634" s="59" t="s">
        <v>40</v>
      </c>
      <c r="AM634" s="22" t="s">
        <v>188</v>
      </c>
      <c r="AV634" s="59" t="s">
        <v>134</v>
      </c>
      <c r="AW634" s="22" t="str">
        <f>Settings!$B$5 &amp;  "?s=" &amp; D634 &amp; "&amp;platform=ftx"</f>
        <v>https://tokensol.nfluent.io?s=COR22D471&amp;platform=ftx</v>
      </c>
      <c r="AX634" s="20" t="s">
        <v>23</v>
      </c>
      <c r="AY634" s="20">
        <v>10</v>
      </c>
      <c r="AZ634" s="20" t="s">
        <v>24</v>
      </c>
      <c r="BA634" s="20">
        <v>90</v>
      </c>
      <c r="BD634" s="14"/>
      <c r="BJ634" t="s">
        <v>255</v>
      </c>
      <c r="BK634" t="s">
        <v>184</v>
      </c>
      <c r="BN634" s="36">
        <v>100</v>
      </c>
      <c r="BO634" s="36">
        <v>100</v>
      </c>
      <c r="BP634">
        <f t="shared" si="56"/>
        <v>480</v>
      </c>
      <c r="BR634" s="38">
        <v>44713</v>
      </c>
      <c r="BS634" s="20" t="s">
        <v>185</v>
      </c>
      <c r="BT634" s="20" t="str">
        <f t="shared" si="52"/>
        <v>InCasa_COR22D471</v>
      </c>
    </row>
    <row r="635" spans="2:72" ht="18.75" customHeight="1" x14ac:dyDescent="0.25">
      <c r="B635" s="20">
        <f t="shared" si="53"/>
        <v>472</v>
      </c>
      <c r="C635" s="22" t="str">
        <f t="shared" si="54"/>
        <v>In Casa #472</v>
      </c>
      <c r="D635" t="str">
        <f t="shared" si="55"/>
        <v>COR22D472</v>
      </c>
      <c r="E635" s="58" t="s">
        <v>252</v>
      </c>
      <c r="F635" s="20">
        <v>1000</v>
      </c>
      <c r="G635" s="14" t="s">
        <v>354</v>
      </c>
      <c r="H635" s="23" t="s">
        <v>170</v>
      </c>
      <c r="J635" s="59" t="s">
        <v>38</v>
      </c>
      <c r="K635" s="22" t="s">
        <v>254</v>
      </c>
      <c r="L635" s="59" t="s">
        <v>171</v>
      </c>
      <c r="M635" s="22">
        <v>2</v>
      </c>
      <c r="V635" s="59" t="s">
        <v>176</v>
      </c>
      <c r="AL635" s="59" t="s">
        <v>40</v>
      </c>
      <c r="AM635" s="22" t="s">
        <v>188</v>
      </c>
      <c r="AV635" s="59" t="s">
        <v>134</v>
      </c>
      <c r="AW635" s="22" t="str">
        <f>Settings!$B$5 &amp;  "?s=" &amp; D635 &amp; "&amp;platform=ftx"</f>
        <v>https://tokensol.nfluent.io?s=COR22D472&amp;platform=ftx</v>
      </c>
      <c r="AX635" s="20" t="s">
        <v>23</v>
      </c>
      <c r="AY635" s="20">
        <v>10</v>
      </c>
      <c r="AZ635" s="20" t="s">
        <v>24</v>
      </c>
      <c r="BA635" s="20">
        <v>90</v>
      </c>
      <c r="BD635" s="14"/>
      <c r="BJ635" t="s">
        <v>255</v>
      </c>
      <c r="BK635" t="s">
        <v>184</v>
      </c>
      <c r="BN635" s="36">
        <v>100</v>
      </c>
      <c r="BO635" s="36">
        <v>100</v>
      </c>
      <c r="BP635">
        <f t="shared" si="56"/>
        <v>480</v>
      </c>
      <c r="BR635" s="38">
        <v>44713</v>
      </c>
      <c r="BS635" s="20" t="s">
        <v>185</v>
      </c>
      <c r="BT635" s="20" t="str">
        <f t="shared" si="52"/>
        <v>InCasa_COR22D472</v>
      </c>
    </row>
    <row r="636" spans="2:72" ht="18.75" customHeight="1" x14ac:dyDescent="0.25">
      <c r="B636" s="20">
        <f t="shared" si="53"/>
        <v>473</v>
      </c>
      <c r="C636" s="22" t="str">
        <f t="shared" si="54"/>
        <v>In Casa #473</v>
      </c>
      <c r="D636" t="str">
        <f t="shared" si="55"/>
        <v>COR22D473</v>
      </c>
      <c r="E636" s="58" t="s">
        <v>252</v>
      </c>
      <c r="F636" s="20">
        <v>1000</v>
      </c>
      <c r="G636" s="14" t="s">
        <v>354</v>
      </c>
      <c r="H636" s="23" t="s">
        <v>170</v>
      </c>
      <c r="J636" s="59" t="s">
        <v>38</v>
      </c>
      <c r="K636" s="22" t="s">
        <v>254</v>
      </c>
      <c r="L636" s="59" t="s">
        <v>171</v>
      </c>
      <c r="M636" s="22">
        <v>2</v>
      </c>
      <c r="V636" s="59" t="s">
        <v>176</v>
      </c>
      <c r="AL636" s="59" t="s">
        <v>40</v>
      </c>
      <c r="AM636" s="22" t="s">
        <v>188</v>
      </c>
      <c r="AV636" s="59" t="s">
        <v>134</v>
      </c>
      <c r="AW636" s="22" t="str">
        <f>Settings!$B$5 &amp;  "?s=" &amp; D636 &amp; "&amp;platform=ftx"</f>
        <v>https://tokensol.nfluent.io?s=COR22D473&amp;platform=ftx</v>
      </c>
      <c r="AX636" s="20" t="s">
        <v>23</v>
      </c>
      <c r="AY636" s="20">
        <v>10</v>
      </c>
      <c r="AZ636" s="20" t="s">
        <v>24</v>
      </c>
      <c r="BA636" s="20">
        <v>90</v>
      </c>
      <c r="BD636" s="14"/>
      <c r="BJ636" t="s">
        <v>255</v>
      </c>
      <c r="BK636" t="s">
        <v>184</v>
      </c>
      <c r="BN636" s="36">
        <v>100</v>
      </c>
      <c r="BO636" s="36">
        <v>100</v>
      </c>
      <c r="BP636">
        <f t="shared" si="56"/>
        <v>480</v>
      </c>
      <c r="BR636" s="38">
        <v>44713</v>
      </c>
      <c r="BS636" s="20" t="s">
        <v>185</v>
      </c>
      <c r="BT636" s="20" t="str">
        <f t="shared" si="52"/>
        <v>InCasa_COR22D473</v>
      </c>
    </row>
    <row r="637" spans="2:72" ht="18.75" customHeight="1" x14ac:dyDescent="0.25">
      <c r="B637" s="20">
        <f t="shared" si="53"/>
        <v>474</v>
      </c>
      <c r="C637" s="22" t="str">
        <f t="shared" si="54"/>
        <v>In Casa #474</v>
      </c>
      <c r="D637" t="str">
        <f t="shared" si="55"/>
        <v>COR22D474</v>
      </c>
      <c r="E637" s="58" t="s">
        <v>252</v>
      </c>
      <c r="F637" s="20">
        <v>1000</v>
      </c>
      <c r="G637" s="14" t="s">
        <v>354</v>
      </c>
      <c r="H637" s="23" t="s">
        <v>170</v>
      </c>
      <c r="J637" s="59" t="s">
        <v>38</v>
      </c>
      <c r="K637" s="22" t="s">
        <v>254</v>
      </c>
      <c r="L637" s="59" t="s">
        <v>171</v>
      </c>
      <c r="M637" s="22">
        <v>2</v>
      </c>
      <c r="V637" s="59" t="s">
        <v>176</v>
      </c>
      <c r="AL637" s="59" t="s">
        <v>40</v>
      </c>
      <c r="AM637" s="22" t="s">
        <v>188</v>
      </c>
      <c r="AV637" s="59" t="s">
        <v>134</v>
      </c>
      <c r="AW637" s="22" t="str">
        <f>Settings!$B$5 &amp;  "?s=" &amp; D637 &amp; "&amp;platform=ftx"</f>
        <v>https://tokensol.nfluent.io?s=COR22D474&amp;platform=ftx</v>
      </c>
      <c r="AX637" s="20" t="s">
        <v>23</v>
      </c>
      <c r="AY637" s="20">
        <v>10</v>
      </c>
      <c r="AZ637" s="20" t="s">
        <v>24</v>
      </c>
      <c r="BA637" s="20">
        <v>90</v>
      </c>
      <c r="BD637" s="14"/>
      <c r="BJ637" t="s">
        <v>255</v>
      </c>
      <c r="BK637" t="s">
        <v>184</v>
      </c>
      <c r="BN637" s="36">
        <v>100</v>
      </c>
      <c r="BO637" s="36">
        <v>100</v>
      </c>
      <c r="BP637">
        <f t="shared" si="56"/>
        <v>480</v>
      </c>
      <c r="BR637" s="38">
        <v>44713</v>
      </c>
      <c r="BS637" s="20" t="s">
        <v>185</v>
      </c>
      <c r="BT637" s="20" t="str">
        <f t="shared" si="52"/>
        <v>InCasa_COR22D474</v>
      </c>
    </row>
    <row r="638" spans="2:72" ht="18.75" customHeight="1" x14ac:dyDescent="0.25">
      <c r="B638" s="20">
        <f t="shared" si="53"/>
        <v>475</v>
      </c>
      <c r="C638" s="22" t="str">
        <f t="shared" si="54"/>
        <v>In Casa #475</v>
      </c>
      <c r="D638" t="str">
        <f t="shared" si="55"/>
        <v>COR22D475</v>
      </c>
      <c r="E638" s="58" t="s">
        <v>252</v>
      </c>
      <c r="F638" s="20">
        <v>1000</v>
      </c>
      <c r="G638" s="14" t="s">
        <v>354</v>
      </c>
      <c r="H638" s="23" t="s">
        <v>170</v>
      </c>
      <c r="J638" s="59" t="s">
        <v>38</v>
      </c>
      <c r="K638" s="22" t="s">
        <v>254</v>
      </c>
      <c r="L638" s="59" t="s">
        <v>171</v>
      </c>
      <c r="M638" s="22">
        <v>2</v>
      </c>
      <c r="V638" s="59" t="s">
        <v>176</v>
      </c>
      <c r="AL638" s="59" t="s">
        <v>40</v>
      </c>
      <c r="AM638" s="22" t="s">
        <v>188</v>
      </c>
      <c r="AV638" s="59" t="s">
        <v>134</v>
      </c>
      <c r="AW638" s="22" t="str">
        <f>Settings!$B$5 &amp;  "?s=" &amp; D638 &amp; "&amp;platform=ftx"</f>
        <v>https://tokensol.nfluent.io?s=COR22D475&amp;platform=ftx</v>
      </c>
      <c r="AX638" s="20" t="s">
        <v>23</v>
      </c>
      <c r="AY638" s="20">
        <v>10</v>
      </c>
      <c r="AZ638" s="20" t="s">
        <v>24</v>
      </c>
      <c r="BA638" s="20">
        <v>90</v>
      </c>
      <c r="BD638" s="14"/>
      <c r="BJ638" t="s">
        <v>255</v>
      </c>
      <c r="BK638" t="s">
        <v>184</v>
      </c>
      <c r="BN638" s="36">
        <v>100</v>
      </c>
      <c r="BO638" s="36">
        <v>100</v>
      </c>
      <c r="BP638">
        <f t="shared" si="56"/>
        <v>480</v>
      </c>
      <c r="BR638" s="38">
        <v>44713</v>
      </c>
      <c r="BS638" s="20" t="s">
        <v>185</v>
      </c>
      <c r="BT638" s="20" t="str">
        <f t="shared" si="52"/>
        <v>InCasa_COR22D475</v>
      </c>
    </row>
    <row r="639" spans="2:72" ht="18.75" customHeight="1" x14ac:dyDescent="0.25">
      <c r="B639" s="20">
        <f t="shared" si="53"/>
        <v>476</v>
      </c>
      <c r="C639" s="22" t="str">
        <f t="shared" si="54"/>
        <v>In Casa #476</v>
      </c>
      <c r="D639" t="str">
        <f t="shared" si="55"/>
        <v>COR22D476</v>
      </c>
      <c r="E639" s="58" t="s">
        <v>252</v>
      </c>
      <c r="F639" s="20">
        <v>1000</v>
      </c>
      <c r="G639" s="14" t="s">
        <v>354</v>
      </c>
      <c r="H639" s="23" t="s">
        <v>170</v>
      </c>
      <c r="J639" s="59" t="s">
        <v>38</v>
      </c>
      <c r="K639" s="22" t="s">
        <v>254</v>
      </c>
      <c r="L639" s="59" t="s">
        <v>171</v>
      </c>
      <c r="M639" s="22">
        <v>2</v>
      </c>
      <c r="V639" s="59" t="s">
        <v>176</v>
      </c>
      <c r="AL639" s="59" t="s">
        <v>40</v>
      </c>
      <c r="AM639" s="22" t="s">
        <v>188</v>
      </c>
      <c r="AV639" s="59" t="s">
        <v>134</v>
      </c>
      <c r="AW639" s="22" t="str">
        <f>Settings!$B$5 &amp;  "?s=" &amp; D639 &amp; "&amp;platform=ftx"</f>
        <v>https://tokensol.nfluent.io?s=COR22D476&amp;platform=ftx</v>
      </c>
      <c r="AX639" s="20" t="s">
        <v>23</v>
      </c>
      <c r="AY639" s="20">
        <v>10</v>
      </c>
      <c r="AZ639" s="20" t="s">
        <v>24</v>
      </c>
      <c r="BA639" s="20">
        <v>90</v>
      </c>
      <c r="BD639" s="14"/>
      <c r="BJ639" t="s">
        <v>255</v>
      </c>
      <c r="BK639" t="s">
        <v>184</v>
      </c>
      <c r="BN639" s="36">
        <v>100</v>
      </c>
      <c r="BO639" s="36">
        <v>100</v>
      </c>
      <c r="BP639">
        <f t="shared" si="56"/>
        <v>480</v>
      </c>
      <c r="BR639" s="38">
        <v>44713</v>
      </c>
      <c r="BS639" s="20" t="s">
        <v>185</v>
      </c>
      <c r="BT639" s="20" t="str">
        <f t="shared" si="52"/>
        <v>InCasa_COR22D476</v>
      </c>
    </row>
    <row r="640" spans="2:72" ht="18.75" customHeight="1" x14ac:dyDescent="0.25">
      <c r="B640" s="20">
        <f t="shared" si="53"/>
        <v>477</v>
      </c>
      <c r="C640" s="22" t="str">
        <f t="shared" si="54"/>
        <v>In Casa #477</v>
      </c>
      <c r="D640" t="str">
        <f t="shared" si="55"/>
        <v>COR22D477</v>
      </c>
      <c r="E640" s="58" t="s">
        <v>252</v>
      </c>
      <c r="F640" s="20">
        <v>1000</v>
      </c>
      <c r="G640" s="14" t="s">
        <v>354</v>
      </c>
      <c r="H640" s="23" t="s">
        <v>170</v>
      </c>
      <c r="J640" s="59" t="s">
        <v>38</v>
      </c>
      <c r="K640" s="22" t="s">
        <v>254</v>
      </c>
      <c r="L640" s="59" t="s">
        <v>171</v>
      </c>
      <c r="M640" s="22">
        <v>2</v>
      </c>
      <c r="V640" s="59" t="s">
        <v>176</v>
      </c>
      <c r="AL640" s="59" t="s">
        <v>40</v>
      </c>
      <c r="AM640" s="22" t="s">
        <v>188</v>
      </c>
      <c r="AV640" s="59" t="s">
        <v>134</v>
      </c>
      <c r="AW640" s="22" t="str">
        <f>Settings!$B$5 &amp;  "?s=" &amp; D640 &amp; "&amp;platform=ftx"</f>
        <v>https://tokensol.nfluent.io?s=COR22D477&amp;platform=ftx</v>
      </c>
      <c r="AX640" s="20" t="s">
        <v>23</v>
      </c>
      <c r="AY640" s="20">
        <v>10</v>
      </c>
      <c r="AZ640" s="20" t="s">
        <v>24</v>
      </c>
      <c r="BA640" s="20">
        <v>90</v>
      </c>
      <c r="BD640" s="14"/>
      <c r="BJ640" t="s">
        <v>255</v>
      </c>
      <c r="BK640" t="s">
        <v>184</v>
      </c>
      <c r="BN640" s="36">
        <v>100</v>
      </c>
      <c r="BO640" s="36">
        <v>100</v>
      </c>
      <c r="BP640">
        <f t="shared" si="56"/>
        <v>480</v>
      </c>
      <c r="BR640" s="38">
        <v>44713</v>
      </c>
      <c r="BS640" s="20" t="s">
        <v>185</v>
      </c>
      <c r="BT640" s="20" t="str">
        <f t="shared" si="52"/>
        <v>InCasa_COR22D477</v>
      </c>
    </row>
    <row r="641" spans="2:72" ht="18.75" customHeight="1" x14ac:dyDescent="0.25">
      <c r="B641" s="20">
        <f t="shared" si="53"/>
        <v>478</v>
      </c>
      <c r="C641" s="22" t="str">
        <f t="shared" si="54"/>
        <v>In Casa #478</v>
      </c>
      <c r="D641" t="str">
        <f t="shared" si="55"/>
        <v>COR22D478</v>
      </c>
      <c r="E641" s="58" t="s">
        <v>252</v>
      </c>
      <c r="F641" s="20">
        <v>1000</v>
      </c>
      <c r="G641" s="14" t="s">
        <v>354</v>
      </c>
      <c r="H641" s="23" t="s">
        <v>170</v>
      </c>
      <c r="J641" s="59" t="s">
        <v>38</v>
      </c>
      <c r="K641" s="22" t="s">
        <v>254</v>
      </c>
      <c r="L641" s="59" t="s">
        <v>171</v>
      </c>
      <c r="M641" s="22">
        <v>2</v>
      </c>
      <c r="V641" s="59" t="s">
        <v>176</v>
      </c>
      <c r="AL641" s="59" t="s">
        <v>40</v>
      </c>
      <c r="AM641" s="22" t="s">
        <v>188</v>
      </c>
      <c r="AV641" s="59" t="s">
        <v>134</v>
      </c>
      <c r="AW641" s="22" t="str">
        <f>Settings!$B$5 &amp;  "?s=" &amp; D641 &amp; "&amp;platform=ftx"</f>
        <v>https://tokensol.nfluent.io?s=COR22D478&amp;platform=ftx</v>
      </c>
      <c r="AX641" s="20" t="s">
        <v>23</v>
      </c>
      <c r="AY641" s="20">
        <v>10</v>
      </c>
      <c r="AZ641" s="20" t="s">
        <v>24</v>
      </c>
      <c r="BA641" s="20">
        <v>90</v>
      </c>
      <c r="BD641" s="14"/>
      <c r="BJ641" t="s">
        <v>255</v>
      </c>
      <c r="BK641" t="s">
        <v>184</v>
      </c>
      <c r="BN641" s="36">
        <v>100</v>
      </c>
      <c r="BO641" s="36">
        <v>100</v>
      </c>
      <c r="BP641">
        <f t="shared" si="56"/>
        <v>480</v>
      </c>
      <c r="BR641" s="38">
        <v>44713</v>
      </c>
      <c r="BS641" s="20" t="s">
        <v>185</v>
      </c>
      <c r="BT641" s="20" t="str">
        <f t="shared" si="52"/>
        <v>InCasa_COR22D478</v>
      </c>
    </row>
    <row r="642" spans="2:72" ht="18.75" customHeight="1" x14ac:dyDescent="0.25">
      <c r="B642" s="20">
        <f t="shared" si="53"/>
        <v>479</v>
      </c>
      <c r="C642" s="22" t="str">
        <f t="shared" si="54"/>
        <v>In Casa #479</v>
      </c>
      <c r="D642" t="str">
        <f t="shared" si="55"/>
        <v>COR22D479</v>
      </c>
      <c r="E642" s="58" t="s">
        <v>252</v>
      </c>
      <c r="F642" s="20">
        <v>1000</v>
      </c>
      <c r="G642" s="14" t="s">
        <v>354</v>
      </c>
      <c r="H642" s="23" t="s">
        <v>170</v>
      </c>
      <c r="J642" s="59" t="s">
        <v>38</v>
      </c>
      <c r="K642" s="22" t="s">
        <v>254</v>
      </c>
      <c r="L642" s="59" t="s">
        <v>171</v>
      </c>
      <c r="M642" s="22">
        <v>2</v>
      </c>
      <c r="V642" s="59" t="s">
        <v>176</v>
      </c>
      <c r="AL642" s="59" t="s">
        <v>40</v>
      </c>
      <c r="AM642" s="22" t="s">
        <v>188</v>
      </c>
      <c r="AV642" s="59" t="s">
        <v>134</v>
      </c>
      <c r="AW642" s="22" t="str">
        <f>Settings!$B$5 &amp;  "?s=" &amp; D642 &amp; "&amp;platform=ftx"</f>
        <v>https://tokensol.nfluent.io?s=COR22D479&amp;platform=ftx</v>
      </c>
      <c r="AX642" s="20" t="s">
        <v>23</v>
      </c>
      <c r="AY642" s="20">
        <v>10</v>
      </c>
      <c r="AZ642" s="20" t="s">
        <v>24</v>
      </c>
      <c r="BA642" s="20">
        <v>90</v>
      </c>
      <c r="BD642" s="14"/>
      <c r="BJ642" t="s">
        <v>255</v>
      </c>
      <c r="BK642" t="s">
        <v>184</v>
      </c>
      <c r="BN642" s="36">
        <v>100</v>
      </c>
      <c r="BO642" s="36">
        <v>100</v>
      </c>
      <c r="BP642">
        <f t="shared" si="56"/>
        <v>480</v>
      </c>
      <c r="BR642" s="38">
        <v>44713</v>
      </c>
      <c r="BS642" s="20" t="s">
        <v>185</v>
      </c>
      <c r="BT642" s="20" t="str">
        <f t="shared" si="52"/>
        <v>InCasa_COR22D479</v>
      </c>
    </row>
    <row r="643" spans="2:72" ht="18.75" customHeight="1" x14ac:dyDescent="0.25">
      <c r="B643" s="20">
        <f t="shared" si="53"/>
        <v>480</v>
      </c>
      <c r="C643" s="22" t="str">
        <f t="shared" si="54"/>
        <v>In Casa #480</v>
      </c>
      <c r="D643" t="str">
        <f t="shared" si="55"/>
        <v>COR22D480</v>
      </c>
      <c r="E643" s="58" t="s">
        <v>252</v>
      </c>
      <c r="F643" s="20">
        <v>1000</v>
      </c>
      <c r="G643" s="14" t="s">
        <v>354</v>
      </c>
      <c r="H643" s="23" t="s">
        <v>170</v>
      </c>
      <c r="J643" s="59" t="s">
        <v>38</v>
      </c>
      <c r="K643" s="22" t="s">
        <v>254</v>
      </c>
      <c r="L643" s="59" t="s">
        <v>171</v>
      </c>
      <c r="M643" s="22">
        <v>2</v>
      </c>
      <c r="V643" s="59" t="s">
        <v>176</v>
      </c>
      <c r="AL643" s="59" t="s">
        <v>40</v>
      </c>
      <c r="AM643" s="22" t="s">
        <v>188</v>
      </c>
      <c r="AV643" s="59" t="s">
        <v>134</v>
      </c>
      <c r="AW643" s="22" t="str">
        <f>Settings!$B$5 &amp;  "?s=" &amp; D643 &amp; "&amp;platform=ftx"</f>
        <v>https://tokensol.nfluent.io?s=COR22D480&amp;platform=ftx</v>
      </c>
      <c r="AX643" s="20" t="s">
        <v>23</v>
      </c>
      <c r="AY643" s="20">
        <v>10</v>
      </c>
      <c r="AZ643" s="20" t="s">
        <v>24</v>
      </c>
      <c r="BA643" s="20">
        <v>90</v>
      </c>
      <c r="BD643" s="14"/>
      <c r="BJ643" t="s">
        <v>255</v>
      </c>
      <c r="BK643" t="s">
        <v>184</v>
      </c>
      <c r="BN643" s="36">
        <v>100</v>
      </c>
      <c r="BO643" s="36">
        <v>100</v>
      </c>
      <c r="BP643">
        <f t="shared" si="56"/>
        <v>480</v>
      </c>
      <c r="BR643" s="38">
        <v>44713</v>
      </c>
      <c r="BS643" s="20" t="s">
        <v>185</v>
      </c>
      <c r="BT643" s="20" t="str">
        <f t="shared" si="52"/>
        <v>InCasa_COR22D480</v>
      </c>
    </row>
    <row r="644" spans="2:72" ht="18.75" customHeight="1" x14ac:dyDescent="0.25">
      <c r="B644" s="20">
        <f t="shared" si="53"/>
        <v>481</v>
      </c>
      <c r="C644" s="22" t="str">
        <f t="shared" si="54"/>
        <v>In Casa #481</v>
      </c>
      <c r="D644" t="str">
        <f t="shared" si="55"/>
        <v>COR22D481</v>
      </c>
      <c r="E644" s="58" t="s">
        <v>252</v>
      </c>
      <c r="F644" s="20">
        <v>1000</v>
      </c>
      <c r="G644" s="14" t="s">
        <v>354</v>
      </c>
      <c r="H644" s="23" t="s">
        <v>170</v>
      </c>
      <c r="J644" s="59" t="s">
        <v>38</v>
      </c>
      <c r="K644" s="22" t="s">
        <v>254</v>
      </c>
      <c r="L644" s="59" t="s">
        <v>171</v>
      </c>
      <c r="M644" s="22">
        <v>2</v>
      </c>
      <c r="V644" s="59" t="s">
        <v>176</v>
      </c>
      <c r="AL644" s="59" t="s">
        <v>40</v>
      </c>
      <c r="AM644" s="22" t="s">
        <v>188</v>
      </c>
      <c r="AV644" s="59" t="s">
        <v>134</v>
      </c>
      <c r="AW644" s="22" t="str">
        <f>Settings!$B$5 &amp;  "?s=" &amp; D644 &amp; "&amp;platform=ftx"</f>
        <v>https://tokensol.nfluent.io?s=COR22D481&amp;platform=ftx</v>
      </c>
      <c r="AX644" s="20" t="s">
        <v>23</v>
      </c>
      <c r="AY644" s="20">
        <v>10</v>
      </c>
      <c r="AZ644" s="20" t="s">
        <v>24</v>
      </c>
      <c r="BA644" s="20">
        <v>90</v>
      </c>
      <c r="BD644" s="14"/>
      <c r="BJ644" t="s">
        <v>255</v>
      </c>
      <c r="BK644" t="s">
        <v>184</v>
      </c>
      <c r="BN644" s="36">
        <v>100</v>
      </c>
      <c r="BO644" s="36">
        <v>100</v>
      </c>
      <c r="BP644">
        <f t="shared" si="56"/>
        <v>480</v>
      </c>
      <c r="BR644" s="38">
        <v>44713</v>
      </c>
      <c r="BS644" s="20" t="s">
        <v>185</v>
      </c>
      <c r="BT644" s="20" t="str">
        <f t="shared" si="52"/>
        <v>InCasa_COR22D481</v>
      </c>
    </row>
    <row r="645" spans="2:72" ht="18.75" customHeight="1" x14ac:dyDescent="0.25">
      <c r="B645" s="20">
        <f t="shared" si="53"/>
        <v>482</v>
      </c>
      <c r="C645" s="22" t="str">
        <f t="shared" si="54"/>
        <v>In Casa #482</v>
      </c>
      <c r="D645" t="str">
        <f t="shared" si="55"/>
        <v>COR22D482</v>
      </c>
      <c r="E645" s="58" t="s">
        <v>252</v>
      </c>
      <c r="F645" s="20">
        <v>1000</v>
      </c>
      <c r="G645" s="14" t="s">
        <v>354</v>
      </c>
      <c r="H645" s="23" t="s">
        <v>170</v>
      </c>
      <c r="J645" s="59" t="s">
        <v>38</v>
      </c>
      <c r="K645" s="22" t="s">
        <v>254</v>
      </c>
      <c r="L645" s="59" t="s">
        <v>171</v>
      </c>
      <c r="M645" s="22">
        <v>2</v>
      </c>
      <c r="V645" s="59" t="s">
        <v>176</v>
      </c>
      <c r="AL645" s="59" t="s">
        <v>40</v>
      </c>
      <c r="AM645" s="22" t="s">
        <v>188</v>
      </c>
      <c r="AV645" s="59" t="s">
        <v>134</v>
      </c>
      <c r="AW645" s="22" t="str">
        <f>Settings!$B$5 &amp;  "?s=" &amp; D645 &amp; "&amp;platform=ftx"</f>
        <v>https://tokensol.nfluent.io?s=COR22D482&amp;platform=ftx</v>
      </c>
      <c r="AX645" s="20" t="s">
        <v>23</v>
      </c>
      <c r="AY645" s="20">
        <v>10</v>
      </c>
      <c r="AZ645" s="20" t="s">
        <v>24</v>
      </c>
      <c r="BA645" s="20">
        <v>90</v>
      </c>
      <c r="BD645" s="14"/>
      <c r="BJ645" t="s">
        <v>255</v>
      </c>
      <c r="BK645" t="s">
        <v>184</v>
      </c>
      <c r="BN645" s="36">
        <v>100</v>
      </c>
      <c r="BO645" s="36">
        <v>100</v>
      </c>
      <c r="BP645">
        <f t="shared" si="56"/>
        <v>480</v>
      </c>
      <c r="BR645" s="38">
        <v>44713</v>
      </c>
      <c r="BS645" s="20" t="s">
        <v>185</v>
      </c>
      <c r="BT645" s="20" t="str">
        <f t="shared" ref="BT645:BT708" si="57">SUBSTITUTE(BJ645," ","") &amp; "_" &amp; D645</f>
        <v>InCasa_COR22D482</v>
      </c>
    </row>
    <row r="646" spans="2:72" ht="18.75" customHeight="1" x14ac:dyDescent="0.25">
      <c r="B646" s="20">
        <f t="shared" ref="B646:B709" si="58">+B645+1</f>
        <v>483</v>
      </c>
      <c r="C646" s="22" t="str">
        <f t="shared" si="54"/>
        <v>In Casa #483</v>
      </c>
      <c r="D646" t="str">
        <f t="shared" si="55"/>
        <v>COR22D483</v>
      </c>
      <c r="E646" s="58" t="s">
        <v>252</v>
      </c>
      <c r="F646" s="20">
        <v>1000</v>
      </c>
      <c r="G646" s="14" t="s">
        <v>354</v>
      </c>
      <c r="H646" s="23" t="s">
        <v>170</v>
      </c>
      <c r="J646" s="59" t="s">
        <v>38</v>
      </c>
      <c r="K646" s="22" t="s">
        <v>254</v>
      </c>
      <c r="L646" s="59" t="s">
        <v>171</v>
      </c>
      <c r="M646" s="22">
        <v>2</v>
      </c>
      <c r="V646" s="59" t="s">
        <v>176</v>
      </c>
      <c r="AL646" s="59" t="s">
        <v>40</v>
      </c>
      <c r="AM646" s="22" t="s">
        <v>188</v>
      </c>
      <c r="AV646" s="59" t="s">
        <v>134</v>
      </c>
      <c r="AW646" s="22" t="str">
        <f>Settings!$B$5 &amp;  "?s=" &amp; D646 &amp; "&amp;platform=ftx"</f>
        <v>https://tokensol.nfluent.io?s=COR22D483&amp;platform=ftx</v>
      </c>
      <c r="AX646" s="20" t="s">
        <v>23</v>
      </c>
      <c r="AY646" s="20">
        <v>10</v>
      </c>
      <c r="AZ646" s="20" t="s">
        <v>24</v>
      </c>
      <c r="BA646" s="20">
        <v>90</v>
      </c>
      <c r="BD646" s="14"/>
      <c r="BJ646" t="s">
        <v>255</v>
      </c>
      <c r="BK646" t="s">
        <v>184</v>
      </c>
      <c r="BN646" s="36">
        <v>100</v>
      </c>
      <c r="BO646" s="36">
        <v>100</v>
      </c>
      <c r="BP646">
        <f t="shared" si="56"/>
        <v>480</v>
      </c>
      <c r="BR646" s="38">
        <v>44713</v>
      </c>
      <c r="BS646" s="20" t="s">
        <v>185</v>
      </c>
      <c r="BT646" s="20" t="str">
        <f t="shared" si="57"/>
        <v>InCasa_COR22D483</v>
      </c>
    </row>
    <row r="647" spans="2:72" ht="18.75" customHeight="1" x14ac:dyDescent="0.25">
      <c r="B647" s="20">
        <f t="shared" si="58"/>
        <v>484</v>
      </c>
      <c r="C647" s="22" t="str">
        <f t="shared" si="54"/>
        <v>In Casa #484</v>
      </c>
      <c r="D647" t="str">
        <f t="shared" si="55"/>
        <v>COR22D484</v>
      </c>
      <c r="E647" s="58" t="s">
        <v>252</v>
      </c>
      <c r="F647" s="20">
        <v>1000</v>
      </c>
      <c r="G647" s="14" t="s">
        <v>354</v>
      </c>
      <c r="H647" s="23" t="s">
        <v>170</v>
      </c>
      <c r="J647" s="59" t="s">
        <v>38</v>
      </c>
      <c r="K647" s="22" t="s">
        <v>254</v>
      </c>
      <c r="L647" s="59" t="s">
        <v>171</v>
      </c>
      <c r="M647" s="22">
        <v>2</v>
      </c>
      <c r="V647" s="59" t="s">
        <v>176</v>
      </c>
      <c r="AL647" s="59" t="s">
        <v>40</v>
      </c>
      <c r="AM647" s="22" t="s">
        <v>188</v>
      </c>
      <c r="AV647" s="59" t="s">
        <v>134</v>
      </c>
      <c r="AW647" s="22" t="str">
        <f>Settings!$B$5 &amp;  "?s=" &amp; D647 &amp; "&amp;platform=ftx"</f>
        <v>https://tokensol.nfluent.io?s=COR22D484&amp;platform=ftx</v>
      </c>
      <c r="AX647" s="20" t="s">
        <v>23</v>
      </c>
      <c r="AY647" s="20">
        <v>10</v>
      </c>
      <c r="AZ647" s="20" t="s">
        <v>24</v>
      </c>
      <c r="BA647" s="20">
        <v>90</v>
      </c>
      <c r="BD647" s="14"/>
      <c r="BJ647" t="s">
        <v>255</v>
      </c>
      <c r="BK647" t="s">
        <v>184</v>
      </c>
      <c r="BN647" s="36">
        <v>100</v>
      </c>
      <c r="BO647" s="36">
        <v>100</v>
      </c>
      <c r="BP647">
        <f t="shared" si="56"/>
        <v>480</v>
      </c>
      <c r="BR647" s="38">
        <v>44713</v>
      </c>
      <c r="BS647" s="20" t="s">
        <v>185</v>
      </c>
      <c r="BT647" s="20" t="str">
        <f t="shared" si="57"/>
        <v>InCasa_COR22D484</v>
      </c>
    </row>
    <row r="648" spans="2:72" ht="18.75" customHeight="1" x14ac:dyDescent="0.25">
      <c r="B648" s="20">
        <f t="shared" si="58"/>
        <v>485</v>
      </c>
      <c r="C648" s="22" t="str">
        <f t="shared" si="54"/>
        <v>In Casa #485</v>
      </c>
      <c r="D648" t="str">
        <f t="shared" si="55"/>
        <v>COR22D485</v>
      </c>
      <c r="E648" s="58" t="s">
        <v>252</v>
      </c>
      <c r="F648" s="20">
        <v>1000</v>
      </c>
      <c r="G648" s="14" t="s">
        <v>354</v>
      </c>
      <c r="H648" s="23" t="s">
        <v>170</v>
      </c>
      <c r="J648" s="59" t="s">
        <v>38</v>
      </c>
      <c r="K648" s="22" t="s">
        <v>254</v>
      </c>
      <c r="L648" s="59" t="s">
        <v>171</v>
      </c>
      <c r="M648" s="22">
        <v>2</v>
      </c>
      <c r="V648" s="59" t="s">
        <v>176</v>
      </c>
      <c r="AL648" s="59" t="s">
        <v>40</v>
      </c>
      <c r="AM648" s="22" t="s">
        <v>188</v>
      </c>
      <c r="AV648" s="59" t="s">
        <v>134</v>
      </c>
      <c r="AW648" s="22" t="str">
        <f>Settings!$B$5 &amp;  "?s=" &amp; D648 &amp; "&amp;platform=ftx"</f>
        <v>https://tokensol.nfluent.io?s=COR22D485&amp;platform=ftx</v>
      </c>
      <c r="AX648" s="20" t="s">
        <v>23</v>
      </c>
      <c r="AY648" s="20">
        <v>10</v>
      </c>
      <c r="AZ648" s="20" t="s">
        <v>24</v>
      </c>
      <c r="BA648" s="20">
        <v>90</v>
      </c>
      <c r="BD648" s="14"/>
      <c r="BJ648" t="s">
        <v>255</v>
      </c>
      <c r="BK648" t="s">
        <v>184</v>
      </c>
      <c r="BN648" s="36">
        <v>100</v>
      </c>
      <c r="BO648" s="36">
        <v>100</v>
      </c>
      <c r="BP648">
        <f t="shared" si="56"/>
        <v>480</v>
      </c>
      <c r="BR648" s="38">
        <v>44713</v>
      </c>
      <c r="BS648" s="20" t="s">
        <v>185</v>
      </c>
      <c r="BT648" s="20" t="str">
        <f t="shared" si="57"/>
        <v>InCasa_COR22D485</v>
      </c>
    </row>
    <row r="649" spans="2:72" ht="18.75" customHeight="1" x14ac:dyDescent="0.25">
      <c r="B649" s="20">
        <f t="shared" si="58"/>
        <v>486</v>
      </c>
      <c r="C649" s="22" t="str">
        <f t="shared" si="54"/>
        <v>In Casa #486</v>
      </c>
      <c r="D649" t="str">
        <f t="shared" si="55"/>
        <v>COR22D486</v>
      </c>
      <c r="E649" s="58" t="s">
        <v>252</v>
      </c>
      <c r="F649" s="20">
        <v>1000</v>
      </c>
      <c r="G649" s="14" t="s">
        <v>354</v>
      </c>
      <c r="H649" s="23" t="s">
        <v>170</v>
      </c>
      <c r="J649" s="59" t="s">
        <v>38</v>
      </c>
      <c r="K649" s="22" t="s">
        <v>254</v>
      </c>
      <c r="L649" s="59" t="s">
        <v>171</v>
      </c>
      <c r="M649" s="22">
        <v>2</v>
      </c>
      <c r="V649" s="59" t="s">
        <v>176</v>
      </c>
      <c r="AL649" s="59" t="s">
        <v>40</v>
      </c>
      <c r="AM649" s="22" t="s">
        <v>188</v>
      </c>
      <c r="AV649" s="59" t="s">
        <v>134</v>
      </c>
      <c r="AW649" s="22" t="str">
        <f>Settings!$B$5 &amp;  "?s=" &amp; D649 &amp; "&amp;platform=ftx"</f>
        <v>https://tokensol.nfluent.io?s=COR22D486&amp;platform=ftx</v>
      </c>
      <c r="AX649" s="20" t="s">
        <v>23</v>
      </c>
      <c r="AY649" s="20">
        <v>10</v>
      </c>
      <c r="AZ649" s="20" t="s">
        <v>24</v>
      </c>
      <c r="BA649" s="20">
        <v>90</v>
      </c>
      <c r="BD649" s="14"/>
      <c r="BJ649" t="s">
        <v>255</v>
      </c>
      <c r="BK649" t="s">
        <v>184</v>
      </c>
      <c r="BN649" s="36">
        <v>100</v>
      </c>
      <c r="BO649" s="36">
        <v>100</v>
      </c>
      <c r="BP649">
        <f t="shared" si="56"/>
        <v>480</v>
      </c>
      <c r="BR649" s="38">
        <v>44713</v>
      </c>
      <c r="BS649" s="20" t="s">
        <v>185</v>
      </c>
      <c r="BT649" s="20" t="str">
        <f t="shared" si="57"/>
        <v>InCasa_COR22D486</v>
      </c>
    </row>
    <row r="650" spans="2:72" ht="18.75" customHeight="1" x14ac:dyDescent="0.25">
      <c r="B650" s="20">
        <f t="shared" si="58"/>
        <v>487</v>
      </c>
      <c r="C650" s="22" t="str">
        <f t="shared" si="54"/>
        <v>In Casa #487</v>
      </c>
      <c r="D650" t="str">
        <f t="shared" si="55"/>
        <v>COR22D487</v>
      </c>
      <c r="E650" s="58" t="s">
        <v>252</v>
      </c>
      <c r="F650" s="20">
        <v>1000</v>
      </c>
      <c r="G650" s="14" t="s">
        <v>354</v>
      </c>
      <c r="H650" s="23" t="s">
        <v>170</v>
      </c>
      <c r="J650" s="59" t="s">
        <v>38</v>
      </c>
      <c r="K650" s="22" t="s">
        <v>254</v>
      </c>
      <c r="L650" s="59" t="s">
        <v>171</v>
      </c>
      <c r="M650" s="22">
        <v>2</v>
      </c>
      <c r="V650" s="59" t="s">
        <v>176</v>
      </c>
      <c r="AL650" s="59" t="s">
        <v>40</v>
      </c>
      <c r="AM650" s="22" t="s">
        <v>188</v>
      </c>
      <c r="AV650" s="59" t="s">
        <v>134</v>
      </c>
      <c r="AW650" s="22" t="str">
        <f>Settings!$B$5 &amp;  "?s=" &amp; D650 &amp; "&amp;platform=ftx"</f>
        <v>https://tokensol.nfluent.io?s=COR22D487&amp;platform=ftx</v>
      </c>
      <c r="AX650" s="20" t="s">
        <v>23</v>
      </c>
      <c r="AY650" s="20">
        <v>10</v>
      </c>
      <c r="AZ650" s="20" t="s">
        <v>24</v>
      </c>
      <c r="BA650" s="20">
        <v>90</v>
      </c>
      <c r="BD650" s="14"/>
      <c r="BJ650" t="s">
        <v>255</v>
      </c>
      <c r="BK650" t="s">
        <v>184</v>
      </c>
      <c r="BN650" s="36">
        <v>100</v>
      </c>
      <c r="BO650" s="36">
        <v>100</v>
      </c>
      <c r="BP650">
        <f t="shared" si="56"/>
        <v>480</v>
      </c>
      <c r="BR650" s="38">
        <v>44713</v>
      </c>
      <c r="BS650" s="20" t="s">
        <v>185</v>
      </c>
      <c r="BT650" s="20" t="str">
        <f t="shared" si="57"/>
        <v>InCasa_COR22D487</v>
      </c>
    </row>
    <row r="651" spans="2:72" ht="18.75" customHeight="1" x14ac:dyDescent="0.25">
      <c r="B651" s="20">
        <f t="shared" si="58"/>
        <v>488</v>
      </c>
      <c r="C651" s="22" t="str">
        <f t="shared" si="54"/>
        <v>In Casa #488</v>
      </c>
      <c r="D651" t="str">
        <f t="shared" si="55"/>
        <v>COR22D488</v>
      </c>
      <c r="E651" s="58" t="s">
        <v>252</v>
      </c>
      <c r="F651" s="20">
        <v>1000</v>
      </c>
      <c r="G651" s="14" t="s">
        <v>354</v>
      </c>
      <c r="H651" s="23" t="s">
        <v>170</v>
      </c>
      <c r="J651" s="59" t="s">
        <v>38</v>
      </c>
      <c r="K651" s="22" t="s">
        <v>254</v>
      </c>
      <c r="L651" s="59" t="s">
        <v>171</v>
      </c>
      <c r="M651" s="22">
        <v>2</v>
      </c>
      <c r="V651" s="59" t="s">
        <v>176</v>
      </c>
      <c r="AL651" s="59" t="s">
        <v>40</v>
      </c>
      <c r="AM651" s="22" t="s">
        <v>188</v>
      </c>
      <c r="AV651" s="59" t="s">
        <v>134</v>
      </c>
      <c r="AW651" s="22" t="str">
        <f>Settings!$B$5 &amp;  "?s=" &amp; D651 &amp; "&amp;platform=ftx"</f>
        <v>https://tokensol.nfluent.io?s=COR22D488&amp;platform=ftx</v>
      </c>
      <c r="AX651" s="20" t="s">
        <v>23</v>
      </c>
      <c r="AY651" s="20">
        <v>10</v>
      </c>
      <c r="AZ651" s="20" t="s">
        <v>24</v>
      </c>
      <c r="BA651" s="20">
        <v>90</v>
      </c>
      <c r="BD651" s="14"/>
      <c r="BJ651" t="s">
        <v>255</v>
      </c>
      <c r="BK651" t="s">
        <v>184</v>
      </c>
      <c r="BN651" s="36">
        <v>100</v>
      </c>
      <c r="BO651" s="36">
        <v>100</v>
      </c>
      <c r="BP651">
        <f t="shared" si="56"/>
        <v>480</v>
      </c>
      <c r="BR651" s="38">
        <v>44713</v>
      </c>
      <c r="BS651" s="20" t="s">
        <v>185</v>
      </c>
      <c r="BT651" s="20" t="str">
        <f t="shared" si="57"/>
        <v>InCasa_COR22D488</v>
      </c>
    </row>
    <row r="652" spans="2:72" ht="18.75" customHeight="1" x14ac:dyDescent="0.25">
      <c r="B652" s="20">
        <f t="shared" si="58"/>
        <v>489</v>
      </c>
      <c r="C652" s="22" t="str">
        <f t="shared" si="54"/>
        <v>In Casa #489</v>
      </c>
      <c r="D652" t="str">
        <f t="shared" si="55"/>
        <v>COR22D489</v>
      </c>
      <c r="E652" s="58" t="s">
        <v>252</v>
      </c>
      <c r="F652" s="20">
        <v>1000</v>
      </c>
      <c r="G652" s="14" t="s">
        <v>354</v>
      </c>
      <c r="H652" s="23" t="s">
        <v>170</v>
      </c>
      <c r="J652" s="59" t="s">
        <v>38</v>
      </c>
      <c r="K652" s="22" t="s">
        <v>254</v>
      </c>
      <c r="L652" s="59" t="s">
        <v>171</v>
      </c>
      <c r="M652" s="22">
        <v>2</v>
      </c>
      <c r="V652" s="59" t="s">
        <v>176</v>
      </c>
      <c r="AL652" s="59" t="s">
        <v>40</v>
      </c>
      <c r="AM652" s="22" t="s">
        <v>188</v>
      </c>
      <c r="AV652" s="59" t="s">
        <v>134</v>
      </c>
      <c r="AW652" s="22" t="str">
        <f>Settings!$B$5 &amp;  "?s=" &amp; D652 &amp; "&amp;platform=ftx"</f>
        <v>https://tokensol.nfluent.io?s=COR22D489&amp;platform=ftx</v>
      </c>
      <c r="AX652" s="20" t="s">
        <v>23</v>
      </c>
      <c r="AY652" s="20">
        <v>10</v>
      </c>
      <c r="AZ652" s="20" t="s">
        <v>24</v>
      </c>
      <c r="BA652" s="20">
        <v>90</v>
      </c>
      <c r="BD652" s="14"/>
      <c r="BJ652" t="s">
        <v>255</v>
      </c>
      <c r="BK652" t="s">
        <v>184</v>
      </c>
      <c r="BN652" s="36">
        <v>100</v>
      </c>
      <c r="BO652" s="36">
        <v>100</v>
      </c>
      <c r="BP652">
        <f t="shared" si="56"/>
        <v>480</v>
      </c>
      <c r="BR652" s="38">
        <v>44713</v>
      </c>
      <c r="BS652" s="20" t="s">
        <v>185</v>
      </c>
      <c r="BT652" s="20" t="str">
        <f t="shared" si="57"/>
        <v>InCasa_COR22D489</v>
      </c>
    </row>
    <row r="653" spans="2:72" ht="18.75" customHeight="1" x14ac:dyDescent="0.25">
      <c r="B653" s="20">
        <f t="shared" si="58"/>
        <v>490</v>
      </c>
      <c r="C653" s="22" t="str">
        <f t="shared" si="54"/>
        <v>In Casa #490</v>
      </c>
      <c r="D653" t="str">
        <f t="shared" si="55"/>
        <v>COR22D490</v>
      </c>
      <c r="E653" s="58" t="s">
        <v>252</v>
      </c>
      <c r="F653" s="20">
        <v>1000</v>
      </c>
      <c r="G653" s="14" t="s">
        <v>354</v>
      </c>
      <c r="H653" s="23" t="s">
        <v>170</v>
      </c>
      <c r="J653" s="59" t="s">
        <v>38</v>
      </c>
      <c r="K653" s="22" t="s">
        <v>254</v>
      </c>
      <c r="L653" s="59" t="s">
        <v>171</v>
      </c>
      <c r="M653" s="22">
        <v>2</v>
      </c>
      <c r="V653" s="59" t="s">
        <v>176</v>
      </c>
      <c r="AL653" s="59" t="s">
        <v>40</v>
      </c>
      <c r="AM653" s="22" t="s">
        <v>188</v>
      </c>
      <c r="AV653" s="59" t="s">
        <v>134</v>
      </c>
      <c r="AW653" s="22" t="str">
        <f>Settings!$B$5 &amp;  "?s=" &amp; D653 &amp; "&amp;platform=ftx"</f>
        <v>https://tokensol.nfluent.io?s=COR22D490&amp;platform=ftx</v>
      </c>
      <c r="AX653" s="20" t="s">
        <v>23</v>
      </c>
      <c r="AY653" s="20">
        <v>10</v>
      </c>
      <c r="AZ653" s="20" t="s">
        <v>24</v>
      </c>
      <c r="BA653" s="20">
        <v>90</v>
      </c>
      <c r="BD653" s="14"/>
      <c r="BJ653" t="s">
        <v>255</v>
      </c>
      <c r="BK653" t="s">
        <v>184</v>
      </c>
      <c r="BN653" s="36">
        <v>100</v>
      </c>
      <c r="BO653" s="36">
        <v>100</v>
      </c>
      <c r="BP653">
        <f t="shared" si="56"/>
        <v>480</v>
      </c>
      <c r="BR653" s="38">
        <v>44713</v>
      </c>
      <c r="BS653" s="20" t="s">
        <v>185</v>
      </c>
      <c r="BT653" s="20" t="str">
        <f t="shared" si="57"/>
        <v>InCasa_COR22D490</v>
      </c>
    </row>
    <row r="654" spans="2:72" ht="18.75" customHeight="1" x14ac:dyDescent="0.25">
      <c r="B654" s="20">
        <f t="shared" si="58"/>
        <v>491</v>
      </c>
      <c r="C654" s="22" t="str">
        <f t="shared" si="54"/>
        <v>In Casa #491</v>
      </c>
      <c r="D654" t="str">
        <f t="shared" si="55"/>
        <v>COR22D491</v>
      </c>
      <c r="E654" s="58" t="s">
        <v>252</v>
      </c>
      <c r="F654" s="20">
        <v>1000</v>
      </c>
      <c r="G654" s="14" t="s">
        <v>354</v>
      </c>
      <c r="H654" s="23" t="s">
        <v>170</v>
      </c>
      <c r="J654" s="59" t="s">
        <v>38</v>
      </c>
      <c r="K654" s="22" t="s">
        <v>254</v>
      </c>
      <c r="L654" s="59" t="s">
        <v>171</v>
      </c>
      <c r="M654" s="22">
        <v>2</v>
      </c>
      <c r="V654" s="59" t="s">
        <v>176</v>
      </c>
      <c r="AL654" s="59" t="s">
        <v>40</v>
      </c>
      <c r="AM654" s="22" t="s">
        <v>188</v>
      </c>
      <c r="AV654" s="59" t="s">
        <v>134</v>
      </c>
      <c r="AW654" s="22" t="str">
        <f>Settings!$B$5 &amp;  "?s=" &amp; D654 &amp; "&amp;platform=ftx"</f>
        <v>https://tokensol.nfluent.io?s=COR22D491&amp;platform=ftx</v>
      </c>
      <c r="AX654" s="20" t="s">
        <v>23</v>
      </c>
      <c r="AY654" s="20">
        <v>10</v>
      </c>
      <c r="AZ654" s="20" t="s">
        <v>24</v>
      </c>
      <c r="BA654" s="20">
        <v>90</v>
      </c>
      <c r="BD654" s="14"/>
      <c r="BJ654" t="s">
        <v>255</v>
      </c>
      <c r="BK654" t="s">
        <v>184</v>
      </c>
      <c r="BN654" s="36">
        <v>100</v>
      </c>
      <c r="BO654" s="36">
        <v>100</v>
      </c>
      <c r="BP654">
        <f t="shared" si="56"/>
        <v>480</v>
      </c>
      <c r="BR654" s="38">
        <v>44713</v>
      </c>
      <c r="BS654" s="20" t="s">
        <v>185</v>
      </c>
      <c r="BT654" s="20" t="str">
        <f t="shared" si="57"/>
        <v>InCasa_COR22D491</v>
      </c>
    </row>
    <row r="655" spans="2:72" ht="18.75" customHeight="1" x14ac:dyDescent="0.25">
      <c r="B655" s="20">
        <f t="shared" si="58"/>
        <v>492</v>
      </c>
      <c r="C655" s="22" t="str">
        <f t="shared" si="54"/>
        <v>In Casa #492</v>
      </c>
      <c r="D655" t="str">
        <f t="shared" si="55"/>
        <v>COR22D492</v>
      </c>
      <c r="E655" s="58" t="s">
        <v>252</v>
      </c>
      <c r="F655" s="20">
        <v>1000</v>
      </c>
      <c r="G655" s="14" t="s">
        <v>354</v>
      </c>
      <c r="H655" s="23" t="s">
        <v>170</v>
      </c>
      <c r="J655" s="59" t="s">
        <v>38</v>
      </c>
      <c r="K655" s="22" t="s">
        <v>254</v>
      </c>
      <c r="L655" s="59" t="s">
        <v>171</v>
      </c>
      <c r="M655" s="22">
        <v>2</v>
      </c>
      <c r="V655" s="59" t="s">
        <v>176</v>
      </c>
      <c r="AL655" s="59" t="s">
        <v>40</v>
      </c>
      <c r="AM655" s="22" t="s">
        <v>188</v>
      </c>
      <c r="AV655" s="59" t="s">
        <v>134</v>
      </c>
      <c r="AW655" s="22" t="str">
        <f>Settings!$B$5 &amp;  "?s=" &amp; D655 &amp; "&amp;platform=ftx"</f>
        <v>https://tokensol.nfluent.io?s=COR22D492&amp;platform=ftx</v>
      </c>
      <c r="AX655" s="20" t="s">
        <v>23</v>
      </c>
      <c r="AY655" s="20">
        <v>10</v>
      </c>
      <c r="AZ655" s="20" t="s">
        <v>24</v>
      </c>
      <c r="BA655" s="20">
        <v>90</v>
      </c>
      <c r="BD655" s="14"/>
      <c r="BJ655" t="s">
        <v>255</v>
      </c>
      <c r="BK655" t="s">
        <v>184</v>
      </c>
      <c r="BN655" s="36">
        <v>100</v>
      </c>
      <c r="BO655" s="36">
        <v>100</v>
      </c>
      <c r="BP655">
        <f t="shared" si="56"/>
        <v>480</v>
      </c>
      <c r="BR655" s="38">
        <v>44713</v>
      </c>
      <c r="BS655" s="20" t="s">
        <v>185</v>
      </c>
      <c r="BT655" s="20" t="str">
        <f t="shared" si="57"/>
        <v>InCasa_COR22D492</v>
      </c>
    </row>
    <row r="656" spans="2:72" ht="18.75" customHeight="1" x14ac:dyDescent="0.25">
      <c r="B656" s="20">
        <f t="shared" si="58"/>
        <v>493</v>
      </c>
      <c r="C656" s="22" t="str">
        <f t="shared" si="54"/>
        <v>In Casa #493</v>
      </c>
      <c r="D656" t="str">
        <f t="shared" si="55"/>
        <v>COR22D493</v>
      </c>
      <c r="E656" s="58" t="s">
        <v>252</v>
      </c>
      <c r="F656" s="20">
        <v>1000</v>
      </c>
      <c r="G656" s="14" t="s">
        <v>354</v>
      </c>
      <c r="H656" s="23" t="s">
        <v>170</v>
      </c>
      <c r="J656" s="59" t="s">
        <v>38</v>
      </c>
      <c r="K656" s="22" t="s">
        <v>254</v>
      </c>
      <c r="L656" s="59" t="s">
        <v>171</v>
      </c>
      <c r="M656" s="22">
        <v>2</v>
      </c>
      <c r="V656" s="59" t="s">
        <v>176</v>
      </c>
      <c r="AL656" s="59" t="s">
        <v>40</v>
      </c>
      <c r="AM656" s="22" t="s">
        <v>188</v>
      </c>
      <c r="AV656" s="59" t="s">
        <v>134</v>
      </c>
      <c r="AW656" s="22" t="str">
        <f>Settings!$B$5 &amp;  "?s=" &amp; D656 &amp; "&amp;platform=ftx"</f>
        <v>https://tokensol.nfluent.io?s=COR22D493&amp;platform=ftx</v>
      </c>
      <c r="AX656" s="20" t="s">
        <v>23</v>
      </c>
      <c r="AY656" s="20">
        <v>10</v>
      </c>
      <c r="AZ656" s="20" t="s">
        <v>24</v>
      </c>
      <c r="BA656" s="20">
        <v>90</v>
      </c>
      <c r="BD656" s="14"/>
      <c r="BJ656" t="s">
        <v>255</v>
      </c>
      <c r="BK656" t="s">
        <v>184</v>
      </c>
      <c r="BN656" s="36">
        <v>100</v>
      </c>
      <c r="BO656" s="36">
        <v>100</v>
      </c>
      <c r="BP656">
        <f t="shared" si="56"/>
        <v>480</v>
      </c>
      <c r="BR656" s="38">
        <v>44713</v>
      </c>
      <c r="BS656" s="20" t="s">
        <v>185</v>
      </c>
      <c r="BT656" s="20" t="str">
        <f t="shared" si="57"/>
        <v>InCasa_COR22D493</v>
      </c>
    </row>
    <row r="657" spans="2:72" ht="18.75" customHeight="1" x14ac:dyDescent="0.25">
      <c r="B657" s="20">
        <f t="shared" si="58"/>
        <v>494</v>
      </c>
      <c r="C657" s="22" t="str">
        <f t="shared" si="54"/>
        <v>In Casa #494</v>
      </c>
      <c r="D657" t="str">
        <f t="shared" si="55"/>
        <v>COR22D494</v>
      </c>
      <c r="E657" s="58" t="s">
        <v>252</v>
      </c>
      <c r="F657" s="20">
        <v>1000</v>
      </c>
      <c r="G657" s="14" t="s">
        <v>354</v>
      </c>
      <c r="H657" s="23" t="s">
        <v>170</v>
      </c>
      <c r="J657" s="59" t="s">
        <v>38</v>
      </c>
      <c r="K657" s="22" t="s">
        <v>254</v>
      </c>
      <c r="L657" s="59" t="s">
        <v>171</v>
      </c>
      <c r="M657" s="22">
        <v>2</v>
      </c>
      <c r="V657" s="59" t="s">
        <v>176</v>
      </c>
      <c r="AL657" s="59" t="s">
        <v>40</v>
      </c>
      <c r="AM657" s="22" t="s">
        <v>188</v>
      </c>
      <c r="AV657" s="59" t="s">
        <v>134</v>
      </c>
      <c r="AW657" s="22" t="str">
        <f>Settings!$B$5 &amp;  "?s=" &amp; D657 &amp; "&amp;platform=ftx"</f>
        <v>https://tokensol.nfluent.io?s=COR22D494&amp;platform=ftx</v>
      </c>
      <c r="AX657" s="20" t="s">
        <v>23</v>
      </c>
      <c r="AY657" s="20">
        <v>10</v>
      </c>
      <c r="AZ657" s="20" t="s">
        <v>24</v>
      </c>
      <c r="BA657" s="20">
        <v>90</v>
      </c>
      <c r="BD657" s="14"/>
      <c r="BJ657" t="s">
        <v>255</v>
      </c>
      <c r="BK657" t="s">
        <v>184</v>
      </c>
      <c r="BN657" s="36">
        <v>100</v>
      </c>
      <c r="BO657" s="36">
        <v>100</v>
      </c>
      <c r="BP657">
        <f t="shared" si="56"/>
        <v>480</v>
      </c>
      <c r="BR657" s="38">
        <v>44713</v>
      </c>
      <c r="BS657" s="20" t="s">
        <v>185</v>
      </c>
      <c r="BT657" s="20" t="str">
        <f t="shared" si="57"/>
        <v>InCasa_COR22D494</v>
      </c>
    </row>
    <row r="658" spans="2:72" ht="18.75" customHeight="1" x14ac:dyDescent="0.25">
      <c r="B658" s="20">
        <f t="shared" si="58"/>
        <v>495</v>
      </c>
      <c r="C658" s="22" t="str">
        <f t="shared" si="54"/>
        <v>In Casa #495</v>
      </c>
      <c r="D658" t="str">
        <f t="shared" si="55"/>
        <v>COR22D495</v>
      </c>
      <c r="E658" s="58" t="s">
        <v>252</v>
      </c>
      <c r="F658" s="20">
        <v>1000</v>
      </c>
      <c r="G658" s="14" t="s">
        <v>354</v>
      </c>
      <c r="H658" s="23" t="s">
        <v>170</v>
      </c>
      <c r="J658" s="59" t="s">
        <v>38</v>
      </c>
      <c r="K658" s="22" t="s">
        <v>254</v>
      </c>
      <c r="L658" s="59" t="s">
        <v>171</v>
      </c>
      <c r="M658" s="22">
        <v>2</v>
      </c>
      <c r="V658" s="59" t="s">
        <v>176</v>
      </c>
      <c r="AL658" s="59" t="s">
        <v>40</v>
      </c>
      <c r="AM658" s="22" t="s">
        <v>188</v>
      </c>
      <c r="AV658" s="59" t="s">
        <v>134</v>
      </c>
      <c r="AW658" s="22" t="str">
        <f>Settings!$B$5 &amp;  "?s=" &amp; D658 &amp; "&amp;platform=ftx"</f>
        <v>https://tokensol.nfluent.io?s=COR22D495&amp;platform=ftx</v>
      </c>
      <c r="AX658" s="20" t="s">
        <v>23</v>
      </c>
      <c r="AY658" s="20">
        <v>10</v>
      </c>
      <c r="AZ658" s="20" t="s">
        <v>24</v>
      </c>
      <c r="BA658" s="20">
        <v>90</v>
      </c>
      <c r="BD658" s="14"/>
      <c r="BJ658" t="s">
        <v>255</v>
      </c>
      <c r="BK658" t="s">
        <v>184</v>
      </c>
      <c r="BN658" s="36">
        <v>100</v>
      </c>
      <c r="BO658" s="36">
        <v>100</v>
      </c>
      <c r="BP658">
        <f t="shared" si="56"/>
        <v>480</v>
      </c>
      <c r="BR658" s="38">
        <v>44713</v>
      </c>
      <c r="BS658" s="20" t="s">
        <v>185</v>
      </c>
      <c r="BT658" s="20" t="str">
        <f t="shared" si="57"/>
        <v>InCasa_COR22D495</v>
      </c>
    </row>
    <row r="659" spans="2:72" ht="18.75" customHeight="1" x14ac:dyDescent="0.25">
      <c r="B659" s="20">
        <f t="shared" si="58"/>
        <v>496</v>
      </c>
      <c r="C659" s="22" t="str">
        <f t="shared" si="54"/>
        <v>In Casa #496</v>
      </c>
      <c r="D659" t="str">
        <f t="shared" si="55"/>
        <v>COR22D496</v>
      </c>
      <c r="E659" s="58" t="s">
        <v>252</v>
      </c>
      <c r="F659" s="20">
        <v>1000</v>
      </c>
      <c r="G659" s="14" t="s">
        <v>354</v>
      </c>
      <c r="H659" s="23" t="s">
        <v>170</v>
      </c>
      <c r="J659" s="59" t="s">
        <v>38</v>
      </c>
      <c r="K659" s="22" t="s">
        <v>254</v>
      </c>
      <c r="L659" s="59" t="s">
        <v>171</v>
      </c>
      <c r="M659" s="22">
        <v>2</v>
      </c>
      <c r="V659" s="59" t="s">
        <v>176</v>
      </c>
      <c r="AL659" s="59" t="s">
        <v>40</v>
      </c>
      <c r="AM659" s="22" t="s">
        <v>188</v>
      </c>
      <c r="AV659" s="59" t="s">
        <v>134</v>
      </c>
      <c r="AW659" s="22" t="str">
        <f>Settings!$B$5 &amp;  "?s=" &amp; D659 &amp; "&amp;platform=ftx"</f>
        <v>https://tokensol.nfluent.io?s=COR22D496&amp;platform=ftx</v>
      </c>
      <c r="AX659" s="20" t="s">
        <v>23</v>
      </c>
      <c r="AY659" s="20">
        <v>10</v>
      </c>
      <c r="AZ659" s="20" t="s">
        <v>24</v>
      </c>
      <c r="BA659" s="20">
        <v>90</v>
      </c>
      <c r="BD659" s="14"/>
      <c r="BJ659" t="s">
        <v>255</v>
      </c>
      <c r="BK659" t="s">
        <v>184</v>
      </c>
      <c r="BN659" s="36">
        <v>100</v>
      </c>
      <c r="BO659" s="36">
        <v>100</v>
      </c>
      <c r="BP659">
        <f t="shared" si="56"/>
        <v>480</v>
      </c>
      <c r="BR659" s="38">
        <v>44713</v>
      </c>
      <c r="BS659" s="20" t="s">
        <v>185</v>
      </c>
      <c r="BT659" s="20" t="str">
        <f t="shared" si="57"/>
        <v>InCasa_COR22D496</v>
      </c>
    </row>
    <row r="660" spans="2:72" ht="18.75" customHeight="1" x14ac:dyDescent="0.25">
      <c r="B660" s="20">
        <f t="shared" si="58"/>
        <v>497</v>
      </c>
      <c r="C660" s="22" t="str">
        <f t="shared" si="54"/>
        <v>In Casa #497</v>
      </c>
      <c r="D660" t="str">
        <f t="shared" si="55"/>
        <v>COR22D497</v>
      </c>
      <c r="E660" s="58" t="s">
        <v>252</v>
      </c>
      <c r="F660" s="20">
        <v>1000</v>
      </c>
      <c r="G660" s="14" t="s">
        <v>354</v>
      </c>
      <c r="H660" s="23" t="s">
        <v>170</v>
      </c>
      <c r="J660" s="59" t="s">
        <v>38</v>
      </c>
      <c r="K660" s="22" t="s">
        <v>254</v>
      </c>
      <c r="L660" s="59" t="s">
        <v>171</v>
      </c>
      <c r="M660" s="22">
        <v>2</v>
      </c>
      <c r="V660" s="59" t="s">
        <v>176</v>
      </c>
      <c r="AL660" s="59" t="s">
        <v>40</v>
      </c>
      <c r="AM660" s="22" t="s">
        <v>188</v>
      </c>
      <c r="AV660" s="59" t="s">
        <v>134</v>
      </c>
      <c r="AW660" s="22" t="str">
        <f>Settings!$B$5 &amp;  "?s=" &amp; D660 &amp; "&amp;platform=ftx"</f>
        <v>https://tokensol.nfluent.io?s=COR22D497&amp;platform=ftx</v>
      </c>
      <c r="AX660" s="20" t="s">
        <v>23</v>
      </c>
      <c r="AY660" s="20">
        <v>10</v>
      </c>
      <c r="AZ660" s="20" t="s">
        <v>24</v>
      </c>
      <c r="BA660" s="20">
        <v>90</v>
      </c>
      <c r="BD660" s="14"/>
      <c r="BJ660" t="s">
        <v>255</v>
      </c>
      <c r="BK660" t="s">
        <v>184</v>
      </c>
      <c r="BN660" s="36">
        <v>100</v>
      </c>
      <c r="BO660" s="36">
        <v>100</v>
      </c>
      <c r="BP660">
        <f t="shared" si="56"/>
        <v>480</v>
      </c>
      <c r="BR660" s="38">
        <v>44713</v>
      </c>
      <c r="BS660" s="20" t="s">
        <v>185</v>
      </c>
      <c r="BT660" s="20" t="str">
        <f t="shared" si="57"/>
        <v>InCasa_COR22D497</v>
      </c>
    </row>
    <row r="661" spans="2:72" ht="18.75" customHeight="1" x14ac:dyDescent="0.25">
      <c r="B661" s="20">
        <f t="shared" si="58"/>
        <v>498</v>
      </c>
      <c r="C661" s="22" t="str">
        <f t="shared" si="54"/>
        <v>In Casa #498</v>
      </c>
      <c r="D661" t="str">
        <f t="shared" si="55"/>
        <v>COR22D498</v>
      </c>
      <c r="E661" s="58" t="s">
        <v>252</v>
      </c>
      <c r="F661" s="20">
        <v>1000</v>
      </c>
      <c r="G661" s="14" t="s">
        <v>354</v>
      </c>
      <c r="H661" s="23" t="s">
        <v>170</v>
      </c>
      <c r="J661" s="59" t="s">
        <v>38</v>
      </c>
      <c r="K661" s="22" t="s">
        <v>254</v>
      </c>
      <c r="L661" s="59" t="s">
        <v>171</v>
      </c>
      <c r="M661" s="22">
        <v>2</v>
      </c>
      <c r="V661" s="59" t="s">
        <v>176</v>
      </c>
      <c r="AL661" s="59" t="s">
        <v>40</v>
      </c>
      <c r="AM661" s="22" t="s">
        <v>188</v>
      </c>
      <c r="AV661" s="59" t="s">
        <v>134</v>
      </c>
      <c r="AW661" s="22" t="str">
        <f>Settings!$B$5 &amp;  "?s=" &amp; D661 &amp; "&amp;platform=ftx"</f>
        <v>https://tokensol.nfluent.io?s=COR22D498&amp;platform=ftx</v>
      </c>
      <c r="AX661" s="20" t="s">
        <v>23</v>
      </c>
      <c r="AY661" s="20">
        <v>10</v>
      </c>
      <c r="AZ661" s="20" t="s">
        <v>24</v>
      </c>
      <c r="BA661" s="20">
        <v>90</v>
      </c>
      <c r="BD661" s="14"/>
      <c r="BJ661" t="s">
        <v>255</v>
      </c>
      <c r="BK661" t="s">
        <v>184</v>
      </c>
      <c r="BN661" s="36">
        <v>100</v>
      </c>
      <c r="BO661" s="36">
        <v>100</v>
      </c>
      <c r="BP661">
        <f t="shared" si="56"/>
        <v>480</v>
      </c>
      <c r="BR661" s="38">
        <v>44713</v>
      </c>
      <c r="BS661" s="20" t="s">
        <v>185</v>
      </c>
      <c r="BT661" s="20" t="str">
        <f t="shared" si="57"/>
        <v>InCasa_COR22D498</v>
      </c>
    </row>
    <row r="662" spans="2:72" ht="18.75" customHeight="1" x14ac:dyDescent="0.25">
      <c r="B662" s="20">
        <f t="shared" si="58"/>
        <v>499</v>
      </c>
      <c r="C662" s="22" t="str">
        <f t="shared" si="54"/>
        <v>In Casa #499</v>
      </c>
      <c r="D662" t="str">
        <f t="shared" si="55"/>
        <v>COR22D499</v>
      </c>
      <c r="E662" s="58" t="s">
        <v>252</v>
      </c>
      <c r="F662" s="20">
        <v>1000</v>
      </c>
      <c r="G662" s="14" t="s">
        <v>354</v>
      </c>
      <c r="H662" s="23" t="s">
        <v>170</v>
      </c>
      <c r="J662" s="59" t="s">
        <v>38</v>
      </c>
      <c r="K662" s="22" t="s">
        <v>254</v>
      </c>
      <c r="L662" s="59" t="s">
        <v>171</v>
      </c>
      <c r="M662" s="22">
        <v>2</v>
      </c>
      <c r="V662" s="59" t="s">
        <v>176</v>
      </c>
      <c r="AL662" s="59" t="s">
        <v>40</v>
      </c>
      <c r="AM662" s="22" t="s">
        <v>188</v>
      </c>
      <c r="AV662" s="59" t="s">
        <v>134</v>
      </c>
      <c r="AW662" s="22" t="str">
        <f>Settings!$B$5 &amp;  "?s=" &amp; D662 &amp; "&amp;platform=ftx"</f>
        <v>https://tokensol.nfluent.io?s=COR22D499&amp;platform=ftx</v>
      </c>
      <c r="AX662" s="20" t="s">
        <v>23</v>
      </c>
      <c r="AY662" s="20">
        <v>10</v>
      </c>
      <c r="AZ662" s="20" t="s">
        <v>24</v>
      </c>
      <c r="BA662" s="20">
        <v>90</v>
      </c>
      <c r="BD662" s="14"/>
      <c r="BJ662" t="s">
        <v>255</v>
      </c>
      <c r="BK662" t="s">
        <v>184</v>
      </c>
      <c r="BN662" s="36">
        <v>100</v>
      </c>
      <c r="BO662" s="36">
        <v>100</v>
      </c>
      <c r="BP662">
        <f t="shared" si="56"/>
        <v>480</v>
      </c>
      <c r="BR662" s="38">
        <v>44713</v>
      </c>
      <c r="BS662" s="20" t="s">
        <v>185</v>
      </c>
      <c r="BT662" s="20" t="str">
        <f t="shared" si="57"/>
        <v>InCasa_COR22D499</v>
      </c>
    </row>
    <row r="663" spans="2:72" ht="18.75" customHeight="1" x14ac:dyDescent="0.25">
      <c r="B663" s="20">
        <f t="shared" si="58"/>
        <v>500</v>
      </c>
      <c r="C663" s="22" t="str">
        <f t="shared" si="54"/>
        <v>In Casa #500</v>
      </c>
      <c r="D663" t="str">
        <f t="shared" si="55"/>
        <v>COR22D500</v>
      </c>
      <c r="E663" s="58" t="s">
        <v>252</v>
      </c>
      <c r="F663" s="20">
        <v>1000</v>
      </c>
      <c r="G663" s="14" t="s">
        <v>354</v>
      </c>
      <c r="H663" s="23" t="s">
        <v>170</v>
      </c>
      <c r="J663" s="59" t="s">
        <v>38</v>
      </c>
      <c r="K663" s="22" t="s">
        <v>254</v>
      </c>
      <c r="L663" s="59" t="s">
        <v>171</v>
      </c>
      <c r="M663" s="22">
        <v>2</v>
      </c>
      <c r="V663" s="59" t="s">
        <v>176</v>
      </c>
      <c r="AL663" s="59" t="s">
        <v>40</v>
      </c>
      <c r="AM663" s="22" t="s">
        <v>188</v>
      </c>
      <c r="AV663" s="59" t="s">
        <v>134</v>
      </c>
      <c r="AW663" s="22" t="str">
        <f>Settings!$B$5 &amp;  "?s=" &amp; D663 &amp; "&amp;platform=ftx"</f>
        <v>https://tokensol.nfluent.io?s=COR22D500&amp;platform=ftx</v>
      </c>
      <c r="AX663" s="20" t="s">
        <v>23</v>
      </c>
      <c r="AY663" s="20">
        <v>10</v>
      </c>
      <c r="AZ663" s="20" t="s">
        <v>24</v>
      </c>
      <c r="BA663" s="20">
        <v>90</v>
      </c>
      <c r="BD663" s="14"/>
      <c r="BJ663" t="s">
        <v>255</v>
      </c>
      <c r="BK663" t="s">
        <v>184</v>
      </c>
      <c r="BN663" s="36">
        <v>100</v>
      </c>
      <c r="BO663" s="36">
        <v>100</v>
      </c>
      <c r="BP663">
        <f t="shared" si="56"/>
        <v>480</v>
      </c>
      <c r="BR663" s="38">
        <v>44713</v>
      </c>
      <c r="BS663" s="20" t="s">
        <v>185</v>
      </c>
      <c r="BT663" s="20" t="str">
        <f t="shared" si="57"/>
        <v>InCasa_COR22D500</v>
      </c>
    </row>
    <row r="664" spans="2:72" ht="18.75" customHeight="1" x14ac:dyDescent="0.25">
      <c r="B664" s="20">
        <f t="shared" si="58"/>
        <v>501</v>
      </c>
      <c r="C664" s="22" t="str">
        <f t="shared" si="54"/>
        <v>In Casa #501</v>
      </c>
      <c r="D664" t="str">
        <f t="shared" si="55"/>
        <v>COR22D501</v>
      </c>
      <c r="E664" s="58" t="s">
        <v>252</v>
      </c>
      <c r="F664" s="20">
        <v>1000</v>
      </c>
      <c r="G664" s="14" t="s">
        <v>354</v>
      </c>
      <c r="H664" s="23" t="s">
        <v>170</v>
      </c>
      <c r="J664" s="59" t="s">
        <v>38</v>
      </c>
      <c r="K664" s="22" t="s">
        <v>254</v>
      </c>
      <c r="L664" s="59" t="s">
        <v>171</v>
      </c>
      <c r="M664" s="22">
        <v>2</v>
      </c>
      <c r="V664" s="59" t="s">
        <v>176</v>
      </c>
      <c r="AL664" s="59" t="s">
        <v>40</v>
      </c>
      <c r="AM664" s="22" t="s">
        <v>188</v>
      </c>
      <c r="AV664" s="59" t="s">
        <v>134</v>
      </c>
      <c r="AW664" s="22" t="str">
        <f>Settings!$B$5 &amp;  "?s=" &amp; D664 &amp; "&amp;platform=ftx"</f>
        <v>https://tokensol.nfluent.io?s=COR22D501&amp;platform=ftx</v>
      </c>
      <c r="AX664" s="20" t="s">
        <v>23</v>
      </c>
      <c r="AY664" s="20">
        <v>10</v>
      </c>
      <c r="AZ664" s="20" t="s">
        <v>24</v>
      </c>
      <c r="BA664" s="20">
        <v>90</v>
      </c>
      <c r="BD664" s="14"/>
      <c r="BJ664" t="s">
        <v>255</v>
      </c>
      <c r="BK664" t="s">
        <v>184</v>
      </c>
      <c r="BN664" s="36">
        <v>100</v>
      </c>
      <c r="BO664" s="36">
        <v>100</v>
      </c>
      <c r="BP664">
        <f t="shared" si="56"/>
        <v>480</v>
      </c>
      <c r="BR664" s="38">
        <v>44713</v>
      </c>
      <c r="BS664" s="20" t="s">
        <v>185</v>
      </c>
      <c r="BT664" s="20" t="str">
        <f t="shared" si="57"/>
        <v>InCasa_COR22D501</v>
      </c>
    </row>
    <row r="665" spans="2:72" ht="18.75" customHeight="1" x14ac:dyDescent="0.25">
      <c r="B665" s="20">
        <f t="shared" si="58"/>
        <v>502</v>
      </c>
      <c r="C665" s="22" t="str">
        <f t="shared" si="54"/>
        <v>In Casa #502</v>
      </c>
      <c r="D665" t="str">
        <f t="shared" si="55"/>
        <v>COR22D502</v>
      </c>
      <c r="E665" s="58" t="s">
        <v>252</v>
      </c>
      <c r="F665" s="20">
        <v>1000</v>
      </c>
      <c r="G665" s="14" t="s">
        <v>354</v>
      </c>
      <c r="H665" s="23" t="s">
        <v>170</v>
      </c>
      <c r="J665" s="59" t="s">
        <v>38</v>
      </c>
      <c r="K665" s="22" t="s">
        <v>254</v>
      </c>
      <c r="L665" s="59" t="s">
        <v>171</v>
      </c>
      <c r="M665" s="22">
        <v>2</v>
      </c>
      <c r="V665" s="59" t="s">
        <v>176</v>
      </c>
      <c r="AL665" s="59" t="s">
        <v>40</v>
      </c>
      <c r="AM665" s="22" t="s">
        <v>188</v>
      </c>
      <c r="AV665" s="59" t="s">
        <v>134</v>
      </c>
      <c r="AW665" s="22" t="str">
        <f>Settings!$B$5 &amp;  "?s=" &amp; D665 &amp; "&amp;platform=ftx"</f>
        <v>https://tokensol.nfluent.io?s=COR22D502&amp;platform=ftx</v>
      </c>
      <c r="AX665" s="20" t="s">
        <v>23</v>
      </c>
      <c r="AY665" s="20">
        <v>10</v>
      </c>
      <c r="AZ665" s="20" t="s">
        <v>24</v>
      </c>
      <c r="BA665" s="20">
        <v>90</v>
      </c>
      <c r="BD665" s="14"/>
      <c r="BJ665" t="s">
        <v>255</v>
      </c>
      <c r="BK665" t="s">
        <v>184</v>
      </c>
      <c r="BN665" s="36">
        <v>100</v>
      </c>
      <c r="BO665" s="36">
        <v>100</v>
      </c>
      <c r="BP665">
        <f t="shared" si="56"/>
        <v>480</v>
      </c>
      <c r="BR665" s="38">
        <v>44713</v>
      </c>
      <c r="BS665" s="20" t="s">
        <v>185</v>
      </c>
      <c r="BT665" s="20" t="str">
        <f t="shared" si="57"/>
        <v>InCasa_COR22D502</v>
      </c>
    </row>
    <row r="666" spans="2:72" ht="18.75" customHeight="1" x14ac:dyDescent="0.25">
      <c r="B666" s="20">
        <f t="shared" si="58"/>
        <v>503</v>
      </c>
      <c r="C666" s="22" t="str">
        <f t="shared" si="54"/>
        <v>In Casa #503</v>
      </c>
      <c r="D666" t="str">
        <f t="shared" si="55"/>
        <v>COR22D503</v>
      </c>
      <c r="E666" s="58" t="s">
        <v>252</v>
      </c>
      <c r="F666" s="20">
        <v>1000</v>
      </c>
      <c r="G666" s="14" t="s">
        <v>354</v>
      </c>
      <c r="H666" s="23" t="s">
        <v>170</v>
      </c>
      <c r="J666" s="59" t="s">
        <v>38</v>
      </c>
      <c r="K666" s="22" t="s">
        <v>254</v>
      </c>
      <c r="L666" s="59" t="s">
        <v>171</v>
      </c>
      <c r="M666" s="22">
        <v>2</v>
      </c>
      <c r="V666" s="59" t="s">
        <v>176</v>
      </c>
      <c r="AL666" s="59" t="s">
        <v>40</v>
      </c>
      <c r="AM666" s="22" t="s">
        <v>188</v>
      </c>
      <c r="AV666" s="59" t="s">
        <v>134</v>
      </c>
      <c r="AW666" s="22" t="str">
        <f>Settings!$B$5 &amp;  "?s=" &amp; D666 &amp; "&amp;platform=ftx"</f>
        <v>https://tokensol.nfluent.io?s=COR22D503&amp;platform=ftx</v>
      </c>
      <c r="AX666" s="20" t="s">
        <v>23</v>
      </c>
      <c r="AY666" s="20">
        <v>10</v>
      </c>
      <c r="AZ666" s="20" t="s">
        <v>24</v>
      </c>
      <c r="BA666" s="20">
        <v>90</v>
      </c>
      <c r="BD666" s="14"/>
      <c r="BJ666" t="s">
        <v>255</v>
      </c>
      <c r="BK666" t="s">
        <v>184</v>
      </c>
      <c r="BN666" s="36">
        <v>100</v>
      </c>
      <c r="BO666" s="36">
        <v>100</v>
      </c>
      <c r="BP666">
        <f t="shared" si="56"/>
        <v>480</v>
      </c>
      <c r="BR666" s="38">
        <v>44713</v>
      </c>
      <c r="BS666" s="20" t="s">
        <v>185</v>
      </c>
      <c r="BT666" s="20" t="str">
        <f t="shared" si="57"/>
        <v>InCasa_COR22D503</v>
      </c>
    </row>
    <row r="667" spans="2:72" ht="18.75" customHeight="1" x14ac:dyDescent="0.25">
      <c r="B667" s="20">
        <f t="shared" si="58"/>
        <v>504</v>
      </c>
      <c r="C667" s="22" t="str">
        <f t="shared" si="54"/>
        <v>In Casa #504</v>
      </c>
      <c r="D667" t="str">
        <f t="shared" si="55"/>
        <v>COR22D504</v>
      </c>
      <c r="E667" s="58" t="s">
        <v>252</v>
      </c>
      <c r="F667" s="20">
        <v>1000</v>
      </c>
      <c r="G667" s="14" t="s">
        <v>354</v>
      </c>
      <c r="H667" s="23" t="s">
        <v>170</v>
      </c>
      <c r="J667" s="59" t="s">
        <v>38</v>
      </c>
      <c r="K667" s="22" t="s">
        <v>254</v>
      </c>
      <c r="L667" s="59" t="s">
        <v>171</v>
      </c>
      <c r="M667" s="22">
        <v>2</v>
      </c>
      <c r="V667" s="59" t="s">
        <v>176</v>
      </c>
      <c r="AL667" s="59" t="s">
        <v>40</v>
      </c>
      <c r="AM667" s="22" t="s">
        <v>188</v>
      </c>
      <c r="AV667" s="59" t="s">
        <v>134</v>
      </c>
      <c r="AW667" s="22" t="str">
        <f>Settings!$B$5 &amp;  "?s=" &amp; D667 &amp; "&amp;platform=ftx"</f>
        <v>https://tokensol.nfluent.io?s=COR22D504&amp;platform=ftx</v>
      </c>
      <c r="AX667" s="20" t="s">
        <v>23</v>
      </c>
      <c r="AY667" s="20">
        <v>10</v>
      </c>
      <c r="AZ667" s="20" t="s">
        <v>24</v>
      </c>
      <c r="BA667" s="20">
        <v>90</v>
      </c>
      <c r="BD667" s="14"/>
      <c r="BJ667" t="s">
        <v>255</v>
      </c>
      <c r="BK667" t="s">
        <v>184</v>
      </c>
      <c r="BN667" s="36">
        <v>100</v>
      </c>
      <c r="BO667" s="36">
        <v>100</v>
      </c>
      <c r="BP667">
        <f t="shared" si="56"/>
        <v>480</v>
      </c>
      <c r="BR667" s="38">
        <v>44713</v>
      </c>
      <c r="BS667" s="20" t="s">
        <v>185</v>
      </c>
      <c r="BT667" s="20" t="str">
        <f t="shared" si="57"/>
        <v>InCasa_COR22D504</v>
      </c>
    </row>
    <row r="668" spans="2:72" ht="18.75" customHeight="1" x14ac:dyDescent="0.25">
      <c r="B668" s="20">
        <f t="shared" si="58"/>
        <v>505</v>
      </c>
      <c r="C668" s="22" t="str">
        <f t="shared" si="54"/>
        <v>In Casa #505</v>
      </c>
      <c r="D668" t="str">
        <f t="shared" si="55"/>
        <v>COR22D505</v>
      </c>
      <c r="E668" s="58" t="s">
        <v>252</v>
      </c>
      <c r="F668" s="20">
        <v>1000</v>
      </c>
      <c r="G668" s="14" t="s">
        <v>354</v>
      </c>
      <c r="H668" s="23" t="s">
        <v>170</v>
      </c>
      <c r="J668" s="59" t="s">
        <v>38</v>
      </c>
      <c r="K668" s="22" t="s">
        <v>254</v>
      </c>
      <c r="L668" s="59" t="s">
        <v>171</v>
      </c>
      <c r="M668" s="22">
        <v>2</v>
      </c>
      <c r="V668" s="59" t="s">
        <v>176</v>
      </c>
      <c r="AL668" s="59" t="s">
        <v>40</v>
      </c>
      <c r="AM668" s="22" t="s">
        <v>188</v>
      </c>
      <c r="AV668" s="59" t="s">
        <v>134</v>
      </c>
      <c r="AW668" s="22" t="str">
        <f>Settings!$B$5 &amp;  "?s=" &amp; D668 &amp; "&amp;platform=ftx"</f>
        <v>https://tokensol.nfluent.io?s=COR22D505&amp;platform=ftx</v>
      </c>
      <c r="AX668" s="20" t="s">
        <v>23</v>
      </c>
      <c r="AY668" s="20">
        <v>10</v>
      </c>
      <c r="AZ668" s="20" t="s">
        <v>24</v>
      </c>
      <c r="BA668" s="20">
        <v>90</v>
      </c>
      <c r="BD668" s="14"/>
      <c r="BJ668" t="s">
        <v>255</v>
      </c>
      <c r="BK668" t="s">
        <v>184</v>
      </c>
      <c r="BN668" s="36">
        <v>100</v>
      </c>
      <c r="BO668" s="36">
        <v>100</v>
      </c>
      <c r="BP668">
        <f t="shared" si="56"/>
        <v>480</v>
      </c>
      <c r="BR668" s="38">
        <v>44713</v>
      </c>
      <c r="BS668" s="20" t="s">
        <v>185</v>
      </c>
      <c r="BT668" s="20" t="str">
        <f t="shared" si="57"/>
        <v>InCasa_COR22D505</v>
      </c>
    </row>
    <row r="669" spans="2:72" ht="18.75" customHeight="1" x14ac:dyDescent="0.25">
      <c r="B669" s="20">
        <f t="shared" si="58"/>
        <v>506</v>
      </c>
      <c r="C669" s="22" t="str">
        <f t="shared" si="54"/>
        <v>In Casa #506</v>
      </c>
      <c r="D669" t="str">
        <f t="shared" si="55"/>
        <v>COR22D506</v>
      </c>
      <c r="E669" s="58" t="s">
        <v>252</v>
      </c>
      <c r="F669" s="20">
        <v>1000</v>
      </c>
      <c r="G669" s="14" t="s">
        <v>354</v>
      </c>
      <c r="H669" s="23" t="s">
        <v>170</v>
      </c>
      <c r="J669" s="59" t="s">
        <v>38</v>
      </c>
      <c r="K669" s="22" t="s">
        <v>254</v>
      </c>
      <c r="L669" s="59" t="s">
        <v>171</v>
      </c>
      <c r="M669" s="22">
        <v>2</v>
      </c>
      <c r="V669" s="59" t="s">
        <v>176</v>
      </c>
      <c r="AL669" s="59" t="s">
        <v>40</v>
      </c>
      <c r="AM669" s="22" t="s">
        <v>188</v>
      </c>
      <c r="AV669" s="59" t="s">
        <v>134</v>
      </c>
      <c r="AW669" s="22" t="str">
        <f>Settings!$B$5 &amp;  "?s=" &amp; D669 &amp; "&amp;platform=ftx"</f>
        <v>https://tokensol.nfluent.io?s=COR22D506&amp;platform=ftx</v>
      </c>
      <c r="AX669" s="20" t="s">
        <v>23</v>
      </c>
      <c r="AY669" s="20">
        <v>10</v>
      </c>
      <c r="AZ669" s="20" t="s">
        <v>24</v>
      </c>
      <c r="BA669" s="20">
        <v>90</v>
      </c>
      <c r="BD669" s="14"/>
      <c r="BJ669" t="s">
        <v>255</v>
      </c>
      <c r="BK669" t="s">
        <v>184</v>
      </c>
      <c r="BN669" s="36">
        <v>100</v>
      </c>
      <c r="BO669" s="36">
        <v>100</v>
      </c>
      <c r="BP669">
        <f t="shared" si="56"/>
        <v>480</v>
      </c>
      <c r="BR669" s="38">
        <v>44713</v>
      </c>
      <c r="BS669" s="20" t="s">
        <v>185</v>
      </c>
      <c r="BT669" s="20" t="str">
        <f t="shared" si="57"/>
        <v>InCasa_COR22D506</v>
      </c>
    </row>
    <row r="670" spans="2:72" ht="18.75" customHeight="1" x14ac:dyDescent="0.25">
      <c r="B670" s="20">
        <f t="shared" si="58"/>
        <v>507</v>
      </c>
      <c r="C670" s="22" t="str">
        <f t="shared" si="54"/>
        <v>In Casa #507</v>
      </c>
      <c r="D670" t="str">
        <f t="shared" si="55"/>
        <v>COR22D507</v>
      </c>
      <c r="E670" s="58" t="s">
        <v>252</v>
      </c>
      <c r="F670" s="20">
        <v>1000</v>
      </c>
      <c r="G670" s="14" t="s">
        <v>354</v>
      </c>
      <c r="H670" s="23" t="s">
        <v>170</v>
      </c>
      <c r="J670" s="59" t="s">
        <v>38</v>
      </c>
      <c r="K670" s="22" t="s">
        <v>254</v>
      </c>
      <c r="L670" s="59" t="s">
        <v>171</v>
      </c>
      <c r="M670" s="22">
        <v>2</v>
      </c>
      <c r="V670" s="59" t="s">
        <v>176</v>
      </c>
      <c r="AL670" s="59" t="s">
        <v>40</v>
      </c>
      <c r="AM670" s="22" t="s">
        <v>188</v>
      </c>
      <c r="AV670" s="59" t="s">
        <v>134</v>
      </c>
      <c r="AW670" s="22" t="str">
        <f>Settings!$B$5 &amp;  "?s=" &amp; D670 &amp; "&amp;platform=ftx"</f>
        <v>https://tokensol.nfluent.io?s=COR22D507&amp;platform=ftx</v>
      </c>
      <c r="AX670" s="20" t="s">
        <v>23</v>
      </c>
      <c r="AY670" s="20">
        <v>10</v>
      </c>
      <c r="AZ670" s="20" t="s">
        <v>24</v>
      </c>
      <c r="BA670" s="20">
        <v>90</v>
      </c>
      <c r="BD670" s="14"/>
      <c r="BJ670" t="s">
        <v>255</v>
      </c>
      <c r="BK670" t="s">
        <v>184</v>
      </c>
      <c r="BN670" s="36">
        <v>100</v>
      </c>
      <c r="BO670" s="36">
        <v>100</v>
      </c>
      <c r="BP670">
        <f t="shared" si="56"/>
        <v>480</v>
      </c>
      <c r="BR670" s="38">
        <v>44713</v>
      </c>
      <c r="BS670" s="20" t="s">
        <v>185</v>
      </c>
      <c r="BT670" s="20" t="str">
        <f t="shared" si="57"/>
        <v>InCasa_COR22D507</v>
      </c>
    </row>
    <row r="671" spans="2:72" ht="18.75" customHeight="1" x14ac:dyDescent="0.25">
      <c r="B671" s="20">
        <f t="shared" si="58"/>
        <v>508</v>
      </c>
      <c r="C671" s="22" t="str">
        <f t="shared" si="54"/>
        <v>In Casa #508</v>
      </c>
      <c r="D671" t="str">
        <f t="shared" si="55"/>
        <v>COR22D508</v>
      </c>
      <c r="E671" s="58" t="s">
        <v>252</v>
      </c>
      <c r="F671" s="20">
        <v>1000</v>
      </c>
      <c r="G671" s="14" t="s">
        <v>354</v>
      </c>
      <c r="H671" s="23" t="s">
        <v>170</v>
      </c>
      <c r="J671" s="59" t="s">
        <v>38</v>
      </c>
      <c r="K671" s="22" t="s">
        <v>254</v>
      </c>
      <c r="L671" s="59" t="s">
        <v>171</v>
      </c>
      <c r="M671" s="22">
        <v>2</v>
      </c>
      <c r="V671" s="59" t="s">
        <v>176</v>
      </c>
      <c r="AL671" s="59" t="s">
        <v>40</v>
      </c>
      <c r="AM671" s="22" t="s">
        <v>188</v>
      </c>
      <c r="AV671" s="59" t="s">
        <v>134</v>
      </c>
      <c r="AW671" s="22" t="str">
        <f>Settings!$B$5 &amp;  "?s=" &amp; D671 &amp; "&amp;platform=ftx"</f>
        <v>https://tokensol.nfluent.io?s=COR22D508&amp;platform=ftx</v>
      </c>
      <c r="AX671" s="20" t="s">
        <v>23</v>
      </c>
      <c r="AY671" s="20">
        <v>10</v>
      </c>
      <c r="AZ671" s="20" t="s">
        <v>24</v>
      </c>
      <c r="BA671" s="20">
        <v>90</v>
      </c>
      <c r="BD671" s="14"/>
      <c r="BJ671" t="s">
        <v>255</v>
      </c>
      <c r="BK671" t="s">
        <v>184</v>
      </c>
      <c r="BN671" s="36">
        <v>100</v>
      </c>
      <c r="BO671" s="36">
        <v>100</v>
      </c>
      <c r="BP671">
        <f t="shared" si="56"/>
        <v>480</v>
      </c>
      <c r="BR671" s="38">
        <v>44713</v>
      </c>
      <c r="BS671" s="20" t="s">
        <v>185</v>
      </c>
      <c r="BT671" s="20" t="str">
        <f t="shared" si="57"/>
        <v>InCasa_COR22D508</v>
      </c>
    </row>
    <row r="672" spans="2:72" ht="18.75" customHeight="1" x14ac:dyDescent="0.25">
      <c r="B672" s="20">
        <f t="shared" si="58"/>
        <v>509</v>
      </c>
      <c r="C672" s="22" t="str">
        <f t="shared" si="54"/>
        <v>In Casa #509</v>
      </c>
      <c r="D672" t="str">
        <f t="shared" si="55"/>
        <v>COR22D509</v>
      </c>
      <c r="E672" s="58" t="s">
        <v>252</v>
      </c>
      <c r="F672" s="20">
        <v>1000</v>
      </c>
      <c r="G672" s="14" t="s">
        <v>354</v>
      </c>
      <c r="H672" s="23" t="s">
        <v>170</v>
      </c>
      <c r="J672" s="59" t="s">
        <v>38</v>
      </c>
      <c r="K672" s="22" t="s">
        <v>254</v>
      </c>
      <c r="L672" s="59" t="s">
        <v>171</v>
      </c>
      <c r="M672" s="22">
        <v>2</v>
      </c>
      <c r="V672" s="59" t="s">
        <v>176</v>
      </c>
      <c r="AL672" s="59" t="s">
        <v>40</v>
      </c>
      <c r="AM672" s="22" t="s">
        <v>188</v>
      </c>
      <c r="AV672" s="59" t="s">
        <v>134</v>
      </c>
      <c r="AW672" s="22" t="str">
        <f>Settings!$B$5 &amp;  "?s=" &amp; D672 &amp; "&amp;platform=ftx"</f>
        <v>https://tokensol.nfluent.io?s=COR22D509&amp;platform=ftx</v>
      </c>
      <c r="AX672" s="20" t="s">
        <v>23</v>
      </c>
      <c r="AY672" s="20">
        <v>10</v>
      </c>
      <c r="AZ672" s="20" t="s">
        <v>24</v>
      </c>
      <c r="BA672" s="20">
        <v>90</v>
      </c>
      <c r="BD672" s="14"/>
      <c r="BJ672" t="s">
        <v>255</v>
      </c>
      <c r="BK672" t="s">
        <v>184</v>
      </c>
      <c r="BN672" s="36">
        <v>100</v>
      </c>
      <c r="BO672" s="36">
        <v>100</v>
      </c>
      <c r="BP672">
        <f t="shared" si="56"/>
        <v>480</v>
      </c>
      <c r="BR672" s="38">
        <v>44713</v>
      </c>
      <c r="BS672" s="20" t="s">
        <v>185</v>
      </c>
      <c r="BT672" s="20" t="str">
        <f t="shared" si="57"/>
        <v>InCasa_COR22D509</v>
      </c>
    </row>
    <row r="673" spans="2:72" ht="18.75" customHeight="1" x14ac:dyDescent="0.25">
      <c r="B673" s="20">
        <f t="shared" si="58"/>
        <v>510</v>
      </c>
      <c r="C673" s="22" t="str">
        <f t="shared" si="54"/>
        <v>In Casa #510</v>
      </c>
      <c r="D673" t="str">
        <f t="shared" si="55"/>
        <v>COR22D510</v>
      </c>
      <c r="E673" s="58" t="s">
        <v>252</v>
      </c>
      <c r="F673" s="20">
        <v>1000</v>
      </c>
      <c r="G673" s="14" t="s">
        <v>354</v>
      </c>
      <c r="H673" s="23" t="s">
        <v>170</v>
      </c>
      <c r="J673" s="59" t="s">
        <v>38</v>
      </c>
      <c r="K673" s="22" t="s">
        <v>254</v>
      </c>
      <c r="L673" s="59" t="s">
        <v>171</v>
      </c>
      <c r="M673" s="22">
        <v>2</v>
      </c>
      <c r="V673" s="59" t="s">
        <v>176</v>
      </c>
      <c r="AL673" s="59" t="s">
        <v>40</v>
      </c>
      <c r="AM673" s="22" t="s">
        <v>188</v>
      </c>
      <c r="AV673" s="59" t="s">
        <v>134</v>
      </c>
      <c r="AW673" s="22" t="str">
        <f>Settings!$B$5 &amp;  "?s=" &amp; D673 &amp; "&amp;platform=ftx"</f>
        <v>https://tokensol.nfluent.io?s=COR22D510&amp;platform=ftx</v>
      </c>
      <c r="AX673" s="20" t="s">
        <v>23</v>
      </c>
      <c r="AY673" s="20">
        <v>10</v>
      </c>
      <c r="AZ673" s="20" t="s">
        <v>24</v>
      </c>
      <c r="BA673" s="20">
        <v>90</v>
      </c>
      <c r="BD673" s="14"/>
      <c r="BJ673" t="s">
        <v>255</v>
      </c>
      <c r="BK673" t="s">
        <v>184</v>
      </c>
      <c r="BN673" s="36">
        <v>100</v>
      </c>
      <c r="BO673" s="36">
        <v>100</v>
      </c>
      <c r="BP673">
        <f t="shared" si="56"/>
        <v>480</v>
      </c>
      <c r="BR673" s="38">
        <v>44713</v>
      </c>
      <c r="BS673" s="20" t="s">
        <v>185</v>
      </c>
      <c r="BT673" s="20" t="str">
        <f t="shared" si="57"/>
        <v>InCasa_COR22D510</v>
      </c>
    </row>
    <row r="674" spans="2:72" ht="18.75" customHeight="1" x14ac:dyDescent="0.25">
      <c r="B674" s="20">
        <f t="shared" si="58"/>
        <v>511</v>
      </c>
      <c r="C674" s="22" t="str">
        <f t="shared" si="54"/>
        <v>In Casa #511</v>
      </c>
      <c r="D674" t="str">
        <f t="shared" si="55"/>
        <v>COR22D511</v>
      </c>
      <c r="E674" s="58" t="s">
        <v>252</v>
      </c>
      <c r="F674" s="20">
        <v>1000</v>
      </c>
      <c r="G674" s="14" t="s">
        <v>354</v>
      </c>
      <c r="H674" s="23" t="s">
        <v>170</v>
      </c>
      <c r="J674" s="59" t="s">
        <v>38</v>
      </c>
      <c r="K674" s="22" t="s">
        <v>254</v>
      </c>
      <c r="L674" s="59" t="s">
        <v>171</v>
      </c>
      <c r="M674" s="22">
        <v>2</v>
      </c>
      <c r="V674" s="59" t="s">
        <v>176</v>
      </c>
      <c r="AL674" s="59" t="s">
        <v>40</v>
      </c>
      <c r="AM674" s="22" t="s">
        <v>188</v>
      </c>
      <c r="AV674" s="59" t="s">
        <v>134</v>
      </c>
      <c r="AW674" s="22" t="str">
        <f>Settings!$B$5 &amp;  "?s=" &amp; D674 &amp; "&amp;platform=ftx"</f>
        <v>https://tokensol.nfluent.io?s=COR22D511&amp;platform=ftx</v>
      </c>
      <c r="AX674" s="20" t="s">
        <v>23</v>
      </c>
      <c r="AY674" s="20">
        <v>10</v>
      </c>
      <c r="AZ674" s="20" t="s">
        <v>24</v>
      </c>
      <c r="BA674" s="20">
        <v>90</v>
      </c>
      <c r="BD674" s="14"/>
      <c r="BJ674" t="s">
        <v>255</v>
      </c>
      <c r="BK674" t="s">
        <v>184</v>
      </c>
      <c r="BN674" s="36">
        <v>100</v>
      </c>
      <c r="BO674" s="36">
        <v>100</v>
      </c>
      <c r="BP674">
        <f t="shared" si="56"/>
        <v>480</v>
      </c>
      <c r="BR674" s="38">
        <v>44713</v>
      </c>
      <c r="BS674" s="20" t="s">
        <v>185</v>
      </c>
      <c r="BT674" s="20" t="str">
        <f t="shared" si="57"/>
        <v>InCasa_COR22D511</v>
      </c>
    </row>
    <row r="675" spans="2:72" ht="18.75" customHeight="1" x14ac:dyDescent="0.25">
      <c r="B675" s="20">
        <f t="shared" si="58"/>
        <v>512</v>
      </c>
      <c r="C675" s="22" t="str">
        <f t="shared" si="54"/>
        <v>In Casa #512</v>
      </c>
      <c r="D675" t="str">
        <f t="shared" si="55"/>
        <v>COR22D512</v>
      </c>
      <c r="E675" s="58" t="s">
        <v>252</v>
      </c>
      <c r="F675" s="20">
        <v>1000</v>
      </c>
      <c r="G675" s="14" t="s">
        <v>354</v>
      </c>
      <c r="H675" s="23" t="s">
        <v>170</v>
      </c>
      <c r="J675" s="59" t="s">
        <v>38</v>
      </c>
      <c r="K675" s="22" t="s">
        <v>254</v>
      </c>
      <c r="L675" s="59" t="s">
        <v>171</v>
      </c>
      <c r="M675" s="22">
        <v>2</v>
      </c>
      <c r="V675" s="59" t="s">
        <v>176</v>
      </c>
      <c r="AL675" s="59" t="s">
        <v>40</v>
      </c>
      <c r="AM675" s="22" t="s">
        <v>188</v>
      </c>
      <c r="AV675" s="59" t="s">
        <v>134</v>
      </c>
      <c r="AW675" s="22" t="str">
        <f>Settings!$B$5 &amp;  "?s=" &amp; D675 &amp; "&amp;platform=ftx"</f>
        <v>https://tokensol.nfluent.io?s=COR22D512&amp;platform=ftx</v>
      </c>
      <c r="AX675" s="20" t="s">
        <v>23</v>
      </c>
      <c r="AY675" s="20">
        <v>10</v>
      </c>
      <c r="AZ675" s="20" t="s">
        <v>24</v>
      </c>
      <c r="BA675" s="20">
        <v>90</v>
      </c>
      <c r="BD675" s="14"/>
      <c r="BJ675" t="s">
        <v>255</v>
      </c>
      <c r="BK675" t="s">
        <v>184</v>
      </c>
      <c r="BN675" s="36">
        <v>100</v>
      </c>
      <c r="BO675" s="36">
        <v>100</v>
      </c>
      <c r="BP675">
        <f t="shared" si="56"/>
        <v>480</v>
      </c>
      <c r="BR675" s="38">
        <v>44713</v>
      </c>
      <c r="BS675" s="20" t="s">
        <v>185</v>
      </c>
      <c r="BT675" s="20" t="str">
        <f t="shared" si="57"/>
        <v>InCasa_COR22D512</v>
      </c>
    </row>
    <row r="676" spans="2:72" ht="18.75" customHeight="1" x14ac:dyDescent="0.25">
      <c r="B676" s="20">
        <f t="shared" si="58"/>
        <v>513</v>
      </c>
      <c r="C676" s="22" t="str">
        <f t="shared" si="54"/>
        <v>In Casa #513</v>
      </c>
      <c r="D676" t="str">
        <f t="shared" si="55"/>
        <v>COR22D513</v>
      </c>
      <c r="E676" s="58" t="s">
        <v>252</v>
      </c>
      <c r="F676" s="20">
        <v>1000</v>
      </c>
      <c r="G676" s="14" t="s">
        <v>354</v>
      </c>
      <c r="H676" s="23" t="s">
        <v>170</v>
      </c>
      <c r="J676" s="59" t="s">
        <v>38</v>
      </c>
      <c r="K676" s="22" t="s">
        <v>254</v>
      </c>
      <c r="L676" s="59" t="s">
        <v>171</v>
      </c>
      <c r="M676" s="22">
        <v>2</v>
      </c>
      <c r="V676" s="59" t="s">
        <v>176</v>
      </c>
      <c r="AL676" s="59" t="s">
        <v>40</v>
      </c>
      <c r="AM676" s="22" t="s">
        <v>188</v>
      </c>
      <c r="AV676" s="59" t="s">
        <v>134</v>
      </c>
      <c r="AW676" s="22" t="str">
        <f>Settings!$B$5 &amp;  "?s=" &amp; D676 &amp; "&amp;platform=ftx"</f>
        <v>https://tokensol.nfluent.io?s=COR22D513&amp;platform=ftx</v>
      </c>
      <c r="AX676" s="20" t="s">
        <v>23</v>
      </c>
      <c r="AY676" s="20">
        <v>10</v>
      </c>
      <c r="AZ676" s="20" t="s">
        <v>24</v>
      </c>
      <c r="BA676" s="20">
        <v>90</v>
      </c>
      <c r="BD676" s="14"/>
      <c r="BJ676" t="s">
        <v>255</v>
      </c>
      <c r="BK676" t="s">
        <v>184</v>
      </c>
      <c r="BN676" s="36">
        <v>100</v>
      </c>
      <c r="BO676" s="36">
        <v>100</v>
      </c>
      <c r="BP676">
        <f t="shared" si="56"/>
        <v>480</v>
      </c>
      <c r="BR676" s="38">
        <v>44713</v>
      </c>
      <c r="BS676" s="20" t="s">
        <v>185</v>
      </c>
      <c r="BT676" s="20" t="str">
        <f t="shared" si="57"/>
        <v>InCasa_COR22D513</v>
      </c>
    </row>
    <row r="677" spans="2:72" ht="18.75" customHeight="1" x14ac:dyDescent="0.25">
      <c r="B677" s="20">
        <f t="shared" si="58"/>
        <v>514</v>
      </c>
      <c r="C677" s="22" t="str">
        <f t="shared" ref="C677:C740" si="59">+"In Casa #"&amp;B677</f>
        <v>In Casa #514</v>
      </c>
      <c r="D677" t="str">
        <f t="shared" ref="D677:D740" si="60">"COR22D"&amp;B677</f>
        <v>COR22D514</v>
      </c>
      <c r="E677" s="58" t="s">
        <v>252</v>
      </c>
      <c r="F677" s="20">
        <v>1000</v>
      </c>
      <c r="G677" s="14" t="s">
        <v>354</v>
      </c>
      <c r="H677" s="23" t="s">
        <v>170</v>
      </c>
      <c r="J677" s="59" t="s">
        <v>38</v>
      </c>
      <c r="K677" s="22" t="s">
        <v>254</v>
      </c>
      <c r="L677" s="59" t="s">
        <v>171</v>
      </c>
      <c r="M677" s="22">
        <v>2</v>
      </c>
      <c r="V677" s="59" t="s">
        <v>176</v>
      </c>
      <c r="AL677" s="59" t="s">
        <v>40</v>
      </c>
      <c r="AM677" s="22" t="s">
        <v>188</v>
      </c>
      <c r="AV677" s="59" t="s">
        <v>134</v>
      </c>
      <c r="AW677" s="22" t="str">
        <f>Settings!$B$5 &amp;  "?s=" &amp; D677 &amp; "&amp;platform=ftx"</f>
        <v>https://tokensol.nfluent.io?s=COR22D514&amp;platform=ftx</v>
      </c>
      <c r="AX677" s="20" t="s">
        <v>23</v>
      </c>
      <c r="AY677" s="20">
        <v>10</v>
      </c>
      <c r="AZ677" s="20" t="s">
        <v>24</v>
      </c>
      <c r="BA677" s="20">
        <v>90</v>
      </c>
      <c r="BD677" s="14"/>
      <c r="BJ677" t="s">
        <v>255</v>
      </c>
      <c r="BK677" t="s">
        <v>184</v>
      </c>
      <c r="BN677" s="36">
        <v>100</v>
      </c>
      <c r="BO677" s="36">
        <v>100</v>
      </c>
      <c r="BP677">
        <f t="shared" ref="BP677:BP740" si="61">24*20</f>
        <v>480</v>
      </c>
      <c r="BR677" s="38">
        <v>44713</v>
      </c>
      <c r="BS677" s="20" t="s">
        <v>185</v>
      </c>
      <c r="BT677" s="20" t="str">
        <f t="shared" si="57"/>
        <v>InCasa_COR22D514</v>
      </c>
    </row>
    <row r="678" spans="2:72" ht="18.75" customHeight="1" x14ac:dyDescent="0.25">
      <c r="B678" s="20">
        <f t="shared" si="58"/>
        <v>515</v>
      </c>
      <c r="C678" s="22" t="str">
        <f t="shared" si="59"/>
        <v>In Casa #515</v>
      </c>
      <c r="D678" t="str">
        <f t="shared" si="60"/>
        <v>COR22D515</v>
      </c>
      <c r="E678" s="58" t="s">
        <v>252</v>
      </c>
      <c r="F678" s="20">
        <v>1000</v>
      </c>
      <c r="G678" s="14" t="s">
        <v>354</v>
      </c>
      <c r="H678" s="23" t="s">
        <v>170</v>
      </c>
      <c r="J678" s="59" t="s">
        <v>38</v>
      </c>
      <c r="K678" s="22" t="s">
        <v>254</v>
      </c>
      <c r="L678" s="59" t="s">
        <v>171</v>
      </c>
      <c r="M678" s="22">
        <v>2</v>
      </c>
      <c r="V678" s="59" t="s">
        <v>176</v>
      </c>
      <c r="AL678" s="59" t="s">
        <v>40</v>
      </c>
      <c r="AM678" s="22" t="s">
        <v>188</v>
      </c>
      <c r="AV678" s="59" t="s">
        <v>134</v>
      </c>
      <c r="AW678" s="22" t="str">
        <f>Settings!$B$5 &amp;  "?s=" &amp; D678 &amp; "&amp;platform=ftx"</f>
        <v>https://tokensol.nfluent.io?s=COR22D515&amp;platform=ftx</v>
      </c>
      <c r="AX678" s="20" t="s">
        <v>23</v>
      </c>
      <c r="AY678" s="20">
        <v>10</v>
      </c>
      <c r="AZ678" s="20" t="s">
        <v>24</v>
      </c>
      <c r="BA678" s="20">
        <v>90</v>
      </c>
      <c r="BD678" s="14"/>
      <c r="BJ678" t="s">
        <v>255</v>
      </c>
      <c r="BK678" t="s">
        <v>184</v>
      </c>
      <c r="BN678" s="36">
        <v>100</v>
      </c>
      <c r="BO678" s="36">
        <v>100</v>
      </c>
      <c r="BP678">
        <f t="shared" si="61"/>
        <v>480</v>
      </c>
      <c r="BR678" s="38">
        <v>44713</v>
      </c>
      <c r="BS678" s="20" t="s">
        <v>185</v>
      </c>
      <c r="BT678" s="20" t="str">
        <f t="shared" si="57"/>
        <v>InCasa_COR22D515</v>
      </c>
    </row>
    <row r="679" spans="2:72" ht="18.75" customHeight="1" x14ac:dyDescent="0.25">
      <c r="B679" s="20">
        <f t="shared" si="58"/>
        <v>516</v>
      </c>
      <c r="C679" s="22" t="str">
        <f t="shared" si="59"/>
        <v>In Casa #516</v>
      </c>
      <c r="D679" t="str">
        <f t="shared" si="60"/>
        <v>COR22D516</v>
      </c>
      <c r="E679" s="58" t="s">
        <v>252</v>
      </c>
      <c r="F679" s="20">
        <v>1000</v>
      </c>
      <c r="G679" s="14" t="s">
        <v>354</v>
      </c>
      <c r="H679" s="23" t="s">
        <v>170</v>
      </c>
      <c r="J679" s="59" t="s">
        <v>38</v>
      </c>
      <c r="K679" s="22" t="s">
        <v>254</v>
      </c>
      <c r="L679" s="59" t="s">
        <v>171</v>
      </c>
      <c r="M679" s="22">
        <v>2</v>
      </c>
      <c r="V679" s="59" t="s">
        <v>176</v>
      </c>
      <c r="AL679" s="59" t="s">
        <v>40</v>
      </c>
      <c r="AM679" s="22" t="s">
        <v>188</v>
      </c>
      <c r="AV679" s="59" t="s">
        <v>134</v>
      </c>
      <c r="AW679" s="22" t="str">
        <f>Settings!$B$5 &amp;  "?s=" &amp; D679 &amp; "&amp;platform=ftx"</f>
        <v>https://tokensol.nfluent.io?s=COR22D516&amp;platform=ftx</v>
      </c>
      <c r="AX679" s="20" t="s">
        <v>23</v>
      </c>
      <c r="AY679" s="20">
        <v>10</v>
      </c>
      <c r="AZ679" s="20" t="s">
        <v>24</v>
      </c>
      <c r="BA679" s="20">
        <v>90</v>
      </c>
      <c r="BD679" s="14"/>
      <c r="BJ679" t="s">
        <v>255</v>
      </c>
      <c r="BK679" t="s">
        <v>184</v>
      </c>
      <c r="BN679" s="36">
        <v>100</v>
      </c>
      <c r="BO679" s="36">
        <v>100</v>
      </c>
      <c r="BP679">
        <f t="shared" si="61"/>
        <v>480</v>
      </c>
      <c r="BR679" s="38">
        <v>44713</v>
      </c>
      <c r="BS679" s="20" t="s">
        <v>185</v>
      </c>
      <c r="BT679" s="20" t="str">
        <f t="shared" si="57"/>
        <v>InCasa_COR22D516</v>
      </c>
    </row>
    <row r="680" spans="2:72" ht="18.75" customHeight="1" x14ac:dyDescent="0.25">
      <c r="B680" s="20">
        <f t="shared" si="58"/>
        <v>517</v>
      </c>
      <c r="C680" s="22" t="str">
        <f t="shared" si="59"/>
        <v>In Casa #517</v>
      </c>
      <c r="D680" t="str">
        <f t="shared" si="60"/>
        <v>COR22D517</v>
      </c>
      <c r="E680" s="58" t="s">
        <v>252</v>
      </c>
      <c r="F680" s="20">
        <v>1000</v>
      </c>
      <c r="G680" s="14" t="s">
        <v>354</v>
      </c>
      <c r="H680" s="23" t="s">
        <v>170</v>
      </c>
      <c r="J680" s="59" t="s">
        <v>38</v>
      </c>
      <c r="K680" s="22" t="s">
        <v>254</v>
      </c>
      <c r="L680" s="59" t="s">
        <v>171</v>
      </c>
      <c r="M680" s="22">
        <v>2</v>
      </c>
      <c r="V680" s="59" t="s">
        <v>176</v>
      </c>
      <c r="AL680" s="59" t="s">
        <v>40</v>
      </c>
      <c r="AM680" s="22" t="s">
        <v>188</v>
      </c>
      <c r="AV680" s="59" t="s">
        <v>134</v>
      </c>
      <c r="AW680" s="22" t="str">
        <f>Settings!$B$5 &amp;  "?s=" &amp; D680 &amp; "&amp;platform=ftx"</f>
        <v>https://tokensol.nfluent.io?s=COR22D517&amp;platform=ftx</v>
      </c>
      <c r="AX680" s="20" t="s">
        <v>23</v>
      </c>
      <c r="AY680" s="20">
        <v>10</v>
      </c>
      <c r="AZ680" s="20" t="s">
        <v>24</v>
      </c>
      <c r="BA680" s="20">
        <v>90</v>
      </c>
      <c r="BD680" s="14"/>
      <c r="BJ680" t="s">
        <v>255</v>
      </c>
      <c r="BK680" t="s">
        <v>184</v>
      </c>
      <c r="BN680" s="36">
        <v>100</v>
      </c>
      <c r="BO680" s="36">
        <v>100</v>
      </c>
      <c r="BP680">
        <f t="shared" si="61"/>
        <v>480</v>
      </c>
      <c r="BR680" s="38">
        <v>44713</v>
      </c>
      <c r="BS680" s="20" t="s">
        <v>185</v>
      </c>
      <c r="BT680" s="20" t="str">
        <f t="shared" si="57"/>
        <v>InCasa_COR22D517</v>
      </c>
    </row>
    <row r="681" spans="2:72" ht="18.75" customHeight="1" x14ac:dyDescent="0.25">
      <c r="B681" s="20">
        <f t="shared" si="58"/>
        <v>518</v>
      </c>
      <c r="C681" s="22" t="str">
        <f t="shared" si="59"/>
        <v>In Casa #518</v>
      </c>
      <c r="D681" t="str">
        <f t="shared" si="60"/>
        <v>COR22D518</v>
      </c>
      <c r="E681" s="58" t="s">
        <v>252</v>
      </c>
      <c r="F681" s="20">
        <v>1000</v>
      </c>
      <c r="G681" s="14" t="s">
        <v>354</v>
      </c>
      <c r="H681" s="23" t="s">
        <v>170</v>
      </c>
      <c r="J681" s="59" t="s">
        <v>38</v>
      </c>
      <c r="K681" s="22" t="s">
        <v>254</v>
      </c>
      <c r="L681" s="59" t="s">
        <v>171</v>
      </c>
      <c r="M681" s="22">
        <v>2</v>
      </c>
      <c r="V681" s="59" t="s">
        <v>176</v>
      </c>
      <c r="AL681" s="59" t="s">
        <v>40</v>
      </c>
      <c r="AM681" s="22" t="s">
        <v>188</v>
      </c>
      <c r="AV681" s="59" t="s">
        <v>134</v>
      </c>
      <c r="AW681" s="22" t="str">
        <f>Settings!$B$5 &amp;  "?s=" &amp; D681 &amp; "&amp;platform=ftx"</f>
        <v>https://tokensol.nfluent.io?s=COR22D518&amp;platform=ftx</v>
      </c>
      <c r="AX681" s="20" t="s">
        <v>23</v>
      </c>
      <c r="AY681" s="20">
        <v>10</v>
      </c>
      <c r="AZ681" s="20" t="s">
        <v>24</v>
      </c>
      <c r="BA681" s="20">
        <v>90</v>
      </c>
      <c r="BD681" s="14"/>
      <c r="BJ681" t="s">
        <v>255</v>
      </c>
      <c r="BK681" t="s">
        <v>184</v>
      </c>
      <c r="BN681" s="36">
        <v>100</v>
      </c>
      <c r="BO681" s="36">
        <v>100</v>
      </c>
      <c r="BP681">
        <f t="shared" si="61"/>
        <v>480</v>
      </c>
      <c r="BR681" s="38">
        <v>44713</v>
      </c>
      <c r="BS681" s="20" t="s">
        <v>185</v>
      </c>
      <c r="BT681" s="20" t="str">
        <f t="shared" si="57"/>
        <v>InCasa_COR22D518</v>
      </c>
    </row>
    <row r="682" spans="2:72" ht="18.75" customHeight="1" x14ac:dyDescent="0.25">
      <c r="B682" s="20">
        <f t="shared" si="58"/>
        <v>519</v>
      </c>
      <c r="C682" s="22" t="str">
        <f t="shared" si="59"/>
        <v>In Casa #519</v>
      </c>
      <c r="D682" t="str">
        <f t="shared" si="60"/>
        <v>COR22D519</v>
      </c>
      <c r="E682" s="58" t="s">
        <v>252</v>
      </c>
      <c r="F682" s="20">
        <v>1000</v>
      </c>
      <c r="G682" s="14" t="s">
        <v>354</v>
      </c>
      <c r="H682" s="23" t="s">
        <v>170</v>
      </c>
      <c r="J682" s="59" t="s">
        <v>38</v>
      </c>
      <c r="K682" s="22" t="s">
        <v>254</v>
      </c>
      <c r="L682" s="59" t="s">
        <v>171</v>
      </c>
      <c r="M682" s="22">
        <v>2</v>
      </c>
      <c r="V682" s="59" t="s">
        <v>176</v>
      </c>
      <c r="AL682" s="59" t="s">
        <v>40</v>
      </c>
      <c r="AM682" s="22" t="s">
        <v>188</v>
      </c>
      <c r="AV682" s="59" t="s">
        <v>134</v>
      </c>
      <c r="AW682" s="22" t="str">
        <f>Settings!$B$5 &amp;  "?s=" &amp; D682 &amp; "&amp;platform=ftx"</f>
        <v>https://tokensol.nfluent.io?s=COR22D519&amp;platform=ftx</v>
      </c>
      <c r="AX682" s="20" t="s">
        <v>23</v>
      </c>
      <c r="AY682" s="20">
        <v>10</v>
      </c>
      <c r="AZ682" s="20" t="s">
        <v>24</v>
      </c>
      <c r="BA682" s="20">
        <v>90</v>
      </c>
      <c r="BD682" s="14"/>
      <c r="BJ682" t="s">
        <v>255</v>
      </c>
      <c r="BK682" t="s">
        <v>184</v>
      </c>
      <c r="BN682" s="36">
        <v>100</v>
      </c>
      <c r="BO682" s="36">
        <v>100</v>
      </c>
      <c r="BP682">
        <f t="shared" si="61"/>
        <v>480</v>
      </c>
      <c r="BR682" s="38">
        <v>44713</v>
      </c>
      <c r="BS682" s="20" t="s">
        <v>185</v>
      </c>
      <c r="BT682" s="20" t="str">
        <f t="shared" si="57"/>
        <v>InCasa_COR22D519</v>
      </c>
    </row>
    <row r="683" spans="2:72" ht="18.75" customHeight="1" x14ac:dyDescent="0.25">
      <c r="B683" s="20">
        <f t="shared" si="58"/>
        <v>520</v>
      </c>
      <c r="C683" s="22" t="str">
        <f t="shared" si="59"/>
        <v>In Casa #520</v>
      </c>
      <c r="D683" t="str">
        <f t="shared" si="60"/>
        <v>COR22D520</v>
      </c>
      <c r="E683" s="58" t="s">
        <v>252</v>
      </c>
      <c r="F683" s="20">
        <v>1000</v>
      </c>
      <c r="G683" s="14" t="s">
        <v>354</v>
      </c>
      <c r="H683" s="23" t="s">
        <v>170</v>
      </c>
      <c r="J683" s="59" t="s">
        <v>38</v>
      </c>
      <c r="K683" s="22" t="s">
        <v>254</v>
      </c>
      <c r="L683" s="59" t="s">
        <v>171</v>
      </c>
      <c r="M683" s="22">
        <v>2</v>
      </c>
      <c r="V683" s="59" t="s">
        <v>176</v>
      </c>
      <c r="AL683" s="59" t="s">
        <v>40</v>
      </c>
      <c r="AM683" s="22" t="s">
        <v>188</v>
      </c>
      <c r="AV683" s="59" t="s">
        <v>134</v>
      </c>
      <c r="AW683" s="22" t="str">
        <f>Settings!$B$5 &amp;  "?s=" &amp; D683 &amp; "&amp;platform=ftx"</f>
        <v>https://tokensol.nfluent.io?s=COR22D520&amp;platform=ftx</v>
      </c>
      <c r="AX683" s="20" t="s">
        <v>23</v>
      </c>
      <c r="AY683" s="20">
        <v>10</v>
      </c>
      <c r="AZ683" s="20" t="s">
        <v>24</v>
      </c>
      <c r="BA683" s="20">
        <v>90</v>
      </c>
      <c r="BD683" s="14"/>
      <c r="BJ683" t="s">
        <v>255</v>
      </c>
      <c r="BK683" t="s">
        <v>184</v>
      </c>
      <c r="BN683" s="36">
        <v>100</v>
      </c>
      <c r="BO683" s="36">
        <v>100</v>
      </c>
      <c r="BP683">
        <f t="shared" si="61"/>
        <v>480</v>
      </c>
      <c r="BR683" s="38">
        <v>44713</v>
      </c>
      <c r="BS683" s="20" t="s">
        <v>185</v>
      </c>
      <c r="BT683" s="20" t="str">
        <f t="shared" si="57"/>
        <v>InCasa_COR22D520</v>
      </c>
    </row>
    <row r="684" spans="2:72" ht="18.75" customHeight="1" x14ac:dyDescent="0.25">
      <c r="B684" s="20">
        <f t="shared" si="58"/>
        <v>521</v>
      </c>
      <c r="C684" s="22" t="str">
        <f t="shared" si="59"/>
        <v>In Casa #521</v>
      </c>
      <c r="D684" t="str">
        <f t="shared" si="60"/>
        <v>COR22D521</v>
      </c>
      <c r="E684" s="58" t="s">
        <v>252</v>
      </c>
      <c r="F684" s="20">
        <v>1000</v>
      </c>
      <c r="G684" s="14" t="s">
        <v>354</v>
      </c>
      <c r="H684" s="23" t="s">
        <v>170</v>
      </c>
      <c r="J684" s="59" t="s">
        <v>38</v>
      </c>
      <c r="K684" s="22" t="s">
        <v>254</v>
      </c>
      <c r="L684" s="59" t="s">
        <v>171</v>
      </c>
      <c r="M684" s="22">
        <v>2</v>
      </c>
      <c r="V684" s="59" t="s">
        <v>176</v>
      </c>
      <c r="AL684" s="59" t="s">
        <v>40</v>
      </c>
      <c r="AM684" s="22" t="s">
        <v>188</v>
      </c>
      <c r="AV684" s="59" t="s">
        <v>134</v>
      </c>
      <c r="AW684" s="22" t="str">
        <f>Settings!$B$5 &amp;  "?s=" &amp; D684 &amp; "&amp;platform=ftx"</f>
        <v>https://tokensol.nfluent.io?s=COR22D521&amp;platform=ftx</v>
      </c>
      <c r="AX684" s="20" t="s">
        <v>23</v>
      </c>
      <c r="AY684" s="20">
        <v>10</v>
      </c>
      <c r="AZ684" s="20" t="s">
        <v>24</v>
      </c>
      <c r="BA684" s="20">
        <v>90</v>
      </c>
      <c r="BD684" s="14"/>
      <c r="BJ684" t="s">
        <v>255</v>
      </c>
      <c r="BK684" t="s">
        <v>184</v>
      </c>
      <c r="BN684" s="36">
        <v>100</v>
      </c>
      <c r="BO684" s="36">
        <v>100</v>
      </c>
      <c r="BP684">
        <f t="shared" si="61"/>
        <v>480</v>
      </c>
      <c r="BR684" s="38">
        <v>44713</v>
      </c>
      <c r="BS684" s="20" t="s">
        <v>185</v>
      </c>
      <c r="BT684" s="20" t="str">
        <f t="shared" si="57"/>
        <v>InCasa_COR22D521</v>
      </c>
    </row>
    <row r="685" spans="2:72" ht="18.75" customHeight="1" x14ac:dyDescent="0.25">
      <c r="B685" s="20">
        <f t="shared" si="58"/>
        <v>522</v>
      </c>
      <c r="C685" s="22" t="str">
        <f t="shared" si="59"/>
        <v>In Casa #522</v>
      </c>
      <c r="D685" t="str">
        <f t="shared" si="60"/>
        <v>COR22D522</v>
      </c>
      <c r="E685" s="58" t="s">
        <v>252</v>
      </c>
      <c r="F685" s="20">
        <v>1000</v>
      </c>
      <c r="G685" s="14" t="s">
        <v>354</v>
      </c>
      <c r="H685" s="23" t="s">
        <v>170</v>
      </c>
      <c r="J685" s="59" t="s">
        <v>38</v>
      </c>
      <c r="K685" s="22" t="s">
        <v>254</v>
      </c>
      <c r="L685" s="59" t="s">
        <v>171</v>
      </c>
      <c r="M685" s="22">
        <v>2</v>
      </c>
      <c r="V685" s="59" t="s">
        <v>176</v>
      </c>
      <c r="AL685" s="59" t="s">
        <v>40</v>
      </c>
      <c r="AM685" s="22" t="s">
        <v>188</v>
      </c>
      <c r="AV685" s="59" t="s">
        <v>134</v>
      </c>
      <c r="AW685" s="22" t="str">
        <f>Settings!$B$5 &amp;  "?s=" &amp; D685 &amp; "&amp;platform=ftx"</f>
        <v>https://tokensol.nfluent.io?s=COR22D522&amp;platform=ftx</v>
      </c>
      <c r="AX685" s="20" t="s">
        <v>23</v>
      </c>
      <c r="AY685" s="20">
        <v>10</v>
      </c>
      <c r="AZ685" s="20" t="s">
        <v>24</v>
      </c>
      <c r="BA685" s="20">
        <v>90</v>
      </c>
      <c r="BD685" s="14"/>
      <c r="BJ685" t="s">
        <v>255</v>
      </c>
      <c r="BK685" t="s">
        <v>184</v>
      </c>
      <c r="BN685" s="36">
        <v>100</v>
      </c>
      <c r="BO685" s="36">
        <v>100</v>
      </c>
      <c r="BP685">
        <f t="shared" si="61"/>
        <v>480</v>
      </c>
      <c r="BR685" s="38">
        <v>44713</v>
      </c>
      <c r="BS685" s="20" t="s">
        <v>185</v>
      </c>
      <c r="BT685" s="20" t="str">
        <f t="shared" si="57"/>
        <v>InCasa_COR22D522</v>
      </c>
    </row>
    <row r="686" spans="2:72" ht="18.75" customHeight="1" x14ac:dyDescent="0.25">
      <c r="B686" s="20">
        <f t="shared" si="58"/>
        <v>523</v>
      </c>
      <c r="C686" s="22" t="str">
        <f t="shared" si="59"/>
        <v>In Casa #523</v>
      </c>
      <c r="D686" t="str">
        <f t="shared" si="60"/>
        <v>COR22D523</v>
      </c>
      <c r="E686" s="58" t="s">
        <v>252</v>
      </c>
      <c r="F686" s="20">
        <v>1000</v>
      </c>
      <c r="G686" s="14" t="s">
        <v>354</v>
      </c>
      <c r="H686" s="23" t="s">
        <v>170</v>
      </c>
      <c r="J686" s="59" t="s">
        <v>38</v>
      </c>
      <c r="K686" s="22" t="s">
        <v>254</v>
      </c>
      <c r="L686" s="59" t="s">
        <v>171</v>
      </c>
      <c r="M686" s="22">
        <v>2</v>
      </c>
      <c r="V686" s="59" t="s">
        <v>176</v>
      </c>
      <c r="AL686" s="59" t="s">
        <v>40</v>
      </c>
      <c r="AM686" s="22" t="s">
        <v>188</v>
      </c>
      <c r="AV686" s="59" t="s">
        <v>134</v>
      </c>
      <c r="AW686" s="22" t="str">
        <f>Settings!$B$5 &amp;  "?s=" &amp; D686 &amp; "&amp;platform=ftx"</f>
        <v>https://tokensol.nfluent.io?s=COR22D523&amp;platform=ftx</v>
      </c>
      <c r="AX686" s="20" t="s">
        <v>23</v>
      </c>
      <c r="AY686" s="20">
        <v>10</v>
      </c>
      <c r="AZ686" s="20" t="s">
        <v>24</v>
      </c>
      <c r="BA686" s="20">
        <v>90</v>
      </c>
      <c r="BD686" s="14"/>
      <c r="BJ686" t="s">
        <v>255</v>
      </c>
      <c r="BK686" t="s">
        <v>184</v>
      </c>
      <c r="BN686" s="36">
        <v>100</v>
      </c>
      <c r="BO686" s="36">
        <v>100</v>
      </c>
      <c r="BP686">
        <f t="shared" si="61"/>
        <v>480</v>
      </c>
      <c r="BR686" s="38">
        <v>44713</v>
      </c>
      <c r="BS686" s="20" t="s">
        <v>185</v>
      </c>
      <c r="BT686" s="20" t="str">
        <f t="shared" si="57"/>
        <v>InCasa_COR22D523</v>
      </c>
    </row>
    <row r="687" spans="2:72" ht="18.75" customHeight="1" x14ac:dyDescent="0.25">
      <c r="B687" s="20">
        <f t="shared" si="58"/>
        <v>524</v>
      </c>
      <c r="C687" s="22" t="str">
        <f t="shared" si="59"/>
        <v>In Casa #524</v>
      </c>
      <c r="D687" t="str">
        <f t="shared" si="60"/>
        <v>COR22D524</v>
      </c>
      <c r="E687" s="58" t="s">
        <v>252</v>
      </c>
      <c r="F687" s="20">
        <v>1000</v>
      </c>
      <c r="G687" s="14" t="s">
        <v>354</v>
      </c>
      <c r="H687" s="23" t="s">
        <v>170</v>
      </c>
      <c r="J687" s="59" t="s">
        <v>38</v>
      </c>
      <c r="K687" s="22" t="s">
        <v>254</v>
      </c>
      <c r="L687" s="59" t="s">
        <v>171</v>
      </c>
      <c r="M687" s="22">
        <v>2</v>
      </c>
      <c r="V687" s="59" t="s">
        <v>176</v>
      </c>
      <c r="AL687" s="59" t="s">
        <v>40</v>
      </c>
      <c r="AM687" s="22" t="s">
        <v>188</v>
      </c>
      <c r="AV687" s="59" t="s">
        <v>134</v>
      </c>
      <c r="AW687" s="22" t="str">
        <f>Settings!$B$5 &amp;  "?s=" &amp; D687 &amp; "&amp;platform=ftx"</f>
        <v>https://tokensol.nfluent.io?s=COR22D524&amp;platform=ftx</v>
      </c>
      <c r="AX687" s="20" t="s">
        <v>23</v>
      </c>
      <c r="AY687" s="20">
        <v>10</v>
      </c>
      <c r="AZ687" s="20" t="s">
        <v>24</v>
      </c>
      <c r="BA687" s="20">
        <v>90</v>
      </c>
      <c r="BD687" s="14"/>
      <c r="BJ687" t="s">
        <v>255</v>
      </c>
      <c r="BK687" t="s">
        <v>184</v>
      </c>
      <c r="BN687" s="36">
        <v>100</v>
      </c>
      <c r="BO687" s="36">
        <v>100</v>
      </c>
      <c r="BP687">
        <f t="shared" si="61"/>
        <v>480</v>
      </c>
      <c r="BR687" s="38">
        <v>44713</v>
      </c>
      <c r="BS687" s="20" t="s">
        <v>185</v>
      </c>
      <c r="BT687" s="20" t="str">
        <f t="shared" si="57"/>
        <v>InCasa_COR22D524</v>
      </c>
    </row>
    <row r="688" spans="2:72" ht="18.75" customHeight="1" x14ac:dyDescent="0.25">
      <c r="B688" s="20">
        <f t="shared" si="58"/>
        <v>525</v>
      </c>
      <c r="C688" s="22" t="str">
        <f t="shared" si="59"/>
        <v>In Casa #525</v>
      </c>
      <c r="D688" t="str">
        <f t="shared" si="60"/>
        <v>COR22D525</v>
      </c>
      <c r="E688" s="58" t="s">
        <v>252</v>
      </c>
      <c r="F688" s="20">
        <v>1000</v>
      </c>
      <c r="G688" s="14" t="s">
        <v>354</v>
      </c>
      <c r="H688" s="23" t="s">
        <v>170</v>
      </c>
      <c r="J688" s="59" t="s">
        <v>38</v>
      </c>
      <c r="K688" s="22" t="s">
        <v>254</v>
      </c>
      <c r="L688" s="59" t="s">
        <v>171</v>
      </c>
      <c r="M688" s="22">
        <v>2</v>
      </c>
      <c r="V688" s="59" t="s">
        <v>176</v>
      </c>
      <c r="AL688" s="59" t="s">
        <v>40</v>
      </c>
      <c r="AM688" s="22" t="s">
        <v>188</v>
      </c>
      <c r="AV688" s="59" t="s">
        <v>134</v>
      </c>
      <c r="AW688" s="22" t="str">
        <f>Settings!$B$5 &amp;  "?s=" &amp; D688 &amp; "&amp;platform=ftx"</f>
        <v>https://tokensol.nfluent.io?s=COR22D525&amp;platform=ftx</v>
      </c>
      <c r="AX688" s="20" t="s">
        <v>23</v>
      </c>
      <c r="AY688" s="20">
        <v>10</v>
      </c>
      <c r="AZ688" s="20" t="s">
        <v>24</v>
      </c>
      <c r="BA688" s="20">
        <v>90</v>
      </c>
      <c r="BD688" s="14"/>
      <c r="BJ688" t="s">
        <v>255</v>
      </c>
      <c r="BK688" t="s">
        <v>184</v>
      </c>
      <c r="BN688" s="36">
        <v>100</v>
      </c>
      <c r="BO688" s="36">
        <v>100</v>
      </c>
      <c r="BP688">
        <f t="shared" si="61"/>
        <v>480</v>
      </c>
      <c r="BR688" s="38">
        <v>44713</v>
      </c>
      <c r="BS688" s="20" t="s">
        <v>185</v>
      </c>
      <c r="BT688" s="20" t="str">
        <f t="shared" si="57"/>
        <v>InCasa_COR22D525</v>
      </c>
    </row>
    <row r="689" spans="2:72" ht="18.75" customHeight="1" x14ac:dyDescent="0.25">
      <c r="B689" s="20">
        <f t="shared" si="58"/>
        <v>526</v>
      </c>
      <c r="C689" s="22" t="str">
        <f t="shared" si="59"/>
        <v>In Casa #526</v>
      </c>
      <c r="D689" t="str">
        <f t="shared" si="60"/>
        <v>COR22D526</v>
      </c>
      <c r="E689" s="58" t="s">
        <v>252</v>
      </c>
      <c r="F689" s="20">
        <v>1000</v>
      </c>
      <c r="G689" s="14" t="s">
        <v>354</v>
      </c>
      <c r="H689" s="23" t="s">
        <v>170</v>
      </c>
      <c r="J689" s="59" t="s">
        <v>38</v>
      </c>
      <c r="K689" s="22" t="s">
        <v>254</v>
      </c>
      <c r="L689" s="59" t="s">
        <v>171</v>
      </c>
      <c r="M689" s="22">
        <v>2</v>
      </c>
      <c r="V689" s="59" t="s">
        <v>176</v>
      </c>
      <c r="AL689" s="59" t="s">
        <v>40</v>
      </c>
      <c r="AM689" s="22" t="s">
        <v>188</v>
      </c>
      <c r="AV689" s="59" t="s">
        <v>134</v>
      </c>
      <c r="AW689" s="22" t="str">
        <f>Settings!$B$5 &amp;  "?s=" &amp; D689 &amp; "&amp;platform=ftx"</f>
        <v>https://tokensol.nfluent.io?s=COR22D526&amp;platform=ftx</v>
      </c>
      <c r="AX689" s="20" t="s">
        <v>23</v>
      </c>
      <c r="AY689" s="20">
        <v>10</v>
      </c>
      <c r="AZ689" s="20" t="s">
        <v>24</v>
      </c>
      <c r="BA689" s="20">
        <v>90</v>
      </c>
      <c r="BD689" s="14"/>
      <c r="BJ689" t="s">
        <v>255</v>
      </c>
      <c r="BK689" t="s">
        <v>184</v>
      </c>
      <c r="BN689" s="36">
        <v>100</v>
      </c>
      <c r="BO689" s="36">
        <v>100</v>
      </c>
      <c r="BP689">
        <f t="shared" si="61"/>
        <v>480</v>
      </c>
      <c r="BR689" s="38">
        <v>44713</v>
      </c>
      <c r="BS689" s="20" t="s">
        <v>185</v>
      </c>
      <c r="BT689" s="20" t="str">
        <f t="shared" si="57"/>
        <v>InCasa_COR22D526</v>
      </c>
    </row>
    <row r="690" spans="2:72" ht="18.75" customHeight="1" x14ac:dyDescent="0.25">
      <c r="B690" s="20">
        <f t="shared" si="58"/>
        <v>527</v>
      </c>
      <c r="C690" s="22" t="str">
        <f t="shared" si="59"/>
        <v>In Casa #527</v>
      </c>
      <c r="D690" t="str">
        <f t="shared" si="60"/>
        <v>COR22D527</v>
      </c>
      <c r="E690" s="58" t="s">
        <v>252</v>
      </c>
      <c r="F690" s="20">
        <v>1000</v>
      </c>
      <c r="G690" s="14" t="s">
        <v>354</v>
      </c>
      <c r="H690" s="23" t="s">
        <v>170</v>
      </c>
      <c r="J690" s="59" t="s">
        <v>38</v>
      </c>
      <c r="K690" s="22" t="s">
        <v>254</v>
      </c>
      <c r="L690" s="59" t="s">
        <v>171</v>
      </c>
      <c r="M690" s="22">
        <v>2</v>
      </c>
      <c r="V690" s="59" t="s">
        <v>176</v>
      </c>
      <c r="AL690" s="59" t="s">
        <v>40</v>
      </c>
      <c r="AM690" s="22" t="s">
        <v>188</v>
      </c>
      <c r="AV690" s="59" t="s">
        <v>134</v>
      </c>
      <c r="AW690" s="22" t="str">
        <f>Settings!$B$5 &amp;  "?s=" &amp; D690 &amp; "&amp;platform=ftx"</f>
        <v>https://tokensol.nfluent.io?s=COR22D527&amp;platform=ftx</v>
      </c>
      <c r="AX690" s="20" t="s">
        <v>23</v>
      </c>
      <c r="AY690" s="20">
        <v>10</v>
      </c>
      <c r="AZ690" s="20" t="s">
        <v>24</v>
      </c>
      <c r="BA690" s="20">
        <v>90</v>
      </c>
      <c r="BD690" s="14"/>
      <c r="BJ690" t="s">
        <v>255</v>
      </c>
      <c r="BK690" t="s">
        <v>184</v>
      </c>
      <c r="BN690" s="36">
        <v>100</v>
      </c>
      <c r="BO690" s="36">
        <v>100</v>
      </c>
      <c r="BP690">
        <f t="shared" si="61"/>
        <v>480</v>
      </c>
      <c r="BR690" s="38">
        <v>44713</v>
      </c>
      <c r="BS690" s="20" t="s">
        <v>185</v>
      </c>
      <c r="BT690" s="20" t="str">
        <f t="shared" si="57"/>
        <v>InCasa_COR22D527</v>
      </c>
    </row>
    <row r="691" spans="2:72" ht="18.75" customHeight="1" x14ac:dyDescent="0.25">
      <c r="B691" s="20">
        <f t="shared" si="58"/>
        <v>528</v>
      </c>
      <c r="C691" s="22" t="str">
        <f t="shared" si="59"/>
        <v>In Casa #528</v>
      </c>
      <c r="D691" t="str">
        <f t="shared" si="60"/>
        <v>COR22D528</v>
      </c>
      <c r="E691" s="58" t="s">
        <v>252</v>
      </c>
      <c r="F691" s="20">
        <v>1000</v>
      </c>
      <c r="G691" s="14" t="s">
        <v>354</v>
      </c>
      <c r="H691" s="23" t="s">
        <v>170</v>
      </c>
      <c r="J691" s="59" t="s">
        <v>38</v>
      </c>
      <c r="K691" s="22" t="s">
        <v>254</v>
      </c>
      <c r="L691" s="59" t="s">
        <v>171</v>
      </c>
      <c r="M691" s="22">
        <v>2</v>
      </c>
      <c r="V691" s="59" t="s">
        <v>176</v>
      </c>
      <c r="AL691" s="59" t="s">
        <v>40</v>
      </c>
      <c r="AM691" s="22" t="s">
        <v>188</v>
      </c>
      <c r="AV691" s="59" t="s">
        <v>134</v>
      </c>
      <c r="AW691" s="22" t="str">
        <f>Settings!$B$5 &amp;  "?s=" &amp; D691 &amp; "&amp;platform=ftx"</f>
        <v>https://tokensol.nfluent.io?s=COR22D528&amp;platform=ftx</v>
      </c>
      <c r="AX691" s="20" t="s">
        <v>23</v>
      </c>
      <c r="AY691" s="20">
        <v>10</v>
      </c>
      <c r="AZ691" s="20" t="s">
        <v>24</v>
      </c>
      <c r="BA691" s="20">
        <v>90</v>
      </c>
      <c r="BD691" s="14"/>
      <c r="BJ691" t="s">
        <v>255</v>
      </c>
      <c r="BK691" t="s">
        <v>184</v>
      </c>
      <c r="BN691" s="36">
        <v>100</v>
      </c>
      <c r="BO691" s="36">
        <v>100</v>
      </c>
      <c r="BP691">
        <f t="shared" si="61"/>
        <v>480</v>
      </c>
      <c r="BR691" s="38">
        <v>44713</v>
      </c>
      <c r="BS691" s="20" t="s">
        <v>185</v>
      </c>
      <c r="BT691" s="20" t="str">
        <f t="shared" si="57"/>
        <v>InCasa_COR22D528</v>
      </c>
    </row>
    <row r="692" spans="2:72" ht="18.75" customHeight="1" x14ac:dyDescent="0.25">
      <c r="B692" s="20">
        <f t="shared" si="58"/>
        <v>529</v>
      </c>
      <c r="C692" s="22" t="str">
        <f t="shared" si="59"/>
        <v>In Casa #529</v>
      </c>
      <c r="D692" t="str">
        <f t="shared" si="60"/>
        <v>COR22D529</v>
      </c>
      <c r="E692" s="58" t="s">
        <v>252</v>
      </c>
      <c r="F692" s="20">
        <v>1000</v>
      </c>
      <c r="G692" s="14" t="s">
        <v>354</v>
      </c>
      <c r="H692" s="23" t="s">
        <v>170</v>
      </c>
      <c r="J692" s="59" t="s">
        <v>38</v>
      </c>
      <c r="K692" s="22" t="s">
        <v>254</v>
      </c>
      <c r="L692" s="59" t="s">
        <v>171</v>
      </c>
      <c r="M692" s="22">
        <v>2</v>
      </c>
      <c r="V692" s="59" t="s">
        <v>176</v>
      </c>
      <c r="AL692" s="59" t="s">
        <v>40</v>
      </c>
      <c r="AM692" s="22" t="s">
        <v>188</v>
      </c>
      <c r="AV692" s="59" t="s">
        <v>134</v>
      </c>
      <c r="AW692" s="22" t="str">
        <f>Settings!$B$5 &amp;  "?s=" &amp; D692 &amp; "&amp;platform=ftx"</f>
        <v>https://tokensol.nfluent.io?s=COR22D529&amp;platform=ftx</v>
      </c>
      <c r="AX692" s="20" t="s">
        <v>23</v>
      </c>
      <c r="AY692" s="20">
        <v>10</v>
      </c>
      <c r="AZ692" s="20" t="s">
        <v>24</v>
      </c>
      <c r="BA692" s="20">
        <v>90</v>
      </c>
      <c r="BD692" s="14"/>
      <c r="BJ692" t="s">
        <v>255</v>
      </c>
      <c r="BK692" t="s">
        <v>184</v>
      </c>
      <c r="BN692" s="36">
        <v>100</v>
      </c>
      <c r="BO692" s="36">
        <v>100</v>
      </c>
      <c r="BP692">
        <f t="shared" si="61"/>
        <v>480</v>
      </c>
      <c r="BR692" s="38">
        <v>44713</v>
      </c>
      <c r="BS692" s="20" t="s">
        <v>185</v>
      </c>
      <c r="BT692" s="20" t="str">
        <f t="shared" si="57"/>
        <v>InCasa_COR22D529</v>
      </c>
    </row>
    <row r="693" spans="2:72" ht="18.75" customHeight="1" x14ac:dyDescent="0.25">
      <c r="B693" s="20">
        <f t="shared" si="58"/>
        <v>530</v>
      </c>
      <c r="C693" s="22" t="str">
        <f t="shared" si="59"/>
        <v>In Casa #530</v>
      </c>
      <c r="D693" t="str">
        <f t="shared" si="60"/>
        <v>COR22D530</v>
      </c>
      <c r="E693" s="58" t="s">
        <v>252</v>
      </c>
      <c r="F693" s="20">
        <v>1000</v>
      </c>
      <c r="G693" s="14" t="s">
        <v>354</v>
      </c>
      <c r="H693" s="23" t="s">
        <v>170</v>
      </c>
      <c r="J693" s="59" t="s">
        <v>38</v>
      </c>
      <c r="K693" s="22" t="s">
        <v>254</v>
      </c>
      <c r="L693" s="59" t="s">
        <v>171</v>
      </c>
      <c r="M693" s="22">
        <v>2</v>
      </c>
      <c r="V693" s="59" t="s">
        <v>176</v>
      </c>
      <c r="AL693" s="59" t="s">
        <v>40</v>
      </c>
      <c r="AM693" s="22" t="s">
        <v>188</v>
      </c>
      <c r="AV693" s="59" t="s">
        <v>134</v>
      </c>
      <c r="AW693" s="22" t="str">
        <f>Settings!$B$5 &amp;  "?s=" &amp; D693 &amp; "&amp;platform=ftx"</f>
        <v>https://tokensol.nfluent.io?s=COR22D530&amp;platform=ftx</v>
      </c>
      <c r="AX693" s="20" t="s">
        <v>23</v>
      </c>
      <c r="AY693" s="20">
        <v>10</v>
      </c>
      <c r="AZ693" s="20" t="s">
        <v>24</v>
      </c>
      <c r="BA693" s="20">
        <v>90</v>
      </c>
      <c r="BD693" s="14"/>
      <c r="BJ693" t="s">
        <v>255</v>
      </c>
      <c r="BK693" t="s">
        <v>184</v>
      </c>
      <c r="BN693" s="36">
        <v>100</v>
      </c>
      <c r="BO693" s="36">
        <v>100</v>
      </c>
      <c r="BP693">
        <f t="shared" si="61"/>
        <v>480</v>
      </c>
      <c r="BR693" s="38">
        <v>44713</v>
      </c>
      <c r="BS693" s="20" t="s">
        <v>185</v>
      </c>
      <c r="BT693" s="20" t="str">
        <f t="shared" si="57"/>
        <v>InCasa_COR22D530</v>
      </c>
    </row>
    <row r="694" spans="2:72" ht="18.75" customHeight="1" x14ac:dyDescent="0.25">
      <c r="B694" s="20">
        <f t="shared" si="58"/>
        <v>531</v>
      </c>
      <c r="C694" s="22" t="str">
        <f t="shared" si="59"/>
        <v>In Casa #531</v>
      </c>
      <c r="D694" t="str">
        <f t="shared" si="60"/>
        <v>COR22D531</v>
      </c>
      <c r="E694" s="58" t="s">
        <v>252</v>
      </c>
      <c r="F694" s="20">
        <v>1000</v>
      </c>
      <c r="G694" s="14" t="s">
        <v>354</v>
      </c>
      <c r="H694" s="23" t="s">
        <v>170</v>
      </c>
      <c r="J694" s="59" t="s">
        <v>38</v>
      </c>
      <c r="K694" s="22" t="s">
        <v>254</v>
      </c>
      <c r="L694" s="59" t="s">
        <v>171</v>
      </c>
      <c r="M694" s="22">
        <v>2</v>
      </c>
      <c r="V694" s="59" t="s">
        <v>176</v>
      </c>
      <c r="AL694" s="59" t="s">
        <v>40</v>
      </c>
      <c r="AM694" s="22" t="s">
        <v>188</v>
      </c>
      <c r="AV694" s="59" t="s">
        <v>134</v>
      </c>
      <c r="AW694" s="22" t="str">
        <f>Settings!$B$5 &amp;  "?s=" &amp; D694 &amp; "&amp;platform=ftx"</f>
        <v>https://tokensol.nfluent.io?s=COR22D531&amp;platform=ftx</v>
      </c>
      <c r="AX694" s="20" t="s">
        <v>23</v>
      </c>
      <c r="AY694" s="20">
        <v>10</v>
      </c>
      <c r="AZ694" s="20" t="s">
        <v>24</v>
      </c>
      <c r="BA694" s="20">
        <v>90</v>
      </c>
      <c r="BD694" s="14"/>
      <c r="BJ694" t="s">
        <v>255</v>
      </c>
      <c r="BK694" t="s">
        <v>184</v>
      </c>
      <c r="BN694" s="36">
        <v>100</v>
      </c>
      <c r="BO694" s="36">
        <v>100</v>
      </c>
      <c r="BP694">
        <f t="shared" si="61"/>
        <v>480</v>
      </c>
      <c r="BR694" s="38">
        <v>44713</v>
      </c>
      <c r="BS694" s="20" t="s">
        <v>185</v>
      </c>
      <c r="BT694" s="20" t="str">
        <f t="shared" si="57"/>
        <v>InCasa_COR22D531</v>
      </c>
    </row>
    <row r="695" spans="2:72" ht="18.75" customHeight="1" x14ac:dyDescent="0.25">
      <c r="B695" s="20">
        <f t="shared" si="58"/>
        <v>532</v>
      </c>
      <c r="C695" s="22" t="str">
        <f t="shared" si="59"/>
        <v>In Casa #532</v>
      </c>
      <c r="D695" t="str">
        <f t="shared" si="60"/>
        <v>COR22D532</v>
      </c>
      <c r="E695" s="58" t="s">
        <v>252</v>
      </c>
      <c r="F695" s="20">
        <v>1000</v>
      </c>
      <c r="G695" s="14" t="s">
        <v>354</v>
      </c>
      <c r="H695" s="23" t="s">
        <v>170</v>
      </c>
      <c r="J695" s="59" t="s">
        <v>38</v>
      </c>
      <c r="K695" s="22" t="s">
        <v>254</v>
      </c>
      <c r="L695" s="59" t="s">
        <v>171</v>
      </c>
      <c r="M695" s="22">
        <v>2</v>
      </c>
      <c r="V695" s="59" t="s">
        <v>176</v>
      </c>
      <c r="AL695" s="59" t="s">
        <v>40</v>
      </c>
      <c r="AM695" s="22" t="s">
        <v>188</v>
      </c>
      <c r="AV695" s="59" t="s">
        <v>134</v>
      </c>
      <c r="AW695" s="22" t="str">
        <f>Settings!$B$5 &amp;  "?s=" &amp; D695 &amp; "&amp;platform=ftx"</f>
        <v>https://tokensol.nfluent.io?s=COR22D532&amp;platform=ftx</v>
      </c>
      <c r="AX695" s="20" t="s">
        <v>23</v>
      </c>
      <c r="AY695" s="20">
        <v>10</v>
      </c>
      <c r="AZ695" s="20" t="s">
        <v>24</v>
      </c>
      <c r="BA695" s="20">
        <v>90</v>
      </c>
      <c r="BD695" s="14"/>
      <c r="BJ695" t="s">
        <v>255</v>
      </c>
      <c r="BK695" t="s">
        <v>184</v>
      </c>
      <c r="BN695" s="36">
        <v>100</v>
      </c>
      <c r="BO695" s="36">
        <v>100</v>
      </c>
      <c r="BP695">
        <f t="shared" si="61"/>
        <v>480</v>
      </c>
      <c r="BR695" s="38">
        <v>44713</v>
      </c>
      <c r="BS695" s="20" t="s">
        <v>185</v>
      </c>
      <c r="BT695" s="20" t="str">
        <f t="shared" si="57"/>
        <v>InCasa_COR22D532</v>
      </c>
    </row>
    <row r="696" spans="2:72" ht="18.75" customHeight="1" x14ac:dyDescent="0.25">
      <c r="B696" s="20">
        <f t="shared" si="58"/>
        <v>533</v>
      </c>
      <c r="C696" s="22" t="str">
        <f t="shared" si="59"/>
        <v>In Casa #533</v>
      </c>
      <c r="D696" t="str">
        <f t="shared" si="60"/>
        <v>COR22D533</v>
      </c>
      <c r="E696" s="58" t="s">
        <v>252</v>
      </c>
      <c r="F696" s="20">
        <v>1000</v>
      </c>
      <c r="G696" s="14" t="s">
        <v>354</v>
      </c>
      <c r="H696" s="23" t="s">
        <v>170</v>
      </c>
      <c r="J696" s="59" t="s">
        <v>38</v>
      </c>
      <c r="K696" s="22" t="s">
        <v>254</v>
      </c>
      <c r="L696" s="59" t="s">
        <v>171</v>
      </c>
      <c r="M696" s="22">
        <v>2</v>
      </c>
      <c r="V696" s="59" t="s">
        <v>176</v>
      </c>
      <c r="AL696" s="59" t="s">
        <v>40</v>
      </c>
      <c r="AM696" s="22" t="s">
        <v>188</v>
      </c>
      <c r="AV696" s="59" t="s">
        <v>134</v>
      </c>
      <c r="AW696" s="22" t="str">
        <f>Settings!$B$5 &amp;  "?s=" &amp; D696 &amp; "&amp;platform=ftx"</f>
        <v>https://tokensol.nfluent.io?s=COR22D533&amp;platform=ftx</v>
      </c>
      <c r="AX696" s="20" t="s">
        <v>23</v>
      </c>
      <c r="AY696" s="20">
        <v>10</v>
      </c>
      <c r="AZ696" s="20" t="s">
        <v>24</v>
      </c>
      <c r="BA696" s="20">
        <v>90</v>
      </c>
      <c r="BD696" s="14"/>
      <c r="BJ696" t="s">
        <v>255</v>
      </c>
      <c r="BK696" t="s">
        <v>184</v>
      </c>
      <c r="BN696" s="36">
        <v>100</v>
      </c>
      <c r="BO696" s="36">
        <v>100</v>
      </c>
      <c r="BP696">
        <f t="shared" si="61"/>
        <v>480</v>
      </c>
      <c r="BR696" s="38">
        <v>44713</v>
      </c>
      <c r="BS696" s="20" t="s">
        <v>185</v>
      </c>
      <c r="BT696" s="20" t="str">
        <f t="shared" si="57"/>
        <v>InCasa_COR22D533</v>
      </c>
    </row>
    <row r="697" spans="2:72" ht="18.75" customHeight="1" x14ac:dyDescent="0.25">
      <c r="B697" s="20">
        <f t="shared" si="58"/>
        <v>534</v>
      </c>
      <c r="C697" s="22" t="str">
        <f t="shared" si="59"/>
        <v>In Casa #534</v>
      </c>
      <c r="D697" t="str">
        <f t="shared" si="60"/>
        <v>COR22D534</v>
      </c>
      <c r="E697" s="58" t="s">
        <v>252</v>
      </c>
      <c r="F697" s="20">
        <v>1000</v>
      </c>
      <c r="G697" s="14" t="s">
        <v>354</v>
      </c>
      <c r="H697" s="23" t="s">
        <v>170</v>
      </c>
      <c r="J697" s="59" t="s">
        <v>38</v>
      </c>
      <c r="K697" s="22" t="s">
        <v>254</v>
      </c>
      <c r="L697" s="59" t="s">
        <v>171</v>
      </c>
      <c r="M697" s="22">
        <v>2</v>
      </c>
      <c r="V697" s="59" t="s">
        <v>176</v>
      </c>
      <c r="AL697" s="59" t="s">
        <v>40</v>
      </c>
      <c r="AM697" s="22" t="s">
        <v>188</v>
      </c>
      <c r="AV697" s="59" t="s">
        <v>134</v>
      </c>
      <c r="AW697" s="22" t="str">
        <f>Settings!$B$5 &amp;  "?s=" &amp; D697 &amp; "&amp;platform=ftx"</f>
        <v>https://tokensol.nfluent.io?s=COR22D534&amp;platform=ftx</v>
      </c>
      <c r="AX697" s="20" t="s">
        <v>23</v>
      </c>
      <c r="AY697" s="20">
        <v>10</v>
      </c>
      <c r="AZ697" s="20" t="s">
        <v>24</v>
      </c>
      <c r="BA697" s="20">
        <v>90</v>
      </c>
      <c r="BD697" s="14"/>
      <c r="BJ697" t="s">
        <v>255</v>
      </c>
      <c r="BK697" t="s">
        <v>184</v>
      </c>
      <c r="BN697" s="36">
        <v>100</v>
      </c>
      <c r="BO697" s="36">
        <v>100</v>
      </c>
      <c r="BP697">
        <f t="shared" si="61"/>
        <v>480</v>
      </c>
      <c r="BR697" s="38">
        <v>44713</v>
      </c>
      <c r="BS697" s="20" t="s">
        <v>185</v>
      </c>
      <c r="BT697" s="20" t="str">
        <f t="shared" si="57"/>
        <v>InCasa_COR22D534</v>
      </c>
    </row>
    <row r="698" spans="2:72" ht="18.75" customHeight="1" x14ac:dyDescent="0.25">
      <c r="B698" s="20">
        <f t="shared" si="58"/>
        <v>535</v>
      </c>
      <c r="C698" s="22" t="str">
        <f t="shared" si="59"/>
        <v>In Casa #535</v>
      </c>
      <c r="D698" t="str">
        <f t="shared" si="60"/>
        <v>COR22D535</v>
      </c>
      <c r="E698" s="58" t="s">
        <v>252</v>
      </c>
      <c r="F698" s="20">
        <v>1000</v>
      </c>
      <c r="G698" s="14" t="s">
        <v>354</v>
      </c>
      <c r="H698" s="23" t="s">
        <v>170</v>
      </c>
      <c r="J698" s="59" t="s">
        <v>38</v>
      </c>
      <c r="K698" s="22" t="s">
        <v>254</v>
      </c>
      <c r="L698" s="59" t="s">
        <v>171</v>
      </c>
      <c r="M698" s="22">
        <v>2</v>
      </c>
      <c r="V698" s="59" t="s">
        <v>176</v>
      </c>
      <c r="AL698" s="59" t="s">
        <v>40</v>
      </c>
      <c r="AM698" s="22" t="s">
        <v>188</v>
      </c>
      <c r="AV698" s="59" t="s">
        <v>134</v>
      </c>
      <c r="AW698" s="22" t="str">
        <f>Settings!$B$5 &amp;  "?s=" &amp; D698 &amp; "&amp;platform=ftx"</f>
        <v>https://tokensol.nfluent.io?s=COR22D535&amp;platform=ftx</v>
      </c>
      <c r="AX698" s="20" t="s">
        <v>23</v>
      </c>
      <c r="AY698" s="20">
        <v>10</v>
      </c>
      <c r="AZ698" s="20" t="s">
        <v>24</v>
      </c>
      <c r="BA698" s="20">
        <v>90</v>
      </c>
      <c r="BD698" s="14"/>
      <c r="BJ698" t="s">
        <v>255</v>
      </c>
      <c r="BK698" t="s">
        <v>184</v>
      </c>
      <c r="BN698" s="36">
        <v>100</v>
      </c>
      <c r="BO698" s="36">
        <v>100</v>
      </c>
      <c r="BP698">
        <f t="shared" si="61"/>
        <v>480</v>
      </c>
      <c r="BR698" s="38">
        <v>44713</v>
      </c>
      <c r="BS698" s="20" t="s">
        <v>185</v>
      </c>
      <c r="BT698" s="20" t="str">
        <f t="shared" si="57"/>
        <v>InCasa_COR22D535</v>
      </c>
    </row>
    <row r="699" spans="2:72" ht="18.75" customHeight="1" x14ac:dyDescent="0.25">
      <c r="B699" s="20">
        <f t="shared" si="58"/>
        <v>536</v>
      </c>
      <c r="C699" s="22" t="str">
        <f t="shared" si="59"/>
        <v>In Casa #536</v>
      </c>
      <c r="D699" t="str">
        <f t="shared" si="60"/>
        <v>COR22D536</v>
      </c>
      <c r="E699" s="58" t="s">
        <v>252</v>
      </c>
      <c r="F699" s="20">
        <v>1000</v>
      </c>
      <c r="G699" s="14" t="s">
        <v>354</v>
      </c>
      <c r="H699" s="23" t="s">
        <v>170</v>
      </c>
      <c r="J699" s="59" t="s">
        <v>38</v>
      </c>
      <c r="K699" s="22" t="s">
        <v>254</v>
      </c>
      <c r="L699" s="59" t="s">
        <v>171</v>
      </c>
      <c r="M699" s="22">
        <v>2</v>
      </c>
      <c r="V699" s="59" t="s">
        <v>176</v>
      </c>
      <c r="AL699" s="59" t="s">
        <v>40</v>
      </c>
      <c r="AM699" s="22" t="s">
        <v>188</v>
      </c>
      <c r="AV699" s="59" t="s">
        <v>134</v>
      </c>
      <c r="AW699" s="22" t="str">
        <f>Settings!$B$5 &amp;  "?s=" &amp; D699 &amp; "&amp;platform=ftx"</f>
        <v>https://tokensol.nfluent.io?s=COR22D536&amp;platform=ftx</v>
      </c>
      <c r="AX699" s="20" t="s">
        <v>23</v>
      </c>
      <c r="AY699" s="20">
        <v>10</v>
      </c>
      <c r="AZ699" s="20" t="s">
        <v>24</v>
      </c>
      <c r="BA699" s="20">
        <v>90</v>
      </c>
      <c r="BD699" s="14"/>
      <c r="BJ699" t="s">
        <v>255</v>
      </c>
      <c r="BK699" t="s">
        <v>184</v>
      </c>
      <c r="BN699" s="36">
        <v>100</v>
      </c>
      <c r="BO699" s="36">
        <v>100</v>
      </c>
      <c r="BP699">
        <f t="shared" si="61"/>
        <v>480</v>
      </c>
      <c r="BR699" s="38">
        <v>44713</v>
      </c>
      <c r="BS699" s="20" t="s">
        <v>185</v>
      </c>
      <c r="BT699" s="20" t="str">
        <f t="shared" si="57"/>
        <v>InCasa_COR22D536</v>
      </c>
    </row>
    <row r="700" spans="2:72" ht="18.75" customHeight="1" x14ac:dyDescent="0.25">
      <c r="B700" s="20">
        <f t="shared" si="58"/>
        <v>537</v>
      </c>
      <c r="C700" s="22" t="str">
        <f t="shared" si="59"/>
        <v>In Casa #537</v>
      </c>
      <c r="D700" t="str">
        <f t="shared" si="60"/>
        <v>COR22D537</v>
      </c>
      <c r="E700" s="58" t="s">
        <v>252</v>
      </c>
      <c r="F700" s="20">
        <v>1000</v>
      </c>
      <c r="G700" s="14" t="s">
        <v>354</v>
      </c>
      <c r="H700" s="23" t="s">
        <v>170</v>
      </c>
      <c r="J700" s="59" t="s">
        <v>38</v>
      </c>
      <c r="K700" s="22" t="s">
        <v>254</v>
      </c>
      <c r="L700" s="59" t="s">
        <v>171</v>
      </c>
      <c r="M700" s="22">
        <v>2</v>
      </c>
      <c r="V700" s="59" t="s">
        <v>176</v>
      </c>
      <c r="AL700" s="59" t="s">
        <v>40</v>
      </c>
      <c r="AM700" s="22" t="s">
        <v>188</v>
      </c>
      <c r="AV700" s="59" t="s">
        <v>134</v>
      </c>
      <c r="AW700" s="22" t="str">
        <f>Settings!$B$5 &amp;  "?s=" &amp; D700 &amp; "&amp;platform=ftx"</f>
        <v>https://tokensol.nfluent.io?s=COR22D537&amp;platform=ftx</v>
      </c>
      <c r="AX700" s="20" t="s">
        <v>23</v>
      </c>
      <c r="AY700" s="20">
        <v>10</v>
      </c>
      <c r="AZ700" s="20" t="s">
        <v>24</v>
      </c>
      <c r="BA700" s="20">
        <v>90</v>
      </c>
      <c r="BD700" s="14"/>
      <c r="BJ700" t="s">
        <v>255</v>
      </c>
      <c r="BK700" t="s">
        <v>184</v>
      </c>
      <c r="BN700" s="36">
        <v>100</v>
      </c>
      <c r="BO700" s="36">
        <v>100</v>
      </c>
      <c r="BP700">
        <f t="shared" si="61"/>
        <v>480</v>
      </c>
      <c r="BR700" s="38">
        <v>44713</v>
      </c>
      <c r="BS700" s="20" t="s">
        <v>185</v>
      </c>
      <c r="BT700" s="20" t="str">
        <f t="shared" si="57"/>
        <v>InCasa_COR22D537</v>
      </c>
    </row>
    <row r="701" spans="2:72" ht="18.75" customHeight="1" x14ac:dyDescent="0.25">
      <c r="B701" s="20">
        <f t="shared" si="58"/>
        <v>538</v>
      </c>
      <c r="C701" s="22" t="str">
        <f t="shared" si="59"/>
        <v>In Casa #538</v>
      </c>
      <c r="D701" t="str">
        <f t="shared" si="60"/>
        <v>COR22D538</v>
      </c>
      <c r="E701" s="58" t="s">
        <v>252</v>
      </c>
      <c r="F701" s="20">
        <v>1000</v>
      </c>
      <c r="G701" s="14" t="s">
        <v>354</v>
      </c>
      <c r="H701" s="23" t="s">
        <v>170</v>
      </c>
      <c r="J701" s="59" t="s">
        <v>38</v>
      </c>
      <c r="K701" s="22" t="s">
        <v>254</v>
      </c>
      <c r="L701" s="59" t="s">
        <v>171</v>
      </c>
      <c r="M701" s="22">
        <v>2</v>
      </c>
      <c r="V701" s="59" t="s">
        <v>176</v>
      </c>
      <c r="AL701" s="59" t="s">
        <v>40</v>
      </c>
      <c r="AM701" s="22" t="s">
        <v>188</v>
      </c>
      <c r="AV701" s="59" t="s">
        <v>134</v>
      </c>
      <c r="AW701" s="22" t="str">
        <f>Settings!$B$5 &amp;  "?s=" &amp; D701 &amp; "&amp;platform=ftx"</f>
        <v>https://tokensol.nfluent.io?s=COR22D538&amp;platform=ftx</v>
      </c>
      <c r="AX701" s="20" t="s">
        <v>23</v>
      </c>
      <c r="AY701" s="20">
        <v>10</v>
      </c>
      <c r="AZ701" s="20" t="s">
        <v>24</v>
      </c>
      <c r="BA701" s="20">
        <v>90</v>
      </c>
      <c r="BD701" s="14"/>
      <c r="BJ701" t="s">
        <v>255</v>
      </c>
      <c r="BK701" t="s">
        <v>184</v>
      </c>
      <c r="BN701" s="36">
        <v>100</v>
      </c>
      <c r="BO701" s="36">
        <v>100</v>
      </c>
      <c r="BP701">
        <f t="shared" si="61"/>
        <v>480</v>
      </c>
      <c r="BR701" s="38">
        <v>44713</v>
      </c>
      <c r="BS701" s="20" t="s">
        <v>185</v>
      </c>
      <c r="BT701" s="20" t="str">
        <f t="shared" si="57"/>
        <v>InCasa_COR22D538</v>
      </c>
    </row>
    <row r="702" spans="2:72" ht="18.75" customHeight="1" x14ac:dyDescent="0.25">
      <c r="B702" s="20">
        <f t="shared" si="58"/>
        <v>539</v>
      </c>
      <c r="C702" s="22" t="str">
        <f t="shared" si="59"/>
        <v>In Casa #539</v>
      </c>
      <c r="D702" t="str">
        <f t="shared" si="60"/>
        <v>COR22D539</v>
      </c>
      <c r="E702" s="58" t="s">
        <v>252</v>
      </c>
      <c r="F702" s="20">
        <v>1000</v>
      </c>
      <c r="G702" s="14" t="s">
        <v>354</v>
      </c>
      <c r="H702" s="23" t="s">
        <v>170</v>
      </c>
      <c r="J702" s="59" t="s">
        <v>38</v>
      </c>
      <c r="K702" s="22" t="s">
        <v>254</v>
      </c>
      <c r="L702" s="59" t="s">
        <v>171</v>
      </c>
      <c r="M702" s="22">
        <v>2</v>
      </c>
      <c r="V702" s="59" t="s">
        <v>176</v>
      </c>
      <c r="AL702" s="59" t="s">
        <v>40</v>
      </c>
      <c r="AM702" s="22" t="s">
        <v>188</v>
      </c>
      <c r="AV702" s="59" t="s">
        <v>134</v>
      </c>
      <c r="AW702" s="22" t="str">
        <f>Settings!$B$5 &amp;  "?s=" &amp; D702 &amp; "&amp;platform=ftx"</f>
        <v>https://tokensol.nfluent.io?s=COR22D539&amp;platform=ftx</v>
      </c>
      <c r="AX702" s="20" t="s">
        <v>23</v>
      </c>
      <c r="AY702" s="20">
        <v>10</v>
      </c>
      <c r="AZ702" s="20" t="s">
        <v>24</v>
      </c>
      <c r="BA702" s="20">
        <v>90</v>
      </c>
      <c r="BD702" s="14"/>
      <c r="BJ702" t="s">
        <v>255</v>
      </c>
      <c r="BK702" t="s">
        <v>184</v>
      </c>
      <c r="BN702" s="36">
        <v>100</v>
      </c>
      <c r="BO702" s="36">
        <v>100</v>
      </c>
      <c r="BP702">
        <f t="shared" si="61"/>
        <v>480</v>
      </c>
      <c r="BR702" s="38">
        <v>44713</v>
      </c>
      <c r="BS702" s="20" t="s">
        <v>185</v>
      </c>
      <c r="BT702" s="20" t="str">
        <f t="shared" si="57"/>
        <v>InCasa_COR22D539</v>
      </c>
    </row>
    <row r="703" spans="2:72" ht="18.75" customHeight="1" x14ac:dyDescent="0.25">
      <c r="B703" s="20">
        <f t="shared" si="58"/>
        <v>540</v>
      </c>
      <c r="C703" s="22" t="str">
        <f t="shared" si="59"/>
        <v>In Casa #540</v>
      </c>
      <c r="D703" t="str">
        <f t="shared" si="60"/>
        <v>COR22D540</v>
      </c>
      <c r="E703" s="58" t="s">
        <v>252</v>
      </c>
      <c r="F703" s="20">
        <v>1000</v>
      </c>
      <c r="G703" s="14" t="s">
        <v>354</v>
      </c>
      <c r="H703" s="23" t="s">
        <v>170</v>
      </c>
      <c r="J703" s="59" t="s">
        <v>38</v>
      </c>
      <c r="K703" s="22" t="s">
        <v>254</v>
      </c>
      <c r="L703" s="59" t="s">
        <v>171</v>
      </c>
      <c r="M703" s="22">
        <v>2</v>
      </c>
      <c r="V703" s="59" t="s">
        <v>176</v>
      </c>
      <c r="AL703" s="59" t="s">
        <v>40</v>
      </c>
      <c r="AM703" s="22" t="s">
        <v>188</v>
      </c>
      <c r="AV703" s="59" t="s">
        <v>134</v>
      </c>
      <c r="AW703" s="22" t="str">
        <f>Settings!$B$5 &amp;  "?s=" &amp; D703 &amp; "&amp;platform=ftx"</f>
        <v>https://tokensol.nfluent.io?s=COR22D540&amp;platform=ftx</v>
      </c>
      <c r="AX703" s="20" t="s">
        <v>23</v>
      </c>
      <c r="AY703" s="20">
        <v>10</v>
      </c>
      <c r="AZ703" s="20" t="s">
        <v>24</v>
      </c>
      <c r="BA703" s="20">
        <v>90</v>
      </c>
      <c r="BD703" s="14"/>
      <c r="BJ703" t="s">
        <v>255</v>
      </c>
      <c r="BK703" t="s">
        <v>184</v>
      </c>
      <c r="BN703" s="36">
        <v>100</v>
      </c>
      <c r="BO703" s="36">
        <v>100</v>
      </c>
      <c r="BP703">
        <f t="shared" si="61"/>
        <v>480</v>
      </c>
      <c r="BR703" s="38">
        <v>44713</v>
      </c>
      <c r="BS703" s="20" t="s">
        <v>185</v>
      </c>
      <c r="BT703" s="20" t="str">
        <f t="shared" si="57"/>
        <v>InCasa_COR22D540</v>
      </c>
    </row>
    <row r="704" spans="2:72" ht="18.75" customHeight="1" x14ac:dyDescent="0.25">
      <c r="B704" s="20">
        <f t="shared" si="58"/>
        <v>541</v>
      </c>
      <c r="C704" s="22" t="str">
        <f t="shared" si="59"/>
        <v>In Casa #541</v>
      </c>
      <c r="D704" t="str">
        <f t="shared" si="60"/>
        <v>COR22D541</v>
      </c>
      <c r="E704" s="58" t="s">
        <v>252</v>
      </c>
      <c r="F704" s="20">
        <v>1000</v>
      </c>
      <c r="G704" s="14" t="s">
        <v>354</v>
      </c>
      <c r="H704" s="23" t="s">
        <v>170</v>
      </c>
      <c r="J704" s="59" t="s">
        <v>38</v>
      </c>
      <c r="K704" s="22" t="s">
        <v>254</v>
      </c>
      <c r="L704" s="59" t="s">
        <v>171</v>
      </c>
      <c r="M704" s="22">
        <v>2</v>
      </c>
      <c r="V704" s="59" t="s">
        <v>176</v>
      </c>
      <c r="AL704" s="59" t="s">
        <v>40</v>
      </c>
      <c r="AM704" s="22" t="s">
        <v>188</v>
      </c>
      <c r="AV704" s="59" t="s">
        <v>134</v>
      </c>
      <c r="AW704" s="22" t="str">
        <f>Settings!$B$5 &amp;  "?s=" &amp; D704 &amp; "&amp;platform=ftx"</f>
        <v>https://tokensol.nfluent.io?s=COR22D541&amp;platform=ftx</v>
      </c>
      <c r="AX704" s="20" t="s">
        <v>23</v>
      </c>
      <c r="AY704" s="20">
        <v>10</v>
      </c>
      <c r="AZ704" s="20" t="s">
        <v>24</v>
      </c>
      <c r="BA704" s="20">
        <v>90</v>
      </c>
      <c r="BD704" s="14"/>
      <c r="BJ704" t="s">
        <v>255</v>
      </c>
      <c r="BK704" t="s">
        <v>184</v>
      </c>
      <c r="BN704" s="36">
        <v>100</v>
      </c>
      <c r="BO704" s="36">
        <v>100</v>
      </c>
      <c r="BP704">
        <f t="shared" si="61"/>
        <v>480</v>
      </c>
      <c r="BR704" s="38">
        <v>44713</v>
      </c>
      <c r="BS704" s="20" t="s">
        <v>185</v>
      </c>
      <c r="BT704" s="20" t="str">
        <f t="shared" si="57"/>
        <v>InCasa_COR22D541</v>
      </c>
    </row>
    <row r="705" spans="2:72" ht="18.75" customHeight="1" x14ac:dyDescent="0.25">
      <c r="B705" s="20">
        <f t="shared" si="58"/>
        <v>542</v>
      </c>
      <c r="C705" s="22" t="str">
        <f t="shared" si="59"/>
        <v>In Casa #542</v>
      </c>
      <c r="D705" t="str">
        <f t="shared" si="60"/>
        <v>COR22D542</v>
      </c>
      <c r="E705" s="58" t="s">
        <v>252</v>
      </c>
      <c r="F705" s="20">
        <v>1000</v>
      </c>
      <c r="G705" s="14" t="s">
        <v>354</v>
      </c>
      <c r="H705" s="23" t="s">
        <v>170</v>
      </c>
      <c r="J705" s="59" t="s">
        <v>38</v>
      </c>
      <c r="K705" s="22" t="s">
        <v>254</v>
      </c>
      <c r="L705" s="59" t="s">
        <v>171</v>
      </c>
      <c r="M705" s="22">
        <v>2</v>
      </c>
      <c r="V705" s="59" t="s">
        <v>176</v>
      </c>
      <c r="AL705" s="59" t="s">
        <v>40</v>
      </c>
      <c r="AM705" s="22" t="s">
        <v>188</v>
      </c>
      <c r="AV705" s="59" t="s">
        <v>134</v>
      </c>
      <c r="AW705" s="22" t="str">
        <f>Settings!$B$5 &amp;  "?s=" &amp; D705 &amp; "&amp;platform=ftx"</f>
        <v>https://tokensol.nfluent.io?s=COR22D542&amp;platform=ftx</v>
      </c>
      <c r="AX705" s="20" t="s">
        <v>23</v>
      </c>
      <c r="AY705" s="20">
        <v>10</v>
      </c>
      <c r="AZ705" s="20" t="s">
        <v>24</v>
      </c>
      <c r="BA705" s="20">
        <v>90</v>
      </c>
      <c r="BD705" s="14"/>
      <c r="BJ705" t="s">
        <v>255</v>
      </c>
      <c r="BK705" t="s">
        <v>184</v>
      </c>
      <c r="BN705" s="36">
        <v>100</v>
      </c>
      <c r="BO705" s="36">
        <v>100</v>
      </c>
      <c r="BP705">
        <f t="shared" si="61"/>
        <v>480</v>
      </c>
      <c r="BR705" s="38">
        <v>44713</v>
      </c>
      <c r="BS705" s="20" t="s">
        <v>185</v>
      </c>
      <c r="BT705" s="20" t="str">
        <f t="shared" si="57"/>
        <v>InCasa_COR22D542</v>
      </c>
    </row>
    <row r="706" spans="2:72" ht="18.75" customHeight="1" x14ac:dyDescent="0.25">
      <c r="B706" s="20">
        <f t="shared" si="58"/>
        <v>543</v>
      </c>
      <c r="C706" s="22" t="str">
        <f t="shared" si="59"/>
        <v>In Casa #543</v>
      </c>
      <c r="D706" t="str">
        <f t="shared" si="60"/>
        <v>COR22D543</v>
      </c>
      <c r="E706" s="58" t="s">
        <v>252</v>
      </c>
      <c r="F706" s="20">
        <v>1000</v>
      </c>
      <c r="G706" s="14" t="s">
        <v>354</v>
      </c>
      <c r="H706" s="23" t="s">
        <v>170</v>
      </c>
      <c r="J706" s="59" t="s">
        <v>38</v>
      </c>
      <c r="K706" s="22" t="s">
        <v>254</v>
      </c>
      <c r="L706" s="59" t="s">
        <v>171</v>
      </c>
      <c r="M706" s="22">
        <v>2</v>
      </c>
      <c r="V706" s="59" t="s">
        <v>176</v>
      </c>
      <c r="AL706" s="59" t="s">
        <v>40</v>
      </c>
      <c r="AM706" s="22" t="s">
        <v>188</v>
      </c>
      <c r="AV706" s="59" t="s">
        <v>134</v>
      </c>
      <c r="AW706" s="22" t="str">
        <f>Settings!$B$5 &amp;  "?s=" &amp; D706 &amp; "&amp;platform=ftx"</f>
        <v>https://tokensol.nfluent.io?s=COR22D543&amp;platform=ftx</v>
      </c>
      <c r="AX706" s="20" t="s">
        <v>23</v>
      </c>
      <c r="AY706" s="20">
        <v>10</v>
      </c>
      <c r="AZ706" s="20" t="s">
        <v>24</v>
      </c>
      <c r="BA706" s="20">
        <v>90</v>
      </c>
      <c r="BD706" s="14"/>
      <c r="BJ706" t="s">
        <v>255</v>
      </c>
      <c r="BK706" t="s">
        <v>184</v>
      </c>
      <c r="BN706" s="36">
        <v>100</v>
      </c>
      <c r="BO706" s="36">
        <v>100</v>
      </c>
      <c r="BP706">
        <f t="shared" si="61"/>
        <v>480</v>
      </c>
      <c r="BR706" s="38">
        <v>44713</v>
      </c>
      <c r="BS706" s="20" t="s">
        <v>185</v>
      </c>
      <c r="BT706" s="20" t="str">
        <f t="shared" si="57"/>
        <v>InCasa_COR22D543</v>
      </c>
    </row>
    <row r="707" spans="2:72" ht="18.75" customHeight="1" x14ac:dyDescent="0.25">
      <c r="B707" s="20">
        <f t="shared" si="58"/>
        <v>544</v>
      </c>
      <c r="C707" s="22" t="str">
        <f t="shared" si="59"/>
        <v>In Casa #544</v>
      </c>
      <c r="D707" t="str">
        <f t="shared" si="60"/>
        <v>COR22D544</v>
      </c>
      <c r="E707" s="58" t="s">
        <v>252</v>
      </c>
      <c r="F707" s="20">
        <v>1000</v>
      </c>
      <c r="G707" s="14" t="s">
        <v>354</v>
      </c>
      <c r="H707" s="23" t="s">
        <v>170</v>
      </c>
      <c r="J707" s="59" t="s">
        <v>38</v>
      </c>
      <c r="K707" s="22" t="s">
        <v>254</v>
      </c>
      <c r="L707" s="59" t="s">
        <v>171</v>
      </c>
      <c r="M707" s="22">
        <v>2</v>
      </c>
      <c r="V707" s="59" t="s">
        <v>176</v>
      </c>
      <c r="AL707" s="59" t="s">
        <v>40</v>
      </c>
      <c r="AM707" s="22" t="s">
        <v>188</v>
      </c>
      <c r="AV707" s="59" t="s">
        <v>134</v>
      </c>
      <c r="AW707" s="22" t="str">
        <f>Settings!$B$5 &amp;  "?s=" &amp; D707 &amp; "&amp;platform=ftx"</f>
        <v>https://tokensol.nfluent.io?s=COR22D544&amp;platform=ftx</v>
      </c>
      <c r="AX707" s="20" t="s">
        <v>23</v>
      </c>
      <c r="AY707" s="20">
        <v>10</v>
      </c>
      <c r="AZ707" s="20" t="s">
        <v>24</v>
      </c>
      <c r="BA707" s="20">
        <v>90</v>
      </c>
      <c r="BD707" s="14"/>
      <c r="BJ707" t="s">
        <v>255</v>
      </c>
      <c r="BK707" t="s">
        <v>184</v>
      </c>
      <c r="BN707" s="36">
        <v>100</v>
      </c>
      <c r="BO707" s="36">
        <v>100</v>
      </c>
      <c r="BP707">
        <f t="shared" si="61"/>
        <v>480</v>
      </c>
      <c r="BR707" s="38">
        <v>44713</v>
      </c>
      <c r="BS707" s="20" t="s">
        <v>185</v>
      </c>
      <c r="BT707" s="20" t="str">
        <f t="shared" si="57"/>
        <v>InCasa_COR22D544</v>
      </c>
    </row>
    <row r="708" spans="2:72" ht="18.75" customHeight="1" x14ac:dyDescent="0.25">
      <c r="B708" s="20">
        <f t="shared" si="58"/>
        <v>545</v>
      </c>
      <c r="C708" s="22" t="str">
        <f t="shared" si="59"/>
        <v>In Casa #545</v>
      </c>
      <c r="D708" t="str">
        <f t="shared" si="60"/>
        <v>COR22D545</v>
      </c>
      <c r="E708" s="58" t="s">
        <v>252</v>
      </c>
      <c r="F708" s="20">
        <v>1000</v>
      </c>
      <c r="G708" s="14" t="s">
        <v>354</v>
      </c>
      <c r="H708" s="23" t="s">
        <v>170</v>
      </c>
      <c r="J708" s="59" t="s">
        <v>38</v>
      </c>
      <c r="K708" s="22" t="s">
        <v>254</v>
      </c>
      <c r="L708" s="59" t="s">
        <v>171</v>
      </c>
      <c r="M708" s="22">
        <v>2</v>
      </c>
      <c r="V708" s="59" t="s">
        <v>176</v>
      </c>
      <c r="AL708" s="59" t="s">
        <v>40</v>
      </c>
      <c r="AM708" s="22" t="s">
        <v>188</v>
      </c>
      <c r="AV708" s="59" t="s">
        <v>134</v>
      </c>
      <c r="AW708" s="22" t="str">
        <f>Settings!$B$5 &amp;  "?s=" &amp; D708 &amp; "&amp;platform=ftx"</f>
        <v>https://tokensol.nfluent.io?s=COR22D545&amp;platform=ftx</v>
      </c>
      <c r="AX708" s="20" t="s">
        <v>23</v>
      </c>
      <c r="AY708" s="20">
        <v>10</v>
      </c>
      <c r="AZ708" s="20" t="s">
        <v>24</v>
      </c>
      <c r="BA708" s="20">
        <v>90</v>
      </c>
      <c r="BD708" s="14"/>
      <c r="BJ708" t="s">
        <v>255</v>
      </c>
      <c r="BK708" t="s">
        <v>184</v>
      </c>
      <c r="BN708" s="36">
        <v>100</v>
      </c>
      <c r="BO708" s="36">
        <v>100</v>
      </c>
      <c r="BP708">
        <f t="shared" si="61"/>
        <v>480</v>
      </c>
      <c r="BR708" s="38">
        <v>44713</v>
      </c>
      <c r="BS708" s="20" t="s">
        <v>185</v>
      </c>
      <c r="BT708" s="20" t="str">
        <f t="shared" si="57"/>
        <v>InCasa_COR22D545</v>
      </c>
    </row>
    <row r="709" spans="2:72" ht="18.75" customHeight="1" x14ac:dyDescent="0.25">
      <c r="B709" s="20">
        <f t="shared" si="58"/>
        <v>546</v>
      </c>
      <c r="C709" s="22" t="str">
        <f t="shared" si="59"/>
        <v>In Casa #546</v>
      </c>
      <c r="D709" t="str">
        <f t="shared" si="60"/>
        <v>COR22D546</v>
      </c>
      <c r="E709" s="58" t="s">
        <v>252</v>
      </c>
      <c r="F709" s="20">
        <v>1000</v>
      </c>
      <c r="G709" s="14" t="s">
        <v>354</v>
      </c>
      <c r="H709" s="23" t="s">
        <v>170</v>
      </c>
      <c r="J709" s="59" t="s">
        <v>38</v>
      </c>
      <c r="K709" s="22" t="s">
        <v>254</v>
      </c>
      <c r="L709" s="59" t="s">
        <v>171</v>
      </c>
      <c r="M709" s="22">
        <v>2</v>
      </c>
      <c r="V709" s="59" t="s">
        <v>176</v>
      </c>
      <c r="AL709" s="59" t="s">
        <v>40</v>
      </c>
      <c r="AM709" s="22" t="s">
        <v>188</v>
      </c>
      <c r="AV709" s="59" t="s">
        <v>134</v>
      </c>
      <c r="AW709" s="22" t="str">
        <f>Settings!$B$5 &amp;  "?s=" &amp; D709 &amp; "&amp;platform=ftx"</f>
        <v>https://tokensol.nfluent.io?s=COR22D546&amp;platform=ftx</v>
      </c>
      <c r="AX709" s="20" t="s">
        <v>23</v>
      </c>
      <c r="AY709" s="20">
        <v>10</v>
      </c>
      <c r="AZ709" s="20" t="s">
        <v>24</v>
      </c>
      <c r="BA709" s="20">
        <v>90</v>
      </c>
      <c r="BD709" s="14"/>
      <c r="BJ709" t="s">
        <v>255</v>
      </c>
      <c r="BK709" t="s">
        <v>184</v>
      </c>
      <c r="BN709" s="36">
        <v>100</v>
      </c>
      <c r="BO709" s="36">
        <v>100</v>
      </c>
      <c r="BP709">
        <f t="shared" si="61"/>
        <v>480</v>
      </c>
      <c r="BR709" s="38">
        <v>44713</v>
      </c>
      <c r="BS709" s="20" t="s">
        <v>185</v>
      </c>
      <c r="BT709" s="20" t="str">
        <f t="shared" ref="BT709:BT772" si="62">SUBSTITUTE(BJ709," ","") &amp; "_" &amp; D709</f>
        <v>InCasa_COR22D546</v>
      </c>
    </row>
    <row r="710" spans="2:72" ht="18.75" customHeight="1" x14ac:dyDescent="0.25">
      <c r="B710" s="20">
        <f t="shared" ref="B710:B773" si="63">+B709+1</f>
        <v>547</v>
      </c>
      <c r="C710" s="22" t="str">
        <f t="shared" si="59"/>
        <v>In Casa #547</v>
      </c>
      <c r="D710" t="str">
        <f t="shared" si="60"/>
        <v>COR22D547</v>
      </c>
      <c r="E710" s="58" t="s">
        <v>252</v>
      </c>
      <c r="F710" s="20">
        <v>1000</v>
      </c>
      <c r="G710" s="14" t="s">
        <v>354</v>
      </c>
      <c r="H710" s="23" t="s">
        <v>170</v>
      </c>
      <c r="J710" s="59" t="s">
        <v>38</v>
      </c>
      <c r="K710" s="22" t="s">
        <v>254</v>
      </c>
      <c r="L710" s="59" t="s">
        <v>171</v>
      </c>
      <c r="M710" s="22">
        <v>2</v>
      </c>
      <c r="V710" s="59" t="s">
        <v>176</v>
      </c>
      <c r="AL710" s="59" t="s">
        <v>40</v>
      </c>
      <c r="AM710" s="22" t="s">
        <v>188</v>
      </c>
      <c r="AV710" s="59" t="s">
        <v>134</v>
      </c>
      <c r="AW710" s="22" t="str">
        <f>Settings!$B$5 &amp;  "?s=" &amp; D710 &amp; "&amp;platform=ftx"</f>
        <v>https://tokensol.nfluent.io?s=COR22D547&amp;platform=ftx</v>
      </c>
      <c r="AX710" s="20" t="s">
        <v>23</v>
      </c>
      <c r="AY710" s="20">
        <v>10</v>
      </c>
      <c r="AZ710" s="20" t="s">
        <v>24</v>
      </c>
      <c r="BA710" s="20">
        <v>90</v>
      </c>
      <c r="BD710" s="14"/>
      <c r="BJ710" t="s">
        <v>255</v>
      </c>
      <c r="BK710" t="s">
        <v>184</v>
      </c>
      <c r="BN710" s="36">
        <v>100</v>
      </c>
      <c r="BO710" s="36">
        <v>100</v>
      </c>
      <c r="BP710">
        <f t="shared" si="61"/>
        <v>480</v>
      </c>
      <c r="BR710" s="38">
        <v>44713</v>
      </c>
      <c r="BS710" s="20" t="s">
        <v>185</v>
      </c>
      <c r="BT710" s="20" t="str">
        <f t="shared" si="62"/>
        <v>InCasa_COR22D547</v>
      </c>
    </row>
    <row r="711" spans="2:72" ht="18.75" customHeight="1" x14ac:dyDescent="0.25">
      <c r="B711" s="20">
        <f t="shared" si="63"/>
        <v>548</v>
      </c>
      <c r="C711" s="22" t="str">
        <f t="shared" si="59"/>
        <v>In Casa #548</v>
      </c>
      <c r="D711" t="str">
        <f t="shared" si="60"/>
        <v>COR22D548</v>
      </c>
      <c r="E711" s="58" t="s">
        <v>252</v>
      </c>
      <c r="F711" s="20">
        <v>1000</v>
      </c>
      <c r="G711" s="14" t="s">
        <v>354</v>
      </c>
      <c r="H711" s="23" t="s">
        <v>170</v>
      </c>
      <c r="J711" s="59" t="s">
        <v>38</v>
      </c>
      <c r="K711" s="22" t="s">
        <v>254</v>
      </c>
      <c r="L711" s="59" t="s">
        <v>171</v>
      </c>
      <c r="M711" s="22">
        <v>2</v>
      </c>
      <c r="V711" s="59" t="s">
        <v>176</v>
      </c>
      <c r="AL711" s="59" t="s">
        <v>40</v>
      </c>
      <c r="AM711" s="22" t="s">
        <v>188</v>
      </c>
      <c r="AV711" s="59" t="s">
        <v>134</v>
      </c>
      <c r="AW711" s="22" t="str">
        <f>Settings!$B$5 &amp;  "?s=" &amp; D711 &amp; "&amp;platform=ftx"</f>
        <v>https://tokensol.nfluent.io?s=COR22D548&amp;platform=ftx</v>
      </c>
      <c r="AX711" s="20" t="s">
        <v>23</v>
      </c>
      <c r="AY711" s="20">
        <v>10</v>
      </c>
      <c r="AZ711" s="20" t="s">
        <v>24</v>
      </c>
      <c r="BA711" s="20">
        <v>90</v>
      </c>
      <c r="BD711" s="14"/>
      <c r="BJ711" t="s">
        <v>255</v>
      </c>
      <c r="BK711" t="s">
        <v>184</v>
      </c>
      <c r="BN711" s="36">
        <v>100</v>
      </c>
      <c r="BO711" s="36">
        <v>100</v>
      </c>
      <c r="BP711">
        <f t="shared" si="61"/>
        <v>480</v>
      </c>
      <c r="BR711" s="38">
        <v>44713</v>
      </c>
      <c r="BS711" s="20" t="s">
        <v>185</v>
      </c>
      <c r="BT711" s="20" t="str">
        <f t="shared" si="62"/>
        <v>InCasa_COR22D548</v>
      </c>
    </row>
    <row r="712" spans="2:72" ht="18.75" customHeight="1" x14ac:dyDescent="0.25">
      <c r="B712" s="20">
        <f t="shared" si="63"/>
        <v>549</v>
      </c>
      <c r="C712" s="22" t="str">
        <f t="shared" si="59"/>
        <v>In Casa #549</v>
      </c>
      <c r="D712" t="str">
        <f t="shared" si="60"/>
        <v>COR22D549</v>
      </c>
      <c r="E712" s="58" t="s">
        <v>252</v>
      </c>
      <c r="F712" s="20">
        <v>1000</v>
      </c>
      <c r="G712" s="14" t="s">
        <v>354</v>
      </c>
      <c r="H712" s="23" t="s">
        <v>170</v>
      </c>
      <c r="J712" s="59" t="s">
        <v>38</v>
      </c>
      <c r="K712" s="22" t="s">
        <v>254</v>
      </c>
      <c r="L712" s="59" t="s">
        <v>171</v>
      </c>
      <c r="M712" s="22">
        <v>2</v>
      </c>
      <c r="V712" s="59" t="s">
        <v>176</v>
      </c>
      <c r="AL712" s="59" t="s">
        <v>40</v>
      </c>
      <c r="AM712" s="22" t="s">
        <v>188</v>
      </c>
      <c r="AV712" s="59" t="s">
        <v>134</v>
      </c>
      <c r="AW712" s="22" t="str">
        <f>Settings!$B$5 &amp;  "?s=" &amp; D712 &amp; "&amp;platform=ftx"</f>
        <v>https://tokensol.nfluent.io?s=COR22D549&amp;platform=ftx</v>
      </c>
      <c r="AX712" s="20" t="s">
        <v>23</v>
      </c>
      <c r="AY712" s="20">
        <v>10</v>
      </c>
      <c r="AZ712" s="20" t="s">
        <v>24</v>
      </c>
      <c r="BA712" s="20">
        <v>90</v>
      </c>
      <c r="BD712" s="14"/>
      <c r="BJ712" t="s">
        <v>255</v>
      </c>
      <c r="BK712" t="s">
        <v>184</v>
      </c>
      <c r="BN712" s="36">
        <v>100</v>
      </c>
      <c r="BO712" s="36">
        <v>100</v>
      </c>
      <c r="BP712">
        <f t="shared" si="61"/>
        <v>480</v>
      </c>
      <c r="BR712" s="38">
        <v>44713</v>
      </c>
      <c r="BS712" s="20" t="s">
        <v>185</v>
      </c>
      <c r="BT712" s="20" t="str">
        <f t="shared" si="62"/>
        <v>InCasa_COR22D549</v>
      </c>
    </row>
    <row r="713" spans="2:72" ht="18.75" customHeight="1" x14ac:dyDescent="0.25">
      <c r="B713" s="20">
        <f t="shared" si="63"/>
        <v>550</v>
      </c>
      <c r="C713" s="22" t="str">
        <f t="shared" si="59"/>
        <v>In Casa #550</v>
      </c>
      <c r="D713" t="str">
        <f t="shared" si="60"/>
        <v>COR22D550</v>
      </c>
      <c r="E713" s="58" t="s">
        <v>252</v>
      </c>
      <c r="F713" s="20">
        <v>1000</v>
      </c>
      <c r="G713" s="14" t="s">
        <v>354</v>
      </c>
      <c r="H713" s="23" t="s">
        <v>170</v>
      </c>
      <c r="J713" s="59" t="s">
        <v>38</v>
      </c>
      <c r="K713" s="22" t="s">
        <v>254</v>
      </c>
      <c r="L713" s="59" t="s">
        <v>171</v>
      </c>
      <c r="M713" s="22">
        <v>2</v>
      </c>
      <c r="V713" s="59" t="s">
        <v>176</v>
      </c>
      <c r="AL713" s="59" t="s">
        <v>40</v>
      </c>
      <c r="AM713" s="22" t="s">
        <v>188</v>
      </c>
      <c r="AV713" s="59" t="s">
        <v>134</v>
      </c>
      <c r="AW713" s="22" t="str">
        <f>Settings!$B$5 &amp;  "?s=" &amp; D713 &amp; "&amp;platform=ftx"</f>
        <v>https://tokensol.nfluent.io?s=COR22D550&amp;platform=ftx</v>
      </c>
      <c r="AX713" s="20" t="s">
        <v>23</v>
      </c>
      <c r="AY713" s="20">
        <v>10</v>
      </c>
      <c r="AZ713" s="20" t="s">
        <v>24</v>
      </c>
      <c r="BA713" s="20">
        <v>90</v>
      </c>
      <c r="BD713" s="14"/>
      <c r="BJ713" t="s">
        <v>255</v>
      </c>
      <c r="BK713" t="s">
        <v>184</v>
      </c>
      <c r="BN713" s="36">
        <v>100</v>
      </c>
      <c r="BO713" s="36">
        <v>100</v>
      </c>
      <c r="BP713">
        <f t="shared" si="61"/>
        <v>480</v>
      </c>
      <c r="BR713" s="38">
        <v>44713</v>
      </c>
      <c r="BS713" s="20" t="s">
        <v>185</v>
      </c>
      <c r="BT713" s="20" t="str">
        <f t="shared" si="62"/>
        <v>InCasa_COR22D550</v>
      </c>
    </row>
    <row r="714" spans="2:72" ht="18.75" customHeight="1" x14ac:dyDescent="0.25">
      <c r="B714" s="20">
        <f t="shared" si="63"/>
        <v>551</v>
      </c>
      <c r="C714" s="22" t="str">
        <f t="shared" si="59"/>
        <v>In Casa #551</v>
      </c>
      <c r="D714" t="str">
        <f t="shared" si="60"/>
        <v>COR22D551</v>
      </c>
      <c r="E714" s="58" t="s">
        <v>252</v>
      </c>
      <c r="F714" s="20">
        <v>1000</v>
      </c>
      <c r="G714" s="14" t="s">
        <v>354</v>
      </c>
      <c r="H714" s="23" t="s">
        <v>170</v>
      </c>
      <c r="J714" s="59" t="s">
        <v>38</v>
      </c>
      <c r="K714" s="22" t="s">
        <v>254</v>
      </c>
      <c r="L714" s="59" t="s">
        <v>171</v>
      </c>
      <c r="M714" s="22">
        <v>2</v>
      </c>
      <c r="V714" s="59" t="s">
        <v>176</v>
      </c>
      <c r="AL714" s="59" t="s">
        <v>40</v>
      </c>
      <c r="AM714" s="22" t="s">
        <v>188</v>
      </c>
      <c r="AV714" s="59" t="s">
        <v>134</v>
      </c>
      <c r="AW714" s="22" t="str">
        <f>Settings!$B$5 &amp;  "?s=" &amp; D714 &amp; "&amp;platform=ftx"</f>
        <v>https://tokensol.nfluent.io?s=COR22D551&amp;platform=ftx</v>
      </c>
      <c r="AX714" s="20" t="s">
        <v>23</v>
      </c>
      <c r="AY714" s="20">
        <v>10</v>
      </c>
      <c r="AZ714" s="20" t="s">
        <v>24</v>
      </c>
      <c r="BA714" s="20">
        <v>90</v>
      </c>
      <c r="BD714" s="14"/>
      <c r="BJ714" t="s">
        <v>255</v>
      </c>
      <c r="BK714" t="s">
        <v>184</v>
      </c>
      <c r="BN714" s="36">
        <v>100</v>
      </c>
      <c r="BO714" s="36">
        <v>100</v>
      </c>
      <c r="BP714">
        <f t="shared" si="61"/>
        <v>480</v>
      </c>
      <c r="BR714" s="38">
        <v>44713</v>
      </c>
      <c r="BS714" s="20" t="s">
        <v>185</v>
      </c>
      <c r="BT714" s="20" t="str">
        <f t="shared" si="62"/>
        <v>InCasa_COR22D551</v>
      </c>
    </row>
    <row r="715" spans="2:72" ht="18.75" customHeight="1" x14ac:dyDescent="0.25">
      <c r="B715" s="20">
        <f t="shared" si="63"/>
        <v>552</v>
      </c>
      <c r="C715" s="22" t="str">
        <f t="shared" si="59"/>
        <v>In Casa #552</v>
      </c>
      <c r="D715" t="str">
        <f t="shared" si="60"/>
        <v>COR22D552</v>
      </c>
      <c r="E715" s="58" t="s">
        <v>252</v>
      </c>
      <c r="F715" s="20">
        <v>1000</v>
      </c>
      <c r="G715" s="14" t="s">
        <v>354</v>
      </c>
      <c r="H715" s="23" t="s">
        <v>170</v>
      </c>
      <c r="J715" s="59" t="s">
        <v>38</v>
      </c>
      <c r="K715" s="22" t="s">
        <v>254</v>
      </c>
      <c r="L715" s="59" t="s">
        <v>171</v>
      </c>
      <c r="M715" s="22">
        <v>2</v>
      </c>
      <c r="V715" s="59" t="s">
        <v>176</v>
      </c>
      <c r="AL715" s="59" t="s">
        <v>40</v>
      </c>
      <c r="AM715" s="22" t="s">
        <v>188</v>
      </c>
      <c r="AV715" s="59" t="s">
        <v>134</v>
      </c>
      <c r="AW715" s="22" t="str">
        <f>Settings!$B$5 &amp;  "?s=" &amp; D715 &amp; "&amp;platform=ftx"</f>
        <v>https://tokensol.nfluent.io?s=COR22D552&amp;platform=ftx</v>
      </c>
      <c r="AX715" s="20" t="s">
        <v>23</v>
      </c>
      <c r="AY715" s="20">
        <v>10</v>
      </c>
      <c r="AZ715" s="20" t="s">
        <v>24</v>
      </c>
      <c r="BA715" s="20">
        <v>90</v>
      </c>
      <c r="BD715" s="14"/>
      <c r="BJ715" t="s">
        <v>255</v>
      </c>
      <c r="BK715" t="s">
        <v>184</v>
      </c>
      <c r="BN715" s="36">
        <v>100</v>
      </c>
      <c r="BO715" s="36">
        <v>100</v>
      </c>
      <c r="BP715">
        <f t="shared" si="61"/>
        <v>480</v>
      </c>
      <c r="BR715" s="38">
        <v>44713</v>
      </c>
      <c r="BS715" s="20" t="s">
        <v>185</v>
      </c>
      <c r="BT715" s="20" t="str">
        <f t="shared" si="62"/>
        <v>InCasa_COR22D552</v>
      </c>
    </row>
    <row r="716" spans="2:72" ht="18.75" customHeight="1" x14ac:dyDescent="0.25">
      <c r="B716" s="20">
        <f t="shared" si="63"/>
        <v>553</v>
      </c>
      <c r="C716" s="22" t="str">
        <f t="shared" si="59"/>
        <v>In Casa #553</v>
      </c>
      <c r="D716" t="str">
        <f t="shared" si="60"/>
        <v>COR22D553</v>
      </c>
      <c r="E716" s="58" t="s">
        <v>252</v>
      </c>
      <c r="F716" s="20">
        <v>1000</v>
      </c>
      <c r="G716" s="14" t="s">
        <v>354</v>
      </c>
      <c r="H716" s="23" t="s">
        <v>170</v>
      </c>
      <c r="J716" s="59" t="s">
        <v>38</v>
      </c>
      <c r="K716" s="22" t="s">
        <v>254</v>
      </c>
      <c r="L716" s="59" t="s">
        <v>171</v>
      </c>
      <c r="M716" s="22">
        <v>2</v>
      </c>
      <c r="V716" s="59" t="s">
        <v>176</v>
      </c>
      <c r="AL716" s="59" t="s">
        <v>40</v>
      </c>
      <c r="AM716" s="22" t="s">
        <v>188</v>
      </c>
      <c r="AV716" s="59" t="s">
        <v>134</v>
      </c>
      <c r="AW716" s="22" t="str">
        <f>Settings!$B$5 &amp;  "?s=" &amp; D716 &amp; "&amp;platform=ftx"</f>
        <v>https://tokensol.nfluent.io?s=COR22D553&amp;platform=ftx</v>
      </c>
      <c r="AX716" s="20" t="s">
        <v>23</v>
      </c>
      <c r="AY716" s="20">
        <v>10</v>
      </c>
      <c r="AZ716" s="20" t="s">
        <v>24</v>
      </c>
      <c r="BA716" s="20">
        <v>90</v>
      </c>
      <c r="BD716" s="14"/>
      <c r="BJ716" t="s">
        <v>255</v>
      </c>
      <c r="BK716" t="s">
        <v>184</v>
      </c>
      <c r="BN716" s="36">
        <v>100</v>
      </c>
      <c r="BO716" s="36">
        <v>100</v>
      </c>
      <c r="BP716">
        <f t="shared" si="61"/>
        <v>480</v>
      </c>
      <c r="BR716" s="38">
        <v>44713</v>
      </c>
      <c r="BS716" s="20" t="s">
        <v>185</v>
      </c>
      <c r="BT716" s="20" t="str">
        <f t="shared" si="62"/>
        <v>InCasa_COR22D553</v>
      </c>
    </row>
    <row r="717" spans="2:72" ht="18.75" customHeight="1" x14ac:dyDescent="0.25">
      <c r="B717" s="20">
        <f t="shared" si="63"/>
        <v>554</v>
      </c>
      <c r="C717" s="22" t="str">
        <f t="shared" si="59"/>
        <v>In Casa #554</v>
      </c>
      <c r="D717" t="str">
        <f t="shared" si="60"/>
        <v>COR22D554</v>
      </c>
      <c r="E717" s="58" t="s">
        <v>252</v>
      </c>
      <c r="F717" s="20">
        <v>1000</v>
      </c>
      <c r="G717" s="14" t="s">
        <v>354</v>
      </c>
      <c r="H717" s="23" t="s">
        <v>170</v>
      </c>
      <c r="J717" s="59" t="s">
        <v>38</v>
      </c>
      <c r="K717" s="22" t="s">
        <v>254</v>
      </c>
      <c r="L717" s="59" t="s">
        <v>171</v>
      </c>
      <c r="M717" s="22">
        <v>2</v>
      </c>
      <c r="V717" s="59" t="s">
        <v>176</v>
      </c>
      <c r="AL717" s="59" t="s">
        <v>40</v>
      </c>
      <c r="AM717" s="22" t="s">
        <v>188</v>
      </c>
      <c r="AV717" s="59" t="s">
        <v>134</v>
      </c>
      <c r="AW717" s="22" t="str">
        <f>Settings!$B$5 &amp;  "?s=" &amp; D717 &amp; "&amp;platform=ftx"</f>
        <v>https://tokensol.nfluent.io?s=COR22D554&amp;platform=ftx</v>
      </c>
      <c r="AX717" s="20" t="s">
        <v>23</v>
      </c>
      <c r="AY717" s="20">
        <v>10</v>
      </c>
      <c r="AZ717" s="20" t="s">
        <v>24</v>
      </c>
      <c r="BA717" s="20">
        <v>90</v>
      </c>
      <c r="BD717" s="14"/>
      <c r="BJ717" t="s">
        <v>255</v>
      </c>
      <c r="BK717" t="s">
        <v>184</v>
      </c>
      <c r="BN717" s="36">
        <v>100</v>
      </c>
      <c r="BO717" s="36">
        <v>100</v>
      </c>
      <c r="BP717">
        <f t="shared" si="61"/>
        <v>480</v>
      </c>
      <c r="BR717" s="38">
        <v>44713</v>
      </c>
      <c r="BS717" s="20" t="s">
        <v>185</v>
      </c>
      <c r="BT717" s="20" t="str">
        <f t="shared" si="62"/>
        <v>InCasa_COR22D554</v>
      </c>
    </row>
    <row r="718" spans="2:72" ht="18.75" customHeight="1" x14ac:dyDescent="0.25">
      <c r="B718" s="20">
        <f t="shared" si="63"/>
        <v>555</v>
      </c>
      <c r="C718" s="22" t="str">
        <f t="shared" si="59"/>
        <v>In Casa #555</v>
      </c>
      <c r="D718" t="str">
        <f t="shared" si="60"/>
        <v>COR22D555</v>
      </c>
      <c r="E718" s="58" t="s">
        <v>252</v>
      </c>
      <c r="F718" s="20">
        <v>1000</v>
      </c>
      <c r="G718" s="14" t="s">
        <v>354</v>
      </c>
      <c r="H718" s="23" t="s">
        <v>170</v>
      </c>
      <c r="J718" s="59" t="s">
        <v>38</v>
      </c>
      <c r="K718" s="22" t="s">
        <v>254</v>
      </c>
      <c r="L718" s="59" t="s">
        <v>171</v>
      </c>
      <c r="M718" s="22">
        <v>2</v>
      </c>
      <c r="V718" s="59" t="s">
        <v>176</v>
      </c>
      <c r="AL718" s="59" t="s">
        <v>40</v>
      </c>
      <c r="AM718" s="22" t="s">
        <v>188</v>
      </c>
      <c r="AV718" s="59" t="s">
        <v>134</v>
      </c>
      <c r="AW718" s="22" t="str">
        <f>Settings!$B$5 &amp;  "?s=" &amp; D718 &amp; "&amp;platform=ftx"</f>
        <v>https://tokensol.nfluent.io?s=COR22D555&amp;platform=ftx</v>
      </c>
      <c r="AX718" s="20" t="s">
        <v>23</v>
      </c>
      <c r="AY718" s="20">
        <v>10</v>
      </c>
      <c r="AZ718" s="20" t="s">
        <v>24</v>
      </c>
      <c r="BA718" s="20">
        <v>90</v>
      </c>
      <c r="BD718" s="14"/>
      <c r="BJ718" t="s">
        <v>255</v>
      </c>
      <c r="BK718" t="s">
        <v>184</v>
      </c>
      <c r="BN718" s="36">
        <v>100</v>
      </c>
      <c r="BO718" s="36">
        <v>100</v>
      </c>
      <c r="BP718">
        <f t="shared" si="61"/>
        <v>480</v>
      </c>
      <c r="BR718" s="38">
        <v>44713</v>
      </c>
      <c r="BS718" s="20" t="s">
        <v>185</v>
      </c>
      <c r="BT718" s="20" t="str">
        <f t="shared" si="62"/>
        <v>InCasa_COR22D555</v>
      </c>
    </row>
    <row r="719" spans="2:72" ht="18.75" customHeight="1" x14ac:dyDescent="0.25">
      <c r="B719" s="20">
        <f t="shared" si="63"/>
        <v>556</v>
      </c>
      <c r="C719" s="22" t="str">
        <f t="shared" si="59"/>
        <v>In Casa #556</v>
      </c>
      <c r="D719" t="str">
        <f t="shared" si="60"/>
        <v>COR22D556</v>
      </c>
      <c r="E719" s="58" t="s">
        <v>252</v>
      </c>
      <c r="F719" s="20">
        <v>1000</v>
      </c>
      <c r="G719" s="14" t="s">
        <v>354</v>
      </c>
      <c r="H719" s="23" t="s">
        <v>170</v>
      </c>
      <c r="J719" s="59" t="s">
        <v>38</v>
      </c>
      <c r="K719" s="22" t="s">
        <v>254</v>
      </c>
      <c r="L719" s="59" t="s">
        <v>171</v>
      </c>
      <c r="M719" s="22">
        <v>2</v>
      </c>
      <c r="V719" s="59" t="s">
        <v>176</v>
      </c>
      <c r="AL719" s="59" t="s">
        <v>40</v>
      </c>
      <c r="AM719" s="22" t="s">
        <v>188</v>
      </c>
      <c r="AV719" s="59" t="s">
        <v>134</v>
      </c>
      <c r="AW719" s="22" t="str">
        <f>Settings!$B$5 &amp;  "?s=" &amp; D719 &amp; "&amp;platform=ftx"</f>
        <v>https://tokensol.nfluent.io?s=COR22D556&amp;platform=ftx</v>
      </c>
      <c r="AX719" s="20" t="s">
        <v>23</v>
      </c>
      <c r="AY719" s="20">
        <v>10</v>
      </c>
      <c r="AZ719" s="20" t="s">
        <v>24</v>
      </c>
      <c r="BA719" s="20">
        <v>90</v>
      </c>
      <c r="BD719" s="14"/>
      <c r="BJ719" t="s">
        <v>255</v>
      </c>
      <c r="BK719" t="s">
        <v>184</v>
      </c>
      <c r="BN719" s="36">
        <v>100</v>
      </c>
      <c r="BO719" s="36">
        <v>100</v>
      </c>
      <c r="BP719">
        <f t="shared" si="61"/>
        <v>480</v>
      </c>
      <c r="BR719" s="38">
        <v>44713</v>
      </c>
      <c r="BS719" s="20" t="s">
        <v>185</v>
      </c>
      <c r="BT719" s="20" t="str">
        <f t="shared" si="62"/>
        <v>InCasa_COR22D556</v>
      </c>
    </row>
    <row r="720" spans="2:72" ht="18.75" customHeight="1" x14ac:dyDescent="0.25">
      <c r="B720" s="20">
        <f t="shared" si="63"/>
        <v>557</v>
      </c>
      <c r="C720" s="22" t="str">
        <f t="shared" si="59"/>
        <v>In Casa #557</v>
      </c>
      <c r="D720" t="str">
        <f t="shared" si="60"/>
        <v>COR22D557</v>
      </c>
      <c r="E720" s="58" t="s">
        <v>252</v>
      </c>
      <c r="F720" s="20">
        <v>1000</v>
      </c>
      <c r="G720" s="14" t="s">
        <v>354</v>
      </c>
      <c r="H720" s="23" t="s">
        <v>170</v>
      </c>
      <c r="J720" s="59" t="s">
        <v>38</v>
      </c>
      <c r="K720" s="22" t="s">
        <v>254</v>
      </c>
      <c r="L720" s="59" t="s">
        <v>171</v>
      </c>
      <c r="M720" s="22">
        <v>2</v>
      </c>
      <c r="V720" s="59" t="s">
        <v>176</v>
      </c>
      <c r="AL720" s="59" t="s">
        <v>40</v>
      </c>
      <c r="AM720" s="22" t="s">
        <v>188</v>
      </c>
      <c r="AV720" s="59" t="s">
        <v>134</v>
      </c>
      <c r="AW720" s="22" t="str">
        <f>Settings!$B$5 &amp;  "?s=" &amp; D720 &amp; "&amp;platform=ftx"</f>
        <v>https://tokensol.nfluent.io?s=COR22D557&amp;platform=ftx</v>
      </c>
      <c r="AX720" s="20" t="s">
        <v>23</v>
      </c>
      <c r="AY720" s="20">
        <v>10</v>
      </c>
      <c r="AZ720" s="20" t="s">
        <v>24</v>
      </c>
      <c r="BA720" s="20">
        <v>90</v>
      </c>
      <c r="BD720" s="14"/>
      <c r="BJ720" t="s">
        <v>255</v>
      </c>
      <c r="BK720" t="s">
        <v>184</v>
      </c>
      <c r="BN720" s="36">
        <v>100</v>
      </c>
      <c r="BO720" s="36">
        <v>100</v>
      </c>
      <c r="BP720">
        <f t="shared" si="61"/>
        <v>480</v>
      </c>
      <c r="BR720" s="38">
        <v>44713</v>
      </c>
      <c r="BS720" s="20" t="s">
        <v>185</v>
      </c>
      <c r="BT720" s="20" t="str">
        <f t="shared" si="62"/>
        <v>InCasa_COR22D557</v>
      </c>
    </row>
    <row r="721" spans="2:72" ht="18.75" customHeight="1" x14ac:dyDescent="0.25">
      <c r="B721" s="20">
        <f t="shared" si="63"/>
        <v>558</v>
      </c>
      <c r="C721" s="22" t="str">
        <f t="shared" si="59"/>
        <v>In Casa #558</v>
      </c>
      <c r="D721" t="str">
        <f t="shared" si="60"/>
        <v>COR22D558</v>
      </c>
      <c r="E721" s="58" t="s">
        <v>252</v>
      </c>
      <c r="F721" s="20">
        <v>1000</v>
      </c>
      <c r="G721" s="14" t="s">
        <v>354</v>
      </c>
      <c r="H721" s="23" t="s">
        <v>170</v>
      </c>
      <c r="J721" s="59" t="s">
        <v>38</v>
      </c>
      <c r="K721" s="22" t="s">
        <v>254</v>
      </c>
      <c r="L721" s="59" t="s">
        <v>171</v>
      </c>
      <c r="M721" s="22">
        <v>2</v>
      </c>
      <c r="V721" s="59" t="s">
        <v>176</v>
      </c>
      <c r="AL721" s="59" t="s">
        <v>40</v>
      </c>
      <c r="AM721" s="22" t="s">
        <v>188</v>
      </c>
      <c r="AV721" s="59" t="s">
        <v>134</v>
      </c>
      <c r="AW721" s="22" t="str">
        <f>Settings!$B$5 &amp;  "?s=" &amp; D721 &amp; "&amp;platform=ftx"</f>
        <v>https://tokensol.nfluent.io?s=COR22D558&amp;platform=ftx</v>
      </c>
      <c r="AX721" s="20" t="s">
        <v>23</v>
      </c>
      <c r="AY721" s="20">
        <v>10</v>
      </c>
      <c r="AZ721" s="20" t="s">
        <v>24</v>
      </c>
      <c r="BA721" s="20">
        <v>90</v>
      </c>
      <c r="BD721" s="14"/>
      <c r="BJ721" t="s">
        <v>255</v>
      </c>
      <c r="BK721" t="s">
        <v>184</v>
      </c>
      <c r="BN721" s="36">
        <v>100</v>
      </c>
      <c r="BO721" s="36">
        <v>100</v>
      </c>
      <c r="BP721">
        <f t="shared" si="61"/>
        <v>480</v>
      </c>
      <c r="BR721" s="38">
        <v>44713</v>
      </c>
      <c r="BS721" s="20" t="s">
        <v>185</v>
      </c>
      <c r="BT721" s="20" t="str">
        <f t="shared" si="62"/>
        <v>InCasa_COR22D558</v>
      </c>
    </row>
    <row r="722" spans="2:72" ht="18.75" customHeight="1" x14ac:dyDescent="0.25">
      <c r="B722" s="20">
        <f t="shared" si="63"/>
        <v>559</v>
      </c>
      <c r="C722" s="22" t="str">
        <f t="shared" si="59"/>
        <v>In Casa #559</v>
      </c>
      <c r="D722" t="str">
        <f t="shared" si="60"/>
        <v>COR22D559</v>
      </c>
      <c r="E722" s="58" t="s">
        <v>252</v>
      </c>
      <c r="F722" s="20">
        <v>1000</v>
      </c>
      <c r="G722" s="14" t="s">
        <v>354</v>
      </c>
      <c r="H722" s="23" t="s">
        <v>170</v>
      </c>
      <c r="J722" s="59" t="s">
        <v>38</v>
      </c>
      <c r="K722" s="22" t="s">
        <v>254</v>
      </c>
      <c r="L722" s="59" t="s">
        <v>171</v>
      </c>
      <c r="M722" s="22">
        <v>2</v>
      </c>
      <c r="V722" s="59" t="s">
        <v>176</v>
      </c>
      <c r="AL722" s="59" t="s">
        <v>40</v>
      </c>
      <c r="AM722" s="22" t="s">
        <v>188</v>
      </c>
      <c r="AV722" s="59" t="s">
        <v>134</v>
      </c>
      <c r="AW722" s="22" t="str">
        <f>Settings!$B$5 &amp;  "?s=" &amp; D722 &amp; "&amp;platform=ftx"</f>
        <v>https://tokensol.nfluent.io?s=COR22D559&amp;platform=ftx</v>
      </c>
      <c r="AX722" s="20" t="s">
        <v>23</v>
      </c>
      <c r="AY722" s="20">
        <v>10</v>
      </c>
      <c r="AZ722" s="20" t="s">
        <v>24</v>
      </c>
      <c r="BA722" s="20">
        <v>90</v>
      </c>
      <c r="BD722" s="14"/>
      <c r="BJ722" t="s">
        <v>255</v>
      </c>
      <c r="BK722" t="s">
        <v>184</v>
      </c>
      <c r="BN722" s="36">
        <v>100</v>
      </c>
      <c r="BO722" s="36">
        <v>100</v>
      </c>
      <c r="BP722">
        <f t="shared" si="61"/>
        <v>480</v>
      </c>
      <c r="BR722" s="38">
        <v>44713</v>
      </c>
      <c r="BS722" s="20" t="s">
        <v>185</v>
      </c>
      <c r="BT722" s="20" t="str">
        <f t="shared" si="62"/>
        <v>InCasa_COR22D559</v>
      </c>
    </row>
    <row r="723" spans="2:72" ht="18.75" customHeight="1" x14ac:dyDescent="0.25">
      <c r="B723" s="20">
        <f t="shared" si="63"/>
        <v>560</v>
      </c>
      <c r="C723" s="22" t="str">
        <f t="shared" si="59"/>
        <v>In Casa #560</v>
      </c>
      <c r="D723" t="str">
        <f t="shared" si="60"/>
        <v>COR22D560</v>
      </c>
      <c r="E723" s="58" t="s">
        <v>252</v>
      </c>
      <c r="F723" s="20">
        <v>1000</v>
      </c>
      <c r="G723" s="14" t="s">
        <v>354</v>
      </c>
      <c r="H723" s="23" t="s">
        <v>170</v>
      </c>
      <c r="J723" s="59" t="s">
        <v>38</v>
      </c>
      <c r="K723" s="22" t="s">
        <v>254</v>
      </c>
      <c r="L723" s="59" t="s">
        <v>171</v>
      </c>
      <c r="M723" s="22">
        <v>2</v>
      </c>
      <c r="V723" s="59" t="s">
        <v>176</v>
      </c>
      <c r="AL723" s="59" t="s">
        <v>40</v>
      </c>
      <c r="AM723" s="22" t="s">
        <v>188</v>
      </c>
      <c r="AV723" s="59" t="s">
        <v>134</v>
      </c>
      <c r="AW723" s="22" t="str">
        <f>Settings!$B$5 &amp;  "?s=" &amp; D723 &amp; "&amp;platform=ftx"</f>
        <v>https://tokensol.nfluent.io?s=COR22D560&amp;platform=ftx</v>
      </c>
      <c r="AX723" s="20" t="s">
        <v>23</v>
      </c>
      <c r="AY723" s="20">
        <v>10</v>
      </c>
      <c r="AZ723" s="20" t="s">
        <v>24</v>
      </c>
      <c r="BA723" s="20">
        <v>90</v>
      </c>
      <c r="BD723" s="14"/>
      <c r="BJ723" t="s">
        <v>255</v>
      </c>
      <c r="BK723" t="s">
        <v>184</v>
      </c>
      <c r="BN723" s="36">
        <v>100</v>
      </c>
      <c r="BO723" s="36">
        <v>100</v>
      </c>
      <c r="BP723">
        <f t="shared" si="61"/>
        <v>480</v>
      </c>
      <c r="BR723" s="38">
        <v>44713</v>
      </c>
      <c r="BS723" s="20" t="s">
        <v>185</v>
      </c>
      <c r="BT723" s="20" t="str">
        <f t="shared" si="62"/>
        <v>InCasa_COR22D560</v>
      </c>
    </row>
    <row r="724" spans="2:72" ht="18.75" customHeight="1" x14ac:dyDescent="0.25">
      <c r="B724" s="20">
        <f t="shared" si="63"/>
        <v>561</v>
      </c>
      <c r="C724" s="22" t="str">
        <f t="shared" si="59"/>
        <v>In Casa #561</v>
      </c>
      <c r="D724" t="str">
        <f t="shared" si="60"/>
        <v>COR22D561</v>
      </c>
      <c r="E724" s="58" t="s">
        <v>252</v>
      </c>
      <c r="F724" s="20">
        <v>1000</v>
      </c>
      <c r="G724" s="14" t="s">
        <v>354</v>
      </c>
      <c r="H724" s="23" t="s">
        <v>170</v>
      </c>
      <c r="J724" s="59" t="s">
        <v>38</v>
      </c>
      <c r="K724" s="22" t="s">
        <v>254</v>
      </c>
      <c r="L724" s="59" t="s">
        <v>171</v>
      </c>
      <c r="M724" s="22">
        <v>2</v>
      </c>
      <c r="V724" s="59" t="s">
        <v>176</v>
      </c>
      <c r="AL724" s="59" t="s">
        <v>40</v>
      </c>
      <c r="AM724" s="22" t="s">
        <v>188</v>
      </c>
      <c r="AV724" s="59" t="s">
        <v>134</v>
      </c>
      <c r="AW724" s="22" t="str">
        <f>Settings!$B$5 &amp;  "?s=" &amp; D724 &amp; "&amp;platform=ftx"</f>
        <v>https://tokensol.nfluent.io?s=COR22D561&amp;platform=ftx</v>
      </c>
      <c r="AX724" s="20" t="s">
        <v>23</v>
      </c>
      <c r="AY724" s="20">
        <v>10</v>
      </c>
      <c r="AZ724" s="20" t="s">
        <v>24</v>
      </c>
      <c r="BA724" s="20">
        <v>90</v>
      </c>
      <c r="BD724" s="14"/>
      <c r="BJ724" t="s">
        <v>255</v>
      </c>
      <c r="BK724" t="s">
        <v>184</v>
      </c>
      <c r="BN724" s="36">
        <v>100</v>
      </c>
      <c r="BO724" s="36">
        <v>100</v>
      </c>
      <c r="BP724">
        <f t="shared" si="61"/>
        <v>480</v>
      </c>
      <c r="BR724" s="38">
        <v>44713</v>
      </c>
      <c r="BS724" s="20" t="s">
        <v>185</v>
      </c>
      <c r="BT724" s="20" t="str">
        <f t="shared" si="62"/>
        <v>InCasa_COR22D561</v>
      </c>
    </row>
    <row r="725" spans="2:72" ht="18.75" customHeight="1" x14ac:dyDescent="0.25">
      <c r="B725" s="20">
        <f t="shared" si="63"/>
        <v>562</v>
      </c>
      <c r="C725" s="22" t="str">
        <f t="shared" si="59"/>
        <v>In Casa #562</v>
      </c>
      <c r="D725" t="str">
        <f t="shared" si="60"/>
        <v>COR22D562</v>
      </c>
      <c r="E725" s="58" t="s">
        <v>252</v>
      </c>
      <c r="F725" s="20">
        <v>1000</v>
      </c>
      <c r="G725" s="14" t="s">
        <v>354</v>
      </c>
      <c r="H725" s="23" t="s">
        <v>170</v>
      </c>
      <c r="J725" s="59" t="s">
        <v>38</v>
      </c>
      <c r="K725" s="22" t="s">
        <v>254</v>
      </c>
      <c r="L725" s="59" t="s">
        <v>171</v>
      </c>
      <c r="M725" s="22">
        <v>2</v>
      </c>
      <c r="V725" s="59" t="s">
        <v>176</v>
      </c>
      <c r="AL725" s="59" t="s">
        <v>40</v>
      </c>
      <c r="AM725" s="22" t="s">
        <v>188</v>
      </c>
      <c r="AV725" s="59" t="s">
        <v>134</v>
      </c>
      <c r="AW725" s="22" t="str">
        <f>Settings!$B$5 &amp;  "?s=" &amp; D725 &amp; "&amp;platform=ftx"</f>
        <v>https://tokensol.nfluent.io?s=COR22D562&amp;platform=ftx</v>
      </c>
      <c r="AX725" s="20" t="s">
        <v>23</v>
      </c>
      <c r="AY725" s="20">
        <v>10</v>
      </c>
      <c r="AZ725" s="20" t="s">
        <v>24</v>
      </c>
      <c r="BA725" s="20">
        <v>90</v>
      </c>
      <c r="BD725" s="14"/>
      <c r="BJ725" t="s">
        <v>255</v>
      </c>
      <c r="BK725" t="s">
        <v>184</v>
      </c>
      <c r="BN725" s="36">
        <v>100</v>
      </c>
      <c r="BO725" s="36">
        <v>100</v>
      </c>
      <c r="BP725">
        <f t="shared" si="61"/>
        <v>480</v>
      </c>
      <c r="BR725" s="38">
        <v>44713</v>
      </c>
      <c r="BS725" s="20" t="s">
        <v>185</v>
      </c>
      <c r="BT725" s="20" t="str">
        <f t="shared" si="62"/>
        <v>InCasa_COR22D562</v>
      </c>
    </row>
    <row r="726" spans="2:72" ht="18.75" customHeight="1" x14ac:dyDescent="0.25">
      <c r="B726" s="20">
        <f t="shared" si="63"/>
        <v>563</v>
      </c>
      <c r="C726" s="22" t="str">
        <f t="shared" si="59"/>
        <v>In Casa #563</v>
      </c>
      <c r="D726" t="str">
        <f t="shared" si="60"/>
        <v>COR22D563</v>
      </c>
      <c r="E726" s="58" t="s">
        <v>252</v>
      </c>
      <c r="F726" s="20">
        <v>1000</v>
      </c>
      <c r="G726" s="14" t="s">
        <v>354</v>
      </c>
      <c r="H726" s="23" t="s">
        <v>170</v>
      </c>
      <c r="J726" s="59" t="s">
        <v>38</v>
      </c>
      <c r="K726" s="22" t="s">
        <v>254</v>
      </c>
      <c r="L726" s="59" t="s">
        <v>171</v>
      </c>
      <c r="M726" s="22">
        <v>2</v>
      </c>
      <c r="V726" s="59" t="s">
        <v>176</v>
      </c>
      <c r="AL726" s="59" t="s">
        <v>40</v>
      </c>
      <c r="AM726" s="22" t="s">
        <v>188</v>
      </c>
      <c r="AV726" s="59" t="s">
        <v>134</v>
      </c>
      <c r="AW726" s="22" t="str">
        <f>Settings!$B$5 &amp;  "?s=" &amp; D726 &amp; "&amp;platform=ftx"</f>
        <v>https://tokensol.nfluent.io?s=COR22D563&amp;platform=ftx</v>
      </c>
      <c r="AX726" s="20" t="s">
        <v>23</v>
      </c>
      <c r="AY726" s="20">
        <v>10</v>
      </c>
      <c r="AZ726" s="20" t="s">
        <v>24</v>
      </c>
      <c r="BA726" s="20">
        <v>90</v>
      </c>
      <c r="BD726" s="14"/>
      <c r="BJ726" t="s">
        <v>255</v>
      </c>
      <c r="BK726" t="s">
        <v>184</v>
      </c>
      <c r="BN726" s="36">
        <v>100</v>
      </c>
      <c r="BO726" s="36">
        <v>100</v>
      </c>
      <c r="BP726">
        <f t="shared" si="61"/>
        <v>480</v>
      </c>
      <c r="BR726" s="38">
        <v>44713</v>
      </c>
      <c r="BS726" s="20" t="s">
        <v>185</v>
      </c>
      <c r="BT726" s="20" t="str">
        <f t="shared" si="62"/>
        <v>InCasa_COR22D563</v>
      </c>
    </row>
    <row r="727" spans="2:72" ht="18.75" customHeight="1" x14ac:dyDescent="0.25">
      <c r="B727" s="20">
        <f t="shared" si="63"/>
        <v>564</v>
      </c>
      <c r="C727" s="22" t="str">
        <f t="shared" si="59"/>
        <v>In Casa #564</v>
      </c>
      <c r="D727" t="str">
        <f t="shared" si="60"/>
        <v>COR22D564</v>
      </c>
      <c r="E727" s="58" t="s">
        <v>252</v>
      </c>
      <c r="F727" s="20">
        <v>1000</v>
      </c>
      <c r="G727" s="14" t="s">
        <v>354</v>
      </c>
      <c r="H727" s="23" t="s">
        <v>170</v>
      </c>
      <c r="J727" s="59" t="s">
        <v>38</v>
      </c>
      <c r="K727" s="22" t="s">
        <v>254</v>
      </c>
      <c r="L727" s="59" t="s">
        <v>171</v>
      </c>
      <c r="M727" s="22">
        <v>2</v>
      </c>
      <c r="V727" s="59" t="s">
        <v>176</v>
      </c>
      <c r="AL727" s="59" t="s">
        <v>40</v>
      </c>
      <c r="AM727" s="22" t="s">
        <v>188</v>
      </c>
      <c r="AV727" s="59" t="s">
        <v>134</v>
      </c>
      <c r="AW727" s="22" t="str">
        <f>Settings!$B$5 &amp;  "?s=" &amp; D727 &amp; "&amp;platform=ftx"</f>
        <v>https://tokensol.nfluent.io?s=COR22D564&amp;platform=ftx</v>
      </c>
      <c r="AX727" s="20" t="s">
        <v>23</v>
      </c>
      <c r="AY727" s="20">
        <v>10</v>
      </c>
      <c r="AZ727" s="20" t="s">
        <v>24</v>
      </c>
      <c r="BA727" s="20">
        <v>90</v>
      </c>
      <c r="BD727" s="14"/>
      <c r="BJ727" t="s">
        <v>255</v>
      </c>
      <c r="BK727" t="s">
        <v>184</v>
      </c>
      <c r="BN727" s="36">
        <v>100</v>
      </c>
      <c r="BO727" s="36">
        <v>100</v>
      </c>
      <c r="BP727">
        <f t="shared" si="61"/>
        <v>480</v>
      </c>
      <c r="BR727" s="38">
        <v>44713</v>
      </c>
      <c r="BS727" s="20" t="s">
        <v>185</v>
      </c>
      <c r="BT727" s="20" t="str">
        <f t="shared" si="62"/>
        <v>InCasa_COR22D564</v>
      </c>
    </row>
    <row r="728" spans="2:72" ht="18.75" customHeight="1" x14ac:dyDescent="0.25">
      <c r="B728" s="20">
        <f t="shared" si="63"/>
        <v>565</v>
      </c>
      <c r="C728" s="22" t="str">
        <f t="shared" si="59"/>
        <v>In Casa #565</v>
      </c>
      <c r="D728" t="str">
        <f t="shared" si="60"/>
        <v>COR22D565</v>
      </c>
      <c r="E728" s="58" t="s">
        <v>252</v>
      </c>
      <c r="F728" s="20">
        <v>1000</v>
      </c>
      <c r="G728" s="14" t="s">
        <v>354</v>
      </c>
      <c r="H728" s="23" t="s">
        <v>170</v>
      </c>
      <c r="J728" s="59" t="s">
        <v>38</v>
      </c>
      <c r="K728" s="22" t="s">
        <v>254</v>
      </c>
      <c r="L728" s="59" t="s">
        <v>171</v>
      </c>
      <c r="M728" s="22">
        <v>2</v>
      </c>
      <c r="V728" s="59" t="s">
        <v>176</v>
      </c>
      <c r="AL728" s="59" t="s">
        <v>40</v>
      </c>
      <c r="AM728" s="22" t="s">
        <v>188</v>
      </c>
      <c r="AV728" s="59" t="s">
        <v>134</v>
      </c>
      <c r="AW728" s="22" t="str">
        <f>Settings!$B$5 &amp;  "?s=" &amp; D728 &amp; "&amp;platform=ftx"</f>
        <v>https://tokensol.nfluent.io?s=COR22D565&amp;platform=ftx</v>
      </c>
      <c r="AX728" s="20" t="s">
        <v>23</v>
      </c>
      <c r="AY728" s="20">
        <v>10</v>
      </c>
      <c r="AZ728" s="20" t="s">
        <v>24</v>
      </c>
      <c r="BA728" s="20">
        <v>90</v>
      </c>
      <c r="BD728" s="14"/>
      <c r="BJ728" t="s">
        <v>255</v>
      </c>
      <c r="BK728" t="s">
        <v>184</v>
      </c>
      <c r="BN728" s="36">
        <v>100</v>
      </c>
      <c r="BO728" s="36">
        <v>100</v>
      </c>
      <c r="BP728">
        <f t="shared" si="61"/>
        <v>480</v>
      </c>
      <c r="BR728" s="38">
        <v>44713</v>
      </c>
      <c r="BS728" s="20" t="s">
        <v>185</v>
      </c>
      <c r="BT728" s="20" t="str">
        <f t="shared" si="62"/>
        <v>InCasa_COR22D565</v>
      </c>
    </row>
    <row r="729" spans="2:72" ht="18.75" customHeight="1" x14ac:dyDescent="0.25">
      <c r="B729" s="20">
        <f t="shared" si="63"/>
        <v>566</v>
      </c>
      <c r="C729" s="22" t="str">
        <f t="shared" si="59"/>
        <v>In Casa #566</v>
      </c>
      <c r="D729" t="str">
        <f t="shared" si="60"/>
        <v>COR22D566</v>
      </c>
      <c r="E729" s="58" t="s">
        <v>252</v>
      </c>
      <c r="F729" s="20">
        <v>1000</v>
      </c>
      <c r="G729" s="14" t="s">
        <v>354</v>
      </c>
      <c r="H729" s="23" t="s">
        <v>170</v>
      </c>
      <c r="J729" s="59" t="s">
        <v>38</v>
      </c>
      <c r="K729" s="22" t="s">
        <v>254</v>
      </c>
      <c r="L729" s="59" t="s">
        <v>171</v>
      </c>
      <c r="M729" s="22">
        <v>2</v>
      </c>
      <c r="V729" s="59" t="s">
        <v>176</v>
      </c>
      <c r="AL729" s="59" t="s">
        <v>40</v>
      </c>
      <c r="AM729" s="22" t="s">
        <v>188</v>
      </c>
      <c r="AV729" s="59" t="s">
        <v>134</v>
      </c>
      <c r="AW729" s="22" t="str">
        <f>Settings!$B$5 &amp;  "?s=" &amp; D729 &amp; "&amp;platform=ftx"</f>
        <v>https://tokensol.nfluent.io?s=COR22D566&amp;platform=ftx</v>
      </c>
      <c r="AX729" s="20" t="s">
        <v>23</v>
      </c>
      <c r="AY729" s="20">
        <v>10</v>
      </c>
      <c r="AZ729" s="20" t="s">
        <v>24</v>
      </c>
      <c r="BA729" s="20">
        <v>90</v>
      </c>
      <c r="BD729" s="14"/>
      <c r="BJ729" t="s">
        <v>255</v>
      </c>
      <c r="BK729" t="s">
        <v>184</v>
      </c>
      <c r="BN729" s="36">
        <v>100</v>
      </c>
      <c r="BO729" s="36">
        <v>100</v>
      </c>
      <c r="BP729">
        <f t="shared" si="61"/>
        <v>480</v>
      </c>
      <c r="BR729" s="38">
        <v>44713</v>
      </c>
      <c r="BS729" s="20" t="s">
        <v>185</v>
      </c>
      <c r="BT729" s="20" t="str">
        <f t="shared" si="62"/>
        <v>InCasa_COR22D566</v>
      </c>
    </row>
    <row r="730" spans="2:72" ht="18.75" customHeight="1" x14ac:dyDescent="0.25">
      <c r="B730" s="20">
        <f t="shared" si="63"/>
        <v>567</v>
      </c>
      <c r="C730" s="22" t="str">
        <f t="shared" si="59"/>
        <v>In Casa #567</v>
      </c>
      <c r="D730" t="str">
        <f t="shared" si="60"/>
        <v>COR22D567</v>
      </c>
      <c r="E730" s="58" t="s">
        <v>252</v>
      </c>
      <c r="F730" s="20">
        <v>1000</v>
      </c>
      <c r="G730" s="14" t="s">
        <v>354</v>
      </c>
      <c r="H730" s="23" t="s">
        <v>170</v>
      </c>
      <c r="J730" s="59" t="s">
        <v>38</v>
      </c>
      <c r="K730" s="22" t="s">
        <v>254</v>
      </c>
      <c r="L730" s="59" t="s">
        <v>171</v>
      </c>
      <c r="M730" s="22">
        <v>2</v>
      </c>
      <c r="V730" s="59" t="s">
        <v>176</v>
      </c>
      <c r="AL730" s="59" t="s">
        <v>40</v>
      </c>
      <c r="AM730" s="22" t="s">
        <v>188</v>
      </c>
      <c r="AV730" s="59" t="s">
        <v>134</v>
      </c>
      <c r="AW730" s="22" t="str">
        <f>Settings!$B$5 &amp;  "?s=" &amp; D730 &amp; "&amp;platform=ftx"</f>
        <v>https://tokensol.nfluent.io?s=COR22D567&amp;platform=ftx</v>
      </c>
      <c r="AX730" s="20" t="s">
        <v>23</v>
      </c>
      <c r="AY730" s="20">
        <v>10</v>
      </c>
      <c r="AZ730" s="20" t="s">
        <v>24</v>
      </c>
      <c r="BA730" s="20">
        <v>90</v>
      </c>
      <c r="BD730" s="14"/>
      <c r="BJ730" t="s">
        <v>255</v>
      </c>
      <c r="BK730" t="s">
        <v>184</v>
      </c>
      <c r="BN730" s="36">
        <v>100</v>
      </c>
      <c r="BO730" s="36">
        <v>100</v>
      </c>
      <c r="BP730">
        <f t="shared" si="61"/>
        <v>480</v>
      </c>
      <c r="BR730" s="38">
        <v>44713</v>
      </c>
      <c r="BS730" s="20" t="s">
        <v>185</v>
      </c>
      <c r="BT730" s="20" t="str">
        <f t="shared" si="62"/>
        <v>InCasa_COR22D567</v>
      </c>
    </row>
    <row r="731" spans="2:72" ht="18.75" customHeight="1" x14ac:dyDescent="0.25">
      <c r="B731" s="20">
        <f t="shared" si="63"/>
        <v>568</v>
      </c>
      <c r="C731" s="22" t="str">
        <f t="shared" si="59"/>
        <v>In Casa #568</v>
      </c>
      <c r="D731" t="str">
        <f t="shared" si="60"/>
        <v>COR22D568</v>
      </c>
      <c r="E731" s="58" t="s">
        <v>252</v>
      </c>
      <c r="F731" s="20">
        <v>1000</v>
      </c>
      <c r="G731" s="14" t="s">
        <v>354</v>
      </c>
      <c r="H731" s="23" t="s">
        <v>170</v>
      </c>
      <c r="J731" s="59" t="s">
        <v>38</v>
      </c>
      <c r="K731" s="22" t="s">
        <v>254</v>
      </c>
      <c r="L731" s="59" t="s">
        <v>171</v>
      </c>
      <c r="M731" s="22">
        <v>2</v>
      </c>
      <c r="V731" s="59" t="s">
        <v>176</v>
      </c>
      <c r="AL731" s="59" t="s">
        <v>40</v>
      </c>
      <c r="AM731" s="22" t="s">
        <v>188</v>
      </c>
      <c r="AV731" s="59" t="s">
        <v>134</v>
      </c>
      <c r="AW731" s="22" t="str">
        <f>Settings!$B$5 &amp;  "?s=" &amp; D731 &amp; "&amp;platform=ftx"</f>
        <v>https://tokensol.nfluent.io?s=COR22D568&amp;platform=ftx</v>
      </c>
      <c r="AX731" s="20" t="s">
        <v>23</v>
      </c>
      <c r="AY731" s="20">
        <v>10</v>
      </c>
      <c r="AZ731" s="20" t="s">
        <v>24</v>
      </c>
      <c r="BA731" s="20">
        <v>90</v>
      </c>
      <c r="BD731" s="14"/>
      <c r="BJ731" t="s">
        <v>255</v>
      </c>
      <c r="BK731" t="s">
        <v>184</v>
      </c>
      <c r="BN731" s="36">
        <v>100</v>
      </c>
      <c r="BO731" s="36">
        <v>100</v>
      </c>
      <c r="BP731">
        <f t="shared" si="61"/>
        <v>480</v>
      </c>
      <c r="BR731" s="38">
        <v>44713</v>
      </c>
      <c r="BS731" s="20" t="s">
        <v>185</v>
      </c>
      <c r="BT731" s="20" t="str">
        <f t="shared" si="62"/>
        <v>InCasa_COR22D568</v>
      </c>
    </row>
    <row r="732" spans="2:72" ht="18.75" customHeight="1" x14ac:dyDescent="0.25">
      <c r="B732" s="20">
        <f t="shared" si="63"/>
        <v>569</v>
      </c>
      <c r="C732" s="22" t="str">
        <f t="shared" si="59"/>
        <v>In Casa #569</v>
      </c>
      <c r="D732" t="str">
        <f t="shared" si="60"/>
        <v>COR22D569</v>
      </c>
      <c r="E732" s="58" t="s">
        <v>252</v>
      </c>
      <c r="F732" s="20">
        <v>1000</v>
      </c>
      <c r="G732" s="14" t="s">
        <v>354</v>
      </c>
      <c r="H732" s="23" t="s">
        <v>170</v>
      </c>
      <c r="J732" s="59" t="s">
        <v>38</v>
      </c>
      <c r="K732" s="22" t="s">
        <v>254</v>
      </c>
      <c r="L732" s="59" t="s">
        <v>171</v>
      </c>
      <c r="M732" s="22">
        <v>2</v>
      </c>
      <c r="V732" s="59" t="s">
        <v>176</v>
      </c>
      <c r="AL732" s="59" t="s">
        <v>40</v>
      </c>
      <c r="AM732" s="22" t="s">
        <v>188</v>
      </c>
      <c r="AV732" s="59" t="s">
        <v>134</v>
      </c>
      <c r="AW732" s="22" t="str">
        <f>Settings!$B$5 &amp;  "?s=" &amp; D732 &amp; "&amp;platform=ftx"</f>
        <v>https://tokensol.nfluent.io?s=COR22D569&amp;platform=ftx</v>
      </c>
      <c r="AX732" s="20" t="s">
        <v>23</v>
      </c>
      <c r="AY732" s="20">
        <v>10</v>
      </c>
      <c r="AZ732" s="20" t="s">
        <v>24</v>
      </c>
      <c r="BA732" s="20">
        <v>90</v>
      </c>
      <c r="BD732" s="14"/>
      <c r="BJ732" t="s">
        <v>255</v>
      </c>
      <c r="BK732" t="s">
        <v>184</v>
      </c>
      <c r="BN732" s="36">
        <v>100</v>
      </c>
      <c r="BO732" s="36">
        <v>100</v>
      </c>
      <c r="BP732">
        <f t="shared" si="61"/>
        <v>480</v>
      </c>
      <c r="BR732" s="38">
        <v>44713</v>
      </c>
      <c r="BS732" s="20" t="s">
        <v>185</v>
      </c>
      <c r="BT732" s="20" t="str">
        <f t="shared" si="62"/>
        <v>InCasa_COR22D569</v>
      </c>
    </row>
    <row r="733" spans="2:72" ht="18.75" customHeight="1" x14ac:dyDescent="0.25">
      <c r="B733" s="20">
        <f t="shared" si="63"/>
        <v>570</v>
      </c>
      <c r="C733" s="22" t="str">
        <f t="shared" si="59"/>
        <v>In Casa #570</v>
      </c>
      <c r="D733" t="str">
        <f t="shared" si="60"/>
        <v>COR22D570</v>
      </c>
      <c r="E733" s="58" t="s">
        <v>252</v>
      </c>
      <c r="F733" s="20">
        <v>1000</v>
      </c>
      <c r="G733" s="14" t="s">
        <v>354</v>
      </c>
      <c r="H733" s="23" t="s">
        <v>170</v>
      </c>
      <c r="J733" s="59" t="s">
        <v>38</v>
      </c>
      <c r="K733" s="22" t="s">
        <v>254</v>
      </c>
      <c r="L733" s="59" t="s">
        <v>171</v>
      </c>
      <c r="M733" s="22">
        <v>2</v>
      </c>
      <c r="V733" s="59" t="s">
        <v>176</v>
      </c>
      <c r="AL733" s="59" t="s">
        <v>40</v>
      </c>
      <c r="AM733" s="22" t="s">
        <v>188</v>
      </c>
      <c r="AV733" s="59" t="s">
        <v>134</v>
      </c>
      <c r="AW733" s="22" t="str">
        <f>Settings!$B$5 &amp;  "?s=" &amp; D733 &amp; "&amp;platform=ftx"</f>
        <v>https://tokensol.nfluent.io?s=COR22D570&amp;platform=ftx</v>
      </c>
      <c r="AX733" s="20" t="s">
        <v>23</v>
      </c>
      <c r="AY733" s="20">
        <v>10</v>
      </c>
      <c r="AZ733" s="20" t="s">
        <v>24</v>
      </c>
      <c r="BA733" s="20">
        <v>90</v>
      </c>
      <c r="BD733" s="14"/>
      <c r="BJ733" t="s">
        <v>255</v>
      </c>
      <c r="BK733" t="s">
        <v>184</v>
      </c>
      <c r="BN733" s="36">
        <v>100</v>
      </c>
      <c r="BO733" s="36">
        <v>100</v>
      </c>
      <c r="BP733">
        <f t="shared" si="61"/>
        <v>480</v>
      </c>
      <c r="BR733" s="38">
        <v>44713</v>
      </c>
      <c r="BS733" s="20" t="s">
        <v>185</v>
      </c>
      <c r="BT733" s="20" t="str">
        <f t="shared" si="62"/>
        <v>InCasa_COR22D570</v>
      </c>
    </row>
    <row r="734" spans="2:72" ht="18.75" customHeight="1" x14ac:dyDescent="0.25">
      <c r="B734" s="20">
        <f t="shared" si="63"/>
        <v>571</v>
      </c>
      <c r="C734" s="22" t="str">
        <f t="shared" si="59"/>
        <v>In Casa #571</v>
      </c>
      <c r="D734" t="str">
        <f t="shared" si="60"/>
        <v>COR22D571</v>
      </c>
      <c r="E734" s="58" t="s">
        <v>252</v>
      </c>
      <c r="F734" s="20">
        <v>1000</v>
      </c>
      <c r="G734" s="14" t="s">
        <v>354</v>
      </c>
      <c r="H734" s="23" t="s">
        <v>170</v>
      </c>
      <c r="J734" s="59" t="s">
        <v>38</v>
      </c>
      <c r="K734" s="22" t="s">
        <v>254</v>
      </c>
      <c r="L734" s="59" t="s">
        <v>171</v>
      </c>
      <c r="M734" s="22">
        <v>2</v>
      </c>
      <c r="V734" s="59" t="s">
        <v>176</v>
      </c>
      <c r="AL734" s="59" t="s">
        <v>40</v>
      </c>
      <c r="AM734" s="22" t="s">
        <v>188</v>
      </c>
      <c r="AV734" s="59" t="s">
        <v>134</v>
      </c>
      <c r="AW734" s="22" t="str">
        <f>Settings!$B$5 &amp;  "?s=" &amp; D734 &amp; "&amp;platform=ftx"</f>
        <v>https://tokensol.nfluent.io?s=COR22D571&amp;platform=ftx</v>
      </c>
      <c r="AX734" s="20" t="s">
        <v>23</v>
      </c>
      <c r="AY734" s="20">
        <v>10</v>
      </c>
      <c r="AZ734" s="20" t="s">
        <v>24</v>
      </c>
      <c r="BA734" s="20">
        <v>90</v>
      </c>
      <c r="BD734" s="14"/>
      <c r="BJ734" t="s">
        <v>255</v>
      </c>
      <c r="BK734" t="s">
        <v>184</v>
      </c>
      <c r="BN734" s="36">
        <v>100</v>
      </c>
      <c r="BO734" s="36">
        <v>100</v>
      </c>
      <c r="BP734">
        <f t="shared" si="61"/>
        <v>480</v>
      </c>
      <c r="BR734" s="38">
        <v>44713</v>
      </c>
      <c r="BS734" s="20" t="s">
        <v>185</v>
      </c>
      <c r="BT734" s="20" t="str">
        <f t="shared" si="62"/>
        <v>InCasa_COR22D571</v>
      </c>
    </row>
    <row r="735" spans="2:72" ht="18.75" customHeight="1" x14ac:dyDescent="0.25">
      <c r="B735" s="20">
        <f t="shared" si="63"/>
        <v>572</v>
      </c>
      <c r="C735" s="22" t="str">
        <f t="shared" si="59"/>
        <v>In Casa #572</v>
      </c>
      <c r="D735" t="str">
        <f t="shared" si="60"/>
        <v>COR22D572</v>
      </c>
      <c r="E735" s="58" t="s">
        <v>252</v>
      </c>
      <c r="F735" s="20">
        <v>1000</v>
      </c>
      <c r="G735" s="14" t="s">
        <v>354</v>
      </c>
      <c r="H735" s="23" t="s">
        <v>170</v>
      </c>
      <c r="J735" s="59" t="s">
        <v>38</v>
      </c>
      <c r="K735" s="22" t="s">
        <v>254</v>
      </c>
      <c r="L735" s="59" t="s">
        <v>171</v>
      </c>
      <c r="M735" s="22">
        <v>2</v>
      </c>
      <c r="V735" s="59" t="s">
        <v>176</v>
      </c>
      <c r="AL735" s="59" t="s">
        <v>40</v>
      </c>
      <c r="AM735" s="22" t="s">
        <v>188</v>
      </c>
      <c r="AV735" s="59" t="s">
        <v>134</v>
      </c>
      <c r="AW735" s="22" t="str">
        <f>Settings!$B$5 &amp;  "?s=" &amp; D735 &amp; "&amp;platform=ftx"</f>
        <v>https://tokensol.nfluent.io?s=COR22D572&amp;platform=ftx</v>
      </c>
      <c r="AX735" s="20" t="s">
        <v>23</v>
      </c>
      <c r="AY735" s="20">
        <v>10</v>
      </c>
      <c r="AZ735" s="20" t="s">
        <v>24</v>
      </c>
      <c r="BA735" s="20">
        <v>90</v>
      </c>
      <c r="BD735" s="14"/>
      <c r="BJ735" t="s">
        <v>255</v>
      </c>
      <c r="BK735" t="s">
        <v>184</v>
      </c>
      <c r="BN735" s="36">
        <v>100</v>
      </c>
      <c r="BO735" s="36">
        <v>100</v>
      </c>
      <c r="BP735">
        <f t="shared" si="61"/>
        <v>480</v>
      </c>
      <c r="BR735" s="38">
        <v>44713</v>
      </c>
      <c r="BS735" s="20" t="s">
        <v>185</v>
      </c>
      <c r="BT735" s="20" t="str">
        <f t="shared" si="62"/>
        <v>InCasa_COR22D572</v>
      </c>
    </row>
    <row r="736" spans="2:72" ht="18.75" customHeight="1" x14ac:dyDescent="0.25">
      <c r="B736" s="20">
        <f t="shared" si="63"/>
        <v>573</v>
      </c>
      <c r="C736" s="22" t="str">
        <f t="shared" si="59"/>
        <v>In Casa #573</v>
      </c>
      <c r="D736" t="str">
        <f t="shared" si="60"/>
        <v>COR22D573</v>
      </c>
      <c r="E736" s="58" t="s">
        <v>252</v>
      </c>
      <c r="F736" s="20">
        <v>1000</v>
      </c>
      <c r="G736" s="14" t="s">
        <v>354</v>
      </c>
      <c r="H736" s="23" t="s">
        <v>170</v>
      </c>
      <c r="J736" s="59" t="s">
        <v>38</v>
      </c>
      <c r="K736" s="22" t="s">
        <v>254</v>
      </c>
      <c r="L736" s="59" t="s">
        <v>171</v>
      </c>
      <c r="M736" s="22">
        <v>2</v>
      </c>
      <c r="V736" s="59" t="s">
        <v>176</v>
      </c>
      <c r="AL736" s="59" t="s">
        <v>40</v>
      </c>
      <c r="AM736" s="22" t="s">
        <v>188</v>
      </c>
      <c r="AV736" s="59" t="s">
        <v>134</v>
      </c>
      <c r="AW736" s="22" t="str">
        <f>Settings!$B$5 &amp;  "?s=" &amp; D736 &amp; "&amp;platform=ftx"</f>
        <v>https://tokensol.nfluent.io?s=COR22D573&amp;platform=ftx</v>
      </c>
      <c r="AX736" s="20" t="s">
        <v>23</v>
      </c>
      <c r="AY736" s="20">
        <v>10</v>
      </c>
      <c r="AZ736" s="20" t="s">
        <v>24</v>
      </c>
      <c r="BA736" s="20">
        <v>90</v>
      </c>
      <c r="BD736" s="14"/>
      <c r="BJ736" t="s">
        <v>255</v>
      </c>
      <c r="BK736" t="s">
        <v>184</v>
      </c>
      <c r="BN736" s="36">
        <v>100</v>
      </c>
      <c r="BO736" s="36">
        <v>100</v>
      </c>
      <c r="BP736">
        <f t="shared" si="61"/>
        <v>480</v>
      </c>
      <c r="BR736" s="38">
        <v>44713</v>
      </c>
      <c r="BS736" s="20" t="s">
        <v>185</v>
      </c>
      <c r="BT736" s="20" t="str">
        <f t="shared" si="62"/>
        <v>InCasa_COR22D573</v>
      </c>
    </row>
    <row r="737" spans="2:72" ht="18.75" customHeight="1" x14ac:dyDescent="0.25">
      <c r="B737" s="20">
        <f t="shared" si="63"/>
        <v>574</v>
      </c>
      <c r="C737" s="22" t="str">
        <f t="shared" si="59"/>
        <v>In Casa #574</v>
      </c>
      <c r="D737" t="str">
        <f t="shared" si="60"/>
        <v>COR22D574</v>
      </c>
      <c r="E737" s="58" t="s">
        <v>252</v>
      </c>
      <c r="F737" s="20">
        <v>1000</v>
      </c>
      <c r="G737" s="14" t="s">
        <v>354</v>
      </c>
      <c r="H737" s="23" t="s">
        <v>170</v>
      </c>
      <c r="J737" s="59" t="s">
        <v>38</v>
      </c>
      <c r="K737" s="22" t="s">
        <v>254</v>
      </c>
      <c r="L737" s="59" t="s">
        <v>171</v>
      </c>
      <c r="M737" s="22">
        <v>2</v>
      </c>
      <c r="V737" s="59" t="s">
        <v>176</v>
      </c>
      <c r="AL737" s="59" t="s">
        <v>40</v>
      </c>
      <c r="AM737" s="22" t="s">
        <v>188</v>
      </c>
      <c r="AV737" s="59" t="s">
        <v>134</v>
      </c>
      <c r="AW737" s="22" t="str">
        <f>Settings!$B$5 &amp;  "?s=" &amp; D737 &amp; "&amp;platform=ftx"</f>
        <v>https://tokensol.nfluent.io?s=COR22D574&amp;platform=ftx</v>
      </c>
      <c r="AX737" s="20" t="s">
        <v>23</v>
      </c>
      <c r="AY737" s="20">
        <v>10</v>
      </c>
      <c r="AZ737" s="20" t="s">
        <v>24</v>
      </c>
      <c r="BA737" s="20">
        <v>90</v>
      </c>
      <c r="BD737" s="14"/>
      <c r="BJ737" t="s">
        <v>255</v>
      </c>
      <c r="BK737" t="s">
        <v>184</v>
      </c>
      <c r="BN737" s="36">
        <v>100</v>
      </c>
      <c r="BO737" s="36">
        <v>100</v>
      </c>
      <c r="BP737">
        <f t="shared" si="61"/>
        <v>480</v>
      </c>
      <c r="BR737" s="38">
        <v>44713</v>
      </c>
      <c r="BS737" s="20" t="s">
        <v>185</v>
      </c>
      <c r="BT737" s="20" t="str">
        <f t="shared" si="62"/>
        <v>InCasa_COR22D574</v>
      </c>
    </row>
    <row r="738" spans="2:72" ht="18.75" customHeight="1" x14ac:dyDescent="0.25">
      <c r="B738" s="20">
        <f t="shared" si="63"/>
        <v>575</v>
      </c>
      <c r="C738" s="22" t="str">
        <f t="shared" si="59"/>
        <v>In Casa #575</v>
      </c>
      <c r="D738" t="str">
        <f t="shared" si="60"/>
        <v>COR22D575</v>
      </c>
      <c r="E738" s="58" t="s">
        <v>252</v>
      </c>
      <c r="F738" s="20">
        <v>1000</v>
      </c>
      <c r="G738" s="14" t="s">
        <v>354</v>
      </c>
      <c r="H738" s="23" t="s">
        <v>170</v>
      </c>
      <c r="J738" s="59" t="s">
        <v>38</v>
      </c>
      <c r="K738" s="22" t="s">
        <v>254</v>
      </c>
      <c r="L738" s="59" t="s">
        <v>171</v>
      </c>
      <c r="M738" s="22">
        <v>2</v>
      </c>
      <c r="V738" s="59" t="s">
        <v>176</v>
      </c>
      <c r="AL738" s="59" t="s">
        <v>40</v>
      </c>
      <c r="AM738" s="22" t="s">
        <v>188</v>
      </c>
      <c r="AV738" s="59" t="s">
        <v>134</v>
      </c>
      <c r="AW738" s="22" t="str">
        <f>Settings!$B$5 &amp;  "?s=" &amp; D738 &amp; "&amp;platform=ftx"</f>
        <v>https://tokensol.nfluent.io?s=COR22D575&amp;platform=ftx</v>
      </c>
      <c r="AX738" s="20" t="s">
        <v>23</v>
      </c>
      <c r="AY738" s="20">
        <v>10</v>
      </c>
      <c r="AZ738" s="20" t="s">
        <v>24</v>
      </c>
      <c r="BA738" s="20">
        <v>90</v>
      </c>
      <c r="BD738" s="14"/>
      <c r="BJ738" t="s">
        <v>255</v>
      </c>
      <c r="BK738" t="s">
        <v>184</v>
      </c>
      <c r="BN738" s="36">
        <v>100</v>
      </c>
      <c r="BO738" s="36">
        <v>100</v>
      </c>
      <c r="BP738">
        <f t="shared" si="61"/>
        <v>480</v>
      </c>
      <c r="BR738" s="38">
        <v>44713</v>
      </c>
      <c r="BS738" s="20" t="s">
        <v>185</v>
      </c>
      <c r="BT738" s="20" t="str">
        <f t="shared" si="62"/>
        <v>InCasa_COR22D575</v>
      </c>
    </row>
    <row r="739" spans="2:72" ht="18.75" customHeight="1" x14ac:dyDescent="0.25">
      <c r="B739" s="20">
        <f t="shared" si="63"/>
        <v>576</v>
      </c>
      <c r="C739" s="22" t="str">
        <f t="shared" si="59"/>
        <v>In Casa #576</v>
      </c>
      <c r="D739" t="str">
        <f t="shared" si="60"/>
        <v>COR22D576</v>
      </c>
      <c r="E739" s="58" t="s">
        <v>252</v>
      </c>
      <c r="F739" s="20">
        <v>1000</v>
      </c>
      <c r="G739" s="14" t="s">
        <v>354</v>
      </c>
      <c r="H739" s="23" t="s">
        <v>170</v>
      </c>
      <c r="J739" s="59" t="s">
        <v>38</v>
      </c>
      <c r="K739" s="22" t="s">
        <v>254</v>
      </c>
      <c r="L739" s="59" t="s">
        <v>171</v>
      </c>
      <c r="M739" s="22">
        <v>2</v>
      </c>
      <c r="V739" s="59" t="s">
        <v>176</v>
      </c>
      <c r="AL739" s="59" t="s">
        <v>40</v>
      </c>
      <c r="AM739" s="22" t="s">
        <v>188</v>
      </c>
      <c r="AV739" s="59" t="s">
        <v>134</v>
      </c>
      <c r="AW739" s="22" t="str">
        <f>Settings!$B$5 &amp;  "?s=" &amp; D739 &amp; "&amp;platform=ftx"</f>
        <v>https://tokensol.nfluent.io?s=COR22D576&amp;platform=ftx</v>
      </c>
      <c r="AX739" s="20" t="s">
        <v>23</v>
      </c>
      <c r="AY739" s="20">
        <v>10</v>
      </c>
      <c r="AZ739" s="20" t="s">
        <v>24</v>
      </c>
      <c r="BA739" s="20">
        <v>90</v>
      </c>
      <c r="BD739" s="14"/>
      <c r="BJ739" t="s">
        <v>255</v>
      </c>
      <c r="BK739" t="s">
        <v>184</v>
      </c>
      <c r="BN739" s="36">
        <v>100</v>
      </c>
      <c r="BO739" s="36">
        <v>100</v>
      </c>
      <c r="BP739">
        <f t="shared" si="61"/>
        <v>480</v>
      </c>
      <c r="BR739" s="38">
        <v>44713</v>
      </c>
      <c r="BS739" s="20" t="s">
        <v>185</v>
      </c>
      <c r="BT739" s="20" t="str">
        <f t="shared" si="62"/>
        <v>InCasa_COR22D576</v>
      </c>
    </row>
    <row r="740" spans="2:72" ht="18.75" customHeight="1" x14ac:dyDescent="0.25">
      <c r="B740" s="20">
        <f t="shared" si="63"/>
        <v>577</v>
      </c>
      <c r="C740" s="22" t="str">
        <f t="shared" si="59"/>
        <v>In Casa #577</v>
      </c>
      <c r="D740" t="str">
        <f t="shared" si="60"/>
        <v>COR22D577</v>
      </c>
      <c r="E740" s="58" t="s">
        <v>252</v>
      </c>
      <c r="F740" s="20">
        <v>1000</v>
      </c>
      <c r="G740" s="14" t="s">
        <v>354</v>
      </c>
      <c r="H740" s="23" t="s">
        <v>170</v>
      </c>
      <c r="J740" s="59" t="s">
        <v>38</v>
      </c>
      <c r="K740" s="22" t="s">
        <v>254</v>
      </c>
      <c r="L740" s="59" t="s">
        <v>171</v>
      </c>
      <c r="M740" s="22">
        <v>2</v>
      </c>
      <c r="V740" s="59" t="s">
        <v>176</v>
      </c>
      <c r="AL740" s="59" t="s">
        <v>40</v>
      </c>
      <c r="AM740" s="22" t="s">
        <v>188</v>
      </c>
      <c r="AV740" s="59" t="s">
        <v>134</v>
      </c>
      <c r="AW740" s="22" t="str">
        <f>Settings!$B$5 &amp;  "?s=" &amp; D740 &amp; "&amp;platform=ftx"</f>
        <v>https://tokensol.nfluent.io?s=COR22D577&amp;platform=ftx</v>
      </c>
      <c r="AX740" s="20" t="s">
        <v>23</v>
      </c>
      <c r="AY740" s="20">
        <v>10</v>
      </c>
      <c r="AZ740" s="20" t="s">
        <v>24</v>
      </c>
      <c r="BA740" s="20">
        <v>90</v>
      </c>
      <c r="BD740" s="14"/>
      <c r="BJ740" t="s">
        <v>255</v>
      </c>
      <c r="BK740" t="s">
        <v>184</v>
      </c>
      <c r="BN740" s="36">
        <v>100</v>
      </c>
      <c r="BO740" s="36">
        <v>100</v>
      </c>
      <c r="BP740">
        <f t="shared" si="61"/>
        <v>480</v>
      </c>
      <c r="BR740" s="38">
        <v>44713</v>
      </c>
      <c r="BS740" s="20" t="s">
        <v>185</v>
      </c>
      <c r="BT740" s="20" t="str">
        <f t="shared" si="62"/>
        <v>InCasa_COR22D577</v>
      </c>
    </row>
    <row r="741" spans="2:72" ht="18.75" customHeight="1" x14ac:dyDescent="0.25">
      <c r="B741" s="20">
        <f t="shared" si="63"/>
        <v>578</v>
      </c>
      <c r="C741" s="22" t="str">
        <f t="shared" ref="C741:C804" si="64">+"In Casa #"&amp;B741</f>
        <v>In Casa #578</v>
      </c>
      <c r="D741" t="str">
        <f t="shared" ref="D741:D804" si="65">"COR22D"&amp;B741</f>
        <v>COR22D578</v>
      </c>
      <c r="E741" s="58" t="s">
        <v>252</v>
      </c>
      <c r="F741" s="20">
        <v>1000</v>
      </c>
      <c r="G741" s="14" t="s">
        <v>354</v>
      </c>
      <c r="H741" s="23" t="s">
        <v>170</v>
      </c>
      <c r="J741" s="59" t="s">
        <v>38</v>
      </c>
      <c r="K741" s="22" t="s">
        <v>254</v>
      </c>
      <c r="L741" s="59" t="s">
        <v>171</v>
      </c>
      <c r="M741" s="22">
        <v>2</v>
      </c>
      <c r="V741" s="59" t="s">
        <v>176</v>
      </c>
      <c r="AL741" s="59" t="s">
        <v>40</v>
      </c>
      <c r="AM741" s="22" t="s">
        <v>188</v>
      </c>
      <c r="AV741" s="59" t="s">
        <v>134</v>
      </c>
      <c r="AW741" s="22" t="str">
        <f>Settings!$B$5 &amp;  "?s=" &amp; D741 &amp; "&amp;platform=ftx"</f>
        <v>https://tokensol.nfluent.io?s=COR22D578&amp;platform=ftx</v>
      </c>
      <c r="AX741" s="20" t="s">
        <v>23</v>
      </c>
      <c r="AY741" s="20">
        <v>10</v>
      </c>
      <c r="AZ741" s="20" t="s">
        <v>24</v>
      </c>
      <c r="BA741" s="20">
        <v>90</v>
      </c>
      <c r="BD741" s="14"/>
      <c r="BJ741" t="s">
        <v>255</v>
      </c>
      <c r="BK741" t="s">
        <v>184</v>
      </c>
      <c r="BN741" s="36">
        <v>100</v>
      </c>
      <c r="BO741" s="36">
        <v>100</v>
      </c>
      <c r="BP741">
        <f t="shared" ref="BP741:BP804" si="66">24*20</f>
        <v>480</v>
      </c>
      <c r="BR741" s="38">
        <v>44713</v>
      </c>
      <c r="BS741" s="20" t="s">
        <v>185</v>
      </c>
      <c r="BT741" s="20" t="str">
        <f t="shared" si="62"/>
        <v>InCasa_COR22D578</v>
      </c>
    </row>
    <row r="742" spans="2:72" ht="18.75" customHeight="1" x14ac:dyDescent="0.25">
      <c r="B742" s="20">
        <f t="shared" si="63"/>
        <v>579</v>
      </c>
      <c r="C742" s="22" t="str">
        <f t="shared" si="64"/>
        <v>In Casa #579</v>
      </c>
      <c r="D742" t="str">
        <f t="shared" si="65"/>
        <v>COR22D579</v>
      </c>
      <c r="E742" s="58" t="s">
        <v>252</v>
      </c>
      <c r="F742" s="20">
        <v>1000</v>
      </c>
      <c r="G742" s="14" t="s">
        <v>354</v>
      </c>
      <c r="H742" s="23" t="s">
        <v>170</v>
      </c>
      <c r="J742" s="59" t="s">
        <v>38</v>
      </c>
      <c r="K742" s="22" t="s">
        <v>254</v>
      </c>
      <c r="L742" s="59" t="s">
        <v>171</v>
      </c>
      <c r="M742" s="22">
        <v>2</v>
      </c>
      <c r="V742" s="59" t="s">
        <v>176</v>
      </c>
      <c r="AL742" s="59" t="s">
        <v>40</v>
      </c>
      <c r="AM742" s="22" t="s">
        <v>188</v>
      </c>
      <c r="AV742" s="59" t="s">
        <v>134</v>
      </c>
      <c r="AW742" s="22" t="str">
        <f>Settings!$B$5 &amp;  "?s=" &amp; D742 &amp; "&amp;platform=ftx"</f>
        <v>https://tokensol.nfluent.io?s=COR22D579&amp;platform=ftx</v>
      </c>
      <c r="AX742" s="20" t="s">
        <v>23</v>
      </c>
      <c r="AY742" s="20">
        <v>10</v>
      </c>
      <c r="AZ742" s="20" t="s">
        <v>24</v>
      </c>
      <c r="BA742" s="20">
        <v>90</v>
      </c>
      <c r="BD742" s="14"/>
      <c r="BJ742" t="s">
        <v>255</v>
      </c>
      <c r="BK742" t="s">
        <v>184</v>
      </c>
      <c r="BN742" s="36">
        <v>100</v>
      </c>
      <c r="BO742" s="36">
        <v>100</v>
      </c>
      <c r="BP742">
        <f t="shared" si="66"/>
        <v>480</v>
      </c>
      <c r="BR742" s="38">
        <v>44713</v>
      </c>
      <c r="BS742" s="20" t="s">
        <v>185</v>
      </c>
      <c r="BT742" s="20" t="str">
        <f t="shared" si="62"/>
        <v>InCasa_COR22D579</v>
      </c>
    </row>
    <row r="743" spans="2:72" ht="18.75" customHeight="1" x14ac:dyDescent="0.25">
      <c r="B743" s="20">
        <f t="shared" si="63"/>
        <v>580</v>
      </c>
      <c r="C743" s="22" t="str">
        <f t="shared" si="64"/>
        <v>In Casa #580</v>
      </c>
      <c r="D743" t="str">
        <f t="shared" si="65"/>
        <v>COR22D580</v>
      </c>
      <c r="E743" s="58" t="s">
        <v>252</v>
      </c>
      <c r="F743" s="20">
        <v>1000</v>
      </c>
      <c r="G743" s="14" t="s">
        <v>354</v>
      </c>
      <c r="H743" s="23" t="s">
        <v>170</v>
      </c>
      <c r="J743" s="59" t="s">
        <v>38</v>
      </c>
      <c r="K743" s="22" t="s">
        <v>254</v>
      </c>
      <c r="L743" s="59" t="s">
        <v>171</v>
      </c>
      <c r="M743" s="22">
        <v>2</v>
      </c>
      <c r="V743" s="59" t="s">
        <v>176</v>
      </c>
      <c r="AL743" s="59" t="s">
        <v>40</v>
      </c>
      <c r="AM743" s="22" t="s">
        <v>188</v>
      </c>
      <c r="AV743" s="59" t="s">
        <v>134</v>
      </c>
      <c r="AW743" s="22" t="str">
        <f>Settings!$B$5 &amp;  "?s=" &amp; D743 &amp; "&amp;platform=ftx"</f>
        <v>https://tokensol.nfluent.io?s=COR22D580&amp;platform=ftx</v>
      </c>
      <c r="AX743" s="20" t="s">
        <v>23</v>
      </c>
      <c r="AY743" s="20">
        <v>10</v>
      </c>
      <c r="AZ743" s="20" t="s">
        <v>24</v>
      </c>
      <c r="BA743" s="20">
        <v>90</v>
      </c>
      <c r="BD743" s="14"/>
      <c r="BJ743" t="s">
        <v>255</v>
      </c>
      <c r="BK743" t="s">
        <v>184</v>
      </c>
      <c r="BN743" s="36">
        <v>100</v>
      </c>
      <c r="BO743" s="36">
        <v>100</v>
      </c>
      <c r="BP743">
        <f t="shared" si="66"/>
        <v>480</v>
      </c>
      <c r="BR743" s="38">
        <v>44713</v>
      </c>
      <c r="BS743" s="20" t="s">
        <v>185</v>
      </c>
      <c r="BT743" s="20" t="str">
        <f t="shared" si="62"/>
        <v>InCasa_COR22D580</v>
      </c>
    </row>
    <row r="744" spans="2:72" ht="18.75" customHeight="1" x14ac:dyDescent="0.25">
      <c r="B744" s="20">
        <f t="shared" si="63"/>
        <v>581</v>
      </c>
      <c r="C744" s="22" t="str">
        <f t="shared" si="64"/>
        <v>In Casa #581</v>
      </c>
      <c r="D744" t="str">
        <f t="shared" si="65"/>
        <v>COR22D581</v>
      </c>
      <c r="E744" s="58" t="s">
        <v>252</v>
      </c>
      <c r="F744" s="20">
        <v>1000</v>
      </c>
      <c r="G744" s="14" t="s">
        <v>354</v>
      </c>
      <c r="H744" s="23" t="s">
        <v>170</v>
      </c>
      <c r="J744" s="59" t="s">
        <v>38</v>
      </c>
      <c r="K744" s="22" t="s">
        <v>254</v>
      </c>
      <c r="L744" s="59" t="s">
        <v>171</v>
      </c>
      <c r="M744" s="22">
        <v>2</v>
      </c>
      <c r="V744" s="59" t="s">
        <v>176</v>
      </c>
      <c r="AL744" s="59" t="s">
        <v>40</v>
      </c>
      <c r="AM744" s="22" t="s">
        <v>188</v>
      </c>
      <c r="AV744" s="59" t="s">
        <v>134</v>
      </c>
      <c r="AW744" s="22" t="str">
        <f>Settings!$B$5 &amp;  "?s=" &amp; D744 &amp; "&amp;platform=ftx"</f>
        <v>https://tokensol.nfluent.io?s=COR22D581&amp;platform=ftx</v>
      </c>
      <c r="AX744" s="20" t="s">
        <v>23</v>
      </c>
      <c r="AY744" s="20">
        <v>10</v>
      </c>
      <c r="AZ744" s="20" t="s">
        <v>24</v>
      </c>
      <c r="BA744" s="20">
        <v>90</v>
      </c>
      <c r="BD744" s="14"/>
      <c r="BJ744" t="s">
        <v>255</v>
      </c>
      <c r="BK744" t="s">
        <v>184</v>
      </c>
      <c r="BN744" s="36">
        <v>100</v>
      </c>
      <c r="BO744" s="36">
        <v>100</v>
      </c>
      <c r="BP744">
        <f t="shared" si="66"/>
        <v>480</v>
      </c>
      <c r="BR744" s="38">
        <v>44713</v>
      </c>
      <c r="BS744" s="20" t="s">
        <v>185</v>
      </c>
      <c r="BT744" s="20" t="str">
        <f t="shared" si="62"/>
        <v>InCasa_COR22D581</v>
      </c>
    </row>
    <row r="745" spans="2:72" ht="18.75" customHeight="1" x14ac:dyDescent="0.25">
      <c r="B745" s="20">
        <f t="shared" si="63"/>
        <v>582</v>
      </c>
      <c r="C745" s="22" t="str">
        <f t="shared" si="64"/>
        <v>In Casa #582</v>
      </c>
      <c r="D745" t="str">
        <f t="shared" si="65"/>
        <v>COR22D582</v>
      </c>
      <c r="E745" s="58" t="s">
        <v>252</v>
      </c>
      <c r="F745" s="20">
        <v>1000</v>
      </c>
      <c r="G745" s="14" t="s">
        <v>354</v>
      </c>
      <c r="H745" s="23" t="s">
        <v>170</v>
      </c>
      <c r="J745" s="59" t="s">
        <v>38</v>
      </c>
      <c r="K745" s="22" t="s">
        <v>254</v>
      </c>
      <c r="L745" s="59" t="s">
        <v>171</v>
      </c>
      <c r="M745" s="22">
        <v>2</v>
      </c>
      <c r="V745" s="59" t="s">
        <v>176</v>
      </c>
      <c r="AL745" s="59" t="s">
        <v>40</v>
      </c>
      <c r="AM745" s="22" t="s">
        <v>188</v>
      </c>
      <c r="AV745" s="59" t="s">
        <v>134</v>
      </c>
      <c r="AW745" s="22" t="str">
        <f>Settings!$B$5 &amp;  "?s=" &amp; D745 &amp; "&amp;platform=ftx"</f>
        <v>https://tokensol.nfluent.io?s=COR22D582&amp;platform=ftx</v>
      </c>
      <c r="AX745" s="20" t="s">
        <v>23</v>
      </c>
      <c r="AY745" s="20">
        <v>10</v>
      </c>
      <c r="AZ745" s="20" t="s">
        <v>24</v>
      </c>
      <c r="BA745" s="20">
        <v>90</v>
      </c>
      <c r="BD745" s="14"/>
      <c r="BJ745" t="s">
        <v>255</v>
      </c>
      <c r="BK745" t="s">
        <v>184</v>
      </c>
      <c r="BN745" s="36">
        <v>100</v>
      </c>
      <c r="BO745" s="36">
        <v>100</v>
      </c>
      <c r="BP745">
        <f t="shared" si="66"/>
        <v>480</v>
      </c>
      <c r="BR745" s="38">
        <v>44713</v>
      </c>
      <c r="BS745" s="20" t="s">
        <v>185</v>
      </c>
      <c r="BT745" s="20" t="str">
        <f t="shared" si="62"/>
        <v>InCasa_COR22D582</v>
      </c>
    </row>
    <row r="746" spans="2:72" ht="18.75" customHeight="1" x14ac:dyDescent="0.25">
      <c r="B746" s="20">
        <f t="shared" si="63"/>
        <v>583</v>
      </c>
      <c r="C746" s="22" t="str">
        <f t="shared" si="64"/>
        <v>In Casa #583</v>
      </c>
      <c r="D746" t="str">
        <f t="shared" si="65"/>
        <v>COR22D583</v>
      </c>
      <c r="E746" s="58" t="s">
        <v>252</v>
      </c>
      <c r="F746" s="20">
        <v>1000</v>
      </c>
      <c r="G746" s="14" t="s">
        <v>354</v>
      </c>
      <c r="H746" s="23" t="s">
        <v>170</v>
      </c>
      <c r="J746" s="59" t="s">
        <v>38</v>
      </c>
      <c r="K746" s="22" t="s">
        <v>254</v>
      </c>
      <c r="L746" s="59" t="s">
        <v>171</v>
      </c>
      <c r="M746" s="22">
        <v>2</v>
      </c>
      <c r="V746" s="59" t="s">
        <v>176</v>
      </c>
      <c r="AL746" s="59" t="s">
        <v>40</v>
      </c>
      <c r="AM746" s="22" t="s">
        <v>188</v>
      </c>
      <c r="AV746" s="59" t="s">
        <v>134</v>
      </c>
      <c r="AW746" s="22" t="str">
        <f>Settings!$B$5 &amp;  "?s=" &amp; D746 &amp; "&amp;platform=ftx"</f>
        <v>https://tokensol.nfluent.io?s=COR22D583&amp;platform=ftx</v>
      </c>
      <c r="AX746" s="20" t="s">
        <v>23</v>
      </c>
      <c r="AY746" s="20">
        <v>10</v>
      </c>
      <c r="AZ746" s="20" t="s">
        <v>24</v>
      </c>
      <c r="BA746" s="20">
        <v>90</v>
      </c>
      <c r="BD746" s="14"/>
      <c r="BJ746" t="s">
        <v>255</v>
      </c>
      <c r="BK746" t="s">
        <v>184</v>
      </c>
      <c r="BN746" s="36">
        <v>100</v>
      </c>
      <c r="BO746" s="36">
        <v>100</v>
      </c>
      <c r="BP746">
        <f t="shared" si="66"/>
        <v>480</v>
      </c>
      <c r="BR746" s="38">
        <v>44713</v>
      </c>
      <c r="BS746" s="20" t="s">
        <v>185</v>
      </c>
      <c r="BT746" s="20" t="str">
        <f t="shared" si="62"/>
        <v>InCasa_COR22D583</v>
      </c>
    </row>
    <row r="747" spans="2:72" ht="18.75" customHeight="1" x14ac:dyDescent="0.25">
      <c r="B747" s="20">
        <f t="shared" si="63"/>
        <v>584</v>
      </c>
      <c r="C747" s="22" t="str">
        <f t="shared" si="64"/>
        <v>In Casa #584</v>
      </c>
      <c r="D747" t="str">
        <f t="shared" si="65"/>
        <v>COR22D584</v>
      </c>
      <c r="E747" s="58" t="s">
        <v>252</v>
      </c>
      <c r="F747" s="20">
        <v>1000</v>
      </c>
      <c r="G747" s="14" t="s">
        <v>354</v>
      </c>
      <c r="H747" s="23" t="s">
        <v>170</v>
      </c>
      <c r="J747" s="59" t="s">
        <v>38</v>
      </c>
      <c r="K747" s="22" t="s">
        <v>254</v>
      </c>
      <c r="L747" s="59" t="s">
        <v>171</v>
      </c>
      <c r="M747" s="22">
        <v>2</v>
      </c>
      <c r="V747" s="59" t="s">
        <v>176</v>
      </c>
      <c r="AL747" s="59" t="s">
        <v>40</v>
      </c>
      <c r="AM747" s="22" t="s">
        <v>188</v>
      </c>
      <c r="AV747" s="59" t="s">
        <v>134</v>
      </c>
      <c r="AW747" s="22" t="str">
        <f>Settings!$B$5 &amp;  "?s=" &amp; D747 &amp; "&amp;platform=ftx"</f>
        <v>https://tokensol.nfluent.io?s=COR22D584&amp;platform=ftx</v>
      </c>
      <c r="AX747" s="20" t="s">
        <v>23</v>
      </c>
      <c r="AY747" s="20">
        <v>10</v>
      </c>
      <c r="AZ747" s="20" t="s">
        <v>24</v>
      </c>
      <c r="BA747" s="20">
        <v>90</v>
      </c>
      <c r="BD747" s="14"/>
      <c r="BJ747" t="s">
        <v>255</v>
      </c>
      <c r="BK747" t="s">
        <v>184</v>
      </c>
      <c r="BN747" s="36">
        <v>100</v>
      </c>
      <c r="BO747" s="36">
        <v>100</v>
      </c>
      <c r="BP747">
        <f t="shared" si="66"/>
        <v>480</v>
      </c>
      <c r="BR747" s="38">
        <v>44713</v>
      </c>
      <c r="BS747" s="20" t="s">
        <v>185</v>
      </c>
      <c r="BT747" s="20" t="str">
        <f t="shared" si="62"/>
        <v>InCasa_COR22D584</v>
      </c>
    </row>
    <row r="748" spans="2:72" ht="18.75" customHeight="1" x14ac:dyDescent="0.25">
      <c r="B748" s="20">
        <f t="shared" si="63"/>
        <v>585</v>
      </c>
      <c r="C748" s="22" t="str">
        <f t="shared" si="64"/>
        <v>In Casa #585</v>
      </c>
      <c r="D748" t="str">
        <f t="shared" si="65"/>
        <v>COR22D585</v>
      </c>
      <c r="E748" s="58" t="s">
        <v>252</v>
      </c>
      <c r="F748" s="20">
        <v>1000</v>
      </c>
      <c r="G748" s="14" t="s">
        <v>354</v>
      </c>
      <c r="H748" s="23" t="s">
        <v>170</v>
      </c>
      <c r="J748" s="59" t="s">
        <v>38</v>
      </c>
      <c r="K748" s="22" t="s">
        <v>254</v>
      </c>
      <c r="L748" s="59" t="s">
        <v>171</v>
      </c>
      <c r="M748" s="22">
        <v>2</v>
      </c>
      <c r="V748" s="59" t="s">
        <v>176</v>
      </c>
      <c r="AL748" s="59" t="s">
        <v>40</v>
      </c>
      <c r="AM748" s="22" t="s">
        <v>188</v>
      </c>
      <c r="AV748" s="59" t="s">
        <v>134</v>
      </c>
      <c r="AW748" s="22" t="str">
        <f>Settings!$B$5 &amp;  "?s=" &amp; D748 &amp; "&amp;platform=ftx"</f>
        <v>https://tokensol.nfluent.io?s=COR22D585&amp;platform=ftx</v>
      </c>
      <c r="AX748" s="20" t="s">
        <v>23</v>
      </c>
      <c r="AY748" s="20">
        <v>10</v>
      </c>
      <c r="AZ748" s="20" t="s">
        <v>24</v>
      </c>
      <c r="BA748" s="20">
        <v>90</v>
      </c>
      <c r="BD748" s="14"/>
      <c r="BJ748" t="s">
        <v>255</v>
      </c>
      <c r="BK748" t="s">
        <v>184</v>
      </c>
      <c r="BN748" s="36">
        <v>100</v>
      </c>
      <c r="BO748" s="36">
        <v>100</v>
      </c>
      <c r="BP748">
        <f t="shared" si="66"/>
        <v>480</v>
      </c>
      <c r="BR748" s="38">
        <v>44713</v>
      </c>
      <c r="BS748" s="20" t="s">
        <v>185</v>
      </c>
      <c r="BT748" s="20" t="str">
        <f t="shared" si="62"/>
        <v>InCasa_COR22D585</v>
      </c>
    </row>
    <row r="749" spans="2:72" ht="18.75" customHeight="1" x14ac:dyDescent="0.25">
      <c r="B749" s="20">
        <f t="shared" si="63"/>
        <v>586</v>
      </c>
      <c r="C749" s="22" t="str">
        <f t="shared" si="64"/>
        <v>In Casa #586</v>
      </c>
      <c r="D749" t="str">
        <f t="shared" si="65"/>
        <v>COR22D586</v>
      </c>
      <c r="E749" s="58" t="s">
        <v>252</v>
      </c>
      <c r="F749" s="20">
        <v>1000</v>
      </c>
      <c r="G749" s="14" t="s">
        <v>354</v>
      </c>
      <c r="H749" s="23" t="s">
        <v>170</v>
      </c>
      <c r="J749" s="59" t="s">
        <v>38</v>
      </c>
      <c r="K749" s="22" t="s">
        <v>254</v>
      </c>
      <c r="L749" s="59" t="s">
        <v>171</v>
      </c>
      <c r="M749" s="22">
        <v>2</v>
      </c>
      <c r="V749" s="59" t="s">
        <v>176</v>
      </c>
      <c r="AL749" s="59" t="s">
        <v>40</v>
      </c>
      <c r="AM749" s="22" t="s">
        <v>188</v>
      </c>
      <c r="AV749" s="59" t="s">
        <v>134</v>
      </c>
      <c r="AW749" s="22" t="str">
        <f>Settings!$B$5 &amp;  "?s=" &amp; D749 &amp; "&amp;platform=ftx"</f>
        <v>https://tokensol.nfluent.io?s=COR22D586&amp;platform=ftx</v>
      </c>
      <c r="AX749" s="20" t="s">
        <v>23</v>
      </c>
      <c r="AY749" s="20">
        <v>10</v>
      </c>
      <c r="AZ749" s="20" t="s">
        <v>24</v>
      </c>
      <c r="BA749" s="20">
        <v>90</v>
      </c>
      <c r="BD749" s="14"/>
      <c r="BJ749" t="s">
        <v>255</v>
      </c>
      <c r="BK749" t="s">
        <v>184</v>
      </c>
      <c r="BN749" s="36">
        <v>100</v>
      </c>
      <c r="BO749" s="36">
        <v>100</v>
      </c>
      <c r="BP749">
        <f t="shared" si="66"/>
        <v>480</v>
      </c>
      <c r="BR749" s="38">
        <v>44713</v>
      </c>
      <c r="BS749" s="20" t="s">
        <v>185</v>
      </c>
      <c r="BT749" s="20" t="str">
        <f t="shared" si="62"/>
        <v>InCasa_COR22D586</v>
      </c>
    </row>
    <row r="750" spans="2:72" ht="18.75" customHeight="1" x14ac:dyDescent="0.25">
      <c r="B750" s="20">
        <f t="shared" si="63"/>
        <v>587</v>
      </c>
      <c r="C750" s="22" t="str">
        <f t="shared" si="64"/>
        <v>In Casa #587</v>
      </c>
      <c r="D750" t="str">
        <f t="shared" si="65"/>
        <v>COR22D587</v>
      </c>
      <c r="E750" s="58" t="s">
        <v>252</v>
      </c>
      <c r="F750" s="20">
        <v>1000</v>
      </c>
      <c r="G750" s="14" t="s">
        <v>354</v>
      </c>
      <c r="H750" s="23" t="s">
        <v>170</v>
      </c>
      <c r="J750" s="59" t="s">
        <v>38</v>
      </c>
      <c r="K750" s="22" t="s">
        <v>254</v>
      </c>
      <c r="L750" s="59" t="s">
        <v>171</v>
      </c>
      <c r="M750" s="22">
        <v>2</v>
      </c>
      <c r="V750" s="59" t="s">
        <v>176</v>
      </c>
      <c r="AL750" s="59" t="s">
        <v>40</v>
      </c>
      <c r="AM750" s="22" t="s">
        <v>188</v>
      </c>
      <c r="AV750" s="59" t="s">
        <v>134</v>
      </c>
      <c r="AW750" s="22" t="str">
        <f>Settings!$B$5 &amp;  "?s=" &amp; D750 &amp; "&amp;platform=ftx"</f>
        <v>https://tokensol.nfluent.io?s=COR22D587&amp;platform=ftx</v>
      </c>
      <c r="AX750" s="20" t="s">
        <v>23</v>
      </c>
      <c r="AY750" s="20">
        <v>10</v>
      </c>
      <c r="AZ750" s="20" t="s">
        <v>24</v>
      </c>
      <c r="BA750" s="20">
        <v>90</v>
      </c>
      <c r="BD750" s="14"/>
      <c r="BJ750" t="s">
        <v>255</v>
      </c>
      <c r="BK750" t="s">
        <v>184</v>
      </c>
      <c r="BN750" s="36">
        <v>100</v>
      </c>
      <c r="BO750" s="36">
        <v>100</v>
      </c>
      <c r="BP750">
        <f t="shared" si="66"/>
        <v>480</v>
      </c>
      <c r="BR750" s="38">
        <v>44713</v>
      </c>
      <c r="BS750" s="20" t="s">
        <v>185</v>
      </c>
      <c r="BT750" s="20" t="str">
        <f t="shared" si="62"/>
        <v>InCasa_COR22D587</v>
      </c>
    </row>
    <row r="751" spans="2:72" ht="18.75" customHeight="1" x14ac:dyDescent="0.25">
      <c r="B751" s="20">
        <f t="shared" si="63"/>
        <v>588</v>
      </c>
      <c r="C751" s="22" t="str">
        <f t="shared" si="64"/>
        <v>In Casa #588</v>
      </c>
      <c r="D751" t="str">
        <f t="shared" si="65"/>
        <v>COR22D588</v>
      </c>
      <c r="E751" s="58" t="s">
        <v>252</v>
      </c>
      <c r="F751" s="20">
        <v>1000</v>
      </c>
      <c r="G751" s="14" t="s">
        <v>354</v>
      </c>
      <c r="H751" s="23" t="s">
        <v>170</v>
      </c>
      <c r="J751" s="59" t="s">
        <v>38</v>
      </c>
      <c r="K751" s="22" t="s">
        <v>254</v>
      </c>
      <c r="L751" s="59" t="s">
        <v>171</v>
      </c>
      <c r="M751" s="22">
        <v>2</v>
      </c>
      <c r="V751" s="59" t="s">
        <v>176</v>
      </c>
      <c r="AL751" s="59" t="s">
        <v>40</v>
      </c>
      <c r="AM751" s="22" t="s">
        <v>188</v>
      </c>
      <c r="AV751" s="59" t="s">
        <v>134</v>
      </c>
      <c r="AW751" s="22" t="str">
        <f>Settings!$B$5 &amp;  "?s=" &amp; D751 &amp; "&amp;platform=ftx"</f>
        <v>https://tokensol.nfluent.io?s=COR22D588&amp;platform=ftx</v>
      </c>
      <c r="AX751" s="20" t="s">
        <v>23</v>
      </c>
      <c r="AY751" s="20">
        <v>10</v>
      </c>
      <c r="AZ751" s="20" t="s">
        <v>24</v>
      </c>
      <c r="BA751" s="20">
        <v>90</v>
      </c>
      <c r="BD751" s="14"/>
      <c r="BJ751" t="s">
        <v>255</v>
      </c>
      <c r="BK751" t="s">
        <v>184</v>
      </c>
      <c r="BN751" s="36">
        <v>100</v>
      </c>
      <c r="BO751" s="36">
        <v>100</v>
      </c>
      <c r="BP751">
        <f t="shared" si="66"/>
        <v>480</v>
      </c>
      <c r="BR751" s="38">
        <v>44713</v>
      </c>
      <c r="BS751" s="20" t="s">
        <v>185</v>
      </c>
      <c r="BT751" s="20" t="str">
        <f t="shared" si="62"/>
        <v>InCasa_COR22D588</v>
      </c>
    </row>
    <row r="752" spans="2:72" ht="18.75" customHeight="1" x14ac:dyDescent="0.25">
      <c r="B752" s="20">
        <f t="shared" si="63"/>
        <v>589</v>
      </c>
      <c r="C752" s="22" t="str">
        <f t="shared" si="64"/>
        <v>In Casa #589</v>
      </c>
      <c r="D752" t="str">
        <f t="shared" si="65"/>
        <v>COR22D589</v>
      </c>
      <c r="E752" s="58" t="s">
        <v>252</v>
      </c>
      <c r="F752" s="20">
        <v>1000</v>
      </c>
      <c r="G752" s="14" t="s">
        <v>354</v>
      </c>
      <c r="H752" s="23" t="s">
        <v>170</v>
      </c>
      <c r="J752" s="59" t="s">
        <v>38</v>
      </c>
      <c r="K752" s="22" t="s">
        <v>254</v>
      </c>
      <c r="L752" s="59" t="s">
        <v>171</v>
      </c>
      <c r="M752" s="22">
        <v>2</v>
      </c>
      <c r="V752" s="59" t="s">
        <v>176</v>
      </c>
      <c r="AL752" s="59" t="s">
        <v>40</v>
      </c>
      <c r="AM752" s="22" t="s">
        <v>188</v>
      </c>
      <c r="AV752" s="59" t="s">
        <v>134</v>
      </c>
      <c r="AW752" s="22" t="str">
        <f>Settings!$B$5 &amp;  "?s=" &amp; D752 &amp; "&amp;platform=ftx"</f>
        <v>https://tokensol.nfluent.io?s=COR22D589&amp;platform=ftx</v>
      </c>
      <c r="AX752" s="20" t="s">
        <v>23</v>
      </c>
      <c r="AY752" s="20">
        <v>10</v>
      </c>
      <c r="AZ752" s="20" t="s">
        <v>24</v>
      </c>
      <c r="BA752" s="20">
        <v>90</v>
      </c>
      <c r="BD752" s="14"/>
      <c r="BJ752" t="s">
        <v>255</v>
      </c>
      <c r="BK752" t="s">
        <v>184</v>
      </c>
      <c r="BN752" s="36">
        <v>100</v>
      </c>
      <c r="BO752" s="36">
        <v>100</v>
      </c>
      <c r="BP752">
        <f t="shared" si="66"/>
        <v>480</v>
      </c>
      <c r="BR752" s="38">
        <v>44713</v>
      </c>
      <c r="BS752" s="20" t="s">
        <v>185</v>
      </c>
      <c r="BT752" s="20" t="str">
        <f t="shared" si="62"/>
        <v>InCasa_COR22D589</v>
      </c>
    </row>
    <row r="753" spans="2:72" ht="18.75" customHeight="1" x14ac:dyDescent="0.25">
      <c r="B753" s="20">
        <f t="shared" si="63"/>
        <v>590</v>
      </c>
      <c r="C753" s="22" t="str">
        <f t="shared" si="64"/>
        <v>In Casa #590</v>
      </c>
      <c r="D753" t="str">
        <f t="shared" si="65"/>
        <v>COR22D590</v>
      </c>
      <c r="E753" s="58" t="s">
        <v>252</v>
      </c>
      <c r="F753" s="20">
        <v>1000</v>
      </c>
      <c r="G753" s="14" t="s">
        <v>354</v>
      </c>
      <c r="H753" s="23" t="s">
        <v>170</v>
      </c>
      <c r="J753" s="59" t="s">
        <v>38</v>
      </c>
      <c r="K753" s="22" t="s">
        <v>254</v>
      </c>
      <c r="L753" s="59" t="s">
        <v>171</v>
      </c>
      <c r="M753" s="22">
        <v>2</v>
      </c>
      <c r="V753" s="59" t="s">
        <v>176</v>
      </c>
      <c r="AL753" s="59" t="s">
        <v>40</v>
      </c>
      <c r="AM753" s="22" t="s">
        <v>188</v>
      </c>
      <c r="AV753" s="59" t="s">
        <v>134</v>
      </c>
      <c r="AW753" s="22" t="str">
        <f>Settings!$B$5 &amp;  "?s=" &amp; D753 &amp; "&amp;platform=ftx"</f>
        <v>https://tokensol.nfluent.io?s=COR22D590&amp;platform=ftx</v>
      </c>
      <c r="AX753" s="20" t="s">
        <v>23</v>
      </c>
      <c r="AY753" s="20">
        <v>10</v>
      </c>
      <c r="AZ753" s="20" t="s">
        <v>24</v>
      </c>
      <c r="BA753" s="20">
        <v>90</v>
      </c>
      <c r="BD753" s="14"/>
      <c r="BJ753" t="s">
        <v>255</v>
      </c>
      <c r="BK753" t="s">
        <v>184</v>
      </c>
      <c r="BN753" s="36">
        <v>100</v>
      </c>
      <c r="BO753" s="36">
        <v>100</v>
      </c>
      <c r="BP753">
        <f t="shared" si="66"/>
        <v>480</v>
      </c>
      <c r="BR753" s="38">
        <v>44713</v>
      </c>
      <c r="BS753" s="20" t="s">
        <v>185</v>
      </c>
      <c r="BT753" s="20" t="str">
        <f t="shared" si="62"/>
        <v>InCasa_COR22D590</v>
      </c>
    </row>
    <row r="754" spans="2:72" ht="18.75" customHeight="1" x14ac:dyDescent="0.25">
      <c r="B754" s="20">
        <f t="shared" si="63"/>
        <v>591</v>
      </c>
      <c r="C754" s="22" t="str">
        <f t="shared" si="64"/>
        <v>In Casa #591</v>
      </c>
      <c r="D754" t="str">
        <f t="shared" si="65"/>
        <v>COR22D591</v>
      </c>
      <c r="E754" s="58" t="s">
        <v>252</v>
      </c>
      <c r="F754" s="20">
        <v>1000</v>
      </c>
      <c r="G754" s="14" t="s">
        <v>354</v>
      </c>
      <c r="H754" s="23" t="s">
        <v>170</v>
      </c>
      <c r="J754" s="59" t="s">
        <v>38</v>
      </c>
      <c r="K754" s="22" t="s">
        <v>254</v>
      </c>
      <c r="L754" s="59" t="s">
        <v>171</v>
      </c>
      <c r="M754" s="22">
        <v>2</v>
      </c>
      <c r="V754" s="59" t="s">
        <v>176</v>
      </c>
      <c r="AL754" s="59" t="s">
        <v>40</v>
      </c>
      <c r="AM754" s="22" t="s">
        <v>188</v>
      </c>
      <c r="AV754" s="59" t="s">
        <v>134</v>
      </c>
      <c r="AW754" s="22" t="str">
        <f>Settings!$B$5 &amp;  "?s=" &amp; D754 &amp; "&amp;platform=ftx"</f>
        <v>https://tokensol.nfluent.io?s=COR22D591&amp;platform=ftx</v>
      </c>
      <c r="AX754" s="20" t="s">
        <v>23</v>
      </c>
      <c r="AY754" s="20">
        <v>10</v>
      </c>
      <c r="AZ754" s="20" t="s">
        <v>24</v>
      </c>
      <c r="BA754" s="20">
        <v>90</v>
      </c>
      <c r="BD754" s="14"/>
      <c r="BJ754" t="s">
        <v>255</v>
      </c>
      <c r="BK754" t="s">
        <v>184</v>
      </c>
      <c r="BN754" s="36">
        <v>100</v>
      </c>
      <c r="BO754" s="36">
        <v>100</v>
      </c>
      <c r="BP754">
        <f t="shared" si="66"/>
        <v>480</v>
      </c>
      <c r="BR754" s="38">
        <v>44713</v>
      </c>
      <c r="BS754" s="20" t="s">
        <v>185</v>
      </c>
      <c r="BT754" s="20" t="str">
        <f t="shared" si="62"/>
        <v>InCasa_COR22D591</v>
      </c>
    </row>
    <row r="755" spans="2:72" ht="18.75" customHeight="1" x14ac:dyDescent="0.25">
      <c r="B755" s="20">
        <f t="shared" si="63"/>
        <v>592</v>
      </c>
      <c r="C755" s="22" t="str">
        <f t="shared" si="64"/>
        <v>In Casa #592</v>
      </c>
      <c r="D755" t="str">
        <f t="shared" si="65"/>
        <v>COR22D592</v>
      </c>
      <c r="E755" s="58" t="s">
        <v>252</v>
      </c>
      <c r="F755" s="20">
        <v>1000</v>
      </c>
      <c r="G755" s="14" t="s">
        <v>354</v>
      </c>
      <c r="H755" s="23" t="s">
        <v>170</v>
      </c>
      <c r="J755" s="59" t="s">
        <v>38</v>
      </c>
      <c r="K755" s="22" t="s">
        <v>254</v>
      </c>
      <c r="L755" s="59" t="s">
        <v>171</v>
      </c>
      <c r="M755" s="22">
        <v>2</v>
      </c>
      <c r="V755" s="59" t="s">
        <v>176</v>
      </c>
      <c r="AL755" s="59" t="s">
        <v>40</v>
      </c>
      <c r="AM755" s="22" t="s">
        <v>188</v>
      </c>
      <c r="AV755" s="59" t="s">
        <v>134</v>
      </c>
      <c r="AW755" s="22" t="str">
        <f>Settings!$B$5 &amp;  "?s=" &amp; D755 &amp; "&amp;platform=ftx"</f>
        <v>https://tokensol.nfluent.io?s=COR22D592&amp;platform=ftx</v>
      </c>
      <c r="AX755" s="20" t="s">
        <v>23</v>
      </c>
      <c r="AY755" s="20">
        <v>10</v>
      </c>
      <c r="AZ755" s="20" t="s">
        <v>24</v>
      </c>
      <c r="BA755" s="20">
        <v>90</v>
      </c>
      <c r="BD755" s="14"/>
      <c r="BJ755" t="s">
        <v>255</v>
      </c>
      <c r="BK755" t="s">
        <v>184</v>
      </c>
      <c r="BN755" s="36">
        <v>100</v>
      </c>
      <c r="BO755" s="36">
        <v>100</v>
      </c>
      <c r="BP755">
        <f t="shared" si="66"/>
        <v>480</v>
      </c>
      <c r="BR755" s="38">
        <v>44713</v>
      </c>
      <c r="BS755" s="20" t="s">
        <v>185</v>
      </c>
      <c r="BT755" s="20" t="str">
        <f t="shared" si="62"/>
        <v>InCasa_COR22D592</v>
      </c>
    </row>
    <row r="756" spans="2:72" ht="18.75" customHeight="1" x14ac:dyDescent="0.25">
      <c r="B756" s="20">
        <f t="shared" si="63"/>
        <v>593</v>
      </c>
      <c r="C756" s="22" t="str">
        <f t="shared" si="64"/>
        <v>In Casa #593</v>
      </c>
      <c r="D756" t="str">
        <f t="shared" si="65"/>
        <v>COR22D593</v>
      </c>
      <c r="E756" s="58" t="s">
        <v>252</v>
      </c>
      <c r="F756" s="20">
        <v>1000</v>
      </c>
      <c r="G756" s="14" t="s">
        <v>354</v>
      </c>
      <c r="H756" s="23" t="s">
        <v>170</v>
      </c>
      <c r="J756" s="59" t="s">
        <v>38</v>
      </c>
      <c r="K756" s="22" t="s">
        <v>254</v>
      </c>
      <c r="L756" s="59" t="s">
        <v>171</v>
      </c>
      <c r="M756" s="22">
        <v>2</v>
      </c>
      <c r="V756" s="59" t="s">
        <v>176</v>
      </c>
      <c r="AL756" s="59" t="s">
        <v>40</v>
      </c>
      <c r="AM756" s="22" t="s">
        <v>188</v>
      </c>
      <c r="AV756" s="59" t="s">
        <v>134</v>
      </c>
      <c r="AW756" s="22" t="str">
        <f>Settings!$B$5 &amp;  "?s=" &amp; D756 &amp; "&amp;platform=ftx"</f>
        <v>https://tokensol.nfluent.io?s=COR22D593&amp;platform=ftx</v>
      </c>
      <c r="AX756" s="20" t="s">
        <v>23</v>
      </c>
      <c r="AY756" s="20">
        <v>10</v>
      </c>
      <c r="AZ756" s="20" t="s">
        <v>24</v>
      </c>
      <c r="BA756" s="20">
        <v>90</v>
      </c>
      <c r="BD756" s="14"/>
      <c r="BJ756" t="s">
        <v>255</v>
      </c>
      <c r="BK756" t="s">
        <v>184</v>
      </c>
      <c r="BN756" s="36">
        <v>100</v>
      </c>
      <c r="BO756" s="36">
        <v>100</v>
      </c>
      <c r="BP756">
        <f t="shared" si="66"/>
        <v>480</v>
      </c>
      <c r="BR756" s="38">
        <v>44713</v>
      </c>
      <c r="BS756" s="20" t="s">
        <v>185</v>
      </c>
      <c r="BT756" s="20" t="str">
        <f t="shared" si="62"/>
        <v>InCasa_COR22D593</v>
      </c>
    </row>
    <row r="757" spans="2:72" ht="18.75" customHeight="1" x14ac:dyDescent="0.25">
      <c r="B757" s="20">
        <f t="shared" si="63"/>
        <v>594</v>
      </c>
      <c r="C757" s="22" t="str">
        <f t="shared" si="64"/>
        <v>In Casa #594</v>
      </c>
      <c r="D757" t="str">
        <f t="shared" si="65"/>
        <v>COR22D594</v>
      </c>
      <c r="E757" s="58" t="s">
        <v>252</v>
      </c>
      <c r="F757" s="20">
        <v>1000</v>
      </c>
      <c r="G757" s="14" t="s">
        <v>354</v>
      </c>
      <c r="H757" s="23" t="s">
        <v>170</v>
      </c>
      <c r="J757" s="59" t="s">
        <v>38</v>
      </c>
      <c r="K757" s="22" t="s">
        <v>254</v>
      </c>
      <c r="L757" s="59" t="s">
        <v>171</v>
      </c>
      <c r="M757" s="22">
        <v>2</v>
      </c>
      <c r="V757" s="59" t="s">
        <v>176</v>
      </c>
      <c r="AL757" s="59" t="s">
        <v>40</v>
      </c>
      <c r="AM757" s="22" t="s">
        <v>188</v>
      </c>
      <c r="AV757" s="59" t="s">
        <v>134</v>
      </c>
      <c r="AW757" s="22" t="str">
        <f>Settings!$B$5 &amp;  "?s=" &amp; D757 &amp; "&amp;platform=ftx"</f>
        <v>https://tokensol.nfluent.io?s=COR22D594&amp;platform=ftx</v>
      </c>
      <c r="AX757" s="20" t="s">
        <v>23</v>
      </c>
      <c r="AY757" s="20">
        <v>10</v>
      </c>
      <c r="AZ757" s="20" t="s">
        <v>24</v>
      </c>
      <c r="BA757" s="20">
        <v>90</v>
      </c>
      <c r="BD757" s="14"/>
      <c r="BJ757" t="s">
        <v>255</v>
      </c>
      <c r="BK757" t="s">
        <v>184</v>
      </c>
      <c r="BN757" s="36">
        <v>100</v>
      </c>
      <c r="BO757" s="36">
        <v>100</v>
      </c>
      <c r="BP757">
        <f t="shared" si="66"/>
        <v>480</v>
      </c>
      <c r="BR757" s="38">
        <v>44713</v>
      </c>
      <c r="BS757" s="20" t="s">
        <v>185</v>
      </c>
      <c r="BT757" s="20" t="str">
        <f t="shared" si="62"/>
        <v>InCasa_COR22D594</v>
      </c>
    </row>
    <row r="758" spans="2:72" ht="18.75" customHeight="1" x14ac:dyDescent="0.25">
      <c r="B758" s="20">
        <f t="shared" si="63"/>
        <v>595</v>
      </c>
      <c r="C758" s="22" t="str">
        <f t="shared" si="64"/>
        <v>In Casa #595</v>
      </c>
      <c r="D758" t="str">
        <f t="shared" si="65"/>
        <v>COR22D595</v>
      </c>
      <c r="E758" s="58" t="s">
        <v>252</v>
      </c>
      <c r="F758" s="20">
        <v>1000</v>
      </c>
      <c r="G758" s="14" t="s">
        <v>354</v>
      </c>
      <c r="H758" s="23" t="s">
        <v>170</v>
      </c>
      <c r="J758" s="59" t="s">
        <v>38</v>
      </c>
      <c r="K758" s="22" t="s">
        <v>254</v>
      </c>
      <c r="L758" s="59" t="s">
        <v>171</v>
      </c>
      <c r="M758" s="22">
        <v>2</v>
      </c>
      <c r="V758" s="59" t="s">
        <v>176</v>
      </c>
      <c r="AL758" s="59" t="s">
        <v>40</v>
      </c>
      <c r="AM758" s="22" t="s">
        <v>188</v>
      </c>
      <c r="AV758" s="59" t="s">
        <v>134</v>
      </c>
      <c r="AW758" s="22" t="str">
        <f>Settings!$B$5 &amp;  "?s=" &amp; D758 &amp; "&amp;platform=ftx"</f>
        <v>https://tokensol.nfluent.io?s=COR22D595&amp;platform=ftx</v>
      </c>
      <c r="AX758" s="20" t="s">
        <v>23</v>
      </c>
      <c r="AY758" s="20">
        <v>10</v>
      </c>
      <c r="AZ758" s="20" t="s">
        <v>24</v>
      </c>
      <c r="BA758" s="20">
        <v>90</v>
      </c>
      <c r="BD758" s="14"/>
      <c r="BJ758" t="s">
        <v>255</v>
      </c>
      <c r="BK758" t="s">
        <v>184</v>
      </c>
      <c r="BN758" s="36">
        <v>100</v>
      </c>
      <c r="BO758" s="36">
        <v>100</v>
      </c>
      <c r="BP758">
        <f t="shared" si="66"/>
        <v>480</v>
      </c>
      <c r="BR758" s="38">
        <v>44713</v>
      </c>
      <c r="BS758" s="20" t="s">
        <v>185</v>
      </c>
      <c r="BT758" s="20" t="str">
        <f t="shared" si="62"/>
        <v>InCasa_COR22D595</v>
      </c>
    </row>
    <row r="759" spans="2:72" ht="18.75" customHeight="1" x14ac:dyDescent="0.25">
      <c r="B759" s="20">
        <f t="shared" si="63"/>
        <v>596</v>
      </c>
      <c r="C759" s="22" t="str">
        <f t="shared" si="64"/>
        <v>In Casa #596</v>
      </c>
      <c r="D759" t="str">
        <f t="shared" si="65"/>
        <v>COR22D596</v>
      </c>
      <c r="E759" s="58" t="s">
        <v>252</v>
      </c>
      <c r="F759" s="20">
        <v>1000</v>
      </c>
      <c r="G759" s="14" t="s">
        <v>354</v>
      </c>
      <c r="H759" s="23" t="s">
        <v>170</v>
      </c>
      <c r="J759" s="59" t="s">
        <v>38</v>
      </c>
      <c r="K759" s="22" t="s">
        <v>254</v>
      </c>
      <c r="L759" s="59" t="s">
        <v>171</v>
      </c>
      <c r="M759" s="22">
        <v>2</v>
      </c>
      <c r="V759" s="59" t="s">
        <v>176</v>
      </c>
      <c r="AL759" s="59" t="s">
        <v>40</v>
      </c>
      <c r="AM759" s="22" t="s">
        <v>188</v>
      </c>
      <c r="AV759" s="59" t="s">
        <v>134</v>
      </c>
      <c r="AW759" s="22" t="str">
        <f>Settings!$B$5 &amp;  "?s=" &amp; D759 &amp; "&amp;platform=ftx"</f>
        <v>https://tokensol.nfluent.io?s=COR22D596&amp;platform=ftx</v>
      </c>
      <c r="AX759" s="20" t="s">
        <v>23</v>
      </c>
      <c r="AY759" s="20">
        <v>10</v>
      </c>
      <c r="AZ759" s="20" t="s">
        <v>24</v>
      </c>
      <c r="BA759" s="20">
        <v>90</v>
      </c>
      <c r="BD759" s="14"/>
      <c r="BJ759" t="s">
        <v>255</v>
      </c>
      <c r="BK759" t="s">
        <v>184</v>
      </c>
      <c r="BN759" s="36">
        <v>100</v>
      </c>
      <c r="BO759" s="36">
        <v>100</v>
      </c>
      <c r="BP759">
        <f t="shared" si="66"/>
        <v>480</v>
      </c>
      <c r="BR759" s="38">
        <v>44713</v>
      </c>
      <c r="BS759" s="20" t="s">
        <v>185</v>
      </c>
      <c r="BT759" s="20" t="str">
        <f t="shared" si="62"/>
        <v>InCasa_COR22D596</v>
      </c>
    </row>
    <row r="760" spans="2:72" ht="18.75" customHeight="1" x14ac:dyDescent="0.25">
      <c r="B760" s="20">
        <f t="shared" si="63"/>
        <v>597</v>
      </c>
      <c r="C760" s="22" t="str">
        <f t="shared" si="64"/>
        <v>In Casa #597</v>
      </c>
      <c r="D760" t="str">
        <f t="shared" si="65"/>
        <v>COR22D597</v>
      </c>
      <c r="E760" s="58" t="s">
        <v>252</v>
      </c>
      <c r="F760" s="20">
        <v>1000</v>
      </c>
      <c r="G760" s="14" t="s">
        <v>354</v>
      </c>
      <c r="H760" s="23" t="s">
        <v>170</v>
      </c>
      <c r="J760" s="59" t="s">
        <v>38</v>
      </c>
      <c r="K760" s="22" t="s">
        <v>254</v>
      </c>
      <c r="L760" s="59" t="s">
        <v>171</v>
      </c>
      <c r="M760" s="22">
        <v>2</v>
      </c>
      <c r="V760" s="59" t="s">
        <v>176</v>
      </c>
      <c r="AL760" s="59" t="s">
        <v>40</v>
      </c>
      <c r="AM760" s="22" t="s">
        <v>188</v>
      </c>
      <c r="AV760" s="59" t="s">
        <v>134</v>
      </c>
      <c r="AW760" s="22" t="str">
        <f>Settings!$B$5 &amp;  "?s=" &amp; D760 &amp; "&amp;platform=ftx"</f>
        <v>https://tokensol.nfluent.io?s=COR22D597&amp;platform=ftx</v>
      </c>
      <c r="AX760" s="20" t="s">
        <v>23</v>
      </c>
      <c r="AY760" s="20">
        <v>10</v>
      </c>
      <c r="AZ760" s="20" t="s">
        <v>24</v>
      </c>
      <c r="BA760" s="20">
        <v>90</v>
      </c>
      <c r="BD760" s="14"/>
      <c r="BJ760" t="s">
        <v>255</v>
      </c>
      <c r="BK760" t="s">
        <v>184</v>
      </c>
      <c r="BN760" s="36">
        <v>100</v>
      </c>
      <c r="BO760" s="36">
        <v>100</v>
      </c>
      <c r="BP760">
        <f t="shared" si="66"/>
        <v>480</v>
      </c>
      <c r="BR760" s="38">
        <v>44713</v>
      </c>
      <c r="BS760" s="20" t="s">
        <v>185</v>
      </c>
      <c r="BT760" s="20" t="str">
        <f t="shared" si="62"/>
        <v>InCasa_COR22D597</v>
      </c>
    </row>
    <row r="761" spans="2:72" ht="18.75" customHeight="1" x14ac:dyDescent="0.25">
      <c r="B761" s="20">
        <f t="shared" si="63"/>
        <v>598</v>
      </c>
      <c r="C761" s="22" t="str">
        <f t="shared" si="64"/>
        <v>In Casa #598</v>
      </c>
      <c r="D761" t="str">
        <f t="shared" si="65"/>
        <v>COR22D598</v>
      </c>
      <c r="E761" s="58" t="s">
        <v>252</v>
      </c>
      <c r="F761" s="20">
        <v>1000</v>
      </c>
      <c r="G761" s="14" t="s">
        <v>354</v>
      </c>
      <c r="H761" s="23" t="s">
        <v>170</v>
      </c>
      <c r="J761" s="59" t="s">
        <v>38</v>
      </c>
      <c r="K761" s="22" t="s">
        <v>254</v>
      </c>
      <c r="L761" s="59" t="s">
        <v>171</v>
      </c>
      <c r="M761" s="22">
        <v>2</v>
      </c>
      <c r="V761" s="59" t="s">
        <v>176</v>
      </c>
      <c r="AL761" s="59" t="s">
        <v>40</v>
      </c>
      <c r="AM761" s="22" t="s">
        <v>188</v>
      </c>
      <c r="AV761" s="59" t="s">
        <v>134</v>
      </c>
      <c r="AW761" s="22" t="str">
        <f>Settings!$B$5 &amp;  "?s=" &amp; D761 &amp; "&amp;platform=ftx"</f>
        <v>https://tokensol.nfluent.io?s=COR22D598&amp;platform=ftx</v>
      </c>
      <c r="AX761" s="20" t="s">
        <v>23</v>
      </c>
      <c r="AY761" s="20">
        <v>10</v>
      </c>
      <c r="AZ761" s="20" t="s">
        <v>24</v>
      </c>
      <c r="BA761" s="20">
        <v>90</v>
      </c>
      <c r="BD761" s="14"/>
      <c r="BJ761" t="s">
        <v>255</v>
      </c>
      <c r="BK761" t="s">
        <v>184</v>
      </c>
      <c r="BN761" s="36">
        <v>100</v>
      </c>
      <c r="BO761" s="36">
        <v>100</v>
      </c>
      <c r="BP761">
        <f t="shared" si="66"/>
        <v>480</v>
      </c>
      <c r="BR761" s="38">
        <v>44713</v>
      </c>
      <c r="BS761" s="20" t="s">
        <v>185</v>
      </c>
      <c r="BT761" s="20" t="str">
        <f t="shared" si="62"/>
        <v>InCasa_COR22D598</v>
      </c>
    </row>
    <row r="762" spans="2:72" ht="18.75" customHeight="1" x14ac:dyDescent="0.25">
      <c r="B762" s="20">
        <f t="shared" si="63"/>
        <v>599</v>
      </c>
      <c r="C762" s="22" t="str">
        <f t="shared" si="64"/>
        <v>In Casa #599</v>
      </c>
      <c r="D762" t="str">
        <f t="shared" si="65"/>
        <v>COR22D599</v>
      </c>
      <c r="E762" s="58" t="s">
        <v>252</v>
      </c>
      <c r="F762" s="20">
        <v>1000</v>
      </c>
      <c r="G762" s="14" t="s">
        <v>354</v>
      </c>
      <c r="H762" s="23" t="s">
        <v>170</v>
      </c>
      <c r="J762" s="59" t="s">
        <v>38</v>
      </c>
      <c r="K762" s="22" t="s">
        <v>254</v>
      </c>
      <c r="L762" s="59" t="s">
        <v>171</v>
      </c>
      <c r="M762" s="22">
        <v>2</v>
      </c>
      <c r="V762" s="59" t="s">
        <v>176</v>
      </c>
      <c r="AL762" s="59" t="s">
        <v>40</v>
      </c>
      <c r="AM762" s="22" t="s">
        <v>188</v>
      </c>
      <c r="AV762" s="59" t="s">
        <v>134</v>
      </c>
      <c r="AW762" s="22" t="str">
        <f>Settings!$B$5 &amp;  "?s=" &amp; D762 &amp; "&amp;platform=ftx"</f>
        <v>https://tokensol.nfluent.io?s=COR22D599&amp;platform=ftx</v>
      </c>
      <c r="AX762" s="20" t="s">
        <v>23</v>
      </c>
      <c r="AY762" s="20">
        <v>10</v>
      </c>
      <c r="AZ762" s="20" t="s">
        <v>24</v>
      </c>
      <c r="BA762" s="20">
        <v>90</v>
      </c>
      <c r="BD762" s="14"/>
      <c r="BJ762" t="s">
        <v>255</v>
      </c>
      <c r="BK762" t="s">
        <v>184</v>
      </c>
      <c r="BN762" s="36">
        <v>100</v>
      </c>
      <c r="BO762" s="36">
        <v>100</v>
      </c>
      <c r="BP762">
        <f t="shared" si="66"/>
        <v>480</v>
      </c>
      <c r="BR762" s="38">
        <v>44713</v>
      </c>
      <c r="BS762" s="20" t="s">
        <v>185</v>
      </c>
      <c r="BT762" s="20" t="str">
        <f t="shared" si="62"/>
        <v>InCasa_COR22D599</v>
      </c>
    </row>
    <row r="763" spans="2:72" ht="18.75" customHeight="1" x14ac:dyDescent="0.25">
      <c r="B763" s="20">
        <f t="shared" si="63"/>
        <v>600</v>
      </c>
      <c r="C763" s="22" t="str">
        <f t="shared" si="64"/>
        <v>In Casa #600</v>
      </c>
      <c r="D763" t="str">
        <f t="shared" si="65"/>
        <v>COR22D600</v>
      </c>
      <c r="E763" s="58" t="s">
        <v>252</v>
      </c>
      <c r="F763" s="20">
        <v>1000</v>
      </c>
      <c r="G763" s="14" t="s">
        <v>354</v>
      </c>
      <c r="H763" s="23" t="s">
        <v>170</v>
      </c>
      <c r="J763" s="59" t="s">
        <v>38</v>
      </c>
      <c r="K763" s="22" t="s">
        <v>254</v>
      </c>
      <c r="L763" s="59" t="s">
        <v>171</v>
      </c>
      <c r="M763" s="22">
        <v>2</v>
      </c>
      <c r="V763" s="59" t="s">
        <v>176</v>
      </c>
      <c r="AL763" s="59" t="s">
        <v>40</v>
      </c>
      <c r="AM763" s="22" t="s">
        <v>188</v>
      </c>
      <c r="AV763" s="59" t="s">
        <v>134</v>
      </c>
      <c r="AW763" s="22" t="str">
        <f>Settings!$B$5 &amp;  "?s=" &amp; D763 &amp; "&amp;platform=ftx"</f>
        <v>https://tokensol.nfluent.io?s=COR22D600&amp;platform=ftx</v>
      </c>
      <c r="AX763" s="20" t="s">
        <v>23</v>
      </c>
      <c r="AY763" s="20">
        <v>10</v>
      </c>
      <c r="AZ763" s="20" t="s">
        <v>24</v>
      </c>
      <c r="BA763" s="20">
        <v>90</v>
      </c>
      <c r="BD763" s="14"/>
      <c r="BJ763" t="s">
        <v>255</v>
      </c>
      <c r="BK763" t="s">
        <v>184</v>
      </c>
      <c r="BN763" s="36">
        <v>100</v>
      </c>
      <c r="BO763" s="36">
        <v>100</v>
      </c>
      <c r="BP763">
        <f t="shared" si="66"/>
        <v>480</v>
      </c>
      <c r="BR763" s="38">
        <v>44713</v>
      </c>
      <c r="BS763" s="20" t="s">
        <v>185</v>
      </c>
      <c r="BT763" s="20" t="str">
        <f t="shared" si="62"/>
        <v>InCasa_COR22D600</v>
      </c>
    </row>
    <row r="764" spans="2:72" ht="18.75" customHeight="1" x14ac:dyDescent="0.25">
      <c r="B764" s="20">
        <f t="shared" si="63"/>
        <v>601</v>
      </c>
      <c r="C764" s="22" t="str">
        <f t="shared" si="64"/>
        <v>In Casa #601</v>
      </c>
      <c r="D764" t="str">
        <f t="shared" si="65"/>
        <v>COR22D601</v>
      </c>
      <c r="E764" s="58" t="s">
        <v>252</v>
      </c>
      <c r="F764" s="20">
        <v>1000</v>
      </c>
      <c r="G764" s="14" t="s">
        <v>354</v>
      </c>
      <c r="H764" s="23" t="s">
        <v>170</v>
      </c>
      <c r="J764" s="59" t="s">
        <v>38</v>
      </c>
      <c r="K764" s="22" t="s">
        <v>254</v>
      </c>
      <c r="L764" s="59" t="s">
        <v>171</v>
      </c>
      <c r="M764" s="22">
        <v>2</v>
      </c>
      <c r="V764" s="59" t="s">
        <v>176</v>
      </c>
      <c r="AL764" s="59" t="s">
        <v>40</v>
      </c>
      <c r="AM764" s="22" t="s">
        <v>188</v>
      </c>
      <c r="AV764" s="59" t="s">
        <v>134</v>
      </c>
      <c r="AW764" s="22" t="str">
        <f>Settings!$B$5 &amp;  "?s=" &amp; D764 &amp; "&amp;platform=ftx"</f>
        <v>https://tokensol.nfluent.io?s=COR22D601&amp;platform=ftx</v>
      </c>
      <c r="AX764" s="20" t="s">
        <v>23</v>
      </c>
      <c r="AY764" s="20">
        <v>10</v>
      </c>
      <c r="AZ764" s="20" t="s">
        <v>24</v>
      </c>
      <c r="BA764" s="20">
        <v>90</v>
      </c>
      <c r="BD764" s="14"/>
      <c r="BJ764" t="s">
        <v>255</v>
      </c>
      <c r="BK764" t="s">
        <v>184</v>
      </c>
      <c r="BN764" s="36">
        <v>100</v>
      </c>
      <c r="BO764" s="36">
        <v>100</v>
      </c>
      <c r="BP764">
        <f t="shared" si="66"/>
        <v>480</v>
      </c>
      <c r="BR764" s="38">
        <v>44713</v>
      </c>
      <c r="BS764" s="20" t="s">
        <v>185</v>
      </c>
      <c r="BT764" s="20" t="str">
        <f t="shared" si="62"/>
        <v>InCasa_COR22D601</v>
      </c>
    </row>
    <row r="765" spans="2:72" ht="18.75" customHeight="1" x14ac:dyDescent="0.25">
      <c r="B765" s="20">
        <f t="shared" si="63"/>
        <v>602</v>
      </c>
      <c r="C765" s="22" t="str">
        <f t="shared" si="64"/>
        <v>In Casa #602</v>
      </c>
      <c r="D765" t="str">
        <f t="shared" si="65"/>
        <v>COR22D602</v>
      </c>
      <c r="E765" s="58" t="s">
        <v>252</v>
      </c>
      <c r="F765" s="20">
        <v>1000</v>
      </c>
      <c r="G765" s="14" t="s">
        <v>354</v>
      </c>
      <c r="H765" s="23" t="s">
        <v>170</v>
      </c>
      <c r="J765" s="59" t="s">
        <v>38</v>
      </c>
      <c r="K765" s="22" t="s">
        <v>254</v>
      </c>
      <c r="L765" s="59" t="s">
        <v>171</v>
      </c>
      <c r="M765" s="22">
        <v>2</v>
      </c>
      <c r="V765" s="59" t="s">
        <v>176</v>
      </c>
      <c r="AL765" s="59" t="s">
        <v>40</v>
      </c>
      <c r="AM765" s="22" t="s">
        <v>188</v>
      </c>
      <c r="AV765" s="59" t="s">
        <v>134</v>
      </c>
      <c r="AW765" s="22" t="str">
        <f>Settings!$B$5 &amp;  "?s=" &amp; D765 &amp; "&amp;platform=ftx"</f>
        <v>https://tokensol.nfluent.io?s=COR22D602&amp;platform=ftx</v>
      </c>
      <c r="AX765" s="20" t="s">
        <v>23</v>
      </c>
      <c r="AY765" s="20">
        <v>10</v>
      </c>
      <c r="AZ765" s="20" t="s">
        <v>24</v>
      </c>
      <c r="BA765" s="20">
        <v>90</v>
      </c>
      <c r="BD765" s="14"/>
      <c r="BJ765" t="s">
        <v>255</v>
      </c>
      <c r="BK765" t="s">
        <v>184</v>
      </c>
      <c r="BN765" s="36">
        <v>100</v>
      </c>
      <c r="BO765" s="36">
        <v>100</v>
      </c>
      <c r="BP765">
        <f t="shared" si="66"/>
        <v>480</v>
      </c>
      <c r="BR765" s="38">
        <v>44713</v>
      </c>
      <c r="BS765" s="20" t="s">
        <v>185</v>
      </c>
      <c r="BT765" s="20" t="str">
        <f t="shared" si="62"/>
        <v>InCasa_COR22D602</v>
      </c>
    </row>
    <row r="766" spans="2:72" ht="18.75" customHeight="1" x14ac:dyDescent="0.25">
      <c r="B766" s="20">
        <f t="shared" si="63"/>
        <v>603</v>
      </c>
      <c r="C766" s="22" t="str">
        <f t="shared" si="64"/>
        <v>In Casa #603</v>
      </c>
      <c r="D766" t="str">
        <f t="shared" si="65"/>
        <v>COR22D603</v>
      </c>
      <c r="E766" s="58" t="s">
        <v>252</v>
      </c>
      <c r="F766" s="20">
        <v>1000</v>
      </c>
      <c r="G766" s="14" t="s">
        <v>354</v>
      </c>
      <c r="H766" s="23" t="s">
        <v>170</v>
      </c>
      <c r="J766" s="59" t="s">
        <v>38</v>
      </c>
      <c r="K766" s="22" t="s">
        <v>254</v>
      </c>
      <c r="L766" s="59" t="s">
        <v>171</v>
      </c>
      <c r="M766" s="22">
        <v>2</v>
      </c>
      <c r="V766" s="59" t="s">
        <v>176</v>
      </c>
      <c r="AL766" s="59" t="s">
        <v>40</v>
      </c>
      <c r="AM766" s="22" t="s">
        <v>188</v>
      </c>
      <c r="AV766" s="59" t="s">
        <v>134</v>
      </c>
      <c r="AW766" s="22" t="str">
        <f>Settings!$B$5 &amp;  "?s=" &amp; D766 &amp; "&amp;platform=ftx"</f>
        <v>https://tokensol.nfluent.io?s=COR22D603&amp;platform=ftx</v>
      </c>
      <c r="AX766" s="20" t="s">
        <v>23</v>
      </c>
      <c r="AY766" s="20">
        <v>10</v>
      </c>
      <c r="AZ766" s="20" t="s">
        <v>24</v>
      </c>
      <c r="BA766" s="20">
        <v>90</v>
      </c>
      <c r="BD766" s="14"/>
      <c r="BJ766" t="s">
        <v>255</v>
      </c>
      <c r="BK766" t="s">
        <v>184</v>
      </c>
      <c r="BN766" s="36">
        <v>100</v>
      </c>
      <c r="BO766" s="36">
        <v>100</v>
      </c>
      <c r="BP766">
        <f t="shared" si="66"/>
        <v>480</v>
      </c>
      <c r="BR766" s="38">
        <v>44713</v>
      </c>
      <c r="BS766" s="20" t="s">
        <v>185</v>
      </c>
      <c r="BT766" s="20" t="str">
        <f t="shared" si="62"/>
        <v>InCasa_COR22D603</v>
      </c>
    </row>
    <row r="767" spans="2:72" ht="18.75" customHeight="1" x14ac:dyDescent="0.25">
      <c r="B767" s="20">
        <f t="shared" si="63"/>
        <v>604</v>
      </c>
      <c r="C767" s="22" t="str">
        <f t="shared" si="64"/>
        <v>In Casa #604</v>
      </c>
      <c r="D767" t="str">
        <f t="shared" si="65"/>
        <v>COR22D604</v>
      </c>
      <c r="E767" s="58" t="s">
        <v>252</v>
      </c>
      <c r="F767" s="20">
        <v>1000</v>
      </c>
      <c r="G767" s="14" t="s">
        <v>354</v>
      </c>
      <c r="H767" s="23" t="s">
        <v>170</v>
      </c>
      <c r="J767" s="59" t="s">
        <v>38</v>
      </c>
      <c r="K767" s="22" t="s">
        <v>254</v>
      </c>
      <c r="L767" s="59" t="s">
        <v>171</v>
      </c>
      <c r="M767" s="22">
        <v>2</v>
      </c>
      <c r="V767" s="59" t="s">
        <v>176</v>
      </c>
      <c r="AL767" s="59" t="s">
        <v>40</v>
      </c>
      <c r="AM767" s="22" t="s">
        <v>188</v>
      </c>
      <c r="AV767" s="59" t="s">
        <v>134</v>
      </c>
      <c r="AW767" s="22" t="str">
        <f>Settings!$B$5 &amp;  "?s=" &amp; D767 &amp; "&amp;platform=ftx"</f>
        <v>https://tokensol.nfluent.io?s=COR22D604&amp;platform=ftx</v>
      </c>
      <c r="AX767" s="20" t="s">
        <v>23</v>
      </c>
      <c r="AY767" s="20">
        <v>10</v>
      </c>
      <c r="AZ767" s="20" t="s">
        <v>24</v>
      </c>
      <c r="BA767" s="20">
        <v>90</v>
      </c>
      <c r="BD767" s="14"/>
      <c r="BJ767" t="s">
        <v>255</v>
      </c>
      <c r="BK767" t="s">
        <v>184</v>
      </c>
      <c r="BN767" s="36">
        <v>100</v>
      </c>
      <c r="BO767" s="36">
        <v>100</v>
      </c>
      <c r="BP767">
        <f t="shared" si="66"/>
        <v>480</v>
      </c>
      <c r="BR767" s="38">
        <v>44713</v>
      </c>
      <c r="BS767" s="20" t="s">
        <v>185</v>
      </c>
      <c r="BT767" s="20" t="str">
        <f t="shared" si="62"/>
        <v>InCasa_COR22D604</v>
      </c>
    </row>
    <row r="768" spans="2:72" ht="18.75" customHeight="1" x14ac:dyDescent="0.25">
      <c r="B768" s="20">
        <f t="shared" si="63"/>
        <v>605</v>
      </c>
      <c r="C768" s="22" t="str">
        <f t="shared" si="64"/>
        <v>In Casa #605</v>
      </c>
      <c r="D768" t="str">
        <f t="shared" si="65"/>
        <v>COR22D605</v>
      </c>
      <c r="E768" s="58" t="s">
        <v>252</v>
      </c>
      <c r="F768" s="20">
        <v>1000</v>
      </c>
      <c r="G768" s="14" t="s">
        <v>354</v>
      </c>
      <c r="H768" s="23" t="s">
        <v>170</v>
      </c>
      <c r="J768" s="59" t="s">
        <v>38</v>
      </c>
      <c r="K768" s="22" t="s">
        <v>254</v>
      </c>
      <c r="L768" s="59" t="s">
        <v>171</v>
      </c>
      <c r="M768" s="22">
        <v>2</v>
      </c>
      <c r="V768" s="59" t="s">
        <v>176</v>
      </c>
      <c r="AL768" s="59" t="s">
        <v>40</v>
      </c>
      <c r="AM768" s="22" t="s">
        <v>188</v>
      </c>
      <c r="AV768" s="59" t="s">
        <v>134</v>
      </c>
      <c r="AW768" s="22" t="str">
        <f>Settings!$B$5 &amp;  "?s=" &amp; D768 &amp; "&amp;platform=ftx"</f>
        <v>https://tokensol.nfluent.io?s=COR22D605&amp;platform=ftx</v>
      </c>
      <c r="AX768" s="20" t="s">
        <v>23</v>
      </c>
      <c r="AY768" s="20">
        <v>10</v>
      </c>
      <c r="AZ768" s="20" t="s">
        <v>24</v>
      </c>
      <c r="BA768" s="20">
        <v>90</v>
      </c>
      <c r="BD768" s="14"/>
      <c r="BJ768" t="s">
        <v>255</v>
      </c>
      <c r="BK768" t="s">
        <v>184</v>
      </c>
      <c r="BN768" s="36">
        <v>100</v>
      </c>
      <c r="BO768" s="36">
        <v>100</v>
      </c>
      <c r="BP768">
        <f t="shared" si="66"/>
        <v>480</v>
      </c>
      <c r="BR768" s="38">
        <v>44713</v>
      </c>
      <c r="BS768" s="20" t="s">
        <v>185</v>
      </c>
      <c r="BT768" s="20" t="str">
        <f t="shared" si="62"/>
        <v>InCasa_COR22D605</v>
      </c>
    </row>
    <row r="769" spans="2:72" ht="18.75" customHeight="1" x14ac:dyDescent="0.25">
      <c r="B769" s="20">
        <f t="shared" si="63"/>
        <v>606</v>
      </c>
      <c r="C769" s="22" t="str">
        <f t="shared" si="64"/>
        <v>In Casa #606</v>
      </c>
      <c r="D769" t="str">
        <f t="shared" si="65"/>
        <v>COR22D606</v>
      </c>
      <c r="E769" s="58" t="s">
        <v>252</v>
      </c>
      <c r="F769" s="20">
        <v>1000</v>
      </c>
      <c r="G769" s="14" t="s">
        <v>354</v>
      </c>
      <c r="H769" s="23" t="s">
        <v>170</v>
      </c>
      <c r="J769" s="59" t="s">
        <v>38</v>
      </c>
      <c r="K769" s="22" t="s">
        <v>254</v>
      </c>
      <c r="L769" s="59" t="s">
        <v>171</v>
      </c>
      <c r="M769" s="22">
        <v>2</v>
      </c>
      <c r="V769" s="59" t="s">
        <v>176</v>
      </c>
      <c r="AL769" s="59" t="s">
        <v>40</v>
      </c>
      <c r="AM769" s="22" t="s">
        <v>188</v>
      </c>
      <c r="AV769" s="59" t="s">
        <v>134</v>
      </c>
      <c r="AW769" s="22" t="str">
        <f>Settings!$B$5 &amp;  "?s=" &amp; D769 &amp; "&amp;platform=ftx"</f>
        <v>https://tokensol.nfluent.io?s=COR22D606&amp;platform=ftx</v>
      </c>
      <c r="AX769" s="20" t="s">
        <v>23</v>
      </c>
      <c r="AY769" s="20">
        <v>10</v>
      </c>
      <c r="AZ769" s="20" t="s">
        <v>24</v>
      </c>
      <c r="BA769" s="20">
        <v>90</v>
      </c>
      <c r="BD769" s="14"/>
      <c r="BJ769" t="s">
        <v>255</v>
      </c>
      <c r="BK769" t="s">
        <v>184</v>
      </c>
      <c r="BN769" s="36">
        <v>100</v>
      </c>
      <c r="BO769" s="36">
        <v>100</v>
      </c>
      <c r="BP769">
        <f t="shared" si="66"/>
        <v>480</v>
      </c>
      <c r="BR769" s="38">
        <v>44713</v>
      </c>
      <c r="BS769" s="20" t="s">
        <v>185</v>
      </c>
      <c r="BT769" s="20" t="str">
        <f t="shared" si="62"/>
        <v>InCasa_COR22D606</v>
      </c>
    </row>
    <row r="770" spans="2:72" ht="18.75" customHeight="1" x14ac:dyDescent="0.25">
      <c r="B770" s="20">
        <f t="shared" si="63"/>
        <v>607</v>
      </c>
      <c r="C770" s="22" t="str">
        <f t="shared" si="64"/>
        <v>In Casa #607</v>
      </c>
      <c r="D770" t="str">
        <f t="shared" si="65"/>
        <v>COR22D607</v>
      </c>
      <c r="E770" s="58" t="s">
        <v>252</v>
      </c>
      <c r="F770" s="20">
        <v>1000</v>
      </c>
      <c r="G770" s="14" t="s">
        <v>354</v>
      </c>
      <c r="H770" s="23" t="s">
        <v>170</v>
      </c>
      <c r="J770" s="59" t="s">
        <v>38</v>
      </c>
      <c r="K770" s="22" t="s">
        <v>254</v>
      </c>
      <c r="L770" s="59" t="s">
        <v>171</v>
      </c>
      <c r="M770" s="22">
        <v>2</v>
      </c>
      <c r="V770" s="59" t="s">
        <v>176</v>
      </c>
      <c r="AL770" s="59" t="s">
        <v>40</v>
      </c>
      <c r="AM770" s="22" t="s">
        <v>188</v>
      </c>
      <c r="AV770" s="59" t="s">
        <v>134</v>
      </c>
      <c r="AW770" s="22" t="str">
        <f>Settings!$B$5 &amp;  "?s=" &amp; D770 &amp; "&amp;platform=ftx"</f>
        <v>https://tokensol.nfluent.io?s=COR22D607&amp;platform=ftx</v>
      </c>
      <c r="AX770" s="20" t="s">
        <v>23</v>
      </c>
      <c r="AY770" s="20">
        <v>10</v>
      </c>
      <c r="AZ770" s="20" t="s">
        <v>24</v>
      </c>
      <c r="BA770" s="20">
        <v>90</v>
      </c>
      <c r="BD770" s="14"/>
      <c r="BJ770" t="s">
        <v>255</v>
      </c>
      <c r="BK770" t="s">
        <v>184</v>
      </c>
      <c r="BN770" s="36">
        <v>100</v>
      </c>
      <c r="BO770" s="36">
        <v>100</v>
      </c>
      <c r="BP770">
        <f t="shared" si="66"/>
        <v>480</v>
      </c>
      <c r="BR770" s="38">
        <v>44713</v>
      </c>
      <c r="BS770" s="20" t="s">
        <v>185</v>
      </c>
      <c r="BT770" s="20" t="str">
        <f t="shared" si="62"/>
        <v>InCasa_COR22D607</v>
      </c>
    </row>
    <row r="771" spans="2:72" ht="18.75" customHeight="1" x14ac:dyDescent="0.25">
      <c r="B771" s="20">
        <f t="shared" si="63"/>
        <v>608</v>
      </c>
      <c r="C771" s="22" t="str">
        <f t="shared" si="64"/>
        <v>In Casa #608</v>
      </c>
      <c r="D771" t="str">
        <f t="shared" si="65"/>
        <v>COR22D608</v>
      </c>
      <c r="E771" s="58" t="s">
        <v>252</v>
      </c>
      <c r="F771" s="20">
        <v>1000</v>
      </c>
      <c r="G771" s="14" t="s">
        <v>354</v>
      </c>
      <c r="H771" s="23" t="s">
        <v>170</v>
      </c>
      <c r="J771" s="59" t="s">
        <v>38</v>
      </c>
      <c r="K771" s="22" t="s">
        <v>254</v>
      </c>
      <c r="L771" s="59" t="s">
        <v>171</v>
      </c>
      <c r="M771" s="22">
        <v>2</v>
      </c>
      <c r="V771" s="59" t="s">
        <v>176</v>
      </c>
      <c r="AL771" s="59" t="s">
        <v>40</v>
      </c>
      <c r="AM771" s="22" t="s">
        <v>188</v>
      </c>
      <c r="AV771" s="59" t="s">
        <v>134</v>
      </c>
      <c r="AW771" s="22" t="str">
        <f>Settings!$B$5 &amp;  "?s=" &amp; D771 &amp; "&amp;platform=ftx"</f>
        <v>https://tokensol.nfluent.io?s=COR22D608&amp;platform=ftx</v>
      </c>
      <c r="AX771" s="20" t="s">
        <v>23</v>
      </c>
      <c r="AY771" s="20">
        <v>10</v>
      </c>
      <c r="AZ771" s="20" t="s">
        <v>24</v>
      </c>
      <c r="BA771" s="20">
        <v>90</v>
      </c>
      <c r="BD771" s="14"/>
      <c r="BJ771" t="s">
        <v>255</v>
      </c>
      <c r="BK771" t="s">
        <v>184</v>
      </c>
      <c r="BN771" s="36">
        <v>100</v>
      </c>
      <c r="BO771" s="36">
        <v>100</v>
      </c>
      <c r="BP771">
        <f t="shared" si="66"/>
        <v>480</v>
      </c>
      <c r="BR771" s="38">
        <v>44713</v>
      </c>
      <c r="BS771" s="20" t="s">
        <v>185</v>
      </c>
      <c r="BT771" s="20" t="str">
        <f t="shared" si="62"/>
        <v>InCasa_COR22D608</v>
      </c>
    </row>
    <row r="772" spans="2:72" ht="18.75" customHeight="1" x14ac:dyDescent="0.25">
      <c r="B772" s="20">
        <f t="shared" si="63"/>
        <v>609</v>
      </c>
      <c r="C772" s="22" t="str">
        <f t="shared" si="64"/>
        <v>In Casa #609</v>
      </c>
      <c r="D772" t="str">
        <f t="shared" si="65"/>
        <v>COR22D609</v>
      </c>
      <c r="E772" s="58" t="s">
        <v>252</v>
      </c>
      <c r="F772" s="20">
        <v>1000</v>
      </c>
      <c r="G772" s="14" t="s">
        <v>354</v>
      </c>
      <c r="H772" s="23" t="s">
        <v>170</v>
      </c>
      <c r="J772" s="59" t="s">
        <v>38</v>
      </c>
      <c r="K772" s="22" t="s">
        <v>254</v>
      </c>
      <c r="L772" s="59" t="s">
        <v>171</v>
      </c>
      <c r="M772" s="22">
        <v>2</v>
      </c>
      <c r="V772" s="59" t="s">
        <v>176</v>
      </c>
      <c r="AL772" s="59" t="s">
        <v>40</v>
      </c>
      <c r="AM772" s="22" t="s">
        <v>188</v>
      </c>
      <c r="AV772" s="59" t="s">
        <v>134</v>
      </c>
      <c r="AW772" s="22" t="str">
        <f>Settings!$B$5 &amp;  "?s=" &amp; D772 &amp; "&amp;platform=ftx"</f>
        <v>https://tokensol.nfluent.io?s=COR22D609&amp;platform=ftx</v>
      </c>
      <c r="AX772" s="20" t="s">
        <v>23</v>
      </c>
      <c r="AY772" s="20">
        <v>10</v>
      </c>
      <c r="AZ772" s="20" t="s">
        <v>24</v>
      </c>
      <c r="BA772" s="20">
        <v>90</v>
      </c>
      <c r="BD772" s="14"/>
      <c r="BJ772" t="s">
        <v>255</v>
      </c>
      <c r="BK772" t="s">
        <v>184</v>
      </c>
      <c r="BN772" s="36">
        <v>100</v>
      </c>
      <c r="BO772" s="36">
        <v>100</v>
      </c>
      <c r="BP772">
        <f t="shared" si="66"/>
        <v>480</v>
      </c>
      <c r="BR772" s="38">
        <v>44713</v>
      </c>
      <c r="BS772" s="20" t="s">
        <v>185</v>
      </c>
      <c r="BT772" s="20" t="str">
        <f t="shared" si="62"/>
        <v>InCasa_COR22D609</v>
      </c>
    </row>
    <row r="773" spans="2:72" ht="18.75" customHeight="1" x14ac:dyDescent="0.25">
      <c r="B773" s="20">
        <f t="shared" si="63"/>
        <v>610</v>
      </c>
      <c r="C773" s="22" t="str">
        <f t="shared" si="64"/>
        <v>In Casa #610</v>
      </c>
      <c r="D773" t="str">
        <f t="shared" si="65"/>
        <v>COR22D610</v>
      </c>
      <c r="E773" s="58" t="s">
        <v>252</v>
      </c>
      <c r="F773" s="20">
        <v>1000</v>
      </c>
      <c r="G773" s="14" t="s">
        <v>354</v>
      </c>
      <c r="H773" s="23" t="s">
        <v>170</v>
      </c>
      <c r="J773" s="59" t="s">
        <v>38</v>
      </c>
      <c r="K773" s="22" t="s">
        <v>254</v>
      </c>
      <c r="L773" s="59" t="s">
        <v>171</v>
      </c>
      <c r="M773" s="22">
        <v>2</v>
      </c>
      <c r="V773" s="59" t="s">
        <v>176</v>
      </c>
      <c r="AL773" s="59" t="s">
        <v>40</v>
      </c>
      <c r="AM773" s="22" t="s">
        <v>188</v>
      </c>
      <c r="AV773" s="59" t="s">
        <v>134</v>
      </c>
      <c r="AW773" s="22" t="str">
        <f>Settings!$B$5 &amp;  "?s=" &amp; D773 &amp; "&amp;platform=ftx"</f>
        <v>https://tokensol.nfluent.io?s=COR22D610&amp;platform=ftx</v>
      </c>
      <c r="AX773" s="20" t="s">
        <v>23</v>
      </c>
      <c r="AY773" s="20">
        <v>10</v>
      </c>
      <c r="AZ773" s="20" t="s">
        <v>24</v>
      </c>
      <c r="BA773" s="20">
        <v>90</v>
      </c>
      <c r="BD773" s="14"/>
      <c r="BJ773" t="s">
        <v>255</v>
      </c>
      <c r="BK773" t="s">
        <v>184</v>
      </c>
      <c r="BN773" s="36">
        <v>100</v>
      </c>
      <c r="BO773" s="36">
        <v>100</v>
      </c>
      <c r="BP773">
        <f t="shared" si="66"/>
        <v>480</v>
      </c>
      <c r="BR773" s="38">
        <v>44713</v>
      </c>
      <c r="BS773" s="20" t="s">
        <v>185</v>
      </c>
      <c r="BT773" s="20" t="str">
        <f t="shared" ref="BT773:BT836" si="67">SUBSTITUTE(BJ773," ","") &amp; "_" &amp; D773</f>
        <v>InCasa_COR22D610</v>
      </c>
    </row>
    <row r="774" spans="2:72" ht="18.75" customHeight="1" x14ac:dyDescent="0.25">
      <c r="B774" s="20">
        <f t="shared" ref="B774:B837" si="68">+B773+1</f>
        <v>611</v>
      </c>
      <c r="C774" s="22" t="str">
        <f t="shared" si="64"/>
        <v>In Casa #611</v>
      </c>
      <c r="D774" t="str">
        <f t="shared" si="65"/>
        <v>COR22D611</v>
      </c>
      <c r="E774" s="58" t="s">
        <v>252</v>
      </c>
      <c r="F774" s="20">
        <v>1000</v>
      </c>
      <c r="G774" s="14" t="s">
        <v>354</v>
      </c>
      <c r="H774" s="23" t="s">
        <v>170</v>
      </c>
      <c r="J774" s="59" t="s">
        <v>38</v>
      </c>
      <c r="K774" s="22" t="s">
        <v>254</v>
      </c>
      <c r="L774" s="59" t="s">
        <v>171</v>
      </c>
      <c r="M774" s="22">
        <v>2</v>
      </c>
      <c r="V774" s="59" t="s">
        <v>176</v>
      </c>
      <c r="AL774" s="59" t="s">
        <v>40</v>
      </c>
      <c r="AM774" s="22" t="s">
        <v>188</v>
      </c>
      <c r="AV774" s="59" t="s">
        <v>134</v>
      </c>
      <c r="AW774" s="22" t="str">
        <f>Settings!$B$5 &amp;  "?s=" &amp; D774 &amp; "&amp;platform=ftx"</f>
        <v>https://tokensol.nfluent.io?s=COR22D611&amp;platform=ftx</v>
      </c>
      <c r="AX774" s="20" t="s">
        <v>23</v>
      </c>
      <c r="AY774" s="20">
        <v>10</v>
      </c>
      <c r="AZ774" s="20" t="s">
        <v>24</v>
      </c>
      <c r="BA774" s="20">
        <v>90</v>
      </c>
      <c r="BD774" s="14"/>
      <c r="BJ774" t="s">
        <v>255</v>
      </c>
      <c r="BK774" t="s">
        <v>184</v>
      </c>
      <c r="BN774" s="36">
        <v>100</v>
      </c>
      <c r="BO774" s="36">
        <v>100</v>
      </c>
      <c r="BP774">
        <f t="shared" si="66"/>
        <v>480</v>
      </c>
      <c r="BR774" s="38">
        <v>44713</v>
      </c>
      <c r="BS774" s="20" t="s">
        <v>185</v>
      </c>
      <c r="BT774" s="20" t="str">
        <f t="shared" si="67"/>
        <v>InCasa_COR22D611</v>
      </c>
    </row>
    <row r="775" spans="2:72" ht="18.75" customHeight="1" x14ac:dyDescent="0.25">
      <c r="B775" s="20">
        <f t="shared" si="68"/>
        <v>612</v>
      </c>
      <c r="C775" s="22" t="str">
        <f t="shared" si="64"/>
        <v>In Casa #612</v>
      </c>
      <c r="D775" t="str">
        <f t="shared" si="65"/>
        <v>COR22D612</v>
      </c>
      <c r="E775" s="58" t="s">
        <v>252</v>
      </c>
      <c r="F775" s="20">
        <v>1000</v>
      </c>
      <c r="G775" s="14" t="s">
        <v>354</v>
      </c>
      <c r="H775" s="23" t="s">
        <v>170</v>
      </c>
      <c r="J775" s="59" t="s">
        <v>38</v>
      </c>
      <c r="K775" s="22" t="s">
        <v>254</v>
      </c>
      <c r="L775" s="59" t="s">
        <v>171</v>
      </c>
      <c r="M775" s="22">
        <v>2</v>
      </c>
      <c r="V775" s="59" t="s">
        <v>176</v>
      </c>
      <c r="AL775" s="59" t="s">
        <v>40</v>
      </c>
      <c r="AM775" s="22" t="s">
        <v>188</v>
      </c>
      <c r="AV775" s="59" t="s">
        <v>134</v>
      </c>
      <c r="AW775" s="22" t="str">
        <f>Settings!$B$5 &amp;  "?s=" &amp; D775 &amp; "&amp;platform=ftx"</f>
        <v>https://tokensol.nfluent.io?s=COR22D612&amp;platform=ftx</v>
      </c>
      <c r="AX775" s="20" t="s">
        <v>23</v>
      </c>
      <c r="AY775" s="20">
        <v>10</v>
      </c>
      <c r="AZ775" s="20" t="s">
        <v>24</v>
      </c>
      <c r="BA775" s="20">
        <v>90</v>
      </c>
      <c r="BD775" s="14"/>
      <c r="BJ775" t="s">
        <v>255</v>
      </c>
      <c r="BK775" t="s">
        <v>184</v>
      </c>
      <c r="BN775" s="36">
        <v>100</v>
      </c>
      <c r="BO775" s="36">
        <v>100</v>
      </c>
      <c r="BP775">
        <f t="shared" si="66"/>
        <v>480</v>
      </c>
      <c r="BR775" s="38">
        <v>44713</v>
      </c>
      <c r="BS775" s="20" t="s">
        <v>185</v>
      </c>
      <c r="BT775" s="20" t="str">
        <f t="shared" si="67"/>
        <v>InCasa_COR22D612</v>
      </c>
    </row>
    <row r="776" spans="2:72" ht="18.75" customHeight="1" x14ac:dyDescent="0.25">
      <c r="B776" s="20">
        <f t="shared" si="68"/>
        <v>613</v>
      </c>
      <c r="C776" s="22" t="str">
        <f t="shared" si="64"/>
        <v>In Casa #613</v>
      </c>
      <c r="D776" t="str">
        <f t="shared" si="65"/>
        <v>COR22D613</v>
      </c>
      <c r="E776" s="58" t="s">
        <v>252</v>
      </c>
      <c r="F776" s="20">
        <v>1000</v>
      </c>
      <c r="G776" s="14" t="s">
        <v>354</v>
      </c>
      <c r="H776" s="23" t="s">
        <v>170</v>
      </c>
      <c r="J776" s="59" t="s">
        <v>38</v>
      </c>
      <c r="K776" s="22" t="s">
        <v>254</v>
      </c>
      <c r="L776" s="59" t="s">
        <v>171</v>
      </c>
      <c r="M776" s="22">
        <v>2</v>
      </c>
      <c r="V776" s="59" t="s">
        <v>176</v>
      </c>
      <c r="AL776" s="59" t="s">
        <v>40</v>
      </c>
      <c r="AM776" s="22" t="s">
        <v>188</v>
      </c>
      <c r="AV776" s="59" t="s">
        <v>134</v>
      </c>
      <c r="AW776" s="22" t="str">
        <f>Settings!$B$5 &amp;  "?s=" &amp; D776 &amp; "&amp;platform=ftx"</f>
        <v>https://tokensol.nfluent.io?s=COR22D613&amp;platform=ftx</v>
      </c>
      <c r="AX776" s="20" t="s">
        <v>23</v>
      </c>
      <c r="AY776" s="20">
        <v>10</v>
      </c>
      <c r="AZ776" s="20" t="s">
        <v>24</v>
      </c>
      <c r="BA776" s="20">
        <v>90</v>
      </c>
      <c r="BD776" s="14"/>
      <c r="BJ776" t="s">
        <v>255</v>
      </c>
      <c r="BK776" t="s">
        <v>184</v>
      </c>
      <c r="BN776" s="36">
        <v>100</v>
      </c>
      <c r="BO776" s="36">
        <v>100</v>
      </c>
      <c r="BP776">
        <f t="shared" si="66"/>
        <v>480</v>
      </c>
      <c r="BR776" s="38">
        <v>44713</v>
      </c>
      <c r="BS776" s="20" t="s">
        <v>185</v>
      </c>
      <c r="BT776" s="20" t="str">
        <f t="shared" si="67"/>
        <v>InCasa_COR22D613</v>
      </c>
    </row>
    <row r="777" spans="2:72" ht="18.75" customHeight="1" x14ac:dyDescent="0.25">
      <c r="B777" s="20">
        <f t="shared" si="68"/>
        <v>614</v>
      </c>
      <c r="C777" s="22" t="str">
        <f t="shared" si="64"/>
        <v>In Casa #614</v>
      </c>
      <c r="D777" t="str">
        <f t="shared" si="65"/>
        <v>COR22D614</v>
      </c>
      <c r="E777" s="58" t="s">
        <v>252</v>
      </c>
      <c r="F777" s="20">
        <v>1000</v>
      </c>
      <c r="G777" s="14" t="s">
        <v>354</v>
      </c>
      <c r="H777" s="23" t="s">
        <v>170</v>
      </c>
      <c r="J777" s="59" t="s">
        <v>38</v>
      </c>
      <c r="K777" s="22" t="s">
        <v>254</v>
      </c>
      <c r="L777" s="59" t="s">
        <v>171</v>
      </c>
      <c r="M777" s="22">
        <v>2</v>
      </c>
      <c r="V777" s="59" t="s">
        <v>176</v>
      </c>
      <c r="AL777" s="59" t="s">
        <v>40</v>
      </c>
      <c r="AM777" s="22" t="s">
        <v>188</v>
      </c>
      <c r="AV777" s="59" t="s">
        <v>134</v>
      </c>
      <c r="AW777" s="22" t="str">
        <f>Settings!$B$5 &amp;  "?s=" &amp; D777 &amp; "&amp;platform=ftx"</f>
        <v>https://tokensol.nfluent.io?s=COR22D614&amp;platform=ftx</v>
      </c>
      <c r="AX777" s="20" t="s">
        <v>23</v>
      </c>
      <c r="AY777" s="20">
        <v>10</v>
      </c>
      <c r="AZ777" s="20" t="s">
        <v>24</v>
      </c>
      <c r="BA777" s="20">
        <v>90</v>
      </c>
      <c r="BD777" s="14"/>
      <c r="BJ777" t="s">
        <v>255</v>
      </c>
      <c r="BK777" t="s">
        <v>184</v>
      </c>
      <c r="BN777" s="36">
        <v>100</v>
      </c>
      <c r="BO777" s="36">
        <v>100</v>
      </c>
      <c r="BP777">
        <f t="shared" si="66"/>
        <v>480</v>
      </c>
      <c r="BR777" s="38">
        <v>44713</v>
      </c>
      <c r="BS777" s="20" t="s">
        <v>185</v>
      </c>
      <c r="BT777" s="20" t="str">
        <f t="shared" si="67"/>
        <v>InCasa_COR22D614</v>
      </c>
    </row>
    <row r="778" spans="2:72" ht="18.75" customHeight="1" x14ac:dyDescent="0.25">
      <c r="B778" s="20">
        <f t="shared" si="68"/>
        <v>615</v>
      </c>
      <c r="C778" s="22" t="str">
        <f t="shared" si="64"/>
        <v>In Casa #615</v>
      </c>
      <c r="D778" t="str">
        <f t="shared" si="65"/>
        <v>COR22D615</v>
      </c>
      <c r="E778" s="58" t="s">
        <v>252</v>
      </c>
      <c r="F778" s="20">
        <v>1000</v>
      </c>
      <c r="G778" s="14" t="s">
        <v>354</v>
      </c>
      <c r="H778" s="23" t="s">
        <v>170</v>
      </c>
      <c r="J778" s="59" t="s">
        <v>38</v>
      </c>
      <c r="K778" s="22" t="s">
        <v>254</v>
      </c>
      <c r="L778" s="59" t="s">
        <v>171</v>
      </c>
      <c r="M778" s="22">
        <v>2</v>
      </c>
      <c r="V778" s="59" t="s">
        <v>176</v>
      </c>
      <c r="AL778" s="59" t="s">
        <v>40</v>
      </c>
      <c r="AM778" s="22" t="s">
        <v>188</v>
      </c>
      <c r="AV778" s="59" t="s">
        <v>134</v>
      </c>
      <c r="AW778" s="22" t="str">
        <f>Settings!$B$5 &amp;  "?s=" &amp; D778 &amp; "&amp;platform=ftx"</f>
        <v>https://tokensol.nfluent.io?s=COR22D615&amp;platform=ftx</v>
      </c>
      <c r="AX778" s="20" t="s">
        <v>23</v>
      </c>
      <c r="AY778" s="20">
        <v>10</v>
      </c>
      <c r="AZ778" s="20" t="s">
        <v>24</v>
      </c>
      <c r="BA778" s="20">
        <v>90</v>
      </c>
      <c r="BD778" s="14"/>
      <c r="BJ778" t="s">
        <v>255</v>
      </c>
      <c r="BK778" t="s">
        <v>184</v>
      </c>
      <c r="BN778" s="36">
        <v>100</v>
      </c>
      <c r="BO778" s="36">
        <v>100</v>
      </c>
      <c r="BP778">
        <f t="shared" si="66"/>
        <v>480</v>
      </c>
      <c r="BR778" s="38">
        <v>44713</v>
      </c>
      <c r="BS778" s="20" t="s">
        <v>185</v>
      </c>
      <c r="BT778" s="20" t="str">
        <f t="shared" si="67"/>
        <v>InCasa_COR22D615</v>
      </c>
    </row>
    <row r="779" spans="2:72" ht="18.75" customHeight="1" x14ac:dyDescent="0.25">
      <c r="B779" s="20">
        <f t="shared" si="68"/>
        <v>616</v>
      </c>
      <c r="C779" s="22" t="str">
        <f t="shared" si="64"/>
        <v>In Casa #616</v>
      </c>
      <c r="D779" t="str">
        <f t="shared" si="65"/>
        <v>COR22D616</v>
      </c>
      <c r="E779" s="58" t="s">
        <v>252</v>
      </c>
      <c r="F779" s="20">
        <v>1000</v>
      </c>
      <c r="G779" s="14" t="s">
        <v>354</v>
      </c>
      <c r="H779" s="23" t="s">
        <v>170</v>
      </c>
      <c r="J779" s="59" t="s">
        <v>38</v>
      </c>
      <c r="K779" s="22" t="s">
        <v>254</v>
      </c>
      <c r="L779" s="59" t="s">
        <v>171</v>
      </c>
      <c r="M779" s="22">
        <v>2</v>
      </c>
      <c r="V779" s="59" t="s">
        <v>176</v>
      </c>
      <c r="AL779" s="59" t="s">
        <v>40</v>
      </c>
      <c r="AM779" s="22" t="s">
        <v>188</v>
      </c>
      <c r="AV779" s="59" t="s">
        <v>134</v>
      </c>
      <c r="AW779" s="22" t="str">
        <f>Settings!$B$5 &amp;  "?s=" &amp; D779 &amp; "&amp;platform=ftx"</f>
        <v>https://tokensol.nfluent.io?s=COR22D616&amp;platform=ftx</v>
      </c>
      <c r="AX779" s="20" t="s">
        <v>23</v>
      </c>
      <c r="AY779" s="20">
        <v>10</v>
      </c>
      <c r="AZ779" s="20" t="s">
        <v>24</v>
      </c>
      <c r="BA779" s="20">
        <v>90</v>
      </c>
      <c r="BD779" s="14"/>
      <c r="BJ779" t="s">
        <v>255</v>
      </c>
      <c r="BK779" t="s">
        <v>184</v>
      </c>
      <c r="BN779" s="36">
        <v>100</v>
      </c>
      <c r="BO779" s="36">
        <v>100</v>
      </c>
      <c r="BP779">
        <f t="shared" si="66"/>
        <v>480</v>
      </c>
      <c r="BR779" s="38">
        <v>44713</v>
      </c>
      <c r="BS779" s="20" t="s">
        <v>185</v>
      </c>
      <c r="BT779" s="20" t="str">
        <f t="shared" si="67"/>
        <v>InCasa_COR22D616</v>
      </c>
    </row>
    <row r="780" spans="2:72" ht="18.75" customHeight="1" x14ac:dyDescent="0.25">
      <c r="B780" s="20">
        <f t="shared" si="68"/>
        <v>617</v>
      </c>
      <c r="C780" s="22" t="str">
        <f t="shared" si="64"/>
        <v>In Casa #617</v>
      </c>
      <c r="D780" t="str">
        <f t="shared" si="65"/>
        <v>COR22D617</v>
      </c>
      <c r="E780" s="58" t="s">
        <v>252</v>
      </c>
      <c r="F780" s="20">
        <v>1000</v>
      </c>
      <c r="G780" s="14" t="s">
        <v>354</v>
      </c>
      <c r="H780" s="23" t="s">
        <v>170</v>
      </c>
      <c r="J780" s="59" t="s">
        <v>38</v>
      </c>
      <c r="K780" s="22" t="s">
        <v>254</v>
      </c>
      <c r="L780" s="59" t="s">
        <v>171</v>
      </c>
      <c r="M780" s="22">
        <v>2</v>
      </c>
      <c r="V780" s="59" t="s">
        <v>176</v>
      </c>
      <c r="AL780" s="59" t="s">
        <v>40</v>
      </c>
      <c r="AM780" s="22" t="s">
        <v>188</v>
      </c>
      <c r="AV780" s="59" t="s">
        <v>134</v>
      </c>
      <c r="AW780" s="22" t="str">
        <f>Settings!$B$5 &amp;  "?s=" &amp; D780 &amp; "&amp;platform=ftx"</f>
        <v>https://tokensol.nfluent.io?s=COR22D617&amp;platform=ftx</v>
      </c>
      <c r="AX780" s="20" t="s">
        <v>23</v>
      </c>
      <c r="AY780" s="20">
        <v>10</v>
      </c>
      <c r="AZ780" s="20" t="s">
        <v>24</v>
      </c>
      <c r="BA780" s="20">
        <v>90</v>
      </c>
      <c r="BD780" s="14"/>
      <c r="BJ780" t="s">
        <v>255</v>
      </c>
      <c r="BK780" t="s">
        <v>184</v>
      </c>
      <c r="BN780" s="36">
        <v>100</v>
      </c>
      <c r="BO780" s="36">
        <v>100</v>
      </c>
      <c r="BP780">
        <f t="shared" si="66"/>
        <v>480</v>
      </c>
      <c r="BR780" s="38">
        <v>44713</v>
      </c>
      <c r="BS780" s="20" t="s">
        <v>185</v>
      </c>
      <c r="BT780" s="20" t="str">
        <f t="shared" si="67"/>
        <v>InCasa_COR22D617</v>
      </c>
    </row>
    <row r="781" spans="2:72" ht="18.75" customHeight="1" x14ac:dyDescent="0.25">
      <c r="B781" s="20">
        <f t="shared" si="68"/>
        <v>618</v>
      </c>
      <c r="C781" s="22" t="str">
        <f t="shared" si="64"/>
        <v>In Casa #618</v>
      </c>
      <c r="D781" t="str">
        <f t="shared" si="65"/>
        <v>COR22D618</v>
      </c>
      <c r="E781" s="58" t="s">
        <v>252</v>
      </c>
      <c r="F781" s="20">
        <v>1000</v>
      </c>
      <c r="G781" s="14" t="s">
        <v>354</v>
      </c>
      <c r="H781" s="23" t="s">
        <v>170</v>
      </c>
      <c r="J781" s="59" t="s">
        <v>38</v>
      </c>
      <c r="K781" s="22" t="s">
        <v>254</v>
      </c>
      <c r="L781" s="59" t="s">
        <v>171</v>
      </c>
      <c r="M781" s="22">
        <v>2</v>
      </c>
      <c r="V781" s="59" t="s">
        <v>176</v>
      </c>
      <c r="AL781" s="59" t="s">
        <v>40</v>
      </c>
      <c r="AM781" s="22" t="s">
        <v>188</v>
      </c>
      <c r="AV781" s="59" t="s">
        <v>134</v>
      </c>
      <c r="AW781" s="22" t="str">
        <f>Settings!$B$5 &amp;  "?s=" &amp; D781 &amp; "&amp;platform=ftx"</f>
        <v>https://tokensol.nfluent.io?s=COR22D618&amp;platform=ftx</v>
      </c>
      <c r="AX781" s="20" t="s">
        <v>23</v>
      </c>
      <c r="AY781" s="20">
        <v>10</v>
      </c>
      <c r="AZ781" s="20" t="s">
        <v>24</v>
      </c>
      <c r="BA781" s="20">
        <v>90</v>
      </c>
      <c r="BD781" s="14"/>
      <c r="BJ781" t="s">
        <v>255</v>
      </c>
      <c r="BK781" t="s">
        <v>184</v>
      </c>
      <c r="BN781" s="36">
        <v>100</v>
      </c>
      <c r="BO781" s="36">
        <v>100</v>
      </c>
      <c r="BP781">
        <f t="shared" si="66"/>
        <v>480</v>
      </c>
      <c r="BR781" s="38">
        <v>44713</v>
      </c>
      <c r="BS781" s="20" t="s">
        <v>185</v>
      </c>
      <c r="BT781" s="20" t="str">
        <f t="shared" si="67"/>
        <v>InCasa_COR22D618</v>
      </c>
    </row>
    <row r="782" spans="2:72" ht="18.75" customHeight="1" x14ac:dyDescent="0.25">
      <c r="B782" s="20">
        <f t="shared" si="68"/>
        <v>619</v>
      </c>
      <c r="C782" s="22" t="str">
        <f t="shared" si="64"/>
        <v>In Casa #619</v>
      </c>
      <c r="D782" t="str">
        <f t="shared" si="65"/>
        <v>COR22D619</v>
      </c>
      <c r="E782" s="58" t="s">
        <v>252</v>
      </c>
      <c r="F782" s="20">
        <v>1000</v>
      </c>
      <c r="G782" s="14" t="s">
        <v>354</v>
      </c>
      <c r="H782" s="23" t="s">
        <v>170</v>
      </c>
      <c r="J782" s="59" t="s">
        <v>38</v>
      </c>
      <c r="K782" s="22" t="s">
        <v>254</v>
      </c>
      <c r="L782" s="59" t="s">
        <v>171</v>
      </c>
      <c r="M782" s="22">
        <v>2</v>
      </c>
      <c r="V782" s="59" t="s">
        <v>176</v>
      </c>
      <c r="AL782" s="59" t="s">
        <v>40</v>
      </c>
      <c r="AM782" s="22" t="s">
        <v>188</v>
      </c>
      <c r="AV782" s="59" t="s">
        <v>134</v>
      </c>
      <c r="AW782" s="22" t="str">
        <f>Settings!$B$5 &amp;  "?s=" &amp; D782 &amp; "&amp;platform=ftx"</f>
        <v>https://tokensol.nfluent.io?s=COR22D619&amp;platform=ftx</v>
      </c>
      <c r="AX782" s="20" t="s">
        <v>23</v>
      </c>
      <c r="AY782" s="20">
        <v>10</v>
      </c>
      <c r="AZ782" s="20" t="s">
        <v>24</v>
      </c>
      <c r="BA782" s="20">
        <v>90</v>
      </c>
      <c r="BD782" s="14"/>
      <c r="BJ782" t="s">
        <v>255</v>
      </c>
      <c r="BK782" t="s">
        <v>184</v>
      </c>
      <c r="BN782" s="36">
        <v>100</v>
      </c>
      <c r="BO782" s="36">
        <v>100</v>
      </c>
      <c r="BP782">
        <f t="shared" si="66"/>
        <v>480</v>
      </c>
      <c r="BR782" s="38">
        <v>44713</v>
      </c>
      <c r="BS782" s="20" t="s">
        <v>185</v>
      </c>
      <c r="BT782" s="20" t="str">
        <f t="shared" si="67"/>
        <v>InCasa_COR22D619</v>
      </c>
    </row>
    <row r="783" spans="2:72" ht="18.75" customHeight="1" x14ac:dyDescent="0.25">
      <c r="B783" s="20">
        <f t="shared" si="68"/>
        <v>620</v>
      </c>
      <c r="C783" s="22" t="str">
        <f t="shared" si="64"/>
        <v>In Casa #620</v>
      </c>
      <c r="D783" t="str">
        <f t="shared" si="65"/>
        <v>COR22D620</v>
      </c>
      <c r="E783" s="58" t="s">
        <v>252</v>
      </c>
      <c r="F783" s="20">
        <v>1000</v>
      </c>
      <c r="G783" s="14" t="s">
        <v>354</v>
      </c>
      <c r="H783" s="23" t="s">
        <v>170</v>
      </c>
      <c r="J783" s="59" t="s">
        <v>38</v>
      </c>
      <c r="K783" s="22" t="s">
        <v>254</v>
      </c>
      <c r="L783" s="59" t="s">
        <v>171</v>
      </c>
      <c r="M783" s="22">
        <v>2</v>
      </c>
      <c r="V783" s="59" t="s">
        <v>176</v>
      </c>
      <c r="AL783" s="59" t="s">
        <v>40</v>
      </c>
      <c r="AM783" s="22" t="s">
        <v>188</v>
      </c>
      <c r="AV783" s="59" t="s">
        <v>134</v>
      </c>
      <c r="AW783" s="22" t="str">
        <f>Settings!$B$5 &amp;  "?s=" &amp; D783 &amp; "&amp;platform=ftx"</f>
        <v>https://tokensol.nfluent.io?s=COR22D620&amp;platform=ftx</v>
      </c>
      <c r="AX783" s="20" t="s">
        <v>23</v>
      </c>
      <c r="AY783" s="20">
        <v>10</v>
      </c>
      <c r="AZ783" s="20" t="s">
        <v>24</v>
      </c>
      <c r="BA783" s="20">
        <v>90</v>
      </c>
      <c r="BD783" s="14"/>
      <c r="BJ783" t="s">
        <v>255</v>
      </c>
      <c r="BK783" t="s">
        <v>184</v>
      </c>
      <c r="BN783" s="36">
        <v>100</v>
      </c>
      <c r="BO783" s="36">
        <v>100</v>
      </c>
      <c r="BP783">
        <f t="shared" si="66"/>
        <v>480</v>
      </c>
      <c r="BR783" s="38">
        <v>44713</v>
      </c>
      <c r="BS783" s="20" t="s">
        <v>185</v>
      </c>
      <c r="BT783" s="20" t="str">
        <f t="shared" si="67"/>
        <v>InCasa_COR22D620</v>
      </c>
    </row>
    <row r="784" spans="2:72" ht="18.75" customHeight="1" x14ac:dyDescent="0.25">
      <c r="B784" s="20">
        <f t="shared" si="68"/>
        <v>621</v>
      </c>
      <c r="C784" s="22" t="str">
        <f t="shared" si="64"/>
        <v>In Casa #621</v>
      </c>
      <c r="D784" t="str">
        <f t="shared" si="65"/>
        <v>COR22D621</v>
      </c>
      <c r="E784" s="58" t="s">
        <v>252</v>
      </c>
      <c r="F784" s="20">
        <v>1000</v>
      </c>
      <c r="G784" s="14" t="s">
        <v>354</v>
      </c>
      <c r="H784" s="23" t="s">
        <v>170</v>
      </c>
      <c r="J784" s="59" t="s">
        <v>38</v>
      </c>
      <c r="K784" s="22" t="s">
        <v>254</v>
      </c>
      <c r="L784" s="59" t="s">
        <v>171</v>
      </c>
      <c r="M784" s="22">
        <v>2</v>
      </c>
      <c r="V784" s="59" t="s">
        <v>176</v>
      </c>
      <c r="AL784" s="59" t="s">
        <v>40</v>
      </c>
      <c r="AM784" s="22" t="s">
        <v>188</v>
      </c>
      <c r="AV784" s="59" t="s">
        <v>134</v>
      </c>
      <c r="AW784" s="22" t="str">
        <f>Settings!$B$5 &amp;  "?s=" &amp; D784 &amp; "&amp;platform=ftx"</f>
        <v>https://tokensol.nfluent.io?s=COR22D621&amp;platform=ftx</v>
      </c>
      <c r="AX784" s="20" t="s">
        <v>23</v>
      </c>
      <c r="AY784" s="20">
        <v>10</v>
      </c>
      <c r="AZ784" s="20" t="s">
        <v>24</v>
      </c>
      <c r="BA784" s="20">
        <v>90</v>
      </c>
      <c r="BD784" s="14"/>
      <c r="BJ784" t="s">
        <v>255</v>
      </c>
      <c r="BK784" t="s">
        <v>184</v>
      </c>
      <c r="BN784" s="36">
        <v>100</v>
      </c>
      <c r="BO784" s="36">
        <v>100</v>
      </c>
      <c r="BP784">
        <f t="shared" si="66"/>
        <v>480</v>
      </c>
      <c r="BR784" s="38">
        <v>44713</v>
      </c>
      <c r="BS784" s="20" t="s">
        <v>185</v>
      </c>
      <c r="BT784" s="20" t="str">
        <f t="shared" si="67"/>
        <v>InCasa_COR22D621</v>
      </c>
    </row>
    <row r="785" spans="2:72" ht="18.75" customHeight="1" x14ac:dyDescent="0.25">
      <c r="B785" s="20">
        <f t="shared" si="68"/>
        <v>622</v>
      </c>
      <c r="C785" s="22" t="str">
        <f t="shared" si="64"/>
        <v>In Casa #622</v>
      </c>
      <c r="D785" t="str">
        <f t="shared" si="65"/>
        <v>COR22D622</v>
      </c>
      <c r="E785" s="58" t="s">
        <v>252</v>
      </c>
      <c r="F785" s="20">
        <v>1000</v>
      </c>
      <c r="G785" s="14" t="s">
        <v>354</v>
      </c>
      <c r="H785" s="23" t="s">
        <v>170</v>
      </c>
      <c r="J785" s="59" t="s">
        <v>38</v>
      </c>
      <c r="K785" s="22" t="s">
        <v>254</v>
      </c>
      <c r="L785" s="59" t="s">
        <v>171</v>
      </c>
      <c r="M785" s="22">
        <v>2</v>
      </c>
      <c r="V785" s="59" t="s">
        <v>176</v>
      </c>
      <c r="AL785" s="59" t="s">
        <v>40</v>
      </c>
      <c r="AM785" s="22" t="s">
        <v>188</v>
      </c>
      <c r="AV785" s="59" t="s">
        <v>134</v>
      </c>
      <c r="AW785" s="22" t="str">
        <f>Settings!$B$5 &amp;  "?s=" &amp; D785 &amp; "&amp;platform=ftx"</f>
        <v>https://tokensol.nfluent.io?s=COR22D622&amp;platform=ftx</v>
      </c>
      <c r="AX785" s="20" t="s">
        <v>23</v>
      </c>
      <c r="AY785" s="20">
        <v>10</v>
      </c>
      <c r="AZ785" s="20" t="s">
        <v>24</v>
      </c>
      <c r="BA785" s="20">
        <v>90</v>
      </c>
      <c r="BD785" s="14"/>
      <c r="BJ785" t="s">
        <v>255</v>
      </c>
      <c r="BK785" t="s">
        <v>184</v>
      </c>
      <c r="BN785" s="36">
        <v>100</v>
      </c>
      <c r="BO785" s="36">
        <v>100</v>
      </c>
      <c r="BP785">
        <f t="shared" si="66"/>
        <v>480</v>
      </c>
      <c r="BR785" s="38">
        <v>44713</v>
      </c>
      <c r="BS785" s="20" t="s">
        <v>185</v>
      </c>
      <c r="BT785" s="20" t="str">
        <f t="shared" si="67"/>
        <v>InCasa_COR22D622</v>
      </c>
    </row>
    <row r="786" spans="2:72" ht="18.75" customHeight="1" x14ac:dyDescent="0.25">
      <c r="B786" s="20">
        <f t="shared" si="68"/>
        <v>623</v>
      </c>
      <c r="C786" s="22" t="str">
        <f t="shared" si="64"/>
        <v>In Casa #623</v>
      </c>
      <c r="D786" t="str">
        <f t="shared" si="65"/>
        <v>COR22D623</v>
      </c>
      <c r="E786" s="58" t="s">
        <v>252</v>
      </c>
      <c r="F786" s="20">
        <v>1000</v>
      </c>
      <c r="G786" s="14" t="s">
        <v>354</v>
      </c>
      <c r="H786" s="23" t="s">
        <v>170</v>
      </c>
      <c r="J786" s="59" t="s">
        <v>38</v>
      </c>
      <c r="K786" s="22" t="s">
        <v>254</v>
      </c>
      <c r="L786" s="59" t="s">
        <v>171</v>
      </c>
      <c r="M786" s="22">
        <v>2</v>
      </c>
      <c r="V786" s="59" t="s">
        <v>176</v>
      </c>
      <c r="AL786" s="59" t="s">
        <v>40</v>
      </c>
      <c r="AM786" s="22" t="s">
        <v>188</v>
      </c>
      <c r="AV786" s="59" t="s">
        <v>134</v>
      </c>
      <c r="AW786" s="22" t="str">
        <f>Settings!$B$5 &amp;  "?s=" &amp; D786 &amp; "&amp;platform=ftx"</f>
        <v>https://tokensol.nfluent.io?s=COR22D623&amp;platform=ftx</v>
      </c>
      <c r="AX786" s="20" t="s">
        <v>23</v>
      </c>
      <c r="AY786" s="20">
        <v>10</v>
      </c>
      <c r="AZ786" s="20" t="s">
        <v>24</v>
      </c>
      <c r="BA786" s="20">
        <v>90</v>
      </c>
      <c r="BD786" s="14"/>
      <c r="BJ786" t="s">
        <v>255</v>
      </c>
      <c r="BK786" t="s">
        <v>184</v>
      </c>
      <c r="BN786" s="36">
        <v>100</v>
      </c>
      <c r="BO786" s="36">
        <v>100</v>
      </c>
      <c r="BP786">
        <f t="shared" si="66"/>
        <v>480</v>
      </c>
      <c r="BR786" s="38">
        <v>44713</v>
      </c>
      <c r="BS786" s="20" t="s">
        <v>185</v>
      </c>
      <c r="BT786" s="20" t="str">
        <f t="shared" si="67"/>
        <v>InCasa_COR22D623</v>
      </c>
    </row>
    <row r="787" spans="2:72" ht="18.75" customHeight="1" x14ac:dyDescent="0.25">
      <c r="B787" s="20">
        <f t="shared" si="68"/>
        <v>624</v>
      </c>
      <c r="C787" s="22" t="str">
        <f t="shared" si="64"/>
        <v>In Casa #624</v>
      </c>
      <c r="D787" t="str">
        <f t="shared" si="65"/>
        <v>COR22D624</v>
      </c>
      <c r="E787" s="58" t="s">
        <v>252</v>
      </c>
      <c r="F787" s="20">
        <v>1000</v>
      </c>
      <c r="G787" s="14" t="s">
        <v>354</v>
      </c>
      <c r="H787" s="23" t="s">
        <v>170</v>
      </c>
      <c r="J787" s="59" t="s">
        <v>38</v>
      </c>
      <c r="K787" s="22" t="s">
        <v>254</v>
      </c>
      <c r="L787" s="59" t="s">
        <v>171</v>
      </c>
      <c r="M787" s="22">
        <v>2</v>
      </c>
      <c r="V787" s="59" t="s">
        <v>176</v>
      </c>
      <c r="AL787" s="59" t="s">
        <v>40</v>
      </c>
      <c r="AM787" s="22" t="s">
        <v>188</v>
      </c>
      <c r="AV787" s="59" t="s">
        <v>134</v>
      </c>
      <c r="AW787" s="22" t="str">
        <f>Settings!$B$5 &amp;  "?s=" &amp; D787 &amp; "&amp;platform=ftx"</f>
        <v>https://tokensol.nfluent.io?s=COR22D624&amp;platform=ftx</v>
      </c>
      <c r="AX787" s="20" t="s">
        <v>23</v>
      </c>
      <c r="AY787" s="20">
        <v>10</v>
      </c>
      <c r="AZ787" s="20" t="s">
        <v>24</v>
      </c>
      <c r="BA787" s="20">
        <v>90</v>
      </c>
      <c r="BD787" s="14"/>
      <c r="BJ787" t="s">
        <v>255</v>
      </c>
      <c r="BK787" t="s">
        <v>184</v>
      </c>
      <c r="BN787" s="36">
        <v>100</v>
      </c>
      <c r="BO787" s="36">
        <v>100</v>
      </c>
      <c r="BP787">
        <f t="shared" si="66"/>
        <v>480</v>
      </c>
      <c r="BR787" s="38">
        <v>44713</v>
      </c>
      <c r="BS787" s="20" t="s">
        <v>185</v>
      </c>
      <c r="BT787" s="20" t="str">
        <f t="shared" si="67"/>
        <v>InCasa_COR22D624</v>
      </c>
    </row>
    <row r="788" spans="2:72" ht="18.75" customHeight="1" x14ac:dyDescent="0.25">
      <c r="B788" s="20">
        <f t="shared" si="68"/>
        <v>625</v>
      </c>
      <c r="C788" s="22" t="str">
        <f t="shared" si="64"/>
        <v>In Casa #625</v>
      </c>
      <c r="D788" t="str">
        <f t="shared" si="65"/>
        <v>COR22D625</v>
      </c>
      <c r="E788" s="58" t="s">
        <v>252</v>
      </c>
      <c r="F788" s="20">
        <v>1000</v>
      </c>
      <c r="G788" s="14" t="s">
        <v>354</v>
      </c>
      <c r="H788" s="23" t="s">
        <v>170</v>
      </c>
      <c r="J788" s="59" t="s">
        <v>38</v>
      </c>
      <c r="K788" s="22" t="s">
        <v>254</v>
      </c>
      <c r="L788" s="59" t="s">
        <v>171</v>
      </c>
      <c r="M788" s="22">
        <v>2</v>
      </c>
      <c r="V788" s="59" t="s">
        <v>176</v>
      </c>
      <c r="AL788" s="59" t="s">
        <v>40</v>
      </c>
      <c r="AM788" s="22" t="s">
        <v>188</v>
      </c>
      <c r="AV788" s="59" t="s">
        <v>134</v>
      </c>
      <c r="AW788" s="22" t="str">
        <f>Settings!$B$5 &amp;  "?s=" &amp; D788 &amp; "&amp;platform=ftx"</f>
        <v>https://tokensol.nfluent.io?s=COR22D625&amp;platform=ftx</v>
      </c>
      <c r="AX788" s="20" t="s">
        <v>23</v>
      </c>
      <c r="AY788" s="20">
        <v>10</v>
      </c>
      <c r="AZ788" s="20" t="s">
        <v>24</v>
      </c>
      <c r="BA788" s="20">
        <v>90</v>
      </c>
      <c r="BD788" s="14"/>
      <c r="BJ788" t="s">
        <v>255</v>
      </c>
      <c r="BK788" t="s">
        <v>184</v>
      </c>
      <c r="BN788" s="36">
        <v>100</v>
      </c>
      <c r="BO788" s="36">
        <v>100</v>
      </c>
      <c r="BP788">
        <f t="shared" si="66"/>
        <v>480</v>
      </c>
      <c r="BR788" s="38">
        <v>44713</v>
      </c>
      <c r="BS788" s="20" t="s">
        <v>185</v>
      </c>
      <c r="BT788" s="20" t="str">
        <f t="shared" si="67"/>
        <v>InCasa_COR22D625</v>
      </c>
    </row>
    <row r="789" spans="2:72" ht="18.75" customHeight="1" x14ac:dyDescent="0.25">
      <c r="B789" s="20">
        <f t="shared" si="68"/>
        <v>626</v>
      </c>
      <c r="C789" s="22" t="str">
        <f t="shared" si="64"/>
        <v>In Casa #626</v>
      </c>
      <c r="D789" t="str">
        <f t="shared" si="65"/>
        <v>COR22D626</v>
      </c>
      <c r="E789" s="58" t="s">
        <v>252</v>
      </c>
      <c r="F789" s="20">
        <v>1000</v>
      </c>
      <c r="G789" s="14" t="s">
        <v>354</v>
      </c>
      <c r="H789" s="23" t="s">
        <v>170</v>
      </c>
      <c r="J789" s="59" t="s">
        <v>38</v>
      </c>
      <c r="K789" s="22" t="s">
        <v>254</v>
      </c>
      <c r="L789" s="59" t="s">
        <v>171</v>
      </c>
      <c r="M789" s="22">
        <v>2</v>
      </c>
      <c r="V789" s="59" t="s">
        <v>176</v>
      </c>
      <c r="AL789" s="59" t="s">
        <v>40</v>
      </c>
      <c r="AM789" s="22" t="s">
        <v>188</v>
      </c>
      <c r="AV789" s="59" t="s">
        <v>134</v>
      </c>
      <c r="AW789" s="22" t="str">
        <f>Settings!$B$5 &amp;  "?s=" &amp; D789 &amp; "&amp;platform=ftx"</f>
        <v>https://tokensol.nfluent.io?s=COR22D626&amp;platform=ftx</v>
      </c>
      <c r="AX789" s="20" t="s">
        <v>23</v>
      </c>
      <c r="AY789" s="20">
        <v>10</v>
      </c>
      <c r="AZ789" s="20" t="s">
        <v>24</v>
      </c>
      <c r="BA789" s="20">
        <v>90</v>
      </c>
      <c r="BD789" s="14"/>
      <c r="BJ789" t="s">
        <v>255</v>
      </c>
      <c r="BK789" t="s">
        <v>184</v>
      </c>
      <c r="BN789" s="36">
        <v>100</v>
      </c>
      <c r="BO789" s="36">
        <v>100</v>
      </c>
      <c r="BP789">
        <f t="shared" si="66"/>
        <v>480</v>
      </c>
      <c r="BR789" s="38">
        <v>44713</v>
      </c>
      <c r="BS789" s="20" t="s">
        <v>185</v>
      </c>
      <c r="BT789" s="20" t="str">
        <f t="shared" si="67"/>
        <v>InCasa_COR22D626</v>
      </c>
    </row>
    <row r="790" spans="2:72" ht="18.75" customHeight="1" x14ac:dyDescent="0.25">
      <c r="B790" s="20">
        <f t="shared" si="68"/>
        <v>627</v>
      </c>
      <c r="C790" s="22" t="str">
        <f t="shared" si="64"/>
        <v>In Casa #627</v>
      </c>
      <c r="D790" t="str">
        <f t="shared" si="65"/>
        <v>COR22D627</v>
      </c>
      <c r="E790" s="58" t="s">
        <v>252</v>
      </c>
      <c r="F790" s="20">
        <v>1000</v>
      </c>
      <c r="G790" s="14" t="s">
        <v>354</v>
      </c>
      <c r="H790" s="23" t="s">
        <v>170</v>
      </c>
      <c r="J790" s="59" t="s">
        <v>38</v>
      </c>
      <c r="K790" s="22" t="s">
        <v>254</v>
      </c>
      <c r="L790" s="59" t="s">
        <v>171</v>
      </c>
      <c r="M790" s="22">
        <v>2</v>
      </c>
      <c r="V790" s="59" t="s">
        <v>176</v>
      </c>
      <c r="AL790" s="59" t="s">
        <v>40</v>
      </c>
      <c r="AM790" s="22" t="s">
        <v>188</v>
      </c>
      <c r="AV790" s="59" t="s">
        <v>134</v>
      </c>
      <c r="AW790" s="22" t="str">
        <f>Settings!$B$5 &amp;  "?s=" &amp; D790 &amp; "&amp;platform=ftx"</f>
        <v>https://tokensol.nfluent.io?s=COR22D627&amp;platform=ftx</v>
      </c>
      <c r="AX790" s="20" t="s">
        <v>23</v>
      </c>
      <c r="AY790" s="20">
        <v>10</v>
      </c>
      <c r="AZ790" s="20" t="s">
        <v>24</v>
      </c>
      <c r="BA790" s="20">
        <v>90</v>
      </c>
      <c r="BD790" s="14"/>
      <c r="BJ790" t="s">
        <v>255</v>
      </c>
      <c r="BK790" t="s">
        <v>184</v>
      </c>
      <c r="BN790" s="36">
        <v>100</v>
      </c>
      <c r="BO790" s="36">
        <v>100</v>
      </c>
      <c r="BP790">
        <f t="shared" si="66"/>
        <v>480</v>
      </c>
      <c r="BR790" s="38">
        <v>44713</v>
      </c>
      <c r="BS790" s="20" t="s">
        <v>185</v>
      </c>
      <c r="BT790" s="20" t="str">
        <f t="shared" si="67"/>
        <v>InCasa_COR22D627</v>
      </c>
    </row>
    <row r="791" spans="2:72" ht="18.75" customHeight="1" x14ac:dyDescent="0.25">
      <c r="B791" s="20">
        <f t="shared" si="68"/>
        <v>628</v>
      </c>
      <c r="C791" s="22" t="str">
        <f t="shared" si="64"/>
        <v>In Casa #628</v>
      </c>
      <c r="D791" t="str">
        <f t="shared" si="65"/>
        <v>COR22D628</v>
      </c>
      <c r="E791" s="58" t="s">
        <v>252</v>
      </c>
      <c r="F791" s="20">
        <v>1000</v>
      </c>
      <c r="G791" s="14" t="s">
        <v>354</v>
      </c>
      <c r="H791" s="23" t="s">
        <v>170</v>
      </c>
      <c r="J791" s="59" t="s">
        <v>38</v>
      </c>
      <c r="K791" s="22" t="s">
        <v>254</v>
      </c>
      <c r="L791" s="59" t="s">
        <v>171</v>
      </c>
      <c r="M791" s="22">
        <v>2</v>
      </c>
      <c r="V791" s="59" t="s">
        <v>176</v>
      </c>
      <c r="AL791" s="59" t="s">
        <v>40</v>
      </c>
      <c r="AM791" s="22" t="s">
        <v>188</v>
      </c>
      <c r="AV791" s="59" t="s">
        <v>134</v>
      </c>
      <c r="AW791" s="22" t="str">
        <f>Settings!$B$5 &amp;  "?s=" &amp; D791 &amp; "&amp;platform=ftx"</f>
        <v>https://tokensol.nfluent.io?s=COR22D628&amp;platform=ftx</v>
      </c>
      <c r="AX791" s="20" t="s">
        <v>23</v>
      </c>
      <c r="AY791" s="20">
        <v>10</v>
      </c>
      <c r="AZ791" s="20" t="s">
        <v>24</v>
      </c>
      <c r="BA791" s="20">
        <v>90</v>
      </c>
      <c r="BD791" s="14"/>
      <c r="BJ791" t="s">
        <v>255</v>
      </c>
      <c r="BK791" t="s">
        <v>184</v>
      </c>
      <c r="BN791" s="36">
        <v>100</v>
      </c>
      <c r="BO791" s="36">
        <v>100</v>
      </c>
      <c r="BP791">
        <f t="shared" si="66"/>
        <v>480</v>
      </c>
      <c r="BR791" s="38">
        <v>44713</v>
      </c>
      <c r="BS791" s="20" t="s">
        <v>185</v>
      </c>
      <c r="BT791" s="20" t="str">
        <f t="shared" si="67"/>
        <v>InCasa_COR22D628</v>
      </c>
    </row>
    <row r="792" spans="2:72" ht="18.75" customHeight="1" x14ac:dyDescent="0.25">
      <c r="B792" s="20">
        <f t="shared" si="68"/>
        <v>629</v>
      </c>
      <c r="C792" s="22" t="str">
        <f t="shared" si="64"/>
        <v>In Casa #629</v>
      </c>
      <c r="D792" t="str">
        <f t="shared" si="65"/>
        <v>COR22D629</v>
      </c>
      <c r="E792" s="58" t="s">
        <v>252</v>
      </c>
      <c r="F792" s="20">
        <v>1000</v>
      </c>
      <c r="G792" s="14" t="s">
        <v>354</v>
      </c>
      <c r="H792" s="23" t="s">
        <v>170</v>
      </c>
      <c r="J792" s="59" t="s">
        <v>38</v>
      </c>
      <c r="K792" s="22" t="s">
        <v>254</v>
      </c>
      <c r="L792" s="59" t="s">
        <v>171</v>
      </c>
      <c r="M792" s="22">
        <v>2</v>
      </c>
      <c r="V792" s="59" t="s">
        <v>176</v>
      </c>
      <c r="AL792" s="59" t="s">
        <v>40</v>
      </c>
      <c r="AM792" s="22" t="s">
        <v>188</v>
      </c>
      <c r="AV792" s="59" t="s">
        <v>134</v>
      </c>
      <c r="AW792" s="22" t="str">
        <f>Settings!$B$5 &amp;  "?s=" &amp; D792 &amp; "&amp;platform=ftx"</f>
        <v>https://tokensol.nfluent.io?s=COR22D629&amp;platform=ftx</v>
      </c>
      <c r="AX792" s="20" t="s">
        <v>23</v>
      </c>
      <c r="AY792" s="20">
        <v>10</v>
      </c>
      <c r="AZ792" s="20" t="s">
        <v>24</v>
      </c>
      <c r="BA792" s="20">
        <v>90</v>
      </c>
      <c r="BD792" s="14"/>
      <c r="BJ792" t="s">
        <v>255</v>
      </c>
      <c r="BK792" t="s">
        <v>184</v>
      </c>
      <c r="BN792" s="36">
        <v>100</v>
      </c>
      <c r="BO792" s="36">
        <v>100</v>
      </c>
      <c r="BP792">
        <f t="shared" si="66"/>
        <v>480</v>
      </c>
      <c r="BR792" s="38">
        <v>44713</v>
      </c>
      <c r="BS792" s="20" t="s">
        <v>185</v>
      </c>
      <c r="BT792" s="20" t="str">
        <f t="shared" si="67"/>
        <v>InCasa_COR22D629</v>
      </c>
    </row>
    <row r="793" spans="2:72" ht="18.75" customHeight="1" x14ac:dyDescent="0.25">
      <c r="B793" s="20">
        <f t="shared" si="68"/>
        <v>630</v>
      </c>
      <c r="C793" s="22" t="str">
        <f t="shared" si="64"/>
        <v>In Casa #630</v>
      </c>
      <c r="D793" t="str">
        <f t="shared" si="65"/>
        <v>COR22D630</v>
      </c>
      <c r="E793" s="58" t="s">
        <v>252</v>
      </c>
      <c r="F793" s="20">
        <v>1000</v>
      </c>
      <c r="G793" s="14" t="s">
        <v>354</v>
      </c>
      <c r="H793" s="23" t="s">
        <v>170</v>
      </c>
      <c r="J793" s="59" t="s">
        <v>38</v>
      </c>
      <c r="K793" s="22" t="s">
        <v>254</v>
      </c>
      <c r="L793" s="59" t="s">
        <v>171</v>
      </c>
      <c r="M793" s="22">
        <v>2</v>
      </c>
      <c r="V793" s="59" t="s">
        <v>176</v>
      </c>
      <c r="AL793" s="59" t="s">
        <v>40</v>
      </c>
      <c r="AM793" s="22" t="s">
        <v>188</v>
      </c>
      <c r="AV793" s="59" t="s">
        <v>134</v>
      </c>
      <c r="AW793" s="22" t="str">
        <f>Settings!$B$5 &amp;  "?s=" &amp; D793 &amp; "&amp;platform=ftx"</f>
        <v>https://tokensol.nfluent.io?s=COR22D630&amp;platform=ftx</v>
      </c>
      <c r="AX793" s="20" t="s">
        <v>23</v>
      </c>
      <c r="AY793" s="20">
        <v>10</v>
      </c>
      <c r="AZ793" s="20" t="s">
        <v>24</v>
      </c>
      <c r="BA793" s="20">
        <v>90</v>
      </c>
      <c r="BD793" s="14"/>
      <c r="BJ793" t="s">
        <v>255</v>
      </c>
      <c r="BK793" t="s">
        <v>184</v>
      </c>
      <c r="BN793" s="36">
        <v>100</v>
      </c>
      <c r="BO793" s="36">
        <v>100</v>
      </c>
      <c r="BP793">
        <f t="shared" si="66"/>
        <v>480</v>
      </c>
      <c r="BR793" s="38">
        <v>44713</v>
      </c>
      <c r="BS793" s="20" t="s">
        <v>185</v>
      </c>
      <c r="BT793" s="20" t="str">
        <f t="shared" si="67"/>
        <v>InCasa_COR22D630</v>
      </c>
    </row>
    <row r="794" spans="2:72" ht="18.75" customHeight="1" x14ac:dyDescent="0.25">
      <c r="B794" s="20">
        <f t="shared" si="68"/>
        <v>631</v>
      </c>
      <c r="C794" s="22" t="str">
        <f t="shared" si="64"/>
        <v>In Casa #631</v>
      </c>
      <c r="D794" t="str">
        <f t="shared" si="65"/>
        <v>COR22D631</v>
      </c>
      <c r="E794" s="58" t="s">
        <v>252</v>
      </c>
      <c r="F794" s="20">
        <v>1000</v>
      </c>
      <c r="G794" s="14" t="s">
        <v>354</v>
      </c>
      <c r="H794" s="23" t="s">
        <v>170</v>
      </c>
      <c r="J794" s="59" t="s">
        <v>38</v>
      </c>
      <c r="K794" s="22" t="s">
        <v>254</v>
      </c>
      <c r="L794" s="59" t="s">
        <v>171</v>
      </c>
      <c r="M794" s="22">
        <v>2</v>
      </c>
      <c r="V794" s="59" t="s">
        <v>176</v>
      </c>
      <c r="AL794" s="59" t="s">
        <v>40</v>
      </c>
      <c r="AM794" s="22" t="s">
        <v>188</v>
      </c>
      <c r="AV794" s="59" t="s">
        <v>134</v>
      </c>
      <c r="AW794" s="22" t="str">
        <f>Settings!$B$5 &amp;  "?s=" &amp; D794 &amp; "&amp;platform=ftx"</f>
        <v>https://tokensol.nfluent.io?s=COR22D631&amp;platform=ftx</v>
      </c>
      <c r="AX794" s="20" t="s">
        <v>23</v>
      </c>
      <c r="AY794" s="20">
        <v>10</v>
      </c>
      <c r="AZ794" s="20" t="s">
        <v>24</v>
      </c>
      <c r="BA794" s="20">
        <v>90</v>
      </c>
      <c r="BD794" s="14"/>
      <c r="BJ794" t="s">
        <v>255</v>
      </c>
      <c r="BK794" t="s">
        <v>184</v>
      </c>
      <c r="BN794" s="36">
        <v>100</v>
      </c>
      <c r="BO794" s="36">
        <v>100</v>
      </c>
      <c r="BP794">
        <f t="shared" si="66"/>
        <v>480</v>
      </c>
      <c r="BR794" s="38">
        <v>44713</v>
      </c>
      <c r="BS794" s="20" t="s">
        <v>185</v>
      </c>
      <c r="BT794" s="20" t="str">
        <f t="shared" si="67"/>
        <v>InCasa_COR22D631</v>
      </c>
    </row>
    <row r="795" spans="2:72" ht="18.75" customHeight="1" x14ac:dyDescent="0.25">
      <c r="B795" s="20">
        <f t="shared" si="68"/>
        <v>632</v>
      </c>
      <c r="C795" s="22" t="str">
        <f t="shared" si="64"/>
        <v>In Casa #632</v>
      </c>
      <c r="D795" t="str">
        <f t="shared" si="65"/>
        <v>COR22D632</v>
      </c>
      <c r="E795" s="58" t="s">
        <v>252</v>
      </c>
      <c r="F795" s="20">
        <v>1000</v>
      </c>
      <c r="G795" s="14" t="s">
        <v>354</v>
      </c>
      <c r="H795" s="23" t="s">
        <v>170</v>
      </c>
      <c r="J795" s="59" t="s">
        <v>38</v>
      </c>
      <c r="K795" s="22" t="s">
        <v>254</v>
      </c>
      <c r="L795" s="59" t="s">
        <v>171</v>
      </c>
      <c r="M795" s="22">
        <v>2</v>
      </c>
      <c r="V795" s="59" t="s">
        <v>176</v>
      </c>
      <c r="AL795" s="59" t="s">
        <v>40</v>
      </c>
      <c r="AM795" s="22" t="s">
        <v>188</v>
      </c>
      <c r="AV795" s="59" t="s">
        <v>134</v>
      </c>
      <c r="AW795" s="22" t="str">
        <f>Settings!$B$5 &amp;  "?s=" &amp; D795 &amp; "&amp;platform=ftx"</f>
        <v>https://tokensol.nfluent.io?s=COR22D632&amp;platform=ftx</v>
      </c>
      <c r="AX795" s="20" t="s">
        <v>23</v>
      </c>
      <c r="AY795" s="20">
        <v>10</v>
      </c>
      <c r="AZ795" s="20" t="s">
        <v>24</v>
      </c>
      <c r="BA795" s="20">
        <v>90</v>
      </c>
      <c r="BD795" s="14"/>
      <c r="BJ795" t="s">
        <v>255</v>
      </c>
      <c r="BK795" t="s">
        <v>184</v>
      </c>
      <c r="BN795" s="36">
        <v>100</v>
      </c>
      <c r="BO795" s="36">
        <v>100</v>
      </c>
      <c r="BP795">
        <f t="shared" si="66"/>
        <v>480</v>
      </c>
      <c r="BR795" s="38">
        <v>44713</v>
      </c>
      <c r="BS795" s="20" t="s">
        <v>185</v>
      </c>
      <c r="BT795" s="20" t="str">
        <f t="shared" si="67"/>
        <v>InCasa_COR22D632</v>
      </c>
    </row>
    <row r="796" spans="2:72" ht="18.75" customHeight="1" x14ac:dyDescent="0.25">
      <c r="B796" s="20">
        <f t="shared" si="68"/>
        <v>633</v>
      </c>
      <c r="C796" s="22" t="str">
        <f t="shared" si="64"/>
        <v>In Casa #633</v>
      </c>
      <c r="D796" t="str">
        <f t="shared" si="65"/>
        <v>COR22D633</v>
      </c>
      <c r="E796" s="58" t="s">
        <v>252</v>
      </c>
      <c r="F796" s="20">
        <v>1000</v>
      </c>
      <c r="G796" s="14" t="s">
        <v>354</v>
      </c>
      <c r="H796" s="23" t="s">
        <v>170</v>
      </c>
      <c r="J796" s="59" t="s">
        <v>38</v>
      </c>
      <c r="K796" s="22" t="s">
        <v>254</v>
      </c>
      <c r="L796" s="59" t="s">
        <v>171</v>
      </c>
      <c r="M796" s="22">
        <v>2</v>
      </c>
      <c r="V796" s="59" t="s">
        <v>176</v>
      </c>
      <c r="AL796" s="59" t="s">
        <v>40</v>
      </c>
      <c r="AM796" s="22" t="s">
        <v>188</v>
      </c>
      <c r="AV796" s="59" t="s">
        <v>134</v>
      </c>
      <c r="AW796" s="22" t="str">
        <f>Settings!$B$5 &amp;  "?s=" &amp; D796 &amp; "&amp;platform=ftx"</f>
        <v>https://tokensol.nfluent.io?s=COR22D633&amp;platform=ftx</v>
      </c>
      <c r="AX796" s="20" t="s">
        <v>23</v>
      </c>
      <c r="AY796" s="20">
        <v>10</v>
      </c>
      <c r="AZ796" s="20" t="s">
        <v>24</v>
      </c>
      <c r="BA796" s="20">
        <v>90</v>
      </c>
      <c r="BD796" s="14"/>
      <c r="BJ796" t="s">
        <v>255</v>
      </c>
      <c r="BK796" t="s">
        <v>184</v>
      </c>
      <c r="BN796" s="36">
        <v>100</v>
      </c>
      <c r="BO796" s="36">
        <v>100</v>
      </c>
      <c r="BP796">
        <f t="shared" si="66"/>
        <v>480</v>
      </c>
      <c r="BR796" s="38">
        <v>44713</v>
      </c>
      <c r="BS796" s="20" t="s">
        <v>185</v>
      </c>
      <c r="BT796" s="20" t="str">
        <f t="shared" si="67"/>
        <v>InCasa_COR22D633</v>
      </c>
    </row>
    <row r="797" spans="2:72" ht="18.75" customHeight="1" x14ac:dyDescent="0.25">
      <c r="B797" s="20">
        <f t="shared" si="68"/>
        <v>634</v>
      </c>
      <c r="C797" s="22" t="str">
        <f t="shared" si="64"/>
        <v>In Casa #634</v>
      </c>
      <c r="D797" t="str">
        <f t="shared" si="65"/>
        <v>COR22D634</v>
      </c>
      <c r="E797" s="58" t="s">
        <v>252</v>
      </c>
      <c r="F797" s="20">
        <v>1000</v>
      </c>
      <c r="G797" s="14" t="s">
        <v>354</v>
      </c>
      <c r="H797" s="23" t="s">
        <v>170</v>
      </c>
      <c r="J797" s="59" t="s">
        <v>38</v>
      </c>
      <c r="K797" s="22" t="s">
        <v>254</v>
      </c>
      <c r="L797" s="59" t="s">
        <v>171</v>
      </c>
      <c r="M797" s="22">
        <v>2</v>
      </c>
      <c r="V797" s="59" t="s">
        <v>176</v>
      </c>
      <c r="AL797" s="59" t="s">
        <v>40</v>
      </c>
      <c r="AM797" s="22" t="s">
        <v>188</v>
      </c>
      <c r="AV797" s="59" t="s">
        <v>134</v>
      </c>
      <c r="AW797" s="22" t="str">
        <f>Settings!$B$5 &amp;  "?s=" &amp; D797 &amp; "&amp;platform=ftx"</f>
        <v>https://tokensol.nfluent.io?s=COR22D634&amp;platform=ftx</v>
      </c>
      <c r="AX797" s="20" t="s">
        <v>23</v>
      </c>
      <c r="AY797" s="20">
        <v>10</v>
      </c>
      <c r="AZ797" s="20" t="s">
        <v>24</v>
      </c>
      <c r="BA797" s="20">
        <v>90</v>
      </c>
      <c r="BD797" s="14"/>
      <c r="BJ797" t="s">
        <v>255</v>
      </c>
      <c r="BK797" t="s">
        <v>184</v>
      </c>
      <c r="BN797" s="36">
        <v>100</v>
      </c>
      <c r="BO797" s="36">
        <v>100</v>
      </c>
      <c r="BP797">
        <f t="shared" si="66"/>
        <v>480</v>
      </c>
      <c r="BR797" s="38">
        <v>44713</v>
      </c>
      <c r="BS797" s="20" t="s">
        <v>185</v>
      </c>
      <c r="BT797" s="20" t="str">
        <f t="shared" si="67"/>
        <v>InCasa_COR22D634</v>
      </c>
    </row>
    <row r="798" spans="2:72" ht="18.75" customHeight="1" x14ac:dyDescent="0.25">
      <c r="B798" s="20">
        <f t="shared" si="68"/>
        <v>635</v>
      </c>
      <c r="C798" s="22" t="str">
        <f t="shared" si="64"/>
        <v>In Casa #635</v>
      </c>
      <c r="D798" t="str">
        <f t="shared" si="65"/>
        <v>COR22D635</v>
      </c>
      <c r="E798" s="58" t="s">
        <v>252</v>
      </c>
      <c r="F798" s="20">
        <v>1000</v>
      </c>
      <c r="G798" s="14" t="s">
        <v>354</v>
      </c>
      <c r="H798" s="23" t="s">
        <v>170</v>
      </c>
      <c r="J798" s="59" t="s">
        <v>38</v>
      </c>
      <c r="K798" s="22" t="s">
        <v>254</v>
      </c>
      <c r="L798" s="59" t="s">
        <v>171</v>
      </c>
      <c r="M798" s="22">
        <v>2</v>
      </c>
      <c r="V798" s="59" t="s">
        <v>176</v>
      </c>
      <c r="AL798" s="59" t="s">
        <v>40</v>
      </c>
      <c r="AM798" s="22" t="s">
        <v>188</v>
      </c>
      <c r="AV798" s="59" t="s">
        <v>134</v>
      </c>
      <c r="AW798" s="22" t="str">
        <f>Settings!$B$5 &amp;  "?s=" &amp; D798 &amp; "&amp;platform=ftx"</f>
        <v>https://tokensol.nfluent.io?s=COR22D635&amp;platform=ftx</v>
      </c>
      <c r="AX798" s="20" t="s">
        <v>23</v>
      </c>
      <c r="AY798" s="20">
        <v>10</v>
      </c>
      <c r="AZ798" s="20" t="s">
        <v>24</v>
      </c>
      <c r="BA798" s="20">
        <v>90</v>
      </c>
      <c r="BD798" s="14"/>
      <c r="BJ798" t="s">
        <v>255</v>
      </c>
      <c r="BK798" t="s">
        <v>184</v>
      </c>
      <c r="BN798" s="36">
        <v>100</v>
      </c>
      <c r="BO798" s="36">
        <v>100</v>
      </c>
      <c r="BP798">
        <f t="shared" si="66"/>
        <v>480</v>
      </c>
      <c r="BR798" s="38">
        <v>44713</v>
      </c>
      <c r="BS798" s="20" t="s">
        <v>185</v>
      </c>
      <c r="BT798" s="20" t="str">
        <f t="shared" si="67"/>
        <v>InCasa_COR22D635</v>
      </c>
    </row>
    <row r="799" spans="2:72" ht="18.75" customHeight="1" x14ac:dyDescent="0.25">
      <c r="B799" s="20">
        <f t="shared" si="68"/>
        <v>636</v>
      </c>
      <c r="C799" s="22" t="str">
        <f t="shared" si="64"/>
        <v>In Casa #636</v>
      </c>
      <c r="D799" t="str">
        <f t="shared" si="65"/>
        <v>COR22D636</v>
      </c>
      <c r="E799" s="58" t="s">
        <v>252</v>
      </c>
      <c r="F799" s="20">
        <v>1000</v>
      </c>
      <c r="G799" s="14" t="s">
        <v>354</v>
      </c>
      <c r="H799" s="23" t="s">
        <v>170</v>
      </c>
      <c r="J799" s="59" t="s">
        <v>38</v>
      </c>
      <c r="K799" s="22" t="s">
        <v>254</v>
      </c>
      <c r="L799" s="59" t="s">
        <v>171</v>
      </c>
      <c r="M799" s="22">
        <v>2</v>
      </c>
      <c r="V799" s="59" t="s">
        <v>176</v>
      </c>
      <c r="AL799" s="59" t="s">
        <v>40</v>
      </c>
      <c r="AM799" s="22" t="s">
        <v>188</v>
      </c>
      <c r="AV799" s="59" t="s">
        <v>134</v>
      </c>
      <c r="AW799" s="22" t="str">
        <f>Settings!$B$5 &amp;  "?s=" &amp; D799 &amp; "&amp;platform=ftx"</f>
        <v>https://tokensol.nfluent.io?s=COR22D636&amp;platform=ftx</v>
      </c>
      <c r="AX799" s="20" t="s">
        <v>23</v>
      </c>
      <c r="AY799" s="20">
        <v>10</v>
      </c>
      <c r="AZ799" s="20" t="s">
        <v>24</v>
      </c>
      <c r="BA799" s="20">
        <v>90</v>
      </c>
      <c r="BD799" s="14"/>
      <c r="BJ799" t="s">
        <v>255</v>
      </c>
      <c r="BK799" t="s">
        <v>184</v>
      </c>
      <c r="BN799" s="36">
        <v>100</v>
      </c>
      <c r="BO799" s="36">
        <v>100</v>
      </c>
      <c r="BP799">
        <f t="shared" si="66"/>
        <v>480</v>
      </c>
      <c r="BR799" s="38">
        <v>44713</v>
      </c>
      <c r="BS799" s="20" t="s">
        <v>185</v>
      </c>
      <c r="BT799" s="20" t="str">
        <f t="shared" si="67"/>
        <v>InCasa_COR22D636</v>
      </c>
    </row>
    <row r="800" spans="2:72" ht="18.75" customHeight="1" x14ac:dyDescent="0.25">
      <c r="B800" s="20">
        <f t="shared" si="68"/>
        <v>637</v>
      </c>
      <c r="C800" s="22" t="str">
        <f t="shared" si="64"/>
        <v>In Casa #637</v>
      </c>
      <c r="D800" t="str">
        <f t="shared" si="65"/>
        <v>COR22D637</v>
      </c>
      <c r="E800" s="58" t="s">
        <v>252</v>
      </c>
      <c r="F800" s="20">
        <v>1000</v>
      </c>
      <c r="G800" s="14" t="s">
        <v>354</v>
      </c>
      <c r="H800" s="23" t="s">
        <v>170</v>
      </c>
      <c r="J800" s="59" t="s">
        <v>38</v>
      </c>
      <c r="K800" s="22" t="s">
        <v>254</v>
      </c>
      <c r="L800" s="59" t="s">
        <v>171</v>
      </c>
      <c r="M800" s="22">
        <v>2</v>
      </c>
      <c r="V800" s="59" t="s">
        <v>176</v>
      </c>
      <c r="AL800" s="59" t="s">
        <v>40</v>
      </c>
      <c r="AM800" s="22" t="s">
        <v>188</v>
      </c>
      <c r="AV800" s="59" t="s">
        <v>134</v>
      </c>
      <c r="AW800" s="22" t="str">
        <f>Settings!$B$5 &amp;  "?s=" &amp; D800 &amp; "&amp;platform=ftx"</f>
        <v>https://tokensol.nfluent.io?s=COR22D637&amp;platform=ftx</v>
      </c>
      <c r="AX800" s="20" t="s">
        <v>23</v>
      </c>
      <c r="AY800" s="20">
        <v>10</v>
      </c>
      <c r="AZ800" s="20" t="s">
        <v>24</v>
      </c>
      <c r="BA800" s="20">
        <v>90</v>
      </c>
      <c r="BD800" s="14"/>
      <c r="BJ800" t="s">
        <v>255</v>
      </c>
      <c r="BK800" t="s">
        <v>184</v>
      </c>
      <c r="BN800" s="36">
        <v>100</v>
      </c>
      <c r="BO800" s="36">
        <v>100</v>
      </c>
      <c r="BP800">
        <f t="shared" si="66"/>
        <v>480</v>
      </c>
      <c r="BR800" s="38">
        <v>44713</v>
      </c>
      <c r="BS800" s="20" t="s">
        <v>185</v>
      </c>
      <c r="BT800" s="20" t="str">
        <f t="shared" si="67"/>
        <v>InCasa_COR22D637</v>
      </c>
    </row>
    <row r="801" spans="2:72" ht="18.75" customHeight="1" x14ac:dyDescent="0.25">
      <c r="B801" s="20">
        <f t="shared" si="68"/>
        <v>638</v>
      </c>
      <c r="C801" s="22" t="str">
        <f t="shared" si="64"/>
        <v>In Casa #638</v>
      </c>
      <c r="D801" t="str">
        <f t="shared" si="65"/>
        <v>COR22D638</v>
      </c>
      <c r="E801" s="58" t="s">
        <v>252</v>
      </c>
      <c r="F801" s="20">
        <v>1000</v>
      </c>
      <c r="G801" s="14" t="s">
        <v>354</v>
      </c>
      <c r="H801" s="23" t="s">
        <v>170</v>
      </c>
      <c r="J801" s="59" t="s">
        <v>38</v>
      </c>
      <c r="K801" s="22" t="s">
        <v>254</v>
      </c>
      <c r="L801" s="59" t="s">
        <v>171</v>
      </c>
      <c r="M801" s="22">
        <v>2</v>
      </c>
      <c r="V801" s="59" t="s">
        <v>176</v>
      </c>
      <c r="AL801" s="59" t="s">
        <v>40</v>
      </c>
      <c r="AM801" s="22" t="s">
        <v>188</v>
      </c>
      <c r="AV801" s="59" t="s">
        <v>134</v>
      </c>
      <c r="AW801" s="22" t="str">
        <f>Settings!$B$5 &amp;  "?s=" &amp; D801 &amp; "&amp;platform=ftx"</f>
        <v>https://tokensol.nfluent.io?s=COR22D638&amp;platform=ftx</v>
      </c>
      <c r="AX801" s="20" t="s">
        <v>23</v>
      </c>
      <c r="AY801" s="20">
        <v>10</v>
      </c>
      <c r="AZ801" s="20" t="s">
        <v>24</v>
      </c>
      <c r="BA801" s="20">
        <v>90</v>
      </c>
      <c r="BD801" s="14"/>
      <c r="BJ801" t="s">
        <v>255</v>
      </c>
      <c r="BK801" t="s">
        <v>184</v>
      </c>
      <c r="BN801" s="36">
        <v>100</v>
      </c>
      <c r="BO801" s="36">
        <v>100</v>
      </c>
      <c r="BP801">
        <f t="shared" si="66"/>
        <v>480</v>
      </c>
      <c r="BR801" s="38">
        <v>44713</v>
      </c>
      <c r="BS801" s="20" t="s">
        <v>185</v>
      </c>
      <c r="BT801" s="20" t="str">
        <f t="shared" si="67"/>
        <v>InCasa_COR22D638</v>
      </c>
    </row>
    <row r="802" spans="2:72" ht="18.75" customHeight="1" x14ac:dyDescent="0.25">
      <c r="B802" s="20">
        <f t="shared" si="68"/>
        <v>639</v>
      </c>
      <c r="C802" s="22" t="str">
        <f t="shared" si="64"/>
        <v>In Casa #639</v>
      </c>
      <c r="D802" t="str">
        <f t="shared" si="65"/>
        <v>COR22D639</v>
      </c>
      <c r="E802" s="58" t="s">
        <v>252</v>
      </c>
      <c r="F802" s="20">
        <v>1000</v>
      </c>
      <c r="G802" s="14" t="s">
        <v>354</v>
      </c>
      <c r="H802" s="23" t="s">
        <v>170</v>
      </c>
      <c r="J802" s="59" t="s">
        <v>38</v>
      </c>
      <c r="K802" s="22" t="s">
        <v>254</v>
      </c>
      <c r="L802" s="59" t="s">
        <v>171</v>
      </c>
      <c r="M802" s="22">
        <v>2</v>
      </c>
      <c r="V802" s="59" t="s">
        <v>176</v>
      </c>
      <c r="AL802" s="59" t="s">
        <v>40</v>
      </c>
      <c r="AM802" s="22" t="s">
        <v>188</v>
      </c>
      <c r="AV802" s="59" t="s">
        <v>134</v>
      </c>
      <c r="AW802" s="22" t="str">
        <f>Settings!$B$5 &amp;  "?s=" &amp; D802 &amp; "&amp;platform=ftx"</f>
        <v>https://tokensol.nfluent.io?s=COR22D639&amp;platform=ftx</v>
      </c>
      <c r="AX802" s="20" t="s">
        <v>23</v>
      </c>
      <c r="AY802" s="20">
        <v>10</v>
      </c>
      <c r="AZ802" s="20" t="s">
        <v>24</v>
      </c>
      <c r="BA802" s="20">
        <v>90</v>
      </c>
      <c r="BD802" s="14"/>
      <c r="BJ802" t="s">
        <v>255</v>
      </c>
      <c r="BK802" t="s">
        <v>184</v>
      </c>
      <c r="BN802" s="36">
        <v>100</v>
      </c>
      <c r="BO802" s="36">
        <v>100</v>
      </c>
      <c r="BP802">
        <f t="shared" si="66"/>
        <v>480</v>
      </c>
      <c r="BR802" s="38">
        <v>44713</v>
      </c>
      <c r="BS802" s="20" t="s">
        <v>185</v>
      </c>
      <c r="BT802" s="20" t="str">
        <f t="shared" si="67"/>
        <v>InCasa_COR22D639</v>
      </c>
    </row>
    <row r="803" spans="2:72" ht="18.75" customHeight="1" x14ac:dyDescent="0.25">
      <c r="B803" s="20">
        <f t="shared" si="68"/>
        <v>640</v>
      </c>
      <c r="C803" s="22" t="str">
        <f t="shared" si="64"/>
        <v>In Casa #640</v>
      </c>
      <c r="D803" t="str">
        <f t="shared" si="65"/>
        <v>COR22D640</v>
      </c>
      <c r="E803" s="58" t="s">
        <v>252</v>
      </c>
      <c r="F803" s="20">
        <v>1000</v>
      </c>
      <c r="G803" s="14" t="s">
        <v>354</v>
      </c>
      <c r="H803" s="23" t="s">
        <v>170</v>
      </c>
      <c r="J803" s="59" t="s">
        <v>38</v>
      </c>
      <c r="K803" s="22" t="s">
        <v>254</v>
      </c>
      <c r="L803" s="59" t="s">
        <v>171</v>
      </c>
      <c r="M803" s="22">
        <v>2</v>
      </c>
      <c r="V803" s="59" t="s">
        <v>176</v>
      </c>
      <c r="AL803" s="59" t="s">
        <v>40</v>
      </c>
      <c r="AM803" s="22" t="s">
        <v>188</v>
      </c>
      <c r="AV803" s="59" t="s">
        <v>134</v>
      </c>
      <c r="AW803" s="22" t="str">
        <f>Settings!$B$5 &amp;  "?s=" &amp; D803 &amp; "&amp;platform=ftx"</f>
        <v>https://tokensol.nfluent.io?s=COR22D640&amp;platform=ftx</v>
      </c>
      <c r="AX803" s="20" t="s">
        <v>23</v>
      </c>
      <c r="AY803" s="20">
        <v>10</v>
      </c>
      <c r="AZ803" s="20" t="s">
        <v>24</v>
      </c>
      <c r="BA803" s="20">
        <v>90</v>
      </c>
      <c r="BD803" s="14"/>
      <c r="BJ803" t="s">
        <v>255</v>
      </c>
      <c r="BK803" t="s">
        <v>184</v>
      </c>
      <c r="BN803" s="36">
        <v>100</v>
      </c>
      <c r="BO803" s="36">
        <v>100</v>
      </c>
      <c r="BP803">
        <f t="shared" si="66"/>
        <v>480</v>
      </c>
      <c r="BR803" s="38">
        <v>44713</v>
      </c>
      <c r="BS803" s="20" t="s">
        <v>185</v>
      </c>
      <c r="BT803" s="20" t="str">
        <f t="shared" si="67"/>
        <v>InCasa_COR22D640</v>
      </c>
    </row>
    <row r="804" spans="2:72" ht="18.75" customHeight="1" x14ac:dyDescent="0.25">
      <c r="B804" s="20">
        <f t="shared" si="68"/>
        <v>641</v>
      </c>
      <c r="C804" s="22" t="str">
        <f t="shared" si="64"/>
        <v>In Casa #641</v>
      </c>
      <c r="D804" t="str">
        <f t="shared" si="65"/>
        <v>COR22D641</v>
      </c>
      <c r="E804" s="58" t="s">
        <v>252</v>
      </c>
      <c r="F804" s="20">
        <v>1000</v>
      </c>
      <c r="G804" s="14" t="s">
        <v>354</v>
      </c>
      <c r="H804" s="23" t="s">
        <v>170</v>
      </c>
      <c r="J804" s="59" t="s">
        <v>38</v>
      </c>
      <c r="K804" s="22" t="s">
        <v>254</v>
      </c>
      <c r="L804" s="59" t="s">
        <v>171</v>
      </c>
      <c r="M804" s="22">
        <v>2</v>
      </c>
      <c r="V804" s="59" t="s">
        <v>176</v>
      </c>
      <c r="AL804" s="59" t="s">
        <v>40</v>
      </c>
      <c r="AM804" s="22" t="s">
        <v>188</v>
      </c>
      <c r="AV804" s="59" t="s">
        <v>134</v>
      </c>
      <c r="AW804" s="22" t="str">
        <f>Settings!$B$5 &amp;  "?s=" &amp; D804 &amp; "&amp;platform=ftx"</f>
        <v>https://tokensol.nfluent.io?s=COR22D641&amp;platform=ftx</v>
      </c>
      <c r="AX804" s="20" t="s">
        <v>23</v>
      </c>
      <c r="AY804" s="20">
        <v>10</v>
      </c>
      <c r="AZ804" s="20" t="s">
        <v>24</v>
      </c>
      <c r="BA804" s="20">
        <v>90</v>
      </c>
      <c r="BD804" s="14"/>
      <c r="BJ804" t="s">
        <v>255</v>
      </c>
      <c r="BK804" t="s">
        <v>184</v>
      </c>
      <c r="BN804" s="36">
        <v>100</v>
      </c>
      <c r="BO804" s="36">
        <v>100</v>
      </c>
      <c r="BP804">
        <f t="shared" si="66"/>
        <v>480</v>
      </c>
      <c r="BR804" s="38">
        <v>44713</v>
      </c>
      <c r="BS804" s="20" t="s">
        <v>185</v>
      </c>
      <c r="BT804" s="20" t="str">
        <f t="shared" si="67"/>
        <v>InCasa_COR22D641</v>
      </c>
    </row>
    <row r="805" spans="2:72" ht="18.75" customHeight="1" x14ac:dyDescent="0.25">
      <c r="B805" s="20">
        <f t="shared" si="68"/>
        <v>642</v>
      </c>
      <c r="C805" s="22" t="str">
        <f t="shared" ref="C805:C868" si="69">+"In Casa #"&amp;B805</f>
        <v>In Casa #642</v>
      </c>
      <c r="D805" t="str">
        <f t="shared" ref="D805:D868" si="70">"COR22D"&amp;B805</f>
        <v>COR22D642</v>
      </c>
      <c r="E805" s="58" t="s">
        <v>252</v>
      </c>
      <c r="F805" s="20">
        <v>1000</v>
      </c>
      <c r="G805" s="14" t="s">
        <v>354</v>
      </c>
      <c r="H805" s="23" t="s">
        <v>170</v>
      </c>
      <c r="J805" s="59" t="s">
        <v>38</v>
      </c>
      <c r="K805" s="22" t="s">
        <v>254</v>
      </c>
      <c r="L805" s="59" t="s">
        <v>171</v>
      </c>
      <c r="M805" s="22">
        <v>2</v>
      </c>
      <c r="V805" s="59" t="s">
        <v>176</v>
      </c>
      <c r="AL805" s="59" t="s">
        <v>40</v>
      </c>
      <c r="AM805" s="22" t="s">
        <v>188</v>
      </c>
      <c r="AV805" s="59" t="s">
        <v>134</v>
      </c>
      <c r="AW805" s="22" t="str">
        <f>Settings!$B$5 &amp;  "?s=" &amp; D805 &amp; "&amp;platform=ftx"</f>
        <v>https://tokensol.nfluent.io?s=COR22D642&amp;platform=ftx</v>
      </c>
      <c r="AX805" s="20" t="s">
        <v>23</v>
      </c>
      <c r="AY805" s="20">
        <v>10</v>
      </c>
      <c r="AZ805" s="20" t="s">
        <v>24</v>
      </c>
      <c r="BA805" s="20">
        <v>90</v>
      </c>
      <c r="BD805" s="14"/>
      <c r="BJ805" t="s">
        <v>255</v>
      </c>
      <c r="BK805" t="s">
        <v>184</v>
      </c>
      <c r="BN805" s="36">
        <v>100</v>
      </c>
      <c r="BO805" s="36">
        <v>100</v>
      </c>
      <c r="BP805">
        <f t="shared" ref="BP805:BP868" si="71">24*20</f>
        <v>480</v>
      </c>
      <c r="BR805" s="38">
        <v>44713</v>
      </c>
      <c r="BS805" s="20" t="s">
        <v>185</v>
      </c>
      <c r="BT805" s="20" t="str">
        <f t="shared" si="67"/>
        <v>InCasa_COR22D642</v>
      </c>
    </row>
    <row r="806" spans="2:72" ht="18.75" customHeight="1" x14ac:dyDescent="0.25">
      <c r="B806" s="20">
        <f t="shared" si="68"/>
        <v>643</v>
      </c>
      <c r="C806" s="22" t="str">
        <f t="shared" si="69"/>
        <v>In Casa #643</v>
      </c>
      <c r="D806" t="str">
        <f t="shared" si="70"/>
        <v>COR22D643</v>
      </c>
      <c r="E806" s="58" t="s">
        <v>252</v>
      </c>
      <c r="F806" s="20">
        <v>1000</v>
      </c>
      <c r="G806" s="14" t="s">
        <v>354</v>
      </c>
      <c r="H806" s="23" t="s">
        <v>170</v>
      </c>
      <c r="J806" s="59" t="s">
        <v>38</v>
      </c>
      <c r="K806" s="22" t="s">
        <v>254</v>
      </c>
      <c r="L806" s="59" t="s">
        <v>171</v>
      </c>
      <c r="M806" s="22">
        <v>2</v>
      </c>
      <c r="V806" s="59" t="s">
        <v>176</v>
      </c>
      <c r="AL806" s="59" t="s">
        <v>40</v>
      </c>
      <c r="AM806" s="22" t="s">
        <v>188</v>
      </c>
      <c r="AV806" s="59" t="s">
        <v>134</v>
      </c>
      <c r="AW806" s="22" t="str">
        <f>Settings!$B$5 &amp;  "?s=" &amp; D806 &amp; "&amp;platform=ftx"</f>
        <v>https://tokensol.nfluent.io?s=COR22D643&amp;platform=ftx</v>
      </c>
      <c r="AX806" s="20" t="s">
        <v>23</v>
      </c>
      <c r="AY806" s="20">
        <v>10</v>
      </c>
      <c r="AZ806" s="20" t="s">
        <v>24</v>
      </c>
      <c r="BA806" s="20">
        <v>90</v>
      </c>
      <c r="BD806" s="14"/>
      <c r="BJ806" t="s">
        <v>255</v>
      </c>
      <c r="BK806" t="s">
        <v>184</v>
      </c>
      <c r="BN806" s="36">
        <v>100</v>
      </c>
      <c r="BO806" s="36">
        <v>100</v>
      </c>
      <c r="BP806">
        <f t="shared" si="71"/>
        <v>480</v>
      </c>
      <c r="BR806" s="38">
        <v>44713</v>
      </c>
      <c r="BS806" s="20" t="s">
        <v>185</v>
      </c>
      <c r="BT806" s="20" t="str">
        <f t="shared" si="67"/>
        <v>InCasa_COR22D643</v>
      </c>
    </row>
    <row r="807" spans="2:72" ht="18.75" customHeight="1" x14ac:dyDescent="0.25">
      <c r="B807" s="20">
        <f t="shared" si="68"/>
        <v>644</v>
      </c>
      <c r="C807" s="22" t="str">
        <f t="shared" si="69"/>
        <v>In Casa #644</v>
      </c>
      <c r="D807" t="str">
        <f t="shared" si="70"/>
        <v>COR22D644</v>
      </c>
      <c r="E807" s="58" t="s">
        <v>252</v>
      </c>
      <c r="F807" s="20">
        <v>1000</v>
      </c>
      <c r="G807" s="14" t="s">
        <v>354</v>
      </c>
      <c r="H807" s="23" t="s">
        <v>170</v>
      </c>
      <c r="J807" s="59" t="s">
        <v>38</v>
      </c>
      <c r="K807" s="22" t="s">
        <v>254</v>
      </c>
      <c r="L807" s="59" t="s">
        <v>171</v>
      </c>
      <c r="M807" s="22">
        <v>2</v>
      </c>
      <c r="V807" s="59" t="s">
        <v>176</v>
      </c>
      <c r="AL807" s="59" t="s">
        <v>40</v>
      </c>
      <c r="AM807" s="22" t="s">
        <v>188</v>
      </c>
      <c r="AV807" s="59" t="s">
        <v>134</v>
      </c>
      <c r="AW807" s="22" t="str">
        <f>Settings!$B$5 &amp;  "?s=" &amp; D807 &amp; "&amp;platform=ftx"</f>
        <v>https://tokensol.nfluent.io?s=COR22D644&amp;platform=ftx</v>
      </c>
      <c r="AX807" s="20" t="s">
        <v>23</v>
      </c>
      <c r="AY807" s="20">
        <v>10</v>
      </c>
      <c r="AZ807" s="20" t="s">
        <v>24</v>
      </c>
      <c r="BA807" s="20">
        <v>90</v>
      </c>
      <c r="BD807" s="14"/>
      <c r="BJ807" t="s">
        <v>255</v>
      </c>
      <c r="BK807" t="s">
        <v>184</v>
      </c>
      <c r="BN807" s="36">
        <v>100</v>
      </c>
      <c r="BO807" s="36">
        <v>100</v>
      </c>
      <c r="BP807">
        <f t="shared" si="71"/>
        <v>480</v>
      </c>
      <c r="BR807" s="38">
        <v>44713</v>
      </c>
      <c r="BS807" s="20" t="s">
        <v>185</v>
      </c>
      <c r="BT807" s="20" t="str">
        <f t="shared" si="67"/>
        <v>InCasa_COR22D644</v>
      </c>
    </row>
    <row r="808" spans="2:72" ht="18.75" customHeight="1" x14ac:dyDescent="0.25">
      <c r="B808" s="20">
        <f t="shared" si="68"/>
        <v>645</v>
      </c>
      <c r="C808" s="22" t="str">
        <f t="shared" si="69"/>
        <v>In Casa #645</v>
      </c>
      <c r="D808" t="str">
        <f t="shared" si="70"/>
        <v>COR22D645</v>
      </c>
      <c r="E808" s="58" t="s">
        <v>252</v>
      </c>
      <c r="F808" s="20">
        <v>1000</v>
      </c>
      <c r="G808" s="14" t="s">
        <v>354</v>
      </c>
      <c r="H808" s="23" t="s">
        <v>170</v>
      </c>
      <c r="J808" s="59" t="s">
        <v>38</v>
      </c>
      <c r="K808" s="22" t="s">
        <v>254</v>
      </c>
      <c r="L808" s="59" t="s">
        <v>171</v>
      </c>
      <c r="M808" s="22">
        <v>2</v>
      </c>
      <c r="V808" s="59" t="s">
        <v>176</v>
      </c>
      <c r="AL808" s="59" t="s">
        <v>40</v>
      </c>
      <c r="AM808" s="22" t="s">
        <v>188</v>
      </c>
      <c r="AV808" s="59" t="s">
        <v>134</v>
      </c>
      <c r="AW808" s="22" t="str">
        <f>Settings!$B$5 &amp;  "?s=" &amp; D808 &amp; "&amp;platform=ftx"</f>
        <v>https://tokensol.nfluent.io?s=COR22D645&amp;platform=ftx</v>
      </c>
      <c r="AX808" s="20" t="s">
        <v>23</v>
      </c>
      <c r="AY808" s="20">
        <v>10</v>
      </c>
      <c r="AZ808" s="20" t="s">
        <v>24</v>
      </c>
      <c r="BA808" s="20">
        <v>90</v>
      </c>
      <c r="BD808" s="14"/>
      <c r="BJ808" t="s">
        <v>255</v>
      </c>
      <c r="BK808" t="s">
        <v>184</v>
      </c>
      <c r="BN808" s="36">
        <v>100</v>
      </c>
      <c r="BO808" s="36">
        <v>100</v>
      </c>
      <c r="BP808">
        <f t="shared" si="71"/>
        <v>480</v>
      </c>
      <c r="BR808" s="38">
        <v>44713</v>
      </c>
      <c r="BS808" s="20" t="s">
        <v>185</v>
      </c>
      <c r="BT808" s="20" t="str">
        <f t="shared" si="67"/>
        <v>InCasa_COR22D645</v>
      </c>
    </row>
    <row r="809" spans="2:72" ht="18.75" customHeight="1" x14ac:dyDescent="0.25">
      <c r="B809" s="20">
        <f t="shared" si="68"/>
        <v>646</v>
      </c>
      <c r="C809" s="22" t="str">
        <f t="shared" si="69"/>
        <v>In Casa #646</v>
      </c>
      <c r="D809" t="str">
        <f t="shared" si="70"/>
        <v>COR22D646</v>
      </c>
      <c r="E809" s="58" t="s">
        <v>252</v>
      </c>
      <c r="F809" s="20">
        <v>1000</v>
      </c>
      <c r="G809" s="14" t="s">
        <v>354</v>
      </c>
      <c r="H809" s="23" t="s">
        <v>170</v>
      </c>
      <c r="J809" s="59" t="s">
        <v>38</v>
      </c>
      <c r="K809" s="22" t="s">
        <v>254</v>
      </c>
      <c r="L809" s="59" t="s">
        <v>171</v>
      </c>
      <c r="M809" s="22">
        <v>2</v>
      </c>
      <c r="V809" s="59" t="s">
        <v>176</v>
      </c>
      <c r="AL809" s="59" t="s">
        <v>40</v>
      </c>
      <c r="AM809" s="22" t="s">
        <v>188</v>
      </c>
      <c r="AV809" s="59" t="s">
        <v>134</v>
      </c>
      <c r="AW809" s="22" t="str">
        <f>Settings!$B$5 &amp;  "?s=" &amp; D809 &amp; "&amp;platform=ftx"</f>
        <v>https://tokensol.nfluent.io?s=COR22D646&amp;platform=ftx</v>
      </c>
      <c r="AX809" s="20" t="s">
        <v>23</v>
      </c>
      <c r="AY809" s="20">
        <v>10</v>
      </c>
      <c r="AZ809" s="20" t="s">
        <v>24</v>
      </c>
      <c r="BA809" s="20">
        <v>90</v>
      </c>
      <c r="BD809" s="14"/>
      <c r="BJ809" t="s">
        <v>255</v>
      </c>
      <c r="BK809" t="s">
        <v>184</v>
      </c>
      <c r="BN809" s="36">
        <v>100</v>
      </c>
      <c r="BO809" s="36">
        <v>100</v>
      </c>
      <c r="BP809">
        <f t="shared" si="71"/>
        <v>480</v>
      </c>
      <c r="BR809" s="38">
        <v>44713</v>
      </c>
      <c r="BS809" s="20" t="s">
        <v>185</v>
      </c>
      <c r="BT809" s="20" t="str">
        <f t="shared" si="67"/>
        <v>InCasa_COR22D646</v>
      </c>
    </row>
    <row r="810" spans="2:72" ht="18.75" customHeight="1" x14ac:dyDescent="0.25">
      <c r="B810" s="20">
        <f t="shared" si="68"/>
        <v>647</v>
      </c>
      <c r="C810" s="22" t="str">
        <f t="shared" si="69"/>
        <v>In Casa #647</v>
      </c>
      <c r="D810" t="str">
        <f t="shared" si="70"/>
        <v>COR22D647</v>
      </c>
      <c r="E810" s="58" t="s">
        <v>252</v>
      </c>
      <c r="F810" s="20">
        <v>1000</v>
      </c>
      <c r="G810" s="14" t="s">
        <v>354</v>
      </c>
      <c r="H810" s="23" t="s">
        <v>170</v>
      </c>
      <c r="J810" s="59" t="s">
        <v>38</v>
      </c>
      <c r="K810" s="22" t="s">
        <v>254</v>
      </c>
      <c r="L810" s="59" t="s">
        <v>171</v>
      </c>
      <c r="M810" s="22">
        <v>2</v>
      </c>
      <c r="V810" s="59" t="s">
        <v>176</v>
      </c>
      <c r="AL810" s="59" t="s">
        <v>40</v>
      </c>
      <c r="AM810" s="22" t="s">
        <v>188</v>
      </c>
      <c r="AV810" s="59" t="s">
        <v>134</v>
      </c>
      <c r="AW810" s="22" t="str">
        <f>Settings!$B$5 &amp;  "?s=" &amp; D810 &amp; "&amp;platform=ftx"</f>
        <v>https://tokensol.nfluent.io?s=COR22D647&amp;platform=ftx</v>
      </c>
      <c r="AX810" s="20" t="s">
        <v>23</v>
      </c>
      <c r="AY810" s="20">
        <v>10</v>
      </c>
      <c r="AZ810" s="20" t="s">
        <v>24</v>
      </c>
      <c r="BA810" s="20">
        <v>90</v>
      </c>
      <c r="BD810" s="14"/>
      <c r="BJ810" t="s">
        <v>255</v>
      </c>
      <c r="BK810" t="s">
        <v>184</v>
      </c>
      <c r="BN810" s="36">
        <v>100</v>
      </c>
      <c r="BO810" s="36">
        <v>100</v>
      </c>
      <c r="BP810">
        <f t="shared" si="71"/>
        <v>480</v>
      </c>
      <c r="BR810" s="38">
        <v>44713</v>
      </c>
      <c r="BS810" s="20" t="s">
        <v>185</v>
      </c>
      <c r="BT810" s="20" t="str">
        <f t="shared" si="67"/>
        <v>InCasa_COR22D647</v>
      </c>
    </row>
    <row r="811" spans="2:72" ht="18.75" customHeight="1" x14ac:dyDescent="0.25">
      <c r="B811" s="20">
        <f t="shared" si="68"/>
        <v>648</v>
      </c>
      <c r="C811" s="22" t="str">
        <f t="shared" si="69"/>
        <v>In Casa #648</v>
      </c>
      <c r="D811" t="str">
        <f t="shared" si="70"/>
        <v>COR22D648</v>
      </c>
      <c r="E811" s="58" t="s">
        <v>252</v>
      </c>
      <c r="F811" s="20">
        <v>1000</v>
      </c>
      <c r="G811" s="14" t="s">
        <v>354</v>
      </c>
      <c r="H811" s="23" t="s">
        <v>170</v>
      </c>
      <c r="J811" s="59" t="s">
        <v>38</v>
      </c>
      <c r="K811" s="22" t="s">
        <v>254</v>
      </c>
      <c r="L811" s="59" t="s">
        <v>171</v>
      </c>
      <c r="M811" s="22">
        <v>2</v>
      </c>
      <c r="V811" s="59" t="s">
        <v>176</v>
      </c>
      <c r="AL811" s="59" t="s">
        <v>40</v>
      </c>
      <c r="AM811" s="22" t="s">
        <v>188</v>
      </c>
      <c r="AV811" s="59" t="s">
        <v>134</v>
      </c>
      <c r="AW811" s="22" t="str">
        <f>Settings!$B$5 &amp;  "?s=" &amp; D811 &amp; "&amp;platform=ftx"</f>
        <v>https://tokensol.nfluent.io?s=COR22D648&amp;platform=ftx</v>
      </c>
      <c r="AX811" s="20" t="s">
        <v>23</v>
      </c>
      <c r="AY811" s="20">
        <v>10</v>
      </c>
      <c r="AZ811" s="20" t="s">
        <v>24</v>
      </c>
      <c r="BA811" s="20">
        <v>90</v>
      </c>
      <c r="BD811" s="14"/>
      <c r="BJ811" t="s">
        <v>255</v>
      </c>
      <c r="BK811" t="s">
        <v>184</v>
      </c>
      <c r="BN811" s="36">
        <v>100</v>
      </c>
      <c r="BO811" s="36">
        <v>100</v>
      </c>
      <c r="BP811">
        <f t="shared" si="71"/>
        <v>480</v>
      </c>
      <c r="BR811" s="38">
        <v>44713</v>
      </c>
      <c r="BS811" s="20" t="s">
        <v>185</v>
      </c>
      <c r="BT811" s="20" t="str">
        <f t="shared" si="67"/>
        <v>InCasa_COR22D648</v>
      </c>
    </row>
    <row r="812" spans="2:72" ht="18.75" customHeight="1" x14ac:dyDescent="0.25">
      <c r="B812" s="20">
        <f t="shared" si="68"/>
        <v>649</v>
      </c>
      <c r="C812" s="22" t="str">
        <f t="shared" si="69"/>
        <v>In Casa #649</v>
      </c>
      <c r="D812" t="str">
        <f t="shared" si="70"/>
        <v>COR22D649</v>
      </c>
      <c r="E812" s="58" t="s">
        <v>252</v>
      </c>
      <c r="F812" s="20">
        <v>1000</v>
      </c>
      <c r="G812" s="14" t="s">
        <v>354</v>
      </c>
      <c r="H812" s="23" t="s">
        <v>170</v>
      </c>
      <c r="J812" s="59" t="s">
        <v>38</v>
      </c>
      <c r="K812" s="22" t="s">
        <v>254</v>
      </c>
      <c r="L812" s="59" t="s">
        <v>171</v>
      </c>
      <c r="M812" s="22">
        <v>2</v>
      </c>
      <c r="V812" s="59" t="s">
        <v>176</v>
      </c>
      <c r="AL812" s="59" t="s">
        <v>40</v>
      </c>
      <c r="AM812" s="22" t="s">
        <v>188</v>
      </c>
      <c r="AV812" s="59" t="s">
        <v>134</v>
      </c>
      <c r="AW812" s="22" t="str">
        <f>Settings!$B$5 &amp;  "?s=" &amp; D812 &amp; "&amp;platform=ftx"</f>
        <v>https://tokensol.nfluent.io?s=COR22D649&amp;platform=ftx</v>
      </c>
      <c r="AX812" s="20" t="s">
        <v>23</v>
      </c>
      <c r="AY812" s="20">
        <v>10</v>
      </c>
      <c r="AZ812" s="20" t="s">
        <v>24</v>
      </c>
      <c r="BA812" s="20">
        <v>90</v>
      </c>
      <c r="BD812" s="14"/>
      <c r="BJ812" t="s">
        <v>255</v>
      </c>
      <c r="BK812" t="s">
        <v>184</v>
      </c>
      <c r="BN812" s="36">
        <v>100</v>
      </c>
      <c r="BO812" s="36">
        <v>100</v>
      </c>
      <c r="BP812">
        <f t="shared" si="71"/>
        <v>480</v>
      </c>
      <c r="BR812" s="38">
        <v>44713</v>
      </c>
      <c r="BS812" s="20" t="s">
        <v>185</v>
      </c>
      <c r="BT812" s="20" t="str">
        <f t="shared" si="67"/>
        <v>InCasa_COR22D649</v>
      </c>
    </row>
    <row r="813" spans="2:72" ht="18.75" customHeight="1" x14ac:dyDescent="0.25">
      <c r="B813" s="20">
        <f t="shared" si="68"/>
        <v>650</v>
      </c>
      <c r="C813" s="22" t="str">
        <f t="shared" si="69"/>
        <v>In Casa #650</v>
      </c>
      <c r="D813" t="str">
        <f t="shared" si="70"/>
        <v>COR22D650</v>
      </c>
      <c r="E813" s="58" t="s">
        <v>252</v>
      </c>
      <c r="F813" s="20">
        <v>1000</v>
      </c>
      <c r="G813" s="14" t="s">
        <v>354</v>
      </c>
      <c r="H813" s="23" t="s">
        <v>170</v>
      </c>
      <c r="J813" s="59" t="s">
        <v>38</v>
      </c>
      <c r="K813" s="22" t="s">
        <v>254</v>
      </c>
      <c r="L813" s="59" t="s">
        <v>171</v>
      </c>
      <c r="M813" s="22">
        <v>2</v>
      </c>
      <c r="V813" s="59" t="s">
        <v>176</v>
      </c>
      <c r="AL813" s="59" t="s">
        <v>40</v>
      </c>
      <c r="AM813" s="22" t="s">
        <v>188</v>
      </c>
      <c r="AV813" s="59" t="s">
        <v>134</v>
      </c>
      <c r="AW813" s="22" t="str">
        <f>Settings!$B$5 &amp;  "?s=" &amp; D813 &amp; "&amp;platform=ftx"</f>
        <v>https://tokensol.nfluent.io?s=COR22D650&amp;platform=ftx</v>
      </c>
      <c r="AX813" s="20" t="s">
        <v>23</v>
      </c>
      <c r="AY813" s="20">
        <v>10</v>
      </c>
      <c r="AZ813" s="20" t="s">
        <v>24</v>
      </c>
      <c r="BA813" s="20">
        <v>90</v>
      </c>
      <c r="BD813" s="14"/>
      <c r="BJ813" t="s">
        <v>255</v>
      </c>
      <c r="BK813" t="s">
        <v>184</v>
      </c>
      <c r="BN813" s="36">
        <v>100</v>
      </c>
      <c r="BO813" s="36">
        <v>100</v>
      </c>
      <c r="BP813">
        <f t="shared" si="71"/>
        <v>480</v>
      </c>
      <c r="BR813" s="38">
        <v>44713</v>
      </c>
      <c r="BS813" s="20" t="s">
        <v>185</v>
      </c>
      <c r="BT813" s="20" t="str">
        <f t="shared" si="67"/>
        <v>InCasa_COR22D650</v>
      </c>
    </row>
    <row r="814" spans="2:72" ht="18.75" customHeight="1" x14ac:dyDescent="0.25">
      <c r="B814" s="20">
        <f t="shared" si="68"/>
        <v>651</v>
      </c>
      <c r="C814" s="22" t="str">
        <f t="shared" si="69"/>
        <v>In Casa #651</v>
      </c>
      <c r="D814" t="str">
        <f t="shared" si="70"/>
        <v>COR22D651</v>
      </c>
      <c r="E814" s="58" t="s">
        <v>252</v>
      </c>
      <c r="F814" s="20">
        <v>1000</v>
      </c>
      <c r="G814" s="14" t="s">
        <v>354</v>
      </c>
      <c r="H814" s="23" t="s">
        <v>170</v>
      </c>
      <c r="J814" s="59" t="s">
        <v>38</v>
      </c>
      <c r="K814" s="22" t="s">
        <v>254</v>
      </c>
      <c r="L814" s="59" t="s">
        <v>171</v>
      </c>
      <c r="M814" s="22">
        <v>2</v>
      </c>
      <c r="V814" s="59" t="s">
        <v>176</v>
      </c>
      <c r="AL814" s="59" t="s">
        <v>40</v>
      </c>
      <c r="AM814" s="22" t="s">
        <v>188</v>
      </c>
      <c r="AV814" s="59" t="s">
        <v>134</v>
      </c>
      <c r="AW814" s="22" t="str">
        <f>Settings!$B$5 &amp;  "?s=" &amp; D814 &amp; "&amp;platform=ftx"</f>
        <v>https://tokensol.nfluent.io?s=COR22D651&amp;platform=ftx</v>
      </c>
      <c r="AX814" s="20" t="s">
        <v>23</v>
      </c>
      <c r="AY814" s="20">
        <v>10</v>
      </c>
      <c r="AZ814" s="20" t="s">
        <v>24</v>
      </c>
      <c r="BA814" s="20">
        <v>90</v>
      </c>
      <c r="BD814" s="14"/>
      <c r="BJ814" t="s">
        <v>255</v>
      </c>
      <c r="BK814" t="s">
        <v>184</v>
      </c>
      <c r="BN814" s="36">
        <v>100</v>
      </c>
      <c r="BO814" s="36">
        <v>100</v>
      </c>
      <c r="BP814">
        <f t="shared" si="71"/>
        <v>480</v>
      </c>
      <c r="BR814" s="38">
        <v>44713</v>
      </c>
      <c r="BS814" s="20" t="s">
        <v>185</v>
      </c>
      <c r="BT814" s="20" t="str">
        <f t="shared" si="67"/>
        <v>InCasa_COR22D651</v>
      </c>
    </row>
    <row r="815" spans="2:72" ht="18.75" customHeight="1" x14ac:dyDescent="0.25">
      <c r="B815" s="20">
        <f t="shared" si="68"/>
        <v>652</v>
      </c>
      <c r="C815" s="22" t="str">
        <f t="shared" si="69"/>
        <v>In Casa #652</v>
      </c>
      <c r="D815" t="str">
        <f t="shared" si="70"/>
        <v>COR22D652</v>
      </c>
      <c r="E815" s="58" t="s">
        <v>252</v>
      </c>
      <c r="F815" s="20">
        <v>1000</v>
      </c>
      <c r="G815" s="14" t="s">
        <v>354</v>
      </c>
      <c r="H815" s="23" t="s">
        <v>170</v>
      </c>
      <c r="J815" s="59" t="s">
        <v>38</v>
      </c>
      <c r="K815" s="22" t="s">
        <v>254</v>
      </c>
      <c r="L815" s="59" t="s">
        <v>171</v>
      </c>
      <c r="M815" s="22">
        <v>2</v>
      </c>
      <c r="V815" s="59" t="s">
        <v>176</v>
      </c>
      <c r="AL815" s="59" t="s">
        <v>40</v>
      </c>
      <c r="AM815" s="22" t="s">
        <v>188</v>
      </c>
      <c r="AV815" s="59" t="s">
        <v>134</v>
      </c>
      <c r="AW815" s="22" t="str">
        <f>Settings!$B$5 &amp;  "?s=" &amp; D815 &amp; "&amp;platform=ftx"</f>
        <v>https://tokensol.nfluent.io?s=COR22D652&amp;platform=ftx</v>
      </c>
      <c r="AX815" s="20" t="s">
        <v>23</v>
      </c>
      <c r="AY815" s="20">
        <v>10</v>
      </c>
      <c r="AZ815" s="20" t="s">
        <v>24</v>
      </c>
      <c r="BA815" s="20">
        <v>90</v>
      </c>
      <c r="BD815" s="14"/>
      <c r="BJ815" t="s">
        <v>255</v>
      </c>
      <c r="BK815" t="s">
        <v>184</v>
      </c>
      <c r="BN815" s="36">
        <v>100</v>
      </c>
      <c r="BO815" s="36">
        <v>100</v>
      </c>
      <c r="BP815">
        <f t="shared" si="71"/>
        <v>480</v>
      </c>
      <c r="BR815" s="38">
        <v>44713</v>
      </c>
      <c r="BS815" s="20" t="s">
        <v>185</v>
      </c>
      <c r="BT815" s="20" t="str">
        <f t="shared" si="67"/>
        <v>InCasa_COR22D652</v>
      </c>
    </row>
    <row r="816" spans="2:72" ht="18.75" customHeight="1" x14ac:dyDescent="0.25">
      <c r="B816" s="20">
        <f t="shared" si="68"/>
        <v>653</v>
      </c>
      <c r="C816" s="22" t="str">
        <f t="shared" si="69"/>
        <v>In Casa #653</v>
      </c>
      <c r="D816" t="str">
        <f t="shared" si="70"/>
        <v>COR22D653</v>
      </c>
      <c r="E816" s="58" t="s">
        <v>252</v>
      </c>
      <c r="F816" s="20">
        <v>1000</v>
      </c>
      <c r="G816" s="14" t="s">
        <v>354</v>
      </c>
      <c r="H816" s="23" t="s">
        <v>170</v>
      </c>
      <c r="J816" s="59" t="s">
        <v>38</v>
      </c>
      <c r="K816" s="22" t="s">
        <v>254</v>
      </c>
      <c r="L816" s="59" t="s">
        <v>171</v>
      </c>
      <c r="M816" s="22">
        <v>2</v>
      </c>
      <c r="V816" s="59" t="s">
        <v>176</v>
      </c>
      <c r="AL816" s="59" t="s">
        <v>40</v>
      </c>
      <c r="AM816" s="22" t="s">
        <v>188</v>
      </c>
      <c r="AV816" s="59" t="s">
        <v>134</v>
      </c>
      <c r="AW816" s="22" t="str">
        <f>Settings!$B$5 &amp;  "?s=" &amp; D816 &amp; "&amp;platform=ftx"</f>
        <v>https://tokensol.nfluent.io?s=COR22D653&amp;platform=ftx</v>
      </c>
      <c r="AX816" s="20" t="s">
        <v>23</v>
      </c>
      <c r="AY816" s="20">
        <v>10</v>
      </c>
      <c r="AZ816" s="20" t="s">
        <v>24</v>
      </c>
      <c r="BA816" s="20">
        <v>90</v>
      </c>
      <c r="BD816" s="14"/>
      <c r="BJ816" t="s">
        <v>255</v>
      </c>
      <c r="BK816" t="s">
        <v>184</v>
      </c>
      <c r="BN816" s="36">
        <v>100</v>
      </c>
      <c r="BO816" s="36">
        <v>100</v>
      </c>
      <c r="BP816">
        <f t="shared" si="71"/>
        <v>480</v>
      </c>
      <c r="BR816" s="38">
        <v>44713</v>
      </c>
      <c r="BS816" s="20" t="s">
        <v>185</v>
      </c>
      <c r="BT816" s="20" t="str">
        <f t="shared" si="67"/>
        <v>InCasa_COR22D653</v>
      </c>
    </row>
    <row r="817" spans="2:72" ht="18.75" customHeight="1" x14ac:dyDescent="0.25">
      <c r="B817" s="20">
        <f t="shared" si="68"/>
        <v>654</v>
      </c>
      <c r="C817" s="22" t="str">
        <f t="shared" si="69"/>
        <v>In Casa #654</v>
      </c>
      <c r="D817" t="str">
        <f t="shared" si="70"/>
        <v>COR22D654</v>
      </c>
      <c r="E817" s="58" t="s">
        <v>252</v>
      </c>
      <c r="F817" s="20">
        <v>1000</v>
      </c>
      <c r="G817" s="14" t="s">
        <v>354</v>
      </c>
      <c r="H817" s="23" t="s">
        <v>170</v>
      </c>
      <c r="J817" s="59" t="s">
        <v>38</v>
      </c>
      <c r="K817" s="22" t="s">
        <v>254</v>
      </c>
      <c r="L817" s="59" t="s">
        <v>171</v>
      </c>
      <c r="M817" s="22">
        <v>2</v>
      </c>
      <c r="V817" s="59" t="s">
        <v>176</v>
      </c>
      <c r="AL817" s="59" t="s">
        <v>40</v>
      </c>
      <c r="AM817" s="22" t="s">
        <v>188</v>
      </c>
      <c r="AV817" s="59" t="s">
        <v>134</v>
      </c>
      <c r="AW817" s="22" t="str">
        <f>Settings!$B$5 &amp;  "?s=" &amp; D817 &amp; "&amp;platform=ftx"</f>
        <v>https://tokensol.nfluent.io?s=COR22D654&amp;platform=ftx</v>
      </c>
      <c r="AX817" s="20" t="s">
        <v>23</v>
      </c>
      <c r="AY817" s="20">
        <v>10</v>
      </c>
      <c r="AZ817" s="20" t="s">
        <v>24</v>
      </c>
      <c r="BA817" s="20">
        <v>90</v>
      </c>
      <c r="BD817" s="14"/>
      <c r="BJ817" t="s">
        <v>255</v>
      </c>
      <c r="BK817" t="s">
        <v>184</v>
      </c>
      <c r="BN817" s="36">
        <v>100</v>
      </c>
      <c r="BO817" s="36">
        <v>100</v>
      </c>
      <c r="BP817">
        <f t="shared" si="71"/>
        <v>480</v>
      </c>
      <c r="BR817" s="38">
        <v>44713</v>
      </c>
      <c r="BS817" s="20" t="s">
        <v>185</v>
      </c>
      <c r="BT817" s="20" t="str">
        <f t="shared" si="67"/>
        <v>InCasa_COR22D654</v>
      </c>
    </row>
    <row r="818" spans="2:72" ht="18.75" customHeight="1" x14ac:dyDescent="0.25">
      <c r="B818" s="20">
        <f t="shared" si="68"/>
        <v>655</v>
      </c>
      <c r="C818" s="22" t="str">
        <f t="shared" si="69"/>
        <v>In Casa #655</v>
      </c>
      <c r="D818" t="str">
        <f t="shared" si="70"/>
        <v>COR22D655</v>
      </c>
      <c r="E818" s="58" t="s">
        <v>252</v>
      </c>
      <c r="F818" s="20">
        <v>1000</v>
      </c>
      <c r="G818" s="14" t="s">
        <v>354</v>
      </c>
      <c r="H818" s="23" t="s">
        <v>170</v>
      </c>
      <c r="J818" s="59" t="s">
        <v>38</v>
      </c>
      <c r="K818" s="22" t="s">
        <v>254</v>
      </c>
      <c r="L818" s="59" t="s">
        <v>171</v>
      </c>
      <c r="M818" s="22">
        <v>2</v>
      </c>
      <c r="V818" s="59" t="s">
        <v>176</v>
      </c>
      <c r="AL818" s="59" t="s">
        <v>40</v>
      </c>
      <c r="AM818" s="22" t="s">
        <v>188</v>
      </c>
      <c r="AV818" s="59" t="s">
        <v>134</v>
      </c>
      <c r="AW818" s="22" t="str">
        <f>Settings!$B$5 &amp;  "?s=" &amp; D818 &amp; "&amp;platform=ftx"</f>
        <v>https://tokensol.nfluent.io?s=COR22D655&amp;platform=ftx</v>
      </c>
      <c r="AX818" s="20" t="s">
        <v>23</v>
      </c>
      <c r="AY818" s="20">
        <v>10</v>
      </c>
      <c r="AZ818" s="20" t="s">
        <v>24</v>
      </c>
      <c r="BA818" s="20">
        <v>90</v>
      </c>
      <c r="BD818" s="14"/>
      <c r="BJ818" t="s">
        <v>255</v>
      </c>
      <c r="BK818" t="s">
        <v>184</v>
      </c>
      <c r="BN818" s="36">
        <v>100</v>
      </c>
      <c r="BO818" s="36">
        <v>100</v>
      </c>
      <c r="BP818">
        <f t="shared" si="71"/>
        <v>480</v>
      </c>
      <c r="BR818" s="38">
        <v>44713</v>
      </c>
      <c r="BS818" s="20" t="s">
        <v>185</v>
      </c>
      <c r="BT818" s="20" t="str">
        <f t="shared" si="67"/>
        <v>InCasa_COR22D655</v>
      </c>
    </row>
    <row r="819" spans="2:72" ht="18.75" customHeight="1" x14ac:dyDescent="0.25">
      <c r="B819" s="20">
        <f t="shared" si="68"/>
        <v>656</v>
      </c>
      <c r="C819" s="22" t="str">
        <f t="shared" si="69"/>
        <v>In Casa #656</v>
      </c>
      <c r="D819" t="str">
        <f t="shared" si="70"/>
        <v>COR22D656</v>
      </c>
      <c r="E819" s="58" t="s">
        <v>252</v>
      </c>
      <c r="F819" s="20">
        <v>1000</v>
      </c>
      <c r="G819" s="14" t="s">
        <v>354</v>
      </c>
      <c r="H819" s="23" t="s">
        <v>170</v>
      </c>
      <c r="J819" s="59" t="s">
        <v>38</v>
      </c>
      <c r="K819" s="22" t="s">
        <v>254</v>
      </c>
      <c r="L819" s="59" t="s">
        <v>171</v>
      </c>
      <c r="M819" s="22">
        <v>2</v>
      </c>
      <c r="V819" s="59" t="s">
        <v>176</v>
      </c>
      <c r="AL819" s="59" t="s">
        <v>40</v>
      </c>
      <c r="AM819" s="22" t="s">
        <v>188</v>
      </c>
      <c r="AV819" s="59" t="s">
        <v>134</v>
      </c>
      <c r="AW819" s="22" t="str">
        <f>Settings!$B$5 &amp;  "?s=" &amp; D819 &amp; "&amp;platform=ftx"</f>
        <v>https://tokensol.nfluent.io?s=COR22D656&amp;platform=ftx</v>
      </c>
      <c r="AX819" s="20" t="s">
        <v>23</v>
      </c>
      <c r="AY819" s="20">
        <v>10</v>
      </c>
      <c r="AZ819" s="20" t="s">
        <v>24</v>
      </c>
      <c r="BA819" s="20">
        <v>90</v>
      </c>
      <c r="BD819" s="14"/>
      <c r="BJ819" t="s">
        <v>255</v>
      </c>
      <c r="BK819" t="s">
        <v>184</v>
      </c>
      <c r="BN819" s="36">
        <v>100</v>
      </c>
      <c r="BO819" s="36">
        <v>100</v>
      </c>
      <c r="BP819">
        <f t="shared" si="71"/>
        <v>480</v>
      </c>
      <c r="BR819" s="38">
        <v>44713</v>
      </c>
      <c r="BS819" s="20" t="s">
        <v>185</v>
      </c>
      <c r="BT819" s="20" t="str">
        <f t="shared" si="67"/>
        <v>InCasa_COR22D656</v>
      </c>
    </row>
    <row r="820" spans="2:72" ht="18.75" customHeight="1" x14ac:dyDescent="0.25">
      <c r="B820" s="20">
        <f t="shared" si="68"/>
        <v>657</v>
      </c>
      <c r="C820" s="22" t="str">
        <f t="shared" si="69"/>
        <v>In Casa #657</v>
      </c>
      <c r="D820" t="str">
        <f t="shared" si="70"/>
        <v>COR22D657</v>
      </c>
      <c r="E820" s="58" t="s">
        <v>252</v>
      </c>
      <c r="F820" s="20">
        <v>1000</v>
      </c>
      <c r="G820" s="14" t="s">
        <v>354</v>
      </c>
      <c r="H820" s="23" t="s">
        <v>170</v>
      </c>
      <c r="J820" s="59" t="s">
        <v>38</v>
      </c>
      <c r="K820" s="22" t="s">
        <v>254</v>
      </c>
      <c r="L820" s="59" t="s">
        <v>171</v>
      </c>
      <c r="M820" s="22">
        <v>2</v>
      </c>
      <c r="V820" s="59" t="s">
        <v>176</v>
      </c>
      <c r="AL820" s="59" t="s">
        <v>40</v>
      </c>
      <c r="AM820" s="22" t="s">
        <v>188</v>
      </c>
      <c r="AV820" s="59" t="s">
        <v>134</v>
      </c>
      <c r="AW820" s="22" t="str">
        <f>Settings!$B$5 &amp;  "?s=" &amp; D820 &amp; "&amp;platform=ftx"</f>
        <v>https://tokensol.nfluent.io?s=COR22D657&amp;platform=ftx</v>
      </c>
      <c r="AX820" s="20" t="s">
        <v>23</v>
      </c>
      <c r="AY820" s="20">
        <v>10</v>
      </c>
      <c r="AZ820" s="20" t="s">
        <v>24</v>
      </c>
      <c r="BA820" s="20">
        <v>90</v>
      </c>
      <c r="BD820" s="14"/>
      <c r="BJ820" t="s">
        <v>255</v>
      </c>
      <c r="BK820" t="s">
        <v>184</v>
      </c>
      <c r="BN820" s="36">
        <v>100</v>
      </c>
      <c r="BO820" s="36">
        <v>100</v>
      </c>
      <c r="BP820">
        <f t="shared" si="71"/>
        <v>480</v>
      </c>
      <c r="BR820" s="38">
        <v>44713</v>
      </c>
      <c r="BS820" s="20" t="s">
        <v>185</v>
      </c>
      <c r="BT820" s="20" t="str">
        <f t="shared" si="67"/>
        <v>InCasa_COR22D657</v>
      </c>
    </row>
    <row r="821" spans="2:72" ht="18.75" customHeight="1" x14ac:dyDescent="0.25">
      <c r="B821" s="20">
        <f t="shared" si="68"/>
        <v>658</v>
      </c>
      <c r="C821" s="22" t="str">
        <f t="shared" si="69"/>
        <v>In Casa #658</v>
      </c>
      <c r="D821" t="str">
        <f t="shared" si="70"/>
        <v>COR22D658</v>
      </c>
      <c r="E821" s="58" t="s">
        <v>252</v>
      </c>
      <c r="F821" s="20">
        <v>1000</v>
      </c>
      <c r="G821" s="14" t="s">
        <v>354</v>
      </c>
      <c r="H821" s="23" t="s">
        <v>170</v>
      </c>
      <c r="J821" s="59" t="s">
        <v>38</v>
      </c>
      <c r="K821" s="22" t="s">
        <v>254</v>
      </c>
      <c r="L821" s="59" t="s">
        <v>171</v>
      </c>
      <c r="M821" s="22">
        <v>2</v>
      </c>
      <c r="V821" s="59" t="s">
        <v>176</v>
      </c>
      <c r="AL821" s="59" t="s">
        <v>40</v>
      </c>
      <c r="AM821" s="22" t="s">
        <v>188</v>
      </c>
      <c r="AV821" s="59" t="s">
        <v>134</v>
      </c>
      <c r="AW821" s="22" t="str">
        <f>Settings!$B$5 &amp;  "?s=" &amp; D821 &amp; "&amp;platform=ftx"</f>
        <v>https://tokensol.nfluent.io?s=COR22D658&amp;platform=ftx</v>
      </c>
      <c r="AX821" s="20" t="s">
        <v>23</v>
      </c>
      <c r="AY821" s="20">
        <v>10</v>
      </c>
      <c r="AZ821" s="20" t="s">
        <v>24</v>
      </c>
      <c r="BA821" s="20">
        <v>90</v>
      </c>
      <c r="BD821" s="14"/>
      <c r="BJ821" t="s">
        <v>255</v>
      </c>
      <c r="BK821" t="s">
        <v>184</v>
      </c>
      <c r="BN821" s="36">
        <v>100</v>
      </c>
      <c r="BO821" s="36">
        <v>100</v>
      </c>
      <c r="BP821">
        <f t="shared" si="71"/>
        <v>480</v>
      </c>
      <c r="BR821" s="38">
        <v>44713</v>
      </c>
      <c r="BS821" s="20" t="s">
        <v>185</v>
      </c>
      <c r="BT821" s="20" t="str">
        <f t="shared" si="67"/>
        <v>InCasa_COR22D658</v>
      </c>
    </row>
    <row r="822" spans="2:72" ht="18.75" customHeight="1" x14ac:dyDescent="0.25">
      <c r="B822" s="20">
        <f t="shared" si="68"/>
        <v>659</v>
      </c>
      <c r="C822" s="22" t="str">
        <f t="shared" si="69"/>
        <v>In Casa #659</v>
      </c>
      <c r="D822" t="str">
        <f t="shared" si="70"/>
        <v>COR22D659</v>
      </c>
      <c r="E822" s="58" t="s">
        <v>252</v>
      </c>
      <c r="F822" s="20">
        <v>1000</v>
      </c>
      <c r="G822" s="14" t="s">
        <v>354</v>
      </c>
      <c r="H822" s="23" t="s">
        <v>170</v>
      </c>
      <c r="J822" s="59" t="s">
        <v>38</v>
      </c>
      <c r="K822" s="22" t="s">
        <v>254</v>
      </c>
      <c r="L822" s="59" t="s">
        <v>171</v>
      </c>
      <c r="M822" s="22">
        <v>2</v>
      </c>
      <c r="V822" s="59" t="s">
        <v>176</v>
      </c>
      <c r="AL822" s="59" t="s">
        <v>40</v>
      </c>
      <c r="AM822" s="22" t="s">
        <v>188</v>
      </c>
      <c r="AV822" s="59" t="s">
        <v>134</v>
      </c>
      <c r="AW822" s="22" t="str">
        <f>Settings!$B$5 &amp;  "?s=" &amp; D822 &amp; "&amp;platform=ftx"</f>
        <v>https://tokensol.nfluent.io?s=COR22D659&amp;platform=ftx</v>
      </c>
      <c r="AX822" s="20" t="s">
        <v>23</v>
      </c>
      <c r="AY822" s="20">
        <v>10</v>
      </c>
      <c r="AZ822" s="20" t="s">
        <v>24</v>
      </c>
      <c r="BA822" s="20">
        <v>90</v>
      </c>
      <c r="BD822" s="14"/>
      <c r="BJ822" t="s">
        <v>255</v>
      </c>
      <c r="BK822" t="s">
        <v>184</v>
      </c>
      <c r="BN822" s="36">
        <v>100</v>
      </c>
      <c r="BO822" s="36">
        <v>100</v>
      </c>
      <c r="BP822">
        <f t="shared" si="71"/>
        <v>480</v>
      </c>
      <c r="BR822" s="38">
        <v>44713</v>
      </c>
      <c r="BS822" s="20" t="s">
        <v>185</v>
      </c>
      <c r="BT822" s="20" t="str">
        <f t="shared" si="67"/>
        <v>InCasa_COR22D659</v>
      </c>
    </row>
    <row r="823" spans="2:72" ht="18.75" customHeight="1" x14ac:dyDescent="0.25">
      <c r="B823" s="20">
        <f t="shared" si="68"/>
        <v>660</v>
      </c>
      <c r="C823" s="22" t="str">
        <f t="shared" si="69"/>
        <v>In Casa #660</v>
      </c>
      <c r="D823" t="str">
        <f t="shared" si="70"/>
        <v>COR22D660</v>
      </c>
      <c r="E823" s="58" t="s">
        <v>252</v>
      </c>
      <c r="F823" s="20">
        <v>1000</v>
      </c>
      <c r="G823" s="14" t="s">
        <v>354</v>
      </c>
      <c r="H823" s="23" t="s">
        <v>170</v>
      </c>
      <c r="J823" s="59" t="s">
        <v>38</v>
      </c>
      <c r="K823" s="22" t="s">
        <v>254</v>
      </c>
      <c r="L823" s="59" t="s">
        <v>171</v>
      </c>
      <c r="M823" s="22">
        <v>2</v>
      </c>
      <c r="V823" s="59" t="s">
        <v>176</v>
      </c>
      <c r="AL823" s="59" t="s">
        <v>40</v>
      </c>
      <c r="AM823" s="22" t="s">
        <v>188</v>
      </c>
      <c r="AV823" s="59" t="s">
        <v>134</v>
      </c>
      <c r="AW823" s="22" t="str">
        <f>Settings!$B$5 &amp;  "?s=" &amp; D823 &amp; "&amp;platform=ftx"</f>
        <v>https://tokensol.nfluent.io?s=COR22D660&amp;platform=ftx</v>
      </c>
      <c r="AX823" s="20" t="s">
        <v>23</v>
      </c>
      <c r="AY823" s="20">
        <v>10</v>
      </c>
      <c r="AZ823" s="20" t="s">
        <v>24</v>
      </c>
      <c r="BA823" s="20">
        <v>90</v>
      </c>
      <c r="BD823" s="14"/>
      <c r="BJ823" t="s">
        <v>255</v>
      </c>
      <c r="BK823" t="s">
        <v>184</v>
      </c>
      <c r="BN823" s="36">
        <v>100</v>
      </c>
      <c r="BO823" s="36">
        <v>100</v>
      </c>
      <c r="BP823">
        <f t="shared" si="71"/>
        <v>480</v>
      </c>
      <c r="BR823" s="38">
        <v>44713</v>
      </c>
      <c r="BS823" s="20" t="s">
        <v>185</v>
      </c>
      <c r="BT823" s="20" t="str">
        <f t="shared" si="67"/>
        <v>InCasa_COR22D660</v>
      </c>
    </row>
    <row r="824" spans="2:72" ht="18.75" customHeight="1" x14ac:dyDescent="0.25">
      <c r="B824" s="20">
        <f t="shared" si="68"/>
        <v>661</v>
      </c>
      <c r="C824" s="22" t="str">
        <f t="shared" si="69"/>
        <v>In Casa #661</v>
      </c>
      <c r="D824" t="str">
        <f t="shared" si="70"/>
        <v>COR22D661</v>
      </c>
      <c r="E824" s="58" t="s">
        <v>252</v>
      </c>
      <c r="F824" s="20">
        <v>1000</v>
      </c>
      <c r="G824" s="14" t="s">
        <v>354</v>
      </c>
      <c r="H824" s="23" t="s">
        <v>170</v>
      </c>
      <c r="J824" s="59" t="s">
        <v>38</v>
      </c>
      <c r="K824" s="22" t="s">
        <v>254</v>
      </c>
      <c r="L824" s="59" t="s">
        <v>171</v>
      </c>
      <c r="M824" s="22">
        <v>2</v>
      </c>
      <c r="V824" s="59" t="s">
        <v>176</v>
      </c>
      <c r="AL824" s="59" t="s">
        <v>40</v>
      </c>
      <c r="AM824" s="22" t="s">
        <v>188</v>
      </c>
      <c r="AV824" s="59" t="s">
        <v>134</v>
      </c>
      <c r="AW824" s="22" t="str">
        <f>Settings!$B$5 &amp;  "?s=" &amp; D824 &amp; "&amp;platform=ftx"</f>
        <v>https://tokensol.nfluent.io?s=COR22D661&amp;platform=ftx</v>
      </c>
      <c r="AX824" s="20" t="s">
        <v>23</v>
      </c>
      <c r="AY824" s="20">
        <v>10</v>
      </c>
      <c r="AZ824" s="20" t="s">
        <v>24</v>
      </c>
      <c r="BA824" s="20">
        <v>90</v>
      </c>
      <c r="BD824" s="14"/>
      <c r="BJ824" t="s">
        <v>255</v>
      </c>
      <c r="BK824" t="s">
        <v>184</v>
      </c>
      <c r="BN824" s="36">
        <v>100</v>
      </c>
      <c r="BO824" s="36">
        <v>100</v>
      </c>
      <c r="BP824">
        <f t="shared" si="71"/>
        <v>480</v>
      </c>
      <c r="BR824" s="38">
        <v>44713</v>
      </c>
      <c r="BS824" s="20" t="s">
        <v>185</v>
      </c>
      <c r="BT824" s="20" t="str">
        <f t="shared" si="67"/>
        <v>InCasa_COR22D661</v>
      </c>
    </row>
    <row r="825" spans="2:72" ht="18.75" customHeight="1" x14ac:dyDescent="0.25">
      <c r="B825" s="20">
        <f t="shared" si="68"/>
        <v>662</v>
      </c>
      <c r="C825" s="22" t="str">
        <f t="shared" si="69"/>
        <v>In Casa #662</v>
      </c>
      <c r="D825" t="str">
        <f t="shared" si="70"/>
        <v>COR22D662</v>
      </c>
      <c r="E825" s="58" t="s">
        <v>252</v>
      </c>
      <c r="F825" s="20">
        <v>1000</v>
      </c>
      <c r="G825" s="14" t="s">
        <v>354</v>
      </c>
      <c r="H825" s="23" t="s">
        <v>170</v>
      </c>
      <c r="J825" s="59" t="s">
        <v>38</v>
      </c>
      <c r="K825" s="22" t="s">
        <v>254</v>
      </c>
      <c r="L825" s="59" t="s">
        <v>171</v>
      </c>
      <c r="M825" s="22">
        <v>2</v>
      </c>
      <c r="V825" s="59" t="s">
        <v>176</v>
      </c>
      <c r="AL825" s="59" t="s">
        <v>40</v>
      </c>
      <c r="AM825" s="22" t="s">
        <v>188</v>
      </c>
      <c r="AV825" s="59" t="s">
        <v>134</v>
      </c>
      <c r="AW825" s="22" t="str">
        <f>Settings!$B$5 &amp;  "?s=" &amp; D825 &amp; "&amp;platform=ftx"</f>
        <v>https://tokensol.nfluent.io?s=COR22D662&amp;platform=ftx</v>
      </c>
      <c r="AX825" s="20" t="s">
        <v>23</v>
      </c>
      <c r="AY825" s="20">
        <v>10</v>
      </c>
      <c r="AZ825" s="20" t="s">
        <v>24</v>
      </c>
      <c r="BA825" s="20">
        <v>90</v>
      </c>
      <c r="BD825" s="14"/>
      <c r="BJ825" t="s">
        <v>255</v>
      </c>
      <c r="BK825" t="s">
        <v>184</v>
      </c>
      <c r="BN825" s="36">
        <v>100</v>
      </c>
      <c r="BO825" s="36">
        <v>100</v>
      </c>
      <c r="BP825">
        <f t="shared" si="71"/>
        <v>480</v>
      </c>
      <c r="BR825" s="38">
        <v>44713</v>
      </c>
      <c r="BS825" s="20" t="s">
        <v>185</v>
      </c>
      <c r="BT825" s="20" t="str">
        <f t="shared" si="67"/>
        <v>InCasa_COR22D662</v>
      </c>
    </row>
    <row r="826" spans="2:72" ht="18.75" customHeight="1" x14ac:dyDescent="0.25">
      <c r="B826" s="20">
        <f t="shared" si="68"/>
        <v>663</v>
      </c>
      <c r="C826" s="22" t="str">
        <f t="shared" si="69"/>
        <v>In Casa #663</v>
      </c>
      <c r="D826" t="str">
        <f t="shared" si="70"/>
        <v>COR22D663</v>
      </c>
      <c r="E826" s="58" t="s">
        <v>252</v>
      </c>
      <c r="F826" s="20">
        <v>1000</v>
      </c>
      <c r="G826" s="14" t="s">
        <v>354</v>
      </c>
      <c r="H826" s="23" t="s">
        <v>170</v>
      </c>
      <c r="J826" s="59" t="s">
        <v>38</v>
      </c>
      <c r="K826" s="22" t="s">
        <v>254</v>
      </c>
      <c r="L826" s="59" t="s">
        <v>171</v>
      </c>
      <c r="M826" s="22">
        <v>2</v>
      </c>
      <c r="V826" s="59" t="s">
        <v>176</v>
      </c>
      <c r="AL826" s="59" t="s">
        <v>40</v>
      </c>
      <c r="AM826" s="22" t="s">
        <v>188</v>
      </c>
      <c r="AV826" s="59" t="s">
        <v>134</v>
      </c>
      <c r="AW826" s="22" t="str">
        <f>Settings!$B$5 &amp;  "?s=" &amp; D826 &amp; "&amp;platform=ftx"</f>
        <v>https://tokensol.nfluent.io?s=COR22D663&amp;platform=ftx</v>
      </c>
      <c r="AX826" s="20" t="s">
        <v>23</v>
      </c>
      <c r="AY826" s="20">
        <v>10</v>
      </c>
      <c r="AZ826" s="20" t="s">
        <v>24</v>
      </c>
      <c r="BA826" s="20">
        <v>90</v>
      </c>
      <c r="BD826" s="14"/>
      <c r="BJ826" t="s">
        <v>255</v>
      </c>
      <c r="BK826" t="s">
        <v>184</v>
      </c>
      <c r="BN826" s="36">
        <v>100</v>
      </c>
      <c r="BO826" s="36">
        <v>100</v>
      </c>
      <c r="BP826">
        <f t="shared" si="71"/>
        <v>480</v>
      </c>
      <c r="BR826" s="38">
        <v>44713</v>
      </c>
      <c r="BS826" s="20" t="s">
        <v>185</v>
      </c>
      <c r="BT826" s="20" t="str">
        <f t="shared" si="67"/>
        <v>InCasa_COR22D663</v>
      </c>
    </row>
    <row r="827" spans="2:72" ht="18.75" customHeight="1" x14ac:dyDescent="0.25">
      <c r="B827" s="20">
        <f t="shared" si="68"/>
        <v>664</v>
      </c>
      <c r="C827" s="22" t="str">
        <f t="shared" si="69"/>
        <v>In Casa #664</v>
      </c>
      <c r="D827" t="str">
        <f t="shared" si="70"/>
        <v>COR22D664</v>
      </c>
      <c r="E827" s="58" t="s">
        <v>252</v>
      </c>
      <c r="F827" s="20">
        <v>1000</v>
      </c>
      <c r="G827" s="14" t="s">
        <v>354</v>
      </c>
      <c r="H827" s="23" t="s">
        <v>170</v>
      </c>
      <c r="J827" s="59" t="s">
        <v>38</v>
      </c>
      <c r="K827" s="22" t="s">
        <v>254</v>
      </c>
      <c r="L827" s="59" t="s">
        <v>171</v>
      </c>
      <c r="M827" s="22">
        <v>2</v>
      </c>
      <c r="V827" s="59" t="s">
        <v>176</v>
      </c>
      <c r="AL827" s="59" t="s">
        <v>40</v>
      </c>
      <c r="AM827" s="22" t="s">
        <v>188</v>
      </c>
      <c r="AV827" s="59" t="s">
        <v>134</v>
      </c>
      <c r="AW827" s="22" t="str">
        <f>Settings!$B$5 &amp;  "?s=" &amp; D827 &amp; "&amp;platform=ftx"</f>
        <v>https://tokensol.nfluent.io?s=COR22D664&amp;platform=ftx</v>
      </c>
      <c r="AX827" s="20" t="s">
        <v>23</v>
      </c>
      <c r="AY827" s="20">
        <v>10</v>
      </c>
      <c r="AZ827" s="20" t="s">
        <v>24</v>
      </c>
      <c r="BA827" s="20">
        <v>90</v>
      </c>
      <c r="BD827" s="14"/>
      <c r="BJ827" t="s">
        <v>255</v>
      </c>
      <c r="BK827" t="s">
        <v>184</v>
      </c>
      <c r="BN827" s="36">
        <v>100</v>
      </c>
      <c r="BO827" s="36">
        <v>100</v>
      </c>
      <c r="BP827">
        <f t="shared" si="71"/>
        <v>480</v>
      </c>
      <c r="BR827" s="38">
        <v>44713</v>
      </c>
      <c r="BS827" s="20" t="s">
        <v>185</v>
      </c>
      <c r="BT827" s="20" t="str">
        <f t="shared" si="67"/>
        <v>InCasa_COR22D664</v>
      </c>
    </row>
    <row r="828" spans="2:72" ht="18.75" customHeight="1" x14ac:dyDescent="0.25">
      <c r="B828" s="20">
        <f t="shared" si="68"/>
        <v>665</v>
      </c>
      <c r="C828" s="22" t="str">
        <f t="shared" si="69"/>
        <v>In Casa #665</v>
      </c>
      <c r="D828" t="str">
        <f t="shared" si="70"/>
        <v>COR22D665</v>
      </c>
      <c r="E828" s="58" t="s">
        <v>252</v>
      </c>
      <c r="F828" s="20">
        <v>1000</v>
      </c>
      <c r="G828" s="14" t="s">
        <v>354</v>
      </c>
      <c r="H828" s="23" t="s">
        <v>170</v>
      </c>
      <c r="J828" s="59" t="s">
        <v>38</v>
      </c>
      <c r="K828" s="22" t="s">
        <v>254</v>
      </c>
      <c r="L828" s="59" t="s">
        <v>171</v>
      </c>
      <c r="M828" s="22">
        <v>2</v>
      </c>
      <c r="V828" s="59" t="s">
        <v>176</v>
      </c>
      <c r="AL828" s="59" t="s">
        <v>40</v>
      </c>
      <c r="AM828" s="22" t="s">
        <v>188</v>
      </c>
      <c r="AV828" s="59" t="s">
        <v>134</v>
      </c>
      <c r="AW828" s="22" t="str">
        <f>Settings!$B$5 &amp;  "?s=" &amp; D828 &amp; "&amp;platform=ftx"</f>
        <v>https://tokensol.nfluent.io?s=COR22D665&amp;platform=ftx</v>
      </c>
      <c r="AX828" s="20" t="s">
        <v>23</v>
      </c>
      <c r="AY828" s="20">
        <v>10</v>
      </c>
      <c r="AZ828" s="20" t="s">
        <v>24</v>
      </c>
      <c r="BA828" s="20">
        <v>90</v>
      </c>
      <c r="BD828" s="14"/>
      <c r="BJ828" t="s">
        <v>255</v>
      </c>
      <c r="BK828" t="s">
        <v>184</v>
      </c>
      <c r="BN828" s="36">
        <v>100</v>
      </c>
      <c r="BO828" s="36">
        <v>100</v>
      </c>
      <c r="BP828">
        <f t="shared" si="71"/>
        <v>480</v>
      </c>
      <c r="BR828" s="38">
        <v>44713</v>
      </c>
      <c r="BS828" s="20" t="s">
        <v>185</v>
      </c>
      <c r="BT828" s="20" t="str">
        <f t="shared" si="67"/>
        <v>InCasa_COR22D665</v>
      </c>
    </row>
    <row r="829" spans="2:72" ht="18.75" customHeight="1" x14ac:dyDescent="0.25">
      <c r="B829" s="20">
        <f t="shared" si="68"/>
        <v>666</v>
      </c>
      <c r="C829" s="22" t="str">
        <f t="shared" si="69"/>
        <v>In Casa #666</v>
      </c>
      <c r="D829" t="str">
        <f t="shared" si="70"/>
        <v>COR22D666</v>
      </c>
      <c r="E829" s="58" t="s">
        <v>252</v>
      </c>
      <c r="F829" s="20">
        <v>1000</v>
      </c>
      <c r="G829" s="14" t="s">
        <v>354</v>
      </c>
      <c r="H829" s="23" t="s">
        <v>170</v>
      </c>
      <c r="J829" s="59" t="s">
        <v>38</v>
      </c>
      <c r="K829" s="22" t="s">
        <v>254</v>
      </c>
      <c r="L829" s="59" t="s">
        <v>171</v>
      </c>
      <c r="M829" s="22">
        <v>2</v>
      </c>
      <c r="V829" s="59" t="s">
        <v>176</v>
      </c>
      <c r="AL829" s="59" t="s">
        <v>40</v>
      </c>
      <c r="AM829" s="22" t="s">
        <v>188</v>
      </c>
      <c r="AV829" s="59" t="s">
        <v>134</v>
      </c>
      <c r="AW829" s="22" t="str">
        <f>Settings!$B$5 &amp;  "?s=" &amp; D829 &amp; "&amp;platform=ftx"</f>
        <v>https://tokensol.nfluent.io?s=COR22D666&amp;platform=ftx</v>
      </c>
      <c r="AX829" s="20" t="s">
        <v>23</v>
      </c>
      <c r="AY829" s="20">
        <v>10</v>
      </c>
      <c r="AZ829" s="20" t="s">
        <v>24</v>
      </c>
      <c r="BA829" s="20">
        <v>90</v>
      </c>
      <c r="BD829" s="14"/>
      <c r="BJ829" t="s">
        <v>255</v>
      </c>
      <c r="BK829" t="s">
        <v>184</v>
      </c>
      <c r="BN829" s="36">
        <v>100</v>
      </c>
      <c r="BO829" s="36">
        <v>100</v>
      </c>
      <c r="BP829">
        <f t="shared" si="71"/>
        <v>480</v>
      </c>
      <c r="BR829" s="38">
        <v>44713</v>
      </c>
      <c r="BS829" s="20" t="s">
        <v>185</v>
      </c>
      <c r="BT829" s="20" t="str">
        <f t="shared" si="67"/>
        <v>InCasa_COR22D666</v>
      </c>
    </row>
    <row r="830" spans="2:72" ht="18.75" customHeight="1" x14ac:dyDescent="0.25">
      <c r="B830" s="20">
        <f t="shared" si="68"/>
        <v>667</v>
      </c>
      <c r="C830" s="22" t="str">
        <f t="shared" si="69"/>
        <v>In Casa #667</v>
      </c>
      <c r="D830" t="str">
        <f t="shared" si="70"/>
        <v>COR22D667</v>
      </c>
      <c r="E830" s="58" t="s">
        <v>252</v>
      </c>
      <c r="F830" s="20">
        <v>1000</v>
      </c>
      <c r="G830" s="14" t="s">
        <v>354</v>
      </c>
      <c r="H830" s="23" t="s">
        <v>170</v>
      </c>
      <c r="J830" s="59" t="s">
        <v>38</v>
      </c>
      <c r="K830" s="22" t="s">
        <v>254</v>
      </c>
      <c r="L830" s="59" t="s">
        <v>171</v>
      </c>
      <c r="M830" s="22">
        <v>2</v>
      </c>
      <c r="V830" s="59" t="s">
        <v>176</v>
      </c>
      <c r="AL830" s="59" t="s">
        <v>40</v>
      </c>
      <c r="AM830" s="22" t="s">
        <v>188</v>
      </c>
      <c r="AV830" s="59" t="s">
        <v>134</v>
      </c>
      <c r="AW830" s="22" t="str">
        <f>Settings!$B$5 &amp;  "?s=" &amp; D830 &amp; "&amp;platform=ftx"</f>
        <v>https://tokensol.nfluent.io?s=COR22D667&amp;platform=ftx</v>
      </c>
      <c r="AX830" s="20" t="s">
        <v>23</v>
      </c>
      <c r="AY830" s="20">
        <v>10</v>
      </c>
      <c r="AZ830" s="20" t="s">
        <v>24</v>
      </c>
      <c r="BA830" s="20">
        <v>90</v>
      </c>
      <c r="BD830" s="14"/>
      <c r="BJ830" t="s">
        <v>255</v>
      </c>
      <c r="BK830" t="s">
        <v>184</v>
      </c>
      <c r="BN830" s="36">
        <v>100</v>
      </c>
      <c r="BO830" s="36">
        <v>100</v>
      </c>
      <c r="BP830">
        <f t="shared" si="71"/>
        <v>480</v>
      </c>
      <c r="BR830" s="38">
        <v>44713</v>
      </c>
      <c r="BS830" s="20" t="s">
        <v>185</v>
      </c>
      <c r="BT830" s="20" t="str">
        <f t="shared" si="67"/>
        <v>InCasa_COR22D667</v>
      </c>
    </row>
    <row r="831" spans="2:72" ht="18.75" customHeight="1" x14ac:dyDescent="0.25">
      <c r="B831" s="20">
        <f t="shared" si="68"/>
        <v>668</v>
      </c>
      <c r="C831" s="22" t="str">
        <f t="shared" si="69"/>
        <v>In Casa #668</v>
      </c>
      <c r="D831" t="str">
        <f t="shared" si="70"/>
        <v>COR22D668</v>
      </c>
      <c r="E831" s="58" t="s">
        <v>252</v>
      </c>
      <c r="F831" s="20">
        <v>1000</v>
      </c>
      <c r="G831" s="14" t="s">
        <v>354</v>
      </c>
      <c r="H831" s="23" t="s">
        <v>170</v>
      </c>
      <c r="J831" s="59" t="s">
        <v>38</v>
      </c>
      <c r="K831" s="22" t="s">
        <v>254</v>
      </c>
      <c r="L831" s="59" t="s">
        <v>171</v>
      </c>
      <c r="M831" s="22">
        <v>2</v>
      </c>
      <c r="V831" s="59" t="s">
        <v>176</v>
      </c>
      <c r="AL831" s="59" t="s">
        <v>40</v>
      </c>
      <c r="AM831" s="22" t="s">
        <v>188</v>
      </c>
      <c r="AV831" s="59" t="s">
        <v>134</v>
      </c>
      <c r="AW831" s="22" t="str">
        <f>Settings!$B$5 &amp;  "?s=" &amp; D831 &amp; "&amp;platform=ftx"</f>
        <v>https://tokensol.nfluent.io?s=COR22D668&amp;platform=ftx</v>
      </c>
      <c r="AX831" s="20" t="s">
        <v>23</v>
      </c>
      <c r="AY831" s="20">
        <v>10</v>
      </c>
      <c r="AZ831" s="20" t="s">
        <v>24</v>
      </c>
      <c r="BA831" s="20">
        <v>90</v>
      </c>
      <c r="BD831" s="14"/>
      <c r="BJ831" t="s">
        <v>255</v>
      </c>
      <c r="BK831" t="s">
        <v>184</v>
      </c>
      <c r="BN831" s="36">
        <v>100</v>
      </c>
      <c r="BO831" s="36">
        <v>100</v>
      </c>
      <c r="BP831">
        <f t="shared" si="71"/>
        <v>480</v>
      </c>
      <c r="BR831" s="38">
        <v>44713</v>
      </c>
      <c r="BS831" s="20" t="s">
        <v>185</v>
      </c>
      <c r="BT831" s="20" t="str">
        <f t="shared" si="67"/>
        <v>InCasa_COR22D668</v>
      </c>
    </row>
    <row r="832" spans="2:72" ht="18.75" customHeight="1" x14ac:dyDescent="0.25">
      <c r="B832" s="20">
        <f t="shared" si="68"/>
        <v>669</v>
      </c>
      <c r="C832" s="22" t="str">
        <f t="shared" si="69"/>
        <v>In Casa #669</v>
      </c>
      <c r="D832" t="str">
        <f t="shared" si="70"/>
        <v>COR22D669</v>
      </c>
      <c r="E832" s="58" t="s">
        <v>252</v>
      </c>
      <c r="F832" s="20">
        <v>1000</v>
      </c>
      <c r="G832" s="14" t="s">
        <v>354</v>
      </c>
      <c r="H832" s="23" t="s">
        <v>170</v>
      </c>
      <c r="J832" s="59" t="s">
        <v>38</v>
      </c>
      <c r="K832" s="22" t="s">
        <v>254</v>
      </c>
      <c r="L832" s="59" t="s">
        <v>171</v>
      </c>
      <c r="M832" s="22">
        <v>2</v>
      </c>
      <c r="V832" s="59" t="s">
        <v>176</v>
      </c>
      <c r="AL832" s="59" t="s">
        <v>40</v>
      </c>
      <c r="AM832" s="22" t="s">
        <v>188</v>
      </c>
      <c r="AV832" s="59" t="s">
        <v>134</v>
      </c>
      <c r="AW832" s="22" t="str">
        <f>Settings!$B$5 &amp;  "?s=" &amp; D832 &amp; "&amp;platform=ftx"</f>
        <v>https://tokensol.nfluent.io?s=COR22D669&amp;platform=ftx</v>
      </c>
      <c r="AX832" s="20" t="s">
        <v>23</v>
      </c>
      <c r="AY832" s="20">
        <v>10</v>
      </c>
      <c r="AZ832" s="20" t="s">
        <v>24</v>
      </c>
      <c r="BA832" s="20">
        <v>90</v>
      </c>
      <c r="BD832" s="14"/>
      <c r="BJ832" t="s">
        <v>255</v>
      </c>
      <c r="BK832" t="s">
        <v>184</v>
      </c>
      <c r="BN832" s="36">
        <v>100</v>
      </c>
      <c r="BO832" s="36">
        <v>100</v>
      </c>
      <c r="BP832">
        <f t="shared" si="71"/>
        <v>480</v>
      </c>
      <c r="BR832" s="38">
        <v>44713</v>
      </c>
      <c r="BS832" s="20" t="s">
        <v>185</v>
      </c>
      <c r="BT832" s="20" t="str">
        <f t="shared" si="67"/>
        <v>InCasa_COR22D669</v>
      </c>
    </row>
    <row r="833" spans="2:72" ht="18.75" customHeight="1" x14ac:dyDescent="0.25">
      <c r="B833" s="20">
        <f t="shared" si="68"/>
        <v>670</v>
      </c>
      <c r="C833" s="22" t="str">
        <f t="shared" si="69"/>
        <v>In Casa #670</v>
      </c>
      <c r="D833" t="str">
        <f t="shared" si="70"/>
        <v>COR22D670</v>
      </c>
      <c r="E833" s="58" t="s">
        <v>252</v>
      </c>
      <c r="F833" s="20">
        <v>1000</v>
      </c>
      <c r="G833" s="14" t="s">
        <v>354</v>
      </c>
      <c r="H833" s="23" t="s">
        <v>170</v>
      </c>
      <c r="J833" s="59" t="s">
        <v>38</v>
      </c>
      <c r="K833" s="22" t="s">
        <v>254</v>
      </c>
      <c r="L833" s="59" t="s">
        <v>171</v>
      </c>
      <c r="M833" s="22">
        <v>2</v>
      </c>
      <c r="V833" s="59" t="s">
        <v>176</v>
      </c>
      <c r="AL833" s="59" t="s">
        <v>40</v>
      </c>
      <c r="AM833" s="22" t="s">
        <v>188</v>
      </c>
      <c r="AV833" s="59" t="s">
        <v>134</v>
      </c>
      <c r="AW833" s="22" t="str">
        <f>Settings!$B$5 &amp;  "?s=" &amp; D833 &amp; "&amp;platform=ftx"</f>
        <v>https://tokensol.nfluent.io?s=COR22D670&amp;platform=ftx</v>
      </c>
      <c r="AX833" s="20" t="s">
        <v>23</v>
      </c>
      <c r="AY833" s="20">
        <v>10</v>
      </c>
      <c r="AZ833" s="20" t="s">
        <v>24</v>
      </c>
      <c r="BA833" s="20">
        <v>90</v>
      </c>
      <c r="BD833" s="14"/>
      <c r="BJ833" t="s">
        <v>255</v>
      </c>
      <c r="BK833" t="s">
        <v>184</v>
      </c>
      <c r="BN833" s="36">
        <v>100</v>
      </c>
      <c r="BO833" s="36">
        <v>100</v>
      </c>
      <c r="BP833">
        <f t="shared" si="71"/>
        <v>480</v>
      </c>
      <c r="BR833" s="38">
        <v>44713</v>
      </c>
      <c r="BS833" s="20" t="s">
        <v>185</v>
      </c>
      <c r="BT833" s="20" t="str">
        <f t="shared" si="67"/>
        <v>InCasa_COR22D670</v>
      </c>
    </row>
    <row r="834" spans="2:72" ht="18.75" customHeight="1" x14ac:dyDescent="0.25">
      <c r="B834" s="20">
        <f t="shared" si="68"/>
        <v>671</v>
      </c>
      <c r="C834" s="22" t="str">
        <f t="shared" si="69"/>
        <v>In Casa #671</v>
      </c>
      <c r="D834" t="str">
        <f t="shared" si="70"/>
        <v>COR22D671</v>
      </c>
      <c r="E834" s="58" t="s">
        <v>252</v>
      </c>
      <c r="F834" s="20">
        <v>1000</v>
      </c>
      <c r="G834" s="14" t="s">
        <v>354</v>
      </c>
      <c r="H834" s="23" t="s">
        <v>170</v>
      </c>
      <c r="J834" s="59" t="s">
        <v>38</v>
      </c>
      <c r="K834" s="22" t="s">
        <v>254</v>
      </c>
      <c r="L834" s="59" t="s">
        <v>171</v>
      </c>
      <c r="M834" s="22">
        <v>2</v>
      </c>
      <c r="V834" s="59" t="s">
        <v>176</v>
      </c>
      <c r="AL834" s="59" t="s">
        <v>40</v>
      </c>
      <c r="AM834" s="22" t="s">
        <v>188</v>
      </c>
      <c r="AV834" s="59" t="s">
        <v>134</v>
      </c>
      <c r="AW834" s="22" t="str">
        <f>Settings!$B$5 &amp;  "?s=" &amp; D834 &amp; "&amp;platform=ftx"</f>
        <v>https://tokensol.nfluent.io?s=COR22D671&amp;platform=ftx</v>
      </c>
      <c r="AX834" s="20" t="s">
        <v>23</v>
      </c>
      <c r="AY834" s="20">
        <v>10</v>
      </c>
      <c r="AZ834" s="20" t="s">
        <v>24</v>
      </c>
      <c r="BA834" s="20">
        <v>90</v>
      </c>
      <c r="BD834" s="14"/>
      <c r="BJ834" t="s">
        <v>255</v>
      </c>
      <c r="BK834" t="s">
        <v>184</v>
      </c>
      <c r="BN834" s="36">
        <v>100</v>
      </c>
      <c r="BO834" s="36">
        <v>100</v>
      </c>
      <c r="BP834">
        <f t="shared" si="71"/>
        <v>480</v>
      </c>
      <c r="BR834" s="38">
        <v>44713</v>
      </c>
      <c r="BS834" s="20" t="s">
        <v>185</v>
      </c>
      <c r="BT834" s="20" t="str">
        <f t="shared" si="67"/>
        <v>InCasa_COR22D671</v>
      </c>
    </row>
    <row r="835" spans="2:72" ht="18.75" customHeight="1" x14ac:dyDescent="0.25">
      <c r="B835" s="20">
        <f t="shared" si="68"/>
        <v>672</v>
      </c>
      <c r="C835" s="22" t="str">
        <f t="shared" si="69"/>
        <v>In Casa #672</v>
      </c>
      <c r="D835" t="str">
        <f t="shared" si="70"/>
        <v>COR22D672</v>
      </c>
      <c r="E835" s="58" t="s">
        <v>252</v>
      </c>
      <c r="F835" s="20">
        <v>1000</v>
      </c>
      <c r="G835" s="14" t="s">
        <v>354</v>
      </c>
      <c r="H835" s="23" t="s">
        <v>170</v>
      </c>
      <c r="J835" s="59" t="s">
        <v>38</v>
      </c>
      <c r="K835" s="22" t="s">
        <v>254</v>
      </c>
      <c r="L835" s="59" t="s">
        <v>171</v>
      </c>
      <c r="M835" s="22">
        <v>2</v>
      </c>
      <c r="V835" s="59" t="s">
        <v>176</v>
      </c>
      <c r="AL835" s="59" t="s">
        <v>40</v>
      </c>
      <c r="AM835" s="22" t="s">
        <v>188</v>
      </c>
      <c r="AV835" s="59" t="s">
        <v>134</v>
      </c>
      <c r="AW835" s="22" t="str">
        <f>Settings!$B$5 &amp;  "?s=" &amp; D835 &amp; "&amp;platform=ftx"</f>
        <v>https://tokensol.nfluent.io?s=COR22D672&amp;platform=ftx</v>
      </c>
      <c r="AX835" s="20" t="s">
        <v>23</v>
      </c>
      <c r="AY835" s="20">
        <v>10</v>
      </c>
      <c r="AZ835" s="20" t="s">
        <v>24</v>
      </c>
      <c r="BA835" s="20">
        <v>90</v>
      </c>
      <c r="BD835" s="14"/>
      <c r="BJ835" t="s">
        <v>255</v>
      </c>
      <c r="BK835" t="s">
        <v>184</v>
      </c>
      <c r="BN835" s="36">
        <v>100</v>
      </c>
      <c r="BO835" s="36">
        <v>100</v>
      </c>
      <c r="BP835">
        <f t="shared" si="71"/>
        <v>480</v>
      </c>
      <c r="BR835" s="38">
        <v>44713</v>
      </c>
      <c r="BS835" s="20" t="s">
        <v>185</v>
      </c>
      <c r="BT835" s="20" t="str">
        <f t="shared" si="67"/>
        <v>InCasa_COR22D672</v>
      </c>
    </row>
    <row r="836" spans="2:72" ht="18.75" customHeight="1" x14ac:dyDescent="0.25">
      <c r="B836" s="20">
        <f t="shared" si="68"/>
        <v>673</v>
      </c>
      <c r="C836" s="22" t="str">
        <f t="shared" si="69"/>
        <v>In Casa #673</v>
      </c>
      <c r="D836" t="str">
        <f t="shared" si="70"/>
        <v>COR22D673</v>
      </c>
      <c r="E836" s="58" t="s">
        <v>252</v>
      </c>
      <c r="F836" s="20">
        <v>1000</v>
      </c>
      <c r="G836" s="14" t="s">
        <v>354</v>
      </c>
      <c r="H836" s="23" t="s">
        <v>170</v>
      </c>
      <c r="J836" s="59" t="s">
        <v>38</v>
      </c>
      <c r="K836" s="22" t="s">
        <v>254</v>
      </c>
      <c r="L836" s="59" t="s">
        <v>171</v>
      </c>
      <c r="M836" s="22">
        <v>2</v>
      </c>
      <c r="V836" s="59" t="s">
        <v>176</v>
      </c>
      <c r="AL836" s="59" t="s">
        <v>40</v>
      </c>
      <c r="AM836" s="22" t="s">
        <v>188</v>
      </c>
      <c r="AV836" s="59" t="s">
        <v>134</v>
      </c>
      <c r="AW836" s="22" t="str">
        <f>Settings!$B$5 &amp;  "?s=" &amp; D836 &amp; "&amp;platform=ftx"</f>
        <v>https://tokensol.nfluent.io?s=COR22D673&amp;platform=ftx</v>
      </c>
      <c r="AX836" s="20" t="s">
        <v>23</v>
      </c>
      <c r="AY836" s="20">
        <v>10</v>
      </c>
      <c r="AZ836" s="20" t="s">
        <v>24</v>
      </c>
      <c r="BA836" s="20">
        <v>90</v>
      </c>
      <c r="BD836" s="14"/>
      <c r="BJ836" t="s">
        <v>255</v>
      </c>
      <c r="BK836" t="s">
        <v>184</v>
      </c>
      <c r="BN836" s="36">
        <v>100</v>
      </c>
      <c r="BO836" s="36">
        <v>100</v>
      </c>
      <c r="BP836">
        <f t="shared" si="71"/>
        <v>480</v>
      </c>
      <c r="BR836" s="38">
        <v>44713</v>
      </c>
      <c r="BS836" s="20" t="s">
        <v>185</v>
      </c>
      <c r="BT836" s="20" t="str">
        <f t="shared" si="67"/>
        <v>InCasa_COR22D673</v>
      </c>
    </row>
    <row r="837" spans="2:72" ht="18.75" customHeight="1" x14ac:dyDescent="0.25">
      <c r="B837" s="20">
        <f t="shared" si="68"/>
        <v>674</v>
      </c>
      <c r="C837" s="22" t="str">
        <f t="shared" si="69"/>
        <v>In Casa #674</v>
      </c>
      <c r="D837" t="str">
        <f t="shared" si="70"/>
        <v>COR22D674</v>
      </c>
      <c r="E837" s="58" t="s">
        <v>252</v>
      </c>
      <c r="F837" s="20">
        <v>1000</v>
      </c>
      <c r="G837" s="14" t="s">
        <v>354</v>
      </c>
      <c r="H837" s="23" t="s">
        <v>170</v>
      </c>
      <c r="J837" s="59" t="s">
        <v>38</v>
      </c>
      <c r="K837" s="22" t="s">
        <v>254</v>
      </c>
      <c r="L837" s="59" t="s">
        <v>171</v>
      </c>
      <c r="M837" s="22">
        <v>2</v>
      </c>
      <c r="V837" s="59" t="s">
        <v>176</v>
      </c>
      <c r="AL837" s="59" t="s">
        <v>40</v>
      </c>
      <c r="AM837" s="22" t="s">
        <v>188</v>
      </c>
      <c r="AV837" s="59" t="s">
        <v>134</v>
      </c>
      <c r="AW837" s="22" t="str">
        <f>Settings!$B$5 &amp;  "?s=" &amp; D837 &amp; "&amp;platform=ftx"</f>
        <v>https://tokensol.nfluent.io?s=COR22D674&amp;platform=ftx</v>
      </c>
      <c r="AX837" s="20" t="s">
        <v>23</v>
      </c>
      <c r="AY837" s="20">
        <v>10</v>
      </c>
      <c r="AZ837" s="20" t="s">
        <v>24</v>
      </c>
      <c r="BA837" s="20">
        <v>90</v>
      </c>
      <c r="BD837" s="14"/>
      <c r="BJ837" t="s">
        <v>255</v>
      </c>
      <c r="BK837" t="s">
        <v>184</v>
      </c>
      <c r="BN837" s="36">
        <v>100</v>
      </c>
      <c r="BO837" s="36">
        <v>100</v>
      </c>
      <c r="BP837">
        <f t="shared" si="71"/>
        <v>480</v>
      </c>
      <c r="BR837" s="38">
        <v>44713</v>
      </c>
      <c r="BS837" s="20" t="s">
        <v>185</v>
      </c>
      <c r="BT837" s="20" t="str">
        <f t="shared" ref="BT837:BT900" si="72">SUBSTITUTE(BJ837," ","") &amp; "_" &amp; D837</f>
        <v>InCasa_COR22D674</v>
      </c>
    </row>
    <row r="838" spans="2:72" ht="18.75" customHeight="1" x14ac:dyDescent="0.25">
      <c r="B838" s="20">
        <f t="shared" ref="B838:B901" si="73">+B837+1</f>
        <v>675</v>
      </c>
      <c r="C838" s="22" t="str">
        <f t="shared" si="69"/>
        <v>In Casa #675</v>
      </c>
      <c r="D838" t="str">
        <f t="shared" si="70"/>
        <v>COR22D675</v>
      </c>
      <c r="E838" s="58" t="s">
        <v>252</v>
      </c>
      <c r="F838" s="20">
        <v>1000</v>
      </c>
      <c r="G838" s="14" t="s">
        <v>354</v>
      </c>
      <c r="H838" s="23" t="s">
        <v>170</v>
      </c>
      <c r="J838" s="59" t="s">
        <v>38</v>
      </c>
      <c r="K838" s="22" t="s">
        <v>254</v>
      </c>
      <c r="L838" s="59" t="s">
        <v>171</v>
      </c>
      <c r="M838" s="22">
        <v>2</v>
      </c>
      <c r="V838" s="59" t="s">
        <v>176</v>
      </c>
      <c r="AL838" s="59" t="s">
        <v>40</v>
      </c>
      <c r="AM838" s="22" t="s">
        <v>188</v>
      </c>
      <c r="AV838" s="59" t="s">
        <v>134</v>
      </c>
      <c r="AW838" s="22" t="str">
        <f>Settings!$B$5 &amp;  "?s=" &amp; D838 &amp; "&amp;platform=ftx"</f>
        <v>https://tokensol.nfluent.io?s=COR22D675&amp;platform=ftx</v>
      </c>
      <c r="AX838" s="20" t="s">
        <v>23</v>
      </c>
      <c r="AY838" s="20">
        <v>10</v>
      </c>
      <c r="AZ838" s="20" t="s">
        <v>24</v>
      </c>
      <c r="BA838" s="20">
        <v>90</v>
      </c>
      <c r="BD838" s="14"/>
      <c r="BJ838" t="s">
        <v>255</v>
      </c>
      <c r="BK838" t="s">
        <v>184</v>
      </c>
      <c r="BN838" s="36">
        <v>100</v>
      </c>
      <c r="BO838" s="36">
        <v>100</v>
      </c>
      <c r="BP838">
        <f t="shared" si="71"/>
        <v>480</v>
      </c>
      <c r="BR838" s="38">
        <v>44713</v>
      </c>
      <c r="BS838" s="20" t="s">
        <v>185</v>
      </c>
      <c r="BT838" s="20" t="str">
        <f t="shared" si="72"/>
        <v>InCasa_COR22D675</v>
      </c>
    </row>
    <row r="839" spans="2:72" ht="18.75" customHeight="1" x14ac:dyDescent="0.25">
      <c r="B839" s="20">
        <f t="shared" si="73"/>
        <v>676</v>
      </c>
      <c r="C839" s="22" t="str">
        <f t="shared" si="69"/>
        <v>In Casa #676</v>
      </c>
      <c r="D839" t="str">
        <f t="shared" si="70"/>
        <v>COR22D676</v>
      </c>
      <c r="E839" s="58" t="s">
        <v>252</v>
      </c>
      <c r="F839" s="20">
        <v>1000</v>
      </c>
      <c r="G839" s="14" t="s">
        <v>354</v>
      </c>
      <c r="H839" s="23" t="s">
        <v>170</v>
      </c>
      <c r="J839" s="59" t="s">
        <v>38</v>
      </c>
      <c r="K839" s="22" t="s">
        <v>254</v>
      </c>
      <c r="L839" s="59" t="s">
        <v>171</v>
      </c>
      <c r="M839" s="22">
        <v>2</v>
      </c>
      <c r="V839" s="59" t="s">
        <v>176</v>
      </c>
      <c r="AL839" s="59" t="s">
        <v>40</v>
      </c>
      <c r="AM839" s="22" t="s">
        <v>188</v>
      </c>
      <c r="AV839" s="59" t="s">
        <v>134</v>
      </c>
      <c r="AW839" s="22" t="str">
        <f>Settings!$B$5 &amp;  "?s=" &amp; D839 &amp; "&amp;platform=ftx"</f>
        <v>https://tokensol.nfluent.io?s=COR22D676&amp;platform=ftx</v>
      </c>
      <c r="AX839" s="20" t="s">
        <v>23</v>
      </c>
      <c r="AY839" s="20">
        <v>10</v>
      </c>
      <c r="AZ839" s="20" t="s">
        <v>24</v>
      </c>
      <c r="BA839" s="20">
        <v>90</v>
      </c>
      <c r="BD839" s="14"/>
      <c r="BJ839" t="s">
        <v>255</v>
      </c>
      <c r="BK839" t="s">
        <v>184</v>
      </c>
      <c r="BN839" s="36">
        <v>100</v>
      </c>
      <c r="BO839" s="36">
        <v>100</v>
      </c>
      <c r="BP839">
        <f t="shared" si="71"/>
        <v>480</v>
      </c>
      <c r="BR839" s="38">
        <v>44713</v>
      </c>
      <c r="BS839" s="20" t="s">
        <v>185</v>
      </c>
      <c r="BT839" s="20" t="str">
        <f t="shared" si="72"/>
        <v>InCasa_COR22D676</v>
      </c>
    </row>
    <row r="840" spans="2:72" ht="18.75" customHeight="1" x14ac:dyDescent="0.25">
      <c r="B840" s="20">
        <f t="shared" si="73"/>
        <v>677</v>
      </c>
      <c r="C840" s="22" t="str">
        <f t="shared" si="69"/>
        <v>In Casa #677</v>
      </c>
      <c r="D840" t="str">
        <f t="shared" si="70"/>
        <v>COR22D677</v>
      </c>
      <c r="E840" s="58" t="s">
        <v>252</v>
      </c>
      <c r="F840" s="20">
        <v>1000</v>
      </c>
      <c r="G840" s="14" t="s">
        <v>354</v>
      </c>
      <c r="H840" s="23" t="s">
        <v>170</v>
      </c>
      <c r="J840" s="59" t="s">
        <v>38</v>
      </c>
      <c r="K840" s="22" t="s">
        <v>254</v>
      </c>
      <c r="L840" s="59" t="s">
        <v>171</v>
      </c>
      <c r="M840" s="22">
        <v>2</v>
      </c>
      <c r="V840" s="59" t="s">
        <v>176</v>
      </c>
      <c r="AL840" s="59" t="s">
        <v>40</v>
      </c>
      <c r="AM840" s="22" t="s">
        <v>188</v>
      </c>
      <c r="AV840" s="59" t="s">
        <v>134</v>
      </c>
      <c r="AW840" s="22" t="str">
        <f>Settings!$B$5 &amp;  "?s=" &amp; D840 &amp; "&amp;platform=ftx"</f>
        <v>https://tokensol.nfluent.io?s=COR22D677&amp;platform=ftx</v>
      </c>
      <c r="AX840" s="20" t="s">
        <v>23</v>
      </c>
      <c r="AY840" s="20">
        <v>10</v>
      </c>
      <c r="AZ840" s="20" t="s">
        <v>24</v>
      </c>
      <c r="BA840" s="20">
        <v>90</v>
      </c>
      <c r="BD840" s="14"/>
      <c r="BJ840" t="s">
        <v>255</v>
      </c>
      <c r="BK840" t="s">
        <v>184</v>
      </c>
      <c r="BN840" s="36">
        <v>100</v>
      </c>
      <c r="BO840" s="36">
        <v>100</v>
      </c>
      <c r="BP840">
        <f t="shared" si="71"/>
        <v>480</v>
      </c>
      <c r="BR840" s="38">
        <v>44713</v>
      </c>
      <c r="BS840" s="20" t="s">
        <v>185</v>
      </c>
      <c r="BT840" s="20" t="str">
        <f t="shared" si="72"/>
        <v>InCasa_COR22D677</v>
      </c>
    </row>
    <row r="841" spans="2:72" ht="18.75" customHeight="1" x14ac:dyDescent="0.25">
      <c r="B841" s="20">
        <f t="shared" si="73"/>
        <v>678</v>
      </c>
      <c r="C841" s="22" t="str">
        <f t="shared" si="69"/>
        <v>In Casa #678</v>
      </c>
      <c r="D841" t="str">
        <f t="shared" si="70"/>
        <v>COR22D678</v>
      </c>
      <c r="E841" s="58" t="s">
        <v>252</v>
      </c>
      <c r="F841" s="20">
        <v>1000</v>
      </c>
      <c r="G841" s="14" t="s">
        <v>354</v>
      </c>
      <c r="H841" s="23" t="s">
        <v>170</v>
      </c>
      <c r="J841" s="59" t="s">
        <v>38</v>
      </c>
      <c r="K841" s="22" t="s">
        <v>254</v>
      </c>
      <c r="L841" s="59" t="s">
        <v>171</v>
      </c>
      <c r="M841" s="22">
        <v>2</v>
      </c>
      <c r="V841" s="59" t="s">
        <v>176</v>
      </c>
      <c r="AL841" s="59" t="s">
        <v>40</v>
      </c>
      <c r="AM841" s="22" t="s">
        <v>188</v>
      </c>
      <c r="AV841" s="59" t="s">
        <v>134</v>
      </c>
      <c r="AW841" s="22" t="str">
        <f>Settings!$B$5 &amp;  "?s=" &amp; D841 &amp; "&amp;platform=ftx"</f>
        <v>https://tokensol.nfluent.io?s=COR22D678&amp;platform=ftx</v>
      </c>
      <c r="AX841" s="20" t="s">
        <v>23</v>
      </c>
      <c r="AY841" s="20">
        <v>10</v>
      </c>
      <c r="AZ841" s="20" t="s">
        <v>24</v>
      </c>
      <c r="BA841" s="20">
        <v>90</v>
      </c>
      <c r="BD841" s="14"/>
      <c r="BJ841" t="s">
        <v>255</v>
      </c>
      <c r="BK841" t="s">
        <v>184</v>
      </c>
      <c r="BN841" s="36">
        <v>100</v>
      </c>
      <c r="BO841" s="36">
        <v>100</v>
      </c>
      <c r="BP841">
        <f t="shared" si="71"/>
        <v>480</v>
      </c>
      <c r="BR841" s="38">
        <v>44713</v>
      </c>
      <c r="BS841" s="20" t="s">
        <v>185</v>
      </c>
      <c r="BT841" s="20" t="str">
        <f t="shared" si="72"/>
        <v>InCasa_COR22D678</v>
      </c>
    </row>
    <row r="842" spans="2:72" ht="18.75" customHeight="1" x14ac:dyDescent="0.25">
      <c r="B842" s="20">
        <f t="shared" si="73"/>
        <v>679</v>
      </c>
      <c r="C842" s="22" t="str">
        <f t="shared" si="69"/>
        <v>In Casa #679</v>
      </c>
      <c r="D842" t="str">
        <f t="shared" si="70"/>
        <v>COR22D679</v>
      </c>
      <c r="E842" s="58" t="s">
        <v>252</v>
      </c>
      <c r="F842" s="20">
        <v>1000</v>
      </c>
      <c r="G842" s="14" t="s">
        <v>354</v>
      </c>
      <c r="H842" s="23" t="s">
        <v>170</v>
      </c>
      <c r="J842" s="59" t="s">
        <v>38</v>
      </c>
      <c r="K842" s="22" t="s">
        <v>254</v>
      </c>
      <c r="L842" s="59" t="s">
        <v>171</v>
      </c>
      <c r="M842" s="22">
        <v>2</v>
      </c>
      <c r="V842" s="59" t="s">
        <v>176</v>
      </c>
      <c r="AL842" s="59" t="s">
        <v>40</v>
      </c>
      <c r="AM842" s="22" t="s">
        <v>188</v>
      </c>
      <c r="AV842" s="59" t="s">
        <v>134</v>
      </c>
      <c r="AW842" s="22" t="str">
        <f>Settings!$B$5 &amp;  "?s=" &amp; D842 &amp; "&amp;platform=ftx"</f>
        <v>https://tokensol.nfluent.io?s=COR22D679&amp;platform=ftx</v>
      </c>
      <c r="AX842" s="20" t="s">
        <v>23</v>
      </c>
      <c r="AY842" s="20">
        <v>10</v>
      </c>
      <c r="AZ842" s="20" t="s">
        <v>24</v>
      </c>
      <c r="BA842" s="20">
        <v>90</v>
      </c>
      <c r="BD842" s="14"/>
      <c r="BJ842" t="s">
        <v>255</v>
      </c>
      <c r="BK842" t="s">
        <v>184</v>
      </c>
      <c r="BN842" s="36">
        <v>100</v>
      </c>
      <c r="BO842" s="36">
        <v>100</v>
      </c>
      <c r="BP842">
        <f t="shared" si="71"/>
        <v>480</v>
      </c>
      <c r="BR842" s="38">
        <v>44713</v>
      </c>
      <c r="BS842" s="20" t="s">
        <v>185</v>
      </c>
      <c r="BT842" s="20" t="str">
        <f t="shared" si="72"/>
        <v>InCasa_COR22D679</v>
      </c>
    </row>
    <row r="843" spans="2:72" ht="18.75" customHeight="1" x14ac:dyDescent="0.25">
      <c r="B843" s="20">
        <f t="shared" si="73"/>
        <v>680</v>
      </c>
      <c r="C843" s="22" t="str">
        <f t="shared" si="69"/>
        <v>In Casa #680</v>
      </c>
      <c r="D843" t="str">
        <f t="shared" si="70"/>
        <v>COR22D680</v>
      </c>
      <c r="E843" s="58" t="s">
        <v>252</v>
      </c>
      <c r="F843" s="20">
        <v>1000</v>
      </c>
      <c r="G843" s="14" t="s">
        <v>354</v>
      </c>
      <c r="H843" s="23" t="s">
        <v>170</v>
      </c>
      <c r="J843" s="59" t="s">
        <v>38</v>
      </c>
      <c r="K843" s="22" t="s">
        <v>254</v>
      </c>
      <c r="L843" s="59" t="s">
        <v>171</v>
      </c>
      <c r="M843" s="22">
        <v>2</v>
      </c>
      <c r="V843" s="59" t="s">
        <v>176</v>
      </c>
      <c r="AL843" s="59" t="s">
        <v>40</v>
      </c>
      <c r="AM843" s="22" t="s">
        <v>188</v>
      </c>
      <c r="AV843" s="59" t="s">
        <v>134</v>
      </c>
      <c r="AW843" s="22" t="str">
        <f>Settings!$B$5 &amp;  "?s=" &amp; D843 &amp; "&amp;platform=ftx"</f>
        <v>https://tokensol.nfluent.io?s=COR22D680&amp;platform=ftx</v>
      </c>
      <c r="AX843" s="20" t="s">
        <v>23</v>
      </c>
      <c r="AY843" s="20">
        <v>10</v>
      </c>
      <c r="AZ843" s="20" t="s">
        <v>24</v>
      </c>
      <c r="BA843" s="20">
        <v>90</v>
      </c>
      <c r="BD843" s="14"/>
      <c r="BJ843" t="s">
        <v>255</v>
      </c>
      <c r="BK843" t="s">
        <v>184</v>
      </c>
      <c r="BN843" s="36">
        <v>100</v>
      </c>
      <c r="BO843" s="36">
        <v>100</v>
      </c>
      <c r="BP843">
        <f t="shared" si="71"/>
        <v>480</v>
      </c>
      <c r="BR843" s="38">
        <v>44713</v>
      </c>
      <c r="BS843" s="20" t="s">
        <v>185</v>
      </c>
      <c r="BT843" s="20" t="str">
        <f t="shared" si="72"/>
        <v>InCasa_COR22D680</v>
      </c>
    </row>
    <row r="844" spans="2:72" ht="18.75" customHeight="1" x14ac:dyDescent="0.25">
      <c r="B844" s="20">
        <f t="shared" si="73"/>
        <v>681</v>
      </c>
      <c r="C844" s="22" t="str">
        <f t="shared" si="69"/>
        <v>In Casa #681</v>
      </c>
      <c r="D844" t="str">
        <f t="shared" si="70"/>
        <v>COR22D681</v>
      </c>
      <c r="E844" s="58" t="s">
        <v>252</v>
      </c>
      <c r="F844" s="20">
        <v>1000</v>
      </c>
      <c r="G844" s="14" t="s">
        <v>354</v>
      </c>
      <c r="H844" s="23" t="s">
        <v>170</v>
      </c>
      <c r="J844" s="59" t="s">
        <v>38</v>
      </c>
      <c r="K844" s="22" t="s">
        <v>254</v>
      </c>
      <c r="L844" s="59" t="s">
        <v>171</v>
      </c>
      <c r="M844" s="22">
        <v>2</v>
      </c>
      <c r="V844" s="59" t="s">
        <v>176</v>
      </c>
      <c r="AL844" s="59" t="s">
        <v>40</v>
      </c>
      <c r="AM844" s="22" t="s">
        <v>188</v>
      </c>
      <c r="AV844" s="59" t="s">
        <v>134</v>
      </c>
      <c r="AW844" s="22" t="str">
        <f>Settings!$B$5 &amp;  "?s=" &amp; D844 &amp; "&amp;platform=ftx"</f>
        <v>https://tokensol.nfluent.io?s=COR22D681&amp;platform=ftx</v>
      </c>
      <c r="AX844" s="20" t="s">
        <v>23</v>
      </c>
      <c r="AY844" s="20">
        <v>10</v>
      </c>
      <c r="AZ844" s="20" t="s">
        <v>24</v>
      </c>
      <c r="BA844" s="20">
        <v>90</v>
      </c>
      <c r="BD844" s="14"/>
      <c r="BJ844" t="s">
        <v>255</v>
      </c>
      <c r="BK844" t="s">
        <v>184</v>
      </c>
      <c r="BN844" s="36">
        <v>100</v>
      </c>
      <c r="BO844" s="36">
        <v>100</v>
      </c>
      <c r="BP844">
        <f t="shared" si="71"/>
        <v>480</v>
      </c>
      <c r="BR844" s="38">
        <v>44713</v>
      </c>
      <c r="BS844" s="20" t="s">
        <v>185</v>
      </c>
      <c r="BT844" s="20" t="str">
        <f t="shared" si="72"/>
        <v>InCasa_COR22D681</v>
      </c>
    </row>
    <row r="845" spans="2:72" ht="18.75" customHeight="1" x14ac:dyDescent="0.25">
      <c r="B845" s="20">
        <f t="shared" si="73"/>
        <v>682</v>
      </c>
      <c r="C845" s="22" t="str">
        <f t="shared" si="69"/>
        <v>In Casa #682</v>
      </c>
      <c r="D845" t="str">
        <f t="shared" si="70"/>
        <v>COR22D682</v>
      </c>
      <c r="E845" s="58" t="s">
        <v>252</v>
      </c>
      <c r="F845" s="20">
        <v>1000</v>
      </c>
      <c r="G845" s="14" t="s">
        <v>354</v>
      </c>
      <c r="H845" s="23" t="s">
        <v>170</v>
      </c>
      <c r="J845" s="59" t="s">
        <v>38</v>
      </c>
      <c r="K845" s="22" t="s">
        <v>254</v>
      </c>
      <c r="L845" s="59" t="s">
        <v>171</v>
      </c>
      <c r="M845" s="22">
        <v>2</v>
      </c>
      <c r="V845" s="59" t="s">
        <v>176</v>
      </c>
      <c r="AL845" s="59" t="s">
        <v>40</v>
      </c>
      <c r="AM845" s="22" t="s">
        <v>188</v>
      </c>
      <c r="AV845" s="59" t="s">
        <v>134</v>
      </c>
      <c r="AW845" s="22" t="str">
        <f>Settings!$B$5 &amp;  "?s=" &amp; D845 &amp; "&amp;platform=ftx"</f>
        <v>https://tokensol.nfluent.io?s=COR22D682&amp;platform=ftx</v>
      </c>
      <c r="AX845" s="20" t="s">
        <v>23</v>
      </c>
      <c r="AY845" s="20">
        <v>10</v>
      </c>
      <c r="AZ845" s="20" t="s">
        <v>24</v>
      </c>
      <c r="BA845" s="20">
        <v>90</v>
      </c>
      <c r="BD845" s="14"/>
      <c r="BJ845" t="s">
        <v>255</v>
      </c>
      <c r="BK845" t="s">
        <v>184</v>
      </c>
      <c r="BN845" s="36">
        <v>100</v>
      </c>
      <c r="BO845" s="36">
        <v>100</v>
      </c>
      <c r="BP845">
        <f t="shared" si="71"/>
        <v>480</v>
      </c>
      <c r="BR845" s="38">
        <v>44713</v>
      </c>
      <c r="BS845" s="20" t="s">
        <v>185</v>
      </c>
      <c r="BT845" s="20" t="str">
        <f t="shared" si="72"/>
        <v>InCasa_COR22D682</v>
      </c>
    </row>
    <row r="846" spans="2:72" ht="18.75" customHeight="1" x14ac:dyDescent="0.25">
      <c r="B846" s="20">
        <f t="shared" si="73"/>
        <v>683</v>
      </c>
      <c r="C846" s="22" t="str">
        <f t="shared" si="69"/>
        <v>In Casa #683</v>
      </c>
      <c r="D846" t="str">
        <f t="shared" si="70"/>
        <v>COR22D683</v>
      </c>
      <c r="E846" s="58" t="s">
        <v>252</v>
      </c>
      <c r="F846" s="20">
        <v>1000</v>
      </c>
      <c r="G846" s="14" t="s">
        <v>354</v>
      </c>
      <c r="H846" s="23" t="s">
        <v>170</v>
      </c>
      <c r="J846" s="59" t="s">
        <v>38</v>
      </c>
      <c r="K846" s="22" t="s">
        <v>254</v>
      </c>
      <c r="L846" s="59" t="s">
        <v>171</v>
      </c>
      <c r="M846" s="22">
        <v>2</v>
      </c>
      <c r="V846" s="59" t="s">
        <v>176</v>
      </c>
      <c r="AL846" s="59" t="s">
        <v>40</v>
      </c>
      <c r="AM846" s="22" t="s">
        <v>188</v>
      </c>
      <c r="AV846" s="59" t="s">
        <v>134</v>
      </c>
      <c r="AW846" s="22" t="str">
        <f>Settings!$B$5 &amp;  "?s=" &amp; D846 &amp; "&amp;platform=ftx"</f>
        <v>https://tokensol.nfluent.io?s=COR22D683&amp;platform=ftx</v>
      </c>
      <c r="AX846" s="20" t="s">
        <v>23</v>
      </c>
      <c r="AY846" s="20">
        <v>10</v>
      </c>
      <c r="AZ846" s="20" t="s">
        <v>24</v>
      </c>
      <c r="BA846" s="20">
        <v>90</v>
      </c>
      <c r="BD846" s="14"/>
      <c r="BJ846" t="s">
        <v>255</v>
      </c>
      <c r="BK846" t="s">
        <v>184</v>
      </c>
      <c r="BN846" s="36">
        <v>100</v>
      </c>
      <c r="BO846" s="36">
        <v>100</v>
      </c>
      <c r="BP846">
        <f t="shared" si="71"/>
        <v>480</v>
      </c>
      <c r="BR846" s="38">
        <v>44713</v>
      </c>
      <c r="BS846" s="20" t="s">
        <v>185</v>
      </c>
      <c r="BT846" s="20" t="str">
        <f t="shared" si="72"/>
        <v>InCasa_COR22D683</v>
      </c>
    </row>
    <row r="847" spans="2:72" ht="18.75" customHeight="1" x14ac:dyDescent="0.25">
      <c r="B847" s="20">
        <f t="shared" si="73"/>
        <v>684</v>
      </c>
      <c r="C847" s="22" t="str">
        <f t="shared" si="69"/>
        <v>In Casa #684</v>
      </c>
      <c r="D847" t="str">
        <f t="shared" si="70"/>
        <v>COR22D684</v>
      </c>
      <c r="E847" s="58" t="s">
        <v>252</v>
      </c>
      <c r="F847" s="20">
        <v>1000</v>
      </c>
      <c r="G847" s="14" t="s">
        <v>354</v>
      </c>
      <c r="H847" s="23" t="s">
        <v>170</v>
      </c>
      <c r="J847" s="59" t="s">
        <v>38</v>
      </c>
      <c r="K847" s="22" t="s">
        <v>254</v>
      </c>
      <c r="L847" s="59" t="s">
        <v>171</v>
      </c>
      <c r="M847" s="22">
        <v>2</v>
      </c>
      <c r="V847" s="59" t="s">
        <v>176</v>
      </c>
      <c r="AL847" s="59" t="s">
        <v>40</v>
      </c>
      <c r="AM847" s="22" t="s">
        <v>188</v>
      </c>
      <c r="AV847" s="59" t="s">
        <v>134</v>
      </c>
      <c r="AW847" s="22" t="str">
        <f>Settings!$B$5 &amp;  "?s=" &amp; D847 &amp; "&amp;platform=ftx"</f>
        <v>https://tokensol.nfluent.io?s=COR22D684&amp;platform=ftx</v>
      </c>
      <c r="AX847" s="20" t="s">
        <v>23</v>
      </c>
      <c r="AY847" s="20">
        <v>10</v>
      </c>
      <c r="AZ847" s="20" t="s">
        <v>24</v>
      </c>
      <c r="BA847" s="20">
        <v>90</v>
      </c>
      <c r="BD847" s="14"/>
      <c r="BJ847" t="s">
        <v>255</v>
      </c>
      <c r="BK847" t="s">
        <v>184</v>
      </c>
      <c r="BN847" s="36">
        <v>100</v>
      </c>
      <c r="BO847" s="36">
        <v>100</v>
      </c>
      <c r="BP847">
        <f t="shared" si="71"/>
        <v>480</v>
      </c>
      <c r="BR847" s="38">
        <v>44713</v>
      </c>
      <c r="BS847" s="20" t="s">
        <v>185</v>
      </c>
      <c r="BT847" s="20" t="str">
        <f t="shared" si="72"/>
        <v>InCasa_COR22D684</v>
      </c>
    </row>
    <row r="848" spans="2:72" ht="18.75" customHeight="1" x14ac:dyDescent="0.25">
      <c r="B848" s="20">
        <f t="shared" si="73"/>
        <v>685</v>
      </c>
      <c r="C848" s="22" t="str">
        <f t="shared" si="69"/>
        <v>In Casa #685</v>
      </c>
      <c r="D848" t="str">
        <f t="shared" si="70"/>
        <v>COR22D685</v>
      </c>
      <c r="E848" s="58" t="s">
        <v>252</v>
      </c>
      <c r="F848" s="20">
        <v>1000</v>
      </c>
      <c r="G848" s="14" t="s">
        <v>354</v>
      </c>
      <c r="H848" s="23" t="s">
        <v>170</v>
      </c>
      <c r="J848" s="59" t="s">
        <v>38</v>
      </c>
      <c r="K848" s="22" t="s">
        <v>254</v>
      </c>
      <c r="L848" s="59" t="s">
        <v>171</v>
      </c>
      <c r="M848" s="22">
        <v>2</v>
      </c>
      <c r="V848" s="59" t="s">
        <v>176</v>
      </c>
      <c r="AL848" s="59" t="s">
        <v>40</v>
      </c>
      <c r="AM848" s="22" t="s">
        <v>188</v>
      </c>
      <c r="AV848" s="59" t="s">
        <v>134</v>
      </c>
      <c r="AW848" s="22" t="str">
        <f>Settings!$B$5 &amp;  "?s=" &amp; D848 &amp; "&amp;platform=ftx"</f>
        <v>https://tokensol.nfluent.io?s=COR22D685&amp;platform=ftx</v>
      </c>
      <c r="AX848" s="20" t="s">
        <v>23</v>
      </c>
      <c r="AY848" s="20">
        <v>10</v>
      </c>
      <c r="AZ848" s="20" t="s">
        <v>24</v>
      </c>
      <c r="BA848" s="20">
        <v>90</v>
      </c>
      <c r="BD848" s="14"/>
      <c r="BJ848" t="s">
        <v>255</v>
      </c>
      <c r="BK848" t="s">
        <v>184</v>
      </c>
      <c r="BN848" s="36">
        <v>100</v>
      </c>
      <c r="BO848" s="36">
        <v>100</v>
      </c>
      <c r="BP848">
        <f t="shared" si="71"/>
        <v>480</v>
      </c>
      <c r="BR848" s="38">
        <v>44713</v>
      </c>
      <c r="BS848" s="20" t="s">
        <v>185</v>
      </c>
      <c r="BT848" s="20" t="str">
        <f t="shared" si="72"/>
        <v>InCasa_COR22D685</v>
      </c>
    </row>
    <row r="849" spans="2:72" ht="18.75" customHeight="1" x14ac:dyDescent="0.25">
      <c r="B849" s="20">
        <f t="shared" si="73"/>
        <v>686</v>
      </c>
      <c r="C849" s="22" t="str">
        <f t="shared" si="69"/>
        <v>In Casa #686</v>
      </c>
      <c r="D849" t="str">
        <f t="shared" si="70"/>
        <v>COR22D686</v>
      </c>
      <c r="E849" s="58" t="s">
        <v>252</v>
      </c>
      <c r="F849" s="20">
        <v>1000</v>
      </c>
      <c r="G849" s="14" t="s">
        <v>354</v>
      </c>
      <c r="H849" s="23" t="s">
        <v>170</v>
      </c>
      <c r="J849" s="59" t="s">
        <v>38</v>
      </c>
      <c r="K849" s="22" t="s">
        <v>254</v>
      </c>
      <c r="L849" s="59" t="s">
        <v>171</v>
      </c>
      <c r="M849" s="22">
        <v>2</v>
      </c>
      <c r="V849" s="59" t="s">
        <v>176</v>
      </c>
      <c r="AL849" s="59" t="s">
        <v>40</v>
      </c>
      <c r="AM849" s="22" t="s">
        <v>188</v>
      </c>
      <c r="AV849" s="59" t="s">
        <v>134</v>
      </c>
      <c r="AW849" s="22" t="str">
        <f>Settings!$B$5 &amp;  "?s=" &amp; D849 &amp; "&amp;platform=ftx"</f>
        <v>https://tokensol.nfluent.io?s=COR22D686&amp;platform=ftx</v>
      </c>
      <c r="AX849" s="20" t="s">
        <v>23</v>
      </c>
      <c r="AY849" s="20">
        <v>10</v>
      </c>
      <c r="AZ849" s="20" t="s">
        <v>24</v>
      </c>
      <c r="BA849" s="20">
        <v>90</v>
      </c>
      <c r="BD849" s="14"/>
      <c r="BJ849" t="s">
        <v>255</v>
      </c>
      <c r="BK849" t="s">
        <v>184</v>
      </c>
      <c r="BN849" s="36">
        <v>100</v>
      </c>
      <c r="BO849" s="36">
        <v>100</v>
      </c>
      <c r="BP849">
        <f t="shared" si="71"/>
        <v>480</v>
      </c>
      <c r="BR849" s="38">
        <v>44713</v>
      </c>
      <c r="BS849" s="20" t="s">
        <v>185</v>
      </c>
      <c r="BT849" s="20" t="str">
        <f t="shared" si="72"/>
        <v>InCasa_COR22D686</v>
      </c>
    </row>
    <row r="850" spans="2:72" ht="18.75" customHeight="1" x14ac:dyDescent="0.25">
      <c r="B850" s="20">
        <f t="shared" si="73"/>
        <v>687</v>
      </c>
      <c r="C850" s="22" t="str">
        <f t="shared" si="69"/>
        <v>In Casa #687</v>
      </c>
      <c r="D850" t="str">
        <f t="shared" si="70"/>
        <v>COR22D687</v>
      </c>
      <c r="E850" s="58" t="s">
        <v>252</v>
      </c>
      <c r="F850" s="20">
        <v>1000</v>
      </c>
      <c r="G850" s="14" t="s">
        <v>354</v>
      </c>
      <c r="H850" s="23" t="s">
        <v>170</v>
      </c>
      <c r="J850" s="59" t="s">
        <v>38</v>
      </c>
      <c r="K850" s="22" t="s">
        <v>254</v>
      </c>
      <c r="L850" s="59" t="s">
        <v>171</v>
      </c>
      <c r="M850" s="22">
        <v>2</v>
      </c>
      <c r="V850" s="59" t="s">
        <v>176</v>
      </c>
      <c r="AL850" s="59" t="s">
        <v>40</v>
      </c>
      <c r="AM850" s="22" t="s">
        <v>188</v>
      </c>
      <c r="AV850" s="59" t="s">
        <v>134</v>
      </c>
      <c r="AW850" s="22" t="str">
        <f>Settings!$B$5 &amp;  "?s=" &amp; D850 &amp; "&amp;platform=ftx"</f>
        <v>https://tokensol.nfluent.io?s=COR22D687&amp;platform=ftx</v>
      </c>
      <c r="AX850" s="20" t="s">
        <v>23</v>
      </c>
      <c r="AY850" s="20">
        <v>10</v>
      </c>
      <c r="AZ850" s="20" t="s">
        <v>24</v>
      </c>
      <c r="BA850" s="20">
        <v>90</v>
      </c>
      <c r="BD850" s="14"/>
      <c r="BJ850" t="s">
        <v>255</v>
      </c>
      <c r="BK850" t="s">
        <v>184</v>
      </c>
      <c r="BN850" s="36">
        <v>100</v>
      </c>
      <c r="BO850" s="36">
        <v>100</v>
      </c>
      <c r="BP850">
        <f t="shared" si="71"/>
        <v>480</v>
      </c>
      <c r="BR850" s="38">
        <v>44713</v>
      </c>
      <c r="BS850" s="20" t="s">
        <v>185</v>
      </c>
      <c r="BT850" s="20" t="str">
        <f t="shared" si="72"/>
        <v>InCasa_COR22D687</v>
      </c>
    </row>
    <row r="851" spans="2:72" ht="18.75" customHeight="1" x14ac:dyDescent="0.25">
      <c r="B851" s="20">
        <f t="shared" si="73"/>
        <v>688</v>
      </c>
      <c r="C851" s="22" t="str">
        <f t="shared" si="69"/>
        <v>In Casa #688</v>
      </c>
      <c r="D851" t="str">
        <f t="shared" si="70"/>
        <v>COR22D688</v>
      </c>
      <c r="E851" s="58" t="s">
        <v>252</v>
      </c>
      <c r="F851" s="20">
        <v>1000</v>
      </c>
      <c r="G851" s="14" t="s">
        <v>354</v>
      </c>
      <c r="H851" s="23" t="s">
        <v>170</v>
      </c>
      <c r="J851" s="59" t="s">
        <v>38</v>
      </c>
      <c r="K851" s="22" t="s">
        <v>254</v>
      </c>
      <c r="L851" s="59" t="s">
        <v>171</v>
      </c>
      <c r="M851" s="22">
        <v>2</v>
      </c>
      <c r="V851" s="59" t="s">
        <v>176</v>
      </c>
      <c r="AL851" s="59" t="s">
        <v>40</v>
      </c>
      <c r="AM851" s="22" t="s">
        <v>188</v>
      </c>
      <c r="AV851" s="59" t="s">
        <v>134</v>
      </c>
      <c r="AW851" s="22" t="str">
        <f>Settings!$B$5 &amp;  "?s=" &amp; D851 &amp; "&amp;platform=ftx"</f>
        <v>https://tokensol.nfluent.io?s=COR22D688&amp;platform=ftx</v>
      </c>
      <c r="AX851" s="20" t="s">
        <v>23</v>
      </c>
      <c r="AY851" s="20">
        <v>10</v>
      </c>
      <c r="AZ851" s="20" t="s">
        <v>24</v>
      </c>
      <c r="BA851" s="20">
        <v>90</v>
      </c>
      <c r="BD851" s="14"/>
      <c r="BJ851" t="s">
        <v>255</v>
      </c>
      <c r="BK851" t="s">
        <v>184</v>
      </c>
      <c r="BN851" s="36">
        <v>100</v>
      </c>
      <c r="BO851" s="36">
        <v>100</v>
      </c>
      <c r="BP851">
        <f t="shared" si="71"/>
        <v>480</v>
      </c>
      <c r="BR851" s="38">
        <v>44713</v>
      </c>
      <c r="BS851" s="20" t="s">
        <v>185</v>
      </c>
      <c r="BT851" s="20" t="str">
        <f t="shared" si="72"/>
        <v>InCasa_COR22D688</v>
      </c>
    </row>
    <row r="852" spans="2:72" ht="18.75" customHeight="1" x14ac:dyDescent="0.25">
      <c r="B852" s="20">
        <f t="shared" si="73"/>
        <v>689</v>
      </c>
      <c r="C852" s="22" t="str">
        <f t="shared" si="69"/>
        <v>In Casa #689</v>
      </c>
      <c r="D852" t="str">
        <f t="shared" si="70"/>
        <v>COR22D689</v>
      </c>
      <c r="E852" s="58" t="s">
        <v>252</v>
      </c>
      <c r="F852" s="20">
        <v>1000</v>
      </c>
      <c r="G852" s="14" t="s">
        <v>354</v>
      </c>
      <c r="H852" s="23" t="s">
        <v>170</v>
      </c>
      <c r="J852" s="59" t="s">
        <v>38</v>
      </c>
      <c r="K852" s="22" t="s">
        <v>254</v>
      </c>
      <c r="L852" s="59" t="s">
        <v>171</v>
      </c>
      <c r="M852" s="22">
        <v>2</v>
      </c>
      <c r="V852" s="59" t="s">
        <v>176</v>
      </c>
      <c r="AL852" s="59" t="s">
        <v>40</v>
      </c>
      <c r="AM852" s="22" t="s">
        <v>188</v>
      </c>
      <c r="AV852" s="59" t="s">
        <v>134</v>
      </c>
      <c r="AW852" s="22" t="str">
        <f>Settings!$B$5 &amp;  "?s=" &amp; D852 &amp; "&amp;platform=ftx"</f>
        <v>https://tokensol.nfluent.io?s=COR22D689&amp;platform=ftx</v>
      </c>
      <c r="AX852" s="20" t="s">
        <v>23</v>
      </c>
      <c r="AY852" s="20">
        <v>10</v>
      </c>
      <c r="AZ852" s="20" t="s">
        <v>24</v>
      </c>
      <c r="BA852" s="20">
        <v>90</v>
      </c>
      <c r="BD852" s="14"/>
      <c r="BJ852" t="s">
        <v>255</v>
      </c>
      <c r="BK852" t="s">
        <v>184</v>
      </c>
      <c r="BN852" s="36">
        <v>100</v>
      </c>
      <c r="BO852" s="36">
        <v>100</v>
      </c>
      <c r="BP852">
        <f t="shared" si="71"/>
        <v>480</v>
      </c>
      <c r="BR852" s="38">
        <v>44713</v>
      </c>
      <c r="BS852" s="20" t="s">
        <v>185</v>
      </c>
      <c r="BT852" s="20" t="str">
        <f t="shared" si="72"/>
        <v>InCasa_COR22D689</v>
      </c>
    </row>
    <row r="853" spans="2:72" ht="18.75" customHeight="1" x14ac:dyDescent="0.25">
      <c r="B853" s="20">
        <f t="shared" si="73"/>
        <v>690</v>
      </c>
      <c r="C853" s="22" t="str">
        <f t="shared" si="69"/>
        <v>In Casa #690</v>
      </c>
      <c r="D853" t="str">
        <f t="shared" si="70"/>
        <v>COR22D690</v>
      </c>
      <c r="E853" s="58" t="s">
        <v>252</v>
      </c>
      <c r="F853" s="20">
        <v>1000</v>
      </c>
      <c r="G853" s="14" t="s">
        <v>354</v>
      </c>
      <c r="H853" s="23" t="s">
        <v>170</v>
      </c>
      <c r="J853" s="59" t="s">
        <v>38</v>
      </c>
      <c r="K853" s="22" t="s">
        <v>254</v>
      </c>
      <c r="L853" s="59" t="s">
        <v>171</v>
      </c>
      <c r="M853" s="22">
        <v>2</v>
      </c>
      <c r="V853" s="59" t="s">
        <v>176</v>
      </c>
      <c r="AL853" s="59" t="s">
        <v>40</v>
      </c>
      <c r="AM853" s="22" t="s">
        <v>188</v>
      </c>
      <c r="AV853" s="59" t="s">
        <v>134</v>
      </c>
      <c r="AW853" s="22" t="str">
        <f>Settings!$B$5 &amp;  "?s=" &amp; D853 &amp; "&amp;platform=ftx"</f>
        <v>https://tokensol.nfluent.io?s=COR22D690&amp;platform=ftx</v>
      </c>
      <c r="AX853" s="20" t="s">
        <v>23</v>
      </c>
      <c r="AY853" s="20">
        <v>10</v>
      </c>
      <c r="AZ853" s="20" t="s">
        <v>24</v>
      </c>
      <c r="BA853" s="20">
        <v>90</v>
      </c>
      <c r="BD853" s="14"/>
      <c r="BJ853" t="s">
        <v>255</v>
      </c>
      <c r="BK853" t="s">
        <v>184</v>
      </c>
      <c r="BN853" s="36">
        <v>100</v>
      </c>
      <c r="BO853" s="36">
        <v>100</v>
      </c>
      <c r="BP853">
        <f t="shared" si="71"/>
        <v>480</v>
      </c>
      <c r="BR853" s="38">
        <v>44713</v>
      </c>
      <c r="BS853" s="20" t="s">
        <v>185</v>
      </c>
      <c r="BT853" s="20" t="str">
        <f t="shared" si="72"/>
        <v>InCasa_COR22D690</v>
      </c>
    </row>
    <row r="854" spans="2:72" ht="18.75" customHeight="1" x14ac:dyDescent="0.25">
      <c r="B854" s="20">
        <f t="shared" si="73"/>
        <v>691</v>
      </c>
      <c r="C854" s="22" t="str">
        <f t="shared" si="69"/>
        <v>In Casa #691</v>
      </c>
      <c r="D854" t="str">
        <f t="shared" si="70"/>
        <v>COR22D691</v>
      </c>
      <c r="E854" s="58" t="s">
        <v>252</v>
      </c>
      <c r="F854" s="20">
        <v>1000</v>
      </c>
      <c r="G854" s="14" t="s">
        <v>354</v>
      </c>
      <c r="H854" s="23" t="s">
        <v>170</v>
      </c>
      <c r="J854" s="59" t="s">
        <v>38</v>
      </c>
      <c r="K854" s="22" t="s">
        <v>254</v>
      </c>
      <c r="L854" s="59" t="s">
        <v>171</v>
      </c>
      <c r="M854" s="22">
        <v>2</v>
      </c>
      <c r="V854" s="59" t="s">
        <v>176</v>
      </c>
      <c r="AL854" s="59" t="s">
        <v>40</v>
      </c>
      <c r="AM854" s="22" t="s">
        <v>188</v>
      </c>
      <c r="AV854" s="59" t="s">
        <v>134</v>
      </c>
      <c r="AW854" s="22" t="str">
        <f>Settings!$B$5 &amp;  "?s=" &amp; D854 &amp; "&amp;platform=ftx"</f>
        <v>https://tokensol.nfluent.io?s=COR22D691&amp;platform=ftx</v>
      </c>
      <c r="AX854" s="20" t="s">
        <v>23</v>
      </c>
      <c r="AY854" s="20">
        <v>10</v>
      </c>
      <c r="AZ854" s="20" t="s">
        <v>24</v>
      </c>
      <c r="BA854" s="20">
        <v>90</v>
      </c>
      <c r="BD854" s="14"/>
      <c r="BJ854" t="s">
        <v>255</v>
      </c>
      <c r="BK854" t="s">
        <v>184</v>
      </c>
      <c r="BN854" s="36">
        <v>100</v>
      </c>
      <c r="BO854" s="36">
        <v>100</v>
      </c>
      <c r="BP854">
        <f t="shared" si="71"/>
        <v>480</v>
      </c>
      <c r="BR854" s="38">
        <v>44713</v>
      </c>
      <c r="BS854" s="20" t="s">
        <v>185</v>
      </c>
      <c r="BT854" s="20" t="str">
        <f t="shared" si="72"/>
        <v>InCasa_COR22D691</v>
      </c>
    </row>
    <row r="855" spans="2:72" ht="18.75" customHeight="1" x14ac:dyDescent="0.25">
      <c r="B855" s="20">
        <f t="shared" si="73"/>
        <v>692</v>
      </c>
      <c r="C855" s="22" t="str">
        <f t="shared" si="69"/>
        <v>In Casa #692</v>
      </c>
      <c r="D855" t="str">
        <f t="shared" si="70"/>
        <v>COR22D692</v>
      </c>
      <c r="E855" s="58" t="s">
        <v>252</v>
      </c>
      <c r="F855" s="20">
        <v>1000</v>
      </c>
      <c r="G855" s="14" t="s">
        <v>354</v>
      </c>
      <c r="H855" s="23" t="s">
        <v>170</v>
      </c>
      <c r="J855" s="59" t="s">
        <v>38</v>
      </c>
      <c r="K855" s="22" t="s">
        <v>254</v>
      </c>
      <c r="L855" s="59" t="s">
        <v>171</v>
      </c>
      <c r="M855" s="22">
        <v>2</v>
      </c>
      <c r="V855" s="59" t="s">
        <v>176</v>
      </c>
      <c r="AL855" s="59" t="s">
        <v>40</v>
      </c>
      <c r="AM855" s="22" t="s">
        <v>188</v>
      </c>
      <c r="AV855" s="59" t="s">
        <v>134</v>
      </c>
      <c r="AW855" s="22" t="str">
        <f>Settings!$B$5 &amp;  "?s=" &amp; D855 &amp; "&amp;platform=ftx"</f>
        <v>https://tokensol.nfluent.io?s=COR22D692&amp;platform=ftx</v>
      </c>
      <c r="AX855" s="20" t="s">
        <v>23</v>
      </c>
      <c r="AY855" s="20">
        <v>10</v>
      </c>
      <c r="AZ855" s="20" t="s">
        <v>24</v>
      </c>
      <c r="BA855" s="20">
        <v>90</v>
      </c>
      <c r="BD855" s="14"/>
      <c r="BJ855" t="s">
        <v>255</v>
      </c>
      <c r="BK855" t="s">
        <v>184</v>
      </c>
      <c r="BN855" s="36">
        <v>100</v>
      </c>
      <c r="BO855" s="36">
        <v>100</v>
      </c>
      <c r="BP855">
        <f t="shared" si="71"/>
        <v>480</v>
      </c>
      <c r="BR855" s="38">
        <v>44713</v>
      </c>
      <c r="BS855" s="20" t="s">
        <v>185</v>
      </c>
      <c r="BT855" s="20" t="str">
        <f t="shared" si="72"/>
        <v>InCasa_COR22D692</v>
      </c>
    </row>
    <row r="856" spans="2:72" ht="18.75" customHeight="1" x14ac:dyDescent="0.25">
      <c r="B856" s="20">
        <f t="shared" si="73"/>
        <v>693</v>
      </c>
      <c r="C856" s="22" t="str">
        <f t="shared" si="69"/>
        <v>In Casa #693</v>
      </c>
      <c r="D856" t="str">
        <f t="shared" si="70"/>
        <v>COR22D693</v>
      </c>
      <c r="E856" s="58" t="s">
        <v>252</v>
      </c>
      <c r="F856" s="20">
        <v>1000</v>
      </c>
      <c r="G856" s="14" t="s">
        <v>354</v>
      </c>
      <c r="H856" s="23" t="s">
        <v>170</v>
      </c>
      <c r="J856" s="59" t="s">
        <v>38</v>
      </c>
      <c r="K856" s="22" t="s">
        <v>254</v>
      </c>
      <c r="L856" s="59" t="s">
        <v>171</v>
      </c>
      <c r="M856" s="22">
        <v>2</v>
      </c>
      <c r="V856" s="59" t="s">
        <v>176</v>
      </c>
      <c r="AL856" s="59" t="s">
        <v>40</v>
      </c>
      <c r="AM856" s="22" t="s">
        <v>188</v>
      </c>
      <c r="AV856" s="59" t="s">
        <v>134</v>
      </c>
      <c r="AW856" s="22" t="str">
        <f>Settings!$B$5 &amp;  "?s=" &amp; D856 &amp; "&amp;platform=ftx"</f>
        <v>https://tokensol.nfluent.io?s=COR22D693&amp;platform=ftx</v>
      </c>
      <c r="AX856" s="20" t="s">
        <v>23</v>
      </c>
      <c r="AY856" s="20">
        <v>10</v>
      </c>
      <c r="AZ856" s="20" t="s">
        <v>24</v>
      </c>
      <c r="BA856" s="20">
        <v>90</v>
      </c>
      <c r="BD856" s="14"/>
      <c r="BJ856" t="s">
        <v>255</v>
      </c>
      <c r="BK856" t="s">
        <v>184</v>
      </c>
      <c r="BN856" s="36">
        <v>100</v>
      </c>
      <c r="BO856" s="36">
        <v>100</v>
      </c>
      <c r="BP856">
        <f t="shared" si="71"/>
        <v>480</v>
      </c>
      <c r="BR856" s="38">
        <v>44713</v>
      </c>
      <c r="BS856" s="20" t="s">
        <v>185</v>
      </c>
      <c r="BT856" s="20" t="str">
        <f t="shared" si="72"/>
        <v>InCasa_COR22D693</v>
      </c>
    </row>
    <row r="857" spans="2:72" ht="18.75" customHeight="1" x14ac:dyDescent="0.25">
      <c r="B857" s="20">
        <f t="shared" si="73"/>
        <v>694</v>
      </c>
      <c r="C857" s="22" t="str">
        <f t="shared" si="69"/>
        <v>In Casa #694</v>
      </c>
      <c r="D857" t="str">
        <f t="shared" si="70"/>
        <v>COR22D694</v>
      </c>
      <c r="E857" s="58" t="s">
        <v>252</v>
      </c>
      <c r="F857" s="20">
        <v>1000</v>
      </c>
      <c r="G857" s="14" t="s">
        <v>354</v>
      </c>
      <c r="H857" s="23" t="s">
        <v>170</v>
      </c>
      <c r="J857" s="59" t="s">
        <v>38</v>
      </c>
      <c r="K857" s="22" t="s">
        <v>254</v>
      </c>
      <c r="L857" s="59" t="s">
        <v>171</v>
      </c>
      <c r="M857" s="22">
        <v>2</v>
      </c>
      <c r="V857" s="59" t="s">
        <v>176</v>
      </c>
      <c r="AL857" s="59" t="s">
        <v>40</v>
      </c>
      <c r="AM857" s="22" t="s">
        <v>188</v>
      </c>
      <c r="AV857" s="59" t="s">
        <v>134</v>
      </c>
      <c r="AW857" s="22" t="str">
        <f>Settings!$B$5 &amp;  "?s=" &amp; D857 &amp; "&amp;platform=ftx"</f>
        <v>https://tokensol.nfluent.io?s=COR22D694&amp;platform=ftx</v>
      </c>
      <c r="AX857" s="20" t="s">
        <v>23</v>
      </c>
      <c r="AY857" s="20">
        <v>10</v>
      </c>
      <c r="AZ857" s="20" t="s">
        <v>24</v>
      </c>
      <c r="BA857" s="20">
        <v>90</v>
      </c>
      <c r="BD857" s="14"/>
      <c r="BJ857" t="s">
        <v>255</v>
      </c>
      <c r="BK857" t="s">
        <v>184</v>
      </c>
      <c r="BN857" s="36">
        <v>100</v>
      </c>
      <c r="BO857" s="36">
        <v>100</v>
      </c>
      <c r="BP857">
        <f t="shared" si="71"/>
        <v>480</v>
      </c>
      <c r="BR857" s="38">
        <v>44713</v>
      </c>
      <c r="BS857" s="20" t="s">
        <v>185</v>
      </c>
      <c r="BT857" s="20" t="str">
        <f t="shared" si="72"/>
        <v>InCasa_COR22D694</v>
      </c>
    </row>
    <row r="858" spans="2:72" ht="18.75" customHeight="1" x14ac:dyDescent="0.25">
      <c r="B858" s="20">
        <f t="shared" si="73"/>
        <v>695</v>
      </c>
      <c r="C858" s="22" t="str">
        <f t="shared" si="69"/>
        <v>In Casa #695</v>
      </c>
      <c r="D858" t="str">
        <f t="shared" si="70"/>
        <v>COR22D695</v>
      </c>
      <c r="E858" s="58" t="s">
        <v>252</v>
      </c>
      <c r="F858" s="20">
        <v>1000</v>
      </c>
      <c r="G858" s="14" t="s">
        <v>354</v>
      </c>
      <c r="H858" s="23" t="s">
        <v>170</v>
      </c>
      <c r="J858" s="59" t="s">
        <v>38</v>
      </c>
      <c r="K858" s="22" t="s">
        <v>254</v>
      </c>
      <c r="L858" s="59" t="s">
        <v>171</v>
      </c>
      <c r="M858" s="22">
        <v>2</v>
      </c>
      <c r="V858" s="59" t="s">
        <v>176</v>
      </c>
      <c r="AL858" s="59" t="s">
        <v>40</v>
      </c>
      <c r="AM858" s="22" t="s">
        <v>188</v>
      </c>
      <c r="AV858" s="59" t="s">
        <v>134</v>
      </c>
      <c r="AW858" s="22" t="str">
        <f>Settings!$B$5 &amp;  "?s=" &amp; D858 &amp; "&amp;platform=ftx"</f>
        <v>https://tokensol.nfluent.io?s=COR22D695&amp;platform=ftx</v>
      </c>
      <c r="AX858" s="20" t="s">
        <v>23</v>
      </c>
      <c r="AY858" s="20">
        <v>10</v>
      </c>
      <c r="AZ858" s="20" t="s">
        <v>24</v>
      </c>
      <c r="BA858" s="20">
        <v>90</v>
      </c>
      <c r="BD858" s="14"/>
      <c r="BJ858" t="s">
        <v>255</v>
      </c>
      <c r="BK858" t="s">
        <v>184</v>
      </c>
      <c r="BN858" s="36">
        <v>100</v>
      </c>
      <c r="BO858" s="36">
        <v>100</v>
      </c>
      <c r="BP858">
        <f t="shared" si="71"/>
        <v>480</v>
      </c>
      <c r="BR858" s="38">
        <v>44713</v>
      </c>
      <c r="BS858" s="20" t="s">
        <v>185</v>
      </c>
      <c r="BT858" s="20" t="str">
        <f t="shared" si="72"/>
        <v>InCasa_COR22D695</v>
      </c>
    </row>
    <row r="859" spans="2:72" ht="18.75" customHeight="1" x14ac:dyDescent="0.25">
      <c r="B859" s="20">
        <f t="shared" si="73"/>
        <v>696</v>
      </c>
      <c r="C859" s="22" t="str">
        <f t="shared" si="69"/>
        <v>In Casa #696</v>
      </c>
      <c r="D859" t="str">
        <f t="shared" si="70"/>
        <v>COR22D696</v>
      </c>
      <c r="E859" s="58" t="s">
        <v>252</v>
      </c>
      <c r="F859" s="20">
        <v>1000</v>
      </c>
      <c r="G859" s="14" t="s">
        <v>354</v>
      </c>
      <c r="H859" s="23" t="s">
        <v>170</v>
      </c>
      <c r="J859" s="59" t="s">
        <v>38</v>
      </c>
      <c r="K859" s="22" t="s">
        <v>254</v>
      </c>
      <c r="L859" s="59" t="s">
        <v>171</v>
      </c>
      <c r="M859" s="22">
        <v>2</v>
      </c>
      <c r="V859" s="59" t="s">
        <v>176</v>
      </c>
      <c r="AL859" s="59" t="s">
        <v>40</v>
      </c>
      <c r="AM859" s="22" t="s">
        <v>188</v>
      </c>
      <c r="AV859" s="59" t="s">
        <v>134</v>
      </c>
      <c r="AW859" s="22" t="str">
        <f>Settings!$B$5 &amp;  "?s=" &amp; D859 &amp; "&amp;platform=ftx"</f>
        <v>https://tokensol.nfluent.io?s=COR22D696&amp;platform=ftx</v>
      </c>
      <c r="AX859" s="20" t="s">
        <v>23</v>
      </c>
      <c r="AY859" s="20">
        <v>10</v>
      </c>
      <c r="AZ859" s="20" t="s">
        <v>24</v>
      </c>
      <c r="BA859" s="20">
        <v>90</v>
      </c>
      <c r="BD859" s="14"/>
      <c r="BJ859" t="s">
        <v>255</v>
      </c>
      <c r="BK859" t="s">
        <v>184</v>
      </c>
      <c r="BN859" s="36">
        <v>100</v>
      </c>
      <c r="BO859" s="36">
        <v>100</v>
      </c>
      <c r="BP859">
        <f t="shared" si="71"/>
        <v>480</v>
      </c>
      <c r="BR859" s="38">
        <v>44713</v>
      </c>
      <c r="BS859" s="20" t="s">
        <v>185</v>
      </c>
      <c r="BT859" s="20" t="str">
        <f t="shared" si="72"/>
        <v>InCasa_COR22D696</v>
      </c>
    </row>
    <row r="860" spans="2:72" ht="18.75" customHeight="1" x14ac:dyDescent="0.25">
      <c r="B860" s="20">
        <f t="shared" si="73"/>
        <v>697</v>
      </c>
      <c r="C860" s="22" t="str">
        <f t="shared" si="69"/>
        <v>In Casa #697</v>
      </c>
      <c r="D860" t="str">
        <f t="shared" si="70"/>
        <v>COR22D697</v>
      </c>
      <c r="E860" s="58" t="s">
        <v>252</v>
      </c>
      <c r="F860" s="20">
        <v>1000</v>
      </c>
      <c r="G860" s="14" t="s">
        <v>354</v>
      </c>
      <c r="H860" s="23" t="s">
        <v>170</v>
      </c>
      <c r="J860" s="59" t="s">
        <v>38</v>
      </c>
      <c r="K860" s="22" t="s">
        <v>254</v>
      </c>
      <c r="L860" s="59" t="s">
        <v>171</v>
      </c>
      <c r="M860" s="22">
        <v>2</v>
      </c>
      <c r="V860" s="59" t="s">
        <v>176</v>
      </c>
      <c r="AL860" s="59" t="s">
        <v>40</v>
      </c>
      <c r="AM860" s="22" t="s">
        <v>188</v>
      </c>
      <c r="AV860" s="59" t="s">
        <v>134</v>
      </c>
      <c r="AW860" s="22" t="str">
        <f>Settings!$B$5 &amp;  "?s=" &amp; D860 &amp; "&amp;platform=ftx"</f>
        <v>https://tokensol.nfluent.io?s=COR22D697&amp;platform=ftx</v>
      </c>
      <c r="AX860" s="20" t="s">
        <v>23</v>
      </c>
      <c r="AY860" s="20">
        <v>10</v>
      </c>
      <c r="AZ860" s="20" t="s">
        <v>24</v>
      </c>
      <c r="BA860" s="20">
        <v>90</v>
      </c>
      <c r="BD860" s="14"/>
      <c r="BJ860" t="s">
        <v>255</v>
      </c>
      <c r="BK860" t="s">
        <v>184</v>
      </c>
      <c r="BN860" s="36">
        <v>100</v>
      </c>
      <c r="BO860" s="36">
        <v>100</v>
      </c>
      <c r="BP860">
        <f t="shared" si="71"/>
        <v>480</v>
      </c>
      <c r="BR860" s="38">
        <v>44713</v>
      </c>
      <c r="BS860" s="20" t="s">
        <v>185</v>
      </c>
      <c r="BT860" s="20" t="str">
        <f t="shared" si="72"/>
        <v>InCasa_COR22D697</v>
      </c>
    </row>
    <row r="861" spans="2:72" ht="18.75" customHeight="1" x14ac:dyDescent="0.25">
      <c r="B861" s="20">
        <f t="shared" si="73"/>
        <v>698</v>
      </c>
      <c r="C861" s="22" t="str">
        <f t="shared" si="69"/>
        <v>In Casa #698</v>
      </c>
      <c r="D861" t="str">
        <f t="shared" si="70"/>
        <v>COR22D698</v>
      </c>
      <c r="E861" s="58" t="s">
        <v>252</v>
      </c>
      <c r="F861" s="20">
        <v>1000</v>
      </c>
      <c r="G861" s="14" t="s">
        <v>354</v>
      </c>
      <c r="H861" s="23" t="s">
        <v>170</v>
      </c>
      <c r="J861" s="59" t="s">
        <v>38</v>
      </c>
      <c r="K861" s="22" t="s">
        <v>254</v>
      </c>
      <c r="L861" s="59" t="s">
        <v>171</v>
      </c>
      <c r="M861" s="22">
        <v>2</v>
      </c>
      <c r="V861" s="59" t="s">
        <v>176</v>
      </c>
      <c r="AL861" s="59" t="s">
        <v>40</v>
      </c>
      <c r="AM861" s="22" t="s">
        <v>188</v>
      </c>
      <c r="AV861" s="59" t="s">
        <v>134</v>
      </c>
      <c r="AW861" s="22" t="str">
        <f>Settings!$B$5 &amp;  "?s=" &amp; D861 &amp; "&amp;platform=ftx"</f>
        <v>https://tokensol.nfluent.io?s=COR22D698&amp;platform=ftx</v>
      </c>
      <c r="AX861" s="20" t="s">
        <v>23</v>
      </c>
      <c r="AY861" s="20">
        <v>10</v>
      </c>
      <c r="AZ861" s="20" t="s">
        <v>24</v>
      </c>
      <c r="BA861" s="20">
        <v>90</v>
      </c>
      <c r="BD861" s="14"/>
      <c r="BJ861" t="s">
        <v>255</v>
      </c>
      <c r="BK861" t="s">
        <v>184</v>
      </c>
      <c r="BN861" s="36">
        <v>100</v>
      </c>
      <c r="BO861" s="36">
        <v>100</v>
      </c>
      <c r="BP861">
        <f t="shared" si="71"/>
        <v>480</v>
      </c>
      <c r="BR861" s="38">
        <v>44713</v>
      </c>
      <c r="BS861" s="20" t="s">
        <v>185</v>
      </c>
      <c r="BT861" s="20" t="str">
        <f t="shared" si="72"/>
        <v>InCasa_COR22D698</v>
      </c>
    </row>
    <row r="862" spans="2:72" ht="18.75" customHeight="1" x14ac:dyDescent="0.25">
      <c r="B862" s="20">
        <f t="shared" si="73"/>
        <v>699</v>
      </c>
      <c r="C862" s="22" t="str">
        <f t="shared" si="69"/>
        <v>In Casa #699</v>
      </c>
      <c r="D862" t="str">
        <f t="shared" si="70"/>
        <v>COR22D699</v>
      </c>
      <c r="E862" s="58" t="s">
        <v>252</v>
      </c>
      <c r="F862" s="20">
        <v>1000</v>
      </c>
      <c r="G862" s="14" t="s">
        <v>354</v>
      </c>
      <c r="H862" s="23" t="s">
        <v>170</v>
      </c>
      <c r="J862" s="59" t="s">
        <v>38</v>
      </c>
      <c r="K862" s="22" t="s">
        <v>254</v>
      </c>
      <c r="L862" s="59" t="s">
        <v>171</v>
      </c>
      <c r="M862" s="22">
        <v>2</v>
      </c>
      <c r="V862" s="59" t="s">
        <v>176</v>
      </c>
      <c r="AL862" s="59" t="s">
        <v>40</v>
      </c>
      <c r="AM862" s="22" t="s">
        <v>188</v>
      </c>
      <c r="AV862" s="59" t="s">
        <v>134</v>
      </c>
      <c r="AW862" s="22" t="str">
        <f>Settings!$B$5 &amp;  "?s=" &amp; D862 &amp; "&amp;platform=ftx"</f>
        <v>https://tokensol.nfluent.io?s=COR22D699&amp;platform=ftx</v>
      </c>
      <c r="AX862" s="20" t="s">
        <v>23</v>
      </c>
      <c r="AY862" s="20">
        <v>10</v>
      </c>
      <c r="AZ862" s="20" t="s">
        <v>24</v>
      </c>
      <c r="BA862" s="20">
        <v>90</v>
      </c>
      <c r="BD862" s="14"/>
      <c r="BJ862" t="s">
        <v>255</v>
      </c>
      <c r="BK862" t="s">
        <v>184</v>
      </c>
      <c r="BN862" s="36">
        <v>100</v>
      </c>
      <c r="BO862" s="36">
        <v>100</v>
      </c>
      <c r="BP862">
        <f t="shared" si="71"/>
        <v>480</v>
      </c>
      <c r="BR862" s="38">
        <v>44713</v>
      </c>
      <c r="BS862" s="20" t="s">
        <v>185</v>
      </c>
      <c r="BT862" s="20" t="str">
        <f t="shared" si="72"/>
        <v>InCasa_COR22D699</v>
      </c>
    </row>
    <row r="863" spans="2:72" ht="18.75" customHeight="1" x14ac:dyDescent="0.25">
      <c r="B863" s="20">
        <f t="shared" si="73"/>
        <v>700</v>
      </c>
      <c r="C863" s="22" t="str">
        <f t="shared" si="69"/>
        <v>In Casa #700</v>
      </c>
      <c r="D863" t="str">
        <f t="shared" si="70"/>
        <v>COR22D700</v>
      </c>
      <c r="E863" s="58" t="s">
        <v>252</v>
      </c>
      <c r="F863" s="20">
        <v>1000</v>
      </c>
      <c r="G863" s="14" t="s">
        <v>354</v>
      </c>
      <c r="H863" s="23" t="s">
        <v>170</v>
      </c>
      <c r="J863" s="59" t="s">
        <v>38</v>
      </c>
      <c r="K863" s="22" t="s">
        <v>254</v>
      </c>
      <c r="L863" s="59" t="s">
        <v>171</v>
      </c>
      <c r="M863" s="22">
        <v>2</v>
      </c>
      <c r="V863" s="59" t="s">
        <v>176</v>
      </c>
      <c r="AL863" s="59" t="s">
        <v>40</v>
      </c>
      <c r="AM863" s="22" t="s">
        <v>188</v>
      </c>
      <c r="AV863" s="59" t="s">
        <v>134</v>
      </c>
      <c r="AW863" s="22" t="str">
        <f>Settings!$B$5 &amp;  "?s=" &amp; D863 &amp; "&amp;platform=ftx"</f>
        <v>https://tokensol.nfluent.io?s=COR22D700&amp;platform=ftx</v>
      </c>
      <c r="AX863" s="20" t="s">
        <v>23</v>
      </c>
      <c r="AY863" s="20">
        <v>10</v>
      </c>
      <c r="AZ863" s="20" t="s">
        <v>24</v>
      </c>
      <c r="BA863" s="20">
        <v>90</v>
      </c>
      <c r="BD863" s="14"/>
      <c r="BJ863" t="s">
        <v>255</v>
      </c>
      <c r="BK863" t="s">
        <v>184</v>
      </c>
      <c r="BN863" s="36">
        <v>100</v>
      </c>
      <c r="BO863" s="36">
        <v>100</v>
      </c>
      <c r="BP863">
        <f t="shared" si="71"/>
        <v>480</v>
      </c>
      <c r="BR863" s="38">
        <v>44713</v>
      </c>
      <c r="BS863" s="20" t="s">
        <v>185</v>
      </c>
      <c r="BT863" s="20" t="str">
        <f t="shared" si="72"/>
        <v>InCasa_COR22D700</v>
      </c>
    </row>
    <row r="864" spans="2:72" ht="18.75" customHeight="1" x14ac:dyDescent="0.25">
      <c r="B864" s="20">
        <f t="shared" si="73"/>
        <v>701</v>
      </c>
      <c r="C864" s="22" t="str">
        <f t="shared" si="69"/>
        <v>In Casa #701</v>
      </c>
      <c r="D864" t="str">
        <f t="shared" si="70"/>
        <v>COR22D701</v>
      </c>
      <c r="E864" s="58" t="s">
        <v>252</v>
      </c>
      <c r="F864" s="20">
        <v>1000</v>
      </c>
      <c r="G864" s="14" t="s">
        <v>354</v>
      </c>
      <c r="H864" s="23" t="s">
        <v>170</v>
      </c>
      <c r="J864" s="59" t="s">
        <v>38</v>
      </c>
      <c r="K864" s="22" t="s">
        <v>254</v>
      </c>
      <c r="L864" s="59" t="s">
        <v>171</v>
      </c>
      <c r="M864" s="22">
        <v>2</v>
      </c>
      <c r="V864" s="59" t="s">
        <v>176</v>
      </c>
      <c r="AL864" s="59" t="s">
        <v>40</v>
      </c>
      <c r="AM864" s="22" t="s">
        <v>188</v>
      </c>
      <c r="AV864" s="59" t="s">
        <v>134</v>
      </c>
      <c r="AW864" s="22" t="str">
        <f>Settings!$B$5 &amp;  "?s=" &amp; D864 &amp; "&amp;platform=ftx"</f>
        <v>https://tokensol.nfluent.io?s=COR22D701&amp;platform=ftx</v>
      </c>
      <c r="AX864" s="20" t="s">
        <v>23</v>
      </c>
      <c r="AY864" s="20">
        <v>10</v>
      </c>
      <c r="AZ864" s="20" t="s">
        <v>24</v>
      </c>
      <c r="BA864" s="20">
        <v>90</v>
      </c>
      <c r="BD864" s="14"/>
      <c r="BJ864" t="s">
        <v>255</v>
      </c>
      <c r="BK864" t="s">
        <v>184</v>
      </c>
      <c r="BN864" s="36">
        <v>100</v>
      </c>
      <c r="BO864" s="36">
        <v>100</v>
      </c>
      <c r="BP864">
        <f t="shared" si="71"/>
        <v>480</v>
      </c>
      <c r="BR864" s="38">
        <v>44713</v>
      </c>
      <c r="BS864" s="20" t="s">
        <v>185</v>
      </c>
      <c r="BT864" s="20" t="str">
        <f t="shared" si="72"/>
        <v>InCasa_COR22D701</v>
      </c>
    </row>
    <row r="865" spans="2:72" ht="18.75" customHeight="1" x14ac:dyDescent="0.25">
      <c r="B865" s="20">
        <f t="shared" si="73"/>
        <v>702</v>
      </c>
      <c r="C865" s="22" t="str">
        <f t="shared" si="69"/>
        <v>In Casa #702</v>
      </c>
      <c r="D865" t="str">
        <f t="shared" si="70"/>
        <v>COR22D702</v>
      </c>
      <c r="E865" s="58" t="s">
        <v>252</v>
      </c>
      <c r="F865" s="20">
        <v>1000</v>
      </c>
      <c r="G865" s="14" t="s">
        <v>354</v>
      </c>
      <c r="H865" s="23" t="s">
        <v>170</v>
      </c>
      <c r="J865" s="59" t="s">
        <v>38</v>
      </c>
      <c r="K865" s="22" t="s">
        <v>254</v>
      </c>
      <c r="L865" s="59" t="s">
        <v>171</v>
      </c>
      <c r="M865" s="22">
        <v>2</v>
      </c>
      <c r="V865" s="59" t="s">
        <v>176</v>
      </c>
      <c r="AL865" s="59" t="s">
        <v>40</v>
      </c>
      <c r="AM865" s="22" t="s">
        <v>188</v>
      </c>
      <c r="AV865" s="59" t="s">
        <v>134</v>
      </c>
      <c r="AW865" s="22" t="str">
        <f>Settings!$B$5 &amp;  "?s=" &amp; D865 &amp; "&amp;platform=ftx"</f>
        <v>https://tokensol.nfluent.io?s=COR22D702&amp;platform=ftx</v>
      </c>
      <c r="AX865" s="20" t="s">
        <v>23</v>
      </c>
      <c r="AY865" s="20">
        <v>10</v>
      </c>
      <c r="AZ865" s="20" t="s">
        <v>24</v>
      </c>
      <c r="BA865" s="20">
        <v>90</v>
      </c>
      <c r="BD865" s="14"/>
      <c r="BJ865" t="s">
        <v>255</v>
      </c>
      <c r="BK865" t="s">
        <v>184</v>
      </c>
      <c r="BN865" s="36">
        <v>100</v>
      </c>
      <c r="BO865" s="36">
        <v>100</v>
      </c>
      <c r="BP865">
        <f t="shared" si="71"/>
        <v>480</v>
      </c>
      <c r="BR865" s="38">
        <v>44713</v>
      </c>
      <c r="BS865" s="20" t="s">
        <v>185</v>
      </c>
      <c r="BT865" s="20" t="str">
        <f t="shared" si="72"/>
        <v>InCasa_COR22D702</v>
      </c>
    </row>
    <row r="866" spans="2:72" ht="18.75" customHeight="1" x14ac:dyDescent="0.25">
      <c r="B866" s="20">
        <f t="shared" si="73"/>
        <v>703</v>
      </c>
      <c r="C866" s="22" t="str">
        <f t="shared" si="69"/>
        <v>In Casa #703</v>
      </c>
      <c r="D866" t="str">
        <f t="shared" si="70"/>
        <v>COR22D703</v>
      </c>
      <c r="E866" s="58" t="s">
        <v>252</v>
      </c>
      <c r="F866" s="20">
        <v>1000</v>
      </c>
      <c r="G866" s="14" t="s">
        <v>354</v>
      </c>
      <c r="H866" s="23" t="s">
        <v>170</v>
      </c>
      <c r="J866" s="59" t="s">
        <v>38</v>
      </c>
      <c r="K866" s="22" t="s">
        <v>254</v>
      </c>
      <c r="L866" s="59" t="s">
        <v>171</v>
      </c>
      <c r="M866" s="22">
        <v>2</v>
      </c>
      <c r="V866" s="59" t="s">
        <v>176</v>
      </c>
      <c r="AL866" s="59" t="s">
        <v>40</v>
      </c>
      <c r="AM866" s="22" t="s">
        <v>188</v>
      </c>
      <c r="AV866" s="59" t="s">
        <v>134</v>
      </c>
      <c r="AW866" s="22" t="str">
        <f>Settings!$B$5 &amp;  "?s=" &amp; D866 &amp; "&amp;platform=ftx"</f>
        <v>https://tokensol.nfluent.io?s=COR22D703&amp;platform=ftx</v>
      </c>
      <c r="AX866" s="20" t="s">
        <v>23</v>
      </c>
      <c r="AY866" s="20">
        <v>10</v>
      </c>
      <c r="AZ866" s="20" t="s">
        <v>24</v>
      </c>
      <c r="BA866" s="20">
        <v>90</v>
      </c>
      <c r="BD866" s="14"/>
      <c r="BJ866" t="s">
        <v>255</v>
      </c>
      <c r="BK866" t="s">
        <v>184</v>
      </c>
      <c r="BN866" s="36">
        <v>100</v>
      </c>
      <c r="BO866" s="36">
        <v>100</v>
      </c>
      <c r="BP866">
        <f t="shared" si="71"/>
        <v>480</v>
      </c>
      <c r="BR866" s="38">
        <v>44713</v>
      </c>
      <c r="BS866" s="20" t="s">
        <v>185</v>
      </c>
      <c r="BT866" s="20" t="str">
        <f t="shared" si="72"/>
        <v>InCasa_COR22D703</v>
      </c>
    </row>
    <row r="867" spans="2:72" ht="18.75" customHeight="1" x14ac:dyDescent="0.25">
      <c r="B867" s="20">
        <f t="shared" si="73"/>
        <v>704</v>
      </c>
      <c r="C867" s="22" t="str">
        <f t="shared" si="69"/>
        <v>In Casa #704</v>
      </c>
      <c r="D867" t="str">
        <f t="shared" si="70"/>
        <v>COR22D704</v>
      </c>
      <c r="E867" s="58" t="s">
        <v>252</v>
      </c>
      <c r="F867" s="20">
        <v>1000</v>
      </c>
      <c r="G867" s="14" t="s">
        <v>354</v>
      </c>
      <c r="H867" s="23" t="s">
        <v>170</v>
      </c>
      <c r="J867" s="59" t="s">
        <v>38</v>
      </c>
      <c r="K867" s="22" t="s">
        <v>254</v>
      </c>
      <c r="L867" s="59" t="s">
        <v>171</v>
      </c>
      <c r="M867" s="22">
        <v>2</v>
      </c>
      <c r="V867" s="59" t="s">
        <v>176</v>
      </c>
      <c r="AL867" s="59" t="s">
        <v>40</v>
      </c>
      <c r="AM867" s="22" t="s">
        <v>188</v>
      </c>
      <c r="AV867" s="59" t="s">
        <v>134</v>
      </c>
      <c r="AW867" s="22" t="str">
        <f>Settings!$B$5 &amp;  "?s=" &amp; D867 &amp; "&amp;platform=ftx"</f>
        <v>https://tokensol.nfluent.io?s=COR22D704&amp;platform=ftx</v>
      </c>
      <c r="AX867" s="20" t="s">
        <v>23</v>
      </c>
      <c r="AY867" s="20">
        <v>10</v>
      </c>
      <c r="AZ867" s="20" t="s">
        <v>24</v>
      </c>
      <c r="BA867" s="20">
        <v>90</v>
      </c>
      <c r="BD867" s="14"/>
      <c r="BJ867" t="s">
        <v>255</v>
      </c>
      <c r="BK867" t="s">
        <v>184</v>
      </c>
      <c r="BN867" s="36">
        <v>100</v>
      </c>
      <c r="BO867" s="36">
        <v>100</v>
      </c>
      <c r="BP867">
        <f t="shared" si="71"/>
        <v>480</v>
      </c>
      <c r="BR867" s="38">
        <v>44713</v>
      </c>
      <c r="BS867" s="20" t="s">
        <v>185</v>
      </c>
      <c r="BT867" s="20" t="str">
        <f t="shared" si="72"/>
        <v>InCasa_COR22D704</v>
      </c>
    </row>
    <row r="868" spans="2:72" ht="18.75" customHeight="1" x14ac:dyDescent="0.25">
      <c r="B868" s="20">
        <f t="shared" si="73"/>
        <v>705</v>
      </c>
      <c r="C868" s="22" t="str">
        <f t="shared" si="69"/>
        <v>In Casa #705</v>
      </c>
      <c r="D868" t="str">
        <f t="shared" si="70"/>
        <v>COR22D705</v>
      </c>
      <c r="E868" s="58" t="s">
        <v>252</v>
      </c>
      <c r="F868" s="20">
        <v>1000</v>
      </c>
      <c r="G868" s="14" t="s">
        <v>354</v>
      </c>
      <c r="H868" s="23" t="s">
        <v>170</v>
      </c>
      <c r="J868" s="59" t="s">
        <v>38</v>
      </c>
      <c r="K868" s="22" t="s">
        <v>254</v>
      </c>
      <c r="L868" s="59" t="s">
        <v>171</v>
      </c>
      <c r="M868" s="22">
        <v>2</v>
      </c>
      <c r="V868" s="59" t="s">
        <v>176</v>
      </c>
      <c r="AL868" s="59" t="s">
        <v>40</v>
      </c>
      <c r="AM868" s="22" t="s">
        <v>188</v>
      </c>
      <c r="AV868" s="59" t="s">
        <v>134</v>
      </c>
      <c r="AW868" s="22" t="str">
        <f>Settings!$B$5 &amp;  "?s=" &amp; D868 &amp; "&amp;platform=ftx"</f>
        <v>https://tokensol.nfluent.io?s=COR22D705&amp;platform=ftx</v>
      </c>
      <c r="AX868" s="20" t="s">
        <v>23</v>
      </c>
      <c r="AY868" s="20">
        <v>10</v>
      </c>
      <c r="AZ868" s="20" t="s">
        <v>24</v>
      </c>
      <c r="BA868" s="20">
        <v>90</v>
      </c>
      <c r="BD868" s="14"/>
      <c r="BJ868" t="s">
        <v>255</v>
      </c>
      <c r="BK868" t="s">
        <v>184</v>
      </c>
      <c r="BN868" s="36">
        <v>100</v>
      </c>
      <c r="BO868" s="36">
        <v>100</v>
      </c>
      <c r="BP868">
        <f t="shared" si="71"/>
        <v>480</v>
      </c>
      <c r="BR868" s="38">
        <v>44713</v>
      </c>
      <c r="BS868" s="20" t="s">
        <v>185</v>
      </c>
      <c r="BT868" s="20" t="str">
        <f t="shared" si="72"/>
        <v>InCasa_COR22D705</v>
      </c>
    </row>
    <row r="869" spans="2:72" ht="18.75" customHeight="1" x14ac:dyDescent="0.25">
      <c r="B869" s="20">
        <f t="shared" si="73"/>
        <v>706</v>
      </c>
      <c r="C869" s="22" t="str">
        <f t="shared" ref="C869:C932" si="74">+"In Casa #"&amp;B869</f>
        <v>In Casa #706</v>
      </c>
      <c r="D869" t="str">
        <f t="shared" ref="D869:D932" si="75">"COR22D"&amp;B869</f>
        <v>COR22D706</v>
      </c>
      <c r="E869" s="58" t="s">
        <v>252</v>
      </c>
      <c r="F869" s="20">
        <v>1000</v>
      </c>
      <c r="G869" s="14" t="s">
        <v>354</v>
      </c>
      <c r="H869" s="23" t="s">
        <v>170</v>
      </c>
      <c r="J869" s="59" t="s">
        <v>38</v>
      </c>
      <c r="K869" s="22" t="s">
        <v>254</v>
      </c>
      <c r="L869" s="59" t="s">
        <v>171</v>
      </c>
      <c r="M869" s="22">
        <v>2</v>
      </c>
      <c r="V869" s="59" t="s">
        <v>176</v>
      </c>
      <c r="AL869" s="59" t="s">
        <v>40</v>
      </c>
      <c r="AM869" s="22" t="s">
        <v>188</v>
      </c>
      <c r="AV869" s="59" t="s">
        <v>134</v>
      </c>
      <c r="AW869" s="22" t="str">
        <f>Settings!$B$5 &amp;  "?s=" &amp; D869 &amp; "&amp;platform=ftx"</f>
        <v>https://tokensol.nfluent.io?s=COR22D706&amp;platform=ftx</v>
      </c>
      <c r="AX869" s="20" t="s">
        <v>23</v>
      </c>
      <c r="AY869" s="20">
        <v>10</v>
      </c>
      <c r="AZ869" s="20" t="s">
        <v>24</v>
      </c>
      <c r="BA869" s="20">
        <v>90</v>
      </c>
      <c r="BD869" s="14"/>
      <c r="BJ869" t="s">
        <v>255</v>
      </c>
      <c r="BK869" t="s">
        <v>184</v>
      </c>
      <c r="BN869" s="36">
        <v>100</v>
      </c>
      <c r="BO869" s="36">
        <v>100</v>
      </c>
      <c r="BP869">
        <f t="shared" ref="BP869:BP932" si="76">24*20</f>
        <v>480</v>
      </c>
      <c r="BR869" s="38">
        <v>44713</v>
      </c>
      <c r="BS869" s="20" t="s">
        <v>185</v>
      </c>
      <c r="BT869" s="20" t="str">
        <f t="shared" si="72"/>
        <v>InCasa_COR22D706</v>
      </c>
    </row>
    <row r="870" spans="2:72" ht="18.75" customHeight="1" x14ac:dyDescent="0.25">
      <c r="B870" s="20">
        <f t="shared" si="73"/>
        <v>707</v>
      </c>
      <c r="C870" s="22" t="str">
        <f t="shared" si="74"/>
        <v>In Casa #707</v>
      </c>
      <c r="D870" t="str">
        <f t="shared" si="75"/>
        <v>COR22D707</v>
      </c>
      <c r="E870" s="58" t="s">
        <v>252</v>
      </c>
      <c r="F870" s="20">
        <v>1000</v>
      </c>
      <c r="G870" s="14" t="s">
        <v>354</v>
      </c>
      <c r="H870" s="23" t="s">
        <v>170</v>
      </c>
      <c r="J870" s="59" t="s">
        <v>38</v>
      </c>
      <c r="K870" s="22" t="s">
        <v>254</v>
      </c>
      <c r="L870" s="59" t="s">
        <v>171</v>
      </c>
      <c r="M870" s="22">
        <v>2</v>
      </c>
      <c r="V870" s="59" t="s">
        <v>176</v>
      </c>
      <c r="AL870" s="59" t="s">
        <v>40</v>
      </c>
      <c r="AM870" s="22" t="s">
        <v>188</v>
      </c>
      <c r="AV870" s="59" t="s">
        <v>134</v>
      </c>
      <c r="AW870" s="22" t="str">
        <f>Settings!$B$5 &amp;  "?s=" &amp; D870 &amp; "&amp;platform=ftx"</f>
        <v>https://tokensol.nfluent.io?s=COR22D707&amp;platform=ftx</v>
      </c>
      <c r="AX870" s="20" t="s">
        <v>23</v>
      </c>
      <c r="AY870" s="20">
        <v>10</v>
      </c>
      <c r="AZ870" s="20" t="s">
        <v>24</v>
      </c>
      <c r="BA870" s="20">
        <v>90</v>
      </c>
      <c r="BD870" s="14"/>
      <c r="BJ870" t="s">
        <v>255</v>
      </c>
      <c r="BK870" t="s">
        <v>184</v>
      </c>
      <c r="BN870" s="36">
        <v>100</v>
      </c>
      <c r="BO870" s="36">
        <v>100</v>
      </c>
      <c r="BP870">
        <f t="shared" si="76"/>
        <v>480</v>
      </c>
      <c r="BR870" s="38">
        <v>44713</v>
      </c>
      <c r="BS870" s="20" t="s">
        <v>185</v>
      </c>
      <c r="BT870" s="20" t="str">
        <f t="shared" si="72"/>
        <v>InCasa_COR22D707</v>
      </c>
    </row>
    <row r="871" spans="2:72" ht="18.75" customHeight="1" x14ac:dyDescent="0.25">
      <c r="B871" s="20">
        <f t="shared" si="73"/>
        <v>708</v>
      </c>
      <c r="C871" s="22" t="str">
        <f t="shared" si="74"/>
        <v>In Casa #708</v>
      </c>
      <c r="D871" t="str">
        <f t="shared" si="75"/>
        <v>COR22D708</v>
      </c>
      <c r="E871" s="58" t="s">
        <v>252</v>
      </c>
      <c r="F871" s="20">
        <v>1000</v>
      </c>
      <c r="G871" s="14" t="s">
        <v>354</v>
      </c>
      <c r="H871" s="23" t="s">
        <v>170</v>
      </c>
      <c r="J871" s="59" t="s">
        <v>38</v>
      </c>
      <c r="K871" s="22" t="s">
        <v>254</v>
      </c>
      <c r="L871" s="59" t="s">
        <v>171</v>
      </c>
      <c r="M871" s="22">
        <v>2</v>
      </c>
      <c r="V871" s="59" t="s">
        <v>176</v>
      </c>
      <c r="AL871" s="59" t="s">
        <v>40</v>
      </c>
      <c r="AM871" s="22" t="s">
        <v>188</v>
      </c>
      <c r="AV871" s="59" t="s">
        <v>134</v>
      </c>
      <c r="AW871" s="22" t="str">
        <f>Settings!$B$5 &amp;  "?s=" &amp; D871 &amp; "&amp;platform=ftx"</f>
        <v>https://tokensol.nfluent.io?s=COR22D708&amp;platform=ftx</v>
      </c>
      <c r="AX871" s="20" t="s">
        <v>23</v>
      </c>
      <c r="AY871" s="20">
        <v>10</v>
      </c>
      <c r="AZ871" s="20" t="s">
        <v>24</v>
      </c>
      <c r="BA871" s="20">
        <v>90</v>
      </c>
      <c r="BD871" s="14"/>
      <c r="BJ871" t="s">
        <v>255</v>
      </c>
      <c r="BK871" t="s">
        <v>184</v>
      </c>
      <c r="BN871" s="36">
        <v>100</v>
      </c>
      <c r="BO871" s="36">
        <v>100</v>
      </c>
      <c r="BP871">
        <f t="shared" si="76"/>
        <v>480</v>
      </c>
      <c r="BR871" s="38">
        <v>44713</v>
      </c>
      <c r="BS871" s="20" t="s">
        <v>185</v>
      </c>
      <c r="BT871" s="20" t="str">
        <f t="shared" si="72"/>
        <v>InCasa_COR22D708</v>
      </c>
    </row>
    <row r="872" spans="2:72" ht="18.75" customHeight="1" x14ac:dyDescent="0.25">
      <c r="B872" s="20">
        <f t="shared" si="73"/>
        <v>709</v>
      </c>
      <c r="C872" s="22" t="str">
        <f t="shared" si="74"/>
        <v>In Casa #709</v>
      </c>
      <c r="D872" t="str">
        <f t="shared" si="75"/>
        <v>COR22D709</v>
      </c>
      <c r="E872" s="58" t="s">
        <v>252</v>
      </c>
      <c r="F872" s="20">
        <v>1000</v>
      </c>
      <c r="G872" s="14" t="s">
        <v>354</v>
      </c>
      <c r="H872" s="23" t="s">
        <v>170</v>
      </c>
      <c r="J872" s="59" t="s">
        <v>38</v>
      </c>
      <c r="K872" s="22" t="s">
        <v>254</v>
      </c>
      <c r="L872" s="59" t="s">
        <v>171</v>
      </c>
      <c r="M872" s="22">
        <v>2</v>
      </c>
      <c r="V872" s="59" t="s">
        <v>176</v>
      </c>
      <c r="AL872" s="59" t="s">
        <v>40</v>
      </c>
      <c r="AM872" s="22" t="s">
        <v>188</v>
      </c>
      <c r="AV872" s="59" t="s">
        <v>134</v>
      </c>
      <c r="AW872" s="22" t="str">
        <f>Settings!$B$5 &amp;  "?s=" &amp; D872 &amp; "&amp;platform=ftx"</f>
        <v>https://tokensol.nfluent.io?s=COR22D709&amp;platform=ftx</v>
      </c>
      <c r="AX872" s="20" t="s">
        <v>23</v>
      </c>
      <c r="AY872" s="20">
        <v>10</v>
      </c>
      <c r="AZ872" s="20" t="s">
        <v>24</v>
      </c>
      <c r="BA872" s="20">
        <v>90</v>
      </c>
      <c r="BD872" s="14"/>
      <c r="BJ872" t="s">
        <v>255</v>
      </c>
      <c r="BK872" t="s">
        <v>184</v>
      </c>
      <c r="BN872" s="36">
        <v>100</v>
      </c>
      <c r="BO872" s="36">
        <v>100</v>
      </c>
      <c r="BP872">
        <f t="shared" si="76"/>
        <v>480</v>
      </c>
      <c r="BR872" s="38">
        <v>44713</v>
      </c>
      <c r="BS872" s="20" t="s">
        <v>185</v>
      </c>
      <c r="BT872" s="20" t="str">
        <f t="shared" si="72"/>
        <v>InCasa_COR22D709</v>
      </c>
    </row>
    <row r="873" spans="2:72" ht="18.75" customHeight="1" x14ac:dyDescent="0.25">
      <c r="B873" s="20">
        <f t="shared" si="73"/>
        <v>710</v>
      </c>
      <c r="C873" s="22" t="str">
        <f t="shared" si="74"/>
        <v>In Casa #710</v>
      </c>
      <c r="D873" t="str">
        <f t="shared" si="75"/>
        <v>COR22D710</v>
      </c>
      <c r="E873" s="58" t="s">
        <v>252</v>
      </c>
      <c r="F873" s="20">
        <v>1000</v>
      </c>
      <c r="G873" s="14" t="s">
        <v>354</v>
      </c>
      <c r="H873" s="23" t="s">
        <v>170</v>
      </c>
      <c r="J873" s="59" t="s">
        <v>38</v>
      </c>
      <c r="K873" s="22" t="s">
        <v>254</v>
      </c>
      <c r="L873" s="59" t="s">
        <v>171</v>
      </c>
      <c r="M873" s="22">
        <v>2</v>
      </c>
      <c r="V873" s="59" t="s">
        <v>176</v>
      </c>
      <c r="AL873" s="59" t="s">
        <v>40</v>
      </c>
      <c r="AM873" s="22" t="s">
        <v>188</v>
      </c>
      <c r="AV873" s="59" t="s">
        <v>134</v>
      </c>
      <c r="AW873" s="22" t="str">
        <f>Settings!$B$5 &amp;  "?s=" &amp; D873 &amp; "&amp;platform=ftx"</f>
        <v>https://tokensol.nfluent.io?s=COR22D710&amp;platform=ftx</v>
      </c>
      <c r="AX873" s="20" t="s">
        <v>23</v>
      </c>
      <c r="AY873" s="20">
        <v>10</v>
      </c>
      <c r="AZ873" s="20" t="s">
        <v>24</v>
      </c>
      <c r="BA873" s="20">
        <v>90</v>
      </c>
      <c r="BD873" s="14"/>
      <c r="BJ873" t="s">
        <v>255</v>
      </c>
      <c r="BK873" t="s">
        <v>184</v>
      </c>
      <c r="BN873" s="36">
        <v>100</v>
      </c>
      <c r="BO873" s="36">
        <v>100</v>
      </c>
      <c r="BP873">
        <f t="shared" si="76"/>
        <v>480</v>
      </c>
      <c r="BR873" s="38">
        <v>44713</v>
      </c>
      <c r="BS873" s="20" t="s">
        <v>185</v>
      </c>
      <c r="BT873" s="20" t="str">
        <f t="shared" si="72"/>
        <v>InCasa_COR22D710</v>
      </c>
    </row>
    <row r="874" spans="2:72" ht="18.75" customHeight="1" x14ac:dyDescent="0.25">
      <c r="B874" s="20">
        <f t="shared" si="73"/>
        <v>711</v>
      </c>
      <c r="C874" s="22" t="str">
        <f t="shared" si="74"/>
        <v>In Casa #711</v>
      </c>
      <c r="D874" t="str">
        <f t="shared" si="75"/>
        <v>COR22D711</v>
      </c>
      <c r="E874" s="58" t="s">
        <v>252</v>
      </c>
      <c r="F874" s="20">
        <v>1000</v>
      </c>
      <c r="G874" s="14" t="s">
        <v>354</v>
      </c>
      <c r="H874" s="23" t="s">
        <v>170</v>
      </c>
      <c r="J874" s="59" t="s">
        <v>38</v>
      </c>
      <c r="K874" s="22" t="s">
        <v>254</v>
      </c>
      <c r="L874" s="59" t="s">
        <v>171</v>
      </c>
      <c r="M874" s="22">
        <v>2</v>
      </c>
      <c r="V874" s="59" t="s">
        <v>176</v>
      </c>
      <c r="AL874" s="59" t="s">
        <v>40</v>
      </c>
      <c r="AM874" s="22" t="s">
        <v>188</v>
      </c>
      <c r="AV874" s="59" t="s">
        <v>134</v>
      </c>
      <c r="AW874" s="22" t="str">
        <f>Settings!$B$5 &amp;  "?s=" &amp; D874 &amp; "&amp;platform=ftx"</f>
        <v>https://tokensol.nfluent.io?s=COR22D711&amp;platform=ftx</v>
      </c>
      <c r="AX874" s="20" t="s">
        <v>23</v>
      </c>
      <c r="AY874" s="20">
        <v>10</v>
      </c>
      <c r="AZ874" s="20" t="s">
        <v>24</v>
      </c>
      <c r="BA874" s="20">
        <v>90</v>
      </c>
      <c r="BD874" s="14"/>
      <c r="BJ874" t="s">
        <v>255</v>
      </c>
      <c r="BK874" t="s">
        <v>184</v>
      </c>
      <c r="BN874" s="36">
        <v>100</v>
      </c>
      <c r="BO874" s="36">
        <v>100</v>
      </c>
      <c r="BP874">
        <f t="shared" si="76"/>
        <v>480</v>
      </c>
      <c r="BR874" s="38">
        <v>44713</v>
      </c>
      <c r="BS874" s="20" t="s">
        <v>185</v>
      </c>
      <c r="BT874" s="20" t="str">
        <f t="shared" si="72"/>
        <v>InCasa_COR22D711</v>
      </c>
    </row>
    <row r="875" spans="2:72" ht="18.75" customHeight="1" x14ac:dyDescent="0.25">
      <c r="B875" s="20">
        <f t="shared" si="73"/>
        <v>712</v>
      </c>
      <c r="C875" s="22" t="str">
        <f t="shared" si="74"/>
        <v>In Casa #712</v>
      </c>
      <c r="D875" t="str">
        <f t="shared" si="75"/>
        <v>COR22D712</v>
      </c>
      <c r="E875" s="58" t="s">
        <v>252</v>
      </c>
      <c r="F875" s="20">
        <v>1000</v>
      </c>
      <c r="G875" s="14" t="s">
        <v>354</v>
      </c>
      <c r="H875" s="23" t="s">
        <v>170</v>
      </c>
      <c r="J875" s="59" t="s">
        <v>38</v>
      </c>
      <c r="K875" s="22" t="s">
        <v>254</v>
      </c>
      <c r="L875" s="59" t="s">
        <v>171</v>
      </c>
      <c r="M875" s="22">
        <v>2</v>
      </c>
      <c r="V875" s="59" t="s">
        <v>176</v>
      </c>
      <c r="AL875" s="59" t="s">
        <v>40</v>
      </c>
      <c r="AM875" s="22" t="s">
        <v>188</v>
      </c>
      <c r="AV875" s="59" t="s">
        <v>134</v>
      </c>
      <c r="AW875" s="22" t="str">
        <f>Settings!$B$5 &amp;  "?s=" &amp; D875 &amp; "&amp;platform=ftx"</f>
        <v>https://tokensol.nfluent.io?s=COR22D712&amp;platform=ftx</v>
      </c>
      <c r="AX875" s="20" t="s">
        <v>23</v>
      </c>
      <c r="AY875" s="20">
        <v>10</v>
      </c>
      <c r="AZ875" s="20" t="s">
        <v>24</v>
      </c>
      <c r="BA875" s="20">
        <v>90</v>
      </c>
      <c r="BD875" s="14"/>
      <c r="BJ875" t="s">
        <v>255</v>
      </c>
      <c r="BK875" t="s">
        <v>184</v>
      </c>
      <c r="BN875" s="36">
        <v>100</v>
      </c>
      <c r="BO875" s="36">
        <v>100</v>
      </c>
      <c r="BP875">
        <f t="shared" si="76"/>
        <v>480</v>
      </c>
      <c r="BR875" s="38">
        <v>44713</v>
      </c>
      <c r="BS875" s="20" t="s">
        <v>185</v>
      </c>
      <c r="BT875" s="20" t="str">
        <f t="shared" si="72"/>
        <v>InCasa_COR22D712</v>
      </c>
    </row>
    <row r="876" spans="2:72" ht="18.75" customHeight="1" x14ac:dyDescent="0.25">
      <c r="B876" s="20">
        <f t="shared" si="73"/>
        <v>713</v>
      </c>
      <c r="C876" s="22" t="str">
        <f t="shared" si="74"/>
        <v>In Casa #713</v>
      </c>
      <c r="D876" t="str">
        <f t="shared" si="75"/>
        <v>COR22D713</v>
      </c>
      <c r="E876" s="58" t="s">
        <v>252</v>
      </c>
      <c r="F876" s="20">
        <v>1000</v>
      </c>
      <c r="G876" s="14" t="s">
        <v>354</v>
      </c>
      <c r="H876" s="23" t="s">
        <v>170</v>
      </c>
      <c r="J876" s="59" t="s">
        <v>38</v>
      </c>
      <c r="K876" s="22" t="s">
        <v>254</v>
      </c>
      <c r="L876" s="59" t="s">
        <v>171</v>
      </c>
      <c r="M876" s="22">
        <v>2</v>
      </c>
      <c r="V876" s="59" t="s">
        <v>176</v>
      </c>
      <c r="AL876" s="59" t="s">
        <v>40</v>
      </c>
      <c r="AM876" s="22" t="s">
        <v>188</v>
      </c>
      <c r="AV876" s="59" t="s">
        <v>134</v>
      </c>
      <c r="AW876" s="22" t="str">
        <f>Settings!$B$5 &amp;  "?s=" &amp; D876 &amp; "&amp;platform=ftx"</f>
        <v>https://tokensol.nfluent.io?s=COR22D713&amp;platform=ftx</v>
      </c>
      <c r="AX876" s="20" t="s">
        <v>23</v>
      </c>
      <c r="AY876" s="20">
        <v>10</v>
      </c>
      <c r="AZ876" s="20" t="s">
        <v>24</v>
      </c>
      <c r="BA876" s="20">
        <v>90</v>
      </c>
      <c r="BD876" s="14"/>
      <c r="BJ876" t="s">
        <v>255</v>
      </c>
      <c r="BK876" t="s">
        <v>184</v>
      </c>
      <c r="BN876" s="36">
        <v>100</v>
      </c>
      <c r="BO876" s="36">
        <v>100</v>
      </c>
      <c r="BP876">
        <f t="shared" si="76"/>
        <v>480</v>
      </c>
      <c r="BR876" s="38">
        <v>44713</v>
      </c>
      <c r="BS876" s="20" t="s">
        <v>185</v>
      </c>
      <c r="BT876" s="20" t="str">
        <f t="shared" si="72"/>
        <v>InCasa_COR22D713</v>
      </c>
    </row>
    <row r="877" spans="2:72" ht="18.75" customHeight="1" x14ac:dyDescent="0.25">
      <c r="B877" s="20">
        <f t="shared" si="73"/>
        <v>714</v>
      </c>
      <c r="C877" s="22" t="str">
        <f t="shared" si="74"/>
        <v>In Casa #714</v>
      </c>
      <c r="D877" t="str">
        <f t="shared" si="75"/>
        <v>COR22D714</v>
      </c>
      <c r="E877" s="58" t="s">
        <v>252</v>
      </c>
      <c r="F877" s="20">
        <v>1000</v>
      </c>
      <c r="G877" s="14" t="s">
        <v>354</v>
      </c>
      <c r="H877" s="23" t="s">
        <v>170</v>
      </c>
      <c r="J877" s="59" t="s">
        <v>38</v>
      </c>
      <c r="K877" s="22" t="s">
        <v>254</v>
      </c>
      <c r="L877" s="59" t="s">
        <v>171</v>
      </c>
      <c r="M877" s="22">
        <v>2</v>
      </c>
      <c r="V877" s="59" t="s">
        <v>176</v>
      </c>
      <c r="AL877" s="59" t="s">
        <v>40</v>
      </c>
      <c r="AM877" s="22" t="s">
        <v>188</v>
      </c>
      <c r="AV877" s="59" t="s">
        <v>134</v>
      </c>
      <c r="AW877" s="22" t="str">
        <f>Settings!$B$5 &amp;  "?s=" &amp; D877 &amp; "&amp;platform=ftx"</f>
        <v>https://tokensol.nfluent.io?s=COR22D714&amp;platform=ftx</v>
      </c>
      <c r="AX877" s="20" t="s">
        <v>23</v>
      </c>
      <c r="AY877" s="20">
        <v>10</v>
      </c>
      <c r="AZ877" s="20" t="s">
        <v>24</v>
      </c>
      <c r="BA877" s="20">
        <v>90</v>
      </c>
      <c r="BD877" s="14"/>
      <c r="BJ877" t="s">
        <v>255</v>
      </c>
      <c r="BK877" t="s">
        <v>184</v>
      </c>
      <c r="BN877" s="36">
        <v>100</v>
      </c>
      <c r="BO877" s="36">
        <v>100</v>
      </c>
      <c r="BP877">
        <f t="shared" si="76"/>
        <v>480</v>
      </c>
      <c r="BR877" s="38">
        <v>44713</v>
      </c>
      <c r="BS877" s="20" t="s">
        <v>185</v>
      </c>
      <c r="BT877" s="20" t="str">
        <f t="shared" si="72"/>
        <v>InCasa_COR22D714</v>
      </c>
    </row>
    <row r="878" spans="2:72" ht="18.75" customHeight="1" x14ac:dyDescent="0.25">
      <c r="B878" s="20">
        <f t="shared" si="73"/>
        <v>715</v>
      </c>
      <c r="C878" s="22" t="str">
        <f t="shared" si="74"/>
        <v>In Casa #715</v>
      </c>
      <c r="D878" t="str">
        <f t="shared" si="75"/>
        <v>COR22D715</v>
      </c>
      <c r="E878" s="58" t="s">
        <v>252</v>
      </c>
      <c r="F878" s="20">
        <v>1000</v>
      </c>
      <c r="G878" s="14" t="s">
        <v>354</v>
      </c>
      <c r="H878" s="23" t="s">
        <v>170</v>
      </c>
      <c r="J878" s="59" t="s">
        <v>38</v>
      </c>
      <c r="K878" s="22" t="s">
        <v>254</v>
      </c>
      <c r="L878" s="59" t="s">
        <v>171</v>
      </c>
      <c r="M878" s="22">
        <v>2</v>
      </c>
      <c r="V878" s="59" t="s">
        <v>176</v>
      </c>
      <c r="AL878" s="59" t="s">
        <v>40</v>
      </c>
      <c r="AM878" s="22" t="s">
        <v>188</v>
      </c>
      <c r="AV878" s="59" t="s">
        <v>134</v>
      </c>
      <c r="AW878" s="22" t="str">
        <f>Settings!$B$5 &amp;  "?s=" &amp; D878 &amp; "&amp;platform=ftx"</f>
        <v>https://tokensol.nfluent.io?s=COR22D715&amp;platform=ftx</v>
      </c>
      <c r="AX878" s="20" t="s">
        <v>23</v>
      </c>
      <c r="AY878" s="20">
        <v>10</v>
      </c>
      <c r="AZ878" s="20" t="s">
        <v>24</v>
      </c>
      <c r="BA878" s="20">
        <v>90</v>
      </c>
      <c r="BD878" s="14"/>
      <c r="BJ878" t="s">
        <v>255</v>
      </c>
      <c r="BK878" t="s">
        <v>184</v>
      </c>
      <c r="BN878" s="36">
        <v>100</v>
      </c>
      <c r="BO878" s="36">
        <v>100</v>
      </c>
      <c r="BP878">
        <f t="shared" si="76"/>
        <v>480</v>
      </c>
      <c r="BR878" s="38">
        <v>44713</v>
      </c>
      <c r="BS878" s="20" t="s">
        <v>185</v>
      </c>
      <c r="BT878" s="20" t="str">
        <f t="shared" si="72"/>
        <v>InCasa_COR22D715</v>
      </c>
    </row>
    <row r="879" spans="2:72" ht="18.75" customHeight="1" x14ac:dyDescent="0.25">
      <c r="B879" s="20">
        <f t="shared" si="73"/>
        <v>716</v>
      </c>
      <c r="C879" s="22" t="str">
        <f t="shared" si="74"/>
        <v>In Casa #716</v>
      </c>
      <c r="D879" t="str">
        <f t="shared" si="75"/>
        <v>COR22D716</v>
      </c>
      <c r="E879" s="58" t="s">
        <v>252</v>
      </c>
      <c r="F879" s="20">
        <v>1000</v>
      </c>
      <c r="G879" s="14" t="s">
        <v>354</v>
      </c>
      <c r="H879" s="23" t="s">
        <v>170</v>
      </c>
      <c r="J879" s="59" t="s">
        <v>38</v>
      </c>
      <c r="K879" s="22" t="s">
        <v>254</v>
      </c>
      <c r="L879" s="59" t="s">
        <v>171</v>
      </c>
      <c r="M879" s="22">
        <v>2</v>
      </c>
      <c r="V879" s="59" t="s">
        <v>176</v>
      </c>
      <c r="AL879" s="59" t="s">
        <v>40</v>
      </c>
      <c r="AM879" s="22" t="s">
        <v>188</v>
      </c>
      <c r="AV879" s="59" t="s">
        <v>134</v>
      </c>
      <c r="AW879" s="22" t="str">
        <f>Settings!$B$5 &amp;  "?s=" &amp; D879 &amp; "&amp;platform=ftx"</f>
        <v>https://tokensol.nfluent.io?s=COR22D716&amp;platform=ftx</v>
      </c>
      <c r="AX879" s="20" t="s">
        <v>23</v>
      </c>
      <c r="AY879" s="20">
        <v>10</v>
      </c>
      <c r="AZ879" s="20" t="s">
        <v>24</v>
      </c>
      <c r="BA879" s="20">
        <v>90</v>
      </c>
      <c r="BD879" s="14"/>
      <c r="BJ879" t="s">
        <v>255</v>
      </c>
      <c r="BK879" t="s">
        <v>184</v>
      </c>
      <c r="BN879" s="36">
        <v>100</v>
      </c>
      <c r="BO879" s="36">
        <v>100</v>
      </c>
      <c r="BP879">
        <f t="shared" si="76"/>
        <v>480</v>
      </c>
      <c r="BR879" s="38">
        <v>44713</v>
      </c>
      <c r="BS879" s="20" t="s">
        <v>185</v>
      </c>
      <c r="BT879" s="20" t="str">
        <f t="shared" si="72"/>
        <v>InCasa_COR22D716</v>
      </c>
    </row>
    <row r="880" spans="2:72" ht="18.75" customHeight="1" x14ac:dyDescent="0.25">
      <c r="B880" s="20">
        <f t="shared" si="73"/>
        <v>717</v>
      </c>
      <c r="C880" s="22" t="str">
        <f t="shared" si="74"/>
        <v>In Casa #717</v>
      </c>
      <c r="D880" t="str">
        <f t="shared" si="75"/>
        <v>COR22D717</v>
      </c>
      <c r="E880" s="58" t="s">
        <v>252</v>
      </c>
      <c r="F880" s="20">
        <v>1000</v>
      </c>
      <c r="G880" s="14" t="s">
        <v>354</v>
      </c>
      <c r="H880" s="23" t="s">
        <v>170</v>
      </c>
      <c r="J880" s="59" t="s">
        <v>38</v>
      </c>
      <c r="K880" s="22" t="s">
        <v>254</v>
      </c>
      <c r="L880" s="59" t="s">
        <v>171</v>
      </c>
      <c r="M880" s="22">
        <v>2</v>
      </c>
      <c r="V880" s="59" t="s">
        <v>176</v>
      </c>
      <c r="AL880" s="59" t="s">
        <v>40</v>
      </c>
      <c r="AM880" s="22" t="s">
        <v>188</v>
      </c>
      <c r="AV880" s="59" t="s">
        <v>134</v>
      </c>
      <c r="AW880" s="22" t="str">
        <f>Settings!$B$5 &amp;  "?s=" &amp; D880 &amp; "&amp;platform=ftx"</f>
        <v>https://tokensol.nfluent.io?s=COR22D717&amp;platform=ftx</v>
      </c>
      <c r="AX880" s="20" t="s">
        <v>23</v>
      </c>
      <c r="AY880" s="20">
        <v>10</v>
      </c>
      <c r="AZ880" s="20" t="s">
        <v>24</v>
      </c>
      <c r="BA880" s="20">
        <v>90</v>
      </c>
      <c r="BD880" s="14"/>
      <c r="BJ880" t="s">
        <v>255</v>
      </c>
      <c r="BK880" t="s">
        <v>184</v>
      </c>
      <c r="BN880" s="36">
        <v>100</v>
      </c>
      <c r="BO880" s="36">
        <v>100</v>
      </c>
      <c r="BP880">
        <f t="shared" si="76"/>
        <v>480</v>
      </c>
      <c r="BR880" s="38">
        <v>44713</v>
      </c>
      <c r="BS880" s="20" t="s">
        <v>185</v>
      </c>
      <c r="BT880" s="20" t="str">
        <f t="shared" si="72"/>
        <v>InCasa_COR22D717</v>
      </c>
    </row>
    <row r="881" spans="2:72" ht="18.75" customHeight="1" x14ac:dyDescent="0.25">
      <c r="B881" s="20">
        <f t="shared" si="73"/>
        <v>718</v>
      </c>
      <c r="C881" s="22" t="str">
        <f t="shared" si="74"/>
        <v>In Casa #718</v>
      </c>
      <c r="D881" t="str">
        <f t="shared" si="75"/>
        <v>COR22D718</v>
      </c>
      <c r="E881" s="58" t="s">
        <v>252</v>
      </c>
      <c r="F881" s="20">
        <v>1000</v>
      </c>
      <c r="G881" s="14" t="s">
        <v>354</v>
      </c>
      <c r="H881" s="23" t="s">
        <v>170</v>
      </c>
      <c r="J881" s="59" t="s">
        <v>38</v>
      </c>
      <c r="K881" s="22" t="s">
        <v>254</v>
      </c>
      <c r="L881" s="59" t="s">
        <v>171</v>
      </c>
      <c r="M881" s="22">
        <v>2</v>
      </c>
      <c r="V881" s="59" t="s">
        <v>176</v>
      </c>
      <c r="AL881" s="59" t="s">
        <v>40</v>
      </c>
      <c r="AM881" s="22" t="s">
        <v>188</v>
      </c>
      <c r="AV881" s="59" t="s">
        <v>134</v>
      </c>
      <c r="AW881" s="22" t="str">
        <f>Settings!$B$5 &amp;  "?s=" &amp; D881 &amp; "&amp;platform=ftx"</f>
        <v>https://tokensol.nfluent.io?s=COR22D718&amp;platform=ftx</v>
      </c>
      <c r="AX881" s="20" t="s">
        <v>23</v>
      </c>
      <c r="AY881" s="20">
        <v>10</v>
      </c>
      <c r="AZ881" s="20" t="s">
        <v>24</v>
      </c>
      <c r="BA881" s="20">
        <v>90</v>
      </c>
      <c r="BD881" s="14"/>
      <c r="BJ881" t="s">
        <v>255</v>
      </c>
      <c r="BK881" t="s">
        <v>184</v>
      </c>
      <c r="BN881" s="36">
        <v>100</v>
      </c>
      <c r="BO881" s="36">
        <v>100</v>
      </c>
      <c r="BP881">
        <f t="shared" si="76"/>
        <v>480</v>
      </c>
      <c r="BR881" s="38">
        <v>44713</v>
      </c>
      <c r="BS881" s="20" t="s">
        <v>185</v>
      </c>
      <c r="BT881" s="20" t="str">
        <f t="shared" si="72"/>
        <v>InCasa_COR22D718</v>
      </c>
    </row>
    <row r="882" spans="2:72" ht="18.75" customHeight="1" x14ac:dyDescent="0.25">
      <c r="B882" s="20">
        <f t="shared" si="73"/>
        <v>719</v>
      </c>
      <c r="C882" s="22" t="str">
        <f t="shared" si="74"/>
        <v>In Casa #719</v>
      </c>
      <c r="D882" t="str">
        <f t="shared" si="75"/>
        <v>COR22D719</v>
      </c>
      <c r="E882" s="58" t="s">
        <v>252</v>
      </c>
      <c r="F882" s="20">
        <v>1000</v>
      </c>
      <c r="G882" s="14" t="s">
        <v>354</v>
      </c>
      <c r="H882" s="23" t="s">
        <v>170</v>
      </c>
      <c r="J882" s="59" t="s">
        <v>38</v>
      </c>
      <c r="K882" s="22" t="s">
        <v>254</v>
      </c>
      <c r="L882" s="59" t="s">
        <v>171</v>
      </c>
      <c r="M882" s="22">
        <v>2</v>
      </c>
      <c r="V882" s="59" t="s">
        <v>176</v>
      </c>
      <c r="AL882" s="59" t="s">
        <v>40</v>
      </c>
      <c r="AM882" s="22" t="s">
        <v>188</v>
      </c>
      <c r="AV882" s="59" t="s">
        <v>134</v>
      </c>
      <c r="AW882" s="22" t="str">
        <f>Settings!$B$5 &amp;  "?s=" &amp; D882 &amp; "&amp;platform=ftx"</f>
        <v>https://tokensol.nfluent.io?s=COR22D719&amp;platform=ftx</v>
      </c>
      <c r="AX882" s="20" t="s">
        <v>23</v>
      </c>
      <c r="AY882" s="20">
        <v>10</v>
      </c>
      <c r="AZ882" s="20" t="s">
        <v>24</v>
      </c>
      <c r="BA882" s="20">
        <v>90</v>
      </c>
      <c r="BD882" s="14"/>
      <c r="BJ882" t="s">
        <v>255</v>
      </c>
      <c r="BK882" t="s">
        <v>184</v>
      </c>
      <c r="BN882" s="36">
        <v>100</v>
      </c>
      <c r="BO882" s="36">
        <v>100</v>
      </c>
      <c r="BP882">
        <f t="shared" si="76"/>
        <v>480</v>
      </c>
      <c r="BR882" s="38">
        <v>44713</v>
      </c>
      <c r="BS882" s="20" t="s">
        <v>185</v>
      </c>
      <c r="BT882" s="20" t="str">
        <f t="shared" si="72"/>
        <v>InCasa_COR22D719</v>
      </c>
    </row>
    <row r="883" spans="2:72" ht="18.75" customHeight="1" x14ac:dyDescent="0.25">
      <c r="B883" s="20">
        <f t="shared" si="73"/>
        <v>720</v>
      </c>
      <c r="C883" s="22" t="str">
        <f t="shared" si="74"/>
        <v>In Casa #720</v>
      </c>
      <c r="D883" t="str">
        <f t="shared" si="75"/>
        <v>COR22D720</v>
      </c>
      <c r="E883" s="58" t="s">
        <v>252</v>
      </c>
      <c r="F883" s="20">
        <v>1000</v>
      </c>
      <c r="G883" s="14" t="s">
        <v>354</v>
      </c>
      <c r="H883" s="23" t="s">
        <v>170</v>
      </c>
      <c r="J883" s="59" t="s">
        <v>38</v>
      </c>
      <c r="K883" s="22" t="s">
        <v>254</v>
      </c>
      <c r="L883" s="59" t="s">
        <v>171</v>
      </c>
      <c r="M883" s="22">
        <v>2</v>
      </c>
      <c r="V883" s="59" t="s">
        <v>176</v>
      </c>
      <c r="AL883" s="59" t="s">
        <v>40</v>
      </c>
      <c r="AM883" s="22" t="s">
        <v>188</v>
      </c>
      <c r="AV883" s="59" t="s">
        <v>134</v>
      </c>
      <c r="AW883" s="22" t="str">
        <f>Settings!$B$5 &amp;  "?s=" &amp; D883 &amp; "&amp;platform=ftx"</f>
        <v>https://tokensol.nfluent.io?s=COR22D720&amp;platform=ftx</v>
      </c>
      <c r="AX883" s="20" t="s">
        <v>23</v>
      </c>
      <c r="AY883" s="20">
        <v>10</v>
      </c>
      <c r="AZ883" s="20" t="s">
        <v>24</v>
      </c>
      <c r="BA883" s="20">
        <v>90</v>
      </c>
      <c r="BD883" s="14"/>
      <c r="BJ883" t="s">
        <v>255</v>
      </c>
      <c r="BK883" t="s">
        <v>184</v>
      </c>
      <c r="BN883" s="36">
        <v>100</v>
      </c>
      <c r="BO883" s="36">
        <v>100</v>
      </c>
      <c r="BP883">
        <f t="shared" si="76"/>
        <v>480</v>
      </c>
      <c r="BR883" s="38">
        <v>44713</v>
      </c>
      <c r="BS883" s="20" t="s">
        <v>185</v>
      </c>
      <c r="BT883" s="20" t="str">
        <f t="shared" si="72"/>
        <v>InCasa_COR22D720</v>
      </c>
    </row>
    <row r="884" spans="2:72" ht="18.75" customHeight="1" x14ac:dyDescent="0.25">
      <c r="B884" s="20">
        <f t="shared" si="73"/>
        <v>721</v>
      </c>
      <c r="C884" s="22" t="str">
        <f t="shared" si="74"/>
        <v>In Casa #721</v>
      </c>
      <c r="D884" t="str">
        <f t="shared" si="75"/>
        <v>COR22D721</v>
      </c>
      <c r="E884" s="58" t="s">
        <v>252</v>
      </c>
      <c r="F884" s="20">
        <v>1000</v>
      </c>
      <c r="G884" s="14" t="s">
        <v>354</v>
      </c>
      <c r="H884" s="23" t="s">
        <v>170</v>
      </c>
      <c r="J884" s="59" t="s">
        <v>38</v>
      </c>
      <c r="K884" s="22" t="s">
        <v>254</v>
      </c>
      <c r="L884" s="59" t="s">
        <v>171</v>
      </c>
      <c r="M884" s="22">
        <v>2</v>
      </c>
      <c r="V884" s="59" t="s">
        <v>176</v>
      </c>
      <c r="AL884" s="59" t="s">
        <v>40</v>
      </c>
      <c r="AM884" s="22" t="s">
        <v>188</v>
      </c>
      <c r="AV884" s="59" t="s">
        <v>134</v>
      </c>
      <c r="AW884" s="22" t="str">
        <f>Settings!$B$5 &amp;  "?s=" &amp; D884 &amp; "&amp;platform=ftx"</f>
        <v>https://tokensol.nfluent.io?s=COR22D721&amp;platform=ftx</v>
      </c>
      <c r="AX884" s="20" t="s">
        <v>23</v>
      </c>
      <c r="AY884" s="20">
        <v>10</v>
      </c>
      <c r="AZ884" s="20" t="s">
        <v>24</v>
      </c>
      <c r="BA884" s="20">
        <v>90</v>
      </c>
      <c r="BD884" s="14"/>
      <c r="BJ884" t="s">
        <v>255</v>
      </c>
      <c r="BK884" t="s">
        <v>184</v>
      </c>
      <c r="BN884" s="36">
        <v>100</v>
      </c>
      <c r="BO884" s="36">
        <v>100</v>
      </c>
      <c r="BP884">
        <f t="shared" si="76"/>
        <v>480</v>
      </c>
      <c r="BR884" s="38">
        <v>44713</v>
      </c>
      <c r="BS884" s="20" t="s">
        <v>185</v>
      </c>
      <c r="BT884" s="20" t="str">
        <f t="shared" si="72"/>
        <v>InCasa_COR22D721</v>
      </c>
    </row>
    <row r="885" spans="2:72" ht="18.75" customHeight="1" x14ac:dyDescent="0.25">
      <c r="B885" s="20">
        <f t="shared" si="73"/>
        <v>722</v>
      </c>
      <c r="C885" s="22" t="str">
        <f t="shared" si="74"/>
        <v>In Casa #722</v>
      </c>
      <c r="D885" t="str">
        <f t="shared" si="75"/>
        <v>COR22D722</v>
      </c>
      <c r="E885" s="58" t="s">
        <v>252</v>
      </c>
      <c r="F885" s="20">
        <v>1000</v>
      </c>
      <c r="G885" s="14" t="s">
        <v>354</v>
      </c>
      <c r="H885" s="23" t="s">
        <v>170</v>
      </c>
      <c r="J885" s="59" t="s">
        <v>38</v>
      </c>
      <c r="K885" s="22" t="s">
        <v>254</v>
      </c>
      <c r="L885" s="59" t="s">
        <v>171</v>
      </c>
      <c r="M885" s="22">
        <v>2</v>
      </c>
      <c r="V885" s="59" t="s">
        <v>176</v>
      </c>
      <c r="AL885" s="59" t="s">
        <v>40</v>
      </c>
      <c r="AM885" s="22" t="s">
        <v>188</v>
      </c>
      <c r="AV885" s="59" t="s">
        <v>134</v>
      </c>
      <c r="AW885" s="22" t="str">
        <f>Settings!$B$5 &amp;  "?s=" &amp; D885 &amp; "&amp;platform=ftx"</f>
        <v>https://tokensol.nfluent.io?s=COR22D722&amp;platform=ftx</v>
      </c>
      <c r="AX885" s="20" t="s">
        <v>23</v>
      </c>
      <c r="AY885" s="20">
        <v>10</v>
      </c>
      <c r="AZ885" s="20" t="s">
        <v>24</v>
      </c>
      <c r="BA885" s="20">
        <v>90</v>
      </c>
      <c r="BD885" s="14"/>
      <c r="BJ885" t="s">
        <v>255</v>
      </c>
      <c r="BK885" t="s">
        <v>184</v>
      </c>
      <c r="BN885" s="36">
        <v>100</v>
      </c>
      <c r="BO885" s="36">
        <v>100</v>
      </c>
      <c r="BP885">
        <f t="shared" si="76"/>
        <v>480</v>
      </c>
      <c r="BR885" s="38">
        <v>44713</v>
      </c>
      <c r="BS885" s="20" t="s">
        <v>185</v>
      </c>
      <c r="BT885" s="20" t="str">
        <f t="shared" si="72"/>
        <v>InCasa_COR22D722</v>
      </c>
    </row>
    <row r="886" spans="2:72" ht="18.75" customHeight="1" x14ac:dyDescent="0.25">
      <c r="B886" s="20">
        <f t="shared" si="73"/>
        <v>723</v>
      </c>
      <c r="C886" s="22" t="str">
        <f t="shared" si="74"/>
        <v>In Casa #723</v>
      </c>
      <c r="D886" t="str">
        <f t="shared" si="75"/>
        <v>COR22D723</v>
      </c>
      <c r="E886" s="58" t="s">
        <v>252</v>
      </c>
      <c r="F886" s="20">
        <v>1000</v>
      </c>
      <c r="G886" s="14" t="s">
        <v>354</v>
      </c>
      <c r="H886" s="23" t="s">
        <v>170</v>
      </c>
      <c r="J886" s="59" t="s">
        <v>38</v>
      </c>
      <c r="K886" s="22" t="s">
        <v>254</v>
      </c>
      <c r="L886" s="59" t="s">
        <v>171</v>
      </c>
      <c r="M886" s="22">
        <v>2</v>
      </c>
      <c r="V886" s="59" t="s">
        <v>176</v>
      </c>
      <c r="AL886" s="59" t="s">
        <v>40</v>
      </c>
      <c r="AM886" s="22" t="s">
        <v>188</v>
      </c>
      <c r="AV886" s="59" t="s">
        <v>134</v>
      </c>
      <c r="AW886" s="22" t="str">
        <f>Settings!$B$5 &amp;  "?s=" &amp; D886 &amp; "&amp;platform=ftx"</f>
        <v>https://tokensol.nfluent.io?s=COR22D723&amp;platform=ftx</v>
      </c>
      <c r="AX886" s="20" t="s">
        <v>23</v>
      </c>
      <c r="AY886" s="20">
        <v>10</v>
      </c>
      <c r="AZ886" s="20" t="s">
        <v>24</v>
      </c>
      <c r="BA886" s="20">
        <v>90</v>
      </c>
      <c r="BD886" s="14"/>
      <c r="BJ886" t="s">
        <v>255</v>
      </c>
      <c r="BK886" t="s">
        <v>184</v>
      </c>
      <c r="BN886" s="36">
        <v>100</v>
      </c>
      <c r="BO886" s="36">
        <v>100</v>
      </c>
      <c r="BP886">
        <f t="shared" si="76"/>
        <v>480</v>
      </c>
      <c r="BR886" s="38">
        <v>44713</v>
      </c>
      <c r="BS886" s="20" t="s">
        <v>185</v>
      </c>
      <c r="BT886" s="20" t="str">
        <f t="shared" si="72"/>
        <v>InCasa_COR22D723</v>
      </c>
    </row>
    <row r="887" spans="2:72" ht="18.75" customHeight="1" x14ac:dyDescent="0.25">
      <c r="B887" s="20">
        <f t="shared" si="73"/>
        <v>724</v>
      </c>
      <c r="C887" s="22" t="str">
        <f t="shared" si="74"/>
        <v>In Casa #724</v>
      </c>
      <c r="D887" t="str">
        <f t="shared" si="75"/>
        <v>COR22D724</v>
      </c>
      <c r="E887" s="58" t="s">
        <v>252</v>
      </c>
      <c r="F887" s="20">
        <v>1000</v>
      </c>
      <c r="G887" s="14" t="s">
        <v>354</v>
      </c>
      <c r="H887" s="23" t="s">
        <v>170</v>
      </c>
      <c r="J887" s="59" t="s">
        <v>38</v>
      </c>
      <c r="K887" s="22" t="s">
        <v>254</v>
      </c>
      <c r="L887" s="59" t="s">
        <v>171</v>
      </c>
      <c r="M887" s="22">
        <v>2</v>
      </c>
      <c r="V887" s="59" t="s">
        <v>176</v>
      </c>
      <c r="AL887" s="59" t="s">
        <v>40</v>
      </c>
      <c r="AM887" s="22" t="s">
        <v>188</v>
      </c>
      <c r="AV887" s="59" t="s">
        <v>134</v>
      </c>
      <c r="AW887" s="22" t="str">
        <f>Settings!$B$5 &amp;  "?s=" &amp; D887 &amp; "&amp;platform=ftx"</f>
        <v>https://tokensol.nfluent.io?s=COR22D724&amp;platform=ftx</v>
      </c>
      <c r="AX887" s="20" t="s">
        <v>23</v>
      </c>
      <c r="AY887" s="20">
        <v>10</v>
      </c>
      <c r="AZ887" s="20" t="s">
        <v>24</v>
      </c>
      <c r="BA887" s="20">
        <v>90</v>
      </c>
      <c r="BD887" s="14"/>
      <c r="BJ887" t="s">
        <v>255</v>
      </c>
      <c r="BK887" t="s">
        <v>184</v>
      </c>
      <c r="BN887" s="36">
        <v>100</v>
      </c>
      <c r="BO887" s="36">
        <v>100</v>
      </c>
      <c r="BP887">
        <f t="shared" si="76"/>
        <v>480</v>
      </c>
      <c r="BR887" s="38">
        <v>44713</v>
      </c>
      <c r="BS887" s="20" t="s">
        <v>185</v>
      </c>
      <c r="BT887" s="20" t="str">
        <f t="shared" si="72"/>
        <v>InCasa_COR22D724</v>
      </c>
    </row>
    <row r="888" spans="2:72" ht="18.75" customHeight="1" x14ac:dyDescent="0.25">
      <c r="B888" s="20">
        <f t="shared" si="73"/>
        <v>725</v>
      </c>
      <c r="C888" s="22" t="str">
        <f t="shared" si="74"/>
        <v>In Casa #725</v>
      </c>
      <c r="D888" t="str">
        <f t="shared" si="75"/>
        <v>COR22D725</v>
      </c>
      <c r="E888" s="58" t="s">
        <v>252</v>
      </c>
      <c r="F888" s="20">
        <v>1000</v>
      </c>
      <c r="G888" s="14" t="s">
        <v>354</v>
      </c>
      <c r="H888" s="23" t="s">
        <v>170</v>
      </c>
      <c r="J888" s="59" t="s">
        <v>38</v>
      </c>
      <c r="K888" s="22" t="s">
        <v>254</v>
      </c>
      <c r="L888" s="59" t="s">
        <v>171</v>
      </c>
      <c r="M888" s="22">
        <v>2</v>
      </c>
      <c r="V888" s="59" t="s">
        <v>176</v>
      </c>
      <c r="AL888" s="59" t="s">
        <v>40</v>
      </c>
      <c r="AM888" s="22" t="s">
        <v>188</v>
      </c>
      <c r="AV888" s="59" t="s">
        <v>134</v>
      </c>
      <c r="AW888" s="22" t="str">
        <f>Settings!$B$5 &amp;  "?s=" &amp; D888 &amp; "&amp;platform=ftx"</f>
        <v>https://tokensol.nfluent.io?s=COR22D725&amp;platform=ftx</v>
      </c>
      <c r="AX888" s="20" t="s">
        <v>23</v>
      </c>
      <c r="AY888" s="20">
        <v>10</v>
      </c>
      <c r="AZ888" s="20" t="s">
        <v>24</v>
      </c>
      <c r="BA888" s="20">
        <v>90</v>
      </c>
      <c r="BD888" s="14"/>
      <c r="BJ888" t="s">
        <v>255</v>
      </c>
      <c r="BK888" t="s">
        <v>184</v>
      </c>
      <c r="BN888" s="36">
        <v>100</v>
      </c>
      <c r="BO888" s="36">
        <v>100</v>
      </c>
      <c r="BP888">
        <f t="shared" si="76"/>
        <v>480</v>
      </c>
      <c r="BR888" s="38">
        <v>44713</v>
      </c>
      <c r="BS888" s="20" t="s">
        <v>185</v>
      </c>
      <c r="BT888" s="20" t="str">
        <f t="shared" si="72"/>
        <v>InCasa_COR22D725</v>
      </c>
    </row>
    <row r="889" spans="2:72" ht="18.75" customHeight="1" x14ac:dyDescent="0.25">
      <c r="B889" s="20">
        <f t="shared" si="73"/>
        <v>726</v>
      </c>
      <c r="C889" s="22" t="str">
        <f t="shared" si="74"/>
        <v>In Casa #726</v>
      </c>
      <c r="D889" t="str">
        <f t="shared" si="75"/>
        <v>COR22D726</v>
      </c>
      <c r="E889" s="58" t="s">
        <v>252</v>
      </c>
      <c r="F889" s="20">
        <v>1000</v>
      </c>
      <c r="G889" s="14" t="s">
        <v>354</v>
      </c>
      <c r="H889" s="23" t="s">
        <v>170</v>
      </c>
      <c r="J889" s="59" t="s">
        <v>38</v>
      </c>
      <c r="K889" s="22" t="s">
        <v>254</v>
      </c>
      <c r="L889" s="59" t="s">
        <v>171</v>
      </c>
      <c r="M889" s="22">
        <v>2</v>
      </c>
      <c r="V889" s="59" t="s">
        <v>176</v>
      </c>
      <c r="AL889" s="59" t="s">
        <v>40</v>
      </c>
      <c r="AM889" s="22" t="s">
        <v>188</v>
      </c>
      <c r="AV889" s="59" t="s">
        <v>134</v>
      </c>
      <c r="AW889" s="22" t="str">
        <f>Settings!$B$5 &amp;  "?s=" &amp; D889 &amp; "&amp;platform=ftx"</f>
        <v>https://tokensol.nfluent.io?s=COR22D726&amp;platform=ftx</v>
      </c>
      <c r="AX889" s="20" t="s">
        <v>23</v>
      </c>
      <c r="AY889" s="20">
        <v>10</v>
      </c>
      <c r="AZ889" s="20" t="s">
        <v>24</v>
      </c>
      <c r="BA889" s="20">
        <v>90</v>
      </c>
      <c r="BD889" s="14"/>
      <c r="BJ889" t="s">
        <v>255</v>
      </c>
      <c r="BK889" t="s">
        <v>184</v>
      </c>
      <c r="BN889" s="36">
        <v>100</v>
      </c>
      <c r="BO889" s="36">
        <v>100</v>
      </c>
      <c r="BP889">
        <f t="shared" si="76"/>
        <v>480</v>
      </c>
      <c r="BR889" s="38">
        <v>44713</v>
      </c>
      <c r="BS889" s="20" t="s">
        <v>185</v>
      </c>
      <c r="BT889" s="20" t="str">
        <f t="shared" si="72"/>
        <v>InCasa_COR22D726</v>
      </c>
    </row>
    <row r="890" spans="2:72" ht="18.75" customHeight="1" x14ac:dyDescent="0.25">
      <c r="B890" s="20">
        <f t="shared" si="73"/>
        <v>727</v>
      </c>
      <c r="C890" s="22" t="str">
        <f t="shared" si="74"/>
        <v>In Casa #727</v>
      </c>
      <c r="D890" t="str">
        <f t="shared" si="75"/>
        <v>COR22D727</v>
      </c>
      <c r="E890" s="58" t="s">
        <v>252</v>
      </c>
      <c r="F890" s="20">
        <v>1000</v>
      </c>
      <c r="G890" s="14" t="s">
        <v>354</v>
      </c>
      <c r="H890" s="23" t="s">
        <v>170</v>
      </c>
      <c r="J890" s="59" t="s">
        <v>38</v>
      </c>
      <c r="K890" s="22" t="s">
        <v>254</v>
      </c>
      <c r="L890" s="59" t="s">
        <v>171</v>
      </c>
      <c r="M890" s="22">
        <v>2</v>
      </c>
      <c r="V890" s="59" t="s">
        <v>176</v>
      </c>
      <c r="AL890" s="59" t="s">
        <v>40</v>
      </c>
      <c r="AM890" s="22" t="s">
        <v>188</v>
      </c>
      <c r="AV890" s="59" t="s">
        <v>134</v>
      </c>
      <c r="AW890" s="22" t="str">
        <f>Settings!$B$5 &amp;  "?s=" &amp; D890 &amp; "&amp;platform=ftx"</f>
        <v>https://tokensol.nfluent.io?s=COR22D727&amp;platform=ftx</v>
      </c>
      <c r="AX890" s="20" t="s">
        <v>23</v>
      </c>
      <c r="AY890" s="20">
        <v>10</v>
      </c>
      <c r="AZ890" s="20" t="s">
        <v>24</v>
      </c>
      <c r="BA890" s="20">
        <v>90</v>
      </c>
      <c r="BD890" s="14"/>
      <c r="BJ890" t="s">
        <v>255</v>
      </c>
      <c r="BK890" t="s">
        <v>184</v>
      </c>
      <c r="BN890" s="36">
        <v>100</v>
      </c>
      <c r="BO890" s="36">
        <v>100</v>
      </c>
      <c r="BP890">
        <f t="shared" si="76"/>
        <v>480</v>
      </c>
      <c r="BR890" s="38">
        <v>44713</v>
      </c>
      <c r="BS890" s="20" t="s">
        <v>185</v>
      </c>
      <c r="BT890" s="20" t="str">
        <f t="shared" si="72"/>
        <v>InCasa_COR22D727</v>
      </c>
    </row>
    <row r="891" spans="2:72" ht="18.75" customHeight="1" x14ac:dyDescent="0.25">
      <c r="B891" s="20">
        <f t="shared" si="73"/>
        <v>728</v>
      </c>
      <c r="C891" s="22" t="str">
        <f t="shared" si="74"/>
        <v>In Casa #728</v>
      </c>
      <c r="D891" t="str">
        <f t="shared" si="75"/>
        <v>COR22D728</v>
      </c>
      <c r="E891" s="58" t="s">
        <v>252</v>
      </c>
      <c r="F891" s="20">
        <v>1000</v>
      </c>
      <c r="G891" s="14" t="s">
        <v>354</v>
      </c>
      <c r="H891" s="23" t="s">
        <v>170</v>
      </c>
      <c r="J891" s="59" t="s">
        <v>38</v>
      </c>
      <c r="K891" s="22" t="s">
        <v>254</v>
      </c>
      <c r="L891" s="59" t="s">
        <v>171</v>
      </c>
      <c r="M891" s="22">
        <v>2</v>
      </c>
      <c r="V891" s="59" t="s">
        <v>176</v>
      </c>
      <c r="AL891" s="59" t="s">
        <v>40</v>
      </c>
      <c r="AM891" s="22" t="s">
        <v>188</v>
      </c>
      <c r="AV891" s="59" t="s">
        <v>134</v>
      </c>
      <c r="AW891" s="22" t="str">
        <f>Settings!$B$5 &amp;  "?s=" &amp; D891 &amp; "&amp;platform=ftx"</f>
        <v>https://tokensol.nfluent.io?s=COR22D728&amp;platform=ftx</v>
      </c>
      <c r="AX891" s="20" t="s">
        <v>23</v>
      </c>
      <c r="AY891" s="20">
        <v>10</v>
      </c>
      <c r="AZ891" s="20" t="s">
        <v>24</v>
      </c>
      <c r="BA891" s="20">
        <v>90</v>
      </c>
      <c r="BD891" s="14"/>
      <c r="BJ891" t="s">
        <v>255</v>
      </c>
      <c r="BK891" t="s">
        <v>184</v>
      </c>
      <c r="BN891" s="36">
        <v>100</v>
      </c>
      <c r="BO891" s="36">
        <v>100</v>
      </c>
      <c r="BP891">
        <f t="shared" si="76"/>
        <v>480</v>
      </c>
      <c r="BR891" s="38">
        <v>44713</v>
      </c>
      <c r="BS891" s="20" t="s">
        <v>185</v>
      </c>
      <c r="BT891" s="20" t="str">
        <f t="shared" si="72"/>
        <v>InCasa_COR22D728</v>
      </c>
    </row>
    <row r="892" spans="2:72" ht="18.75" customHeight="1" x14ac:dyDescent="0.25">
      <c r="B892" s="20">
        <f t="shared" si="73"/>
        <v>729</v>
      </c>
      <c r="C892" s="22" t="str">
        <f t="shared" si="74"/>
        <v>In Casa #729</v>
      </c>
      <c r="D892" t="str">
        <f t="shared" si="75"/>
        <v>COR22D729</v>
      </c>
      <c r="E892" s="58" t="s">
        <v>252</v>
      </c>
      <c r="F892" s="20">
        <v>1000</v>
      </c>
      <c r="G892" s="14" t="s">
        <v>354</v>
      </c>
      <c r="H892" s="23" t="s">
        <v>170</v>
      </c>
      <c r="J892" s="59" t="s">
        <v>38</v>
      </c>
      <c r="K892" s="22" t="s">
        <v>254</v>
      </c>
      <c r="L892" s="59" t="s">
        <v>171</v>
      </c>
      <c r="M892" s="22">
        <v>2</v>
      </c>
      <c r="V892" s="59" t="s">
        <v>176</v>
      </c>
      <c r="AL892" s="59" t="s">
        <v>40</v>
      </c>
      <c r="AM892" s="22" t="s">
        <v>188</v>
      </c>
      <c r="AV892" s="59" t="s">
        <v>134</v>
      </c>
      <c r="AW892" s="22" t="str">
        <f>Settings!$B$5 &amp;  "?s=" &amp; D892 &amp; "&amp;platform=ftx"</f>
        <v>https://tokensol.nfluent.io?s=COR22D729&amp;platform=ftx</v>
      </c>
      <c r="AX892" s="20" t="s">
        <v>23</v>
      </c>
      <c r="AY892" s="20">
        <v>10</v>
      </c>
      <c r="AZ892" s="20" t="s">
        <v>24</v>
      </c>
      <c r="BA892" s="20">
        <v>90</v>
      </c>
      <c r="BD892" s="14"/>
      <c r="BJ892" t="s">
        <v>255</v>
      </c>
      <c r="BK892" t="s">
        <v>184</v>
      </c>
      <c r="BN892" s="36">
        <v>100</v>
      </c>
      <c r="BO892" s="36">
        <v>100</v>
      </c>
      <c r="BP892">
        <f t="shared" si="76"/>
        <v>480</v>
      </c>
      <c r="BR892" s="38">
        <v>44713</v>
      </c>
      <c r="BS892" s="20" t="s">
        <v>185</v>
      </c>
      <c r="BT892" s="20" t="str">
        <f t="shared" si="72"/>
        <v>InCasa_COR22D729</v>
      </c>
    </row>
    <row r="893" spans="2:72" ht="18.75" customHeight="1" x14ac:dyDescent="0.25">
      <c r="B893" s="20">
        <f t="shared" si="73"/>
        <v>730</v>
      </c>
      <c r="C893" s="22" t="str">
        <f t="shared" si="74"/>
        <v>In Casa #730</v>
      </c>
      <c r="D893" t="str">
        <f t="shared" si="75"/>
        <v>COR22D730</v>
      </c>
      <c r="E893" s="58" t="s">
        <v>252</v>
      </c>
      <c r="F893" s="20">
        <v>1000</v>
      </c>
      <c r="G893" s="14" t="s">
        <v>354</v>
      </c>
      <c r="H893" s="23" t="s">
        <v>170</v>
      </c>
      <c r="J893" s="59" t="s">
        <v>38</v>
      </c>
      <c r="K893" s="22" t="s">
        <v>254</v>
      </c>
      <c r="L893" s="59" t="s">
        <v>171</v>
      </c>
      <c r="M893" s="22">
        <v>2</v>
      </c>
      <c r="V893" s="59" t="s">
        <v>176</v>
      </c>
      <c r="AL893" s="59" t="s">
        <v>40</v>
      </c>
      <c r="AM893" s="22" t="s">
        <v>188</v>
      </c>
      <c r="AV893" s="59" t="s">
        <v>134</v>
      </c>
      <c r="AW893" s="22" t="str">
        <f>Settings!$B$5 &amp;  "?s=" &amp; D893 &amp; "&amp;platform=ftx"</f>
        <v>https://tokensol.nfluent.io?s=COR22D730&amp;platform=ftx</v>
      </c>
      <c r="AX893" s="20" t="s">
        <v>23</v>
      </c>
      <c r="AY893" s="20">
        <v>10</v>
      </c>
      <c r="AZ893" s="20" t="s">
        <v>24</v>
      </c>
      <c r="BA893" s="20">
        <v>90</v>
      </c>
      <c r="BD893" s="14"/>
      <c r="BJ893" t="s">
        <v>255</v>
      </c>
      <c r="BK893" t="s">
        <v>184</v>
      </c>
      <c r="BN893" s="36">
        <v>100</v>
      </c>
      <c r="BO893" s="36">
        <v>100</v>
      </c>
      <c r="BP893">
        <f t="shared" si="76"/>
        <v>480</v>
      </c>
      <c r="BR893" s="38">
        <v>44713</v>
      </c>
      <c r="BS893" s="20" t="s">
        <v>185</v>
      </c>
      <c r="BT893" s="20" t="str">
        <f t="shared" si="72"/>
        <v>InCasa_COR22D730</v>
      </c>
    </row>
    <row r="894" spans="2:72" ht="18.75" customHeight="1" x14ac:dyDescent="0.25">
      <c r="B894" s="20">
        <f t="shared" si="73"/>
        <v>731</v>
      </c>
      <c r="C894" s="22" t="str">
        <f t="shared" si="74"/>
        <v>In Casa #731</v>
      </c>
      <c r="D894" t="str">
        <f t="shared" si="75"/>
        <v>COR22D731</v>
      </c>
      <c r="E894" s="58" t="s">
        <v>252</v>
      </c>
      <c r="F894" s="20">
        <v>1000</v>
      </c>
      <c r="G894" s="14" t="s">
        <v>354</v>
      </c>
      <c r="H894" s="23" t="s">
        <v>170</v>
      </c>
      <c r="J894" s="59" t="s">
        <v>38</v>
      </c>
      <c r="K894" s="22" t="s">
        <v>254</v>
      </c>
      <c r="L894" s="59" t="s">
        <v>171</v>
      </c>
      <c r="M894" s="22">
        <v>2</v>
      </c>
      <c r="V894" s="59" t="s">
        <v>176</v>
      </c>
      <c r="AL894" s="59" t="s">
        <v>40</v>
      </c>
      <c r="AM894" s="22" t="s">
        <v>188</v>
      </c>
      <c r="AV894" s="59" t="s">
        <v>134</v>
      </c>
      <c r="AW894" s="22" t="str">
        <f>Settings!$B$5 &amp;  "?s=" &amp; D894 &amp; "&amp;platform=ftx"</f>
        <v>https://tokensol.nfluent.io?s=COR22D731&amp;platform=ftx</v>
      </c>
      <c r="AX894" s="20" t="s">
        <v>23</v>
      </c>
      <c r="AY894" s="20">
        <v>10</v>
      </c>
      <c r="AZ894" s="20" t="s">
        <v>24</v>
      </c>
      <c r="BA894" s="20">
        <v>90</v>
      </c>
      <c r="BD894" s="14"/>
      <c r="BJ894" t="s">
        <v>255</v>
      </c>
      <c r="BK894" t="s">
        <v>184</v>
      </c>
      <c r="BN894" s="36">
        <v>100</v>
      </c>
      <c r="BO894" s="36">
        <v>100</v>
      </c>
      <c r="BP894">
        <f t="shared" si="76"/>
        <v>480</v>
      </c>
      <c r="BR894" s="38">
        <v>44713</v>
      </c>
      <c r="BS894" s="20" t="s">
        <v>185</v>
      </c>
      <c r="BT894" s="20" t="str">
        <f t="shared" si="72"/>
        <v>InCasa_COR22D731</v>
      </c>
    </row>
    <row r="895" spans="2:72" ht="18.75" customHeight="1" x14ac:dyDescent="0.25">
      <c r="B895" s="20">
        <f t="shared" si="73"/>
        <v>732</v>
      </c>
      <c r="C895" s="22" t="str">
        <f t="shared" si="74"/>
        <v>In Casa #732</v>
      </c>
      <c r="D895" t="str">
        <f t="shared" si="75"/>
        <v>COR22D732</v>
      </c>
      <c r="E895" s="58" t="s">
        <v>252</v>
      </c>
      <c r="F895" s="20">
        <v>1000</v>
      </c>
      <c r="G895" s="14" t="s">
        <v>354</v>
      </c>
      <c r="H895" s="23" t="s">
        <v>170</v>
      </c>
      <c r="J895" s="59" t="s">
        <v>38</v>
      </c>
      <c r="K895" s="22" t="s">
        <v>254</v>
      </c>
      <c r="L895" s="59" t="s">
        <v>171</v>
      </c>
      <c r="M895" s="22">
        <v>2</v>
      </c>
      <c r="V895" s="59" t="s">
        <v>176</v>
      </c>
      <c r="AL895" s="59" t="s">
        <v>40</v>
      </c>
      <c r="AM895" s="22" t="s">
        <v>188</v>
      </c>
      <c r="AV895" s="59" t="s">
        <v>134</v>
      </c>
      <c r="AW895" s="22" t="str">
        <f>Settings!$B$5 &amp;  "?s=" &amp; D895 &amp; "&amp;platform=ftx"</f>
        <v>https://tokensol.nfluent.io?s=COR22D732&amp;platform=ftx</v>
      </c>
      <c r="AX895" s="20" t="s">
        <v>23</v>
      </c>
      <c r="AY895" s="20">
        <v>10</v>
      </c>
      <c r="AZ895" s="20" t="s">
        <v>24</v>
      </c>
      <c r="BA895" s="20">
        <v>90</v>
      </c>
      <c r="BD895" s="14"/>
      <c r="BJ895" t="s">
        <v>255</v>
      </c>
      <c r="BK895" t="s">
        <v>184</v>
      </c>
      <c r="BN895" s="36">
        <v>100</v>
      </c>
      <c r="BO895" s="36">
        <v>100</v>
      </c>
      <c r="BP895">
        <f t="shared" si="76"/>
        <v>480</v>
      </c>
      <c r="BR895" s="38">
        <v>44713</v>
      </c>
      <c r="BS895" s="20" t="s">
        <v>185</v>
      </c>
      <c r="BT895" s="20" t="str">
        <f t="shared" si="72"/>
        <v>InCasa_COR22D732</v>
      </c>
    </row>
    <row r="896" spans="2:72" ht="18.75" customHeight="1" x14ac:dyDescent="0.25">
      <c r="B896" s="20">
        <f t="shared" si="73"/>
        <v>733</v>
      </c>
      <c r="C896" s="22" t="str">
        <f t="shared" si="74"/>
        <v>In Casa #733</v>
      </c>
      <c r="D896" t="str">
        <f t="shared" si="75"/>
        <v>COR22D733</v>
      </c>
      <c r="E896" s="58" t="s">
        <v>252</v>
      </c>
      <c r="F896" s="20">
        <v>1000</v>
      </c>
      <c r="G896" s="14" t="s">
        <v>354</v>
      </c>
      <c r="H896" s="23" t="s">
        <v>170</v>
      </c>
      <c r="J896" s="59" t="s">
        <v>38</v>
      </c>
      <c r="K896" s="22" t="s">
        <v>254</v>
      </c>
      <c r="L896" s="59" t="s">
        <v>171</v>
      </c>
      <c r="M896" s="22">
        <v>2</v>
      </c>
      <c r="V896" s="59" t="s">
        <v>176</v>
      </c>
      <c r="AL896" s="59" t="s">
        <v>40</v>
      </c>
      <c r="AM896" s="22" t="s">
        <v>188</v>
      </c>
      <c r="AV896" s="59" t="s">
        <v>134</v>
      </c>
      <c r="AW896" s="22" t="str">
        <f>Settings!$B$5 &amp;  "?s=" &amp; D896 &amp; "&amp;platform=ftx"</f>
        <v>https://tokensol.nfluent.io?s=COR22D733&amp;platform=ftx</v>
      </c>
      <c r="AX896" s="20" t="s">
        <v>23</v>
      </c>
      <c r="AY896" s="20">
        <v>10</v>
      </c>
      <c r="AZ896" s="20" t="s">
        <v>24</v>
      </c>
      <c r="BA896" s="20">
        <v>90</v>
      </c>
      <c r="BD896" s="14"/>
      <c r="BJ896" t="s">
        <v>255</v>
      </c>
      <c r="BK896" t="s">
        <v>184</v>
      </c>
      <c r="BN896" s="36">
        <v>100</v>
      </c>
      <c r="BO896" s="36">
        <v>100</v>
      </c>
      <c r="BP896">
        <f t="shared" si="76"/>
        <v>480</v>
      </c>
      <c r="BR896" s="38">
        <v>44713</v>
      </c>
      <c r="BS896" s="20" t="s">
        <v>185</v>
      </c>
      <c r="BT896" s="20" t="str">
        <f t="shared" si="72"/>
        <v>InCasa_COR22D733</v>
      </c>
    </row>
    <row r="897" spans="2:72" ht="18.75" customHeight="1" x14ac:dyDescent="0.25">
      <c r="B897" s="20">
        <f t="shared" si="73"/>
        <v>734</v>
      </c>
      <c r="C897" s="22" t="str">
        <f t="shared" si="74"/>
        <v>In Casa #734</v>
      </c>
      <c r="D897" t="str">
        <f t="shared" si="75"/>
        <v>COR22D734</v>
      </c>
      <c r="E897" s="58" t="s">
        <v>252</v>
      </c>
      <c r="F897" s="20">
        <v>1000</v>
      </c>
      <c r="G897" s="14" t="s">
        <v>354</v>
      </c>
      <c r="H897" s="23" t="s">
        <v>170</v>
      </c>
      <c r="J897" s="59" t="s">
        <v>38</v>
      </c>
      <c r="K897" s="22" t="s">
        <v>254</v>
      </c>
      <c r="L897" s="59" t="s">
        <v>171</v>
      </c>
      <c r="M897" s="22">
        <v>2</v>
      </c>
      <c r="V897" s="59" t="s">
        <v>176</v>
      </c>
      <c r="AL897" s="59" t="s">
        <v>40</v>
      </c>
      <c r="AM897" s="22" t="s">
        <v>188</v>
      </c>
      <c r="AV897" s="59" t="s">
        <v>134</v>
      </c>
      <c r="AW897" s="22" t="str">
        <f>Settings!$B$5 &amp;  "?s=" &amp; D897 &amp; "&amp;platform=ftx"</f>
        <v>https://tokensol.nfluent.io?s=COR22D734&amp;platform=ftx</v>
      </c>
      <c r="AX897" s="20" t="s">
        <v>23</v>
      </c>
      <c r="AY897" s="20">
        <v>10</v>
      </c>
      <c r="AZ897" s="20" t="s">
        <v>24</v>
      </c>
      <c r="BA897" s="20">
        <v>90</v>
      </c>
      <c r="BD897" s="14"/>
      <c r="BJ897" t="s">
        <v>255</v>
      </c>
      <c r="BK897" t="s">
        <v>184</v>
      </c>
      <c r="BN897" s="36">
        <v>100</v>
      </c>
      <c r="BO897" s="36">
        <v>100</v>
      </c>
      <c r="BP897">
        <f t="shared" si="76"/>
        <v>480</v>
      </c>
      <c r="BR897" s="38">
        <v>44713</v>
      </c>
      <c r="BS897" s="20" t="s">
        <v>185</v>
      </c>
      <c r="BT897" s="20" t="str">
        <f t="shared" si="72"/>
        <v>InCasa_COR22D734</v>
      </c>
    </row>
    <row r="898" spans="2:72" ht="18.75" customHeight="1" x14ac:dyDescent="0.25">
      <c r="B898" s="20">
        <f t="shared" si="73"/>
        <v>735</v>
      </c>
      <c r="C898" s="22" t="str">
        <f t="shared" si="74"/>
        <v>In Casa #735</v>
      </c>
      <c r="D898" t="str">
        <f t="shared" si="75"/>
        <v>COR22D735</v>
      </c>
      <c r="E898" s="58" t="s">
        <v>252</v>
      </c>
      <c r="F898" s="20">
        <v>1000</v>
      </c>
      <c r="G898" s="14" t="s">
        <v>354</v>
      </c>
      <c r="H898" s="23" t="s">
        <v>170</v>
      </c>
      <c r="J898" s="59" t="s">
        <v>38</v>
      </c>
      <c r="K898" s="22" t="s">
        <v>254</v>
      </c>
      <c r="L898" s="59" t="s">
        <v>171</v>
      </c>
      <c r="M898" s="22">
        <v>2</v>
      </c>
      <c r="V898" s="59" t="s">
        <v>176</v>
      </c>
      <c r="AL898" s="59" t="s">
        <v>40</v>
      </c>
      <c r="AM898" s="22" t="s">
        <v>188</v>
      </c>
      <c r="AV898" s="59" t="s">
        <v>134</v>
      </c>
      <c r="AW898" s="22" t="str">
        <f>Settings!$B$5 &amp;  "?s=" &amp; D898 &amp; "&amp;platform=ftx"</f>
        <v>https://tokensol.nfluent.io?s=COR22D735&amp;platform=ftx</v>
      </c>
      <c r="AX898" s="20" t="s">
        <v>23</v>
      </c>
      <c r="AY898" s="20">
        <v>10</v>
      </c>
      <c r="AZ898" s="20" t="s">
        <v>24</v>
      </c>
      <c r="BA898" s="20">
        <v>90</v>
      </c>
      <c r="BD898" s="14"/>
      <c r="BJ898" t="s">
        <v>255</v>
      </c>
      <c r="BK898" t="s">
        <v>184</v>
      </c>
      <c r="BN898" s="36">
        <v>100</v>
      </c>
      <c r="BO898" s="36">
        <v>100</v>
      </c>
      <c r="BP898">
        <f t="shared" si="76"/>
        <v>480</v>
      </c>
      <c r="BR898" s="38">
        <v>44713</v>
      </c>
      <c r="BS898" s="20" t="s">
        <v>185</v>
      </c>
      <c r="BT898" s="20" t="str">
        <f t="shared" si="72"/>
        <v>InCasa_COR22D735</v>
      </c>
    </row>
    <row r="899" spans="2:72" ht="18.75" customHeight="1" x14ac:dyDescent="0.25">
      <c r="B899" s="20">
        <f t="shared" si="73"/>
        <v>736</v>
      </c>
      <c r="C899" s="22" t="str">
        <f t="shared" si="74"/>
        <v>In Casa #736</v>
      </c>
      <c r="D899" t="str">
        <f t="shared" si="75"/>
        <v>COR22D736</v>
      </c>
      <c r="E899" s="58" t="s">
        <v>252</v>
      </c>
      <c r="F899" s="20">
        <v>1000</v>
      </c>
      <c r="G899" s="14" t="s">
        <v>354</v>
      </c>
      <c r="H899" s="23" t="s">
        <v>170</v>
      </c>
      <c r="J899" s="59" t="s">
        <v>38</v>
      </c>
      <c r="K899" s="22" t="s">
        <v>254</v>
      </c>
      <c r="L899" s="59" t="s">
        <v>171</v>
      </c>
      <c r="M899" s="22">
        <v>2</v>
      </c>
      <c r="V899" s="59" t="s">
        <v>176</v>
      </c>
      <c r="AL899" s="59" t="s">
        <v>40</v>
      </c>
      <c r="AM899" s="22" t="s">
        <v>188</v>
      </c>
      <c r="AV899" s="59" t="s">
        <v>134</v>
      </c>
      <c r="AW899" s="22" t="str">
        <f>Settings!$B$5 &amp;  "?s=" &amp; D899 &amp; "&amp;platform=ftx"</f>
        <v>https://tokensol.nfluent.io?s=COR22D736&amp;platform=ftx</v>
      </c>
      <c r="AX899" s="20" t="s">
        <v>23</v>
      </c>
      <c r="AY899" s="20">
        <v>10</v>
      </c>
      <c r="AZ899" s="20" t="s">
        <v>24</v>
      </c>
      <c r="BA899" s="20">
        <v>90</v>
      </c>
      <c r="BD899" s="14"/>
      <c r="BJ899" t="s">
        <v>255</v>
      </c>
      <c r="BK899" t="s">
        <v>184</v>
      </c>
      <c r="BN899" s="36">
        <v>100</v>
      </c>
      <c r="BO899" s="36">
        <v>100</v>
      </c>
      <c r="BP899">
        <f t="shared" si="76"/>
        <v>480</v>
      </c>
      <c r="BR899" s="38">
        <v>44713</v>
      </c>
      <c r="BS899" s="20" t="s">
        <v>185</v>
      </c>
      <c r="BT899" s="20" t="str">
        <f t="shared" si="72"/>
        <v>InCasa_COR22D736</v>
      </c>
    </row>
    <row r="900" spans="2:72" ht="18.75" customHeight="1" x14ac:dyDescent="0.25">
      <c r="B900" s="20">
        <f t="shared" si="73"/>
        <v>737</v>
      </c>
      <c r="C900" s="22" t="str">
        <f t="shared" si="74"/>
        <v>In Casa #737</v>
      </c>
      <c r="D900" t="str">
        <f t="shared" si="75"/>
        <v>COR22D737</v>
      </c>
      <c r="E900" s="58" t="s">
        <v>252</v>
      </c>
      <c r="F900" s="20">
        <v>1000</v>
      </c>
      <c r="G900" s="14" t="s">
        <v>354</v>
      </c>
      <c r="H900" s="23" t="s">
        <v>170</v>
      </c>
      <c r="J900" s="59" t="s">
        <v>38</v>
      </c>
      <c r="K900" s="22" t="s">
        <v>254</v>
      </c>
      <c r="L900" s="59" t="s">
        <v>171</v>
      </c>
      <c r="M900" s="22">
        <v>2</v>
      </c>
      <c r="V900" s="59" t="s">
        <v>176</v>
      </c>
      <c r="AL900" s="59" t="s">
        <v>40</v>
      </c>
      <c r="AM900" s="22" t="s">
        <v>188</v>
      </c>
      <c r="AV900" s="59" t="s">
        <v>134</v>
      </c>
      <c r="AW900" s="22" t="str">
        <f>Settings!$B$5 &amp;  "?s=" &amp; D900 &amp; "&amp;platform=ftx"</f>
        <v>https://tokensol.nfluent.io?s=COR22D737&amp;platform=ftx</v>
      </c>
      <c r="AX900" s="20" t="s">
        <v>23</v>
      </c>
      <c r="AY900" s="20">
        <v>10</v>
      </c>
      <c r="AZ900" s="20" t="s">
        <v>24</v>
      </c>
      <c r="BA900" s="20">
        <v>90</v>
      </c>
      <c r="BD900" s="14"/>
      <c r="BJ900" t="s">
        <v>255</v>
      </c>
      <c r="BK900" t="s">
        <v>184</v>
      </c>
      <c r="BN900" s="36">
        <v>100</v>
      </c>
      <c r="BO900" s="36">
        <v>100</v>
      </c>
      <c r="BP900">
        <f t="shared" si="76"/>
        <v>480</v>
      </c>
      <c r="BR900" s="38">
        <v>44713</v>
      </c>
      <c r="BS900" s="20" t="s">
        <v>185</v>
      </c>
      <c r="BT900" s="20" t="str">
        <f t="shared" si="72"/>
        <v>InCasa_COR22D737</v>
      </c>
    </row>
    <row r="901" spans="2:72" ht="18.75" customHeight="1" x14ac:dyDescent="0.25">
      <c r="B901" s="20">
        <f t="shared" si="73"/>
        <v>738</v>
      </c>
      <c r="C901" s="22" t="str">
        <f t="shared" si="74"/>
        <v>In Casa #738</v>
      </c>
      <c r="D901" t="str">
        <f t="shared" si="75"/>
        <v>COR22D738</v>
      </c>
      <c r="E901" s="58" t="s">
        <v>252</v>
      </c>
      <c r="F901" s="20">
        <v>1000</v>
      </c>
      <c r="G901" s="14" t="s">
        <v>354</v>
      </c>
      <c r="H901" s="23" t="s">
        <v>170</v>
      </c>
      <c r="J901" s="59" t="s">
        <v>38</v>
      </c>
      <c r="K901" s="22" t="s">
        <v>254</v>
      </c>
      <c r="L901" s="59" t="s">
        <v>171</v>
      </c>
      <c r="M901" s="22">
        <v>2</v>
      </c>
      <c r="V901" s="59" t="s">
        <v>176</v>
      </c>
      <c r="AL901" s="59" t="s">
        <v>40</v>
      </c>
      <c r="AM901" s="22" t="s">
        <v>188</v>
      </c>
      <c r="AV901" s="59" t="s">
        <v>134</v>
      </c>
      <c r="AW901" s="22" t="str">
        <f>Settings!$B$5 &amp;  "?s=" &amp; D901 &amp; "&amp;platform=ftx"</f>
        <v>https://tokensol.nfluent.io?s=COR22D738&amp;platform=ftx</v>
      </c>
      <c r="AX901" s="20" t="s">
        <v>23</v>
      </c>
      <c r="AY901" s="20">
        <v>10</v>
      </c>
      <c r="AZ901" s="20" t="s">
        <v>24</v>
      </c>
      <c r="BA901" s="20">
        <v>90</v>
      </c>
      <c r="BD901" s="14"/>
      <c r="BJ901" t="s">
        <v>255</v>
      </c>
      <c r="BK901" t="s">
        <v>184</v>
      </c>
      <c r="BN901" s="36">
        <v>100</v>
      </c>
      <c r="BO901" s="36">
        <v>100</v>
      </c>
      <c r="BP901">
        <f t="shared" si="76"/>
        <v>480</v>
      </c>
      <c r="BR901" s="38">
        <v>44713</v>
      </c>
      <c r="BS901" s="20" t="s">
        <v>185</v>
      </c>
      <c r="BT901" s="20" t="str">
        <f t="shared" ref="BT901:BT964" si="77">SUBSTITUTE(BJ901," ","") &amp; "_" &amp; D901</f>
        <v>InCasa_COR22D738</v>
      </c>
    </row>
    <row r="902" spans="2:72" ht="18.75" customHeight="1" x14ac:dyDescent="0.25">
      <c r="B902" s="20">
        <f t="shared" ref="B902:B965" si="78">+B901+1</f>
        <v>739</v>
      </c>
      <c r="C902" s="22" t="str">
        <f t="shared" si="74"/>
        <v>In Casa #739</v>
      </c>
      <c r="D902" t="str">
        <f t="shared" si="75"/>
        <v>COR22D739</v>
      </c>
      <c r="E902" s="58" t="s">
        <v>252</v>
      </c>
      <c r="F902" s="20">
        <v>1000</v>
      </c>
      <c r="G902" s="14" t="s">
        <v>354</v>
      </c>
      <c r="H902" s="23" t="s">
        <v>170</v>
      </c>
      <c r="J902" s="59" t="s">
        <v>38</v>
      </c>
      <c r="K902" s="22" t="s">
        <v>254</v>
      </c>
      <c r="L902" s="59" t="s">
        <v>171</v>
      </c>
      <c r="M902" s="22">
        <v>2</v>
      </c>
      <c r="V902" s="59" t="s">
        <v>176</v>
      </c>
      <c r="AL902" s="59" t="s">
        <v>40</v>
      </c>
      <c r="AM902" s="22" t="s">
        <v>188</v>
      </c>
      <c r="AV902" s="59" t="s">
        <v>134</v>
      </c>
      <c r="AW902" s="22" t="str">
        <f>Settings!$B$5 &amp;  "?s=" &amp; D902 &amp; "&amp;platform=ftx"</f>
        <v>https://tokensol.nfluent.io?s=COR22D739&amp;platform=ftx</v>
      </c>
      <c r="AX902" s="20" t="s">
        <v>23</v>
      </c>
      <c r="AY902" s="20">
        <v>10</v>
      </c>
      <c r="AZ902" s="20" t="s">
        <v>24</v>
      </c>
      <c r="BA902" s="20">
        <v>90</v>
      </c>
      <c r="BD902" s="14"/>
      <c r="BJ902" t="s">
        <v>255</v>
      </c>
      <c r="BK902" t="s">
        <v>184</v>
      </c>
      <c r="BN902" s="36">
        <v>100</v>
      </c>
      <c r="BO902" s="36">
        <v>100</v>
      </c>
      <c r="BP902">
        <f t="shared" si="76"/>
        <v>480</v>
      </c>
      <c r="BR902" s="38">
        <v>44713</v>
      </c>
      <c r="BS902" s="20" t="s">
        <v>185</v>
      </c>
      <c r="BT902" s="20" t="str">
        <f t="shared" si="77"/>
        <v>InCasa_COR22D739</v>
      </c>
    </row>
    <row r="903" spans="2:72" ht="18.75" customHeight="1" x14ac:dyDescent="0.25">
      <c r="B903" s="20">
        <f t="shared" si="78"/>
        <v>740</v>
      </c>
      <c r="C903" s="22" t="str">
        <f t="shared" si="74"/>
        <v>In Casa #740</v>
      </c>
      <c r="D903" t="str">
        <f t="shared" si="75"/>
        <v>COR22D740</v>
      </c>
      <c r="E903" s="58" t="s">
        <v>252</v>
      </c>
      <c r="F903" s="20">
        <v>1000</v>
      </c>
      <c r="G903" s="14" t="s">
        <v>354</v>
      </c>
      <c r="H903" s="23" t="s">
        <v>170</v>
      </c>
      <c r="J903" s="59" t="s">
        <v>38</v>
      </c>
      <c r="K903" s="22" t="s">
        <v>254</v>
      </c>
      <c r="L903" s="59" t="s">
        <v>171</v>
      </c>
      <c r="M903" s="22">
        <v>2</v>
      </c>
      <c r="V903" s="59" t="s">
        <v>176</v>
      </c>
      <c r="AL903" s="59" t="s">
        <v>40</v>
      </c>
      <c r="AM903" s="22" t="s">
        <v>188</v>
      </c>
      <c r="AV903" s="59" t="s">
        <v>134</v>
      </c>
      <c r="AW903" s="22" t="str">
        <f>Settings!$B$5 &amp;  "?s=" &amp; D903 &amp; "&amp;platform=ftx"</f>
        <v>https://tokensol.nfluent.io?s=COR22D740&amp;platform=ftx</v>
      </c>
      <c r="AX903" s="20" t="s">
        <v>23</v>
      </c>
      <c r="AY903" s="20">
        <v>10</v>
      </c>
      <c r="AZ903" s="20" t="s">
        <v>24</v>
      </c>
      <c r="BA903" s="20">
        <v>90</v>
      </c>
      <c r="BD903" s="14"/>
      <c r="BJ903" t="s">
        <v>255</v>
      </c>
      <c r="BK903" t="s">
        <v>184</v>
      </c>
      <c r="BN903" s="36">
        <v>100</v>
      </c>
      <c r="BO903" s="36">
        <v>100</v>
      </c>
      <c r="BP903">
        <f t="shared" si="76"/>
        <v>480</v>
      </c>
      <c r="BR903" s="38">
        <v>44713</v>
      </c>
      <c r="BS903" s="20" t="s">
        <v>185</v>
      </c>
      <c r="BT903" s="20" t="str">
        <f t="shared" si="77"/>
        <v>InCasa_COR22D740</v>
      </c>
    </row>
    <row r="904" spans="2:72" ht="18.75" customHeight="1" x14ac:dyDescent="0.25">
      <c r="B904" s="20">
        <f t="shared" si="78"/>
        <v>741</v>
      </c>
      <c r="C904" s="22" t="str">
        <f t="shared" si="74"/>
        <v>In Casa #741</v>
      </c>
      <c r="D904" t="str">
        <f t="shared" si="75"/>
        <v>COR22D741</v>
      </c>
      <c r="E904" s="58" t="s">
        <v>252</v>
      </c>
      <c r="F904" s="20">
        <v>1000</v>
      </c>
      <c r="G904" s="14" t="s">
        <v>354</v>
      </c>
      <c r="H904" s="23" t="s">
        <v>170</v>
      </c>
      <c r="J904" s="59" t="s">
        <v>38</v>
      </c>
      <c r="K904" s="22" t="s">
        <v>254</v>
      </c>
      <c r="L904" s="59" t="s">
        <v>171</v>
      </c>
      <c r="M904" s="22">
        <v>2</v>
      </c>
      <c r="V904" s="59" t="s">
        <v>176</v>
      </c>
      <c r="AL904" s="59" t="s">
        <v>40</v>
      </c>
      <c r="AM904" s="22" t="s">
        <v>188</v>
      </c>
      <c r="AV904" s="59" t="s">
        <v>134</v>
      </c>
      <c r="AW904" s="22" t="str">
        <f>Settings!$B$5 &amp;  "?s=" &amp; D904 &amp; "&amp;platform=ftx"</f>
        <v>https://tokensol.nfluent.io?s=COR22D741&amp;platform=ftx</v>
      </c>
      <c r="AX904" s="20" t="s">
        <v>23</v>
      </c>
      <c r="AY904" s="20">
        <v>10</v>
      </c>
      <c r="AZ904" s="20" t="s">
        <v>24</v>
      </c>
      <c r="BA904" s="20">
        <v>90</v>
      </c>
      <c r="BD904" s="14"/>
      <c r="BJ904" t="s">
        <v>255</v>
      </c>
      <c r="BK904" t="s">
        <v>184</v>
      </c>
      <c r="BN904" s="36">
        <v>100</v>
      </c>
      <c r="BO904" s="36">
        <v>100</v>
      </c>
      <c r="BP904">
        <f t="shared" si="76"/>
        <v>480</v>
      </c>
      <c r="BR904" s="38">
        <v>44713</v>
      </c>
      <c r="BS904" s="20" t="s">
        <v>185</v>
      </c>
      <c r="BT904" s="20" t="str">
        <f t="shared" si="77"/>
        <v>InCasa_COR22D741</v>
      </c>
    </row>
    <row r="905" spans="2:72" ht="18.75" customHeight="1" x14ac:dyDescent="0.25">
      <c r="B905" s="20">
        <f t="shared" si="78"/>
        <v>742</v>
      </c>
      <c r="C905" s="22" t="str">
        <f t="shared" si="74"/>
        <v>In Casa #742</v>
      </c>
      <c r="D905" t="str">
        <f t="shared" si="75"/>
        <v>COR22D742</v>
      </c>
      <c r="E905" s="58" t="s">
        <v>252</v>
      </c>
      <c r="F905" s="20">
        <v>1000</v>
      </c>
      <c r="G905" s="14" t="s">
        <v>354</v>
      </c>
      <c r="H905" s="23" t="s">
        <v>170</v>
      </c>
      <c r="J905" s="59" t="s">
        <v>38</v>
      </c>
      <c r="K905" s="22" t="s">
        <v>254</v>
      </c>
      <c r="L905" s="59" t="s">
        <v>171</v>
      </c>
      <c r="M905" s="22">
        <v>2</v>
      </c>
      <c r="V905" s="59" t="s">
        <v>176</v>
      </c>
      <c r="AL905" s="59" t="s">
        <v>40</v>
      </c>
      <c r="AM905" s="22" t="s">
        <v>188</v>
      </c>
      <c r="AV905" s="59" t="s">
        <v>134</v>
      </c>
      <c r="AW905" s="22" t="str">
        <f>Settings!$B$5 &amp;  "?s=" &amp; D905 &amp; "&amp;platform=ftx"</f>
        <v>https://tokensol.nfluent.io?s=COR22D742&amp;platform=ftx</v>
      </c>
      <c r="AX905" s="20" t="s">
        <v>23</v>
      </c>
      <c r="AY905" s="20">
        <v>10</v>
      </c>
      <c r="AZ905" s="20" t="s">
        <v>24</v>
      </c>
      <c r="BA905" s="20">
        <v>90</v>
      </c>
      <c r="BD905" s="14"/>
      <c r="BJ905" t="s">
        <v>255</v>
      </c>
      <c r="BK905" t="s">
        <v>184</v>
      </c>
      <c r="BN905" s="36">
        <v>100</v>
      </c>
      <c r="BO905" s="36">
        <v>100</v>
      </c>
      <c r="BP905">
        <f t="shared" si="76"/>
        <v>480</v>
      </c>
      <c r="BR905" s="38">
        <v>44713</v>
      </c>
      <c r="BS905" s="20" t="s">
        <v>185</v>
      </c>
      <c r="BT905" s="20" t="str">
        <f t="shared" si="77"/>
        <v>InCasa_COR22D742</v>
      </c>
    </row>
    <row r="906" spans="2:72" ht="18.75" customHeight="1" x14ac:dyDescent="0.25">
      <c r="B906" s="20">
        <f t="shared" si="78"/>
        <v>743</v>
      </c>
      <c r="C906" s="22" t="str">
        <f t="shared" si="74"/>
        <v>In Casa #743</v>
      </c>
      <c r="D906" t="str">
        <f t="shared" si="75"/>
        <v>COR22D743</v>
      </c>
      <c r="E906" s="58" t="s">
        <v>252</v>
      </c>
      <c r="F906" s="20">
        <v>1000</v>
      </c>
      <c r="G906" s="14" t="s">
        <v>354</v>
      </c>
      <c r="H906" s="23" t="s">
        <v>170</v>
      </c>
      <c r="J906" s="59" t="s">
        <v>38</v>
      </c>
      <c r="K906" s="22" t="s">
        <v>254</v>
      </c>
      <c r="L906" s="59" t="s">
        <v>171</v>
      </c>
      <c r="M906" s="22">
        <v>2</v>
      </c>
      <c r="V906" s="59" t="s">
        <v>176</v>
      </c>
      <c r="AL906" s="59" t="s">
        <v>40</v>
      </c>
      <c r="AM906" s="22" t="s">
        <v>188</v>
      </c>
      <c r="AV906" s="59" t="s">
        <v>134</v>
      </c>
      <c r="AW906" s="22" t="str">
        <f>Settings!$B$5 &amp;  "?s=" &amp; D906 &amp; "&amp;platform=ftx"</f>
        <v>https://tokensol.nfluent.io?s=COR22D743&amp;platform=ftx</v>
      </c>
      <c r="AX906" s="20" t="s">
        <v>23</v>
      </c>
      <c r="AY906" s="20">
        <v>10</v>
      </c>
      <c r="AZ906" s="20" t="s">
        <v>24</v>
      </c>
      <c r="BA906" s="20">
        <v>90</v>
      </c>
      <c r="BD906" s="14"/>
      <c r="BJ906" t="s">
        <v>255</v>
      </c>
      <c r="BK906" t="s">
        <v>184</v>
      </c>
      <c r="BN906" s="36">
        <v>100</v>
      </c>
      <c r="BO906" s="36">
        <v>100</v>
      </c>
      <c r="BP906">
        <f t="shared" si="76"/>
        <v>480</v>
      </c>
      <c r="BR906" s="38">
        <v>44713</v>
      </c>
      <c r="BS906" s="20" t="s">
        <v>185</v>
      </c>
      <c r="BT906" s="20" t="str">
        <f t="shared" si="77"/>
        <v>InCasa_COR22D743</v>
      </c>
    </row>
    <row r="907" spans="2:72" ht="18.75" customHeight="1" x14ac:dyDescent="0.25">
      <c r="B907" s="20">
        <f t="shared" si="78"/>
        <v>744</v>
      </c>
      <c r="C907" s="22" t="str">
        <f t="shared" si="74"/>
        <v>In Casa #744</v>
      </c>
      <c r="D907" t="str">
        <f t="shared" si="75"/>
        <v>COR22D744</v>
      </c>
      <c r="E907" s="58" t="s">
        <v>252</v>
      </c>
      <c r="F907" s="20">
        <v>1000</v>
      </c>
      <c r="G907" s="14" t="s">
        <v>354</v>
      </c>
      <c r="H907" s="23" t="s">
        <v>170</v>
      </c>
      <c r="J907" s="59" t="s">
        <v>38</v>
      </c>
      <c r="K907" s="22" t="s">
        <v>254</v>
      </c>
      <c r="L907" s="59" t="s">
        <v>171</v>
      </c>
      <c r="M907" s="22">
        <v>2</v>
      </c>
      <c r="V907" s="59" t="s">
        <v>176</v>
      </c>
      <c r="AL907" s="59" t="s">
        <v>40</v>
      </c>
      <c r="AM907" s="22" t="s">
        <v>188</v>
      </c>
      <c r="AV907" s="59" t="s">
        <v>134</v>
      </c>
      <c r="AW907" s="22" t="str">
        <f>Settings!$B$5 &amp;  "?s=" &amp; D907 &amp; "&amp;platform=ftx"</f>
        <v>https://tokensol.nfluent.io?s=COR22D744&amp;platform=ftx</v>
      </c>
      <c r="AX907" s="20" t="s">
        <v>23</v>
      </c>
      <c r="AY907" s="20">
        <v>10</v>
      </c>
      <c r="AZ907" s="20" t="s">
        <v>24</v>
      </c>
      <c r="BA907" s="20">
        <v>90</v>
      </c>
      <c r="BD907" s="14"/>
      <c r="BJ907" t="s">
        <v>255</v>
      </c>
      <c r="BK907" t="s">
        <v>184</v>
      </c>
      <c r="BN907" s="36">
        <v>100</v>
      </c>
      <c r="BO907" s="36">
        <v>100</v>
      </c>
      <c r="BP907">
        <f t="shared" si="76"/>
        <v>480</v>
      </c>
      <c r="BR907" s="38">
        <v>44713</v>
      </c>
      <c r="BS907" s="20" t="s">
        <v>185</v>
      </c>
      <c r="BT907" s="20" t="str">
        <f t="shared" si="77"/>
        <v>InCasa_COR22D744</v>
      </c>
    </row>
    <row r="908" spans="2:72" ht="18.75" customHeight="1" x14ac:dyDescent="0.25">
      <c r="B908" s="20">
        <f t="shared" si="78"/>
        <v>745</v>
      </c>
      <c r="C908" s="22" t="str">
        <f t="shared" si="74"/>
        <v>In Casa #745</v>
      </c>
      <c r="D908" t="str">
        <f t="shared" si="75"/>
        <v>COR22D745</v>
      </c>
      <c r="E908" s="58" t="s">
        <v>252</v>
      </c>
      <c r="F908" s="20">
        <v>1000</v>
      </c>
      <c r="G908" s="14" t="s">
        <v>354</v>
      </c>
      <c r="H908" s="23" t="s">
        <v>170</v>
      </c>
      <c r="J908" s="59" t="s">
        <v>38</v>
      </c>
      <c r="K908" s="22" t="s">
        <v>254</v>
      </c>
      <c r="L908" s="59" t="s">
        <v>171</v>
      </c>
      <c r="M908" s="22">
        <v>2</v>
      </c>
      <c r="V908" s="59" t="s">
        <v>176</v>
      </c>
      <c r="AL908" s="59" t="s">
        <v>40</v>
      </c>
      <c r="AM908" s="22" t="s">
        <v>188</v>
      </c>
      <c r="AV908" s="59" t="s">
        <v>134</v>
      </c>
      <c r="AW908" s="22" t="str">
        <f>Settings!$B$5 &amp;  "?s=" &amp; D908 &amp; "&amp;platform=ftx"</f>
        <v>https://tokensol.nfluent.io?s=COR22D745&amp;platform=ftx</v>
      </c>
      <c r="AX908" s="20" t="s">
        <v>23</v>
      </c>
      <c r="AY908" s="20">
        <v>10</v>
      </c>
      <c r="AZ908" s="20" t="s">
        <v>24</v>
      </c>
      <c r="BA908" s="20">
        <v>90</v>
      </c>
      <c r="BD908" s="14"/>
      <c r="BJ908" t="s">
        <v>255</v>
      </c>
      <c r="BK908" t="s">
        <v>184</v>
      </c>
      <c r="BN908" s="36">
        <v>100</v>
      </c>
      <c r="BO908" s="36">
        <v>100</v>
      </c>
      <c r="BP908">
        <f t="shared" si="76"/>
        <v>480</v>
      </c>
      <c r="BR908" s="38">
        <v>44713</v>
      </c>
      <c r="BS908" s="20" t="s">
        <v>185</v>
      </c>
      <c r="BT908" s="20" t="str">
        <f t="shared" si="77"/>
        <v>InCasa_COR22D745</v>
      </c>
    </row>
    <row r="909" spans="2:72" ht="18.75" customHeight="1" x14ac:dyDescent="0.25">
      <c r="B909" s="20">
        <f t="shared" si="78"/>
        <v>746</v>
      </c>
      <c r="C909" s="22" t="str">
        <f t="shared" si="74"/>
        <v>In Casa #746</v>
      </c>
      <c r="D909" t="str">
        <f t="shared" si="75"/>
        <v>COR22D746</v>
      </c>
      <c r="E909" s="58" t="s">
        <v>252</v>
      </c>
      <c r="F909" s="20">
        <v>1000</v>
      </c>
      <c r="G909" s="14" t="s">
        <v>354</v>
      </c>
      <c r="H909" s="23" t="s">
        <v>170</v>
      </c>
      <c r="J909" s="59" t="s">
        <v>38</v>
      </c>
      <c r="K909" s="22" t="s">
        <v>254</v>
      </c>
      <c r="L909" s="59" t="s">
        <v>171</v>
      </c>
      <c r="M909" s="22">
        <v>2</v>
      </c>
      <c r="V909" s="59" t="s">
        <v>176</v>
      </c>
      <c r="AL909" s="59" t="s">
        <v>40</v>
      </c>
      <c r="AM909" s="22" t="s">
        <v>188</v>
      </c>
      <c r="AV909" s="59" t="s">
        <v>134</v>
      </c>
      <c r="AW909" s="22" t="str">
        <f>Settings!$B$5 &amp;  "?s=" &amp; D909 &amp; "&amp;platform=ftx"</f>
        <v>https://tokensol.nfluent.io?s=COR22D746&amp;platform=ftx</v>
      </c>
      <c r="AX909" s="20" t="s">
        <v>23</v>
      </c>
      <c r="AY909" s="20">
        <v>10</v>
      </c>
      <c r="AZ909" s="20" t="s">
        <v>24</v>
      </c>
      <c r="BA909" s="20">
        <v>90</v>
      </c>
      <c r="BD909" s="14"/>
      <c r="BJ909" t="s">
        <v>255</v>
      </c>
      <c r="BK909" t="s">
        <v>184</v>
      </c>
      <c r="BN909" s="36">
        <v>100</v>
      </c>
      <c r="BO909" s="36">
        <v>100</v>
      </c>
      <c r="BP909">
        <f t="shared" si="76"/>
        <v>480</v>
      </c>
      <c r="BR909" s="38">
        <v>44713</v>
      </c>
      <c r="BS909" s="20" t="s">
        <v>185</v>
      </c>
      <c r="BT909" s="20" t="str">
        <f t="shared" si="77"/>
        <v>InCasa_COR22D746</v>
      </c>
    </row>
    <row r="910" spans="2:72" ht="18.75" customHeight="1" x14ac:dyDescent="0.25">
      <c r="B910" s="20">
        <f t="shared" si="78"/>
        <v>747</v>
      </c>
      <c r="C910" s="22" t="str">
        <f t="shared" si="74"/>
        <v>In Casa #747</v>
      </c>
      <c r="D910" t="str">
        <f t="shared" si="75"/>
        <v>COR22D747</v>
      </c>
      <c r="E910" s="58" t="s">
        <v>252</v>
      </c>
      <c r="F910" s="20">
        <v>1000</v>
      </c>
      <c r="G910" s="14" t="s">
        <v>354</v>
      </c>
      <c r="H910" s="23" t="s">
        <v>170</v>
      </c>
      <c r="J910" s="59" t="s">
        <v>38</v>
      </c>
      <c r="K910" s="22" t="s">
        <v>254</v>
      </c>
      <c r="L910" s="59" t="s">
        <v>171</v>
      </c>
      <c r="M910" s="22">
        <v>2</v>
      </c>
      <c r="V910" s="59" t="s">
        <v>176</v>
      </c>
      <c r="AL910" s="59" t="s">
        <v>40</v>
      </c>
      <c r="AM910" s="22" t="s">
        <v>188</v>
      </c>
      <c r="AV910" s="59" t="s">
        <v>134</v>
      </c>
      <c r="AW910" s="22" t="str">
        <f>Settings!$B$5 &amp;  "?s=" &amp; D910 &amp; "&amp;platform=ftx"</f>
        <v>https://tokensol.nfluent.io?s=COR22D747&amp;platform=ftx</v>
      </c>
      <c r="AX910" s="20" t="s">
        <v>23</v>
      </c>
      <c r="AY910" s="20">
        <v>10</v>
      </c>
      <c r="AZ910" s="20" t="s">
        <v>24</v>
      </c>
      <c r="BA910" s="20">
        <v>90</v>
      </c>
      <c r="BD910" s="14"/>
      <c r="BJ910" t="s">
        <v>255</v>
      </c>
      <c r="BK910" t="s">
        <v>184</v>
      </c>
      <c r="BN910" s="36">
        <v>100</v>
      </c>
      <c r="BO910" s="36">
        <v>100</v>
      </c>
      <c r="BP910">
        <f t="shared" si="76"/>
        <v>480</v>
      </c>
      <c r="BR910" s="38">
        <v>44713</v>
      </c>
      <c r="BS910" s="20" t="s">
        <v>185</v>
      </c>
      <c r="BT910" s="20" t="str">
        <f t="shared" si="77"/>
        <v>InCasa_COR22D747</v>
      </c>
    </row>
    <row r="911" spans="2:72" ht="18.75" customHeight="1" x14ac:dyDescent="0.25">
      <c r="B911" s="20">
        <f t="shared" si="78"/>
        <v>748</v>
      </c>
      <c r="C911" s="22" t="str">
        <f t="shared" si="74"/>
        <v>In Casa #748</v>
      </c>
      <c r="D911" t="str">
        <f t="shared" si="75"/>
        <v>COR22D748</v>
      </c>
      <c r="E911" s="58" t="s">
        <v>252</v>
      </c>
      <c r="F911" s="20">
        <v>1000</v>
      </c>
      <c r="G911" s="14" t="s">
        <v>354</v>
      </c>
      <c r="H911" s="23" t="s">
        <v>170</v>
      </c>
      <c r="J911" s="59" t="s">
        <v>38</v>
      </c>
      <c r="K911" s="22" t="s">
        <v>254</v>
      </c>
      <c r="L911" s="59" t="s">
        <v>171</v>
      </c>
      <c r="M911" s="22">
        <v>2</v>
      </c>
      <c r="V911" s="59" t="s">
        <v>176</v>
      </c>
      <c r="AL911" s="59" t="s">
        <v>40</v>
      </c>
      <c r="AM911" s="22" t="s">
        <v>188</v>
      </c>
      <c r="AV911" s="59" t="s">
        <v>134</v>
      </c>
      <c r="AW911" s="22" t="str">
        <f>Settings!$B$5 &amp;  "?s=" &amp; D911 &amp; "&amp;platform=ftx"</f>
        <v>https://tokensol.nfluent.io?s=COR22D748&amp;platform=ftx</v>
      </c>
      <c r="AX911" s="20" t="s">
        <v>23</v>
      </c>
      <c r="AY911" s="20">
        <v>10</v>
      </c>
      <c r="AZ911" s="20" t="s">
        <v>24</v>
      </c>
      <c r="BA911" s="20">
        <v>90</v>
      </c>
      <c r="BD911" s="14"/>
      <c r="BJ911" t="s">
        <v>255</v>
      </c>
      <c r="BK911" t="s">
        <v>184</v>
      </c>
      <c r="BN911" s="36">
        <v>100</v>
      </c>
      <c r="BO911" s="36">
        <v>100</v>
      </c>
      <c r="BP911">
        <f t="shared" si="76"/>
        <v>480</v>
      </c>
      <c r="BR911" s="38">
        <v>44713</v>
      </c>
      <c r="BS911" s="20" t="s">
        <v>185</v>
      </c>
      <c r="BT911" s="20" t="str">
        <f t="shared" si="77"/>
        <v>InCasa_COR22D748</v>
      </c>
    </row>
    <row r="912" spans="2:72" ht="18.75" customHeight="1" x14ac:dyDescent="0.25">
      <c r="B912" s="20">
        <f t="shared" si="78"/>
        <v>749</v>
      </c>
      <c r="C912" s="22" t="str">
        <f t="shared" si="74"/>
        <v>In Casa #749</v>
      </c>
      <c r="D912" t="str">
        <f t="shared" si="75"/>
        <v>COR22D749</v>
      </c>
      <c r="E912" s="58" t="s">
        <v>252</v>
      </c>
      <c r="F912" s="20">
        <v>1000</v>
      </c>
      <c r="G912" s="14" t="s">
        <v>354</v>
      </c>
      <c r="H912" s="23" t="s">
        <v>170</v>
      </c>
      <c r="J912" s="59" t="s">
        <v>38</v>
      </c>
      <c r="K912" s="22" t="s">
        <v>254</v>
      </c>
      <c r="L912" s="59" t="s">
        <v>171</v>
      </c>
      <c r="M912" s="22">
        <v>2</v>
      </c>
      <c r="V912" s="59" t="s">
        <v>176</v>
      </c>
      <c r="AL912" s="59" t="s">
        <v>40</v>
      </c>
      <c r="AM912" s="22" t="s">
        <v>188</v>
      </c>
      <c r="AV912" s="59" t="s">
        <v>134</v>
      </c>
      <c r="AW912" s="22" t="str">
        <f>Settings!$B$5 &amp;  "?s=" &amp; D912 &amp; "&amp;platform=ftx"</f>
        <v>https://tokensol.nfluent.io?s=COR22D749&amp;platform=ftx</v>
      </c>
      <c r="AX912" s="20" t="s">
        <v>23</v>
      </c>
      <c r="AY912" s="20">
        <v>10</v>
      </c>
      <c r="AZ912" s="20" t="s">
        <v>24</v>
      </c>
      <c r="BA912" s="20">
        <v>90</v>
      </c>
      <c r="BD912" s="14"/>
      <c r="BJ912" t="s">
        <v>255</v>
      </c>
      <c r="BK912" t="s">
        <v>184</v>
      </c>
      <c r="BN912" s="36">
        <v>100</v>
      </c>
      <c r="BO912" s="36">
        <v>100</v>
      </c>
      <c r="BP912">
        <f t="shared" si="76"/>
        <v>480</v>
      </c>
      <c r="BR912" s="38">
        <v>44713</v>
      </c>
      <c r="BS912" s="20" t="s">
        <v>185</v>
      </c>
      <c r="BT912" s="20" t="str">
        <f t="shared" si="77"/>
        <v>InCasa_COR22D749</v>
      </c>
    </row>
    <row r="913" spans="2:72" ht="18.75" customHeight="1" x14ac:dyDescent="0.25">
      <c r="B913" s="20">
        <f t="shared" si="78"/>
        <v>750</v>
      </c>
      <c r="C913" s="22" t="str">
        <f t="shared" si="74"/>
        <v>In Casa #750</v>
      </c>
      <c r="D913" t="str">
        <f t="shared" si="75"/>
        <v>COR22D750</v>
      </c>
      <c r="E913" s="58" t="s">
        <v>252</v>
      </c>
      <c r="F913" s="20">
        <v>1000</v>
      </c>
      <c r="G913" s="14" t="s">
        <v>354</v>
      </c>
      <c r="H913" s="23" t="s">
        <v>170</v>
      </c>
      <c r="J913" s="59" t="s">
        <v>38</v>
      </c>
      <c r="K913" s="22" t="s">
        <v>254</v>
      </c>
      <c r="L913" s="59" t="s">
        <v>171</v>
      </c>
      <c r="M913" s="22">
        <v>2</v>
      </c>
      <c r="V913" s="59" t="s">
        <v>176</v>
      </c>
      <c r="AL913" s="59" t="s">
        <v>40</v>
      </c>
      <c r="AM913" s="22" t="s">
        <v>188</v>
      </c>
      <c r="AV913" s="59" t="s">
        <v>134</v>
      </c>
      <c r="AW913" s="22" t="str">
        <f>Settings!$B$5 &amp;  "?s=" &amp; D913 &amp; "&amp;platform=ftx"</f>
        <v>https://tokensol.nfluent.io?s=COR22D750&amp;platform=ftx</v>
      </c>
      <c r="AX913" s="20" t="s">
        <v>23</v>
      </c>
      <c r="AY913" s="20">
        <v>10</v>
      </c>
      <c r="AZ913" s="20" t="s">
        <v>24</v>
      </c>
      <c r="BA913" s="20">
        <v>90</v>
      </c>
      <c r="BD913" s="14"/>
      <c r="BJ913" t="s">
        <v>255</v>
      </c>
      <c r="BK913" t="s">
        <v>184</v>
      </c>
      <c r="BN913" s="36">
        <v>100</v>
      </c>
      <c r="BO913" s="36">
        <v>100</v>
      </c>
      <c r="BP913">
        <f t="shared" si="76"/>
        <v>480</v>
      </c>
      <c r="BR913" s="38">
        <v>44713</v>
      </c>
      <c r="BS913" s="20" t="s">
        <v>185</v>
      </c>
      <c r="BT913" s="20" t="str">
        <f t="shared" si="77"/>
        <v>InCasa_COR22D750</v>
      </c>
    </row>
    <row r="914" spans="2:72" ht="18.75" customHeight="1" x14ac:dyDescent="0.25">
      <c r="B914" s="20">
        <f t="shared" si="78"/>
        <v>751</v>
      </c>
      <c r="C914" s="22" t="str">
        <f t="shared" si="74"/>
        <v>In Casa #751</v>
      </c>
      <c r="D914" t="str">
        <f t="shared" si="75"/>
        <v>COR22D751</v>
      </c>
      <c r="E914" s="58" t="s">
        <v>252</v>
      </c>
      <c r="F914" s="20">
        <v>1000</v>
      </c>
      <c r="G914" s="14" t="s">
        <v>354</v>
      </c>
      <c r="H914" s="23" t="s">
        <v>170</v>
      </c>
      <c r="J914" s="59" t="s">
        <v>38</v>
      </c>
      <c r="K914" s="22" t="s">
        <v>254</v>
      </c>
      <c r="L914" s="59" t="s">
        <v>171</v>
      </c>
      <c r="M914" s="22">
        <v>2</v>
      </c>
      <c r="V914" s="59" t="s">
        <v>176</v>
      </c>
      <c r="AL914" s="59" t="s">
        <v>40</v>
      </c>
      <c r="AM914" s="22" t="s">
        <v>188</v>
      </c>
      <c r="AV914" s="59" t="s">
        <v>134</v>
      </c>
      <c r="AW914" s="22" t="str">
        <f>Settings!$B$5 &amp;  "?s=" &amp; D914 &amp; "&amp;platform=ftx"</f>
        <v>https://tokensol.nfluent.io?s=COR22D751&amp;platform=ftx</v>
      </c>
      <c r="AX914" s="20" t="s">
        <v>23</v>
      </c>
      <c r="AY914" s="20">
        <v>10</v>
      </c>
      <c r="AZ914" s="20" t="s">
        <v>24</v>
      </c>
      <c r="BA914" s="20">
        <v>90</v>
      </c>
      <c r="BD914" s="14"/>
      <c r="BJ914" t="s">
        <v>255</v>
      </c>
      <c r="BK914" t="s">
        <v>184</v>
      </c>
      <c r="BN914" s="36">
        <v>100</v>
      </c>
      <c r="BO914" s="36">
        <v>100</v>
      </c>
      <c r="BP914">
        <f t="shared" si="76"/>
        <v>480</v>
      </c>
      <c r="BR914" s="38">
        <v>44713</v>
      </c>
      <c r="BS914" s="20" t="s">
        <v>185</v>
      </c>
      <c r="BT914" s="20" t="str">
        <f t="shared" si="77"/>
        <v>InCasa_COR22D751</v>
      </c>
    </row>
    <row r="915" spans="2:72" ht="18.75" customHeight="1" x14ac:dyDescent="0.25">
      <c r="B915" s="20">
        <f t="shared" si="78"/>
        <v>752</v>
      </c>
      <c r="C915" s="22" t="str">
        <f t="shared" si="74"/>
        <v>In Casa #752</v>
      </c>
      <c r="D915" t="str">
        <f t="shared" si="75"/>
        <v>COR22D752</v>
      </c>
      <c r="E915" s="58" t="s">
        <v>252</v>
      </c>
      <c r="F915" s="20">
        <v>1000</v>
      </c>
      <c r="G915" s="14" t="s">
        <v>354</v>
      </c>
      <c r="H915" s="23" t="s">
        <v>170</v>
      </c>
      <c r="J915" s="59" t="s">
        <v>38</v>
      </c>
      <c r="K915" s="22" t="s">
        <v>254</v>
      </c>
      <c r="L915" s="59" t="s">
        <v>171</v>
      </c>
      <c r="M915" s="22">
        <v>2</v>
      </c>
      <c r="V915" s="59" t="s">
        <v>176</v>
      </c>
      <c r="AL915" s="59" t="s">
        <v>40</v>
      </c>
      <c r="AM915" s="22" t="s">
        <v>188</v>
      </c>
      <c r="AV915" s="59" t="s">
        <v>134</v>
      </c>
      <c r="AW915" s="22" t="str">
        <f>Settings!$B$5 &amp;  "?s=" &amp; D915 &amp; "&amp;platform=ftx"</f>
        <v>https://tokensol.nfluent.io?s=COR22D752&amp;platform=ftx</v>
      </c>
      <c r="AX915" s="20" t="s">
        <v>23</v>
      </c>
      <c r="AY915" s="20">
        <v>10</v>
      </c>
      <c r="AZ915" s="20" t="s">
        <v>24</v>
      </c>
      <c r="BA915" s="20">
        <v>90</v>
      </c>
      <c r="BD915" s="14"/>
      <c r="BJ915" t="s">
        <v>255</v>
      </c>
      <c r="BK915" t="s">
        <v>184</v>
      </c>
      <c r="BN915" s="36">
        <v>100</v>
      </c>
      <c r="BO915" s="36">
        <v>100</v>
      </c>
      <c r="BP915">
        <f t="shared" si="76"/>
        <v>480</v>
      </c>
      <c r="BR915" s="38">
        <v>44713</v>
      </c>
      <c r="BS915" s="20" t="s">
        <v>185</v>
      </c>
      <c r="BT915" s="20" t="str">
        <f t="shared" si="77"/>
        <v>InCasa_COR22D752</v>
      </c>
    </row>
    <row r="916" spans="2:72" ht="18.75" customHeight="1" x14ac:dyDescent="0.25">
      <c r="B916" s="20">
        <f t="shared" si="78"/>
        <v>753</v>
      </c>
      <c r="C916" s="22" t="str">
        <f t="shared" si="74"/>
        <v>In Casa #753</v>
      </c>
      <c r="D916" t="str">
        <f t="shared" si="75"/>
        <v>COR22D753</v>
      </c>
      <c r="E916" s="58" t="s">
        <v>252</v>
      </c>
      <c r="F916" s="20">
        <v>1000</v>
      </c>
      <c r="G916" s="14" t="s">
        <v>354</v>
      </c>
      <c r="H916" s="23" t="s">
        <v>170</v>
      </c>
      <c r="J916" s="59" t="s">
        <v>38</v>
      </c>
      <c r="K916" s="22" t="s">
        <v>254</v>
      </c>
      <c r="L916" s="59" t="s">
        <v>171</v>
      </c>
      <c r="M916" s="22">
        <v>2</v>
      </c>
      <c r="V916" s="59" t="s">
        <v>176</v>
      </c>
      <c r="AL916" s="59" t="s">
        <v>40</v>
      </c>
      <c r="AM916" s="22" t="s">
        <v>188</v>
      </c>
      <c r="AV916" s="59" t="s">
        <v>134</v>
      </c>
      <c r="AW916" s="22" t="str">
        <f>Settings!$B$5 &amp;  "?s=" &amp; D916 &amp; "&amp;platform=ftx"</f>
        <v>https://tokensol.nfluent.io?s=COR22D753&amp;platform=ftx</v>
      </c>
      <c r="AX916" s="20" t="s">
        <v>23</v>
      </c>
      <c r="AY916" s="20">
        <v>10</v>
      </c>
      <c r="AZ916" s="20" t="s">
        <v>24</v>
      </c>
      <c r="BA916" s="20">
        <v>90</v>
      </c>
      <c r="BD916" s="14"/>
      <c r="BJ916" t="s">
        <v>255</v>
      </c>
      <c r="BK916" t="s">
        <v>184</v>
      </c>
      <c r="BN916" s="36">
        <v>100</v>
      </c>
      <c r="BO916" s="36">
        <v>100</v>
      </c>
      <c r="BP916">
        <f t="shared" si="76"/>
        <v>480</v>
      </c>
      <c r="BR916" s="38">
        <v>44713</v>
      </c>
      <c r="BS916" s="20" t="s">
        <v>185</v>
      </c>
      <c r="BT916" s="20" t="str">
        <f t="shared" si="77"/>
        <v>InCasa_COR22D753</v>
      </c>
    </row>
    <row r="917" spans="2:72" ht="18.75" customHeight="1" x14ac:dyDescent="0.25">
      <c r="B917" s="20">
        <f t="shared" si="78"/>
        <v>754</v>
      </c>
      <c r="C917" s="22" t="str">
        <f t="shared" si="74"/>
        <v>In Casa #754</v>
      </c>
      <c r="D917" t="str">
        <f t="shared" si="75"/>
        <v>COR22D754</v>
      </c>
      <c r="E917" s="58" t="s">
        <v>252</v>
      </c>
      <c r="F917" s="20">
        <v>1000</v>
      </c>
      <c r="G917" s="14" t="s">
        <v>354</v>
      </c>
      <c r="H917" s="23" t="s">
        <v>170</v>
      </c>
      <c r="J917" s="59" t="s">
        <v>38</v>
      </c>
      <c r="K917" s="22" t="s">
        <v>254</v>
      </c>
      <c r="L917" s="59" t="s">
        <v>171</v>
      </c>
      <c r="M917" s="22">
        <v>2</v>
      </c>
      <c r="V917" s="59" t="s">
        <v>176</v>
      </c>
      <c r="AL917" s="59" t="s">
        <v>40</v>
      </c>
      <c r="AM917" s="22" t="s">
        <v>188</v>
      </c>
      <c r="AV917" s="59" t="s">
        <v>134</v>
      </c>
      <c r="AW917" s="22" t="str">
        <f>Settings!$B$5 &amp;  "?s=" &amp; D917 &amp; "&amp;platform=ftx"</f>
        <v>https://tokensol.nfluent.io?s=COR22D754&amp;platform=ftx</v>
      </c>
      <c r="AX917" s="20" t="s">
        <v>23</v>
      </c>
      <c r="AY917" s="20">
        <v>10</v>
      </c>
      <c r="AZ917" s="20" t="s">
        <v>24</v>
      </c>
      <c r="BA917" s="20">
        <v>90</v>
      </c>
      <c r="BD917" s="14"/>
      <c r="BJ917" t="s">
        <v>255</v>
      </c>
      <c r="BK917" t="s">
        <v>184</v>
      </c>
      <c r="BN917" s="36">
        <v>100</v>
      </c>
      <c r="BO917" s="36">
        <v>100</v>
      </c>
      <c r="BP917">
        <f t="shared" si="76"/>
        <v>480</v>
      </c>
      <c r="BR917" s="38">
        <v>44713</v>
      </c>
      <c r="BS917" s="20" t="s">
        <v>185</v>
      </c>
      <c r="BT917" s="20" t="str">
        <f t="shared" si="77"/>
        <v>InCasa_COR22D754</v>
      </c>
    </row>
    <row r="918" spans="2:72" ht="18.75" customHeight="1" x14ac:dyDescent="0.25">
      <c r="B918" s="20">
        <f t="shared" si="78"/>
        <v>755</v>
      </c>
      <c r="C918" s="22" t="str">
        <f t="shared" si="74"/>
        <v>In Casa #755</v>
      </c>
      <c r="D918" t="str">
        <f t="shared" si="75"/>
        <v>COR22D755</v>
      </c>
      <c r="E918" s="58" t="s">
        <v>252</v>
      </c>
      <c r="F918" s="20">
        <v>1000</v>
      </c>
      <c r="G918" s="14" t="s">
        <v>354</v>
      </c>
      <c r="H918" s="23" t="s">
        <v>170</v>
      </c>
      <c r="J918" s="59" t="s">
        <v>38</v>
      </c>
      <c r="K918" s="22" t="s">
        <v>254</v>
      </c>
      <c r="L918" s="59" t="s">
        <v>171</v>
      </c>
      <c r="M918" s="22">
        <v>2</v>
      </c>
      <c r="V918" s="59" t="s">
        <v>176</v>
      </c>
      <c r="AL918" s="59" t="s">
        <v>40</v>
      </c>
      <c r="AM918" s="22" t="s">
        <v>188</v>
      </c>
      <c r="AV918" s="59" t="s">
        <v>134</v>
      </c>
      <c r="AW918" s="22" t="str">
        <f>Settings!$B$5 &amp;  "?s=" &amp; D918 &amp; "&amp;platform=ftx"</f>
        <v>https://tokensol.nfluent.io?s=COR22D755&amp;platform=ftx</v>
      </c>
      <c r="AX918" s="20" t="s">
        <v>23</v>
      </c>
      <c r="AY918" s="20">
        <v>10</v>
      </c>
      <c r="AZ918" s="20" t="s">
        <v>24</v>
      </c>
      <c r="BA918" s="20">
        <v>90</v>
      </c>
      <c r="BD918" s="14"/>
      <c r="BJ918" t="s">
        <v>255</v>
      </c>
      <c r="BK918" t="s">
        <v>184</v>
      </c>
      <c r="BN918" s="36">
        <v>100</v>
      </c>
      <c r="BO918" s="36">
        <v>100</v>
      </c>
      <c r="BP918">
        <f t="shared" si="76"/>
        <v>480</v>
      </c>
      <c r="BR918" s="38">
        <v>44713</v>
      </c>
      <c r="BS918" s="20" t="s">
        <v>185</v>
      </c>
      <c r="BT918" s="20" t="str">
        <f t="shared" si="77"/>
        <v>InCasa_COR22D755</v>
      </c>
    </row>
    <row r="919" spans="2:72" ht="18.75" customHeight="1" x14ac:dyDescent="0.25">
      <c r="B919" s="20">
        <f t="shared" si="78"/>
        <v>756</v>
      </c>
      <c r="C919" s="22" t="str">
        <f t="shared" si="74"/>
        <v>In Casa #756</v>
      </c>
      <c r="D919" t="str">
        <f t="shared" si="75"/>
        <v>COR22D756</v>
      </c>
      <c r="E919" s="58" t="s">
        <v>252</v>
      </c>
      <c r="F919" s="20">
        <v>1000</v>
      </c>
      <c r="G919" s="14" t="s">
        <v>354</v>
      </c>
      <c r="H919" s="23" t="s">
        <v>170</v>
      </c>
      <c r="J919" s="59" t="s">
        <v>38</v>
      </c>
      <c r="K919" s="22" t="s">
        <v>254</v>
      </c>
      <c r="L919" s="59" t="s">
        <v>171</v>
      </c>
      <c r="M919" s="22">
        <v>2</v>
      </c>
      <c r="V919" s="59" t="s">
        <v>176</v>
      </c>
      <c r="AL919" s="59" t="s">
        <v>40</v>
      </c>
      <c r="AM919" s="22" t="s">
        <v>188</v>
      </c>
      <c r="AV919" s="59" t="s">
        <v>134</v>
      </c>
      <c r="AW919" s="22" t="str">
        <f>Settings!$B$5 &amp;  "?s=" &amp; D919 &amp; "&amp;platform=ftx"</f>
        <v>https://tokensol.nfluent.io?s=COR22D756&amp;platform=ftx</v>
      </c>
      <c r="AX919" s="20" t="s">
        <v>23</v>
      </c>
      <c r="AY919" s="20">
        <v>10</v>
      </c>
      <c r="AZ919" s="20" t="s">
        <v>24</v>
      </c>
      <c r="BA919" s="20">
        <v>90</v>
      </c>
      <c r="BD919" s="14"/>
      <c r="BJ919" t="s">
        <v>255</v>
      </c>
      <c r="BK919" t="s">
        <v>184</v>
      </c>
      <c r="BN919" s="36">
        <v>100</v>
      </c>
      <c r="BO919" s="36">
        <v>100</v>
      </c>
      <c r="BP919">
        <f t="shared" si="76"/>
        <v>480</v>
      </c>
      <c r="BR919" s="38">
        <v>44713</v>
      </c>
      <c r="BS919" s="20" t="s">
        <v>185</v>
      </c>
      <c r="BT919" s="20" t="str">
        <f t="shared" si="77"/>
        <v>InCasa_COR22D756</v>
      </c>
    </row>
    <row r="920" spans="2:72" ht="18.75" customHeight="1" x14ac:dyDescent="0.25">
      <c r="B920" s="20">
        <f t="shared" si="78"/>
        <v>757</v>
      </c>
      <c r="C920" s="22" t="str">
        <f t="shared" si="74"/>
        <v>In Casa #757</v>
      </c>
      <c r="D920" t="str">
        <f t="shared" si="75"/>
        <v>COR22D757</v>
      </c>
      <c r="E920" s="58" t="s">
        <v>252</v>
      </c>
      <c r="F920" s="20">
        <v>1000</v>
      </c>
      <c r="G920" s="14" t="s">
        <v>354</v>
      </c>
      <c r="H920" s="23" t="s">
        <v>170</v>
      </c>
      <c r="J920" s="59" t="s">
        <v>38</v>
      </c>
      <c r="K920" s="22" t="s">
        <v>254</v>
      </c>
      <c r="L920" s="59" t="s">
        <v>171</v>
      </c>
      <c r="M920" s="22">
        <v>2</v>
      </c>
      <c r="V920" s="59" t="s">
        <v>176</v>
      </c>
      <c r="AL920" s="59" t="s">
        <v>40</v>
      </c>
      <c r="AM920" s="22" t="s">
        <v>188</v>
      </c>
      <c r="AV920" s="59" t="s">
        <v>134</v>
      </c>
      <c r="AW920" s="22" t="str">
        <f>Settings!$B$5 &amp;  "?s=" &amp; D920 &amp; "&amp;platform=ftx"</f>
        <v>https://tokensol.nfluent.io?s=COR22D757&amp;platform=ftx</v>
      </c>
      <c r="AX920" s="20" t="s">
        <v>23</v>
      </c>
      <c r="AY920" s="20">
        <v>10</v>
      </c>
      <c r="AZ920" s="20" t="s">
        <v>24</v>
      </c>
      <c r="BA920" s="20">
        <v>90</v>
      </c>
      <c r="BD920" s="14"/>
      <c r="BJ920" t="s">
        <v>255</v>
      </c>
      <c r="BK920" t="s">
        <v>184</v>
      </c>
      <c r="BN920" s="36">
        <v>100</v>
      </c>
      <c r="BO920" s="36">
        <v>100</v>
      </c>
      <c r="BP920">
        <f t="shared" si="76"/>
        <v>480</v>
      </c>
      <c r="BR920" s="38">
        <v>44713</v>
      </c>
      <c r="BS920" s="20" t="s">
        <v>185</v>
      </c>
      <c r="BT920" s="20" t="str">
        <f t="shared" si="77"/>
        <v>InCasa_COR22D757</v>
      </c>
    </row>
    <row r="921" spans="2:72" ht="18.75" customHeight="1" x14ac:dyDescent="0.25">
      <c r="B921" s="20">
        <f t="shared" si="78"/>
        <v>758</v>
      </c>
      <c r="C921" s="22" t="str">
        <f t="shared" si="74"/>
        <v>In Casa #758</v>
      </c>
      <c r="D921" t="str">
        <f t="shared" si="75"/>
        <v>COR22D758</v>
      </c>
      <c r="E921" s="58" t="s">
        <v>252</v>
      </c>
      <c r="F921" s="20">
        <v>1000</v>
      </c>
      <c r="G921" s="14" t="s">
        <v>354</v>
      </c>
      <c r="H921" s="23" t="s">
        <v>170</v>
      </c>
      <c r="J921" s="59" t="s">
        <v>38</v>
      </c>
      <c r="K921" s="22" t="s">
        <v>254</v>
      </c>
      <c r="L921" s="59" t="s">
        <v>171</v>
      </c>
      <c r="M921" s="22">
        <v>2</v>
      </c>
      <c r="V921" s="59" t="s">
        <v>176</v>
      </c>
      <c r="AL921" s="59" t="s">
        <v>40</v>
      </c>
      <c r="AM921" s="22" t="s">
        <v>188</v>
      </c>
      <c r="AV921" s="59" t="s">
        <v>134</v>
      </c>
      <c r="AW921" s="22" t="str">
        <f>Settings!$B$5 &amp;  "?s=" &amp; D921 &amp; "&amp;platform=ftx"</f>
        <v>https://tokensol.nfluent.io?s=COR22D758&amp;platform=ftx</v>
      </c>
      <c r="AX921" s="20" t="s">
        <v>23</v>
      </c>
      <c r="AY921" s="20">
        <v>10</v>
      </c>
      <c r="AZ921" s="20" t="s">
        <v>24</v>
      </c>
      <c r="BA921" s="20">
        <v>90</v>
      </c>
      <c r="BD921" s="14"/>
      <c r="BJ921" t="s">
        <v>255</v>
      </c>
      <c r="BK921" t="s">
        <v>184</v>
      </c>
      <c r="BN921" s="36">
        <v>100</v>
      </c>
      <c r="BO921" s="36">
        <v>100</v>
      </c>
      <c r="BP921">
        <f t="shared" si="76"/>
        <v>480</v>
      </c>
      <c r="BR921" s="38">
        <v>44713</v>
      </c>
      <c r="BS921" s="20" t="s">
        <v>185</v>
      </c>
      <c r="BT921" s="20" t="str">
        <f t="shared" si="77"/>
        <v>InCasa_COR22D758</v>
      </c>
    </row>
    <row r="922" spans="2:72" ht="18.75" customHeight="1" x14ac:dyDescent="0.25">
      <c r="B922" s="20">
        <f t="shared" si="78"/>
        <v>759</v>
      </c>
      <c r="C922" s="22" t="str">
        <f t="shared" si="74"/>
        <v>In Casa #759</v>
      </c>
      <c r="D922" t="str">
        <f t="shared" si="75"/>
        <v>COR22D759</v>
      </c>
      <c r="E922" s="58" t="s">
        <v>252</v>
      </c>
      <c r="F922" s="20">
        <v>1000</v>
      </c>
      <c r="G922" s="14" t="s">
        <v>354</v>
      </c>
      <c r="H922" s="23" t="s">
        <v>170</v>
      </c>
      <c r="J922" s="59" t="s">
        <v>38</v>
      </c>
      <c r="K922" s="22" t="s">
        <v>254</v>
      </c>
      <c r="L922" s="59" t="s">
        <v>171</v>
      </c>
      <c r="M922" s="22">
        <v>2</v>
      </c>
      <c r="V922" s="59" t="s">
        <v>176</v>
      </c>
      <c r="AL922" s="59" t="s">
        <v>40</v>
      </c>
      <c r="AM922" s="22" t="s">
        <v>188</v>
      </c>
      <c r="AV922" s="59" t="s">
        <v>134</v>
      </c>
      <c r="AW922" s="22" t="str">
        <f>Settings!$B$5 &amp;  "?s=" &amp; D922 &amp; "&amp;platform=ftx"</f>
        <v>https://tokensol.nfluent.io?s=COR22D759&amp;platform=ftx</v>
      </c>
      <c r="AX922" s="20" t="s">
        <v>23</v>
      </c>
      <c r="AY922" s="20">
        <v>10</v>
      </c>
      <c r="AZ922" s="20" t="s">
        <v>24</v>
      </c>
      <c r="BA922" s="20">
        <v>90</v>
      </c>
      <c r="BD922" s="14"/>
      <c r="BJ922" t="s">
        <v>255</v>
      </c>
      <c r="BK922" t="s">
        <v>184</v>
      </c>
      <c r="BN922" s="36">
        <v>100</v>
      </c>
      <c r="BO922" s="36">
        <v>100</v>
      </c>
      <c r="BP922">
        <f t="shared" si="76"/>
        <v>480</v>
      </c>
      <c r="BR922" s="38">
        <v>44713</v>
      </c>
      <c r="BS922" s="20" t="s">
        <v>185</v>
      </c>
      <c r="BT922" s="20" t="str">
        <f t="shared" si="77"/>
        <v>InCasa_COR22D759</v>
      </c>
    </row>
    <row r="923" spans="2:72" ht="18.75" customHeight="1" x14ac:dyDescent="0.25">
      <c r="B923" s="20">
        <f t="shared" si="78"/>
        <v>760</v>
      </c>
      <c r="C923" s="22" t="str">
        <f t="shared" si="74"/>
        <v>In Casa #760</v>
      </c>
      <c r="D923" t="str">
        <f t="shared" si="75"/>
        <v>COR22D760</v>
      </c>
      <c r="E923" s="58" t="s">
        <v>252</v>
      </c>
      <c r="F923" s="20">
        <v>1000</v>
      </c>
      <c r="G923" s="14" t="s">
        <v>354</v>
      </c>
      <c r="H923" s="23" t="s">
        <v>170</v>
      </c>
      <c r="J923" s="59" t="s">
        <v>38</v>
      </c>
      <c r="K923" s="22" t="s">
        <v>254</v>
      </c>
      <c r="L923" s="59" t="s">
        <v>171</v>
      </c>
      <c r="M923" s="22">
        <v>2</v>
      </c>
      <c r="V923" s="59" t="s">
        <v>176</v>
      </c>
      <c r="AL923" s="59" t="s">
        <v>40</v>
      </c>
      <c r="AM923" s="22" t="s">
        <v>188</v>
      </c>
      <c r="AV923" s="59" t="s">
        <v>134</v>
      </c>
      <c r="AW923" s="22" t="str">
        <f>Settings!$B$5 &amp;  "?s=" &amp; D923 &amp; "&amp;platform=ftx"</f>
        <v>https://tokensol.nfluent.io?s=COR22D760&amp;platform=ftx</v>
      </c>
      <c r="AX923" s="20" t="s">
        <v>23</v>
      </c>
      <c r="AY923" s="20">
        <v>10</v>
      </c>
      <c r="AZ923" s="20" t="s">
        <v>24</v>
      </c>
      <c r="BA923" s="20">
        <v>90</v>
      </c>
      <c r="BD923" s="14"/>
      <c r="BJ923" t="s">
        <v>255</v>
      </c>
      <c r="BK923" t="s">
        <v>184</v>
      </c>
      <c r="BN923" s="36">
        <v>100</v>
      </c>
      <c r="BO923" s="36">
        <v>100</v>
      </c>
      <c r="BP923">
        <f t="shared" si="76"/>
        <v>480</v>
      </c>
      <c r="BR923" s="38">
        <v>44713</v>
      </c>
      <c r="BS923" s="20" t="s">
        <v>185</v>
      </c>
      <c r="BT923" s="20" t="str">
        <f t="shared" si="77"/>
        <v>InCasa_COR22D760</v>
      </c>
    </row>
    <row r="924" spans="2:72" ht="18.75" customHeight="1" x14ac:dyDescent="0.25">
      <c r="B924" s="20">
        <f t="shared" si="78"/>
        <v>761</v>
      </c>
      <c r="C924" s="22" t="str">
        <f t="shared" si="74"/>
        <v>In Casa #761</v>
      </c>
      <c r="D924" t="str">
        <f t="shared" si="75"/>
        <v>COR22D761</v>
      </c>
      <c r="E924" s="58" t="s">
        <v>252</v>
      </c>
      <c r="F924" s="20">
        <v>1000</v>
      </c>
      <c r="G924" s="14" t="s">
        <v>354</v>
      </c>
      <c r="H924" s="23" t="s">
        <v>170</v>
      </c>
      <c r="J924" s="59" t="s">
        <v>38</v>
      </c>
      <c r="K924" s="22" t="s">
        <v>254</v>
      </c>
      <c r="L924" s="59" t="s">
        <v>171</v>
      </c>
      <c r="M924" s="22">
        <v>2</v>
      </c>
      <c r="V924" s="59" t="s">
        <v>176</v>
      </c>
      <c r="AL924" s="59" t="s">
        <v>40</v>
      </c>
      <c r="AM924" s="22" t="s">
        <v>188</v>
      </c>
      <c r="AV924" s="59" t="s">
        <v>134</v>
      </c>
      <c r="AW924" s="22" t="str">
        <f>Settings!$B$5 &amp;  "?s=" &amp; D924 &amp; "&amp;platform=ftx"</f>
        <v>https://tokensol.nfluent.io?s=COR22D761&amp;platform=ftx</v>
      </c>
      <c r="AX924" s="20" t="s">
        <v>23</v>
      </c>
      <c r="AY924" s="20">
        <v>10</v>
      </c>
      <c r="AZ924" s="20" t="s">
        <v>24</v>
      </c>
      <c r="BA924" s="20">
        <v>90</v>
      </c>
      <c r="BD924" s="14"/>
      <c r="BJ924" t="s">
        <v>255</v>
      </c>
      <c r="BK924" t="s">
        <v>184</v>
      </c>
      <c r="BN924" s="36">
        <v>100</v>
      </c>
      <c r="BO924" s="36">
        <v>100</v>
      </c>
      <c r="BP924">
        <f t="shared" si="76"/>
        <v>480</v>
      </c>
      <c r="BR924" s="38">
        <v>44713</v>
      </c>
      <c r="BS924" s="20" t="s">
        <v>185</v>
      </c>
      <c r="BT924" s="20" t="str">
        <f t="shared" si="77"/>
        <v>InCasa_COR22D761</v>
      </c>
    </row>
    <row r="925" spans="2:72" ht="18.75" customHeight="1" x14ac:dyDescent="0.25">
      <c r="B925" s="20">
        <f t="shared" si="78"/>
        <v>762</v>
      </c>
      <c r="C925" s="22" t="str">
        <f t="shared" si="74"/>
        <v>In Casa #762</v>
      </c>
      <c r="D925" t="str">
        <f t="shared" si="75"/>
        <v>COR22D762</v>
      </c>
      <c r="E925" s="58" t="s">
        <v>252</v>
      </c>
      <c r="F925" s="20">
        <v>1000</v>
      </c>
      <c r="G925" s="14" t="s">
        <v>354</v>
      </c>
      <c r="H925" s="23" t="s">
        <v>170</v>
      </c>
      <c r="J925" s="59" t="s">
        <v>38</v>
      </c>
      <c r="K925" s="22" t="s">
        <v>254</v>
      </c>
      <c r="L925" s="59" t="s">
        <v>171</v>
      </c>
      <c r="M925" s="22">
        <v>2</v>
      </c>
      <c r="V925" s="59" t="s">
        <v>176</v>
      </c>
      <c r="AL925" s="59" t="s">
        <v>40</v>
      </c>
      <c r="AM925" s="22" t="s">
        <v>188</v>
      </c>
      <c r="AV925" s="59" t="s">
        <v>134</v>
      </c>
      <c r="AW925" s="22" t="str">
        <f>Settings!$B$5 &amp;  "?s=" &amp; D925 &amp; "&amp;platform=ftx"</f>
        <v>https://tokensol.nfluent.io?s=COR22D762&amp;platform=ftx</v>
      </c>
      <c r="AX925" s="20" t="s">
        <v>23</v>
      </c>
      <c r="AY925" s="20">
        <v>10</v>
      </c>
      <c r="AZ925" s="20" t="s">
        <v>24</v>
      </c>
      <c r="BA925" s="20">
        <v>90</v>
      </c>
      <c r="BD925" s="14"/>
      <c r="BJ925" t="s">
        <v>255</v>
      </c>
      <c r="BK925" t="s">
        <v>184</v>
      </c>
      <c r="BN925" s="36">
        <v>100</v>
      </c>
      <c r="BO925" s="36">
        <v>100</v>
      </c>
      <c r="BP925">
        <f t="shared" si="76"/>
        <v>480</v>
      </c>
      <c r="BR925" s="38">
        <v>44713</v>
      </c>
      <c r="BS925" s="20" t="s">
        <v>185</v>
      </c>
      <c r="BT925" s="20" t="str">
        <f t="shared" si="77"/>
        <v>InCasa_COR22D762</v>
      </c>
    </row>
    <row r="926" spans="2:72" ht="18.75" customHeight="1" x14ac:dyDescent="0.25">
      <c r="B926" s="20">
        <f t="shared" si="78"/>
        <v>763</v>
      </c>
      <c r="C926" s="22" t="str">
        <f t="shared" si="74"/>
        <v>In Casa #763</v>
      </c>
      <c r="D926" t="str">
        <f t="shared" si="75"/>
        <v>COR22D763</v>
      </c>
      <c r="E926" s="58" t="s">
        <v>252</v>
      </c>
      <c r="F926" s="20">
        <v>1000</v>
      </c>
      <c r="G926" s="14" t="s">
        <v>354</v>
      </c>
      <c r="H926" s="23" t="s">
        <v>170</v>
      </c>
      <c r="J926" s="59" t="s">
        <v>38</v>
      </c>
      <c r="K926" s="22" t="s">
        <v>254</v>
      </c>
      <c r="L926" s="59" t="s">
        <v>171</v>
      </c>
      <c r="M926" s="22">
        <v>2</v>
      </c>
      <c r="V926" s="59" t="s">
        <v>176</v>
      </c>
      <c r="AL926" s="59" t="s">
        <v>40</v>
      </c>
      <c r="AM926" s="22" t="s">
        <v>188</v>
      </c>
      <c r="AV926" s="59" t="s">
        <v>134</v>
      </c>
      <c r="AW926" s="22" t="str">
        <f>Settings!$B$5 &amp;  "?s=" &amp; D926 &amp; "&amp;platform=ftx"</f>
        <v>https://tokensol.nfluent.io?s=COR22D763&amp;platform=ftx</v>
      </c>
      <c r="AX926" s="20" t="s">
        <v>23</v>
      </c>
      <c r="AY926" s="20">
        <v>10</v>
      </c>
      <c r="AZ926" s="20" t="s">
        <v>24</v>
      </c>
      <c r="BA926" s="20">
        <v>90</v>
      </c>
      <c r="BD926" s="14"/>
      <c r="BJ926" t="s">
        <v>255</v>
      </c>
      <c r="BK926" t="s">
        <v>184</v>
      </c>
      <c r="BN926" s="36">
        <v>100</v>
      </c>
      <c r="BO926" s="36">
        <v>100</v>
      </c>
      <c r="BP926">
        <f t="shared" si="76"/>
        <v>480</v>
      </c>
      <c r="BR926" s="38">
        <v>44713</v>
      </c>
      <c r="BS926" s="20" t="s">
        <v>185</v>
      </c>
      <c r="BT926" s="20" t="str">
        <f t="shared" si="77"/>
        <v>InCasa_COR22D763</v>
      </c>
    </row>
    <row r="927" spans="2:72" ht="18.75" customHeight="1" x14ac:dyDescent="0.25">
      <c r="B927" s="20">
        <f t="shared" si="78"/>
        <v>764</v>
      </c>
      <c r="C927" s="22" t="str">
        <f t="shared" si="74"/>
        <v>In Casa #764</v>
      </c>
      <c r="D927" t="str">
        <f t="shared" si="75"/>
        <v>COR22D764</v>
      </c>
      <c r="E927" s="58" t="s">
        <v>252</v>
      </c>
      <c r="F927" s="20">
        <v>1000</v>
      </c>
      <c r="G927" s="14" t="s">
        <v>354</v>
      </c>
      <c r="H927" s="23" t="s">
        <v>170</v>
      </c>
      <c r="J927" s="59" t="s">
        <v>38</v>
      </c>
      <c r="K927" s="22" t="s">
        <v>254</v>
      </c>
      <c r="L927" s="59" t="s">
        <v>171</v>
      </c>
      <c r="M927" s="22">
        <v>2</v>
      </c>
      <c r="V927" s="59" t="s">
        <v>176</v>
      </c>
      <c r="AL927" s="59" t="s">
        <v>40</v>
      </c>
      <c r="AM927" s="22" t="s">
        <v>188</v>
      </c>
      <c r="AV927" s="59" t="s">
        <v>134</v>
      </c>
      <c r="AW927" s="22" t="str">
        <f>Settings!$B$5 &amp;  "?s=" &amp; D927 &amp; "&amp;platform=ftx"</f>
        <v>https://tokensol.nfluent.io?s=COR22D764&amp;platform=ftx</v>
      </c>
      <c r="AX927" s="20" t="s">
        <v>23</v>
      </c>
      <c r="AY927" s="20">
        <v>10</v>
      </c>
      <c r="AZ927" s="20" t="s">
        <v>24</v>
      </c>
      <c r="BA927" s="20">
        <v>90</v>
      </c>
      <c r="BD927" s="14"/>
      <c r="BJ927" t="s">
        <v>255</v>
      </c>
      <c r="BK927" t="s">
        <v>184</v>
      </c>
      <c r="BN927" s="36">
        <v>100</v>
      </c>
      <c r="BO927" s="36">
        <v>100</v>
      </c>
      <c r="BP927">
        <f t="shared" si="76"/>
        <v>480</v>
      </c>
      <c r="BR927" s="38">
        <v>44713</v>
      </c>
      <c r="BS927" s="20" t="s">
        <v>185</v>
      </c>
      <c r="BT927" s="20" t="str">
        <f t="shared" si="77"/>
        <v>InCasa_COR22D764</v>
      </c>
    </row>
    <row r="928" spans="2:72" ht="18.75" customHeight="1" x14ac:dyDescent="0.25">
      <c r="B928" s="20">
        <f t="shared" si="78"/>
        <v>765</v>
      </c>
      <c r="C928" s="22" t="str">
        <f t="shared" si="74"/>
        <v>In Casa #765</v>
      </c>
      <c r="D928" t="str">
        <f t="shared" si="75"/>
        <v>COR22D765</v>
      </c>
      <c r="E928" s="58" t="s">
        <v>252</v>
      </c>
      <c r="F928" s="20">
        <v>1000</v>
      </c>
      <c r="G928" s="14" t="s">
        <v>354</v>
      </c>
      <c r="H928" s="23" t="s">
        <v>170</v>
      </c>
      <c r="J928" s="59" t="s">
        <v>38</v>
      </c>
      <c r="K928" s="22" t="s">
        <v>254</v>
      </c>
      <c r="L928" s="59" t="s">
        <v>171</v>
      </c>
      <c r="M928" s="22">
        <v>2</v>
      </c>
      <c r="V928" s="59" t="s">
        <v>176</v>
      </c>
      <c r="AL928" s="59" t="s">
        <v>40</v>
      </c>
      <c r="AM928" s="22" t="s">
        <v>188</v>
      </c>
      <c r="AV928" s="59" t="s">
        <v>134</v>
      </c>
      <c r="AW928" s="22" t="str">
        <f>Settings!$B$5 &amp;  "?s=" &amp; D928 &amp; "&amp;platform=ftx"</f>
        <v>https://tokensol.nfluent.io?s=COR22D765&amp;platform=ftx</v>
      </c>
      <c r="AX928" s="20" t="s">
        <v>23</v>
      </c>
      <c r="AY928" s="20">
        <v>10</v>
      </c>
      <c r="AZ928" s="20" t="s">
        <v>24</v>
      </c>
      <c r="BA928" s="20">
        <v>90</v>
      </c>
      <c r="BD928" s="14"/>
      <c r="BJ928" t="s">
        <v>255</v>
      </c>
      <c r="BK928" t="s">
        <v>184</v>
      </c>
      <c r="BN928" s="36">
        <v>100</v>
      </c>
      <c r="BO928" s="36">
        <v>100</v>
      </c>
      <c r="BP928">
        <f t="shared" si="76"/>
        <v>480</v>
      </c>
      <c r="BR928" s="38">
        <v>44713</v>
      </c>
      <c r="BS928" s="20" t="s">
        <v>185</v>
      </c>
      <c r="BT928" s="20" t="str">
        <f t="shared" si="77"/>
        <v>InCasa_COR22D765</v>
      </c>
    </row>
    <row r="929" spans="2:72" ht="18.75" customHeight="1" x14ac:dyDescent="0.25">
      <c r="B929" s="20">
        <f t="shared" si="78"/>
        <v>766</v>
      </c>
      <c r="C929" s="22" t="str">
        <f t="shared" si="74"/>
        <v>In Casa #766</v>
      </c>
      <c r="D929" t="str">
        <f t="shared" si="75"/>
        <v>COR22D766</v>
      </c>
      <c r="E929" s="58" t="s">
        <v>252</v>
      </c>
      <c r="F929" s="20">
        <v>1000</v>
      </c>
      <c r="G929" s="14" t="s">
        <v>354</v>
      </c>
      <c r="H929" s="23" t="s">
        <v>170</v>
      </c>
      <c r="J929" s="59" t="s">
        <v>38</v>
      </c>
      <c r="K929" s="22" t="s">
        <v>254</v>
      </c>
      <c r="L929" s="59" t="s">
        <v>171</v>
      </c>
      <c r="M929" s="22">
        <v>2</v>
      </c>
      <c r="V929" s="59" t="s">
        <v>176</v>
      </c>
      <c r="AL929" s="59" t="s">
        <v>40</v>
      </c>
      <c r="AM929" s="22" t="s">
        <v>188</v>
      </c>
      <c r="AV929" s="59" t="s">
        <v>134</v>
      </c>
      <c r="AW929" s="22" t="str">
        <f>Settings!$B$5 &amp;  "?s=" &amp; D929 &amp; "&amp;platform=ftx"</f>
        <v>https://tokensol.nfluent.io?s=COR22D766&amp;platform=ftx</v>
      </c>
      <c r="AX929" s="20" t="s">
        <v>23</v>
      </c>
      <c r="AY929" s="20">
        <v>10</v>
      </c>
      <c r="AZ929" s="20" t="s">
        <v>24</v>
      </c>
      <c r="BA929" s="20">
        <v>90</v>
      </c>
      <c r="BD929" s="14"/>
      <c r="BJ929" t="s">
        <v>255</v>
      </c>
      <c r="BK929" t="s">
        <v>184</v>
      </c>
      <c r="BN929" s="36">
        <v>100</v>
      </c>
      <c r="BO929" s="36">
        <v>100</v>
      </c>
      <c r="BP929">
        <f t="shared" si="76"/>
        <v>480</v>
      </c>
      <c r="BR929" s="38">
        <v>44713</v>
      </c>
      <c r="BS929" s="20" t="s">
        <v>185</v>
      </c>
      <c r="BT929" s="20" t="str">
        <f t="shared" si="77"/>
        <v>InCasa_COR22D766</v>
      </c>
    </row>
    <row r="930" spans="2:72" ht="18.75" customHeight="1" x14ac:dyDescent="0.25">
      <c r="B930" s="20">
        <f t="shared" si="78"/>
        <v>767</v>
      </c>
      <c r="C930" s="22" t="str">
        <f t="shared" si="74"/>
        <v>In Casa #767</v>
      </c>
      <c r="D930" t="str">
        <f t="shared" si="75"/>
        <v>COR22D767</v>
      </c>
      <c r="E930" s="58" t="s">
        <v>252</v>
      </c>
      <c r="F930" s="20">
        <v>1000</v>
      </c>
      <c r="G930" s="14" t="s">
        <v>354</v>
      </c>
      <c r="H930" s="23" t="s">
        <v>170</v>
      </c>
      <c r="J930" s="59" t="s">
        <v>38</v>
      </c>
      <c r="K930" s="22" t="s">
        <v>254</v>
      </c>
      <c r="L930" s="59" t="s">
        <v>171</v>
      </c>
      <c r="M930" s="22">
        <v>2</v>
      </c>
      <c r="V930" s="59" t="s">
        <v>176</v>
      </c>
      <c r="AL930" s="59" t="s">
        <v>40</v>
      </c>
      <c r="AM930" s="22" t="s">
        <v>188</v>
      </c>
      <c r="AV930" s="59" t="s">
        <v>134</v>
      </c>
      <c r="AW930" s="22" t="str">
        <f>Settings!$B$5 &amp;  "?s=" &amp; D930 &amp; "&amp;platform=ftx"</f>
        <v>https://tokensol.nfluent.io?s=COR22D767&amp;platform=ftx</v>
      </c>
      <c r="AX930" s="20" t="s">
        <v>23</v>
      </c>
      <c r="AY930" s="20">
        <v>10</v>
      </c>
      <c r="AZ930" s="20" t="s">
        <v>24</v>
      </c>
      <c r="BA930" s="20">
        <v>90</v>
      </c>
      <c r="BD930" s="14"/>
      <c r="BJ930" t="s">
        <v>255</v>
      </c>
      <c r="BK930" t="s">
        <v>184</v>
      </c>
      <c r="BN930" s="36">
        <v>100</v>
      </c>
      <c r="BO930" s="36">
        <v>100</v>
      </c>
      <c r="BP930">
        <f t="shared" si="76"/>
        <v>480</v>
      </c>
      <c r="BR930" s="38">
        <v>44713</v>
      </c>
      <c r="BS930" s="20" t="s">
        <v>185</v>
      </c>
      <c r="BT930" s="20" t="str">
        <f t="shared" si="77"/>
        <v>InCasa_COR22D767</v>
      </c>
    </row>
    <row r="931" spans="2:72" ht="18.75" customHeight="1" x14ac:dyDescent="0.25">
      <c r="B931" s="20">
        <f t="shared" si="78"/>
        <v>768</v>
      </c>
      <c r="C931" s="22" t="str">
        <f t="shared" si="74"/>
        <v>In Casa #768</v>
      </c>
      <c r="D931" t="str">
        <f t="shared" si="75"/>
        <v>COR22D768</v>
      </c>
      <c r="E931" s="58" t="s">
        <v>252</v>
      </c>
      <c r="F931" s="20">
        <v>1000</v>
      </c>
      <c r="G931" s="14" t="s">
        <v>354</v>
      </c>
      <c r="H931" s="23" t="s">
        <v>170</v>
      </c>
      <c r="J931" s="59" t="s">
        <v>38</v>
      </c>
      <c r="K931" s="22" t="s">
        <v>254</v>
      </c>
      <c r="L931" s="59" t="s">
        <v>171</v>
      </c>
      <c r="M931" s="22">
        <v>2</v>
      </c>
      <c r="V931" s="59" t="s">
        <v>176</v>
      </c>
      <c r="AL931" s="59" t="s">
        <v>40</v>
      </c>
      <c r="AM931" s="22" t="s">
        <v>188</v>
      </c>
      <c r="AV931" s="59" t="s">
        <v>134</v>
      </c>
      <c r="AW931" s="22" t="str">
        <f>Settings!$B$5 &amp;  "?s=" &amp; D931 &amp; "&amp;platform=ftx"</f>
        <v>https://tokensol.nfluent.io?s=COR22D768&amp;platform=ftx</v>
      </c>
      <c r="AX931" s="20" t="s">
        <v>23</v>
      </c>
      <c r="AY931" s="20">
        <v>10</v>
      </c>
      <c r="AZ931" s="20" t="s">
        <v>24</v>
      </c>
      <c r="BA931" s="20">
        <v>90</v>
      </c>
      <c r="BD931" s="14"/>
      <c r="BJ931" t="s">
        <v>255</v>
      </c>
      <c r="BK931" t="s">
        <v>184</v>
      </c>
      <c r="BN931" s="36">
        <v>100</v>
      </c>
      <c r="BO931" s="36">
        <v>100</v>
      </c>
      <c r="BP931">
        <f t="shared" si="76"/>
        <v>480</v>
      </c>
      <c r="BR931" s="38">
        <v>44713</v>
      </c>
      <c r="BS931" s="20" t="s">
        <v>185</v>
      </c>
      <c r="BT931" s="20" t="str">
        <f t="shared" si="77"/>
        <v>InCasa_COR22D768</v>
      </c>
    </row>
    <row r="932" spans="2:72" ht="18.75" customHeight="1" x14ac:dyDescent="0.25">
      <c r="B932" s="20">
        <f t="shared" si="78"/>
        <v>769</v>
      </c>
      <c r="C932" s="22" t="str">
        <f t="shared" si="74"/>
        <v>In Casa #769</v>
      </c>
      <c r="D932" t="str">
        <f t="shared" si="75"/>
        <v>COR22D769</v>
      </c>
      <c r="E932" s="58" t="s">
        <v>252</v>
      </c>
      <c r="F932" s="20">
        <v>1000</v>
      </c>
      <c r="G932" s="14" t="s">
        <v>354</v>
      </c>
      <c r="H932" s="23" t="s">
        <v>170</v>
      </c>
      <c r="J932" s="59" t="s">
        <v>38</v>
      </c>
      <c r="K932" s="22" t="s">
        <v>254</v>
      </c>
      <c r="L932" s="59" t="s">
        <v>171</v>
      </c>
      <c r="M932" s="22">
        <v>2</v>
      </c>
      <c r="V932" s="59" t="s">
        <v>176</v>
      </c>
      <c r="AL932" s="59" t="s">
        <v>40</v>
      </c>
      <c r="AM932" s="22" t="s">
        <v>188</v>
      </c>
      <c r="AV932" s="59" t="s">
        <v>134</v>
      </c>
      <c r="AW932" s="22" t="str">
        <f>Settings!$B$5 &amp;  "?s=" &amp; D932 &amp; "&amp;platform=ftx"</f>
        <v>https://tokensol.nfluent.io?s=COR22D769&amp;platform=ftx</v>
      </c>
      <c r="AX932" s="20" t="s">
        <v>23</v>
      </c>
      <c r="AY932" s="20">
        <v>10</v>
      </c>
      <c r="AZ932" s="20" t="s">
        <v>24</v>
      </c>
      <c r="BA932" s="20">
        <v>90</v>
      </c>
      <c r="BD932" s="14"/>
      <c r="BJ932" t="s">
        <v>255</v>
      </c>
      <c r="BK932" t="s">
        <v>184</v>
      </c>
      <c r="BN932" s="36">
        <v>100</v>
      </c>
      <c r="BO932" s="36">
        <v>100</v>
      </c>
      <c r="BP932">
        <f t="shared" si="76"/>
        <v>480</v>
      </c>
      <c r="BR932" s="38">
        <v>44713</v>
      </c>
      <c r="BS932" s="20" t="s">
        <v>185</v>
      </c>
      <c r="BT932" s="20" t="str">
        <f t="shared" si="77"/>
        <v>InCasa_COR22D769</v>
      </c>
    </row>
    <row r="933" spans="2:72" ht="18.75" customHeight="1" x14ac:dyDescent="0.25">
      <c r="B933" s="20">
        <f t="shared" si="78"/>
        <v>770</v>
      </c>
      <c r="C933" s="22" t="str">
        <f t="shared" ref="C933:C996" si="79">+"In Casa #"&amp;B933</f>
        <v>In Casa #770</v>
      </c>
      <c r="D933" t="str">
        <f t="shared" ref="D933:D996" si="80">"COR22D"&amp;B933</f>
        <v>COR22D770</v>
      </c>
      <c r="E933" s="58" t="s">
        <v>252</v>
      </c>
      <c r="F933" s="20">
        <v>1000</v>
      </c>
      <c r="G933" s="14" t="s">
        <v>354</v>
      </c>
      <c r="H933" s="23" t="s">
        <v>170</v>
      </c>
      <c r="J933" s="59" t="s">
        <v>38</v>
      </c>
      <c r="K933" s="22" t="s">
        <v>254</v>
      </c>
      <c r="L933" s="59" t="s">
        <v>171</v>
      </c>
      <c r="M933" s="22">
        <v>2</v>
      </c>
      <c r="V933" s="59" t="s">
        <v>176</v>
      </c>
      <c r="AL933" s="59" t="s">
        <v>40</v>
      </c>
      <c r="AM933" s="22" t="s">
        <v>188</v>
      </c>
      <c r="AV933" s="59" t="s">
        <v>134</v>
      </c>
      <c r="AW933" s="22" t="str">
        <f>Settings!$B$5 &amp;  "?s=" &amp; D933 &amp; "&amp;platform=ftx"</f>
        <v>https://tokensol.nfluent.io?s=COR22D770&amp;platform=ftx</v>
      </c>
      <c r="AX933" s="20" t="s">
        <v>23</v>
      </c>
      <c r="AY933" s="20">
        <v>10</v>
      </c>
      <c r="AZ933" s="20" t="s">
        <v>24</v>
      </c>
      <c r="BA933" s="20">
        <v>90</v>
      </c>
      <c r="BD933" s="14"/>
      <c r="BJ933" t="s">
        <v>255</v>
      </c>
      <c r="BK933" t="s">
        <v>184</v>
      </c>
      <c r="BN933" s="36">
        <v>100</v>
      </c>
      <c r="BO933" s="36">
        <v>100</v>
      </c>
      <c r="BP933">
        <f t="shared" ref="BP933:BP996" si="81">24*20</f>
        <v>480</v>
      </c>
      <c r="BR933" s="38">
        <v>44713</v>
      </c>
      <c r="BS933" s="20" t="s">
        <v>185</v>
      </c>
      <c r="BT933" s="20" t="str">
        <f t="shared" si="77"/>
        <v>InCasa_COR22D770</v>
      </c>
    </row>
    <row r="934" spans="2:72" ht="18.75" customHeight="1" x14ac:dyDescent="0.25">
      <c r="B934" s="20">
        <f t="shared" si="78"/>
        <v>771</v>
      </c>
      <c r="C934" s="22" t="str">
        <f t="shared" si="79"/>
        <v>In Casa #771</v>
      </c>
      <c r="D934" t="str">
        <f t="shared" si="80"/>
        <v>COR22D771</v>
      </c>
      <c r="E934" s="58" t="s">
        <v>252</v>
      </c>
      <c r="F934" s="20">
        <v>1000</v>
      </c>
      <c r="G934" s="14" t="s">
        <v>354</v>
      </c>
      <c r="H934" s="23" t="s">
        <v>170</v>
      </c>
      <c r="J934" s="59" t="s">
        <v>38</v>
      </c>
      <c r="K934" s="22" t="s">
        <v>254</v>
      </c>
      <c r="L934" s="59" t="s">
        <v>171</v>
      </c>
      <c r="M934" s="22">
        <v>2</v>
      </c>
      <c r="V934" s="59" t="s">
        <v>176</v>
      </c>
      <c r="AL934" s="59" t="s">
        <v>40</v>
      </c>
      <c r="AM934" s="22" t="s">
        <v>188</v>
      </c>
      <c r="AV934" s="59" t="s">
        <v>134</v>
      </c>
      <c r="AW934" s="22" t="str">
        <f>Settings!$B$5 &amp;  "?s=" &amp; D934 &amp; "&amp;platform=ftx"</f>
        <v>https://tokensol.nfluent.io?s=COR22D771&amp;platform=ftx</v>
      </c>
      <c r="AX934" s="20" t="s">
        <v>23</v>
      </c>
      <c r="AY934" s="20">
        <v>10</v>
      </c>
      <c r="AZ934" s="20" t="s">
        <v>24</v>
      </c>
      <c r="BA934" s="20">
        <v>90</v>
      </c>
      <c r="BD934" s="14"/>
      <c r="BJ934" t="s">
        <v>255</v>
      </c>
      <c r="BK934" t="s">
        <v>184</v>
      </c>
      <c r="BN934" s="36">
        <v>100</v>
      </c>
      <c r="BO934" s="36">
        <v>100</v>
      </c>
      <c r="BP934">
        <f t="shared" si="81"/>
        <v>480</v>
      </c>
      <c r="BR934" s="38">
        <v>44713</v>
      </c>
      <c r="BS934" s="20" t="s">
        <v>185</v>
      </c>
      <c r="BT934" s="20" t="str">
        <f t="shared" si="77"/>
        <v>InCasa_COR22D771</v>
      </c>
    </row>
    <row r="935" spans="2:72" ht="18.75" customHeight="1" x14ac:dyDescent="0.25">
      <c r="B935" s="20">
        <f t="shared" si="78"/>
        <v>772</v>
      </c>
      <c r="C935" s="22" t="str">
        <f t="shared" si="79"/>
        <v>In Casa #772</v>
      </c>
      <c r="D935" t="str">
        <f t="shared" si="80"/>
        <v>COR22D772</v>
      </c>
      <c r="E935" s="58" t="s">
        <v>252</v>
      </c>
      <c r="F935" s="20">
        <v>1000</v>
      </c>
      <c r="G935" s="14" t="s">
        <v>354</v>
      </c>
      <c r="H935" s="23" t="s">
        <v>170</v>
      </c>
      <c r="J935" s="59" t="s">
        <v>38</v>
      </c>
      <c r="K935" s="22" t="s">
        <v>254</v>
      </c>
      <c r="L935" s="59" t="s">
        <v>171</v>
      </c>
      <c r="M935" s="22">
        <v>2</v>
      </c>
      <c r="V935" s="59" t="s">
        <v>176</v>
      </c>
      <c r="AL935" s="59" t="s">
        <v>40</v>
      </c>
      <c r="AM935" s="22" t="s">
        <v>188</v>
      </c>
      <c r="AV935" s="59" t="s">
        <v>134</v>
      </c>
      <c r="AW935" s="22" t="str">
        <f>Settings!$B$5 &amp;  "?s=" &amp; D935 &amp; "&amp;platform=ftx"</f>
        <v>https://tokensol.nfluent.io?s=COR22D772&amp;platform=ftx</v>
      </c>
      <c r="AX935" s="20" t="s">
        <v>23</v>
      </c>
      <c r="AY935" s="20">
        <v>10</v>
      </c>
      <c r="AZ935" s="20" t="s">
        <v>24</v>
      </c>
      <c r="BA935" s="20">
        <v>90</v>
      </c>
      <c r="BD935" s="14"/>
      <c r="BJ935" t="s">
        <v>255</v>
      </c>
      <c r="BK935" t="s">
        <v>184</v>
      </c>
      <c r="BN935" s="36">
        <v>100</v>
      </c>
      <c r="BO935" s="36">
        <v>100</v>
      </c>
      <c r="BP935">
        <f t="shared" si="81"/>
        <v>480</v>
      </c>
      <c r="BR935" s="38">
        <v>44713</v>
      </c>
      <c r="BS935" s="20" t="s">
        <v>185</v>
      </c>
      <c r="BT935" s="20" t="str">
        <f t="shared" si="77"/>
        <v>InCasa_COR22D772</v>
      </c>
    </row>
    <row r="936" spans="2:72" ht="18.75" customHeight="1" x14ac:dyDescent="0.25">
      <c r="B936" s="20">
        <f t="shared" si="78"/>
        <v>773</v>
      </c>
      <c r="C936" s="22" t="str">
        <f t="shared" si="79"/>
        <v>In Casa #773</v>
      </c>
      <c r="D936" t="str">
        <f t="shared" si="80"/>
        <v>COR22D773</v>
      </c>
      <c r="E936" s="58" t="s">
        <v>252</v>
      </c>
      <c r="F936" s="20">
        <v>1000</v>
      </c>
      <c r="G936" s="14" t="s">
        <v>354</v>
      </c>
      <c r="H936" s="23" t="s">
        <v>170</v>
      </c>
      <c r="J936" s="59" t="s">
        <v>38</v>
      </c>
      <c r="K936" s="22" t="s">
        <v>254</v>
      </c>
      <c r="L936" s="59" t="s">
        <v>171</v>
      </c>
      <c r="M936" s="22">
        <v>2</v>
      </c>
      <c r="V936" s="59" t="s">
        <v>176</v>
      </c>
      <c r="AL936" s="59" t="s">
        <v>40</v>
      </c>
      <c r="AM936" s="22" t="s">
        <v>188</v>
      </c>
      <c r="AV936" s="59" t="s">
        <v>134</v>
      </c>
      <c r="AW936" s="22" t="str">
        <f>Settings!$B$5 &amp;  "?s=" &amp; D936 &amp; "&amp;platform=ftx"</f>
        <v>https://tokensol.nfluent.io?s=COR22D773&amp;platform=ftx</v>
      </c>
      <c r="AX936" s="20" t="s">
        <v>23</v>
      </c>
      <c r="AY936" s="20">
        <v>10</v>
      </c>
      <c r="AZ936" s="20" t="s">
        <v>24</v>
      </c>
      <c r="BA936" s="20">
        <v>90</v>
      </c>
      <c r="BD936" s="14"/>
      <c r="BJ936" t="s">
        <v>255</v>
      </c>
      <c r="BK936" t="s">
        <v>184</v>
      </c>
      <c r="BN936" s="36">
        <v>100</v>
      </c>
      <c r="BO936" s="36">
        <v>100</v>
      </c>
      <c r="BP936">
        <f t="shared" si="81"/>
        <v>480</v>
      </c>
      <c r="BR936" s="38">
        <v>44713</v>
      </c>
      <c r="BS936" s="20" t="s">
        <v>185</v>
      </c>
      <c r="BT936" s="20" t="str">
        <f t="shared" si="77"/>
        <v>InCasa_COR22D773</v>
      </c>
    </row>
    <row r="937" spans="2:72" ht="18.75" customHeight="1" x14ac:dyDescent="0.25">
      <c r="B937" s="20">
        <f t="shared" si="78"/>
        <v>774</v>
      </c>
      <c r="C937" s="22" t="str">
        <f t="shared" si="79"/>
        <v>In Casa #774</v>
      </c>
      <c r="D937" t="str">
        <f t="shared" si="80"/>
        <v>COR22D774</v>
      </c>
      <c r="E937" s="58" t="s">
        <v>252</v>
      </c>
      <c r="F937" s="20">
        <v>1000</v>
      </c>
      <c r="G937" s="14" t="s">
        <v>354</v>
      </c>
      <c r="H937" s="23" t="s">
        <v>170</v>
      </c>
      <c r="J937" s="59" t="s">
        <v>38</v>
      </c>
      <c r="K937" s="22" t="s">
        <v>254</v>
      </c>
      <c r="L937" s="59" t="s">
        <v>171</v>
      </c>
      <c r="M937" s="22">
        <v>2</v>
      </c>
      <c r="V937" s="59" t="s">
        <v>176</v>
      </c>
      <c r="AL937" s="59" t="s">
        <v>40</v>
      </c>
      <c r="AM937" s="22" t="s">
        <v>188</v>
      </c>
      <c r="AV937" s="59" t="s">
        <v>134</v>
      </c>
      <c r="AW937" s="22" t="str">
        <f>Settings!$B$5 &amp;  "?s=" &amp; D937 &amp; "&amp;platform=ftx"</f>
        <v>https://tokensol.nfluent.io?s=COR22D774&amp;platform=ftx</v>
      </c>
      <c r="AX937" s="20" t="s">
        <v>23</v>
      </c>
      <c r="AY937" s="20">
        <v>10</v>
      </c>
      <c r="AZ937" s="20" t="s">
        <v>24</v>
      </c>
      <c r="BA937" s="20">
        <v>90</v>
      </c>
      <c r="BD937" s="14"/>
      <c r="BJ937" t="s">
        <v>255</v>
      </c>
      <c r="BK937" t="s">
        <v>184</v>
      </c>
      <c r="BN937" s="36">
        <v>100</v>
      </c>
      <c r="BO937" s="36">
        <v>100</v>
      </c>
      <c r="BP937">
        <f t="shared" si="81"/>
        <v>480</v>
      </c>
      <c r="BR937" s="38">
        <v>44713</v>
      </c>
      <c r="BS937" s="20" t="s">
        <v>185</v>
      </c>
      <c r="BT937" s="20" t="str">
        <f t="shared" si="77"/>
        <v>InCasa_COR22D774</v>
      </c>
    </row>
    <row r="938" spans="2:72" ht="18.75" customHeight="1" x14ac:dyDescent="0.25">
      <c r="B938" s="20">
        <f t="shared" si="78"/>
        <v>775</v>
      </c>
      <c r="C938" s="22" t="str">
        <f t="shared" si="79"/>
        <v>In Casa #775</v>
      </c>
      <c r="D938" t="str">
        <f t="shared" si="80"/>
        <v>COR22D775</v>
      </c>
      <c r="E938" s="58" t="s">
        <v>252</v>
      </c>
      <c r="F938" s="20">
        <v>1000</v>
      </c>
      <c r="G938" s="14" t="s">
        <v>354</v>
      </c>
      <c r="H938" s="23" t="s">
        <v>170</v>
      </c>
      <c r="J938" s="59" t="s">
        <v>38</v>
      </c>
      <c r="K938" s="22" t="s">
        <v>254</v>
      </c>
      <c r="L938" s="59" t="s">
        <v>171</v>
      </c>
      <c r="M938" s="22">
        <v>2</v>
      </c>
      <c r="V938" s="59" t="s">
        <v>176</v>
      </c>
      <c r="AL938" s="59" t="s">
        <v>40</v>
      </c>
      <c r="AM938" s="22" t="s">
        <v>188</v>
      </c>
      <c r="AV938" s="59" t="s">
        <v>134</v>
      </c>
      <c r="AW938" s="22" t="str">
        <f>Settings!$B$5 &amp;  "?s=" &amp; D938 &amp; "&amp;platform=ftx"</f>
        <v>https://tokensol.nfluent.io?s=COR22D775&amp;platform=ftx</v>
      </c>
      <c r="AX938" s="20" t="s">
        <v>23</v>
      </c>
      <c r="AY938" s="20">
        <v>10</v>
      </c>
      <c r="AZ938" s="20" t="s">
        <v>24</v>
      </c>
      <c r="BA938" s="20">
        <v>90</v>
      </c>
      <c r="BD938" s="14"/>
      <c r="BJ938" t="s">
        <v>255</v>
      </c>
      <c r="BK938" t="s">
        <v>184</v>
      </c>
      <c r="BN938" s="36">
        <v>100</v>
      </c>
      <c r="BO938" s="36">
        <v>100</v>
      </c>
      <c r="BP938">
        <f t="shared" si="81"/>
        <v>480</v>
      </c>
      <c r="BR938" s="38">
        <v>44713</v>
      </c>
      <c r="BS938" s="20" t="s">
        <v>185</v>
      </c>
      <c r="BT938" s="20" t="str">
        <f t="shared" si="77"/>
        <v>InCasa_COR22D775</v>
      </c>
    </row>
    <row r="939" spans="2:72" ht="18.75" customHeight="1" x14ac:dyDescent="0.25">
      <c r="B939" s="20">
        <f t="shared" si="78"/>
        <v>776</v>
      </c>
      <c r="C939" s="22" t="str">
        <f t="shared" si="79"/>
        <v>In Casa #776</v>
      </c>
      <c r="D939" t="str">
        <f t="shared" si="80"/>
        <v>COR22D776</v>
      </c>
      <c r="E939" s="58" t="s">
        <v>252</v>
      </c>
      <c r="F939" s="20">
        <v>1000</v>
      </c>
      <c r="G939" s="14" t="s">
        <v>354</v>
      </c>
      <c r="H939" s="23" t="s">
        <v>170</v>
      </c>
      <c r="J939" s="59" t="s">
        <v>38</v>
      </c>
      <c r="K939" s="22" t="s">
        <v>254</v>
      </c>
      <c r="L939" s="59" t="s">
        <v>171</v>
      </c>
      <c r="M939" s="22">
        <v>2</v>
      </c>
      <c r="V939" s="59" t="s">
        <v>176</v>
      </c>
      <c r="AL939" s="59" t="s">
        <v>40</v>
      </c>
      <c r="AM939" s="22" t="s">
        <v>188</v>
      </c>
      <c r="AV939" s="59" t="s">
        <v>134</v>
      </c>
      <c r="AW939" s="22" t="str">
        <f>Settings!$B$5 &amp;  "?s=" &amp; D939 &amp; "&amp;platform=ftx"</f>
        <v>https://tokensol.nfluent.io?s=COR22D776&amp;platform=ftx</v>
      </c>
      <c r="AX939" s="20" t="s">
        <v>23</v>
      </c>
      <c r="AY939" s="20">
        <v>10</v>
      </c>
      <c r="AZ939" s="20" t="s">
        <v>24</v>
      </c>
      <c r="BA939" s="20">
        <v>90</v>
      </c>
      <c r="BD939" s="14"/>
      <c r="BJ939" t="s">
        <v>255</v>
      </c>
      <c r="BK939" t="s">
        <v>184</v>
      </c>
      <c r="BN939" s="36">
        <v>100</v>
      </c>
      <c r="BO939" s="36">
        <v>100</v>
      </c>
      <c r="BP939">
        <f t="shared" si="81"/>
        <v>480</v>
      </c>
      <c r="BR939" s="38">
        <v>44713</v>
      </c>
      <c r="BS939" s="20" t="s">
        <v>185</v>
      </c>
      <c r="BT939" s="20" t="str">
        <f t="shared" si="77"/>
        <v>InCasa_COR22D776</v>
      </c>
    </row>
    <row r="940" spans="2:72" ht="18.75" customHeight="1" x14ac:dyDescent="0.25">
      <c r="B940" s="20">
        <f t="shared" si="78"/>
        <v>777</v>
      </c>
      <c r="C940" s="22" t="str">
        <f t="shared" si="79"/>
        <v>In Casa #777</v>
      </c>
      <c r="D940" t="str">
        <f t="shared" si="80"/>
        <v>COR22D777</v>
      </c>
      <c r="E940" s="58" t="s">
        <v>252</v>
      </c>
      <c r="F940" s="20">
        <v>1000</v>
      </c>
      <c r="G940" s="14" t="s">
        <v>354</v>
      </c>
      <c r="H940" s="23" t="s">
        <v>170</v>
      </c>
      <c r="J940" s="59" t="s">
        <v>38</v>
      </c>
      <c r="K940" s="22" t="s">
        <v>254</v>
      </c>
      <c r="L940" s="59" t="s">
        <v>171</v>
      </c>
      <c r="M940" s="22">
        <v>2</v>
      </c>
      <c r="V940" s="59" t="s">
        <v>176</v>
      </c>
      <c r="AL940" s="59" t="s">
        <v>40</v>
      </c>
      <c r="AM940" s="22" t="s">
        <v>188</v>
      </c>
      <c r="AV940" s="59" t="s">
        <v>134</v>
      </c>
      <c r="AW940" s="22" t="str">
        <f>Settings!$B$5 &amp;  "?s=" &amp; D940 &amp; "&amp;platform=ftx"</f>
        <v>https://tokensol.nfluent.io?s=COR22D777&amp;platform=ftx</v>
      </c>
      <c r="AX940" s="20" t="s">
        <v>23</v>
      </c>
      <c r="AY940" s="20">
        <v>10</v>
      </c>
      <c r="AZ940" s="20" t="s">
        <v>24</v>
      </c>
      <c r="BA940" s="20">
        <v>90</v>
      </c>
      <c r="BD940" s="14"/>
      <c r="BJ940" t="s">
        <v>255</v>
      </c>
      <c r="BK940" t="s">
        <v>184</v>
      </c>
      <c r="BN940" s="36">
        <v>100</v>
      </c>
      <c r="BO940" s="36">
        <v>100</v>
      </c>
      <c r="BP940">
        <f t="shared" si="81"/>
        <v>480</v>
      </c>
      <c r="BR940" s="38">
        <v>44713</v>
      </c>
      <c r="BS940" s="20" t="s">
        <v>185</v>
      </c>
      <c r="BT940" s="20" t="str">
        <f t="shared" si="77"/>
        <v>InCasa_COR22D777</v>
      </c>
    </row>
    <row r="941" spans="2:72" ht="18.75" customHeight="1" x14ac:dyDescent="0.25">
      <c r="B941" s="20">
        <f t="shared" si="78"/>
        <v>778</v>
      </c>
      <c r="C941" s="22" t="str">
        <f t="shared" si="79"/>
        <v>In Casa #778</v>
      </c>
      <c r="D941" t="str">
        <f t="shared" si="80"/>
        <v>COR22D778</v>
      </c>
      <c r="E941" s="58" t="s">
        <v>252</v>
      </c>
      <c r="F941" s="20">
        <v>1000</v>
      </c>
      <c r="G941" s="14" t="s">
        <v>354</v>
      </c>
      <c r="H941" s="23" t="s">
        <v>170</v>
      </c>
      <c r="J941" s="59" t="s">
        <v>38</v>
      </c>
      <c r="K941" s="22" t="s">
        <v>254</v>
      </c>
      <c r="L941" s="59" t="s">
        <v>171</v>
      </c>
      <c r="M941" s="22">
        <v>2</v>
      </c>
      <c r="V941" s="59" t="s">
        <v>176</v>
      </c>
      <c r="AL941" s="59" t="s">
        <v>40</v>
      </c>
      <c r="AM941" s="22" t="s">
        <v>188</v>
      </c>
      <c r="AV941" s="59" t="s">
        <v>134</v>
      </c>
      <c r="AW941" s="22" t="str">
        <f>Settings!$B$5 &amp;  "?s=" &amp; D941 &amp; "&amp;platform=ftx"</f>
        <v>https://tokensol.nfluent.io?s=COR22D778&amp;platform=ftx</v>
      </c>
      <c r="AX941" s="20" t="s">
        <v>23</v>
      </c>
      <c r="AY941" s="20">
        <v>10</v>
      </c>
      <c r="AZ941" s="20" t="s">
        <v>24</v>
      </c>
      <c r="BA941" s="20">
        <v>90</v>
      </c>
      <c r="BD941" s="14"/>
      <c r="BJ941" t="s">
        <v>255</v>
      </c>
      <c r="BK941" t="s">
        <v>184</v>
      </c>
      <c r="BN941" s="36">
        <v>100</v>
      </c>
      <c r="BO941" s="36">
        <v>100</v>
      </c>
      <c r="BP941">
        <f t="shared" si="81"/>
        <v>480</v>
      </c>
      <c r="BR941" s="38">
        <v>44713</v>
      </c>
      <c r="BS941" s="20" t="s">
        <v>185</v>
      </c>
      <c r="BT941" s="20" t="str">
        <f t="shared" si="77"/>
        <v>InCasa_COR22D778</v>
      </c>
    </row>
    <row r="942" spans="2:72" ht="18.75" customHeight="1" x14ac:dyDescent="0.25">
      <c r="B942" s="20">
        <f t="shared" si="78"/>
        <v>779</v>
      </c>
      <c r="C942" s="22" t="str">
        <f t="shared" si="79"/>
        <v>In Casa #779</v>
      </c>
      <c r="D942" t="str">
        <f t="shared" si="80"/>
        <v>COR22D779</v>
      </c>
      <c r="E942" s="58" t="s">
        <v>252</v>
      </c>
      <c r="F942" s="20">
        <v>1000</v>
      </c>
      <c r="G942" s="14" t="s">
        <v>354</v>
      </c>
      <c r="H942" s="23" t="s">
        <v>170</v>
      </c>
      <c r="J942" s="59" t="s">
        <v>38</v>
      </c>
      <c r="K942" s="22" t="s">
        <v>254</v>
      </c>
      <c r="L942" s="59" t="s">
        <v>171</v>
      </c>
      <c r="M942" s="22">
        <v>2</v>
      </c>
      <c r="V942" s="59" t="s">
        <v>176</v>
      </c>
      <c r="AL942" s="59" t="s">
        <v>40</v>
      </c>
      <c r="AM942" s="22" t="s">
        <v>188</v>
      </c>
      <c r="AV942" s="59" t="s">
        <v>134</v>
      </c>
      <c r="AW942" s="22" t="str">
        <f>Settings!$B$5 &amp;  "?s=" &amp; D942 &amp; "&amp;platform=ftx"</f>
        <v>https://tokensol.nfluent.io?s=COR22D779&amp;platform=ftx</v>
      </c>
      <c r="AX942" s="20" t="s">
        <v>23</v>
      </c>
      <c r="AY942" s="20">
        <v>10</v>
      </c>
      <c r="AZ942" s="20" t="s">
        <v>24</v>
      </c>
      <c r="BA942" s="20">
        <v>90</v>
      </c>
      <c r="BD942" s="14"/>
      <c r="BJ942" t="s">
        <v>255</v>
      </c>
      <c r="BK942" t="s">
        <v>184</v>
      </c>
      <c r="BN942" s="36">
        <v>100</v>
      </c>
      <c r="BO942" s="36">
        <v>100</v>
      </c>
      <c r="BP942">
        <f t="shared" si="81"/>
        <v>480</v>
      </c>
      <c r="BR942" s="38">
        <v>44713</v>
      </c>
      <c r="BS942" s="20" t="s">
        <v>185</v>
      </c>
      <c r="BT942" s="20" t="str">
        <f t="shared" si="77"/>
        <v>InCasa_COR22D779</v>
      </c>
    </row>
    <row r="943" spans="2:72" ht="18.75" customHeight="1" x14ac:dyDescent="0.25">
      <c r="B943" s="20">
        <f t="shared" si="78"/>
        <v>780</v>
      </c>
      <c r="C943" s="22" t="str">
        <f t="shared" si="79"/>
        <v>In Casa #780</v>
      </c>
      <c r="D943" t="str">
        <f t="shared" si="80"/>
        <v>COR22D780</v>
      </c>
      <c r="E943" s="58" t="s">
        <v>252</v>
      </c>
      <c r="F943" s="20">
        <v>1000</v>
      </c>
      <c r="G943" s="14" t="s">
        <v>354</v>
      </c>
      <c r="H943" s="23" t="s">
        <v>170</v>
      </c>
      <c r="J943" s="59" t="s">
        <v>38</v>
      </c>
      <c r="K943" s="22" t="s">
        <v>254</v>
      </c>
      <c r="L943" s="59" t="s">
        <v>171</v>
      </c>
      <c r="M943" s="22">
        <v>2</v>
      </c>
      <c r="V943" s="59" t="s">
        <v>176</v>
      </c>
      <c r="AL943" s="59" t="s">
        <v>40</v>
      </c>
      <c r="AM943" s="22" t="s">
        <v>188</v>
      </c>
      <c r="AV943" s="59" t="s">
        <v>134</v>
      </c>
      <c r="AW943" s="22" t="str">
        <f>Settings!$B$5 &amp;  "?s=" &amp; D943 &amp; "&amp;platform=ftx"</f>
        <v>https://tokensol.nfluent.io?s=COR22D780&amp;platform=ftx</v>
      </c>
      <c r="AX943" s="20" t="s">
        <v>23</v>
      </c>
      <c r="AY943" s="20">
        <v>10</v>
      </c>
      <c r="AZ943" s="20" t="s">
        <v>24</v>
      </c>
      <c r="BA943" s="20">
        <v>90</v>
      </c>
      <c r="BD943" s="14"/>
      <c r="BJ943" t="s">
        <v>255</v>
      </c>
      <c r="BK943" t="s">
        <v>184</v>
      </c>
      <c r="BN943" s="36">
        <v>100</v>
      </c>
      <c r="BO943" s="36">
        <v>100</v>
      </c>
      <c r="BP943">
        <f t="shared" si="81"/>
        <v>480</v>
      </c>
      <c r="BR943" s="38">
        <v>44713</v>
      </c>
      <c r="BS943" s="20" t="s">
        <v>185</v>
      </c>
      <c r="BT943" s="20" t="str">
        <f t="shared" si="77"/>
        <v>InCasa_COR22D780</v>
      </c>
    </row>
    <row r="944" spans="2:72" ht="18.75" customHeight="1" x14ac:dyDescent="0.25">
      <c r="B944" s="20">
        <f t="shared" si="78"/>
        <v>781</v>
      </c>
      <c r="C944" s="22" t="str">
        <f t="shared" si="79"/>
        <v>In Casa #781</v>
      </c>
      <c r="D944" t="str">
        <f t="shared" si="80"/>
        <v>COR22D781</v>
      </c>
      <c r="E944" s="58" t="s">
        <v>252</v>
      </c>
      <c r="F944" s="20">
        <v>1000</v>
      </c>
      <c r="G944" s="14" t="s">
        <v>354</v>
      </c>
      <c r="H944" s="23" t="s">
        <v>170</v>
      </c>
      <c r="J944" s="59" t="s">
        <v>38</v>
      </c>
      <c r="K944" s="22" t="s">
        <v>254</v>
      </c>
      <c r="L944" s="59" t="s">
        <v>171</v>
      </c>
      <c r="M944" s="22">
        <v>2</v>
      </c>
      <c r="V944" s="59" t="s">
        <v>176</v>
      </c>
      <c r="AL944" s="59" t="s">
        <v>40</v>
      </c>
      <c r="AM944" s="22" t="s">
        <v>188</v>
      </c>
      <c r="AV944" s="59" t="s">
        <v>134</v>
      </c>
      <c r="AW944" s="22" t="str">
        <f>Settings!$B$5 &amp;  "?s=" &amp; D944 &amp; "&amp;platform=ftx"</f>
        <v>https://tokensol.nfluent.io?s=COR22D781&amp;platform=ftx</v>
      </c>
      <c r="AX944" s="20" t="s">
        <v>23</v>
      </c>
      <c r="AY944" s="20">
        <v>10</v>
      </c>
      <c r="AZ944" s="20" t="s">
        <v>24</v>
      </c>
      <c r="BA944" s="20">
        <v>90</v>
      </c>
      <c r="BD944" s="14"/>
      <c r="BJ944" t="s">
        <v>255</v>
      </c>
      <c r="BK944" t="s">
        <v>184</v>
      </c>
      <c r="BN944" s="36">
        <v>100</v>
      </c>
      <c r="BO944" s="36">
        <v>100</v>
      </c>
      <c r="BP944">
        <f t="shared" si="81"/>
        <v>480</v>
      </c>
      <c r="BR944" s="38">
        <v>44713</v>
      </c>
      <c r="BS944" s="20" t="s">
        <v>185</v>
      </c>
      <c r="BT944" s="20" t="str">
        <f t="shared" si="77"/>
        <v>InCasa_COR22D781</v>
      </c>
    </row>
    <row r="945" spans="2:72" ht="18.75" customHeight="1" x14ac:dyDescent="0.25">
      <c r="B945" s="20">
        <f t="shared" si="78"/>
        <v>782</v>
      </c>
      <c r="C945" s="22" t="str">
        <f t="shared" si="79"/>
        <v>In Casa #782</v>
      </c>
      <c r="D945" t="str">
        <f t="shared" si="80"/>
        <v>COR22D782</v>
      </c>
      <c r="E945" s="58" t="s">
        <v>252</v>
      </c>
      <c r="F945" s="20">
        <v>1000</v>
      </c>
      <c r="G945" s="14" t="s">
        <v>354</v>
      </c>
      <c r="H945" s="23" t="s">
        <v>170</v>
      </c>
      <c r="J945" s="59" t="s">
        <v>38</v>
      </c>
      <c r="K945" s="22" t="s">
        <v>254</v>
      </c>
      <c r="L945" s="59" t="s">
        <v>171</v>
      </c>
      <c r="M945" s="22">
        <v>2</v>
      </c>
      <c r="V945" s="59" t="s">
        <v>176</v>
      </c>
      <c r="AL945" s="59" t="s">
        <v>40</v>
      </c>
      <c r="AM945" s="22" t="s">
        <v>188</v>
      </c>
      <c r="AV945" s="59" t="s">
        <v>134</v>
      </c>
      <c r="AW945" s="22" t="str">
        <f>Settings!$B$5 &amp;  "?s=" &amp; D945 &amp; "&amp;platform=ftx"</f>
        <v>https://tokensol.nfluent.io?s=COR22D782&amp;platform=ftx</v>
      </c>
      <c r="AX945" s="20" t="s">
        <v>23</v>
      </c>
      <c r="AY945" s="20">
        <v>10</v>
      </c>
      <c r="AZ945" s="20" t="s">
        <v>24</v>
      </c>
      <c r="BA945" s="20">
        <v>90</v>
      </c>
      <c r="BD945" s="14"/>
      <c r="BJ945" t="s">
        <v>255</v>
      </c>
      <c r="BK945" t="s">
        <v>184</v>
      </c>
      <c r="BN945" s="36">
        <v>100</v>
      </c>
      <c r="BO945" s="36">
        <v>100</v>
      </c>
      <c r="BP945">
        <f t="shared" si="81"/>
        <v>480</v>
      </c>
      <c r="BR945" s="38">
        <v>44713</v>
      </c>
      <c r="BS945" s="20" t="s">
        <v>185</v>
      </c>
      <c r="BT945" s="20" t="str">
        <f t="shared" si="77"/>
        <v>InCasa_COR22D782</v>
      </c>
    </row>
    <row r="946" spans="2:72" ht="18.75" customHeight="1" x14ac:dyDescent="0.25">
      <c r="B946" s="20">
        <f t="shared" si="78"/>
        <v>783</v>
      </c>
      <c r="C946" s="22" t="str">
        <f t="shared" si="79"/>
        <v>In Casa #783</v>
      </c>
      <c r="D946" t="str">
        <f t="shared" si="80"/>
        <v>COR22D783</v>
      </c>
      <c r="E946" s="58" t="s">
        <v>252</v>
      </c>
      <c r="F946" s="20">
        <v>1000</v>
      </c>
      <c r="G946" s="14" t="s">
        <v>354</v>
      </c>
      <c r="H946" s="23" t="s">
        <v>170</v>
      </c>
      <c r="J946" s="59" t="s">
        <v>38</v>
      </c>
      <c r="K946" s="22" t="s">
        <v>254</v>
      </c>
      <c r="L946" s="59" t="s">
        <v>171</v>
      </c>
      <c r="M946" s="22">
        <v>2</v>
      </c>
      <c r="V946" s="59" t="s">
        <v>176</v>
      </c>
      <c r="AL946" s="59" t="s">
        <v>40</v>
      </c>
      <c r="AM946" s="22" t="s">
        <v>188</v>
      </c>
      <c r="AV946" s="59" t="s">
        <v>134</v>
      </c>
      <c r="AW946" s="22" t="str">
        <f>Settings!$B$5 &amp;  "?s=" &amp; D946 &amp; "&amp;platform=ftx"</f>
        <v>https://tokensol.nfluent.io?s=COR22D783&amp;platform=ftx</v>
      </c>
      <c r="AX946" s="20" t="s">
        <v>23</v>
      </c>
      <c r="AY946" s="20">
        <v>10</v>
      </c>
      <c r="AZ946" s="20" t="s">
        <v>24</v>
      </c>
      <c r="BA946" s="20">
        <v>90</v>
      </c>
      <c r="BD946" s="14"/>
      <c r="BJ946" t="s">
        <v>255</v>
      </c>
      <c r="BK946" t="s">
        <v>184</v>
      </c>
      <c r="BN946" s="36">
        <v>100</v>
      </c>
      <c r="BO946" s="36">
        <v>100</v>
      </c>
      <c r="BP946">
        <f t="shared" si="81"/>
        <v>480</v>
      </c>
      <c r="BR946" s="38">
        <v>44713</v>
      </c>
      <c r="BS946" s="20" t="s">
        <v>185</v>
      </c>
      <c r="BT946" s="20" t="str">
        <f t="shared" si="77"/>
        <v>InCasa_COR22D783</v>
      </c>
    </row>
    <row r="947" spans="2:72" ht="18.75" customHeight="1" x14ac:dyDescent="0.25">
      <c r="B947" s="20">
        <f t="shared" si="78"/>
        <v>784</v>
      </c>
      <c r="C947" s="22" t="str">
        <f t="shared" si="79"/>
        <v>In Casa #784</v>
      </c>
      <c r="D947" t="str">
        <f t="shared" si="80"/>
        <v>COR22D784</v>
      </c>
      <c r="E947" s="58" t="s">
        <v>252</v>
      </c>
      <c r="F947" s="20">
        <v>1000</v>
      </c>
      <c r="G947" s="14" t="s">
        <v>354</v>
      </c>
      <c r="H947" s="23" t="s">
        <v>170</v>
      </c>
      <c r="J947" s="59" t="s">
        <v>38</v>
      </c>
      <c r="K947" s="22" t="s">
        <v>254</v>
      </c>
      <c r="L947" s="59" t="s">
        <v>171</v>
      </c>
      <c r="M947" s="22">
        <v>2</v>
      </c>
      <c r="V947" s="59" t="s">
        <v>176</v>
      </c>
      <c r="AL947" s="59" t="s">
        <v>40</v>
      </c>
      <c r="AM947" s="22" t="s">
        <v>188</v>
      </c>
      <c r="AV947" s="59" t="s">
        <v>134</v>
      </c>
      <c r="AW947" s="22" t="str">
        <f>Settings!$B$5 &amp;  "?s=" &amp; D947 &amp; "&amp;platform=ftx"</f>
        <v>https://tokensol.nfluent.io?s=COR22D784&amp;platform=ftx</v>
      </c>
      <c r="AX947" s="20" t="s">
        <v>23</v>
      </c>
      <c r="AY947" s="20">
        <v>10</v>
      </c>
      <c r="AZ947" s="20" t="s">
        <v>24</v>
      </c>
      <c r="BA947" s="20">
        <v>90</v>
      </c>
      <c r="BD947" s="14"/>
      <c r="BJ947" t="s">
        <v>255</v>
      </c>
      <c r="BK947" t="s">
        <v>184</v>
      </c>
      <c r="BN947" s="36">
        <v>100</v>
      </c>
      <c r="BO947" s="36">
        <v>100</v>
      </c>
      <c r="BP947">
        <f t="shared" si="81"/>
        <v>480</v>
      </c>
      <c r="BR947" s="38">
        <v>44713</v>
      </c>
      <c r="BS947" s="20" t="s">
        <v>185</v>
      </c>
      <c r="BT947" s="20" t="str">
        <f t="shared" si="77"/>
        <v>InCasa_COR22D784</v>
      </c>
    </row>
    <row r="948" spans="2:72" ht="18.75" customHeight="1" x14ac:dyDescent="0.25">
      <c r="B948" s="20">
        <f t="shared" si="78"/>
        <v>785</v>
      </c>
      <c r="C948" s="22" t="str">
        <f t="shared" si="79"/>
        <v>In Casa #785</v>
      </c>
      <c r="D948" t="str">
        <f t="shared" si="80"/>
        <v>COR22D785</v>
      </c>
      <c r="E948" s="58" t="s">
        <v>252</v>
      </c>
      <c r="F948" s="20">
        <v>1000</v>
      </c>
      <c r="G948" s="14" t="s">
        <v>354</v>
      </c>
      <c r="H948" s="23" t="s">
        <v>170</v>
      </c>
      <c r="J948" s="59" t="s">
        <v>38</v>
      </c>
      <c r="K948" s="22" t="s">
        <v>254</v>
      </c>
      <c r="L948" s="59" t="s">
        <v>171</v>
      </c>
      <c r="M948" s="22">
        <v>2</v>
      </c>
      <c r="V948" s="59" t="s">
        <v>176</v>
      </c>
      <c r="AL948" s="59" t="s">
        <v>40</v>
      </c>
      <c r="AM948" s="22" t="s">
        <v>188</v>
      </c>
      <c r="AV948" s="59" t="s">
        <v>134</v>
      </c>
      <c r="AW948" s="22" t="str">
        <f>Settings!$B$5 &amp;  "?s=" &amp; D948 &amp; "&amp;platform=ftx"</f>
        <v>https://tokensol.nfluent.io?s=COR22D785&amp;platform=ftx</v>
      </c>
      <c r="AX948" s="20" t="s">
        <v>23</v>
      </c>
      <c r="AY948" s="20">
        <v>10</v>
      </c>
      <c r="AZ948" s="20" t="s">
        <v>24</v>
      </c>
      <c r="BA948" s="20">
        <v>90</v>
      </c>
      <c r="BD948" s="14"/>
      <c r="BJ948" t="s">
        <v>255</v>
      </c>
      <c r="BK948" t="s">
        <v>184</v>
      </c>
      <c r="BN948" s="36">
        <v>100</v>
      </c>
      <c r="BO948" s="36">
        <v>100</v>
      </c>
      <c r="BP948">
        <f t="shared" si="81"/>
        <v>480</v>
      </c>
      <c r="BR948" s="38">
        <v>44713</v>
      </c>
      <c r="BS948" s="20" t="s">
        <v>185</v>
      </c>
      <c r="BT948" s="20" t="str">
        <f t="shared" si="77"/>
        <v>InCasa_COR22D785</v>
      </c>
    </row>
    <row r="949" spans="2:72" ht="18.75" customHeight="1" x14ac:dyDescent="0.25">
      <c r="B949" s="20">
        <f t="shared" si="78"/>
        <v>786</v>
      </c>
      <c r="C949" s="22" t="str">
        <f t="shared" si="79"/>
        <v>In Casa #786</v>
      </c>
      <c r="D949" t="str">
        <f t="shared" si="80"/>
        <v>COR22D786</v>
      </c>
      <c r="E949" s="58" t="s">
        <v>252</v>
      </c>
      <c r="F949" s="20">
        <v>1000</v>
      </c>
      <c r="G949" s="14" t="s">
        <v>354</v>
      </c>
      <c r="H949" s="23" t="s">
        <v>170</v>
      </c>
      <c r="J949" s="59" t="s">
        <v>38</v>
      </c>
      <c r="K949" s="22" t="s">
        <v>254</v>
      </c>
      <c r="L949" s="59" t="s">
        <v>171</v>
      </c>
      <c r="M949" s="22">
        <v>2</v>
      </c>
      <c r="V949" s="59" t="s">
        <v>176</v>
      </c>
      <c r="AL949" s="59" t="s">
        <v>40</v>
      </c>
      <c r="AM949" s="22" t="s">
        <v>188</v>
      </c>
      <c r="AV949" s="59" t="s">
        <v>134</v>
      </c>
      <c r="AW949" s="22" t="str">
        <f>Settings!$B$5 &amp;  "?s=" &amp; D949 &amp; "&amp;platform=ftx"</f>
        <v>https://tokensol.nfluent.io?s=COR22D786&amp;platform=ftx</v>
      </c>
      <c r="AX949" s="20" t="s">
        <v>23</v>
      </c>
      <c r="AY949" s="20">
        <v>10</v>
      </c>
      <c r="AZ949" s="20" t="s">
        <v>24</v>
      </c>
      <c r="BA949" s="20">
        <v>90</v>
      </c>
      <c r="BD949" s="14"/>
      <c r="BJ949" t="s">
        <v>255</v>
      </c>
      <c r="BK949" t="s">
        <v>184</v>
      </c>
      <c r="BN949" s="36">
        <v>100</v>
      </c>
      <c r="BO949" s="36">
        <v>100</v>
      </c>
      <c r="BP949">
        <f t="shared" si="81"/>
        <v>480</v>
      </c>
      <c r="BR949" s="38">
        <v>44713</v>
      </c>
      <c r="BS949" s="20" t="s">
        <v>185</v>
      </c>
      <c r="BT949" s="20" t="str">
        <f t="shared" si="77"/>
        <v>InCasa_COR22D786</v>
      </c>
    </row>
    <row r="950" spans="2:72" ht="18.75" customHeight="1" x14ac:dyDescent="0.25">
      <c r="B950" s="20">
        <f t="shared" si="78"/>
        <v>787</v>
      </c>
      <c r="C950" s="22" t="str">
        <f t="shared" si="79"/>
        <v>In Casa #787</v>
      </c>
      <c r="D950" t="str">
        <f t="shared" si="80"/>
        <v>COR22D787</v>
      </c>
      <c r="E950" s="58" t="s">
        <v>252</v>
      </c>
      <c r="F950" s="20">
        <v>1000</v>
      </c>
      <c r="G950" s="14" t="s">
        <v>354</v>
      </c>
      <c r="H950" s="23" t="s">
        <v>170</v>
      </c>
      <c r="J950" s="59" t="s">
        <v>38</v>
      </c>
      <c r="K950" s="22" t="s">
        <v>254</v>
      </c>
      <c r="L950" s="59" t="s">
        <v>171</v>
      </c>
      <c r="M950" s="22">
        <v>2</v>
      </c>
      <c r="V950" s="59" t="s">
        <v>176</v>
      </c>
      <c r="AL950" s="59" t="s">
        <v>40</v>
      </c>
      <c r="AM950" s="22" t="s">
        <v>188</v>
      </c>
      <c r="AV950" s="59" t="s">
        <v>134</v>
      </c>
      <c r="AW950" s="22" t="str">
        <f>Settings!$B$5 &amp;  "?s=" &amp; D950 &amp; "&amp;platform=ftx"</f>
        <v>https://tokensol.nfluent.io?s=COR22D787&amp;platform=ftx</v>
      </c>
      <c r="AX950" s="20" t="s">
        <v>23</v>
      </c>
      <c r="AY950" s="20">
        <v>10</v>
      </c>
      <c r="AZ950" s="20" t="s">
        <v>24</v>
      </c>
      <c r="BA950" s="20">
        <v>90</v>
      </c>
      <c r="BD950" s="14"/>
      <c r="BJ950" t="s">
        <v>255</v>
      </c>
      <c r="BK950" t="s">
        <v>184</v>
      </c>
      <c r="BN950" s="36">
        <v>100</v>
      </c>
      <c r="BO950" s="36">
        <v>100</v>
      </c>
      <c r="BP950">
        <f t="shared" si="81"/>
        <v>480</v>
      </c>
      <c r="BR950" s="38">
        <v>44713</v>
      </c>
      <c r="BS950" s="20" t="s">
        <v>185</v>
      </c>
      <c r="BT950" s="20" t="str">
        <f t="shared" si="77"/>
        <v>InCasa_COR22D787</v>
      </c>
    </row>
    <row r="951" spans="2:72" ht="18.75" customHeight="1" x14ac:dyDescent="0.25">
      <c r="B951" s="20">
        <f t="shared" si="78"/>
        <v>788</v>
      </c>
      <c r="C951" s="22" t="str">
        <f t="shared" si="79"/>
        <v>In Casa #788</v>
      </c>
      <c r="D951" t="str">
        <f t="shared" si="80"/>
        <v>COR22D788</v>
      </c>
      <c r="E951" s="58" t="s">
        <v>252</v>
      </c>
      <c r="F951" s="20">
        <v>1000</v>
      </c>
      <c r="G951" s="14" t="s">
        <v>354</v>
      </c>
      <c r="H951" s="23" t="s">
        <v>170</v>
      </c>
      <c r="J951" s="59" t="s">
        <v>38</v>
      </c>
      <c r="K951" s="22" t="s">
        <v>254</v>
      </c>
      <c r="L951" s="59" t="s">
        <v>171</v>
      </c>
      <c r="M951" s="22">
        <v>2</v>
      </c>
      <c r="V951" s="59" t="s">
        <v>176</v>
      </c>
      <c r="AL951" s="59" t="s">
        <v>40</v>
      </c>
      <c r="AM951" s="22" t="s">
        <v>188</v>
      </c>
      <c r="AV951" s="59" t="s">
        <v>134</v>
      </c>
      <c r="AW951" s="22" t="str">
        <f>Settings!$B$5 &amp;  "?s=" &amp; D951 &amp; "&amp;platform=ftx"</f>
        <v>https://tokensol.nfluent.io?s=COR22D788&amp;platform=ftx</v>
      </c>
      <c r="AX951" s="20" t="s">
        <v>23</v>
      </c>
      <c r="AY951" s="20">
        <v>10</v>
      </c>
      <c r="AZ951" s="20" t="s">
        <v>24</v>
      </c>
      <c r="BA951" s="20">
        <v>90</v>
      </c>
      <c r="BD951" s="14"/>
      <c r="BJ951" t="s">
        <v>255</v>
      </c>
      <c r="BK951" t="s">
        <v>184</v>
      </c>
      <c r="BN951" s="36">
        <v>100</v>
      </c>
      <c r="BO951" s="36">
        <v>100</v>
      </c>
      <c r="BP951">
        <f t="shared" si="81"/>
        <v>480</v>
      </c>
      <c r="BR951" s="38">
        <v>44713</v>
      </c>
      <c r="BS951" s="20" t="s">
        <v>185</v>
      </c>
      <c r="BT951" s="20" t="str">
        <f t="shared" si="77"/>
        <v>InCasa_COR22D788</v>
      </c>
    </row>
    <row r="952" spans="2:72" ht="18.75" customHeight="1" x14ac:dyDescent="0.25">
      <c r="B952" s="20">
        <f t="shared" si="78"/>
        <v>789</v>
      </c>
      <c r="C952" s="22" t="str">
        <f t="shared" si="79"/>
        <v>In Casa #789</v>
      </c>
      <c r="D952" t="str">
        <f t="shared" si="80"/>
        <v>COR22D789</v>
      </c>
      <c r="E952" s="58" t="s">
        <v>252</v>
      </c>
      <c r="F952" s="20">
        <v>1000</v>
      </c>
      <c r="G952" s="14" t="s">
        <v>354</v>
      </c>
      <c r="H952" s="23" t="s">
        <v>170</v>
      </c>
      <c r="J952" s="59" t="s">
        <v>38</v>
      </c>
      <c r="K952" s="22" t="s">
        <v>254</v>
      </c>
      <c r="L952" s="59" t="s">
        <v>171</v>
      </c>
      <c r="M952" s="22">
        <v>2</v>
      </c>
      <c r="V952" s="59" t="s">
        <v>176</v>
      </c>
      <c r="AL952" s="59" t="s">
        <v>40</v>
      </c>
      <c r="AM952" s="22" t="s">
        <v>188</v>
      </c>
      <c r="AV952" s="59" t="s">
        <v>134</v>
      </c>
      <c r="AW952" s="22" t="str">
        <f>Settings!$B$5 &amp;  "?s=" &amp; D952 &amp; "&amp;platform=ftx"</f>
        <v>https://tokensol.nfluent.io?s=COR22D789&amp;platform=ftx</v>
      </c>
      <c r="AX952" s="20" t="s">
        <v>23</v>
      </c>
      <c r="AY952" s="20">
        <v>10</v>
      </c>
      <c r="AZ952" s="20" t="s">
        <v>24</v>
      </c>
      <c r="BA952" s="20">
        <v>90</v>
      </c>
      <c r="BD952" s="14"/>
      <c r="BJ952" t="s">
        <v>255</v>
      </c>
      <c r="BK952" t="s">
        <v>184</v>
      </c>
      <c r="BN952" s="36">
        <v>100</v>
      </c>
      <c r="BO952" s="36">
        <v>100</v>
      </c>
      <c r="BP952">
        <f t="shared" si="81"/>
        <v>480</v>
      </c>
      <c r="BR952" s="38">
        <v>44713</v>
      </c>
      <c r="BS952" s="20" t="s">
        <v>185</v>
      </c>
      <c r="BT952" s="20" t="str">
        <f t="shared" si="77"/>
        <v>InCasa_COR22D789</v>
      </c>
    </row>
    <row r="953" spans="2:72" ht="18.75" customHeight="1" x14ac:dyDescent="0.25">
      <c r="B953" s="20">
        <f t="shared" si="78"/>
        <v>790</v>
      </c>
      <c r="C953" s="22" t="str">
        <f t="shared" si="79"/>
        <v>In Casa #790</v>
      </c>
      <c r="D953" t="str">
        <f t="shared" si="80"/>
        <v>COR22D790</v>
      </c>
      <c r="E953" s="58" t="s">
        <v>252</v>
      </c>
      <c r="F953" s="20">
        <v>1000</v>
      </c>
      <c r="G953" s="14" t="s">
        <v>354</v>
      </c>
      <c r="H953" s="23" t="s">
        <v>170</v>
      </c>
      <c r="J953" s="59" t="s">
        <v>38</v>
      </c>
      <c r="K953" s="22" t="s">
        <v>254</v>
      </c>
      <c r="L953" s="59" t="s">
        <v>171</v>
      </c>
      <c r="M953" s="22">
        <v>2</v>
      </c>
      <c r="V953" s="59" t="s">
        <v>176</v>
      </c>
      <c r="AL953" s="59" t="s">
        <v>40</v>
      </c>
      <c r="AM953" s="22" t="s">
        <v>188</v>
      </c>
      <c r="AV953" s="59" t="s">
        <v>134</v>
      </c>
      <c r="AW953" s="22" t="str">
        <f>Settings!$B$5 &amp;  "?s=" &amp; D953 &amp; "&amp;platform=ftx"</f>
        <v>https://tokensol.nfluent.io?s=COR22D790&amp;platform=ftx</v>
      </c>
      <c r="AX953" s="20" t="s">
        <v>23</v>
      </c>
      <c r="AY953" s="20">
        <v>10</v>
      </c>
      <c r="AZ953" s="20" t="s">
        <v>24</v>
      </c>
      <c r="BA953" s="20">
        <v>90</v>
      </c>
      <c r="BD953" s="14"/>
      <c r="BJ953" t="s">
        <v>255</v>
      </c>
      <c r="BK953" t="s">
        <v>184</v>
      </c>
      <c r="BN953" s="36">
        <v>100</v>
      </c>
      <c r="BO953" s="36">
        <v>100</v>
      </c>
      <c r="BP953">
        <f t="shared" si="81"/>
        <v>480</v>
      </c>
      <c r="BR953" s="38">
        <v>44713</v>
      </c>
      <c r="BS953" s="20" t="s">
        <v>185</v>
      </c>
      <c r="BT953" s="20" t="str">
        <f t="shared" si="77"/>
        <v>InCasa_COR22D790</v>
      </c>
    </row>
    <row r="954" spans="2:72" ht="18.75" customHeight="1" x14ac:dyDescent="0.25">
      <c r="B954" s="20">
        <f t="shared" si="78"/>
        <v>791</v>
      </c>
      <c r="C954" s="22" t="str">
        <f t="shared" si="79"/>
        <v>In Casa #791</v>
      </c>
      <c r="D954" t="str">
        <f t="shared" si="80"/>
        <v>COR22D791</v>
      </c>
      <c r="E954" s="58" t="s">
        <v>252</v>
      </c>
      <c r="F954" s="20">
        <v>1000</v>
      </c>
      <c r="G954" s="14" t="s">
        <v>354</v>
      </c>
      <c r="H954" s="23" t="s">
        <v>170</v>
      </c>
      <c r="J954" s="59" t="s">
        <v>38</v>
      </c>
      <c r="K954" s="22" t="s">
        <v>254</v>
      </c>
      <c r="L954" s="59" t="s">
        <v>171</v>
      </c>
      <c r="M954" s="22">
        <v>2</v>
      </c>
      <c r="V954" s="59" t="s">
        <v>176</v>
      </c>
      <c r="AL954" s="59" t="s">
        <v>40</v>
      </c>
      <c r="AM954" s="22" t="s">
        <v>188</v>
      </c>
      <c r="AV954" s="59" t="s">
        <v>134</v>
      </c>
      <c r="AW954" s="22" t="str">
        <f>Settings!$B$5 &amp;  "?s=" &amp; D954 &amp; "&amp;platform=ftx"</f>
        <v>https://tokensol.nfluent.io?s=COR22D791&amp;platform=ftx</v>
      </c>
      <c r="AX954" s="20" t="s">
        <v>23</v>
      </c>
      <c r="AY954" s="20">
        <v>10</v>
      </c>
      <c r="AZ954" s="20" t="s">
        <v>24</v>
      </c>
      <c r="BA954" s="20">
        <v>90</v>
      </c>
      <c r="BD954" s="14"/>
      <c r="BJ954" t="s">
        <v>255</v>
      </c>
      <c r="BK954" t="s">
        <v>184</v>
      </c>
      <c r="BN954" s="36">
        <v>100</v>
      </c>
      <c r="BO954" s="36">
        <v>100</v>
      </c>
      <c r="BP954">
        <f t="shared" si="81"/>
        <v>480</v>
      </c>
      <c r="BR954" s="38">
        <v>44713</v>
      </c>
      <c r="BS954" s="20" t="s">
        <v>185</v>
      </c>
      <c r="BT954" s="20" t="str">
        <f t="shared" si="77"/>
        <v>InCasa_COR22D791</v>
      </c>
    </row>
    <row r="955" spans="2:72" ht="18.75" customHeight="1" x14ac:dyDescent="0.25">
      <c r="B955" s="20">
        <f t="shared" si="78"/>
        <v>792</v>
      </c>
      <c r="C955" s="22" t="str">
        <f t="shared" si="79"/>
        <v>In Casa #792</v>
      </c>
      <c r="D955" t="str">
        <f t="shared" si="80"/>
        <v>COR22D792</v>
      </c>
      <c r="E955" s="58" t="s">
        <v>252</v>
      </c>
      <c r="F955" s="20">
        <v>1000</v>
      </c>
      <c r="G955" s="14" t="s">
        <v>354</v>
      </c>
      <c r="H955" s="23" t="s">
        <v>170</v>
      </c>
      <c r="J955" s="59" t="s">
        <v>38</v>
      </c>
      <c r="K955" s="22" t="s">
        <v>254</v>
      </c>
      <c r="L955" s="59" t="s">
        <v>171</v>
      </c>
      <c r="M955" s="22">
        <v>2</v>
      </c>
      <c r="V955" s="59" t="s">
        <v>176</v>
      </c>
      <c r="AL955" s="59" t="s">
        <v>40</v>
      </c>
      <c r="AM955" s="22" t="s">
        <v>188</v>
      </c>
      <c r="AV955" s="59" t="s">
        <v>134</v>
      </c>
      <c r="AW955" s="22" t="str">
        <f>Settings!$B$5 &amp;  "?s=" &amp; D955 &amp; "&amp;platform=ftx"</f>
        <v>https://tokensol.nfluent.io?s=COR22D792&amp;platform=ftx</v>
      </c>
      <c r="AX955" s="20" t="s">
        <v>23</v>
      </c>
      <c r="AY955" s="20">
        <v>10</v>
      </c>
      <c r="AZ955" s="20" t="s">
        <v>24</v>
      </c>
      <c r="BA955" s="20">
        <v>90</v>
      </c>
      <c r="BD955" s="14"/>
      <c r="BJ955" t="s">
        <v>255</v>
      </c>
      <c r="BK955" t="s">
        <v>184</v>
      </c>
      <c r="BN955" s="36">
        <v>100</v>
      </c>
      <c r="BO955" s="36">
        <v>100</v>
      </c>
      <c r="BP955">
        <f t="shared" si="81"/>
        <v>480</v>
      </c>
      <c r="BR955" s="38">
        <v>44713</v>
      </c>
      <c r="BS955" s="20" t="s">
        <v>185</v>
      </c>
      <c r="BT955" s="20" t="str">
        <f t="shared" si="77"/>
        <v>InCasa_COR22D792</v>
      </c>
    </row>
    <row r="956" spans="2:72" ht="18.75" customHeight="1" x14ac:dyDescent="0.25">
      <c r="B956" s="20">
        <f t="shared" si="78"/>
        <v>793</v>
      </c>
      <c r="C956" s="22" t="str">
        <f t="shared" si="79"/>
        <v>In Casa #793</v>
      </c>
      <c r="D956" t="str">
        <f t="shared" si="80"/>
        <v>COR22D793</v>
      </c>
      <c r="E956" s="58" t="s">
        <v>252</v>
      </c>
      <c r="F956" s="20">
        <v>1000</v>
      </c>
      <c r="G956" s="14" t="s">
        <v>354</v>
      </c>
      <c r="H956" s="23" t="s">
        <v>170</v>
      </c>
      <c r="J956" s="59" t="s">
        <v>38</v>
      </c>
      <c r="K956" s="22" t="s">
        <v>254</v>
      </c>
      <c r="L956" s="59" t="s">
        <v>171</v>
      </c>
      <c r="M956" s="22">
        <v>2</v>
      </c>
      <c r="V956" s="59" t="s">
        <v>176</v>
      </c>
      <c r="AL956" s="59" t="s">
        <v>40</v>
      </c>
      <c r="AM956" s="22" t="s">
        <v>188</v>
      </c>
      <c r="AV956" s="59" t="s">
        <v>134</v>
      </c>
      <c r="AW956" s="22" t="str">
        <f>Settings!$B$5 &amp;  "?s=" &amp; D956 &amp; "&amp;platform=ftx"</f>
        <v>https://tokensol.nfluent.io?s=COR22D793&amp;platform=ftx</v>
      </c>
      <c r="AX956" s="20" t="s">
        <v>23</v>
      </c>
      <c r="AY956" s="20">
        <v>10</v>
      </c>
      <c r="AZ956" s="20" t="s">
        <v>24</v>
      </c>
      <c r="BA956" s="20">
        <v>90</v>
      </c>
      <c r="BD956" s="14"/>
      <c r="BJ956" t="s">
        <v>255</v>
      </c>
      <c r="BK956" t="s">
        <v>184</v>
      </c>
      <c r="BN956" s="36">
        <v>100</v>
      </c>
      <c r="BO956" s="36">
        <v>100</v>
      </c>
      <c r="BP956">
        <f t="shared" si="81"/>
        <v>480</v>
      </c>
      <c r="BR956" s="38">
        <v>44713</v>
      </c>
      <c r="BS956" s="20" t="s">
        <v>185</v>
      </c>
      <c r="BT956" s="20" t="str">
        <f t="shared" si="77"/>
        <v>InCasa_COR22D793</v>
      </c>
    </row>
    <row r="957" spans="2:72" ht="18.75" customHeight="1" x14ac:dyDescent="0.25">
      <c r="B957" s="20">
        <f t="shared" si="78"/>
        <v>794</v>
      </c>
      <c r="C957" s="22" t="str">
        <f t="shared" si="79"/>
        <v>In Casa #794</v>
      </c>
      <c r="D957" t="str">
        <f t="shared" si="80"/>
        <v>COR22D794</v>
      </c>
      <c r="E957" s="58" t="s">
        <v>252</v>
      </c>
      <c r="F957" s="20">
        <v>1000</v>
      </c>
      <c r="G957" s="14" t="s">
        <v>354</v>
      </c>
      <c r="H957" s="23" t="s">
        <v>170</v>
      </c>
      <c r="J957" s="59" t="s">
        <v>38</v>
      </c>
      <c r="K957" s="22" t="s">
        <v>254</v>
      </c>
      <c r="L957" s="59" t="s">
        <v>171</v>
      </c>
      <c r="M957" s="22">
        <v>2</v>
      </c>
      <c r="V957" s="59" t="s">
        <v>176</v>
      </c>
      <c r="AL957" s="59" t="s">
        <v>40</v>
      </c>
      <c r="AM957" s="22" t="s">
        <v>188</v>
      </c>
      <c r="AV957" s="59" t="s">
        <v>134</v>
      </c>
      <c r="AW957" s="22" t="str">
        <f>Settings!$B$5 &amp;  "?s=" &amp; D957 &amp; "&amp;platform=ftx"</f>
        <v>https://tokensol.nfluent.io?s=COR22D794&amp;platform=ftx</v>
      </c>
      <c r="AX957" s="20" t="s">
        <v>23</v>
      </c>
      <c r="AY957" s="20">
        <v>10</v>
      </c>
      <c r="AZ957" s="20" t="s">
        <v>24</v>
      </c>
      <c r="BA957" s="20">
        <v>90</v>
      </c>
      <c r="BD957" s="14"/>
      <c r="BJ957" t="s">
        <v>255</v>
      </c>
      <c r="BK957" t="s">
        <v>184</v>
      </c>
      <c r="BN957" s="36">
        <v>100</v>
      </c>
      <c r="BO957" s="36">
        <v>100</v>
      </c>
      <c r="BP957">
        <f t="shared" si="81"/>
        <v>480</v>
      </c>
      <c r="BR957" s="38">
        <v>44713</v>
      </c>
      <c r="BS957" s="20" t="s">
        <v>185</v>
      </c>
      <c r="BT957" s="20" t="str">
        <f t="shared" si="77"/>
        <v>InCasa_COR22D794</v>
      </c>
    </row>
    <row r="958" spans="2:72" ht="18.75" customHeight="1" x14ac:dyDescent="0.25">
      <c r="B958" s="20">
        <f t="shared" si="78"/>
        <v>795</v>
      </c>
      <c r="C958" s="22" t="str">
        <f t="shared" si="79"/>
        <v>In Casa #795</v>
      </c>
      <c r="D958" t="str">
        <f t="shared" si="80"/>
        <v>COR22D795</v>
      </c>
      <c r="E958" s="58" t="s">
        <v>252</v>
      </c>
      <c r="F958" s="20">
        <v>1000</v>
      </c>
      <c r="G958" s="14" t="s">
        <v>354</v>
      </c>
      <c r="H958" s="23" t="s">
        <v>170</v>
      </c>
      <c r="J958" s="59" t="s">
        <v>38</v>
      </c>
      <c r="K958" s="22" t="s">
        <v>254</v>
      </c>
      <c r="L958" s="59" t="s">
        <v>171</v>
      </c>
      <c r="M958" s="22">
        <v>2</v>
      </c>
      <c r="V958" s="59" t="s">
        <v>176</v>
      </c>
      <c r="AL958" s="59" t="s">
        <v>40</v>
      </c>
      <c r="AM958" s="22" t="s">
        <v>188</v>
      </c>
      <c r="AV958" s="59" t="s">
        <v>134</v>
      </c>
      <c r="AW958" s="22" t="str">
        <f>Settings!$B$5 &amp;  "?s=" &amp; D958 &amp; "&amp;platform=ftx"</f>
        <v>https://tokensol.nfluent.io?s=COR22D795&amp;platform=ftx</v>
      </c>
      <c r="AX958" s="20" t="s">
        <v>23</v>
      </c>
      <c r="AY958" s="20">
        <v>10</v>
      </c>
      <c r="AZ958" s="20" t="s">
        <v>24</v>
      </c>
      <c r="BA958" s="20">
        <v>90</v>
      </c>
      <c r="BD958" s="14"/>
      <c r="BJ958" t="s">
        <v>255</v>
      </c>
      <c r="BK958" t="s">
        <v>184</v>
      </c>
      <c r="BN958" s="36">
        <v>100</v>
      </c>
      <c r="BO958" s="36">
        <v>100</v>
      </c>
      <c r="BP958">
        <f t="shared" si="81"/>
        <v>480</v>
      </c>
      <c r="BR958" s="38">
        <v>44713</v>
      </c>
      <c r="BS958" s="20" t="s">
        <v>185</v>
      </c>
      <c r="BT958" s="20" t="str">
        <f t="shared" si="77"/>
        <v>InCasa_COR22D795</v>
      </c>
    </row>
    <row r="959" spans="2:72" ht="18.75" customHeight="1" x14ac:dyDescent="0.25">
      <c r="B959" s="20">
        <f t="shared" si="78"/>
        <v>796</v>
      </c>
      <c r="C959" s="22" t="str">
        <f t="shared" si="79"/>
        <v>In Casa #796</v>
      </c>
      <c r="D959" t="str">
        <f t="shared" si="80"/>
        <v>COR22D796</v>
      </c>
      <c r="E959" s="58" t="s">
        <v>252</v>
      </c>
      <c r="F959" s="20">
        <v>1000</v>
      </c>
      <c r="G959" s="14" t="s">
        <v>354</v>
      </c>
      <c r="H959" s="23" t="s">
        <v>170</v>
      </c>
      <c r="J959" s="59" t="s">
        <v>38</v>
      </c>
      <c r="K959" s="22" t="s">
        <v>254</v>
      </c>
      <c r="L959" s="59" t="s">
        <v>171</v>
      </c>
      <c r="M959" s="22">
        <v>2</v>
      </c>
      <c r="V959" s="59" t="s">
        <v>176</v>
      </c>
      <c r="AL959" s="59" t="s">
        <v>40</v>
      </c>
      <c r="AM959" s="22" t="s">
        <v>188</v>
      </c>
      <c r="AV959" s="59" t="s">
        <v>134</v>
      </c>
      <c r="AW959" s="22" t="str">
        <f>Settings!$B$5 &amp;  "?s=" &amp; D959 &amp; "&amp;platform=ftx"</f>
        <v>https://tokensol.nfluent.io?s=COR22D796&amp;platform=ftx</v>
      </c>
      <c r="AX959" s="20" t="s">
        <v>23</v>
      </c>
      <c r="AY959" s="20">
        <v>10</v>
      </c>
      <c r="AZ959" s="20" t="s">
        <v>24</v>
      </c>
      <c r="BA959" s="20">
        <v>90</v>
      </c>
      <c r="BD959" s="14"/>
      <c r="BJ959" t="s">
        <v>255</v>
      </c>
      <c r="BK959" t="s">
        <v>184</v>
      </c>
      <c r="BN959" s="36">
        <v>100</v>
      </c>
      <c r="BO959" s="36">
        <v>100</v>
      </c>
      <c r="BP959">
        <f t="shared" si="81"/>
        <v>480</v>
      </c>
      <c r="BR959" s="38">
        <v>44713</v>
      </c>
      <c r="BS959" s="20" t="s">
        <v>185</v>
      </c>
      <c r="BT959" s="20" t="str">
        <f t="shared" si="77"/>
        <v>InCasa_COR22D796</v>
      </c>
    </row>
    <row r="960" spans="2:72" ht="18.75" customHeight="1" x14ac:dyDescent="0.25">
      <c r="B960" s="20">
        <f t="shared" si="78"/>
        <v>797</v>
      </c>
      <c r="C960" s="22" t="str">
        <f t="shared" si="79"/>
        <v>In Casa #797</v>
      </c>
      <c r="D960" t="str">
        <f t="shared" si="80"/>
        <v>COR22D797</v>
      </c>
      <c r="E960" s="58" t="s">
        <v>252</v>
      </c>
      <c r="F960" s="20">
        <v>1000</v>
      </c>
      <c r="G960" s="14" t="s">
        <v>354</v>
      </c>
      <c r="H960" s="23" t="s">
        <v>170</v>
      </c>
      <c r="J960" s="59" t="s">
        <v>38</v>
      </c>
      <c r="K960" s="22" t="s">
        <v>254</v>
      </c>
      <c r="L960" s="59" t="s">
        <v>171</v>
      </c>
      <c r="M960" s="22">
        <v>2</v>
      </c>
      <c r="V960" s="59" t="s">
        <v>176</v>
      </c>
      <c r="AL960" s="59" t="s">
        <v>40</v>
      </c>
      <c r="AM960" s="22" t="s">
        <v>188</v>
      </c>
      <c r="AV960" s="59" t="s">
        <v>134</v>
      </c>
      <c r="AW960" s="22" t="str">
        <f>Settings!$B$5 &amp;  "?s=" &amp; D960 &amp; "&amp;platform=ftx"</f>
        <v>https://tokensol.nfluent.io?s=COR22D797&amp;platform=ftx</v>
      </c>
      <c r="AX960" s="20" t="s">
        <v>23</v>
      </c>
      <c r="AY960" s="20">
        <v>10</v>
      </c>
      <c r="AZ960" s="20" t="s">
        <v>24</v>
      </c>
      <c r="BA960" s="20">
        <v>90</v>
      </c>
      <c r="BD960" s="14"/>
      <c r="BJ960" t="s">
        <v>255</v>
      </c>
      <c r="BK960" t="s">
        <v>184</v>
      </c>
      <c r="BN960" s="36">
        <v>100</v>
      </c>
      <c r="BO960" s="36">
        <v>100</v>
      </c>
      <c r="BP960">
        <f t="shared" si="81"/>
        <v>480</v>
      </c>
      <c r="BR960" s="38">
        <v>44713</v>
      </c>
      <c r="BS960" s="20" t="s">
        <v>185</v>
      </c>
      <c r="BT960" s="20" t="str">
        <f t="shared" si="77"/>
        <v>InCasa_COR22D797</v>
      </c>
    </row>
    <row r="961" spans="2:72" ht="18.75" customHeight="1" x14ac:dyDescent="0.25">
      <c r="B961" s="20">
        <f t="shared" si="78"/>
        <v>798</v>
      </c>
      <c r="C961" s="22" t="str">
        <f t="shared" si="79"/>
        <v>In Casa #798</v>
      </c>
      <c r="D961" t="str">
        <f t="shared" si="80"/>
        <v>COR22D798</v>
      </c>
      <c r="E961" s="58" t="s">
        <v>252</v>
      </c>
      <c r="F961" s="20">
        <v>1000</v>
      </c>
      <c r="G961" s="14" t="s">
        <v>354</v>
      </c>
      <c r="H961" s="23" t="s">
        <v>170</v>
      </c>
      <c r="J961" s="59" t="s">
        <v>38</v>
      </c>
      <c r="K961" s="22" t="s">
        <v>254</v>
      </c>
      <c r="L961" s="59" t="s">
        <v>171</v>
      </c>
      <c r="M961" s="22">
        <v>2</v>
      </c>
      <c r="V961" s="59" t="s">
        <v>176</v>
      </c>
      <c r="AL961" s="59" t="s">
        <v>40</v>
      </c>
      <c r="AM961" s="22" t="s">
        <v>188</v>
      </c>
      <c r="AV961" s="59" t="s">
        <v>134</v>
      </c>
      <c r="AW961" s="22" t="str">
        <f>Settings!$B$5 &amp;  "?s=" &amp; D961 &amp; "&amp;platform=ftx"</f>
        <v>https://tokensol.nfluent.io?s=COR22D798&amp;platform=ftx</v>
      </c>
      <c r="AX961" s="20" t="s">
        <v>23</v>
      </c>
      <c r="AY961" s="20">
        <v>10</v>
      </c>
      <c r="AZ961" s="20" t="s">
        <v>24</v>
      </c>
      <c r="BA961" s="20">
        <v>90</v>
      </c>
      <c r="BD961" s="14"/>
      <c r="BJ961" t="s">
        <v>255</v>
      </c>
      <c r="BK961" t="s">
        <v>184</v>
      </c>
      <c r="BN961" s="36">
        <v>100</v>
      </c>
      <c r="BO961" s="36">
        <v>100</v>
      </c>
      <c r="BP961">
        <f t="shared" si="81"/>
        <v>480</v>
      </c>
      <c r="BR961" s="38">
        <v>44713</v>
      </c>
      <c r="BS961" s="20" t="s">
        <v>185</v>
      </c>
      <c r="BT961" s="20" t="str">
        <f t="shared" si="77"/>
        <v>InCasa_COR22D798</v>
      </c>
    </row>
    <row r="962" spans="2:72" ht="18.75" customHeight="1" x14ac:dyDescent="0.25">
      <c r="B962" s="20">
        <f t="shared" si="78"/>
        <v>799</v>
      </c>
      <c r="C962" s="22" t="str">
        <f t="shared" si="79"/>
        <v>In Casa #799</v>
      </c>
      <c r="D962" t="str">
        <f t="shared" si="80"/>
        <v>COR22D799</v>
      </c>
      <c r="E962" s="58" t="s">
        <v>252</v>
      </c>
      <c r="F962" s="20">
        <v>1000</v>
      </c>
      <c r="G962" s="14" t="s">
        <v>354</v>
      </c>
      <c r="H962" s="23" t="s">
        <v>170</v>
      </c>
      <c r="J962" s="59" t="s">
        <v>38</v>
      </c>
      <c r="K962" s="22" t="s">
        <v>254</v>
      </c>
      <c r="L962" s="59" t="s">
        <v>171</v>
      </c>
      <c r="M962" s="22">
        <v>2</v>
      </c>
      <c r="V962" s="59" t="s">
        <v>176</v>
      </c>
      <c r="AL962" s="59" t="s">
        <v>40</v>
      </c>
      <c r="AM962" s="22" t="s">
        <v>188</v>
      </c>
      <c r="AV962" s="59" t="s">
        <v>134</v>
      </c>
      <c r="AW962" s="22" t="str">
        <f>Settings!$B$5 &amp;  "?s=" &amp; D962 &amp; "&amp;platform=ftx"</f>
        <v>https://tokensol.nfluent.io?s=COR22D799&amp;platform=ftx</v>
      </c>
      <c r="AX962" s="20" t="s">
        <v>23</v>
      </c>
      <c r="AY962" s="20">
        <v>10</v>
      </c>
      <c r="AZ962" s="20" t="s">
        <v>24</v>
      </c>
      <c r="BA962" s="20">
        <v>90</v>
      </c>
      <c r="BD962" s="14"/>
      <c r="BJ962" t="s">
        <v>255</v>
      </c>
      <c r="BK962" t="s">
        <v>184</v>
      </c>
      <c r="BN962" s="36">
        <v>100</v>
      </c>
      <c r="BO962" s="36">
        <v>100</v>
      </c>
      <c r="BP962">
        <f t="shared" si="81"/>
        <v>480</v>
      </c>
      <c r="BR962" s="38">
        <v>44713</v>
      </c>
      <c r="BS962" s="20" t="s">
        <v>185</v>
      </c>
      <c r="BT962" s="20" t="str">
        <f t="shared" si="77"/>
        <v>InCasa_COR22D799</v>
      </c>
    </row>
    <row r="963" spans="2:72" ht="18.75" customHeight="1" x14ac:dyDescent="0.25">
      <c r="B963" s="20">
        <f t="shared" si="78"/>
        <v>800</v>
      </c>
      <c r="C963" s="22" t="str">
        <f t="shared" si="79"/>
        <v>In Casa #800</v>
      </c>
      <c r="D963" t="str">
        <f t="shared" si="80"/>
        <v>COR22D800</v>
      </c>
      <c r="E963" s="58" t="s">
        <v>252</v>
      </c>
      <c r="F963" s="20">
        <v>1000</v>
      </c>
      <c r="G963" s="14" t="s">
        <v>354</v>
      </c>
      <c r="H963" s="23" t="s">
        <v>170</v>
      </c>
      <c r="J963" s="59" t="s">
        <v>38</v>
      </c>
      <c r="K963" s="22" t="s">
        <v>254</v>
      </c>
      <c r="L963" s="59" t="s">
        <v>171</v>
      </c>
      <c r="M963" s="22">
        <v>2</v>
      </c>
      <c r="V963" s="59" t="s">
        <v>176</v>
      </c>
      <c r="AL963" s="59" t="s">
        <v>40</v>
      </c>
      <c r="AM963" s="22" t="s">
        <v>188</v>
      </c>
      <c r="AV963" s="59" t="s">
        <v>134</v>
      </c>
      <c r="AW963" s="22" t="str">
        <f>Settings!$B$5 &amp;  "?s=" &amp; D963 &amp; "&amp;platform=ftx"</f>
        <v>https://tokensol.nfluent.io?s=COR22D800&amp;platform=ftx</v>
      </c>
      <c r="AX963" s="20" t="s">
        <v>23</v>
      </c>
      <c r="AY963" s="20">
        <v>10</v>
      </c>
      <c r="AZ963" s="20" t="s">
        <v>24</v>
      </c>
      <c r="BA963" s="20">
        <v>90</v>
      </c>
      <c r="BD963" s="14"/>
      <c r="BJ963" t="s">
        <v>255</v>
      </c>
      <c r="BK963" t="s">
        <v>184</v>
      </c>
      <c r="BN963" s="36">
        <v>100</v>
      </c>
      <c r="BO963" s="36">
        <v>100</v>
      </c>
      <c r="BP963">
        <f t="shared" si="81"/>
        <v>480</v>
      </c>
      <c r="BR963" s="38">
        <v>44713</v>
      </c>
      <c r="BS963" s="20" t="s">
        <v>185</v>
      </c>
      <c r="BT963" s="20" t="str">
        <f t="shared" si="77"/>
        <v>InCasa_COR22D800</v>
      </c>
    </row>
    <row r="964" spans="2:72" ht="18.75" customHeight="1" x14ac:dyDescent="0.25">
      <c r="B964" s="20">
        <f t="shared" si="78"/>
        <v>801</v>
      </c>
      <c r="C964" s="22" t="str">
        <f t="shared" si="79"/>
        <v>In Casa #801</v>
      </c>
      <c r="D964" t="str">
        <f t="shared" si="80"/>
        <v>COR22D801</v>
      </c>
      <c r="E964" s="58" t="s">
        <v>252</v>
      </c>
      <c r="F964" s="20">
        <v>1000</v>
      </c>
      <c r="G964" s="14" t="s">
        <v>354</v>
      </c>
      <c r="H964" s="23" t="s">
        <v>170</v>
      </c>
      <c r="J964" s="59" t="s">
        <v>38</v>
      </c>
      <c r="K964" s="22" t="s">
        <v>254</v>
      </c>
      <c r="L964" s="59" t="s">
        <v>171</v>
      </c>
      <c r="M964" s="22">
        <v>2</v>
      </c>
      <c r="V964" s="59" t="s">
        <v>176</v>
      </c>
      <c r="AL964" s="59" t="s">
        <v>40</v>
      </c>
      <c r="AM964" s="22" t="s">
        <v>188</v>
      </c>
      <c r="AV964" s="59" t="s">
        <v>134</v>
      </c>
      <c r="AW964" s="22" t="str">
        <f>Settings!$B$5 &amp;  "?s=" &amp; D964 &amp; "&amp;platform=ftx"</f>
        <v>https://tokensol.nfluent.io?s=COR22D801&amp;platform=ftx</v>
      </c>
      <c r="AX964" s="20" t="s">
        <v>23</v>
      </c>
      <c r="AY964" s="20">
        <v>10</v>
      </c>
      <c r="AZ964" s="20" t="s">
        <v>24</v>
      </c>
      <c r="BA964" s="20">
        <v>90</v>
      </c>
      <c r="BD964" s="14"/>
      <c r="BJ964" t="s">
        <v>255</v>
      </c>
      <c r="BK964" t="s">
        <v>184</v>
      </c>
      <c r="BN964" s="36">
        <v>100</v>
      </c>
      <c r="BO964" s="36">
        <v>100</v>
      </c>
      <c r="BP964">
        <f t="shared" si="81"/>
        <v>480</v>
      </c>
      <c r="BR964" s="38">
        <v>44713</v>
      </c>
      <c r="BS964" s="20" t="s">
        <v>185</v>
      </c>
      <c r="BT964" s="20" t="str">
        <f t="shared" si="77"/>
        <v>InCasa_COR22D801</v>
      </c>
    </row>
    <row r="965" spans="2:72" ht="18.75" customHeight="1" x14ac:dyDescent="0.25">
      <c r="B965" s="20">
        <f t="shared" si="78"/>
        <v>802</v>
      </c>
      <c r="C965" s="22" t="str">
        <f t="shared" si="79"/>
        <v>In Casa #802</v>
      </c>
      <c r="D965" t="str">
        <f t="shared" si="80"/>
        <v>COR22D802</v>
      </c>
      <c r="E965" s="58" t="s">
        <v>252</v>
      </c>
      <c r="F965" s="20">
        <v>1000</v>
      </c>
      <c r="G965" s="14" t="s">
        <v>354</v>
      </c>
      <c r="H965" s="23" t="s">
        <v>170</v>
      </c>
      <c r="J965" s="59" t="s">
        <v>38</v>
      </c>
      <c r="K965" s="22" t="s">
        <v>254</v>
      </c>
      <c r="L965" s="59" t="s">
        <v>171</v>
      </c>
      <c r="M965" s="22">
        <v>2</v>
      </c>
      <c r="V965" s="59" t="s">
        <v>176</v>
      </c>
      <c r="AL965" s="59" t="s">
        <v>40</v>
      </c>
      <c r="AM965" s="22" t="s">
        <v>188</v>
      </c>
      <c r="AV965" s="59" t="s">
        <v>134</v>
      </c>
      <c r="AW965" s="22" t="str">
        <f>Settings!$B$5 &amp;  "?s=" &amp; D965 &amp; "&amp;platform=ftx"</f>
        <v>https://tokensol.nfluent.io?s=COR22D802&amp;platform=ftx</v>
      </c>
      <c r="AX965" s="20" t="s">
        <v>23</v>
      </c>
      <c r="AY965" s="20">
        <v>10</v>
      </c>
      <c r="AZ965" s="20" t="s">
        <v>24</v>
      </c>
      <c r="BA965" s="20">
        <v>90</v>
      </c>
      <c r="BD965" s="14"/>
      <c r="BJ965" t="s">
        <v>255</v>
      </c>
      <c r="BK965" t="s">
        <v>184</v>
      </c>
      <c r="BN965" s="36">
        <v>100</v>
      </c>
      <c r="BO965" s="36">
        <v>100</v>
      </c>
      <c r="BP965">
        <f t="shared" si="81"/>
        <v>480</v>
      </c>
      <c r="BR965" s="38">
        <v>44713</v>
      </c>
      <c r="BS965" s="20" t="s">
        <v>185</v>
      </c>
      <c r="BT965" s="20" t="str">
        <f t="shared" ref="BT965:BT1028" si="82">SUBSTITUTE(BJ965," ","") &amp; "_" &amp; D965</f>
        <v>InCasa_COR22D802</v>
      </c>
    </row>
    <row r="966" spans="2:72" ht="18.75" customHeight="1" x14ac:dyDescent="0.25">
      <c r="B966" s="20">
        <f t="shared" ref="B966:B1029" si="83">+B965+1</f>
        <v>803</v>
      </c>
      <c r="C966" s="22" t="str">
        <f t="shared" si="79"/>
        <v>In Casa #803</v>
      </c>
      <c r="D966" t="str">
        <f t="shared" si="80"/>
        <v>COR22D803</v>
      </c>
      <c r="E966" s="58" t="s">
        <v>252</v>
      </c>
      <c r="F966" s="20">
        <v>1000</v>
      </c>
      <c r="G966" s="14" t="s">
        <v>354</v>
      </c>
      <c r="H966" s="23" t="s">
        <v>170</v>
      </c>
      <c r="J966" s="59" t="s">
        <v>38</v>
      </c>
      <c r="K966" s="22" t="s">
        <v>254</v>
      </c>
      <c r="L966" s="59" t="s">
        <v>171</v>
      </c>
      <c r="M966" s="22">
        <v>2</v>
      </c>
      <c r="V966" s="59" t="s">
        <v>176</v>
      </c>
      <c r="AL966" s="59" t="s">
        <v>40</v>
      </c>
      <c r="AM966" s="22" t="s">
        <v>188</v>
      </c>
      <c r="AV966" s="59" t="s">
        <v>134</v>
      </c>
      <c r="AW966" s="22" t="str">
        <f>Settings!$B$5 &amp;  "?s=" &amp; D966 &amp; "&amp;platform=ftx"</f>
        <v>https://tokensol.nfluent.io?s=COR22D803&amp;platform=ftx</v>
      </c>
      <c r="AX966" s="20" t="s">
        <v>23</v>
      </c>
      <c r="AY966" s="20">
        <v>10</v>
      </c>
      <c r="AZ966" s="20" t="s">
        <v>24</v>
      </c>
      <c r="BA966" s="20">
        <v>90</v>
      </c>
      <c r="BD966" s="14"/>
      <c r="BJ966" t="s">
        <v>255</v>
      </c>
      <c r="BK966" t="s">
        <v>184</v>
      </c>
      <c r="BN966" s="36">
        <v>100</v>
      </c>
      <c r="BO966" s="36">
        <v>100</v>
      </c>
      <c r="BP966">
        <f t="shared" si="81"/>
        <v>480</v>
      </c>
      <c r="BR966" s="38">
        <v>44713</v>
      </c>
      <c r="BS966" s="20" t="s">
        <v>185</v>
      </c>
      <c r="BT966" s="20" t="str">
        <f t="shared" si="82"/>
        <v>InCasa_COR22D803</v>
      </c>
    </row>
    <row r="967" spans="2:72" ht="18.75" customHeight="1" x14ac:dyDescent="0.25">
      <c r="B967" s="20">
        <f t="shared" si="83"/>
        <v>804</v>
      </c>
      <c r="C967" s="22" t="str">
        <f t="shared" si="79"/>
        <v>In Casa #804</v>
      </c>
      <c r="D967" t="str">
        <f t="shared" si="80"/>
        <v>COR22D804</v>
      </c>
      <c r="E967" s="58" t="s">
        <v>252</v>
      </c>
      <c r="F967" s="20">
        <v>1000</v>
      </c>
      <c r="G967" s="14" t="s">
        <v>354</v>
      </c>
      <c r="H967" s="23" t="s">
        <v>170</v>
      </c>
      <c r="J967" s="59" t="s">
        <v>38</v>
      </c>
      <c r="K967" s="22" t="s">
        <v>254</v>
      </c>
      <c r="L967" s="59" t="s">
        <v>171</v>
      </c>
      <c r="M967" s="22">
        <v>2</v>
      </c>
      <c r="V967" s="59" t="s">
        <v>176</v>
      </c>
      <c r="AL967" s="59" t="s">
        <v>40</v>
      </c>
      <c r="AM967" s="22" t="s">
        <v>188</v>
      </c>
      <c r="AV967" s="59" t="s">
        <v>134</v>
      </c>
      <c r="AW967" s="22" t="str">
        <f>Settings!$B$5 &amp;  "?s=" &amp; D967 &amp; "&amp;platform=ftx"</f>
        <v>https://tokensol.nfluent.io?s=COR22D804&amp;platform=ftx</v>
      </c>
      <c r="AX967" s="20" t="s">
        <v>23</v>
      </c>
      <c r="AY967" s="20">
        <v>10</v>
      </c>
      <c r="AZ967" s="20" t="s">
        <v>24</v>
      </c>
      <c r="BA967" s="20">
        <v>90</v>
      </c>
      <c r="BD967" s="14"/>
      <c r="BJ967" t="s">
        <v>255</v>
      </c>
      <c r="BK967" t="s">
        <v>184</v>
      </c>
      <c r="BN967" s="36">
        <v>100</v>
      </c>
      <c r="BO967" s="36">
        <v>100</v>
      </c>
      <c r="BP967">
        <f t="shared" si="81"/>
        <v>480</v>
      </c>
      <c r="BR967" s="38">
        <v>44713</v>
      </c>
      <c r="BS967" s="20" t="s">
        <v>185</v>
      </c>
      <c r="BT967" s="20" t="str">
        <f t="shared" si="82"/>
        <v>InCasa_COR22D804</v>
      </c>
    </row>
    <row r="968" spans="2:72" ht="18.75" customHeight="1" x14ac:dyDescent="0.25">
      <c r="B968" s="20">
        <f t="shared" si="83"/>
        <v>805</v>
      </c>
      <c r="C968" s="22" t="str">
        <f t="shared" si="79"/>
        <v>In Casa #805</v>
      </c>
      <c r="D968" t="str">
        <f t="shared" si="80"/>
        <v>COR22D805</v>
      </c>
      <c r="E968" s="58" t="s">
        <v>252</v>
      </c>
      <c r="F968" s="20">
        <v>1000</v>
      </c>
      <c r="G968" s="14" t="s">
        <v>354</v>
      </c>
      <c r="H968" s="23" t="s">
        <v>170</v>
      </c>
      <c r="J968" s="59" t="s">
        <v>38</v>
      </c>
      <c r="K968" s="22" t="s">
        <v>254</v>
      </c>
      <c r="L968" s="59" t="s">
        <v>171</v>
      </c>
      <c r="M968" s="22">
        <v>2</v>
      </c>
      <c r="V968" s="59" t="s">
        <v>176</v>
      </c>
      <c r="AL968" s="59" t="s">
        <v>40</v>
      </c>
      <c r="AM968" s="22" t="s">
        <v>188</v>
      </c>
      <c r="AV968" s="59" t="s">
        <v>134</v>
      </c>
      <c r="AW968" s="22" t="str">
        <f>Settings!$B$5 &amp;  "?s=" &amp; D968 &amp; "&amp;platform=ftx"</f>
        <v>https://tokensol.nfluent.io?s=COR22D805&amp;platform=ftx</v>
      </c>
      <c r="AX968" s="20" t="s">
        <v>23</v>
      </c>
      <c r="AY968" s="20">
        <v>10</v>
      </c>
      <c r="AZ968" s="20" t="s">
        <v>24</v>
      </c>
      <c r="BA968" s="20">
        <v>90</v>
      </c>
      <c r="BD968" s="14"/>
      <c r="BJ968" t="s">
        <v>255</v>
      </c>
      <c r="BK968" t="s">
        <v>184</v>
      </c>
      <c r="BN968" s="36">
        <v>100</v>
      </c>
      <c r="BO968" s="36">
        <v>100</v>
      </c>
      <c r="BP968">
        <f t="shared" si="81"/>
        <v>480</v>
      </c>
      <c r="BR968" s="38">
        <v>44713</v>
      </c>
      <c r="BS968" s="20" t="s">
        <v>185</v>
      </c>
      <c r="BT968" s="20" t="str">
        <f t="shared" si="82"/>
        <v>InCasa_COR22D805</v>
      </c>
    </row>
    <row r="969" spans="2:72" ht="18.75" customHeight="1" x14ac:dyDescent="0.25">
      <c r="B969" s="20">
        <f t="shared" si="83"/>
        <v>806</v>
      </c>
      <c r="C969" s="22" t="str">
        <f t="shared" si="79"/>
        <v>In Casa #806</v>
      </c>
      <c r="D969" t="str">
        <f t="shared" si="80"/>
        <v>COR22D806</v>
      </c>
      <c r="E969" s="58" t="s">
        <v>252</v>
      </c>
      <c r="F969" s="20">
        <v>1000</v>
      </c>
      <c r="G969" s="14" t="s">
        <v>354</v>
      </c>
      <c r="H969" s="23" t="s">
        <v>170</v>
      </c>
      <c r="J969" s="59" t="s">
        <v>38</v>
      </c>
      <c r="K969" s="22" t="s">
        <v>254</v>
      </c>
      <c r="L969" s="59" t="s">
        <v>171</v>
      </c>
      <c r="M969" s="22">
        <v>2</v>
      </c>
      <c r="V969" s="59" t="s">
        <v>176</v>
      </c>
      <c r="AL969" s="59" t="s">
        <v>40</v>
      </c>
      <c r="AM969" s="22" t="s">
        <v>188</v>
      </c>
      <c r="AV969" s="59" t="s">
        <v>134</v>
      </c>
      <c r="AW969" s="22" t="str">
        <f>Settings!$B$5 &amp;  "?s=" &amp; D969 &amp; "&amp;platform=ftx"</f>
        <v>https://tokensol.nfluent.io?s=COR22D806&amp;platform=ftx</v>
      </c>
      <c r="AX969" s="20" t="s">
        <v>23</v>
      </c>
      <c r="AY969" s="20">
        <v>10</v>
      </c>
      <c r="AZ969" s="20" t="s">
        <v>24</v>
      </c>
      <c r="BA969" s="20">
        <v>90</v>
      </c>
      <c r="BD969" s="14"/>
      <c r="BJ969" t="s">
        <v>255</v>
      </c>
      <c r="BK969" t="s">
        <v>184</v>
      </c>
      <c r="BN969" s="36">
        <v>100</v>
      </c>
      <c r="BO969" s="36">
        <v>100</v>
      </c>
      <c r="BP969">
        <f t="shared" si="81"/>
        <v>480</v>
      </c>
      <c r="BR969" s="38">
        <v>44713</v>
      </c>
      <c r="BS969" s="20" t="s">
        <v>185</v>
      </c>
      <c r="BT969" s="20" t="str">
        <f t="shared" si="82"/>
        <v>InCasa_COR22D806</v>
      </c>
    </row>
    <row r="970" spans="2:72" ht="18.75" customHeight="1" x14ac:dyDescent="0.25">
      <c r="B970" s="20">
        <f t="shared" si="83"/>
        <v>807</v>
      </c>
      <c r="C970" s="22" t="str">
        <f t="shared" si="79"/>
        <v>In Casa #807</v>
      </c>
      <c r="D970" t="str">
        <f t="shared" si="80"/>
        <v>COR22D807</v>
      </c>
      <c r="E970" s="58" t="s">
        <v>252</v>
      </c>
      <c r="F970" s="20">
        <v>1000</v>
      </c>
      <c r="G970" s="14" t="s">
        <v>354</v>
      </c>
      <c r="H970" s="23" t="s">
        <v>170</v>
      </c>
      <c r="J970" s="59" t="s">
        <v>38</v>
      </c>
      <c r="K970" s="22" t="s">
        <v>254</v>
      </c>
      <c r="L970" s="59" t="s">
        <v>171</v>
      </c>
      <c r="M970" s="22">
        <v>2</v>
      </c>
      <c r="V970" s="59" t="s">
        <v>176</v>
      </c>
      <c r="AL970" s="59" t="s">
        <v>40</v>
      </c>
      <c r="AM970" s="22" t="s">
        <v>188</v>
      </c>
      <c r="AV970" s="59" t="s">
        <v>134</v>
      </c>
      <c r="AW970" s="22" t="str">
        <f>Settings!$B$5 &amp;  "?s=" &amp; D970 &amp; "&amp;platform=ftx"</f>
        <v>https://tokensol.nfluent.io?s=COR22D807&amp;platform=ftx</v>
      </c>
      <c r="AX970" s="20" t="s">
        <v>23</v>
      </c>
      <c r="AY970" s="20">
        <v>10</v>
      </c>
      <c r="AZ970" s="20" t="s">
        <v>24</v>
      </c>
      <c r="BA970" s="20">
        <v>90</v>
      </c>
      <c r="BD970" s="14"/>
      <c r="BJ970" t="s">
        <v>255</v>
      </c>
      <c r="BK970" t="s">
        <v>184</v>
      </c>
      <c r="BN970" s="36">
        <v>100</v>
      </c>
      <c r="BO970" s="36">
        <v>100</v>
      </c>
      <c r="BP970">
        <f t="shared" si="81"/>
        <v>480</v>
      </c>
      <c r="BR970" s="38">
        <v>44713</v>
      </c>
      <c r="BS970" s="20" t="s">
        <v>185</v>
      </c>
      <c r="BT970" s="20" t="str">
        <f t="shared" si="82"/>
        <v>InCasa_COR22D807</v>
      </c>
    </row>
    <row r="971" spans="2:72" ht="18.75" customHeight="1" x14ac:dyDescent="0.25">
      <c r="B971" s="20">
        <f t="shared" si="83"/>
        <v>808</v>
      </c>
      <c r="C971" s="22" t="str">
        <f t="shared" si="79"/>
        <v>In Casa #808</v>
      </c>
      <c r="D971" t="str">
        <f t="shared" si="80"/>
        <v>COR22D808</v>
      </c>
      <c r="E971" s="58" t="s">
        <v>252</v>
      </c>
      <c r="F971" s="20">
        <v>1000</v>
      </c>
      <c r="G971" s="14" t="s">
        <v>354</v>
      </c>
      <c r="H971" s="23" t="s">
        <v>170</v>
      </c>
      <c r="J971" s="59" t="s">
        <v>38</v>
      </c>
      <c r="K971" s="22" t="s">
        <v>254</v>
      </c>
      <c r="L971" s="59" t="s">
        <v>171</v>
      </c>
      <c r="M971" s="22">
        <v>2</v>
      </c>
      <c r="V971" s="59" t="s">
        <v>176</v>
      </c>
      <c r="AL971" s="59" t="s">
        <v>40</v>
      </c>
      <c r="AM971" s="22" t="s">
        <v>188</v>
      </c>
      <c r="AV971" s="59" t="s">
        <v>134</v>
      </c>
      <c r="AW971" s="22" t="str">
        <f>Settings!$B$5 &amp;  "?s=" &amp; D971 &amp; "&amp;platform=ftx"</f>
        <v>https://tokensol.nfluent.io?s=COR22D808&amp;platform=ftx</v>
      </c>
      <c r="AX971" s="20" t="s">
        <v>23</v>
      </c>
      <c r="AY971" s="20">
        <v>10</v>
      </c>
      <c r="AZ971" s="20" t="s">
        <v>24</v>
      </c>
      <c r="BA971" s="20">
        <v>90</v>
      </c>
      <c r="BD971" s="14"/>
      <c r="BJ971" t="s">
        <v>255</v>
      </c>
      <c r="BK971" t="s">
        <v>184</v>
      </c>
      <c r="BN971" s="36">
        <v>100</v>
      </c>
      <c r="BO971" s="36">
        <v>100</v>
      </c>
      <c r="BP971">
        <f t="shared" si="81"/>
        <v>480</v>
      </c>
      <c r="BR971" s="38">
        <v>44713</v>
      </c>
      <c r="BS971" s="20" t="s">
        <v>185</v>
      </c>
      <c r="BT971" s="20" t="str">
        <f t="shared" si="82"/>
        <v>InCasa_COR22D808</v>
      </c>
    </row>
    <row r="972" spans="2:72" ht="18.75" customHeight="1" x14ac:dyDescent="0.25">
      <c r="B972" s="20">
        <f t="shared" si="83"/>
        <v>809</v>
      </c>
      <c r="C972" s="22" t="str">
        <f t="shared" si="79"/>
        <v>In Casa #809</v>
      </c>
      <c r="D972" t="str">
        <f t="shared" si="80"/>
        <v>COR22D809</v>
      </c>
      <c r="E972" s="58" t="s">
        <v>252</v>
      </c>
      <c r="F972" s="20">
        <v>1000</v>
      </c>
      <c r="G972" s="14" t="s">
        <v>354</v>
      </c>
      <c r="H972" s="23" t="s">
        <v>170</v>
      </c>
      <c r="J972" s="59" t="s">
        <v>38</v>
      </c>
      <c r="K972" s="22" t="s">
        <v>254</v>
      </c>
      <c r="L972" s="59" t="s">
        <v>171</v>
      </c>
      <c r="M972" s="22">
        <v>2</v>
      </c>
      <c r="V972" s="59" t="s">
        <v>176</v>
      </c>
      <c r="AL972" s="59" t="s">
        <v>40</v>
      </c>
      <c r="AM972" s="22" t="s">
        <v>188</v>
      </c>
      <c r="AV972" s="59" t="s">
        <v>134</v>
      </c>
      <c r="AW972" s="22" t="str">
        <f>Settings!$B$5 &amp;  "?s=" &amp; D972 &amp; "&amp;platform=ftx"</f>
        <v>https://tokensol.nfluent.io?s=COR22D809&amp;platform=ftx</v>
      </c>
      <c r="AX972" s="20" t="s">
        <v>23</v>
      </c>
      <c r="AY972" s="20">
        <v>10</v>
      </c>
      <c r="AZ972" s="20" t="s">
        <v>24</v>
      </c>
      <c r="BA972" s="20">
        <v>90</v>
      </c>
      <c r="BD972" s="14"/>
      <c r="BJ972" t="s">
        <v>255</v>
      </c>
      <c r="BK972" t="s">
        <v>184</v>
      </c>
      <c r="BN972" s="36">
        <v>100</v>
      </c>
      <c r="BO972" s="36">
        <v>100</v>
      </c>
      <c r="BP972">
        <f t="shared" si="81"/>
        <v>480</v>
      </c>
      <c r="BR972" s="38">
        <v>44713</v>
      </c>
      <c r="BS972" s="20" t="s">
        <v>185</v>
      </c>
      <c r="BT972" s="20" t="str">
        <f t="shared" si="82"/>
        <v>InCasa_COR22D809</v>
      </c>
    </row>
    <row r="973" spans="2:72" ht="18.75" customHeight="1" x14ac:dyDescent="0.25">
      <c r="B973" s="20">
        <f t="shared" si="83"/>
        <v>810</v>
      </c>
      <c r="C973" s="22" t="str">
        <f t="shared" si="79"/>
        <v>In Casa #810</v>
      </c>
      <c r="D973" t="str">
        <f t="shared" si="80"/>
        <v>COR22D810</v>
      </c>
      <c r="E973" s="58" t="s">
        <v>252</v>
      </c>
      <c r="F973" s="20">
        <v>1000</v>
      </c>
      <c r="G973" s="14" t="s">
        <v>354</v>
      </c>
      <c r="H973" s="23" t="s">
        <v>170</v>
      </c>
      <c r="J973" s="59" t="s">
        <v>38</v>
      </c>
      <c r="K973" s="22" t="s">
        <v>254</v>
      </c>
      <c r="L973" s="59" t="s">
        <v>171</v>
      </c>
      <c r="M973" s="22">
        <v>2</v>
      </c>
      <c r="V973" s="59" t="s">
        <v>176</v>
      </c>
      <c r="AL973" s="59" t="s">
        <v>40</v>
      </c>
      <c r="AM973" s="22" t="s">
        <v>188</v>
      </c>
      <c r="AV973" s="59" t="s">
        <v>134</v>
      </c>
      <c r="AW973" s="22" t="str">
        <f>Settings!$B$5 &amp;  "?s=" &amp; D973 &amp; "&amp;platform=ftx"</f>
        <v>https://tokensol.nfluent.io?s=COR22D810&amp;platform=ftx</v>
      </c>
      <c r="AX973" s="20" t="s">
        <v>23</v>
      </c>
      <c r="AY973" s="20">
        <v>10</v>
      </c>
      <c r="AZ973" s="20" t="s">
        <v>24</v>
      </c>
      <c r="BA973" s="20">
        <v>90</v>
      </c>
      <c r="BD973" s="14"/>
      <c r="BJ973" t="s">
        <v>255</v>
      </c>
      <c r="BK973" t="s">
        <v>184</v>
      </c>
      <c r="BN973" s="36">
        <v>100</v>
      </c>
      <c r="BO973" s="36">
        <v>100</v>
      </c>
      <c r="BP973">
        <f t="shared" si="81"/>
        <v>480</v>
      </c>
      <c r="BR973" s="38">
        <v>44713</v>
      </c>
      <c r="BS973" s="20" t="s">
        <v>185</v>
      </c>
      <c r="BT973" s="20" t="str">
        <f t="shared" si="82"/>
        <v>InCasa_COR22D810</v>
      </c>
    </row>
    <row r="974" spans="2:72" ht="18.75" customHeight="1" x14ac:dyDescent="0.25">
      <c r="B974" s="20">
        <f t="shared" si="83"/>
        <v>811</v>
      </c>
      <c r="C974" s="22" t="str">
        <f t="shared" si="79"/>
        <v>In Casa #811</v>
      </c>
      <c r="D974" t="str">
        <f t="shared" si="80"/>
        <v>COR22D811</v>
      </c>
      <c r="E974" s="58" t="s">
        <v>252</v>
      </c>
      <c r="F974" s="20">
        <v>1000</v>
      </c>
      <c r="G974" s="14" t="s">
        <v>354</v>
      </c>
      <c r="H974" s="23" t="s">
        <v>170</v>
      </c>
      <c r="J974" s="59" t="s">
        <v>38</v>
      </c>
      <c r="K974" s="22" t="s">
        <v>254</v>
      </c>
      <c r="L974" s="59" t="s">
        <v>171</v>
      </c>
      <c r="M974" s="22">
        <v>2</v>
      </c>
      <c r="V974" s="59" t="s">
        <v>176</v>
      </c>
      <c r="AL974" s="59" t="s">
        <v>40</v>
      </c>
      <c r="AM974" s="22" t="s">
        <v>188</v>
      </c>
      <c r="AV974" s="59" t="s">
        <v>134</v>
      </c>
      <c r="AW974" s="22" t="str">
        <f>Settings!$B$5 &amp;  "?s=" &amp; D974 &amp; "&amp;platform=ftx"</f>
        <v>https://tokensol.nfluent.io?s=COR22D811&amp;platform=ftx</v>
      </c>
      <c r="AX974" s="20" t="s">
        <v>23</v>
      </c>
      <c r="AY974" s="20">
        <v>10</v>
      </c>
      <c r="AZ974" s="20" t="s">
        <v>24</v>
      </c>
      <c r="BA974" s="20">
        <v>90</v>
      </c>
      <c r="BD974" s="14"/>
      <c r="BJ974" t="s">
        <v>255</v>
      </c>
      <c r="BK974" t="s">
        <v>184</v>
      </c>
      <c r="BN974" s="36">
        <v>100</v>
      </c>
      <c r="BO974" s="36">
        <v>100</v>
      </c>
      <c r="BP974">
        <f t="shared" si="81"/>
        <v>480</v>
      </c>
      <c r="BR974" s="38">
        <v>44713</v>
      </c>
      <c r="BS974" s="20" t="s">
        <v>185</v>
      </c>
      <c r="BT974" s="20" t="str">
        <f t="shared" si="82"/>
        <v>InCasa_COR22D811</v>
      </c>
    </row>
    <row r="975" spans="2:72" ht="18.75" customHeight="1" x14ac:dyDescent="0.25">
      <c r="B975" s="20">
        <f t="shared" si="83"/>
        <v>812</v>
      </c>
      <c r="C975" s="22" t="str">
        <f t="shared" si="79"/>
        <v>In Casa #812</v>
      </c>
      <c r="D975" t="str">
        <f t="shared" si="80"/>
        <v>COR22D812</v>
      </c>
      <c r="E975" s="58" t="s">
        <v>252</v>
      </c>
      <c r="F975" s="20">
        <v>1000</v>
      </c>
      <c r="G975" s="14" t="s">
        <v>354</v>
      </c>
      <c r="H975" s="23" t="s">
        <v>170</v>
      </c>
      <c r="J975" s="59" t="s">
        <v>38</v>
      </c>
      <c r="K975" s="22" t="s">
        <v>254</v>
      </c>
      <c r="L975" s="59" t="s">
        <v>171</v>
      </c>
      <c r="M975" s="22">
        <v>2</v>
      </c>
      <c r="V975" s="59" t="s">
        <v>176</v>
      </c>
      <c r="AL975" s="59" t="s">
        <v>40</v>
      </c>
      <c r="AM975" s="22" t="s">
        <v>188</v>
      </c>
      <c r="AV975" s="59" t="s">
        <v>134</v>
      </c>
      <c r="AW975" s="22" t="str">
        <f>Settings!$B$5 &amp;  "?s=" &amp; D975 &amp; "&amp;platform=ftx"</f>
        <v>https://tokensol.nfluent.io?s=COR22D812&amp;platform=ftx</v>
      </c>
      <c r="AX975" s="20" t="s">
        <v>23</v>
      </c>
      <c r="AY975" s="20">
        <v>10</v>
      </c>
      <c r="AZ975" s="20" t="s">
        <v>24</v>
      </c>
      <c r="BA975" s="20">
        <v>90</v>
      </c>
      <c r="BD975" s="14"/>
      <c r="BJ975" t="s">
        <v>255</v>
      </c>
      <c r="BK975" t="s">
        <v>184</v>
      </c>
      <c r="BN975" s="36">
        <v>100</v>
      </c>
      <c r="BO975" s="36">
        <v>100</v>
      </c>
      <c r="BP975">
        <f t="shared" si="81"/>
        <v>480</v>
      </c>
      <c r="BR975" s="38">
        <v>44713</v>
      </c>
      <c r="BS975" s="20" t="s">
        <v>185</v>
      </c>
      <c r="BT975" s="20" t="str">
        <f t="shared" si="82"/>
        <v>InCasa_COR22D812</v>
      </c>
    </row>
    <row r="976" spans="2:72" ht="18.75" customHeight="1" x14ac:dyDescent="0.25">
      <c r="B976" s="20">
        <f t="shared" si="83"/>
        <v>813</v>
      </c>
      <c r="C976" s="22" t="str">
        <f t="shared" si="79"/>
        <v>In Casa #813</v>
      </c>
      <c r="D976" t="str">
        <f t="shared" si="80"/>
        <v>COR22D813</v>
      </c>
      <c r="E976" s="58" t="s">
        <v>252</v>
      </c>
      <c r="F976" s="20">
        <v>1000</v>
      </c>
      <c r="G976" s="14" t="s">
        <v>354</v>
      </c>
      <c r="H976" s="23" t="s">
        <v>170</v>
      </c>
      <c r="J976" s="59" t="s">
        <v>38</v>
      </c>
      <c r="K976" s="22" t="s">
        <v>254</v>
      </c>
      <c r="L976" s="59" t="s">
        <v>171</v>
      </c>
      <c r="M976" s="22">
        <v>2</v>
      </c>
      <c r="V976" s="59" t="s">
        <v>176</v>
      </c>
      <c r="AL976" s="59" t="s">
        <v>40</v>
      </c>
      <c r="AM976" s="22" t="s">
        <v>188</v>
      </c>
      <c r="AV976" s="59" t="s">
        <v>134</v>
      </c>
      <c r="AW976" s="22" t="str">
        <f>Settings!$B$5 &amp;  "?s=" &amp; D976 &amp; "&amp;platform=ftx"</f>
        <v>https://tokensol.nfluent.io?s=COR22D813&amp;platform=ftx</v>
      </c>
      <c r="AX976" s="20" t="s">
        <v>23</v>
      </c>
      <c r="AY976" s="20">
        <v>10</v>
      </c>
      <c r="AZ976" s="20" t="s">
        <v>24</v>
      </c>
      <c r="BA976" s="20">
        <v>90</v>
      </c>
      <c r="BD976" s="14"/>
      <c r="BJ976" t="s">
        <v>255</v>
      </c>
      <c r="BK976" t="s">
        <v>184</v>
      </c>
      <c r="BN976" s="36">
        <v>100</v>
      </c>
      <c r="BO976" s="36">
        <v>100</v>
      </c>
      <c r="BP976">
        <f t="shared" si="81"/>
        <v>480</v>
      </c>
      <c r="BR976" s="38">
        <v>44713</v>
      </c>
      <c r="BS976" s="20" t="s">
        <v>185</v>
      </c>
      <c r="BT976" s="20" t="str">
        <f t="shared" si="82"/>
        <v>InCasa_COR22D813</v>
      </c>
    </row>
    <row r="977" spans="2:72" ht="18.75" customHeight="1" x14ac:dyDescent="0.25">
      <c r="B977" s="20">
        <f t="shared" si="83"/>
        <v>814</v>
      </c>
      <c r="C977" s="22" t="str">
        <f t="shared" si="79"/>
        <v>In Casa #814</v>
      </c>
      <c r="D977" t="str">
        <f t="shared" si="80"/>
        <v>COR22D814</v>
      </c>
      <c r="E977" s="58" t="s">
        <v>252</v>
      </c>
      <c r="F977" s="20">
        <v>1000</v>
      </c>
      <c r="G977" s="14" t="s">
        <v>354</v>
      </c>
      <c r="H977" s="23" t="s">
        <v>170</v>
      </c>
      <c r="J977" s="59" t="s">
        <v>38</v>
      </c>
      <c r="K977" s="22" t="s">
        <v>254</v>
      </c>
      <c r="L977" s="59" t="s">
        <v>171</v>
      </c>
      <c r="M977" s="22">
        <v>2</v>
      </c>
      <c r="V977" s="59" t="s">
        <v>176</v>
      </c>
      <c r="AL977" s="59" t="s">
        <v>40</v>
      </c>
      <c r="AM977" s="22" t="s">
        <v>188</v>
      </c>
      <c r="AV977" s="59" t="s">
        <v>134</v>
      </c>
      <c r="AW977" s="22" t="str">
        <f>Settings!$B$5 &amp;  "?s=" &amp; D977 &amp; "&amp;platform=ftx"</f>
        <v>https://tokensol.nfluent.io?s=COR22D814&amp;platform=ftx</v>
      </c>
      <c r="AX977" s="20" t="s">
        <v>23</v>
      </c>
      <c r="AY977" s="20">
        <v>10</v>
      </c>
      <c r="AZ977" s="20" t="s">
        <v>24</v>
      </c>
      <c r="BA977" s="20">
        <v>90</v>
      </c>
      <c r="BD977" s="14"/>
      <c r="BJ977" t="s">
        <v>255</v>
      </c>
      <c r="BK977" t="s">
        <v>184</v>
      </c>
      <c r="BN977" s="36">
        <v>100</v>
      </c>
      <c r="BO977" s="36">
        <v>100</v>
      </c>
      <c r="BP977">
        <f t="shared" si="81"/>
        <v>480</v>
      </c>
      <c r="BR977" s="38">
        <v>44713</v>
      </c>
      <c r="BS977" s="20" t="s">
        <v>185</v>
      </c>
      <c r="BT977" s="20" t="str">
        <f t="shared" si="82"/>
        <v>InCasa_COR22D814</v>
      </c>
    </row>
    <row r="978" spans="2:72" ht="18.75" customHeight="1" x14ac:dyDescent="0.25">
      <c r="B978" s="20">
        <f t="shared" si="83"/>
        <v>815</v>
      </c>
      <c r="C978" s="22" t="str">
        <f t="shared" si="79"/>
        <v>In Casa #815</v>
      </c>
      <c r="D978" t="str">
        <f t="shared" si="80"/>
        <v>COR22D815</v>
      </c>
      <c r="E978" s="58" t="s">
        <v>252</v>
      </c>
      <c r="F978" s="20">
        <v>1000</v>
      </c>
      <c r="G978" s="14" t="s">
        <v>354</v>
      </c>
      <c r="H978" s="23" t="s">
        <v>170</v>
      </c>
      <c r="J978" s="59" t="s">
        <v>38</v>
      </c>
      <c r="K978" s="22" t="s">
        <v>254</v>
      </c>
      <c r="L978" s="59" t="s">
        <v>171</v>
      </c>
      <c r="M978" s="22">
        <v>2</v>
      </c>
      <c r="V978" s="59" t="s">
        <v>176</v>
      </c>
      <c r="AL978" s="59" t="s">
        <v>40</v>
      </c>
      <c r="AM978" s="22" t="s">
        <v>188</v>
      </c>
      <c r="AV978" s="59" t="s">
        <v>134</v>
      </c>
      <c r="AW978" s="22" t="str">
        <f>Settings!$B$5 &amp;  "?s=" &amp; D978 &amp; "&amp;platform=ftx"</f>
        <v>https://tokensol.nfluent.io?s=COR22D815&amp;platform=ftx</v>
      </c>
      <c r="AX978" s="20" t="s">
        <v>23</v>
      </c>
      <c r="AY978" s="20">
        <v>10</v>
      </c>
      <c r="AZ978" s="20" t="s">
        <v>24</v>
      </c>
      <c r="BA978" s="20">
        <v>90</v>
      </c>
      <c r="BD978" s="14"/>
      <c r="BJ978" t="s">
        <v>255</v>
      </c>
      <c r="BK978" t="s">
        <v>184</v>
      </c>
      <c r="BN978" s="36">
        <v>100</v>
      </c>
      <c r="BO978" s="36">
        <v>100</v>
      </c>
      <c r="BP978">
        <f t="shared" si="81"/>
        <v>480</v>
      </c>
      <c r="BR978" s="38">
        <v>44713</v>
      </c>
      <c r="BS978" s="20" t="s">
        <v>185</v>
      </c>
      <c r="BT978" s="20" t="str">
        <f t="shared" si="82"/>
        <v>InCasa_COR22D815</v>
      </c>
    </row>
    <row r="979" spans="2:72" ht="18.75" customHeight="1" x14ac:dyDescent="0.25">
      <c r="B979" s="20">
        <f t="shared" si="83"/>
        <v>816</v>
      </c>
      <c r="C979" s="22" t="str">
        <f t="shared" si="79"/>
        <v>In Casa #816</v>
      </c>
      <c r="D979" t="str">
        <f t="shared" si="80"/>
        <v>COR22D816</v>
      </c>
      <c r="E979" s="58" t="s">
        <v>252</v>
      </c>
      <c r="F979" s="20">
        <v>1000</v>
      </c>
      <c r="G979" s="14" t="s">
        <v>354</v>
      </c>
      <c r="H979" s="23" t="s">
        <v>170</v>
      </c>
      <c r="J979" s="59" t="s">
        <v>38</v>
      </c>
      <c r="K979" s="22" t="s">
        <v>254</v>
      </c>
      <c r="L979" s="59" t="s">
        <v>171</v>
      </c>
      <c r="M979" s="22">
        <v>2</v>
      </c>
      <c r="V979" s="59" t="s">
        <v>176</v>
      </c>
      <c r="AL979" s="59" t="s">
        <v>40</v>
      </c>
      <c r="AM979" s="22" t="s">
        <v>188</v>
      </c>
      <c r="AV979" s="59" t="s">
        <v>134</v>
      </c>
      <c r="AW979" s="22" t="str">
        <f>Settings!$B$5 &amp;  "?s=" &amp; D979 &amp; "&amp;platform=ftx"</f>
        <v>https://tokensol.nfluent.io?s=COR22D816&amp;platform=ftx</v>
      </c>
      <c r="AX979" s="20" t="s">
        <v>23</v>
      </c>
      <c r="AY979" s="20">
        <v>10</v>
      </c>
      <c r="AZ979" s="20" t="s">
        <v>24</v>
      </c>
      <c r="BA979" s="20">
        <v>90</v>
      </c>
      <c r="BD979" s="14"/>
      <c r="BJ979" t="s">
        <v>255</v>
      </c>
      <c r="BK979" t="s">
        <v>184</v>
      </c>
      <c r="BN979" s="36">
        <v>100</v>
      </c>
      <c r="BO979" s="36">
        <v>100</v>
      </c>
      <c r="BP979">
        <f t="shared" si="81"/>
        <v>480</v>
      </c>
      <c r="BR979" s="38">
        <v>44713</v>
      </c>
      <c r="BS979" s="20" t="s">
        <v>185</v>
      </c>
      <c r="BT979" s="20" t="str">
        <f t="shared" si="82"/>
        <v>InCasa_COR22D816</v>
      </c>
    </row>
    <row r="980" spans="2:72" ht="18.75" customHeight="1" x14ac:dyDescent="0.25">
      <c r="B980" s="20">
        <f t="shared" si="83"/>
        <v>817</v>
      </c>
      <c r="C980" s="22" t="str">
        <f t="shared" si="79"/>
        <v>In Casa #817</v>
      </c>
      <c r="D980" t="str">
        <f t="shared" si="80"/>
        <v>COR22D817</v>
      </c>
      <c r="E980" s="58" t="s">
        <v>252</v>
      </c>
      <c r="F980" s="20">
        <v>1000</v>
      </c>
      <c r="G980" s="14" t="s">
        <v>354</v>
      </c>
      <c r="H980" s="23" t="s">
        <v>170</v>
      </c>
      <c r="J980" s="59" t="s">
        <v>38</v>
      </c>
      <c r="K980" s="22" t="s">
        <v>254</v>
      </c>
      <c r="L980" s="59" t="s">
        <v>171</v>
      </c>
      <c r="M980" s="22">
        <v>2</v>
      </c>
      <c r="V980" s="59" t="s">
        <v>176</v>
      </c>
      <c r="AL980" s="59" t="s">
        <v>40</v>
      </c>
      <c r="AM980" s="22" t="s">
        <v>188</v>
      </c>
      <c r="AV980" s="59" t="s">
        <v>134</v>
      </c>
      <c r="AW980" s="22" t="str">
        <f>Settings!$B$5 &amp;  "?s=" &amp; D980 &amp; "&amp;platform=ftx"</f>
        <v>https://tokensol.nfluent.io?s=COR22D817&amp;platform=ftx</v>
      </c>
      <c r="AX980" s="20" t="s">
        <v>23</v>
      </c>
      <c r="AY980" s="20">
        <v>10</v>
      </c>
      <c r="AZ980" s="20" t="s">
        <v>24</v>
      </c>
      <c r="BA980" s="20">
        <v>90</v>
      </c>
      <c r="BD980" s="14"/>
      <c r="BJ980" t="s">
        <v>255</v>
      </c>
      <c r="BK980" t="s">
        <v>184</v>
      </c>
      <c r="BN980" s="36">
        <v>100</v>
      </c>
      <c r="BO980" s="36">
        <v>100</v>
      </c>
      <c r="BP980">
        <f t="shared" si="81"/>
        <v>480</v>
      </c>
      <c r="BR980" s="38">
        <v>44713</v>
      </c>
      <c r="BS980" s="20" t="s">
        <v>185</v>
      </c>
      <c r="BT980" s="20" t="str">
        <f t="shared" si="82"/>
        <v>InCasa_COR22D817</v>
      </c>
    </row>
    <row r="981" spans="2:72" ht="18.75" customHeight="1" x14ac:dyDescent="0.25">
      <c r="B981" s="20">
        <f t="shared" si="83"/>
        <v>818</v>
      </c>
      <c r="C981" s="22" t="str">
        <f t="shared" si="79"/>
        <v>In Casa #818</v>
      </c>
      <c r="D981" t="str">
        <f t="shared" si="80"/>
        <v>COR22D818</v>
      </c>
      <c r="E981" s="58" t="s">
        <v>252</v>
      </c>
      <c r="F981" s="20">
        <v>1000</v>
      </c>
      <c r="G981" s="14" t="s">
        <v>354</v>
      </c>
      <c r="H981" s="23" t="s">
        <v>170</v>
      </c>
      <c r="J981" s="59" t="s">
        <v>38</v>
      </c>
      <c r="K981" s="22" t="s">
        <v>254</v>
      </c>
      <c r="L981" s="59" t="s">
        <v>171</v>
      </c>
      <c r="M981" s="22">
        <v>2</v>
      </c>
      <c r="V981" s="59" t="s">
        <v>176</v>
      </c>
      <c r="AL981" s="59" t="s">
        <v>40</v>
      </c>
      <c r="AM981" s="22" t="s">
        <v>188</v>
      </c>
      <c r="AV981" s="59" t="s">
        <v>134</v>
      </c>
      <c r="AW981" s="22" t="str">
        <f>Settings!$B$5 &amp;  "?s=" &amp; D981 &amp; "&amp;platform=ftx"</f>
        <v>https://tokensol.nfluent.io?s=COR22D818&amp;platform=ftx</v>
      </c>
      <c r="AX981" s="20" t="s">
        <v>23</v>
      </c>
      <c r="AY981" s="20">
        <v>10</v>
      </c>
      <c r="AZ981" s="20" t="s">
        <v>24</v>
      </c>
      <c r="BA981" s="20">
        <v>90</v>
      </c>
      <c r="BD981" s="14"/>
      <c r="BJ981" t="s">
        <v>255</v>
      </c>
      <c r="BK981" t="s">
        <v>184</v>
      </c>
      <c r="BN981" s="36">
        <v>100</v>
      </c>
      <c r="BO981" s="36">
        <v>100</v>
      </c>
      <c r="BP981">
        <f t="shared" si="81"/>
        <v>480</v>
      </c>
      <c r="BR981" s="38">
        <v>44713</v>
      </c>
      <c r="BS981" s="20" t="s">
        <v>185</v>
      </c>
      <c r="BT981" s="20" t="str">
        <f t="shared" si="82"/>
        <v>InCasa_COR22D818</v>
      </c>
    </row>
    <row r="982" spans="2:72" ht="18.75" customHeight="1" x14ac:dyDescent="0.25">
      <c r="B982" s="20">
        <f t="shared" si="83"/>
        <v>819</v>
      </c>
      <c r="C982" s="22" t="str">
        <f t="shared" si="79"/>
        <v>In Casa #819</v>
      </c>
      <c r="D982" t="str">
        <f t="shared" si="80"/>
        <v>COR22D819</v>
      </c>
      <c r="E982" s="58" t="s">
        <v>252</v>
      </c>
      <c r="F982" s="20">
        <v>1000</v>
      </c>
      <c r="G982" s="14" t="s">
        <v>354</v>
      </c>
      <c r="H982" s="23" t="s">
        <v>170</v>
      </c>
      <c r="J982" s="59" t="s">
        <v>38</v>
      </c>
      <c r="K982" s="22" t="s">
        <v>254</v>
      </c>
      <c r="L982" s="59" t="s">
        <v>171</v>
      </c>
      <c r="M982" s="22">
        <v>2</v>
      </c>
      <c r="V982" s="59" t="s">
        <v>176</v>
      </c>
      <c r="AL982" s="59" t="s">
        <v>40</v>
      </c>
      <c r="AM982" s="22" t="s">
        <v>188</v>
      </c>
      <c r="AV982" s="59" t="s">
        <v>134</v>
      </c>
      <c r="AW982" s="22" t="str">
        <f>Settings!$B$5 &amp;  "?s=" &amp; D982 &amp; "&amp;platform=ftx"</f>
        <v>https://tokensol.nfluent.io?s=COR22D819&amp;platform=ftx</v>
      </c>
      <c r="AX982" s="20" t="s">
        <v>23</v>
      </c>
      <c r="AY982" s="20">
        <v>10</v>
      </c>
      <c r="AZ982" s="20" t="s">
        <v>24</v>
      </c>
      <c r="BA982" s="20">
        <v>90</v>
      </c>
      <c r="BD982" s="14"/>
      <c r="BJ982" t="s">
        <v>255</v>
      </c>
      <c r="BK982" t="s">
        <v>184</v>
      </c>
      <c r="BN982" s="36">
        <v>100</v>
      </c>
      <c r="BO982" s="36">
        <v>100</v>
      </c>
      <c r="BP982">
        <f t="shared" si="81"/>
        <v>480</v>
      </c>
      <c r="BR982" s="38">
        <v>44713</v>
      </c>
      <c r="BS982" s="20" t="s">
        <v>185</v>
      </c>
      <c r="BT982" s="20" t="str">
        <f t="shared" si="82"/>
        <v>InCasa_COR22D819</v>
      </c>
    </row>
    <row r="983" spans="2:72" ht="18.75" customHeight="1" x14ac:dyDescent="0.25">
      <c r="B983" s="20">
        <f t="shared" si="83"/>
        <v>820</v>
      </c>
      <c r="C983" s="22" t="str">
        <f t="shared" si="79"/>
        <v>In Casa #820</v>
      </c>
      <c r="D983" t="str">
        <f t="shared" si="80"/>
        <v>COR22D820</v>
      </c>
      <c r="E983" s="58" t="s">
        <v>252</v>
      </c>
      <c r="F983" s="20">
        <v>1000</v>
      </c>
      <c r="G983" s="14" t="s">
        <v>354</v>
      </c>
      <c r="H983" s="23" t="s">
        <v>170</v>
      </c>
      <c r="J983" s="59" t="s">
        <v>38</v>
      </c>
      <c r="K983" s="22" t="s">
        <v>254</v>
      </c>
      <c r="L983" s="59" t="s">
        <v>171</v>
      </c>
      <c r="M983" s="22">
        <v>2</v>
      </c>
      <c r="V983" s="59" t="s">
        <v>176</v>
      </c>
      <c r="AL983" s="59" t="s">
        <v>40</v>
      </c>
      <c r="AM983" s="22" t="s">
        <v>188</v>
      </c>
      <c r="AV983" s="59" t="s">
        <v>134</v>
      </c>
      <c r="AW983" s="22" t="str">
        <f>Settings!$B$5 &amp;  "?s=" &amp; D983 &amp; "&amp;platform=ftx"</f>
        <v>https://tokensol.nfluent.io?s=COR22D820&amp;platform=ftx</v>
      </c>
      <c r="AX983" s="20" t="s">
        <v>23</v>
      </c>
      <c r="AY983" s="20">
        <v>10</v>
      </c>
      <c r="AZ983" s="20" t="s">
        <v>24</v>
      </c>
      <c r="BA983" s="20">
        <v>90</v>
      </c>
      <c r="BD983" s="14"/>
      <c r="BJ983" t="s">
        <v>255</v>
      </c>
      <c r="BK983" t="s">
        <v>184</v>
      </c>
      <c r="BN983" s="36">
        <v>100</v>
      </c>
      <c r="BO983" s="36">
        <v>100</v>
      </c>
      <c r="BP983">
        <f t="shared" si="81"/>
        <v>480</v>
      </c>
      <c r="BR983" s="38">
        <v>44713</v>
      </c>
      <c r="BS983" s="20" t="s">
        <v>185</v>
      </c>
      <c r="BT983" s="20" t="str">
        <f t="shared" si="82"/>
        <v>InCasa_COR22D820</v>
      </c>
    </row>
    <row r="984" spans="2:72" ht="18.75" customHeight="1" x14ac:dyDescent="0.25">
      <c r="B984" s="20">
        <f t="shared" si="83"/>
        <v>821</v>
      </c>
      <c r="C984" s="22" t="str">
        <f t="shared" si="79"/>
        <v>In Casa #821</v>
      </c>
      <c r="D984" t="str">
        <f t="shared" si="80"/>
        <v>COR22D821</v>
      </c>
      <c r="E984" s="58" t="s">
        <v>252</v>
      </c>
      <c r="F984" s="20">
        <v>1000</v>
      </c>
      <c r="G984" s="14" t="s">
        <v>354</v>
      </c>
      <c r="H984" s="23" t="s">
        <v>170</v>
      </c>
      <c r="J984" s="59" t="s">
        <v>38</v>
      </c>
      <c r="K984" s="22" t="s">
        <v>254</v>
      </c>
      <c r="L984" s="59" t="s">
        <v>171</v>
      </c>
      <c r="M984" s="22">
        <v>2</v>
      </c>
      <c r="V984" s="59" t="s">
        <v>176</v>
      </c>
      <c r="AL984" s="59" t="s">
        <v>40</v>
      </c>
      <c r="AM984" s="22" t="s">
        <v>188</v>
      </c>
      <c r="AV984" s="59" t="s">
        <v>134</v>
      </c>
      <c r="AW984" s="22" t="str">
        <f>Settings!$B$5 &amp;  "?s=" &amp; D984 &amp; "&amp;platform=ftx"</f>
        <v>https://tokensol.nfluent.io?s=COR22D821&amp;platform=ftx</v>
      </c>
      <c r="AX984" s="20" t="s">
        <v>23</v>
      </c>
      <c r="AY984" s="20">
        <v>10</v>
      </c>
      <c r="AZ984" s="20" t="s">
        <v>24</v>
      </c>
      <c r="BA984" s="20">
        <v>90</v>
      </c>
      <c r="BD984" s="14"/>
      <c r="BJ984" t="s">
        <v>255</v>
      </c>
      <c r="BK984" t="s">
        <v>184</v>
      </c>
      <c r="BN984" s="36">
        <v>100</v>
      </c>
      <c r="BO984" s="36">
        <v>100</v>
      </c>
      <c r="BP984">
        <f t="shared" si="81"/>
        <v>480</v>
      </c>
      <c r="BR984" s="38">
        <v>44713</v>
      </c>
      <c r="BS984" s="20" t="s">
        <v>185</v>
      </c>
      <c r="BT984" s="20" t="str">
        <f t="shared" si="82"/>
        <v>InCasa_COR22D821</v>
      </c>
    </row>
    <row r="985" spans="2:72" ht="18.75" customHeight="1" x14ac:dyDescent="0.25">
      <c r="B985" s="20">
        <f t="shared" si="83"/>
        <v>822</v>
      </c>
      <c r="C985" s="22" t="str">
        <f t="shared" si="79"/>
        <v>In Casa #822</v>
      </c>
      <c r="D985" t="str">
        <f t="shared" si="80"/>
        <v>COR22D822</v>
      </c>
      <c r="E985" s="58" t="s">
        <v>252</v>
      </c>
      <c r="F985" s="20">
        <v>1000</v>
      </c>
      <c r="G985" s="14" t="s">
        <v>354</v>
      </c>
      <c r="H985" s="23" t="s">
        <v>170</v>
      </c>
      <c r="J985" s="59" t="s">
        <v>38</v>
      </c>
      <c r="K985" s="22" t="s">
        <v>254</v>
      </c>
      <c r="L985" s="59" t="s">
        <v>171</v>
      </c>
      <c r="M985" s="22">
        <v>2</v>
      </c>
      <c r="V985" s="59" t="s">
        <v>176</v>
      </c>
      <c r="AL985" s="59" t="s">
        <v>40</v>
      </c>
      <c r="AM985" s="22" t="s">
        <v>188</v>
      </c>
      <c r="AV985" s="59" t="s">
        <v>134</v>
      </c>
      <c r="AW985" s="22" t="str">
        <f>Settings!$B$5 &amp;  "?s=" &amp; D985 &amp; "&amp;platform=ftx"</f>
        <v>https://tokensol.nfluent.io?s=COR22D822&amp;platform=ftx</v>
      </c>
      <c r="AX985" s="20" t="s">
        <v>23</v>
      </c>
      <c r="AY985" s="20">
        <v>10</v>
      </c>
      <c r="AZ985" s="20" t="s">
        <v>24</v>
      </c>
      <c r="BA985" s="20">
        <v>90</v>
      </c>
      <c r="BD985" s="14"/>
      <c r="BJ985" t="s">
        <v>255</v>
      </c>
      <c r="BK985" t="s">
        <v>184</v>
      </c>
      <c r="BN985" s="36">
        <v>100</v>
      </c>
      <c r="BO985" s="36">
        <v>100</v>
      </c>
      <c r="BP985">
        <f t="shared" si="81"/>
        <v>480</v>
      </c>
      <c r="BR985" s="38">
        <v>44713</v>
      </c>
      <c r="BS985" s="20" t="s">
        <v>185</v>
      </c>
      <c r="BT985" s="20" t="str">
        <f t="shared" si="82"/>
        <v>InCasa_COR22D822</v>
      </c>
    </row>
    <row r="986" spans="2:72" ht="18.75" customHeight="1" x14ac:dyDescent="0.25">
      <c r="B986" s="20">
        <f t="shared" si="83"/>
        <v>823</v>
      </c>
      <c r="C986" s="22" t="str">
        <f t="shared" si="79"/>
        <v>In Casa #823</v>
      </c>
      <c r="D986" t="str">
        <f t="shared" si="80"/>
        <v>COR22D823</v>
      </c>
      <c r="E986" s="58" t="s">
        <v>252</v>
      </c>
      <c r="F986" s="20">
        <v>1000</v>
      </c>
      <c r="G986" s="14" t="s">
        <v>354</v>
      </c>
      <c r="H986" s="23" t="s">
        <v>170</v>
      </c>
      <c r="J986" s="59" t="s">
        <v>38</v>
      </c>
      <c r="K986" s="22" t="s">
        <v>254</v>
      </c>
      <c r="L986" s="59" t="s">
        <v>171</v>
      </c>
      <c r="M986" s="22">
        <v>2</v>
      </c>
      <c r="V986" s="59" t="s">
        <v>176</v>
      </c>
      <c r="AL986" s="59" t="s">
        <v>40</v>
      </c>
      <c r="AM986" s="22" t="s">
        <v>188</v>
      </c>
      <c r="AV986" s="59" t="s">
        <v>134</v>
      </c>
      <c r="AW986" s="22" t="str">
        <f>Settings!$B$5 &amp;  "?s=" &amp; D986 &amp; "&amp;platform=ftx"</f>
        <v>https://tokensol.nfluent.io?s=COR22D823&amp;platform=ftx</v>
      </c>
      <c r="AX986" s="20" t="s">
        <v>23</v>
      </c>
      <c r="AY986" s="20">
        <v>10</v>
      </c>
      <c r="AZ986" s="20" t="s">
        <v>24</v>
      </c>
      <c r="BA986" s="20">
        <v>90</v>
      </c>
      <c r="BD986" s="14"/>
      <c r="BJ986" t="s">
        <v>255</v>
      </c>
      <c r="BK986" t="s">
        <v>184</v>
      </c>
      <c r="BN986" s="36">
        <v>100</v>
      </c>
      <c r="BO986" s="36">
        <v>100</v>
      </c>
      <c r="BP986">
        <f t="shared" si="81"/>
        <v>480</v>
      </c>
      <c r="BR986" s="38">
        <v>44713</v>
      </c>
      <c r="BS986" s="20" t="s">
        <v>185</v>
      </c>
      <c r="BT986" s="20" t="str">
        <f t="shared" si="82"/>
        <v>InCasa_COR22D823</v>
      </c>
    </row>
    <row r="987" spans="2:72" ht="18.75" customHeight="1" x14ac:dyDescent="0.25">
      <c r="B987" s="20">
        <f t="shared" si="83"/>
        <v>824</v>
      </c>
      <c r="C987" s="22" t="str">
        <f t="shared" si="79"/>
        <v>In Casa #824</v>
      </c>
      <c r="D987" t="str">
        <f t="shared" si="80"/>
        <v>COR22D824</v>
      </c>
      <c r="E987" s="58" t="s">
        <v>252</v>
      </c>
      <c r="F987" s="20">
        <v>1000</v>
      </c>
      <c r="G987" s="14" t="s">
        <v>354</v>
      </c>
      <c r="H987" s="23" t="s">
        <v>170</v>
      </c>
      <c r="J987" s="59" t="s">
        <v>38</v>
      </c>
      <c r="K987" s="22" t="s">
        <v>254</v>
      </c>
      <c r="L987" s="59" t="s">
        <v>171</v>
      </c>
      <c r="M987" s="22">
        <v>2</v>
      </c>
      <c r="V987" s="59" t="s">
        <v>176</v>
      </c>
      <c r="AL987" s="59" t="s">
        <v>40</v>
      </c>
      <c r="AM987" s="22" t="s">
        <v>188</v>
      </c>
      <c r="AV987" s="59" t="s">
        <v>134</v>
      </c>
      <c r="AW987" s="22" t="str">
        <f>Settings!$B$5 &amp;  "?s=" &amp; D987 &amp; "&amp;platform=ftx"</f>
        <v>https://tokensol.nfluent.io?s=COR22D824&amp;platform=ftx</v>
      </c>
      <c r="AX987" s="20" t="s">
        <v>23</v>
      </c>
      <c r="AY987" s="20">
        <v>10</v>
      </c>
      <c r="AZ987" s="20" t="s">
        <v>24</v>
      </c>
      <c r="BA987" s="20">
        <v>90</v>
      </c>
      <c r="BD987" s="14"/>
      <c r="BJ987" t="s">
        <v>255</v>
      </c>
      <c r="BK987" t="s">
        <v>184</v>
      </c>
      <c r="BN987" s="36">
        <v>100</v>
      </c>
      <c r="BO987" s="36">
        <v>100</v>
      </c>
      <c r="BP987">
        <f t="shared" si="81"/>
        <v>480</v>
      </c>
      <c r="BR987" s="38">
        <v>44713</v>
      </c>
      <c r="BS987" s="20" t="s">
        <v>185</v>
      </c>
      <c r="BT987" s="20" t="str">
        <f t="shared" si="82"/>
        <v>InCasa_COR22D824</v>
      </c>
    </row>
    <row r="988" spans="2:72" ht="18.75" customHeight="1" x14ac:dyDescent="0.25">
      <c r="B988" s="20">
        <f t="shared" si="83"/>
        <v>825</v>
      </c>
      <c r="C988" s="22" t="str">
        <f t="shared" si="79"/>
        <v>In Casa #825</v>
      </c>
      <c r="D988" t="str">
        <f t="shared" si="80"/>
        <v>COR22D825</v>
      </c>
      <c r="E988" s="58" t="s">
        <v>252</v>
      </c>
      <c r="F988" s="20">
        <v>1000</v>
      </c>
      <c r="G988" s="14" t="s">
        <v>354</v>
      </c>
      <c r="H988" s="23" t="s">
        <v>170</v>
      </c>
      <c r="J988" s="59" t="s">
        <v>38</v>
      </c>
      <c r="K988" s="22" t="s">
        <v>254</v>
      </c>
      <c r="L988" s="59" t="s">
        <v>171</v>
      </c>
      <c r="M988" s="22">
        <v>2</v>
      </c>
      <c r="V988" s="59" t="s">
        <v>176</v>
      </c>
      <c r="AL988" s="59" t="s">
        <v>40</v>
      </c>
      <c r="AM988" s="22" t="s">
        <v>188</v>
      </c>
      <c r="AV988" s="59" t="s">
        <v>134</v>
      </c>
      <c r="AW988" s="22" t="str">
        <f>Settings!$B$5 &amp;  "?s=" &amp; D988 &amp; "&amp;platform=ftx"</f>
        <v>https://tokensol.nfluent.io?s=COR22D825&amp;platform=ftx</v>
      </c>
      <c r="AX988" s="20" t="s">
        <v>23</v>
      </c>
      <c r="AY988" s="20">
        <v>10</v>
      </c>
      <c r="AZ988" s="20" t="s">
        <v>24</v>
      </c>
      <c r="BA988" s="20">
        <v>90</v>
      </c>
      <c r="BD988" s="14"/>
      <c r="BJ988" t="s">
        <v>255</v>
      </c>
      <c r="BK988" t="s">
        <v>184</v>
      </c>
      <c r="BN988" s="36">
        <v>100</v>
      </c>
      <c r="BO988" s="36">
        <v>100</v>
      </c>
      <c r="BP988">
        <f t="shared" si="81"/>
        <v>480</v>
      </c>
      <c r="BR988" s="38">
        <v>44713</v>
      </c>
      <c r="BS988" s="20" t="s">
        <v>185</v>
      </c>
      <c r="BT988" s="20" t="str">
        <f t="shared" si="82"/>
        <v>InCasa_COR22D825</v>
      </c>
    </row>
    <row r="989" spans="2:72" ht="18.75" customHeight="1" x14ac:dyDescent="0.25">
      <c r="B989" s="20">
        <f t="shared" si="83"/>
        <v>826</v>
      </c>
      <c r="C989" s="22" t="str">
        <f t="shared" si="79"/>
        <v>In Casa #826</v>
      </c>
      <c r="D989" t="str">
        <f t="shared" si="80"/>
        <v>COR22D826</v>
      </c>
      <c r="E989" s="58" t="s">
        <v>252</v>
      </c>
      <c r="F989" s="20">
        <v>1000</v>
      </c>
      <c r="G989" s="14" t="s">
        <v>354</v>
      </c>
      <c r="H989" s="23" t="s">
        <v>170</v>
      </c>
      <c r="J989" s="59" t="s">
        <v>38</v>
      </c>
      <c r="K989" s="22" t="s">
        <v>254</v>
      </c>
      <c r="L989" s="59" t="s">
        <v>171</v>
      </c>
      <c r="M989" s="22">
        <v>2</v>
      </c>
      <c r="V989" s="59" t="s">
        <v>176</v>
      </c>
      <c r="AL989" s="59" t="s">
        <v>40</v>
      </c>
      <c r="AM989" s="22" t="s">
        <v>188</v>
      </c>
      <c r="AV989" s="59" t="s">
        <v>134</v>
      </c>
      <c r="AW989" s="22" t="str">
        <f>Settings!$B$5 &amp;  "?s=" &amp; D989 &amp; "&amp;platform=ftx"</f>
        <v>https://tokensol.nfluent.io?s=COR22D826&amp;platform=ftx</v>
      </c>
      <c r="AX989" s="20" t="s">
        <v>23</v>
      </c>
      <c r="AY989" s="20">
        <v>10</v>
      </c>
      <c r="AZ989" s="20" t="s">
        <v>24</v>
      </c>
      <c r="BA989" s="20">
        <v>90</v>
      </c>
      <c r="BD989" s="14"/>
      <c r="BJ989" t="s">
        <v>255</v>
      </c>
      <c r="BK989" t="s">
        <v>184</v>
      </c>
      <c r="BN989" s="36">
        <v>100</v>
      </c>
      <c r="BO989" s="36">
        <v>100</v>
      </c>
      <c r="BP989">
        <f t="shared" si="81"/>
        <v>480</v>
      </c>
      <c r="BR989" s="38">
        <v>44713</v>
      </c>
      <c r="BS989" s="20" t="s">
        <v>185</v>
      </c>
      <c r="BT989" s="20" t="str">
        <f t="shared" si="82"/>
        <v>InCasa_COR22D826</v>
      </c>
    </row>
    <row r="990" spans="2:72" ht="18.75" customHeight="1" x14ac:dyDescent="0.25">
      <c r="B990" s="20">
        <f t="shared" si="83"/>
        <v>827</v>
      </c>
      <c r="C990" s="22" t="str">
        <f t="shared" si="79"/>
        <v>In Casa #827</v>
      </c>
      <c r="D990" t="str">
        <f t="shared" si="80"/>
        <v>COR22D827</v>
      </c>
      <c r="E990" s="58" t="s">
        <v>252</v>
      </c>
      <c r="F990" s="20">
        <v>1000</v>
      </c>
      <c r="G990" s="14" t="s">
        <v>354</v>
      </c>
      <c r="H990" s="23" t="s">
        <v>170</v>
      </c>
      <c r="J990" s="59" t="s">
        <v>38</v>
      </c>
      <c r="K990" s="22" t="s">
        <v>254</v>
      </c>
      <c r="L990" s="59" t="s">
        <v>171</v>
      </c>
      <c r="M990" s="22">
        <v>2</v>
      </c>
      <c r="V990" s="59" t="s">
        <v>176</v>
      </c>
      <c r="AL990" s="59" t="s">
        <v>40</v>
      </c>
      <c r="AM990" s="22" t="s">
        <v>188</v>
      </c>
      <c r="AV990" s="59" t="s">
        <v>134</v>
      </c>
      <c r="AW990" s="22" t="str">
        <f>Settings!$B$5 &amp;  "?s=" &amp; D990 &amp; "&amp;platform=ftx"</f>
        <v>https://tokensol.nfluent.io?s=COR22D827&amp;platform=ftx</v>
      </c>
      <c r="AX990" s="20" t="s">
        <v>23</v>
      </c>
      <c r="AY990" s="20">
        <v>10</v>
      </c>
      <c r="AZ990" s="20" t="s">
        <v>24</v>
      </c>
      <c r="BA990" s="20">
        <v>90</v>
      </c>
      <c r="BD990" s="14"/>
      <c r="BJ990" t="s">
        <v>255</v>
      </c>
      <c r="BK990" t="s">
        <v>184</v>
      </c>
      <c r="BN990" s="36">
        <v>100</v>
      </c>
      <c r="BO990" s="36">
        <v>100</v>
      </c>
      <c r="BP990">
        <f t="shared" si="81"/>
        <v>480</v>
      </c>
      <c r="BR990" s="38">
        <v>44713</v>
      </c>
      <c r="BS990" s="20" t="s">
        <v>185</v>
      </c>
      <c r="BT990" s="20" t="str">
        <f t="shared" si="82"/>
        <v>InCasa_COR22D827</v>
      </c>
    </row>
    <row r="991" spans="2:72" ht="18.75" customHeight="1" x14ac:dyDescent="0.25">
      <c r="B991" s="20">
        <f t="shared" si="83"/>
        <v>828</v>
      </c>
      <c r="C991" s="22" t="str">
        <f t="shared" si="79"/>
        <v>In Casa #828</v>
      </c>
      <c r="D991" t="str">
        <f t="shared" si="80"/>
        <v>COR22D828</v>
      </c>
      <c r="E991" s="58" t="s">
        <v>252</v>
      </c>
      <c r="F991" s="20">
        <v>1000</v>
      </c>
      <c r="G991" s="14" t="s">
        <v>354</v>
      </c>
      <c r="H991" s="23" t="s">
        <v>170</v>
      </c>
      <c r="J991" s="59" t="s">
        <v>38</v>
      </c>
      <c r="K991" s="22" t="s">
        <v>254</v>
      </c>
      <c r="L991" s="59" t="s">
        <v>171</v>
      </c>
      <c r="M991" s="22">
        <v>2</v>
      </c>
      <c r="V991" s="59" t="s">
        <v>176</v>
      </c>
      <c r="AL991" s="59" t="s">
        <v>40</v>
      </c>
      <c r="AM991" s="22" t="s">
        <v>188</v>
      </c>
      <c r="AV991" s="59" t="s">
        <v>134</v>
      </c>
      <c r="AW991" s="22" t="str">
        <f>Settings!$B$5 &amp;  "?s=" &amp; D991 &amp; "&amp;platform=ftx"</f>
        <v>https://tokensol.nfluent.io?s=COR22D828&amp;platform=ftx</v>
      </c>
      <c r="AX991" s="20" t="s">
        <v>23</v>
      </c>
      <c r="AY991" s="20">
        <v>10</v>
      </c>
      <c r="AZ991" s="20" t="s">
        <v>24</v>
      </c>
      <c r="BA991" s="20">
        <v>90</v>
      </c>
      <c r="BD991" s="14"/>
      <c r="BJ991" t="s">
        <v>255</v>
      </c>
      <c r="BK991" t="s">
        <v>184</v>
      </c>
      <c r="BN991" s="36">
        <v>100</v>
      </c>
      <c r="BO991" s="36">
        <v>100</v>
      </c>
      <c r="BP991">
        <f t="shared" si="81"/>
        <v>480</v>
      </c>
      <c r="BR991" s="38">
        <v>44713</v>
      </c>
      <c r="BS991" s="20" t="s">
        <v>185</v>
      </c>
      <c r="BT991" s="20" t="str">
        <f t="shared" si="82"/>
        <v>InCasa_COR22D828</v>
      </c>
    </row>
    <row r="992" spans="2:72" ht="18.75" customHeight="1" x14ac:dyDescent="0.25">
      <c r="B992" s="20">
        <f t="shared" si="83"/>
        <v>829</v>
      </c>
      <c r="C992" s="22" t="str">
        <f t="shared" si="79"/>
        <v>In Casa #829</v>
      </c>
      <c r="D992" t="str">
        <f t="shared" si="80"/>
        <v>COR22D829</v>
      </c>
      <c r="E992" s="58" t="s">
        <v>252</v>
      </c>
      <c r="F992" s="20">
        <v>1000</v>
      </c>
      <c r="G992" s="14" t="s">
        <v>354</v>
      </c>
      <c r="H992" s="23" t="s">
        <v>170</v>
      </c>
      <c r="J992" s="59" t="s">
        <v>38</v>
      </c>
      <c r="K992" s="22" t="s">
        <v>254</v>
      </c>
      <c r="L992" s="59" t="s">
        <v>171</v>
      </c>
      <c r="M992" s="22">
        <v>2</v>
      </c>
      <c r="V992" s="59" t="s">
        <v>176</v>
      </c>
      <c r="AL992" s="59" t="s">
        <v>40</v>
      </c>
      <c r="AM992" s="22" t="s">
        <v>188</v>
      </c>
      <c r="AV992" s="59" t="s">
        <v>134</v>
      </c>
      <c r="AW992" s="22" t="str">
        <f>Settings!$B$5 &amp;  "?s=" &amp; D992 &amp; "&amp;platform=ftx"</f>
        <v>https://tokensol.nfluent.io?s=COR22D829&amp;platform=ftx</v>
      </c>
      <c r="AX992" s="20" t="s">
        <v>23</v>
      </c>
      <c r="AY992" s="20">
        <v>10</v>
      </c>
      <c r="AZ992" s="20" t="s">
        <v>24</v>
      </c>
      <c r="BA992" s="20">
        <v>90</v>
      </c>
      <c r="BD992" s="14"/>
      <c r="BJ992" t="s">
        <v>255</v>
      </c>
      <c r="BK992" t="s">
        <v>184</v>
      </c>
      <c r="BN992" s="36">
        <v>100</v>
      </c>
      <c r="BO992" s="36">
        <v>100</v>
      </c>
      <c r="BP992">
        <f t="shared" si="81"/>
        <v>480</v>
      </c>
      <c r="BR992" s="38">
        <v>44713</v>
      </c>
      <c r="BS992" s="20" t="s">
        <v>185</v>
      </c>
      <c r="BT992" s="20" t="str">
        <f t="shared" si="82"/>
        <v>InCasa_COR22D829</v>
      </c>
    </row>
    <row r="993" spans="2:72" ht="18.75" customHeight="1" x14ac:dyDescent="0.25">
      <c r="B993" s="20">
        <f t="shared" si="83"/>
        <v>830</v>
      </c>
      <c r="C993" s="22" t="str">
        <f t="shared" si="79"/>
        <v>In Casa #830</v>
      </c>
      <c r="D993" t="str">
        <f t="shared" si="80"/>
        <v>COR22D830</v>
      </c>
      <c r="E993" s="58" t="s">
        <v>252</v>
      </c>
      <c r="F993" s="20">
        <v>1000</v>
      </c>
      <c r="G993" s="14" t="s">
        <v>354</v>
      </c>
      <c r="H993" s="23" t="s">
        <v>170</v>
      </c>
      <c r="J993" s="59" t="s">
        <v>38</v>
      </c>
      <c r="K993" s="22" t="s">
        <v>254</v>
      </c>
      <c r="L993" s="59" t="s">
        <v>171</v>
      </c>
      <c r="M993" s="22">
        <v>2</v>
      </c>
      <c r="V993" s="59" t="s">
        <v>176</v>
      </c>
      <c r="AL993" s="59" t="s">
        <v>40</v>
      </c>
      <c r="AM993" s="22" t="s">
        <v>188</v>
      </c>
      <c r="AV993" s="59" t="s">
        <v>134</v>
      </c>
      <c r="AW993" s="22" t="str">
        <f>Settings!$B$5 &amp;  "?s=" &amp; D993 &amp; "&amp;platform=ftx"</f>
        <v>https://tokensol.nfluent.io?s=COR22D830&amp;platform=ftx</v>
      </c>
      <c r="AX993" s="20" t="s">
        <v>23</v>
      </c>
      <c r="AY993" s="20">
        <v>10</v>
      </c>
      <c r="AZ993" s="20" t="s">
        <v>24</v>
      </c>
      <c r="BA993" s="20">
        <v>90</v>
      </c>
      <c r="BD993" s="14"/>
      <c r="BJ993" t="s">
        <v>255</v>
      </c>
      <c r="BK993" t="s">
        <v>184</v>
      </c>
      <c r="BN993" s="36">
        <v>100</v>
      </c>
      <c r="BO993" s="36">
        <v>100</v>
      </c>
      <c r="BP993">
        <f t="shared" si="81"/>
        <v>480</v>
      </c>
      <c r="BR993" s="38">
        <v>44713</v>
      </c>
      <c r="BS993" s="20" t="s">
        <v>185</v>
      </c>
      <c r="BT993" s="20" t="str">
        <f t="shared" si="82"/>
        <v>InCasa_COR22D830</v>
      </c>
    </row>
    <row r="994" spans="2:72" ht="18.75" customHeight="1" x14ac:dyDescent="0.25">
      <c r="B994" s="20">
        <f t="shared" si="83"/>
        <v>831</v>
      </c>
      <c r="C994" s="22" t="str">
        <f t="shared" si="79"/>
        <v>In Casa #831</v>
      </c>
      <c r="D994" t="str">
        <f t="shared" si="80"/>
        <v>COR22D831</v>
      </c>
      <c r="E994" s="58" t="s">
        <v>252</v>
      </c>
      <c r="F994" s="20">
        <v>1000</v>
      </c>
      <c r="G994" s="14" t="s">
        <v>354</v>
      </c>
      <c r="H994" s="23" t="s">
        <v>170</v>
      </c>
      <c r="J994" s="59" t="s">
        <v>38</v>
      </c>
      <c r="K994" s="22" t="s">
        <v>254</v>
      </c>
      <c r="L994" s="59" t="s">
        <v>171</v>
      </c>
      <c r="M994" s="22">
        <v>2</v>
      </c>
      <c r="V994" s="59" t="s">
        <v>176</v>
      </c>
      <c r="AL994" s="59" t="s">
        <v>40</v>
      </c>
      <c r="AM994" s="22" t="s">
        <v>188</v>
      </c>
      <c r="AV994" s="59" t="s">
        <v>134</v>
      </c>
      <c r="AW994" s="22" t="str">
        <f>Settings!$B$5 &amp;  "?s=" &amp; D994 &amp; "&amp;platform=ftx"</f>
        <v>https://tokensol.nfluent.io?s=COR22D831&amp;platform=ftx</v>
      </c>
      <c r="AX994" s="20" t="s">
        <v>23</v>
      </c>
      <c r="AY994" s="20">
        <v>10</v>
      </c>
      <c r="AZ994" s="20" t="s">
        <v>24</v>
      </c>
      <c r="BA994" s="20">
        <v>90</v>
      </c>
      <c r="BD994" s="14"/>
      <c r="BJ994" t="s">
        <v>255</v>
      </c>
      <c r="BK994" t="s">
        <v>184</v>
      </c>
      <c r="BN994" s="36">
        <v>100</v>
      </c>
      <c r="BO994" s="36">
        <v>100</v>
      </c>
      <c r="BP994">
        <f t="shared" si="81"/>
        <v>480</v>
      </c>
      <c r="BR994" s="38">
        <v>44713</v>
      </c>
      <c r="BS994" s="20" t="s">
        <v>185</v>
      </c>
      <c r="BT994" s="20" t="str">
        <f t="shared" si="82"/>
        <v>InCasa_COR22D831</v>
      </c>
    </row>
    <row r="995" spans="2:72" ht="18.75" customHeight="1" x14ac:dyDescent="0.25">
      <c r="B995" s="20">
        <f t="shared" si="83"/>
        <v>832</v>
      </c>
      <c r="C995" s="22" t="str">
        <f t="shared" si="79"/>
        <v>In Casa #832</v>
      </c>
      <c r="D995" t="str">
        <f t="shared" si="80"/>
        <v>COR22D832</v>
      </c>
      <c r="E995" s="58" t="s">
        <v>252</v>
      </c>
      <c r="F995" s="20">
        <v>1000</v>
      </c>
      <c r="G995" s="14" t="s">
        <v>354</v>
      </c>
      <c r="H995" s="23" t="s">
        <v>170</v>
      </c>
      <c r="J995" s="59" t="s">
        <v>38</v>
      </c>
      <c r="K995" s="22" t="s">
        <v>254</v>
      </c>
      <c r="L995" s="59" t="s">
        <v>171</v>
      </c>
      <c r="M995" s="22">
        <v>2</v>
      </c>
      <c r="V995" s="59" t="s">
        <v>176</v>
      </c>
      <c r="AL995" s="59" t="s">
        <v>40</v>
      </c>
      <c r="AM995" s="22" t="s">
        <v>188</v>
      </c>
      <c r="AV995" s="59" t="s">
        <v>134</v>
      </c>
      <c r="AW995" s="22" t="str">
        <f>Settings!$B$5 &amp;  "?s=" &amp; D995 &amp; "&amp;platform=ftx"</f>
        <v>https://tokensol.nfluent.io?s=COR22D832&amp;platform=ftx</v>
      </c>
      <c r="AX995" s="20" t="s">
        <v>23</v>
      </c>
      <c r="AY995" s="20">
        <v>10</v>
      </c>
      <c r="AZ995" s="20" t="s">
        <v>24</v>
      </c>
      <c r="BA995" s="20">
        <v>90</v>
      </c>
      <c r="BD995" s="14"/>
      <c r="BJ995" t="s">
        <v>255</v>
      </c>
      <c r="BK995" t="s">
        <v>184</v>
      </c>
      <c r="BN995" s="36">
        <v>100</v>
      </c>
      <c r="BO995" s="36">
        <v>100</v>
      </c>
      <c r="BP995">
        <f t="shared" si="81"/>
        <v>480</v>
      </c>
      <c r="BR995" s="38">
        <v>44713</v>
      </c>
      <c r="BS995" s="20" t="s">
        <v>185</v>
      </c>
      <c r="BT995" s="20" t="str">
        <f t="shared" si="82"/>
        <v>InCasa_COR22D832</v>
      </c>
    </row>
    <row r="996" spans="2:72" ht="18.75" customHeight="1" x14ac:dyDescent="0.25">
      <c r="B996" s="20">
        <f t="shared" si="83"/>
        <v>833</v>
      </c>
      <c r="C996" s="22" t="str">
        <f t="shared" si="79"/>
        <v>In Casa #833</v>
      </c>
      <c r="D996" t="str">
        <f t="shared" si="80"/>
        <v>COR22D833</v>
      </c>
      <c r="E996" s="58" t="s">
        <v>252</v>
      </c>
      <c r="F996" s="20">
        <v>1000</v>
      </c>
      <c r="G996" s="14" t="s">
        <v>354</v>
      </c>
      <c r="H996" s="23" t="s">
        <v>170</v>
      </c>
      <c r="J996" s="59" t="s">
        <v>38</v>
      </c>
      <c r="K996" s="22" t="s">
        <v>254</v>
      </c>
      <c r="L996" s="59" t="s">
        <v>171</v>
      </c>
      <c r="M996" s="22">
        <v>2</v>
      </c>
      <c r="V996" s="59" t="s">
        <v>176</v>
      </c>
      <c r="AL996" s="59" t="s">
        <v>40</v>
      </c>
      <c r="AM996" s="22" t="s">
        <v>188</v>
      </c>
      <c r="AV996" s="59" t="s">
        <v>134</v>
      </c>
      <c r="AW996" s="22" t="str">
        <f>Settings!$B$5 &amp;  "?s=" &amp; D996 &amp; "&amp;platform=ftx"</f>
        <v>https://tokensol.nfluent.io?s=COR22D833&amp;platform=ftx</v>
      </c>
      <c r="AX996" s="20" t="s">
        <v>23</v>
      </c>
      <c r="AY996" s="20">
        <v>10</v>
      </c>
      <c r="AZ996" s="20" t="s">
        <v>24</v>
      </c>
      <c r="BA996" s="20">
        <v>90</v>
      </c>
      <c r="BD996" s="14"/>
      <c r="BJ996" t="s">
        <v>255</v>
      </c>
      <c r="BK996" t="s">
        <v>184</v>
      </c>
      <c r="BN996" s="36">
        <v>100</v>
      </c>
      <c r="BO996" s="36">
        <v>100</v>
      </c>
      <c r="BP996">
        <f t="shared" si="81"/>
        <v>480</v>
      </c>
      <c r="BR996" s="38">
        <v>44713</v>
      </c>
      <c r="BS996" s="20" t="s">
        <v>185</v>
      </c>
      <c r="BT996" s="20" t="str">
        <f t="shared" si="82"/>
        <v>InCasa_COR22D833</v>
      </c>
    </row>
    <row r="997" spans="2:72" ht="18.75" customHeight="1" x14ac:dyDescent="0.25">
      <c r="B997" s="20">
        <f t="shared" si="83"/>
        <v>834</v>
      </c>
      <c r="C997" s="22" t="str">
        <f t="shared" ref="C997:C1060" si="84">+"In Casa #"&amp;B997</f>
        <v>In Casa #834</v>
      </c>
      <c r="D997" t="str">
        <f t="shared" ref="D997:D1060" si="85">"COR22D"&amp;B997</f>
        <v>COR22D834</v>
      </c>
      <c r="E997" s="58" t="s">
        <v>252</v>
      </c>
      <c r="F997" s="20">
        <v>1000</v>
      </c>
      <c r="G997" s="14" t="s">
        <v>354</v>
      </c>
      <c r="H997" s="23" t="s">
        <v>170</v>
      </c>
      <c r="J997" s="59" t="s">
        <v>38</v>
      </c>
      <c r="K997" s="22" t="s">
        <v>254</v>
      </c>
      <c r="L997" s="59" t="s">
        <v>171</v>
      </c>
      <c r="M997" s="22">
        <v>2</v>
      </c>
      <c r="V997" s="59" t="s">
        <v>176</v>
      </c>
      <c r="AL997" s="59" t="s">
        <v>40</v>
      </c>
      <c r="AM997" s="22" t="s">
        <v>188</v>
      </c>
      <c r="AV997" s="59" t="s">
        <v>134</v>
      </c>
      <c r="AW997" s="22" t="str">
        <f>Settings!$B$5 &amp;  "?s=" &amp; D997 &amp; "&amp;platform=ftx"</f>
        <v>https://tokensol.nfluent.io?s=COR22D834&amp;platform=ftx</v>
      </c>
      <c r="AX997" s="20" t="s">
        <v>23</v>
      </c>
      <c r="AY997" s="20">
        <v>10</v>
      </c>
      <c r="AZ997" s="20" t="s">
        <v>24</v>
      </c>
      <c r="BA997" s="20">
        <v>90</v>
      </c>
      <c r="BD997" s="14"/>
      <c r="BJ997" t="s">
        <v>255</v>
      </c>
      <c r="BK997" t="s">
        <v>184</v>
      </c>
      <c r="BN997" s="36">
        <v>100</v>
      </c>
      <c r="BO997" s="36">
        <v>100</v>
      </c>
      <c r="BP997">
        <f t="shared" ref="BP997:BP1060" si="86">24*20</f>
        <v>480</v>
      </c>
      <c r="BR997" s="38">
        <v>44713</v>
      </c>
      <c r="BS997" s="20" t="s">
        <v>185</v>
      </c>
      <c r="BT997" s="20" t="str">
        <f t="shared" si="82"/>
        <v>InCasa_COR22D834</v>
      </c>
    </row>
    <row r="998" spans="2:72" ht="18.75" customHeight="1" x14ac:dyDescent="0.25">
      <c r="B998" s="20">
        <f t="shared" si="83"/>
        <v>835</v>
      </c>
      <c r="C998" s="22" t="str">
        <f t="shared" si="84"/>
        <v>In Casa #835</v>
      </c>
      <c r="D998" t="str">
        <f t="shared" si="85"/>
        <v>COR22D835</v>
      </c>
      <c r="E998" s="58" t="s">
        <v>252</v>
      </c>
      <c r="F998" s="20">
        <v>1000</v>
      </c>
      <c r="G998" s="14" t="s">
        <v>354</v>
      </c>
      <c r="H998" s="23" t="s">
        <v>170</v>
      </c>
      <c r="J998" s="59" t="s">
        <v>38</v>
      </c>
      <c r="K998" s="22" t="s">
        <v>254</v>
      </c>
      <c r="L998" s="59" t="s">
        <v>171</v>
      </c>
      <c r="M998" s="22">
        <v>2</v>
      </c>
      <c r="V998" s="59" t="s">
        <v>176</v>
      </c>
      <c r="AL998" s="59" t="s">
        <v>40</v>
      </c>
      <c r="AM998" s="22" t="s">
        <v>188</v>
      </c>
      <c r="AV998" s="59" t="s">
        <v>134</v>
      </c>
      <c r="AW998" s="22" t="str">
        <f>Settings!$B$5 &amp;  "?s=" &amp; D998 &amp; "&amp;platform=ftx"</f>
        <v>https://tokensol.nfluent.io?s=COR22D835&amp;platform=ftx</v>
      </c>
      <c r="AX998" s="20" t="s">
        <v>23</v>
      </c>
      <c r="AY998" s="20">
        <v>10</v>
      </c>
      <c r="AZ998" s="20" t="s">
        <v>24</v>
      </c>
      <c r="BA998" s="20">
        <v>90</v>
      </c>
      <c r="BD998" s="14"/>
      <c r="BJ998" t="s">
        <v>255</v>
      </c>
      <c r="BK998" t="s">
        <v>184</v>
      </c>
      <c r="BN998" s="36">
        <v>100</v>
      </c>
      <c r="BO998" s="36">
        <v>100</v>
      </c>
      <c r="BP998">
        <f t="shared" si="86"/>
        <v>480</v>
      </c>
      <c r="BR998" s="38">
        <v>44713</v>
      </c>
      <c r="BS998" s="20" t="s">
        <v>185</v>
      </c>
      <c r="BT998" s="20" t="str">
        <f t="shared" si="82"/>
        <v>InCasa_COR22D835</v>
      </c>
    </row>
    <row r="999" spans="2:72" ht="18.75" customHeight="1" x14ac:dyDescent="0.25">
      <c r="B999" s="20">
        <f t="shared" si="83"/>
        <v>836</v>
      </c>
      <c r="C999" s="22" t="str">
        <f t="shared" si="84"/>
        <v>In Casa #836</v>
      </c>
      <c r="D999" t="str">
        <f t="shared" si="85"/>
        <v>COR22D836</v>
      </c>
      <c r="E999" s="58" t="s">
        <v>252</v>
      </c>
      <c r="F999" s="20">
        <v>1000</v>
      </c>
      <c r="G999" s="14" t="s">
        <v>354</v>
      </c>
      <c r="H999" s="23" t="s">
        <v>170</v>
      </c>
      <c r="J999" s="59" t="s">
        <v>38</v>
      </c>
      <c r="K999" s="22" t="s">
        <v>254</v>
      </c>
      <c r="L999" s="59" t="s">
        <v>171</v>
      </c>
      <c r="M999" s="22">
        <v>2</v>
      </c>
      <c r="V999" s="59" t="s">
        <v>176</v>
      </c>
      <c r="AL999" s="59" t="s">
        <v>40</v>
      </c>
      <c r="AM999" s="22" t="s">
        <v>188</v>
      </c>
      <c r="AV999" s="59" t="s">
        <v>134</v>
      </c>
      <c r="AW999" s="22" t="str">
        <f>Settings!$B$5 &amp;  "?s=" &amp; D999 &amp; "&amp;platform=ftx"</f>
        <v>https://tokensol.nfluent.io?s=COR22D836&amp;platform=ftx</v>
      </c>
      <c r="AX999" s="20" t="s">
        <v>23</v>
      </c>
      <c r="AY999" s="20">
        <v>10</v>
      </c>
      <c r="AZ999" s="20" t="s">
        <v>24</v>
      </c>
      <c r="BA999" s="20">
        <v>90</v>
      </c>
      <c r="BD999" s="14"/>
      <c r="BJ999" t="s">
        <v>255</v>
      </c>
      <c r="BK999" t="s">
        <v>184</v>
      </c>
      <c r="BN999" s="36">
        <v>100</v>
      </c>
      <c r="BO999" s="36">
        <v>100</v>
      </c>
      <c r="BP999">
        <f t="shared" si="86"/>
        <v>480</v>
      </c>
      <c r="BR999" s="38">
        <v>44713</v>
      </c>
      <c r="BS999" s="20" t="s">
        <v>185</v>
      </c>
      <c r="BT999" s="20" t="str">
        <f t="shared" si="82"/>
        <v>InCasa_COR22D836</v>
      </c>
    </row>
    <row r="1000" spans="2:72" ht="18.75" customHeight="1" x14ac:dyDescent="0.25">
      <c r="B1000" s="20">
        <f t="shared" si="83"/>
        <v>837</v>
      </c>
      <c r="C1000" s="22" t="str">
        <f t="shared" si="84"/>
        <v>In Casa #837</v>
      </c>
      <c r="D1000" t="str">
        <f t="shared" si="85"/>
        <v>COR22D837</v>
      </c>
      <c r="E1000" s="58" t="s">
        <v>252</v>
      </c>
      <c r="F1000" s="20">
        <v>1000</v>
      </c>
      <c r="G1000" s="14" t="s">
        <v>354</v>
      </c>
      <c r="H1000" s="23" t="s">
        <v>170</v>
      </c>
      <c r="J1000" s="59" t="s">
        <v>38</v>
      </c>
      <c r="K1000" s="22" t="s">
        <v>254</v>
      </c>
      <c r="L1000" s="59" t="s">
        <v>171</v>
      </c>
      <c r="M1000" s="22">
        <v>2</v>
      </c>
      <c r="V1000" s="59" t="s">
        <v>176</v>
      </c>
      <c r="AL1000" s="59" t="s">
        <v>40</v>
      </c>
      <c r="AM1000" s="22" t="s">
        <v>188</v>
      </c>
      <c r="AV1000" s="59" t="s">
        <v>134</v>
      </c>
      <c r="AW1000" s="22" t="str">
        <f>Settings!$B$5 &amp;  "?s=" &amp; D1000 &amp; "&amp;platform=ftx"</f>
        <v>https://tokensol.nfluent.io?s=COR22D837&amp;platform=ftx</v>
      </c>
      <c r="AX1000" s="20" t="s">
        <v>23</v>
      </c>
      <c r="AY1000" s="20">
        <v>10</v>
      </c>
      <c r="AZ1000" s="20" t="s">
        <v>24</v>
      </c>
      <c r="BA1000" s="20">
        <v>90</v>
      </c>
      <c r="BD1000" s="14"/>
      <c r="BJ1000" t="s">
        <v>255</v>
      </c>
      <c r="BK1000" t="s">
        <v>184</v>
      </c>
      <c r="BN1000" s="36">
        <v>100</v>
      </c>
      <c r="BO1000" s="36">
        <v>100</v>
      </c>
      <c r="BP1000">
        <f t="shared" si="86"/>
        <v>480</v>
      </c>
      <c r="BR1000" s="38">
        <v>44713</v>
      </c>
      <c r="BS1000" s="20" t="s">
        <v>185</v>
      </c>
      <c r="BT1000" s="20" t="str">
        <f t="shared" si="82"/>
        <v>InCasa_COR22D837</v>
      </c>
    </row>
    <row r="1001" spans="2:72" ht="18.75" customHeight="1" x14ac:dyDescent="0.25">
      <c r="B1001" s="20">
        <f t="shared" si="83"/>
        <v>838</v>
      </c>
      <c r="C1001" s="22" t="str">
        <f t="shared" si="84"/>
        <v>In Casa #838</v>
      </c>
      <c r="D1001" t="str">
        <f t="shared" si="85"/>
        <v>COR22D838</v>
      </c>
      <c r="E1001" s="58" t="s">
        <v>252</v>
      </c>
      <c r="F1001" s="20">
        <v>1000</v>
      </c>
      <c r="G1001" s="14" t="s">
        <v>354</v>
      </c>
      <c r="H1001" s="23" t="s">
        <v>170</v>
      </c>
      <c r="J1001" s="59" t="s">
        <v>38</v>
      </c>
      <c r="K1001" s="22" t="s">
        <v>254</v>
      </c>
      <c r="L1001" s="59" t="s">
        <v>171</v>
      </c>
      <c r="M1001" s="22">
        <v>2</v>
      </c>
      <c r="V1001" s="59" t="s">
        <v>176</v>
      </c>
      <c r="AL1001" s="59" t="s">
        <v>40</v>
      </c>
      <c r="AM1001" s="22" t="s">
        <v>188</v>
      </c>
      <c r="AV1001" s="59" t="s">
        <v>134</v>
      </c>
      <c r="AW1001" s="22" t="str">
        <f>Settings!$B$5 &amp;  "?s=" &amp; D1001 &amp; "&amp;platform=ftx"</f>
        <v>https://tokensol.nfluent.io?s=COR22D838&amp;platform=ftx</v>
      </c>
      <c r="AX1001" s="20" t="s">
        <v>23</v>
      </c>
      <c r="AY1001" s="20">
        <v>10</v>
      </c>
      <c r="AZ1001" s="20" t="s">
        <v>24</v>
      </c>
      <c r="BA1001" s="20">
        <v>90</v>
      </c>
      <c r="BD1001" s="14"/>
      <c r="BJ1001" t="s">
        <v>255</v>
      </c>
      <c r="BK1001" t="s">
        <v>184</v>
      </c>
      <c r="BN1001" s="36">
        <v>100</v>
      </c>
      <c r="BO1001" s="36">
        <v>100</v>
      </c>
      <c r="BP1001">
        <f t="shared" si="86"/>
        <v>480</v>
      </c>
      <c r="BR1001" s="38">
        <v>44713</v>
      </c>
      <c r="BS1001" s="20" t="s">
        <v>185</v>
      </c>
      <c r="BT1001" s="20" t="str">
        <f t="shared" si="82"/>
        <v>InCasa_COR22D838</v>
      </c>
    </row>
    <row r="1002" spans="2:72" ht="18.75" customHeight="1" x14ac:dyDescent="0.25">
      <c r="B1002" s="20">
        <f t="shared" si="83"/>
        <v>839</v>
      </c>
      <c r="C1002" s="22" t="str">
        <f t="shared" si="84"/>
        <v>In Casa #839</v>
      </c>
      <c r="D1002" t="str">
        <f t="shared" si="85"/>
        <v>COR22D839</v>
      </c>
      <c r="E1002" s="58" t="s">
        <v>252</v>
      </c>
      <c r="F1002" s="20">
        <v>1000</v>
      </c>
      <c r="G1002" s="14" t="s">
        <v>354</v>
      </c>
      <c r="H1002" s="23" t="s">
        <v>170</v>
      </c>
      <c r="J1002" s="59" t="s">
        <v>38</v>
      </c>
      <c r="K1002" s="22" t="s">
        <v>254</v>
      </c>
      <c r="L1002" s="59" t="s">
        <v>171</v>
      </c>
      <c r="M1002" s="22">
        <v>2</v>
      </c>
      <c r="V1002" s="59" t="s">
        <v>176</v>
      </c>
      <c r="AL1002" s="59" t="s">
        <v>40</v>
      </c>
      <c r="AM1002" s="22" t="s">
        <v>188</v>
      </c>
      <c r="AV1002" s="59" t="s">
        <v>134</v>
      </c>
      <c r="AW1002" s="22" t="str">
        <f>Settings!$B$5 &amp;  "?s=" &amp; D1002 &amp; "&amp;platform=ftx"</f>
        <v>https://tokensol.nfluent.io?s=COR22D839&amp;platform=ftx</v>
      </c>
      <c r="AX1002" s="20" t="s">
        <v>23</v>
      </c>
      <c r="AY1002" s="20">
        <v>10</v>
      </c>
      <c r="AZ1002" s="20" t="s">
        <v>24</v>
      </c>
      <c r="BA1002" s="20">
        <v>90</v>
      </c>
      <c r="BD1002" s="14"/>
      <c r="BJ1002" t="s">
        <v>255</v>
      </c>
      <c r="BK1002" t="s">
        <v>184</v>
      </c>
      <c r="BN1002" s="36">
        <v>100</v>
      </c>
      <c r="BO1002" s="36">
        <v>100</v>
      </c>
      <c r="BP1002">
        <f t="shared" si="86"/>
        <v>480</v>
      </c>
      <c r="BR1002" s="38">
        <v>44713</v>
      </c>
      <c r="BS1002" s="20" t="s">
        <v>185</v>
      </c>
      <c r="BT1002" s="20" t="str">
        <f t="shared" si="82"/>
        <v>InCasa_COR22D839</v>
      </c>
    </row>
    <row r="1003" spans="2:72" ht="18.75" customHeight="1" x14ac:dyDescent="0.25">
      <c r="B1003" s="20">
        <f t="shared" si="83"/>
        <v>840</v>
      </c>
      <c r="C1003" s="22" t="str">
        <f t="shared" si="84"/>
        <v>In Casa #840</v>
      </c>
      <c r="D1003" t="str">
        <f t="shared" si="85"/>
        <v>COR22D840</v>
      </c>
      <c r="E1003" s="58" t="s">
        <v>252</v>
      </c>
      <c r="F1003" s="20">
        <v>1000</v>
      </c>
      <c r="G1003" s="14" t="s">
        <v>354</v>
      </c>
      <c r="H1003" s="23" t="s">
        <v>170</v>
      </c>
      <c r="J1003" s="59" t="s">
        <v>38</v>
      </c>
      <c r="K1003" s="22" t="s">
        <v>254</v>
      </c>
      <c r="L1003" s="59" t="s">
        <v>171</v>
      </c>
      <c r="M1003" s="22">
        <v>2</v>
      </c>
      <c r="V1003" s="59" t="s">
        <v>176</v>
      </c>
      <c r="AL1003" s="59" t="s">
        <v>40</v>
      </c>
      <c r="AM1003" s="22" t="s">
        <v>188</v>
      </c>
      <c r="AV1003" s="59" t="s">
        <v>134</v>
      </c>
      <c r="AW1003" s="22" t="str">
        <f>Settings!$B$5 &amp;  "?s=" &amp; D1003 &amp; "&amp;platform=ftx"</f>
        <v>https://tokensol.nfluent.io?s=COR22D840&amp;platform=ftx</v>
      </c>
      <c r="AX1003" s="20" t="s">
        <v>23</v>
      </c>
      <c r="AY1003" s="20">
        <v>10</v>
      </c>
      <c r="AZ1003" s="20" t="s">
        <v>24</v>
      </c>
      <c r="BA1003" s="20">
        <v>90</v>
      </c>
      <c r="BD1003" s="14"/>
      <c r="BJ1003" t="s">
        <v>255</v>
      </c>
      <c r="BK1003" t="s">
        <v>184</v>
      </c>
      <c r="BN1003" s="36">
        <v>100</v>
      </c>
      <c r="BO1003" s="36">
        <v>100</v>
      </c>
      <c r="BP1003">
        <f t="shared" si="86"/>
        <v>480</v>
      </c>
      <c r="BR1003" s="38">
        <v>44713</v>
      </c>
      <c r="BS1003" s="20" t="s">
        <v>185</v>
      </c>
      <c r="BT1003" s="20" t="str">
        <f t="shared" si="82"/>
        <v>InCasa_COR22D840</v>
      </c>
    </row>
    <row r="1004" spans="2:72" ht="18.75" customHeight="1" x14ac:dyDescent="0.25">
      <c r="B1004" s="20">
        <f t="shared" si="83"/>
        <v>841</v>
      </c>
      <c r="C1004" s="22" t="str">
        <f t="shared" si="84"/>
        <v>In Casa #841</v>
      </c>
      <c r="D1004" t="str">
        <f t="shared" si="85"/>
        <v>COR22D841</v>
      </c>
      <c r="E1004" s="58" t="s">
        <v>252</v>
      </c>
      <c r="F1004" s="20">
        <v>1000</v>
      </c>
      <c r="G1004" s="14" t="s">
        <v>354</v>
      </c>
      <c r="H1004" s="23" t="s">
        <v>170</v>
      </c>
      <c r="J1004" s="59" t="s">
        <v>38</v>
      </c>
      <c r="K1004" s="22" t="s">
        <v>254</v>
      </c>
      <c r="L1004" s="59" t="s">
        <v>171</v>
      </c>
      <c r="M1004" s="22">
        <v>2</v>
      </c>
      <c r="V1004" s="59" t="s">
        <v>176</v>
      </c>
      <c r="AL1004" s="59" t="s">
        <v>40</v>
      </c>
      <c r="AM1004" s="22" t="s">
        <v>188</v>
      </c>
      <c r="AV1004" s="59" t="s">
        <v>134</v>
      </c>
      <c r="AW1004" s="22" t="str">
        <f>Settings!$B$5 &amp;  "?s=" &amp; D1004 &amp; "&amp;platform=ftx"</f>
        <v>https://tokensol.nfluent.io?s=COR22D841&amp;platform=ftx</v>
      </c>
      <c r="AX1004" s="20" t="s">
        <v>23</v>
      </c>
      <c r="AY1004" s="20">
        <v>10</v>
      </c>
      <c r="AZ1004" s="20" t="s">
        <v>24</v>
      </c>
      <c r="BA1004" s="20">
        <v>90</v>
      </c>
      <c r="BD1004" s="14"/>
      <c r="BJ1004" t="s">
        <v>255</v>
      </c>
      <c r="BK1004" t="s">
        <v>184</v>
      </c>
      <c r="BN1004" s="36">
        <v>100</v>
      </c>
      <c r="BO1004" s="36">
        <v>100</v>
      </c>
      <c r="BP1004">
        <f t="shared" si="86"/>
        <v>480</v>
      </c>
      <c r="BR1004" s="38">
        <v>44713</v>
      </c>
      <c r="BS1004" s="20" t="s">
        <v>185</v>
      </c>
      <c r="BT1004" s="20" t="str">
        <f t="shared" si="82"/>
        <v>InCasa_COR22D841</v>
      </c>
    </row>
    <row r="1005" spans="2:72" ht="18.75" customHeight="1" x14ac:dyDescent="0.25">
      <c r="B1005" s="20">
        <f t="shared" si="83"/>
        <v>842</v>
      </c>
      <c r="C1005" s="22" t="str">
        <f t="shared" si="84"/>
        <v>In Casa #842</v>
      </c>
      <c r="D1005" t="str">
        <f t="shared" si="85"/>
        <v>COR22D842</v>
      </c>
      <c r="E1005" s="58" t="s">
        <v>252</v>
      </c>
      <c r="F1005" s="20">
        <v>1000</v>
      </c>
      <c r="G1005" s="14" t="s">
        <v>354</v>
      </c>
      <c r="H1005" s="23" t="s">
        <v>170</v>
      </c>
      <c r="J1005" s="59" t="s">
        <v>38</v>
      </c>
      <c r="K1005" s="22" t="s">
        <v>254</v>
      </c>
      <c r="L1005" s="59" t="s">
        <v>171</v>
      </c>
      <c r="M1005" s="22">
        <v>2</v>
      </c>
      <c r="V1005" s="59" t="s">
        <v>176</v>
      </c>
      <c r="AL1005" s="59" t="s">
        <v>40</v>
      </c>
      <c r="AM1005" s="22" t="s">
        <v>188</v>
      </c>
      <c r="AV1005" s="59" t="s">
        <v>134</v>
      </c>
      <c r="AW1005" s="22" t="str">
        <f>Settings!$B$5 &amp;  "?s=" &amp; D1005 &amp; "&amp;platform=ftx"</f>
        <v>https://tokensol.nfluent.io?s=COR22D842&amp;platform=ftx</v>
      </c>
      <c r="AX1005" s="20" t="s">
        <v>23</v>
      </c>
      <c r="AY1005" s="20">
        <v>10</v>
      </c>
      <c r="AZ1005" s="20" t="s">
        <v>24</v>
      </c>
      <c r="BA1005" s="20">
        <v>90</v>
      </c>
      <c r="BD1005" s="14"/>
      <c r="BJ1005" t="s">
        <v>255</v>
      </c>
      <c r="BK1005" t="s">
        <v>184</v>
      </c>
      <c r="BN1005" s="36">
        <v>100</v>
      </c>
      <c r="BO1005" s="36">
        <v>100</v>
      </c>
      <c r="BP1005">
        <f t="shared" si="86"/>
        <v>480</v>
      </c>
      <c r="BR1005" s="38">
        <v>44713</v>
      </c>
      <c r="BS1005" s="20" t="s">
        <v>185</v>
      </c>
      <c r="BT1005" s="20" t="str">
        <f t="shared" si="82"/>
        <v>InCasa_COR22D842</v>
      </c>
    </row>
    <row r="1006" spans="2:72" ht="18.75" customHeight="1" x14ac:dyDescent="0.25">
      <c r="B1006" s="20">
        <f t="shared" si="83"/>
        <v>843</v>
      </c>
      <c r="C1006" s="22" t="str">
        <f t="shared" si="84"/>
        <v>In Casa #843</v>
      </c>
      <c r="D1006" t="str">
        <f t="shared" si="85"/>
        <v>COR22D843</v>
      </c>
      <c r="E1006" s="58" t="s">
        <v>252</v>
      </c>
      <c r="F1006" s="20">
        <v>1000</v>
      </c>
      <c r="G1006" s="14" t="s">
        <v>354</v>
      </c>
      <c r="H1006" s="23" t="s">
        <v>170</v>
      </c>
      <c r="J1006" s="59" t="s">
        <v>38</v>
      </c>
      <c r="K1006" s="22" t="s">
        <v>254</v>
      </c>
      <c r="L1006" s="59" t="s">
        <v>171</v>
      </c>
      <c r="M1006" s="22">
        <v>2</v>
      </c>
      <c r="V1006" s="59" t="s">
        <v>176</v>
      </c>
      <c r="AL1006" s="59" t="s">
        <v>40</v>
      </c>
      <c r="AM1006" s="22" t="s">
        <v>188</v>
      </c>
      <c r="AV1006" s="59" t="s">
        <v>134</v>
      </c>
      <c r="AW1006" s="22" t="str">
        <f>Settings!$B$5 &amp;  "?s=" &amp; D1006 &amp; "&amp;platform=ftx"</f>
        <v>https://tokensol.nfluent.io?s=COR22D843&amp;platform=ftx</v>
      </c>
      <c r="AX1006" s="20" t="s">
        <v>23</v>
      </c>
      <c r="AY1006" s="20">
        <v>10</v>
      </c>
      <c r="AZ1006" s="20" t="s">
        <v>24</v>
      </c>
      <c r="BA1006" s="20">
        <v>90</v>
      </c>
      <c r="BD1006" s="14"/>
      <c r="BJ1006" t="s">
        <v>255</v>
      </c>
      <c r="BK1006" t="s">
        <v>184</v>
      </c>
      <c r="BN1006" s="36">
        <v>100</v>
      </c>
      <c r="BO1006" s="36">
        <v>100</v>
      </c>
      <c r="BP1006">
        <f t="shared" si="86"/>
        <v>480</v>
      </c>
      <c r="BR1006" s="38">
        <v>44713</v>
      </c>
      <c r="BS1006" s="20" t="s">
        <v>185</v>
      </c>
      <c r="BT1006" s="20" t="str">
        <f t="shared" si="82"/>
        <v>InCasa_COR22D843</v>
      </c>
    </row>
    <row r="1007" spans="2:72" ht="18.75" customHeight="1" x14ac:dyDescent="0.25">
      <c r="B1007" s="20">
        <f t="shared" si="83"/>
        <v>844</v>
      </c>
      <c r="C1007" s="22" t="str">
        <f t="shared" si="84"/>
        <v>In Casa #844</v>
      </c>
      <c r="D1007" t="str">
        <f t="shared" si="85"/>
        <v>COR22D844</v>
      </c>
      <c r="E1007" s="58" t="s">
        <v>252</v>
      </c>
      <c r="F1007" s="20">
        <v>1000</v>
      </c>
      <c r="G1007" s="14" t="s">
        <v>354</v>
      </c>
      <c r="H1007" s="23" t="s">
        <v>170</v>
      </c>
      <c r="J1007" s="59" t="s">
        <v>38</v>
      </c>
      <c r="K1007" s="22" t="s">
        <v>254</v>
      </c>
      <c r="L1007" s="59" t="s">
        <v>171</v>
      </c>
      <c r="M1007" s="22">
        <v>2</v>
      </c>
      <c r="V1007" s="59" t="s">
        <v>176</v>
      </c>
      <c r="AL1007" s="59" t="s">
        <v>40</v>
      </c>
      <c r="AM1007" s="22" t="s">
        <v>188</v>
      </c>
      <c r="AV1007" s="59" t="s">
        <v>134</v>
      </c>
      <c r="AW1007" s="22" t="str">
        <f>Settings!$B$5 &amp;  "?s=" &amp; D1007 &amp; "&amp;platform=ftx"</f>
        <v>https://tokensol.nfluent.io?s=COR22D844&amp;platform=ftx</v>
      </c>
      <c r="AX1007" s="20" t="s">
        <v>23</v>
      </c>
      <c r="AY1007" s="20">
        <v>10</v>
      </c>
      <c r="AZ1007" s="20" t="s">
        <v>24</v>
      </c>
      <c r="BA1007" s="20">
        <v>90</v>
      </c>
      <c r="BD1007" s="14"/>
      <c r="BJ1007" t="s">
        <v>255</v>
      </c>
      <c r="BK1007" t="s">
        <v>184</v>
      </c>
      <c r="BN1007" s="36">
        <v>100</v>
      </c>
      <c r="BO1007" s="36">
        <v>100</v>
      </c>
      <c r="BP1007">
        <f t="shared" si="86"/>
        <v>480</v>
      </c>
      <c r="BR1007" s="38">
        <v>44713</v>
      </c>
      <c r="BS1007" s="20" t="s">
        <v>185</v>
      </c>
      <c r="BT1007" s="20" t="str">
        <f t="shared" si="82"/>
        <v>InCasa_COR22D844</v>
      </c>
    </row>
    <row r="1008" spans="2:72" ht="18.75" customHeight="1" x14ac:dyDescent="0.25">
      <c r="B1008" s="20">
        <f t="shared" si="83"/>
        <v>845</v>
      </c>
      <c r="C1008" s="22" t="str">
        <f t="shared" si="84"/>
        <v>In Casa #845</v>
      </c>
      <c r="D1008" t="str">
        <f t="shared" si="85"/>
        <v>COR22D845</v>
      </c>
      <c r="E1008" s="58" t="s">
        <v>252</v>
      </c>
      <c r="F1008" s="20">
        <v>1000</v>
      </c>
      <c r="G1008" s="14" t="s">
        <v>354</v>
      </c>
      <c r="H1008" s="23" t="s">
        <v>170</v>
      </c>
      <c r="J1008" s="59" t="s">
        <v>38</v>
      </c>
      <c r="K1008" s="22" t="s">
        <v>254</v>
      </c>
      <c r="L1008" s="59" t="s">
        <v>171</v>
      </c>
      <c r="M1008" s="22">
        <v>2</v>
      </c>
      <c r="V1008" s="59" t="s">
        <v>176</v>
      </c>
      <c r="AL1008" s="59" t="s">
        <v>40</v>
      </c>
      <c r="AM1008" s="22" t="s">
        <v>188</v>
      </c>
      <c r="AV1008" s="59" t="s">
        <v>134</v>
      </c>
      <c r="AW1008" s="22" t="str">
        <f>Settings!$B$5 &amp;  "?s=" &amp; D1008 &amp; "&amp;platform=ftx"</f>
        <v>https://tokensol.nfluent.io?s=COR22D845&amp;platform=ftx</v>
      </c>
      <c r="AX1008" s="20" t="s">
        <v>23</v>
      </c>
      <c r="AY1008" s="20">
        <v>10</v>
      </c>
      <c r="AZ1008" s="20" t="s">
        <v>24</v>
      </c>
      <c r="BA1008" s="20">
        <v>90</v>
      </c>
      <c r="BD1008" s="14"/>
      <c r="BJ1008" t="s">
        <v>255</v>
      </c>
      <c r="BK1008" t="s">
        <v>184</v>
      </c>
      <c r="BN1008" s="36">
        <v>100</v>
      </c>
      <c r="BO1008" s="36">
        <v>100</v>
      </c>
      <c r="BP1008">
        <f t="shared" si="86"/>
        <v>480</v>
      </c>
      <c r="BR1008" s="38">
        <v>44713</v>
      </c>
      <c r="BS1008" s="20" t="s">
        <v>185</v>
      </c>
      <c r="BT1008" s="20" t="str">
        <f t="shared" si="82"/>
        <v>InCasa_COR22D845</v>
      </c>
    </row>
    <row r="1009" spans="2:72" ht="18.75" customHeight="1" x14ac:dyDescent="0.25">
      <c r="B1009" s="20">
        <f t="shared" si="83"/>
        <v>846</v>
      </c>
      <c r="C1009" s="22" t="str">
        <f t="shared" si="84"/>
        <v>In Casa #846</v>
      </c>
      <c r="D1009" t="str">
        <f t="shared" si="85"/>
        <v>COR22D846</v>
      </c>
      <c r="E1009" s="58" t="s">
        <v>252</v>
      </c>
      <c r="F1009" s="20">
        <v>1000</v>
      </c>
      <c r="G1009" s="14" t="s">
        <v>354</v>
      </c>
      <c r="H1009" s="23" t="s">
        <v>170</v>
      </c>
      <c r="J1009" s="59" t="s">
        <v>38</v>
      </c>
      <c r="K1009" s="22" t="s">
        <v>254</v>
      </c>
      <c r="L1009" s="59" t="s">
        <v>171</v>
      </c>
      <c r="M1009" s="22">
        <v>2</v>
      </c>
      <c r="V1009" s="59" t="s">
        <v>176</v>
      </c>
      <c r="AL1009" s="59" t="s">
        <v>40</v>
      </c>
      <c r="AM1009" s="22" t="s">
        <v>188</v>
      </c>
      <c r="AV1009" s="59" t="s">
        <v>134</v>
      </c>
      <c r="AW1009" s="22" t="str">
        <f>Settings!$B$5 &amp;  "?s=" &amp; D1009 &amp; "&amp;platform=ftx"</f>
        <v>https://tokensol.nfluent.io?s=COR22D846&amp;platform=ftx</v>
      </c>
      <c r="AX1009" s="20" t="s">
        <v>23</v>
      </c>
      <c r="AY1009" s="20">
        <v>10</v>
      </c>
      <c r="AZ1009" s="20" t="s">
        <v>24</v>
      </c>
      <c r="BA1009" s="20">
        <v>90</v>
      </c>
      <c r="BD1009" s="14"/>
      <c r="BJ1009" t="s">
        <v>255</v>
      </c>
      <c r="BK1009" t="s">
        <v>184</v>
      </c>
      <c r="BN1009" s="36">
        <v>100</v>
      </c>
      <c r="BO1009" s="36">
        <v>100</v>
      </c>
      <c r="BP1009">
        <f t="shared" si="86"/>
        <v>480</v>
      </c>
      <c r="BR1009" s="38">
        <v>44713</v>
      </c>
      <c r="BS1009" s="20" t="s">
        <v>185</v>
      </c>
      <c r="BT1009" s="20" t="str">
        <f t="shared" si="82"/>
        <v>InCasa_COR22D846</v>
      </c>
    </row>
    <row r="1010" spans="2:72" ht="18.75" customHeight="1" x14ac:dyDescent="0.25">
      <c r="B1010" s="20">
        <f t="shared" si="83"/>
        <v>847</v>
      </c>
      <c r="C1010" s="22" t="str">
        <f t="shared" si="84"/>
        <v>In Casa #847</v>
      </c>
      <c r="D1010" t="str">
        <f t="shared" si="85"/>
        <v>COR22D847</v>
      </c>
      <c r="E1010" s="58" t="s">
        <v>252</v>
      </c>
      <c r="F1010" s="20">
        <v>1000</v>
      </c>
      <c r="G1010" s="14" t="s">
        <v>354</v>
      </c>
      <c r="H1010" s="23" t="s">
        <v>170</v>
      </c>
      <c r="J1010" s="59" t="s">
        <v>38</v>
      </c>
      <c r="K1010" s="22" t="s">
        <v>254</v>
      </c>
      <c r="L1010" s="59" t="s">
        <v>171</v>
      </c>
      <c r="M1010" s="22">
        <v>2</v>
      </c>
      <c r="V1010" s="59" t="s">
        <v>176</v>
      </c>
      <c r="AL1010" s="59" t="s">
        <v>40</v>
      </c>
      <c r="AM1010" s="22" t="s">
        <v>188</v>
      </c>
      <c r="AV1010" s="59" t="s">
        <v>134</v>
      </c>
      <c r="AW1010" s="22" t="str">
        <f>Settings!$B$5 &amp;  "?s=" &amp; D1010 &amp; "&amp;platform=ftx"</f>
        <v>https://tokensol.nfluent.io?s=COR22D847&amp;platform=ftx</v>
      </c>
      <c r="AX1010" s="20" t="s">
        <v>23</v>
      </c>
      <c r="AY1010" s="20">
        <v>10</v>
      </c>
      <c r="AZ1010" s="20" t="s">
        <v>24</v>
      </c>
      <c r="BA1010" s="20">
        <v>90</v>
      </c>
      <c r="BD1010" s="14"/>
      <c r="BJ1010" t="s">
        <v>255</v>
      </c>
      <c r="BK1010" t="s">
        <v>184</v>
      </c>
      <c r="BN1010" s="36">
        <v>100</v>
      </c>
      <c r="BO1010" s="36">
        <v>100</v>
      </c>
      <c r="BP1010">
        <f t="shared" si="86"/>
        <v>480</v>
      </c>
      <c r="BR1010" s="38">
        <v>44713</v>
      </c>
      <c r="BS1010" s="20" t="s">
        <v>185</v>
      </c>
      <c r="BT1010" s="20" t="str">
        <f t="shared" si="82"/>
        <v>InCasa_COR22D847</v>
      </c>
    </row>
    <row r="1011" spans="2:72" ht="18.75" customHeight="1" x14ac:dyDescent="0.25">
      <c r="B1011" s="20">
        <f t="shared" si="83"/>
        <v>848</v>
      </c>
      <c r="C1011" s="22" t="str">
        <f t="shared" si="84"/>
        <v>In Casa #848</v>
      </c>
      <c r="D1011" t="str">
        <f t="shared" si="85"/>
        <v>COR22D848</v>
      </c>
      <c r="E1011" s="58" t="s">
        <v>252</v>
      </c>
      <c r="F1011" s="20">
        <v>1000</v>
      </c>
      <c r="G1011" s="14" t="s">
        <v>354</v>
      </c>
      <c r="H1011" s="23" t="s">
        <v>170</v>
      </c>
      <c r="J1011" s="59" t="s">
        <v>38</v>
      </c>
      <c r="K1011" s="22" t="s">
        <v>254</v>
      </c>
      <c r="L1011" s="59" t="s">
        <v>171</v>
      </c>
      <c r="M1011" s="22">
        <v>2</v>
      </c>
      <c r="V1011" s="59" t="s">
        <v>176</v>
      </c>
      <c r="AL1011" s="59" t="s">
        <v>40</v>
      </c>
      <c r="AM1011" s="22" t="s">
        <v>188</v>
      </c>
      <c r="AV1011" s="59" t="s">
        <v>134</v>
      </c>
      <c r="AW1011" s="22" t="str">
        <f>Settings!$B$5 &amp;  "?s=" &amp; D1011 &amp; "&amp;platform=ftx"</f>
        <v>https://tokensol.nfluent.io?s=COR22D848&amp;platform=ftx</v>
      </c>
      <c r="AX1011" s="20" t="s">
        <v>23</v>
      </c>
      <c r="AY1011" s="20">
        <v>10</v>
      </c>
      <c r="AZ1011" s="20" t="s">
        <v>24</v>
      </c>
      <c r="BA1011" s="20">
        <v>90</v>
      </c>
      <c r="BD1011" s="14"/>
      <c r="BJ1011" t="s">
        <v>255</v>
      </c>
      <c r="BK1011" t="s">
        <v>184</v>
      </c>
      <c r="BN1011" s="36">
        <v>100</v>
      </c>
      <c r="BO1011" s="36">
        <v>100</v>
      </c>
      <c r="BP1011">
        <f t="shared" si="86"/>
        <v>480</v>
      </c>
      <c r="BR1011" s="38">
        <v>44713</v>
      </c>
      <c r="BS1011" s="20" t="s">
        <v>185</v>
      </c>
      <c r="BT1011" s="20" t="str">
        <f t="shared" si="82"/>
        <v>InCasa_COR22D848</v>
      </c>
    </row>
    <row r="1012" spans="2:72" ht="18.75" customHeight="1" x14ac:dyDescent="0.25">
      <c r="B1012" s="20">
        <f t="shared" si="83"/>
        <v>849</v>
      </c>
      <c r="C1012" s="22" t="str">
        <f t="shared" si="84"/>
        <v>In Casa #849</v>
      </c>
      <c r="D1012" t="str">
        <f t="shared" si="85"/>
        <v>COR22D849</v>
      </c>
      <c r="E1012" s="58" t="s">
        <v>252</v>
      </c>
      <c r="F1012" s="20">
        <v>1000</v>
      </c>
      <c r="G1012" s="14" t="s">
        <v>354</v>
      </c>
      <c r="H1012" s="23" t="s">
        <v>170</v>
      </c>
      <c r="J1012" s="59" t="s">
        <v>38</v>
      </c>
      <c r="K1012" s="22" t="s">
        <v>254</v>
      </c>
      <c r="L1012" s="59" t="s">
        <v>171</v>
      </c>
      <c r="M1012" s="22">
        <v>2</v>
      </c>
      <c r="V1012" s="59" t="s">
        <v>176</v>
      </c>
      <c r="AL1012" s="59" t="s">
        <v>40</v>
      </c>
      <c r="AM1012" s="22" t="s">
        <v>188</v>
      </c>
      <c r="AV1012" s="59" t="s">
        <v>134</v>
      </c>
      <c r="AW1012" s="22" t="str">
        <f>Settings!$B$5 &amp;  "?s=" &amp; D1012 &amp; "&amp;platform=ftx"</f>
        <v>https://tokensol.nfluent.io?s=COR22D849&amp;platform=ftx</v>
      </c>
      <c r="AX1012" s="20" t="s">
        <v>23</v>
      </c>
      <c r="AY1012" s="20">
        <v>10</v>
      </c>
      <c r="AZ1012" s="20" t="s">
        <v>24</v>
      </c>
      <c r="BA1012" s="20">
        <v>90</v>
      </c>
      <c r="BD1012" s="14"/>
      <c r="BJ1012" t="s">
        <v>255</v>
      </c>
      <c r="BK1012" t="s">
        <v>184</v>
      </c>
      <c r="BN1012" s="36">
        <v>100</v>
      </c>
      <c r="BO1012" s="36">
        <v>100</v>
      </c>
      <c r="BP1012">
        <f t="shared" si="86"/>
        <v>480</v>
      </c>
      <c r="BR1012" s="38">
        <v>44713</v>
      </c>
      <c r="BS1012" s="20" t="s">
        <v>185</v>
      </c>
      <c r="BT1012" s="20" t="str">
        <f t="shared" si="82"/>
        <v>InCasa_COR22D849</v>
      </c>
    </row>
    <row r="1013" spans="2:72" ht="18.75" customHeight="1" x14ac:dyDescent="0.25">
      <c r="B1013" s="20">
        <f t="shared" si="83"/>
        <v>850</v>
      </c>
      <c r="C1013" s="22" t="str">
        <f t="shared" si="84"/>
        <v>In Casa #850</v>
      </c>
      <c r="D1013" t="str">
        <f t="shared" si="85"/>
        <v>COR22D850</v>
      </c>
      <c r="E1013" s="58" t="s">
        <v>252</v>
      </c>
      <c r="F1013" s="20">
        <v>1000</v>
      </c>
      <c r="G1013" s="14" t="s">
        <v>354</v>
      </c>
      <c r="H1013" s="23" t="s">
        <v>170</v>
      </c>
      <c r="J1013" s="59" t="s">
        <v>38</v>
      </c>
      <c r="K1013" s="22" t="s">
        <v>254</v>
      </c>
      <c r="L1013" s="59" t="s">
        <v>171</v>
      </c>
      <c r="M1013" s="22">
        <v>2</v>
      </c>
      <c r="V1013" s="59" t="s">
        <v>176</v>
      </c>
      <c r="AL1013" s="59" t="s">
        <v>40</v>
      </c>
      <c r="AM1013" s="22" t="s">
        <v>188</v>
      </c>
      <c r="AV1013" s="59" t="s">
        <v>134</v>
      </c>
      <c r="AW1013" s="22" t="str">
        <f>Settings!$B$5 &amp;  "?s=" &amp; D1013 &amp; "&amp;platform=ftx"</f>
        <v>https://tokensol.nfluent.io?s=COR22D850&amp;platform=ftx</v>
      </c>
      <c r="AX1013" s="20" t="s">
        <v>23</v>
      </c>
      <c r="AY1013" s="20">
        <v>10</v>
      </c>
      <c r="AZ1013" s="20" t="s">
        <v>24</v>
      </c>
      <c r="BA1013" s="20">
        <v>90</v>
      </c>
      <c r="BD1013" s="14"/>
      <c r="BJ1013" t="s">
        <v>255</v>
      </c>
      <c r="BK1013" t="s">
        <v>184</v>
      </c>
      <c r="BN1013" s="36">
        <v>100</v>
      </c>
      <c r="BO1013" s="36">
        <v>100</v>
      </c>
      <c r="BP1013">
        <f t="shared" si="86"/>
        <v>480</v>
      </c>
      <c r="BR1013" s="38">
        <v>44713</v>
      </c>
      <c r="BS1013" s="20" t="s">
        <v>185</v>
      </c>
      <c r="BT1013" s="20" t="str">
        <f t="shared" si="82"/>
        <v>InCasa_COR22D850</v>
      </c>
    </row>
    <row r="1014" spans="2:72" ht="18.75" customHeight="1" x14ac:dyDescent="0.25">
      <c r="B1014" s="20">
        <f t="shared" si="83"/>
        <v>851</v>
      </c>
      <c r="C1014" s="22" t="str">
        <f t="shared" si="84"/>
        <v>In Casa #851</v>
      </c>
      <c r="D1014" t="str">
        <f t="shared" si="85"/>
        <v>COR22D851</v>
      </c>
      <c r="E1014" s="58" t="s">
        <v>252</v>
      </c>
      <c r="F1014" s="20">
        <v>1000</v>
      </c>
      <c r="G1014" s="14" t="s">
        <v>354</v>
      </c>
      <c r="H1014" s="23" t="s">
        <v>170</v>
      </c>
      <c r="J1014" s="59" t="s">
        <v>38</v>
      </c>
      <c r="K1014" s="22" t="s">
        <v>254</v>
      </c>
      <c r="L1014" s="59" t="s">
        <v>171</v>
      </c>
      <c r="M1014" s="22">
        <v>2</v>
      </c>
      <c r="V1014" s="59" t="s">
        <v>176</v>
      </c>
      <c r="AL1014" s="59" t="s">
        <v>40</v>
      </c>
      <c r="AM1014" s="22" t="s">
        <v>188</v>
      </c>
      <c r="AV1014" s="59" t="s">
        <v>134</v>
      </c>
      <c r="AW1014" s="22" t="str">
        <f>Settings!$B$5 &amp;  "?s=" &amp; D1014 &amp; "&amp;platform=ftx"</f>
        <v>https://tokensol.nfluent.io?s=COR22D851&amp;platform=ftx</v>
      </c>
      <c r="AX1014" s="20" t="s">
        <v>23</v>
      </c>
      <c r="AY1014" s="20">
        <v>10</v>
      </c>
      <c r="AZ1014" s="20" t="s">
        <v>24</v>
      </c>
      <c r="BA1014" s="20">
        <v>90</v>
      </c>
      <c r="BD1014" s="14"/>
      <c r="BJ1014" t="s">
        <v>255</v>
      </c>
      <c r="BK1014" t="s">
        <v>184</v>
      </c>
      <c r="BN1014" s="36">
        <v>100</v>
      </c>
      <c r="BO1014" s="36">
        <v>100</v>
      </c>
      <c r="BP1014">
        <f t="shared" si="86"/>
        <v>480</v>
      </c>
      <c r="BR1014" s="38">
        <v>44713</v>
      </c>
      <c r="BS1014" s="20" t="s">
        <v>185</v>
      </c>
      <c r="BT1014" s="20" t="str">
        <f t="shared" si="82"/>
        <v>InCasa_COR22D851</v>
      </c>
    </row>
    <row r="1015" spans="2:72" ht="18.75" customHeight="1" x14ac:dyDescent="0.25">
      <c r="B1015" s="20">
        <f t="shared" si="83"/>
        <v>852</v>
      </c>
      <c r="C1015" s="22" t="str">
        <f t="shared" si="84"/>
        <v>In Casa #852</v>
      </c>
      <c r="D1015" t="str">
        <f t="shared" si="85"/>
        <v>COR22D852</v>
      </c>
      <c r="E1015" s="58" t="s">
        <v>252</v>
      </c>
      <c r="F1015" s="20">
        <v>1000</v>
      </c>
      <c r="G1015" s="14" t="s">
        <v>354</v>
      </c>
      <c r="H1015" s="23" t="s">
        <v>170</v>
      </c>
      <c r="J1015" s="59" t="s">
        <v>38</v>
      </c>
      <c r="K1015" s="22" t="s">
        <v>254</v>
      </c>
      <c r="L1015" s="59" t="s">
        <v>171</v>
      </c>
      <c r="M1015" s="22">
        <v>2</v>
      </c>
      <c r="V1015" s="59" t="s">
        <v>176</v>
      </c>
      <c r="AL1015" s="59" t="s">
        <v>40</v>
      </c>
      <c r="AM1015" s="22" t="s">
        <v>188</v>
      </c>
      <c r="AV1015" s="59" t="s">
        <v>134</v>
      </c>
      <c r="AW1015" s="22" t="str">
        <f>Settings!$B$5 &amp;  "?s=" &amp; D1015 &amp; "&amp;platform=ftx"</f>
        <v>https://tokensol.nfluent.io?s=COR22D852&amp;platform=ftx</v>
      </c>
      <c r="AX1015" s="20" t="s">
        <v>23</v>
      </c>
      <c r="AY1015" s="20">
        <v>10</v>
      </c>
      <c r="AZ1015" s="20" t="s">
        <v>24</v>
      </c>
      <c r="BA1015" s="20">
        <v>90</v>
      </c>
      <c r="BD1015" s="14"/>
      <c r="BJ1015" t="s">
        <v>255</v>
      </c>
      <c r="BK1015" t="s">
        <v>184</v>
      </c>
      <c r="BN1015" s="36">
        <v>100</v>
      </c>
      <c r="BO1015" s="36">
        <v>100</v>
      </c>
      <c r="BP1015">
        <f t="shared" si="86"/>
        <v>480</v>
      </c>
      <c r="BR1015" s="38">
        <v>44713</v>
      </c>
      <c r="BS1015" s="20" t="s">
        <v>185</v>
      </c>
      <c r="BT1015" s="20" t="str">
        <f t="shared" si="82"/>
        <v>InCasa_COR22D852</v>
      </c>
    </row>
    <row r="1016" spans="2:72" ht="18.75" customHeight="1" x14ac:dyDescent="0.25">
      <c r="B1016" s="20">
        <f t="shared" si="83"/>
        <v>853</v>
      </c>
      <c r="C1016" s="22" t="str">
        <f t="shared" si="84"/>
        <v>In Casa #853</v>
      </c>
      <c r="D1016" t="str">
        <f t="shared" si="85"/>
        <v>COR22D853</v>
      </c>
      <c r="E1016" s="58" t="s">
        <v>252</v>
      </c>
      <c r="F1016" s="20">
        <v>1000</v>
      </c>
      <c r="G1016" s="14" t="s">
        <v>354</v>
      </c>
      <c r="H1016" s="23" t="s">
        <v>170</v>
      </c>
      <c r="J1016" s="59" t="s">
        <v>38</v>
      </c>
      <c r="K1016" s="22" t="s">
        <v>254</v>
      </c>
      <c r="L1016" s="59" t="s">
        <v>171</v>
      </c>
      <c r="M1016" s="22">
        <v>2</v>
      </c>
      <c r="V1016" s="59" t="s">
        <v>176</v>
      </c>
      <c r="AL1016" s="59" t="s">
        <v>40</v>
      </c>
      <c r="AM1016" s="22" t="s">
        <v>188</v>
      </c>
      <c r="AV1016" s="59" t="s">
        <v>134</v>
      </c>
      <c r="AW1016" s="22" t="str">
        <f>Settings!$B$5 &amp;  "?s=" &amp; D1016 &amp; "&amp;platform=ftx"</f>
        <v>https://tokensol.nfluent.io?s=COR22D853&amp;platform=ftx</v>
      </c>
      <c r="AX1016" s="20" t="s">
        <v>23</v>
      </c>
      <c r="AY1016" s="20">
        <v>10</v>
      </c>
      <c r="AZ1016" s="20" t="s">
        <v>24</v>
      </c>
      <c r="BA1016" s="20">
        <v>90</v>
      </c>
      <c r="BD1016" s="14"/>
      <c r="BJ1016" t="s">
        <v>255</v>
      </c>
      <c r="BK1016" t="s">
        <v>184</v>
      </c>
      <c r="BN1016" s="36">
        <v>100</v>
      </c>
      <c r="BO1016" s="36">
        <v>100</v>
      </c>
      <c r="BP1016">
        <f t="shared" si="86"/>
        <v>480</v>
      </c>
      <c r="BR1016" s="38">
        <v>44713</v>
      </c>
      <c r="BS1016" s="20" t="s">
        <v>185</v>
      </c>
      <c r="BT1016" s="20" t="str">
        <f t="shared" si="82"/>
        <v>InCasa_COR22D853</v>
      </c>
    </row>
    <row r="1017" spans="2:72" ht="18.75" customHeight="1" x14ac:dyDescent="0.25">
      <c r="B1017" s="20">
        <f t="shared" si="83"/>
        <v>854</v>
      </c>
      <c r="C1017" s="22" t="str">
        <f t="shared" si="84"/>
        <v>In Casa #854</v>
      </c>
      <c r="D1017" t="str">
        <f t="shared" si="85"/>
        <v>COR22D854</v>
      </c>
      <c r="E1017" s="58" t="s">
        <v>252</v>
      </c>
      <c r="F1017" s="20">
        <v>1000</v>
      </c>
      <c r="G1017" s="14" t="s">
        <v>354</v>
      </c>
      <c r="H1017" s="23" t="s">
        <v>170</v>
      </c>
      <c r="J1017" s="59" t="s">
        <v>38</v>
      </c>
      <c r="K1017" s="22" t="s">
        <v>254</v>
      </c>
      <c r="L1017" s="59" t="s">
        <v>171</v>
      </c>
      <c r="M1017" s="22">
        <v>2</v>
      </c>
      <c r="V1017" s="59" t="s">
        <v>176</v>
      </c>
      <c r="AL1017" s="59" t="s">
        <v>40</v>
      </c>
      <c r="AM1017" s="22" t="s">
        <v>188</v>
      </c>
      <c r="AV1017" s="59" t="s">
        <v>134</v>
      </c>
      <c r="AW1017" s="22" t="str">
        <f>Settings!$B$5 &amp;  "?s=" &amp; D1017 &amp; "&amp;platform=ftx"</f>
        <v>https://tokensol.nfluent.io?s=COR22D854&amp;platform=ftx</v>
      </c>
      <c r="AX1017" s="20" t="s">
        <v>23</v>
      </c>
      <c r="AY1017" s="20">
        <v>10</v>
      </c>
      <c r="AZ1017" s="20" t="s">
        <v>24</v>
      </c>
      <c r="BA1017" s="20">
        <v>90</v>
      </c>
      <c r="BD1017" s="14"/>
      <c r="BJ1017" t="s">
        <v>255</v>
      </c>
      <c r="BK1017" t="s">
        <v>184</v>
      </c>
      <c r="BN1017" s="36">
        <v>100</v>
      </c>
      <c r="BO1017" s="36">
        <v>100</v>
      </c>
      <c r="BP1017">
        <f t="shared" si="86"/>
        <v>480</v>
      </c>
      <c r="BR1017" s="38">
        <v>44713</v>
      </c>
      <c r="BS1017" s="20" t="s">
        <v>185</v>
      </c>
      <c r="BT1017" s="20" t="str">
        <f t="shared" si="82"/>
        <v>InCasa_COR22D854</v>
      </c>
    </row>
    <row r="1018" spans="2:72" ht="18.75" customHeight="1" x14ac:dyDescent="0.25">
      <c r="B1018" s="20">
        <f t="shared" si="83"/>
        <v>855</v>
      </c>
      <c r="C1018" s="22" t="str">
        <f t="shared" si="84"/>
        <v>In Casa #855</v>
      </c>
      <c r="D1018" t="str">
        <f t="shared" si="85"/>
        <v>COR22D855</v>
      </c>
      <c r="E1018" s="58" t="s">
        <v>252</v>
      </c>
      <c r="F1018" s="20">
        <v>1000</v>
      </c>
      <c r="G1018" s="14" t="s">
        <v>354</v>
      </c>
      <c r="H1018" s="23" t="s">
        <v>170</v>
      </c>
      <c r="J1018" s="59" t="s">
        <v>38</v>
      </c>
      <c r="K1018" s="22" t="s">
        <v>254</v>
      </c>
      <c r="L1018" s="59" t="s">
        <v>171</v>
      </c>
      <c r="M1018" s="22">
        <v>2</v>
      </c>
      <c r="V1018" s="59" t="s">
        <v>176</v>
      </c>
      <c r="AL1018" s="59" t="s">
        <v>40</v>
      </c>
      <c r="AM1018" s="22" t="s">
        <v>188</v>
      </c>
      <c r="AV1018" s="59" t="s">
        <v>134</v>
      </c>
      <c r="AW1018" s="22" t="str">
        <f>Settings!$B$5 &amp;  "?s=" &amp; D1018 &amp; "&amp;platform=ftx"</f>
        <v>https://tokensol.nfluent.io?s=COR22D855&amp;platform=ftx</v>
      </c>
      <c r="AX1018" s="20" t="s">
        <v>23</v>
      </c>
      <c r="AY1018" s="20">
        <v>10</v>
      </c>
      <c r="AZ1018" s="20" t="s">
        <v>24</v>
      </c>
      <c r="BA1018" s="20">
        <v>90</v>
      </c>
      <c r="BD1018" s="14"/>
      <c r="BJ1018" t="s">
        <v>255</v>
      </c>
      <c r="BK1018" t="s">
        <v>184</v>
      </c>
      <c r="BN1018" s="36">
        <v>100</v>
      </c>
      <c r="BO1018" s="36">
        <v>100</v>
      </c>
      <c r="BP1018">
        <f t="shared" si="86"/>
        <v>480</v>
      </c>
      <c r="BR1018" s="38">
        <v>44713</v>
      </c>
      <c r="BS1018" s="20" t="s">
        <v>185</v>
      </c>
      <c r="BT1018" s="20" t="str">
        <f t="shared" si="82"/>
        <v>InCasa_COR22D855</v>
      </c>
    </row>
    <row r="1019" spans="2:72" ht="18.75" customHeight="1" x14ac:dyDescent="0.25">
      <c r="B1019" s="20">
        <f t="shared" si="83"/>
        <v>856</v>
      </c>
      <c r="C1019" s="22" t="str">
        <f t="shared" si="84"/>
        <v>In Casa #856</v>
      </c>
      <c r="D1019" t="str">
        <f t="shared" si="85"/>
        <v>COR22D856</v>
      </c>
      <c r="E1019" s="58" t="s">
        <v>252</v>
      </c>
      <c r="F1019" s="20">
        <v>1000</v>
      </c>
      <c r="G1019" s="14" t="s">
        <v>354</v>
      </c>
      <c r="H1019" s="23" t="s">
        <v>170</v>
      </c>
      <c r="J1019" s="59" t="s">
        <v>38</v>
      </c>
      <c r="K1019" s="22" t="s">
        <v>254</v>
      </c>
      <c r="L1019" s="59" t="s">
        <v>171</v>
      </c>
      <c r="M1019" s="22">
        <v>2</v>
      </c>
      <c r="V1019" s="59" t="s">
        <v>176</v>
      </c>
      <c r="AL1019" s="59" t="s">
        <v>40</v>
      </c>
      <c r="AM1019" s="22" t="s">
        <v>188</v>
      </c>
      <c r="AV1019" s="59" t="s">
        <v>134</v>
      </c>
      <c r="AW1019" s="22" t="str">
        <f>Settings!$B$5 &amp;  "?s=" &amp; D1019 &amp; "&amp;platform=ftx"</f>
        <v>https://tokensol.nfluent.io?s=COR22D856&amp;platform=ftx</v>
      </c>
      <c r="AX1019" s="20" t="s">
        <v>23</v>
      </c>
      <c r="AY1019" s="20">
        <v>10</v>
      </c>
      <c r="AZ1019" s="20" t="s">
        <v>24</v>
      </c>
      <c r="BA1019" s="20">
        <v>90</v>
      </c>
      <c r="BD1019" s="14"/>
      <c r="BJ1019" t="s">
        <v>255</v>
      </c>
      <c r="BK1019" t="s">
        <v>184</v>
      </c>
      <c r="BN1019" s="36">
        <v>100</v>
      </c>
      <c r="BO1019" s="36">
        <v>100</v>
      </c>
      <c r="BP1019">
        <f t="shared" si="86"/>
        <v>480</v>
      </c>
      <c r="BR1019" s="38">
        <v>44713</v>
      </c>
      <c r="BS1019" s="20" t="s">
        <v>185</v>
      </c>
      <c r="BT1019" s="20" t="str">
        <f t="shared" si="82"/>
        <v>InCasa_COR22D856</v>
      </c>
    </row>
    <row r="1020" spans="2:72" ht="18.75" customHeight="1" x14ac:dyDescent="0.25">
      <c r="B1020" s="20">
        <f t="shared" si="83"/>
        <v>857</v>
      </c>
      <c r="C1020" s="22" t="str">
        <f t="shared" si="84"/>
        <v>In Casa #857</v>
      </c>
      <c r="D1020" t="str">
        <f t="shared" si="85"/>
        <v>COR22D857</v>
      </c>
      <c r="E1020" s="58" t="s">
        <v>252</v>
      </c>
      <c r="F1020" s="20">
        <v>1000</v>
      </c>
      <c r="G1020" s="14" t="s">
        <v>354</v>
      </c>
      <c r="H1020" s="23" t="s">
        <v>170</v>
      </c>
      <c r="J1020" s="59" t="s">
        <v>38</v>
      </c>
      <c r="K1020" s="22" t="s">
        <v>254</v>
      </c>
      <c r="L1020" s="59" t="s">
        <v>171</v>
      </c>
      <c r="M1020" s="22">
        <v>2</v>
      </c>
      <c r="V1020" s="59" t="s">
        <v>176</v>
      </c>
      <c r="AL1020" s="59" t="s">
        <v>40</v>
      </c>
      <c r="AM1020" s="22" t="s">
        <v>188</v>
      </c>
      <c r="AV1020" s="59" t="s">
        <v>134</v>
      </c>
      <c r="AW1020" s="22" t="str">
        <f>Settings!$B$5 &amp;  "?s=" &amp; D1020 &amp; "&amp;platform=ftx"</f>
        <v>https://tokensol.nfluent.io?s=COR22D857&amp;platform=ftx</v>
      </c>
      <c r="AX1020" s="20" t="s">
        <v>23</v>
      </c>
      <c r="AY1020" s="20">
        <v>10</v>
      </c>
      <c r="AZ1020" s="20" t="s">
        <v>24</v>
      </c>
      <c r="BA1020" s="20">
        <v>90</v>
      </c>
      <c r="BD1020" s="14"/>
      <c r="BJ1020" t="s">
        <v>255</v>
      </c>
      <c r="BK1020" t="s">
        <v>184</v>
      </c>
      <c r="BN1020" s="36">
        <v>100</v>
      </c>
      <c r="BO1020" s="36">
        <v>100</v>
      </c>
      <c r="BP1020">
        <f t="shared" si="86"/>
        <v>480</v>
      </c>
      <c r="BR1020" s="38">
        <v>44713</v>
      </c>
      <c r="BS1020" s="20" t="s">
        <v>185</v>
      </c>
      <c r="BT1020" s="20" t="str">
        <f t="shared" si="82"/>
        <v>InCasa_COR22D857</v>
      </c>
    </row>
    <row r="1021" spans="2:72" ht="18.75" customHeight="1" x14ac:dyDescent="0.25">
      <c r="B1021" s="20">
        <f t="shared" si="83"/>
        <v>858</v>
      </c>
      <c r="C1021" s="22" t="str">
        <f t="shared" si="84"/>
        <v>In Casa #858</v>
      </c>
      <c r="D1021" t="str">
        <f t="shared" si="85"/>
        <v>COR22D858</v>
      </c>
      <c r="E1021" s="58" t="s">
        <v>252</v>
      </c>
      <c r="F1021" s="20">
        <v>1000</v>
      </c>
      <c r="G1021" s="14" t="s">
        <v>354</v>
      </c>
      <c r="H1021" s="23" t="s">
        <v>170</v>
      </c>
      <c r="J1021" s="59" t="s">
        <v>38</v>
      </c>
      <c r="K1021" s="22" t="s">
        <v>254</v>
      </c>
      <c r="L1021" s="59" t="s">
        <v>171</v>
      </c>
      <c r="M1021" s="22">
        <v>2</v>
      </c>
      <c r="V1021" s="59" t="s">
        <v>176</v>
      </c>
      <c r="AL1021" s="59" t="s">
        <v>40</v>
      </c>
      <c r="AM1021" s="22" t="s">
        <v>188</v>
      </c>
      <c r="AV1021" s="59" t="s">
        <v>134</v>
      </c>
      <c r="AW1021" s="22" t="str">
        <f>Settings!$B$5 &amp;  "?s=" &amp; D1021 &amp; "&amp;platform=ftx"</f>
        <v>https://tokensol.nfluent.io?s=COR22D858&amp;platform=ftx</v>
      </c>
      <c r="AX1021" s="20" t="s">
        <v>23</v>
      </c>
      <c r="AY1021" s="20">
        <v>10</v>
      </c>
      <c r="AZ1021" s="20" t="s">
        <v>24</v>
      </c>
      <c r="BA1021" s="20">
        <v>90</v>
      </c>
      <c r="BD1021" s="14"/>
      <c r="BJ1021" t="s">
        <v>255</v>
      </c>
      <c r="BK1021" t="s">
        <v>184</v>
      </c>
      <c r="BN1021" s="36">
        <v>100</v>
      </c>
      <c r="BO1021" s="36">
        <v>100</v>
      </c>
      <c r="BP1021">
        <f t="shared" si="86"/>
        <v>480</v>
      </c>
      <c r="BR1021" s="38">
        <v>44713</v>
      </c>
      <c r="BS1021" s="20" t="s">
        <v>185</v>
      </c>
      <c r="BT1021" s="20" t="str">
        <f t="shared" si="82"/>
        <v>InCasa_COR22D858</v>
      </c>
    </row>
    <row r="1022" spans="2:72" ht="18.75" customHeight="1" x14ac:dyDescent="0.25">
      <c r="B1022" s="20">
        <f t="shared" si="83"/>
        <v>859</v>
      </c>
      <c r="C1022" s="22" t="str">
        <f t="shared" si="84"/>
        <v>In Casa #859</v>
      </c>
      <c r="D1022" t="str">
        <f t="shared" si="85"/>
        <v>COR22D859</v>
      </c>
      <c r="E1022" s="58" t="s">
        <v>252</v>
      </c>
      <c r="F1022" s="20">
        <v>1000</v>
      </c>
      <c r="G1022" s="14" t="s">
        <v>354</v>
      </c>
      <c r="H1022" s="23" t="s">
        <v>170</v>
      </c>
      <c r="J1022" s="59" t="s">
        <v>38</v>
      </c>
      <c r="K1022" s="22" t="s">
        <v>254</v>
      </c>
      <c r="L1022" s="59" t="s">
        <v>171</v>
      </c>
      <c r="M1022" s="22">
        <v>2</v>
      </c>
      <c r="V1022" s="59" t="s">
        <v>176</v>
      </c>
      <c r="AL1022" s="59" t="s">
        <v>40</v>
      </c>
      <c r="AM1022" s="22" t="s">
        <v>188</v>
      </c>
      <c r="AV1022" s="59" t="s">
        <v>134</v>
      </c>
      <c r="AW1022" s="22" t="str">
        <f>Settings!$B$5 &amp;  "?s=" &amp; D1022 &amp; "&amp;platform=ftx"</f>
        <v>https://tokensol.nfluent.io?s=COR22D859&amp;platform=ftx</v>
      </c>
      <c r="AX1022" s="20" t="s">
        <v>23</v>
      </c>
      <c r="AY1022" s="20">
        <v>10</v>
      </c>
      <c r="AZ1022" s="20" t="s">
        <v>24</v>
      </c>
      <c r="BA1022" s="20">
        <v>90</v>
      </c>
      <c r="BD1022" s="14"/>
      <c r="BJ1022" t="s">
        <v>255</v>
      </c>
      <c r="BK1022" t="s">
        <v>184</v>
      </c>
      <c r="BN1022" s="36">
        <v>100</v>
      </c>
      <c r="BO1022" s="36">
        <v>100</v>
      </c>
      <c r="BP1022">
        <f t="shared" si="86"/>
        <v>480</v>
      </c>
      <c r="BR1022" s="38">
        <v>44713</v>
      </c>
      <c r="BS1022" s="20" t="s">
        <v>185</v>
      </c>
      <c r="BT1022" s="20" t="str">
        <f t="shared" si="82"/>
        <v>InCasa_COR22D859</v>
      </c>
    </row>
    <row r="1023" spans="2:72" ht="18.75" customHeight="1" x14ac:dyDescent="0.25">
      <c r="B1023" s="20">
        <f t="shared" si="83"/>
        <v>860</v>
      </c>
      <c r="C1023" s="22" t="str">
        <f t="shared" si="84"/>
        <v>In Casa #860</v>
      </c>
      <c r="D1023" t="str">
        <f t="shared" si="85"/>
        <v>COR22D860</v>
      </c>
      <c r="E1023" s="58" t="s">
        <v>252</v>
      </c>
      <c r="F1023" s="20">
        <v>1000</v>
      </c>
      <c r="G1023" s="14" t="s">
        <v>354</v>
      </c>
      <c r="H1023" s="23" t="s">
        <v>170</v>
      </c>
      <c r="J1023" s="59" t="s">
        <v>38</v>
      </c>
      <c r="K1023" s="22" t="s">
        <v>254</v>
      </c>
      <c r="L1023" s="59" t="s">
        <v>171</v>
      </c>
      <c r="M1023" s="22">
        <v>2</v>
      </c>
      <c r="V1023" s="59" t="s">
        <v>176</v>
      </c>
      <c r="AL1023" s="59" t="s">
        <v>40</v>
      </c>
      <c r="AM1023" s="22" t="s">
        <v>188</v>
      </c>
      <c r="AV1023" s="59" t="s">
        <v>134</v>
      </c>
      <c r="AW1023" s="22" t="str">
        <f>Settings!$B$5 &amp;  "?s=" &amp; D1023 &amp; "&amp;platform=ftx"</f>
        <v>https://tokensol.nfluent.io?s=COR22D860&amp;platform=ftx</v>
      </c>
      <c r="AX1023" s="20" t="s">
        <v>23</v>
      </c>
      <c r="AY1023" s="20">
        <v>10</v>
      </c>
      <c r="AZ1023" s="20" t="s">
        <v>24</v>
      </c>
      <c r="BA1023" s="20">
        <v>90</v>
      </c>
      <c r="BD1023" s="14"/>
      <c r="BJ1023" t="s">
        <v>255</v>
      </c>
      <c r="BK1023" t="s">
        <v>184</v>
      </c>
      <c r="BN1023" s="36">
        <v>100</v>
      </c>
      <c r="BO1023" s="36">
        <v>100</v>
      </c>
      <c r="BP1023">
        <f t="shared" si="86"/>
        <v>480</v>
      </c>
      <c r="BR1023" s="38">
        <v>44713</v>
      </c>
      <c r="BS1023" s="20" t="s">
        <v>185</v>
      </c>
      <c r="BT1023" s="20" t="str">
        <f t="shared" si="82"/>
        <v>InCasa_COR22D860</v>
      </c>
    </row>
    <row r="1024" spans="2:72" ht="18.75" customHeight="1" x14ac:dyDescent="0.25">
      <c r="B1024" s="20">
        <f t="shared" si="83"/>
        <v>861</v>
      </c>
      <c r="C1024" s="22" t="str">
        <f t="shared" si="84"/>
        <v>In Casa #861</v>
      </c>
      <c r="D1024" t="str">
        <f t="shared" si="85"/>
        <v>COR22D861</v>
      </c>
      <c r="E1024" s="58" t="s">
        <v>252</v>
      </c>
      <c r="F1024" s="20">
        <v>1000</v>
      </c>
      <c r="G1024" s="14" t="s">
        <v>354</v>
      </c>
      <c r="H1024" s="23" t="s">
        <v>170</v>
      </c>
      <c r="J1024" s="59" t="s">
        <v>38</v>
      </c>
      <c r="K1024" s="22" t="s">
        <v>254</v>
      </c>
      <c r="L1024" s="59" t="s">
        <v>171</v>
      </c>
      <c r="M1024" s="22">
        <v>2</v>
      </c>
      <c r="V1024" s="59" t="s">
        <v>176</v>
      </c>
      <c r="AL1024" s="59" t="s">
        <v>40</v>
      </c>
      <c r="AM1024" s="22" t="s">
        <v>188</v>
      </c>
      <c r="AV1024" s="59" t="s">
        <v>134</v>
      </c>
      <c r="AW1024" s="22" t="str">
        <f>Settings!$B$5 &amp;  "?s=" &amp; D1024 &amp; "&amp;platform=ftx"</f>
        <v>https://tokensol.nfluent.io?s=COR22D861&amp;platform=ftx</v>
      </c>
      <c r="AX1024" s="20" t="s">
        <v>23</v>
      </c>
      <c r="AY1024" s="20">
        <v>10</v>
      </c>
      <c r="AZ1024" s="20" t="s">
        <v>24</v>
      </c>
      <c r="BA1024" s="20">
        <v>90</v>
      </c>
      <c r="BD1024" s="14"/>
      <c r="BJ1024" t="s">
        <v>255</v>
      </c>
      <c r="BK1024" t="s">
        <v>184</v>
      </c>
      <c r="BN1024" s="36">
        <v>100</v>
      </c>
      <c r="BO1024" s="36">
        <v>100</v>
      </c>
      <c r="BP1024">
        <f t="shared" si="86"/>
        <v>480</v>
      </c>
      <c r="BR1024" s="38">
        <v>44713</v>
      </c>
      <c r="BS1024" s="20" t="s">
        <v>185</v>
      </c>
      <c r="BT1024" s="20" t="str">
        <f t="shared" si="82"/>
        <v>InCasa_COR22D861</v>
      </c>
    </row>
    <row r="1025" spans="2:72" ht="18.75" customHeight="1" x14ac:dyDescent="0.25">
      <c r="B1025" s="20">
        <f t="shared" si="83"/>
        <v>862</v>
      </c>
      <c r="C1025" s="22" t="str">
        <f t="shared" si="84"/>
        <v>In Casa #862</v>
      </c>
      <c r="D1025" t="str">
        <f t="shared" si="85"/>
        <v>COR22D862</v>
      </c>
      <c r="E1025" s="58" t="s">
        <v>252</v>
      </c>
      <c r="F1025" s="20">
        <v>1000</v>
      </c>
      <c r="G1025" s="14" t="s">
        <v>354</v>
      </c>
      <c r="H1025" s="23" t="s">
        <v>170</v>
      </c>
      <c r="J1025" s="59" t="s">
        <v>38</v>
      </c>
      <c r="K1025" s="22" t="s">
        <v>254</v>
      </c>
      <c r="L1025" s="59" t="s">
        <v>171</v>
      </c>
      <c r="M1025" s="22">
        <v>2</v>
      </c>
      <c r="V1025" s="59" t="s">
        <v>176</v>
      </c>
      <c r="AL1025" s="59" t="s">
        <v>40</v>
      </c>
      <c r="AM1025" s="22" t="s">
        <v>188</v>
      </c>
      <c r="AV1025" s="59" t="s">
        <v>134</v>
      </c>
      <c r="AW1025" s="22" t="str">
        <f>Settings!$B$5 &amp;  "?s=" &amp; D1025 &amp; "&amp;platform=ftx"</f>
        <v>https://tokensol.nfluent.io?s=COR22D862&amp;platform=ftx</v>
      </c>
      <c r="AX1025" s="20" t="s">
        <v>23</v>
      </c>
      <c r="AY1025" s="20">
        <v>10</v>
      </c>
      <c r="AZ1025" s="20" t="s">
        <v>24</v>
      </c>
      <c r="BA1025" s="20">
        <v>90</v>
      </c>
      <c r="BD1025" s="14"/>
      <c r="BJ1025" t="s">
        <v>255</v>
      </c>
      <c r="BK1025" t="s">
        <v>184</v>
      </c>
      <c r="BN1025" s="36">
        <v>100</v>
      </c>
      <c r="BO1025" s="36">
        <v>100</v>
      </c>
      <c r="BP1025">
        <f t="shared" si="86"/>
        <v>480</v>
      </c>
      <c r="BR1025" s="38">
        <v>44713</v>
      </c>
      <c r="BS1025" s="20" t="s">
        <v>185</v>
      </c>
      <c r="BT1025" s="20" t="str">
        <f t="shared" si="82"/>
        <v>InCasa_COR22D862</v>
      </c>
    </row>
    <row r="1026" spans="2:72" ht="18.75" customHeight="1" x14ac:dyDescent="0.25">
      <c r="B1026" s="20">
        <f t="shared" si="83"/>
        <v>863</v>
      </c>
      <c r="C1026" s="22" t="str">
        <f t="shared" si="84"/>
        <v>In Casa #863</v>
      </c>
      <c r="D1026" t="str">
        <f t="shared" si="85"/>
        <v>COR22D863</v>
      </c>
      <c r="E1026" s="58" t="s">
        <v>252</v>
      </c>
      <c r="F1026" s="20">
        <v>1000</v>
      </c>
      <c r="G1026" s="14" t="s">
        <v>354</v>
      </c>
      <c r="H1026" s="23" t="s">
        <v>170</v>
      </c>
      <c r="J1026" s="59" t="s">
        <v>38</v>
      </c>
      <c r="K1026" s="22" t="s">
        <v>254</v>
      </c>
      <c r="L1026" s="59" t="s">
        <v>171</v>
      </c>
      <c r="M1026" s="22">
        <v>2</v>
      </c>
      <c r="V1026" s="59" t="s">
        <v>176</v>
      </c>
      <c r="AL1026" s="59" t="s">
        <v>40</v>
      </c>
      <c r="AM1026" s="22" t="s">
        <v>188</v>
      </c>
      <c r="AV1026" s="59" t="s">
        <v>134</v>
      </c>
      <c r="AW1026" s="22" t="str">
        <f>Settings!$B$5 &amp;  "?s=" &amp; D1026 &amp; "&amp;platform=ftx"</f>
        <v>https://tokensol.nfluent.io?s=COR22D863&amp;platform=ftx</v>
      </c>
      <c r="AX1026" s="20" t="s">
        <v>23</v>
      </c>
      <c r="AY1026" s="20">
        <v>10</v>
      </c>
      <c r="AZ1026" s="20" t="s">
        <v>24</v>
      </c>
      <c r="BA1026" s="20">
        <v>90</v>
      </c>
      <c r="BD1026" s="14"/>
      <c r="BJ1026" t="s">
        <v>255</v>
      </c>
      <c r="BK1026" t="s">
        <v>184</v>
      </c>
      <c r="BN1026" s="36">
        <v>100</v>
      </c>
      <c r="BO1026" s="36">
        <v>100</v>
      </c>
      <c r="BP1026">
        <f t="shared" si="86"/>
        <v>480</v>
      </c>
      <c r="BR1026" s="38">
        <v>44713</v>
      </c>
      <c r="BS1026" s="20" t="s">
        <v>185</v>
      </c>
      <c r="BT1026" s="20" t="str">
        <f t="shared" si="82"/>
        <v>InCasa_COR22D863</v>
      </c>
    </row>
    <row r="1027" spans="2:72" ht="18.75" customHeight="1" x14ac:dyDescent="0.25">
      <c r="B1027" s="20">
        <f t="shared" si="83"/>
        <v>864</v>
      </c>
      <c r="C1027" s="22" t="str">
        <f t="shared" si="84"/>
        <v>In Casa #864</v>
      </c>
      <c r="D1027" t="str">
        <f t="shared" si="85"/>
        <v>COR22D864</v>
      </c>
      <c r="E1027" s="58" t="s">
        <v>252</v>
      </c>
      <c r="F1027" s="20">
        <v>1000</v>
      </c>
      <c r="G1027" s="14" t="s">
        <v>354</v>
      </c>
      <c r="H1027" s="23" t="s">
        <v>170</v>
      </c>
      <c r="J1027" s="59" t="s">
        <v>38</v>
      </c>
      <c r="K1027" s="22" t="s">
        <v>254</v>
      </c>
      <c r="L1027" s="59" t="s">
        <v>171</v>
      </c>
      <c r="M1027" s="22">
        <v>2</v>
      </c>
      <c r="V1027" s="59" t="s">
        <v>176</v>
      </c>
      <c r="AL1027" s="59" t="s">
        <v>40</v>
      </c>
      <c r="AM1027" s="22" t="s">
        <v>188</v>
      </c>
      <c r="AV1027" s="59" t="s">
        <v>134</v>
      </c>
      <c r="AW1027" s="22" t="str">
        <f>Settings!$B$5 &amp;  "?s=" &amp; D1027 &amp; "&amp;platform=ftx"</f>
        <v>https://tokensol.nfluent.io?s=COR22D864&amp;platform=ftx</v>
      </c>
      <c r="AX1027" s="20" t="s">
        <v>23</v>
      </c>
      <c r="AY1027" s="20">
        <v>10</v>
      </c>
      <c r="AZ1027" s="20" t="s">
        <v>24</v>
      </c>
      <c r="BA1027" s="20">
        <v>90</v>
      </c>
      <c r="BD1027" s="14"/>
      <c r="BJ1027" t="s">
        <v>255</v>
      </c>
      <c r="BK1027" t="s">
        <v>184</v>
      </c>
      <c r="BN1027" s="36">
        <v>100</v>
      </c>
      <c r="BO1027" s="36">
        <v>100</v>
      </c>
      <c r="BP1027">
        <f t="shared" si="86"/>
        <v>480</v>
      </c>
      <c r="BR1027" s="38">
        <v>44713</v>
      </c>
      <c r="BS1027" s="20" t="s">
        <v>185</v>
      </c>
      <c r="BT1027" s="20" t="str">
        <f t="shared" si="82"/>
        <v>InCasa_COR22D864</v>
      </c>
    </row>
    <row r="1028" spans="2:72" ht="18.75" customHeight="1" x14ac:dyDescent="0.25">
      <c r="B1028" s="20">
        <f t="shared" si="83"/>
        <v>865</v>
      </c>
      <c r="C1028" s="22" t="str">
        <f t="shared" si="84"/>
        <v>In Casa #865</v>
      </c>
      <c r="D1028" t="str">
        <f t="shared" si="85"/>
        <v>COR22D865</v>
      </c>
      <c r="E1028" s="58" t="s">
        <v>252</v>
      </c>
      <c r="F1028" s="20">
        <v>1000</v>
      </c>
      <c r="G1028" s="14" t="s">
        <v>354</v>
      </c>
      <c r="H1028" s="23" t="s">
        <v>170</v>
      </c>
      <c r="J1028" s="59" t="s">
        <v>38</v>
      </c>
      <c r="K1028" s="22" t="s">
        <v>254</v>
      </c>
      <c r="L1028" s="59" t="s">
        <v>171</v>
      </c>
      <c r="M1028" s="22">
        <v>2</v>
      </c>
      <c r="V1028" s="59" t="s">
        <v>176</v>
      </c>
      <c r="AL1028" s="59" t="s">
        <v>40</v>
      </c>
      <c r="AM1028" s="22" t="s">
        <v>188</v>
      </c>
      <c r="AV1028" s="59" t="s">
        <v>134</v>
      </c>
      <c r="AW1028" s="22" t="str">
        <f>Settings!$B$5 &amp;  "?s=" &amp; D1028 &amp; "&amp;platform=ftx"</f>
        <v>https://tokensol.nfluent.io?s=COR22D865&amp;platform=ftx</v>
      </c>
      <c r="AX1028" s="20" t="s">
        <v>23</v>
      </c>
      <c r="AY1028" s="20">
        <v>10</v>
      </c>
      <c r="AZ1028" s="20" t="s">
        <v>24</v>
      </c>
      <c r="BA1028" s="20">
        <v>90</v>
      </c>
      <c r="BD1028" s="14"/>
      <c r="BJ1028" t="s">
        <v>255</v>
      </c>
      <c r="BK1028" t="s">
        <v>184</v>
      </c>
      <c r="BN1028" s="36">
        <v>100</v>
      </c>
      <c r="BO1028" s="36">
        <v>100</v>
      </c>
      <c r="BP1028">
        <f t="shared" si="86"/>
        <v>480</v>
      </c>
      <c r="BR1028" s="38">
        <v>44713</v>
      </c>
      <c r="BS1028" s="20" t="s">
        <v>185</v>
      </c>
      <c r="BT1028" s="20" t="str">
        <f t="shared" si="82"/>
        <v>InCasa_COR22D865</v>
      </c>
    </row>
    <row r="1029" spans="2:72" ht="18.75" customHeight="1" x14ac:dyDescent="0.25">
      <c r="B1029" s="20">
        <f t="shared" si="83"/>
        <v>866</v>
      </c>
      <c r="C1029" s="22" t="str">
        <f t="shared" si="84"/>
        <v>In Casa #866</v>
      </c>
      <c r="D1029" t="str">
        <f t="shared" si="85"/>
        <v>COR22D866</v>
      </c>
      <c r="E1029" s="58" t="s">
        <v>252</v>
      </c>
      <c r="F1029" s="20">
        <v>1000</v>
      </c>
      <c r="G1029" s="14" t="s">
        <v>354</v>
      </c>
      <c r="H1029" s="23" t="s">
        <v>170</v>
      </c>
      <c r="J1029" s="59" t="s">
        <v>38</v>
      </c>
      <c r="K1029" s="22" t="s">
        <v>254</v>
      </c>
      <c r="L1029" s="59" t="s">
        <v>171</v>
      </c>
      <c r="M1029" s="22">
        <v>2</v>
      </c>
      <c r="V1029" s="59" t="s">
        <v>176</v>
      </c>
      <c r="AL1029" s="59" t="s">
        <v>40</v>
      </c>
      <c r="AM1029" s="22" t="s">
        <v>188</v>
      </c>
      <c r="AV1029" s="59" t="s">
        <v>134</v>
      </c>
      <c r="AW1029" s="22" t="str">
        <f>Settings!$B$5 &amp;  "?s=" &amp; D1029 &amp; "&amp;platform=ftx"</f>
        <v>https://tokensol.nfluent.io?s=COR22D866&amp;platform=ftx</v>
      </c>
      <c r="AX1029" s="20" t="s">
        <v>23</v>
      </c>
      <c r="AY1029" s="20">
        <v>10</v>
      </c>
      <c r="AZ1029" s="20" t="s">
        <v>24</v>
      </c>
      <c r="BA1029" s="20">
        <v>90</v>
      </c>
      <c r="BD1029" s="14"/>
      <c r="BJ1029" t="s">
        <v>255</v>
      </c>
      <c r="BK1029" t="s">
        <v>184</v>
      </c>
      <c r="BN1029" s="36">
        <v>100</v>
      </c>
      <c r="BO1029" s="36">
        <v>100</v>
      </c>
      <c r="BP1029">
        <f t="shared" si="86"/>
        <v>480</v>
      </c>
      <c r="BR1029" s="38">
        <v>44713</v>
      </c>
      <c r="BS1029" s="20" t="s">
        <v>185</v>
      </c>
      <c r="BT1029" s="20" t="str">
        <f t="shared" ref="BT1029:BT1092" si="87">SUBSTITUTE(BJ1029," ","") &amp; "_" &amp; D1029</f>
        <v>InCasa_COR22D866</v>
      </c>
    </row>
    <row r="1030" spans="2:72" ht="18.75" customHeight="1" x14ac:dyDescent="0.25">
      <c r="B1030" s="20">
        <f t="shared" ref="B1030:B1093" si="88">+B1029+1</f>
        <v>867</v>
      </c>
      <c r="C1030" s="22" t="str">
        <f t="shared" si="84"/>
        <v>In Casa #867</v>
      </c>
      <c r="D1030" t="str">
        <f t="shared" si="85"/>
        <v>COR22D867</v>
      </c>
      <c r="E1030" s="58" t="s">
        <v>252</v>
      </c>
      <c r="F1030" s="20">
        <v>1000</v>
      </c>
      <c r="G1030" s="14" t="s">
        <v>354</v>
      </c>
      <c r="H1030" s="23" t="s">
        <v>170</v>
      </c>
      <c r="J1030" s="59" t="s">
        <v>38</v>
      </c>
      <c r="K1030" s="22" t="s">
        <v>254</v>
      </c>
      <c r="L1030" s="59" t="s">
        <v>171</v>
      </c>
      <c r="M1030" s="22">
        <v>2</v>
      </c>
      <c r="V1030" s="59" t="s">
        <v>176</v>
      </c>
      <c r="AL1030" s="59" t="s">
        <v>40</v>
      </c>
      <c r="AM1030" s="22" t="s">
        <v>188</v>
      </c>
      <c r="AV1030" s="59" t="s">
        <v>134</v>
      </c>
      <c r="AW1030" s="22" t="str">
        <f>Settings!$B$5 &amp;  "?s=" &amp; D1030 &amp; "&amp;platform=ftx"</f>
        <v>https://tokensol.nfluent.io?s=COR22D867&amp;platform=ftx</v>
      </c>
      <c r="AX1030" s="20" t="s">
        <v>23</v>
      </c>
      <c r="AY1030" s="20">
        <v>10</v>
      </c>
      <c r="AZ1030" s="20" t="s">
        <v>24</v>
      </c>
      <c r="BA1030" s="20">
        <v>90</v>
      </c>
      <c r="BD1030" s="14"/>
      <c r="BJ1030" t="s">
        <v>255</v>
      </c>
      <c r="BK1030" t="s">
        <v>184</v>
      </c>
      <c r="BN1030" s="36">
        <v>100</v>
      </c>
      <c r="BO1030" s="36">
        <v>100</v>
      </c>
      <c r="BP1030">
        <f t="shared" si="86"/>
        <v>480</v>
      </c>
      <c r="BR1030" s="38">
        <v>44713</v>
      </c>
      <c r="BS1030" s="20" t="s">
        <v>185</v>
      </c>
      <c r="BT1030" s="20" t="str">
        <f t="shared" si="87"/>
        <v>InCasa_COR22D867</v>
      </c>
    </row>
    <row r="1031" spans="2:72" ht="18.75" customHeight="1" x14ac:dyDescent="0.25">
      <c r="B1031" s="20">
        <f t="shared" si="88"/>
        <v>868</v>
      </c>
      <c r="C1031" s="22" t="str">
        <f t="shared" si="84"/>
        <v>In Casa #868</v>
      </c>
      <c r="D1031" t="str">
        <f t="shared" si="85"/>
        <v>COR22D868</v>
      </c>
      <c r="E1031" s="58" t="s">
        <v>252</v>
      </c>
      <c r="F1031" s="20">
        <v>1000</v>
      </c>
      <c r="G1031" s="14" t="s">
        <v>354</v>
      </c>
      <c r="H1031" s="23" t="s">
        <v>170</v>
      </c>
      <c r="J1031" s="59" t="s">
        <v>38</v>
      </c>
      <c r="K1031" s="22" t="s">
        <v>254</v>
      </c>
      <c r="L1031" s="59" t="s">
        <v>171</v>
      </c>
      <c r="M1031" s="22">
        <v>2</v>
      </c>
      <c r="V1031" s="59" t="s">
        <v>176</v>
      </c>
      <c r="AL1031" s="59" t="s">
        <v>40</v>
      </c>
      <c r="AM1031" s="22" t="s">
        <v>188</v>
      </c>
      <c r="AV1031" s="59" t="s">
        <v>134</v>
      </c>
      <c r="AW1031" s="22" t="str">
        <f>Settings!$B$5 &amp;  "?s=" &amp; D1031 &amp; "&amp;platform=ftx"</f>
        <v>https://tokensol.nfluent.io?s=COR22D868&amp;platform=ftx</v>
      </c>
      <c r="AX1031" s="20" t="s">
        <v>23</v>
      </c>
      <c r="AY1031" s="20">
        <v>10</v>
      </c>
      <c r="AZ1031" s="20" t="s">
        <v>24</v>
      </c>
      <c r="BA1031" s="20">
        <v>90</v>
      </c>
      <c r="BD1031" s="14"/>
      <c r="BJ1031" t="s">
        <v>255</v>
      </c>
      <c r="BK1031" t="s">
        <v>184</v>
      </c>
      <c r="BN1031" s="36">
        <v>100</v>
      </c>
      <c r="BO1031" s="36">
        <v>100</v>
      </c>
      <c r="BP1031">
        <f t="shared" si="86"/>
        <v>480</v>
      </c>
      <c r="BR1031" s="38">
        <v>44713</v>
      </c>
      <c r="BS1031" s="20" t="s">
        <v>185</v>
      </c>
      <c r="BT1031" s="20" t="str">
        <f t="shared" si="87"/>
        <v>InCasa_COR22D868</v>
      </c>
    </row>
    <row r="1032" spans="2:72" ht="18.75" customHeight="1" x14ac:dyDescent="0.25">
      <c r="B1032" s="20">
        <f t="shared" si="88"/>
        <v>869</v>
      </c>
      <c r="C1032" s="22" t="str">
        <f t="shared" si="84"/>
        <v>In Casa #869</v>
      </c>
      <c r="D1032" t="str">
        <f t="shared" si="85"/>
        <v>COR22D869</v>
      </c>
      <c r="E1032" s="58" t="s">
        <v>252</v>
      </c>
      <c r="F1032" s="20">
        <v>1000</v>
      </c>
      <c r="G1032" s="14" t="s">
        <v>354</v>
      </c>
      <c r="H1032" s="23" t="s">
        <v>170</v>
      </c>
      <c r="J1032" s="59" t="s">
        <v>38</v>
      </c>
      <c r="K1032" s="22" t="s">
        <v>254</v>
      </c>
      <c r="L1032" s="59" t="s">
        <v>171</v>
      </c>
      <c r="M1032" s="22">
        <v>2</v>
      </c>
      <c r="V1032" s="59" t="s">
        <v>176</v>
      </c>
      <c r="AL1032" s="59" t="s">
        <v>40</v>
      </c>
      <c r="AM1032" s="22" t="s">
        <v>188</v>
      </c>
      <c r="AV1032" s="59" t="s">
        <v>134</v>
      </c>
      <c r="AW1032" s="22" t="str">
        <f>Settings!$B$5 &amp;  "?s=" &amp; D1032 &amp; "&amp;platform=ftx"</f>
        <v>https://tokensol.nfluent.io?s=COR22D869&amp;platform=ftx</v>
      </c>
      <c r="AX1032" s="20" t="s">
        <v>23</v>
      </c>
      <c r="AY1032" s="20">
        <v>10</v>
      </c>
      <c r="AZ1032" s="20" t="s">
        <v>24</v>
      </c>
      <c r="BA1032" s="20">
        <v>90</v>
      </c>
      <c r="BD1032" s="14"/>
      <c r="BJ1032" t="s">
        <v>255</v>
      </c>
      <c r="BK1032" t="s">
        <v>184</v>
      </c>
      <c r="BN1032" s="36">
        <v>100</v>
      </c>
      <c r="BO1032" s="36">
        <v>100</v>
      </c>
      <c r="BP1032">
        <f t="shared" si="86"/>
        <v>480</v>
      </c>
      <c r="BR1032" s="38">
        <v>44713</v>
      </c>
      <c r="BS1032" s="20" t="s">
        <v>185</v>
      </c>
      <c r="BT1032" s="20" t="str">
        <f t="shared" si="87"/>
        <v>InCasa_COR22D869</v>
      </c>
    </row>
    <row r="1033" spans="2:72" ht="18.75" customHeight="1" x14ac:dyDescent="0.25">
      <c r="B1033" s="20">
        <f t="shared" si="88"/>
        <v>870</v>
      </c>
      <c r="C1033" s="22" t="str">
        <f t="shared" si="84"/>
        <v>In Casa #870</v>
      </c>
      <c r="D1033" t="str">
        <f t="shared" si="85"/>
        <v>COR22D870</v>
      </c>
      <c r="E1033" s="58" t="s">
        <v>252</v>
      </c>
      <c r="F1033" s="20">
        <v>1000</v>
      </c>
      <c r="G1033" s="14" t="s">
        <v>354</v>
      </c>
      <c r="H1033" s="23" t="s">
        <v>170</v>
      </c>
      <c r="J1033" s="59" t="s">
        <v>38</v>
      </c>
      <c r="K1033" s="22" t="s">
        <v>254</v>
      </c>
      <c r="L1033" s="59" t="s">
        <v>171</v>
      </c>
      <c r="M1033" s="22">
        <v>2</v>
      </c>
      <c r="V1033" s="59" t="s">
        <v>176</v>
      </c>
      <c r="AL1033" s="59" t="s">
        <v>40</v>
      </c>
      <c r="AM1033" s="22" t="s">
        <v>188</v>
      </c>
      <c r="AV1033" s="59" t="s">
        <v>134</v>
      </c>
      <c r="AW1033" s="22" t="str">
        <f>Settings!$B$5 &amp;  "?s=" &amp; D1033 &amp; "&amp;platform=ftx"</f>
        <v>https://tokensol.nfluent.io?s=COR22D870&amp;platform=ftx</v>
      </c>
      <c r="AX1033" s="20" t="s">
        <v>23</v>
      </c>
      <c r="AY1033" s="20">
        <v>10</v>
      </c>
      <c r="AZ1033" s="20" t="s">
        <v>24</v>
      </c>
      <c r="BA1033" s="20">
        <v>90</v>
      </c>
      <c r="BD1033" s="14"/>
      <c r="BJ1033" t="s">
        <v>255</v>
      </c>
      <c r="BK1033" t="s">
        <v>184</v>
      </c>
      <c r="BN1033" s="36">
        <v>100</v>
      </c>
      <c r="BO1033" s="36">
        <v>100</v>
      </c>
      <c r="BP1033">
        <f t="shared" si="86"/>
        <v>480</v>
      </c>
      <c r="BR1033" s="38">
        <v>44713</v>
      </c>
      <c r="BS1033" s="20" t="s">
        <v>185</v>
      </c>
      <c r="BT1033" s="20" t="str">
        <f t="shared" si="87"/>
        <v>InCasa_COR22D870</v>
      </c>
    </row>
    <row r="1034" spans="2:72" ht="18.75" customHeight="1" x14ac:dyDescent="0.25">
      <c r="B1034" s="20">
        <f t="shared" si="88"/>
        <v>871</v>
      </c>
      <c r="C1034" s="22" t="str">
        <f t="shared" si="84"/>
        <v>In Casa #871</v>
      </c>
      <c r="D1034" t="str">
        <f t="shared" si="85"/>
        <v>COR22D871</v>
      </c>
      <c r="E1034" s="58" t="s">
        <v>252</v>
      </c>
      <c r="F1034" s="20">
        <v>1000</v>
      </c>
      <c r="G1034" s="14" t="s">
        <v>354</v>
      </c>
      <c r="H1034" s="23" t="s">
        <v>170</v>
      </c>
      <c r="J1034" s="59" t="s">
        <v>38</v>
      </c>
      <c r="K1034" s="22" t="s">
        <v>254</v>
      </c>
      <c r="L1034" s="59" t="s">
        <v>171</v>
      </c>
      <c r="M1034" s="22">
        <v>2</v>
      </c>
      <c r="V1034" s="59" t="s">
        <v>176</v>
      </c>
      <c r="AL1034" s="59" t="s">
        <v>40</v>
      </c>
      <c r="AM1034" s="22" t="s">
        <v>188</v>
      </c>
      <c r="AV1034" s="59" t="s">
        <v>134</v>
      </c>
      <c r="AW1034" s="22" t="str">
        <f>Settings!$B$5 &amp;  "?s=" &amp; D1034 &amp; "&amp;platform=ftx"</f>
        <v>https://tokensol.nfluent.io?s=COR22D871&amp;platform=ftx</v>
      </c>
      <c r="AX1034" s="20" t="s">
        <v>23</v>
      </c>
      <c r="AY1034" s="20">
        <v>10</v>
      </c>
      <c r="AZ1034" s="20" t="s">
        <v>24</v>
      </c>
      <c r="BA1034" s="20">
        <v>90</v>
      </c>
      <c r="BD1034" s="14"/>
      <c r="BJ1034" t="s">
        <v>255</v>
      </c>
      <c r="BK1034" t="s">
        <v>184</v>
      </c>
      <c r="BN1034" s="36">
        <v>100</v>
      </c>
      <c r="BO1034" s="36">
        <v>100</v>
      </c>
      <c r="BP1034">
        <f t="shared" si="86"/>
        <v>480</v>
      </c>
      <c r="BR1034" s="38">
        <v>44713</v>
      </c>
      <c r="BS1034" s="20" t="s">
        <v>185</v>
      </c>
      <c r="BT1034" s="20" t="str">
        <f t="shared" si="87"/>
        <v>InCasa_COR22D871</v>
      </c>
    </row>
    <row r="1035" spans="2:72" ht="18.75" customHeight="1" x14ac:dyDescent="0.25">
      <c r="B1035" s="20">
        <f t="shared" si="88"/>
        <v>872</v>
      </c>
      <c r="C1035" s="22" t="str">
        <f t="shared" si="84"/>
        <v>In Casa #872</v>
      </c>
      <c r="D1035" t="str">
        <f t="shared" si="85"/>
        <v>COR22D872</v>
      </c>
      <c r="E1035" s="58" t="s">
        <v>252</v>
      </c>
      <c r="F1035" s="20">
        <v>1000</v>
      </c>
      <c r="G1035" s="14" t="s">
        <v>354</v>
      </c>
      <c r="H1035" s="23" t="s">
        <v>170</v>
      </c>
      <c r="J1035" s="59" t="s">
        <v>38</v>
      </c>
      <c r="K1035" s="22" t="s">
        <v>254</v>
      </c>
      <c r="L1035" s="59" t="s">
        <v>171</v>
      </c>
      <c r="M1035" s="22">
        <v>2</v>
      </c>
      <c r="V1035" s="59" t="s">
        <v>176</v>
      </c>
      <c r="AL1035" s="59" t="s">
        <v>40</v>
      </c>
      <c r="AM1035" s="22" t="s">
        <v>188</v>
      </c>
      <c r="AV1035" s="59" t="s">
        <v>134</v>
      </c>
      <c r="AW1035" s="22" t="str">
        <f>Settings!$B$5 &amp;  "?s=" &amp; D1035 &amp; "&amp;platform=ftx"</f>
        <v>https://tokensol.nfluent.io?s=COR22D872&amp;platform=ftx</v>
      </c>
      <c r="AX1035" s="20" t="s">
        <v>23</v>
      </c>
      <c r="AY1035" s="20">
        <v>10</v>
      </c>
      <c r="AZ1035" s="20" t="s">
        <v>24</v>
      </c>
      <c r="BA1035" s="20">
        <v>90</v>
      </c>
      <c r="BD1035" s="14"/>
      <c r="BJ1035" t="s">
        <v>255</v>
      </c>
      <c r="BK1035" t="s">
        <v>184</v>
      </c>
      <c r="BN1035" s="36">
        <v>100</v>
      </c>
      <c r="BO1035" s="36">
        <v>100</v>
      </c>
      <c r="BP1035">
        <f t="shared" si="86"/>
        <v>480</v>
      </c>
      <c r="BR1035" s="38">
        <v>44713</v>
      </c>
      <c r="BS1035" s="20" t="s">
        <v>185</v>
      </c>
      <c r="BT1035" s="20" t="str">
        <f t="shared" si="87"/>
        <v>InCasa_COR22D872</v>
      </c>
    </row>
    <row r="1036" spans="2:72" ht="18.75" customHeight="1" x14ac:dyDescent="0.25">
      <c r="B1036" s="20">
        <f t="shared" si="88"/>
        <v>873</v>
      </c>
      <c r="C1036" s="22" t="str">
        <f t="shared" si="84"/>
        <v>In Casa #873</v>
      </c>
      <c r="D1036" t="str">
        <f t="shared" si="85"/>
        <v>COR22D873</v>
      </c>
      <c r="E1036" s="58" t="s">
        <v>252</v>
      </c>
      <c r="F1036" s="20">
        <v>1000</v>
      </c>
      <c r="G1036" s="14" t="s">
        <v>354</v>
      </c>
      <c r="H1036" s="23" t="s">
        <v>170</v>
      </c>
      <c r="J1036" s="59" t="s">
        <v>38</v>
      </c>
      <c r="K1036" s="22" t="s">
        <v>254</v>
      </c>
      <c r="L1036" s="59" t="s">
        <v>171</v>
      </c>
      <c r="M1036" s="22">
        <v>2</v>
      </c>
      <c r="V1036" s="59" t="s">
        <v>176</v>
      </c>
      <c r="AL1036" s="59" t="s">
        <v>40</v>
      </c>
      <c r="AM1036" s="22" t="s">
        <v>188</v>
      </c>
      <c r="AV1036" s="59" t="s">
        <v>134</v>
      </c>
      <c r="AW1036" s="22" t="str">
        <f>Settings!$B$5 &amp;  "?s=" &amp; D1036 &amp; "&amp;platform=ftx"</f>
        <v>https://tokensol.nfluent.io?s=COR22D873&amp;platform=ftx</v>
      </c>
      <c r="AX1036" s="20" t="s">
        <v>23</v>
      </c>
      <c r="AY1036" s="20">
        <v>10</v>
      </c>
      <c r="AZ1036" s="20" t="s">
        <v>24</v>
      </c>
      <c r="BA1036" s="20">
        <v>90</v>
      </c>
      <c r="BD1036" s="14"/>
      <c r="BJ1036" t="s">
        <v>255</v>
      </c>
      <c r="BK1036" t="s">
        <v>184</v>
      </c>
      <c r="BN1036" s="36">
        <v>100</v>
      </c>
      <c r="BO1036" s="36">
        <v>100</v>
      </c>
      <c r="BP1036">
        <f t="shared" si="86"/>
        <v>480</v>
      </c>
      <c r="BR1036" s="38">
        <v>44713</v>
      </c>
      <c r="BS1036" s="20" t="s">
        <v>185</v>
      </c>
      <c r="BT1036" s="20" t="str">
        <f t="shared" si="87"/>
        <v>InCasa_COR22D873</v>
      </c>
    </row>
    <row r="1037" spans="2:72" ht="18.75" customHeight="1" x14ac:dyDescent="0.25">
      <c r="B1037" s="20">
        <f t="shared" si="88"/>
        <v>874</v>
      </c>
      <c r="C1037" s="22" t="str">
        <f t="shared" si="84"/>
        <v>In Casa #874</v>
      </c>
      <c r="D1037" t="str">
        <f t="shared" si="85"/>
        <v>COR22D874</v>
      </c>
      <c r="E1037" s="58" t="s">
        <v>252</v>
      </c>
      <c r="F1037" s="20">
        <v>1000</v>
      </c>
      <c r="G1037" s="14" t="s">
        <v>354</v>
      </c>
      <c r="H1037" s="23" t="s">
        <v>170</v>
      </c>
      <c r="J1037" s="59" t="s">
        <v>38</v>
      </c>
      <c r="K1037" s="22" t="s">
        <v>254</v>
      </c>
      <c r="L1037" s="59" t="s">
        <v>171</v>
      </c>
      <c r="M1037" s="22">
        <v>2</v>
      </c>
      <c r="V1037" s="59" t="s">
        <v>176</v>
      </c>
      <c r="AL1037" s="59" t="s">
        <v>40</v>
      </c>
      <c r="AM1037" s="22" t="s">
        <v>188</v>
      </c>
      <c r="AV1037" s="59" t="s">
        <v>134</v>
      </c>
      <c r="AW1037" s="22" t="str">
        <f>Settings!$B$5 &amp;  "?s=" &amp; D1037 &amp; "&amp;platform=ftx"</f>
        <v>https://tokensol.nfluent.io?s=COR22D874&amp;platform=ftx</v>
      </c>
      <c r="AX1037" s="20" t="s">
        <v>23</v>
      </c>
      <c r="AY1037" s="20">
        <v>10</v>
      </c>
      <c r="AZ1037" s="20" t="s">
        <v>24</v>
      </c>
      <c r="BA1037" s="20">
        <v>90</v>
      </c>
      <c r="BD1037" s="14"/>
      <c r="BJ1037" t="s">
        <v>255</v>
      </c>
      <c r="BK1037" t="s">
        <v>184</v>
      </c>
      <c r="BN1037" s="36">
        <v>100</v>
      </c>
      <c r="BO1037" s="36">
        <v>100</v>
      </c>
      <c r="BP1037">
        <f t="shared" si="86"/>
        <v>480</v>
      </c>
      <c r="BR1037" s="38">
        <v>44713</v>
      </c>
      <c r="BS1037" s="20" t="s">
        <v>185</v>
      </c>
      <c r="BT1037" s="20" t="str">
        <f t="shared" si="87"/>
        <v>InCasa_COR22D874</v>
      </c>
    </row>
    <row r="1038" spans="2:72" ht="18.75" customHeight="1" x14ac:dyDescent="0.25">
      <c r="B1038" s="20">
        <f t="shared" si="88"/>
        <v>875</v>
      </c>
      <c r="C1038" s="22" t="str">
        <f t="shared" si="84"/>
        <v>In Casa #875</v>
      </c>
      <c r="D1038" t="str">
        <f t="shared" si="85"/>
        <v>COR22D875</v>
      </c>
      <c r="E1038" s="58" t="s">
        <v>252</v>
      </c>
      <c r="F1038" s="20">
        <v>1000</v>
      </c>
      <c r="G1038" s="14" t="s">
        <v>354</v>
      </c>
      <c r="H1038" s="23" t="s">
        <v>170</v>
      </c>
      <c r="J1038" s="59" t="s">
        <v>38</v>
      </c>
      <c r="K1038" s="22" t="s">
        <v>254</v>
      </c>
      <c r="L1038" s="59" t="s">
        <v>171</v>
      </c>
      <c r="M1038" s="22">
        <v>2</v>
      </c>
      <c r="V1038" s="59" t="s">
        <v>176</v>
      </c>
      <c r="AL1038" s="59" t="s">
        <v>40</v>
      </c>
      <c r="AM1038" s="22" t="s">
        <v>188</v>
      </c>
      <c r="AV1038" s="59" t="s">
        <v>134</v>
      </c>
      <c r="AW1038" s="22" t="str">
        <f>Settings!$B$5 &amp;  "?s=" &amp; D1038 &amp; "&amp;platform=ftx"</f>
        <v>https://tokensol.nfluent.io?s=COR22D875&amp;platform=ftx</v>
      </c>
      <c r="AX1038" s="20" t="s">
        <v>23</v>
      </c>
      <c r="AY1038" s="20">
        <v>10</v>
      </c>
      <c r="AZ1038" s="20" t="s">
        <v>24</v>
      </c>
      <c r="BA1038" s="20">
        <v>90</v>
      </c>
      <c r="BD1038" s="14"/>
      <c r="BJ1038" t="s">
        <v>255</v>
      </c>
      <c r="BK1038" t="s">
        <v>184</v>
      </c>
      <c r="BN1038" s="36">
        <v>100</v>
      </c>
      <c r="BO1038" s="36">
        <v>100</v>
      </c>
      <c r="BP1038">
        <f t="shared" si="86"/>
        <v>480</v>
      </c>
      <c r="BR1038" s="38">
        <v>44713</v>
      </c>
      <c r="BS1038" s="20" t="s">
        <v>185</v>
      </c>
      <c r="BT1038" s="20" t="str">
        <f t="shared" si="87"/>
        <v>InCasa_COR22D875</v>
      </c>
    </row>
    <row r="1039" spans="2:72" ht="18.75" customHeight="1" x14ac:dyDescent="0.25">
      <c r="B1039" s="20">
        <f t="shared" si="88"/>
        <v>876</v>
      </c>
      <c r="C1039" s="22" t="str">
        <f t="shared" si="84"/>
        <v>In Casa #876</v>
      </c>
      <c r="D1039" t="str">
        <f t="shared" si="85"/>
        <v>COR22D876</v>
      </c>
      <c r="E1039" s="58" t="s">
        <v>252</v>
      </c>
      <c r="F1039" s="20">
        <v>1000</v>
      </c>
      <c r="G1039" s="14" t="s">
        <v>354</v>
      </c>
      <c r="H1039" s="23" t="s">
        <v>170</v>
      </c>
      <c r="J1039" s="59" t="s">
        <v>38</v>
      </c>
      <c r="K1039" s="22" t="s">
        <v>254</v>
      </c>
      <c r="L1039" s="59" t="s">
        <v>171</v>
      </c>
      <c r="M1039" s="22">
        <v>2</v>
      </c>
      <c r="V1039" s="59" t="s">
        <v>176</v>
      </c>
      <c r="AL1039" s="59" t="s">
        <v>40</v>
      </c>
      <c r="AM1039" s="22" t="s">
        <v>188</v>
      </c>
      <c r="AV1039" s="59" t="s">
        <v>134</v>
      </c>
      <c r="AW1039" s="22" t="str">
        <f>Settings!$B$5 &amp;  "?s=" &amp; D1039 &amp; "&amp;platform=ftx"</f>
        <v>https://tokensol.nfluent.io?s=COR22D876&amp;platform=ftx</v>
      </c>
      <c r="AX1039" s="20" t="s">
        <v>23</v>
      </c>
      <c r="AY1039" s="20">
        <v>10</v>
      </c>
      <c r="AZ1039" s="20" t="s">
        <v>24</v>
      </c>
      <c r="BA1039" s="20">
        <v>90</v>
      </c>
      <c r="BD1039" s="14"/>
      <c r="BJ1039" t="s">
        <v>255</v>
      </c>
      <c r="BK1039" t="s">
        <v>184</v>
      </c>
      <c r="BN1039" s="36">
        <v>100</v>
      </c>
      <c r="BO1039" s="36">
        <v>100</v>
      </c>
      <c r="BP1039">
        <f t="shared" si="86"/>
        <v>480</v>
      </c>
      <c r="BR1039" s="38">
        <v>44713</v>
      </c>
      <c r="BS1039" s="20" t="s">
        <v>185</v>
      </c>
      <c r="BT1039" s="20" t="str">
        <f t="shared" si="87"/>
        <v>InCasa_COR22D876</v>
      </c>
    </row>
    <row r="1040" spans="2:72" ht="18.75" customHeight="1" x14ac:dyDescent="0.25">
      <c r="B1040" s="20">
        <f t="shared" si="88"/>
        <v>877</v>
      </c>
      <c r="C1040" s="22" t="str">
        <f t="shared" si="84"/>
        <v>In Casa #877</v>
      </c>
      <c r="D1040" t="str">
        <f t="shared" si="85"/>
        <v>COR22D877</v>
      </c>
      <c r="E1040" s="58" t="s">
        <v>252</v>
      </c>
      <c r="F1040" s="20">
        <v>1000</v>
      </c>
      <c r="G1040" s="14" t="s">
        <v>354</v>
      </c>
      <c r="H1040" s="23" t="s">
        <v>170</v>
      </c>
      <c r="J1040" s="59" t="s">
        <v>38</v>
      </c>
      <c r="K1040" s="22" t="s">
        <v>254</v>
      </c>
      <c r="L1040" s="59" t="s">
        <v>171</v>
      </c>
      <c r="M1040" s="22">
        <v>2</v>
      </c>
      <c r="V1040" s="59" t="s">
        <v>176</v>
      </c>
      <c r="AL1040" s="59" t="s">
        <v>40</v>
      </c>
      <c r="AM1040" s="22" t="s">
        <v>188</v>
      </c>
      <c r="AV1040" s="59" t="s">
        <v>134</v>
      </c>
      <c r="AW1040" s="22" t="str">
        <f>Settings!$B$5 &amp;  "?s=" &amp; D1040 &amp; "&amp;platform=ftx"</f>
        <v>https://tokensol.nfluent.io?s=COR22D877&amp;platform=ftx</v>
      </c>
      <c r="AX1040" s="20" t="s">
        <v>23</v>
      </c>
      <c r="AY1040" s="20">
        <v>10</v>
      </c>
      <c r="AZ1040" s="20" t="s">
        <v>24</v>
      </c>
      <c r="BA1040" s="20">
        <v>90</v>
      </c>
      <c r="BD1040" s="14"/>
      <c r="BJ1040" t="s">
        <v>255</v>
      </c>
      <c r="BK1040" t="s">
        <v>184</v>
      </c>
      <c r="BN1040" s="36">
        <v>100</v>
      </c>
      <c r="BO1040" s="36">
        <v>100</v>
      </c>
      <c r="BP1040">
        <f t="shared" si="86"/>
        <v>480</v>
      </c>
      <c r="BR1040" s="38">
        <v>44713</v>
      </c>
      <c r="BS1040" s="20" t="s">
        <v>185</v>
      </c>
      <c r="BT1040" s="20" t="str">
        <f t="shared" si="87"/>
        <v>InCasa_COR22D877</v>
      </c>
    </row>
    <row r="1041" spans="2:72" ht="18.75" customHeight="1" x14ac:dyDescent="0.25">
      <c r="B1041" s="20">
        <f t="shared" si="88"/>
        <v>878</v>
      </c>
      <c r="C1041" s="22" t="str">
        <f t="shared" si="84"/>
        <v>In Casa #878</v>
      </c>
      <c r="D1041" t="str">
        <f t="shared" si="85"/>
        <v>COR22D878</v>
      </c>
      <c r="E1041" s="58" t="s">
        <v>252</v>
      </c>
      <c r="F1041" s="20">
        <v>1000</v>
      </c>
      <c r="G1041" s="14" t="s">
        <v>354</v>
      </c>
      <c r="H1041" s="23" t="s">
        <v>170</v>
      </c>
      <c r="J1041" s="59" t="s">
        <v>38</v>
      </c>
      <c r="K1041" s="22" t="s">
        <v>254</v>
      </c>
      <c r="L1041" s="59" t="s">
        <v>171</v>
      </c>
      <c r="M1041" s="22">
        <v>2</v>
      </c>
      <c r="V1041" s="59" t="s">
        <v>176</v>
      </c>
      <c r="AL1041" s="59" t="s">
        <v>40</v>
      </c>
      <c r="AM1041" s="22" t="s">
        <v>188</v>
      </c>
      <c r="AV1041" s="59" t="s">
        <v>134</v>
      </c>
      <c r="AW1041" s="22" t="str">
        <f>Settings!$B$5 &amp;  "?s=" &amp; D1041 &amp; "&amp;platform=ftx"</f>
        <v>https://tokensol.nfluent.io?s=COR22D878&amp;platform=ftx</v>
      </c>
      <c r="AX1041" s="20" t="s">
        <v>23</v>
      </c>
      <c r="AY1041" s="20">
        <v>10</v>
      </c>
      <c r="AZ1041" s="20" t="s">
        <v>24</v>
      </c>
      <c r="BA1041" s="20">
        <v>90</v>
      </c>
      <c r="BD1041" s="14"/>
      <c r="BJ1041" t="s">
        <v>255</v>
      </c>
      <c r="BK1041" t="s">
        <v>184</v>
      </c>
      <c r="BN1041" s="36">
        <v>100</v>
      </c>
      <c r="BO1041" s="36">
        <v>100</v>
      </c>
      <c r="BP1041">
        <f t="shared" si="86"/>
        <v>480</v>
      </c>
      <c r="BR1041" s="38">
        <v>44713</v>
      </c>
      <c r="BS1041" s="20" t="s">
        <v>185</v>
      </c>
      <c r="BT1041" s="20" t="str">
        <f t="shared" si="87"/>
        <v>InCasa_COR22D878</v>
      </c>
    </row>
    <row r="1042" spans="2:72" ht="18.75" customHeight="1" x14ac:dyDescent="0.25">
      <c r="B1042" s="20">
        <f t="shared" si="88"/>
        <v>879</v>
      </c>
      <c r="C1042" s="22" t="str">
        <f t="shared" si="84"/>
        <v>In Casa #879</v>
      </c>
      <c r="D1042" t="str">
        <f t="shared" si="85"/>
        <v>COR22D879</v>
      </c>
      <c r="E1042" s="58" t="s">
        <v>252</v>
      </c>
      <c r="F1042" s="20">
        <v>1000</v>
      </c>
      <c r="G1042" s="14" t="s">
        <v>354</v>
      </c>
      <c r="H1042" s="23" t="s">
        <v>170</v>
      </c>
      <c r="J1042" s="59" t="s">
        <v>38</v>
      </c>
      <c r="K1042" s="22" t="s">
        <v>254</v>
      </c>
      <c r="L1042" s="59" t="s">
        <v>171</v>
      </c>
      <c r="M1042" s="22">
        <v>2</v>
      </c>
      <c r="V1042" s="59" t="s">
        <v>176</v>
      </c>
      <c r="AL1042" s="59" t="s">
        <v>40</v>
      </c>
      <c r="AM1042" s="22" t="s">
        <v>188</v>
      </c>
      <c r="AV1042" s="59" t="s">
        <v>134</v>
      </c>
      <c r="AW1042" s="22" t="str">
        <f>Settings!$B$5 &amp;  "?s=" &amp; D1042 &amp; "&amp;platform=ftx"</f>
        <v>https://tokensol.nfluent.io?s=COR22D879&amp;platform=ftx</v>
      </c>
      <c r="AX1042" s="20" t="s">
        <v>23</v>
      </c>
      <c r="AY1042" s="20">
        <v>10</v>
      </c>
      <c r="AZ1042" s="20" t="s">
        <v>24</v>
      </c>
      <c r="BA1042" s="20">
        <v>90</v>
      </c>
      <c r="BD1042" s="14"/>
      <c r="BJ1042" t="s">
        <v>255</v>
      </c>
      <c r="BK1042" t="s">
        <v>184</v>
      </c>
      <c r="BN1042" s="36">
        <v>100</v>
      </c>
      <c r="BO1042" s="36">
        <v>100</v>
      </c>
      <c r="BP1042">
        <f t="shared" si="86"/>
        <v>480</v>
      </c>
      <c r="BR1042" s="38">
        <v>44713</v>
      </c>
      <c r="BS1042" s="20" t="s">
        <v>185</v>
      </c>
      <c r="BT1042" s="20" t="str">
        <f t="shared" si="87"/>
        <v>InCasa_COR22D879</v>
      </c>
    </row>
    <row r="1043" spans="2:72" ht="18.75" customHeight="1" x14ac:dyDescent="0.25">
      <c r="B1043" s="20">
        <f t="shared" si="88"/>
        <v>880</v>
      </c>
      <c r="C1043" s="22" t="str">
        <f t="shared" si="84"/>
        <v>In Casa #880</v>
      </c>
      <c r="D1043" t="str">
        <f t="shared" si="85"/>
        <v>COR22D880</v>
      </c>
      <c r="E1043" s="58" t="s">
        <v>252</v>
      </c>
      <c r="F1043" s="20">
        <v>1000</v>
      </c>
      <c r="G1043" s="14" t="s">
        <v>354</v>
      </c>
      <c r="H1043" s="23" t="s">
        <v>170</v>
      </c>
      <c r="J1043" s="59" t="s">
        <v>38</v>
      </c>
      <c r="K1043" s="22" t="s">
        <v>254</v>
      </c>
      <c r="L1043" s="59" t="s">
        <v>171</v>
      </c>
      <c r="M1043" s="22">
        <v>2</v>
      </c>
      <c r="V1043" s="59" t="s">
        <v>176</v>
      </c>
      <c r="AL1043" s="59" t="s">
        <v>40</v>
      </c>
      <c r="AM1043" s="22" t="s">
        <v>188</v>
      </c>
      <c r="AV1043" s="59" t="s">
        <v>134</v>
      </c>
      <c r="AW1043" s="22" t="str">
        <f>Settings!$B$5 &amp;  "?s=" &amp; D1043 &amp; "&amp;platform=ftx"</f>
        <v>https://tokensol.nfluent.io?s=COR22D880&amp;platform=ftx</v>
      </c>
      <c r="AX1043" s="20" t="s">
        <v>23</v>
      </c>
      <c r="AY1043" s="20">
        <v>10</v>
      </c>
      <c r="AZ1043" s="20" t="s">
        <v>24</v>
      </c>
      <c r="BA1043" s="20">
        <v>90</v>
      </c>
      <c r="BD1043" s="14"/>
      <c r="BJ1043" t="s">
        <v>255</v>
      </c>
      <c r="BK1043" t="s">
        <v>184</v>
      </c>
      <c r="BN1043" s="36">
        <v>100</v>
      </c>
      <c r="BO1043" s="36">
        <v>100</v>
      </c>
      <c r="BP1043">
        <f t="shared" si="86"/>
        <v>480</v>
      </c>
      <c r="BR1043" s="38">
        <v>44713</v>
      </c>
      <c r="BS1043" s="20" t="s">
        <v>185</v>
      </c>
      <c r="BT1043" s="20" t="str">
        <f t="shared" si="87"/>
        <v>InCasa_COR22D880</v>
      </c>
    </row>
    <row r="1044" spans="2:72" ht="18.75" customHeight="1" x14ac:dyDescent="0.25">
      <c r="B1044" s="20">
        <f t="shared" si="88"/>
        <v>881</v>
      </c>
      <c r="C1044" s="22" t="str">
        <f t="shared" si="84"/>
        <v>In Casa #881</v>
      </c>
      <c r="D1044" t="str">
        <f t="shared" si="85"/>
        <v>COR22D881</v>
      </c>
      <c r="E1044" s="58" t="s">
        <v>252</v>
      </c>
      <c r="F1044" s="20">
        <v>1000</v>
      </c>
      <c r="G1044" s="14" t="s">
        <v>354</v>
      </c>
      <c r="H1044" s="23" t="s">
        <v>170</v>
      </c>
      <c r="J1044" s="59" t="s">
        <v>38</v>
      </c>
      <c r="K1044" s="22" t="s">
        <v>254</v>
      </c>
      <c r="L1044" s="59" t="s">
        <v>171</v>
      </c>
      <c r="M1044" s="22">
        <v>2</v>
      </c>
      <c r="V1044" s="59" t="s">
        <v>176</v>
      </c>
      <c r="AL1044" s="59" t="s">
        <v>40</v>
      </c>
      <c r="AM1044" s="22" t="s">
        <v>188</v>
      </c>
      <c r="AV1044" s="59" t="s">
        <v>134</v>
      </c>
      <c r="AW1044" s="22" t="str">
        <f>Settings!$B$5 &amp;  "?s=" &amp; D1044 &amp; "&amp;platform=ftx"</f>
        <v>https://tokensol.nfluent.io?s=COR22D881&amp;platform=ftx</v>
      </c>
      <c r="AX1044" s="20" t="s">
        <v>23</v>
      </c>
      <c r="AY1044" s="20">
        <v>10</v>
      </c>
      <c r="AZ1044" s="20" t="s">
        <v>24</v>
      </c>
      <c r="BA1044" s="20">
        <v>90</v>
      </c>
      <c r="BD1044" s="14"/>
      <c r="BJ1044" t="s">
        <v>255</v>
      </c>
      <c r="BK1044" t="s">
        <v>184</v>
      </c>
      <c r="BN1044" s="36">
        <v>100</v>
      </c>
      <c r="BO1044" s="36">
        <v>100</v>
      </c>
      <c r="BP1044">
        <f t="shared" si="86"/>
        <v>480</v>
      </c>
      <c r="BR1044" s="38">
        <v>44713</v>
      </c>
      <c r="BS1044" s="20" t="s">
        <v>185</v>
      </c>
      <c r="BT1044" s="20" t="str">
        <f t="shared" si="87"/>
        <v>InCasa_COR22D881</v>
      </c>
    </row>
    <row r="1045" spans="2:72" ht="18.75" customHeight="1" x14ac:dyDescent="0.25">
      <c r="B1045" s="20">
        <f t="shared" si="88"/>
        <v>882</v>
      </c>
      <c r="C1045" s="22" t="str">
        <f t="shared" si="84"/>
        <v>In Casa #882</v>
      </c>
      <c r="D1045" t="str">
        <f t="shared" si="85"/>
        <v>COR22D882</v>
      </c>
      <c r="E1045" s="58" t="s">
        <v>252</v>
      </c>
      <c r="F1045" s="20">
        <v>1000</v>
      </c>
      <c r="G1045" s="14" t="s">
        <v>354</v>
      </c>
      <c r="H1045" s="23" t="s">
        <v>170</v>
      </c>
      <c r="J1045" s="59" t="s">
        <v>38</v>
      </c>
      <c r="K1045" s="22" t="s">
        <v>254</v>
      </c>
      <c r="L1045" s="59" t="s">
        <v>171</v>
      </c>
      <c r="M1045" s="22">
        <v>2</v>
      </c>
      <c r="V1045" s="59" t="s">
        <v>176</v>
      </c>
      <c r="AL1045" s="59" t="s">
        <v>40</v>
      </c>
      <c r="AM1045" s="22" t="s">
        <v>188</v>
      </c>
      <c r="AV1045" s="59" t="s">
        <v>134</v>
      </c>
      <c r="AW1045" s="22" t="str">
        <f>Settings!$B$5 &amp;  "?s=" &amp; D1045 &amp; "&amp;platform=ftx"</f>
        <v>https://tokensol.nfluent.io?s=COR22D882&amp;platform=ftx</v>
      </c>
      <c r="AX1045" s="20" t="s">
        <v>23</v>
      </c>
      <c r="AY1045" s="20">
        <v>10</v>
      </c>
      <c r="AZ1045" s="20" t="s">
        <v>24</v>
      </c>
      <c r="BA1045" s="20">
        <v>90</v>
      </c>
      <c r="BD1045" s="14"/>
      <c r="BJ1045" t="s">
        <v>255</v>
      </c>
      <c r="BK1045" t="s">
        <v>184</v>
      </c>
      <c r="BN1045" s="36">
        <v>100</v>
      </c>
      <c r="BO1045" s="36">
        <v>100</v>
      </c>
      <c r="BP1045">
        <f t="shared" si="86"/>
        <v>480</v>
      </c>
      <c r="BR1045" s="38">
        <v>44713</v>
      </c>
      <c r="BS1045" s="20" t="s">
        <v>185</v>
      </c>
      <c r="BT1045" s="20" t="str">
        <f t="shared" si="87"/>
        <v>InCasa_COR22D882</v>
      </c>
    </row>
    <row r="1046" spans="2:72" ht="18.75" customHeight="1" x14ac:dyDescent="0.25">
      <c r="B1046" s="20">
        <f t="shared" si="88"/>
        <v>883</v>
      </c>
      <c r="C1046" s="22" t="str">
        <f t="shared" si="84"/>
        <v>In Casa #883</v>
      </c>
      <c r="D1046" t="str">
        <f t="shared" si="85"/>
        <v>COR22D883</v>
      </c>
      <c r="E1046" s="58" t="s">
        <v>252</v>
      </c>
      <c r="F1046" s="20">
        <v>1000</v>
      </c>
      <c r="G1046" s="14" t="s">
        <v>354</v>
      </c>
      <c r="H1046" s="23" t="s">
        <v>170</v>
      </c>
      <c r="J1046" s="59" t="s">
        <v>38</v>
      </c>
      <c r="K1046" s="22" t="s">
        <v>254</v>
      </c>
      <c r="L1046" s="59" t="s">
        <v>171</v>
      </c>
      <c r="M1046" s="22">
        <v>2</v>
      </c>
      <c r="V1046" s="59" t="s">
        <v>176</v>
      </c>
      <c r="AL1046" s="59" t="s">
        <v>40</v>
      </c>
      <c r="AM1046" s="22" t="s">
        <v>188</v>
      </c>
      <c r="AV1046" s="59" t="s">
        <v>134</v>
      </c>
      <c r="AW1046" s="22" t="str">
        <f>Settings!$B$5 &amp;  "?s=" &amp; D1046 &amp; "&amp;platform=ftx"</f>
        <v>https://tokensol.nfluent.io?s=COR22D883&amp;platform=ftx</v>
      </c>
      <c r="AX1046" s="20" t="s">
        <v>23</v>
      </c>
      <c r="AY1046" s="20">
        <v>10</v>
      </c>
      <c r="AZ1046" s="20" t="s">
        <v>24</v>
      </c>
      <c r="BA1046" s="20">
        <v>90</v>
      </c>
      <c r="BD1046" s="14"/>
      <c r="BJ1046" t="s">
        <v>255</v>
      </c>
      <c r="BK1046" t="s">
        <v>184</v>
      </c>
      <c r="BN1046" s="36">
        <v>100</v>
      </c>
      <c r="BO1046" s="36">
        <v>100</v>
      </c>
      <c r="BP1046">
        <f t="shared" si="86"/>
        <v>480</v>
      </c>
      <c r="BR1046" s="38">
        <v>44713</v>
      </c>
      <c r="BS1046" s="20" t="s">
        <v>185</v>
      </c>
      <c r="BT1046" s="20" t="str">
        <f t="shared" si="87"/>
        <v>InCasa_COR22D883</v>
      </c>
    </row>
    <row r="1047" spans="2:72" ht="18.75" customHeight="1" x14ac:dyDescent="0.25">
      <c r="B1047" s="20">
        <f t="shared" si="88"/>
        <v>884</v>
      </c>
      <c r="C1047" s="22" t="str">
        <f t="shared" si="84"/>
        <v>In Casa #884</v>
      </c>
      <c r="D1047" t="str">
        <f t="shared" si="85"/>
        <v>COR22D884</v>
      </c>
      <c r="E1047" s="58" t="s">
        <v>252</v>
      </c>
      <c r="F1047" s="20">
        <v>1000</v>
      </c>
      <c r="G1047" s="14" t="s">
        <v>354</v>
      </c>
      <c r="H1047" s="23" t="s">
        <v>170</v>
      </c>
      <c r="J1047" s="59" t="s">
        <v>38</v>
      </c>
      <c r="K1047" s="22" t="s">
        <v>254</v>
      </c>
      <c r="L1047" s="59" t="s">
        <v>171</v>
      </c>
      <c r="M1047" s="22">
        <v>2</v>
      </c>
      <c r="V1047" s="59" t="s">
        <v>176</v>
      </c>
      <c r="AL1047" s="59" t="s">
        <v>40</v>
      </c>
      <c r="AM1047" s="22" t="s">
        <v>188</v>
      </c>
      <c r="AV1047" s="59" t="s">
        <v>134</v>
      </c>
      <c r="AW1047" s="22" t="str">
        <f>Settings!$B$5 &amp;  "?s=" &amp; D1047 &amp; "&amp;platform=ftx"</f>
        <v>https://tokensol.nfluent.io?s=COR22D884&amp;platform=ftx</v>
      </c>
      <c r="AX1047" s="20" t="s">
        <v>23</v>
      </c>
      <c r="AY1047" s="20">
        <v>10</v>
      </c>
      <c r="AZ1047" s="20" t="s">
        <v>24</v>
      </c>
      <c r="BA1047" s="20">
        <v>90</v>
      </c>
      <c r="BD1047" s="14"/>
      <c r="BJ1047" t="s">
        <v>255</v>
      </c>
      <c r="BK1047" t="s">
        <v>184</v>
      </c>
      <c r="BN1047" s="36">
        <v>100</v>
      </c>
      <c r="BO1047" s="36">
        <v>100</v>
      </c>
      <c r="BP1047">
        <f t="shared" si="86"/>
        <v>480</v>
      </c>
      <c r="BR1047" s="38">
        <v>44713</v>
      </c>
      <c r="BS1047" s="20" t="s">
        <v>185</v>
      </c>
      <c r="BT1047" s="20" t="str">
        <f t="shared" si="87"/>
        <v>InCasa_COR22D884</v>
      </c>
    </row>
    <row r="1048" spans="2:72" ht="18.75" customHeight="1" x14ac:dyDescent="0.25">
      <c r="B1048" s="20">
        <f t="shared" si="88"/>
        <v>885</v>
      </c>
      <c r="C1048" s="22" t="str">
        <f t="shared" si="84"/>
        <v>In Casa #885</v>
      </c>
      <c r="D1048" t="str">
        <f t="shared" si="85"/>
        <v>COR22D885</v>
      </c>
      <c r="E1048" s="58" t="s">
        <v>252</v>
      </c>
      <c r="F1048" s="20">
        <v>1000</v>
      </c>
      <c r="G1048" s="14" t="s">
        <v>354</v>
      </c>
      <c r="H1048" s="23" t="s">
        <v>170</v>
      </c>
      <c r="J1048" s="59" t="s">
        <v>38</v>
      </c>
      <c r="K1048" s="22" t="s">
        <v>254</v>
      </c>
      <c r="L1048" s="59" t="s">
        <v>171</v>
      </c>
      <c r="M1048" s="22">
        <v>2</v>
      </c>
      <c r="V1048" s="59" t="s">
        <v>176</v>
      </c>
      <c r="AL1048" s="59" t="s">
        <v>40</v>
      </c>
      <c r="AM1048" s="22" t="s">
        <v>188</v>
      </c>
      <c r="AV1048" s="59" t="s">
        <v>134</v>
      </c>
      <c r="AW1048" s="22" t="str">
        <f>Settings!$B$5 &amp;  "?s=" &amp; D1048 &amp; "&amp;platform=ftx"</f>
        <v>https://tokensol.nfluent.io?s=COR22D885&amp;platform=ftx</v>
      </c>
      <c r="AX1048" s="20" t="s">
        <v>23</v>
      </c>
      <c r="AY1048" s="20">
        <v>10</v>
      </c>
      <c r="AZ1048" s="20" t="s">
        <v>24</v>
      </c>
      <c r="BA1048" s="20">
        <v>90</v>
      </c>
      <c r="BD1048" s="14"/>
      <c r="BJ1048" t="s">
        <v>255</v>
      </c>
      <c r="BK1048" t="s">
        <v>184</v>
      </c>
      <c r="BN1048" s="36">
        <v>100</v>
      </c>
      <c r="BO1048" s="36">
        <v>100</v>
      </c>
      <c r="BP1048">
        <f t="shared" si="86"/>
        <v>480</v>
      </c>
      <c r="BR1048" s="38">
        <v>44713</v>
      </c>
      <c r="BS1048" s="20" t="s">
        <v>185</v>
      </c>
      <c r="BT1048" s="20" t="str">
        <f t="shared" si="87"/>
        <v>InCasa_COR22D885</v>
      </c>
    </row>
    <row r="1049" spans="2:72" ht="18.75" customHeight="1" x14ac:dyDescent="0.25">
      <c r="B1049" s="20">
        <f t="shared" si="88"/>
        <v>886</v>
      </c>
      <c r="C1049" s="22" t="str">
        <f t="shared" si="84"/>
        <v>In Casa #886</v>
      </c>
      <c r="D1049" t="str">
        <f t="shared" si="85"/>
        <v>COR22D886</v>
      </c>
      <c r="E1049" s="58" t="s">
        <v>252</v>
      </c>
      <c r="F1049" s="20">
        <v>1000</v>
      </c>
      <c r="G1049" s="14" t="s">
        <v>354</v>
      </c>
      <c r="H1049" s="23" t="s">
        <v>170</v>
      </c>
      <c r="J1049" s="59" t="s">
        <v>38</v>
      </c>
      <c r="K1049" s="22" t="s">
        <v>254</v>
      </c>
      <c r="L1049" s="59" t="s">
        <v>171</v>
      </c>
      <c r="M1049" s="22">
        <v>2</v>
      </c>
      <c r="V1049" s="59" t="s">
        <v>176</v>
      </c>
      <c r="AL1049" s="59" t="s">
        <v>40</v>
      </c>
      <c r="AM1049" s="22" t="s">
        <v>188</v>
      </c>
      <c r="AV1049" s="59" t="s">
        <v>134</v>
      </c>
      <c r="AW1049" s="22" t="str">
        <f>Settings!$B$5 &amp;  "?s=" &amp; D1049 &amp; "&amp;platform=ftx"</f>
        <v>https://tokensol.nfluent.io?s=COR22D886&amp;platform=ftx</v>
      </c>
      <c r="AX1049" s="20" t="s">
        <v>23</v>
      </c>
      <c r="AY1049" s="20">
        <v>10</v>
      </c>
      <c r="AZ1049" s="20" t="s">
        <v>24</v>
      </c>
      <c r="BA1049" s="20">
        <v>90</v>
      </c>
      <c r="BD1049" s="14"/>
      <c r="BJ1049" t="s">
        <v>255</v>
      </c>
      <c r="BK1049" t="s">
        <v>184</v>
      </c>
      <c r="BN1049" s="36">
        <v>100</v>
      </c>
      <c r="BO1049" s="36">
        <v>100</v>
      </c>
      <c r="BP1049">
        <f t="shared" si="86"/>
        <v>480</v>
      </c>
      <c r="BR1049" s="38">
        <v>44713</v>
      </c>
      <c r="BS1049" s="20" t="s">
        <v>185</v>
      </c>
      <c r="BT1049" s="20" t="str">
        <f t="shared" si="87"/>
        <v>InCasa_COR22D886</v>
      </c>
    </row>
    <row r="1050" spans="2:72" ht="18.75" customHeight="1" x14ac:dyDescent="0.25">
      <c r="B1050" s="20">
        <f t="shared" si="88"/>
        <v>887</v>
      </c>
      <c r="C1050" s="22" t="str">
        <f t="shared" si="84"/>
        <v>In Casa #887</v>
      </c>
      <c r="D1050" t="str">
        <f t="shared" si="85"/>
        <v>COR22D887</v>
      </c>
      <c r="E1050" s="58" t="s">
        <v>252</v>
      </c>
      <c r="F1050" s="20">
        <v>1000</v>
      </c>
      <c r="G1050" s="14" t="s">
        <v>354</v>
      </c>
      <c r="H1050" s="23" t="s">
        <v>170</v>
      </c>
      <c r="J1050" s="59" t="s">
        <v>38</v>
      </c>
      <c r="K1050" s="22" t="s">
        <v>254</v>
      </c>
      <c r="L1050" s="59" t="s">
        <v>171</v>
      </c>
      <c r="M1050" s="22">
        <v>2</v>
      </c>
      <c r="V1050" s="59" t="s">
        <v>176</v>
      </c>
      <c r="AL1050" s="59" t="s">
        <v>40</v>
      </c>
      <c r="AM1050" s="22" t="s">
        <v>188</v>
      </c>
      <c r="AV1050" s="59" t="s">
        <v>134</v>
      </c>
      <c r="AW1050" s="22" t="str">
        <f>Settings!$B$5 &amp;  "?s=" &amp; D1050 &amp; "&amp;platform=ftx"</f>
        <v>https://tokensol.nfluent.io?s=COR22D887&amp;platform=ftx</v>
      </c>
      <c r="AX1050" s="20" t="s">
        <v>23</v>
      </c>
      <c r="AY1050" s="20">
        <v>10</v>
      </c>
      <c r="AZ1050" s="20" t="s">
        <v>24</v>
      </c>
      <c r="BA1050" s="20">
        <v>90</v>
      </c>
      <c r="BD1050" s="14"/>
      <c r="BJ1050" t="s">
        <v>255</v>
      </c>
      <c r="BK1050" t="s">
        <v>184</v>
      </c>
      <c r="BN1050" s="36">
        <v>100</v>
      </c>
      <c r="BO1050" s="36">
        <v>100</v>
      </c>
      <c r="BP1050">
        <f t="shared" si="86"/>
        <v>480</v>
      </c>
      <c r="BR1050" s="38">
        <v>44713</v>
      </c>
      <c r="BS1050" s="20" t="s">
        <v>185</v>
      </c>
      <c r="BT1050" s="20" t="str">
        <f t="shared" si="87"/>
        <v>InCasa_COR22D887</v>
      </c>
    </row>
    <row r="1051" spans="2:72" ht="18.75" customHeight="1" x14ac:dyDescent="0.25">
      <c r="B1051" s="20">
        <f t="shared" si="88"/>
        <v>888</v>
      </c>
      <c r="C1051" s="22" t="str">
        <f t="shared" si="84"/>
        <v>In Casa #888</v>
      </c>
      <c r="D1051" t="str">
        <f t="shared" si="85"/>
        <v>COR22D888</v>
      </c>
      <c r="E1051" s="58" t="s">
        <v>252</v>
      </c>
      <c r="F1051" s="20">
        <v>1000</v>
      </c>
      <c r="G1051" s="14" t="s">
        <v>354</v>
      </c>
      <c r="H1051" s="23" t="s">
        <v>170</v>
      </c>
      <c r="J1051" s="59" t="s">
        <v>38</v>
      </c>
      <c r="K1051" s="22" t="s">
        <v>254</v>
      </c>
      <c r="L1051" s="59" t="s">
        <v>171</v>
      </c>
      <c r="M1051" s="22">
        <v>2</v>
      </c>
      <c r="V1051" s="59" t="s">
        <v>176</v>
      </c>
      <c r="AL1051" s="59" t="s">
        <v>40</v>
      </c>
      <c r="AM1051" s="22" t="s">
        <v>188</v>
      </c>
      <c r="AV1051" s="59" t="s">
        <v>134</v>
      </c>
      <c r="AW1051" s="22" t="str">
        <f>Settings!$B$5 &amp;  "?s=" &amp; D1051 &amp; "&amp;platform=ftx"</f>
        <v>https://tokensol.nfluent.io?s=COR22D888&amp;platform=ftx</v>
      </c>
      <c r="AX1051" s="20" t="s">
        <v>23</v>
      </c>
      <c r="AY1051" s="20">
        <v>10</v>
      </c>
      <c r="AZ1051" s="20" t="s">
        <v>24</v>
      </c>
      <c r="BA1051" s="20">
        <v>90</v>
      </c>
      <c r="BD1051" s="14"/>
      <c r="BJ1051" t="s">
        <v>255</v>
      </c>
      <c r="BK1051" t="s">
        <v>184</v>
      </c>
      <c r="BN1051" s="36">
        <v>100</v>
      </c>
      <c r="BO1051" s="36">
        <v>100</v>
      </c>
      <c r="BP1051">
        <f t="shared" si="86"/>
        <v>480</v>
      </c>
      <c r="BR1051" s="38">
        <v>44713</v>
      </c>
      <c r="BS1051" s="20" t="s">
        <v>185</v>
      </c>
      <c r="BT1051" s="20" t="str">
        <f t="shared" si="87"/>
        <v>InCasa_COR22D888</v>
      </c>
    </row>
    <row r="1052" spans="2:72" ht="18.75" customHeight="1" x14ac:dyDescent="0.25">
      <c r="B1052" s="20">
        <f t="shared" si="88"/>
        <v>889</v>
      </c>
      <c r="C1052" s="22" t="str">
        <f t="shared" si="84"/>
        <v>In Casa #889</v>
      </c>
      <c r="D1052" t="str">
        <f t="shared" si="85"/>
        <v>COR22D889</v>
      </c>
      <c r="E1052" s="58" t="s">
        <v>252</v>
      </c>
      <c r="F1052" s="20">
        <v>1000</v>
      </c>
      <c r="G1052" s="14" t="s">
        <v>354</v>
      </c>
      <c r="H1052" s="23" t="s">
        <v>170</v>
      </c>
      <c r="J1052" s="59" t="s">
        <v>38</v>
      </c>
      <c r="K1052" s="22" t="s">
        <v>254</v>
      </c>
      <c r="L1052" s="59" t="s">
        <v>171</v>
      </c>
      <c r="M1052" s="22">
        <v>2</v>
      </c>
      <c r="V1052" s="59" t="s">
        <v>176</v>
      </c>
      <c r="AL1052" s="59" t="s">
        <v>40</v>
      </c>
      <c r="AM1052" s="22" t="s">
        <v>188</v>
      </c>
      <c r="AV1052" s="59" t="s">
        <v>134</v>
      </c>
      <c r="AW1052" s="22" t="str">
        <f>Settings!$B$5 &amp;  "?s=" &amp; D1052 &amp; "&amp;platform=ftx"</f>
        <v>https://tokensol.nfluent.io?s=COR22D889&amp;platform=ftx</v>
      </c>
      <c r="AX1052" s="20" t="s">
        <v>23</v>
      </c>
      <c r="AY1052" s="20">
        <v>10</v>
      </c>
      <c r="AZ1052" s="20" t="s">
        <v>24</v>
      </c>
      <c r="BA1052" s="20">
        <v>90</v>
      </c>
      <c r="BD1052" s="14"/>
      <c r="BJ1052" t="s">
        <v>255</v>
      </c>
      <c r="BK1052" t="s">
        <v>184</v>
      </c>
      <c r="BN1052" s="36">
        <v>100</v>
      </c>
      <c r="BO1052" s="36">
        <v>100</v>
      </c>
      <c r="BP1052">
        <f t="shared" si="86"/>
        <v>480</v>
      </c>
      <c r="BR1052" s="38">
        <v>44713</v>
      </c>
      <c r="BS1052" s="20" t="s">
        <v>185</v>
      </c>
      <c r="BT1052" s="20" t="str">
        <f t="shared" si="87"/>
        <v>InCasa_COR22D889</v>
      </c>
    </row>
    <row r="1053" spans="2:72" ht="18.75" customHeight="1" x14ac:dyDescent="0.25">
      <c r="B1053" s="20">
        <f t="shared" si="88"/>
        <v>890</v>
      </c>
      <c r="C1053" s="22" t="str">
        <f t="shared" si="84"/>
        <v>In Casa #890</v>
      </c>
      <c r="D1053" t="str">
        <f t="shared" si="85"/>
        <v>COR22D890</v>
      </c>
      <c r="E1053" s="58" t="s">
        <v>252</v>
      </c>
      <c r="F1053" s="20">
        <v>1000</v>
      </c>
      <c r="G1053" s="14" t="s">
        <v>354</v>
      </c>
      <c r="H1053" s="23" t="s">
        <v>170</v>
      </c>
      <c r="J1053" s="59" t="s">
        <v>38</v>
      </c>
      <c r="K1053" s="22" t="s">
        <v>254</v>
      </c>
      <c r="L1053" s="59" t="s">
        <v>171</v>
      </c>
      <c r="M1053" s="22">
        <v>2</v>
      </c>
      <c r="V1053" s="59" t="s">
        <v>176</v>
      </c>
      <c r="AL1053" s="59" t="s">
        <v>40</v>
      </c>
      <c r="AM1053" s="22" t="s">
        <v>188</v>
      </c>
      <c r="AV1053" s="59" t="s">
        <v>134</v>
      </c>
      <c r="AW1053" s="22" t="str">
        <f>Settings!$B$5 &amp;  "?s=" &amp; D1053 &amp; "&amp;platform=ftx"</f>
        <v>https://tokensol.nfluent.io?s=COR22D890&amp;platform=ftx</v>
      </c>
      <c r="AX1053" s="20" t="s">
        <v>23</v>
      </c>
      <c r="AY1053" s="20">
        <v>10</v>
      </c>
      <c r="AZ1053" s="20" t="s">
        <v>24</v>
      </c>
      <c r="BA1053" s="20">
        <v>90</v>
      </c>
      <c r="BD1053" s="14"/>
      <c r="BJ1053" t="s">
        <v>255</v>
      </c>
      <c r="BK1053" t="s">
        <v>184</v>
      </c>
      <c r="BN1053" s="36">
        <v>100</v>
      </c>
      <c r="BO1053" s="36">
        <v>100</v>
      </c>
      <c r="BP1053">
        <f t="shared" si="86"/>
        <v>480</v>
      </c>
      <c r="BR1053" s="38">
        <v>44713</v>
      </c>
      <c r="BS1053" s="20" t="s">
        <v>185</v>
      </c>
      <c r="BT1053" s="20" t="str">
        <f t="shared" si="87"/>
        <v>InCasa_COR22D890</v>
      </c>
    </row>
    <row r="1054" spans="2:72" ht="18.75" customHeight="1" x14ac:dyDescent="0.25">
      <c r="B1054" s="20">
        <f t="shared" si="88"/>
        <v>891</v>
      </c>
      <c r="C1054" s="22" t="str">
        <f t="shared" si="84"/>
        <v>In Casa #891</v>
      </c>
      <c r="D1054" t="str">
        <f t="shared" si="85"/>
        <v>COR22D891</v>
      </c>
      <c r="E1054" s="58" t="s">
        <v>252</v>
      </c>
      <c r="F1054" s="20">
        <v>1000</v>
      </c>
      <c r="G1054" s="14" t="s">
        <v>354</v>
      </c>
      <c r="H1054" s="23" t="s">
        <v>170</v>
      </c>
      <c r="J1054" s="59" t="s">
        <v>38</v>
      </c>
      <c r="K1054" s="22" t="s">
        <v>254</v>
      </c>
      <c r="L1054" s="59" t="s">
        <v>171</v>
      </c>
      <c r="M1054" s="22">
        <v>2</v>
      </c>
      <c r="V1054" s="59" t="s">
        <v>176</v>
      </c>
      <c r="AL1054" s="59" t="s">
        <v>40</v>
      </c>
      <c r="AM1054" s="22" t="s">
        <v>188</v>
      </c>
      <c r="AV1054" s="59" t="s">
        <v>134</v>
      </c>
      <c r="AW1054" s="22" t="str">
        <f>Settings!$B$5 &amp;  "?s=" &amp; D1054 &amp; "&amp;platform=ftx"</f>
        <v>https://tokensol.nfluent.io?s=COR22D891&amp;platform=ftx</v>
      </c>
      <c r="AX1054" s="20" t="s">
        <v>23</v>
      </c>
      <c r="AY1054" s="20">
        <v>10</v>
      </c>
      <c r="AZ1054" s="20" t="s">
        <v>24</v>
      </c>
      <c r="BA1054" s="20">
        <v>90</v>
      </c>
      <c r="BD1054" s="14"/>
      <c r="BJ1054" t="s">
        <v>255</v>
      </c>
      <c r="BK1054" t="s">
        <v>184</v>
      </c>
      <c r="BN1054" s="36">
        <v>100</v>
      </c>
      <c r="BO1054" s="36">
        <v>100</v>
      </c>
      <c r="BP1054">
        <f t="shared" si="86"/>
        <v>480</v>
      </c>
      <c r="BR1054" s="38">
        <v>44713</v>
      </c>
      <c r="BS1054" s="20" t="s">
        <v>185</v>
      </c>
      <c r="BT1054" s="20" t="str">
        <f t="shared" si="87"/>
        <v>InCasa_COR22D891</v>
      </c>
    </row>
    <row r="1055" spans="2:72" ht="18.75" customHeight="1" x14ac:dyDescent="0.25">
      <c r="B1055" s="20">
        <f t="shared" si="88"/>
        <v>892</v>
      </c>
      <c r="C1055" s="22" t="str">
        <f t="shared" si="84"/>
        <v>In Casa #892</v>
      </c>
      <c r="D1055" t="str">
        <f t="shared" si="85"/>
        <v>COR22D892</v>
      </c>
      <c r="E1055" s="58" t="s">
        <v>252</v>
      </c>
      <c r="F1055" s="20">
        <v>1000</v>
      </c>
      <c r="G1055" s="14" t="s">
        <v>354</v>
      </c>
      <c r="H1055" s="23" t="s">
        <v>170</v>
      </c>
      <c r="J1055" s="59" t="s">
        <v>38</v>
      </c>
      <c r="K1055" s="22" t="s">
        <v>254</v>
      </c>
      <c r="L1055" s="59" t="s">
        <v>171</v>
      </c>
      <c r="M1055" s="22">
        <v>2</v>
      </c>
      <c r="V1055" s="59" t="s">
        <v>176</v>
      </c>
      <c r="AL1055" s="59" t="s">
        <v>40</v>
      </c>
      <c r="AM1055" s="22" t="s">
        <v>188</v>
      </c>
      <c r="AV1055" s="59" t="s">
        <v>134</v>
      </c>
      <c r="AW1055" s="22" t="str">
        <f>Settings!$B$5 &amp;  "?s=" &amp; D1055 &amp; "&amp;platform=ftx"</f>
        <v>https://tokensol.nfluent.io?s=COR22D892&amp;platform=ftx</v>
      </c>
      <c r="AX1055" s="20" t="s">
        <v>23</v>
      </c>
      <c r="AY1055" s="20">
        <v>10</v>
      </c>
      <c r="AZ1055" s="20" t="s">
        <v>24</v>
      </c>
      <c r="BA1055" s="20">
        <v>90</v>
      </c>
      <c r="BD1055" s="14"/>
      <c r="BJ1055" t="s">
        <v>255</v>
      </c>
      <c r="BK1055" t="s">
        <v>184</v>
      </c>
      <c r="BN1055" s="36">
        <v>100</v>
      </c>
      <c r="BO1055" s="36">
        <v>100</v>
      </c>
      <c r="BP1055">
        <f t="shared" si="86"/>
        <v>480</v>
      </c>
      <c r="BR1055" s="38">
        <v>44713</v>
      </c>
      <c r="BS1055" s="20" t="s">
        <v>185</v>
      </c>
      <c r="BT1055" s="20" t="str">
        <f t="shared" si="87"/>
        <v>InCasa_COR22D892</v>
      </c>
    </row>
    <row r="1056" spans="2:72" ht="18.75" customHeight="1" x14ac:dyDescent="0.25">
      <c r="B1056" s="20">
        <f t="shared" si="88"/>
        <v>893</v>
      </c>
      <c r="C1056" s="22" t="str">
        <f t="shared" si="84"/>
        <v>In Casa #893</v>
      </c>
      <c r="D1056" t="str">
        <f t="shared" si="85"/>
        <v>COR22D893</v>
      </c>
      <c r="E1056" s="58" t="s">
        <v>252</v>
      </c>
      <c r="F1056" s="20">
        <v>1000</v>
      </c>
      <c r="G1056" s="14" t="s">
        <v>354</v>
      </c>
      <c r="H1056" s="23" t="s">
        <v>170</v>
      </c>
      <c r="J1056" s="59" t="s">
        <v>38</v>
      </c>
      <c r="K1056" s="22" t="s">
        <v>254</v>
      </c>
      <c r="L1056" s="59" t="s">
        <v>171</v>
      </c>
      <c r="M1056" s="22">
        <v>2</v>
      </c>
      <c r="V1056" s="59" t="s">
        <v>176</v>
      </c>
      <c r="AL1056" s="59" t="s">
        <v>40</v>
      </c>
      <c r="AM1056" s="22" t="s">
        <v>188</v>
      </c>
      <c r="AV1056" s="59" t="s">
        <v>134</v>
      </c>
      <c r="AW1056" s="22" t="str">
        <f>Settings!$B$5 &amp;  "?s=" &amp; D1056 &amp; "&amp;platform=ftx"</f>
        <v>https://tokensol.nfluent.io?s=COR22D893&amp;platform=ftx</v>
      </c>
      <c r="AX1056" s="20" t="s">
        <v>23</v>
      </c>
      <c r="AY1056" s="20">
        <v>10</v>
      </c>
      <c r="AZ1056" s="20" t="s">
        <v>24</v>
      </c>
      <c r="BA1056" s="20">
        <v>90</v>
      </c>
      <c r="BD1056" s="14"/>
      <c r="BJ1056" t="s">
        <v>255</v>
      </c>
      <c r="BK1056" t="s">
        <v>184</v>
      </c>
      <c r="BN1056" s="36">
        <v>100</v>
      </c>
      <c r="BO1056" s="36">
        <v>100</v>
      </c>
      <c r="BP1056">
        <f t="shared" si="86"/>
        <v>480</v>
      </c>
      <c r="BR1056" s="38">
        <v>44713</v>
      </c>
      <c r="BS1056" s="20" t="s">
        <v>185</v>
      </c>
      <c r="BT1056" s="20" t="str">
        <f t="shared" si="87"/>
        <v>InCasa_COR22D893</v>
      </c>
    </row>
    <row r="1057" spans="2:72" ht="18.75" customHeight="1" x14ac:dyDescent="0.25">
      <c r="B1057" s="20">
        <f t="shared" si="88"/>
        <v>894</v>
      </c>
      <c r="C1057" s="22" t="str">
        <f t="shared" si="84"/>
        <v>In Casa #894</v>
      </c>
      <c r="D1057" t="str">
        <f t="shared" si="85"/>
        <v>COR22D894</v>
      </c>
      <c r="E1057" s="58" t="s">
        <v>252</v>
      </c>
      <c r="F1057" s="20">
        <v>1000</v>
      </c>
      <c r="G1057" s="14" t="s">
        <v>354</v>
      </c>
      <c r="H1057" s="23" t="s">
        <v>170</v>
      </c>
      <c r="J1057" s="59" t="s">
        <v>38</v>
      </c>
      <c r="K1057" s="22" t="s">
        <v>254</v>
      </c>
      <c r="L1057" s="59" t="s">
        <v>171</v>
      </c>
      <c r="M1057" s="22">
        <v>2</v>
      </c>
      <c r="V1057" s="59" t="s">
        <v>176</v>
      </c>
      <c r="AL1057" s="59" t="s">
        <v>40</v>
      </c>
      <c r="AM1057" s="22" t="s">
        <v>188</v>
      </c>
      <c r="AV1057" s="59" t="s">
        <v>134</v>
      </c>
      <c r="AW1057" s="22" t="str">
        <f>Settings!$B$5 &amp;  "?s=" &amp; D1057 &amp; "&amp;platform=ftx"</f>
        <v>https://tokensol.nfluent.io?s=COR22D894&amp;platform=ftx</v>
      </c>
      <c r="AX1057" s="20" t="s">
        <v>23</v>
      </c>
      <c r="AY1057" s="20">
        <v>10</v>
      </c>
      <c r="AZ1057" s="20" t="s">
        <v>24</v>
      </c>
      <c r="BA1057" s="20">
        <v>90</v>
      </c>
      <c r="BD1057" s="14"/>
      <c r="BJ1057" t="s">
        <v>255</v>
      </c>
      <c r="BK1057" t="s">
        <v>184</v>
      </c>
      <c r="BN1057" s="36">
        <v>100</v>
      </c>
      <c r="BO1057" s="36">
        <v>100</v>
      </c>
      <c r="BP1057">
        <f t="shared" si="86"/>
        <v>480</v>
      </c>
      <c r="BR1057" s="38">
        <v>44713</v>
      </c>
      <c r="BS1057" s="20" t="s">
        <v>185</v>
      </c>
      <c r="BT1057" s="20" t="str">
        <f t="shared" si="87"/>
        <v>InCasa_COR22D894</v>
      </c>
    </row>
    <row r="1058" spans="2:72" ht="18.75" customHeight="1" x14ac:dyDescent="0.25">
      <c r="B1058" s="20">
        <f t="shared" si="88"/>
        <v>895</v>
      </c>
      <c r="C1058" s="22" t="str">
        <f t="shared" si="84"/>
        <v>In Casa #895</v>
      </c>
      <c r="D1058" t="str">
        <f t="shared" si="85"/>
        <v>COR22D895</v>
      </c>
      <c r="E1058" s="58" t="s">
        <v>252</v>
      </c>
      <c r="F1058" s="20">
        <v>1000</v>
      </c>
      <c r="G1058" s="14" t="s">
        <v>354</v>
      </c>
      <c r="H1058" s="23" t="s">
        <v>170</v>
      </c>
      <c r="J1058" s="59" t="s">
        <v>38</v>
      </c>
      <c r="K1058" s="22" t="s">
        <v>254</v>
      </c>
      <c r="L1058" s="59" t="s">
        <v>171</v>
      </c>
      <c r="M1058" s="22">
        <v>2</v>
      </c>
      <c r="V1058" s="59" t="s">
        <v>176</v>
      </c>
      <c r="AL1058" s="59" t="s">
        <v>40</v>
      </c>
      <c r="AM1058" s="22" t="s">
        <v>188</v>
      </c>
      <c r="AV1058" s="59" t="s">
        <v>134</v>
      </c>
      <c r="AW1058" s="22" t="str">
        <f>Settings!$B$5 &amp;  "?s=" &amp; D1058 &amp; "&amp;platform=ftx"</f>
        <v>https://tokensol.nfluent.io?s=COR22D895&amp;platform=ftx</v>
      </c>
      <c r="AX1058" s="20" t="s">
        <v>23</v>
      </c>
      <c r="AY1058" s="20">
        <v>10</v>
      </c>
      <c r="AZ1058" s="20" t="s">
        <v>24</v>
      </c>
      <c r="BA1058" s="20">
        <v>90</v>
      </c>
      <c r="BD1058" s="14"/>
      <c r="BJ1058" t="s">
        <v>255</v>
      </c>
      <c r="BK1058" t="s">
        <v>184</v>
      </c>
      <c r="BN1058" s="36">
        <v>100</v>
      </c>
      <c r="BO1058" s="36">
        <v>100</v>
      </c>
      <c r="BP1058">
        <f t="shared" si="86"/>
        <v>480</v>
      </c>
      <c r="BR1058" s="38">
        <v>44713</v>
      </c>
      <c r="BS1058" s="20" t="s">
        <v>185</v>
      </c>
      <c r="BT1058" s="20" t="str">
        <f t="shared" si="87"/>
        <v>InCasa_COR22D895</v>
      </c>
    </row>
    <row r="1059" spans="2:72" ht="18.75" customHeight="1" x14ac:dyDescent="0.25">
      <c r="B1059" s="20">
        <f t="shared" si="88"/>
        <v>896</v>
      </c>
      <c r="C1059" s="22" t="str">
        <f t="shared" si="84"/>
        <v>In Casa #896</v>
      </c>
      <c r="D1059" t="str">
        <f t="shared" si="85"/>
        <v>COR22D896</v>
      </c>
      <c r="E1059" s="58" t="s">
        <v>252</v>
      </c>
      <c r="F1059" s="20">
        <v>1000</v>
      </c>
      <c r="G1059" s="14" t="s">
        <v>354</v>
      </c>
      <c r="H1059" s="23" t="s">
        <v>170</v>
      </c>
      <c r="J1059" s="59" t="s">
        <v>38</v>
      </c>
      <c r="K1059" s="22" t="s">
        <v>254</v>
      </c>
      <c r="L1059" s="59" t="s">
        <v>171</v>
      </c>
      <c r="M1059" s="22">
        <v>2</v>
      </c>
      <c r="V1059" s="59" t="s">
        <v>176</v>
      </c>
      <c r="AL1059" s="59" t="s">
        <v>40</v>
      </c>
      <c r="AM1059" s="22" t="s">
        <v>188</v>
      </c>
      <c r="AV1059" s="59" t="s">
        <v>134</v>
      </c>
      <c r="AW1059" s="22" t="str">
        <f>Settings!$B$5 &amp;  "?s=" &amp; D1059 &amp; "&amp;platform=ftx"</f>
        <v>https://tokensol.nfluent.io?s=COR22D896&amp;platform=ftx</v>
      </c>
      <c r="AX1059" s="20" t="s">
        <v>23</v>
      </c>
      <c r="AY1059" s="20">
        <v>10</v>
      </c>
      <c r="AZ1059" s="20" t="s">
        <v>24</v>
      </c>
      <c r="BA1059" s="20">
        <v>90</v>
      </c>
      <c r="BD1059" s="14"/>
      <c r="BJ1059" t="s">
        <v>255</v>
      </c>
      <c r="BK1059" t="s">
        <v>184</v>
      </c>
      <c r="BN1059" s="36">
        <v>100</v>
      </c>
      <c r="BO1059" s="36">
        <v>100</v>
      </c>
      <c r="BP1059">
        <f t="shared" si="86"/>
        <v>480</v>
      </c>
      <c r="BR1059" s="38">
        <v>44713</v>
      </c>
      <c r="BS1059" s="20" t="s">
        <v>185</v>
      </c>
      <c r="BT1059" s="20" t="str">
        <f t="shared" si="87"/>
        <v>InCasa_COR22D896</v>
      </c>
    </row>
    <row r="1060" spans="2:72" ht="18.75" customHeight="1" x14ac:dyDescent="0.25">
      <c r="B1060" s="20">
        <f t="shared" si="88"/>
        <v>897</v>
      </c>
      <c r="C1060" s="22" t="str">
        <f t="shared" si="84"/>
        <v>In Casa #897</v>
      </c>
      <c r="D1060" t="str">
        <f t="shared" si="85"/>
        <v>COR22D897</v>
      </c>
      <c r="E1060" s="58" t="s">
        <v>252</v>
      </c>
      <c r="F1060" s="20">
        <v>1000</v>
      </c>
      <c r="G1060" s="14" t="s">
        <v>354</v>
      </c>
      <c r="H1060" s="23" t="s">
        <v>170</v>
      </c>
      <c r="J1060" s="59" t="s">
        <v>38</v>
      </c>
      <c r="K1060" s="22" t="s">
        <v>254</v>
      </c>
      <c r="L1060" s="59" t="s">
        <v>171</v>
      </c>
      <c r="M1060" s="22">
        <v>2</v>
      </c>
      <c r="V1060" s="59" t="s">
        <v>176</v>
      </c>
      <c r="AL1060" s="59" t="s">
        <v>40</v>
      </c>
      <c r="AM1060" s="22" t="s">
        <v>188</v>
      </c>
      <c r="AV1060" s="59" t="s">
        <v>134</v>
      </c>
      <c r="AW1060" s="22" t="str">
        <f>Settings!$B$5 &amp;  "?s=" &amp; D1060 &amp; "&amp;platform=ftx"</f>
        <v>https://tokensol.nfluent.io?s=COR22D897&amp;platform=ftx</v>
      </c>
      <c r="AX1060" s="20" t="s">
        <v>23</v>
      </c>
      <c r="AY1060" s="20">
        <v>10</v>
      </c>
      <c r="AZ1060" s="20" t="s">
        <v>24</v>
      </c>
      <c r="BA1060" s="20">
        <v>90</v>
      </c>
      <c r="BD1060" s="14"/>
      <c r="BJ1060" t="s">
        <v>255</v>
      </c>
      <c r="BK1060" t="s">
        <v>184</v>
      </c>
      <c r="BN1060" s="36">
        <v>100</v>
      </c>
      <c r="BO1060" s="36">
        <v>100</v>
      </c>
      <c r="BP1060">
        <f t="shared" si="86"/>
        <v>480</v>
      </c>
      <c r="BR1060" s="38">
        <v>44713</v>
      </c>
      <c r="BS1060" s="20" t="s">
        <v>185</v>
      </c>
      <c r="BT1060" s="20" t="str">
        <f t="shared" si="87"/>
        <v>InCasa_COR22D897</v>
      </c>
    </row>
    <row r="1061" spans="2:72" ht="18.75" customHeight="1" x14ac:dyDescent="0.25">
      <c r="B1061" s="20">
        <f t="shared" si="88"/>
        <v>898</v>
      </c>
      <c r="C1061" s="22" t="str">
        <f t="shared" ref="C1061:C1124" si="89">+"In Casa #"&amp;B1061</f>
        <v>In Casa #898</v>
      </c>
      <c r="D1061" t="str">
        <f t="shared" ref="D1061:D1124" si="90">"COR22D"&amp;B1061</f>
        <v>COR22D898</v>
      </c>
      <c r="E1061" s="58" t="s">
        <v>252</v>
      </c>
      <c r="F1061" s="20">
        <v>1000</v>
      </c>
      <c r="G1061" s="14" t="s">
        <v>354</v>
      </c>
      <c r="H1061" s="23" t="s">
        <v>170</v>
      </c>
      <c r="J1061" s="59" t="s">
        <v>38</v>
      </c>
      <c r="K1061" s="22" t="s">
        <v>254</v>
      </c>
      <c r="L1061" s="59" t="s">
        <v>171</v>
      </c>
      <c r="M1061" s="22">
        <v>2</v>
      </c>
      <c r="V1061" s="59" t="s">
        <v>176</v>
      </c>
      <c r="AL1061" s="59" t="s">
        <v>40</v>
      </c>
      <c r="AM1061" s="22" t="s">
        <v>188</v>
      </c>
      <c r="AV1061" s="59" t="s">
        <v>134</v>
      </c>
      <c r="AW1061" s="22" t="str">
        <f>Settings!$B$5 &amp;  "?s=" &amp; D1061 &amp; "&amp;platform=ftx"</f>
        <v>https://tokensol.nfluent.io?s=COR22D898&amp;platform=ftx</v>
      </c>
      <c r="AX1061" s="20" t="s">
        <v>23</v>
      </c>
      <c r="AY1061" s="20">
        <v>10</v>
      </c>
      <c r="AZ1061" s="20" t="s">
        <v>24</v>
      </c>
      <c r="BA1061" s="20">
        <v>90</v>
      </c>
      <c r="BD1061" s="14"/>
      <c r="BJ1061" t="s">
        <v>255</v>
      </c>
      <c r="BK1061" t="s">
        <v>184</v>
      </c>
      <c r="BN1061" s="36">
        <v>100</v>
      </c>
      <c r="BO1061" s="36">
        <v>100</v>
      </c>
      <c r="BP1061">
        <f t="shared" ref="BP1061:BP1124" si="91">24*20</f>
        <v>480</v>
      </c>
      <c r="BR1061" s="38">
        <v>44713</v>
      </c>
      <c r="BS1061" s="20" t="s">
        <v>185</v>
      </c>
      <c r="BT1061" s="20" t="str">
        <f t="shared" si="87"/>
        <v>InCasa_COR22D898</v>
      </c>
    </row>
    <row r="1062" spans="2:72" ht="18.75" customHeight="1" x14ac:dyDescent="0.25">
      <c r="B1062" s="20">
        <f t="shared" si="88"/>
        <v>899</v>
      </c>
      <c r="C1062" s="22" t="str">
        <f t="shared" si="89"/>
        <v>In Casa #899</v>
      </c>
      <c r="D1062" t="str">
        <f t="shared" si="90"/>
        <v>COR22D899</v>
      </c>
      <c r="E1062" s="58" t="s">
        <v>252</v>
      </c>
      <c r="F1062" s="20">
        <v>1000</v>
      </c>
      <c r="G1062" s="14" t="s">
        <v>354</v>
      </c>
      <c r="H1062" s="23" t="s">
        <v>170</v>
      </c>
      <c r="J1062" s="59" t="s">
        <v>38</v>
      </c>
      <c r="K1062" s="22" t="s">
        <v>254</v>
      </c>
      <c r="L1062" s="59" t="s">
        <v>171</v>
      </c>
      <c r="M1062" s="22">
        <v>2</v>
      </c>
      <c r="V1062" s="59" t="s">
        <v>176</v>
      </c>
      <c r="AL1062" s="59" t="s">
        <v>40</v>
      </c>
      <c r="AM1062" s="22" t="s">
        <v>188</v>
      </c>
      <c r="AV1062" s="59" t="s">
        <v>134</v>
      </c>
      <c r="AW1062" s="22" t="str">
        <f>Settings!$B$5 &amp;  "?s=" &amp; D1062 &amp; "&amp;platform=ftx"</f>
        <v>https://tokensol.nfluent.io?s=COR22D899&amp;platform=ftx</v>
      </c>
      <c r="AX1062" s="20" t="s">
        <v>23</v>
      </c>
      <c r="AY1062" s="20">
        <v>10</v>
      </c>
      <c r="AZ1062" s="20" t="s">
        <v>24</v>
      </c>
      <c r="BA1062" s="20">
        <v>90</v>
      </c>
      <c r="BD1062" s="14"/>
      <c r="BJ1062" t="s">
        <v>255</v>
      </c>
      <c r="BK1062" t="s">
        <v>184</v>
      </c>
      <c r="BN1062" s="36">
        <v>100</v>
      </c>
      <c r="BO1062" s="36">
        <v>100</v>
      </c>
      <c r="BP1062">
        <f t="shared" si="91"/>
        <v>480</v>
      </c>
      <c r="BR1062" s="38">
        <v>44713</v>
      </c>
      <c r="BS1062" s="20" t="s">
        <v>185</v>
      </c>
      <c r="BT1062" s="20" t="str">
        <f t="shared" si="87"/>
        <v>InCasa_COR22D899</v>
      </c>
    </row>
    <row r="1063" spans="2:72" ht="18.75" customHeight="1" x14ac:dyDescent="0.25">
      <c r="B1063" s="20">
        <f t="shared" si="88"/>
        <v>900</v>
      </c>
      <c r="C1063" s="22" t="str">
        <f t="shared" si="89"/>
        <v>In Casa #900</v>
      </c>
      <c r="D1063" t="str">
        <f t="shared" si="90"/>
        <v>COR22D900</v>
      </c>
      <c r="E1063" s="58" t="s">
        <v>252</v>
      </c>
      <c r="F1063" s="20">
        <v>1000</v>
      </c>
      <c r="G1063" s="14" t="s">
        <v>354</v>
      </c>
      <c r="H1063" s="23" t="s">
        <v>170</v>
      </c>
      <c r="J1063" s="59" t="s">
        <v>38</v>
      </c>
      <c r="K1063" s="22" t="s">
        <v>254</v>
      </c>
      <c r="L1063" s="59" t="s">
        <v>171</v>
      </c>
      <c r="M1063" s="22">
        <v>2</v>
      </c>
      <c r="V1063" s="59" t="s">
        <v>176</v>
      </c>
      <c r="AL1063" s="59" t="s">
        <v>40</v>
      </c>
      <c r="AM1063" s="22" t="s">
        <v>188</v>
      </c>
      <c r="AV1063" s="59" t="s">
        <v>134</v>
      </c>
      <c r="AW1063" s="22" t="str">
        <f>Settings!$B$5 &amp;  "?s=" &amp; D1063 &amp; "&amp;platform=ftx"</f>
        <v>https://tokensol.nfluent.io?s=COR22D900&amp;platform=ftx</v>
      </c>
      <c r="AX1063" s="20" t="s">
        <v>23</v>
      </c>
      <c r="AY1063" s="20">
        <v>10</v>
      </c>
      <c r="AZ1063" s="20" t="s">
        <v>24</v>
      </c>
      <c r="BA1063" s="20">
        <v>90</v>
      </c>
      <c r="BD1063" s="14"/>
      <c r="BJ1063" t="s">
        <v>255</v>
      </c>
      <c r="BK1063" t="s">
        <v>184</v>
      </c>
      <c r="BN1063" s="36">
        <v>100</v>
      </c>
      <c r="BO1063" s="36">
        <v>100</v>
      </c>
      <c r="BP1063">
        <f t="shared" si="91"/>
        <v>480</v>
      </c>
      <c r="BR1063" s="38">
        <v>44713</v>
      </c>
      <c r="BS1063" s="20" t="s">
        <v>185</v>
      </c>
      <c r="BT1063" s="20" t="str">
        <f t="shared" si="87"/>
        <v>InCasa_COR22D900</v>
      </c>
    </row>
    <row r="1064" spans="2:72" ht="18.75" customHeight="1" x14ac:dyDescent="0.25">
      <c r="B1064" s="20">
        <f t="shared" si="88"/>
        <v>901</v>
      </c>
      <c r="C1064" s="22" t="str">
        <f t="shared" si="89"/>
        <v>In Casa #901</v>
      </c>
      <c r="D1064" t="str">
        <f t="shared" si="90"/>
        <v>COR22D901</v>
      </c>
      <c r="E1064" s="58" t="s">
        <v>252</v>
      </c>
      <c r="F1064" s="20">
        <v>1000</v>
      </c>
      <c r="G1064" s="14" t="s">
        <v>354</v>
      </c>
      <c r="H1064" s="23" t="s">
        <v>170</v>
      </c>
      <c r="J1064" s="59" t="s">
        <v>38</v>
      </c>
      <c r="K1064" s="22" t="s">
        <v>254</v>
      </c>
      <c r="L1064" s="59" t="s">
        <v>171</v>
      </c>
      <c r="M1064" s="22">
        <v>2</v>
      </c>
      <c r="V1064" s="59" t="s">
        <v>176</v>
      </c>
      <c r="AL1064" s="59" t="s">
        <v>40</v>
      </c>
      <c r="AM1064" s="22" t="s">
        <v>188</v>
      </c>
      <c r="AV1064" s="59" t="s">
        <v>134</v>
      </c>
      <c r="AW1064" s="22" t="str">
        <f>Settings!$B$5 &amp;  "?s=" &amp; D1064 &amp; "&amp;platform=ftx"</f>
        <v>https://tokensol.nfluent.io?s=COR22D901&amp;platform=ftx</v>
      </c>
      <c r="AX1064" s="20" t="s">
        <v>23</v>
      </c>
      <c r="AY1064" s="20">
        <v>10</v>
      </c>
      <c r="AZ1064" s="20" t="s">
        <v>24</v>
      </c>
      <c r="BA1064" s="20">
        <v>90</v>
      </c>
      <c r="BD1064" s="14"/>
      <c r="BJ1064" t="s">
        <v>255</v>
      </c>
      <c r="BK1064" t="s">
        <v>184</v>
      </c>
      <c r="BN1064" s="36">
        <v>100</v>
      </c>
      <c r="BO1064" s="36">
        <v>100</v>
      </c>
      <c r="BP1064">
        <f t="shared" si="91"/>
        <v>480</v>
      </c>
      <c r="BR1064" s="38">
        <v>44713</v>
      </c>
      <c r="BS1064" s="20" t="s">
        <v>185</v>
      </c>
      <c r="BT1064" s="20" t="str">
        <f t="shared" si="87"/>
        <v>InCasa_COR22D901</v>
      </c>
    </row>
    <row r="1065" spans="2:72" ht="18.75" customHeight="1" x14ac:dyDescent="0.25">
      <c r="B1065" s="20">
        <f t="shared" si="88"/>
        <v>902</v>
      </c>
      <c r="C1065" s="22" t="str">
        <f t="shared" si="89"/>
        <v>In Casa #902</v>
      </c>
      <c r="D1065" t="str">
        <f t="shared" si="90"/>
        <v>COR22D902</v>
      </c>
      <c r="E1065" s="58" t="s">
        <v>252</v>
      </c>
      <c r="F1065" s="20">
        <v>1000</v>
      </c>
      <c r="G1065" s="14" t="s">
        <v>354</v>
      </c>
      <c r="H1065" s="23" t="s">
        <v>170</v>
      </c>
      <c r="J1065" s="59" t="s">
        <v>38</v>
      </c>
      <c r="K1065" s="22" t="s">
        <v>254</v>
      </c>
      <c r="L1065" s="59" t="s">
        <v>171</v>
      </c>
      <c r="M1065" s="22">
        <v>2</v>
      </c>
      <c r="V1065" s="59" t="s">
        <v>176</v>
      </c>
      <c r="AL1065" s="59" t="s">
        <v>40</v>
      </c>
      <c r="AM1065" s="22" t="s">
        <v>188</v>
      </c>
      <c r="AV1065" s="59" t="s">
        <v>134</v>
      </c>
      <c r="AW1065" s="22" t="str">
        <f>Settings!$B$5 &amp;  "?s=" &amp; D1065 &amp; "&amp;platform=ftx"</f>
        <v>https://tokensol.nfluent.io?s=COR22D902&amp;platform=ftx</v>
      </c>
      <c r="AX1065" s="20" t="s">
        <v>23</v>
      </c>
      <c r="AY1065" s="20">
        <v>10</v>
      </c>
      <c r="AZ1065" s="20" t="s">
        <v>24</v>
      </c>
      <c r="BA1065" s="20">
        <v>90</v>
      </c>
      <c r="BD1065" s="14"/>
      <c r="BJ1065" t="s">
        <v>255</v>
      </c>
      <c r="BK1065" t="s">
        <v>184</v>
      </c>
      <c r="BN1065" s="36">
        <v>100</v>
      </c>
      <c r="BO1065" s="36">
        <v>100</v>
      </c>
      <c r="BP1065">
        <f t="shared" si="91"/>
        <v>480</v>
      </c>
      <c r="BR1065" s="38">
        <v>44713</v>
      </c>
      <c r="BS1065" s="20" t="s">
        <v>185</v>
      </c>
      <c r="BT1065" s="20" t="str">
        <f t="shared" si="87"/>
        <v>InCasa_COR22D902</v>
      </c>
    </row>
    <row r="1066" spans="2:72" ht="18.75" customHeight="1" x14ac:dyDescent="0.25">
      <c r="B1066" s="20">
        <f t="shared" si="88"/>
        <v>903</v>
      </c>
      <c r="C1066" s="22" t="str">
        <f t="shared" si="89"/>
        <v>In Casa #903</v>
      </c>
      <c r="D1066" t="str">
        <f t="shared" si="90"/>
        <v>COR22D903</v>
      </c>
      <c r="E1066" s="58" t="s">
        <v>252</v>
      </c>
      <c r="F1066" s="20">
        <v>1000</v>
      </c>
      <c r="G1066" s="14" t="s">
        <v>354</v>
      </c>
      <c r="H1066" s="23" t="s">
        <v>170</v>
      </c>
      <c r="J1066" s="59" t="s">
        <v>38</v>
      </c>
      <c r="K1066" s="22" t="s">
        <v>254</v>
      </c>
      <c r="L1066" s="59" t="s">
        <v>171</v>
      </c>
      <c r="M1066" s="22">
        <v>2</v>
      </c>
      <c r="V1066" s="59" t="s">
        <v>176</v>
      </c>
      <c r="AL1066" s="59" t="s">
        <v>40</v>
      </c>
      <c r="AM1066" s="22" t="s">
        <v>188</v>
      </c>
      <c r="AV1066" s="59" t="s">
        <v>134</v>
      </c>
      <c r="AW1066" s="22" t="str">
        <f>Settings!$B$5 &amp;  "?s=" &amp; D1066 &amp; "&amp;platform=ftx"</f>
        <v>https://tokensol.nfluent.io?s=COR22D903&amp;platform=ftx</v>
      </c>
      <c r="AX1066" s="20" t="s">
        <v>23</v>
      </c>
      <c r="AY1066" s="20">
        <v>10</v>
      </c>
      <c r="AZ1066" s="20" t="s">
        <v>24</v>
      </c>
      <c r="BA1066" s="20">
        <v>90</v>
      </c>
      <c r="BD1066" s="14"/>
      <c r="BJ1066" t="s">
        <v>255</v>
      </c>
      <c r="BK1066" t="s">
        <v>184</v>
      </c>
      <c r="BN1066" s="36">
        <v>100</v>
      </c>
      <c r="BO1066" s="36">
        <v>100</v>
      </c>
      <c r="BP1066">
        <f t="shared" si="91"/>
        <v>480</v>
      </c>
      <c r="BR1066" s="38">
        <v>44713</v>
      </c>
      <c r="BS1066" s="20" t="s">
        <v>185</v>
      </c>
      <c r="BT1066" s="20" t="str">
        <f t="shared" si="87"/>
        <v>InCasa_COR22D903</v>
      </c>
    </row>
    <row r="1067" spans="2:72" ht="18.75" customHeight="1" x14ac:dyDescent="0.25">
      <c r="B1067" s="20">
        <f t="shared" si="88"/>
        <v>904</v>
      </c>
      <c r="C1067" s="22" t="str">
        <f t="shared" si="89"/>
        <v>In Casa #904</v>
      </c>
      <c r="D1067" t="str">
        <f t="shared" si="90"/>
        <v>COR22D904</v>
      </c>
      <c r="E1067" s="58" t="s">
        <v>252</v>
      </c>
      <c r="F1067" s="20">
        <v>1000</v>
      </c>
      <c r="G1067" s="14" t="s">
        <v>354</v>
      </c>
      <c r="H1067" s="23" t="s">
        <v>170</v>
      </c>
      <c r="J1067" s="59" t="s">
        <v>38</v>
      </c>
      <c r="K1067" s="22" t="s">
        <v>254</v>
      </c>
      <c r="L1067" s="59" t="s">
        <v>171</v>
      </c>
      <c r="M1067" s="22">
        <v>2</v>
      </c>
      <c r="V1067" s="59" t="s">
        <v>176</v>
      </c>
      <c r="AL1067" s="59" t="s">
        <v>40</v>
      </c>
      <c r="AM1067" s="22" t="s">
        <v>188</v>
      </c>
      <c r="AV1067" s="59" t="s">
        <v>134</v>
      </c>
      <c r="AW1067" s="22" t="str">
        <f>Settings!$B$5 &amp;  "?s=" &amp; D1067 &amp; "&amp;platform=ftx"</f>
        <v>https://tokensol.nfluent.io?s=COR22D904&amp;platform=ftx</v>
      </c>
      <c r="AX1067" s="20" t="s">
        <v>23</v>
      </c>
      <c r="AY1067" s="20">
        <v>10</v>
      </c>
      <c r="AZ1067" s="20" t="s">
        <v>24</v>
      </c>
      <c r="BA1067" s="20">
        <v>90</v>
      </c>
      <c r="BD1067" s="14"/>
      <c r="BJ1067" t="s">
        <v>255</v>
      </c>
      <c r="BK1067" t="s">
        <v>184</v>
      </c>
      <c r="BN1067" s="36">
        <v>100</v>
      </c>
      <c r="BO1067" s="36">
        <v>100</v>
      </c>
      <c r="BP1067">
        <f t="shared" si="91"/>
        <v>480</v>
      </c>
      <c r="BR1067" s="38">
        <v>44713</v>
      </c>
      <c r="BS1067" s="20" t="s">
        <v>185</v>
      </c>
      <c r="BT1067" s="20" t="str">
        <f t="shared" si="87"/>
        <v>InCasa_COR22D904</v>
      </c>
    </row>
    <row r="1068" spans="2:72" ht="18.75" customHeight="1" x14ac:dyDescent="0.25">
      <c r="B1068" s="20">
        <f t="shared" si="88"/>
        <v>905</v>
      </c>
      <c r="C1068" s="22" t="str">
        <f t="shared" si="89"/>
        <v>In Casa #905</v>
      </c>
      <c r="D1068" t="str">
        <f t="shared" si="90"/>
        <v>COR22D905</v>
      </c>
      <c r="E1068" s="58" t="s">
        <v>252</v>
      </c>
      <c r="F1068" s="20">
        <v>1000</v>
      </c>
      <c r="G1068" s="14" t="s">
        <v>354</v>
      </c>
      <c r="H1068" s="23" t="s">
        <v>170</v>
      </c>
      <c r="J1068" s="59" t="s">
        <v>38</v>
      </c>
      <c r="K1068" s="22" t="s">
        <v>254</v>
      </c>
      <c r="L1068" s="59" t="s">
        <v>171</v>
      </c>
      <c r="M1068" s="22">
        <v>2</v>
      </c>
      <c r="V1068" s="59" t="s">
        <v>176</v>
      </c>
      <c r="AL1068" s="59" t="s">
        <v>40</v>
      </c>
      <c r="AM1068" s="22" t="s">
        <v>188</v>
      </c>
      <c r="AV1068" s="59" t="s">
        <v>134</v>
      </c>
      <c r="AW1068" s="22" t="str">
        <f>Settings!$B$5 &amp;  "?s=" &amp; D1068 &amp; "&amp;platform=ftx"</f>
        <v>https://tokensol.nfluent.io?s=COR22D905&amp;platform=ftx</v>
      </c>
      <c r="AX1068" s="20" t="s">
        <v>23</v>
      </c>
      <c r="AY1068" s="20">
        <v>10</v>
      </c>
      <c r="AZ1068" s="20" t="s">
        <v>24</v>
      </c>
      <c r="BA1068" s="20">
        <v>90</v>
      </c>
      <c r="BD1068" s="14"/>
      <c r="BJ1068" t="s">
        <v>255</v>
      </c>
      <c r="BK1068" t="s">
        <v>184</v>
      </c>
      <c r="BN1068" s="36">
        <v>100</v>
      </c>
      <c r="BO1068" s="36">
        <v>100</v>
      </c>
      <c r="BP1068">
        <f t="shared" si="91"/>
        <v>480</v>
      </c>
      <c r="BR1068" s="38">
        <v>44713</v>
      </c>
      <c r="BS1068" s="20" t="s">
        <v>185</v>
      </c>
      <c r="BT1068" s="20" t="str">
        <f t="shared" si="87"/>
        <v>InCasa_COR22D905</v>
      </c>
    </row>
    <row r="1069" spans="2:72" ht="18.75" customHeight="1" x14ac:dyDescent="0.25">
      <c r="B1069" s="20">
        <f t="shared" si="88"/>
        <v>906</v>
      </c>
      <c r="C1069" s="22" t="str">
        <f t="shared" si="89"/>
        <v>In Casa #906</v>
      </c>
      <c r="D1069" t="str">
        <f t="shared" si="90"/>
        <v>COR22D906</v>
      </c>
      <c r="E1069" s="58" t="s">
        <v>252</v>
      </c>
      <c r="F1069" s="20">
        <v>1000</v>
      </c>
      <c r="G1069" s="14" t="s">
        <v>354</v>
      </c>
      <c r="H1069" s="23" t="s">
        <v>170</v>
      </c>
      <c r="J1069" s="59" t="s">
        <v>38</v>
      </c>
      <c r="K1069" s="22" t="s">
        <v>254</v>
      </c>
      <c r="L1069" s="59" t="s">
        <v>171</v>
      </c>
      <c r="M1069" s="22">
        <v>2</v>
      </c>
      <c r="V1069" s="59" t="s">
        <v>176</v>
      </c>
      <c r="AL1069" s="59" t="s">
        <v>40</v>
      </c>
      <c r="AM1069" s="22" t="s">
        <v>188</v>
      </c>
      <c r="AV1069" s="59" t="s">
        <v>134</v>
      </c>
      <c r="AW1069" s="22" t="str">
        <f>Settings!$B$5 &amp;  "?s=" &amp; D1069 &amp; "&amp;platform=ftx"</f>
        <v>https://tokensol.nfluent.io?s=COR22D906&amp;platform=ftx</v>
      </c>
      <c r="AX1069" s="20" t="s">
        <v>23</v>
      </c>
      <c r="AY1069" s="20">
        <v>10</v>
      </c>
      <c r="AZ1069" s="20" t="s">
        <v>24</v>
      </c>
      <c r="BA1069" s="20">
        <v>90</v>
      </c>
      <c r="BD1069" s="14"/>
      <c r="BJ1069" t="s">
        <v>255</v>
      </c>
      <c r="BK1069" t="s">
        <v>184</v>
      </c>
      <c r="BN1069" s="36">
        <v>100</v>
      </c>
      <c r="BO1069" s="36">
        <v>100</v>
      </c>
      <c r="BP1069">
        <f t="shared" si="91"/>
        <v>480</v>
      </c>
      <c r="BR1069" s="38">
        <v>44713</v>
      </c>
      <c r="BS1069" s="20" t="s">
        <v>185</v>
      </c>
      <c r="BT1069" s="20" t="str">
        <f t="shared" si="87"/>
        <v>InCasa_COR22D906</v>
      </c>
    </row>
    <row r="1070" spans="2:72" ht="18.75" customHeight="1" x14ac:dyDescent="0.25">
      <c r="B1070" s="20">
        <f t="shared" si="88"/>
        <v>907</v>
      </c>
      <c r="C1070" s="22" t="str">
        <f t="shared" si="89"/>
        <v>In Casa #907</v>
      </c>
      <c r="D1070" t="str">
        <f t="shared" si="90"/>
        <v>COR22D907</v>
      </c>
      <c r="E1070" s="58" t="s">
        <v>252</v>
      </c>
      <c r="F1070" s="20">
        <v>1000</v>
      </c>
      <c r="G1070" s="14" t="s">
        <v>354</v>
      </c>
      <c r="H1070" s="23" t="s">
        <v>170</v>
      </c>
      <c r="J1070" s="59" t="s">
        <v>38</v>
      </c>
      <c r="K1070" s="22" t="s">
        <v>254</v>
      </c>
      <c r="L1070" s="59" t="s">
        <v>171</v>
      </c>
      <c r="M1070" s="22">
        <v>2</v>
      </c>
      <c r="V1070" s="59" t="s">
        <v>176</v>
      </c>
      <c r="AL1070" s="59" t="s">
        <v>40</v>
      </c>
      <c r="AM1070" s="22" t="s">
        <v>188</v>
      </c>
      <c r="AV1070" s="59" t="s">
        <v>134</v>
      </c>
      <c r="AW1070" s="22" t="str">
        <f>Settings!$B$5 &amp;  "?s=" &amp; D1070 &amp; "&amp;platform=ftx"</f>
        <v>https://tokensol.nfluent.io?s=COR22D907&amp;platform=ftx</v>
      </c>
      <c r="AX1070" s="20" t="s">
        <v>23</v>
      </c>
      <c r="AY1070" s="20">
        <v>10</v>
      </c>
      <c r="AZ1070" s="20" t="s">
        <v>24</v>
      </c>
      <c r="BA1070" s="20">
        <v>90</v>
      </c>
      <c r="BD1070" s="14"/>
      <c r="BJ1070" t="s">
        <v>255</v>
      </c>
      <c r="BK1070" t="s">
        <v>184</v>
      </c>
      <c r="BN1070" s="36">
        <v>100</v>
      </c>
      <c r="BO1070" s="36">
        <v>100</v>
      </c>
      <c r="BP1070">
        <f t="shared" si="91"/>
        <v>480</v>
      </c>
      <c r="BR1070" s="38">
        <v>44713</v>
      </c>
      <c r="BS1070" s="20" t="s">
        <v>185</v>
      </c>
      <c r="BT1070" s="20" t="str">
        <f t="shared" si="87"/>
        <v>InCasa_COR22D907</v>
      </c>
    </row>
    <row r="1071" spans="2:72" ht="18.75" customHeight="1" x14ac:dyDescent="0.25">
      <c r="B1071" s="20">
        <f t="shared" si="88"/>
        <v>908</v>
      </c>
      <c r="C1071" s="22" t="str">
        <f t="shared" si="89"/>
        <v>In Casa #908</v>
      </c>
      <c r="D1071" t="str">
        <f t="shared" si="90"/>
        <v>COR22D908</v>
      </c>
      <c r="E1071" s="58" t="s">
        <v>252</v>
      </c>
      <c r="F1071" s="20">
        <v>1000</v>
      </c>
      <c r="G1071" s="14" t="s">
        <v>354</v>
      </c>
      <c r="H1071" s="23" t="s">
        <v>170</v>
      </c>
      <c r="J1071" s="59" t="s">
        <v>38</v>
      </c>
      <c r="K1071" s="22" t="s">
        <v>254</v>
      </c>
      <c r="L1071" s="59" t="s">
        <v>171</v>
      </c>
      <c r="M1071" s="22">
        <v>2</v>
      </c>
      <c r="V1071" s="59" t="s">
        <v>176</v>
      </c>
      <c r="AL1071" s="59" t="s">
        <v>40</v>
      </c>
      <c r="AM1071" s="22" t="s">
        <v>188</v>
      </c>
      <c r="AV1071" s="59" t="s">
        <v>134</v>
      </c>
      <c r="AW1071" s="22" t="str">
        <f>Settings!$B$5 &amp;  "?s=" &amp; D1071 &amp; "&amp;platform=ftx"</f>
        <v>https://tokensol.nfluent.io?s=COR22D908&amp;platform=ftx</v>
      </c>
      <c r="AX1071" s="20" t="s">
        <v>23</v>
      </c>
      <c r="AY1071" s="20">
        <v>10</v>
      </c>
      <c r="AZ1071" s="20" t="s">
        <v>24</v>
      </c>
      <c r="BA1071" s="20">
        <v>90</v>
      </c>
      <c r="BD1071" s="14"/>
      <c r="BJ1071" t="s">
        <v>255</v>
      </c>
      <c r="BK1071" t="s">
        <v>184</v>
      </c>
      <c r="BN1071" s="36">
        <v>100</v>
      </c>
      <c r="BO1071" s="36">
        <v>100</v>
      </c>
      <c r="BP1071">
        <f t="shared" si="91"/>
        <v>480</v>
      </c>
      <c r="BR1071" s="38">
        <v>44713</v>
      </c>
      <c r="BS1071" s="20" t="s">
        <v>185</v>
      </c>
      <c r="BT1071" s="20" t="str">
        <f t="shared" si="87"/>
        <v>InCasa_COR22D908</v>
      </c>
    </row>
    <row r="1072" spans="2:72" ht="18.75" customHeight="1" x14ac:dyDescent="0.25">
      <c r="B1072" s="20">
        <f t="shared" si="88"/>
        <v>909</v>
      </c>
      <c r="C1072" s="22" t="str">
        <f t="shared" si="89"/>
        <v>In Casa #909</v>
      </c>
      <c r="D1072" t="str">
        <f t="shared" si="90"/>
        <v>COR22D909</v>
      </c>
      <c r="E1072" s="58" t="s">
        <v>252</v>
      </c>
      <c r="F1072" s="20">
        <v>1000</v>
      </c>
      <c r="G1072" s="14" t="s">
        <v>354</v>
      </c>
      <c r="H1072" s="23" t="s">
        <v>170</v>
      </c>
      <c r="J1072" s="59" t="s">
        <v>38</v>
      </c>
      <c r="K1072" s="22" t="s">
        <v>254</v>
      </c>
      <c r="L1072" s="59" t="s">
        <v>171</v>
      </c>
      <c r="M1072" s="22">
        <v>2</v>
      </c>
      <c r="V1072" s="59" t="s">
        <v>176</v>
      </c>
      <c r="AL1072" s="59" t="s">
        <v>40</v>
      </c>
      <c r="AM1072" s="22" t="s">
        <v>188</v>
      </c>
      <c r="AV1072" s="59" t="s">
        <v>134</v>
      </c>
      <c r="AW1072" s="22" t="str">
        <f>Settings!$B$5 &amp;  "?s=" &amp; D1072 &amp; "&amp;platform=ftx"</f>
        <v>https://tokensol.nfluent.io?s=COR22D909&amp;platform=ftx</v>
      </c>
      <c r="AX1072" s="20" t="s">
        <v>23</v>
      </c>
      <c r="AY1072" s="20">
        <v>10</v>
      </c>
      <c r="AZ1072" s="20" t="s">
        <v>24</v>
      </c>
      <c r="BA1072" s="20">
        <v>90</v>
      </c>
      <c r="BD1072" s="14"/>
      <c r="BJ1072" t="s">
        <v>255</v>
      </c>
      <c r="BK1072" t="s">
        <v>184</v>
      </c>
      <c r="BN1072" s="36">
        <v>100</v>
      </c>
      <c r="BO1072" s="36">
        <v>100</v>
      </c>
      <c r="BP1072">
        <f t="shared" si="91"/>
        <v>480</v>
      </c>
      <c r="BR1072" s="38">
        <v>44713</v>
      </c>
      <c r="BS1072" s="20" t="s">
        <v>185</v>
      </c>
      <c r="BT1072" s="20" t="str">
        <f t="shared" si="87"/>
        <v>InCasa_COR22D909</v>
      </c>
    </row>
    <row r="1073" spans="2:72" ht="18.75" customHeight="1" x14ac:dyDescent="0.25">
      <c r="B1073" s="20">
        <f t="shared" si="88"/>
        <v>910</v>
      </c>
      <c r="C1073" s="22" t="str">
        <f t="shared" si="89"/>
        <v>In Casa #910</v>
      </c>
      <c r="D1073" t="str">
        <f t="shared" si="90"/>
        <v>COR22D910</v>
      </c>
      <c r="E1073" s="58" t="s">
        <v>252</v>
      </c>
      <c r="F1073" s="20">
        <v>1000</v>
      </c>
      <c r="G1073" s="14" t="s">
        <v>354</v>
      </c>
      <c r="H1073" s="23" t="s">
        <v>170</v>
      </c>
      <c r="J1073" s="59" t="s">
        <v>38</v>
      </c>
      <c r="K1073" s="22" t="s">
        <v>254</v>
      </c>
      <c r="L1073" s="59" t="s">
        <v>171</v>
      </c>
      <c r="M1073" s="22">
        <v>2</v>
      </c>
      <c r="V1073" s="59" t="s">
        <v>176</v>
      </c>
      <c r="AL1073" s="59" t="s">
        <v>40</v>
      </c>
      <c r="AM1073" s="22" t="s">
        <v>188</v>
      </c>
      <c r="AV1073" s="59" t="s">
        <v>134</v>
      </c>
      <c r="AW1073" s="22" t="str">
        <f>Settings!$B$5 &amp;  "?s=" &amp; D1073 &amp; "&amp;platform=ftx"</f>
        <v>https://tokensol.nfluent.io?s=COR22D910&amp;platform=ftx</v>
      </c>
      <c r="AX1073" s="20" t="s">
        <v>23</v>
      </c>
      <c r="AY1073" s="20">
        <v>10</v>
      </c>
      <c r="AZ1073" s="20" t="s">
        <v>24</v>
      </c>
      <c r="BA1073" s="20">
        <v>90</v>
      </c>
      <c r="BD1073" s="14"/>
      <c r="BJ1073" t="s">
        <v>255</v>
      </c>
      <c r="BK1073" t="s">
        <v>184</v>
      </c>
      <c r="BN1073" s="36">
        <v>100</v>
      </c>
      <c r="BO1073" s="36">
        <v>100</v>
      </c>
      <c r="BP1073">
        <f t="shared" si="91"/>
        <v>480</v>
      </c>
      <c r="BR1073" s="38">
        <v>44713</v>
      </c>
      <c r="BS1073" s="20" t="s">
        <v>185</v>
      </c>
      <c r="BT1073" s="20" t="str">
        <f t="shared" si="87"/>
        <v>InCasa_COR22D910</v>
      </c>
    </row>
    <row r="1074" spans="2:72" ht="18.75" customHeight="1" x14ac:dyDescent="0.25">
      <c r="B1074" s="20">
        <f t="shared" si="88"/>
        <v>911</v>
      </c>
      <c r="C1074" s="22" t="str">
        <f t="shared" si="89"/>
        <v>In Casa #911</v>
      </c>
      <c r="D1074" t="str">
        <f t="shared" si="90"/>
        <v>COR22D911</v>
      </c>
      <c r="E1074" s="58" t="s">
        <v>252</v>
      </c>
      <c r="F1074" s="20">
        <v>1000</v>
      </c>
      <c r="G1074" s="14" t="s">
        <v>354</v>
      </c>
      <c r="H1074" s="23" t="s">
        <v>170</v>
      </c>
      <c r="J1074" s="59" t="s">
        <v>38</v>
      </c>
      <c r="K1074" s="22" t="s">
        <v>254</v>
      </c>
      <c r="L1074" s="59" t="s">
        <v>171</v>
      </c>
      <c r="M1074" s="22">
        <v>2</v>
      </c>
      <c r="V1074" s="59" t="s">
        <v>176</v>
      </c>
      <c r="AL1074" s="59" t="s">
        <v>40</v>
      </c>
      <c r="AM1074" s="22" t="s">
        <v>188</v>
      </c>
      <c r="AV1074" s="59" t="s">
        <v>134</v>
      </c>
      <c r="AW1074" s="22" t="str">
        <f>Settings!$B$5 &amp;  "?s=" &amp; D1074 &amp; "&amp;platform=ftx"</f>
        <v>https://tokensol.nfluent.io?s=COR22D911&amp;platform=ftx</v>
      </c>
      <c r="AX1074" s="20" t="s">
        <v>23</v>
      </c>
      <c r="AY1074" s="20">
        <v>10</v>
      </c>
      <c r="AZ1074" s="20" t="s">
        <v>24</v>
      </c>
      <c r="BA1074" s="20">
        <v>90</v>
      </c>
      <c r="BD1074" s="14"/>
      <c r="BJ1074" t="s">
        <v>255</v>
      </c>
      <c r="BK1074" t="s">
        <v>184</v>
      </c>
      <c r="BN1074" s="36">
        <v>100</v>
      </c>
      <c r="BO1074" s="36">
        <v>100</v>
      </c>
      <c r="BP1074">
        <f t="shared" si="91"/>
        <v>480</v>
      </c>
      <c r="BR1074" s="38">
        <v>44713</v>
      </c>
      <c r="BS1074" s="20" t="s">
        <v>185</v>
      </c>
      <c r="BT1074" s="20" t="str">
        <f t="shared" si="87"/>
        <v>InCasa_COR22D911</v>
      </c>
    </row>
    <row r="1075" spans="2:72" ht="18.75" customHeight="1" x14ac:dyDescent="0.25">
      <c r="B1075" s="20">
        <f t="shared" si="88"/>
        <v>912</v>
      </c>
      <c r="C1075" s="22" t="str">
        <f t="shared" si="89"/>
        <v>In Casa #912</v>
      </c>
      <c r="D1075" t="str">
        <f t="shared" si="90"/>
        <v>COR22D912</v>
      </c>
      <c r="E1075" s="58" t="s">
        <v>252</v>
      </c>
      <c r="F1075" s="20">
        <v>1000</v>
      </c>
      <c r="G1075" s="14" t="s">
        <v>354</v>
      </c>
      <c r="H1075" s="23" t="s">
        <v>170</v>
      </c>
      <c r="J1075" s="59" t="s">
        <v>38</v>
      </c>
      <c r="K1075" s="22" t="s">
        <v>254</v>
      </c>
      <c r="L1075" s="59" t="s">
        <v>171</v>
      </c>
      <c r="M1075" s="22">
        <v>2</v>
      </c>
      <c r="V1075" s="59" t="s">
        <v>176</v>
      </c>
      <c r="AL1075" s="59" t="s">
        <v>40</v>
      </c>
      <c r="AM1075" s="22" t="s">
        <v>188</v>
      </c>
      <c r="AV1075" s="59" t="s">
        <v>134</v>
      </c>
      <c r="AW1075" s="22" t="str">
        <f>Settings!$B$5 &amp;  "?s=" &amp; D1075 &amp; "&amp;platform=ftx"</f>
        <v>https://tokensol.nfluent.io?s=COR22D912&amp;platform=ftx</v>
      </c>
      <c r="AX1075" s="20" t="s">
        <v>23</v>
      </c>
      <c r="AY1075" s="20">
        <v>10</v>
      </c>
      <c r="AZ1075" s="20" t="s">
        <v>24</v>
      </c>
      <c r="BA1075" s="20">
        <v>90</v>
      </c>
      <c r="BD1075" s="14"/>
      <c r="BJ1075" t="s">
        <v>255</v>
      </c>
      <c r="BK1075" t="s">
        <v>184</v>
      </c>
      <c r="BN1075" s="36">
        <v>100</v>
      </c>
      <c r="BO1075" s="36">
        <v>100</v>
      </c>
      <c r="BP1075">
        <f t="shared" si="91"/>
        <v>480</v>
      </c>
      <c r="BR1075" s="38">
        <v>44713</v>
      </c>
      <c r="BS1075" s="20" t="s">
        <v>185</v>
      </c>
      <c r="BT1075" s="20" t="str">
        <f t="shared" si="87"/>
        <v>InCasa_COR22D912</v>
      </c>
    </row>
    <row r="1076" spans="2:72" ht="18.75" customHeight="1" x14ac:dyDescent="0.25">
      <c r="B1076" s="20">
        <f t="shared" si="88"/>
        <v>913</v>
      </c>
      <c r="C1076" s="22" t="str">
        <f t="shared" si="89"/>
        <v>In Casa #913</v>
      </c>
      <c r="D1076" t="str">
        <f t="shared" si="90"/>
        <v>COR22D913</v>
      </c>
      <c r="E1076" s="58" t="s">
        <v>252</v>
      </c>
      <c r="F1076" s="20">
        <v>1000</v>
      </c>
      <c r="G1076" s="14" t="s">
        <v>354</v>
      </c>
      <c r="H1076" s="23" t="s">
        <v>170</v>
      </c>
      <c r="J1076" s="59" t="s">
        <v>38</v>
      </c>
      <c r="K1076" s="22" t="s">
        <v>254</v>
      </c>
      <c r="L1076" s="59" t="s">
        <v>171</v>
      </c>
      <c r="M1076" s="22">
        <v>2</v>
      </c>
      <c r="V1076" s="59" t="s">
        <v>176</v>
      </c>
      <c r="AL1076" s="59" t="s">
        <v>40</v>
      </c>
      <c r="AM1076" s="22" t="s">
        <v>188</v>
      </c>
      <c r="AV1076" s="59" t="s">
        <v>134</v>
      </c>
      <c r="AW1076" s="22" t="str">
        <f>Settings!$B$5 &amp;  "?s=" &amp; D1076 &amp; "&amp;platform=ftx"</f>
        <v>https://tokensol.nfluent.io?s=COR22D913&amp;platform=ftx</v>
      </c>
      <c r="AX1076" s="20" t="s">
        <v>23</v>
      </c>
      <c r="AY1076" s="20">
        <v>10</v>
      </c>
      <c r="AZ1076" s="20" t="s">
        <v>24</v>
      </c>
      <c r="BA1076" s="20">
        <v>90</v>
      </c>
      <c r="BD1076" s="14"/>
      <c r="BJ1076" t="s">
        <v>255</v>
      </c>
      <c r="BK1076" t="s">
        <v>184</v>
      </c>
      <c r="BN1076" s="36">
        <v>100</v>
      </c>
      <c r="BO1076" s="36">
        <v>100</v>
      </c>
      <c r="BP1076">
        <f t="shared" si="91"/>
        <v>480</v>
      </c>
      <c r="BR1076" s="38">
        <v>44713</v>
      </c>
      <c r="BS1076" s="20" t="s">
        <v>185</v>
      </c>
      <c r="BT1076" s="20" t="str">
        <f t="shared" si="87"/>
        <v>InCasa_COR22D913</v>
      </c>
    </row>
    <row r="1077" spans="2:72" ht="18.75" customHeight="1" x14ac:dyDescent="0.25">
      <c r="B1077" s="20">
        <f t="shared" si="88"/>
        <v>914</v>
      </c>
      <c r="C1077" s="22" t="str">
        <f t="shared" si="89"/>
        <v>In Casa #914</v>
      </c>
      <c r="D1077" t="str">
        <f t="shared" si="90"/>
        <v>COR22D914</v>
      </c>
      <c r="E1077" s="58" t="s">
        <v>252</v>
      </c>
      <c r="F1077" s="20">
        <v>1000</v>
      </c>
      <c r="G1077" s="14" t="s">
        <v>354</v>
      </c>
      <c r="H1077" s="23" t="s">
        <v>170</v>
      </c>
      <c r="J1077" s="59" t="s">
        <v>38</v>
      </c>
      <c r="K1077" s="22" t="s">
        <v>254</v>
      </c>
      <c r="L1077" s="59" t="s">
        <v>171</v>
      </c>
      <c r="M1077" s="22">
        <v>2</v>
      </c>
      <c r="V1077" s="59" t="s">
        <v>176</v>
      </c>
      <c r="AL1077" s="59" t="s">
        <v>40</v>
      </c>
      <c r="AM1077" s="22" t="s">
        <v>188</v>
      </c>
      <c r="AV1077" s="59" t="s">
        <v>134</v>
      </c>
      <c r="AW1077" s="22" t="str">
        <f>Settings!$B$5 &amp;  "?s=" &amp; D1077 &amp; "&amp;platform=ftx"</f>
        <v>https://tokensol.nfluent.io?s=COR22D914&amp;platform=ftx</v>
      </c>
      <c r="AX1077" s="20" t="s">
        <v>23</v>
      </c>
      <c r="AY1077" s="20">
        <v>10</v>
      </c>
      <c r="AZ1077" s="20" t="s">
        <v>24</v>
      </c>
      <c r="BA1077" s="20">
        <v>90</v>
      </c>
      <c r="BD1077" s="14"/>
      <c r="BJ1077" t="s">
        <v>255</v>
      </c>
      <c r="BK1077" t="s">
        <v>184</v>
      </c>
      <c r="BN1077" s="36">
        <v>100</v>
      </c>
      <c r="BO1077" s="36">
        <v>100</v>
      </c>
      <c r="BP1077">
        <f t="shared" si="91"/>
        <v>480</v>
      </c>
      <c r="BR1077" s="38">
        <v>44713</v>
      </c>
      <c r="BS1077" s="20" t="s">
        <v>185</v>
      </c>
      <c r="BT1077" s="20" t="str">
        <f t="shared" si="87"/>
        <v>InCasa_COR22D914</v>
      </c>
    </row>
    <row r="1078" spans="2:72" ht="18.75" customHeight="1" x14ac:dyDescent="0.25">
      <c r="B1078" s="20">
        <f t="shared" si="88"/>
        <v>915</v>
      </c>
      <c r="C1078" s="22" t="str">
        <f t="shared" si="89"/>
        <v>In Casa #915</v>
      </c>
      <c r="D1078" t="str">
        <f t="shared" si="90"/>
        <v>COR22D915</v>
      </c>
      <c r="E1078" s="58" t="s">
        <v>252</v>
      </c>
      <c r="F1078" s="20">
        <v>1000</v>
      </c>
      <c r="G1078" s="14" t="s">
        <v>354</v>
      </c>
      <c r="H1078" s="23" t="s">
        <v>170</v>
      </c>
      <c r="J1078" s="59" t="s">
        <v>38</v>
      </c>
      <c r="K1078" s="22" t="s">
        <v>254</v>
      </c>
      <c r="L1078" s="59" t="s">
        <v>171</v>
      </c>
      <c r="M1078" s="22">
        <v>2</v>
      </c>
      <c r="V1078" s="59" t="s">
        <v>176</v>
      </c>
      <c r="AL1078" s="59" t="s">
        <v>40</v>
      </c>
      <c r="AM1078" s="22" t="s">
        <v>188</v>
      </c>
      <c r="AV1078" s="59" t="s">
        <v>134</v>
      </c>
      <c r="AW1078" s="22" t="str">
        <f>Settings!$B$5 &amp;  "?s=" &amp; D1078 &amp; "&amp;platform=ftx"</f>
        <v>https://tokensol.nfluent.io?s=COR22D915&amp;platform=ftx</v>
      </c>
      <c r="AX1078" s="20" t="s">
        <v>23</v>
      </c>
      <c r="AY1078" s="20">
        <v>10</v>
      </c>
      <c r="AZ1078" s="20" t="s">
        <v>24</v>
      </c>
      <c r="BA1078" s="20">
        <v>90</v>
      </c>
      <c r="BD1078" s="14"/>
      <c r="BJ1078" t="s">
        <v>255</v>
      </c>
      <c r="BK1078" t="s">
        <v>184</v>
      </c>
      <c r="BN1078" s="36">
        <v>100</v>
      </c>
      <c r="BO1078" s="36">
        <v>100</v>
      </c>
      <c r="BP1078">
        <f t="shared" si="91"/>
        <v>480</v>
      </c>
      <c r="BR1078" s="38">
        <v>44713</v>
      </c>
      <c r="BS1078" s="20" t="s">
        <v>185</v>
      </c>
      <c r="BT1078" s="20" t="str">
        <f t="shared" si="87"/>
        <v>InCasa_COR22D915</v>
      </c>
    </row>
    <row r="1079" spans="2:72" ht="18.75" customHeight="1" x14ac:dyDescent="0.25">
      <c r="B1079" s="20">
        <f t="shared" si="88"/>
        <v>916</v>
      </c>
      <c r="C1079" s="22" t="str">
        <f t="shared" si="89"/>
        <v>In Casa #916</v>
      </c>
      <c r="D1079" t="str">
        <f t="shared" si="90"/>
        <v>COR22D916</v>
      </c>
      <c r="E1079" s="58" t="s">
        <v>252</v>
      </c>
      <c r="F1079" s="20">
        <v>1000</v>
      </c>
      <c r="G1079" s="14" t="s">
        <v>354</v>
      </c>
      <c r="H1079" s="23" t="s">
        <v>170</v>
      </c>
      <c r="J1079" s="59" t="s">
        <v>38</v>
      </c>
      <c r="K1079" s="22" t="s">
        <v>254</v>
      </c>
      <c r="L1079" s="59" t="s">
        <v>171</v>
      </c>
      <c r="M1079" s="22">
        <v>2</v>
      </c>
      <c r="V1079" s="59" t="s">
        <v>176</v>
      </c>
      <c r="AL1079" s="59" t="s">
        <v>40</v>
      </c>
      <c r="AM1079" s="22" t="s">
        <v>188</v>
      </c>
      <c r="AV1079" s="59" t="s">
        <v>134</v>
      </c>
      <c r="AW1079" s="22" t="str">
        <f>Settings!$B$5 &amp;  "?s=" &amp; D1079 &amp; "&amp;platform=ftx"</f>
        <v>https://tokensol.nfluent.io?s=COR22D916&amp;platform=ftx</v>
      </c>
      <c r="AX1079" s="20" t="s">
        <v>23</v>
      </c>
      <c r="AY1079" s="20">
        <v>10</v>
      </c>
      <c r="AZ1079" s="20" t="s">
        <v>24</v>
      </c>
      <c r="BA1079" s="20">
        <v>90</v>
      </c>
      <c r="BD1079" s="14"/>
      <c r="BJ1079" t="s">
        <v>255</v>
      </c>
      <c r="BK1079" t="s">
        <v>184</v>
      </c>
      <c r="BN1079" s="36">
        <v>100</v>
      </c>
      <c r="BO1079" s="36">
        <v>100</v>
      </c>
      <c r="BP1079">
        <f t="shared" si="91"/>
        <v>480</v>
      </c>
      <c r="BR1079" s="38">
        <v>44713</v>
      </c>
      <c r="BS1079" s="20" t="s">
        <v>185</v>
      </c>
      <c r="BT1079" s="20" t="str">
        <f t="shared" si="87"/>
        <v>InCasa_COR22D916</v>
      </c>
    </row>
    <row r="1080" spans="2:72" ht="18.75" customHeight="1" x14ac:dyDescent="0.25">
      <c r="B1080" s="20">
        <f t="shared" si="88"/>
        <v>917</v>
      </c>
      <c r="C1080" s="22" t="str">
        <f t="shared" si="89"/>
        <v>In Casa #917</v>
      </c>
      <c r="D1080" t="str">
        <f t="shared" si="90"/>
        <v>COR22D917</v>
      </c>
      <c r="E1080" s="58" t="s">
        <v>252</v>
      </c>
      <c r="F1080" s="20">
        <v>1000</v>
      </c>
      <c r="G1080" s="14" t="s">
        <v>354</v>
      </c>
      <c r="H1080" s="23" t="s">
        <v>170</v>
      </c>
      <c r="J1080" s="59" t="s">
        <v>38</v>
      </c>
      <c r="K1080" s="22" t="s">
        <v>254</v>
      </c>
      <c r="L1080" s="59" t="s">
        <v>171</v>
      </c>
      <c r="M1080" s="22">
        <v>2</v>
      </c>
      <c r="V1080" s="59" t="s">
        <v>176</v>
      </c>
      <c r="AL1080" s="59" t="s">
        <v>40</v>
      </c>
      <c r="AM1080" s="22" t="s">
        <v>188</v>
      </c>
      <c r="AV1080" s="59" t="s">
        <v>134</v>
      </c>
      <c r="AW1080" s="22" t="str">
        <f>Settings!$B$5 &amp;  "?s=" &amp; D1080 &amp; "&amp;platform=ftx"</f>
        <v>https://tokensol.nfluent.io?s=COR22D917&amp;platform=ftx</v>
      </c>
      <c r="AX1080" s="20" t="s">
        <v>23</v>
      </c>
      <c r="AY1080" s="20">
        <v>10</v>
      </c>
      <c r="AZ1080" s="20" t="s">
        <v>24</v>
      </c>
      <c r="BA1080" s="20">
        <v>90</v>
      </c>
      <c r="BD1080" s="14"/>
      <c r="BJ1080" t="s">
        <v>255</v>
      </c>
      <c r="BK1080" t="s">
        <v>184</v>
      </c>
      <c r="BN1080" s="36">
        <v>100</v>
      </c>
      <c r="BO1080" s="36">
        <v>100</v>
      </c>
      <c r="BP1080">
        <f t="shared" si="91"/>
        <v>480</v>
      </c>
      <c r="BR1080" s="38">
        <v>44713</v>
      </c>
      <c r="BS1080" s="20" t="s">
        <v>185</v>
      </c>
      <c r="BT1080" s="20" t="str">
        <f t="shared" si="87"/>
        <v>InCasa_COR22D917</v>
      </c>
    </row>
    <row r="1081" spans="2:72" ht="18.75" customHeight="1" x14ac:dyDescent="0.25">
      <c r="B1081" s="20">
        <f t="shared" si="88"/>
        <v>918</v>
      </c>
      <c r="C1081" s="22" t="str">
        <f t="shared" si="89"/>
        <v>In Casa #918</v>
      </c>
      <c r="D1081" t="str">
        <f t="shared" si="90"/>
        <v>COR22D918</v>
      </c>
      <c r="E1081" s="58" t="s">
        <v>252</v>
      </c>
      <c r="F1081" s="20">
        <v>1000</v>
      </c>
      <c r="G1081" s="14" t="s">
        <v>354</v>
      </c>
      <c r="H1081" s="23" t="s">
        <v>170</v>
      </c>
      <c r="J1081" s="59" t="s">
        <v>38</v>
      </c>
      <c r="K1081" s="22" t="s">
        <v>254</v>
      </c>
      <c r="L1081" s="59" t="s">
        <v>171</v>
      </c>
      <c r="M1081" s="22">
        <v>2</v>
      </c>
      <c r="V1081" s="59" t="s">
        <v>176</v>
      </c>
      <c r="AL1081" s="59" t="s">
        <v>40</v>
      </c>
      <c r="AM1081" s="22" t="s">
        <v>188</v>
      </c>
      <c r="AV1081" s="59" t="s">
        <v>134</v>
      </c>
      <c r="AW1081" s="22" t="str">
        <f>Settings!$B$5 &amp;  "?s=" &amp; D1081 &amp; "&amp;platform=ftx"</f>
        <v>https://tokensol.nfluent.io?s=COR22D918&amp;platform=ftx</v>
      </c>
      <c r="AX1081" s="20" t="s">
        <v>23</v>
      </c>
      <c r="AY1081" s="20">
        <v>10</v>
      </c>
      <c r="AZ1081" s="20" t="s">
        <v>24</v>
      </c>
      <c r="BA1081" s="20">
        <v>90</v>
      </c>
      <c r="BD1081" s="14"/>
      <c r="BJ1081" t="s">
        <v>255</v>
      </c>
      <c r="BK1081" t="s">
        <v>184</v>
      </c>
      <c r="BN1081" s="36">
        <v>100</v>
      </c>
      <c r="BO1081" s="36">
        <v>100</v>
      </c>
      <c r="BP1081">
        <f t="shared" si="91"/>
        <v>480</v>
      </c>
      <c r="BR1081" s="38">
        <v>44713</v>
      </c>
      <c r="BS1081" s="20" t="s">
        <v>185</v>
      </c>
      <c r="BT1081" s="20" t="str">
        <f t="shared" si="87"/>
        <v>InCasa_COR22D918</v>
      </c>
    </row>
    <row r="1082" spans="2:72" ht="18.75" customHeight="1" x14ac:dyDescent="0.25">
      <c r="B1082" s="20">
        <f t="shared" si="88"/>
        <v>919</v>
      </c>
      <c r="C1082" s="22" t="str">
        <f t="shared" si="89"/>
        <v>In Casa #919</v>
      </c>
      <c r="D1082" t="str">
        <f t="shared" si="90"/>
        <v>COR22D919</v>
      </c>
      <c r="E1082" s="58" t="s">
        <v>252</v>
      </c>
      <c r="F1082" s="20">
        <v>1000</v>
      </c>
      <c r="G1082" s="14" t="s">
        <v>354</v>
      </c>
      <c r="H1082" s="23" t="s">
        <v>170</v>
      </c>
      <c r="J1082" s="59" t="s">
        <v>38</v>
      </c>
      <c r="K1082" s="22" t="s">
        <v>254</v>
      </c>
      <c r="L1082" s="59" t="s">
        <v>171</v>
      </c>
      <c r="M1082" s="22">
        <v>2</v>
      </c>
      <c r="V1082" s="59" t="s">
        <v>176</v>
      </c>
      <c r="AL1082" s="59" t="s">
        <v>40</v>
      </c>
      <c r="AM1082" s="22" t="s">
        <v>188</v>
      </c>
      <c r="AV1082" s="59" t="s">
        <v>134</v>
      </c>
      <c r="AW1082" s="22" t="str">
        <f>Settings!$B$5 &amp;  "?s=" &amp; D1082 &amp; "&amp;platform=ftx"</f>
        <v>https://tokensol.nfluent.io?s=COR22D919&amp;platform=ftx</v>
      </c>
      <c r="AX1082" s="20" t="s">
        <v>23</v>
      </c>
      <c r="AY1082" s="20">
        <v>10</v>
      </c>
      <c r="AZ1082" s="20" t="s">
        <v>24</v>
      </c>
      <c r="BA1082" s="20">
        <v>90</v>
      </c>
      <c r="BD1082" s="14"/>
      <c r="BJ1082" t="s">
        <v>255</v>
      </c>
      <c r="BK1082" t="s">
        <v>184</v>
      </c>
      <c r="BN1082" s="36">
        <v>100</v>
      </c>
      <c r="BO1082" s="36">
        <v>100</v>
      </c>
      <c r="BP1082">
        <f t="shared" si="91"/>
        <v>480</v>
      </c>
      <c r="BR1082" s="38">
        <v>44713</v>
      </c>
      <c r="BS1082" s="20" t="s">
        <v>185</v>
      </c>
      <c r="BT1082" s="20" t="str">
        <f t="shared" si="87"/>
        <v>InCasa_COR22D919</v>
      </c>
    </row>
    <row r="1083" spans="2:72" ht="18.75" customHeight="1" x14ac:dyDescent="0.25">
      <c r="B1083" s="20">
        <f t="shared" si="88"/>
        <v>920</v>
      </c>
      <c r="C1083" s="22" t="str">
        <f t="shared" si="89"/>
        <v>In Casa #920</v>
      </c>
      <c r="D1083" t="str">
        <f t="shared" si="90"/>
        <v>COR22D920</v>
      </c>
      <c r="E1083" s="58" t="s">
        <v>252</v>
      </c>
      <c r="F1083" s="20">
        <v>1000</v>
      </c>
      <c r="G1083" s="14" t="s">
        <v>354</v>
      </c>
      <c r="H1083" s="23" t="s">
        <v>170</v>
      </c>
      <c r="J1083" s="59" t="s">
        <v>38</v>
      </c>
      <c r="K1083" s="22" t="s">
        <v>254</v>
      </c>
      <c r="L1083" s="59" t="s">
        <v>171</v>
      </c>
      <c r="M1083" s="22">
        <v>2</v>
      </c>
      <c r="V1083" s="59" t="s">
        <v>176</v>
      </c>
      <c r="AL1083" s="59" t="s">
        <v>40</v>
      </c>
      <c r="AM1083" s="22" t="s">
        <v>188</v>
      </c>
      <c r="AV1083" s="59" t="s">
        <v>134</v>
      </c>
      <c r="AW1083" s="22" t="str">
        <f>Settings!$B$5 &amp;  "?s=" &amp; D1083 &amp; "&amp;platform=ftx"</f>
        <v>https://tokensol.nfluent.io?s=COR22D920&amp;platform=ftx</v>
      </c>
      <c r="AX1083" s="20" t="s">
        <v>23</v>
      </c>
      <c r="AY1083" s="20">
        <v>10</v>
      </c>
      <c r="AZ1083" s="20" t="s">
        <v>24</v>
      </c>
      <c r="BA1083" s="20">
        <v>90</v>
      </c>
      <c r="BD1083" s="14"/>
      <c r="BJ1083" t="s">
        <v>255</v>
      </c>
      <c r="BK1083" t="s">
        <v>184</v>
      </c>
      <c r="BN1083" s="36">
        <v>100</v>
      </c>
      <c r="BO1083" s="36">
        <v>100</v>
      </c>
      <c r="BP1083">
        <f t="shared" si="91"/>
        <v>480</v>
      </c>
      <c r="BR1083" s="38">
        <v>44713</v>
      </c>
      <c r="BS1083" s="20" t="s">
        <v>185</v>
      </c>
      <c r="BT1083" s="20" t="str">
        <f t="shared" si="87"/>
        <v>InCasa_COR22D920</v>
      </c>
    </row>
    <row r="1084" spans="2:72" ht="18.75" customHeight="1" x14ac:dyDescent="0.25">
      <c r="B1084" s="20">
        <f t="shared" si="88"/>
        <v>921</v>
      </c>
      <c r="C1084" s="22" t="str">
        <f t="shared" si="89"/>
        <v>In Casa #921</v>
      </c>
      <c r="D1084" t="str">
        <f t="shared" si="90"/>
        <v>COR22D921</v>
      </c>
      <c r="E1084" s="58" t="s">
        <v>252</v>
      </c>
      <c r="F1084" s="20">
        <v>1000</v>
      </c>
      <c r="G1084" s="14" t="s">
        <v>354</v>
      </c>
      <c r="H1084" s="23" t="s">
        <v>170</v>
      </c>
      <c r="J1084" s="59" t="s">
        <v>38</v>
      </c>
      <c r="K1084" s="22" t="s">
        <v>254</v>
      </c>
      <c r="L1084" s="59" t="s">
        <v>171</v>
      </c>
      <c r="M1084" s="22">
        <v>2</v>
      </c>
      <c r="V1084" s="59" t="s">
        <v>176</v>
      </c>
      <c r="AL1084" s="59" t="s">
        <v>40</v>
      </c>
      <c r="AM1084" s="22" t="s">
        <v>188</v>
      </c>
      <c r="AV1084" s="59" t="s">
        <v>134</v>
      </c>
      <c r="AW1084" s="22" t="str">
        <f>Settings!$B$5 &amp;  "?s=" &amp; D1084 &amp; "&amp;platform=ftx"</f>
        <v>https://tokensol.nfluent.io?s=COR22D921&amp;platform=ftx</v>
      </c>
      <c r="AX1084" s="20" t="s">
        <v>23</v>
      </c>
      <c r="AY1084" s="20">
        <v>10</v>
      </c>
      <c r="AZ1084" s="20" t="s">
        <v>24</v>
      </c>
      <c r="BA1084" s="20">
        <v>90</v>
      </c>
      <c r="BD1084" s="14"/>
      <c r="BJ1084" t="s">
        <v>255</v>
      </c>
      <c r="BK1084" t="s">
        <v>184</v>
      </c>
      <c r="BN1084" s="36">
        <v>100</v>
      </c>
      <c r="BO1084" s="36">
        <v>100</v>
      </c>
      <c r="BP1084">
        <f t="shared" si="91"/>
        <v>480</v>
      </c>
      <c r="BR1084" s="38">
        <v>44713</v>
      </c>
      <c r="BS1084" s="20" t="s">
        <v>185</v>
      </c>
      <c r="BT1084" s="20" t="str">
        <f t="shared" si="87"/>
        <v>InCasa_COR22D921</v>
      </c>
    </row>
    <row r="1085" spans="2:72" ht="18.75" customHeight="1" x14ac:dyDescent="0.25">
      <c r="B1085" s="20">
        <f t="shared" si="88"/>
        <v>922</v>
      </c>
      <c r="C1085" s="22" t="str">
        <f t="shared" si="89"/>
        <v>In Casa #922</v>
      </c>
      <c r="D1085" t="str">
        <f t="shared" si="90"/>
        <v>COR22D922</v>
      </c>
      <c r="E1085" s="58" t="s">
        <v>252</v>
      </c>
      <c r="F1085" s="20">
        <v>1000</v>
      </c>
      <c r="G1085" s="14" t="s">
        <v>354</v>
      </c>
      <c r="H1085" s="23" t="s">
        <v>170</v>
      </c>
      <c r="J1085" s="59" t="s">
        <v>38</v>
      </c>
      <c r="K1085" s="22" t="s">
        <v>254</v>
      </c>
      <c r="L1085" s="59" t="s">
        <v>171</v>
      </c>
      <c r="M1085" s="22">
        <v>2</v>
      </c>
      <c r="V1085" s="59" t="s">
        <v>176</v>
      </c>
      <c r="AL1085" s="59" t="s">
        <v>40</v>
      </c>
      <c r="AM1085" s="22" t="s">
        <v>188</v>
      </c>
      <c r="AV1085" s="59" t="s">
        <v>134</v>
      </c>
      <c r="AW1085" s="22" t="str">
        <f>Settings!$B$5 &amp;  "?s=" &amp; D1085 &amp; "&amp;platform=ftx"</f>
        <v>https://tokensol.nfluent.io?s=COR22D922&amp;platform=ftx</v>
      </c>
      <c r="AX1085" s="20" t="s">
        <v>23</v>
      </c>
      <c r="AY1085" s="20">
        <v>10</v>
      </c>
      <c r="AZ1085" s="20" t="s">
        <v>24</v>
      </c>
      <c r="BA1085" s="20">
        <v>90</v>
      </c>
      <c r="BD1085" s="14"/>
      <c r="BJ1085" t="s">
        <v>255</v>
      </c>
      <c r="BK1085" t="s">
        <v>184</v>
      </c>
      <c r="BN1085" s="36">
        <v>100</v>
      </c>
      <c r="BO1085" s="36">
        <v>100</v>
      </c>
      <c r="BP1085">
        <f t="shared" si="91"/>
        <v>480</v>
      </c>
      <c r="BR1085" s="38">
        <v>44713</v>
      </c>
      <c r="BS1085" s="20" t="s">
        <v>185</v>
      </c>
      <c r="BT1085" s="20" t="str">
        <f t="shared" si="87"/>
        <v>InCasa_COR22D922</v>
      </c>
    </row>
    <row r="1086" spans="2:72" ht="18.75" customHeight="1" x14ac:dyDescent="0.25">
      <c r="B1086" s="20">
        <f t="shared" si="88"/>
        <v>923</v>
      </c>
      <c r="C1086" s="22" t="str">
        <f t="shared" si="89"/>
        <v>In Casa #923</v>
      </c>
      <c r="D1086" t="str">
        <f t="shared" si="90"/>
        <v>COR22D923</v>
      </c>
      <c r="E1086" s="58" t="s">
        <v>252</v>
      </c>
      <c r="F1086" s="20">
        <v>1000</v>
      </c>
      <c r="G1086" s="14" t="s">
        <v>354</v>
      </c>
      <c r="H1086" s="23" t="s">
        <v>170</v>
      </c>
      <c r="J1086" s="59" t="s">
        <v>38</v>
      </c>
      <c r="K1086" s="22" t="s">
        <v>254</v>
      </c>
      <c r="L1086" s="59" t="s">
        <v>171</v>
      </c>
      <c r="M1086" s="22">
        <v>2</v>
      </c>
      <c r="V1086" s="59" t="s">
        <v>176</v>
      </c>
      <c r="AL1086" s="59" t="s">
        <v>40</v>
      </c>
      <c r="AM1086" s="22" t="s">
        <v>188</v>
      </c>
      <c r="AV1086" s="59" t="s">
        <v>134</v>
      </c>
      <c r="AW1086" s="22" t="str">
        <f>Settings!$B$5 &amp;  "?s=" &amp; D1086 &amp; "&amp;platform=ftx"</f>
        <v>https://tokensol.nfluent.io?s=COR22D923&amp;platform=ftx</v>
      </c>
      <c r="AX1086" s="20" t="s">
        <v>23</v>
      </c>
      <c r="AY1086" s="20">
        <v>10</v>
      </c>
      <c r="AZ1086" s="20" t="s">
        <v>24</v>
      </c>
      <c r="BA1086" s="20">
        <v>90</v>
      </c>
      <c r="BD1086" s="14"/>
      <c r="BJ1086" t="s">
        <v>255</v>
      </c>
      <c r="BK1086" t="s">
        <v>184</v>
      </c>
      <c r="BN1086" s="36">
        <v>100</v>
      </c>
      <c r="BO1086" s="36">
        <v>100</v>
      </c>
      <c r="BP1086">
        <f t="shared" si="91"/>
        <v>480</v>
      </c>
      <c r="BR1086" s="38">
        <v>44713</v>
      </c>
      <c r="BS1086" s="20" t="s">
        <v>185</v>
      </c>
      <c r="BT1086" s="20" t="str">
        <f t="shared" si="87"/>
        <v>InCasa_COR22D923</v>
      </c>
    </row>
    <row r="1087" spans="2:72" ht="18.75" customHeight="1" x14ac:dyDescent="0.25">
      <c r="B1087" s="20">
        <f t="shared" si="88"/>
        <v>924</v>
      </c>
      <c r="C1087" s="22" t="str">
        <f t="shared" si="89"/>
        <v>In Casa #924</v>
      </c>
      <c r="D1087" t="str">
        <f t="shared" si="90"/>
        <v>COR22D924</v>
      </c>
      <c r="E1087" s="58" t="s">
        <v>252</v>
      </c>
      <c r="F1087" s="20">
        <v>1000</v>
      </c>
      <c r="G1087" s="14" t="s">
        <v>354</v>
      </c>
      <c r="H1087" s="23" t="s">
        <v>170</v>
      </c>
      <c r="J1087" s="59" t="s">
        <v>38</v>
      </c>
      <c r="K1087" s="22" t="s">
        <v>254</v>
      </c>
      <c r="L1087" s="59" t="s">
        <v>171</v>
      </c>
      <c r="M1087" s="22">
        <v>2</v>
      </c>
      <c r="V1087" s="59" t="s">
        <v>176</v>
      </c>
      <c r="AL1087" s="59" t="s">
        <v>40</v>
      </c>
      <c r="AM1087" s="22" t="s">
        <v>188</v>
      </c>
      <c r="AV1087" s="59" t="s">
        <v>134</v>
      </c>
      <c r="AW1087" s="22" t="str">
        <f>Settings!$B$5 &amp;  "?s=" &amp; D1087 &amp; "&amp;platform=ftx"</f>
        <v>https://tokensol.nfluent.io?s=COR22D924&amp;platform=ftx</v>
      </c>
      <c r="AX1087" s="20" t="s">
        <v>23</v>
      </c>
      <c r="AY1087" s="20">
        <v>10</v>
      </c>
      <c r="AZ1087" s="20" t="s">
        <v>24</v>
      </c>
      <c r="BA1087" s="20">
        <v>90</v>
      </c>
      <c r="BD1087" s="14"/>
      <c r="BJ1087" t="s">
        <v>255</v>
      </c>
      <c r="BK1087" t="s">
        <v>184</v>
      </c>
      <c r="BN1087" s="36">
        <v>100</v>
      </c>
      <c r="BO1087" s="36">
        <v>100</v>
      </c>
      <c r="BP1087">
        <f t="shared" si="91"/>
        <v>480</v>
      </c>
      <c r="BR1087" s="38">
        <v>44713</v>
      </c>
      <c r="BS1087" s="20" t="s">
        <v>185</v>
      </c>
      <c r="BT1087" s="20" t="str">
        <f t="shared" si="87"/>
        <v>InCasa_COR22D924</v>
      </c>
    </row>
    <row r="1088" spans="2:72" ht="18.75" customHeight="1" x14ac:dyDescent="0.25">
      <c r="B1088" s="20">
        <f t="shared" si="88"/>
        <v>925</v>
      </c>
      <c r="C1088" s="22" t="str">
        <f t="shared" si="89"/>
        <v>In Casa #925</v>
      </c>
      <c r="D1088" t="str">
        <f t="shared" si="90"/>
        <v>COR22D925</v>
      </c>
      <c r="E1088" s="58" t="s">
        <v>252</v>
      </c>
      <c r="F1088" s="20">
        <v>1000</v>
      </c>
      <c r="G1088" s="14" t="s">
        <v>354</v>
      </c>
      <c r="H1088" s="23" t="s">
        <v>170</v>
      </c>
      <c r="J1088" s="59" t="s">
        <v>38</v>
      </c>
      <c r="K1088" s="22" t="s">
        <v>254</v>
      </c>
      <c r="L1088" s="59" t="s">
        <v>171</v>
      </c>
      <c r="M1088" s="22">
        <v>2</v>
      </c>
      <c r="V1088" s="59" t="s">
        <v>176</v>
      </c>
      <c r="AL1088" s="59" t="s">
        <v>40</v>
      </c>
      <c r="AM1088" s="22" t="s">
        <v>188</v>
      </c>
      <c r="AV1088" s="59" t="s">
        <v>134</v>
      </c>
      <c r="AW1088" s="22" t="str">
        <f>Settings!$B$5 &amp;  "?s=" &amp; D1088 &amp; "&amp;platform=ftx"</f>
        <v>https://tokensol.nfluent.io?s=COR22D925&amp;platform=ftx</v>
      </c>
      <c r="AX1088" s="20" t="s">
        <v>23</v>
      </c>
      <c r="AY1088" s="20">
        <v>10</v>
      </c>
      <c r="AZ1088" s="20" t="s">
        <v>24</v>
      </c>
      <c r="BA1088" s="20">
        <v>90</v>
      </c>
      <c r="BD1088" s="14"/>
      <c r="BJ1088" t="s">
        <v>255</v>
      </c>
      <c r="BK1088" t="s">
        <v>184</v>
      </c>
      <c r="BN1088" s="36">
        <v>100</v>
      </c>
      <c r="BO1088" s="36">
        <v>100</v>
      </c>
      <c r="BP1088">
        <f t="shared" si="91"/>
        <v>480</v>
      </c>
      <c r="BR1088" s="38">
        <v>44713</v>
      </c>
      <c r="BS1088" s="20" t="s">
        <v>185</v>
      </c>
      <c r="BT1088" s="20" t="str">
        <f t="shared" si="87"/>
        <v>InCasa_COR22D925</v>
      </c>
    </row>
    <row r="1089" spans="2:72" ht="18.75" customHeight="1" x14ac:dyDescent="0.25">
      <c r="B1089" s="20">
        <f t="shared" si="88"/>
        <v>926</v>
      </c>
      <c r="C1089" s="22" t="str">
        <f t="shared" si="89"/>
        <v>In Casa #926</v>
      </c>
      <c r="D1089" t="str">
        <f t="shared" si="90"/>
        <v>COR22D926</v>
      </c>
      <c r="E1089" s="58" t="s">
        <v>252</v>
      </c>
      <c r="F1089" s="20">
        <v>1000</v>
      </c>
      <c r="G1089" s="14" t="s">
        <v>354</v>
      </c>
      <c r="H1089" s="23" t="s">
        <v>170</v>
      </c>
      <c r="J1089" s="59" t="s">
        <v>38</v>
      </c>
      <c r="K1089" s="22" t="s">
        <v>254</v>
      </c>
      <c r="L1089" s="59" t="s">
        <v>171</v>
      </c>
      <c r="M1089" s="22">
        <v>2</v>
      </c>
      <c r="V1089" s="59" t="s">
        <v>176</v>
      </c>
      <c r="AL1089" s="59" t="s">
        <v>40</v>
      </c>
      <c r="AM1089" s="22" t="s">
        <v>188</v>
      </c>
      <c r="AV1089" s="59" t="s">
        <v>134</v>
      </c>
      <c r="AW1089" s="22" t="str">
        <f>Settings!$B$5 &amp;  "?s=" &amp; D1089 &amp; "&amp;platform=ftx"</f>
        <v>https://tokensol.nfluent.io?s=COR22D926&amp;platform=ftx</v>
      </c>
      <c r="AX1089" s="20" t="s">
        <v>23</v>
      </c>
      <c r="AY1089" s="20">
        <v>10</v>
      </c>
      <c r="AZ1089" s="20" t="s">
        <v>24</v>
      </c>
      <c r="BA1089" s="20">
        <v>90</v>
      </c>
      <c r="BD1089" s="14"/>
      <c r="BJ1089" t="s">
        <v>255</v>
      </c>
      <c r="BK1089" t="s">
        <v>184</v>
      </c>
      <c r="BN1089" s="36">
        <v>100</v>
      </c>
      <c r="BO1089" s="36">
        <v>100</v>
      </c>
      <c r="BP1089">
        <f t="shared" si="91"/>
        <v>480</v>
      </c>
      <c r="BR1089" s="38">
        <v>44713</v>
      </c>
      <c r="BS1089" s="20" t="s">
        <v>185</v>
      </c>
      <c r="BT1089" s="20" t="str">
        <f t="shared" si="87"/>
        <v>InCasa_COR22D926</v>
      </c>
    </row>
    <row r="1090" spans="2:72" ht="18.75" customHeight="1" x14ac:dyDescent="0.25">
      <c r="B1090" s="20">
        <f t="shared" si="88"/>
        <v>927</v>
      </c>
      <c r="C1090" s="22" t="str">
        <f t="shared" si="89"/>
        <v>In Casa #927</v>
      </c>
      <c r="D1090" t="str">
        <f t="shared" si="90"/>
        <v>COR22D927</v>
      </c>
      <c r="E1090" s="58" t="s">
        <v>252</v>
      </c>
      <c r="F1090" s="20">
        <v>1000</v>
      </c>
      <c r="G1090" s="14" t="s">
        <v>354</v>
      </c>
      <c r="H1090" s="23" t="s">
        <v>170</v>
      </c>
      <c r="J1090" s="59" t="s">
        <v>38</v>
      </c>
      <c r="K1090" s="22" t="s">
        <v>254</v>
      </c>
      <c r="L1090" s="59" t="s">
        <v>171</v>
      </c>
      <c r="M1090" s="22">
        <v>2</v>
      </c>
      <c r="V1090" s="59" t="s">
        <v>176</v>
      </c>
      <c r="AL1090" s="59" t="s">
        <v>40</v>
      </c>
      <c r="AM1090" s="22" t="s">
        <v>188</v>
      </c>
      <c r="AV1090" s="59" t="s">
        <v>134</v>
      </c>
      <c r="AW1090" s="22" t="str">
        <f>Settings!$B$5 &amp;  "?s=" &amp; D1090 &amp; "&amp;platform=ftx"</f>
        <v>https://tokensol.nfluent.io?s=COR22D927&amp;platform=ftx</v>
      </c>
      <c r="AX1090" s="20" t="s">
        <v>23</v>
      </c>
      <c r="AY1090" s="20">
        <v>10</v>
      </c>
      <c r="AZ1090" s="20" t="s">
        <v>24</v>
      </c>
      <c r="BA1090" s="20">
        <v>90</v>
      </c>
      <c r="BD1090" s="14"/>
      <c r="BJ1090" t="s">
        <v>255</v>
      </c>
      <c r="BK1090" t="s">
        <v>184</v>
      </c>
      <c r="BN1090" s="36">
        <v>100</v>
      </c>
      <c r="BO1090" s="36">
        <v>100</v>
      </c>
      <c r="BP1090">
        <f t="shared" si="91"/>
        <v>480</v>
      </c>
      <c r="BR1090" s="38">
        <v>44713</v>
      </c>
      <c r="BS1090" s="20" t="s">
        <v>185</v>
      </c>
      <c r="BT1090" s="20" t="str">
        <f t="shared" si="87"/>
        <v>InCasa_COR22D927</v>
      </c>
    </row>
    <row r="1091" spans="2:72" ht="18.75" customHeight="1" x14ac:dyDescent="0.25">
      <c r="B1091" s="20">
        <f t="shared" si="88"/>
        <v>928</v>
      </c>
      <c r="C1091" s="22" t="str">
        <f t="shared" si="89"/>
        <v>In Casa #928</v>
      </c>
      <c r="D1091" t="str">
        <f t="shared" si="90"/>
        <v>COR22D928</v>
      </c>
      <c r="E1091" s="58" t="s">
        <v>252</v>
      </c>
      <c r="F1091" s="20">
        <v>1000</v>
      </c>
      <c r="G1091" s="14" t="s">
        <v>354</v>
      </c>
      <c r="H1091" s="23" t="s">
        <v>170</v>
      </c>
      <c r="J1091" s="59" t="s">
        <v>38</v>
      </c>
      <c r="K1091" s="22" t="s">
        <v>254</v>
      </c>
      <c r="L1091" s="59" t="s">
        <v>171</v>
      </c>
      <c r="M1091" s="22">
        <v>2</v>
      </c>
      <c r="V1091" s="59" t="s">
        <v>176</v>
      </c>
      <c r="AL1091" s="59" t="s">
        <v>40</v>
      </c>
      <c r="AM1091" s="22" t="s">
        <v>188</v>
      </c>
      <c r="AV1091" s="59" t="s">
        <v>134</v>
      </c>
      <c r="AW1091" s="22" t="str">
        <f>Settings!$B$5 &amp;  "?s=" &amp; D1091 &amp; "&amp;platform=ftx"</f>
        <v>https://tokensol.nfluent.io?s=COR22D928&amp;platform=ftx</v>
      </c>
      <c r="AX1091" s="20" t="s">
        <v>23</v>
      </c>
      <c r="AY1091" s="20">
        <v>10</v>
      </c>
      <c r="AZ1091" s="20" t="s">
        <v>24</v>
      </c>
      <c r="BA1091" s="20">
        <v>90</v>
      </c>
      <c r="BD1091" s="14"/>
      <c r="BJ1091" t="s">
        <v>255</v>
      </c>
      <c r="BK1091" t="s">
        <v>184</v>
      </c>
      <c r="BN1091" s="36">
        <v>100</v>
      </c>
      <c r="BO1091" s="36">
        <v>100</v>
      </c>
      <c r="BP1091">
        <f t="shared" si="91"/>
        <v>480</v>
      </c>
      <c r="BR1091" s="38">
        <v>44713</v>
      </c>
      <c r="BS1091" s="20" t="s">
        <v>185</v>
      </c>
      <c r="BT1091" s="20" t="str">
        <f t="shared" si="87"/>
        <v>InCasa_COR22D928</v>
      </c>
    </row>
    <row r="1092" spans="2:72" ht="18.75" customHeight="1" x14ac:dyDescent="0.25">
      <c r="B1092" s="20">
        <f t="shared" si="88"/>
        <v>929</v>
      </c>
      <c r="C1092" s="22" t="str">
        <f t="shared" si="89"/>
        <v>In Casa #929</v>
      </c>
      <c r="D1092" t="str">
        <f t="shared" si="90"/>
        <v>COR22D929</v>
      </c>
      <c r="E1092" s="58" t="s">
        <v>252</v>
      </c>
      <c r="F1092" s="20">
        <v>1000</v>
      </c>
      <c r="G1092" s="14" t="s">
        <v>354</v>
      </c>
      <c r="H1092" s="23" t="s">
        <v>170</v>
      </c>
      <c r="J1092" s="59" t="s">
        <v>38</v>
      </c>
      <c r="K1092" s="22" t="s">
        <v>254</v>
      </c>
      <c r="L1092" s="59" t="s">
        <v>171</v>
      </c>
      <c r="M1092" s="22">
        <v>2</v>
      </c>
      <c r="V1092" s="59" t="s">
        <v>176</v>
      </c>
      <c r="AL1092" s="59" t="s">
        <v>40</v>
      </c>
      <c r="AM1092" s="22" t="s">
        <v>188</v>
      </c>
      <c r="AV1092" s="59" t="s">
        <v>134</v>
      </c>
      <c r="AW1092" s="22" t="str">
        <f>Settings!$B$5 &amp;  "?s=" &amp; D1092 &amp; "&amp;platform=ftx"</f>
        <v>https://tokensol.nfluent.io?s=COR22D929&amp;platform=ftx</v>
      </c>
      <c r="AX1092" s="20" t="s">
        <v>23</v>
      </c>
      <c r="AY1092" s="20">
        <v>10</v>
      </c>
      <c r="AZ1092" s="20" t="s">
        <v>24</v>
      </c>
      <c r="BA1092" s="20">
        <v>90</v>
      </c>
      <c r="BD1092" s="14"/>
      <c r="BJ1092" t="s">
        <v>255</v>
      </c>
      <c r="BK1092" t="s">
        <v>184</v>
      </c>
      <c r="BN1092" s="36">
        <v>100</v>
      </c>
      <c r="BO1092" s="36">
        <v>100</v>
      </c>
      <c r="BP1092">
        <f t="shared" si="91"/>
        <v>480</v>
      </c>
      <c r="BR1092" s="38">
        <v>44713</v>
      </c>
      <c r="BS1092" s="20" t="s">
        <v>185</v>
      </c>
      <c r="BT1092" s="20" t="str">
        <f t="shared" si="87"/>
        <v>InCasa_COR22D929</v>
      </c>
    </row>
    <row r="1093" spans="2:72" ht="18.75" customHeight="1" x14ac:dyDescent="0.25">
      <c r="B1093" s="20">
        <f t="shared" si="88"/>
        <v>930</v>
      </c>
      <c r="C1093" s="22" t="str">
        <f t="shared" si="89"/>
        <v>In Casa #930</v>
      </c>
      <c r="D1093" t="str">
        <f t="shared" si="90"/>
        <v>COR22D930</v>
      </c>
      <c r="E1093" s="58" t="s">
        <v>252</v>
      </c>
      <c r="F1093" s="20">
        <v>1000</v>
      </c>
      <c r="G1093" s="14" t="s">
        <v>354</v>
      </c>
      <c r="H1093" s="23" t="s">
        <v>170</v>
      </c>
      <c r="J1093" s="59" t="s">
        <v>38</v>
      </c>
      <c r="K1093" s="22" t="s">
        <v>254</v>
      </c>
      <c r="L1093" s="59" t="s">
        <v>171</v>
      </c>
      <c r="M1093" s="22">
        <v>2</v>
      </c>
      <c r="V1093" s="59" t="s">
        <v>176</v>
      </c>
      <c r="AL1093" s="59" t="s">
        <v>40</v>
      </c>
      <c r="AM1093" s="22" t="s">
        <v>188</v>
      </c>
      <c r="AV1093" s="59" t="s">
        <v>134</v>
      </c>
      <c r="AW1093" s="22" t="str">
        <f>Settings!$B$5 &amp;  "?s=" &amp; D1093 &amp; "&amp;platform=ftx"</f>
        <v>https://tokensol.nfluent.io?s=COR22D930&amp;platform=ftx</v>
      </c>
      <c r="AX1093" s="20" t="s">
        <v>23</v>
      </c>
      <c r="AY1093" s="20">
        <v>10</v>
      </c>
      <c r="AZ1093" s="20" t="s">
        <v>24</v>
      </c>
      <c r="BA1093" s="20">
        <v>90</v>
      </c>
      <c r="BD1093" s="14"/>
      <c r="BJ1093" t="s">
        <v>255</v>
      </c>
      <c r="BK1093" t="s">
        <v>184</v>
      </c>
      <c r="BN1093" s="36">
        <v>100</v>
      </c>
      <c r="BO1093" s="36">
        <v>100</v>
      </c>
      <c r="BP1093">
        <f t="shared" si="91"/>
        <v>480</v>
      </c>
      <c r="BR1093" s="38">
        <v>44713</v>
      </c>
      <c r="BS1093" s="20" t="s">
        <v>185</v>
      </c>
      <c r="BT1093" s="20" t="str">
        <f t="shared" ref="BT1093:BT1156" si="92">SUBSTITUTE(BJ1093," ","") &amp; "_" &amp; D1093</f>
        <v>InCasa_COR22D930</v>
      </c>
    </row>
    <row r="1094" spans="2:72" ht="18.75" customHeight="1" x14ac:dyDescent="0.25">
      <c r="B1094" s="20">
        <f t="shared" ref="B1094:B1157" si="93">+B1093+1</f>
        <v>931</v>
      </c>
      <c r="C1094" s="22" t="str">
        <f t="shared" si="89"/>
        <v>In Casa #931</v>
      </c>
      <c r="D1094" t="str">
        <f t="shared" si="90"/>
        <v>COR22D931</v>
      </c>
      <c r="E1094" s="58" t="s">
        <v>252</v>
      </c>
      <c r="F1094" s="20">
        <v>1000</v>
      </c>
      <c r="G1094" s="14" t="s">
        <v>354</v>
      </c>
      <c r="H1094" s="23" t="s">
        <v>170</v>
      </c>
      <c r="J1094" s="59" t="s">
        <v>38</v>
      </c>
      <c r="K1094" s="22" t="s">
        <v>254</v>
      </c>
      <c r="L1094" s="59" t="s">
        <v>171</v>
      </c>
      <c r="M1094" s="22">
        <v>2</v>
      </c>
      <c r="V1094" s="59" t="s">
        <v>176</v>
      </c>
      <c r="AL1094" s="59" t="s">
        <v>40</v>
      </c>
      <c r="AM1094" s="22" t="s">
        <v>188</v>
      </c>
      <c r="AV1094" s="59" t="s">
        <v>134</v>
      </c>
      <c r="AW1094" s="22" t="str">
        <f>Settings!$B$5 &amp;  "?s=" &amp; D1094 &amp; "&amp;platform=ftx"</f>
        <v>https://tokensol.nfluent.io?s=COR22D931&amp;platform=ftx</v>
      </c>
      <c r="AX1094" s="20" t="s">
        <v>23</v>
      </c>
      <c r="AY1094" s="20">
        <v>10</v>
      </c>
      <c r="AZ1094" s="20" t="s">
        <v>24</v>
      </c>
      <c r="BA1094" s="20">
        <v>90</v>
      </c>
      <c r="BD1094" s="14"/>
      <c r="BJ1094" t="s">
        <v>255</v>
      </c>
      <c r="BK1094" t="s">
        <v>184</v>
      </c>
      <c r="BN1094" s="36">
        <v>100</v>
      </c>
      <c r="BO1094" s="36">
        <v>100</v>
      </c>
      <c r="BP1094">
        <f t="shared" si="91"/>
        <v>480</v>
      </c>
      <c r="BR1094" s="38">
        <v>44713</v>
      </c>
      <c r="BS1094" s="20" t="s">
        <v>185</v>
      </c>
      <c r="BT1094" s="20" t="str">
        <f t="shared" si="92"/>
        <v>InCasa_COR22D931</v>
      </c>
    </row>
    <row r="1095" spans="2:72" ht="18.75" customHeight="1" x14ac:dyDescent="0.25">
      <c r="B1095" s="20">
        <f t="shared" si="93"/>
        <v>932</v>
      </c>
      <c r="C1095" s="22" t="str">
        <f t="shared" si="89"/>
        <v>In Casa #932</v>
      </c>
      <c r="D1095" t="str">
        <f t="shared" si="90"/>
        <v>COR22D932</v>
      </c>
      <c r="E1095" s="58" t="s">
        <v>252</v>
      </c>
      <c r="F1095" s="20">
        <v>1000</v>
      </c>
      <c r="G1095" s="14" t="s">
        <v>354</v>
      </c>
      <c r="H1095" s="23" t="s">
        <v>170</v>
      </c>
      <c r="J1095" s="59" t="s">
        <v>38</v>
      </c>
      <c r="K1095" s="22" t="s">
        <v>254</v>
      </c>
      <c r="L1095" s="59" t="s">
        <v>171</v>
      </c>
      <c r="M1095" s="22">
        <v>2</v>
      </c>
      <c r="V1095" s="59" t="s">
        <v>176</v>
      </c>
      <c r="AL1095" s="59" t="s">
        <v>40</v>
      </c>
      <c r="AM1095" s="22" t="s">
        <v>188</v>
      </c>
      <c r="AV1095" s="59" t="s">
        <v>134</v>
      </c>
      <c r="AW1095" s="22" t="str">
        <f>Settings!$B$5 &amp;  "?s=" &amp; D1095 &amp; "&amp;platform=ftx"</f>
        <v>https://tokensol.nfluent.io?s=COR22D932&amp;platform=ftx</v>
      </c>
      <c r="AX1095" s="20" t="s">
        <v>23</v>
      </c>
      <c r="AY1095" s="20">
        <v>10</v>
      </c>
      <c r="AZ1095" s="20" t="s">
        <v>24</v>
      </c>
      <c r="BA1095" s="20">
        <v>90</v>
      </c>
      <c r="BD1095" s="14"/>
      <c r="BJ1095" t="s">
        <v>255</v>
      </c>
      <c r="BK1095" t="s">
        <v>184</v>
      </c>
      <c r="BN1095" s="36">
        <v>100</v>
      </c>
      <c r="BO1095" s="36">
        <v>100</v>
      </c>
      <c r="BP1095">
        <f t="shared" si="91"/>
        <v>480</v>
      </c>
      <c r="BR1095" s="38">
        <v>44713</v>
      </c>
      <c r="BS1095" s="20" t="s">
        <v>185</v>
      </c>
      <c r="BT1095" s="20" t="str">
        <f t="shared" si="92"/>
        <v>InCasa_COR22D932</v>
      </c>
    </row>
    <row r="1096" spans="2:72" ht="18.75" customHeight="1" x14ac:dyDescent="0.25">
      <c r="B1096" s="20">
        <f t="shared" si="93"/>
        <v>933</v>
      </c>
      <c r="C1096" s="22" t="str">
        <f t="shared" si="89"/>
        <v>In Casa #933</v>
      </c>
      <c r="D1096" t="str">
        <f t="shared" si="90"/>
        <v>COR22D933</v>
      </c>
      <c r="E1096" s="58" t="s">
        <v>252</v>
      </c>
      <c r="F1096" s="20">
        <v>1000</v>
      </c>
      <c r="G1096" s="14" t="s">
        <v>354</v>
      </c>
      <c r="H1096" s="23" t="s">
        <v>170</v>
      </c>
      <c r="J1096" s="59" t="s">
        <v>38</v>
      </c>
      <c r="K1096" s="22" t="s">
        <v>254</v>
      </c>
      <c r="L1096" s="59" t="s">
        <v>171</v>
      </c>
      <c r="M1096" s="22">
        <v>2</v>
      </c>
      <c r="V1096" s="59" t="s">
        <v>176</v>
      </c>
      <c r="AL1096" s="59" t="s">
        <v>40</v>
      </c>
      <c r="AM1096" s="22" t="s">
        <v>188</v>
      </c>
      <c r="AV1096" s="59" t="s">
        <v>134</v>
      </c>
      <c r="AW1096" s="22" t="str">
        <f>Settings!$B$5 &amp;  "?s=" &amp; D1096 &amp; "&amp;platform=ftx"</f>
        <v>https://tokensol.nfluent.io?s=COR22D933&amp;platform=ftx</v>
      </c>
      <c r="AX1096" s="20" t="s">
        <v>23</v>
      </c>
      <c r="AY1096" s="20">
        <v>10</v>
      </c>
      <c r="AZ1096" s="20" t="s">
        <v>24</v>
      </c>
      <c r="BA1096" s="20">
        <v>90</v>
      </c>
      <c r="BD1096" s="14"/>
      <c r="BJ1096" t="s">
        <v>255</v>
      </c>
      <c r="BK1096" t="s">
        <v>184</v>
      </c>
      <c r="BN1096" s="36">
        <v>100</v>
      </c>
      <c r="BO1096" s="36">
        <v>100</v>
      </c>
      <c r="BP1096">
        <f t="shared" si="91"/>
        <v>480</v>
      </c>
      <c r="BR1096" s="38">
        <v>44713</v>
      </c>
      <c r="BS1096" s="20" t="s">
        <v>185</v>
      </c>
      <c r="BT1096" s="20" t="str">
        <f t="shared" si="92"/>
        <v>InCasa_COR22D933</v>
      </c>
    </row>
    <row r="1097" spans="2:72" ht="18.75" customHeight="1" x14ac:dyDescent="0.25">
      <c r="B1097" s="20">
        <f t="shared" si="93"/>
        <v>934</v>
      </c>
      <c r="C1097" s="22" t="str">
        <f t="shared" si="89"/>
        <v>In Casa #934</v>
      </c>
      <c r="D1097" t="str">
        <f t="shared" si="90"/>
        <v>COR22D934</v>
      </c>
      <c r="E1097" s="58" t="s">
        <v>252</v>
      </c>
      <c r="F1097" s="20">
        <v>1000</v>
      </c>
      <c r="G1097" s="14" t="s">
        <v>354</v>
      </c>
      <c r="H1097" s="23" t="s">
        <v>170</v>
      </c>
      <c r="J1097" s="59" t="s">
        <v>38</v>
      </c>
      <c r="K1097" s="22" t="s">
        <v>254</v>
      </c>
      <c r="L1097" s="59" t="s">
        <v>171</v>
      </c>
      <c r="M1097" s="22">
        <v>2</v>
      </c>
      <c r="V1097" s="59" t="s">
        <v>176</v>
      </c>
      <c r="AL1097" s="59" t="s">
        <v>40</v>
      </c>
      <c r="AM1097" s="22" t="s">
        <v>188</v>
      </c>
      <c r="AV1097" s="59" t="s">
        <v>134</v>
      </c>
      <c r="AW1097" s="22" t="str">
        <f>Settings!$B$5 &amp;  "?s=" &amp; D1097 &amp; "&amp;platform=ftx"</f>
        <v>https://tokensol.nfluent.io?s=COR22D934&amp;platform=ftx</v>
      </c>
      <c r="AX1097" s="20" t="s">
        <v>23</v>
      </c>
      <c r="AY1097" s="20">
        <v>10</v>
      </c>
      <c r="AZ1097" s="20" t="s">
        <v>24</v>
      </c>
      <c r="BA1097" s="20">
        <v>90</v>
      </c>
      <c r="BD1097" s="14"/>
      <c r="BJ1097" t="s">
        <v>255</v>
      </c>
      <c r="BK1097" t="s">
        <v>184</v>
      </c>
      <c r="BN1097" s="36">
        <v>100</v>
      </c>
      <c r="BO1097" s="36">
        <v>100</v>
      </c>
      <c r="BP1097">
        <f t="shared" si="91"/>
        <v>480</v>
      </c>
      <c r="BR1097" s="38">
        <v>44713</v>
      </c>
      <c r="BS1097" s="20" t="s">
        <v>185</v>
      </c>
      <c r="BT1097" s="20" t="str">
        <f t="shared" si="92"/>
        <v>InCasa_COR22D934</v>
      </c>
    </row>
    <row r="1098" spans="2:72" ht="18.75" customHeight="1" x14ac:dyDescent="0.25">
      <c r="B1098" s="20">
        <f t="shared" si="93"/>
        <v>935</v>
      </c>
      <c r="C1098" s="22" t="str">
        <f t="shared" si="89"/>
        <v>In Casa #935</v>
      </c>
      <c r="D1098" t="str">
        <f t="shared" si="90"/>
        <v>COR22D935</v>
      </c>
      <c r="E1098" s="58" t="s">
        <v>252</v>
      </c>
      <c r="F1098" s="20">
        <v>1000</v>
      </c>
      <c r="G1098" s="14" t="s">
        <v>354</v>
      </c>
      <c r="H1098" s="23" t="s">
        <v>170</v>
      </c>
      <c r="J1098" s="59" t="s">
        <v>38</v>
      </c>
      <c r="K1098" s="22" t="s">
        <v>254</v>
      </c>
      <c r="L1098" s="59" t="s">
        <v>171</v>
      </c>
      <c r="M1098" s="22">
        <v>2</v>
      </c>
      <c r="V1098" s="59" t="s">
        <v>176</v>
      </c>
      <c r="AL1098" s="59" t="s">
        <v>40</v>
      </c>
      <c r="AM1098" s="22" t="s">
        <v>188</v>
      </c>
      <c r="AV1098" s="59" t="s">
        <v>134</v>
      </c>
      <c r="AW1098" s="22" t="str">
        <f>Settings!$B$5 &amp;  "?s=" &amp; D1098 &amp; "&amp;platform=ftx"</f>
        <v>https://tokensol.nfluent.io?s=COR22D935&amp;platform=ftx</v>
      </c>
      <c r="AX1098" s="20" t="s">
        <v>23</v>
      </c>
      <c r="AY1098" s="20">
        <v>10</v>
      </c>
      <c r="AZ1098" s="20" t="s">
        <v>24</v>
      </c>
      <c r="BA1098" s="20">
        <v>90</v>
      </c>
      <c r="BD1098" s="14"/>
      <c r="BJ1098" t="s">
        <v>255</v>
      </c>
      <c r="BK1098" t="s">
        <v>184</v>
      </c>
      <c r="BN1098" s="36">
        <v>100</v>
      </c>
      <c r="BO1098" s="36">
        <v>100</v>
      </c>
      <c r="BP1098">
        <f t="shared" si="91"/>
        <v>480</v>
      </c>
      <c r="BR1098" s="38">
        <v>44713</v>
      </c>
      <c r="BS1098" s="20" t="s">
        <v>185</v>
      </c>
      <c r="BT1098" s="20" t="str">
        <f t="shared" si="92"/>
        <v>InCasa_COR22D935</v>
      </c>
    </row>
    <row r="1099" spans="2:72" ht="18.75" customHeight="1" x14ac:dyDescent="0.25">
      <c r="B1099" s="20">
        <f t="shared" si="93"/>
        <v>936</v>
      </c>
      <c r="C1099" s="22" t="str">
        <f t="shared" si="89"/>
        <v>In Casa #936</v>
      </c>
      <c r="D1099" t="str">
        <f t="shared" si="90"/>
        <v>COR22D936</v>
      </c>
      <c r="E1099" s="58" t="s">
        <v>252</v>
      </c>
      <c r="F1099" s="20">
        <v>1000</v>
      </c>
      <c r="G1099" s="14" t="s">
        <v>354</v>
      </c>
      <c r="H1099" s="23" t="s">
        <v>170</v>
      </c>
      <c r="J1099" s="59" t="s">
        <v>38</v>
      </c>
      <c r="K1099" s="22" t="s">
        <v>254</v>
      </c>
      <c r="L1099" s="59" t="s">
        <v>171</v>
      </c>
      <c r="M1099" s="22">
        <v>2</v>
      </c>
      <c r="V1099" s="59" t="s">
        <v>176</v>
      </c>
      <c r="AL1099" s="59" t="s">
        <v>40</v>
      </c>
      <c r="AM1099" s="22" t="s">
        <v>188</v>
      </c>
      <c r="AV1099" s="59" t="s">
        <v>134</v>
      </c>
      <c r="AW1099" s="22" t="str">
        <f>Settings!$B$5 &amp;  "?s=" &amp; D1099 &amp; "&amp;platform=ftx"</f>
        <v>https://tokensol.nfluent.io?s=COR22D936&amp;platform=ftx</v>
      </c>
      <c r="AX1099" s="20" t="s">
        <v>23</v>
      </c>
      <c r="AY1099" s="20">
        <v>10</v>
      </c>
      <c r="AZ1099" s="20" t="s">
        <v>24</v>
      </c>
      <c r="BA1099" s="20">
        <v>90</v>
      </c>
      <c r="BD1099" s="14"/>
      <c r="BJ1099" t="s">
        <v>255</v>
      </c>
      <c r="BK1099" t="s">
        <v>184</v>
      </c>
      <c r="BN1099" s="36">
        <v>100</v>
      </c>
      <c r="BO1099" s="36">
        <v>100</v>
      </c>
      <c r="BP1099">
        <f t="shared" si="91"/>
        <v>480</v>
      </c>
      <c r="BR1099" s="38">
        <v>44713</v>
      </c>
      <c r="BS1099" s="20" t="s">
        <v>185</v>
      </c>
      <c r="BT1099" s="20" t="str">
        <f t="shared" si="92"/>
        <v>InCasa_COR22D936</v>
      </c>
    </row>
    <row r="1100" spans="2:72" ht="18.75" customHeight="1" x14ac:dyDescent="0.25">
      <c r="B1100" s="20">
        <f t="shared" si="93"/>
        <v>937</v>
      </c>
      <c r="C1100" s="22" t="str">
        <f t="shared" si="89"/>
        <v>In Casa #937</v>
      </c>
      <c r="D1100" t="str">
        <f t="shared" si="90"/>
        <v>COR22D937</v>
      </c>
      <c r="E1100" s="58" t="s">
        <v>252</v>
      </c>
      <c r="F1100" s="20">
        <v>1000</v>
      </c>
      <c r="G1100" s="14" t="s">
        <v>354</v>
      </c>
      <c r="H1100" s="23" t="s">
        <v>170</v>
      </c>
      <c r="J1100" s="59" t="s">
        <v>38</v>
      </c>
      <c r="K1100" s="22" t="s">
        <v>254</v>
      </c>
      <c r="L1100" s="59" t="s">
        <v>171</v>
      </c>
      <c r="M1100" s="22">
        <v>2</v>
      </c>
      <c r="V1100" s="59" t="s">
        <v>176</v>
      </c>
      <c r="AL1100" s="59" t="s">
        <v>40</v>
      </c>
      <c r="AM1100" s="22" t="s">
        <v>188</v>
      </c>
      <c r="AV1100" s="59" t="s">
        <v>134</v>
      </c>
      <c r="AW1100" s="22" t="str">
        <f>Settings!$B$5 &amp;  "?s=" &amp; D1100 &amp; "&amp;platform=ftx"</f>
        <v>https://tokensol.nfluent.io?s=COR22D937&amp;platform=ftx</v>
      </c>
      <c r="AX1100" s="20" t="s">
        <v>23</v>
      </c>
      <c r="AY1100" s="20">
        <v>10</v>
      </c>
      <c r="AZ1100" s="20" t="s">
        <v>24</v>
      </c>
      <c r="BA1100" s="20">
        <v>90</v>
      </c>
      <c r="BD1100" s="14"/>
      <c r="BJ1100" t="s">
        <v>255</v>
      </c>
      <c r="BK1100" t="s">
        <v>184</v>
      </c>
      <c r="BN1100" s="36">
        <v>100</v>
      </c>
      <c r="BO1100" s="36">
        <v>100</v>
      </c>
      <c r="BP1100">
        <f t="shared" si="91"/>
        <v>480</v>
      </c>
      <c r="BR1100" s="38">
        <v>44713</v>
      </c>
      <c r="BS1100" s="20" t="s">
        <v>185</v>
      </c>
      <c r="BT1100" s="20" t="str">
        <f t="shared" si="92"/>
        <v>InCasa_COR22D937</v>
      </c>
    </row>
    <row r="1101" spans="2:72" ht="18.75" customHeight="1" x14ac:dyDescent="0.25">
      <c r="B1101" s="20">
        <f t="shared" si="93"/>
        <v>938</v>
      </c>
      <c r="C1101" s="22" t="str">
        <f t="shared" si="89"/>
        <v>In Casa #938</v>
      </c>
      <c r="D1101" t="str">
        <f t="shared" si="90"/>
        <v>COR22D938</v>
      </c>
      <c r="E1101" s="58" t="s">
        <v>252</v>
      </c>
      <c r="F1101" s="20">
        <v>1000</v>
      </c>
      <c r="G1101" s="14" t="s">
        <v>354</v>
      </c>
      <c r="H1101" s="23" t="s">
        <v>170</v>
      </c>
      <c r="J1101" s="59" t="s">
        <v>38</v>
      </c>
      <c r="K1101" s="22" t="s">
        <v>254</v>
      </c>
      <c r="L1101" s="59" t="s">
        <v>171</v>
      </c>
      <c r="M1101" s="22">
        <v>2</v>
      </c>
      <c r="V1101" s="59" t="s">
        <v>176</v>
      </c>
      <c r="AL1101" s="59" t="s">
        <v>40</v>
      </c>
      <c r="AM1101" s="22" t="s">
        <v>188</v>
      </c>
      <c r="AV1101" s="59" t="s">
        <v>134</v>
      </c>
      <c r="AW1101" s="22" t="str">
        <f>Settings!$B$5 &amp;  "?s=" &amp; D1101 &amp; "&amp;platform=ftx"</f>
        <v>https://tokensol.nfluent.io?s=COR22D938&amp;platform=ftx</v>
      </c>
      <c r="AX1101" s="20" t="s">
        <v>23</v>
      </c>
      <c r="AY1101" s="20">
        <v>10</v>
      </c>
      <c r="AZ1101" s="20" t="s">
        <v>24</v>
      </c>
      <c r="BA1101" s="20">
        <v>90</v>
      </c>
      <c r="BD1101" s="14"/>
      <c r="BJ1101" t="s">
        <v>255</v>
      </c>
      <c r="BK1101" t="s">
        <v>184</v>
      </c>
      <c r="BN1101" s="36">
        <v>100</v>
      </c>
      <c r="BO1101" s="36">
        <v>100</v>
      </c>
      <c r="BP1101">
        <f t="shared" si="91"/>
        <v>480</v>
      </c>
      <c r="BR1101" s="38">
        <v>44713</v>
      </c>
      <c r="BS1101" s="20" t="s">
        <v>185</v>
      </c>
      <c r="BT1101" s="20" t="str">
        <f t="shared" si="92"/>
        <v>InCasa_COR22D938</v>
      </c>
    </row>
    <row r="1102" spans="2:72" ht="18.75" customHeight="1" x14ac:dyDescent="0.25">
      <c r="B1102" s="20">
        <f t="shared" si="93"/>
        <v>939</v>
      </c>
      <c r="C1102" s="22" t="str">
        <f t="shared" si="89"/>
        <v>In Casa #939</v>
      </c>
      <c r="D1102" t="str">
        <f t="shared" si="90"/>
        <v>COR22D939</v>
      </c>
      <c r="E1102" s="58" t="s">
        <v>252</v>
      </c>
      <c r="F1102" s="20">
        <v>1000</v>
      </c>
      <c r="G1102" s="14" t="s">
        <v>354</v>
      </c>
      <c r="H1102" s="23" t="s">
        <v>170</v>
      </c>
      <c r="J1102" s="59" t="s">
        <v>38</v>
      </c>
      <c r="K1102" s="22" t="s">
        <v>254</v>
      </c>
      <c r="L1102" s="59" t="s">
        <v>171</v>
      </c>
      <c r="M1102" s="22">
        <v>2</v>
      </c>
      <c r="V1102" s="59" t="s">
        <v>176</v>
      </c>
      <c r="AL1102" s="59" t="s">
        <v>40</v>
      </c>
      <c r="AM1102" s="22" t="s">
        <v>188</v>
      </c>
      <c r="AV1102" s="59" t="s">
        <v>134</v>
      </c>
      <c r="AW1102" s="22" t="str">
        <f>Settings!$B$5 &amp;  "?s=" &amp; D1102 &amp; "&amp;platform=ftx"</f>
        <v>https://tokensol.nfluent.io?s=COR22D939&amp;platform=ftx</v>
      </c>
      <c r="AX1102" s="20" t="s">
        <v>23</v>
      </c>
      <c r="AY1102" s="20">
        <v>10</v>
      </c>
      <c r="AZ1102" s="20" t="s">
        <v>24</v>
      </c>
      <c r="BA1102" s="20">
        <v>90</v>
      </c>
      <c r="BD1102" s="14"/>
      <c r="BJ1102" t="s">
        <v>255</v>
      </c>
      <c r="BK1102" t="s">
        <v>184</v>
      </c>
      <c r="BN1102" s="36">
        <v>100</v>
      </c>
      <c r="BO1102" s="36">
        <v>100</v>
      </c>
      <c r="BP1102">
        <f t="shared" si="91"/>
        <v>480</v>
      </c>
      <c r="BR1102" s="38">
        <v>44713</v>
      </c>
      <c r="BS1102" s="20" t="s">
        <v>185</v>
      </c>
      <c r="BT1102" s="20" t="str">
        <f t="shared" si="92"/>
        <v>InCasa_COR22D939</v>
      </c>
    </row>
    <row r="1103" spans="2:72" ht="18.75" customHeight="1" x14ac:dyDescent="0.25">
      <c r="B1103" s="20">
        <f t="shared" si="93"/>
        <v>940</v>
      </c>
      <c r="C1103" s="22" t="str">
        <f t="shared" si="89"/>
        <v>In Casa #940</v>
      </c>
      <c r="D1103" t="str">
        <f t="shared" si="90"/>
        <v>COR22D940</v>
      </c>
      <c r="E1103" s="58" t="s">
        <v>252</v>
      </c>
      <c r="F1103" s="20">
        <v>1000</v>
      </c>
      <c r="G1103" s="14" t="s">
        <v>354</v>
      </c>
      <c r="H1103" s="23" t="s">
        <v>170</v>
      </c>
      <c r="J1103" s="59" t="s">
        <v>38</v>
      </c>
      <c r="K1103" s="22" t="s">
        <v>254</v>
      </c>
      <c r="L1103" s="59" t="s">
        <v>171</v>
      </c>
      <c r="M1103" s="22">
        <v>2</v>
      </c>
      <c r="V1103" s="59" t="s">
        <v>176</v>
      </c>
      <c r="AL1103" s="59" t="s">
        <v>40</v>
      </c>
      <c r="AM1103" s="22" t="s">
        <v>188</v>
      </c>
      <c r="AV1103" s="59" t="s">
        <v>134</v>
      </c>
      <c r="AW1103" s="22" t="str">
        <f>Settings!$B$5 &amp;  "?s=" &amp; D1103 &amp; "&amp;platform=ftx"</f>
        <v>https://tokensol.nfluent.io?s=COR22D940&amp;platform=ftx</v>
      </c>
      <c r="AX1103" s="20" t="s">
        <v>23</v>
      </c>
      <c r="AY1103" s="20">
        <v>10</v>
      </c>
      <c r="AZ1103" s="20" t="s">
        <v>24</v>
      </c>
      <c r="BA1103" s="20">
        <v>90</v>
      </c>
      <c r="BD1103" s="14"/>
      <c r="BJ1103" t="s">
        <v>255</v>
      </c>
      <c r="BK1103" t="s">
        <v>184</v>
      </c>
      <c r="BN1103" s="36">
        <v>100</v>
      </c>
      <c r="BO1103" s="36">
        <v>100</v>
      </c>
      <c r="BP1103">
        <f t="shared" si="91"/>
        <v>480</v>
      </c>
      <c r="BR1103" s="38">
        <v>44713</v>
      </c>
      <c r="BS1103" s="20" t="s">
        <v>185</v>
      </c>
      <c r="BT1103" s="20" t="str">
        <f t="shared" si="92"/>
        <v>InCasa_COR22D940</v>
      </c>
    </row>
    <row r="1104" spans="2:72" ht="18.75" customHeight="1" x14ac:dyDescent="0.25">
      <c r="B1104" s="20">
        <f t="shared" si="93"/>
        <v>941</v>
      </c>
      <c r="C1104" s="22" t="str">
        <f t="shared" si="89"/>
        <v>In Casa #941</v>
      </c>
      <c r="D1104" t="str">
        <f t="shared" si="90"/>
        <v>COR22D941</v>
      </c>
      <c r="E1104" s="58" t="s">
        <v>252</v>
      </c>
      <c r="F1104" s="20">
        <v>1000</v>
      </c>
      <c r="G1104" s="14" t="s">
        <v>354</v>
      </c>
      <c r="H1104" s="23" t="s">
        <v>170</v>
      </c>
      <c r="J1104" s="59" t="s">
        <v>38</v>
      </c>
      <c r="K1104" s="22" t="s">
        <v>254</v>
      </c>
      <c r="L1104" s="59" t="s">
        <v>171</v>
      </c>
      <c r="M1104" s="22">
        <v>2</v>
      </c>
      <c r="V1104" s="59" t="s">
        <v>176</v>
      </c>
      <c r="AL1104" s="59" t="s">
        <v>40</v>
      </c>
      <c r="AM1104" s="22" t="s">
        <v>188</v>
      </c>
      <c r="AV1104" s="59" t="s">
        <v>134</v>
      </c>
      <c r="AW1104" s="22" t="str">
        <f>Settings!$B$5 &amp;  "?s=" &amp; D1104 &amp; "&amp;platform=ftx"</f>
        <v>https://tokensol.nfluent.io?s=COR22D941&amp;platform=ftx</v>
      </c>
      <c r="AX1104" s="20" t="s">
        <v>23</v>
      </c>
      <c r="AY1104" s="20">
        <v>10</v>
      </c>
      <c r="AZ1104" s="20" t="s">
        <v>24</v>
      </c>
      <c r="BA1104" s="20">
        <v>90</v>
      </c>
      <c r="BD1104" s="14"/>
      <c r="BJ1104" t="s">
        <v>255</v>
      </c>
      <c r="BK1104" t="s">
        <v>184</v>
      </c>
      <c r="BN1104" s="36">
        <v>100</v>
      </c>
      <c r="BO1104" s="36">
        <v>100</v>
      </c>
      <c r="BP1104">
        <f t="shared" si="91"/>
        <v>480</v>
      </c>
      <c r="BR1104" s="38">
        <v>44713</v>
      </c>
      <c r="BS1104" s="20" t="s">
        <v>185</v>
      </c>
      <c r="BT1104" s="20" t="str">
        <f t="shared" si="92"/>
        <v>InCasa_COR22D941</v>
      </c>
    </row>
    <row r="1105" spans="2:72" ht="18.75" customHeight="1" x14ac:dyDescent="0.25">
      <c r="B1105" s="20">
        <f t="shared" si="93"/>
        <v>942</v>
      </c>
      <c r="C1105" s="22" t="str">
        <f t="shared" si="89"/>
        <v>In Casa #942</v>
      </c>
      <c r="D1105" t="str">
        <f t="shared" si="90"/>
        <v>COR22D942</v>
      </c>
      <c r="E1105" s="58" t="s">
        <v>252</v>
      </c>
      <c r="F1105" s="20">
        <v>1000</v>
      </c>
      <c r="G1105" s="14" t="s">
        <v>354</v>
      </c>
      <c r="H1105" s="23" t="s">
        <v>170</v>
      </c>
      <c r="J1105" s="59" t="s">
        <v>38</v>
      </c>
      <c r="K1105" s="22" t="s">
        <v>254</v>
      </c>
      <c r="L1105" s="59" t="s">
        <v>171</v>
      </c>
      <c r="M1105" s="22">
        <v>2</v>
      </c>
      <c r="V1105" s="59" t="s">
        <v>176</v>
      </c>
      <c r="AL1105" s="59" t="s">
        <v>40</v>
      </c>
      <c r="AM1105" s="22" t="s">
        <v>188</v>
      </c>
      <c r="AV1105" s="59" t="s">
        <v>134</v>
      </c>
      <c r="AW1105" s="22" t="str">
        <f>Settings!$B$5 &amp;  "?s=" &amp; D1105 &amp; "&amp;platform=ftx"</f>
        <v>https://tokensol.nfluent.io?s=COR22D942&amp;platform=ftx</v>
      </c>
      <c r="AX1105" s="20" t="s">
        <v>23</v>
      </c>
      <c r="AY1105" s="20">
        <v>10</v>
      </c>
      <c r="AZ1105" s="20" t="s">
        <v>24</v>
      </c>
      <c r="BA1105" s="20">
        <v>90</v>
      </c>
      <c r="BD1105" s="14"/>
      <c r="BJ1105" t="s">
        <v>255</v>
      </c>
      <c r="BK1105" t="s">
        <v>184</v>
      </c>
      <c r="BN1105" s="36">
        <v>100</v>
      </c>
      <c r="BO1105" s="36">
        <v>100</v>
      </c>
      <c r="BP1105">
        <f t="shared" si="91"/>
        <v>480</v>
      </c>
      <c r="BR1105" s="38">
        <v>44713</v>
      </c>
      <c r="BS1105" s="20" t="s">
        <v>185</v>
      </c>
      <c r="BT1105" s="20" t="str">
        <f t="shared" si="92"/>
        <v>InCasa_COR22D942</v>
      </c>
    </row>
    <row r="1106" spans="2:72" ht="18.75" customHeight="1" x14ac:dyDescent="0.25">
      <c r="B1106" s="20">
        <f t="shared" si="93"/>
        <v>943</v>
      </c>
      <c r="C1106" s="22" t="str">
        <f t="shared" si="89"/>
        <v>In Casa #943</v>
      </c>
      <c r="D1106" t="str">
        <f t="shared" si="90"/>
        <v>COR22D943</v>
      </c>
      <c r="E1106" s="58" t="s">
        <v>252</v>
      </c>
      <c r="F1106" s="20">
        <v>1000</v>
      </c>
      <c r="G1106" s="14" t="s">
        <v>354</v>
      </c>
      <c r="H1106" s="23" t="s">
        <v>170</v>
      </c>
      <c r="J1106" s="59" t="s">
        <v>38</v>
      </c>
      <c r="K1106" s="22" t="s">
        <v>254</v>
      </c>
      <c r="L1106" s="59" t="s">
        <v>171</v>
      </c>
      <c r="M1106" s="22">
        <v>2</v>
      </c>
      <c r="V1106" s="59" t="s">
        <v>176</v>
      </c>
      <c r="AL1106" s="59" t="s">
        <v>40</v>
      </c>
      <c r="AM1106" s="22" t="s">
        <v>188</v>
      </c>
      <c r="AV1106" s="59" t="s">
        <v>134</v>
      </c>
      <c r="AW1106" s="22" t="str">
        <f>Settings!$B$5 &amp;  "?s=" &amp; D1106 &amp; "&amp;platform=ftx"</f>
        <v>https://tokensol.nfluent.io?s=COR22D943&amp;platform=ftx</v>
      </c>
      <c r="AX1106" s="20" t="s">
        <v>23</v>
      </c>
      <c r="AY1106" s="20">
        <v>10</v>
      </c>
      <c r="AZ1106" s="20" t="s">
        <v>24</v>
      </c>
      <c r="BA1106" s="20">
        <v>90</v>
      </c>
      <c r="BD1106" s="14"/>
      <c r="BJ1106" t="s">
        <v>255</v>
      </c>
      <c r="BK1106" t="s">
        <v>184</v>
      </c>
      <c r="BN1106" s="36">
        <v>100</v>
      </c>
      <c r="BO1106" s="36">
        <v>100</v>
      </c>
      <c r="BP1106">
        <f t="shared" si="91"/>
        <v>480</v>
      </c>
      <c r="BR1106" s="38">
        <v>44713</v>
      </c>
      <c r="BS1106" s="20" t="s">
        <v>185</v>
      </c>
      <c r="BT1106" s="20" t="str">
        <f t="shared" si="92"/>
        <v>InCasa_COR22D943</v>
      </c>
    </row>
    <row r="1107" spans="2:72" ht="18.75" customHeight="1" x14ac:dyDescent="0.25">
      <c r="B1107" s="20">
        <f t="shared" si="93"/>
        <v>944</v>
      </c>
      <c r="C1107" s="22" t="str">
        <f t="shared" si="89"/>
        <v>In Casa #944</v>
      </c>
      <c r="D1107" t="str">
        <f t="shared" si="90"/>
        <v>COR22D944</v>
      </c>
      <c r="E1107" s="58" t="s">
        <v>252</v>
      </c>
      <c r="F1107" s="20">
        <v>1000</v>
      </c>
      <c r="G1107" s="14" t="s">
        <v>354</v>
      </c>
      <c r="H1107" s="23" t="s">
        <v>170</v>
      </c>
      <c r="J1107" s="59" t="s">
        <v>38</v>
      </c>
      <c r="K1107" s="22" t="s">
        <v>254</v>
      </c>
      <c r="L1107" s="59" t="s">
        <v>171</v>
      </c>
      <c r="M1107" s="22">
        <v>2</v>
      </c>
      <c r="V1107" s="59" t="s">
        <v>176</v>
      </c>
      <c r="AL1107" s="59" t="s">
        <v>40</v>
      </c>
      <c r="AM1107" s="22" t="s">
        <v>188</v>
      </c>
      <c r="AV1107" s="59" t="s">
        <v>134</v>
      </c>
      <c r="AW1107" s="22" t="str">
        <f>Settings!$B$5 &amp;  "?s=" &amp; D1107 &amp; "&amp;platform=ftx"</f>
        <v>https://tokensol.nfluent.io?s=COR22D944&amp;platform=ftx</v>
      </c>
      <c r="AX1107" s="20" t="s">
        <v>23</v>
      </c>
      <c r="AY1107" s="20">
        <v>10</v>
      </c>
      <c r="AZ1107" s="20" t="s">
        <v>24</v>
      </c>
      <c r="BA1107" s="20">
        <v>90</v>
      </c>
      <c r="BD1107" s="14"/>
      <c r="BJ1107" t="s">
        <v>255</v>
      </c>
      <c r="BK1107" t="s">
        <v>184</v>
      </c>
      <c r="BN1107" s="36">
        <v>100</v>
      </c>
      <c r="BO1107" s="36">
        <v>100</v>
      </c>
      <c r="BP1107">
        <f t="shared" si="91"/>
        <v>480</v>
      </c>
      <c r="BR1107" s="38">
        <v>44713</v>
      </c>
      <c r="BS1107" s="20" t="s">
        <v>185</v>
      </c>
      <c r="BT1107" s="20" t="str">
        <f t="shared" si="92"/>
        <v>InCasa_COR22D944</v>
      </c>
    </row>
    <row r="1108" spans="2:72" ht="18.75" customHeight="1" x14ac:dyDescent="0.25">
      <c r="B1108" s="20">
        <f t="shared" si="93"/>
        <v>945</v>
      </c>
      <c r="C1108" s="22" t="str">
        <f t="shared" si="89"/>
        <v>In Casa #945</v>
      </c>
      <c r="D1108" t="str">
        <f t="shared" si="90"/>
        <v>COR22D945</v>
      </c>
      <c r="E1108" s="58" t="s">
        <v>252</v>
      </c>
      <c r="F1108" s="20">
        <v>1000</v>
      </c>
      <c r="G1108" s="14" t="s">
        <v>354</v>
      </c>
      <c r="H1108" s="23" t="s">
        <v>170</v>
      </c>
      <c r="J1108" s="59" t="s">
        <v>38</v>
      </c>
      <c r="K1108" s="22" t="s">
        <v>254</v>
      </c>
      <c r="L1108" s="59" t="s">
        <v>171</v>
      </c>
      <c r="M1108" s="22">
        <v>2</v>
      </c>
      <c r="V1108" s="59" t="s">
        <v>176</v>
      </c>
      <c r="AL1108" s="59" t="s">
        <v>40</v>
      </c>
      <c r="AM1108" s="22" t="s">
        <v>188</v>
      </c>
      <c r="AV1108" s="59" t="s">
        <v>134</v>
      </c>
      <c r="AW1108" s="22" t="str">
        <f>Settings!$B$5 &amp;  "?s=" &amp; D1108 &amp; "&amp;platform=ftx"</f>
        <v>https://tokensol.nfluent.io?s=COR22D945&amp;platform=ftx</v>
      </c>
      <c r="AX1108" s="20" t="s">
        <v>23</v>
      </c>
      <c r="AY1108" s="20">
        <v>10</v>
      </c>
      <c r="AZ1108" s="20" t="s">
        <v>24</v>
      </c>
      <c r="BA1108" s="20">
        <v>90</v>
      </c>
      <c r="BD1108" s="14"/>
      <c r="BJ1108" t="s">
        <v>255</v>
      </c>
      <c r="BK1108" t="s">
        <v>184</v>
      </c>
      <c r="BN1108" s="36">
        <v>100</v>
      </c>
      <c r="BO1108" s="36">
        <v>100</v>
      </c>
      <c r="BP1108">
        <f t="shared" si="91"/>
        <v>480</v>
      </c>
      <c r="BR1108" s="38">
        <v>44713</v>
      </c>
      <c r="BS1108" s="20" t="s">
        <v>185</v>
      </c>
      <c r="BT1108" s="20" t="str">
        <f t="shared" si="92"/>
        <v>InCasa_COR22D945</v>
      </c>
    </row>
    <row r="1109" spans="2:72" ht="18.75" customHeight="1" x14ac:dyDescent="0.25">
      <c r="B1109" s="20">
        <f t="shared" si="93"/>
        <v>946</v>
      </c>
      <c r="C1109" s="22" t="str">
        <f t="shared" si="89"/>
        <v>In Casa #946</v>
      </c>
      <c r="D1109" t="str">
        <f t="shared" si="90"/>
        <v>COR22D946</v>
      </c>
      <c r="E1109" s="58" t="s">
        <v>252</v>
      </c>
      <c r="F1109" s="20">
        <v>1000</v>
      </c>
      <c r="G1109" s="14" t="s">
        <v>354</v>
      </c>
      <c r="H1109" s="23" t="s">
        <v>170</v>
      </c>
      <c r="J1109" s="59" t="s">
        <v>38</v>
      </c>
      <c r="K1109" s="22" t="s">
        <v>254</v>
      </c>
      <c r="L1109" s="59" t="s">
        <v>171</v>
      </c>
      <c r="M1109" s="22">
        <v>2</v>
      </c>
      <c r="V1109" s="59" t="s">
        <v>176</v>
      </c>
      <c r="AL1109" s="59" t="s">
        <v>40</v>
      </c>
      <c r="AM1109" s="22" t="s">
        <v>188</v>
      </c>
      <c r="AV1109" s="59" t="s">
        <v>134</v>
      </c>
      <c r="AW1109" s="22" t="str">
        <f>Settings!$B$5 &amp;  "?s=" &amp; D1109 &amp; "&amp;platform=ftx"</f>
        <v>https://tokensol.nfluent.io?s=COR22D946&amp;platform=ftx</v>
      </c>
      <c r="AX1109" s="20" t="s">
        <v>23</v>
      </c>
      <c r="AY1109" s="20">
        <v>10</v>
      </c>
      <c r="AZ1109" s="20" t="s">
        <v>24</v>
      </c>
      <c r="BA1109" s="20">
        <v>90</v>
      </c>
      <c r="BD1109" s="14"/>
      <c r="BJ1109" t="s">
        <v>255</v>
      </c>
      <c r="BK1109" t="s">
        <v>184</v>
      </c>
      <c r="BN1109" s="36">
        <v>100</v>
      </c>
      <c r="BO1109" s="36">
        <v>100</v>
      </c>
      <c r="BP1109">
        <f t="shared" si="91"/>
        <v>480</v>
      </c>
      <c r="BR1109" s="38">
        <v>44713</v>
      </c>
      <c r="BS1109" s="20" t="s">
        <v>185</v>
      </c>
      <c r="BT1109" s="20" t="str">
        <f t="shared" si="92"/>
        <v>InCasa_COR22D946</v>
      </c>
    </row>
    <row r="1110" spans="2:72" ht="18.75" customHeight="1" x14ac:dyDescent="0.25">
      <c r="B1110" s="20">
        <f t="shared" si="93"/>
        <v>947</v>
      </c>
      <c r="C1110" s="22" t="str">
        <f t="shared" si="89"/>
        <v>In Casa #947</v>
      </c>
      <c r="D1110" t="str">
        <f t="shared" si="90"/>
        <v>COR22D947</v>
      </c>
      <c r="E1110" s="58" t="s">
        <v>252</v>
      </c>
      <c r="F1110" s="20">
        <v>1000</v>
      </c>
      <c r="G1110" s="14" t="s">
        <v>354</v>
      </c>
      <c r="H1110" s="23" t="s">
        <v>170</v>
      </c>
      <c r="J1110" s="59" t="s">
        <v>38</v>
      </c>
      <c r="K1110" s="22" t="s">
        <v>254</v>
      </c>
      <c r="L1110" s="59" t="s">
        <v>171</v>
      </c>
      <c r="M1110" s="22">
        <v>2</v>
      </c>
      <c r="V1110" s="59" t="s">
        <v>176</v>
      </c>
      <c r="AL1110" s="59" t="s">
        <v>40</v>
      </c>
      <c r="AM1110" s="22" t="s">
        <v>188</v>
      </c>
      <c r="AV1110" s="59" t="s">
        <v>134</v>
      </c>
      <c r="AW1110" s="22" t="str">
        <f>Settings!$B$5 &amp;  "?s=" &amp; D1110 &amp; "&amp;platform=ftx"</f>
        <v>https://tokensol.nfluent.io?s=COR22D947&amp;platform=ftx</v>
      </c>
      <c r="AX1110" s="20" t="s">
        <v>23</v>
      </c>
      <c r="AY1110" s="20">
        <v>10</v>
      </c>
      <c r="AZ1110" s="20" t="s">
        <v>24</v>
      </c>
      <c r="BA1110" s="20">
        <v>90</v>
      </c>
      <c r="BD1110" s="14"/>
      <c r="BJ1110" t="s">
        <v>255</v>
      </c>
      <c r="BK1110" t="s">
        <v>184</v>
      </c>
      <c r="BN1110" s="36">
        <v>100</v>
      </c>
      <c r="BO1110" s="36">
        <v>100</v>
      </c>
      <c r="BP1110">
        <f t="shared" si="91"/>
        <v>480</v>
      </c>
      <c r="BR1110" s="38">
        <v>44713</v>
      </c>
      <c r="BS1110" s="20" t="s">
        <v>185</v>
      </c>
      <c r="BT1110" s="20" t="str">
        <f t="shared" si="92"/>
        <v>InCasa_COR22D947</v>
      </c>
    </row>
    <row r="1111" spans="2:72" ht="18.75" customHeight="1" x14ac:dyDescent="0.25">
      <c r="B1111" s="20">
        <f t="shared" si="93"/>
        <v>948</v>
      </c>
      <c r="C1111" s="22" t="str">
        <f t="shared" si="89"/>
        <v>In Casa #948</v>
      </c>
      <c r="D1111" t="str">
        <f t="shared" si="90"/>
        <v>COR22D948</v>
      </c>
      <c r="E1111" s="58" t="s">
        <v>252</v>
      </c>
      <c r="F1111" s="20">
        <v>1000</v>
      </c>
      <c r="G1111" s="14" t="s">
        <v>354</v>
      </c>
      <c r="H1111" s="23" t="s">
        <v>170</v>
      </c>
      <c r="J1111" s="59" t="s">
        <v>38</v>
      </c>
      <c r="K1111" s="22" t="s">
        <v>254</v>
      </c>
      <c r="L1111" s="59" t="s">
        <v>171</v>
      </c>
      <c r="M1111" s="22">
        <v>2</v>
      </c>
      <c r="V1111" s="59" t="s">
        <v>176</v>
      </c>
      <c r="AL1111" s="59" t="s">
        <v>40</v>
      </c>
      <c r="AM1111" s="22" t="s">
        <v>188</v>
      </c>
      <c r="AV1111" s="59" t="s">
        <v>134</v>
      </c>
      <c r="AW1111" s="22" t="str">
        <f>Settings!$B$5 &amp;  "?s=" &amp; D1111 &amp; "&amp;platform=ftx"</f>
        <v>https://tokensol.nfluent.io?s=COR22D948&amp;platform=ftx</v>
      </c>
      <c r="AX1111" s="20" t="s">
        <v>23</v>
      </c>
      <c r="AY1111" s="20">
        <v>10</v>
      </c>
      <c r="AZ1111" s="20" t="s">
        <v>24</v>
      </c>
      <c r="BA1111" s="20">
        <v>90</v>
      </c>
      <c r="BD1111" s="14"/>
      <c r="BJ1111" t="s">
        <v>255</v>
      </c>
      <c r="BK1111" t="s">
        <v>184</v>
      </c>
      <c r="BN1111" s="36">
        <v>100</v>
      </c>
      <c r="BO1111" s="36">
        <v>100</v>
      </c>
      <c r="BP1111">
        <f t="shared" si="91"/>
        <v>480</v>
      </c>
      <c r="BR1111" s="38">
        <v>44713</v>
      </c>
      <c r="BS1111" s="20" t="s">
        <v>185</v>
      </c>
      <c r="BT1111" s="20" t="str">
        <f t="shared" si="92"/>
        <v>InCasa_COR22D948</v>
      </c>
    </row>
    <row r="1112" spans="2:72" ht="18.75" customHeight="1" x14ac:dyDescent="0.25">
      <c r="B1112" s="20">
        <f t="shared" si="93"/>
        <v>949</v>
      </c>
      <c r="C1112" s="22" t="str">
        <f t="shared" si="89"/>
        <v>In Casa #949</v>
      </c>
      <c r="D1112" t="str">
        <f t="shared" si="90"/>
        <v>COR22D949</v>
      </c>
      <c r="E1112" s="58" t="s">
        <v>252</v>
      </c>
      <c r="F1112" s="20">
        <v>1000</v>
      </c>
      <c r="G1112" s="14" t="s">
        <v>354</v>
      </c>
      <c r="H1112" s="23" t="s">
        <v>170</v>
      </c>
      <c r="J1112" s="59" t="s">
        <v>38</v>
      </c>
      <c r="K1112" s="22" t="s">
        <v>254</v>
      </c>
      <c r="L1112" s="59" t="s">
        <v>171</v>
      </c>
      <c r="M1112" s="22">
        <v>2</v>
      </c>
      <c r="V1112" s="59" t="s">
        <v>176</v>
      </c>
      <c r="AL1112" s="59" t="s">
        <v>40</v>
      </c>
      <c r="AM1112" s="22" t="s">
        <v>188</v>
      </c>
      <c r="AV1112" s="59" t="s">
        <v>134</v>
      </c>
      <c r="AW1112" s="22" t="str">
        <f>Settings!$B$5 &amp;  "?s=" &amp; D1112 &amp; "&amp;platform=ftx"</f>
        <v>https://tokensol.nfluent.io?s=COR22D949&amp;platform=ftx</v>
      </c>
      <c r="AX1112" s="20" t="s">
        <v>23</v>
      </c>
      <c r="AY1112" s="20">
        <v>10</v>
      </c>
      <c r="AZ1112" s="20" t="s">
        <v>24</v>
      </c>
      <c r="BA1112" s="20">
        <v>90</v>
      </c>
      <c r="BD1112" s="14"/>
      <c r="BJ1112" t="s">
        <v>255</v>
      </c>
      <c r="BK1112" t="s">
        <v>184</v>
      </c>
      <c r="BN1112" s="36">
        <v>100</v>
      </c>
      <c r="BO1112" s="36">
        <v>100</v>
      </c>
      <c r="BP1112">
        <f t="shared" si="91"/>
        <v>480</v>
      </c>
      <c r="BR1112" s="38">
        <v>44713</v>
      </c>
      <c r="BS1112" s="20" t="s">
        <v>185</v>
      </c>
      <c r="BT1112" s="20" t="str">
        <f t="shared" si="92"/>
        <v>InCasa_COR22D949</v>
      </c>
    </row>
    <row r="1113" spans="2:72" ht="18.75" customHeight="1" x14ac:dyDescent="0.25">
      <c r="B1113" s="20">
        <f t="shared" si="93"/>
        <v>950</v>
      </c>
      <c r="C1113" s="22" t="str">
        <f t="shared" si="89"/>
        <v>In Casa #950</v>
      </c>
      <c r="D1113" t="str">
        <f t="shared" si="90"/>
        <v>COR22D950</v>
      </c>
      <c r="E1113" s="58" t="s">
        <v>252</v>
      </c>
      <c r="F1113" s="20">
        <v>1000</v>
      </c>
      <c r="G1113" s="14" t="s">
        <v>354</v>
      </c>
      <c r="H1113" s="23" t="s">
        <v>170</v>
      </c>
      <c r="J1113" s="59" t="s">
        <v>38</v>
      </c>
      <c r="K1113" s="22" t="s">
        <v>254</v>
      </c>
      <c r="L1113" s="59" t="s">
        <v>171</v>
      </c>
      <c r="M1113" s="22">
        <v>2</v>
      </c>
      <c r="V1113" s="59" t="s">
        <v>176</v>
      </c>
      <c r="AL1113" s="59" t="s">
        <v>40</v>
      </c>
      <c r="AM1113" s="22" t="s">
        <v>188</v>
      </c>
      <c r="AV1113" s="59" t="s">
        <v>134</v>
      </c>
      <c r="AW1113" s="22" t="str">
        <f>Settings!$B$5 &amp;  "?s=" &amp; D1113 &amp; "&amp;platform=ftx"</f>
        <v>https://tokensol.nfluent.io?s=COR22D950&amp;platform=ftx</v>
      </c>
      <c r="AX1113" s="20" t="s">
        <v>23</v>
      </c>
      <c r="AY1113" s="20">
        <v>10</v>
      </c>
      <c r="AZ1113" s="20" t="s">
        <v>24</v>
      </c>
      <c r="BA1113" s="20">
        <v>90</v>
      </c>
      <c r="BD1113" s="14"/>
      <c r="BJ1113" t="s">
        <v>255</v>
      </c>
      <c r="BK1113" t="s">
        <v>184</v>
      </c>
      <c r="BN1113" s="36">
        <v>100</v>
      </c>
      <c r="BO1113" s="36">
        <v>100</v>
      </c>
      <c r="BP1113">
        <f t="shared" si="91"/>
        <v>480</v>
      </c>
      <c r="BR1113" s="38">
        <v>44713</v>
      </c>
      <c r="BS1113" s="20" t="s">
        <v>185</v>
      </c>
      <c r="BT1113" s="20" t="str">
        <f t="shared" si="92"/>
        <v>InCasa_COR22D950</v>
      </c>
    </row>
    <row r="1114" spans="2:72" ht="18.75" customHeight="1" x14ac:dyDescent="0.25">
      <c r="B1114" s="20">
        <f t="shared" si="93"/>
        <v>951</v>
      </c>
      <c r="C1114" s="22" t="str">
        <f t="shared" si="89"/>
        <v>In Casa #951</v>
      </c>
      <c r="D1114" t="str">
        <f t="shared" si="90"/>
        <v>COR22D951</v>
      </c>
      <c r="E1114" s="58" t="s">
        <v>252</v>
      </c>
      <c r="F1114" s="20">
        <v>1000</v>
      </c>
      <c r="G1114" s="14" t="s">
        <v>354</v>
      </c>
      <c r="H1114" s="23" t="s">
        <v>170</v>
      </c>
      <c r="J1114" s="59" t="s">
        <v>38</v>
      </c>
      <c r="K1114" s="22" t="s">
        <v>254</v>
      </c>
      <c r="L1114" s="59" t="s">
        <v>171</v>
      </c>
      <c r="M1114" s="22">
        <v>2</v>
      </c>
      <c r="V1114" s="59" t="s">
        <v>176</v>
      </c>
      <c r="AL1114" s="59" t="s">
        <v>40</v>
      </c>
      <c r="AM1114" s="22" t="s">
        <v>188</v>
      </c>
      <c r="AV1114" s="59" t="s">
        <v>134</v>
      </c>
      <c r="AW1114" s="22" t="str">
        <f>Settings!$B$5 &amp;  "?s=" &amp; D1114 &amp; "&amp;platform=ftx"</f>
        <v>https://tokensol.nfluent.io?s=COR22D951&amp;platform=ftx</v>
      </c>
      <c r="AX1114" s="20" t="s">
        <v>23</v>
      </c>
      <c r="AY1114" s="20">
        <v>10</v>
      </c>
      <c r="AZ1114" s="20" t="s">
        <v>24</v>
      </c>
      <c r="BA1114" s="20">
        <v>90</v>
      </c>
      <c r="BD1114" s="14"/>
      <c r="BJ1114" t="s">
        <v>255</v>
      </c>
      <c r="BK1114" t="s">
        <v>184</v>
      </c>
      <c r="BN1114" s="36">
        <v>100</v>
      </c>
      <c r="BO1114" s="36">
        <v>100</v>
      </c>
      <c r="BP1114">
        <f t="shared" si="91"/>
        <v>480</v>
      </c>
      <c r="BR1114" s="38">
        <v>44713</v>
      </c>
      <c r="BS1114" s="20" t="s">
        <v>185</v>
      </c>
      <c r="BT1114" s="20" t="str">
        <f t="shared" si="92"/>
        <v>InCasa_COR22D951</v>
      </c>
    </row>
    <row r="1115" spans="2:72" ht="18.75" customHeight="1" x14ac:dyDescent="0.25">
      <c r="B1115" s="20">
        <f t="shared" si="93"/>
        <v>952</v>
      </c>
      <c r="C1115" s="22" t="str">
        <f t="shared" si="89"/>
        <v>In Casa #952</v>
      </c>
      <c r="D1115" t="str">
        <f t="shared" si="90"/>
        <v>COR22D952</v>
      </c>
      <c r="E1115" s="58" t="s">
        <v>252</v>
      </c>
      <c r="F1115" s="20">
        <v>1000</v>
      </c>
      <c r="G1115" s="14" t="s">
        <v>354</v>
      </c>
      <c r="H1115" s="23" t="s">
        <v>170</v>
      </c>
      <c r="J1115" s="59" t="s">
        <v>38</v>
      </c>
      <c r="K1115" s="22" t="s">
        <v>254</v>
      </c>
      <c r="L1115" s="59" t="s">
        <v>171</v>
      </c>
      <c r="M1115" s="22">
        <v>2</v>
      </c>
      <c r="V1115" s="59" t="s">
        <v>176</v>
      </c>
      <c r="AL1115" s="59" t="s">
        <v>40</v>
      </c>
      <c r="AM1115" s="22" t="s">
        <v>188</v>
      </c>
      <c r="AV1115" s="59" t="s">
        <v>134</v>
      </c>
      <c r="AW1115" s="22" t="str">
        <f>Settings!$B$5 &amp;  "?s=" &amp; D1115 &amp; "&amp;platform=ftx"</f>
        <v>https://tokensol.nfluent.io?s=COR22D952&amp;platform=ftx</v>
      </c>
      <c r="AX1115" s="20" t="s">
        <v>23</v>
      </c>
      <c r="AY1115" s="20">
        <v>10</v>
      </c>
      <c r="AZ1115" s="20" t="s">
        <v>24</v>
      </c>
      <c r="BA1115" s="20">
        <v>90</v>
      </c>
      <c r="BD1115" s="14"/>
      <c r="BJ1115" t="s">
        <v>255</v>
      </c>
      <c r="BK1115" t="s">
        <v>184</v>
      </c>
      <c r="BN1115" s="36">
        <v>100</v>
      </c>
      <c r="BO1115" s="36">
        <v>100</v>
      </c>
      <c r="BP1115">
        <f t="shared" si="91"/>
        <v>480</v>
      </c>
      <c r="BR1115" s="38">
        <v>44713</v>
      </c>
      <c r="BS1115" s="20" t="s">
        <v>185</v>
      </c>
      <c r="BT1115" s="20" t="str">
        <f t="shared" si="92"/>
        <v>InCasa_COR22D952</v>
      </c>
    </row>
    <row r="1116" spans="2:72" ht="18.75" customHeight="1" x14ac:dyDescent="0.25">
      <c r="B1116" s="20">
        <f t="shared" si="93"/>
        <v>953</v>
      </c>
      <c r="C1116" s="22" t="str">
        <f t="shared" si="89"/>
        <v>In Casa #953</v>
      </c>
      <c r="D1116" t="str">
        <f t="shared" si="90"/>
        <v>COR22D953</v>
      </c>
      <c r="E1116" s="58" t="s">
        <v>252</v>
      </c>
      <c r="F1116" s="20">
        <v>1000</v>
      </c>
      <c r="G1116" s="14" t="s">
        <v>354</v>
      </c>
      <c r="H1116" s="23" t="s">
        <v>170</v>
      </c>
      <c r="J1116" s="59" t="s">
        <v>38</v>
      </c>
      <c r="K1116" s="22" t="s">
        <v>254</v>
      </c>
      <c r="L1116" s="59" t="s">
        <v>171</v>
      </c>
      <c r="M1116" s="22">
        <v>2</v>
      </c>
      <c r="V1116" s="59" t="s">
        <v>176</v>
      </c>
      <c r="AL1116" s="59" t="s">
        <v>40</v>
      </c>
      <c r="AM1116" s="22" t="s">
        <v>188</v>
      </c>
      <c r="AV1116" s="59" t="s">
        <v>134</v>
      </c>
      <c r="AW1116" s="22" t="str">
        <f>Settings!$B$5 &amp;  "?s=" &amp; D1116 &amp; "&amp;platform=ftx"</f>
        <v>https://tokensol.nfluent.io?s=COR22D953&amp;platform=ftx</v>
      </c>
      <c r="AX1116" s="20" t="s">
        <v>23</v>
      </c>
      <c r="AY1116" s="20">
        <v>10</v>
      </c>
      <c r="AZ1116" s="20" t="s">
        <v>24</v>
      </c>
      <c r="BA1116" s="20">
        <v>90</v>
      </c>
      <c r="BD1116" s="14"/>
      <c r="BJ1116" t="s">
        <v>255</v>
      </c>
      <c r="BK1116" t="s">
        <v>184</v>
      </c>
      <c r="BN1116" s="36">
        <v>100</v>
      </c>
      <c r="BO1116" s="36">
        <v>100</v>
      </c>
      <c r="BP1116">
        <f t="shared" si="91"/>
        <v>480</v>
      </c>
      <c r="BR1116" s="38">
        <v>44713</v>
      </c>
      <c r="BS1116" s="20" t="s">
        <v>185</v>
      </c>
      <c r="BT1116" s="20" t="str">
        <f t="shared" si="92"/>
        <v>InCasa_COR22D953</v>
      </c>
    </row>
    <row r="1117" spans="2:72" ht="18.75" customHeight="1" x14ac:dyDescent="0.25">
      <c r="B1117" s="20">
        <f t="shared" si="93"/>
        <v>954</v>
      </c>
      <c r="C1117" s="22" t="str">
        <f t="shared" si="89"/>
        <v>In Casa #954</v>
      </c>
      <c r="D1117" t="str">
        <f t="shared" si="90"/>
        <v>COR22D954</v>
      </c>
      <c r="E1117" s="58" t="s">
        <v>252</v>
      </c>
      <c r="F1117" s="20">
        <v>1000</v>
      </c>
      <c r="G1117" s="14" t="s">
        <v>354</v>
      </c>
      <c r="H1117" s="23" t="s">
        <v>170</v>
      </c>
      <c r="J1117" s="59" t="s">
        <v>38</v>
      </c>
      <c r="K1117" s="22" t="s">
        <v>254</v>
      </c>
      <c r="L1117" s="59" t="s">
        <v>171</v>
      </c>
      <c r="M1117" s="22">
        <v>2</v>
      </c>
      <c r="V1117" s="59" t="s">
        <v>176</v>
      </c>
      <c r="AL1117" s="59" t="s">
        <v>40</v>
      </c>
      <c r="AM1117" s="22" t="s">
        <v>188</v>
      </c>
      <c r="AV1117" s="59" t="s">
        <v>134</v>
      </c>
      <c r="AW1117" s="22" t="str">
        <f>Settings!$B$5 &amp;  "?s=" &amp; D1117 &amp; "&amp;platform=ftx"</f>
        <v>https://tokensol.nfluent.io?s=COR22D954&amp;platform=ftx</v>
      </c>
      <c r="AX1117" s="20" t="s">
        <v>23</v>
      </c>
      <c r="AY1117" s="20">
        <v>10</v>
      </c>
      <c r="AZ1117" s="20" t="s">
        <v>24</v>
      </c>
      <c r="BA1117" s="20">
        <v>90</v>
      </c>
      <c r="BD1117" s="14"/>
      <c r="BJ1117" t="s">
        <v>255</v>
      </c>
      <c r="BK1117" t="s">
        <v>184</v>
      </c>
      <c r="BN1117" s="36">
        <v>100</v>
      </c>
      <c r="BO1117" s="36">
        <v>100</v>
      </c>
      <c r="BP1117">
        <f t="shared" si="91"/>
        <v>480</v>
      </c>
      <c r="BR1117" s="38">
        <v>44713</v>
      </c>
      <c r="BS1117" s="20" t="s">
        <v>185</v>
      </c>
      <c r="BT1117" s="20" t="str">
        <f t="shared" si="92"/>
        <v>InCasa_COR22D954</v>
      </c>
    </row>
    <row r="1118" spans="2:72" ht="18.75" customHeight="1" x14ac:dyDescent="0.25">
      <c r="B1118" s="20">
        <f t="shared" si="93"/>
        <v>955</v>
      </c>
      <c r="C1118" s="22" t="str">
        <f t="shared" si="89"/>
        <v>In Casa #955</v>
      </c>
      <c r="D1118" t="str">
        <f t="shared" si="90"/>
        <v>COR22D955</v>
      </c>
      <c r="E1118" s="58" t="s">
        <v>252</v>
      </c>
      <c r="F1118" s="20">
        <v>1000</v>
      </c>
      <c r="G1118" s="14" t="s">
        <v>354</v>
      </c>
      <c r="H1118" s="23" t="s">
        <v>170</v>
      </c>
      <c r="J1118" s="59" t="s">
        <v>38</v>
      </c>
      <c r="K1118" s="22" t="s">
        <v>254</v>
      </c>
      <c r="L1118" s="59" t="s">
        <v>171</v>
      </c>
      <c r="M1118" s="22">
        <v>2</v>
      </c>
      <c r="V1118" s="59" t="s">
        <v>176</v>
      </c>
      <c r="AL1118" s="59" t="s">
        <v>40</v>
      </c>
      <c r="AM1118" s="22" t="s">
        <v>188</v>
      </c>
      <c r="AV1118" s="59" t="s">
        <v>134</v>
      </c>
      <c r="AW1118" s="22" t="str">
        <f>Settings!$B$5 &amp;  "?s=" &amp; D1118 &amp; "&amp;platform=ftx"</f>
        <v>https://tokensol.nfluent.io?s=COR22D955&amp;platform=ftx</v>
      </c>
      <c r="AX1118" s="20" t="s">
        <v>23</v>
      </c>
      <c r="AY1118" s="20">
        <v>10</v>
      </c>
      <c r="AZ1118" s="20" t="s">
        <v>24</v>
      </c>
      <c r="BA1118" s="20">
        <v>90</v>
      </c>
      <c r="BD1118" s="14"/>
      <c r="BJ1118" t="s">
        <v>255</v>
      </c>
      <c r="BK1118" t="s">
        <v>184</v>
      </c>
      <c r="BN1118" s="36">
        <v>100</v>
      </c>
      <c r="BO1118" s="36">
        <v>100</v>
      </c>
      <c r="BP1118">
        <f t="shared" si="91"/>
        <v>480</v>
      </c>
      <c r="BR1118" s="38">
        <v>44713</v>
      </c>
      <c r="BS1118" s="20" t="s">
        <v>185</v>
      </c>
      <c r="BT1118" s="20" t="str">
        <f t="shared" si="92"/>
        <v>InCasa_COR22D955</v>
      </c>
    </row>
    <row r="1119" spans="2:72" ht="18.75" customHeight="1" x14ac:dyDescent="0.25">
      <c r="B1119" s="20">
        <f t="shared" si="93"/>
        <v>956</v>
      </c>
      <c r="C1119" s="22" t="str">
        <f t="shared" si="89"/>
        <v>In Casa #956</v>
      </c>
      <c r="D1119" t="str">
        <f t="shared" si="90"/>
        <v>COR22D956</v>
      </c>
      <c r="E1119" s="58" t="s">
        <v>252</v>
      </c>
      <c r="F1119" s="20">
        <v>1000</v>
      </c>
      <c r="G1119" s="14" t="s">
        <v>354</v>
      </c>
      <c r="H1119" s="23" t="s">
        <v>170</v>
      </c>
      <c r="J1119" s="59" t="s">
        <v>38</v>
      </c>
      <c r="K1119" s="22" t="s">
        <v>254</v>
      </c>
      <c r="L1119" s="59" t="s">
        <v>171</v>
      </c>
      <c r="M1119" s="22">
        <v>2</v>
      </c>
      <c r="V1119" s="59" t="s">
        <v>176</v>
      </c>
      <c r="AL1119" s="59" t="s">
        <v>40</v>
      </c>
      <c r="AM1119" s="22" t="s">
        <v>188</v>
      </c>
      <c r="AV1119" s="59" t="s">
        <v>134</v>
      </c>
      <c r="AW1119" s="22" t="str">
        <f>Settings!$B$5 &amp;  "?s=" &amp; D1119 &amp; "&amp;platform=ftx"</f>
        <v>https://tokensol.nfluent.io?s=COR22D956&amp;platform=ftx</v>
      </c>
      <c r="AX1119" s="20" t="s">
        <v>23</v>
      </c>
      <c r="AY1119" s="20">
        <v>10</v>
      </c>
      <c r="AZ1119" s="20" t="s">
        <v>24</v>
      </c>
      <c r="BA1119" s="20">
        <v>90</v>
      </c>
      <c r="BD1119" s="14"/>
      <c r="BJ1119" t="s">
        <v>255</v>
      </c>
      <c r="BK1119" t="s">
        <v>184</v>
      </c>
      <c r="BN1119" s="36">
        <v>100</v>
      </c>
      <c r="BO1119" s="36">
        <v>100</v>
      </c>
      <c r="BP1119">
        <f t="shared" si="91"/>
        <v>480</v>
      </c>
      <c r="BR1119" s="38">
        <v>44713</v>
      </c>
      <c r="BS1119" s="20" t="s">
        <v>185</v>
      </c>
      <c r="BT1119" s="20" t="str">
        <f t="shared" si="92"/>
        <v>InCasa_COR22D956</v>
      </c>
    </row>
    <row r="1120" spans="2:72" ht="18.75" customHeight="1" x14ac:dyDescent="0.25">
      <c r="B1120" s="20">
        <f t="shared" si="93"/>
        <v>957</v>
      </c>
      <c r="C1120" s="22" t="str">
        <f t="shared" si="89"/>
        <v>In Casa #957</v>
      </c>
      <c r="D1120" t="str">
        <f t="shared" si="90"/>
        <v>COR22D957</v>
      </c>
      <c r="E1120" s="58" t="s">
        <v>252</v>
      </c>
      <c r="F1120" s="20">
        <v>1000</v>
      </c>
      <c r="G1120" s="14" t="s">
        <v>354</v>
      </c>
      <c r="H1120" s="23" t="s">
        <v>170</v>
      </c>
      <c r="J1120" s="59" t="s">
        <v>38</v>
      </c>
      <c r="K1120" s="22" t="s">
        <v>254</v>
      </c>
      <c r="L1120" s="59" t="s">
        <v>171</v>
      </c>
      <c r="M1120" s="22">
        <v>2</v>
      </c>
      <c r="V1120" s="59" t="s">
        <v>176</v>
      </c>
      <c r="AL1120" s="59" t="s">
        <v>40</v>
      </c>
      <c r="AM1120" s="22" t="s">
        <v>188</v>
      </c>
      <c r="AV1120" s="59" t="s">
        <v>134</v>
      </c>
      <c r="AW1120" s="22" t="str">
        <f>Settings!$B$5 &amp;  "?s=" &amp; D1120 &amp; "&amp;platform=ftx"</f>
        <v>https://tokensol.nfluent.io?s=COR22D957&amp;platform=ftx</v>
      </c>
      <c r="AX1120" s="20" t="s">
        <v>23</v>
      </c>
      <c r="AY1120" s="20">
        <v>10</v>
      </c>
      <c r="AZ1120" s="20" t="s">
        <v>24</v>
      </c>
      <c r="BA1120" s="20">
        <v>90</v>
      </c>
      <c r="BD1120" s="14"/>
      <c r="BJ1120" t="s">
        <v>255</v>
      </c>
      <c r="BK1120" t="s">
        <v>184</v>
      </c>
      <c r="BN1120" s="36">
        <v>100</v>
      </c>
      <c r="BO1120" s="36">
        <v>100</v>
      </c>
      <c r="BP1120">
        <f t="shared" si="91"/>
        <v>480</v>
      </c>
      <c r="BR1120" s="38">
        <v>44713</v>
      </c>
      <c r="BS1120" s="20" t="s">
        <v>185</v>
      </c>
      <c r="BT1120" s="20" t="str">
        <f t="shared" si="92"/>
        <v>InCasa_COR22D957</v>
      </c>
    </row>
    <row r="1121" spans="2:72" ht="18.75" customHeight="1" x14ac:dyDescent="0.25">
      <c r="B1121" s="20">
        <f t="shared" si="93"/>
        <v>958</v>
      </c>
      <c r="C1121" s="22" t="str">
        <f t="shared" si="89"/>
        <v>In Casa #958</v>
      </c>
      <c r="D1121" t="str">
        <f t="shared" si="90"/>
        <v>COR22D958</v>
      </c>
      <c r="E1121" s="58" t="s">
        <v>252</v>
      </c>
      <c r="F1121" s="20">
        <v>1000</v>
      </c>
      <c r="G1121" s="14" t="s">
        <v>354</v>
      </c>
      <c r="H1121" s="23" t="s">
        <v>170</v>
      </c>
      <c r="J1121" s="59" t="s">
        <v>38</v>
      </c>
      <c r="K1121" s="22" t="s">
        <v>254</v>
      </c>
      <c r="L1121" s="59" t="s">
        <v>171</v>
      </c>
      <c r="M1121" s="22">
        <v>2</v>
      </c>
      <c r="V1121" s="59" t="s">
        <v>176</v>
      </c>
      <c r="AL1121" s="59" t="s">
        <v>40</v>
      </c>
      <c r="AM1121" s="22" t="s">
        <v>188</v>
      </c>
      <c r="AV1121" s="59" t="s">
        <v>134</v>
      </c>
      <c r="AW1121" s="22" t="str">
        <f>Settings!$B$5 &amp;  "?s=" &amp; D1121 &amp; "&amp;platform=ftx"</f>
        <v>https://tokensol.nfluent.io?s=COR22D958&amp;platform=ftx</v>
      </c>
      <c r="AX1121" s="20" t="s">
        <v>23</v>
      </c>
      <c r="AY1121" s="20">
        <v>10</v>
      </c>
      <c r="AZ1121" s="20" t="s">
        <v>24</v>
      </c>
      <c r="BA1121" s="20">
        <v>90</v>
      </c>
      <c r="BD1121" s="14"/>
      <c r="BJ1121" t="s">
        <v>255</v>
      </c>
      <c r="BK1121" t="s">
        <v>184</v>
      </c>
      <c r="BN1121" s="36">
        <v>100</v>
      </c>
      <c r="BO1121" s="36">
        <v>100</v>
      </c>
      <c r="BP1121">
        <f t="shared" si="91"/>
        <v>480</v>
      </c>
      <c r="BR1121" s="38">
        <v>44713</v>
      </c>
      <c r="BS1121" s="20" t="s">
        <v>185</v>
      </c>
      <c r="BT1121" s="20" t="str">
        <f t="shared" si="92"/>
        <v>InCasa_COR22D958</v>
      </c>
    </row>
    <row r="1122" spans="2:72" ht="18.75" customHeight="1" x14ac:dyDescent="0.25">
      <c r="B1122" s="20">
        <f t="shared" si="93"/>
        <v>959</v>
      </c>
      <c r="C1122" s="22" t="str">
        <f t="shared" si="89"/>
        <v>In Casa #959</v>
      </c>
      <c r="D1122" t="str">
        <f t="shared" si="90"/>
        <v>COR22D959</v>
      </c>
      <c r="E1122" s="58" t="s">
        <v>252</v>
      </c>
      <c r="F1122" s="20">
        <v>1000</v>
      </c>
      <c r="G1122" s="14" t="s">
        <v>354</v>
      </c>
      <c r="H1122" s="23" t="s">
        <v>170</v>
      </c>
      <c r="J1122" s="59" t="s">
        <v>38</v>
      </c>
      <c r="K1122" s="22" t="s">
        <v>254</v>
      </c>
      <c r="L1122" s="59" t="s">
        <v>171</v>
      </c>
      <c r="M1122" s="22">
        <v>2</v>
      </c>
      <c r="V1122" s="59" t="s">
        <v>176</v>
      </c>
      <c r="AL1122" s="59" t="s">
        <v>40</v>
      </c>
      <c r="AM1122" s="22" t="s">
        <v>188</v>
      </c>
      <c r="AV1122" s="59" t="s">
        <v>134</v>
      </c>
      <c r="AW1122" s="22" t="str">
        <f>Settings!$B$5 &amp;  "?s=" &amp; D1122 &amp; "&amp;platform=ftx"</f>
        <v>https://tokensol.nfluent.io?s=COR22D959&amp;platform=ftx</v>
      </c>
      <c r="AX1122" s="20" t="s">
        <v>23</v>
      </c>
      <c r="AY1122" s="20">
        <v>10</v>
      </c>
      <c r="AZ1122" s="20" t="s">
        <v>24</v>
      </c>
      <c r="BA1122" s="20">
        <v>90</v>
      </c>
      <c r="BD1122" s="14"/>
      <c r="BJ1122" t="s">
        <v>255</v>
      </c>
      <c r="BK1122" t="s">
        <v>184</v>
      </c>
      <c r="BN1122" s="36">
        <v>100</v>
      </c>
      <c r="BO1122" s="36">
        <v>100</v>
      </c>
      <c r="BP1122">
        <f t="shared" si="91"/>
        <v>480</v>
      </c>
      <c r="BR1122" s="38">
        <v>44713</v>
      </c>
      <c r="BS1122" s="20" t="s">
        <v>185</v>
      </c>
      <c r="BT1122" s="20" t="str">
        <f t="shared" si="92"/>
        <v>InCasa_COR22D959</v>
      </c>
    </row>
    <row r="1123" spans="2:72" ht="18.75" customHeight="1" x14ac:dyDescent="0.25">
      <c r="B1123" s="20">
        <f t="shared" si="93"/>
        <v>960</v>
      </c>
      <c r="C1123" s="22" t="str">
        <f t="shared" si="89"/>
        <v>In Casa #960</v>
      </c>
      <c r="D1123" t="str">
        <f t="shared" si="90"/>
        <v>COR22D960</v>
      </c>
      <c r="E1123" s="58" t="s">
        <v>252</v>
      </c>
      <c r="F1123" s="20">
        <v>1000</v>
      </c>
      <c r="G1123" s="14" t="s">
        <v>354</v>
      </c>
      <c r="H1123" s="23" t="s">
        <v>170</v>
      </c>
      <c r="J1123" s="59" t="s">
        <v>38</v>
      </c>
      <c r="K1123" s="22" t="s">
        <v>254</v>
      </c>
      <c r="L1123" s="59" t="s">
        <v>171</v>
      </c>
      <c r="M1123" s="22">
        <v>2</v>
      </c>
      <c r="V1123" s="59" t="s">
        <v>176</v>
      </c>
      <c r="AL1123" s="59" t="s">
        <v>40</v>
      </c>
      <c r="AM1123" s="22" t="s">
        <v>188</v>
      </c>
      <c r="AV1123" s="59" t="s">
        <v>134</v>
      </c>
      <c r="AW1123" s="22" t="str">
        <f>Settings!$B$5 &amp;  "?s=" &amp; D1123 &amp; "&amp;platform=ftx"</f>
        <v>https://tokensol.nfluent.io?s=COR22D960&amp;platform=ftx</v>
      </c>
      <c r="AX1123" s="20" t="s">
        <v>23</v>
      </c>
      <c r="AY1123" s="20">
        <v>10</v>
      </c>
      <c r="AZ1123" s="20" t="s">
        <v>24</v>
      </c>
      <c r="BA1123" s="20">
        <v>90</v>
      </c>
      <c r="BD1123" s="14"/>
      <c r="BJ1123" t="s">
        <v>255</v>
      </c>
      <c r="BK1123" t="s">
        <v>184</v>
      </c>
      <c r="BN1123" s="36">
        <v>100</v>
      </c>
      <c r="BO1123" s="36">
        <v>100</v>
      </c>
      <c r="BP1123">
        <f t="shared" si="91"/>
        <v>480</v>
      </c>
      <c r="BR1123" s="38">
        <v>44713</v>
      </c>
      <c r="BS1123" s="20" t="s">
        <v>185</v>
      </c>
      <c r="BT1123" s="20" t="str">
        <f t="shared" si="92"/>
        <v>InCasa_COR22D960</v>
      </c>
    </row>
    <row r="1124" spans="2:72" ht="18.75" customHeight="1" x14ac:dyDescent="0.25">
      <c r="B1124" s="20">
        <f t="shared" si="93"/>
        <v>961</v>
      </c>
      <c r="C1124" s="22" t="str">
        <f t="shared" si="89"/>
        <v>In Casa #961</v>
      </c>
      <c r="D1124" t="str">
        <f t="shared" si="90"/>
        <v>COR22D961</v>
      </c>
      <c r="E1124" s="58" t="s">
        <v>252</v>
      </c>
      <c r="F1124" s="20">
        <v>1000</v>
      </c>
      <c r="G1124" s="14" t="s">
        <v>354</v>
      </c>
      <c r="H1124" s="23" t="s">
        <v>170</v>
      </c>
      <c r="J1124" s="59" t="s">
        <v>38</v>
      </c>
      <c r="K1124" s="22" t="s">
        <v>254</v>
      </c>
      <c r="L1124" s="59" t="s">
        <v>171</v>
      </c>
      <c r="M1124" s="22">
        <v>2</v>
      </c>
      <c r="V1124" s="59" t="s">
        <v>176</v>
      </c>
      <c r="AL1124" s="59" t="s">
        <v>40</v>
      </c>
      <c r="AM1124" s="22" t="s">
        <v>188</v>
      </c>
      <c r="AV1124" s="59" t="s">
        <v>134</v>
      </c>
      <c r="AW1124" s="22" t="str">
        <f>Settings!$B$5 &amp;  "?s=" &amp; D1124 &amp; "&amp;platform=ftx"</f>
        <v>https://tokensol.nfluent.io?s=COR22D961&amp;platform=ftx</v>
      </c>
      <c r="AX1124" s="20" t="s">
        <v>23</v>
      </c>
      <c r="AY1124" s="20">
        <v>10</v>
      </c>
      <c r="AZ1124" s="20" t="s">
        <v>24</v>
      </c>
      <c r="BA1124" s="20">
        <v>90</v>
      </c>
      <c r="BD1124" s="14"/>
      <c r="BJ1124" t="s">
        <v>255</v>
      </c>
      <c r="BK1124" t="s">
        <v>184</v>
      </c>
      <c r="BN1124" s="36">
        <v>100</v>
      </c>
      <c r="BO1124" s="36">
        <v>100</v>
      </c>
      <c r="BP1124">
        <f t="shared" si="91"/>
        <v>480</v>
      </c>
      <c r="BR1124" s="38">
        <v>44713</v>
      </c>
      <c r="BS1124" s="20" t="s">
        <v>185</v>
      </c>
      <c r="BT1124" s="20" t="str">
        <f t="shared" si="92"/>
        <v>InCasa_COR22D961</v>
      </c>
    </row>
    <row r="1125" spans="2:72" ht="18.75" customHeight="1" x14ac:dyDescent="0.25">
      <c r="B1125" s="20">
        <f t="shared" si="93"/>
        <v>962</v>
      </c>
      <c r="C1125" s="22" t="str">
        <f t="shared" ref="C1125:C1163" si="94">+"In Casa #"&amp;B1125</f>
        <v>In Casa #962</v>
      </c>
      <c r="D1125" t="str">
        <f t="shared" ref="D1125:D1163" si="95">"COR22D"&amp;B1125</f>
        <v>COR22D962</v>
      </c>
      <c r="E1125" s="58" t="s">
        <v>252</v>
      </c>
      <c r="F1125" s="20">
        <v>1000</v>
      </c>
      <c r="G1125" s="14" t="s">
        <v>354</v>
      </c>
      <c r="H1125" s="23" t="s">
        <v>170</v>
      </c>
      <c r="J1125" s="59" t="s">
        <v>38</v>
      </c>
      <c r="K1125" s="22" t="s">
        <v>254</v>
      </c>
      <c r="L1125" s="59" t="s">
        <v>171</v>
      </c>
      <c r="M1125" s="22">
        <v>2</v>
      </c>
      <c r="V1125" s="59" t="s">
        <v>176</v>
      </c>
      <c r="AL1125" s="59" t="s">
        <v>40</v>
      </c>
      <c r="AM1125" s="22" t="s">
        <v>188</v>
      </c>
      <c r="AV1125" s="59" t="s">
        <v>134</v>
      </c>
      <c r="AW1125" s="22" t="str">
        <f>Settings!$B$5 &amp;  "?s=" &amp; D1125 &amp; "&amp;platform=ftx"</f>
        <v>https://tokensol.nfluent.io?s=COR22D962&amp;platform=ftx</v>
      </c>
      <c r="AX1125" s="20" t="s">
        <v>23</v>
      </c>
      <c r="AY1125" s="20">
        <v>10</v>
      </c>
      <c r="AZ1125" s="20" t="s">
        <v>24</v>
      </c>
      <c r="BA1125" s="20">
        <v>90</v>
      </c>
      <c r="BD1125" s="14"/>
      <c r="BJ1125" t="s">
        <v>255</v>
      </c>
      <c r="BK1125" t="s">
        <v>184</v>
      </c>
      <c r="BN1125" s="36">
        <v>100</v>
      </c>
      <c r="BO1125" s="36">
        <v>100</v>
      </c>
      <c r="BP1125">
        <f t="shared" ref="BP1125:BP1163" si="96">24*20</f>
        <v>480</v>
      </c>
      <c r="BR1125" s="38">
        <v>44713</v>
      </c>
      <c r="BS1125" s="20" t="s">
        <v>185</v>
      </c>
      <c r="BT1125" s="20" t="str">
        <f t="shared" si="92"/>
        <v>InCasa_COR22D962</v>
      </c>
    </row>
    <row r="1126" spans="2:72" ht="18.75" customHeight="1" x14ac:dyDescent="0.25">
      <c r="B1126" s="20">
        <f t="shared" si="93"/>
        <v>963</v>
      </c>
      <c r="C1126" s="22" t="str">
        <f t="shared" si="94"/>
        <v>In Casa #963</v>
      </c>
      <c r="D1126" t="str">
        <f t="shared" si="95"/>
        <v>COR22D963</v>
      </c>
      <c r="E1126" s="58" t="s">
        <v>252</v>
      </c>
      <c r="F1126" s="20">
        <v>1000</v>
      </c>
      <c r="G1126" s="14" t="s">
        <v>354</v>
      </c>
      <c r="H1126" s="23" t="s">
        <v>170</v>
      </c>
      <c r="J1126" s="59" t="s">
        <v>38</v>
      </c>
      <c r="K1126" s="22" t="s">
        <v>254</v>
      </c>
      <c r="L1126" s="59" t="s">
        <v>171</v>
      </c>
      <c r="M1126" s="22">
        <v>2</v>
      </c>
      <c r="V1126" s="59" t="s">
        <v>176</v>
      </c>
      <c r="AL1126" s="59" t="s">
        <v>40</v>
      </c>
      <c r="AM1126" s="22" t="s">
        <v>188</v>
      </c>
      <c r="AV1126" s="59" t="s">
        <v>134</v>
      </c>
      <c r="AW1126" s="22" t="str">
        <f>Settings!$B$5 &amp;  "?s=" &amp; D1126 &amp; "&amp;platform=ftx"</f>
        <v>https://tokensol.nfluent.io?s=COR22D963&amp;platform=ftx</v>
      </c>
      <c r="AX1126" s="20" t="s">
        <v>23</v>
      </c>
      <c r="AY1126" s="20">
        <v>10</v>
      </c>
      <c r="AZ1126" s="20" t="s">
        <v>24</v>
      </c>
      <c r="BA1126" s="20">
        <v>90</v>
      </c>
      <c r="BD1126" s="14"/>
      <c r="BJ1126" t="s">
        <v>255</v>
      </c>
      <c r="BK1126" t="s">
        <v>184</v>
      </c>
      <c r="BN1126" s="36">
        <v>100</v>
      </c>
      <c r="BO1126" s="36">
        <v>100</v>
      </c>
      <c r="BP1126">
        <f t="shared" si="96"/>
        <v>480</v>
      </c>
      <c r="BR1126" s="38">
        <v>44713</v>
      </c>
      <c r="BS1126" s="20" t="s">
        <v>185</v>
      </c>
      <c r="BT1126" s="20" t="str">
        <f t="shared" si="92"/>
        <v>InCasa_COR22D963</v>
      </c>
    </row>
    <row r="1127" spans="2:72" ht="18.75" customHeight="1" x14ac:dyDescent="0.25">
      <c r="B1127" s="20">
        <f t="shared" si="93"/>
        <v>964</v>
      </c>
      <c r="C1127" s="22" t="str">
        <f t="shared" si="94"/>
        <v>In Casa #964</v>
      </c>
      <c r="D1127" t="str">
        <f t="shared" si="95"/>
        <v>COR22D964</v>
      </c>
      <c r="E1127" s="58" t="s">
        <v>252</v>
      </c>
      <c r="F1127" s="20">
        <v>1000</v>
      </c>
      <c r="G1127" s="14" t="s">
        <v>354</v>
      </c>
      <c r="H1127" s="23" t="s">
        <v>170</v>
      </c>
      <c r="J1127" s="59" t="s">
        <v>38</v>
      </c>
      <c r="K1127" s="22" t="s">
        <v>254</v>
      </c>
      <c r="L1127" s="59" t="s">
        <v>171</v>
      </c>
      <c r="M1127" s="22">
        <v>2</v>
      </c>
      <c r="V1127" s="59" t="s">
        <v>176</v>
      </c>
      <c r="AL1127" s="59" t="s">
        <v>40</v>
      </c>
      <c r="AM1127" s="22" t="s">
        <v>188</v>
      </c>
      <c r="AV1127" s="59" t="s">
        <v>134</v>
      </c>
      <c r="AW1127" s="22" t="str">
        <f>Settings!$B$5 &amp;  "?s=" &amp; D1127 &amp; "&amp;platform=ftx"</f>
        <v>https://tokensol.nfluent.io?s=COR22D964&amp;platform=ftx</v>
      </c>
      <c r="AX1127" s="20" t="s">
        <v>23</v>
      </c>
      <c r="AY1127" s="20">
        <v>10</v>
      </c>
      <c r="AZ1127" s="20" t="s">
        <v>24</v>
      </c>
      <c r="BA1127" s="20">
        <v>90</v>
      </c>
      <c r="BD1127" s="14"/>
      <c r="BJ1127" t="s">
        <v>255</v>
      </c>
      <c r="BK1127" t="s">
        <v>184</v>
      </c>
      <c r="BN1127" s="36">
        <v>100</v>
      </c>
      <c r="BO1127" s="36">
        <v>100</v>
      </c>
      <c r="BP1127">
        <f t="shared" si="96"/>
        <v>480</v>
      </c>
      <c r="BR1127" s="38">
        <v>44713</v>
      </c>
      <c r="BS1127" s="20" t="s">
        <v>185</v>
      </c>
      <c r="BT1127" s="20" t="str">
        <f t="shared" si="92"/>
        <v>InCasa_COR22D964</v>
      </c>
    </row>
    <row r="1128" spans="2:72" ht="18.75" customHeight="1" x14ac:dyDescent="0.25">
      <c r="B1128" s="20">
        <f t="shared" si="93"/>
        <v>965</v>
      </c>
      <c r="C1128" s="22" t="str">
        <f t="shared" si="94"/>
        <v>In Casa #965</v>
      </c>
      <c r="D1128" t="str">
        <f t="shared" si="95"/>
        <v>COR22D965</v>
      </c>
      <c r="E1128" s="58" t="s">
        <v>252</v>
      </c>
      <c r="F1128" s="20">
        <v>1000</v>
      </c>
      <c r="G1128" s="14" t="s">
        <v>354</v>
      </c>
      <c r="H1128" s="23" t="s">
        <v>170</v>
      </c>
      <c r="J1128" s="59" t="s">
        <v>38</v>
      </c>
      <c r="K1128" s="22" t="s">
        <v>254</v>
      </c>
      <c r="L1128" s="59" t="s">
        <v>171</v>
      </c>
      <c r="M1128" s="22">
        <v>2</v>
      </c>
      <c r="V1128" s="59" t="s">
        <v>176</v>
      </c>
      <c r="AL1128" s="59" t="s">
        <v>40</v>
      </c>
      <c r="AM1128" s="22" t="s">
        <v>188</v>
      </c>
      <c r="AV1128" s="59" t="s">
        <v>134</v>
      </c>
      <c r="AW1128" s="22" t="str">
        <f>Settings!$B$5 &amp;  "?s=" &amp; D1128 &amp; "&amp;platform=ftx"</f>
        <v>https://tokensol.nfluent.io?s=COR22D965&amp;platform=ftx</v>
      </c>
      <c r="AX1128" s="20" t="s">
        <v>23</v>
      </c>
      <c r="AY1128" s="20">
        <v>10</v>
      </c>
      <c r="AZ1128" s="20" t="s">
        <v>24</v>
      </c>
      <c r="BA1128" s="20">
        <v>90</v>
      </c>
      <c r="BD1128" s="14"/>
      <c r="BJ1128" t="s">
        <v>255</v>
      </c>
      <c r="BK1128" t="s">
        <v>184</v>
      </c>
      <c r="BN1128" s="36">
        <v>100</v>
      </c>
      <c r="BO1128" s="36">
        <v>100</v>
      </c>
      <c r="BP1128">
        <f t="shared" si="96"/>
        <v>480</v>
      </c>
      <c r="BR1128" s="38">
        <v>44713</v>
      </c>
      <c r="BS1128" s="20" t="s">
        <v>185</v>
      </c>
      <c r="BT1128" s="20" t="str">
        <f t="shared" si="92"/>
        <v>InCasa_COR22D965</v>
      </c>
    </row>
    <row r="1129" spans="2:72" ht="18.75" customHeight="1" x14ac:dyDescent="0.25">
      <c r="B1129" s="20">
        <f t="shared" si="93"/>
        <v>966</v>
      </c>
      <c r="C1129" s="22" t="str">
        <f t="shared" si="94"/>
        <v>In Casa #966</v>
      </c>
      <c r="D1129" t="str">
        <f t="shared" si="95"/>
        <v>COR22D966</v>
      </c>
      <c r="E1129" s="58" t="s">
        <v>252</v>
      </c>
      <c r="F1129" s="20">
        <v>1000</v>
      </c>
      <c r="G1129" s="14" t="s">
        <v>354</v>
      </c>
      <c r="H1129" s="23" t="s">
        <v>170</v>
      </c>
      <c r="J1129" s="59" t="s">
        <v>38</v>
      </c>
      <c r="K1129" s="22" t="s">
        <v>254</v>
      </c>
      <c r="L1129" s="59" t="s">
        <v>171</v>
      </c>
      <c r="M1129" s="22">
        <v>2</v>
      </c>
      <c r="V1129" s="59" t="s">
        <v>176</v>
      </c>
      <c r="AL1129" s="59" t="s">
        <v>40</v>
      </c>
      <c r="AM1129" s="22" t="s">
        <v>188</v>
      </c>
      <c r="AV1129" s="59" t="s">
        <v>134</v>
      </c>
      <c r="AW1129" s="22" t="str">
        <f>Settings!$B$5 &amp;  "?s=" &amp; D1129 &amp; "&amp;platform=ftx"</f>
        <v>https://tokensol.nfluent.io?s=COR22D966&amp;platform=ftx</v>
      </c>
      <c r="AX1129" s="20" t="s">
        <v>23</v>
      </c>
      <c r="AY1129" s="20">
        <v>10</v>
      </c>
      <c r="AZ1129" s="20" t="s">
        <v>24</v>
      </c>
      <c r="BA1129" s="20">
        <v>90</v>
      </c>
      <c r="BD1129" s="14"/>
      <c r="BJ1129" t="s">
        <v>255</v>
      </c>
      <c r="BK1129" t="s">
        <v>184</v>
      </c>
      <c r="BN1129" s="36">
        <v>100</v>
      </c>
      <c r="BO1129" s="36">
        <v>100</v>
      </c>
      <c r="BP1129">
        <f t="shared" si="96"/>
        <v>480</v>
      </c>
      <c r="BR1129" s="38">
        <v>44713</v>
      </c>
      <c r="BS1129" s="20" t="s">
        <v>185</v>
      </c>
      <c r="BT1129" s="20" t="str">
        <f t="shared" si="92"/>
        <v>InCasa_COR22D966</v>
      </c>
    </row>
    <row r="1130" spans="2:72" ht="18.75" customHeight="1" x14ac:dyDescent="0.25">
      <c r="B1130" s="20">
        <f t="shared" si="93"/>
        <v>967</v>
      </c>
      <c r="C1130" s="22" t="str">
        <f t="shared" si="94"/>
        <v>In Casa #967</v>
      </c>
      <c r="D1130" t="str">
        <f t="shared" si="95"/>
        <v>COR22D967</v>
      </c>
      <c r="E1130" s="58" t="s">
        <v>252</v>
      </c>
      <c r="F1130" s="20">
        <v>1000</v>
      </c>
      <c r="G1130" s="14" t="s">
        <v>354</v>
      </c>
      <c r="H1130" s="23" t="s">
        <v>170</v>
      </c>
      <c r="J1130" s="59" t="s">
        <v>38</v>
      </c>
      <c r="K1130" s="22" t="s">
        <v>254</v>
      </c>
      <c r="L1130" s="59" t="s">
        <v>171</v>
      </c>
      <c r="M1130" s="22">
        <v>2</v>
      </c>
      <c r="V1130" s="59" t="s">
        <v>176</v>
      </c>
      <c r="AL1130" s="59" t="s">
        <v>40</v>
      </c>
      <c r="AM1130" s="22" t="s">
        <v>188</v>
      </c>
      <c r="AV1130" s="59" t="s">
        <v>134</v>
      </c>
      <c r="AW1130" s="22" t="str">
        <f>Settings!$B$5 &amp;  "?s=" &amp; D1130 &amp; "&amp;platform=ftx"</f>
        <v>https://tokensol.nfluent.io?s=COR22D967&amp;platform=ftx</v>
      </c>
      <c r="AX1130" s="20" t="s">
        <v>23</v>
      </c>
      <c r="AY1130" s="20">
        <v>10</v>
      </c>
      <c r="AZ1130" s="20" t="s">
        <v>24</v>
      </c>
      <c r="BA1130" s="20">
        <v>90</v>
      </c>
      <c r="BD1130" s="14"/>
      <c r="BJ1130" t="s">
        <v>255</v>
      </c>
      <c r="BK1130" t="s">
        <v>184</v>
      </c>
      <c r="BN1130" s="36">
        <v>100</v>
      </c>
      <c r="BO1130" s="36">
        <v>100</v>
      </c>
      <c r="BP1130">
        <f t="shared" si="96"/>
        <v>480</v>
      </c>
      <c r="BR1130" s="38">
        <v>44713</v>
      </c>
      <c r="BS1130" s="20" t="s">
        <v>185</v>
      </c>
      <c r="BT1130" s="20" t="str">
        <f t="shared" si="92"/>
        <v>InCasa_COR22D967</v>
      </c>
    </row>
    <row r="1131" spans="2:72" ht="18.75" customHeight="1" x14ac:dyDescent="0.25">
      <c r="B1131" s="20">
        <f t="shared" si="93"/>
        <v>968</v>
      </c>
      <c r="C1131" s="22" t="str">
        <f t="shared" si="94"/>
        <v>In Casa #968</v>
      </c>
      <c r="D1131" t="str">
        <f t="shared" si="95"/>
        <v>COR22D968</v>
      </c>
      <c r="E1131" s="58" t="s">
        <v>252</v>
      </c>
      <c r="F1131" s="20">
        <v>1000</v>
      </c>
      <c r="G1131" s="14" t="s">
        <v>354</v>
      </c>
      <c r="H1131" s="23" t="s">
        <v>170</v>
      </c>
      <c r="J1131" s="59" t="s">
        <v>38</v>
      </c>
      <c r="K1131" s="22" t="s">
        <v>254</v>
      </c>
      <c r="L1131" s="59" t="s">
        <v>171</v>
      </c>
      <c r="M1131" s="22">
        <v>2</v>
      </c>
      <c r="V1131" s="59" t="s">
        <v>176</v>
      </c>
      <c r="AL1131" s="59" t="s">
        <v>40</v>
      </c>
      <c r="AM1131" s="22" t="s">
        <v>188</v>
      </c>
      <c r="AV1131" s="59" t="s">
        <v>134</v>
      </c>
      <c r="AW1131" s="22" t="str">
        <f>Settings!$B$5 &amp;  "?s=" &amp; D1131 &amp; "&amp;platform=ftx"</f>
        <v>https://tokensol.nfluent.io?s=COR22D968&amp;platform=ftx</v>
      </c>
      <c r="AX1131" s="20" t="s">
        <v>23</v>
      </c>
      <c r="AY1131" s="20">
        <v>10</v>
      </c>
      <c r="AZ1131" s="20" t="s">
        <v>24</v>
      </c>
      <c r="BA1131" s="20">
        <v>90</v>
      </c>
      <c r="BD1131" s="14"/>
      <c r="BJ1131" t="s">
        <v>255</v>
      </c>
      <c r="BK1131" t="s">
        <v>184</v>
      </c>
      <c r="BN1131" s="36">
        <v>100</v>
      </c>
      <c r="BO1131" s="36">
        <v>100</v>
      </c>
      <c r="BP1131">
        <f t="shared" si="96"/>
        <v>480</v>
      </c>
      <c r="BR1131" s="38">
        <v>44713</v>
      </c>
      <c r="BS1131" s="20" t="s">
        <v>185</v>
      </c>
      <c r="BT1131" s="20" t="str">
        <f t="shared" si="92"/>
        <v>InCasa_COR22D968</v>
      </c>
    </row>
    <row r="1132" spans="2:72" ht="18.75" customHeight="1" x14ac:dyDescent="0.25">
      <c r="B1132" s="20">
        <f t="shared" si="93"/>
        <v>969</v>
      </c>
      <c r="C1132" s="22" t="str">
        <f t="shared" si="94"/>
        <v>In Casa #969</v>
      </c>
      <c r="D1132" t="str">
        <f t="shared" si="95"/>
        <v>COR22D969</v>
      </c>
      <c r="E1132" s="58" t="s">
        <v>252</v>
      </c>
      <c r="F1132" s="20">
        <v>1000</v>
      </c>
      <c r="G1132" s="14" t="s">
        <v>354</v>
      </c>
      <c r="H1132" s="23" t="s">
        <v>170</v>
      </c>
      <c r="J1132" s="59" t="s">
        <v>38</v>
      </c>
      <c r="K1132" s="22" t="s">
        <v>254</v>
      </c>
      <c r="L1132" s="59" t="s">
        <v>171</v>
      </c>
      <c r="M1132" s="22">
        <v>2</v>
      </c>
      <c r="V1132" s="59" t="s">
        <v>176</v>
      </c>
      <c r="AL1132" s="59" t="s">
        <v>40</v>
      </c>
      <c r="AM1132" s="22" t="s">
        <v>188</v>
      </c>
      <c r="AV1132" s="59" t="s">
        <v>134</v>
      </c>
      <c r="AW1132" s="22" t="str">
        <f>Settings!$B$5 &amp;  "?s=" &amp; D1132 &amp; "&amp;platform=ftx"</f>
        <v>https://tokensol.nfluent.io?s=COR22D969&amp;platform=ftx</v>
      </c>
      <c r="AX1132" s="20" t="s">
        <v>23</v>
      </c>
      <c r="AY1132" s="20">
        <v>10</v>
      </c>
      <c r="AZ1132" s="20" t="s">
        <v>24</v>
      </c>
      <c r="BA1132" s="20">
        <v>90</v>
      </c>
      <c r="BD1132" s="14"/>
      <c r="BJ1132" t="s">
        <v>255</v>
      </c>
      <c r="BK1132" t="s">
        <v>184</v>
      </c>
      <c r="BN1132" s="36">
        <v>100</v>
      </c>
      <c r="BO1132" s="36">
        <v>100</v>
      </c>
      <c r="BP1132">
        <f t="shared" si="96"/>
        <v>480</v>
      </c>
      <c r="BR1132" s="38">
        <v>44713</v>
      </c>
      <c r="BS1132" s="20" t="s">
        <v>185</v>
      </c>
      <c r="BT1132" s="20" t="str">
        <f t="shared" si="92"/>
        <v>InCasa_COR22D969</v>
      </c>
    </row>
    <row r="1133" spans="2:72" ht="18.75" customHeight="1" x14ac:dyDescent="0.25">
      <c r="B1133" s="20">
        <f t="shared" si="93"/>
        <v>970</v>
      </c>
      <c r="C1133" s="22" t="str">
        <f t="shared" si="94"/>
        <v>In Casa #970</v>
      </c>
      <c r="D1133" t="str">
        <f t="shared" si="95"/>
        <v>COR22D970</v>
      </c>
      <c r="E1133" s="58" t="s">
        <v>252</v>
      </c>
      <c r="F1133" s="20">
        <v>1000</v>
      </c>
      <c r="G1133" s="14" t="s">
        <v>354</v>
      </c>
      <c r="H1133" s="23" t="s">
        <v>170</v>
      </c>
      <c r="J1133" s="59" t="s">
        <v>38</v>
      </c>
      <c r="K1133" s="22" t="s">
        <v>254</v>
      </c>
      <c r="L1133" s="59" t="s">
        <v>171</v>
      </c>
      <c r="M1133" s="22">
        <v>2</v>
      </c>
      <c r="V1133" s="59" t="s">
        <v>176</v>
      </c>
      <c r="AL1133" s="59" t="s">
        <v>40</v>
      </c>
      <c r="AM1133" s="22" t="s">
        <v>188</v>
      </c>
      <c r="AV1133" s="59" t="s">
        <v>134</v>
      </c>
      <c r="AW1133" s="22" t="str">
        <f>Settings!$B$5 &amp;  "?s=" &amp; D1133 &amp; "&amp;platform=ftx"</f>
        <v>https://tokensol.nfluent.io?s=COR22D970&amp;platform=ftx</v>
      </c>
      <c r="AX1133" s="20" t="s">
        <v>23</v>
      </c>
      <c r="AY1133" s="20">
        <v>10</v>
      </c>
      <c r="AZ1133" s="20" t="s">
        <v>24</v>
      </c>
      <c r="BA1133" s="20">
        <v>90</v>
      </c>
      <c r="BD1133" s="14"/>
      <c r="BJ1133" t="s">
        <v>255</v>
      </c>
      <c r="BK1133" t="s">
        <v>184</v>
      </c>
      <c r="BN1133" s="36">
        <v>100</v>
      </c>
      <c r="BO1133" s="36">
        <v>100</v>
      </c>
      <c r="BP1133">
        <f t="shared" si="96"/>
        <v>480</v>
      </c>
      <c r="BR1133" s="38">
        <v>44713</v>
      </c>
      <c r="BS1133" s="20" t="s">
        <v>185</v>
      </c>
      <c r="BT1133" s="20" t="str">
        <f t="shared" si="92"/>
        <v>InCasa_COR22D970</v>
      </c>
    </row>
    <row r="1134" spans="2:72" ht="18.75" customHeight="1" x14ac:dyDescent="0.25">
      <c r="B1134" s="20">
        <f t="shared" si="93"/>
        <v>971</v>
      </c>
      <c r="C1134" s="22" t="str">
        <f t="shared" si="94"/>
        <v>In Casa #971</v>
      </c>
      <c r="D1134" t="str">
        <f t="shared" si="95"/>
        <v>COR22D971</v>
      </c>
      <c r="E1134" s="58" t="s">
        <v>252</v>
      </c>
      <c r="F1134" s="20">
        <v>1000</v>
      </c>
      <c r="G1134" s="14" t="s">
        <v>354</v>
      </c>
      <c r="H1134" s="23" t="s">
        <v>170</v>
      </c>
      <c r="J1134" s="59" t="s">
        <v>38</v>
      </c>
      <c r="K1134" s="22" t="s">
        <v>254</v>
      </c>
      <c r="L1134" s="59" t="s">
        <v>171</v>
      </c>
      <c r="M1134" s="22">
        <v>2</v>
      </c>
      <c r="V1134" s="59" t="s">
        <v>176</v>
      </c>
      <c r="AL1134" s="59" t="s">
        <v>40</v>
      </c>
      <c r="AM1134" s="22" t="s">
        <v>188</v>
      </c>
      <c r="AV1134" s="59" t="s">
        <v>134</v>
      </c>
      <c r="AW1134" s="22" t="str">
        <f>Settings!$B$5 &amp;  "?s=" &amp; D1134 &amp; "&amp;platform=ftx"</f>
        <v>https://tokensol.nfluent.io?s=COR22D971&amp;platform=ftx</v>
      </c>
      <c r="AX1134" s="20" t="s">
        <v>23</v>
      </c>
      <c r="AY1134" s="20">
        <v>10</v>
      </c>
      <c r="AZ1134" s="20" t="s">
        <v>24</v>
      </c>
      <c r="BA1134" s="20">
        <v>90</v>
      </c>
      <c r="BD1134" s="14"/>
      <c r="BJ1134" t="s">
        <v>255</v>
      </c>
      <c r="BK1134" t="s">
        <v>184</v>
      </c>
      <c r="BN1134" s="36">
        <v>100</v>
      </c>
      <c r="BO1134" s="36">
        <v>100</v>
      </c>
      <c r="BP1134">
        <f t="shared" si="96"/>
        <v>480</v>
      </c>
      <c r="BR1134" s="38">
        <v>44713</v>
      </c>
      <c r="BS1134" s="20" t="s">
        <v>185</v>
      </c>
      <c r="BT1134" s="20" t="str">
        <f t="shared" si="92"/>
        <v>InCasa_COR22D971</v>
      </c>
    </row>
    <row r="1135" spans="2:72" ht="18.75" customHeight="1" x14ac:dyDescent="0.25">
      <c r="B1135" s="20">
        <f t="shared" si="93"/>
        <v>972</v>
      </c>
      <c r="C1135" s="22" t="str">
        <f t="shared" si="94"/>
        <v>In Casa #972</v>
      </c>
      <c r="D1135" t="str">
        <f t="shared" si="95"/>
        <v>COR22D972</v>
      </c>
      <c r="E1135" s="58" t="s">
        <v>252</v>
      </c>
      <c r="F1135" s="20">
        <v>1000</v>
      </c>
      <c r="G1135" s="14" t="s">
        <v>354</v>
      </c>
      <c r="H1135" s="23" t="s">
        <v>170</v>
      </c>
      <c r="J1135" s="59" t="s">
        <v>38</v>
      </c>
      <c r="K1135" s="22" t="s">
        <v>254</v>
      </c>
      <c r="L1135" s="59" t="s">
        <v>171</v>
      </c>
      <c r="M1135" s="22">
        <v>2</v>
      </c>
      <c r="V1135" s="59" t="s">
        <v>176</v>
      </c>
      <c r="AL1135" s="59" t="s">
        <v>40</v>
      </c>
      <c r="AM1135" s="22" t="s">
        <v>188</v>
      </c>
      <c r="AV1135" s="59" t="s">
        <v>134</v>
      </c>
      <c r="AW1135" s="22" t="str">
        <f>Settings!$B$5 &amp;  "?s=" &amp; D1135 &amp; "&amp;platform=ftx"</f>
        <v>https://tokensol.nfluent.io?s=COR22D972&amp;platform=ftx</v>
      </c>
      <c r="AX1135" s="20" t="s">
        <v>23</v>
      </c>
      <c r="AY1135" s="20">
        <v>10</v>
      </c>
      <c r="AZ1135" s="20" t="s">
        <v>24</v>
      </c>
      <c r="BA1135" s="20">
        <v>90</v>
      </c>
      <c r="BD1135" s="14"/>
      <c r="BJ1135" t="s">
        <v>255</v>
      </c>
      <c r="BK1135" t="s">
        <v>184</v>
      </c>
      <c r="BN1135" s="36">
        <v>100</v>
      </c>
      <c r="BO1135" s="36">
        <v>100</v>
      </c>
      <c r="BP1135">
        <f t="shared" si="96"/>
        <v>480</v>
      </c>
      <c r="BR1135" s="38">
        <v>44713</v>
      </c>
      <c r="BS1135" s="20" t="s">
        <v>185</v>
      </c>
      <c r="BT1135" s="20" t="str">
        <f t="shared" si="92"/>
        <v>InCasa_COR22D972</v>
      </c>
    </row>
    <row r="1136" spans="2:72" ht="18.75" customHeight="1" x14ac:dyDescent="0.25">
      <c r="B1136" s="20">
        <f t="shared" si="93"/>
        <v>973</v>
      </c>
      <c r="C1136" s="22" t="str">
        <f t="shared" si="94"/>
        <v>In Casa #973</v>
      </c>
      <c r="D1136" t="str">
        <f t="shared" si="95"/>
        <v>COR22D973</v>
      </c>
      <c r="E1136" s="58" t="s">
        <v>252</v>
      </c>
      <c r="F1136" s="20">
        <v>1000</v>
      </c>
      <c r="G1136" s="14" t="s">
        <v>354</v>
      </c>
      <c r="H1136" s="23" t="s">
        <v>170</v>
      </c>
      <c r="J1136" s="59" t="s">
        <v>38</v>
      </c>
      <c r="K1136" s="22" t="s">
        <v>254</v>
      </c>
      <c r="L1136" s="59" t="s">
        <v>171</v>
      </c>
      <c r="M1136" s="22">
        <v>2</v>
      </c>
      <c r="V1136" s="59" t="s">
        <v>176</v>
      </c>
      <c r="AL1136" s="59" t="s">
        <v>40</v>
      </c>
      <c r="AM1136" s="22" t="s">
        <v>188</v>
      </c>
      <c r="AV1136" s="59" t="s">
        <v>134</v>
      </c>
      <c r="AW1136" s="22" t="str">
        <f>Settings!$B$5 &amp;  "?s=" &amp; D1136 &amp; "&amp;platform=ftx"</f>
        <v>https://tokensol.nfluent.io?s=COR22D973&amp;platform=ftx</v>
      </c>
      <c r="AX1136" s="20" t="s">
        <v>23</v>
      </c>
      <c r="AY1136" s="20">
        <v>10</v>
      </c>
      <c r="AZ1136" s="20" t="s">
        <v>24</v>
      </c>
      <c r="BA1136" s="20">
        <v>90</v>
      </c>
      <c r="BD1136" s="14"/>
      <c r="BJ1136" t="s">
        <v>255</v>
      </c>
      <c r="BK1136" t="s">
        <v>184</v>
      </c>
      <c r="BN1136" s="36">
        <v>100</v>
      </c>
      <c r="BO1136" s="36">
        <v>100</v>
      </c>
      <c r="BP1136">
        <f t="shared" si="96"/>
        <v>480</v>
      </c>
      <c r="BR1136" s="38">
        <v>44713</v>
      </c>
      <c r="BS1136" s="20" t="s">
        <v>185</v>
      </c>
      <c r="BT1136" s="20" t="str">
        <f t="shared" si="92"/>
        <v>InCasa_COR22D973</v>
      </c>
    </row>
    <row r="1137" spans="2:72" ht="18.75" customHeight="1" x14ac:dyDescent="0.25">
      <c r="B1137" s="20">
        <f t="shared" si="93"/>
        <v>974</v>
      </c>
      <c r="C1137" s="22" t="str">
        <f t="shared" si="94"/>
        <v>In Casa #974</v>
      </c>
      <c r="D1137" t="str">
        <f t="shared" si="95"/>
        <v>COR22D974</v>
      </c>
      <c r="E1137" s="58" t="s">
        <v>252</v>
      </c>
      <c r="F1137" s="20">
        <v>1000</v>
      </c>
      <c r="G1137" s="14" t="s">
        <v>354</v>
      </c>
      <c r="H1137" s="23" t="s">
        <v>170</v>
      </c>
      <c r="J1137" s="59" t="s">
        <v>38</v>
      </c>
      <c r="K1137" s="22" t="s">
        <v>254</v>
      </c>
      <c r="L1137" s="59" t="s">
        <v>171</v>
      </c>
      <c r="M1137" s="22">
        <v>2</v>
      </c>
      <c r="V1137" s="59" t="s">
        <v>176</v>
      </c>
      <c r="AL1137" s="59" t="s">
        <v>40</v>
      </c>
      <c r="AM1137" s="22" t="s">
        <v>188</v>
      </c>
      <c r="AV1137" s="59" t="s">
        <v>134</v>
      </c>
      <c r="AW1137" s="22" t="str">
        <f>Settings!$B$5 &amp;  "?s=" &amp; D1137 &amp; "&amp;platform=ftx"</f>
        <v>https://tokensol.nfluent.io?s=COR22D974&amp;platform=ftx</v>
      </c>
      <c r="AX1137" s="20" t="s">
        <v>23</v>
      </c>
      <c r="AY1137" s="20">
        <v>10</v>
      </c>
      <c r="AZ1137" s="20" t="s">
        <v>24</v>
      </c>
      <c r="BA1137" s="20">
        <v>90</v>
      </c>
      <c r="BD1137" s="14"/>
      <c r="BJ1137" t="s">
        <v>255</v>
      </c>
      <c r="BK1137" t="s">
        <v>184</v>
      </c>
      <c r="BN1137" s="36">
        <v>100</v>
      </c>
      <c r="BO1137" s="36">
        <v>100</v>
      </c>
      <c r="BP1137">
        <f t="shared" si="96"/>
        <v>480</v>
      </c>
      <c r="BR1137" s="38">
        <v>44713</v>
      </c>
      <c r="BS1137" s="20" t="s">
        <v>185</v>
      </c>
      <c r="BT1137" s="20" t="str">
        <f t="shared" si="92"/>
        <v>InCasa_COR22D974</v>
      </c>
    </row>
    <row r="1138" spans="2:72" ht="18.75" customHeight="1" x14ac:dyDescent="0.25">
      <c r="B1138" s="20">
        <f t="shared" si="93"/>
        <v>975</v>
      </c>
      <c r="C1138" s="22" t="str">
        <f t="shared" si="94"/>
        <v>In Casa #975</v>
      </c>
      <c r="D1138" t="str">
        <f t="shared" si="95"/>
        <v>COR22D975</v>
      </c>
      <c r="E1138" s="58" t="s">
        <v>252</v>
      </c>
      <c r="F1138" s="20">
        <v>1000</v>
      </c>
      <c r="G1138" s="14" t="s">
        <v>354</v>
      </c>
      <c r="H1138" s="23" t="s">
        <v>170</v>
      </c>
      <c r="J1138" s="59" t="s">
        <v>38</v>
      </c>
      <c r="K1138" s="22" t="s">
        <v>254</v>
      </c>
      <c r="L1138" s="59" t="s">
        <v>171</v>
      </c>
      <c r="M1138" s="22">
        <v>2</v>
      </c>
      <c r="V1138" s="59" t="s">
        <v>176</v>
      </c>
      <c r="AL1138" s="59" t="s">
        <v>40</v>
      </c>
      <c r="AM1138" s="22" t="s">
        <v>188</v>
      </c>
      <c r="AV1138" s="59" t="s">
        <v>134</v>
      </c>
      <c r="AW1138" s="22" t="str">
        <f>Settings!$B$5 &amp;  "?s=" &amp; D1138 &amp; "&amp;platform=ftx"</f>
        <v>https://tokensol.nfluent.io?s=COR22D975&amp;platform=ftx</v>
      </c>
      <c r="AX1138" s="20" t="s">
        <v>23</v>
      </c>
      <c r="AY1138" s="20">
        <v>10</v>
      </c>
      <c r="AZ1138" s="20" t="s">
        <v>24</v>
      </c>
      <c r="BA1138" s="20">
        <v>90</v>
      </c>
      <c r="BD1138" s="14"/>
      <c r="BJ1138" t="s">
        <v>255</v>
      </c>
      <c r="BK1138" t="s">
        <v>184</v>
      </c>
      <c r="BN1138" s="36">
        <v>100</v>
      </c>
      <c r="BO1138" s="36">
        <v>100</v>
      </c>
      <c r="BP1138">
        <f t="shared" si="96"/>
        <v>480</v>
      </c>
      <c r="BR1138" s="38">
        <v>44713</v>
      </c>
      <c r="BS1138" s="20" t="s">
        <v>185</v>
      </c>
      <c r="BT1138" s="20" t="str">
        <f t="shared" si="92"/>
        <v>InCasa_COR22D975</v>
      </c>
    </row>
    <row r="1139" spans="2:72" ht="18.75" customHeight="1" x14ac:dyDescent="0.25">
      <c r="B1139" s="20">
        <f t="shared" si="93"/>
        <v>976</v>
      </c>
      <c r="C1139" s="22" t="str">
        <f t="shared" si="94"/>
        <v>In Casa #976</v>
      </c>
      <c r="D1139" t="str">
        <f t="shared" si="95"/>
        <v>COR22D976</v>
      </c>
      <c r="E1139" s="58" t="s">
        <v>252</v>
      </c>
      <c r="F1139" s="20">
        <v>1000</v>
      </c>
      <c r="G1139" s="14" t="s">
        <v>354</v>
      </c>
      <c r="H1139" s="23" t="s">
        <v>170</v>
      </c>
      <c r="J1139" s="59" t="s">
        <v>38</v>
      </c>
      <c r="K1139" s="22" t="s">
        <v>254</v>
      </c>
      <c r="L1139" s="59" t="s">
        <v>171</v>
      </c>
      <c r="M1139" s="22">
        <v>2</v>
      </c>
      <c r="V1139" s="59" t="s">
        <v>176</v>
      </c>
      <c r="AL1139" s="59" t="s">
        <v>40</v>
      </c>
      <c r="AM1139" s="22" t="s">
        <v>188</v>
      </c>
      <c r="AV1139" s="59" t="s">
        <v>134</v>
      </c>
      <c r="AW1139" s="22" t="str">
        <f>Settings!$B$5 &amp;  "?s=" &amp; D1139 &amp; "&amp;platform=ftx"</f>
        <v>https://tokensol.nfluent.io?s=COR22D976&amp;platform=ftx</v>
      </c>
      <c r="AX1139" s="20" t="s">
        <v>23</v>
      </c>
      <c r="AY1139" s="20">
        <v>10</v>
      </c>
      <c r="AZ1139" s="20" t="s">
        <v>24</v>
      </c>
      <c r="BA1139" s="20">
        <v>90</v>
      </c>
      <c r="BD1139" s="14"/>
      <c r="BJ1139" t="s">
        <v>255</v>
      </c>
      <c r="BK1139" t="s">
        <v>184</v>
      </c>
      <c r="BN1139" s="36">
        <v>100</v>
      </c>
      <c r="BO1139" s="36">
        <v>100</v>
      </c>
      <c r="BP1139">
        <f t="shared" si="96"/>
        <v>480</v>
      </c>
      <c r="BR1139" s="38">
        <v>44713</v>
      </c>
      <c r="BS1139" s="20" t="s">
        <v>185</v>
      </c>
      <c r="BT1139" s="20" t="str">
        <f t="shared" si="92"/>
        <v>InCasa_COR22D976</v>
      </c>
    </row>
    <row r="1140" spans="2:72" ht="18.75" customHeight="1" x14ac:dyDescent="0.25">
      <c r="B1140" s="20">
        <f t="shared" si="93"/>
        <v>977</v>
      </c>
      <c r="C1140" s="22" t="str">
        <f t="shared" si="94"/>
        <v>In Casa #977</v>
      </c>
      <c r="D1140" t="str">
        <f t="shared" si="95"/>
        <v>COR22D977</v>
      </c>
      <c r="E1140" s="58" t="s">
        <v>252</v>
      </c>
      <c r="F1140" s="20">
        <v>1000</v>
      </c>
      <c r="G1140" s="14" t="s">
        <v>354</v>
      </c>
      <c r="H1140" s="23" t="s">
        <v>170</v>
      </c>
      <c r="J1140" s="59" t="s">
        <v>38</v>
      </c>
      <c r="K1140" s="22" t="s">
        <v>254</v>
      </c>
      <c r="L1140" s="59" t="s">
        <v>171</v>
      </c>
      <c r="M1140" s="22">
        <v>2</v>
      </c>
      <c r="V1140" s="59" t="s">
        <v>176</v>
      </c>
      <c r="AL1140" s="59" t="s">
        <v>40</v>
      </c>
      <c r="AM1140" s="22" t="s">
        <v>188</v>
      </c>
      <c r="AV1140" s="59" t="s">
        <v>134</v>
      </c>
      <c r="AW1140" s="22" t="str">
        <f>Settings!$B$5 &amp;  "?s=" &amp; D1140 &amp; "&amp;platform=ftx"</f>
        <v>https://tokensol.nfluent.io?s=COR22D977&amp;platform=ftx</v>
      </c>
      <c r="AX1140" s="20" t="s">
        <v>23</v>
      </c>
      <c r="AY1140" s="20">
        <v>10</v>
      </c>
      <c r="AZ1140" s="20" t="s">
        <v>24</v>
      </c>
      <c r="BA1140" s="20">
        <v>90</v>
      </c>
      <c r="BD1140" s="14"/>
      <c r="BJ1140" t="s">
        <v>255</v>
      </c>
      <c r="BK1140" t="s">
        <v>184</v>
      </c>
      <c r="BN1140" s="36">
        <v>100</v>
      </c>
      <c r="BO1140" s="36">
        <v>100</v>
      </c>
      <c r="BP1140">
        <f t="shared" si="96"/>
        <v>480</v>
      </c>
      <c r="BR1140" s="38">
        <v>44713</v>
      </c>
      <c r="BS1140" s="20" t="s">
        <v>185</v>
      </c>
      <c r="BT1140" s="20" t="str">
        <f t="shared" si="92"/>
        <v>InCasa_COR22D977</v>
      </c>
    </row>
    <row r="1141" spans="2:72" ht="18.75" customHeight="1" x14ac:dyDescent="0.25">
      <c r="B1141" s="20">
        <f t="shared" si="93"/>
        <v>978</v>
      </c>
      <c r="C1141" s="22" t="str">
        <f t="shared" si="94"/>
        <v>In Casa #978</v>
      </c>
      <c r="D1141" t="str">
        <f t="shared" si="95"/>
        <v>COR22D978</v>
      </c>
      <c r="E1141" s="58" t="s">
        <v>252</v>
      </c>
      <c r="F1141" s="20">
        <v>1000</v>
      </c>
      <c r="G1141" s="14" t="s">
        <v>354</v>
      </c>
      <c r="H1141" s="23" t="s">
        <v>170</v>
      </c>
      <c r="J1141" s="59" t="s">
        <v>38</v>
      </c>
      <c r="K1141" s="22" t="s">
        <v>254</v>
      </c>
      <c r="L1141" s="59" t="s">
        <v>171</v>
      </c>
      <c r="M1141" s="22">
        <v>2</v>
      </c>
      <c r="V1141" s="59" t="s">
        <v>176</v>
      </c>
      <c r="AL1141" s="59" t="s">
        <v>40</v>
      </c>
      <c r="AM1141" s="22" t="s">
        <v>188</v>
      </c>
      <c r="AV1141" s="59" t="s">
        <v>134</v>
      </c>
      <c r="AW1141" s="22" t="str">
        <f>Settings!$B$5 &amp;  "?s=" &amp; D1141 &amp; "&amp;platform=ftx"</f>
        <v>https://tokensol.nfluent.io?s=COR22D978&amp;platform=ftx</v>
      </c>
      <c r="AX1141" s="20" t="s">
        <v>23</v>
      </c>
      <c r="AY1141" s="20">
        <v>10</v>
      </c>
      <c r="AZ1141" s="20" t="s">
        <v>24</v>
      </c>
      <c r="BA1141" s="20">
        <v>90</v>
      </c>
      <c r="BD1141" s="14"/>
      <c r="BJ1141" t="s">
        <v>255</v>
      </c>
      <c r="BK1141" t="s">
        <v>184</v>
      </c>
      <c r="BN1141" s="36">
        <v>100</v>
      </c>
      <c r="BO1141" s="36">
        <v>100</v>
      </c>
      <c r="BP1141">
        <f t="shared" si="96"/>
        <v>480</v>
      </c>
      <c r="BR1141" s="38">
        <v>44713</v>
      </c>
      <c r="BS1141" s="20" t="s">
        <v>185</v>
      </c>
      <c r="BT1141" s="20" t="str">
        <f t="shared" si="92"/>
        <v>InCasa_COR22D978</v>
      </c>
    </row>
    <row r="1142" spans="2:72" ht="18.75" customHeight="1" x14ac:dyDescent="0.25">
      <c r="B1142" s="20">
        <f t="shared" si="93"/>
        <v>979</v>
      </c>
      <c r="C1142" s="22" t="str">
        <f t="shared" si="94"/>
        <v>In Casa #979</v>
      </c>
      <c r="D1142" t="str">
        <f t="shared" si="95"/>
        <v>COR22D979</v>
      </c>
      <c r="E1142" s="58" t="s">
        <v>252</v>
      </c>
      <c r="F1142" s="20">
        <v>1000</v>
      </c>
      <c r="G1142" s="14" t="s">
        <v>354</v>
      </c>
      <c r="H1142" s="23" t="s">
        <v>170</v>
      </c>
      <c r="J1142" s="59" t="s">
        <v>38</v>
      </c>
      <c r="K1142" s="22" t="s">
        <v>254</v>
      </c>
      <c r="L1142" s="59" t="s">
        <v>171</v>
      </c>
      <c r="M1142" s="22">
        <v>2</v>
      </c>
      <c r="V1142" s="59" t="s">
        <v>176</v>
      </c>
      <c r="AL1142" s="59" t="s">
        <v>40</v>
      </c>
      <c r="AM1142" s="22" t="s">
        <v>188</v>
      </c>
      <c r="AV1142" s="59" t="s">
        <v>134</v>
      </c>
      <c r="AW1142" s="22" t="str">
        <f>Settings!$B$5 &amp;  "?s=" &amp; D1142 &amp; "&amp;platform=ftx"</f>
        <v>https://tokensol.nfluent.io?s=COR22D979&amp;platform=ftx</v>
      </c>
      <c r="AX1142" s="20" t="s">
        <v>23</v>
      </c>
      <c r="AY1142" s="20">
        <v>10</v>
      </c>
      <c r="AZ1142" s="20" t="s">
        <v>24</v>
      </c>
      <c r="BA1142" s="20">
        <v>90</v>
      </c>
      <c r="BD1142" s="14"/>
      <c r="BJ1142" t="s">
        <v>255</v>
      </c>
      <c r="BK1142" t="s">
        <v>184</v>
      </c>
      <c r="BN1142" s="36">
        <v>100</v>
      </c>
      <c r="BO1142" s="36">
        <v>100</v>
      </c>
      <c r="BP1142">
        <f t="shared" si="96"/>
        <v>480</v>
      </c>
      <c r="BR1142" s="38">
        <v>44713</v>
      </c>
      <c r="BS1142" s="20" t="s">
        <v>185</v>
      </c>
      <c r="BT1142" s="20" t="str">
        <f t="shared" si="92"/>
        <v>InCasa_COR22D979</v>
      </c>
    </row>
    <row r="1143" spans="2:72" ht="18.75" customHeight="1" x14ac:dyDescent="0.25">
      <c r="B1143" s="20">
        <f t="shared" si="93"/>
        <v>980</v>
      </c>
      <c r="C1143" s="22" t="str">
        <f t="shared" si="94"/>
        <v>In Casa #980</v>
      </c>
      <c r="D1143" t="str">
        <f t="shared" si="95"/>
        <v>COR22D980</v>
      </c>
      <c r="E1143" s="58" t="s">
        <v>252</v>
      </c>
      <c r="F1143" s="20">
        <v>1000</v>
      </c>
      <c r="G1143" s="14" t="s">
        <v>354</v>
      </c>
      <c r="H1143" s="23" t="s">
        <v>170</v>
      </c>
      <c r="J1143" s="59" t="s">
        <v>38</v>
      </c>
      <c r="K1143" s="22" t="s">
        <v>254</v>
      </c>
      <c r="L1143" s="59" t="s">
        <v>171</v>
      </c>
      <c r="M1143" s="22">
        <v>2</v>
      </c>
      <c r="V1143" s="59" t="s">
        <v>176</v>
      </c>
      <c r="AL1143" s="59" t="s">
        <v>40</v>
      </c>
      <c r="AM1143" s="22" t="s">
        <v>188</v>
      </c>
      <c r="AV1143" s="59" t="s">
        <v>134</v>
      </c>
      <c r="AW1143" s="22" t="str">
        <f>Settings!$B$5 &amp;  "?s=" &amp; D1143 &amp; "&amp;platform=ftx"</f>
        <v>https://tokensol.nfluent.io?s=COR22D980&amp;platform=ftx</v>
      </c>
      <c r="AX1143" s="20" t="s">
        <v>23</v>
      </c>
      <c r="AY1143" s="20">
        <v>10</v>
      </c>
      <c r="AZ1143" s="20" t="s">
        <v>24</v>
      </c>
      <c r="BA1143" s="20">
        <v>90</v>
      </c>
      <c r="BD1143" s="14"/>
      <c r="BJ1143" t="s">
        <v>255</v>
      </c>
      <c r="BK1143" t="s">
        <v>184</v>
      </c>
      <c r="BN1143" s="36">
        <v>100</v>
      </c>
      <c r="BO1143" s="36">
        <v>100</v>
      </c>
      <c r="BP1143">
        <f t="shared" si="96"/>
        <v>480</v>
      </c>
      <c r="BR1143" s="38">
        <v>44713</v>
      </c>
      <c r="BS1143" s="20" t="s">
        <v>185</v>
      </c>
      <c r="BT1143" s="20" t="str">
        <f t="shared" si="92"/>
        <v>InCasa_COR22D980</v>
      </c>
    </row>
    <row r="1144" spans="2:72" ht="18.75" customHeight="1" x14ac:dyDescent="0.25">
      <c r="B1144" s="20">
        <f t="shared" si="93"/>
        <v>981</v>
      </c>
      <c r="C1144" s="22" t="str">
        <f t="shared" si="94"/>
        <v>In Casa #981</v>
      </c>
      <c r="D1144" t="str">
        <f t="shared" si="95"/>
        <v>COR22D981</v>
      </c>
      <c r="E1144" s="58" t="s">
        <v>252</v>
      </c>
      <c r="F1144" s="20">
        <v>1000</v>
      </c>
      <c r="G1144" s="14" t="s">
        <v>354</v>
      </c>
      <c r="H1144" s="23" t="s">
        <v>170</v>
      </c>
      <c r="J1144" s="59" t="s">
        <v>38</v>
      </c>
      <c r="K1144" s="22" t="s">
        <v>254</v>
      </c>
      <c r="L1144" s="59" t="s">
        <v>171</v>
      </c>
      <c r="M1144" s="22">
        <v>2</v>
      </c>
      <c r="V1144" s="59" t="s">
        <v>176</v>
      </c>
      <c r="AL1144" s="59" t="s">
        <v>40</v>
      </c>
      <c r="AM1144" s="22" t="s">
        <v>188</v>
      </c>
      <c r="AV1144" s="59" t="s">
        <v>134</v>
      </c>
      <c r="AW1144" s="22" t="str">
        <f>Settings!$B$5 &amp;  "?s=" &amp; D1144 &amp; "&amp;platform=ftx"</f>
        <v>https://tokensol.nfluent.io?s=COR22D981&amp;platform=ftx</v>
      </c>
      <c r="AX1144" s="20" t="s">
        <v>23</v>
      </c>
      <c r="AY1144" s="20">
        <v>10</v>
      </c>
      <c r="AZ1144" s="20" t="s">
        <v>24</v>
      </c>
      <c r="BA1144" s="20">
        <v>90</v>
      </c>
      <c r="BD1144" s="14"/>
      <c r="BJ1144" t="s">
        <v>255</v>
      </c>
      <c r="BK1144" t="s">
        <v>184</v>
      </c>
      <c r="BN1144" s="36">
        <v>100</v>
      </c>
      <c r="BO1144" s="36">
        <v>100</v>
      </c>
      <c r="BP1144">
        <f t="shared" si="96"/>
        <v>480</v>
      </c>
      <c r="BR1144" s="38">
        <v>44713</v>
      </c>
      <c r="BS1144" s="20" t="s">
        <v>185</v>
      </c>
      <c r="BT1144" s="20" t="str">
        <f t="shared" si="92"/>
        <v>InCasa_COR22D981</v>
      </c>
    </row>
    <row r="1145" spans="2:72" ht="18.75" customHeight="1" x14ac:dyDescent="0.25">
      <c r="B1145" s="20">
        <f t="shared" si="93"/>
        <v>982</v>
      </c>
      <c r="C1145" s="22" t="str">
        <f t="shared" si="94"/>
        <v>In Casa #982</v>
      </c>
      <c r="D1145" t="str">
        <f t="shared" si="95"/>
        <v>COR22D982</v>
      </c>
      <c r="E1145" s="58" t="s">
        <v>252</v>
      </c>
      <c r="F1145" s="20">
        <v>1000</v>
      </c>
      <c r="G1145" s="14" t="s">
        <v>354</v>
      </c>
      <c r="H1145" s="23" t="s">
        <v>170</v>
      </c>
      <c r="J1145" s="59" t="s">
        <v>38</v>
      </c>
      <c r="K1145" s="22" t="s">
        <v>254</v>
      </c>
      <c r="L1145" s="59" t="s">
        <v>171</v>
      </c>
      <c r="M1145" s="22">
        <v>2</v>
      </c>
      <c r="V1145" s="59" t="s">
        <v>176</v>
      </c>
      <c r="AL1145" s="59" t="s">
        <v>40</v>
      </c>
      <c r="AM1145" s="22" t="s">
        <v>188</v>
      </c>
      <c r="AV1145" s="59" t="s">
        <v>134</v>
      </c>
      <c r="AW1145" s="22" t="str">
        <f>Settings!$B$5 &amp;  "?s=" &amp; D1145 &amp; "&amp;platform=ftx"</f>
        <v>https://tokensol.nfluent.io?s=COR22D982&amp;platform=ftx</v>
      </c>
      <c r="AX1145" s="20" t="s">
        <v>23</v>
      </c>
      <c r="AY1145" s="20">
        <v>10</v>
      </c>
      <c r="AZ1145" s="20" t="s">
        <v>24</v>
      </c>
      <c r="BA1145" s="20">
        <v>90</v>
      </c>
      <c r="BD1145" s="14"/>
      <c r="BJ1145" t="s">
        <v>255</v>
      </c>
      <c r="BK1145" t="s">
        <v>184</v>
      </c>
      <c r="BN1145" s="36">
        <v>100</v>
      </c>
      <c r="BO1145" s="36">
        <v>100</v>
      </c>
      <c r="BP1145">
        <f t="shared" si="96"/>
        <v>480</v>
      </c>
      <c r="BR1145" s="38">
        <v>44713</v>
      </c>
      <c r="BS1145" s="20" t="s">
        <v>185</v>
      </c>
      <c r="BT1145" s="20" t="str">
        <f t="shared" si="92"/>
        <v>InCasa_COR22D982</v>
      </c>
    </row>
    <row r="1146" spans="2:72" ht="18.75" customHeight="1" x14ac:dyDescent="0.25">
      <c r="B1146" s="20">
        <f t="shared" si="93"/>
        <v>983</v>
      </c>
      <c r="C1146" s="22" t="str">
        <f t="shared" si="94"/>
        <v>In Casa #983</v>
      </c>
      <c r="D1146" t="str">
        <f t="shared" si="95"/>
        <v>COR22D983</v>
      </c>
      <c r="E1146" s="58" t="s">
        <v>252</v>
      </c>
      <c r="F1146" s="20">
        <v>1000</v>
      </c>
      <c r="G1146" s="14" t="s">
        <v>354</v>
      </c>
      <c r="H1146" s="23" t="s">
        <v>170</v>
      </c>
      <c r="J1146" s="59" t="s">
        <v>38</v>
      </c>
      <c r="K1146" s="22" t="s">
        <v>254</v>
      </c>
      <c r="L1146" s="59" t="s">
        <v>171</v>
      </c>
      <c r="M1146" s="22">
        <v>2</v>
      </c>
      <c r="V1146" s="59" t="s">
        <v>176</v>
      </c>
      <c r="AL1146" s="59" t="s">
        <v>40</v>
      </c>
      <c r="AM1146" s="22" t="s">
        <v>188</v>
      </c>
      <c r="AV1146" s="59" t="s">
        <v>134</v>
      </c>
      <c r="AW1146" s="22" t="str">
        <f>Settings!$B$5 &amp;  "?s=" &amp; D1146 &amp; "&amp;platform=ftx"</f>
        <v>https://tokensol.nfluent.io?s=COR22D983&amp;platform=ftx</v>
      </c>
      <c r="AX1146" s="20" t="s">
        <v>23</v>
      </c>
      <c r="AY1146" s="20">
        <v>10</v>
      </c>
      <c r="AZ1146" s="20" t="s">
        <v>24</v>
      </c>
      <c r="BA1146" s="20">
        <v>90</v>
      </c>
      <c r="BD1146" s="14"/>
      <c r="BJ1146" t="s">
        <v>255</v>
      </c>
      <c r="BK1146" t="s">
        <v>184</v>
      </c>
      <c r="BN1146" s="36">
        <v>100</v>
      </c>
      <c r="BO1146" s="36">
        <v>100</v>
      </c>
      <c r="BP1146">
        <f t="shared" si="96"/>
        <v>480</v>
      </c>
      <c r="BR1146" s="38">
        <v>44713</v>
      </c>
      <c r="BS1146" s="20" t="s">
        <v>185</v>
      </c>
      <c r="BT1146" s="20" t="str">
        <f t="shared" si="92"/>
        <v>InCasa_COR22D983</v>
      </c>
    </row>
    <row r="1147" spans="2:72" ht="18.75" customHeight="1" x14ac:dyDescent="0.25">
      <c r="B1147" s="20">
        <f t="shared" si="93"/>
        <v>984</v>
      </c>
      <c r="C1147" s="22" t="str">
        <f t="shared" si="94"/>
        <v>In Casa #984</v>
      </c>
      <c r="D1147" t="str">
        <f t="shared" si="95"/>
        <v>COR22D984</v>
      </c>
      <c r="E1147" s="58" t="s">
        <v>252</v>
      </c>
      <c r="F1147" s="20">
        <v>1000</v>
      </c>
      <c r="G1147" s="14" t="s">
        <v>354</v>
      </c>
      <c r="H1147" s="23" t="s">
        <v>170</v>
      </c>
      <c r="J1147" s="59" t="s">
        <v>38</v>
      </c>
      <c r="K1147" s="22" t="s">
        <v>254</v>
      </c>
      <c r="L1147" s="59" t="s">
        <v>171</v>
      </c>
      <c r="M1147" s="22">
        <v>2</v>
      </c>
      <c r="V1147" s="59" t="s">
        <v>176</v>
      </c>
      <c r="AL1147" s="59" t="s">
        <v>40</v>
      </c>
      <c r="AM1147" s="22" t="s">
        <v>188</v>
      </c>
      <c r="AV1147" s="59" t="s">
        <v>134</v>
      </c>
      <c r="AW1147" s="22" t="str">
        <f>Settings!$B$5 &amp;  "?s=" &amp; D1147 &amp; "&amp;platform=ftx"</f>
        <v>https://tokensol.nfluent.io?s=COR22D984&amp;platform=ftx</v>
      </c>
      <c r="AX1147" s="20" t="s">
        <v>23</v>
      </c>
      <c r="AY1147" s="20">
        <v>10</v>
      </c>
      <c r="AZ1147" s="20" t="s">
        <v>24</v>
      </c>
      <c r="BA1147" s="20">
        <v>90</v>
      </c>
      <c r="BD1147" s="14"/>
      <c r="BJ1147" t="s">
        <v>255</v>
      </c>
      <c r="BK1147" t="s">
        <v>184</v>
      </c>
      <c r="BN1147" s="36">
        <v>100</v>
      </c>
      <c r="BO1147" s="36">
        <v>100</v>
      </c>
      <c r="BP1147">
        <f t="shared" si="96"/>
        <v>480</v>
      </c>
      <c r="BR1147" s="38">
        <v>44713</v>
      </c>
      <c r="BS1147" s="20" t="s">
        <v>185</v>
      </c>
      <c r="BT1147" s="20" t="str">
        <f t="shared" si="92"/>
        <v>InCasa_COR22D984</v>
      </c>
    </row>
    <row r="1148" spans="2:72" ht="18.75" customHeight="1" x14ac:dyDescent="0.25">
      <c r="B1148" s="20">
        <f t="shared" si="93"/>
        <v>985</v>
      </c>
      <c r="C1148" s="22" t="str">
        <f t="shared" si="94"/>
        <v>In Casa #985</v>
      </c>
      <c r="D1148" t="str">
        <f t="shared" si="95"/>
        <v>COR22D985</v>
      </c>
      <c r="E1148" s="58" t="s">
        <v>252</v>
      </c>
      <c r="F1148" s="20">
        <v>1000</v>
      </c>
      <c r="G1148" s="14" t="s">
        <v>354</v>
      </c>
      <c r="H1148" s="23" t="s">
        <v>170</v>
      </c>
      <c r="J1148" s="59" t="s">
        <v>38</v>
      </c>
      <c r="K1148" s="22" t="s">
        <v>254</v>
      </c>
      <c r="L1148" s="59" t="s">
        <v>171</v>
      </c>
      <c r="M1148" s="22">
        <v>2</v>
      </c>
      <c r="V1148" s="59" t="s">
        <v>176</v>
      </c>
      <c r="AL1148" s="59" t="s">
        <v>40</v>
      </c>
      <c r="AM1148" s="22" t="s">
        <v>188</v>
      </c>
      <c r="AV1148" s="59" t="s">
        <v>134</v>
      </c>
      <c r="AW1148" s="22" t="str">
        <f>Settings!$B$5 &amp;  "?s=" &amp; D1148 &amp; "&amp;platform=ftx"</f>
        <v>https://tokensol.nfluent.io?s=COR22D985&amp;platform=ftx</v>
      </c>
      <c r="AX1148" s="20" t="s">
        <v>23</v>
      </c>
      <c r="AY1148" s="20">
        <v>10</v>
      </c>
      <c r="AZ1148" s="20" t="s">
        <v>24</v>
      </c>
      <c r="BA1148" s="20">
        <v>90</v>
      </c>
      <c r="BD1148" s="14"/>
      <c r="BJ1148" t="s">
        <v>255</v>
      </c>
      <c r="BK1148" t="s">
        <v>184</v>
      </c>
      <c r="BN1148" s="36">
        <v>100</v>
      </c>
      <c r="BO1148" s="36">
        <v>100</v>
      </c>
      <c r="BP1148">
        <f t="shared" si="96"/>
        <v>480</v>
      </c>
      <c r="BR1148" s="38">
        <v>44713</v>
      </c>
      <c r="BS1148" s="20" t="s">
        <v>185</v>
      </c>
      <c r="BT1148" s="20" t="str">
        <f t="shared" si="92"/>
        <v>InCasa_COR22D985</v>
      </c>
    </row>
    <row r="1149" spans="2:72" ht="18.75" customHeight="1" x14ac:dyDescent="0.25">
      <c r="B1149" s="20">
        <f t="shared" si="93"/>
        <v>986</v>
      </c>
      <c r="C1149" s="22" t="str">
        <f t="shared" si="94"/>
        <v>In Casa #986</v>
      </c>
      <c r="D1149" t="str">
        <f t="shared" si="95"/>
        <v>COR22D986</v>
      </c>
      <c r="E1149" s="58" t="s">
        <v>252</v>
      </c>
      <c r="F1149" s="20">
        <v>1000</v>
      </c>
      <c r="G1149" s="14" t="s">
        <v>354</v>
      </c>
      <c r="H1149" s="23" t="s">
        <v>170</v>
      </c>
      <c r="J1149" s="59" t="s">
        <v>38</v>
      </c>
      <c r="K1149" s="22" t="s">
        <v>254</v>
      </c>
      <c r="L1149" s="59" t="s">
        <v>171</v>
      </c>
      <c r="M1149" s="22">
        <v>2</v>
      </c>
      <c r="V1149" s="59" t="s">
        <v>176</v>
      </c>
      <c r="AL1149" s="59" t="s">
        <v>40</v>
      </c>
      <c r="AM1149" s="22" t="s">
        <v>188</v>
      </c>
      <c r="AV1149" s="59" t="s">
        <v>134</v>
      </c>
      <c r="AW1149" s="22" t="str">
        <f>Settings!$B$5 &amp;  "?s=" &amp; D1149 &amp; "&amp;platform=ftx"</f>
        <v>https://tokensol.nfluent.io?s=COR22D986&amp;platform=ftx</v>
      </c>
      <c r="AX1149" s="20" t="s">
        <v>23</v>
      </c>
      <c r="AY1149" s="20">
        <v>10</v>
      </c>
      <c r="AZ1149" s="20" t="s">
        <v>24</v>
      </c>
      <c r="BA1149" s="20">
        <v>90</v>
      </c>
      <c r="BD1149" s="14"/>
      <c r="BJ1149" t="s">
        <v>255</v>
      </c>
      <c r="BK1149" t="s">
        <v>184</v>
      </c>
      <c r="BN1149" s="36">
        <v>100</v>
      </c>
      <c r="BO1149" s="36">
        <v>100</v>
      </c>
      <c r="BP1149">
        <f t="shared" si="96"/>
        <v>480</v>
      </c>
      <c r="BR1149" s="38">
        <v>44713</v>
      </c>
      <c r="BS1149" s="20" t="s">
        <v>185</v>
      </c>
      <c r="BT1149" s="20" t="str">
        <f t="shared" si="92"/>
        <v>InCasa_COR22D986</v>
      </c>
    </row>
    <row r="1150" spans="2:72" ht="18.75" customHeight="1" x14ac:dyDescent="0.25">
      <c r="B1150" s="20">
        <f t="shared" si="93"/>
        <v>987</v>
      </c>
      <c r="C1150" s="22" t="str">
        <f t="shared" si="94"/>
        <v>In Casa #987</v>
      </c>
      <c r="D1150" t="str">
        <f t="shared" si="95"/>
        <v>COR22D987</v>
      </c>
      <c r="E1150" s="58" t="s">
        <v>252</v>
      </c>
      <c r="F1150" s="20">
        <v>1000</v>
      </c>
      <c r="G1150" s="14" t="s">
        <v>354</v>
      </c>
      <c r="H1150" s="23" t="s">
        <v>170</v>
      </c>
      <c r="J1150" s="59" t="s">
        <v>38</v>
      </c>
      <c r="K1150" s="22" t="s">
        <v>254</v>
      </c>
      <c r="L1150" s="59" t="s">
        <v>171</v>
      </c>
      <c r="M1150" s="22">
        <v>2</v>
      </c>
      <c r="V1150" s="59" t="s">
        <v>176</v>
      </c>
      <c r="AL1150" s="59" t="s">
        <v>40</v>
      </c>
      <c r="AM1150" s="22" t="s">
        <v>188</v>
      </c>
      <c r="AV1150" s="59" t="s">
        <v>134</v>
      </c>
      <c r="AW1150" s="22" t="str">
        <f>Settings!$B$5 &amp;  "?s=" &amp; D1150 &amp; "&amp;platform=ftx"</f>
        <v>https://tokensol.nfluent.io?s=COR22D987&amp;platform=ftx</v>
      </c>
      <c r="AX1150" s="20" t="s">
        <v>23</v>
      </c>
      <c r="AY1150" s="20">
        <v>10</v>
      </c>
      <c r="AZ1150" s="20" t="s">
        <v>24</v>
      </c>
      <c r="BA1150" s="20">
        <v>90</v>
      </c>
      <c r="BD1150" s="14"/>
      <c r="BJ1150" t="s">
        <v>255</v>
      </c>
      <c r="BK1150" t="s">
        <v>184</v>
      </c>
      <c r="BN1150" s="36">
        <v>100</v>
      </c>
      <c r="BO1150" s="36">
        <v>100</v>
      </c>
      <c r="BP1150">
        <f t="shared" si="96"/>
        <v>480</v>
      </c>
      <c r="BR1150" s="38">
        <v>44713</v>
      </c>
      <c r="BS1150" s="20" t="s">
        <v>185</v>
      </c>
      <c r="BT1150" s="20" t="str">
        <f t="shared" si="92"/>
        <v>InCasa_COR22D987</v>
      </c>
    </row>
    <row r="1151" spans="2:72" ht="18.75" customHeight="1" x14ac:dyDescent="0.25">
      <c r="B1151" s="20">
        <f t="shared" si="93"/>
        <v>988</v>
      </c>
      <c r="C1151" s="22" t="str">
        <f t="shared" si="94"/>
        <v>In Casa #988</v>
      </c>
      <c r="D1151" t="str">
        <f t="shared" si="95"/>
        <v>COR22D988</v>
      </c>
      <c r="E1151" s="58" t="s">
        <v>252</v>
      </c>
      <c r="F1151" s="20">
        <v>1000</v>
      </c>
      <c r="G1151" s="14" t="s">
        <v>354</v>
      </c>
      <c r="H1151" s="23" t="s">
        <v>170</v>
      </c>
      <c r="J1151" s="59" t="s">
        <v>38</v>
      </c>
      <c r="K1151" s="22" t="s">
        <v>254</v>
      </c>
      <c r="L1151" s="59" t="s">
        <v>171</v>
      </c>
      <c r="M1151" s="22">
        <v>2</v>
      </c>
      <c r="V1151" s="59" t="s">
        <v>176</v>
      </c>
      <c r="AL1151" s="59" t="s">
        <v>40</v>
      </c>
      <c r="AM1151" s="22" t="s">
        <v>188</v>
      </c>
      <c r="AV1151" s="59" t="s">
        <v>134</v>
      </c>
      <c r="AW1151" s="22" t="str">
        <f>Settings!$B$5 &amp;  "?s=" &amp; D1151 &amp; "&amp;platform=ftx"</f>
        <v>https://tokensol.nfluent.io?s=COR22D988&amp;platform=ftx</v>
      </c>
      <c r="AX1151" s="20" t="s">
        <v>23</v>
      </c>
      <c r="AY1151" s="20">
        <v>10</v>
      </c>
      <c r="AZ1151" s="20" t="s">
        <v>24</v>
      </c>
      <c r="BA1151" s="20">
        <v>90</v>
      </c>
      <c r="BD1151" s="14"/>
      <c r="BJ1151" t="s">
        <v>255</v>
      </c>
      <c r="BK1151" t="s">
        <v>184</v>
      </c>
      <c r="BN1151" s="36">
        <v>100</v>
      </c>
      <c r="BO1151" s="36">
        <v>100</v>
      </c>
      <c r="BP1151">
        <f t="shared" si="96"/>
        <v>480</v>
      </c>
      <c r="BR1151" s="38">
        <v>44713</v>
      </c>
      <c r="BS1151" s="20" t="s">
        <v>185</v>
      </c>
      <c r="BT1151" s="20" t="str">
        <f t="shared" si="92"/>
        <v>InCasa_COR22D988</v>
      </c>
    </row>
    <row r="1152" spans="2:72" ht="18.75" customHeight="1" x14ac:dyDescent="0.25">
      <c r="B1152" s="20">
        <f t="shared" si="93"/>
        <v>989</v>
      </c>
      <c r="C1152" s="22" t="str">
        <f t="shared" si="94"/>
        <v>In Casa #989</v>
      </c>
      <c r="D1152" t="str">
        <f t="shared" si="95"/>
        <v>COR22D989</v>
      </c>
      <c r="E1152" s="58" t="s">
        <v>252</v>
      </c>
      <c r="F1152" s="20">
        <v>1000</v>
      </c>
      <c r="G1152" s="14" t="s">
        <v>354</v>
      </c>
      <c r="H1152" s="23" t="s">
        <v>170</v>
      </c>
      <c r="J1152" s="59" t="s">
        <v>38</v>
      </c>
      <c r="K1152" s="22" t="s">
        <v>254</v>
      </c>
      <c r="L1152" s="59" t="s">
        <v>171</v>
      </c>
      <c r="M1152" s="22">
        <v>2</v>
      </c>
      <c r="V1152" s="59" t="s">
        <v>176</v>
      </c>
      <c r="AL1152" s="59" t="s">
        <v>40</v>
      </c>
      <c r="AM1152" s="22" t="s">
        <v>188</v>
      </c>
      <c r="AV1152" s="59" t="s">
        <v>134</v>
      </c>
      <c r="AW1152" s="22" t="str">
        <f>Settings!$B$5 &amp;  "?s=" &amp; D1152 &amp; "&amp;platform=ftx"</f>
        <v>https://tokensol.nfluent.io?s=COR22D989&amp;platform=ftx</v>
      </c>
      <c r="AX1152" s="20" t="s">
        <v>23</v>
      </c>
      <c r="AY1152" s="20">
        <v>10</v>
      </c>
      <c r="AZ1152" s="20" t="s">
        <v>24</v>
      </c>
      <c r="BA1152" s="20">
        <v>90</v>
      </c>
      <c r="BD1152" s="14"/>
      <c r="BJ1152" t="s">
        <v>255</v>
      </c>
      <c r="BK1152" t="s">
        <v>184</v>
      </c>
      <c r="BN1152" s="36">
        <v>100</v>
      </c>
      <c r="BO1152" s="36">
        <v>100</v>
      </c>
      <c r="BP1152">
        <f t="shared" si="96"/>
        <v>480</v>
      </c>
      <c r="BR1152" s="38">
        <v>44713</v>
      </c>
      <c r="BS1152" s="20" t="s">
        <v>185</v>
      </c>
      <c r="BT1152" s="20" t="str">
        <f t="shared" si="92"/>
        <v>InCasa_COR22D989</v>
      </c>
    </row>
    <row r="1153" spans="2:72" ht="18.75" customHeight="1" x14ac:dyDescent="0.25">
      <c r="B1153" s="20">
        <f t="shared" si="93"/>
        <v>990</v>
      </c>
      <c r="C1153" s="22" t="str">
        <f t="shared" si="94"/>
        <v>In Casa #990</v>
      </c>
      <c r="D1153" t="str">
        <f t="shared" si="95"/>
        <v>COR22D990</v>
      </c>
      <c r="E1153" s="58" t="s">
        <v>252</v>
      </c>
      <c r="F1153" s="20">
        <v>1000</v>
      </c>
      <c r="G1153" s="14" t="s">
        <v>354</v>
      </c>
      <c r="H1153" s="23" t="s">
        <v>170</v>
      </c>
      <c r="J1153" s="59" t="s">
        <v>38</v>
      </c>
      <c r="K1153" s="22" t="s">
        <v>254</v>
      </c>
      <c r="L1153" s="59" t="s">
        <v>171</v>
      </c>
      <c r="M1153" s="22">
        <v>2</v>
      </c>
      <c r="V1153" s="59" t="s">
        <v>176</v>
      </c>
      <c r="AL1153" s="59" t="s">
        <v>40</v>
      </c>
      <c r="AM1153" s="22" t="s">
        <v>188</v>
      </c>
      <c r="AV1153" s="59" t="s">
        <v>134</v>
      </c>
      <c r="AW1153" s="22" t="str">
        <f>Settings!$B$5 &amp;  "?s=" &amp; D1153 &amp; "&amp;platform=ftx"</f>
        <v>https://tokensol.nfluent.io?s=COR22D990&amp;platform=ftx</v>
      </c>
      <c r="AX1153" s="20" t="s">
        <v>23</v>
      </c>
      <c r="AY1153" s="20">
        <v>10</v>
      </c>
      <c r="AZ1153" s="20" t="s">
        <v>24</v>
      </c>
      <c r="BA1153" s="20">
        <v>90</v>
      </c>
      <c r="BD1153" s="14"/>
      <c r="BJ1153" t="s">
        <v>255</v>
      </c>
      <c r="BK1153" t="s">
        <v>184</v>
      </c>
      <c r="BN1153" s="36">
        <v>100</v>
      </c>
      <c r="BO1153" s="36">
        <v>100</v>
      </c>
      <c r="BP1153">
        <f t="shared" si="96"/>
        <v>480</v>
      </c>
      <c r="BR1153" s="38">
        <v>44713</v>
      </c>
      <c r="BS1153" s="20" t="s">
        <v>185</v>
      </c>
      <c r="BT1153" s="20" t="str">
        <f t="shared" si="92"/>
        <v>InCasa_COR22D990</v>
      </c>
    </row>
    <row r="1154" spans="2:72" ht="18.75" customHeight="1" x14ac:dyDescent="0.25">
      <c r="B1154" s="20">
        <f t="shared" si="93"/>
        <v>991</v>
      </c>
      <c r="C1154" s="22" t="str">
        <f t="shared" si="94"/>
        <v>In Casa #991</v>
      </c>
      <c r="D1154" t="str">
        <f t="shared" si="95"/>
        <v>COR22D991</v>
      </c>
      <c r="E1154" s="58" t="s">
        <v>252</v>
      </c>
      <c r="F1154" s="20">
        <v>1000</v>
      </c>
      <c r="G1154" s="14" t="s">
        <v>354</v>
      </c>
      <c r="H1154" s="23" t="s">
        <v>170</v>
      </c>
      <c r="J1154" s="59" t="s">
        <v>38</v>
      </c>
      <c r="K1154" s="22" t="s">
        <v>254</v>
      </c>
      <c r="L1154" s="59" t="s">
        <v>171</v>
      </c>
      <c r="M1154" s="22">
        <v>2</v>
      </c>
      <c r="V1154" s="59" t="s">
        <v>176</v>
      </c>
      <c r="AL1154" s="59" t="s">
        <v>40</v>
      </c>
      <c r="AM1154" s="22" t="s">
        <v>188</v>
      </c>
      <c r="AV1154" s="59" t="s">
        <v>134</v>
      </c>
      <c r="AW1154" s="22" t="str">
        <f>Settings!$B$5 &amp;  "?s=" &amp; D1154 &amp; "&amp;platform=ftx"</f>
        <v>https://tokensol.nfluent.io?s=COR22D991&amp;platform=ftx</v>
      </c>
      <c r="AX1154" s="20" t="s">
        <v>23</v>
      </c>
      <c r="AY1154" s="20">
        <v>10</v>
      </c>
      <c r="AZ1154" s="20" t="s">
        <v>24</v>
      </c>
      <c r="BA1154" s="20">
        <v>90</v>
      </c>
      <c r="BD1154" s="14"/>
      <c r="BJ1154" t="s">
        <v>255</v>
      </c>
      <c r="BK1154" t="s">
        <v>184</v>
      </c>
      <c r="BN1154" s="36">
        <v>100</v>
      </c>
      <c r="BO1154" s="36">
        <v>100</v>
      </c>
      <c r="BP1154">
        <f t="shared" si="96"/>
        <v>480</v>
      </c>
      <c r="BR1154" s="38">
        <v>44713</v>
      </c>
      <c r="BS1154" s="20" t="s">
        <v>185</v>
      </c>
      <c r="BT1154" s="20" t="str">
        <f t="shared" si="92"/>
        <v>InCasa_COR22D991</v>
      </c>
    </row>
    <row r="1155" spans="2:72" ht="18.75" customHeight="1" x14ac:dyDescent="0.25">
      <c r="B1155" s="20">
        <f t="shared" si="93"/>
        <v>992</v>
      </c>
      <c r="C1155" s="22" t="str">
        <f t="shared" si="94"/>
        <v>In Casa #992</v>
      </c>
      <c r="D1155" t="str">
        <f t="shared" si="95"/>
        <v>COR22D992</v>
      </c>
      <c r="E1155" s="58" t="s">
        <v>252</v>
      </c>
      <c r="F1155" s="20">
        <v>1000</v>
      </c>
      <c r="G1155" s="14" t="s">
        <v>354</v>
      </c>
      <c r="H1155" s="23" t="s">
        <v>170</v>
      </c>
      <c r="J1155" s="59" t="s">
        <v>38</v>
      </c>
      <c r="K1155" s="22" t="s">
        <v>254</v>
      </c>
      <c r="L1155" s="59" t="s">
        <v>171</v>
      </c>
      <c r="M1155" s="22">
        <v>2</v>
      </c>
      <c r="V1155" s="59" t="s">
        <v>176</v>
      </c>
      <c r="AL1155" s="59" t="s">
        <v>40</v>
      </c>
      <c r="AM1155" s="22" t="s">
        <v>188</v>
      </c>
      <c r="AV1155" s="59" t="s">
        <v>134</v>
      </c>
      <c r="AW1155" s="22" t="str">
        <f>Settings!$B$5 &amp;  "?s=" &amp; D1155 &amp; "&amp;platform=ftx"</f>
        <v>https://tokensol.nfluent.io?s=COR22D992&amp;platform=ftx</v>
      </c>
      <c r="AX1155" s="20" t="s">
        <v>23</v>
      </c>
      <c r="AY1155" s="20">
        <v>10</v>
      </c>
      <c r="AZ1155" s="20" t="s">
        <v>24</v>
      </c>
      <c r="BA1155" s="20">
        <v>90</v>
      </c>
      <c r="BD1155" s="14"/>
      <c r="BJ1155" t="s">
        <v>255</v>
      </c>
      <c r="BK1155" t="s">
        <v>184</v>
      </c>
      <c r="BN1155" s="36">
        <v>100</v>
      </c>
      <c r="BO1155" s="36">
        <v>100</v>
      </c>
      <c r="BP1155">
        <f t="shared" si="96"/>
        <v>480</v>
      </c>
      <c r="BR1155" s="38">
        <v>44713</v>
      </c>
      <c r="BS1155" s="20" t="s">
        <v>185</v>
      </c>
      <c r="BT1155" s="20" t="str">
        <f t="shared" si="92"/>
        <v>InCasa_COR22D992</v>
      </c>
    </row>
    <row r="1156" spans="2:72" ht="18.75" customHeight="1" x14ac:dyDescent="0.25">
      <c r="B1156" s="20">
        <f t="shared" si="93"/>
        <v>993</v>
      </c>
      <c r="C1156" s="22" t="str">
        <f t="shared" si="94"/>
        <v>In Casa #993</v>
      </c>
      <c r="D1156" t="str">
        <f t="shared" si="95"/>
        <v>COR22D993</v>
      </c>
      <c r="E1156" s="58" t="s">
        <v>252</v>
      </c>
      <c r="F1156" s="20">
        <v>1000</v>
      </c>
      <c r="G1156" s="14" t="s">
        <v>354</v>
      </c>
      <c r="H1156" s="23" t="s">
        <v>170</v>
      </c>
      <c r="J1156" s="59" t="s">
        <v>38</v>
      </c>
      <c r="K1156" s="22" t="s">
        <v>254</v>
      </c>
      <c r="L1156" s="59" t="s">
        <v>171</v>
      </c>
      <c r="M1156" s="22">
        <v>2</v>
      </c>
      <c r="V1156" s="59" t="s">
        <v>176</v>
      </c>
      <c r="AL1156" s="59" t="s">
        <v>40</v>
      </c>
      <c r="AM1156" s="22" t="s">
        <v>188</v>
      </c>
      <c r="AV1156" s="59" t="s">
        <v>134</v>
      </c>
      <c r="AW1156" s="22" t="str">
        <f>Settings!$B$5 &amp;  "?s=" &amp; D1156 &amp; "&amp;platform=ftx"</f>
        <v>https://tokensol.nfluent.io?s=COR22D993&amp;platform=ftx</v>
      </c>
      <c r="AX1156" s="20" t="s">
        <v>23</v>
      </c>
      <c r="AY1156" s="20">
        <v>10</v>
      </c>
      <c r="AZ1156" s="20" t="s">
        <v>24</v>
      </c>
      <c r="BA1156" s="20">
        <v>90</v>
      </c>
      <c r="BD1156" s="14"/>
      <c r="BJ1156" t="s">
        <v>255</v>
      </c>
      <c r="BK1156" t="s">
        <v>184</v>
      </c>
      <c r="BN1156" s="36">
        <v>100</v>
      </c>
      <c r="BO1156" s="36">
        <v>100</v>
      </c>
      <c r="BP1156">
        <f t="shared" si="96"/>
        <v>480</v>
      </c>
      <c r="BR1156" s="38">
        <v>44713</v>
      </c>
      <c r="BS1156" s="20" t="s">
        <v>185</v>
      </c>
      <c r="BT1156" s="20" t="str">
        <f t="shared" si="92"/>
        <v>InCasa_COR22D993</v>
      </c>
    </row>
    <row r="1157" spans="2:72" ht="18.75" customHeight="1" x14ac:dyDescent="0.25">
      <c r="B1157" s="20">
        <f t="shared" si="93"/>
        <v>994</v>
      </c>
      <c r="C1157" s="22" t="str">
        <f t="shared" si="94"/>
        <v>In Casa #994</v>
      </c>
      <c r="D1157" t="str">
        <f t="shared" si="95"/>
        <v>COR22D994</v>
      </c>
      <c r="E1157" s="58" t="s">
        <v>252</v>
      </c>
      <c r="F1157" s="20">
        <v>1000</v>
      </c>
      <c r="G1157" s="14" t="s">
        <v>354</v>
      </c>
      <c r="H1157" s="23" t="s">
        <v>170</v>
      </c>
      <c r="J1157" s="59" t="s">
        <v>38</v>
      </c>
      <c r="K1157" s="22" t="s">
        <v>254</v>
      </c>
      <c r="L1157" s="59" t="s">
        <v>171</v>
      </c>
      <c r="M1157" s="22">
        <v>2</v>
      </c>
      <c r="V1157" s="59" t="s">
        <v>176</v>
      </c>
      <c r="AL1157" s="59" t="s">
        <v>40</v>
      </c>
      <c r="AM1157" s="22" t="s">
        <v>188</v>
      </c>
      <c r="AV1157" s="59" t="s">
        <v>134</v>
      </c>
      <c r="AW1157" s="22" t="str">
        <f>Settings!$B$5 &amp;  "?s=" &amp; D1157 &amp; "&amp;platform=ftx"</f>
        <v>https://tokensol.nfluent.io?s=COR22D994&amp;platform=ftx</v>
      </c>
      <c r="AX1157" s="20" t="s">
        <v>23</v>
      </c>
      <c r="AY1157" s="20">
        <v>10</v>
      </c>
      <c r="AZ1157" s="20" t="s">
        <v>24</v>
      </c>
      <c r="BA1157" s="20">
        <v>90</v>
      </c>
      <c r="BD1157" s="14"/>
      <c r="BJ1157" t="s">
        <v>255</v>
      </c>
      <c r="BK1157" t="s">
        <v>184</v>
      </c>
      <c r="BN1157" s="36">
        <v>100</v>
      </c>
      <c r="BO1157" s="36">
        <v>100</v>
      </c>
      <c r="BP1157">
        <f t="shared" si="96"/>
        <v>480</v>
      </c>
      <c r="BR1157" s="38">
        <v>44713</v>
      </c>
      <c r="BS1157" s="20" t="s">
        <v>185</v>
      </c>
      <c r="BT1157" s="20" t="str">
        <f t="shared" ref="BT1157:BT1163" si="97">SUBSTITUTE(BJ1157," ","") &amp; "_" &amp; D1157</f>
        <v>InCasa_COR22D994</v>
      </c>
    </row>
    <row r="1158" spans="2:72" ht="18.75" customHeight="1" x14ac:dyDescent="0.25">
      <c r="B1158" s="20">
        <f t="shared" ref="B1158:B1163" si="98">+B1157+1</f>
        <v>995</v>
      </c>
      <c r="C1158" s="22" t="str">
        <f t="shared" si="94"/>
        <v>In Casa #995</v>
      </c>
      <c r="D1158" t="str">
        <f t="shared" si="95"/>
        <v>COR22D995</v>
      </c>
      <c r="E1158" s="58" t="s">
        <v>252</v>
      </c>
      <c r="F1158" s="20">
        <v>1000</v>
      </c>
      <c r="G1158" s="14" t="s">
        <v>354</v>
      </c>
      <c r="H1158" s="23" t="s">
        <v>170</v>
      </c>
      <c r="J1158" s="59" t="s">
        <v>38</v>
      </c>
      <c r="K1158" s="22" t="s">
        <v>254</v>
      </c>
      <c r="L1158" s="59" t="s">
        <v>171</v>
      </c>
      <c r="M1158" s="22">
        <v>2</v>
      </c>
      <c r="V1158" s="59" t="s">
        <v>176</v>
      </c>
      <c r="AL1158" s="59" t="s">
        <v>40</v>
      </c>
      <c r="AM1158" s="22" t="s">
        <v>188</v>
      </c>
      <c r="AV1158" s="59" t="s">
        <v>134</v>
      </c>
      <c r="AW1158" s="22" t="str">
        <f>Settings!$B$5 &amp;  "?s=" &amp; D1158 &amp; "&amp;platform=ftx"</f>
        <v>https://tokensol.nfluent.io?s=COR22D995&amp;platform=ftx</v>
      </c>
      <c r="AX1158" s="20" t="s">
        <v>23</v>
      </c>
      <c r="AY1158" s="20">
        <v>10</v>
      </c>
      <c r="AZ1158" s="20" t="s">
        <v>24</v>
      </c>
      <c r="BA1158" s="20">
        <v>90</v>
      </c>
      <c r="BD1158" s="14"/>
      <c r="BJ1158" t="s">
        <v>255</v>
      </c>
      <c r="BK1158" t="s">
        <v>184</v>
      </c>
      <c r="BN1158" s="36">
        <v>100</v>
      </c>
      <c r="BO1158" s="36">
        <v>100</v>
      </c>
      <c r="BP1158">
        <f t="shared" si="96"/>
        <v>480</v>
      </c>
      <c r="BR1158" s="38">
        <v>44713</v>
      </c>
      <c r="BS1158" s="20" t="s">
        <v>185</v>
      </c>
      <c r="BT1158" s="20" t="str">
        <f t="shared" si="97"/>
        <v>InCasa_COR22D995</v>
      </c>
    </row>
    <row r="1159" spans="2:72" ht="18.75" customHeight="1" x14ac:dyDescent="0.25">
      <c r="B1159" s="20">
        <f t="shared" si="98"/>
        <v>996</v>
      </c>
      <c r="C1159" s="22" t="str">
        <f t="shared" si="94"/>
        <v>In Casa #996</v>
      </c>
      <c r="D1159" t="str">
        <f t="shared" si="95"/>
        <v>COR22D996</v>
      </c>
      <c r="E1159" s="58" t="s">
        <v>252</v>
      </c>
      <c r="F1159" s="20">
        <v>1000</v>
      </c>
      <c r="G1159" s="14" t="s">
        <v>354</v>
      </c>
      <c r="H1159" s="23" t="s">
        <v>170</v>
      </c>
      <c r="J1159" s="59" t="s">
        <v>38</v>
      </c>
      <c r="K1159" s="22" t="s">
        <v>254</v>
      </c>
      <c r="L1159" s="59" t="s">
        <v>171</v>
      </c>
      <c r="M1159" s="22">
        <v>2</v>
      </c>
      <c r="V1159" s="59" t="s">
        <v>176</v>
      </c>
      <c r="AL1159" s="59" t="s">
        <v>40</v>
      </c>
      <c r="AM1159" s="22" t="s">
        <v>188</v>
      </c>
      <c r="AV1159" s="59" t="s">
        <v>134</v>
      </c>
      <c r="AW1159" s="22" t="str">
        <f>Settings!$B$5 &amp;  "?s=" &amp; D1159 &amp; "&amp;platform=ftx"</f>
        <v>https://tokensol.nfluent.io?s=COR22D996&amp;platform=ftx</v>
      </c>
      <c r="AX1159" s="20" t="s">
        <v>23</v>
      </c>
      <c r="AY1159" s="20">
        <v>10</v>
      </c>
      <c r="AZ1159" s="20" t="s">
        <v>24</v>
      </c>
      <c r="BA1159" s="20">
        <v>90</v>
      </c>
      <c r="BD1159" s="14"/>
      <c r="BJ1159" t="s">
        <v>255</v>
      </c>
      <c r="BK1159" t="s">
        <v>184</v>
      </c>
      <c r="BN1159" s="36">
        <v>100</v>
      </c>
      <c r="BO1159" s="36">
        <v>100</v>
      </c>
      <c r="BP1159">
        <f t="shared" si="96"/>
        <v>480</v>
      </c>
      <c r="BR1159" s="38">
        <v>44713</v>
      </c>
      <c r="BS1159" s="20" t="s">
        <v>185</v>
      </c>
      <c r="BT1159" s="20" t="str">
        <f t="shared" si="97"/>
        <v>InCasa_COR22D996</v>
      </c>
    </row>
    <row r="1160" spans="2:72" ht="18.75" customHeight="1" x14ac:dyDescent="0.25">
      <c r="B1160" s="20">
        <f t="shared" si="98"/>
        <v>997</v>
      </c>
      <c r="C1160" s="22" t="str">
        <f t="shared" si="94"/>
        <v>In Casa #997</v>
      </c>
      <c r="D1160" t="str">
        <f t="shared" si="95"/>
        <v>COR22D997</v>
      </c>
      <c r="E1160" s="58" t="s">
        <v>252</v>
      </c>
      <c r="F1160" s="20">
        <v>1000</v>
      </c>
      <c r="G1160" s="14" t="s">
        <v>354</v>
      </c>
      <c r="H1160" s="23" t="s">
        <v>170</v>
      </c>
      <c r="J1160" s="59" t="s">
        <v>38</v>
      </c>
      <c r="K1160" s="22" t="s">
        <v>254</v>
      </c>
      <c r="L1160" s="59" t="s">
        <v>171</v>
      </c>
      <c r="M1160" s="22">
        <v>2</v>
      </c>
      <c r="V1160" s="59" t="s">
        <v>176</v>
      </c>
      <c r="AL1160" s="59" t="s">
        <v>40</v>
      </c>
      <c r="AM1160" s="22" t="s">
        <v>188</v>
      </c>
      <c r="AV1160" s="59" t="s">
        <v>134</v>
      </c>
      <c r="AW1160" s="22" t="str">
        <f>Settings!$B$5 &amp;  "?s=" &amp; D1160 &amp; "&amp;platform=ftx"</f>
        <v>https://tokensol.nfluent.io?s=COR22D997&amp;platform=ftx</v>
      </c>
      <c r="AX1160" s="20" t="s">
        <v>23</v>
      </c>
      <c r="AY1160" s="20">
        <v>10</v>
      </c>
      <c r="AZ1160" s="20" t="s">
        <v>24</v>
      </c>
      <c r="BA1160" s="20">
        <v>90</v>
      </c>
      <c r="BD1160" s="14"/>
      <c r="BJ1160" t="s">
        <v>255</v>
      </c>
      <c r="BK1160" t="s">
        <v>184</v>
      </c>
      <c r="BN1160" s="36">
        <v>100</v>
      </c>
      <c r="BO1160" s="36">
        <v>100</v>
      </c>
      <c r="BP1160">
        <f t="shared" si="96"/>
        <v>480</v>
      </c>
      <c r="BR1160" s="38">
        <v>44713</v>
      </c>
      <c r="BS1160" s="20" t="s">
        <v>185</v>
      </c>
      <c r="BT1160" s="20" t="str">
        <f t="shared" si="97"/>
        <v>InCasa_COR22D997</v>
      </c>
    </row>
    <row r="1161" spans="2:72" ht="18.75" customHeight="1" x14ac:dyDescent="0.25">
      <c r="B1161" s="20">
        <f t="shared" si="98"/>
        <v>998</v>
      </c>
      <c r="C1161" s="22" t="str">
        <f t="shared" si="94"/>
        <v>In Casa #998</v>
      </c>
      <c r="D1161" t="str">
        <f t="shared" si="95"/>
        <v>COR22D998</v>
      </c>
      <c r="E1161" s="58" t="s">
        <v>252</v>
      </c>
      <c r="F1161" s="20">
        <v>1000</v>
      </c>
      <c r="G1161" s="14" t="s">
        <v>354</v>
      </c>
      <c r="H1161" s="23" t="s">
        <v>170</v>
      </c>
      <c r="J1161" s="59" t="s">
        <v>38</v>
      </c>
      <c r="K1161" s="22" t="s">
        <v>254</v>
      </c>
      <c r="L1161" s="59" t="s">
        <v>171</v>
      </c>
      <c r="M1161" s="22">
        <v>2</v>
      </c>
      <c r="V1161" s="59" t="s">
        <v>176</v>
      </c>
      <c r="AL1161" s="59" t="s">
        <v>40</v>
      </c>
      <c r="AM1161" s="22" t="s">
        <v>188</v>
      </c>
      <c r="AV1161" s="59" t="s">
        <v>134</v>
      </c>
      <c r="AW1161" s="22" t="str">
        <f>Settings!$B$5 &amp;  "?s=" &amp; D1161 &amp; "&amp;platform=ftx"</f>
        <v>https://tokensol.nfluent.io?s=COR22D998&amp;platform=ftx</v>
      </c>
      <c r="AX1161" s="20" t="s">
        <v>23</v>
      </c>
      <c r="AY1161" s="20">
        <v>10</v>
      </c>
      <c r="AZ1161" s="20" t="s">
        <v>24</v>
      </c>
      <c r="BA1161" s="20">
        <v>90</v>
      </c>
      <c r="BD1161" s="14"/>
      <c r="BJ1161" t="s">
        <v>255</v>
      </c>
      <c r="BK1161" t="s">
        <v>184</v>
      </c>
      <c r="BN1161" s="36">
        <v>100</v>
      </c>
      <c r="BO1161" s="36">
        <v>100</v>
      </c>
      <c r="BP1161">
        <f t="shared" si="96"/>
        <v>480</v>
      </c>
      <c r="BR1161" s="38">
        <v>44713</v>
      </c>
      <c r="BS1161" s="20" t="s">
        <v>185</v>
      </c>
      <c r="BT1161" s="20" t="str">
        <f t="shared" si="97"/>
        <v>InCasa_COR22D998</v>
      </c>
    </row>
    <row r="1162" spans="2:72" ht="18.75" customHeight="1" x14ac:dyDescent="0.25">
      <c r="B1162" s="20">
        <f t="shared" si="98"/>
        <v>999</v>
      </c>
      <c r="C1162" s="22" t="str">
        <f t="shared" si="94"/>
        <v>In Casa #999</v>
      </c>
      <c r="D1162" t="str">
        <f t="shared" si="95"/>
        <v>COR22D999</v>
      </c>
      <c r="E1162" s="58" t="s">
        <v>252</v>
      </c>
      <c r="F1162" s="20">
        <v>1000</v>
      </c>
      <c r="G1162" s="14" t="s">
        <v>354</v>
      </c>
      <c r="H1162" s="23" t="s">
        <v>170</v>
      </c>
      <c r="J1162" s="59" t="s">
        <v>38</v>
      </c>
      <c r="K1162" s="22" t="s">
        <v>254</v>
      </c>
      <c r="L1162" s="59" t="s">
        <v>171</v>
      </c>
      <c r="M1162" s="22">
        <v>2</v>
      </c>
      <c r="V1162" s="59" t="s">
        <v>176</v>
      </c>
      <c r="AL1162" s="59" t="s">
        <v>40</v>
      </c>
      <c r="AM1162" s="22" t="s">
        <v>188</v>
      </c>
      <c r="AV1162" s="59" t="s">
        <v>134</v>
      </c>
      <c r="AW1162" s="22" t="str">
        <f>Settings!$B$5 &amp;  "?s=" &amp; D1162 &amp; "&amp;platform=ftx"</f>
        <v>https://tokensol.nfluent.io?s=COR22D999&amp;platform=ftx</v>
      </c>
      <c r="AX1162" s="20" t="s">
        <v>23</v>
      </c>
      <c r="AY1162" s="20">
        <v>10</v>
      </c>
      <c r="AZ1162" s="20" t="s">
        <v>24</v>
      </c>
      <c r="BA1162" s="20">
        <v>90</v>
      </c>
      <c r="BD1162" s="14"/>
      <c r="BJ1162" t="s">
        <v>255</v>
      </c>
      <c r="BK1162" t="s">
        <v>184</v>
      </c>
      <c r="BN1162" s="36">
        <v>100</v>
      </c>
      <c r="BO1162" s="36">
        <v>100</v>
      </c>
      <c r="BP1162">
        <f t="shared" si="96"/>
        <v>480</v>
      </c>
      <c r="BR1162" s="38">
        <v>44713</v>
      </c>
      <c r="BS1162" s="20" t="s">
        <v>185</v>
      </c>
      <c r="BT1162" s="20" t="str">
        <f t="shared" si="97"/>
        <v>InCasa_COR22D999</v>
      </c>
    </row>
    <row r="1163" spans="2:72" ht="18.75" customHeight="1" x14ac:dyDescent="0.25">
      <c r="B1163" s="20">
        <f t="shared" si="98"/>
        <v>1000</v>
      </c>
      <c r="C1163" s="22" t="str">
        <f t="shared" si="94"/>
        <v>In Casa #1000</v>
      </c>
      <c r="D1163" t="str">
        <f t="shared" si="95"/>
        <v>COR22D1000</v>
      </c>
      <c r="E1163" s="58" t="s">
        <v>252</v>
      </c>
      <c r="F1163" s="20">
        <v>1000</v>
      </c>
      <c r="G1163" s="14" t="s">
        <v>354</v>
      </c>
      <c r="H1163" s="23" t="s">
        <v>170</v>
      </c>
      <c r="J1163" s="59" t="s">
        <v>38</v>
      </c>
      <c r="K1163" s="22" t="s">
        <v>254</v>
      </c>
      <c r="L1163" s="59" t="s">
        <v>171</v>
      </c>
      <c r="M1163" s="22">
        <v>2</v>
      </c>
      <c r="V1163" s="59" t="s">
        <v>176</v>
      </c>
      <c r="AL1163" s="59" t="s">
        <v>40</v>
      </c>
      <c r="AM1163" s="22" t="s">
        <v>188</v>
      </c>
      <c r="AV1163" s="59" t="s">
        <v>134</v>
      </c>
      <c r="AW1163" s="22" t="str">
        <f>Settings!$B$5 &amp;  "?s=" &amp; D1163 &amp; "&amp;platform=ftx"</f>
        <v>https://tokensol.nfluent.io?s=COR22D1000&amp;platform=ftx</v>
      </c>
      <c r="AX1163" s="20" t="s">
        <v>23</v>
      </c>
      <c r="AY1163" s="20">
        <v>10</v>
      </c>
      <c r="AZ1163" s="20" t="s">
        <v>24</v>
      </c>
      <c r="BA1163" s="20">
        <v>90</v>
      </c>
      <c r="BD1163" s="14"/>
      <c r="BJ1163" t="s">
        <v>255</v>
      </c>
      <c r="BK1163" t="s">
        <v>184</v>
      </c>
      <c r="BN1163" s="36">
        <v>100</v>
      </c>
      <c r="BO1163" s="36">
        <v>100</v>
      </c>
      <c r="BP1163">
        <f t="shared" si="96"/>
        <v>480</v>
      </c>
      <c r="BR1163" s="38">
        <v>44713</v>
      </c>
      <c r="BS1163" s="20" t="s">
        <v>185</v>
      </c>
      <c r="BT1163" s="20" t="str">
        <f t="shared" si="97"/>
        <v>InCasa_COR22D1000</v>
      </c>
    </row>
    <row r="1164" spans="2:72" ht="18.75" customHeight="1" x14ac:dyDescent="0.25">
      <c r="G1164" s="14"/>
      <c r="H1164" s="23"/>
      <c r="AW1164" s="22"/>
      <c r="BD1164" s="14"/>
      <c r="BS1164" s="20"/>
    </row>
    <row r="1165" spans="2:72" ht="18.75" customHeight="1" x14ac:dyDescent="0.25">
      <c r="G1165" s="14"/>
      <c r="H1165" s="23"/>
      <c r="AW1165" s="22"/>
      <c r="BD1165" s="14"/>
      <c r="BS1165" s="20"/>
    </row>
    <row r="1166" spans="2:72" ht="18.75" customHeight="1" x14ac:dyDescent="0.25">
      <c r="G1166" s="14"/>
      <c r="H1166" s="23"/>
      <c r="AW1166" s="22"/>
      <c r="BD1166" s="14"/>
      <c r="BS1166" s="20"/>
    </row>
    <row r="1167" spans="2:72" ht="18.75" customHeight="1" x14ac:dyDescent="0.25">
      <c r="G1167" s="14"/>
      <c r="H1167" s="23"/>
      <c r="AW1167" s="22"/>
      <c r="BD1167" s="14"/>
      <c r="BS1167" s="20"/>
    </row>
    <row r="1168" spans="2:72" ht="18.75" customHeight="1" x14ac:dyDescent="0.25">
      <c r="G1168" s="14"/>
      <c r="H1168" s="23"/>
      <c r="AW1168" s="22"/>
      <c r="BD1168" s="14"/>
      <c r="BS1168" s="20"/>
    </row>
    <row r="1169" spans="7:71" ht="18.75" customHeight="1" x14ac:dyDescent="0.25">
      <c r="G1169" s="14"/>
      <c r="H1169" s="23"/>
      <c r="AW1169" s="22"/>
      <c r="BD1169" s="14"/>
      <c r="BS1169" s="20"/>
    </row>
    <row r="1170" spans="7:71" ht="18.75" customHeight="1" x14ac:dyDescent="0.25">
      <c r="G1170" s="14"/>
      <c r="H1170" s="23"/>
      <c r="AW1170" s="22"/>
      <c r="BD1170" s="14"/>
      <c r="BS1170" s="20"/>
    </row>
    <row r="1171" spans="7:71" ht="18.75" customHeight="1" x14ac:dyDescent="0.25">
      <c r="G1171" s="14"/>
      <c r="H1171" s="23"/>
      <c r="AW1171" s="22"/>
      <c r="BD1171" s="14"/>
      <c r="BS1171" s="20"/>
    </row>
    <row r="1172" spans="7:71" ht="18.75" customHeight="1" x14ac:dyDescent="0.25">
      <c r="G1172" s="14"/>
      <c r="H1172" s="23"/>
      <c r="AW1172" s="22"/>
      <c r="BD1172" s="14"/>
      <c r="BS1172" s="20"/>
    </row>
    <row r="1173" spans="7:71" ht="18.75" customHeight="1" x14ac:dyDescent="0.25">
      <c r="G1173" s="14"/>
      <c r="H1173" s="23"/>
      <c r="AW1173" s="22"/>
      <c r="BD1173" s="14"/>
      <c r="BS1173" s="20"/>
    </row>
    <row r="1174" spans="7:71" ht="18.75" customHeight="1" x14ac:dyDescent="0.25">
      <c r="G1174" s="14"/>
      <c r="H1174" s="23"/>
      <c r="AW1174" s="22"/>
      <c r="BD1174" s="14"/>
      <c r="BS1174" s="20"/>
    </row>
    <row r="1175" spans="7:71" ht="18.75" customHeight="1" x14ac:dyDescent="0.25">
      <c r="G1175" s="14"/>
      <c r="H1175" s="23"/>
      <c r="AW1175" s="22"/>
      <c r="BD1175" s="14"/>
      <c r="BS1175" s="20"/>
    </row>
    <row r="1176" spans="7:71" ht="18.75" customHeight="1" x14ac:dyDescent="0.25">
      <c r="G1176" s="14"/>
      <c r="H1176" s="23"/>
      <c r="AW1176" s="22"/>
      <c r="BD1176" s="14"/>
      <c r="BS1176" s="20"/>
    </row>
    <row r="1177" spans="7:71" ht="18.75" customHeight="1" x14ac:dyDescent="0.25">
      <c r="G1177" s="14"/>
      <c r="H1177" s="23"/>
      <c r="AW1177" s="22"/>
      <c r="BD1177" s="14"/>
      <c r="BS1177" s="20"/>
    </row>
    <row r="1178" spans="7:71" ht="18.75" customHeight="1" x14ac:dyDescent="0.25">
      <c r="G1178" s="14"/>
      <c r="H1178" s="23"/>
      <c r="AW1178" s="22"/>
      <c r="BD1178" s="14"/>
      <c r="BS1178" s="20"/>
    </row>
    <row r="1179" spans="7:71" ht="18.75" customHeight="1" x14ac:dyDescent="0.25">
      <c r="G1179" s="14"/>
      <c r="H1179" s="23"/>
      <c r="AW1179" s="22"/>
      <c r="BD1179" s="14"/>
      <c r="BS1179" s="20"/>
    </row>
    <row r="1180" spans="7:71" ht="18.75" customHeight="1" x14ac:dyDescent="0.25">
      <c r="G1180" s="14"/>
      <c r="H1180" s="23"/>
      <c r="AW1180" s="22"/>
      <c r="BD1180" s="14"/>
      <c r="BS1180" s="20"/>
    </row>
    <row r="1181" spans="7:71" ht="18.75" customHeight="1" x14ac:dyDescent="0.25">
      <c r="G1181" s="14"/>
      <c r="H1181" s="23"/>
      <c r="AW1181" s="22"/>
      <c r="BD1181" s="14"/>
      <c r="BS1181" s="20"/>
    </row>
    <row r="1182" spans="7:71" ht="18.75" customHeight="1" x14ac:dyDescent="0.25">
      <c r="G1182" s="14"/>
      <c r="H1182" s="23"/>
      <c r="AW1182" s="22"/>
      <c r="BD1182" s="14"/>
      <c r="BS1182" s="20"/>
    </row>
    <row r="1183" spans="7:71" ht="18.75" customHeight="1" x14ac:dyDescent="0.25">
      <c r="G1183" s="14"/>
      <c r="H1183" s="23"/>
      <c r="AW1183" s="22"/>
      <c r="BD1183" s="14"/>
      <c r="BS1183" s="20"/>
    </row>
    <row r="1184" spans="7:71" ht="18.75" customHeight="1" x14ac:dyDescent="0.25">
      <c r="G1184" s="14"/>
      <c r="H1184" s="23"/>
      <c r="AW1184" s="22"/>
      <c r="BD1184" s="14"/>
      <c r="BS1184" s="20"/>
    </row>
    <row r="1185" spans="7:71" ht="18.75" customHeight="1" x14ac:dyDescent="0.25">
      <c r="G1185" s="14"/>
      <c r="H1185" s="23"/>
      <c r="AW1185" s="22"/>
      <c r="BD1185" s="14"/>
      <c r="BS1185" s="20"/>
    </row>
    <row r="1186" spans="7:71" ht="18.75" customHeight="1" x14ac:dyDescent="0.25">
      <c r="G1186" s="14"/>
      <c r="H1186" s="23"/>
      <c r="AW1186" s="22"/>
      <c r="BD1186" s="14"/>
      <c r="BS1186" s="20"/>
    </row>
    <row r="1187" spans="7:71" ht="18.75" customHeight="1" x14ac:dyDescent="0.25">
      <c r="G1187" s="14"/>
      <c r="H1187" s="23"/>
      <c r="AW1187" s="22"/>
      <c r="BD1187" s="14"/>
      <c r="BS1187" s="20"/>
    </row>
    <row r="1188" spans="7:71" ht="18.75" customHeight="1" x14ac:dyDescent="0.25">
      <c r="G1188" s="14"/>
      <c r="H1188" s="23"/>
      <c r="AW1188" s="22"/>
      <c r="BD1188" s="14"/>
      <c r="BS1188" s="20"/>
    </row>
    <row r="1189" spans="7:71" ht="18.75" customHeight="1" x14ac:dyDescent="0.25">
      <c r="G1189" s="14"/>
      <c r="H1189" s="23"/>
      <c r="AW1189" s="22"/>
      <c r="BD1189" s="14"/>
      <c r="BS1189" s="20"/>
    </row>
    <row r="1190" spans="7:71" ht="18.75" customHeight="1" x14ac:dyDescent="0.25">
      <c r="G1190" s="14"/>
      <c r="H1190" s="23"/>
      <c r="AW1190" s="22"/>
      <c r="BD1190" s="14"/>
      <c r="BS1190" s="20"/>
    </row>
    <row r="1191" spans="7:71" ht="18.75" customHeight="1" x14ac:dyDescent="0.25">
      <c r="G1191" s="14"/>
      <c r="H1191" s="23"/>
      <c r="AW1191" s="22"/>
      <c r="BD1191" s="14"/>
      <c r="BS1191" s="20"/>
    </row>
    <row r="1192" spans="7:71" ht="18.75" customHeight="1" x14ac:dyDescent="0.25">
      <c r="G1192" s="14"/>
      <c r="H1192" s="23"/>
      <c r="AW1192" s="22"/>
      <c r="BD1192" s="14"/>
      <c r="BS1192" s="20"/>
    </row>
    <row r="1193" spans="7:71" ht="18.75" customHeight="1" x14ac:dyDescent="0.25">
      <c r="G1193" s="14"/>
      <c r="H1193" s="23"/>
      <c r="AW1193" s="22"/>
      <c r="BD1193" s="14"/>
      <c r="BS1193" s="20"/>
    </row>
    <row r="1194" spans="7:71" ht="18.75" customHeight="1" x14ac:dyDescent="0.25">
      <c r="G1194" s="14"/>
      <c r="H1194" s="23"/>
      <c r="AW1194" s="22"/>
      <c r="BD1194" s="14"/>
      <c r="BS1194" s="20"/>
    </row>
    <row r="1195" spans="7:71" ht="18.75" customHeight="1" x14ac:dyDescent="0.25">
      <c r="G1195" s="14"/>
      <c r="H1195" s="23"/>
      <c r="AW1195" s="22"/>
      <c r="BD1195" s="14"/>
      <c r="BS1195" s="20"/>
    </row>
    <row r="1196" spans="7:71" ht="18.75" customHeight="1" x14ac:dyDescent="0.25">
      <c r="G1196" s="14"/>
      <c r="H1196" s="23"/>
      <c r="AW1196" s="22"/>
      <c r="BD1196" s="14"/>
      <c r="BS1196" s="20"/>
    </row>
    <row r="1197" spans="7:71" ht="18.75" customHeight="1" x14ac:dyDescent="0.25">
      <c r="G1197" s="14"/>
      <c r="H1197" s="23"/>
      <c r="AW1197" s="22"/>
      <c r="BD1197" s="14"/>
      <c r="BS1197" s="20"/>
    </row>
    <row r="1198" spans="7:71" ht="18.75" customHeight="1" x14ac:dyDescent="0.25">
      <c r="G1198" s="14"/>
      <c r="H1198" s="23"/>
      <c r="AW1198" s="22"/>
      <c r="BD1198" s="14"/>
      <c r="BS1198" s="20"/>
    </row>
    <row r="1199" spans="7:71" ht="18.75" customHeight="1" x14ac:dyDescent="0.25">
      <c r="G1199" s="14"/>
      <c r="H1199" s="23"/>
      <c r="AW1199" s="22"/>
      <c r="BD1199" s="14"/>
      <c r="BS1199" s="20"/>
    </row>
    <row r="1200" spans="7:71" ht="18.75" customHeight="1" x14ac:dyDescent="0.25">
      <c r="G1200" s="14"/>
      <c r="H1200" s="23"/>
      <c r="AW1200" s="22"/>
      <c r="BD1200" s="14"/>
      <c r="BS1200" s="20"/>
    </row>
    <row r="1201" spans="7:71" ht="18.75" customHeight="1" x14ac:dyDescent="0.25">
      <c r="G1201" s="14"/>
      <c r="H1201" s="23"/>
      <c r="AW1201" s="22"/>
      <c r="BD1201" s="14"/>
      <c r="BS1201" s="20"/>
    </row>
    <row r="1202" spans="7:71" ht="18.75" customHeight="1" x14ac:dyDescent="0.25">
      <c r="G1202" s="14"/>
      <c r="H1202" s="23"/>
      <c r="AW1202" s="22"/>
      <c r="BD1202" s="14"/>
      <c r="BS1202" s="20"/>
    </row>
    <row r="1203" spans="7:71" ht="18.75" customHeight="1" x14ac:dyDescent="0.25">
      <c r="G1203" s="14"/>
      <c r="H1203" s="23"/>
      <c r="AW1203" s="22"/>
      <c r="BD1203" s="14"/>
      <c r="BS1203" s="20"/>
    </row>
    <row r="1204" spans="7:71" ht="18.75" customHeight="1" x14ac:dyDescent="0.25">
      <c r="G1204" s="14"/>
      <c r="H1204" s="23"/>
      <c r="AW1204" s="22"/>
      <c r="BD1204" s="14"/>
      <c r="BS1204" s="20"/>
    </row>
    <row r="1205" spans="7:71" ht="18.75" customHeight="1" x14ac:dyDescent="0.25">
      <c r="G1205" s="14"/>
      <c r="H1205" s="23"/>
      <c r="AW1205" s="22"/>
      <c r="BD1205" s="14"/>
      <c r="BS1205" s="20"/>
    </row>
    <row r="1206" spans="7:71" ht="18.75" customHeight="1" x14ac:dyDescent="0.25">
      <c r="G1206" s="14"/>
      <c r="H1206" s="23"/>
      <c r="AW1206" s="22"/>
      <c r="BD1206" s="14"/>
      <c r="BS1206" s="20"/>
    </row>
    <row r="1207" spans="7:71" ht="18.75" customHeight="1" x14ac:dyDescent="0.25">
      <c r="G1207" s="14"/>
      <c r="H1207" s="23"/>
      <c r="AW1207" s="22"/>
      <c r="BD1207" s="14"/>
      <c r="BS1207" s="20"/>
    </row>
    <row r="1208" spans="7:71" ht="18.75" customHeight="1" x14ac:dyDescent="0.25">
      <c r="G1208" s="14"/>
      <c r="H1208" s="23"/>
      <c r="AW1208" s="22"/>
      <c r="BD1208" s="14"/>
      <c r="BS1208" s="20"/>
    </row>
    <row r="1209" spans="7:71" ht="18.75" customHeight="1" x14ac:dyDescent="0.25">
      <c r="G1209" s="14"/>
      <c r="H1209" s="23"/>
      <c r="AW1209" s="22"/>
      <c r="BD1209" s="14"/>
      <c r="BS1209" s="20"/>
    </row>
    <row r="1210" spans="7:71" ht="18.75" customHeight="1" x14ac:dyDescent="0.25">
      <c r="G1210" s="14"/>
      <c r="H1210" s="23"/>
      <c r="AW1210" s="22"/>
      <c r="BD1210" s="14"/>
      <c r="BS1210" s="20"/>
    </row>
    <row r="1211" spans="7:71" ht="18.75" customHeight="1" x14ac:dyDescent="0.25">
      <c r="G1211" s="14"/>
      <c r="H1211" s="23"/>
      <c r="AW1211" s="22"/>
      <c r="BD1211" s="14"/>
      <c r="BS1211" s="20"/>
    </row>
    <row r="1212" spans="7:71" ht="18.75" customHeight="1" x14ac:dyDescent="0.25">
      <c r="G1212" s="14"/>
      <c r="H1212" s="23"/>
      <c r="AW1212" s="22"/>
      <c r="BD1212" s="14"/>
      <c r="BS1212" s="20"/>
    </row>
    <row r="1213" spans="7:71" ht="18.75" customHeight="1" x14ac:dyDescent="0.25">
      <c r="G1213" s="14"/>
      <c r="H1213" s="23"/>
      <c r="AW1213" s="22"/>
      <c r="BD1213" s="14"/>
      <c r="BS1213" s="20"/>
    </row>
    <row r="1214" spans="7:71" ht="18.75" customHeight="1" x14ac:dyDescent="0.25">
      <c r="G1214" s="14"/>
      <c r="H1214" s="23"/>
      <c r="AW1214" s="22"/>
      <c r="BD1214" s="14"/>
      <c r="BS1214" s="20"/>
    </row>
    <row r="1215" spans="7:71" ht="18.75" customHeight="1" x14ac:dyDescent="0.25">
      <c r="G1215" s="14"/>
      <c r="H1215" s="23"/>
      <c r="AW1215" s="22"/>
      <c r="BD1215" s="14"/>
      <c r="BS1215" s="20"/>
    </row>
    <row r="1216" spans="7:71" ht="18.75" customHeight="1" x14ac:dyDescent="0.25">
      <c r="G1216" s="14"/>
      <c r="H1216" s="23"/>
      <c r="AW1216" s="22"/>
      <c r="BD1216" s="14"/>
      <c r="BS1216" s="20"/>
    </row>
    <row r="1217" spans="7:71" ht="18.75" customHeight="1" x14ac:dyDescent="0.25">
      <c r="G1217" s="14"/>
      <c r="H1217" s="23"/>
      <c r="AW1217" s="22"/>
      <c r="BD1217" s="14"/>
      <c r="BS1217" s="20"/>
    </row>
    <row r="1218" spans="7:71" ht="18.75" customHeight="1" x14ac:dyDescent="0.25">
      <c r="G1218" s="14"/>
      <c r="H1218" s="23"/>
      <c r="AW1218" s="22"/>
      <c r="BD1218" s="14"/>
      <c r="BS1218" s="20"/>
    </row>
    <row r="1219" spans="7:71" ht="18.75" customHeight="1" x14ac:dyDescent="0.25">
      <c r="G1219" s="14"/>
      <c r="H1219" s="23"/>
      <c r="AW1219" s="22"/>
      <c r="BD1219" s="14"/>
      <c r="BS1219" s="20"/>
    </row>
    <row r="1220" spans="7:71" ht="18.75" customHeight="1" x14ac:dyDescent="0.25">
      <c r="G1220" s="14"/>
      <c r="H1220" s="23"/>
      <c r="AW1220" s="22"/>
      <c r="BD1220" s="14"/>
      <c r="BS1220" s="20"/>
    </row>
    <row r="1221" spans="7:71" ht="18.75" customHeight="1" x14ac:dyDescent="0.25">
      <c r="G1221" s="14"/>
      <c r="H1221" s="23"/>
      <c r="AW1221" s="22"/>
      <c r="BD1221" s="14"/>
      <c r="BS1221" s="20"/>
    </row>
    <row r="1222" spans="7:71" ht="18.75" customHeight="1" x14ac:dyDescent="0.25">
      <c r="G1222" s="14"/>
      <c r="H1222" s="23"/>
      <c r="AW1222" s="22"/>
      <c r="BD1222" s="14"/>
      <c r="BS1222" s="20"/>
    </row>
    <row r="1223" spans="7:71" ht="18.75" customHeight="1" x14ac:dyDescent="0.25">
      <c r="G1223" s="14"/>
      <c r="H1223" s="23"/>
      <c r="AW1223" s="22"/>
      <c r="BD1223" s="14"/>
      <c r="BS1223" s="20"/>
    </row>
    <row r="1224" spans="7:71" ht="18.75" customHeight="1" x14ac:dyDescent="0.25">
      <c r="G1224" s="14"/>
      <c r="H1224" s="23"/>
      <c r="AW1224" s="22"/>
      <c r="BD1224" s="14"/>
      <c r="BS1224" s="20"/>
    </row>
  </sheetData>
  <autoFilter ref="C3:BS3" xr:uid="{DF6422A0-FED0-49DC-8BC5-75A8A4B87431}"/>
  <mergeCells count="8">
    <mergeCell ref="BS1:BT1"/>
    <mergeCell ref="C1:I1"/>
    <mergeCell ref="BN1:BR1"/>
    <mergeCell ref="AX1:BC1"/>
    <mergeCell ref="BD1:BI1"/>
    <mergeCell ref="BJ1:BK1"/>
    <mergeCell ref="J1:U1"/>
    <mergeCell ref="AD1:AO1"/>
  </mergeCells>
  <phoneticPr fontId="1" type="noConversion"/>
  <conditionalFormatting sqref="BT1:BT1048576">
    <cfRule type="duplicateValues" dxfId="0" priority="1"/>
  </conditionalFormatting>
  <dataValidations count="2">
    <dataValidation type="textLength" allowBlank="1" showInputMessage="1" showErrorMessage="1" sqref="D1:D3 D1164:D1048576 D14:D63" xr:uid="{EC6F588B-C930-4547-BAC5-1C5E86225C34}">
      <formula1>2</formula1>
      <formula2>10</formula2>
    </dataValidation>
    <dataValidation type="textLength" allowBlank="1" showInputMessage="1" showErrorMessage="1" sqref="D4:D13 D64:D1163" xr:uid="{58AEBFB8-2B0E-4782-820E-7AC30912AF68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0C84BF55-2AE3-430D-B6D4-04D34E2896D6}"/>
    <hyperlink ref="AC5:AC53" r:id="rId3" display="https://tokensol.nfluent.io/validate?" xr:uid="{55B21860-E03B-4C8A-BC92-74190D4D24E8}"/>
    <hyperlink ref="G4" r:id="rId4" xr:uid="{307DB168-EE4F-480C-9CE7-7D5DA89E0420}"/>
    <hyperlink ref="G6" r:id="rId5" xr:uid="{C6091F48-41CE-43AF-A4B9-5A1F48F32910}"/>
    <hyperlink ref="G5" r:id="rId6" xr:uid="{E2B608C2-FFED-40AD-BAA2-EC63CCFF9B4F}"/>
    <hyperlink ref="G7" r:id="rId7" xr:uid="{E362BDC7-A977-405E-9578-65288CFF45A6}"/>
  </hyperlinks>
  <pageMargins left="0.7" right="0.7" top="0.75" bottom="0.75" header="0.3" footer="0.3"/>
  <pageSetup paperSize="9" orientation="portrait" r:id="rId8"/>
  <drawing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47D7-B05B-42F8-A7B7-478B7338ECE7}">
  <sheetPr codeName="Feuil7"/>
  <dimension ref="A1:BI249"/>
  <sheetViews>
    <sheetView workbookViewId="0">
      <selection activeCell="A17" sqref="A17"/>
    </sheetView>
  </sheetViews>
  <sheetFormatPr baseColWidth="10" defaultRowHeight="15" x14ac:dyDescent="0.25"/>
  <cols>
    <col min="1" max="1" width="14.5703125" customWidth="1"/>
  </cols>
  <sheetData>
    <row r="1" spans="1:61" x14ac:dyDescent="0.25">
      <c r="A1" t="str">
        <f>Tokens!C2</f>
        <v>name</v>
      </c>
      <c r="B1" t="str">
        <f>Tokens!D2</f>
        <v>symbol</v>
      </c>
      <c r="C1" t="str">
        <f>Tokens!E2</f>
        <v>description</v>
      </c>
      <c r="D1" t="str">
        <f>Tokens!F2</f>
        <v>seller_fee_basis_points</v>
      </c>
      <c r="E1" t="str">
        <f>Tokens!G2</f>
        <v>image</v>
      </c>
      <c r="F1" t="str">
        <f>Tokens!H2</f>
        <v>Issuer</v>
      </c>
      <c r="G1" t="str">
        <f>Tokens!I2</f>
        <v>external_url</v>
      </c>
      <c r="H1" t="str">
        <f>Tokens!J2</f>
        <v>trait_type</v>
      </c>
      <c r="I1" t="str">
        <f>Tokens!K2</f>
        <v>value</v>
      </c>
      <c r="J1" t="str">
        <f>Tokens!L2</f>
        <v>trait_type</v>
      </c>
      <c r="K1" t="str">
        <f>Tokens!M2</f>
        <v>value</v>
      </c>
      <c r="L1" t="str">
        <f>Tokens!N2</f>
        <v>trait_type</v>
      </c>
      <c r="M1" t="str">
        <f>Tokens!O2</f>
        <v>value</v>
      </c>
      <c r="N1" t="str">
        <f>Tokens!P2</f>
        <v>trait_type</v>
      </c>
      <c r="O1" t="str">
        <f>Tokens!Q2</f>
        <v>value</v>
      </c>
      <c r="P1" t="str">
        <f>Tokens!R2</f>
        <v>trait_type</v>
      </c>
      <c r="Q1" t="str">
        <f>Tokens!S2</f>
        <v>value</v>
      </c>
      <c r="R1" t="str">
        <f>Tokens!T2</f>
        <v>trait_type</v>
      </c>
      <c r="S1" t="str">
        <f>Tokens!U2</f>
        <v>value</v>
      </c>
      <c r="T1" t="str">
        <f>Tokens!V2</f>
        <v>trait_type</v>
      </c>
      <c r="U1" t="str">
        <f>Tokens!W2</f>
        <v>value</v>
      </c>
      <c r="V1" t="str">
        <f>Tokens!X2</f>
        <v>trait_type</v>
      </c>
      <c r="W1" t="str">
        <f>Tokens!Y2</f>
        <v>value</v>
      </c>
      <c r="X1" t="str">
        <f>Tokens!Z2</f>
        <v>trait_type</v>
      </c>
      <c r="Y1" t="str">
        <f>Tokens!AA2</f>
        <v>value</v>
      </c>
      <c r="Z1" t="str">
        <f>Tokens!AB2</f>
        <v>trait_type</v>
      </c>
      <c r="AA1" t="str">
        <f>Tokens!AC2</f>
        <v>value</v>
      </c>
      <c r="AB1" t="str">
        <f>Tokens!AD2</f>
        <v>trait_type</v>
      </c>
      <c r="AC1" t="str">
        <f>Tokens!AE2</f>
        <v>value</v>
      </c>
      <c r="AD1" t="str">
        <f>Tokens!AF2</f>
        <v>trait_type</v>
      </c>
      <c r="AE1" t="str">
        <f>Tokens!AG2</f>
        <v>value</v>
      </c>
      <c r="AF1" t="str">
        <f>Tokens!AH2</f>
        <v>trait_type</v>
      </c>
      <c r="AG1" t="str">
        <f>Tokens!AI2</f>
        <v>value</v>
      </c>
      <c r="AH1" t="str">
        <f>Tokens!AJ2</f>
        <v>trait_type</v>
      </c>
      <c r="AI1" t="str">
        <f>Tokens!AK2</f>
        <v>value</v>
      </c>
      <c r="AJ1" t="str">
        <f>Tokens!AL2</f>
        <v>trait_type</v>
      </c>
      <c r="AK1" t="str">
        <f>Tokens!AM2</f>
        <v>value</v>
      </c>
      <c r="AL1" t="str">
        <f>Tokens!AN2</f>
        <v>trait_type</v>
      </c>
      <c r="AM1" t="str">
        <f>Tokens!AO2</f>
        <v>value</v>
      </c>
      <c r="AN1" t="str">
        <f>Tokens!AP2</f>
        <v>trait_type</v>
      </c>
      <c r="AO1" t="str">
        <f>Tokens!AQ2</f>
        <v>value</v>
      </c>
      <c r="AP1" t="str">
        <f>Tokens!AR2</f>
        <v>trait_type</v>
      </c>
      <c r="AQ1" t="str">
        <f>Tokens!AS2</f>
        <v>value</v>
      </c>
      <c r="AR1" t="str">
        <f>Tokens!AT2</f>
        <v>trait_type</v>
      </c>
      <c r="AS1" t="str">
        <f>Tokens!AU2</f>
        <v>value</v>
      </c>
      <c r="AT1" t="str">
        <f>Tokens!AV2</f>
        <v>trait_type</v>
      </c>
      <c r="AU1" t="str">
        <f>Tokens!AW2</f>
        <v>value</v>
      </c>
      <c r="AV1" t="str">
        <f>Tokens!AX2</f>
        <v>address</v>
      </c>
      <c r="AW1" t="str">
        <f>Tokens!AY2</f>
        <v>share</v>
      </c>
      <c r="AX1" t="str">
        <f>Tokens!AZ2</f>
        <v>address</v>
      </c>
      <c r="AY1" t="str">
        <f>Tokens!BA2</f>
        <v>share</v>
      </c>
      <c r="AZ1" t="str">
        <f>Tokens!BB2</f>
        <v>address</v>
      </c>
      <c r="BA1" t="str">
        <f>Tokens!BC2</f>
        <v>share</v>
      </c>
      <c r="BB1" t="str">
        <f>Tokens!BD2</f>
        <v>files</v>
      </c>
      <c r="BC1" t="str">
        <f>Tokens!BE2</f>
        <v>type</v>
      </c>
      <c r="BD1" t="str">
        <f>Tokens!BF2</f>
        <v>files</v>
      </c>
      <c r="BE1" t="str">
        <f>Tokens!BG2</f>
        <v>type</v>
      </c>
      <c r="BF1" t="str">
        <f>Tokens!BH2</f>
        <v>files</v>
      </c>
      <c r="BG1" t="str">
        <f>Tokens!BI2</f>
        <v>type</v>
      </c>
      <c r="BH1" t="str">
        <f>Tokens!BJ2</f>
        <v>name</v>
      </c>
      <c r="BI1" t="str">
        <f>Tokens!BK2</f>
        <v>family</v>
      </c>
    </row>
    <row r="2" spans="1:61" x14ac:dyDescent="0.25">
      <c r="A2" t="str">
        <f>Tokens!C4</f>
        <v>La Citadella #1</v>
      </c>
      <c r="B2" t="str">
        <f>Tokens!D4</f>
        <v>COR22A1</v>
      </c>
      <c r="C2" t="str">
        <f>Tokens!E4</f>
        <v>La Citadella, 5 ans - Pass NFT 5 jours pour 2 personnes, valable pour 5 éditions Calvi On The Rocks de votre choix.</v>
      </c>
      <c r="D2">
        <f>Tokens!F4</f>
        <v>1000</v>
      </c>
      <c r="E2" t="str">
        <f>Tokens!G4</f>
        <v>https://bafybeieb5gowbd2yayc4eefg62tpkvad5cyvunlyk44r3ppnpoqgd2j76m.ipfs.nftstorage.link?image_1.png</v>
      </c>
      <c r="F2" t="str">
        <f>Tokens!H4</f>
        <v>NfluenT for Calvi On The rocks</v>
      </c>
      <c r="G2">
        <f>Tokens!I4</f>
        <v>0</v>
      </c>
      <c r="H2" t="str">
        <f>Tokens!J4</f>
        <v>Pass festival</v>
      </c>
      <c r="I2" t="str">
        <f>Tokens!K4</f>
        <v>pour deux(2) personnes</v>
      </c>
      <c r="J2" t="str">
        <f>Tokens!L4</f>
        <v>Edition1</v>
      </c>
      <c r="K2">
        <f>Tokens!M4</f>
        <v>2</v>
      </c>
      <c r="L2" t="str">
        <f>Tokens!N4</f>
        <v>Edition2</v>
      </c>
      <c r="M2">
        <f>Tokens!O4</f>
        <v>2</v>
      </c>
      <c r="N2" t="str">
        <f>Tokens!P4</f>
        <v>Edition3</v>
      </c>
      <c r="O2">
        <f>Tokens!Q4</f>
        <v>2</v>
      </c>
      <c r="P2" t="str">
        <f>Tokens!R4</f>
        <v>Edition4</v>
      </c>
      <c r="Q2">
        <f>Tokens!S4</f>
        <v>2</v>
      </c>
      <c r="R2" t="str">
        <f>Tokens!T4</f>
        <v>Edition5</v>
      </c>
      <c r="S2">
        <f>Tokens!U4</f>
        <v>2</v>
      </c>
      <c r="T2" t="str">
        <f>Tokens!V4</f>
        <v>Dernière utilisation</v>
      </c>
      <c r="U2">
        <f>Tokens!W4</f>
        <v>0</v>
      </c>
      <c r="V2" t="str">
        <f>Tokens!X4</f>
        <v>avantage1</v>
      </c>
      <c r="W2" t="str">
        <f>Tokens!Y4</f>
        <v>accès aux Backstages pour deux (2) personnes</v>
      </c>
      <c r="X2" t="str">
        <f>Tokens!Z4</f>
        <v>avantage2</v>
      </c>
      <c r="Y2" t="str">
        <f>Tokens!AA4</f>
        <v>accès pour deux (2) personnes à un (1) événement partenaire officiel de Calvi on the Rocks</v>
      </c>
      <c r="Z2" t="str">
        <f>Tokens!AB4</f>
        <v>avantage3</v>
      </c>
      <c r="AA2" t="str">
        <f>Tokens!AC4</f>
        <v>rencontre privilégiée avec les artistes pour deux (2) personnes</v>
      </c>
      <c r="AB2" t="str">
        <f>Tokens!AD4</f>
        <v>avantage4</v>
      </c>
      <c r="AC2" t="str">
        <f>Tokens!AE4</f>
        <v>invitation aux soirées privées et villa artiste pour deux (2) personnes</v>
      </c>
      <c r="AD2" t="str">
        <f>Tokens!AF4</f>
        <v>avantage5</v>
      </c>
      <c r="AE2" t="str">
        <f>Tokens!AG4</f>
        <v>invitation à la “Soirée off” réservée aux membres NFT pour deux (2) personnes</v>
      </c>
      <c r="AF2" t="str">
        <f>Tokens!AH4</f>
        <v>avantage6</v>
      </c>
      <c r="AG2" t="str">
        <f>Tokens!AI4</f>
        <v>accès membre pour les after party officielles pour deux (2) personnes</v>
      </c>
      <c r="AH2" t="str">
        <f>Tokens!AJ4</f>
        <v>avantage7</v>
      </c>
      <c r="AI2" t="str">
        <f>Tokens!AK4</f>
        <v>logistique dite « artiste » sur place et conciergerie (prestations demandées à la charge du NFT member) pour deux (2) personnes</v>
      </c>
      <c r="AJ2" t="str">
        <f>Tokens!AL4</f>
        <v>avantage8</v>
      </c>
      <c r="AK2" t="str">
        <f>Tokens!AM4</f>
        <v>tirage spécial du magazine Numéro Art</v>
      </c>
      <c r="AL2" t="str">
        <f>Tokens!AN4</f>
        <v>avantage9</v>
      </c>
      <c r="AM2" t="str">
        <f>Tokens!AO4</f>
        <v>cadeaux partenaires</v>
      </c>
      <c r="AN2">
        <f>Tokens!AP4</f>
        <v>0</v>
      </c>
      <c r="AO2">
        <f>Tokens!AQ4</f>
        <v>0</v>
      </c>
      <c r="AP2">
        <f>Tokens!AR4</f>
        <v>0</v>
      </c>
      <c r="AQ2">
        <f>Tokens!AS4</f>
        <v>0</v>
      </c>
      <c r="AR2">
        <f>Tokens!AT4</f>
        <v>0</v>
      </c>
      <c r="AS2">
        <f>Tokens!AU4</f>
        <v>0</v>
      </c>
      <c r="AT2" t="str">
        <f>Tokens!AV4</f>
        <v>Validation</v>
      </c>
      <c r="AU2" t="str">
        <f>Tokens!AW4</f>
        <v>https://tokensol.nfluent.io?s=COR22A1&amp;platform=ftx</v>
      </c>
      <c r="AV2" t="str">
        <f>Tokens!AX4</f>
        <v>paul</v>
      </c>
      <c r="AW2">
        <f>Tokens!AY4</f>
        <v>10</v>
      </c>
      <c r="AX2" t="str">
        <f>Tokens!AZ4</f>
        <v>sophie</v>
      </c>
      <c r="AY2">
        <f>Tokens!BA4</f>
        <v>90</v>
      </c>
      <c r="AZ2">
        <f>Tokens!BB4</f>
        <v>0</v>
      </c>
      <c r="BA2">
        <f>Tokens!BC4</f>
        <v>0</v>
      </c>
      <c r="BB2">
        <f>Tokens!BD4</f>
        <v>0</v>
      </c>
      <c r="BC2">
        <f>Tokens!BE4</f>
        <v>0</v>
      </c>
      <c r="BD2">
        <f>Tokens!BF4</f>
        <v>0</v>
      </c>
      <c r="BE2">
        <f>Tokens!BG4</f>
        <v>0</v>
      </c>
      <c r="BF2">
        <f>Tokens!BH4</f>
        <v>0</v>
      </c>
      <c r="BG2">
        <f>Tokens!BI4</f>
        <v>0</v>
      </c>
      <c r="BH2" t="str">
        <f>Tokens!BJ4</f>
        <v>La Citadella</v>
      </c>
      <c r="BI2" t="str">
        <f>Tokens!BK4</f>
        <v>Calvi On The Rocks</v>
      </c>
    </row>
    <row r="3" spans="1:61" x14ac:dyDescent="0.25">
      <c r="A3" t="str">
        <f>Tokens!C5</f>
        <v>La Citadella #2</v>
      </c>
      <c r="B3" t="str">
        <f>Tokens!D5</f>
        <v>COR22A2</v>
      </c>
      <c r="C3" t="str">
        <f>Tokens!E5</f>
        <v>La Citadella, 5 ans - Pass NFT 5 jours pour 2 personnes, valable pour 5 éditions Calvi On The Rocks de votre choix.</v>
      </c>
      <c r="D3">
        <f>Tokens!F5</f>
        <v>1000</v>
      </c>
      <c r="E3" t="str">
        <f>Tokens!G5</f>
        <v>https://bafybeifsadgrbtpzgroske3qggjle5irbkt6joq2n3hyrk2urnzm7phvym.ipfs.nftstorage.link?image_2.png</v>
      </c>
      <c r="F3" t="str">
        <f>Tokens!H5</f>
        <v>NfluenT for Calvi On The rocks</v>
      </c>
      <c r="G3">
        <f>Tokens!I5</f>
        <v>0</v>
      </c>
      <c r="H3" t="str">
        <f>Tokens!J5</f>
        <v>Pass festival</v>
      </c>
      <c r="I3" t="str">
        <f>Tokens!K5</f>
        <v>pour deux(2) personnes</v>
      </c>
      <c r="J3" t="str">
        <f>Tokens!L5</f>
        <v>Edition1</v>
      </c>
      <c r="K3">
        <f>Tokens!M5</f>
        <v>2</v>
      </c>
      <c r="L3" t="str">
        <f>Tokens!N5</f>
        <v>Edition2</v>
      </c>
      <c r="M3">
        <f>Tokens!O5</f>
        <v>2</v>
      </c>
      <c r="N3" t="str">
        <f>Tokens!P5</f>
        <v>Edition3</v>
      </c>
      <c r="O3">
        <f>Tokens!Q5</f>
        <v>2</v>
      </c>
      <c r="P3" t="str">
        <f>Tokens!R5</f>
        <v>Edition4</v>
      </c>
      <c r="Q3">
        <f>Tokens!S5</f>
        <v>2</v>
      </c>
      <c r="R3" t="str">
        <f>Tokens!T5</f>
        <v>Edition5</v>
      </c>
      <c r="S3">
        <f>Tokens!U5</f>
        <v>2</v>
      </c>
      <c r="T3" t="str">
        <f>Tokens!V5</f>
        <v>Dernière utilisation</v>
      </c>
      <c r="U3">
        <f>Tokens!W5</f>
        <v>0</v>
      </c>
      <c r="V3" t="str">
        <f>Tokens!X5</f>
        <v>avantage1</v>
      </c>
      <c r="W3" t="str">
        <f>Tokens!Y5</f>
        <v>accès aux Backstages pour deux (2) personnes</v>
      </c>
      <c r="X3" t="str">
        <f>Tokens!Z5</f>
        <v>avantage2</v>
      </c>
      <c r="Y3" t="str">
        <f>Tokens!AA5</f>
        <v>accès pour deux (2) personnes à un (1) événement partenaire officiel de Calvi on the Rocks</v>
      </c>
      <c r="Z3" t="str">
        <f>Tokens!AB5</f>
        <v>avantage3</v>
      </c>
      <c r="AA3" t="str">
        <f>Tokens!AC5</f>
        <v>rencontre privilégiée avec les artistes pour deux (2) personnes</v>
      </c>
      <c r="AB3" t="str">
        <f>Tokens!AD5</f>
        <v>avantage4</v>
      </c>
      <c r="AC3" t="str">
        <f>Tokens!AE5</f>
        <v>invitation aux soirées privées et villa artiste pour deux (2) personnes</v>
      </c>
      <c r="AD3" t="str">
        <f>Tokens!AF5</f>
        <v>avantage5</v>
      </c>
      <c r="AE3" t="str">
        <f>Tokens!AG5</f>
        <v>invitation à la “Soirée off” réservée aux membres NFT pour deux (2) personnes</v>
      </c>
      <c r="AF3" t="str">
        <f>Tokens!AH5</f>
        <v>avantage6</v>
      </c>
      <c r="AG3" t="str">
        <f>Tokens!AI5</f>
        <v>accès membre pour les after party officielles pour deux (2) personnes</v>
      </c>
      <c r="AH3" t="str">
        <f>Tokens!AJ5</f>
        <v>avantage7</v>
      </c>
      <c r="AI3" t="str">
        <f>Tokens!AK5</f>
        <v>logistique dite « artiste » sur place et conciergerie (prestations demandées à la charge du NFT member) pour deux (2) personnes</v>
      </c>
      <c r="AJ3" t="str">
        <f>Tokens!AL5</f>
        <v>avantage8</v>
      </c>
      <c r="AK3" t="str">
        <f>Tokens!AM5</f>
        <v>tirage spécial du magazine Numéro Art</v>
      </c>
      <c r="AL3" t="str">
        <f>Tokens!AN5</f>
        <v>avantage9</v>
      </c>
      <c r="AM3" t="str">
        <f>Tokens!AO5</f>
        <v>cadeaux partenaires</v>
      </c>
      <c r="AN3">
        <f>Tokens!AP5</f>
        <v>0</v>
      </c>
      <c r="AO3">
        <f>Tokens!AQ5</f>
        <v>0</v>
      </c>
      <c r="AP3">
        <f>Tokens!AR5</f>
        <v>0</v>
      </c>
      <c r="AQ3">
        <f>Tokens!AS5</f>
        <v>0</v>
      </c>
      <c r="AR3">
        <f>Tokens!AT5</f>
        <v>0</v>
      </c>
      <c r="AS3">
        <f>Tokens!AU5</f>
        <v>0</v>
      </c>
      <c r="AT3" t="str">
        <f>Tokens!AV5</f>
        <v>Validation</v>
      </c>
      <c r="AU3" t="str">
        <f>Tokens!AW5</f>
        <v>https://tokensol.nfluent.io?s=COR22A2&amp;platform=ftx</v>
      </c>
      <c r="AV3" t="str">
        <f>Tokens!AX5</f>
        <v>paul</v>
      </c>
      <c r="AW3">
        <f>Tokens!AY5</f>
        <v>10</v>
      </c>
      <c r="AX3" t="str">
        <f>Tokens!AZ5</f>
        <v>sophie</v>
      </c>
      <c r="AY3">
        <f>Tokens!BA5</f>
        <v>90</v>
      </c>
      <c r="AZ3">
        <f>Tokens!BB5</f>
        <v>0</v>
      </c>
      <c r="BA3">
        <f>Tokens!BC5</f>
        <v>0</v>
      </c>
      <c r="BB3">
        <f>Tokens!BD5</f>
        <v>0</v>
      </c>
      <c r="BC3">
        <f>Tokens!BE5</f>
        <v>0</v>
      </c>
      <c r="BD3">
        <f>Tokens!BF5</f>
        <v>0</v>
      </c>
      <c r="BE3">
        <f>Tokens!BG5</f>
        <v>0</v>
      </c>
      <c r="BF3">
        <f>Tokens!BH5</f>
        <v>0</v>
      </c>
      <c r="BG3">
        <f>Tokens!BI5</f>
        <v>0</v>
      </c>
      <c r="BH3" t="str">
        <f>Tokens!BJ5</f>
        <v>La Citadella</v>
      </c>
      <c r="BI3" t="str">
        <f>Tokens!BK5</f>
        <v>Calvi On The Rocks</v>
      </c>
    </row>
    <row r="4" spans="1:61" x14ac:dyDescent="0.25">
      <c r="A4" t="str">
        <f>Tokens!C6</f>
        <v>La Citadella #3</v>
      </c>
      <c r="B4" t="str">
        <f>Tokens!D6</f>
        <v>COR22A3</v>
      </c>
      <c r="C4" t="str">
        <f>Tokens!E6</f>
        <v>La Citadella, 5 ans - Pass NFT 5 jours pour 2 personnes, valable pour 5 éditions Calvi On The Rocks de votre choix.</v>
      </c>
      <c r="D4">
        <f>Tokens!F6</f>
        <v>1000</v>
      </c>
      <c r="E4" t="str">
        <f>Tokens!G6</f>
        <v>https://bafybeihkvlzh3f7bvonc5rup65ywgxgovgzsgw5oibyfhpvqgpn7xjvmfy.ipfs.nftstorage.link?image_3.png</v>
      </c>
      <c r="F4" t="str">
        <f>Tokens!H6</f>
        <v>NfluenT for Calvi On The rocks</v>
      </c>
      <c r="G4">
        <f>Tokens!I6</f>
        <v>0</v>
      </c>
      <c r="H4" t="str">
        <f>Tokens!J6</f>
        <v>Pass festival</v>
      </c>
      <c r="I4" t="str">
        <f>Tokens!K6</f>
        <v>pour deux(2) personnes</v>
      </c>
      <c r="J4" t="str">
        <f>Tokens!L6</f>
        <v>Edition1</v>
      </c>
      <c r="K4">
        <f>Tokens!M6</f>
        <v>2</v>
      </c>
      <c r="L4" t="str">
        <f>Tokens!N6</f>
        <v>Edition2</v>
      </c>
      <c r="M4">
        <f>Tokens!O6</f>
        <v>2</v>
      </c>
      <c r="N4" t="str">
        <f>Tokens!P6</f>
        <v>Edition3</v>
      </c>
      <c r="O4">
        <f>Tokens!Q6</f>
        <v>2</v>
      </c>
      <c r="P4" t="str">
        <f>Tokens!R6</f>
        <v>Edition4</v>
      </c>
      <c r="Q4">
        <f>Tokens!S6</f>
        <v>2</v>
      </c>
      <c r="R4" t="str">
        <f>Tokens!T6</f>
        <v>Edition5</v>
      </c>
      <c r="S4">
        <f>Tokens!U6</f>
        <v>2</v>
      </c>
      <c r="T4" t="str">
        <f>Tokens!V6</f>
        <v>Dernière utilisation</v>
      </c>
      <c r="U4">
        <f>Tokens!W6</f>
        <v>0</v>
      </c>
      <c r="V4" t="str">
        <f>Tokens!X6</f>
        <v>avantage1</v>
      </c>
      <c r="W4" t="str">
        <f>Tokens!Y6</f>
        <v>accès aux Backstages pour deux (2) personnes</v>
      </c>
      <c r="X4" t="str">
        <f>Tokens!Z6</f>
        <v>avantage2</v>
      </c>
      <c r="Y4" t="str">
        <f>Tokens!AA6</f>
        <v>accès pour deux (2) personnes à un (1) événement partenaire officiel de Calvi on the Rocks</v>
      </c>
      <c r="Z4" t="str">
        <f>Tokens!AB6</f>
        <v>avantage3</v>
      </c>
      <c r="AA4" t="str">
        <f>Tokens!AC6</f>
        <v>rencontre privilégiée avec les artistes pour deux (2) personnes</v>
      </c>
      <c r="AB4" t="str">
        <f>Tokens!AD6</f>
        <v>avantage4</v>
      </c>
      <c r="AC4" t="str">
        <f>Tokens!AE6</f>
        <v>invitation aux soirées privées et villa artiste pour deux (2) personnes</v>
      </c>
      <c r="AD4" t="str">
        <f>Tokens!AF6</f>
        <v>avantage5</v>
      </c>
      <c r="AE4" t="str">
        <f>Tokens!AG6</f>
        <v>invitation à la “Soirée off” réservée aux membres NFT pour deux (2) personnes</v>
      </c>
      <c r="AF4" t="str">
        <f>Tokens!AH6</f>
        <v>avantage6</v>
      </c>
      <c r="AG4" t="str">
        <f>Tokens!AI6</f>
        <v>accès membre pour les after party officielles pour deux (2) personnes</v>
      </c>
      <c r="AH4" t="str">
        <f>Tokens!AJ6</f>
        <v>avantage7</v>
      </c>
      <c r="AI4" t="str">
        <f>Tokens!AK6</f>
        <v>logistique dite « artiste » sur place et conciergerie (prestations demandées à la charge du NFT member) pour deux (2) personnes</v>
      </c>
      <c r="AJ4" t="str">
        <f>Tokens!AL6</f>
        <v>avantage8</v>
      </c>
      <c r="AK4" t="str">
        <f>Tokens!AM6</f>
        <v>tirage spécial du magazine Numéro Art</v>
      </c>
      <c r="AL4" t="str">
        <f>Tokens!AN6</f>
        <v>avantage9</v>
      </c>
      <c r="AM4" t="str">
        <f>Tokens!AO6</f>
        <v>cadeaux partenaires</v>
      </c>
      <c r="AN4">
        <f>Tokens!AP6</f>
        <v>0</v>
      </c>
      <c r="AO4">
        <f>Tokens!AQ6</f>
        <v>0</v>
      </c>
      <c r="AP4">
        <f>Tokens!AR6</f>
        <v>0</v>
      </c>
      <c r="AQ4">
        <f>Tokens!AS6</f>
        <v>0</v>
      </c>
      <c r="AR4">
        <f>Tokens!AT6</f>
        <v>0</v>
      </c>
      <c r="AS4">
        <f>Tokens!AU6</f>
        <v>0</v>
      </c>
      <c r="AT4" t="str">
        <f>Tokens!AV6</f>
        <v>Validation</v>
      </c>
      <c r="AU4" t="str">
        <f>Tokens!AW6</f>
        <v>https://tokensol.nfluent.io?s=COR22A3&amp;platform=ftx</v>
      </c>
      <c r="AV4" t="str">
        <f>Tokens!AX6</f>
        <v>paul</v>
      </c>
      <c r="AW4">
        <f>Tokens!AY6</f>
        <v>10</v>
      </c>
      <c r="AX4" t="str">
        <f>Tokens!AZ6</f>
        <v>sophie</v>
      </c>
      <c r="AY4">
        <f>Tokens!BA6</f>
        <v>90</v>
      </c>
      <c r="AZ4">
        <f>Tokens!BB6</f>
        <v>0</v>
      </c>
      <c r="BA4">
        <f>Tokens!BC6</f>
        <v>0</v>
      </c>
      <c r="BB4">
        <f>Tokens!BD6</f>
        <v>0</v>
      </c>
      <c r="BC4">
        <f>Tokens!BE6</f>
        <v>0</v>
      </c>
      <c r="BD4">
        <f>Tokens!BF6</f>
        <v>0</v>
      </c>
      <c r="BE4">
        <f>Tokens!BG6</f>
        <v>0</v>
      </c>
      <c r="BF4">
        <f>Tokens!BH6</f>
        <v>0</v>
      </c>
      <c r="BG4">
        <f>Tokens!BI6</f>
        <v>0</v>
      </c>
      <c r="BH4" t="str">
        <f>Tokens!BJ6</f>
        <v>La Citadella</v>
      </c>
      <c r="BI4" t="str">
        <f>Tokens!BK6</f>
        <v>Calvi On The Rocks</v>
      </c>
    </row>
    <row r="5" spans="1:61" x14ac:dyDescent="0.25">
      <c r="A5" t="str">
        <f>Tokens!C7</f>
        <v>La Citadella #4</v>
      </c>
      <c r="B5" t="str">
        <f>Tokens!D7</f>
        <v>COR22A4</v>
      </c>
      <c r="C5" t="str">
        <f>Tokens!E7</f>
        <v>La Citadella, 5 ans - Pass NFT 5 jours pour 2 personnes, valable pour 5 éditions Calvi On The Rocks de votre choix.</v>
      </c>
      <c r="D5">
        <f>Tokens!F7</f>
        <v>1000</v>
      </c>
      <c r="E5" t="str">
        <f>Tokens!G7</f>
        <v>https://bafybeigf6fbfhzua6kllohl2vzwo5o7bcgwd2w3h7orjzraf7uz55zrv24.ipfs.nftstorage.link?image_4.png</v>
      </c>
      <c r="F5" t="str">
        <f>Tokens!H7</f>
        <v>NfluenT for Calvi On The rocks</v>
      </c>
      <c r="G5">
        <f>Tokens!I7</f>
        <v>0</v>
      </c>
      <c r="H5" t="str">
        <f>Tokens!J7</f>
        <v>Pass festival</v>
      </c>
      <c r="I5" t="str">
        <f>Tokens!K7</f>
        <v>pour deux(2) personnes</v>
      </c>
      <c r="J5" t="str">
        <f>Tokens!L7</f>
        <v>Edition1</v>
      </c>
      <c r="K5">
        <f>Tokens!M7</f>
        <v>2</v>
      </c>
      <c r="L5" t="str">
        <f>Tokens!N7</f>
        <v>Edition2</v>
      </c>
      <c r="M5">
        <f>Tokens!O7</f>
        <v>2</v>
      </c>
      <c r="N5" t="str">
        <f>Tokens!P7</f>
        <v>Edition3</v>
      </c>
      <c r="O5">
        <f>Tokens!Q7</f>
        <v>2</v>
      </c>
      <c r="P5" t="str">
        <f>Tokens!R7</f>
        <v>Edition4</v>
      </c>
      <c r="Q5">
        <f>Tokens!S7</f>
        <v>2</v>
      </c>
      <c r="R5" t="str">
        <f>Tokens!T7</f>
        <v>Edition5</v>
      </c>
      <c r="S5">
        <f>Tokens!U7</f>
        <v>2</v>
      </c>
      <c r="T5" t="str">
        <f>Tokens!V7</f>
        <v>Dernière utilisation</v>
      </c>
      <c r="U5">
        <f>Tokens!W7</f>
        <v>0</v>
      </c>
      <c r="V5" t="str">
        <f>Tokens!X7</f>
        <v>avantage1</v>
      </c>
      <c r="W5" t="str">
        <f>Tokens!Y7</f>
        <v>accès aux Backstages pour deux (2) personnes</v>
      </c>
      <c r="X5" t="str">
        <f>Tokens!Z7</f>
        <v>avantage2</v>
      </c>
      <c r="Y5" t="str">
        <f>Tokens!AA7</f>
        <v>accès pour deux (2) personnes à un (1) événement partenaire officiel de Calvi on the Rocks</v>
      </c>
      <c r="Z5" t="str">
        <f>Tokens!AB7</f>
        <v>avantage3</v>
      </c>
      <c r="AA5" t="str">
        <f>Tokens!AC7</f>
        <v>rencontre privilégiée avec les artistes pour deux (2) personnes</v>
      </c>
      <c r="AB5" t="str">
        <f>Tokens!AD7</f>
        <v>avantage4</v>
      </c>
      <c r="AC5" t="str">
        <f>Tokens!AE7</f>
        <v>invitation aux soirées privées et villa artiste pour deux (2) personnes</v>
      </c>
      <c r="AD5" t="str">
        <f>Tokens!AF7</f>
        <v>avantage5</v>
      </c>
      <c r="AE5" t="str">
        <f>Tokens!AG7</f>
        <v>invitation à la “Soirée off” réservée aux membres NFT pour deux (2) personnes</v>
      </c>
      <c r="AF5" t="str">
        <f>Tokens!AH7</f>
        <v>avantage6</v>
      </c>
      <c r="AG5" t="str">
        <f>Tokens!AI7</f>
        <v>accès membre pour les after party officielles pour deux (2) personnes</v>
      </c>
      <c r="AH5" t="str">
        <f>Tokens!AJ7</f>
        <v>avantage7</v>
      </c>
      <c r="AI5" t="str">
        <f>Tokens!AK7</f>
        <v>logistique dite « artiste » sur place et conciergerie (prestations demandées à la charge du NFT member) pour deux (2) personnes</v>
      </c>
      <c r="AJ5" t="str">
        <f>Tokens!AL7</f>
        <v>avantage8</v>
      </c>
      <c r="AK5" t="str">
        <f>Tokens!AM7</f>
        <v>tirage spécial du magazine Numéro Art</v>
      </c>
      <c r="AL5" t="str">
        <f>Tokens!AN7</f>
        <v>avantage9</v>
      </c>
      <c r="AM5" t="str">
        <f>Tokens!AO7</f>
        <v>cadeaux partenaires</v>
      </c>
      <c r="AN5">
        <f>Tokens!AP7</f>
        <v>0</v>
      </c>
      <c r="AO5">
        <f>Tokens!AQ7</f>
        <v>0</v>
      </c>
      <c r="AP5">
        <f>Tokens!AR7</f>
        <v>0</v>
      </c>
      <c r="AQ5">
        <f>Tokens!AS7</f>
        <v>0</v>
      </c>
      <c r="AR5">
        <f>Tokens!AT7</f>
        <v>0</v>
      </c>
      <c r="AS5">
        <f>Tokens!AU7</f>
        <v>0</v>
      </c>
      <c r="AT5" t="str">
        <f>Tokens!AV7</f>
        <v>Validation</v>
      </c>
      <c r="AU5" t="str">
        <f>Tokens!AW7</f>
        <v>https://tokensol.nfluent.io?s=COR22A4&amp;platform=ftx</v>
      </c>
      <c r="AV5" t="str">
        <f>Tokens!AX7</f>
        <v>paul</v>
      </c>
      <c r="AW5">
        <f>Tokens!AY7</f>
        <v>10</v>
      </c>
      <c r="AX5" t="str">
        <f>Tokens!AZ7</f>
        <v>sophie</v>
      </c>
      <c r="AY5">
        <f>Tokens!BA7</f>
        <v>90</v>
      </c>
      <c r="AZ5">
        <f>Tokens!BB7</f>
        <v>0</v>
      </c>
      <c r="BA5">
        <f>Tokens!BC7</f>
        <v>0</v>
      </c>
      <c r="BB5">
        <f>Tokens!BD7</f>
        <v>0</v>
      </c>
      <c r="BC5">
        <f>Tokens!BE7</f>
        <v>0</v>
      </c>
      <c r="BD5">
        <f>Tokens!BF7</f>
        <v>0</v>
      </c>
      <c r="BE5">
        <f>Tokens!BG7</f>
        <v>0</v>
      </c>
      <c r="BF5">
        <f>Tokens!BH7</f>
        <v>0</v>
      </c>
      <c r="BG5">
        <f>Tokens!BI7</f>
        <v>0</v>
      </c>
      <c r="BH5" t="str">
        <f>Tokens!BJ7</f>
        <v>Dudule</v>
      </c>
      <c r="BI5" t="str">
        <f>Tokens!BK7</f>
        <v>DuduleMaster</v>
      </c>
    </row>
    <row r="6" spans="1:61" x14ac:dyDescent="0.25">
      <c r="A6" t="str">
        <f>Tokens!C8</f>
        <v>La Citadella #5</v>
      </c>
      <c r="B6" t="str">
        <f>Tokens!D8</f>
        <v>COR22A5</v>
      </c>
      <c r="C6" t="str">
        <f>Tokens!E8</f>
        <v>La Citadella, 5 ans - Pass NFT 5 jours pour 2 personnes, valable pour 5 éditions Calvi On The Rocks de votre choix.</v>
      </c>
      <c r="D6">
        <f>Tokens!F8</f>
        <v>1000</v>
      </c>
      <c r="E6" t="str">
        <f>Tokens!G8</f>
        <v>https://bafybeib2nacyslyjp5vpypopuf6qgxsknvnyhdhfh4lhhgnz2gldin7gfi.ipfs.nftstorage.link?image_5.png</v>
      </c>
      <c r="F6" t="str">
        <f>Tokens!H8</f>
        <v>NfluenT for Calvi On The rocks</v>
      </c>
      <c r="G6">
        <f>Tokens!I8</f>
        <v>0</v>
      </c>
      <c r="H6" t="str">
        <f>Tokens!J8</f>
        <v>Pass festival</v>
      </c>
      <c r="I6" t="str">
        <f>Tokens!K8</f>
        <v>pour deux(2) personnes</v>
      </c>
      <c r="J6" t="str">
        <f>Tokens!L8</f>
        <v>Edition1</v>
      </c>
      <c r="K6">
        <f>Tokens!M8</f>
        <v>2</v>
      </c>
      <c r="L6" t="str">
        <f>Tokens!N8</f>
        <v>Edition2</v>
      </c>
      <c r="M6">
        <f>Tokens!O8</f>
        <v>2</v>
      </c>
      <c r="N6" t="str">
        <f>Tokens!P8</f>
        <v>Edition3</v>
      </c>
      <c r="O6">
        <f>Tokens!Q8</f>
        <v>2</v>
      </c>
      <c r="P6" t="str">
        <f>Tokens!R8</f>
        <v>Edition4</v>
      </c>
      <c r="Q6">
        <f>Tokens!S8</f>
        <v>2</v>
      </c>
      <c r="R6" t="str">
        <f>Tokens!T8</f>
        <v>Edition5</v>
      </c>
      <c r="S6">
        <f>Tokens!U8</f>
        <v>2</v>
      </c>
      <c r="T6" t="str">
        <f>Tokens!V8</f>
        <v>Dernière utilisation</v>
      </c>
      <c r="U6">
        <f>Tokens!W8</f>
        <v>0</v>
      </c>
      <c r="V6" t="str">
        <f>Tokens!X8</f>
        <v>avantage1</v>
      </c>
      <c r="W6" t="str">
        <f>Tokens!Y8</f>
        <v>accès aux Backstages pour deux (2) personnes</v>
      </c>
      <c r="X6" t="str">
        <f>Tokens!Z8</f>
        <v>avantage2</v>
      </c>
      <c r="Y6" t="str">
        <f>Tokens!AA8</f>
        <v>accès pour deux (2) personnes à un (1) événement partenaire officiel de Calvi on the Rocks</v>
      </c>
      <c r="Z6" t="str">
        <f>Tokens!AB8</f>
        <v>avantage3</v>
      </c>
      <c r="AA6" t="str">
        <f>Tokens!AC8</f>
        <v>rencontre privilégiée avec les artistes pour deux (2) personnes</v>
      </c>
      <c r="AB6" t="str">
        <f>Tokens!AD8</f>
        <v>avantage4</v>
      </c>
      <c r="AC6" t="str">
        <f>Tokens!AE8</f>
        <v>invitation aux soirées privées et villa artiste pour deux (2) personnes</v>
      </c>
      <c r="AD6" t="str">
        <f>Tokens!AF8</f>
        <v>avantage5</v>
      </c>
      <c r="AE6" t="str">
        <f>Tokens!AG8</f>
        <v>invitation à la “Soirée off” réservée aux membres NFT pour deux (2) personnes</v>
      </c>
      <c r="AF6" t="str">
        <f>Tokens!AH8</f>
        <v>avantage6</v>
      </c>
      <c r="AG6" t="str">
        <f>Tokens!AI8</f>
        <v>accès membre pour les after party officielles pour deux (2) personnes</v>
      </c>
      <c r="AH6" t="str">
        <f>Tokens!AJ8</f>
        <v>avantage7</v>
      </c>
      <c r="AI6" t="str">
        <f>Tokens!AK8</f>
        <v>logistique dite « artiste » sur place et conciergerie (prestations demandées à la charge du NFT member) pour deux (2) personnes</v>
      </c>
      <c r="AJ6" t="str">
        <f>Tokens!AL8</f>
        <v>avantage8</v>
      </c>
      <c r="AK6" t="str">
        <f>Tokens!AM8</f>
        <v>tirage spécial du magazine Numéro Art</v>
      </c>
      <c r="AL6" t="str">
        <f>Tokens!AN8</f>
        <v>avantage9</v>
      </c>
      <c r="AM6" t="str">
        <f>Tokens!AO8</f>
        <v>cadeaux partenaires</v>
      </c>
      <c r="AN6">
        <f>Tokens!AP8</f>
        <v>0</v>
      </c>
      <c r="AO6">
        <f>Tokens!AQ8</f>
        <v>0</v>
      </c>
      <c r="AP6">
        <f>Tokens!AR8</f>
        <v>0</v>
      </c>
      <c r="AQ6">
        <f>Tokens!AS8</f>
        <v>0</v>
      </c>
      <c r="AR6">
        <f>Tokens!AT8</f>
        <v>0</v>
      </c>
      <c r="AS6">
        <f>Tokens!AU8</f>
        <v>0</v>
      </c>
      <c r="AT6" t="str">
        <f>Tokens!AV8</f>
        <v>Validation</v>
      </c>
      <c r="AU6" t="str">
        <f>Tokens!AW8</f>
        <v>https://tokensol.nfluent.io?s=COR22A5&amp;platform=ftx</v>
      </c>
      <c r="AV6" t="str">
        <f>Tokens!AX8</f>
        <v>paul</v>
      </c>
      <c r="AW6">
        <f>Tokens!AY8</f>
        <v>10</v>
      </c>
      <c r="AX6" t="str">
        <f>Tokens!AZ8</f>
        <v>sophie</v>
      </c>
      <c r="AY6">
        <f>Tokens!BA8</f>
        <v>90</v>
      </c>
      <c r="AZ6">
        <f>Tokens!BB8</f>
        <v>0</v>
      </c>
      <c r="BA6">
        <f>Tokens!BC8</f>
        <v>0</v>
      </c>
      <c r="BB6">
        <f>Tokens!BD8</f>
        <v>0</v>
      </c>
      <c r="BC6">
        <f>Tokens!BE8</f>
        <v>0</v>
      </c>
      <c r="BD6">
        <f>Tokens!BF8</f>
        <v>0</v>
      </c>
      <c r="BE6">
        <f>Tokens!BG8</f>
        <v>0</v>
      </c>
      <c r="BF6">
        <f>Tokens!BH8</f>
        <v>0</v>
      </c>
      <c r="BG6">
        <f>Tokens!BI8</f>
        <v>0</v>
      </c>
      <c r="BH6" t="str">
        <f>Tokens!BJ8</f>
        <v>Dudule</v>
      </c>
      <c r="BI6" t="str">
        <f>Tokens!BK8</f>
        <v>DuduleMaster</v>
      </c>
    </row>
    <row r="7" spans="1:61" x14ac:dyDescent="0.25">
      <c r="A7" t="str">
        <f>Tokens!C9</f>
        <v>La Citadella #6</v>
      </c>
      <c r="B7" t="str">
        <f>Tokens!D9</f>
        <v>COR22A6</v>
      </c>
      <c r="C7" t="str">
        <f>Tokens!E9</f>
        <v>La Citadella, 5 ans - Pass NFT 5 jours pour 2 personnes, valable pour 5 éditions Calvi On The Rocks de votre choix.</v>
      </c>
      <c r="D7">
        <f>Tokens!F9</f>
        <v>1000</v>
      </c>
      <c r="E7" t="str">
        <f>Tokens!G9</f>
        <v>https://bafybeig2gbsgxcqocd63aza57czcryvjsso3hnnus64xf3urjfuhhrtkzq.ipfs.nftstorage.link?image_6.png</v>
      </c>
      <c r="F7" t="str">
        <f>Tokens!H9</f>
        <v>NfluenT for Calvi On The rocks</v>
      </c>
      <c r="G7">
        <f>Tokens!I9</f>
        <v>0</v>
      </c>
      <c r="H7" t="str">
        <f>Tokens!J9</f>
        <v>Pass festival</v>
      </c>
      <c r="I7" t="str">
        <f>Tokens!K9</f>
        <v>pour deux(2) personnes</v>
      </c>
      <c r="J7" t="str">
        <f>Tokens!L9</f>
        <v>Edition1</v>
      </c>
      <c r="K7">
        <f>Tokens!M9</f>
        <v>2</v>
      </c>
      <c r="L7" t="str">
        <f>Tokens!N9</f>
        <v>Edition2</v>
      </c>
      <c r="M7">
        <f>Tokens!O9</f>
        <v>2</v>
      </c>
      <c r="N7" t="str">
        <f>Tokens!P9</f>
        <v>Edition3</v>
      </c>
      <c r="O7">
        <f>Tokens!Q9</f>
        <v>2</v>
      </c>
      <c r="P7" t="str">
        <f>Tokens!R9</f>
        <v>Edition4</v>
      </c>
      <c r="Q7">
        <f>Tokens!S9</f>
        <v>2</v>
      </c>
      <c r="R7" t="str">
        <f>Tokens!T9</f>
        <v>Edition5</v>
      </c>
      <c r="S7">
        <f>Tokens!U9</f>
        <v>2</v>
      </c>
      <c r="T7" t="str">
        <f>Tokens!V9</f>
        <v>Dernière utilisation</v>
      </c>
      <c r="U7">
        <f>Tokens!W9</f>
        <v>0</v>
      </c>
      <c r="V7" t="str">
        <f>Tokens!X9</f>
        <v>avantage1</v>
      </c>
      <c r="W7" t="str">
        <f>Tokens!Y9</f>
        <v>accès aux Backstages pour deux (2) personnes</v>
      </c>
      <c r="X7" t="str">
        <f>Tokens!Z9</f>
        <v>avantage2</v>
      </c>
      <c r="Y7" t="str">
        <f>Tokens!AA9</f>
        <v>accès pour deux (2) personnes à un (1) événement partenaire officiel de Calvi on the Rocks</v>
      </c>
      <c r="Z7" t="str">
        <f>Tokens!AB9</f>
        <v>avantage3</v>
      </c>
      <c r="AA7" t="str">
        <f>Tokens!AC9</f>
        <v>rencontre privilégiée avec les artistes pour deux (2) personnes</v>
      </c>
      <c r="AB7" t="str">
        <f>Tokens!AD9</f>
        <v>avantage4</v>
      </c>
      <c r="AC7" t="str">
        <f>Tokens!AE9</f>
        <v>invitation aux soirées privées et villa artiste pour deux (2) personnes</v>
      </c>
      <c r="AD7" t="str">
        <f>Tokens!AF9</f>
        <v>avantage5</v>
      </c>
      <c r="AE7" t="str">
        <f>Tokens!AG9</f>
        <v>invitation à la “Soirée off” réservée aux membres NFT pour deux (2) personnes</v>
      </c>
      <c r="AF7" t="str">
        <f>Tokens!AH9</f>
        <v>avantage6</v>
      </c>
      <c r="AG7" t="str">
        <f>Tokens!AI9</f>
        <v>accès membre pour les after party officielles pour deux (2) personnes</v>
      </c>
      <c r="AH7" t="str">
        <f>Tokens!AJ9</f>
        <v>avantage7</v>
      </c>
      <c r="AI7" t="str">
        <f>Tokens!AK9</f>
        <v>logistique dite « artiste » sur place et conciergerie (prestations demandées à la charge du NFT member) pour deux (2) personnes</v>
      </c>
      <c r="AJ7" t="str">
        <f>Tokens!AL9</f>
        <v>avantage8</v>
      </c>
      <c r="AK7" t="str">
        <f>Tokens!AM9</f>
        <v>tirage spécial du magazine Numéro Art</v>
      </c>
      <c r="AL7" t="str">
        <f>Tokens!AN9</f>
        <v>avantage9</v>
      </c>
      <c r="AM7" t="str">
        <f>Tokens!AO9</f>
        <v>cadeaux partenaires</v>
      </c>
      <c r="AN7">
        <f>Tokens!AP9</f>
        <v>0</v>
      </c>
      <c r="AO7">
        <f>Tokens!AQ9</f>
        <v>0</v>
      </c>
      <c r="AP7">
        <f>Tokens!AR9</f>
        <v>0</v>
      </c>
      <c r="AQ7">
        <f>Tokens!AS9</f>
        <v>0</v>
      </c>
      <c r="AR7">
        <f>Tokens!AT9</f>
        <v>0</v>
      </c>
      <c r="AS7">
        <f>Tokens!AU9</f>
        <v>0</v>
      </c>
      <c r="AT7" t="str">
        <f>Tokens!AV9</f>
        <v>Validation</v>
      </c>
      <c r="AU7" t="str">
        <f>Tokens!AW9</f>
        <v>https://tokensol.nfluent.io?s=COR22A6&amp;platform=ftx</v>
      </c>
      <c r="AV7" t="str">
        <f>Tokens!AX9</f>
        <v>paul</v>
      </c>
      <c r="AW7">
        <f>Tokens!AY9</f>
        <v>10</v>
      </c>
      <c r="AX7" t="str">
        <f>Tokens!AZ9</f>
        <v>sophie</v>
      </c>
      <c r="AY7">
        <f>Tokens!BA9</f>
        <v>90</v>
      </c>
      <c r="AZ7">
        <f>Tokens!BB9</f>
        <v>0</v>
      </c>
      <c r="BA7">
        <f>Tokens!BC9</f>
        <v>0</v>
      </c>
      <c r="BB7">
        <f>Tokens!BD9</f>
        <v>0</v>
      </c>
      <c r="BC7">
        <f>Tokens!BE9</f>
        <v>0</v>
      </c>
      <c r="BD7">
        <f>Tokens!BF9</f>
        <v>0</v>
      </c>
      <c r="BE7">
        <f>Tokens!BG9</f>
        <v>0</v>
      </c>
      <c r="BF7">
        <f>Tokens!BH9</f>
        <v>0</v>
      </c>
      <c r="BG7">
        <f>Tokens!BI9</f>
        <v>0</v>
      </c>
      <c r="BH7" t="str">
        <f>Tokens!BJ9</f>
        <v>Dudule</v>
      </c>
      <c r="BI7" t="str">
        <f>Tokens!BK9</f>
        <v>DuduleMaster</v>
      </c>
    </row>
    <row r="8" spans="1:61" x14ac:dyDescent="0.25">
      <c r="A8" t="str">
        <f>Tokens!C10</f>
        <v>La Citadella #7</v>
      </c>
      <c r="B8" t="str">
        <f>Tokens!D10</f>
        <v>COR22A7</v>
      </c>
      <c r="C8" t="str">
        <f>Tokens!E10</f>
        <v>La Citadella, 5 ans - Pass NFT 5 jours pour 2 personnes, valable pour 5 éditions Calvi On The Rocks de votre choix.</v>
      </c>
      <c r="D8">
        <f>Tokens!F10</f>
        <v>1000</v>
      </c>
      <c r="E8" t="str">
        <f>Tokens!G10</f>
        <v>https://bafybeibplb2psb4mbinf6u4ihgsyf7lva77amjcklt2uy6vfuwn6c67p7y.ipfs.nftstorage.link?image_7.png</v>
      </c>
      <c r="F8" t="str">
        <f>Tokens!H10</f>
        <v>NfluenT for Calvi On The rocks</v>
      </c>
      <c r="G8">
        <f>Tokens!I10</f>
        <v>0</v>
      </c>
      <c r="H8" t="str">
        <f>Tokens!J10</f>
        <v>Pass festival</v>
      </c>
      <c r="I8" t="str">
        <f>Tokens!K10</f>
        <v>pour deux(2) personnes</v>
      </c>
      <c r="J8" t="str">
        <f>Tokens!L10</f>
        <v>Edition1</v>
      </c>
      <c r="K8">
        <f>Tokens!M10</f>
        <v>2</v>
      </c>
      <c r="L8" t="str">
        <f>Tokens!N10</f>
        <v>Edition2</v>
      </c>
      <c r="M8">
        <f>Tokens!O10</f>
        <v>2</v>
      </c>
      <c r="N8" t="str">
        <f>Tokens!P10</f>
        <v>Edition3</v>
      </c>
      <c r="O8">
        <f>Tokens!Q10</f>
        <v>2</v>
      </c>
      <c r="P8" t="str">
        <f>Tokens!R10</f>
        <v>Edition4</v>
      </c>
      <c r="Q8">
        <f>Tokens!S10</f>
        <v>2</v>
      </c>
      <c r="R8" t="str">
        <f>Tokens!T10</f>
        <v>Edition5</v>
      </c>
      <c r="S8">
        <f>Tokens!U10</f>
        <v>2</v>
      </c>
      <c r="T8" t="str">
        <f>Tokens!V10</f>
        <v>Dernière utilisation</v>
      </c>
      <c r="U8">
        <f>Tokens!W10</f>
        <v>0</v>
      </c>
      <c r="V8" t="str">
        <f>Tokens!X10</f>
        <v>avantage1</v>
      </c>
      <c r="W8" t="str">
        <f>Tokens!Y10</f>
        <v>accès aux Backstages pour deux (2) personnes</v>
      </c>
      <c r="X8" t="str">
        <f>Tokens!Z10</f>
        <v>avantage2</v>
      </c>
      <c r="Y8" t="str">
        <f>Tokens!AA10</f>
        <v>accès pour deux (2) personnes à un (1) événement partenaire officiel de Calvi on the Rocks</v>
      </c>
      <c r="Z8" t="str">
        <f>Tokens!AB10</f>
        <v>avantage3</v>
      </c>
      <c r="AA8" t="str">
        <f>Tokens!AC10</f>
        <v>rencontre privilégiée avec les artistes pour deux (2) personnes</v>
      </c>
      <c r="AB8" t="str">
        <f>Tokens!AD10</f>
        <v>avantage4</v>
      </c>
      <c r="AC8" t="str">
        <f>Tokens!AE10</f>
        <v>invitation aux soirées privées et villa artiste pour deux (2) personnes</v>
      </c>
      <c r="AD8" t="str">
        <f>Tokens!AF10</f>
        <v>avantage5</v>
      </c>
      <c r="AE8" t="str">
        <f>Tokens!AG10</f>
        <v>invitation à la “Soirée off” réservée aux membres NFT pour deux (2) personnes</v>
      </c>
      <c r="AF8" t="str">
        <f>Tokens!AH10</f>
        <v>avantage6</v>
      </c>
      <c r="AG8" t="str">
        <f>Tokens!AI10</f>
        <v>accès membre pour les after party officielles pour deux (2) personnes</v>
      </c>
      <c r="AH8" t="str">
        <f>Tokens!AJ10</f>
        <v>avantage7</v>
      </c>
      <c r="AI8" t="str">
        <f>Tokens!AK10</f>
        <v>logistique dite « artiste » sur place et conciergerie (prestations demandées à la charge du NFT member) pour deux (2) personnes</v>
      </c>
      <c r="AJ8" t="str">
        <f>Tokens!AL10</f>
        <v>avantage8</v>
      </c>
      <c r="AK8" t="str">
        <f>Tokens!AM10</f>
        <v>tirage spécial du magazine Numéro Art</v>
      </c>
      <c r="AL8" t="str">
        <f>Tokens!AN10</f>
        <v>avantage9</v>
      </c>
      <c r="AM8" t="str">
        <f>Tokens!AO10</f>
        <v>cadeaux partenaires</v>
      </c>
      <c r="AN8">
        <f>Tokens!AP10</f>
        <v>0</v>
      </c>
      <c r="AO8">
        <f>Tokens!AQ10</f>
        <v>0</v>
      </c>
      <c r="AP8">
        <f>Tokens!AR10</f>
        <v>0</v>
      </c>
      <c r="AQ8">
        <f>Tokens!AS10</f>
        <v>0</v>
      </c>
      <c r="AR8">
        <f>Tokens!AT10</f>
        <v>0</v>
      </c>
      <c r="AS8">
        <f>Tokens!AU10</f>
        <v>0</v>
      </c>
      <c r="AT8" t="str">
        <f>Tokens!AV10</f>
        <v>Validation</v>
      </c>
      <c r="AU8" t="str">
        <f>Tokens!AW10</f>
        <v>https://tokensol.nfluent.io?s=COR22A7&amp;platform=ftx</v>
      </c>
      <c r="AV8" t="str">
        <f>Tokens!AX10</f>
        <v>paul</v>
      </c>
      <c r="AW8">
        <f>Tokens!AY10</f>
        <v>10</v>
      </c>
      <c r="AX8" t="str">
        <f>Tokens!AZ10</f>
        <v>sophie</v>
      </c>
      <c r="AY8">
        <f>Tokens!BA10</f>
        <v>90</v>
      </c>
      <c r="AZ8">
        <f>Tokens!BB10</f>
        <v>0</v>
      </c>
      <c r="BA8">
        <f>Tokens!BC10</f>
        <v>0</v>
      </c>
      <c r="BB8">
        <f>Tokens!BD10</f>
        <v>0</v>
      </c>
      <c r="BC8">
        <f>Tokens!BE10</f>
        <v>0</v>
      </c>
      <c r="BD8">
        <f>Tokens!BF10</f>
        <v>0</v>
      </c>
      <c r="BE8">
        <f>Tokens!BG10</f>
        <v>0</v>
      </c>
      <c r="BF8">
        <f>Tokens!BH10</f>
        <v>0</v>
      </c>
      <c r="BG8">
        <f>Tokens!BI10</f>
        <v>0</v>
      </c>
      <c r="BH8" t="str">
        <f>Tokens!BJ10</f>
        <v>Dudule</v>
      </c>
      <c r="BI8" t="str">
        <f>Tokens!BK10</f>
        <v>DuduleMaster</v>
      </c>
    </row>
    <row r="9" spans="1:61" x14ac:dyDescent="0.25">
      <c r="A9" t="str">
        <f>Tokens!C11</f>
        <v>La Citadella #8</v>
      </c>
      <c r="B9" t="str">
        <f>Tokens!D11</f>
        <v>COR22A8</v>
      </c>
      <c r="C9" t="str">
        <f>Tokens!E11</f>
        <v>La Citadella, 5 ans - Pass NFT 5 jours pour 2 personnes, valable pour 5 éditions Calvi On The Rocks de votre choix.</v>
      </c>
      <c r="D9">
        <f>Tokens!F11</f>
        <v>1000</v>
      </c>
      <c r="E9" t="str">
        <f>Tokens!G11</f>
        <v>https://bafybeih6cthl3l2rivjvokqh4p4pyo2xm5k2jpham6mezb2ebhxtc5tfau.ipfs.nftstorage.link?image_8.png</v>
      </c>
      <c r="F9" t="str">
        <f>Tokens!H11</f>
        <v>NfluenT for Calvi On The rocks</v>
      </c>
      <c r="G9">
        <f>Tokens!I11</f>
        <v>0</v>
      </c>
      <c r="H9" t="str">
        <f>Tokens!J11</f>
        <v>Pass festival</v>
      </c>
      <c r="I9" t="str">
        <f>Tokens!K11</f>
        <v>pour deux(2) personnes</v>
      </c>
      <c r="J9" t="str">
        <f>Tokens!L11</f>
        <v>Edition1</v>
      </c>
      <c r="K9">
        <f>Tokens!M11</f>
        <v>2</v>
      </c>
      <c r="L9" t="str">
        <f>Tokens!N11</f>
        <v>Edition2</v>
      </c>
      <c r="M9">
        <f>Tokens!O11</f>
        <v>2</v>
      </c>
      <c r="N9" t="str">
        <f>Tokens!P11</f>
        <v>Edition3</v>
      </c>
      <c r="O9">
        <f>Tokens!Q11</f>
        <v>2</v>
      </c>
      <c r="P9" t="str">
        <f>Tokens!R11</f>
        <v>Edition4</v>
      </c>
      <c r="Q9">
        <f>Tokens!S11</f>
        <v>2</v>
      </c>
      <c r="R9" t="str">
        <f>Tokens!T11</f>
        <v>Edition5</v>
      </c>
      <c r="S9">
        <f>Tokens!U11</f>
        <v>2</v>
      </c>
      <c r="T9" t="str">
        <f>Tokens!V11</f>
        <v>Dernière utilisation</v>
      </c>
      <c r="U9">
        <f>Tokens!W11</f>
        <v>0</v>
      </c>
      <c r="V9" t="str">
        <f>Tokens!X11</f>
        <v>avantage1</v>
      </c>
      <c r="W9" t="str">
        <f>Tokens!Y11</f>
        <v>accès aux Backstages pour deux (2) personnes</v>
      </c>
      <c r="X9" t="str">
        <f>Tokens!Z11</f>
        <v>avantage2</v>
      </c>
      <c r="Y9" t="str">
        <f>Tokens!AA11</f>
        <v>accès pour deux (2) personnes à un (1) événement partenaire officiel de Calvi on the Rocks</v>
      </c>
      <c r="Z9" t="str">
        <f>Tokens!AB11</f>
        <v>avantage3</v>
      </c>
      <c r="AA9" t="str">
        <f>Tokens!AC11</f>
        <v>rencontre privilégiée avec les artistes pour deux (2) personnes</v>
      </c>
      <c r="AB9" t="str">
        <f>Tokens!AD11</f>
        <v>avantage4</v>
      </c>
      <c r="AC9" t="str">
        <f>Tokens!AE11</f>
        <v>invitation aux soirées privées et villa artiste pour deux (2) personnes</v>
      </c>
      <c r="AD9" t="str">
        <f>Tokens!AF11</f>
        <v>avantage5</v>
      </c>
      <c r="AE9" t="str">
        <f>Tokens!AG11</f>
        <v>invitation à la “Soirée off” réservée aux membres NFT pour deux (2) personnes</v>
      </c>
      <c r="AF9" t="str">
        <f>Tokens!AH11</f>
        <v>avantage6</v>
      </c>
      <c r="AG9" t="str">
        <f>Tokens!AI11</f>
        <v>accès membre pour les after party officielles pour deux (2) personnes</v>
      </c>
      <c r="AH9" t="str">
        <f>Tokens!AJ11</f>
        <v>avantage7</v>
      </c>
      <c r="AI9" t="str">
        <f>Tokens!AK11</f>
        <v>logistique dite « artiste » sur place et conciergerie (prestations demandées à la charge du NFT member) pour deux (2) personnes</v>
      </c>
      <c r="AJ9" t="str">
        <f>Tokens!AL11</f>
        <v>avantage8</v>
      </c>
      <c r="AK9" t="str">
        <f>Tokens!AM11</f>
        <v>tirage spécial du magazine Numéro Art</v>
      </c>
      <c r="AL9" t="str">
        <f>Tokens!AN11</f>
        <v>avantage9</v>
      </c>
      <c r="AM9" t="str">
        <f>Tokens!AO11</f>
        <v>cadeaux partenaires</v>
      </c>
      <c r="AN9">
        <f>Tokens!AP11</f>
        <v>0</v>
      </c>
      <c r="AO9">
        <f>Tokens!AQ11</f>
        <v>0</v>
      </c>
      <c r="AP9">
        <f>Tokens!AR11</f>
        <v>0</v>
      </c>
      <c r="AQ9">
        <f>Tokens!AS11</f>
        <v>0</v>
      </c>
      <c r="AR9">
        <f>Tokens!AT11</f>
        <v>0</v>
      </c>
      <c r="AS9">
        <f>Tokens!AU11</f>
        <v>0</v>
      </c>
      <c r="AT9" t="str">
        <f>Tokens!AV11</f>
        <v>Validation</v>
      </c>
      <c r="AU9" t="str">
        <f>Tokens!AW11</f>
        <v>https://tokensol.nfluent.io?s=COR22A8&amp;platform=ftx</v>
      </c>
      <c r="AV9" t="str">
        <f>Tokens!AX11</f>
        <v>paul</v>
      </c>
      <c r="AW9">
        <f>Tokens!AY11</f>
        <v>10</v>
      </c>
      <c r="AX9" t="str">
        <f>Tokens!AZ11</f>
        <v>sophie</v>
      </c>
      <c r="AY9">
        <f>Tokens!BA11</f>
        <v>90</v>
      </c>
      <c r="AZ9">
        <f>Tokens!BB11</f>
        <v>0</v>
      </c>
      <c r="BA9">
        <f>Tokens!BC11</f>
        <v>0</v>
      </c>
      <c r="BB9">
        <f>Tokens!BD11</f>
        <v>0</v>
      </c>
      <c r="BC9">
        <f>Tokens!BE11</f>
        <v>0</v>
      </c>
      <c r="BD9">
        <f>Tokens!BF11</f>
        <v>0</v>
      </c>
      <c r="BE9">
        <f>Tokens!BG11</f>
        <v>0</v>
      </c>
      <c r="BF9">
        <f>Tokens!BH11</f>
        <v>0</v>
      </c>
      <c r="BG9">
        <f>Tokens!BI11</f>
        <v>0</v>
      </c>
      <c r="BH9" t="str">
        <f>Tokens!BJ11</f>
        <v>Dudule</v>
      </c>
      <c r="BI9" t="str">
        <f>Tokens!BK11</f>
        <v>DuduleMaster</v>
      </c>
    </row>
    <row r="10" spans="1:61" x14ac:dyDescent="0.25">
      <c r="A10" t="str">
        <f>Tokens!C12</f>
        <v>La Citadella #9</v>
      </c>
      <c r="B10" t="str">
        <f>Tokens!D12</f>
        <v>COR22A9</v>
      </c>
      <c r="C10" t="str">
        <f>Tokens!E12</f>
        <v>La Citadella, 5 ans - Pass NFT 5 jours pour 2 personnes, valable pour 5 éditions Calvi On The Rocks de votre choix.</v>
      </c>
      <c r="D10">
        <f>Tokens!F12</f>
        <v>1000</v>
      </c>
      <c r="E10" t="str">
        <f>Tokens!G12</f>
        <v>https://bafybeia44xlm6hy5jxqdebyh73a6xcjr2jqmlefq4jnqm7crkqxs5qa7ai.ipfs.nftstorage.link?image_9.png</v>
      </c>
      <c r="F10" t="str">
        <f>Tokens!H12</f>
        <v>NfluenT for Calvi On The rocks</v>
      </c>
      <c r="G10">
        <f>Tokens!I12</f>
        <v>0</v>
      </c>
      <c r="H10" t="str">
        <f>Tokens!J12</f>
        <v>Pass festival</v>
      </c>
      <c r="I10" t="str">
        <f>Tokens!K12</f>
        <v>pour deux(2) personnes</v>
      </c>
      <c r="J10" t="str">
        <f>Tokens!L12</f>
        <v>Edition1</v>
      </c>
      <c r="K10">
        <f>Tokens!M12</f>
        <v>2</v>
      </c>
      <c r="L10" t="str">
        <f>Tokens!N12</f>
        <v>Edition2</v>
      </c>
      <c r="M10">
        <f>Tokens!O12</f>
        <v>2</v>
      </c>
      <c r="N10" t="str">
        <f>Tokens!P12</f>
        <v>Edition3</v>
      </c>
      <c r="O10">
        <f>Tokens!Q12</f>
        <v>2</v>
      </c>
      <c r="P10" t="str">
        <f>Tokens!R12</f>
        <v>Edition4</v>
      </c>
      <c r="Q10">
        <f>Tokens!S12</f>
        <v>2</v>
      </c>
      <c r="R10" t="str">
        <f>Tokens!T12</f>
        <v>Edition5</v>
      </c>
      <c r="S10">
        <f>Tokens!U12</f>
        <v>2</v>
      </c>
      <c r="T10" t="str">
        <f>Tokens!V12</f>
        <v>Dernière utilisation</v>
      </c>
      <c r="U10">
        <f>Tokens!W12</f>
        <v>0</v>
      </c>
      <c r="V10" t="str">
        <f>Tokens!X12</f>
        <v>avantage1</v>
      </c>
      <c r="W10" t="str">
        <f>Tokens!Y12</f>
        <v>accès aux Backstages pour deux (2) personnes</v>
      </c>
      <c r="X10" t="str">
        <f>Tokens!Z12</f>
        <v>avantage2</v>
      </c>
      <c r="Y10" t="str">
        <f>Tokens!AA12</f>
        <v>accès pour deux (2) personnes à un (1) événement partenaire officiel de Calvi on the Rocks</v>
      </c>
      <c r="Z10" t="str">
        <f>Tokens!AB12</f>
        <v>avantage3</v>
      </c>
      <c r="AA10" t="str">
        <f>Tokens!AC12</f>
        <v>rencontre privilégiée avec les artistes pour deux (2) personnes</v>
      </c>
      <c r="AB10" t="str">
        <f>Tokens!AD12</f>
        <v>avantage4</v>
      </c>
      <c r="AC10" t="str">
        <f>Tokens!AE12</f>
        <v>invitation aux soirées privées et villa artiste pour deux (2) personnes</v>
      </c>
      <c r="AD10" t="str">
        <f>Tokens!AF12</f>
        <v>avantage5</v>
      </c>
      <c r="AE10" t="str">
        <f>Tokens!AG12</f>
        <v>invitation à la “Soirée off” réservée aux membres NFT pour deux (2) personnes</v>
      </c>
      <c r="AF10" t="str">
        <f>Tokens!AH12</f>
        <v>avantage6</v>
      </c>
      <c r="AG10" t="str">
        <f>Tokens!AI12</f>
        <v>accès membre pour les after party officielles pour deux (2) personnes</v>
      </c>
      <c r="AH10" t="str">
        <f>Tokens!AJ12</f>
        <v>avantage7</v>
      </c>
      <c r="AI10" t="str">
        <f>Tokens!AK12</f>
        <v>logistique dite « artiste » sur place et conciergerie (prestations demandées à la charge du NFT member) pour deux (2) personnes</v>
      </c>
      <c r="AJ10" t="str">
        <f>Tokens!AL12</f>
        <v>avantage8</v>
      </c>
      <c r="AK10" t="str">
        <f>Tokens!AM12</f>
        <v>tirage spécial du magazine Numéro Art</v>
      </c>
      <c r="AL10" t="str">
        <f>Tokens!AN12</f>
        <v>avantage9</v>
      </c>
      <c r="AM10" t="str">
        <f>Tokens!AO12</f>
        <v>cadeaux partenaires</v>
      </c>
      <c r="AN10">
        <f>Tokens!AP12</f>
        <v>0</v>
      </c>
      <c r="AO10">
        <f>Tokens!AQ12</f>
        <v>0</v>
      </c>
      <c r="AP10">
        <f>Tokens!AR12</f>
        <v>0</v>
      </c>
      <c r="AQ10">
        <f>Tokens!AS12</f>
        <v>0</v>
      </c>
      <c r="AR10">
        <f>Tokens!AT12</f>
        <v>0</v>
      </c>
      <c r="AS10">
        <f>Tokens!AU12</f>
        <v>0</v>
      </c>
      <c r="AT10" t="str">
        <f>Tokens!AV12</f>
        <v>Validation</v>
      </c>
      <c r="AU10" t="str">
        <f>Tokens!AW12</f>
        <v>https://tokensol.nfluent.io?s=COR22A9&amp;platform=ftx</v>
      </c>
      <c r="AV10" t="str">
        <f>Tokens!AX12</f>
        <v>paul</v>
      </c>
      <c r="AW10">
        <f>Tokens!AY12</f>
        <v>10</v>
      </c>
      <c r="AX10" t="str">
        <f>Tokens!AZ12</f>
        <v>sophie</v>
      </c>
      <c r="AY10">
        <f>Tokens!BA12</f>
        <v>90</v>
      </c>
      <c r="AZ10">
        <f>Tokens!BB12</f>
        <v>0</v>
      </c>
      <c r="BA10">
        <f>Tokens!BC12</f>
        <v>0</v>
      </c>
      <c r="BB10">
        <f>Tokens!BD12</f>
        <v>0</v>
      </c>
      <c r="BC10">
        <f>Tokens!BE12</f>
        <v>0</v>
      </c>
      <c r="BD10">
        <f>Tokens!BF12</f>
        <v>0</v>
      </c>
      <c r="BE10">
        <f>Tokens!BG12</f>
        <v>0</v>
      </c>
      <c r="BF10">
        <f>Tokens!BH12</f>
        <v>0</v>
      </c>
      <c r="BG10">
        <f>Tokens!BI12</f>
        <v>0</v>
      </c>
      <c r="BH10" t="str">
        <f>Tokens!BJ12</f>
        <v>Dudule</v>
      </c>
      <c r="BI10" t="str">
        <f>Tokens!BK12</f>
        <v>DuduleMaster</v>
      </c>
    </row>
    <row r="11" spans="1:61" x14ac:dyDescent="0.25">
      <c r="A11" t="str">
        <f>Tokens!C13</f>
        <v>La Citadella #10</v>
      </c>
      <c r="B11" t="str">
        <f>Tokens!D13</f>
        <v>COR22A10</v>
      </c>
      <c r="C11" t="str">
        <f>Tokens!E13</f>
        <v>La Citadella, 5 ans - Pass NFT 5 jours pour 2 personnes, valable pour 5 éditions Calvi On The Rocks de votre choix.</v>
      </c>
      <c r="D11">
        <f>Tokens!F13</f>
        <v>1000</v>
      </c>
      <c r="E11" t="str">
        <f>Tokens!G13</f>
        <v>https://bafybeiblrdmlrty6gqzqqx2d3khwvo2qsdslzcixtpr6bkzmxttxukm53i.ipfs.nftstorage.link?image_10.png</v>
      </c>
      <c r="F11" t="str">
        <f>Tokens!H13</f>
        <v>NfluenT for Calvi On The rocks</v>
      </c>
      <c r="G11">
        <f>Tokens!I13</f>
        <v>0</v>
      </c>
      <c r="H11" t="str">
        <f>Tokens!J13</f>
        <v>Pass festival</v>
      </c>
      <c r="I11" t="str">
        <f>Tokens!K13</f>
        <v>pour deux(2) personnes</v>
      </c>
      <c r="J11" t="str">
        <f>Tokens!L13</f>
        <v>Edition1</v>
      </c>
      <c r="K11">
        <f>Tokens!M13</f>
        <v>2</v>
      </c>
      <c r="L11" t="str">
        <f>Tokens!N13</f>
        <v>Edition2</v>
      </c>
      <c r="M11">
        <f>Tokens!O13</f>
        <v>2</v>
      </c>
      <c r="N11" t="str">
        <f>Tokens!P13</f>
        <v>Edition3</v>
      </c>
      <c r="O11">
        <f>Tokens!Q13</f>
        <v>2</v>
      </c>
      <c r="P11" t="str">
        <f>Tokens!R13</f>
        <v>Edition4</v>
      </c>
      <c r="Q11">
        <f>Tokens!S13</f>
        <v>2</v>
      </c>
      <c r="R11" t="str">
        <f>Tokens!T13</f>
        <v>Edition5</v>
      </c>
      <c r="S11">
        <f>Tokens!U13</f>
        <v>2</v>
      </c>
      <c r="T11" t="str">
        <f>Tokens!V13</f>
        <v>Dernière utilisation</v>
      </c>
      <c r="U11">
        <f>Tokens!W13</f>
        <v>0</v>
      </c>
      <c r="V11" t="str">
        <f>Tokens!X13</f>
        <v>avantage1</v>
      </c>
      <c r="W11" t="str">
        <f>Tokens!Y13</f>
        <v>accès aux Backstages pour deux (2) personnes</v>
      </c>
      <c r="X11" t="str">
        <f>Tokens!Z13</f>
        <v>avantage2</v>
      </c>
      <c r="Y11" t="str">
        <f>Tokens!AA13</f>
        <v>accès pour deux (2) personnes à un (1) événement partenaire officiel de Calvi on the Rocks</v>
      </c>
      <c r="Z11" t="str">
        <f>Tokens!AB13</f>
        <v>avantage3</v>
      </c>
      <c r="AA11" t="str">
        <f>Tokens!AC13</f>
        <v>rencontre privilégiée avec les artistes pour deux (2) personnes</v>
      </c>
      <c r="AB11" t="str">
        <f>Tokens!AD13</f>
        <v>avantage4</v>
      </c>
      <c r="AC11" t="str">
        <f>Tokens!AE13</f>
        <v>invitation aux soirées privées et villa artiste pour deux (2) personnes</v>
      </c>
      <c r="AD11" t="str">
        <f>Tokens!AF13</f>
        <v>avantage5</v>
      </c>
      <c r="AE11" t="str">
        <f>Tokens!AG13</f>
        <v>invitation à la “Soirée off” réservée aux membres NFT pour deux (2) personnes</v>
      </c>
      <c r="AF11" t="str">
        <f>Tokens!AH13</f>
        <v>avantage6</v>
      </c>
      <c r="AG11" t="str">
        <f>Tokens!AI13</f>
        <v>accès membre pour les after party officielles pour deux (2) personnes</v>
      </c>
      <c r="AH11" t="str">
        <f>Tokens!AJ13</f>
        <v>avantage7</v>
      </c>
      <c r="AI11" t="str">
        <f>Tokens!AK13</f>
        <v>logistique dite « artiste » sur place et conciergerie (prestations demandées à la charge du NFT member) pour deux (2) personnes</v>
      </c>
      <c r="AJ11" t="str">
        <f>Tokens!AL13</f>
        <v>avantage8</v>
      </c>
      <c r="AK11" t="str">
        <f>Tokens!AM13</f>
        <v>tirage spécial du magazine Numéro Art</v>
      </c>
      <c r="AL11" t="str">
        <f>Tokens!AN13</f>
        <v>avantage9</v>
      </c>
      <c r="AM11" t="str">
        <f>Tokens!AO13</f>
        <v>cadeaux partenaires</v>
      </c>
      <c r="AN11">
        <f>Tokens!AP13</f>
        <v>0</v>
      </c>
      <c r="AO11">
        <f>Tokens!AQ13</f>
        <v>0</v>
      </c>
      <c r="AP11">
        <f>Tokens!AR13</f>
        <v>0</v>
      </c>
      <c r="AQ11">
        <f>Tokens!AS13</f>
        <v>0</v>
      </c>
      <c r="AR11">
        <f>Tokens!AT13</f>
        <v>0</v>
      </c>
      <c r="AS11">
        <f>Tokens!AU13</f>
        <v>0</v>
      </c>
      <c r="AT11" t="str">
        <f>Tokens!AV13</f>
        <v>Validation</v>
      </c>
      <c r="AU11" t="str">
        <f>Tokens!AW13</f>
        <v>https://tokensol.nfluent.io?s=COR22A10&amp;platform=ftx</v>
      </c>
      <c r="AV11" t="str">
        <f>Tokens!AX13</f>
        <v>paul</v>
      </c>
      <c r="AW11">
        <f>Tokens!AY13</f>
        <v>10</v>
      </c>
      <c r="AX11" t="str">
        <f>Tokens!AZ13</f>
        <v>sophie</v>
      </c>
      <c r="AY11">
        <f>Tokens!BA13</f>
        <v>90</v>
      </c>
      <c r="AZ11">
        <f>Tokens!BB13</f>
        <v>0</v>
      </c>
      <c r="BA11">
        <f>Tokens!BC13</f>
        <v>0</v>
      </c>
      <c r="BB11">
        <f>Tokens!BD13</f>
        <v>0</v>
      </c>
      <c r="BC11">
        <f>Tokens!BE13</f>
        <v>0</v>
      </c>
      <c r="BD11">
        <f>Tokens!BF13</f>
        <v>0</v>
      </c>
      <c r="BE11">
        <f>Tokens!BG13</f>
        <v>0</v>
      </c>
      <c r="BF11">
        <f>Tokens!BH13</f>
        <v>0</v>
      </c>
      <c r="BG11">
        <f>Tokens!BI13</f>
        <v>0</v>
      </c>
      <c r="BH11" t="str">
        <f>Tokens!BJ13</f>
        <v>Dudule</v>
      </c>
      <c r="BI11" t="str">
        <f>Tokens!BK13</f>
        <v>DuduleMaster</v>
      </c>
    </row>
    <row r="12" spans="1:61" x14ac:dyDescent="0.25">
      <c r="A12" t="str">
        <f>Tokens!C14</f>
        <v>A Madonna Di A Sierra #11</v>
      </c>
      <c r="B12" t="str">
        <f>Tokens!D14</f>
        <v>COR22B11</v>
      </c>
      <c r="C12" t="str">
        <f>Tokens!E14</f>
        <v>A Madonna Di A Sierra, 3 ans - Pass NFT 5 jours pour 2 personnes, valable pour 3 éditions Calvi On The Rocks de votre choix.</v>
      </c>
      <c r="D12">
        <f>Tokens!F14</f>
        <v>1000</v>
      </c>
      <c r="E12" t="str">
        <f>Tokens!G14</f>
        <v>https://bafybeihs2h6dfatrcrjcffsngwdd2wxkb7u7ugsf4vpoc5ewqrinq7of4e.ipfs.nftstorage.link?visual2.png</v>
      </c>
      <c r="F12" t="str">
        <f>Tokens!H14</f>
        <v>NfluenT for Calvi On The rocks</v>
      </c>
      <c r="G12">
        <f>Tokens!I14</f>
        <v>0</v>
      </c>
      <c r="H12" t="str">
        <f>Tokens!J14</f>
        <v>Pass festival</v>
      </c>
      <c r="I12" t="str">
        <f>Tokens!K14</f>
        <v>pour deux(2) personnes</v>
      </c>
      <c r="J12" t="str">
        <f>Tokens!L14</f>
        <v>Edition1</v>
      </c>
      <c r="K12">
        <f>Tokens!M14</f>
        <v>2</v>
      </c>
      <c r="L12" t="str">
        <f>Tokens!N14</f>
        <v>Edition2</v>
      </c>
      <c r="M12">
        <f>Tokens!O14</f>
        <v>2</v>
      </c>
      <c r="N12" t="str">
        <f>Tokens!P14</f>
        <v>Edition3</v>
      </c>
      <c r="O12">
        <f>Tokens!Q14</f>
        <v>2</v>
      </c>
      <c r="P12">
        <f>Tokens!R14</f>
        <v>0</v>
      </c>
      <c r="Q12">
        <f>Tokens!S14</f>
        <v>0</v>
      </c>
      <c r="R12">
        <f>Tokens!T14</f>
        <v>0</v>
      </c>
      <c r="S12">
        <f>Tokens!U14</f>
        <v>0</v>
      </c>
      <c r="T12" t="str">
        <f>Tokens!V14</f>
        <v>Dernière utilisation</v>
      </c>
      <c r="U12">
        <f>Tokens!W14</f>
        <v>0</v>
      </c>
      <c r="V12">
        <f>Tokens!X14</f>
        <v>0</v>
      </c>
      <c r="W12">
        <f>Tokens!Y14</f>
        <v>0</v>
      </c>
      <c r="X12" t="str">
        <f>Tokens!Z14</f>
        <v>avantage1</v>
      </c>
      <c r="Y12" t="str">
        <f>Tokens!AA14</f>
        <v>accès pour deux (2) personnes à un (1) événement partenaire officiel de Calvi on the Rocks</v>
      </c>
      <c r="Z12">
        <f>Tokens!AB14</f>
        <v>0</v>
      </c>
      <c r="AA12">
        <f>Tokens!AC14</f>
        <v>0</v>
      </c>
      <c r="AB12">
        <f>Tokens!AD14</f>
        <v>0</v>
      </c>
      <c r="AC12">
        <f>Tokens!AE14</f>
        <v>0</v>
      </c>
      <c r="AD12" t="str">
        <f>Tokens!AF14</f>
        <v>avantage2</v>
      </c>
      <c r="AE12" t="str">
        <f>Tokens!AG14</f>
        <v>invitation à la “Soirée off” réservée aux membres NFT pour deux (2) personnes</v>
      </c>
      <c r="AF12" t="str">
        <f>Tokens!AH14</f>
        <v>avantage3</v>
      </c>
      <c r="AG12" t="str">
        <f>Tokens!AI14</f>
        <v>accès membre pour les after party officielles pour deux (2) personnes</v>
      </c>
      <c r="AH12" t="str">
        <f>Tokens!AJ14</f>
        <v>avantage4</v>
      </c>
      <c r="AI12" t="str">
        <f>Tokens!AK14</f>
        <v>accès prioritaire et bar dédié (consommation à la charge du festivalier) - tables réservées à l'avance pour les « NFT member » pour deux (2) personnes</v>
      </c>
      <c r="AJ12" t="str">
        <f>Tokens!AL14</f>
        <v>avantage5</v>
      </c>
      <c r="AK12" t="str">
        <f>Tokens!AM14</f>
        <v>1 affiche numérotée (quelques unes seront signées au hasard)</v>
      </c>
      <c r="AL12">
        <f>Tokens!AN14</f>
        <v>0</v>
      </c>
      <c r="AM12">
        <f>Tokens!AO14</f>
        <v>0</v>
      </c>
      <c r="AN12">
        <f>Tokens!AP14</f>
        <v>0</v>
      </c>
      <c r="AO12">
        <f>Tokens!AQ14</f>
        <v>0</v>
      </c>
      <c r="AP12">
        <f>Tokens!AR14</f>
        <v>0</v>
      </c>
      <c r="AQ12">
        <f>Tokens!AS14</f>
        <v>0</v>
      </c>
      <c r="AR12">
        <f>Tokens!AT14</f>
        <v>0</v>
      </c>
      <c r="AS12">
        <f>Tokens!AU14</f>
        <v>0</v>
      </c>
      <c r="AT12" t="str">
        <f>Tokens!AV14</f>
        <v>Validation</v>
      </c>
      <c r="AU12" t="str">
        <f>Tokens!AW14</f>
        <v>https://tokensol.nfluent.io?s=COR22B11&amp;platform=ftx</v>
      </c>
      <c r="AV12" t="str">
        <f>Tokens!AX14</f>
        <v>paul</v>
      </c>
      <c r="AW12">
        <f>Tokens!AY14</f>
        <v>10</v>
      </c>
      <c r="AX12" t="str">
        <f>Tokens!AZ14</f>
        <v>sophie</v>
      </c>
      <c r="AY12">
        <f>Tokens!BA14</f>
        <v>90</v>
      </c>
      <c r="AZ12">
        <f>Tokens!BB14</f>
        <v>0</v>
      </c>
      <c r="BA12">
        <f>Tokens!BC14</f>
        <v>0</v>
      </c>
      <c r="BB12" t="str">
        <f>Tokens!BD14</f>
        <v>https://bafybeicgtrhjweckx2vfwtyokcngfyecfczyi234bo576emk7czddpc2du.ipfs.nftstorage.link?CALVI_12.mp4</v>
      </c>
      <c r="BC12" t="str">
        <f>Tokens!BE14</f>
        <v>mp4</v>
      </c>
      <c r="BD12">
        <f>Tokens!BF14</f>
        <v>0</v>
      </c>
      <c r="BE12">
        <f>Tokens!BG14</f>
        <v>0</v>
      </c>
      <c r="BF12">
        <f>Tokens!BH14</f>
        <v>0</v>
      </c>
      <c r="BG12">
        <f>Tokens!BI14</f>
        <v>0</v>
      </c>
      <c r="BH12" t="str">
        <f>Tokens!BJ14</f>
        <v>A Madonna Di A Sierra</v>
      </c>
      <c r="BI12" t="str">
        <f>Tokens!BK14</f>
        <v>Calvi On The Rocks</v>
      </c>
    </row>
    <row r="13" spans="1:61" x14ac:dyDescent="0.25">
      <c r="A13" t="str">
        <f>Tokens!C15</f>
        <v>A Madonna Di A Sierra #12</v>
      </c>
      <c r="B13" t="str">
        <f>Tokens!D15</f>
        <v>COR22B12</v>
      </c>
      <c r="C13" t="str">
        <f>Tokens!E15</f>
        <v>A Madonna Di A Sierra, 3 ans - Pass NFT 5 jours pour 2 personnes, valable pour 3 éditions Calvi On The Rocks de votre choix.</v>
      </c>
      <c r="D13">
        <f>Tokens!F15</f>
        <v>1000</v>
      </c>
      <c r="E13" t="str">
        <f>Tokens!G15</f>
        <v>https://bafybeihs2h6dfatrcrjcffsngwdd2wxkb7u7ugsf4vpoc5ewqrinq7of4e.ipfs.nftstorage.link?visual2.png</v>
      </c>
      <c r="F13" t="str">
        <f>Tokens!H15</f>
        <v>NfluenT for Calvi On The rocks</v>
      </c>
      <c r="G13">
        <f>Tokens!I15</f>
        <v>0</v>
      </c>
      <c r="H13" t="str">
        <f>Tokens!J15</f>
        <v>Pass festival</v>
      </c>
      <c r="I13" t="str">
        <f>Tokens!K15</f>
        <v>pour deux(2) personnes</v>
      </c>
      <c r="J13" t="str">
        <f>Tokens!L15</f>
        <v>Edition1</v>
      </c>
      <c r="K13">
        <f>Tokens!M15</f>
        <v>2</v>
      </c>
      <c r="L13" t="str">
        <f>Tokens!N15</f>
        <v>Edition2</v>
      </c>
      <c r="M13">
        <f>Tokens!O15</f>
        <v>2</v>
      </c>
      <c r="N13" t="str">
        <f>Tokens!P15</f>
        <v>Edition3</v>
      </c>
      <c r="O13">
        <f>Tokens!Q15</f>
        <v>2</v>
      </c>
      <c r="P13">
        <f>Tokens!R15</f>
        <v>0</v>
      </c>
      <c r="Q13">
        <f>Tokens!S15</f>
        <v>0</v>
      </c>
      <c r="R13">
        <f>Tokens!T15</f>
        <v>0</v>
      </c>
      <c r="S13">
        <f>Tokens!U15</f>
        <v>0</v>
      </c>
      <c r="T13" t="str">
        <f>Tokens!V15</f>
        <v>Dernière utilisation</v>
      </c>
      <c r="U13">
        <f>Tokens!W15</f>
        <v>0</v>
      </c>
      <c r="V13">
        <f>Tokens!X15</f>
        <v>0</v>
      </c>
      <c r="W13">
        <f>Tokens!Y15</f>
        <v>0</v>
      </c>
      <c r="X13" t="str">
        <f>Tokens!Z15</f>
        <v>avantage1</v>
      </c>
      <c r="Y13" t="str">
        <f>Tokens!AA15</f>
        <v>accès pour deux (2) personnes à un (1) événement partenaire officiel de Calvi on the Rocks</v>
      </c>
      <c r="Z13">
        <f>Tokens!AB15</f>
        <v>0</v>
      </c>
      <c r="AA13">
        <f>Tokens!AC15</f>
        <v>0</v>
      </c>
      <c r="AB13">
        <f>Tokens!AD15</f>
        <v>0</v>
      </c>
      <c r="AC13">
        <f>Tokens!AE15</f>
        <v>0</v>
      </c>
      <c r="AD13" t="str">
        <f>Tokens!AF15</f>
        <v>avantage2</v>
      </c>
      <c r="AE13" t="str">
        <f>Tokens!AG15</f>
        <v>invitation à la “Soirée off” réservée aux membres NFT pour deux (2) personnes</v>
      </c>
      <c r="AF13" t="str">
        <f>Tokens!AH15</f>
        <v>avantage3</v>
      </c>
      <c r="AG13" t="str">
        <f>Tokens!AI15</f>
        <v>accès membre pour les after party officielles pour deux (2) personnes</v>
      </c>
      <c r="AH13" t="str">
        <f>Tokens!AJ15</f>
        <v>avantage4</v>
      </c>
      <c r="AI13" t="str">
        <f>Tokens!AK15</f>
        <v>accès prioritaire et bar dédié (consommation à la charge du festivalier) - tables réservées à l'avance pour les « NFT member » pour deux (2) personnes</v>
      </c>
      <c r="AJ13" t="str">
        <f>Tokens!AL15</f>
        <v>avantage5</v>
      </c>
      <c r="AK13" t="str">
        <f>Tokens!AM15</f>
        <v>1 affiche numérotée (quelques unes seront signées au hasard)</v>
      </c>
      <c r="AL13">
        <f>Tokens!AN15</f>
        <v>0</v>
      </c>
      <c r="AM13">
        <f>Tokens!AO15</f>
        <v>0</v>
      </c>
      <c r="AN13">
        <f>Tokens!AP15</f>
        <v>0</v>
      </c>
      <c r="AO13">
        <f>Tokens!AQ15</f>
        <v>0</v>
      </c>
      <c r="AP13">
        <f>Tokens!AR15</f>
        <v>0</v>
      </c>
      <c r="AQ13">
        <f>Tokens!AS15</f>
        <v>0</v>
      </c>
      <c r="AR13">
        <f>Tokens!AT15</f>
        <v>0</v>
      </c>
      <c r="AS13">
        <f>Tokens!AU15</f>
        <v>0</v>
      </c>
      <c r="AT13" t="str">
        <f>Tokens!AV15</f>
        <v>Validation</v>
      </c>
      <c r="AU13" t="str">
        <f>Tokens!AW15</f>
        <v>https://tokensol.nfluent.io?s=COR22B12&amp;platform=ftx</v>
      </c>
      <c r="AV13" t="str">
        <f>Tokens!AX15</f>
        <v>paul</v>
      </c>
      <c r="AW13">
        <f>Tokens!AY15</f>
        <v>10</v>
      </c>
      <c r="AX13" t="str">
        <f>Tokens!AZ15</f>
        <v>sophie</v>
      </c>
      <c r="AY13">
        <f>Tokens!BA15</f>
        <v>90</v>
      </c>
      <c r="AZ13">
        <f>Tokens!BB15</f>
        <v>0</v>
      </c>
      <c r="BA13">
        <f>Tokens!BC15</f>
        <v>0</v>
      </c>
      <c r="BB13" t="str">
        <f>Tokens!BD15</f>
        <v>https://bafybeicgtrhjweckx2vfwtyokcngfyecfczyi234bo576emk7czddpc2du.ipfs.nftstorage.link?CALVI_12.mp4</v>
      </c>
      <c r="BC13" t="str">
        <f>Tokens!BE15</f>
        <v>mp4</v>
      </c>
      <c r="BD13">
        <f>Tokens!BF15</f>
        <v>0</v>
      </c>
      <c r="BE13">
        <f>Tokens!BG15</f>
        <v>0</v>
      </c>
      <c r="BF13">
        <f>Tokens!BH15</f>
        <v>0</v>
      </c>
      <c r="BG13">
        <f>Tokens!BI15</f>
        <v>0</v>
      </c>
      <c r="BH13" t="str">
        <f>Tokens!BJ15</f>
        <v>A Madonna Di A Sierra</v>
      </c>
      <c r="BI13" t="str">
        <f>Tokens!BK15</f>
        <v>Calvi On The Rocks</v>
      </c>
    </row>
    <row r="14" spans="1:61" x14ac:dyDescent="0.25">
      <c r="A14" t="str">
        <f>Tokens!C16</f>
        <v>A Madonna Di A Sierra #13</v>
      </c>
      <c r="B14" t="str">
        <f>Tokens!D16</f>
        <v>COR22B13</v>
      </c>
      <c r="C14" t="str">
        <f>Tokens!E16</f>
        <v>A Madonna Di A Sierra, 3 ans - Pass NFT 5 jours pour 2 personnes, valable pour 3 éditions Calvi On The Rocks de votre choix.</v>
      </c>
      <c r="D14">
        <f>Tokens!F16</f>
        <v>1000</v>
      </c>
      <c r="E14" t="str">
        <f>Tokens!G16</f>
        <v>https://bafybeicfeyuhjujtqz5qijc754pm2rbgqfelm6iz5k6qj4qitzupt5npie.ipfs.nftstorage.link?visual3.png</v>
      </c>
      <c r="F14" t="str">
        <f>Tokens!H16</f>
        <v>NfluenT for Calvi On The rocks</v>
      </c>
      <c r="G14">
        <f>Tokens!I16</f>
        <v>0</v>
      </c>
      <c r="H14" t="str">
        <f>Tokens!J16</f>
        <v>Pass festival</v>
      </c>
      <c r="I14" t="str">
        <f>Tokens!K16</f>
        <v>pour deux(2) personnes</v>
      </c>
      <c r="J14" t="str">
        <f>Tokens!L16</f>
        <v>Edition1</v>
      </c>
      <c r="K14">
        <f>Tokens!M16</f>
        <v>2</v>
      </c>
      <c r="L14" t="str">
        <f>Tokens!N16</f>
        <v>Edition2</v>
      </c>
      <c r="M14">
        <f>Tokens!O16</f>
        <v>2</v>
      </c>
      <c r="N14" t="str">
        <f>Tokens!P16</f>
        <v>Edition3</v>
      </c>
      <c r="O14">
        <f>Tokens!Q16</f>
        <v>2</v>
      </c>
      <c r="P14">
        <f>Tokens!R16</f>
        <v>0</v>
      </c>
      <c r="Q14">
        <f>Tokens!S16</f>
        <v>0</v>
      </c>
      <c r="R14">
        <f>Tokens!T16</f>
        <v>0</v>
      </c>
      <c r="S14">
        <f>Tokens!U16</f>
        <v>0</v>
      </c>
      <c r="T14" t="str">
        <f>Tokens!V16</f>
        <v>Dernière utilisation</v>
      </c>
      <c r="U14">
        <f>Tokens!W16</f>
        <v>0</v>
      </c>
      <c r="V14">
        <f>Tokens!X16</f>
        <v>0</v>
      </c>
      <c r="W14">
        <f>Tokens!Y16</f>
        <v>0</v>
      </c>
      <c r="X14" t="str">
        <f>Tokens!Z16</f>
        <v>avantage1</v>
      </c>
      <c r="Y14" t="str">
        <f>Tokens!AA16</f>
        <v>accès pour deux (2) personnes à un (1) événement partenaire officiel de Calvi on the Rocks</v>
      </c>
      <c r="Z14">
        <f>Tokens!AB16</f>
        <v>0</v>
      </c>
      <c r="AA14">
        <f>Tokens!AC16</f>
        <v>0</v>
      </c>
      <c r="AB14">
        <f>Tokens!AD16</f>
        <v>0</v>
      </c>
      <c r="AC14">
        <f>Tokens!AE16</f>
        <v>0</v>
      </c>
      <c r="AD14" t="str">
        <f>Tokens!AF16</f>
        <v>avantage2</v>
      </c>
      <c r="AE14" t="str">
        <f>Tokens!AG16</f>
        <v>invitation à la “Soirée off” réservée aux membres NFT pour deux (2) personnes</v>
      </c>
      <c r="AF14" t="str">
        <f>Tokens!AH16</f>
        <v>avantage3</v>
      </c>
      <c r="AG14" t="str">
        <f>Tokens!AI16</f>
        <v>accès membre pour les after party officielles pour deux (2) personnes</v>
      </c>
      <c r="AH14" t="str">
        <f>Tokens!AJ16</f>
        <v>avantage4</v>
      </c>
      <c r="AI14" t="str">
        <f>Tokens!AK16</f>
        <v>accès prioritaire et bar dédié (consommation à la charge du festivalier) - tables réservées à l'avance pour les « NFT member » pour deux (2) personnes</v>
      </c>
      <c r="AJ14" t="str">
        <f>Tokens!AL16</f>
        <v>avantage5</v>
      </c>
      <c r="AK14" t="str">
        <f>Tokens!AM16</f>
        <v>1 affiche numérotée (quelques unes seront signées au hasard)</v>
      </c>
      <c r="AL14">
        <f>Tokens!AN16</f>
        <v>0</v>
      </c>
      <c r="AM14">
        <f>Tokens!AO16</f>
        <v>0</v>
      </c>
      <c r="AN14">
        <f>Tokens!AP16</f>
        <v>0</v>
      </c>
      <c r="AO14">
        <f>Tokens!AQ16</f>
        <v>0</v>
      </c>
      <c r="AP14">
        <f>Tokens!AR16</f>
        <v>0</v>
      </c>
      <c r="AQ14">
        <f>Tokens!AS16</f>
        <v>0</v>
      </c>
      <c r="AR14">
        <f>Tokens!AT16</f>
        <v>0</v>
      </c>
      <c r="AS14">
        <f>Tokens!AU16</f>
        <v>0</v>
      </c>
      <c r="AT14" t="str">
        <f>Tokens!AV16</f>
        <v>Validation</v>
      </c>
      <c r="AU14" t="str">
        <f>Tokens!AW16</f>
        <v>https://tokensol.nfluent.io?s=COR22B13&amp;platform=ftx</v>
      </c>
      <c r="AV14" t="str">
        <f>Tokens!AX16</f>
        <v>paul</v>
      </c>
      <c r="AW14">
        <f>Tokens!AY16</f>
        <v>10</v>
      </c>
      <c r="AX14" t="str">
        <f>Tokens!AZ16</f>
        <v>sophie</v>
      </c>
      <c r="AY14">
        <f>Tokens!BA16</f>
        <v>90</v>
      </c>
      <c r="AZ14">
        <f>Tokens!BB16</f>
        <v>0</v>
      </c>
      <c r="BA14">
        <f>Tokens!BC16</f>
        <v>0</v>
      </c>
      <c r="BB14" t="str">
        <f>Tokens!BD16</f>
        <v>https://bafybeicgtrhjweckx2vfwtyokcngfyecfczyi234bo576emk7czddpc2du.ipfs.nftstorage.link?CALVI_12.mp4</v>
      </c>
      <c r="BC14" t="str">
        <f>Tokens!BE16</f>
        <v>mp4</v>
      </c>
      <c r="BD14">
        <f>Tokens!BF16</f>
        <v>0</v>
      </c>
      <c r="BE14">
        <f>Tokens!BG16</f>
        <v>0</v>
      </c>
      <c r="BF14">
        <f>Tokens!BH16</f>
        <v>0</v>
      </c>
      <c r="BG14">
        <f>Tokens!BI16</f>
        <v>0</v>
      </c>
      <c r="BH14" t="str">
        <f>Tokens!BJ16</f>
        <v>A Madonna Di A Sierra</v>
      </c>
      <c r="BI14" t="str">
        <f>Tokens!BK16</f>
        <v>Calvi On The Rocks</v>
      </c>
    </row>
    <row r="15" spans="1:61" x14ac:dyDescent="0.25">
      <c r="A15" t="str">
        <f>Tokens!C17</f>
        <v>A Madonna Di A Sierra #14</v>
      </c>
      <c r="B15" t="str">
        <f>Tokens!D17</f>
        <v>COR22B14</v>
      </c>
      <c r="C15" t="str">
        <f>Tokens!E17</f>
        <v>A Madonna Di A Sierra, 3 ans - Pass NFT 5 jours pour 2 personnes, valable pour 3 éditions Calvi On The Rocks de votre choix.</v>
      </c>
      <c r="D15">
        <f>Tokens!F17</f>
        <v>1000</v>
      </c>
      <c r="E15" t="str">
        <f>Tokens!G17</f>
        <v>https://bafybeifqwz6z2w5t76ozxnde33boh4jjcjl4qsx44bpminukf6gqbpiafy.ipfs.nftstorage.link?visual4.png</v>
      </c>
      <c r="F15" t="str">
        <f>Tokens!H17</f>
        <v>NfluenT for Calvi On The rocks</v>
      </c>
      <c r="G15">
        <f>Tokens!I17</f>
        <v>0</v>
      </c>
      <c r="H15" t="str">
        <f>Tokens!J17</f>
        <v>Pass festival</v>
      </c>
      <c r="I15" t="str">
        <f>Tokens!K17</f>
        <v>pour deux(2) personnes</v>
      </c>
      <c r="J15" t="str">
        <f>Tokens!L17</f>
        <v>Edition1</v>
      </c>
      <c r="K15">
        <f>Tokens!M17</f>
        <v>2</v>
      </c>
      <c r="L15" t="str">
        <f>Tokens!N17</f>
        <v>Edition2</v>
      </c>
      <c r="M15">
        <f>Tokens!O17</f>
        <v>2</v>
      </c>
      <c r="N15" t="str">
        <f>Tokens!P17</f>
        <v>Edition3</v>
      </c>
      <c r="O15">
        <f>Tokens!Q17</f>
        <v>2</v>
      </c>
      <c r="P15">
        <f>Tokens!R17</f>
        <v>0</v>
      </c>
      <c r="Q15">
        <f>Tokens!S17</f>
        <v>0</v>
      </c>
      <c r="R15">
        <f>Tokens!T17</f>
        <v>0</v>
      </c>
      <c r="S15">
        <f>Tokens!U17</f>
        <v>0</v>
      </c>
      <c r="T15" t="str">
        <f>Tokens!V17</f>
        <v>Dernière utilisation</v>
      </c>
      <c r="U15">
        <f>Tokens!W17</f>
        <v>0</v>
      </c>
      <c r="V15">
        <f>Tokens!X17</f>
        <v>0</v>
      </c>
      <c r="W15">
        <f>Tokens!Y17</f>
        <v>0</v>
      </c>
      <c r="X15" t="str">
        <f>Tokens!Z17</f>
        <v>avantage1</v>
      </c>
      <c r="Y15" t="str">
        <f>Tokens!AA17</f>
        <v>accès pour deux (2) personnes à un (1) événement partenaire officiel de Calvi on the Rocks</v>
      </c>
      <c r="Z15">
        <f>Tokens!AB17</f>
        <v>0</v>
      </c>
      <c r="AA15">
        <f>Tokens!AC17</f>
        <v>0</v>
      </c>
      <c r="AB15">
        <f>Tokens!AD17</f>
        <v>0</v>
      </c>
      <c r="AC15">
        <f>Tokens!AE17</f>
        <v>0</v>
      </c>
      <c r="AD15" t="str">
        <f>Tokens!AF17</f>
        <v>avantage2</v>
      </c>
      <c r="AE15" t="str">
        <f>Tokens!AG17</f>
        <v>invitation à la “Soirée off” réservée aux membres NFT pour deux (2) personnes</v>
      </c>
      <c r="AF15" t="str">
        <f>Tokens!AH17</f>
        <v>avantage3</v>
      </c>
      <c r="AG15" t="str">
        <f>Tokens!AI17</f>
        <v>accès membre pour les after party officielles pour deux (2) personnes</v>
      </c>
      <c r="AH15" t="str">
        <f>Tokens!AJ17</f>
        <v>avantage4</v>
      </c>
      <c r="AI15" t="str">
        <f>Tokens!AK17</f>
        <v>accès prioritaire et bar dédié (consommation à la charge du festivalier) - tables réservées à l'avance pour les « NFT member » pour deux (2) personnes</v>
      </c>
      <c r="AJ15" t="str">
        <f>Tokens!AL17</f>
        <v>avantage5</v>
      </c>
      <c r="AK15" t="str">
        <f>Tokens!AM17</f>
        <v>1 affiche numérotée (quelques unes seront signées au hasard)</v>
      </c>
      <c r="AL15">
        <f>Tokens!AN17</f>
        <v>0</v>
      </c>
      <c r="AM15">
        <f>Tokens!AO17</f>
        <v>0</v>
      </c>
      <c r="AN15">
        <f>Tokens!AP17</f>
        <v>0</v>
      </c>
      <c r="AO15">
        <f>Tokens!AQ17</f>
        <v>0</v>
      </c>
      <c r="AP15">
        <f>Tokens!AR17</f>
        <v>0</v>
      </c>
      <c r="AQ15">
        <f>Tokens!AS17</f>
        <v>0</v>
      </c>
      <c r="AR15">
        <f>Tokens!AT17</f>
        <v>0</v>
      </c>
      <c r="AS15">
        <f>Tokens!AU17</f>
        <v>0</v>
      </c>
      <c r="AT15" t="str">
        <f>Tokens!AV17</f>
        <v>Validation</v>
      </c>
      <c r="AU15" t="str">
        <f>Tokens!AW17</f>
        <v>https://tokensol.nfluent.io?s=COR22B14&amp;platform=ftx</v>
      </c>
      <c r="AV15" t="str">
        <f>Tokens!AX17</f>
        <v>paul</v>
      </c>
      <c r="AW15">
        <f>Tokens!AY17</f>
        <v>10</v>
      </c>
      <c r="AX15" t="str">
        <f>Tokens!AZ17</f>
        <v>sophie</v>
      </c>
      <c r="AY15">
        <f>Tokens!BA17</f>
        <v>90</v>
      </c>
      <c r="AZ15">
        <f>Tokens!BB17</f>
        <v>0</v>
      </c>
      <c r="BA15">
        <f>Tokens!BC17</f>
        <v>0</v>
      </c>
      <c r="BB15" t="str">
        <f>Tokens!BD17</f>
        <v>https://bafybeicgtrhjweckx2vfwtyokcngfyecfczyi234bo576emk7czddpc2du.ipfs.nftstorage.link?CALVI_12.mp4</v>
      </c>
      <c r="BC15" t="str">
        <f>Tokens!BE17</f>
        <v>mp4</v>
      </c>
      <c r="BD15">
        <f>Tokens!BF17</f>
        <v>0</v>
      </c>
      <c r="BE15">
        <f>Tokens!BG17</f>
        <v>0</v>
      </c>
      <c r="BF15">
        <f>Tokens!BH17</f>
        <v>0</v>
      </c>
      <c r="BG15">
        <f>Tokens!BI17</f>
        <v>0</v>
      </c>
      <c r="BH15" t="str">
        <f>Tokens!BJ17</f>
        <v>A Madonna Di A Sierra</v>
      </c>
      <c r="BI15" t="str">
        <f>Tokens!BK17</f>
        <v>Calvi On The Rocks</v>
      </c>
    </row>
    <row r="16" spans="1:61" x14ac:dyDescent="0.25">
      <c r="A16" t="str">
        <f>Tokens!C18</f>
        <v>A Madonna Di A Sierra #15</v>
      </c>
      <c r="B16" t="str">
        <f>Tokens!D18</f>
        <v>COR22B15</v>
      </c>
      <c r="C16" t="str">
        <f>Tokens!E18</f>
        <v>A Madonna Di A Sierra, 3 ans - Pass NFT 5 jours pour 2 personnes, valable pour 3 éditions Calvi On The Rocks de votre choix.</v>
      </c>
      <c r="D16">
        <f>Tokens!F18</f>
        <v>1000</v>
      </c>
      <c r="E16" t="str">
        <f>Tokens!G18</f>
        <v>https://bafybeihquo7xmb5y3apdxfw3wfboct2z3bnyavotl3gt5vtpi5vsrebuby.ipfs.nftstorage.link?visual5.png</v>
      </c>
      <c r="F16" t="str">
        <f>Tokens!H18</f>
        <v>NfluenT for Calvi On The rocks</v>
      </c>
      <c r="G16">
        <f>Tokens!I18</f>
        <v>0</v>
      </c>
      <c r="H16" t="str">
        <f>Tokens!J18</f>
        <v>Pass festival</v>
      </c>
      <c r="I16" t="str">
        <f>Tokens!K18</f>
        <v>pour deux(2) personnes</v>
      </c>
      <c r="J16" t="str">
        <f>Tokens!L18</f>
        <v>Edition1</v>
      </c>
      <c r="K16">
        <f>Tokens!M18</f>
        <v>2</v>
      </c>
      <c r="L16" t="str">
        <f>Tokens!N18</f>
        <v>Edition2</v>
      </c>
      <c r="M16">
        <f>Tokens!O18</f>
        <v>2</v>
      </c>
      <c r="N16" t="str">
        <f>Tokens!P18</f>
        <v>Edition3</v>
      </c>
      <c r="O16">
        <f>Tokens!Q18</f>
        <v>2</v>
      </c>
      <c r="P16">
        <f>Tokens!R18</f>
        <v>0</v>
      </c>
      <c r="Q16">
        <f>Tokens!S18</f>
        <v>0</v>
      </c>
      <c r="R16">
        <f>Tokens!T18</f>
        <v>0</v>
      </c>
      <c r="S16">
        <f>Tokens!U18</f>
        <v>0</v>
      </c>
      <c r="T16" t="str">
        <f>Tokens!V18</f>
        <v>Dernière utilisation</v>
      </c>
      <c r="U16">
        <f>Tokens!W18</f>
        <v>0</v>
      </c>
      <c r="V16">
        <f>Tokens!X18</f>
        <v>0</v>
      </c>
      <c r="W16">
        <f>Tokens!Y18</f>
        <v>0</v>
      </c>
      <c r="X16" t="str">
        <f>Tokens!Z18</f>
        <v>avantage1</v>
      </c>
      <c r="Y16" t="str">
        <f>Tokens!AA18</f>
        <v>accès pour deux (2) personnes à un (1) événement partenaire officiel de Calvi on the Rocks</v>
      </c>
      <c r="Z16">
        <f>Tokens!AB18</f>
        <v>0</v>
      </c>
      <c r="AA16">
        <f>Tokens!AC18</f>
        <v>0</v>
      </c>
      <c r="AB16">
        <f>Tokens!AD18</f>
        <v>0</v>
      </c>
      <c r="AC16">
        <f>Tokens!AE18</f>
        <v>0</v>
      </c>
      <c r="AD16" t="str">
        <f>Tokens!AF18</f>
        <v>avantage2</v>
      </c>
      <c r="AE16" t="str">
        <f>Tokens!AG18</f>
        <v>invitation à la “Soirée off” réservée aux membres NFT pour deux (2) personnes</v>
      </c>
      <c r="AF16" t="str">
        <f>Tokens!AH18</f>
        <v>avantage3</v>
      </c>
      <c r="AG16" t="str">
        <f>Tokens!AI18</f>
        <v>accès membre pour les after party officielles pour deux (2) personnes</v>
      </c>
      <c r="AH16" t="str">
        <f>Tokens!AJ18</f>
        <v>avantage4</v>
      </c>
      <c r="AI16" t="str">
        <f>Tokens!AK18</f>
        <v>accès prioritaire et bar dédié (consommation à la charge du festivalier) - tables réservées à l'avance pour les « NFT member » pour deux (2) personnes</v>
      </c>
      <c r="AJ16" t="str">
        <f>Tokens!AL18</f>
        <v>avantage5</v>
      </c>
      <c r="AK16" t="str">
        <f>Tokens!AM18</f>
        <v>1 affiche numérotée (quelques unes seront signées au hasard)</v>
      </c>
      <c r="AL16">
        <f>Tokens!AN18</f>
        <v>0</v>
      </c>
      <c r="AM16">
        <f>Tokens!AO18</f>
        <v>0</v>
      </c>
      <c r="AN16">
        <f>Tokens!AP18</f>
        <v>0</v>
      </c>
      <c r="AO16">
        <f>Tokens!AQ18</f>
        <v>0</v>
      </c>
      <c r="AP16">
        <f>Tokens!AR18</f>
        <v>0</v>
      </c>
      <c r="AQ16">
        <f>Tokens!AS18</f>
        <v>0</v>
      </c>
      <c r="AR16">
        <f>Tokens!AT18</f>
        <v>0</v>
      </c>
      <c r="AS16">
        <f>Tokens!AU18</f>
        <v>0</v>
      </c>
      <c r="AT16" t="str">
        <f>Tokens!AV18</f>
        <v>Validation</v>
      </c>
      <c r="AU16" t="str">
        <f>Tokens!AW18</f>
        <v>https://tokensol.nfluent.io?s=COR22B15&amp;platform=ftx</v>
      </c>
      <c r="AV16" t="str">
        <f>Tokens!AX18</f>
        <v>paul</v>
      </c>
      <c r="AW16">
        <f>Tokens!AY18</f>
        <v>10</v>
      </c>
      <c r="AX16" t="str">
        <f>Tokens!AZ18</f>
        <v>sophie</v>
      </c>
      <c r="AY16">
        <f>Tokens!BA18</f>
        <v>90</v>
      </c>
      <c r="AZ16">
        <f>Tokens!BB18</f>
        <v>0</v>
      </c>
      <c r="BA16">
        <f>Tokens!BC18</f>
        <v>0</v>
      </c>
      <c r="BB16" t="str">
        <f>Tokens!BD18</f>
        <v>https://bafybeicgtrhjweckx2vfwtyokcngfyecfczyi234bo576emk7czddpc2du.ipfs.nftstorage.link?CALVI_12.mp4</v>
      </c>
      <c r="BC16" t="str">
        <f>Tokens!BE18</f>
        <v>mp4</v>
      </c>
      <c r="BD16">
        <f>Tokens!BF18</f>
        <v>0</v>
      </c>
      <c r="BE16">
        <f>Tokens!BG18</f>
        <v>0</v>
      </c>
      <c r="BF16">
        <f>Tokens!BH18</f>
        <v>0</v>
      </c>
      <c r="BG16">
        <f>Tokens!BI18</f>
        <v>0</v>
      </c>
      <c r="BH16" t="str">
        <f>Tokens!BJ18</f>
        <v>A Madonna Di A Sierra</v>
      </c>
      <c r="BI16" t="str">
        <f>Tokens!BK18</f>
        <v>Calvi On The Rocks</v>
      </c>
    </row>
    <row r="17" spans="1:61" x14ac:dyDescent="0.25">
      <c r="A17" t="str">
        <f>Tokens!C19</f>
        <v>A Madonna Di A Sierra #16</v>
      </c>
      <c r="B17" t="str">
        <f>Tokens!D19</f>
        <v>COR22B16</v>
      </c>
      <c r="C17" t="str">
        <f>Tokens!E19</f>
        <v>A Madonna Di A Sierra, 3 ans - Pass NFT 5 jours pour 2 personnes, valable pour 3 éditions Calvi On The Rocks de votre choix.</v>
      </c>
      <c r="D17">
        <f>Tokens!F19</f>
        <v>1000</v>
      </c>
      <c r="E17" t="str">
        <f>Tokens!G19</f>
        <v>https://bafybeiewmb5atvf6zvl324kkph6rcuijkprir3uynsop6cgllpb6hwy6eu.ipfs.nftstorage.link?visual6.png</v>
      </c>
      <c r="F17" t="str">
        <f>Tokens!H19</f>
        <v>NfluenT for Calvi On The rocks</v>
      </c>
      <c r="G17">
        <f>Tokens!I19</f>
        <v>0</v>
      </c>
      <c r="H17" t="str">
        <f>Tokens!J19</f>
        <v>Pass festival</v>
      </c>
      <c r="I17" t="str">
        <f>Tokens!K19</f>
        <v>pour deux(2) personnes</v>
      </c>
      <c r="J17" t="str">
        <f>Tokens!L19</f>
        <v>Edition1</v>
      </c>
      <c r="K17">
        <f>Tokens!M19</f>
        <v>2</v>
      </c>
      <c r="L17" t="str">
        <f>Tokens!N19</f>
        <v>Edition2</v>
      </c>
      <c r="M17">
        <f>Tokens!O19</f>
        <v>2</v>
      </c>
      <c r="N17" t="str">
        <f>Tokens!P19</f>
        <v>Edition3</v>
      </c>
      <c r="O17">
        <f>Tokens!Q19</f>
        <v>2</v>
      </c>
      <c r="P17">
        <f>Tokens!R19</f>
        <v>0</v>
      </c>
      <c r="Q17">
        <f>Tokens!S19</f>
        <v>0</v>
      </c>
      <c r="R17">
        <f>Tokens!T19</f>
        <v>0</v>
      </c>
      <c r="S17">
        <f>Tokens!U19</f>
        <v>0</v>
      </c>
      <c r="T17" t="str">
        <f>Tokens!V19</f>
        <v>Dernière utilisation</v>
      </c>
      <c r="U17">
        <f>Tokens!W19</f>
        <v>0</v>
      </c>
      <c r="V17">
        <f>Tokens!X19</f>
        <v>0</v>
      </c>
      <c r="W17">
        <f>Tokens!Y19</f>
        <v>0</v>
      </c>
      <c r="X17" t="str">
        <f>Tokens!Z19</f>
        <v>avantage1</v>
      </c>
      <c r="Y17" t="str">
        <f>Tokens!AA19</f>
        <v>accès pour deux (2) personnes à un (1) événement partenaire officiel de Calvi on the Rocks</v>
      </c>
      <c r="Z17">
        <f>Tokens!AB19</f>
        <v>0</v>
      </c>
      <c r="AA17">
        <f>Tokens!AC19</f>
        <v>0</v>
      </c>
      <c r="AB17">
        <f>Tokens!AD19</f>
        <v>0</v>
      </c>
      <c r="AC17">
        <f>Tokens!AE19</f>
        <v>0</v>
      </c>
      <c r="AD17" t="str">
        <f>Tokens!AF19</f>
        <v>avantage2</v>
      </c>
      <c r="AE17" t="str">
        <f>Tokens!AG19</f>
        <v>invitation à la “Soirée off” réservée aux membres NFT pour deux (2) personnes</v>
      </c>
      <c r="AF17" t="str">
        <f>Tokens!AH19</f>
        <v>avantage3</v>
      </c>
      <c r="AG17" t="str">
        <f>Tokens!AI19</f>
        <v>accès membre pour les after party officielles pour deux (2) personnes</v>
      </c>
      <c r="AH17" t="str">
        <f>Tokens!AJ19</f>
        <v>avantage4</v>
      </c>
      <c r="AI17" t="str">
        <f>Tokens!AK19</f>
        <v>accès prioritaire et bar dédié (consommation à la charge du festivalier) - tables réservées à l'avance pour les « NFT member » pour deux (2) personnes</v>
      </c>
      <c r="AJ17" t="str">
        <f>Tokens!AL19</f>
        <v>avantage5</v>
      </c>
      <c r="AK17" t="str">
        <f>Tokens!AM19</f>
        <v>1 affiche numérotée (quelques unes seront signées au hasard)</v>
      </c>
      <c r="AL17">
        <f>Tokens!AN19</f>
        <v>0</v>
      </c>
      <c r="AM17">
        <f>Tokens!AO19</f>
        <v>0</v>
      </c>
      <c r="AN17">
        <f>Tokens!AP19</f>
        <v>0</v>
      </c>
      <c r="AO17">
        <f>Tokens!AQ19</f>
        <v>0</v>
      </c>
      <c r="AP17">
        <f>Tokens!AR19</f>
        <v>0</v>
      </c>
      <c r="AQ17">
        <f>Tokens!AS19</f>
        <v>0</v>
      </c>
      <c r="AR17">
        <f>Tokens!AT19</f>
        <v>0</v>
      </c>
      <c r="AS17">
        <f>Tokens!AU19</f>
        <v>0</v>
      </c>
      <c r="AT17" t="str">
        <f>Tokens!AV19</f>
        <v>Validation</v>
      </c>
      <c r="AU17" t="str">
        <f>Tokens!AW19</f>
        <v>https://tokensol.nfluent.io?s=COR22B16&amp;platform=ftx</v>
      </c>
      <c r="AV17" t="str">
        <f>Tokens!AX19</f>
        <v>paul</v>
      </c>
      <c r="AW17">
        <f>Tokens!AY19</f>
        <v>10</v>
      </c>
      <c r="AX17" t="str">
        <f>Tokens!AZ19</f>
        <v>sophie</v>
      </c>
      <c r="AY17">
        <f>Tokens!BA19</f>
        <v>90</v>
      </c>
      <c r="AZ17">
        <f>Tokens!BB19</f>
        <v>0</v>
      </c>
      <c r="BA17">
        <f>Tokens!BC19</f>
        <v>0</v>
      </c>
      <c r="BB17" t="str">
        <f>Tokens!BD19</f>
        <v>https://bafybeicgtrhjweckx2vfwtyokcngfyecfczyi234bo576emk7czddpc2du.ipfs.nftstorage.link?CALVI_12.mp4</v>
      </c>
      <c r="BC17" t="str">
        <f>Tokens!BE19</f>
        <v>mp4</v>
      </c>
      <c r="BD17">
        <f>Tokens!BF19</f>
        <v>0</v>
      </c>
      <c r="BE17">
        <f>Tokens!BG19</f>
        <v>0</v>
      </c>
      <c r="BF17">
        <f>Tokens!BH19</f>
        <v>0</v>
      </c>
      <c r="BG17">
        <f>Tokens!BI19</f>
        <v>0</v>
      </c>
      <c r="BH17" t="str">
        <f>Tokens!BJ19</f>
        <v>A Madonna Di A Sierra</v>
      </c>
      <c r="BI17" t="str">
        <f>Tokens!BK19</f>
        <v>Calvi On The Rocks</v>
      </c>
    </row>
    <row r="18" spans="1:61" x14ac:dyDescent="0.25">
      <c r="A18" t="str">
        <f>Tokens!C20</f>
        <v>A Madonna Di A Sierra #17</v>
      </c>
      <c r="B18" t="str">
        <f>Tokens!D20</f>
        <v>COR22B17</v>
      </c>
      <c r="C18" t="str">
        <f>Tokens!E20</f>
        <v>A Madonna Di A Sierra, 3 ans - Pass NFT 5 jours pour 2 personnes, valable pour 3 éditions Calvi On The Rocks de votre choix.</v>
      </c>
      <c r="D18">
        <f>Tokens!F20</f>
        <v>1000</v>
      </c>
      <c r="E18" t="str">
        <f>Tokens!G20</f>
        <v>https://bafybeig3tvhw4itgclr2le52crere763ke7lfnxypvmz5crwl5cajysb4m.ipfs.nftstorage.link?visual7.png</v>
      </c>
      <c r="F18" t="str">
        <f>Tokens!H20</f>
        <v>NfluenT for Calvi On The rocks</v>
      </c>
      <c r="G18">
        <f>Tokens!I20</f>
        <v>0</v>
      </c>
      <c r="H18" t="str">
        <f>Tokens!J20</f>
        <v>Pass festival</v>
      </c>
      <c r="I18" t="str">
        <f>Tokens!K20</f>
        <v>pour deux(2) personnes</v>
      </c>
      <c r="J18" t="str">
        <f>Tokens!L20</f>
        <v>Edition1</v>
      </c>
      <c r="K18">
        <f>Tokens!M20</f>
        <v>2</v>
      </c>
      <c r="L18" t="str">
        <f>Tokens!N20</f>
        <v>Edition2</v>
      </c>
      <c r="M18">
        <f>Tokens!O20</f>
        <v>2</v>
      </c>
      <c r="N18" t="str">
        <f>Tokens!P20</f>
        <v>Edition3</v>
      </c>
      <c r="O18">
        <f>Tokens!Q20</f>
        <v>2</v>
      </c>
      <c r="P18">
        <f>Tokens!R20</f>
        <v>0</v>
      </c>
      <c r="Q18">
        <f>Tokens!S20</f>
        <v>0</v>
      </c>
      <c r="R18">
        <f>Tokens!T20</f>
        <v>0</v>
      </c>
      <c r="S18">
        <f>Tokens!U20</f>
        <v>0</v>
      </c>
      <c r="T18" t="str">
        <f>Tokens!V20</f>
        <v>Dernière utilisation</v>
      </c>
      <c r="U18">
        <f>Tokens!W20</f>
        <v>0</v>
      </c>
      <c r="V18">
        <f>Tokens!X20</f>
        <v>0</v>
      </c>
      <c r="W18">
        <f>Tokens!Y20</f>
        <v>0</v>
      </c>
      <c r="X18" t="str">
        <f>Tokens!Z20</f>
        <v>avantage1</v>
      </c>
      <c r="Y18" t="str">
        <f>Tokens!AA20</f>
        <v>accès pour deux (2) personnes à un (1) événement partenaire officiel de Calvi on the Rocks</v>
      </c>
      <c r="Z18">
        <f>Tokens!AB20</f>
        <v>0</v>
      </c>
      <c r="AA18">
        <f>Tokens!AC20</f>
        <v>0</v>
      </c>
      <c r="AB18">
        <f>Tokens!AD20</f>
        <v>0</v>
      </c>
      <c r="AC18">
        <f>Tokens!AE20</f>
        <v>0</v>
      </c>
      <c r="AD18" t="str">
        <f>Tokens!AF20</f>
        <v>avantage2</v>
      </c>
      <c r="AE18" t="str">
        <f>Tokens!AG20</f>
        <v>invitation à la “Soirée off” réservée aux membres NFT pour deux (2) personnes</v>
      </c>
      <c r="AF18" t="str">
        <f>Tokens!AH20</f>
        <v>avantage3</v>
      </c>
      <c r="AG18" t="str">
        <f>Tokens!AI20</f>
        <v>accès membre pour les after party officielles pour deux (2) personnes</v>
      </c>
      <c r="AH18" t="str">
        <f>Tokens!AJ20</f>
        <v>avantage4</v>
      </c>
      <c r="AI18" t="str">
        <f>Tokens!AK20</f>
        <v>accès prioritaire et bar dédié (consommation à la charge du festivalier) - tables réservées à l'avance pour les « NFT member » pour deux (2) personnes</v>
      </c>
      <c r="AJ18" t="str">
        <f>Tokens!AL20</f>
        <v>avantage5</v>
      </c>
      <c r="AK18" t="str">
        <f>Tokens!AM20</f>
        <v>1 affiche numérotée (quelques unes seront signées au hasard)</v>
      </c>
      <c r="AL18">
        <f>Tokens!AN20</f>
        <v>0</v>
      </c>
      <c r="AM18">
        <f>Tokens!AO20</f>
        <v>0</v>
      </c>
      <c r="AN18">
        <f>Tokens!AP20</f>
        <v>0</v>
      </c>
      <c r="AO18">
        <f>Tokens!AQ20</f>
        <v>0</v>
      </c>
      <c r="AP18">
        <f>Tokens!AR20</f>
        <v>0</v>
      </c>
      <c r="AQ18">
        <f>Tokens!AS20</f>
        <v>0</v>
      </c>
      <c r="AR18">
        <f>Tokens!AT20</f>
        <v>0</v>
      </c>
      <c r="AS18">
        <f>Tokens!AU20</f>
        <v>0</v>
      </c>
      <c r="AT18" t="str">
        <f>Tokens!AV20</f>
        <v>Validation</v>
      </c>
      <c r="AU18" t="str">
        <f>Tokens!AW20</f>
        <v>https://tokensol.nfluent.io?s=COR22B17&amp;platform=ftx</v>
      </c>
      <c r="AV18" t="str">
        <f>Tokens!AX20</f>
        <v>paul</v>
      </c>
      <c r="AW18">
        <f>Tokens!AY20</f>
        <v>10</v>
      </c>
      <c r="AX18" t="str">
        <f>Tokens!AZ20</f>
        <v>sophie</v>
      </c>
      <c r="AY18">
        <f>Tokens!BA20</f>
        <v>90</v>
      </c>
      <c r="AZ18">
        <f>Tokens!BB20</f>
        <v>0</v>
      </c>
      <c r="BA18">
        <f>Tokens!BC20</f>
        <v>0</v>
      </c>
      <c r="BB18" t="str">
        <f>Tokens!BD20</f>
        <v>https://bafybeicgtrhjweckx2vfwtyokcngfyecfczyi234bo576emk7czddpc2du.ipfs.nftstorage.link?CALVI_12.mp4</v>
      </c>
      <c r="BC18" t="str">
        <f>Tokens!BE20</f>
        <v>mp4</v>
      </c>
      <c r="BD18">
        <f>Tokens!BF20</f>
        <v>0</v>
      </c>
      <c r="BE18">
        <f>Tokens!BG20</f>
        <v>0</v>
      </c>
      <c r="BF18">
        <f>Tokens!BH20</f>
        <v>0</v>
      </c>
      <c r="BG18">
        <f>Tokens!BI20</f>
        <v>0</v>
      </c>
      <c r="BH18" t="str">
        <f>Tokens!BJ20</f>
        <v>A Madonna Di A Sierra</v>
      </c>
      <c r="BI18" t="str">
        <f>Tokens!BK20</f>
        <v>Calvi On The Rocks</v>
      </c>
    </row>
    <row r="19" spans="1:61" x14ac:dyDescent="0.25">
      <c r="A19" t="str">
        <f>Tokens!C21</f>
        <v>A Madonna Di A Sierra #18</v>
      </c>
      <c r="B19" t="str">
        <f>Tokens!D21</f>
        <v>COR22B18</v>
      </c>
      <c r="C19" t="str">
        <f>Tokens!E21</f>
        <v>A Madonna Di A Sierra, 3 ans - Pass NFT 5 jours pour 2 personnes, valable pour 3 éditions Calvi On The Rocks de votre choix.</v>
      </c>
      <c r="D19">
        <f>Tokens!F21</f>
        <v>1000</v>
      </c>
      <c r="E19" t="str">
        <f>Tokens!G21</f>
        <v>https://bafybeic5znowrptwkhveqscavyfxeac2esdyoinoz7b55zupkxz7upz7fm.ipfs.nftstorage.link?visual8.png</v>
      </c>
      <c r="F19" t="str">
        <f>Tokens!H21</f>
        <v>NfluenT for Calvi On The rocks</v>
      </c>
      <c r="G19">
        <f>Tokens!I21</f>
        <v>0</v>
      </c>
      <c r="H19" t="str">
        <f>Tokens!J21</f>
        <v>Pass festival</v>
      </c>
      <c r="I19" t="str">
        <f>Tokens!K21</f>
        <v>pour deux(2) personnes</v>
      </c>
      <c r="J19" t="str">
        <f>Tokens!L21</f>
        <v>Edition1</v>
      </c>
      <c r="K19">
        <f>Tokens!M21</f>
        <v>2</v>
      </c>
      <c r="L19" t="str">
        <f>Tokens!N21</f>
        <v>Edition2</v>
      </c>
      <c r="M19">
        <f>Tokens!O21</f>
        <v>2</v>
      </c>
      <c r="N19" t="str">
        <f>Tokens!P21</f>
        <v>Edition3</v>
      </c>
      <c r="O19">
        <f>Tokens!Q21</f>
        <v>2</v>
      </c>
      <c r="P19">
        <f>Tokens!R21</f>
        <v>0</v>
      </c>
      <c r="Q19">
        <f>Tokens!S21</f>
        <v>0</v>
      </c>
      <c r="R19">
        <f>Tokens!T21</f>
        <v>0</v>
      </c>
      <c r="S19">
        <f>Tokens!U21</f>
        <v>0</v>
      </c>
      <c r="T19" t="str">
        <f>Tokens!V21</f>
        <v>Dernière utilisation</v>
      </c>
      <c r="U19">
        <f>Tokens!W21</f>
        <v>0</v>
      </c>
      <c r="V19">
        <f>Tokens!X21</f>
        <v>0</v>
      </c>
      <c r="W19">
        <f>Tokens!Y21</f>
        <v>0</v>
      </c>
      <c r="X19" t="str">
        <f>Tokens!Z21</f>
        <v>avantage1</v>
      </c>
      <c r="Y19" t="str">
        <f>Tokens!AA21</f>
        <v>accès pour deux (2) personnes à un (1) événement partenaire officiel de Calvi on the Rocks</v>
      </c>
      <c r="Z19">
        <f>Tokens!AB21</f>
        <v>0</v>
      </c>
      <c r="AA19">
        <f>Tokens!AC21</f>
        <v>0</v>
      </c>
      <c r="AB19">
        <f>Tokens!AD21</f>
        <v>0</v>
      </c>
      <c r="AC19">
        <f>Tokens!AE21</f>
        <v>0</v>
      </c>
      <c r="AD19" t="str">
        <f>Tokens!AF21</f>
        <v>avantage2</v>
      </c>
      <c r="AE19" t="str">
        <f>Tokens!AG21</f>
        <v>invitation à la “Soirée off” réservée aux membres NFT pour deux (2) personnes</v>
      </c>
      <c r="AF19" t="str">
        <f>Tokens!AH21</f>
        <v>avantage3</v>
      </c>
      <c r="AG19" t="str">
        <f>Tokens!AI21</f>
        <v>accès membre pour les after party officielles pour deux (2) personnes</v>
      </c>
      <c r="AH19" t="str">
        <f>Tokens!AJ21</f>
        <v>avantage4</v>
      </c>
      <c r="AI19" t="str">
        <f>Tokens!AK21</f>
        <v>accès prioritaire et bar dédié (consommation à la charge du festivalier) - tables réservées à l'avance pour les « NFT member » pour deux (2) personnes</v>
      </c>
      <c r="AJ19" t="str">
        <f>Tokens!AL21</f>
        <v>avantage5</v>
      </c>
      <c r="AK19" t="str">
        <f>Tokens!AM21</f>
        <v>1 affiche numérotée (quelques unes seront signées au hasard)</v>
      </c>
      <c r="AL19">
        <f>Tokens!AN21</f>
        <v>0</v>
      </c>
      <c r="AM19">
        <f>Tokens!AO21</f>
        <v>0</v>
      </c>
      <c r="AN19">
        <f>Tokens!AP21</f>
        <v>0</v>
      </c>
      <c r="AO19">
        <f>Tokens!AQ21</f>
        <v>0</v>
      </c>
      <c r="AP19">
        <f>Tokens!AR21</f>
        <v>0</v>
      </c>
      <c r="AQ19">
        <f>Tokens!AS21</f>
        <v>0</v>
      </c>
      <c r="AR19">
        <f>Tokens!AT21</f>
        <v>0</v>
      </c>
      <c r="AS19">
        <f>Tokens!AU21</f>
        <v>0</v>
      </c>
      <c r="AT19" t="str">
        <f>Tokens!AV21</f>
        <v>Validation</v>
      </c>
      <c r="AU19" t="str">
        <f>Tokens!AW21</f>
        <v>https://tokensol.nfluent.io?s=COR22B18&amp;platform=ftx</v>
      </c>
      <c r="AV19" t="str">
        <f>Tokens!AX21</f>
        <v>paul</v>
      </c>
      <c r="AW19">
        <f>Tokens!AY21</f>
        <v>10</v>
      </c>
      <c r="AX19" t="str">
        <f>Tokens!AZ21</f>
        <v>sophie</v>
      </c>
      <c r="AY19">
        <f>Tokens!BA21</f>
        <v>90</v>
      </c>
      <c r="AZ19">
        <f>Tokens!BB21</f>
        <v>0</v>
      </c>
      <c r="BA19">
        <f>Tokens!BC21</f>
        <v>0</v>
      </c>
      <c r="BB19" t="str">
        <f>Tokens!BD21</f>
        <v>https://bafybeicgtrhjweckx2vfwtyokcngfyecfczyi234bo576emk7czddpc2du.ipfs.nftstorage.link?CALVI_12.mp4</v>
      </c>
      <c r="BC19" t="str">
        <f>Tokens!BE21</f>
        <v>mp4</v>
      </c>
      <c r="BD19">
        <f>Tokens!BF21</f>
        <v>0</v>
      </c>
      <c r="BE19">
        <f>Tokens!BG21</f>
        <v>0</v>
      </c>
      <c r="BF19">
        <f>Tokens!BH21</f>
        <v>0</v>
      </c>
      <c r="BG19">
        <f>Tokens!BI21</f>
        <v>0</v>
      </c>
      <c r="BH19" t="str">
        <f>Tokens!BJ21</f>
        <v>A Madonna Di A Sierra</v>
      </c>
      <c r="BI19" t="str">
        <f>Tokens!BK21</f>
        <v>Calvi On The Rocks</v>
      </c>
    </row>
    <row r="20" spans="1:61" x14ac:dyDescent="0.25">
      <c r="A20" t="str">
        <f>Tokens!C22</f>
        <v>A Madonna Di A Sierra #19</v>
      </c>
      <c r="B20" t="str">
        <f>Tokens!D22</f>
        <v>COR22B19</v>
      </c>
      <c r="C20" t="str">
        <f>Tokens!E22</f>
        <v>A Madonna Di A Sierra, 3 ans - Pass NFT 5 jours pour 2 personnes, valable pour 3 éditions Calvi On The Rocks de votre choix.</v>
      </c>
      <c r="D20">
        <f>Tokens!F22</f>
        <v>1000</v>
      </c>
      <c r="E20" t="str">
        <f>Tokens!G22</f>
        <v>https://bafybeiejo4yxjzn4db52kudg4f44q5pagvrtmc2bzmryonrevo4ygfaeem.ipfs.nftstorage.link?visual9.png</v>
      </c>
      <c r="F20" t="str">
        <f>Tokens!H22</f>
        <v>NfluenT for Calvi On The rocks</v>
      </c>
      <c r="G20">
        <f>Tokens!I22</f>
        <v>0</v>
      </c>
      <c r="H20" t="str">
        <f>Tokens!J22</f>
        <v>Pass festival</v>
      </c>
      <c r="I20" t="str">
        <f>Tokens!K22</f>
        <v>pour deux(2) personnes</v>
      </c>
      <c r="J20" t="str">
        <f>Tokens!L22</f>
        <v>Edition1</v>
      </c>
      <c r="K20">
        <f>Tokens!M22</f>
        <v>2</v>
      </c>
      <c r="L20" t="str">
        <f>Tokens!N22</f>
        <v>Edition2</v>
      </c>
      <c r="M20">
        <f>Tokens!O22</f>
        <v>2</v>
      </c>
      <c r="N20" t="str">
        <f>Tokens!P22</f>
        <v>Edition3</v>
      </c>
      <c r="O20">
        <f>Tokens!Q22</f>
        <v>2</v>
      </c>
      <c r="P20">
        <f>Tokens!R22</f>
        <v>0</v>
      </c>
      <c r="Q20">
        <f>Tokens!S22</f>
        <v>0</v>
      </c>
      <c r="R20">
        <f>Tokens!T22</f>
        <v>0</v>
      </c>
      <c r="S20">
        <f>Tokens!U22</f>
        <v>0</v>
      </c>
      <c r="T20" t="str">
        <f>Tokens!V22</f>
        <v>Dernière utilisation</v>
      </c>
      <c r="U20">
        <f>Tokens!W22</f>
        <v>0</v>
      </c>
      <c r="V20">
        <f>Tokens!X22</f>
        <v>0</v>
      </c>
      <c r="W20">
        <f>Tokens!Y22</f>
        <v>0</v>
      </c>
      <c r="X20" t="str">
        <f>Tokens!Z22</f>
        <v>avantage1</v>
      </c>
      <c r="Y20" t="str">
        <f>Tokens!AA22</f>
        <v>accès pour deux (2) personnes à un (1) événement partenaire officiel de Calvi on the Rocks</v>
      </c>
      <c r="Z20">
        <f>Tokens!AB22</f>
        <v>0</v>
      </c>
      <c r="AA20">
        <f>Tokens!AC22</f>
        <v>0</v>
      </c>
      <c r="AB20">
        <f>Tokens!AD22</f>
        <v>0</v>
      </c>
      <c r="AC20">
        <f>Tokens!AE22</f>
        <v>0</v>
      </c>
      <c r="AD20" t="str">
        <f>Tokens!AF22</f>
        <v>avantage2</v>
      </c>
      <c r="AE20" t="str">
        <f>Tokens!AG22</f>
        <v>invitation à la “Soirée off” réservée aux membres NFT pour deux (2) personnes</v>
      </c>
      <c r="AF20" t="str">
        <f>Tokens!AH22</f>
        <v>avantage3</v>
      </c>
      <c r="AG20" t="str">
        <f>Tokens!AI22</f>
        <v>accès membre pour les after party officielles pour deux (2) personnes</v>
      </c>
      <c r="AH20" t="str">
        <f>Tokens!AJ22</f>
        <v>avantage4</v>
      </c>
      <c r="AI20" t="str">
        <f>Tokens!AK22</f>
        <v>accès prioritaire et bar dédié (consommation à la charge du festivalier) - tables réservées à l'avance pour les « NFT member » pour deux (2) personnes</v>
      </c>
      <c r="AJ20" t="str">
        <f>Tokens!AL22</f>
        <v>avantage5</v>
      </c>
      <c r="AK20" t="str">
        <f>Tokens!AM22</f>
        <v>1 affiche numérotée (quelques unes seront signées au hasard)</v>
      </c>
      <c r="AL20">
        <f>Tokens!AN22</f>
        <v>0</v>
      </c>
      <c r="AM20">
        <f>Tokens!AO22</f>
        <v>0</v>
      </c>
      <c r="AN20">
        <f>Tokens!AP22</f>
        <v>0</v>
      </c>
      <c r="AO20">
        <f>Tokens!AQ22</f>
        <v>0</v>
      </c>
      <c r="AP20">
        <f>Tokens!AR22</f>
        <v>0</v>
      </c>
      <c r="AQ20">
        <f>Tokens!AS22</f>
        <v>0</v>
      </c>
      <c r="AR20">
        <f>Tokens!AT22</f>
        <v>0</v>
      </c>
      <c r="AS20">
        <f>Tokens!AU22</f>
        <v>0</v>
      </c>
      <c r="AT20" t="str">
        <f>Tokens!AV22</f>
        <v>Validation</v>
      </c>
      <c r="AU20" t="str">
        <f>Tokens!AW22</f>
        <v>https://tokensol.nfluent.io?s=COR22B19&amp;platform=ftx</v>
      </c>
      <c r="AV20" t="str">
        <f>Tokens!AX22</f>
        <v>paul</v>
      </c>
      <c r="AW20">
        <f>Tokens!AY22</f>
        <v>10</v>
      </c>
      <c r="AX20" t="str">
        <f>Tokens!AZ22</f>
        <v>sophie</v>
      </c>
      <c r="AY20">
        <f>Tokens!BA22</f>
        <v>90</v>
      </c>
      <c r="AZ20">
        <f>Tokens!BB22</f>
        <v>0</v>
      </c>
      <c r="BA20">
        <f>Tokens!BC22</f>
        <v>0</v>
      </c>
      <c r="BB20" t="str">
        <f>Tokens!BD22</f>
        <v>https://bafybeicgtrhjweckx2vfwtyokcngfyecfczyi234bo576emk7czddpc2du.ipfs.nftstorage.link?CALVI_12.mp4</v>
      </c>
      <c r="BC20" t="str">
        <f>Tokens!BE22</f>
        <v>mp4</v>
      </c>
      <c r="BD20">
        <f>Tokens!BF22</f>
        <v>0</v>
      </c>
      <c r="BE20">
        <f>Tokens!BG22</f>
        <v>0</v>
      </c>
      <c r="BF20">
        <f>Tokens!BH22</f>
        <v>0</v>
      </c>
      <c r="BG20">
        <f>Tokens!BI22</f>
        <v>0</v>
      </c>
      <c r="BH20" t="str">
        <f>Tokens!BJ22</f>
        <v>A Madonna Di A Sierra</v>
      </c>
      <c r="BI20" t="str">
        <f>Tokens!BK22</f>
        <v>Calvi On The Rocks</v>
      </c>
    </row>
    <row r="21" spans="1:61" x14ac:dyDescent="0.25">
      <c r="A21" t="str">
        <f>Tokens!C23</f>
        <v>A Madonna Di A Sierra #20</v>
      </c>
      <c r="B21" t="str">
        <f>Tokens!D23</f>
        <v>COR22B20</v>
      </c>
      <c r="C21" t="str">
        <f>Tokens!E23</f>
        <v>A Madonna Di A Sierra, 3 ans - Pass NFT 5 jours pour 2 personnes, valable pour 3 éditions Calvi On The Rocks de votre choix.</v>
      </c>
      <c r="D21">
        <f>Tokens!F23</f>
        <v>1000</v>
      </c>
      <c r="E21" t="str">
        <f>Tokens!G23</f>
        <v>https://bafybeiecfa65amihuxka6bclllcpegnh6mb7kunzokzui4z2lcyu7jr5ky.ipfs.nftstorage.link?visual10.png</v>
      </c>
      <c r="F21" t="str">
        <f>Tokens!H23</f>
        <v>NfluenT for Calvi On The rocks</v>
      </c>
      <c r="G21">
        <f>Tokens!I23</f>
        <v>0</v>
      </c>
      <c r="H21" t="str">
        <f>Tokens!J23</f>
        <v>Pass festival</v>
      </c>
      <c r="I21" t="str">
        <f>Tokens!K23</f>
        <v>pour deux(2) personnes</v>
      </c>
      <c r="J21" t="str">
        <f>Tokens!L23</f>
        <v>Edition1</v>
      </c>
      <c r="K21">
        <f>Tokens!M23</f>
        <v>2</v>
      </c>
      <c r="L21" t="str">
        <f>Tokens!N23</f>
        <v>Edition2</v>
      </c>
      <c r="M21">
        <f>Tokens!O23</f>
        <v>2</v>
      </c>
      <c r="N21" t="str">
        <f>Tokens!P23</f>
        <v>Edition3</v>
      </c>
      <c r="O21">
        <f>Tokens!Q23</f>
        <v>2</v>
      </c>
      <c r="P21">
        <f>Tokens!R23</f>
        <v>0</v>
      </c>
      <c r="Q21">
        <f>Tokens!S23</f>
        <v>0</v>
      </c>
      <c r="R21">
        <f>Tokens!T23</f>
        <v>0</v>
      </c>
      <c r="S21">
        <f>Tokens!U23</f>
        <v>0</v>
      </c>
      <c r="T21" t="str">
        <f>Tokens!V23</f>
        <v>Dernière utilisation</v>
      </c>
      <c r="U21">
        <f>Tokens!W23</f>
        <v>0</v>
      </c>
      <c r="V21">
        <f>Tokens!X23</f>
        <v>0</v>
      </c>
      <c r="W21">
        <f>Tokens!Y23</f>
        <v>0</v>
      </c>
      <c r="X21" t="str">
        <f>Tokens!Z23</f>
        <v>avantage1</v>
      </c>
      <c r="Y21" t="str">
        <f>Tokens!AA23</f>
        <v>accès pour deux (2) personnes à un (1) événement partenaire officiel de Calvi on the Rocks</v>
      </c>
      <c r="Z21">
        <f>Tokens!AB23</f>
        <v>0</v>
      </c>
      <c r="AA21">
        <f>Tokens!AC23</f>
        <v>0</v>
      </c>
      <c r="AB21">
        <f>Tokens!AD23</f>
        <v>0</v>
      </c>
      <c r="AC21">
        <f>Tokens!AE23</f>
        <v>0</v>
      </c>
      <c r="AD21" t="str">
        <f>Tokens!AF23</f>
        <v>avantage2</v>
      </c>
      <c r="AE21" t="str">
        <f>Tokens!AG23</f>
        <v>invitation à la “Soirée off” réservée aux membres NFT pour deux (2) personnes</v>
      </c>
      <c r="AF21" t="str">
        <f>Tokens!AH23</f>
        <v>avantage3</v>
      </c>
      <c r="AG21" t="str">
        <f>Tokens!AI23</f>
        <v>accès membre pour les after party officielles pour deux (2) personnes</v>
      </c>
      <c r="AH21" t="str">
        <f>Tokens!AJ23</f>
        <v>avantage4</v>
      </c>
      <c r="AI21" t="str">
        <f>Tokens!AK23</f>
        <v>accès prioritaire et bar dédié (consommation à la charge du festivalier) - tables réservées à l'avance pour les « NFT member » pour deux (2) personnes</v>
      </c>
      <c r="AJ21" t="str">
        <f>Tokens!AL23</f>
        <v>avantage5</v>
      </c>
      <c r="AK21" t="str">
        <f>Tokens!AM23</f>
        <v>1 affiche numérotée (quelques unes seront signées au hasard)</v>
      </c>
      <c r="AL21">
        <f>Tokens!AN23</f>
        <v>0</v>
      </c>
      <c r="AM21">
        <f>Tokens!AO23</f>
        <v>0</v>
      </c>
      <c r="AN21">
        <f>Tokens!AP23</f>
        <v>0</v>
      </c>
      <c r="AO21">
        <f>Tokens!AQ23</f>
        <v>0</v>
      </c>
      <c r="AP21">
        <f>Tokens!AR23</f>
        <v>0</v>
      </c>
      <c r="AQ21">
        <f>Tokens!AS23</f>
        <v>0</v>
      </c>
      <c r="AR21">
        <f>Tokens!AT23</f>
        <v>0</v>
      </c>
      <c r="AS21">
        <f>Tokens!AU23</f>
        <v>0</v>
      </c>
      <c r="AT21" t="str">
        <f>Tokens!AV23</f>
        <v>Validation</v>
      </c>
      <c r="AU21" t="str">
        <f>Tokens!AW23</f>
        <v>https://tokensol.nfluent.io?s=COR22B20&amp;platform=ftx</v>
      </c>
      <c r="AV21" t="str">
        <f>Tokens!AX23</f>
        <v>paul</v>
      </c>
      <c r="AW21">
        <f>Tokens!AY23</f>
        <v>10</v>
      </c>
      <c r="AX21" t="str">
        <f>Tokens!AZ23</f>
        <v>sophie</v>
      </c>
      <c r="AY21">
        <f>Tokens!BA23</f>
        <v>90</v>
      </c>
      <c r="AZ21">
        <f>Tokens!BB23</f>
        <v>0</v>
      </c>
      <c r="BA21">
        <f>Tokens!BC23</f>
        <v>0</v>
      </c>
      <c r="BB21" t="str">
        <f>Tokens!BD23</f>
        <v>https://bafybeicgtrhjweckx2vfwtyokcngfyecfczyi234bo576emk7czddpc2du.ipfs.nftstorage.link?CALVI_12.mp4</v>
      </c>
      <c r="BC21" t="str">
        <f>Tokens!BE23</f>
        <v>mp4</v>
      </c>
      <c r="BD21">
        <f>Tokens!BF23</f>
        <v>0</v>
      </c>
      <c r="BE21">
        <f>Tokens!BG23</f>
        <v>0</v>
      </c>
      <c r="BF21">
        <f>Tokens!BH23</f>
        <v>0</v>
      </c>
      <c r="BG21">
        <f>Tokens!BI23</f>
        <v>0</v>
      </c>
      <c r="BH21" t="str">
        <f>Tokens!BJ23</f>
        <v>A Madonna Di A Sierra</v>
      </c>
      <c r="BI21" t="str">
        <f>Tokens!BK23</f>
        <v>Calvi On The Rocks</v>
      </c>
    </row>
    <row r="22" spans="1:61" x14ac:dyDescent="0.25">
      <c r="A22" t="str">
        <f>Tokens!C24</f>
        <v>A Madonna Di A Sierra #21</v>
      </c>
      <c r="B22" t="str">
        <f>Tokens!D24</f>
        <v>COR22B21</v>
      </c>
      <c r="C22" t="str">
        <f>Tokens!E24</f>
        <v>A Madonna Di A Sierra, 3 ans - Pass NFT 5 jours pour 2 personnes, valable pour 3 éditions Calvi On The Rocks de votre choix.</v>
      </c>
      <c r="D22">
        <f>Tokens!F24</f>
        <v>1000</v>
      </c>
      <c r="E22" t="str">
        <f>Tokens!G24</f>
        <v>https://bafybeiff5rn3wrz536fog5x2ve4xht7ocfzbkwptaxmerlncrw745d4pny.ipfs.nftstorage.link?visual11.png</v>
      </c>
      <c r="F22" t="str">
        <f>Tokens!H24</f>
        <v>NfluenT for Calvi On The rocks</v>
      </c>
      <c r="G22">
        <f>Tokens!I24</f>
        <v>0</v>
      </c>
      <c r="H22" t="str">
        <f>Tokens!J24</f>
        <v>Pass festival</v>
      </c>
      <c r="I22" t="str">
        <f>Tokens!K24</f>
        <v>pour deux(2) personnes</v>
      </c>
      <c r="J22" t="str">
        <f>Tokens!L24</f>
        <v>Edition1</v>
      </c>
      <c r="K22">
        <f>Tokens!M24</f>
        <v>2</v>
      </c>
      <c r="L22" t="str">
        <f>Tokens!N24</f>
        <v>Edition2</v>
      </c>
      <c r="M22">
        <f>Tokens!O24</f>
        <v>2</v>
      </c>
      <c r="N22" t="str">
        <f>Tokens!P24</f>
        <v>Edition3</v>
      </c>
      <c r="O22">
        <f>Tokens!Q24</f>
        <v>2</v>
      </c>
      <c r="P22">
        <f>Tokens!R24</f>
        <v>0</v>
      </c>
      <c r="Q22">
        <f>Tokens!S24</f>
        <v>0</v>
      </c>
      <c r="R22">
        <f>Tokens!T24</f>
        <v>0</v>
      </c>
      <c r="S22">
        <f>Tokens!U24</f>
        <v>0</v>
      </c>
      <c r="T22" t="str">
        <f>Tokens!V24</f>
        <v>Dernière utilisation</v>
      </c>
      <c r="U22">
        <f>Tokens!W24</f>
        <v>0</v>
      </c>
      <c r="V22">
        <f>Tokens!X24</f>
        <v>0</v>
      </c>
      <c r="W22">
        <f>Tokens!Y24</f>
        <v>0</v>
      </c>
      <c r="X22" t="str">
        <f>Tokens!Z24</f>
        <v>avantage1</v>
      </c>
      <c r="Y22" t="str">
        <f>Tokens!AA24</f>
        <v>accès pour deux (2) personnes à un (1) événement partenaire officiel de Calvi on the Rocks</v>
      </c>
      <c r="Z22">
        <f>Tokens!AB24</f>
        <v>0</v>
      </c>
      <c r="AA22">
        <f>Tokens!AC24</f>
        <v>0</v>
      </c>
      <c r="AB22">
        <f>Tokens!AD24</f>
        <v>0</v>
      </c>
      <c r="AC22">
        <f>Tokens!AE24</f>
        <v>0</v>
      </c>
      <c r="AD22" t="str">
        <f>Tokens!AF24</f>
        <v>avantage2</v>
      </c>
      <c r="AE22" t="str">
        <f>Tokens!AG24</f>
        <v>invitation à la “Soirée off” réservée aux membres NFT pour deux (2) personnes</v>
      </c>
      <c r="AF22" t="str">
        <f>Tokens!AH24</f>
        <v>avantage3</v>
      </c>
      <c r="AG22" t="str">
        <f>Tokens!AI24</f>
        <v>accès membre pour les after party officielles pour deux (2) personnes</v>
      </c>
      <c r="AH22" t="str">
        <f>Tokens!AJ24</f>
        <v>avantage4</v>
      </c>
      <c r="AI22" t="str">
        <f>Tokens!AK24</f>
        <v>accès prioritaire et bar dédié (consommation à la charge du festivalier) - tables réservées à l'avance pour les « NFT member » pour deux (2) personnes</v>
      </c>
      <c r="AJ22" t="str">
        <f>Tokens!AL24</f>
        <v>avantage5</v>
      </c>
      <c r="AK22" t="str">
        <f>Tokens!AM24</f>
        <v>1 affiche numérotée (quelques unes seront signées au hasard)</v>
      </c>
      <c r="AL22">
        <f>Tokens!AN24</f>
        <v>0</v>
      </c>
      <c r="AM22">
        <f>Tokens!AO24</f>
        <v>0</v>
      </c>
      <c r="AN22">
        <f>Tokens!AP24</f>
        <v>0</v>
      </c>
      <c r="AO22">
        <f>Tokens!AQ24</f>
        <v>0</v>
      </c>
      <c r="AP22">
        <f>Tokens!AR24</f>
        <v>0</v>
      </c>
      <c r="AQ22">
        <f>Tokens!AS24</f>
        <v>0</v>
      </c>
      <c r="AR22">
        <f>Tokens!AT24</f>
        <v>0</v>
      </c>
      <c r="AS22">
        <f>Tokens!AU24</f>
        <v>0</v>
      </c>
      <c r="AT22" t="str">
        <f>Tokens!AV24</f>
        <v>Validation</v>
      </c>
      <c r="AU22" t="str">
        <f>Tokens!AW24</f>
        <v>https://tokensol.nfluent.io?s=COR22B21&amp;platform=ftx</v>
      </c>
      <c r="AV22" t="str">
        <f>Tokens!AX24</f>
        <v>paul</v>
      </c>
      <c r="AW22">
        <f>Tokens!AY24</f>
        <v>10</v>
      </c>
      <c r="AX22" t="str">
        <f>Tokens!AZ24</f>
        <v>sophie</v>
      </c>
      <c r="AY22">
        <f>Tokens!BA24</f>
        <v>90</v>
      </c>
      <c r="AZ22">
        <f>Tokens!BB24</f>
        <v>0</v>
      </c>
      <c r="BA22">
        <f>Tokens!BC24</f>
        <v>0</v>
      </c>
      <c r="BB22" t="str">
        <f>Tokens!BD24</f>
        <v>https://bafybeicgtrhjweckx2vfwtyokcngfyecfczyi234bo576emk7czddpc2du.ipfs.nftstorage.link?CALVI_12.mp4</v>
      </c>
      <c r="BC22" t="str">
        <f>Tokens!BE24</f>
        <v>mp4</v>
      </c>
      <c r="BD22">
        <f>Tokens!BF24</f>
        <v>0</v>
      </c>
      <c r="BE22">
        <f>Tokens!BG24</f>
        <v>0</v>
      </c>
      <c r="BF22">
        <f>Tokens!BH24</f>
        <v>0</v>
      </c>
      <c r="BG22">
        <f>Tokens!BI24</f>
        <v>0</v>
      </c>
      <c r="BH22" t="str">
        <f>Tokens!BJ24</f>
        <v>A Madonna Di A Sierra</v>
      </c>
      <c r="BI22" t="str">
        <f>Tokens!BK24</f>
        <v>Calvi On The Rocks</v>
      </c>
    </row>
    <row r="23" spans="1:61" x14ac:dyDescent="0.25">
      <c r="A23" t="str">
        <f>Tokens!C25</f>
        <v>A Madonna Di A Sierra #22</v>
      </c>
      <c r="B23" t="str">
        <f>Tokens!D25</f>
        <v>COR22B22</v>
      </c>
      <c r="C23" t="str">
        <f>Tokens!E25</f>
        <v>A Madonna Di A Sierra, 3 ans - Pass NFT 5 jours pour 2 personnes, valable pour 3 éditions Calvi On The Rocks de votre choix.</v>
      </c>
      <c r="D23">
        <f>Tokens!F25</f>
        <v>1000</v>
      </c>
      <c r="E23" t="str">
        <f>Tokens!G25</f>
        <v>https://bafybeifelqehdyotoskirczuxehogaghk52dacdq6lpkddo3qlsoppc7ci.ipfs.nftstorage.link?visual12.png</v>
      </c>
      <c r="F23" t="str">
        <f>Tokens!H25</f>
        <v>NfluenT for Calvi On The rocks</v>
      </c>
      <c r="G23">
        <f>Tokens!I25</f>
        <v>0</v>
      </c>
      <c r="H23" t="str">
        <f>Tokens!J25</f>
        <v>Pass festival</v>
      </c>
      <c r="I23" t="str">
        <f>Tokens!K25</f>
        <v>pour deux(2) personnes</v>
      </c>
      <c r="J23" t="str">
        <f>Tokens!L25</f>
        <v>Edition1</v>
      </c>
      <c r="K23">
        <f>Tokens!M25</f>
        <v>2</v>
      </c>
      <c r="L23" t="str">
        <f>Tokens!N25</f>
        <v>Edition2</v>
      </c>
      <c r="M23">
        <f>Tokens!O25</f>
        <v>2</v>
      </c>
      <c r="N23" t="str">
        <f>Tokens!P25</f>
        <v>Edition3</v>
      </c>
      <c r="O23">
        <f>Tokens!Q25</f>
        <v>2</v>
      </c>
      <c r="P23">
        <f>Tokens!R25</f>
        <v>0</v>
      </c>
      <c r="Q23">
        <f>Tokens!S25</f>
        <v>0</v>
      </c>
      <c r="R23">
        <f>Tokens!T25</f>
        <v>0</v>
      </c>
      <c r="S23">
        <f>Tokens!U25</f>
        <v>0</v>
      </c>
      <c r="T23" t="str">
        <f>Tokens!V25</f>
        <v>Dernière utilisation</v>
      </c>
      <c r="U23">
        <f>Tokens!W25</f>
        <v>0</v>
      </c>
      <c r="V23">
        <f>Tokens!X25</f>
        <v>0</v>
      </c>
      <c r="W23">
        <f>Tokens!Y25</f>
        <v>0</v>
      </c>
      <c r="X23" t="str">
        <f>Tokens!Z25</f>
        <v>avantage1</v>
      </c>
      <c r="Y23" t="str">
        <f>Tokens!AA25</f>
        <v>accès pour deux (2) personnes à un (1) événement partenaire officiel de Calvi on the Rocks</v>
      </c>
      <c r="Z23">
        <f>Tokens!AB25</f>
        <v>0</v>
      </c>
      <c r="AA23">
        <f>Tokens!AC25</f>
        <v>0</v>
      </c>
      <c r="AB23">
        <f>Tokens!AD25</f>
        <v>0</v>
      </c>
      <c r="AC23">
        <f>Tokens!AE25</f>
        <v>0</v>
      </c>
      <c r="AD23" t="str">
        <f>Tokens!AF25</f>
        <v>avantage2</v>
      </c>
      <c r="AE23" t="str">
        <f>Tokens!AG25</f>
        <v>invitation à la “Soirée off” réservée aux membres NFT pour deux (2) personnes</v>
      </c>
      <c r="AF23" t="str">
        <f>Tokens!AH25</f>
        <v>avantage3</v>
      </c>
      <c r="AG23" t="str">
        <f>Tokens!AI25</f>
        <v>accès membre pour les after party officielles pour deux (2) personnes</v>
      </c>
      <c r="AH23" t="str">
        <f>Tokens!AJ25</f>
        <v>avantage4</v>
      </c>
      <c r="AI23" t="str">
        <f>Tokens!AK25</f>
        <v>accès prioritaire et bar dédié (consommation à la charge du festivalier) - tables réservées à l'avance pour les « NFT member » pour deux (2) personnes</v>
      </c>
      <c r="AJ23" t="str">
        <f>Tokens!AL25</f>
        <v>avantage5</v>
      </c>
      <c r="AK23" t="str">
        <f>Tokens!AM25</f>
        <v>1 affiche numérotée (quelques unes seront signées au hasard)</v>
      </c>
      <c r="AL23">
        <f>Tokens!AN25</f>
        <v>0</v>
      </c>
      <c r="AM23">
        <f>Tokens!AO25</f>
        <v>0</v>
      </c>
      <c r="AN23">
        <f>Tokens!AP25</f>
        <v>0</v>
      </c>
      <c r="AO23">
        <f>Tokens!AQ25</f>
        <v>0</v>
      </c>
      <c r="AP23">
        <f>Tokens!AR25</f>
        <v>0</v>
      </c>
      <c r="AQ23">
        <f>Tokens!AS25</f>
        <v>0</v>
      </c>
      <c r="AR23">
        <f>Tokens!AT25</f>
        <v>0</v>
      </c>
      <c r="AS23">
        <f>Tokens!AU25</f>
        <v>0</v>
      </c>
      <c r="AT23" t="str">
        <f>Tokens!AV25</f>
        <v>Validation</v>
      </c>
      <c r="AU23" t="str">
        <f>Tokens!AW25</f>
        <v>https://tokensol.nfluent.io?s=COR22B22&amp;platform=ftx</v>
      </c>
      <c r="AV23" t="str">
        <f>Tokens!AX25</f>
        <v>paul</v>
      </c>
      <c r="AW23">
        <f>Tokens!AY25</f>
        <v>10</v>
      </c>
      <c r="AX23" t="str">
        <f>Tokens!AZ25</f>
        <v>sophie</v>
      </c>
      <c r="AY23">
        <f>Tokens!BA25</f>
        <v>90</v>
      </c>
      <c r="AZ23">
        <f>Tokens!BB25</f>
        <v>0</v>
      </c>
      <c r="BA23">
        <f>Tokens!BC25</f>
        <v>0</v>
      </c>
      <c r="BB23" t="str">
        <f>Tokens!BD25</f>
        <v>https://bafybeicgtrhjweckx2vfwtyokcngfyecfczyi234bo576emk7czddpc2du.ipfs.nftstorage.link?CALVI_12.mp4</v>
      </c>
      <c r="BC23" t="str">
        <f>Tokens!BE25</f>
        <v>mp4</v>
      </c>
      <c r="BD23">
        <f>Tokens!BF25</f>
        <v>0</v>
      </c>
      <c r="BE23">
        <f>Tokens!BG25</f>
        <v>0</v>
      </c>
      <c r="BF23">
        <f>Tokens!BH25</f>
        <v>0</v>
      </c>
      <c r="BG23">
        <f>Tokens!BI25</f>
        <v>0</v>
      </c>
      <c r="BH23" t="str">
        <f>Tokens!BJ25</f>
        <v>A Madonna Di A Sierra</v>
      </c>
      <c r="BI23" t="str">
        <f>Tokens!BK25</f>
        <v>Calvi On The Rocks</v>
      </c>
    </row>
    <row r="24" spans="1:61" x14ac:dyDescent="0.25">
      <c r="A24" t="str">
        <f>Tokens!C26</f>
        <v>A Madonna Di A Sierra #23</v>
      </c>
      <c r="B24" t="str">
        <f>Tokens!D26</f>
        <v>COR22B23</v>
      </c>
      <c r="C24" t="str">
        <f>Tokens!E26</f>
        <v>A Madonna Di A Sierra, 3 ans - Pass NFT 5 jours pour 2 personnes, valable pour 3 éditions Calvi On The Rocks de votre choix.</v>
      </c>
      <c r="D24">
        <f>Tokens!F26</f>
        <v>1000</v>
      </c>
      <c r="E24" t="str">
        <f>Tokens!G26</f>
        <v>https://bafybeiahor5orbsur34n7cu72ldcx4e3zkiz7voo3unxul6q3k7neylofq.ipfs.nftstorage.link?visual13.png</v>
      </c>
      <c r="F24" t="str">
        <f>Tokens!H26</f>
        <v>NfluenT for Calvi On The rocks</v>
      </c>
      <c r="G24">
        <f>Tokens!I26</f>
        <v>0</v>
      </c>
      <c r="H24" t="str">
        <f>Tokens!J26</f>
        <v>Pass festival</v>
      </c>
      <c r="I24" t="str">
        <f>Tokens!K26</f>
        <v>pour deux(2) personnes</v>
      </c>
      <c r="J24" t="str">
        <f>Tokens!L26</f>
        <v>Edition1</v>
      </c>
      <c r="K24">
        <f>Tokens!M26</f>
        <v>2</v>
      </c>
      <c r="L24" t="str">
        <f>Tokens!N26</f>
        <v>Edition2</v>
      </c>
      <c r="M24">
        <f>Tokens!O26</f>
        <v>2</v>
      </c>
      <c r="N24" t="str">
        <f>Tokens!P26</f>
        <v>Edition3</v>
      </c>
      <c r="O24">
        <f>Tokens!Q26</f>
        <v>2</v>
      </c>
      <c r="P24">
        <f>Tokens!R26</f>
        <v>0</v>
      </c>
      <c r="Q24">
        <f>Tokens!S26</f>
        <v>0</v>
      </c>
      <c r="R24">
        <f>Tokens!T26</f>
        <v>0</v>
      </c>
      <c r="S24">
        <f>Tokens!U26</f>
        <v>0</v>
      </c>
      <c r="T24" t="str">
        <f>Tokens!V26</f>
        <v>Dernière utilisation</v>
      </c>
      <c r="U24">
        <f>Tokens!W26</f>
        <v>0</v>
      </c>
      <c r="V24">
        <f>Tokens!X26</f>
        <v>0</v>
      </c>
      <c r="W24">
        <f>Tokens!Y26</f>
        <v>0</v>
      </c>
      <c r="X24" t="str">
        <f>Tokens!Z26</f>
        <v>avantage1</v>
      </c>
      <c r="Y24" t="str">
        <f>Tokens!AA26</f>
        <v>accès pour deux (2) personnes à un (1) événement partenaire officiel de Calvi on the Rocks</v>
      </c>
      <c r="Z24">
        <f>Tokens!AB26</f>
        <v>0</v>
      </c>
      <c r="AA24">
        <f>Tokens!AC26</f>
        <v>0</v>
      </c>
      <c r="AB24">
        <f>Tokens!AD26</f>
        <v>0</v>
      </c>
      <c r="AC24">
        <f>Tokens!AE26</f>
        <v>0</v>
      </c>
      <c r="AD24" t="str">
        <f>Tokens!AF26</f>
        <v>avantage2</v>
      </c>
      <c r="AE24" t="str">
        <f>Tokens!AG26</f>
        <v>invitation à la “Soirée off” réservée aux membres NFT pour deux (2) personnes</v>
      </c>
      <c r="AF24" t="str">
        <f>Tokens!AH26</f>
        <v>avantage3</v>
      </c>
      <c r="AG24" t="str">
        <f>Tokens!AI26</f>
        <v>accès membre pour les after party officielles pour deux (2) personnes</v>
      </c>
      <c r="AH24" t="str">
        <f>Tokens!AJ26</f>
        <v>avantage4</v>
      </c>
      <c r="AI24" t="str">
        <f>Tokens!AK26</f>
        <v>accès prioritaire et bar dédié (consommation à la charge du festivalier) - tables réservées à l'avance pour les « NFT member » pour deux (2) personnes</v>
      </c>
      <c r="AJ24" t="str">
        <f>Tokens!AL26</f>
        <v>avantage5</v>
      </c>
      <c r="AK24" t="str">
        <f>Tokens!AM26</f>
        <v>1 affiche numérotée (quelques unes seront signées au hasard)</v>
      </c>
      <c r="AL24">
        <f>Tokens!AN26</f>
        <v>0</v>
      </c>
      <c r="AM24">
        <f>Tokens!AO26</f>
        <v>0</v>
      </c>
      <c r="AN24">
        <f>Tokens!AP26</f>
        <v>0</v>
      </c>
      <c r="AO24">
        <f>Tokens!AQ26</f>
        <v>0</v>
      </c>
      <c r="AP24">
        <f>Tokens!AR26</f>
        <v>0</v>
      </c>
      <c r="AQ24">
        <f>Tokens!AS26</f>
        <v>0</v>
      </c>
      <c r="AR24">
        <f>Tokens!AT26</f>
        <v>0</v>
      </c>
      <c r="AS24">
        <f>Tokens!AU26</f>
        <v>0</v>
      </c>
      <c r="AT24" t="str">
        <f>Tokens!AV26</f>
        <v>Validation</v>
      </c>
      <c r="AU24" t="str">
        <f>Tokens!AW26</f>
        <v>https://tokensol.nfluent.io?s=COR22B23&amp;platform=ftx</v>
      </c>
      <c r="AV24" t="str">
        <f>Tokens!AX26</f>
        <v>paul</v>
      </c>
      <c r="AW24">
        <f>Tokens!AY26</f>
        <v>10</v>
      </c>
      <c r="AX24" t="str">
        <f>Tokens!AZ26</f>
        <v>sophie</v>
      </c>
      <c r="AY24">
        <f>Tokens!BA26</f>
        <v>90</v>
      </c>
      <c r="AZ24">
        <f>Tokens!BB26</f>
        <v>0</v>
      </c>
      <c r="BA24">
        <f>Tokens!BC26</f>
        <v>0</v>
      </c>
      <c r="BB24" t="str">
        <f>Tokens!BD26</f>
        <v>https://bafybeicgtrhjweckx2vfwtyokcngfyecfczyi234bo576emk7czddpc2du.ipfs.nftstorage.link?CALVI_12.mp4</v>
      </c>
      <c r="BC24" t="str">
        <f>Tokens!BE26</f>
        <v>mp4</v>
      </c>
      <c r="BD24">
        <f>Tokens!BF26</f>
        <v>0</v>
      </c>
      <c r="BE24">
        <f>Tokens!BG26</f>
        <v>0</v>
      </c>
      <c r="BF24">
        <f>Tokens!BH26</f>
        <v>0</v>
      </c>
      <c r="BG24">
        <f>Tokens!BI26</f>
        <v>0</v>
      </c>
      <c r="BH24" t="str">
        <f>Tokens!BJ26</f>
        <v>A Madonna Di A Sierra</v>
      </c>
      <c r="BI24" t="str">
        <f>Tokens!BK26</f>
        <v>Calvi On The Rocks</v>
      </c>
    </row>
    <row r="25" spans="1:61" x14ac:dyDescent="0.25">
      <c r="A25" t="str">
        <f>Tokens!C27</f>
        <v>A Madonna Di A Sierra #24</v>
      </c>
      <c r="B25" t="str">
        <f>Tokens!D27</f>
        <v>COR22B24</v>
      </c>
      <c r="C25" t="str">
        <f>Tokens!E27</f>
        <v>A Madonna Di A Sierra, 3 ans - Pass NFT 5 jours pour 2 personnes, valable pour 3 éditions Calvi On The Rocks de votre choix.</v>
      </c>
      <c r="D25">
        <f>Tokens!F27</f>
        <v>1000</v>
      </c>
      <c r="E25" t="str">
        <f>Tokens!G27</f>
        <v>https://bafybeig5co2ksjm24xzyuqsiwzky45axgb4cwlksishtilt5l3cwufqley.ipfs.nftstorage.link?visual14.png</v>
      </c>
      <c r="F25" t="str">
        <f>Tokens!H27</f>
        <v>NfluenT for Calvi On The rocks</v>
      </c>
      <c r="G25">
        <f>Tokens!I27</f>
        <v>0</v>
      </c>
      <c r="H25" t="str">
        <f>Tokens!J27</f>
        <v>Pass festival</v>
      </c>
      <c r="I25" t="str">
        <f>Tokens!K27</f>
        <v>pour deux(2) personnes</v>
      </c>
      <c r="J25" t="str">
        <f>Tokens!L27</f>
        <v>Edition1</v>
      </c>
      <c r="K25">
        <f>Tokens!M27</f>
        <v>2</v>
      </c>
      <c r="L25" t="str">
        <f>Tokens!N27</f>
        <v>Edition2</v>
      </c>
      <c r="M25">
        <f>Tokens!O27</f>
        <v>2</v>
      </c>
      <c r="N25" t="str">
        <f>Tokens!P27</f>
        <v>Edition3</v>
      </c>
      <c r="O25">
        <f>Tokens!Q27</f>
        <v>2</v>
      </c>
      <c r="P25">
        <f>Tokens!R27</f>
        <v>0</v>
      </c>
      <c r="Q25">
        <f>Tokens!S27</f>
        <v>0</v>
      </c>
      <c r="R25">
        <f>Tokens!T27</f>
        <v>0</v>
      </c>
      <c r="S25">
        <f>Tokens!U27</f>
        <v>0</v>
      </c>
      <c r="T25" t="str">
        <f>Tokens!V27</f>
        <v>Dernière utilisation</v>
      </c>
      <c r="U25">
        <f>Tokens!W27</f>
        <v>0</v>
      </c>
      <c r="V25">
        <f>Tokens!X27</f>
        <v>0</v>
      </c>
      <c r="W25">
        <f>Tokens!Y27</f>
        <v>0</v>
      </c>
      <c r="X25" t="str">
        <f>Tokens!Z27</f>
        <v>avantage1</v>
      </c>
      <c r="Y25" t="str">
        <f>Tokens!AA27</f>
        <v>accès pour deux (2) personnes à un (1) événement partenaire officiel de Calvi on the Rocks</v>
      </c>
      <c r="Z25">
        <f>Tokens!AB27</f>
        <v>0</v>
      </c>
      <c r="AA25">
        <f>Tokens!AC27</f>
        <v>0</v>
      </c>
      <c r="AB25">
        <f>Tokens!AD27</f>
        <v>0</v>
      </c>
      <c r="AC25">
        <f>Tokens!AE27</f>
        <v>0</v>
      </c>
      <c r="AD25" t="str">
        <f>Tokens!AF27</f>
        <v>avantage2</v>
      </c>
      <c r="AE25" t="str">
        <f>Tokens!AG27</f>
        <v>invitation à la “Soirée off” réservée aux membres NFT pour deux (2) personnes</v>
      </c>
      <c r="AF25" t="str">
        <f>Tokens!AH27</f>
        <v>avantage3</v>
      </c>
      <c r="AG25" t="str">
        <f>Tokens!AI27</f>
        <v>accès membre pour les after party officielles pour deux (2) personnes</v>
      </c>
      <c r="AH25" t="str">
        <f>Tokens!AJ27</f>
        <v>avantage4</v>
      </c>
      <c r="AI25" t="str">
        <f>Tokens!AK27</f>
        <v>accès prioritaire et bar dédié (consommation à la charge du festivalier) - tables réservées à l'avance pour les « NFT member » pour deux (2) personnes</v>
      </c>
      <c r="AJ25" t="str">
        <f>Tokens!AL27</f>
        <v>avantage5</v>
      </c>
      <c r="AK25" t="str">
        <f>Tokens!AM27</f>
        <v>1 affiche numérotée (quelques unes seront signées au hasard)</v>
      </c>
      <c r="AL25">
        <f>Tokens!AN27</f>
        <v>0</v>
      </c>
      <c r="AM25">
        <f>Tokens!AO27</f>
        <v>0</v>
      </c>
      <c r="AN25">
        <f>Tokens!AP27</f>
        <v>0</v>
      </c>
      <c r="AO25">
        <f>Tokens!AQ27</f>
        <v>0</v>
      </c>
      <c r="AP25">
        <f>Tokens!AR27</f>
        <v>0</v>
      </c>
      <c r="AQ25">
        <f>Tokens!AS27</f>
        <v>0</v>
      </c>
      <c r="AR25">
        <f>Tokens!AT27</f>
        <v>0</v>
      </c>
      <c r="AS25">
        <f>Tokens!AU27</f>
        <v>0</v>
      </c>
      <c r="AT25" t="str">
        <f>Tokens!AV27</f>
        <v>Validation</v>
      </c>
      <c r="AU25" t="str">
        <f>Tokens!AW27</f>
        <v>https://tokensol.nfluent.io?s=COR22B24&amp;platform=ftx</v>
      </c>
      <c r="AV25" t="str">
        <f>Tokens!AX27</f>
        <v>paul</v>
      </c>
      <c r="AW25">
        <f>Tokens!AY27</f>
        <v>10</v>
      </c>
      <c r="AX25" t="str">
        <f>Tokens!AZ27</f>
        <v>sophie</v>
      </c>
      <c r="AY25">
        <f>Tokens!BA27</f>
        <v>90</v>
      </c>
      <c r="AZ25">
        <f>Tokens!BB27</f>
        <v>0</v>
      </c>
      <c r="BA25">
        <f>Tokens!BC27</f>
        <v>0</v>
      </c>
      <c r="BB25" t="str">
        <f>Tokens!BD27</f>
        <v>https://bafybeicgtrhjweckx2vfwtyokcngfyecfczyi234bo576emk7czddpc2du.ipfs.nftstorage.link?CALVI_12.mp4</v>
      </c>
      <c r="BC25" t="str">
        <f>Tokens!BE27</f>
        <v>mp4</v>
      </c>
      <c r="BD25">
        <f>Tokens!BF27</f>
        <v>0</v>
      </c>
      <c r="BE25">
        <f>Tokens!BG27</f>
        <v>0</v>
      </c>
      <c r="BF25">
        <f>Tokens!BH27</f>
        <v>0</v>
      </c>
      <c r="BG25">
        <f>Tokens!BI27</f>
        <v>0</v>
      </c>
      <c r="BH25" t="str">
        <f>Tokens!BJ27</f>
        <v>A Madonna Di A Sierra</v>
      </c>
      <c r="BI25" t="str">
        <f>Tokens!BK27</f>
        <v>Calvi On The Rocks</v>
      </c>
    </row>
    <row r="26" spans="1:61" x14ac:dyDescent="0.25">
      <c r="A26" t="str">
        <f>Tokens!C28</f>
        <v>A Madonna Di A Sierra #25</v>
      </c>
      <c r="B26" t="str">
        <f>Tokens!D28</f>
        <v>COR22B25</v>
      </c>
      <c r="C26" t="str">
        <f>Tokens!E28</f>
        <v>A Madonna Di A Sierra, 3 ans - Pass NFT 5 jours pour 2 personnes, valable pour 3 éditions Calvi On The Rocks de votre choix.</v>
      </c>
      <c r="D26">
        <f>Tokens!F28</f>
        <v>1000</v>
      </c>
      <c r="E26" t="str">
        <f>Tokens!G28</f>
        <v>https://bafybeig6rm4c3qtknb645ayntpxvdgg7ralbozibaqjo7cbfc7zcs33ceq.ipfs.nftstorage.link?visual15.png</v>
      </c>
      <c r="F26" t="str">
        <f>Tokens!H28</f>
        <v>NfluenT for Calvi On The rocks</v>
      </c>
      <c r="G26">
        <f>Tokens!I28</f>
        <v>0</v>
      </c>
      <c r="H26" t="str">
        <f>Tokens!J28</f>
        <v>Pass festival</v>
      </c>
      <c r="I26" t="str">
        <f>Tokens!K28</f>
        <v>pour deux(2) personnes</v>
      </c>
      <c r="J26" t="str">
        <f>Tokens!L28</f>
        <v>Edition1</v>
      </c>
      <c r="K26">
        <f>Tokens!M28</f>
        <v>2</v>
      </c>
      <c r="L26" t="str">
        <f>Tokens!N28</f>
        <v>Edition2</v>
      </c>
      <c r="M26">
        <f>Tokens!O28</f>
        <v>2</v>
      </c>
      <c r="N26" t="str">
        <f>Tokens!P28</f>
        <v>Edition3</v>
      </c>
      <c r="O26">
        <f>Tokens!Q28</f>
        <v>2</v>
      </c>
      <c r="P26">
        <f>Tokens!R28</f>
        <v>0</v>
      </c>
      <c r="Q26">
        <f>Tokens!S28</f>
        <v>0</v>
      </c>
      <c r="R26">
        <f>Tokens!T28</f>
        <v>0</v>
      </c>
      <c r="S26">
        <f>Tokens!U28</f>
        <v>0</v>
      </c>
      <c r="T26" t="str">
        <f>Tokens!V28</f>
        <v>Dernière utilisation</v>
      </c>
      <c r="U26">
        <f>Tokens!W28</f>
        <v>0</v>
      </c>
      <c r="V26">
        <f>Tokens!X28</f>
        <v>0</v>
      </c>
      <c r="W26">
        <f>Tokens!Y28</f>
        <v>0</v>
      </c>
      <c r="X26" t="str">
        <f>Tokens!Z28</f>
        <v>avantage1</v>
      </c>
      <c r="Y26" t="str">
        <f>Tokens!AA28</f>
        <v>accès pour deux (2) personnes à un (1) événement partenaire officiel de Calvi on the Rocks</v>
      </c>
      <c r="Z26">
        <f>Tokens!AB28</f>
        <v>0</v>
      </c>
      <c r="AA26">
        <f>Tokens!AC28</f>
        <v>0</v>
      </c>
      <c r="AB26">
        <f>Tokens!AD28</f>
        <v>0</v>
      </c>
      <c r="AC26">
        <f>Tokens!AE28</f>
        <v>0</v>
      </c>
      <c r="AD26" t="str">
        <f>Tokens!AF28</f>
        <v>avantage2</v>
      </c>
      <c r="AE26" t="str">
        <f>Tokens!AG28</f>
        <v>invitation à la “Soirée off” réservée aux membres NFT pour deux (2) personnes</v>
      </c>
      <c r="AF26" t="str">
        <f>Tokens!AH28</f>
        <v>avantage3</v>
      </c>
      <c r="AG26" t="str">
        <f>Tokens!AI28</f>
        <v>accès membre pour les after party officielles pour deux (2) personnes</v>
      </c>
      <c r="AH26" t="str">
        <f>Tokens!AJ28</f>
        <v>avantage4</v>
      </c>
      <c r="AI26" t="str">
        <f>Tokens!AK28</f>
        <v>accès prioritaire et bar dédié (consommation à la charge du festivalier) - tables réservées à l'avance pour les « NFT member » pour deux (2) personnes</v>
      </c>
      <c r="AJ26" t="str">
        <f>Tokens!AL28</f>
        <v>avantage5</v>
      </c>
      <c r="AK26" t="str">
        <f>Tokens!AM28</f>
        <v>1 affiche numérotée (quelques unes seront signées au hasard)</v>
      </c>
      <c r="AL26">
        <f>Tokens!AN28</f>
        <v>0</v>
      </c>
      <c r="AM26">
        <f>Tokens!AO28</f>
        <v>0</v>
      </c>
      <c r="AN26">
        <f>Tokens!AP28</f>
        <v>0</v>
      </c>
      <c r="AO26">
        <f>Tokens!AQ28</f>
        <v>0</v>
      </c>
      <c r="AP26">
        <f>Tokens!AR28</f>
        <v>0</v>
      </c>
      <c r="AQ26">
        <f>Tokens!AS28</f>
        <v>0</v>
      </c>
      <c r="AR26">
        <f>Tokens!AT28</f>
        <v>0</v>
      </c>
      <c r="AS26">
        <f>Tokens!AU28</f>
        <v>0</v>
      </c>
      <c r="AT26" t="str">
        <f>Tokens!AV28</f>
        <v>Validation</v>
      </c>
      <c r="AU26" t="str">
        <f>Tokens!AW28</f>
        <v>https://tokensol.nfluent.io?s=COR22B25&amp;platform=ftx</v>
      </c>
      <c r="AV26" t="str">
        <f>Tokens!AX28</f>
        <v>paul</v>
      </c>
      <c r="AW26">
        <f>Tokens!AY28</f>
        <v>10</v>
      </c>
      <c r="AX26" t="str">
        <f>Tokens!AZ28</f>
        <v>sophie</v>
      </c>
      <c r="AY26">
        <f>Tokens!BA28</f>
        <v>90</v>
      </c>
      <c r="AZ26">
        <f>Tokens!BB28</f>
        <v>0</v>
      </c>
      <c r="BA26">
        <f>Tokens!BC28</f>
        <v>0</v>
      </c>
      <c r="BB26" t="str">
        <f>Tokens!BD28</f>
        <v>https://bafybeicgtrhjweckx2vfwtyokcngfyecfczyi234bo576emk7czddpc2du.ipfs.nftstorage.link?CALVI_12.mp4</v>
      </c>
      <c r="BC26" t="str">
        <f>Tokens!BE28</f>
        <v>mp4</v>
      </c>
      <c r="BD26">
        <f>Tokens!BF28</f>
        <v>0</v>
      </c>
      <c r="BE26">
        <f>Tokens!BG28</f>
        <v>0</v>
      </c>
      <c r="BF26">
        <f>Tokens!BH28</f>
        <v>0</v>
      </c>
      <c r="BG26">
        <f>Tokens!BI28</f>
        <v>0</v>
      </c>
      <c r="BH26" t="str">
        <f>Tokens!BJ28</f>
        <v>A Madonna Di A Sierra</v>
      </c>
      <c r="BI26" t="str">
        <f>Tokens!BK28</f>
        <v>Calvi On The Rocks</v>
      </c>
    </row>
    <row r="27" spans="1:61" x14ac:dyDescent="0.25">
      <c r="A27" t="str">
        <f>Tokens!C29</f>
        <v>A Madonna Di A Sierra #26</v>
      </c>
      <c r="B27" t="str">
        <f>Tokens!D29</f>
        <v>COR22B26</v>
      </c>
      <c r="C27" t="str">
        <f>Tokens!E29</f>
        <v>A Madonna Di A Sierra, 3 ans - Pass NFT 5 jours pour 2 personnes, valable pour 3 éditions Calvi On The Rocks de votre choix.</v>
      </c>
      <c r="D27">
        <f>Tokens!F29</f>
        <v>1000</v>
      </c>
      <c r="E27" t="str">
        <f>Tokens!G29</f>
        <v>https://bafybeiekadpjhblridjsgpvk4rpz7gsdntuuckvkhosr2jyrdvju6huppe.ipfs.nftstorage.link?visual16.png</v>
      </c>
      <c r="F27" t="str">
        <f>Tokens!H29</f>
        <v>NfluenT for Calvi On The rocks</v>
      </c>
      <c r="G27">
        <f>Tokens!I29</f>
        <v>0</v>
      </c>
      <c r="H27" t="str">
        <f>Tokens!J29</f>
        <v>Pass festival</v>
      </c>
      <c r="I27" t="str">
        <f>Tokens!K29</f>
        <v>pour deux(2) personnes</v>
      </c>
      <c r="J27" t="str">
        <f>Tokens!L29</f>
        <v>Edition1</v>
      </c>
      <c r="K27">
        <f>Tokens!M29</f>
        <v>2</v>
      </c>
      <c r="L27" t="str">
        <f>Tokens!N29</f>
        <v>Edition2</v>
      </c>
      <c r="M27">
        <f>Tokens!O29</f>
        <v>2</v>
      </c>
      <c r="N27" t="str">
        <f>Tokens!P29</f>
        <v>Edition3</v>
      </c>
      <c r="O27">
        <f>Tokens!Q29</f>
        <v>2</v>
      </c>
      <c r="P27">
        <f>Tokens!R29</f>
        <v>0</v>
      </c>
      <c r="Q27">
        <f>Tokens!S29</f>
        <v>0</v>
      </c>
      <c r="R27">
        <f>Tokens!T29</f>
        <v>0</v>
      </c>
      <c r="S27">
        <f>Tokens!U29</f>
        <v>0</v>
      </c>
      <c r="T27" t="str">
        <f>Tokens!V29</f>
        <v>Dernière utilisation</v>
      </c>
      <c r="U27">
        <f>Tokens!W29</f>
        <v>0</v>
      </c>
      <c r="V27">
        <f>Tokens!X29</f>
        <v>0</v>
      </c>
      <c r="W27">
        <f>Tokens!Y29</f>
        <v>0</v>
      </c>
      <c r="X27" t="str">
        <f>Tokens!Z29</f>
        <v>avantage1</v>
      </c>
      <c r="Y27" t="str">
        <f>Tokens!AA29</f>
        <v>accès pour deux (2) personnes à un (1) événement partenaire officiel de Calvi on the Rocks</v>
      </c>
      <c r="Z27">
        <f>Tokens!AB29</f>
        <v>0</v>
      </c>
      <c r="AA27">
        <f>Tokens!AC29</f>
        <v>0</v>
      </c>
      <c r="AB27">
        <f>Tokens!AD29</f>
        <v>0</v>
      </c>
      <c r="AC27">
        <f>Tokens!AE29</f>
        <v>0</v>
      </c>
      <c r="AD27" t="str">
        <f>Tokens!AF29</f>
        <v>avantage2</v>
      </c>
      <c r="AE27" t="str">
        <f>Tokens!AG29</f>
        <v>invitation à la “Soirée off” réservée aux membres NFT pour deux (2) personnes</v>
      </c>
      <c r="AF27" t="str">
        <f>Tokens!AH29</f>
        <v>avantage3</v>
      </c>
      <c r="AG27" t="str">
        <f>Tokens!AI29</f>
        <v>accès membre pour les after party officielles pour deux (2) personnes</v>
      </c>
      <c r="AH27" t="str">
        <f>Tokens!AJ29</f>
        <v>avantage4</v>
      </c>
      <c r="AI27" t="str">
        <f>Tokens!AK29</f>
        <v>accès prioritaire et bar dédié (consommation à la charge du festivalier) - tables réservées à l'avance pour les « NFT member » pour deux (2) personnes</v>
      </c>
      <c r="AJ27" t="str">
        <f>Tokens!AL29</f>
        <v>avantage5</v>
      </c>
      <c r="AK27" t="str">
        <f>Tokens!AM29</f>
        <v>1 affiche numérotée (quelques unes seront signées au hasard)</v>
      </c>
      <c r="AL27">
        <f>Tokens!AN29</f>
        <v>0</v>
      </c>
      <c r="AM27">
        <f>Tokens!AO29</f>
        <v>0</v>
      </c>
      <c r="AN27">
        <f>Tokens!AP29</f>
        <v>0</v>
      </c>
      <c r="AO27">
        <f>Tokens!AQ29</f>
        <v>0</v>
      </c>
      <c r="AP27">
        <f>Tokens!AR29</f>
        <v>0</v>
      </c>
      <c r="AQ27">
        <f>Tokens!AS29</f>
        <v>0</v>
      </c>
      <c r="AR27">
        <f>Tokens!AT29</f>
        <v>0</v>
      </c>
      <c r="AS27">
        <f>Tokens!AU29</f>
        <v>0</v>
      </c>
      <c r="AT27" t="str">
        <f>Tokens!AV29</f>
        <v>Validation</v>
      </c>
      <c r="AU27" t="str">
        <f>Tokens!AW29</f>
        <v>https://tokensol.nfluent.io?s=COR22B26&amp;platform=ftx</v>
      </c>
      <c r="AV27" t="str">
        <f>Tokens!AX29</f>
        <v>paul</v>
      </c>
      <c r="AW27">
        <f>Tokens!AY29</f>
        <v>10</v>
      </c>
      <c r="AX27" t="str">
        <f>Tokens!AZ29</f>
        <v>sophie</v>
      </c>
      <c r="AY27">
        <f>Tokens!BA29</f>
        <v>90</v>
      </c>
      <c r="AZ27">
        <f>Tokens!BB29</f>
        <v>0</v>
      </c>
      <c r="BA27">
        <f>Tokens!BC29</f>
        <v>0</v>
      </c>
      <c r="BB27" t="str">
        <f>Tokens!BD29</f>
        <v>https://bafybeicgtrhjweckx2vfwtyokcngfyecfczyi234bo576emk7czddpc2du.ipfs.nftstorage.link?CALVI_12.mp4</v>
      </c>
      <c r="BC27" t="str">
        <f>Tokens!BE29</f>
        <v>mp4</v>
      </c>
      <c r="BD27">
        <f>Tokens!BF29</f>
        <v>0</v>
      </c>
      <c r="BE27">
        <f>Tokens!BG29</f>
        <v>0</v>
      </c>
      <c r="BF27">
        <f>Tokens!BH29</f>
        <v>0</v>
      </c>
      <c r="BG27">
        <f>Tokens!BI29</f>
        <v>0</v>
      </c>
      <c r="BH27" t="str">
        <f>Tokens!BJ29</f>
        <v>A Madonna Di A Sierra</v>
      </c>
      <c r="BI27" t="str">
        <f>Tokens!BK29</f>
        <v>Calvi On The Rocks</v>
      </c>
    </row>
    <row r="28" spans="1:61" x14ac:dyDescent="0.25">
      <c r="A28" t="str">
        <f>Tokens!C30</f>
        <v>A Madonna Di A Sierra #27</v>
      </c>
      <c r="B28" t="str">
        <f>Tokens!D30</f>
        <v>COR22B27</v>
      </c>
      <c r="C28" t="str">
        <f>Tokens!E30</f>
        <v>A Madonna Di A Sierra, 3 ans - Pass NFT 5 jours pour 2 personnes, valable pour 3 éditions Calvi On The Rocks de votre choix.</v>
      </c>
      <c r="D28">
        <f>Tokens!F30</f>
        <v>1000</v>
      </c>
      <c r="E28" t="str">
        <f>Tokens!G30</f>
        <v>https://bafybeiev4sdbllxvju2ynilxn4srrybina6kci2vsauuc3fjq653q6wx6q.ipfs.nftstorage.link?visual17.png</v>
      </c>
      <c r="F28" t="str">
        <f>Tokens!H30</f>
        <v>NfluenT for Calvi On The rocks</v>
      </c>
      <c r="G28">
        <f>Tokens!I30</f>
        <v>0</v>
      </c>
      <c r="H28" t="str">
        <f>Tokens!J30</f>
        <v>Pass festival</v>
      </c>
      <c r="I28" t="str">
        <f>Tokens!K30</f>
        <v>pour deux(2) personnes</v>
      </c>
      <c r="J28" t="str">
        <f>Tokens!L30</f>
        <v>Edition1</v>
      </c>
      <c r="K28">
        <f>Tokens!M30</f>
        <v>2</v>
      </c>
      <c r="L28" t="str">
        <f>Tokens!N30</f>
        <v>Edition2</v>
      </c>
      <c r="M28">
        <f>Tokens!O30</f>
        <v>2</v>
      </c>
      <c r="N28" t="str">
        <f>Tokens!P30</f>
        <v>Edition3</v>
      </c>
      <c r="O28">
        <f>Tokens!Q30</f>
        <v>2</v>
      </c>
      <c r="P28">
        <f>Tokens!R30</f>
        <v>0</v>
      </c>
      <c r="Q28">
        <f>Tokens!S30</f>
        <v>0</v>
      </c>
      <c r="R28">
        <f>Tokens!T30</f>
        <v>0</v>
      </c>
      <c r="S28">
        <f>Tokens!U30</f>
        <v>0</v>
      </c>
      <c r="T28" t="str">
        <f>Tokens!V30</f>
        <v>Dernière utilisation</v>
      </c>
      <c r="U28">
        <f>Tokens!W30</f>
        <v>0</v>
      </c>
      <c r="V28">
        <f>Tokens!X30</f>
        <v>0</v>
      </c>
      <c r="W28">
        <f>Tokens!Y30</f>
        <v>0</v>
      </c>
      <c r="X28" t="str">
        <f>Tokens!Z30</f>
        <v>avantage1</v>
      </c>
      <c r="Y28" t="str">
        <f>Tokens!AA30</f>
        <v>accès pour deux (2) personnes à un (1) événement partenaire officiel de Calvi on the Rocks</v>
      </c>
      <c r="Z28">
        <f>Tokens!AB30</f>
        <v>0</v>
      </c>
      <c r="AA28">
        <f>Tokens!AC30</f>
        <v>0</v>
      </c>
      <c r="AB28">
        <f>Tokens!AD30</f>
        <v>0</v>
      </c>
      <c r="AC28">
        <f>Tokens!AE30</f>
        <v>0</v>
      </c>
      <c r="AD28" t="str">
        <f>Tokens!AF30</f>
        <v>avantage2</v>
      </c>
      <c r="AE28" t="str">
        <f>Tokens!AG30</f>
        <v>invitation à la “Soirée off” réservée aux membres NFT pour deux (2) personnes</v>
      </c>
      <c r="AF28" t="str">
        <f>Tokens!AH30</f>
        <v>avantage3</v>
      </c>
      <c r="AG28" t="str">
        <f>Tokens!AI30</f>
        <v>accès membre pour les after party officielles pour deux (2) personnes</v>
      </c>
      <c r="AH28" t="str">
        <f>Tokens!AJ30</f>
        <v>avantage4</v>
      </c>
      <c r="AI28" t="str">
        <f>Tokens!AK30</f>
        <v>accès prioritaire et bar dédié (consommation à la charge du festivalier) - tables réservées à l'avance pour les « NFT member » pour deux (2) personnes</v>
      </c>
      <c r="AJ28" t="str">
        <f>Tokens!AL30</f>
        <v>avantage5</v>
      </c>
      <c r="AK28" t="str">
        <f>Tokens!AM30</f>
        <v>1 affiche numérotée (quelques unes seront signées au hasard)</v>
      </c>
      <c r="AL28">
        <f>Tokens!AN30</f>
        <v>0</v>
      </c>
      <c r="AM28">
        <f>Tokens!AO30</f>
        <v>0</v>
      </c>
      <c r="AN28">
        <f>Tokens!AP30</f>
        <v>0</v>
      </c>
      <c r="AO28">
        <f>Tokens!AQ30</f>
        <v>0</v>
      </c>
      <c r="AP28">
        <f>Tokens!AR30</f>
        <v>0</v>
      </c>
      <c r="AQ28">
        <f>Tokens!AS30</f>
        <v>0</v>
      </c>
      <c r="AR28">
        <f>Tokens!AT30</f>
        <v>0</v>
      </c>
      <c r="AS28">
        <f>Tokens!AU30</f>
        <v>0</v>
      </c>
      <c r="AT28" t="str">
        <f>Tokens!AV30</f>
        <v>Validation</v>
      </c>
      <c r="AU28" t="str">
        <f>Tokens!AW30</f>
        <v>https://tokensol.nfluent.io?s=COR22B27&amp;platform=ftx</v>
      </c>
      <c r="AV28" t="str">
        <f>Tokens!AX30</f>
        <v>paul</v>
      </c>
      <c r="AW28">
        <f>Tokens!AY30</f>
        <v>10</v>
      </c>
      <c r="AX28" t="str">
        <f>Tokens!AZ30</f>
        <v>sophie</v>
      </c>
      <c r="AY28">
        <f>Tokens!BA30</f>
        <v>90</v>
      </c>
      <c r="AZ28">
        <f>Tokens!BB30</f>
        <v>0</v>
      </c>
      <c r="BA28">
        <f>Tokens!BC30</f>
        <v>0</v>
      </c>
      <c r="BB28" t="str">
        <f>Tokens!BD30</f>
        <v>https://bafybeicgtrhjweckx2vfwtyokcngfyecfczyi234bo576emk7czddpc2du.ipfs.nftstorage.link?CALVI_12.mp4</v>
      </c>
      <c r="BC28" t="str">
        <f>Tokens!BE30</f>
        <v>mp4</v>
      </c>
      <c r="BD28">
        <f>Tokens!BF30</f>
        <v>0</v>
      </c>
      <c r="BE28">
        <f>Tokens!BG30</f>
        <v>0</v>
      </c>
      <c r="BF28">
        <f>Tokens!BH30</f>
        <v>0</v>
      </c>
      <c r="BG28">
        <f>Tokens!BI30</f>
        <v>0</v>
      </c>
      <c r="BH28" t="str">
        <f>Tokens!BJ30</f>
        <v>A Madonna Di A Sierra</v>
      </c>
      <c r="BI28" t="str">
        <f>Tokens!BK30</f>
        <v>Calvi On The Rocks</v>
      </c>
    </row>
    <row r="29" spans="1:61" x14ac:dyDescent="0.25">
      <c r="A29" t="str">
        <f>Tokens!C31</f>
        <v>A Madonna Di A Sierra #28</v>
      </c>
      <c r="B29" t="str">
        <f>Tokens!D31</f>
        <v>COR22B28</v>
      </c>
      <c r="C29" t="str">
        <f>Tokens!E31</f>
        <v>A Madonna Di A Sierra, 3 ans - Pass NFT 5 jours pour 2 personnes, valable pour 3 éditions Calvi On The Rocks de votre choix.</v>
      </c>
      <c r="D29">
        <f>Tokens!F31</f>
        <v>1000</v>
      </c>
      <c r="E29" t="str">
        <f>Tokens!G31</f>
        <v>https://bafybeih6xaonjhifyopkw2kpt4dq443ufg2jafrlzlh33iqcsptp4zlxvu.ipfs.nftstorage.link?visual18.png</v>
      </c>
      <c r="F29" t="str">
        <f>Tokens!H31</f>
        <v>NfluenT for Calvi On The rocks</v>
      </c>
      <c r="G29">
        <f>Tokens!I31</f>
        <v>0</v>
      </c>
      <c r="H29" t="str">
        <f>Tokens!J31</f>
        <v>Pass festival</v>
      </c>
      <c r="I29" t="str">
        <f>Tokens!K31</f>
        <v>pour deux(2) personnes</v>
      </c>
      <c r="J29" t="str">
        <f>Tokens!L31</f>
        <v>Edition1</v>
      </c>
      <c r="K29">
        <f>Tokens!M31</f>
        <v>2</v>
      </c>
      <c r="L29" t="str">
        <f>Tokens!N31</f>
        <v>Edition2</v>
      </c>
      <c r="M29">
        <f>Tokens!O31</f>
        <v>2</v>
      </c>
      <c r="N29" t="str">
        <f>Tokens!P31</f>
        <v>Edition3</v>
      </c>
      <c r="O29">
        <f>Tokens!Q31</f>
        <v>2</v>
      </c>
      <c r="P29">
        <f>Tokens!R31</f>
        <v>0</v>
      </c>
      <c r="Q29">
        <f>Tokens!S31</f>
        <v>0</v>
      </c>
      <c r="R29">
        <f>Tokens!T31</f>
        <v>0</v>
      </c>
      <c r="S29">
        <f>Tokens!U31</f>
        <v>0</v>
      </c>
      <c r="T29" t="str">
        <f>Tokens!V31</f>
        <v>Dernière utilisation</v>
      </c>
      <c r="U29">
        <f>Tokens!W31</f>
        <v>0</v>
      </c>
      <c r="V29">
        <f>Tokens!X31</f>
        <v>0</v>
      </c>
      <c r="W29">
        <f>Tokens!Y31</f>
        <v>0</v>
      </c>
      <c r="X29" t="str">
        <f>Tokens!Z31</f>
        <v>avantage1</v>
      </c>
      <c r="Y29" t="str">
        <f>Tokens!AA31</f>
        <v>accès pour deux (2) personnes à un (1) événement partenaire officiel de Calvi on the Rocks</v>
      </c>
      <c r="Z29">
        <f>Tokens!AB31</f>
        <v>0</v>
      </c>
      <c r="AA29">
        <f>Tokens!AC31</f>
        <v>0</v>
      </c>
      <c r="AB29">
        <f>Tokens!AD31</f>
        <v>0</v>
      </c>
      <c r="AC29">
        <f>Tokens!AE31</f>
        <v>0</v>
      </c>
      <c r="AD29" t="str">
        <f>Tokens!AF31</f>
        <v>avantage2</v>
      </c>
      <c r="AE29" t="str">
        <f>Tokens!AG31</f>
        <v>invitation à la “Soirée off” réservée aux membres NFT pour deux (2) personnes</v>
      </c>
      <c r="AF29" t="str">
        <f>Tokens!AH31</f>
        <v>avantage3</v>
      </c>
      <c r="AG29" t="str">
        <f>Tokens!AI31</f>
        <v>accès membre pour les after party officielles pour deux (2) personnes</v>
      </c>
      <c r="AH29" t="str">
        <f>Tokens!AJ31</f>
        <v>avantage4</v>
      </c>
      <c r="AI29" t="str">
        <f>Tokens!AK31</f>
        <v>accès prioritaire et bar dédié (consommation à la charge du festivalier) - tables réservées à l'avance pour les « NFT member » pour deux (2) personnes</v>
      </c>
      <c r="AJ29" t="str">
        <f>Tokens!AL31</f>
        <v>avantage5</v>
      </c>
      <c r="AK29" t="str">
        <f>Tokens!AM31</f>
        <v>1 affiche numérotée (quelques unes seront signées au hasard)</v>
      </c>
      <c r="AL29">
        <f>Tokens!AN31</f>
        <v>0</v>
      </c>
      <c r="AM29">
        <f>Tokens!AO31</f>
        <v>0</v>
      </c>
      <c r="AN29">
        <f>Tokens!AP31</f>
        <v>0</v>
      </c>
      <c r="AO29">
        <f>Tokens!AQ31</f>
        <v>0</v>
      </c>
      <c r="AP29">
        <f>Tokens!AR31</f>
        <v>0</v>
      </c>
      <c r="AQ29">
        <f>Tokens!AS31</f>
        <v>0</v>
      </c>
      <c r="AR29">
        <f>Tokens!AT31</f>
        <v>0</v>
      </c>
      <c r="AS29">
        <f>Tokens!AU31</f>
        <v>0</v>
      </c>
      <c r="AT29" t="str">
        <f>Tokens!AV31</f>
        <v>Validation</v>
      </c>
      <c r="AU29" t="str">
        <f>Tokens!AW31</f>
        <v>https://tokensol.nfluent.io?s=COR22B28&amp;platform=ftx</v>
      </c>
      <c r="AV29" t="str">
        <f>Tokens!AX31</f>
        <v>paul</v>
      </c>
      <c r="AW29">
        <f>Tokens!AY31</f>
        <v>10</v>
      </c>
      <c r="AX29" t="str">
        <f>Tokens!AZ31</f>
        <v>sophie</v>
      </c>
      <c r="AY29">
        <f>Tokens!BA31</f>
        <v>90</v>
      </c>
      <c r="AZ29">
        <f>Tokens!BB31</f>
        <v>0</v>
      </c>
      <c r="BA29">
        <f>Tokens!BC31</f>
        <v>0</v>
      </c>
      <c r="BB29" t="str">
        <f>Tokens!BD31</f>
        <v>https://bafybeicgtrhjweckx2vfwtyokcngfyecfczyi234bo576emk7czddpc2du.ipfs.nftstorage.link?CALVI_12.mp4</v>
      </c>
      <c r="BC29" t="str">
        <f>Tokens!BE31</f>
        <v>mp4</v>
      </c>
      <c r="BD29">
        <f>Tokens!BF31</f>
        <v>0</v>
      </c>
      <c r="BE29">
        <f>Tokens!BG31</f>
        <v>0</v>
      </c>
      <c r="BF29">
        <f>Tokens!BH31</f>
        <v>0</v>
      </c>
      <c r="BG29">
        <f>Tokens!BI31</f>
        <v>0</v>
      </c>
      <c r="BH29" t="str">
        <f>Tokens!BJ31</f>
        <v>A Madonna Di A Sierra</v>
      </c>
      <c r="BI29" t="str">
        <f>Tokens!BK31</f>
        <v>Calvi On The Rocks</v>
      </c>
    </row>
    <row r="30" spans="1:61" x14ac:dyDescent="0.25">
      <c r="A30" t="str">
        <f>Tokens!C32</f>
        <v>A Madonna Di A Sierra #29</v>
      </c>
      <c r="B30" t="str">
        <f>Tokens!D32</f>
        <v>COR22B29</v>
      </c>
      <c r="C30" t="str">
        <f>Tokens!E32</f>
        <v>A Madonna Di A Sierra, 3 ans - Pass NFT 5 jours pour 2 personnes, valable pour 3 éditions Calvi On The Rocks de votre choix.</v>
      </c>
      <c r="D30">
        <f>Tokens!F32</f>
        <v>1000</v>
      </c>
      <c r="E30" t="str">
        <f>Tokens!G32</f>
        <v>https://bafybeidwc3drcmnw2zbmtcdbl73jxp6xbmmpvmjkjz5nrrpgkxbqflh7ea.ipfs.nftstorage.link?visual19.png</v>
      </c>
      <c r="F30" t="str">
        <f>Tokens!H32</f>
        <v>NfluenT for Calvi On The rocks</v>
      </c>
      <c r="G30">
        <f>Tokens!I32</f>
        <v>0</v>
      </c>
      <c r="H30" t="str">
        <f>Tokens!J32</f>
        <v>Pass festival</v>
      </c>
      <c r="I30" t="str">
        <f>Tokens!K32</f>
        <v>pour deux(2) personnes</v>
      </c>
      <c r="J30" t="str">
        <f>Tokens!L32</f>
        <v>Edition1</v>
      </c>
      <c r="K30">
        <f>Tokens!M32</f>
        <v>2</v>
      </c>
      <c r="L30" t="str">
        <f>Tokens!N32</f>
        <v>Edition2</v>
      </c>
      <c r="M30">
        <f>Tokens!O32</f>
        <v>2</v>
      </c>
      <c r="N30" t="str">
        <f>Tokens!P32</f>
        <v>Edition3</v>
      </c>
      <c r="O30">
        <f>Tokens!Q32</f>
        <v>2</v>
      </c>
      <c r="P30">
        <f>Tokens!R32</f>
        <v>0</v>
      </c>
      <c r="Q30">
        <f>Tokens!S32</f>
        <v>0</v>
      </c>
      <c r="R30">
        <f>Tokens!T32</f>
        <v>0</v>
      </c>
      <c r="S30">
        <f>Tokens!U32</f>
        <v>0</v>
      </c>
      <c r="T30" t="str">
        <f>Tokens!V32</f>
        <v>Dernière utilisation</v>
      </c>
      <c r="U30">
        <f>Tokens!W32</f>
        <v>0</v>
      </c>
      <c r="V30">
        <f>Tokens!X32</f>
        <v>0</v>
      </c>
      <c r="W30">
        <f>Tokens!Y32</f>
        <v>0</v>
      </c>
      <c r="X30" t="str">
        <f>Tokens!Z32</f>
        <v>avantage1</v>
      </c>
      <c r="Y30" t="str">
        <f>Tokens!AA32</f>
        <v>accès pour deux (2) personnes à un (1) événement partenaire officiel de Calvi on the Rocks</v>
      </c>
      <c r="Z30">
        <f>Tokens!AB32</f>
        <v>0</v>
      </c>
      <c r="AA30">
        <f>Tokens!AC32</f>
        <v>0</v>
      </c>
      <c r="AB30">
        <f>Tokens!AD32</f>
        <v>0</v>
      </c>
      <c r="AC30">
        <f>Tokens!AE32</f>
        <v>0</v>
      </c>
      <c r="AD30" t="str">
        <f>Tokens!AF32</f>
        <v>avantage2</v>
      </c>
      <c r="AE30" t="str">
        <f>Tokens!AG32</f>
        <v>invitation à la “Soirée off” réservée aux membres NFT pour deux (2) personnes</v>
      </c>
      <c r="AF30" t="str">
        <f>Tokens!AH32</f>
        <v>avantage3</v>
      </c>
      <c r="AG30" t="str">
        <f>Tokens!AI32</f>
        <v>accès membre pour les after party officielles pour deux (2) personnes</v>
      </c>
      <c r="AH30" t="str">
        <f>Tokens!AJ32</f>
        <v>avantage4</v>
      </c>
      <c r="AI30" t="str">
        <f>Tokens!AK32</f>
        <v>accès prioritaire et bar dédié (consommation à la charge du festivalier) - tables réservées à l'avance pour les « NFT member » pour deux (2) personnes</v>
      </c>
      <c r="AJ30" t="str">
        <f>Tokens!AL32</f>
        <v>avantage5</v>
      </c>
      <c r="AK30" t="str">
        <f>Tokens!AM32</f>
        <v>1 affiche numérotée (quelques unes seront signées au hasard)</v>
      </c>
      <c r="AL30">
        <f>Tokens!AN32</f>
        <v>0</v>
      </c>
      <c r="AM30">
        <f>Tokens!AO32</f>
        <v>0</v>
      </c>
      <c r="AN30">
        <f>Tokens!AP32</f>
        <v>0</v>
      </c>
      <c r="AO30">
        <f>Tokens!AQ32</f>
        <v>0</v>
      </c>
      <c r="AP30">
        <f>Tokens!AR32</f>
        <v>0</v>
      </c>
      <c r="AQ30">
        <f>Tokens!AS32</f>
        <v>0</v>
      </c>
      <c r="AR30">
        <f>Tokens!AT32</f>
        <v>0</v>
      </c>
      <c r="AS30">
        <f>Tokens!AU32</f>
        <v>0</v>
      </c>
      <c r="AT30" t="str">
        <f>Tokens!AV32</f>
        <v>Validation</v>
      </c>
      <c r="AU30" t="str">
        <f>Tokens!AW32</f>
        <v>https://tokensol.nfluent.io?s=COR22B29&amp;platform=ftx</v>
      </c>
      <c r="AV30" t="str">
        <f>Tokens!AX32</f>
        <v>paul</v>
      </c>
      <c r="AW30">
        <f>Tokens!AY32</f>
        <v>10</v>
      </c>
      <c r="AX30" t="str">
        <f>Tokens!AZ32</f>
        <v>sophie</v>
      </c>
      <c r="AY30">
        <f>Tokens!BA32</f>
        <v>90</v>
      </c>
      <c r="AZ30">
        <f>Tokens!BB32</f>
        <v>0</v>
      </c>
      <c r="BA30">
        <f>Tokens!BC32</f>
        <v>0</v>
      </c>
      <c r="BB30" t="str">
        <f>Tokens!BD32</f>
        <v>https://bafybeicgtrhjweckx2vfwtyokcngfyecfczyi234bo576emk7czddpc2du.ipfs.nftstorage.link?CALVI_12.mp4</v>
      </c>
      <c r="BC30" t="str">
        <f>Tokens!BE32</f>
        <v>mp4</v>
      </c>
      <c r="BD30">
        <f>Tokens!BF32</f>
        <v>0</v>
      </c>
      <c r="BE30">
        <f>Tokens!BG32</f>
        <v>0</v>
      </c>
      <c r="BF30">
        <f>Tokens!BH32</f>
        <v>0</v>
      </c>
      <c r="BG30">
        <f>Tokens!BI32</f>
        <v>0</v>
      </c>
      <c r="BH30" t="str">
        <f>Tokens!BJ32</f>
        <v>A Madonna Di A Sierra</v>
      </c>
      <c r="BI30" t="str">
        <f>Tokens!BK32</f>
        <v>Calvi On The Rocks</v>
      </c>
    </row>
    <row r="31" spans="1:61" x14ac:dyDescent="0.25">
      <c r="A31" t="str">
        <f>Tokens!C33</f>
        <v>A Madonna Di A Sierra #30</v>
      </c>
      <c r="B31" t="str">
        <f>Tokens!D33</f>
        <v>COR22B30</v>
      </c>
      <c r="C31" t="str">
        <f>Tokens!E33</f>
        <v>A Madonna Di A Sierra, 3 ans - Pass NFT 5 jours pour 2 personnes, valable pour 3 éditions Calvi On The Rocks de votre choix.</v>
      </c>
      <c r="D31">
        <f>Tokens!F33</f>
        <v>1000</v>
      </c>
      <c r="E31" t="str">
        <f>Tokens!G33</f>
        <v>https://bafybeieyouuqoro7c4ndkf6mj6ux5ly7avm6iyiuadejzzqcqt2qxunjzm.ipfs.nftstorage.link?visual20.png</v>
      </c>
      <c r="F31" t="str">
        <f>Tokens!H33</f>
        <v>NfluenT for Calvi On The rocks</v>
      </c>
      <c r="G31">
        <f>Tokens!I33</f>
        <v>0</v>
      </c>
      <c r="H31" t="str">
        <f>Tokens!J33</f>
        <v>Pass festival</v>
      </c>
      <c r="I31" t="str">
        <f>Tokens!K33</f>
        <v>pour deux(2) personnes</v>
      </c>
      <c r="J31" t="str">
        <f>Tokens!L33</f>
        <v>Edition1</v>
      </c>
      <c r="K31">
        <f>Tokens!M33</f>
        <v>2</v>
      </c>
      <c r="L31" t="str">
        <f>Tokens!N33</f>
        <v>Edition2</v>
      </c>
      <c r="M31">
        <f>Tokens!O33</f>
        <v>2</v>
      </c>
      <c r="N31" t="str">
        <f>Tokens!P33</f>
        <v>Edition3</v>
      </c>
      <c r="O31">
        <f>Tokens!Q33</f>
        <v>2</v>
      </c>
      <c r="P31">
        <f>Tokens!R33</f>
        <v>0</v>
      </c>
      <c r="Q31">
        <f>Tokens!S33</f>
        <v>0</v>
      </c>
      <c r="R31">
        <f>Tokens!T33</f>
        <v>0</v>
      </c>
      <c r="S31">
        <f>Tokens!U33</f>
        <v>0</v>
      </c>
      <c r="T31" t="str">
        <f>Tokens!V33</f>
        <v>Dernière utilisation</v>
      </c>
      <c r="U31">
        <f>Tokens!W33</f>
        <v>0</v>
      </c>
      <c r="V31">
        <f>Tokens!X33</f>
        <v>0</v>
      </c>
      <c r="W31">
        <f>Tokens!Y33</f>
        <v>0</v>
      </c>
      <c r="X31" t="str">
        <f>Tokens!Z33</f>
        <v>avantage1</v>
      </c>
      <c r="Y31" t="str">
        <f>Tokens!AA33</f>
        <v>accès pour deux (2) personnes à un (1) événement partenaire officiel de Calvi on the Rocks</v>
      </c>
      <c r="Z31">
        <f>Tokens!AB33</f>
        <v>0</v>
      </c>
      <c r="AA31">
        <f>Tokens!AC33</f>
        <v>0</v>
      </c>
      <c r="AB31">
        <f>Tokens!AD33</f>
        <v>0</v>
      </c>
      <c r="AC31">
        <f>Tokens!AE33</f>
        <v>0</v>
      </c>
      <c r="AD31" t="str">
        <f>Tokens!AF33</f>
        <v>avantage2</v>
      </c>
      <c r="AE31" t="str">
        <f>Tokens!AG33</f>
        <v>invitation à la “Soirée off” réservée aux membres NFT pour deux (2) personnes</v>
      </c>
      <c r="AF31" t="str">
        <f>Tokens!AH33</f>
        <v>avantage3</v>
      </c>
      <c r="AG31" t="str">
        <f>Tokens!AI33</f>
        <v>accès membre pour les after party officielles pour deux (2) personnes</v>
      </c>
      <c r="AH31" t="str">
        <f>Tokens!AJ33</f>
        <v>avantage4</v>
      </c>
      <c r="AI31" t="str">
        <f>Tokens!AK33</f>
        <v>accès prioritaire et bar dédié (consommation à la charge du festivalier) - tables réservées à l'avance pour les « NFT member » pour deux (2) personnes</v>
      </c>
      <c r="AJ31" t="str">
        <f>Tokens!AL33</f>
        <v>avantage5</v>
      </c>
      <c r="AK31" t="str">
        <f>Tokens!AM33</f>
        <v>1 affiche numérotée (quelques unes seront signées au hasard)</v>
      </c>
      <c r="AL31">
        <f>Tokens!AN33</f>
        <v>0</v>
      </c>
      <c r="AM31">
        <f>Tokens!AO33</f>
        <v>0</v>
      </c>
      <c r="AN31">
        <f>Tokens!AP33</f>
        <v>0</v>
      </c>
      <c r="AO31">
        <f>Tokens!AQ33</f>
        <v>0</v>
      </c>
      <c r="AP31">
        <f>Tokens!AR33</f>
        <v>0</v>
      </c>
      <c r="AQ31">
        <f>Tokens!AS33</f>
        <v>0</v>
      </c>
      <c r="AR31">
        <f>Tokens!AT33</f>
        <v>0</v>
      </c>
      <c r="AS31">
        <f>Tokens!AU33</f>
        <v>0</v>
      </c>
      <c r="AT31" t="str">
        <f>Tokens!AV33</f>
        <v>Validation</v>
      </c>
      <c r="AU31" t="str">
        <f>Tokens!AW33</f>
        <v>https://tokensol.nfluent.io?s=COR22B30&amp;platform=ftx</v>
      </c>
      <c r="AV31" t="str">
        <f>Tokens!AX33</f>
        <v>paul</v>
      </c>
      <c r="AW31">
        <f>Tokens!AY33</f>
        <v>10</v>
      </c>
      <c r="AX31" t="str">
        <f>Tokens!AZ33</f>
        <v>sophie</v>
      </c>
      <c r="AY31">
        <f>Tokens!BA33</f>
        <v>90</v>
      </c>
      <c r="AZ31">
        <f>Tokens!BB33</f>
        <v>0</v>
      </c>
      <c r="BA31">
        <f>Tokens!BC33</f>
        <v>0</v>
      </c>
      <c r="BB31" t="str">
        <f>Tokens!BD33</f>
        <v>https://bafybeicgtrhjweckx2vfwtyokcngfyecfczyi234bo576emk7czddpc2du.ipfs.nftstorage.link?CALVI_12.mp4</v>
      </c>
      <c r="BC31" t="str">
        <f>Tokens!BE33</f>
        <v>mp4</v>
      </c>
      <c r="BD31">
        <f>Tokens!BF33</f>
        <v>0</v>
      </c>
      <c r="BE31">
        <f>Tokens!BG33</f>
        <v>0</v>
      </c>
      <c r="BF31">
        <f>Tokens!BH33</f>
        <v>0</v>
      </c>
      <c r="BG31">
        <f>Tokens!BI33</f>
        <v>0</v>
      </c>
      <c r="BH31" t="str">
        <f>Tokens!BJ33</f>
        <v>A Madonna Di A Sierra</v>
      </c>
      <c r="BI31" t="str">
        <f>Tokens!BK33</f>
        <v>Calvi On The Rocks</v>
      </c>
    </row>
    <row r="32" spans="1:61" x14ac:dyDescent="0.25">
      <c r="A32" t="str">
        <f>Tokens!C34</f>
        <v>A Madonna Di A Sierra #31</v>
      </c>
      <c r="B32" t="str">
        <f>Tokens!D34</f>
        <v>COR22B31</v>
      </c>
      <c r="C32" t="str">
        <f>Tokens!E34</f>
        <v>A Madonna Di A Sierra, 3 ans - Pass NFT 5 jours pour 2 personnes, valable pour 3 éditions Calvi On The Rocks de votre choix.</v>
      </c>
      <c r="D32">
        <f>Tokens!F34</f>
        <v>1000</v>
      </c>
      <c r="E32" t="str">
        <f>Tokens!G34</f>
        <v>https://bafybeiem3354uikctj7pbnsjytjitjyl547yjwklfvzmbyybj2fdoeq2em.ipfs.nftstorage.link?visual21.png</v>
      </c>
      <c r="F32" t="str">
        <f>Tokens!H34</f>
        <v>NfluenT for Calvi On The rocks</v>
      </c>
      <c r="G32">
        <f>Tokens!I34</f>
        <v>0</v>
      </c>
      <c r="H32" t="str">
        <f>Tokens!J34</f>
        <v>Pass festival</v>
      </c>
      <c r="I32" t="str">
        <f>Tokens!K34</f>
        <v>pour deux(2) personnes</v>
      </c>
      <c r="J32" t="str">
        <f>Tokens!L34</f>
        <v>Edition1</v>
      </c>
      <c r="K32">
        <f>Tokens!M34</f>
        <v>2</v>
      </c>
      <c r="L32" t="str">
        <f>Tokens!N34</f>
        <v>Edition2</v>
      </c>
      <c r="M32">
        <f>Tokens!O34</f>
        <v>2</v>
      </c>
      <c r="N32" t="str">
        <f>Tokens!P34</f>
        <v>Edition3</v>
      </c>
      <c r="O32">
        <f>Tokens!Q34</f>
        <v>2</v>
      </c>
      <c r="P32">
        <f>Tokens!R34</f>
        <v>0</v>
      </c>
      <c r="Q32">
        <f>Tokens!S34</f>
        <v>0</v>
      </c>
      <c r="R32">
        <f>Tokens!T34</f>
        <v>0</v>
      </c>
      <c r="S32">
        <f>Tokens!U34</f>
        <v>0</v>
      </c>
      <c r="T32" t="str">
        <f>Tokens!V34</f>
        <v>Dernière utilisation</v>
      </c>
      <c r="U32">
        <f>Tokens!W34</f>
        <v>0</v>
      </c>
      <c r="V32">
        <f>Tokens!X34</f>
        <v>0</v>
      </c>
      <c r="W32">
        <f>Tokens!Y34</f>
        <v>0</v>
      </c>
      <c r="X32" t="str">
        <f>Tokens!Z34</f>
        <v>avantage1</v>
      </c>
      <c r="Y32" t="str">
        <f>Tokens!AA34</f>
        <v>accès pour deux (2) personnes à un (1) événement partenaire officiel de Calvi on the Rocks</v>
      </c>
      <c r="Z32">
        <f>Tokens!AB34</f>
        <v>0</v>
      </c>
      <c r="AA32">
        <f>Tokens!AC34</f>
        <v>0</v>
      </c>
      <c r="AB32">
        <f>Tokens!AD34</f>
        <v>0</v>
      </c>
      <c r="AC32">
        <f>Tokens!AE34</f>
        <v>0</v>
      </c>
      <c r="AD32" t="str">
        <f>Tokens!AF34</f>
        <v>avantage2</v>
      </c>
      <c r="AE32" t="str">
        <f>Tokens!AG34</f>
        <v>invitation à la “Soirée off” réservée aux membres NFT pour deux (2) personnes</v>
      </c>
      <c r="AF32" t="str">
        <f>Tokens!AH34</f>
        <v>avantage3</v>
      </c>
      <c r="AG32" t="str">
        <f>Tokens!AI34</f>
        <v>accès membre pour les after party officielles pour deux (2) personnes</v>
      </c>
      <c r="AH32" t="str">
        <f>Tokens!AJ34</f>
        <v>avantage4</v>
      </c>
      <c r="AI32" t="str">
        <f>Tokens!AK34</f>
        <v>accès prioritaire et bar dédié (consommation à la charge du festivalier) - tables réservées à l'avance pour les « NFT member » pour deux (2) personnes</v>
      </c>
      <c r="AJ32" t="str">
        <f>Tokens!AL34</f>
        <v>avantage5</v>
      </c>
      <c r="AK32" t="str">
        <f>Tokens!AM34</f>
        <v>1 affiche numérotée (quelques unes seront signées au hasard)</v>
      </c>
      <c r="AL32">
        <f>Tokens!AN34</f>
        <v>0</v>
      </c>
      <c r="AM32">
        <f>Tokens!AO34</f>
        <v>0</v>
      </c>
      <c r="AN32">
        <f>Tokens!AP34</f>
        <v>0</v>
      </c>
      <c r="AO32">
        <f>Tokens!AQ34</f>
        <v>0</v>
      </c>
      <c r="AP32">
        <f>Tokens!AR34</f>
        <v>0</v>
      </c>
      <c r="AQ32">
        <f>Tokens!AS34</f>
        <v>0</v>
      </c>
      <c r="AR32">
        <f>Tokens!AT34</f>
        <v>0</v>
      </c>
      <c r="AS32">
        <f>Tokens!AU34</f>
        <v>0</v>
      </c>
      <c r="AT32" t="str">
        <f>Tokens!AV34</f>
        <v>Validation</v>
      </c>
      <c r="AU32" t="str">
        <f>Tokens!AW34</f>
        <v>https://tokensol.nfluent.io?s=COR22B31&amp;platform=ftx</v>
      </c>
      <c r="AV32" t="str">
        <f>Tokens!AX34</f>
        <v>paul</v>
      </c>
      <c r="AW32">
        <f>Tokens!AY34</f>
        <v>10</v>
      </c>
      <c r="AX32" t="str">
        <f>Tokens!AZ34</f>
        <v>sophie</v>
      </c>
      <c r="AY32">
        <f>Tokens!BA34</f>
        <v>90</v>
      </c>
      <c r="AZ32">
        <f>Tokens!BB34</f>
        <v>0</v>
      </c>
      <c r="BA32">
        <f>Tokens!BC34</f>
        <v>0</v>
      </c>
      <c r="BB32" t="str">
        <f>Tokens!BD34</f>
        <v>https://bafybeicgtrhjweckx2vfwtyokcngfyecfczyi234bo576emk7czddpc2du.ipfs.nftstorage.link?CALVI_12.mp4</v>
      </c>
      <c r="BC32" t="str">
        <f>Tokens!BE34</f>
        <v>mp4</v>
      </c>
      <c r="BD32">
        <f>Tokens!BF34</f>
        <v>0</v>
      </c>
      <c r="BE32">
        <f>Tokens!BG34</f>
        <v>0</v>
      </c>
      <c r="BF32">
        <f>Tokens!BH34</f>
        <v>0</v>
      </c>
      <c r="BG32">
        <f>Tokens!BI34</f>
        <v>0</v>
      </c>
      <c r="BH32" t="str">
        <f>Tokens!BJ34</f>
        <v>A Madonna Di A Sierra</v>
      </c>
      <c r="BI32" t="str">
        <f>Tokens!BK34</f>
        <v>Calvi On The Rocks</v>
      </c>
    </row>
    <row r="33" spans="1:61" x14ac:dyDescent="0.25">
      <c r="A33" t="str">
        <f>Tokens!C35</f>
        <v>A Madonna Di A Sierra #32</v>
      </c>
      <c r="B33" t="str">
        <f>Tokens!D35</f>
        <v>COR22B32</v>
      </c>
      <c r="C33" t="str">
        <f>Tokens!E35</f>
        <v>A Madonna Di A Sierra, 3 ans - Pass NFT 5 jours pour 2 personnes, valable pour 3 éditions Calvi On The Rocks de votre choix.</v>
      </c>
      <c r="D33">
        <f>Tokens!F35</f>
        <v>1000</v>
      </c>
      <c r="E33" t="str">
        <f>Tokens!G35</f>
        <v>https://bafybeifn66nejxx7rt6jn4suhgwmlyq7e4r6aridiqmyu7v4hqky7hmls4.ipfs.nftstorage.link?visual22.png</v>
      </c>
      <c r="F33" t="str">
        <f>Tokens!H35</f>
        <v>NfluenT for Calvi On The rocks</v>
      </c>
      <c r="G33">
        <f>Tokens!I35</f>
        <v>0</v>
      </c>
      <c r="H33" t="str">
        <f>Tokens!J35</f>
        <v>Pass festival</v>
      </c>
      <c r="I33" t="str">
        <f>Tokens!K35</f>
        <v>pour deux(2) personnes</v>
      </c>
      <c r="J33" t="str">
        <f>Tokens!L35</f>
        <v>Edition1</v>
      </c>
      <c r="K33">
        <f>Tokens!M35</f>
        <v>2</v>
      </c>
      <c r="L33" t="str">
        <f>Tokens!N35</f>
        <v>Edition2</v>
      </c>
      <c r="M33">
        <f>Tokens!O35</f>
        <v>2</v>
      </c>
      <c r="N33" t="str">
        <f>Tokens!P35</f>
        <v>Edition3</v>
      </c>
      <c r="O33">
        <f>Tokens!Q35</f>
        <v>2</v>
      </c>
      <c r="P33">
        <f>Tokens!R35</f>
        <v>0</v>
      </c>
      <c r="Q33">
        <f>Tokens!S35</f>
        <v>0</v>
      </c>
      <c r="R33">
        <f>Tokens!T35</f>
        <v>0</v>
      </c>
      <c r="S33">
        <f>Tokens!U35</f>
        <v>0</v>
      </c>
      <c r="T33" t="str">
        <f>Tokens!V35</f>
        <v>Dernière utilisation</v>
      </c>
      <c r="U33">
        <f>Tokens!W35</f>
        <v>0</v>
      </c>
      <c r="V33">
        <f>Tokens!X35</f>
        <v>0</v>
      </c>
      <c r="W33">
        <f>Tokens!Y35</f>
        <v>0</v>
      </c>
      <c r="X33" t="str">
        <f>Tokens!Z35</f>
        <v>avantage1</v>
      </c>
      <c r="Y33" t="str">
        <f>Tokens!AA35</f>
        <v>accès pour deux (2) personnes à un (1) événement partenaire officiel de Calvi on the Rocks</v>
      </c>
      <c r="Z33">
        <f>Tokens!AB35</f>
        <v>0</v>
      </c>
      <c r="AA33">
        <f>Tokens!AC35</f>
        <v>0</v>
      </c>
      <c r="AB33">
        <f>Tokens!AD35</f>
        <v>0</v>
      </c>
      <c r="AC33">
        <f>Tokens!AE35</f>
        <v>0</v>
      </c>
      <c r="AD33" t="str">
        <f>Tokens!AF35</f>
        <v>avantage2</v>
      </c>
      <c r="AE33" t="str">
        <f>Tokens!AG35</f>
        <v>invitation à la “Soirée off” réservée aux membres NFT pour deux (2) personnes</v>
      </c>
      <c r="AF33" t="str">
        <f>Tokens!AH35</f>
        <v>avantage3</v>
      </c>
      <c r="AG33" t="str">
        <f>Tokens!AI35</f>
        <v>accès membre pour les after party officielles pour deux (2) personnes</v>
      </c>
      <c r="AH33" t="str">
        <f>Tokens!AJ35</f>
        <v>avantage4</v>
      </c>
      <c r="AI33" t="str">
        <f>Tokens!AK35</f>
        <v>accès prioritaire et bar dédié (consommation à la charge du festivalier) - tables réservées à l'avance pour les « NFT member » pour deux (2) personnes</v>
      </c>
      <c r="AJ33" t="str">
        <f>Tokens!AL35</f>
        <v>avantage5</v>
      </c>
      <c r="AK33" t="str">
        <f>Tokens!AM35</f>
        <v>1 affiche numérotée (quelques unes seront signées au hasard)</v>
      </c>
      <c r="AL33">
        <f>Tokens!AN35</f>
        <v>0</v>
      </c>
      <c r="AM33">
        <f>Tokens!AO35</f>
        <v>0</v>
      </c>
      <c r="AN33">
        <f>Tokens!AP35</f>
        <v>0</v>
      </c>
      <c r="AO33">
        <f>Tokens!AQ35</f>
        <v>0</v>
      </c>
      <c r="AP33">
        <f>Tokens!AR35</f>
        <v>0</v>
      </c>
      <c r="AQ33">
        <f>Tokens!AS35</f>
        <v>0</v>
      </c>
      <c r="AR33">
        <f>Tokens!AT35</f>
        <v>0</v>
      </c>
      <c r="AS33">
        <f>Tokens!AU35</f>
        <v>0</v>
      </c>
      <c r="AT33" t="str">
        <f>Tokens!AV35</f>
        <v>Validation</v>
      </c>
      <c r="AU33" t="str">
        <f>Tokens!AW35</f>
        <v>https://tokensol.nfluent.io?s=COR22B32&amp;platform=ftx</v>
      </c>
      <c r="AV33" t="str">
        <f>Tokens!AX35</f>
        <v>paul</v>
      </c>
      <c r="AW33">
        <f>Tokens!AY35</f>
        <v>10</v>
      </c>
      <c r="AX33" t="str">
        <f>Tokens!AZ35</f>
        <v>sophie</v>
      </c>
      <c r="AY33">
        <f>Tokens!BA35</f>
        <v>90</v>
      </c>
      <c r="AZ33">
        <f>Tokens!BB35</f>
        <v>0</v>
      </c>
      <c r="BA33">
        <f>Tokens!BC35</f>
        <v>0</v>
      </c>
      <c r="BB33" t="str">
        <f>Tokens!BD35</f>
        <v>https://bafybeicgtrhjweckx2vfwtyokcngfyecfczyi234bo576emk7czddpc2du.ipfs.nftstorage.link?CALVI_12.mp4</v>
      </c>
      <c r="BC33" t="str">
        <f>Tokens!BE35</f>
        <v>mp4</v>
      </c>
      <c r="BD33">
        <f>Tokens!BF35</f>
        <v>0</v>
      </c>
      <c r="BE33">
        <f>Tokens!BG35</f>
        <v>0</v>
      </c>
      <c r="BF33">
        <f>Tokens!BH35</f>
        <v>0</v>
      </c>
      <c r="BG33">
        <f>Tokens!BI35</f>
        <v>0</v>
      </c>
      <c r="BH33" t="str">
        <f>Tokens!BJ35</f>
        <v>A Madonna Di A Sierra</v>
      </c>
      <c r="BI33" t="str">
        <f>Tokens!BK35</f>
        <v>Calvi On The Rocks</v>
      </c>
    </row>
    <row r="34" spans="1:61" x14ac:dyDescent="0.25">
      <c r="A34" t="str">
        <f>Tokens!C36</f>
        <v>A Madonna Di A Sierra #33</v>
      </c>
      <c r="B34" t="str">
        <f>Tokens!D36</f>
        <v>COR22B33</v>
      </c>
      <c r="C34" t="str">
        <f>Tokens!E36</f>
        <v>A Madonna Di A Sierra, 3 ans - Pass NFT 5 jours pour 2 personnes, valable pour 3 éditions Calvi On The Rocks de votre choix.</v>
      </c>
      <c r="D34">
        <f>Tokens!F36</f>
        <v>1000</v>
      </c>
      <c r="E34" t="str">
        <f>Tokens!G36</f>
        <v>https://bafybeidtqtromxhkelayphkjm24j45h2hagt2lsptrsoudykjpa2e7crcm.ipfs.nftstorage.link?visual23.png</v>
      </c>
      <c r="F34" t="str">
        <f>Tokens!H36</f>
        <v>NfluenT for Calvi On The rocks</v>
      </c>
      <c r="G34">
        <f>Tokens!I36</f>
        <v>0</v>
      </c>
      <c r="H34" t="str">
        <f>Tokens!J36</f>
        <v>Pass festival</v>
      </c>
      <c r="I34" t="str">
        <f>Tokens!K36</f>
        <v>pour deux(2) personnes</v>
      </c>
      <c r="J34" t="str">
        <f>Tokens!L36</f>
        <v>Edition1</v>
      </c>
      <c r="K34">
        <f>Tokens!M36</f>
        <v>2</v>
      </c>
      <c r="L34" t="str">
        <f>Tokens!N36</f>
        <v>Edition2</v>
      </c>
      <c r="M34">
        <f>Tokens!O36</f>
        <v>2</v>
      </c>
      <c r="N34" t="str">
        <f>Tokens!P36</f>
        <v>Edition3</v>
      </c>
      <c r="O34">
        <f>Tokens!Q36</f>
        <v>2</v>
      </c>
      <c r="P34">
        <f>Tokens!R36</f>
        <v>0</v>
      </c>
      <c r="Q34">
        <f>Tokens!S36</f>
        <v>0</v>
      </c>
      <c r="R34">
        <f>Tokens!T36</f>
        <v>0</v>
      </c>
      <c r="S34">
        <f>Tokens!U36</f>
        <v>0</v>
      </c>
      <c r="T34" t="str">
        <f>Tokens!V36</f>
        <v>Dernière utilisation</v>
      </c>
      <c r="U34">
        <f>Tokens!W36</f>
        <v>0</v>
      </c>
      <c r="V34">
        <f>Tokens!X36</f>
        <v>0</v>
      </c>
      <c r="W34">
        <f>Tokens!Y36</f>
        <v>0</v>
      </c>
      <c r="X34" t="str">
        <f>Tokens!Z36</f>
        <v>avantage1</v>
      </c>
      <c r="Y34" t="str">
        <f>Tokens!AA36</f>
        <v>accès pour deux (2) personnes à un (1) événement partenaire officiel de Calvi on the Rocks</v>
      </c>
      <c r="Z34">
        <f>Tokens!AB36</f>
        <v>0</v>
      </c>
      <c r="AA34">
        <f>Tokens!AC36</f>
        <v>0</v>
      </c>
      <c r="AB34">
        <f>Tokens!AD36</f>
        <v>0</v>
      </c>
      <c r="AC34">
        <f>Tokens!AE36</f>
        <v>0</v>
      </c>
      <c r="AD34" t="str">
        <f>Tokens!AF36</f>
        <v>avantage2</v>
      </c>
      <c r="AE34" t="str">
        <f>Tokens!AG36</f>
        <v>invitation à la “Soirée off” réservée aux membres NFT pour deux (2) personnes</v>
      </c>
      <c r="AF34" t="str">
        <f>Tokens!AH36</f>
        <v>avantage3</v>
      </c>
      <c r="AG34" t="str">
        <f>Tokens!AI36</f>
        <v>accès membre pour les after party officielles pour deux (2) personnes</v>
      </c>
      <c r="AH34" t="str">
        <f>Tokens!AJ36</f>
        <v>avantage4</v>
      </c>
      <c r="AI34" t="str">
        <f>Tokens!AK36</f>
        <v>accès prioritaire et bar dédié (consommation à la charge du festivalier) - tables réservées à l'avance pour les « NFT member » pour deux (2) personnes</v>
      </c>
      <c r="AJ34" t="str">
        <f>Tokens!AL36</f>
        <v>avantage5</v>
      </c>
      <c r="AK34" t="str">
        <f>Tokens!AM36</f>
        <v>1 affiche numérotée (quelques unes seront signées au hasard)</v>
      </c>
      <c r="AL34">
        <f>Tokens!AN36</f>
        <v>0</v>
      </c>
      <c r="AM34">
        <f>Tokens!AO36</f>
        <v>0</v>
      </c>
      <c r="AN34">
        <f>Tokens!AP36</f>
        <v>0</v>
      </c>
      <c r="AO34">
        <f>Tokens!AQ36</f>
        <v>0</v>
      </c>
      <c r="AP34">
        <f>Tokens!AR36</f>
        <v>0</v>
      </c>
      <c r="AQ34">
        <f>Tokens!AS36</f>
        <v>0</v>
      </c>
      <c r="AR34">
        <f>Tokens!AT36</f>
        <v>0</v>
      </c>
      <c r="AS34">
        <f>Tokens!AU36</f>
        <v>0</v>
      </c>
      <c r="AT34" t="str">
        <f>Tokens!AV36</f>
        <v>Validation</v>
      </c>
      <c r="AU34" t="str">
        <f>Tokens!AW36</f>
        <v>https://tokensol.nfluent.io?s=COR22B33&amp;platform=ftx</v>
      </c>
      <c r="AV34" t="str">
        <f>Tokens!AX36</f>
        <v>paul</v>
      </c>
      <c r="AW34">
        <f>Tokens!AY36</f>
        <v>10</v>
      </c>
      <c r="AX34" t="str">
        <f>Tokens!AZ36</f>
        <v>sophie</v>
      </c>
      <c r="AY34">
        <f>Tokens!BA36</f>
        <v>90</v>
      </c>
      <c r="AZ34">
        <f>Tokens!BB36</f>
        <v>0</v>
      </c>
      <c r="BA34">
        <f>Tokens!BC36</f>
        <v>0</v>
      </c>
      <c r="BB34" t="str">
        <f>Tokens!BD36</f>
        <v>https://bafybeicgtrhjweckx2vfwtyokcngfyecfczyi234bo576emk7czddpc2du.ipfs.nftstorage.link?CALVI_12.mp4</v>
      </c>
      <c r="BC34" t="str">
        <f>Tokens!BE36</f>
        <v>mp4</v>
      </c>
      <c r="BD34">
        <f>Tokens!BF36</f>
        <v>0</v>
      </c>
      <c r="BE34">
        <f>Tokens!BG36</f>
        <v>0</v>
      </c>
      <c r="BF34">
        <f>Tokens!BH36</f>
        <v>0</v>
      </c>
      <c r="BG34">
        <f>Tokens!BI36</f>
        <v>0</v>
      </c>
      <c r="BH34" t="str">
        <f>Tokens!BJ36</f>
        <v>A Madonna Di A Sierra</v>
      </c>
      <c r="BI34" t="str">
        <f>Tokens!BK36</f>
        <v>Calvi On The Rocks</v>
      </c>
    </row>
    <row r="35" spans="1:61" x14ac:dyDescent="0.25">
      <c r="A35" t="str">
        <f>Tokens!C37</f>
        <v>A Madonna Di A Sierra #34</v>
      </c>
      <c r="B35" t="str">
        <f>Tokens!D37</f>
        <v>COR22B34</v>
      </c>
      <c r="C35" t="str">
        <f>Tokens!E37</f>
        <v>A Madonna Di A Sierra, 3 ans - Pass NFT 5 jours pour 2 personnes, valable pour 3 éditions Calvi On The Rocks de votre choix.</v>
      </c>
      <c r="D35">
        <f>Tokens!F37</f>
        <v>1000</v>
      </c>
      <c r="E35" t="str">
        <f>Tokens!G37</f>
        <v>https://bafybeif2bhwpejyg4gu5cyerssze743mqqesjyduwqbvfqlwycyjlc4bra.ipfs.nftstorage.link?visual24.png</v>
      </c>
      <c r="F35" t="str">
        <f>Tokens!H37</f>
        <v>NfluenT for Calvi On The rocks</v>
      </c>
      <c r="G35">
        <f>Tokens!I37</f>
        <v>0</v>
      </c>
      <c r="H35" t="str">
        <f>Tokens!J37</f>
        <v>Pass festival</v>
      </c>
      <c r="I35" t="str">
        <f>Tokens!K37</f>
        <v>pour deux(2) personnes</v>
      </c>
      <c r="J35" t="str">
        <f>Tokens!L37</f>
        <v>Edition1</v>
      </c>
      <c r="K35">
        <f>Tokens!M37</f>
        <v>2</v>
      </c>
      <c r="L35" t="str">
        <f>Tokens!N37</f>
        <v>Edition2</v>
      </c>
      <c r="M35">
        <f>Tokens!O37</f>
        <v>2</v>
      </c>
      <c r="N35" t="str">
        <f>Tokens!P37</f>
        <v>Edition3</v>
      </c>
      <c r="O35">
        <f>Tokens!Q37</f>
        <v>2</v>
      </c>
      <c r="P35">
        <f>Tokens!R37</f>
        <v>0</v>
      </c>
      <c r="Q35">
        <f>Tokens!S37</f>
        <v>0</v>
      </c>
      <c r="R35">
        <f>Tokens!T37</f>
        <v>0</v>
      </c>
      <c r="S35">
        <f>Tokens!U37</f>
        <v>0</v>
      </c>
      <c r="T35" t="str">
        <f>Tokens!V37</f>
        <v>Dernière utilisation</v>
      </c>
      <c r="U35">
        <f>Tokens!W37</f>
        <v>0</v>
      </c>
      <c r="V35">
        <f>Tokens!X37</f>
        <v>0</v>
      </c>
      <c r="W35">
        <f>Tokens!Y37</f>
        <v>0</v>
      </c>
      <c r="X35" t="str">
        <f>Tokens!Z37</f>
        <v>avantage1</v>
      </c>
      <c r="Y35" t="str">
        <f>Tokens!AA37</f>
        <v>accès pour deux (2) personnes à un (1) événement partenaire officiel de Calvi on the Rocks</v>
      </c>
      <c r="Z35">
        <f>Tokens!AB37</f>
        <v>0</v>
      </c>
      <c r="AA35">
        <f>Tokens!AC37</f>
        <v>0</v>
      </c>
      <c r="AB35">
        <f>Tokens!AD37</f>
        <v>0</v>
      </c>
      <c r="AC35">
        <f>Tokens!AE37</f>
        <v>0</v>
      </c>
      <c r="AD35" t="str">
        <f>Tokens!AF37</f>
        <v>avantage2</v>
      </c>
      <c r="AE35" t="str">
        <f>Tokens!AG37</f>
        <v>invitation à la “Soirée off” réservée aux membres NFT pour deux (2) personnes</v>
      </c>
      <c r="AF35" t="str">
        <f>Tokens!AH37</f>
        <v>avantage3</v>
      </c>
      <c r="AG35" t="str">
        <f>Tokens!AI37</f>
        <v>accès membre pour les after party officielles pour deux (2) personnes</v>
      </c>
      <c r="AH35" t="str">
        <f>Tokens!AJ37</f>
        <v>avantage4</v>
      </c>
      <c r="AI35" t="str">
        <f>Tokens!AK37</f>
        <v>accès prioritaire et bar dédié (consommation à la charge du festivalier) - tables réservées à l'avance pour les « NFT member » pour deux (2) personnes</v>
      </c>
      <c r="AJ35" t="str">
        <f>Tokens!AL37</f>
        <v>avantage5</v>
      </c>
      <c r="AK35" t="str">
        <f>Tokens!AM37</f>
        <v>1 affiche numérotée (quelques unes seront signées au hasard)</v>
      </c>
      <c r="AL35">
        <f>Tokens!AN37</f>
        <v>0</v>
      </c>
      <c r="AM35">
        <f>Tokens!AO37</f>
        <v>0</v>
      </c>
      <c r="AN35">
        <f>Tokens!AP37</f>
        <v>0</v>
      </c>
      <c r="AO35">
        <f>Tokens!AQ37</f>
        <v>0</v>
      </c>
      <c r="AP35">
        <f>Tokens!AR37</f>
        <v>0</v>
      </c>
      <c r="AQ35">
        <f>Tokens!AS37</f>
        <v>0</v>
      </c>
      <c r="AR35">
        <f>Tokens!AT37</f>
        <v>0</v>
      </c>
      <c r="AS35">
        <f>Tokens!AU37</f>
        <v>0</v>
      </c>
      <c r="AT35" t="str">
        <f>Tokens!AV37</f>
        <v>Validation</v>
      </c>
      <c r="AU35" t="str">
        <f>Tokens!AW37</f>
        <v>https://tokensol.nfluent.io?s=COR22B34&amp;platform=ftx</v>
      </c>
      <c r="AV35" t="str">
        <f>Tokens!AX37</f>
        <v>paul</v>
      </c>
      <c r="AW35">
        <f>Tokens!AY37</f>
        <v>10</v>
      </c>
      <c r="AX35" t="str">
        <f>Tokens!AZ37</f>
        <v>sophie</v>
      </c>
      <c r="AY35">
        <f>Tokens!BA37</f>
        <v>90</v>
      </c>
      <c r="AZ35">
        <f>Tokens!BB37</f>
        <v>0</v>
      </c>
      <c r="BA35">
        <f>Tokens!BC37</f>
        <v>0</v>
      </c>
      <c r="BB35" t="str">
        <f>Tokens!BD37</f>
        <v>https://bafybeicgtrhjweckx2vfwtyokcngfyecfczyi234bo576emk7czddpc2du.ipfs.nftstorage.link?CALVI_12.mp4</v>
      </c>
      <c r="BC35" t="str">
        <f>Tokens!BE37</f>
        <v>mp4</v>
      </c>
      <c r="BD35">
        <f>Tokens!BF37</f>
        <v>0</v>
      </c>
      <c r="BE35">
        <f>Tokens!BG37</f>
        <v>0</v>
      </c>
      <c r="BF35">
        <f>Tokens!BH37</f>
        <v>0</v>
      </c>
      <c r="BG35">
        <f>Tokens!BI37</f>
        <v>0</v>
      </c>
      <c r="BH35" t="str">
        <f>Tokens!BJ37</f>
        <v>A Madonna Di A Sierra</v>
      </c>
      <c r="BI35" t="str">
        <f>Tokens!BK37</f>
        <v>Calvi On The Rocks</v>
      </c>
    </row>
    <row r="36" spans="1:61" x14ac:dyDescent="0.25">
      <c r="A36" t="str">
        <f>Tokens!C38</f>
        <v>A Madonna Di A Sierra #35</v>
      </c>
      <c r="B36" t="str">
        <f>Tokens!D38</f>
        <v>COR22B35</v>
      </c>
      <c r="C36" t="str">
        <f>Tokens!E38</f>
        <v>A Madonna Di A Sierra, 3 ans - Pass NFT 5 jours pour 2 personnes, valable pour 3 éditions Calvi On The Rocks de votre choix.</v>
      </c>
      <c r="D36">
        <f>Tokens!F38</f>
        <v>1000</v>
      </c>
      <c r="E36" t="str">
        <f>Tokens!G38</f>
        <v>https://bafybeig7xmla2v3w5c7lngdb43dmzjwtyvicdskanjtpay4wc26dqey35y.ipfs.nftstorage.link?visual25.png</v>
      </c>
      <c r="F36" t="str">
        <f>Tokens!H38</f>
        <v>NfluenT for Calvi On The rocks</v>
      </c>
      <c r="G36">
        <f>Tokens!I38</f>
        <v>0</v>
      </c>
      <c r="H36" t="str">
        <f>Tokens!J38</f>
        <v>Pass festival</v>
      </c>
      <c r="I36" t="str">
        <f>Tokens!K38</f>
        <v>pour deux(2) personnes</v>
      </c>
      <c r="J36" t="str">
        <f>Tokens!L38</f>
        <v>Edition1</v>
      </c>
      <c r="K36">
        <f>Tokens!M38</f>
        <v>2</v>
      </c>
      <c r="L36" t="str">
        <f>Tokens!N38</f>
        <v>Edition2</v>
      </c>
      <c r="M36">
        <f>Tokens!O38</f>
        <v>2</v>
      </c>
      <c r="N36" t="str">
        <f>Tokens!P38</f>
        <v>Edition3</v>
      </c>
      <c r="O36">
        <f>Tokens!Q38</f>
        <v>2</v>
      </c>
      <c r="P36">
        <f>Tokens!R38</f>
        <v>0</v>
      </c>
      <c r="Q36">
        <f>Tokens!S38</f>
        <v>0</v>
      </c>
      <c r="R36">
        <f>Tokens!T38</f>
        <v>0</v>
      </c>
      <c r="S36">
        <f>Tokens!U38</f>
        <v>0</v>
      </c>
      <c r="T36" t="str">
        <f>Tokens!V38</f>
        <v>Dernière utilisation</v>
      </c>
      <c r="U36">
        <f>Tokens!W38</f>
        <v>0</v>
      </c>
      <c r="V36">
        <f>Tokens!X38</f>
        <v>0</v>
      </c>
      <c r="W36">
        <f>Tokens!Y38</f>
        <v>0</v>
      </c>
      <c r="X36" t="str">
        <f>Tokens!Z38</f>
        <v>avantage1</v>
      </c>
      <c r="Y36" t="str">
        <f>Tokens!AA38</f>
        <v>accès pour deux (2) personnes à un (1) événement partenaire officiel de Calvi on the Rocks</v>
      </c>
      <c r="Z36">
        <f>Tokens!AB38</f>
        <v>0</v>
      </c>
      <c r="AA36">
        <f>Tokens!AC38</f>
        <v>0</v>
      </c>
      <c r="AB36">
        <f>Tokens!AD38</f>
        <v>0</v>
      </c>
      <c r="AC36">
        <f>Tokens!AE38</f>
        <v>0</v>
      </c>
      <c r="AD36" t="str">
        <f>Tokens!AF38</f>
        <v>avantage2</v>
      </c>
      <c r="AE36" t="str">
        <f>Tokens!AG38</f>
        <v>invitation à la “Soirée off” réservée aux membres NFT pour deux (2) personnes</v>
      </c>
      <c r="AF36" t="str">
        <f>Tokens!AH38</f>
        <v>avantage3</v>
      </c>
      <c r="AG36" t="str">
        <f>Tokens!AI38</f>
        <v>accès membre pour les after party officielles pour deux (2) personnes</v>
      </c>
      <c r="AH36" t="str">
        <f>Tokens!AJ38</f>
        <v>avantage4</v>
      </c>
      <c r="AI36" t="str">
        <f>Tokens!AK38</f>
        <v>accès prioritaire et bar dédié (consommation à la charge du festivalier) - tables réservées à l'avance pour les « NFT member » pour deux (2) personnes</v>
      </c>
      <c r="AJ36" t="str">
        <f>Tokens!AL38</f>
        <v>avantage5</v>
      </c>
      <c r="AK36" t="str">
        <f>Tokens!AM38</f>
        <v>1 affiche numérotée (quelques unes seront signées au hasard)</v>
      </c>
      <c r="AL36">
        <f>Tokens!AN38</f>
        <v>0</v>
      </c>
      <c r="AM36">
        <f>Tokens!AO38</f>
        <v>0</v>
      </c>
      <c r="AN36">
        <f>Tokens!AP38</f>
        <v>0</v>
      </c>
      <c r="AO36">
        <f>Tokens!AQ38</f>
        <v>0</v>
      </c>
      <c r="AP36">
        <f>Tokens!AR38</f>
        <v>0</v>
      </c>
      <c r="AQ36">
        <f>Tokens!AS38</f>
        <v>0</v>
      </c>
      <c r="AR36">
        <f>Tokens!AT38</f>
        <v>0</v>
      </c>
      <c r="AS36">
        <f>Tokens!AU38</f>
        <v>0</v>
      </c>
      <c r="AT36" t="str">
        <f>Tokens!AV38</f>
        <v>Validation</v>
      </c>
      <c r="AU36" t="str">
        <f>Tokens!AW38</f>
        <v>https://tokensol.nfluent.io?s=COR22B35&amp;platform=ftx</v>
      </c>
      <c r="AV36" t="str">
        <f>Tokens!AX38</f>
        <v>paul</v>
      </c>
      <c r="AW36">
        <f>Tokens!AY38</f>
        <v>10</v>
      </c>
      <c r="AX36" t="str">
        <f>Tokens!AZ38</f>
        <v>sophie</v>
      </c>
      <c r="AY36">
        <f>Tokens!BA38</f>
        <v>90</v>
      </c>
      <c r="AZ36">
        <f>Tokens!BB38</f>
        <v>0</v>
      </c>
      <c r="BA36">
        <f>Tokens!BC38</f>
        <v>0</v>
      </c>
      <c r="BB36" t="str">
        <f>Tokens!BD38</f>
        <v>https://bafybeicgtrhjweckx2vfwtyokcngfyecfczyi234bo576emk7czddpc2du.ipfs.nftstorage.link?CALVI_12.mp4</v>
      </c>
      <c r="BC36" t="str">
        <f>Tokens!BE38</f>
        <v>mp4</v>
      </c>
      <c r="BD36">
        <f>Tokens!BF38</f>
        <v>0</v>
      </c>
      <c r="BE36">
        <f>Tokens!BG38</f>
        <v>0</v>
      </c>
      <c r="BF36">
        <f>Tokens!BH38</f>
        <v>0</v>
      </c>
      <c r="BG36">
        <f>Tokens!BI38</f>
        <v>0</v>
      </c>
      <c r="BH36" t="str">
        <f>Tokens!BJ38</f>
        <v>A Madonna Di A Sierra</v>
      </c>
      <c r="BI36" t="str">
        <f>Tokens!BK38</f>
        <v>Calvi On The Rocks</v>
      </c>
    </row>
    <row r="37" spans="1:61" x14ac:dyDescent="0.25">
      <c r="A37" t="str">
        <f>Tokens!C39</f>
        <v>A Madonna Di A Sierra #36</v>
      </c>
      <c r="B37" t="str">
        <f>Tokens!D39</f>
        <v>COR22B36</v>
      </c>
      <c r="C37" t="str">
        <f>Tokens!E39</f>
        <v>A Madonna Di A Sierra, 3 ans - Pass NFT 5 jours pour 2 personnes, valable pour 3 éditions Calvi On The Rocks de votre choix.</v>
      </c>
      <c r="D37">
        <f>Tokens!F39</f>
        <v>1000</v>
      </c>
      <c r="E37" t="str">
        <f>Tokens!G39</f>
        <v>https://bafybeiaylo3bttjf2e3az7rnxpjc752jhuvsgyw634cnxxfhsl4ce2owiq.ipfs.nftstorage.link?visual26.png</v>
      </c>
      <c r="F37" t="str">
        <f>Tokens!H39</f>
        <v>NfluenT for Calvi On The rocks</v>
      </c>
      <c r="G37">
        <f>Tokens!I39</f>
        <v>0</v>
      </c>
      <c r="H37" t="str">
        <f>Tokens!J39</f>
        <v>Pass festival</v>
      </c>
      <c r="I37" t="str">
        <f>Tokens!K39</f>
        <v>pour deux(2) personnes</v>
      </c>
      <c r="J37" t="str">
        <f>Tokens!L39</f>
        <v>Edition1</v>
      </c>
      <c r="K37">
        <f>Tokens!M39</f>
        <v>2</v>
      </c>
      <c r="L37" t="str">
        <f>Tokens!N39</f>
        <v>Edition2</v>
      </c>
      <c r="M37">
        <f>Tokens!O39</f>
        <v>2</v>
      </c>
      <c r="N37" t="str">
        <f>Tokens!P39</f>
        <v>Edition3</v>
      </c>
      <c r="O37">
        <f>Tokens!Q39</f>
        <v>2</v>
      </c>
      <c r="P37">
        <f>Tokens!R39</f>
        <v>0</v>
      </c>
      <c r="Q37">
        <f>Tokens!S39</f>
        <v>0</v>
      </c>
      <c r="R37">
        <f>Tokens!T39</f>
        <v>0</v>
      </c>
      <c r="S37">
        <f>Tokens!U39</f>
        <v>0</v>
      </c>
      <c r="T37" t="str">
        <f>Tokens!V39</f>
        <v>Dernière utilisation</v>
      </c>
      <c r="U37">
        <f>Tokens!W39</f>
        <v>0</v>
      </c>
      <c r="V37">
        <f>Tokens!X39</f>
        <v>0</v>
      </c>
      <c r="W37">
        <f>Tokens!Y39</f>
        <v>0</v>
      </c>
      <c r="X37" t="str">
        <f>Tokens!Z39</f>
        <v>avantage1</v>
      </c>
      <c r="Y37" t="str">
        <f>Tokens!AA39</f>
        <v>accès pour deux (2) personnes à un (1) événement partenaire officiel de Calvi on the Rocks</v>
      </c>
      <c r="Z37">
        <f>Tokens!AB39</f>
        <v>0</v>
      </c>
      <c r="AA37">
        <f>Tokens!AC39</f>
        <v>0</v>
      </c>
      <c r="AB37">
        <f>Tokens!AD39</f>
        <v>0</v>
      </c>
      <c r="AC37">
        <f>Tokens!AE39</f>
        <v>0</v>
      </c>
      <c r="AD37" t="str">
        <f>Tokens!AF39</f>
        <v>avantage2</v>
      </c>
      <c r="AE37" t="str">
        <f>Tokens!AG39</f>
        <v>invitation à la “Soirée off” réservée aux membres NFT pour deux (2) personnes</v>
      </c>
      <c r="AF37" t="str">
        <f>Tokens!AH39</f>
        <v>avantage3</v>
      </c>
      <c r="AG37" t="str">
        <f>Tokens!AI39</f>
        <v>accès membre pour les after party officielles pour deux (2) personnes</v>
      </c>
      <c r="AH37" t="str">
        <f>Tokens!AJ39</f>
        <v>avantage4</v>
      </c>
      <c r="AI37" t="str">
        <f>Tokens!AK39</f>
        <v>accès prioritaire et bar dédié (consommation à la charge du festivalier) - tables réservées à l'avance pour les « NFT member » pour deux (2) personnes</v>
      </c>
      <c r="AJ37" t="str">
        <f>Tokens!AL39</f>
        <v>avantage5</v>
      </c>
      <c r="AK37" t="str">
        <f>Tokens!AM39</f>
        <v>1 affiche numérotée (quelques unes seront signées au hasard)</v>
      </c>
      <c r="AL37">
        <f>Tokens!AN39</f>
        <v>0</v>
      </c>
      <c r="AM37">
        <f>Tokens!AO39</f>
        <v>0</v>
      </c>
      <c r="AN37">
        <f>Tokens!AP39</f>
        <v>0</v>
      </c>
      <c r="AO37">
        <f>Tokens!AQ39</f>
        <v>0</v>
      </c>
      <c r="AP37">
        <f>Tokens!AR39</f>
        <v>0</v>
      </c>
      <c r="AQ37">
        <f>Tokens!AS39</f>
        <v>0</v>
      </c>
      <c r="AR37">
        <f>Tokens!AT39</f>
        <v>0</v>
      </c>
      <c r="AS37">
        <f>Tokens!AU39</f>
        <v>0</v>
      </c>
      <c r="AT37" t="str">
        <f>Tokens!AV39</f>
        <v>Validation</v>
      </c>
      <c r="AU37" t="str">
        <f>Tokens!AW39</f>
        <v>https://tokensol.nfluent.io?s=COR22B36&amp;platform=ftx</v>
      </c>
      <c r="AV37" t="str">
        <f>Tokens!AX39</f>
        <v>paul</v>
      </c>
      <c r="AW37">
        <f>Tokens!AY39</f>
        <v>10</v>
      </c>
      <c r="AX37" t="str">
        <f>Tokens!AZ39</f>
        <v>sophie</v>
      </c>
      <c r="AY37">
        <f>Tokens!BA39</f>
        <v>90</v>
      </c>
      <c r="AZ37">
        <f>Tokens!BB39</f>
        <v>0</v>
      </c>
      <c r="BA37">
        <f>Tokens!BC39</f>
        <v>0</v>
      </c>
      <c r="BB37" t="str">
        <f>Tokens!BD39</f>
        <v>https://bafybeicgtrhjweckx2vfwtyokcngfyecfczyi234bo576emk7czddpc2du.ipfs.nftstorage.link?CALVI_12.mp4</v>
      </c>
      <c r="BC37" t="str">
        <f>Tokens!BE39</f>
        <v>mp4</v>
      </c>
      <c r="BD37">
        <f>Tokens!BF39</f>
        <v>0</v>
      </c>
      <c r="BE37">
        <f>Tokens!BG39</f>
        <v>0</v>
      </c>
      <c r="BF37">
        <f>Tokens!BH39</f>
        <v>0</v>
      </c>
      <c r="BG37">
        <f>Tokens!BI39</f>
        <v>0</v>
      </c>
      <c r="BH37" t="str">
        <f>Tokens!BJ39</f>
        <v>A Madonna Di A Sierra</v>
      </c>
      <c r="BI37" t="str">
        <f>Tokens!BK39</f>
        <v>Calvi On The Rocks</v>
      </c>
    </row>
    <row r="38" spans="1:61" x14ac:dyDescent="0.25">
      <c r="A38" t="str">
        <f>Tokens!C40</f>
        <v>A Madonna Di A Sierra #37</v>
      </c>
      <c r="B38" t="str">
        <f>Tokens!D40</f>
        <v>COR22B37</v>
      </c>
      <c r="C38" t="str">
        <f>Tokens!E40</f>
        <v>A Madonna Di A Sierra, 3 ans - Pass NFT 5 jours pour 2 personnes, valable pour 3 éditions Calvi On The Rocks de votre choix.</v>
      </c>
      <c r="D38">
        <f>Tokens!F40</f>
        <v>1000</v>
      </c>
      <c r="E38" t="str">
        <f>Tokens!G40</f>
        <v>https://bafybeibz3hkeupsgmscgttlzdt6iin5zcgigqkge245xc6bglqgguqcgda.ipfs.nftstorage.link?visual27.png</v>
      </c>
      <c r="F38" t="str">
        <f>Tokens!H40</f>
        <v>NfluenT for Calvi On The rocks</v>
      </c>
      <c r="G38">
        <f>Tokens!I40</f>
        <v>0</v>
      </c>
      <c r="H38" t="str">
        <f>Tokens!J40</f>
        <v>Pass festival</v>
      </c>
      <c r="I38" t="str">
        <f>Tokens!K40</f>
        <v>pour deux(2) personnes</v>
      </c>
      <c r="J38" t="str">
        <f>Tokens!L40</f>
        <v>Edition1</v>
      </c>
      <c r="K38">
        <f>Tokens!M40</f>
        <v>2</v>
      </c>
      <c r="L38" t="str">
        <f>Tokens!N40</f>
        <v>Edition2</v>
      </c>
      <c r="M38">
        <f>Tokens!O40</f>
        <v>2</v>
      </c>
      <c r="N38" t="str">
        <f>Tokens!P40</f>
        <v>Edition3</v>
      </c>
      <c r="O38">
        <f>Tokens!Q40</f>
        <v>2</v>
      </c>
      <c r="P38">
        <f>Tokens!R40</f>
        <v>0</v>
      </c>
      <c r="Q38">
        <f>Tokens!S40</f>
        <v>0</v>
      </c>
      <c r="R38">
        <f>Tokens!T40</f>
        <v>0</v>
      </c>
      <c r="S38">
        <f>Tokens!U40</f>
        <v>0</v>
      </c>
      <c r="T38" t="str">
        <f>Tokens!V40</f>
        <v>Dernière utilisation</v>
      </c>
      <c r="U38">
        <f>Tokens!W40</f>
        <v>0</v>
      </c>
      <c r="V38">
        <f>Tokens!X40</f>
        <v>0</v>
      </c>
      <c r="W38">
        <f>Tokens!Y40</f>
        <v>0</v>
      </c>
      <c r="X38" t="str">
        <f>Tokens!Z40</f>
        <v>avantage1</v>
      </c>
      <c r="Y38" t="str">
        <f>Tokens!AA40</f>
        <v>accès pour deux (2) personnes à un (1) événement partenaire officiel de Calvi on the Rocks</v>
      </c>
      <c r="Z38">
        <f>Tokens!AB40</f>
        <v>0</v>
      </c>
      <c r="AA38">
        <f>Tokens!AC40</f>
        <v>0</v>
      </c>
      <c r="AB38">
        <f>Tokens!AD40</f>
        <v>0</v>
      </c>
      <c r="AC38">
        <f>Tokens!AE40</f>
        <v>0</v>
      </c>
      <c r="AD38" t="str">
        <f>Tokens!AF40</f>
        <v>avantage2</v>
      </c>
      <c r="AE38" t="str">
        <f>Tokens!AG40</f>
        <v>invitation à la “Soirée off” réservée aux membres NFT pour deux (2) personnes</v>
      </c>
      <c r="AF38" t="str">
        <f>Tokens!AH40</f>
        <v>avantage3</v>
      </c>
      <c r="AG38" t="str">
        <f>Tokens!AI40</f>
        <v>accès membre pour les after party officielles pour deux (2) personnes</v>
      </c>
      <c r="AH38" t="str">
        <f>Tokens!AJ40</f>
        <v>avantage4</v>
      </c>
      <c r="AI38" t="str">
        <f>Tokens!AK40</f>
        <v>accès prioritaire et bar dédié (consommation à la charge du festivalier) - tables réservées à l'avance pour les « NFT member » pour deux (2) personnes</v>
      </c>
      <c r="AJ38" t="str">
        <f>Tokens!AL40</f>
        <v>avantage5</v>
      </c>
      <c r="AK38" t="str">
        <f>Tokens!AM40</f>
        <v>1 affiche numérotée (quelques unes seront signées au hasard)</v>
      </c>
      <c r="AL38">
        <f>Tokens!AN40</f>
        <v>0</v>
      </c>
      <c r="AM38">
        <f>Tokens!AO40</f>
        <v>0</v>
      </c>
      <c r="AN38">
        <f>Tokens!AP40</f>
        <v>0</v>
      </c>
      <c r="AO38">
        <f>Tokens!AQ40</f>
        <v>0</v>
      </c>
      <c r="AP38">
        <f>Tokens!AR40</f>
        <v>0</v>
      </c>
      <c r="AQ38">
        <f>Tokens!AS40</f>
        <v>0</v>
      </c>
      <c r="AR38">
        <f>Tokens!AT40</f>
        <v>0</v>
      </c>
      <c r="AS38">
        <f>Tokens!AU40</f>
        <v>0</v>
      </c>
      <c r="AT38" t="str">
        <f>Tokens!AV40</f>
        <v>Validation</v>
      </c>
      <c r="AU38" t="str">
        <f>Tokens!AW40</f>
        <v>https://tokensol.nfluent.io?s=COR22B37&amp;platform=ftx</v>
      </c>
      <c r="AV38" t="str">
        <f>Tokens!AX40</f>
        <v>paul</v>
      </c>
      <c r="AW38">
        <f>Tokens!AY40</f>
        <v>10</v>
      </c>
      <c r="AX38" t="str">
        <f>Tokens!AZ40</f>
        <v>sophie</v>
      </c>
      <c r="AY38">
        <f>Tokens!BA40</f>
        <v>90</v>
      </c>
      <c r="AZ38">
        <f>Tokens!BB40</f>
        <v>0</v>
      </c>
      <c r="BA38">
        <f>Tokens!BC40</f>
        <v>0</v>
      </c>
      <c r="BB38" t="str">
        <f>Tokens!BD40</f>
        <v>https://bafybeicgtrhjweckx2vfwtyokcngfyecfczyi234bo576emk7czddpc2du.ipfs.nftstorage.link?CALVI_12.mp4</v>
      </c>
      <c r="BC38" t="str">
        <f>Tokens!BE40</f>
        <v>mp4</v>
      </c>
      <c r="BD38">
        <f>Tokens!BF40</f>
        <v>0</v>
      </c>
      <c r="BE38">
        <f>Tokens!BG40</f>
        <v>0</v>
      </c>
      <c r="BF38">
        <f>Tokens!BH40</f>
        <v>0</v>
      </c>
      <c r="BG38">
        <f>Tokens!BI40</f>
        <v>0</v>
      </c>
      <c r="BH38" t="str">
        <f>Tokens!BJ40</f>
        <v>A Madonna Di A Sierra</v>
      </c>
      <c r="BI38" t="str">
        <f>Tokens!BK40</f>
        <v>Calvi On The Rocks</v>
      </c>
    </row>
    <row r="39" spans="1:61" x14ac:dyDescent="0.25">
      <c r="A39" t="str">
        <f>Tokens!C41</f>
        <v>A Madonna Di A Sierra #38</v>
      </c>
      <c r="B39" t="str">
        <f>Tokens!D41</f>
        <v>COR22B38</v>
      </c>
      <c r="C39" t="str">
        <f>Tokens!E41</f>
        <v>A Madonna Di A Sierra, 3 ans - Pass NFT 5 jours pour 2 personnes, valable pour 3 éditions Calvi On The Rocks de votre choix.</v>
      </c>
      <c r="D39">
        <f>Tokens!F41</f>
        <v>1000</v>
      </c>
      <c r="E39" t="str">
        <f>Tokens!G41</f>
        <v>https://bafybeiftbctvtrbh5jvq5y4ci3nh6poyczei3fkajqcnbvtxrbfaf32xum.ipfs.nftstorage.link?visual28.png</v>
      </c>
      <c r="F39" t="str">
        <f>Tokens!H41</f>
        <v>NfluenT for Calvi On The rocks</v>
      </c>
      <c r="G39">
        <f>Tokens!I41</f>
        <v>0</v>
      </c>
      <c r="H39" t="str">
        <f>Tokens!J41</f>
        <v>Pass festival</v>
      </c>
      <c r="I39" t="str">
        <f>Tokens!K41</f>
        <v>pour deux(2) personnes</v>
      </c>
      <c r="J39" t="str">
        <f>Tokens!L41</f>
        <v>Edition1</v>
      </c>
      <c r="K39">
        <f>Tokens!M41</f>
        <v>2</v>
      </c>
      <c r="L39" t="str">
        <f>Tokens!N41</f>
        <v>Edition2</v>
      </c>
      <c r="M39">
        <f>Tokens!O41</f>
        <v>2</v>
      </c>
      <c r="N39" t="str">
        <f>Tokens!P41</f>
        <v>Edition3</v>
      </c>
      <c r="O39">
        <f>Tokens!Q41</f>
        <v>2</v>
      </c>
      <c r="P39">
        <f>Tokens!R41</f>
        <v>0</v>
      </c>
      <c r="Q39">
        <f>Tokens!S41</f>
        <v>0</v>
      </c>
      <c r="R39">
        <f>Tokens!T41</f>
        <v>0</v>
      </c>
      <c r="S39">
        <f>Tokens!U41</f>
        <v>0</v>
      </c>
      <c r="T39" t="str">
        <f>Tokens!V41</f>
        <v>Dernière utilisation</v>
      </c>
      <c r="U39">
        <f>Tokens!W41</f>
        <v>0</v>
      </c>
      <c r="V39">
        <f>Tokens!X41</f>
        <v>0</v>
      </c>
      <c r="W39">
        <f>Tokens!Y41</f>
        <v>0</v>
      </c>
      <c r="X39" t="str">
        <f>Tokens!Z41</f>
        <v>avantage1</v>
      </c>
      <c r="Y39" t="str">
        <f>Tokens!AA41</f>
        <v>accès pour deux (2) personnes à un (1) événement partenaire officiel de Calvi on the Rocks</v>
      </c>
      <c r="Z39">
        <f>Tokens!AB41</f>
        <v>0</v>
      </c>
      <c r="AA39">
        <f>Tokens!AC41</f>
        <v>0</v>
      </c>
      <c r="AB39">
        <f>Tokens!AD41</f>
        <v>0</v>
      </c>
      <c r="AC39">
        <f>Tokens!AE41</f>
        <v>0</v>
      </c>
      <c r="AD39" t="str">
        <f>Tokens!AF41</f>
        <v>avantage2</v>
      </c>
      <c r="AE39" t="str">
        <f>Tokens!AG41</f>
        <v>invitation à la “Soirée off” réservée aux membres NFT pour deux (2) personnes</v>
      </c>
      <c r="AF39" t="str">
        <f>Tokens!AH41</f>
        <v>avantage3</v>
      </c>
      <c r="AG39" t="str">
        <f>Tokens!AI41</f>
        <v>accès membre pour les after party officielles pour deux (2) personnes</v>
      </c>
      <c r="AH39" t="str">
        <f>Tokens!AJ41</f>
        <v>avantage4</v>
      </c>
      <c r="AI39" t="str">
        <f>Tokens!AK41</f>
        <v>accès prioritaire et bar dédié (consommation à la charge du festivalier) - tables réservées à l'avance pour les « NFT member » pour deux (2) personnes</v>
      </c>
      <c r="AJ39" t="str">
        <f>Tokens!AL41</f>
        <v>avantage5</v>
      </c>
      <c r="AK39" t="str">
        <f>Tokens!AM41</f>
        <v>1 affiche numérotée (quelques unes seront signées au hasard)</v>
      </c>
      <c r="AL39">
        <f>Tokens!AN41</f>
        <v>0</v>
      </c>
      <c r="AM39">
        <f>Tokens!AO41</f>
        <v>0</v>
      </c>
      <c r="AN39">
        <f>Tokens!AP41</f>
        <v>0</v>
      </c>
      <c r="AO39">
        <f>Tokens!AQ41</f>
        <v>0</v>
      </c>
      <c r="AP39">
        <f>Tokens!AR41</f>
        <v>0</v>
      </c>
      <c r="AQ39">
        <f>Tokens!AS41</f>
        <v>0</v>
      </c>
      <c r="AR39">
        <f>Tokens!AT41</f>
        <v>0</v>
      </c>
      <c r="AS39">
        <f>Tokens!AU41</f>
        <v>0</v>
      </c>
      <c r="AT39" t="str">
        <f>Tokens!AV41</f>
        <v>Validation</v>
      </c>
      <c r="AU39" t="str">
        <f>Tokens!AW41</f>
        <v>https://tokensol.nfluent.io?s=COR22B38&amp;platform=ftx</v>
      </c>
      <c r="AV39" t="str">
        <f>Tokens!AX41</f>
        <v>paul</v>
      </c>
      <c r="AW39">
        <f>Tokens!AY41</f>
        <v>10</v>
      </c>
      <c r="AX39" t="str">
        <f>Tokens!AZ41</f>
        <v>sophie</v>
      </c>
      <c r="AY39">
        <f>Tokens!BA41</f>
        <v>90</v>
      </c>
      <c r="AZ39">
        <f>Tokens!BB41</f>
        <v>0</v>
      </c>
      <c r="BA39">
        <f>Tokens!BC41</f>
        <v>0</v>
      </c>
      <c r="BB39" t="str">
        <f>Tokens!BD41</f>
        <v>https://bafybeicgtrhjweckx2vfwtyokcngfyecfczyi234bo576emk7czddpc2du.ipfs.nftstorage.link?CALVI_12.mp4</v>
      </c>
      <c r="BC39" t="str">
        <f>Tokens!BE41</f>
        <v>mp4</v>
      </c>
      <c r="BD39">
        <f>Tokens!BF41</f>
        <v>0</v>
      </c>
      <c r="BE39">
        <f>Tokens!BG41</f>
        <v>0</v>
      </c>
      <c r="BF39">
        <f>Tokens!BH41</f>
        <v>0</v>
      </c>
      <c r="BG39">
        <f>Tokens!BI41</f>
        <v>0</v>
      </c>
      <c r="BH39" t="str">
        <f>Tokens!BJ41</f>
        <v>A Madonna Di A Sierra</v>
      </c>
      <c r="BI39" t="str">
        <f>Tokens!BK41</f>
        <v>Calvi On The Rocks</v>
      </c>
    </row>
    <row r="40" spans="1:61" x14ac:dyDescent="0.25">
      <c r="A40" t="str">
        <f>Tokens!C42</f>
        <v>A Madonna Di A Sierra #39</v>
      </c>
      <c r="B40" t="str">
        <f>Tokens!D42</f>
        <v>COR22B39</v>
      </c>
      <c r="C40" t="str">
        <f>Tokens!E42</f>
        <v>A Madonna Di A Sierra, 3 ans - Pass NFT 5 jours pour 2 personnes, valable pour 3 éditions Calvi On The Rocks de votre choix.</v>
      </c>
      <c r="D40">
        <f>Tokens!F42</f>
        <v>1000</v>
      </c>
      <c r="E40" t="str">
        <f>Tokens!G42</f>
        <v>https://bafybeigwilgv2i5u5numqngwbfwc7wbrwlxjfz5oijbko36epe4tdtn4pe.ipfs.nftstorage.link?visual29.png</v>
      </c>
      <c r="F40" t="str">
        <f>Tokens!H42</f>
        <v>NfluenT for Calvi On The rocks</v>
      </c>
      <c r="G40">
        <f>Tokens!I42</f>
        <v>0</v>
      </c>
      <c r="H40" t="str">
        <f>Tokens!J42</f>
        <v>Pass festival</v>
      </c>
      <c r="I40" t="str">
        <f>Tokens!K42</f>
        <v>pour deux(2) personnes</v>
      </c>
      <c r="J40" t="str">
        <f>Tokens!L42</f>
        <v>Edition1</v>
      </c>
      <c r="K40">
        <f>Tokens!M42</f>
        <v>2</v>
      </c>
      <c r="L40" t="str">
        <f>Tokens!N42</f>
        <v>Edition2</v>
      </c>
      <c r="M40">
        <f>Tokens!O42</f>
        <v>2</v>
      </c>
      <c r="N40" t="str">
        <f>Tokens!P42</f>
        <v>Edition3</v>
      </c>
      <c r="O40">
        <f>Tokens!Q42</f>
        <v>2</v>
      </c>
      <c r="P40">
        <f>Tokens!R42</f>
        <v>0</v>
      </c>
      <c r="Q40">
        <f>Tokens!S42</f>
        <v>0</v>
      </c>
      <c r="R40">
        <f>Tokens!T42</f>
        <v>0</v>
      </c>
      <c r="S40">
        <f>Tokens!U42</f>
        <v>0</v>
      </c>
      <c r="T40" t="str">
        <f>Tokens!V42</f>
        <v>Dernière utilisation</v>
      </c>
      <c r="U40">
        <f>Tokens!W42</f>
        <v>0</v>
      </c>
      <c r="V40">
        <f>Tokens!X42</f>
        <v>0</v>
      </c>
      <c r="W40">
        <f>Tokens!Y42</f>
        <v>0</v>
      </c>
      <c r="X40" t="str">
        <f>Tokens!Z42</f>
        <v>avantage1</v>
      </c>
      <c r="Y40" t="str">
        <f>Tokens!AA42</f>
        <v>accès pour deux (2) personnes à un (1) événement partenaire officiel de Calvi on the Rocks</v>
      </c>
      <c r="Z40">
        <f>Tokens!AB42</f>
        <v>0</v>
      </c>
      <c r="AA40">
        <f>Tokens!AC42</f>
        <v>0</v>
      </c>
      <c r="AB40">
        <f>Tokens!AD42</f>
        <v>0</v>
      </c>
      <c r="AC40">
        <f>Tokens!AE42</f>
        <v>0</v>
      </c>
      <c r="AD40" t="str">
        <f>Tokens!AF42</f>
        <v>avantage2</v>
      </c>
      <c r="AE40" t="str">
        <f>Tokens!AG42</f>
        <v>invitation à la “Soirée off” réservée aux membres NFT pour deux (2) personnes</v>
      </c>
      <c r="AF40" t="str">
        <f>Tokens!AH42</f>
        <v>avantage3</v>
      </c>
      <c r="AG40" t="str">
        <f>Tokens!AI42</f>
        <v>accès membre pour les after party officielles pour deux (2) personnes</v>
      </c>
      <c r="AH40" t="str">
        <f>Tokens!AJ42</f>
        <v>avantage4</v>
      </c>
      <c r="AI40" t="str">
        <f>Tokens!AK42</f>
        <v>accès prioritaire et bar dédié (consommation à la charge du festivalier) - tables réservées à l'avance pour les « NFT member » pour deux (2) personnes</v>
      </c>
      <c r="AJ40" t="str">
        <f>Tokens!AL42</f>
        <v>avantage5</v>
      </c>
      <c r="AK40" t="str">
        <f>Tokens!AM42</f>
        <v>1 affiche numérotée (quelques unes seront signées au hasard)</v>
      </c>
      <c r="AL40">
        <f>Tokens!AN42</f>
        <v>0</v>
      </c>
      <c r="AM40">
        <f>Tokens!AO42</f>
        <v>0</v>
      </c>
      <c r="AN40">
        <f>Tokens!AP42</f>
        <v>0</v>
      </c>
      <c r="AO40">
        <f>Tokens!AQ42</f>
        <v>0</v>
      </c>
      <c r="AP40">
        <f>Tokens!AR42</f>
        <v>0</v>
      </c>
      <c r="AQ40">
        <f>Tokens!AS42</f>
        <v>0</v>
      </c>
      <c r="AR40">
        <f>Tokens!AT42</f>
        <v>0</v>
      </c>
      <c r="AS40">
        <f>Tokens!AU42</f>
        <v>0</v>
      </c>
      <c r="AT40" t="str">
        <f>Tokens!AV42</f>
        <v>Validation</v>
      </c>
      <c r="AU40" t="str">
        <f>Tokens!AW42</f>
        <v>https://tokensol.nfluent.io?s=COR22B39&amp;platform=ftx</v>
      </c>
      <c r="AV40" t="str">
        <f>Tokens!AX42</f>
        <v>paul</v>
      </c>
      <c r="AW40">
        <f>Tokens!AY42</f>
        <v>10</v>
      </c>
      <c r="AX40" t="str">
        <f>Tokens!AZ42</f>
        <v>sophie</v>
      </c>
      <c r="AY40">
        <f>Tokens!BA42</f>
        <v>90</v>
      </c>
      <c r="AZ40">
        <f>Tokens!BB42</f>
        <v>0</v>
      </c>
      <c r="BA40">
        <f>Tokens!BC42</f>
        <v>0</v>
      </c>
      <c r="BB40" t="str">
        <f>Tokens!BD42</f>
        <v>https://bafybeicgtrhjweckx2vfwtyokcngfyecfczyi234bo576emk7czddpc2du.ipfs.nftstorage.link?CALVI_12.mp4</v>
      </c>
      <c r="BC40" t="str">
        <f>Tokens!BE42</f>
        <v>mp4</v>
      </c>
      <c r="BD40">
        <f>Tokens!BF42</f>
        <v>0</v>
      </c>
      <c r="BE40">
        <f>Tokens!BG42</f>
        <v>0</v>
      </c>
      <c r="BF40">
        <f>Tokens!BH42</f>
        <v>0</v>
      </c>
      <c r="BG40">
        <f>Tokens!BI42</f>
        <v>0</v>
      </c>
      <c r="BH40" t="str">
        <f>Tokens!BJ42</f>
        <v>A Madonna Di A Sierra</v>
      </c>
      <c r="BI40" t="str">
        <f>Tokens!BK42</f>
        <v>Calvi On The Rocks</v>
      </c>
    </row>
    <row r="41" spans="1:61" x14ac:dyDescent="0.25">
      <c r="A41" t="str">
        <f>Tokens!C43</f>
        <v>A Madonna Di A Sierra #40</v>
      </c>
      <c r="B41" t="str">
        <f>Tokens!D43</f>
        <v>COR22B40</v>
      </c>
      <c r="C41" t="str">
        <f>Tokens!E43</f>
        <v>A Madonna Di A Sierra, 3 ans - Pass NFT 5 jours pour 2 personnes, valable pour 3 éditions Calvi On The Rocks de votre choix.</v>
      </c>
      <c r="D41">
        <f>Tokens!F43</f>
        <v>1000</v>
      </c>
      <c r="E41" t="str">
        <f>Tokens!G43</f>
        <v>https://bafybeiaqsm5jtxm2xzqesrbuwjw7hg6evn6sntwtahomckn7wmkfg6xsci.ipfs.nftstorage.link?visual30.png</v>
      </c>
      <c r="F41" t="str">
        <f>Tokens!H43</f>
        <v>NfluenT for Calvi On The rocks</v>
      </c>
      <c r="G41">
        <f>Tokens!I43</f>
        <v>0</v>
      </c>
      <c r="H41" t="str">
        <f>Tokens!J43</f>
        <v>Pass festival</v>
      </c>
      <c r="I41" t="str">
        <f>Tokens!K43</f>
        <v>pour deux(2) personnes</v>
      </c>
      <c r="J41" t="str">
        <f>Tokens!L43</f>
        <v>Edition1</v>
      </c>
      <c r="K41">
        <f>Tokens!M43</f>
        <v>2</v>
      </c>
      <c r="L41" t="str">
        <f>Tokens!N43</f>
        <v>Edition2</v>
      </c>
      <c r="M41">
        <f>Tokens!O43</f>
        <v>2</v>
      </c>
      <c r="N41" t="str">
        <f>Tokens!P43</f>
        <v>Edition3</v>
      </c>
      <c r="O41">
        <f>Tokens!Q43</f>
        <v>2</v>
      </c>
      <c r="P41">
        <f>Tokens!R43</f>
        <v>0</v>
      </c>
      <c r="Q41">
        <f>Tokens!S43</f>
        <v>0</v>
      </c>
      <c r="R41">
        <f>Tokens!T43</f>
        <v>0</v>
      </c>
      <c r="S41">
        <f>Tokens!U43</f>
        <v>0</v>
      </c>
      <c r="T41" t="str">
        <f>Tokens!V43</f>
        <v>Dernière utilisation</v>
      </c>
      <c r="U41">
        <f>Tokens!W43</f>
        <v>0</v>
      </c>
      <c r="V41">
        <f>Tokens!X43</f>
        <v>0</v>
      </c>
      <c r="W41">
        <f>Tokens!Y43</f>
        <v>0</v>
      </c>
      <c r="X41" t="str">
        <f>Tokens!Z43</f>
        <v>avantage1</v>
      </c>
      <c r="Y41" t="str">
        <f>Tokens!AA43</f>
        <v>accès pour deux (2) personnes à un (1) événement partenaire officiel de Calvi on the Rocks</v>
      </c>
      <c r="Z41">
        <f>Tokens!AB43</f>
        <v>0</v>
      </c>
      <c r="AA41">
        <f>Tokens!AC43</f>
        <v>0</v>
      </c>
      <c r="AB41">
        <f>Tokens!AD43</f>
        <v>0</v>
      </c>
      <c r="AC41">
        <f>Tokens!AE43</f>
        <v>0</v>
      </c>
      <c r="AD41" t="str">
        <f>Tokens!AF43</f>
        <v>avantage2</v>
      </c>
      <c r="AE41" t="str">
        <f>Tokens!AG43</f>
        <v>invitation à la “Soirée off” réservée aux membres NFT pour deux (2) personnes</v>
      </c>
      <c r="AF41" t="str">
        <f>Tokens!AH43</f>
        <v>avantage3</v>
      </c>
      <c r="AG41" t="str">
        <f>Tokens!AI43</f>
        <v>accès membre pour les after party officielles pour deux (2) personnes</v>
      </c>
      <c r="AH41" t="str">
        <f>Tokens!AJ43</f>
        <v>avantage4</v>
      </c>
      <c r="AI41" t="str">
        <f>Tokens!AK43</f>
        <v>accès prioritaire et bar dédié (consommation à la charge du festivalier) - tables réservées à l'avance pour les « NFT member » pour deux (2) personnes</v>
      </c>
      <c r="AJ41" t="str">
        <f>Tokens!AL43</f>
        <v>avantage5</v>
      </c>
      <c r="AK41" t="str">
        <f>Tokens!AM43</f>
        <v>1 affiche numérotée (quelques unes seront signées au hasard)</v>
      </c>
      <c r="AL41">
        <f>Tokens!AN43</f>
        <v>0</v>
      </c>
      <c r="AM41">
        <f>Tokens!AO43</f>
        <v>0</v>
      </c>
      <c r="AN41">
        <f>Tokens!AP43</f>
        <v>0</v>
      </c>
      <c r="AO41">
        <f>Tokens!AQ43</f>
        <v>0</v>
      </c>
      <c r="AP41">
        <f>Tokens!AR43</f>
        <v>0</v>
      </c>
      <c r="AQ41">
        <f>Tokens!AS43</f>
        <v>0</v>
      </c>
      <c r="AR41">
        <f>Tokens!AT43</f>
        <v>0</v>
      </c>
      <c r="AS41">
        <f>Tokens!AU43</f>
        <v>0</v>
      </c>
      <c r="AT41" t="str">
        <f>Tokens!AV43</f>
        <v>Validation</v>
      </c>
      <c r="AU41" t="str">
        <f>Tokens!AW43</f>
        <v>https://tokensol.nfluent.io?s=COR22B40&amp;platform=ftx</v>
      </c>
      <c r="AV41" t="str">
        <f>Tokens!AX43</f>
        <v>paul</v>
      </c>
      <c r="AW41">
        <f>Tokens!AY43</f>
        <v>10</v>
      </c>
      <c r="AX41" t="str">
        <f>Tokens!AZ43</f>
        <v>sophie</v>
      </c>
      <c r="AY41">
        <f>Tokens!BA43</f>
        <v>90</v>
      </c>
      <c r="AZ41">
        <f>Tokens!BB43</f>
        <v>0</v>
      </c>
      <c r="BA41">
        <f>Tokens!BC43</f>
        <v>0</v>
      </c>
      <c r="BB41" t="str">
        <f>Tokens!BD43</f>
        <v>https://bafybeicgtrhjweckx2vfwtyokcngfyecfczyi234bo576emk7czddpc2du.ipfs.nftstorage.link?CALVI_12.mp4</v>
      </c>
      <c r="BC41" t="str">
        <f>Tokens!BE43</f>
        <v>mp4</v>
      </c>
      <c r="BD41">
        <f>Tokens!BF43</f>
        <v>0</v>
      </c>
      <c r="BE41">
        <f>Tokens!BG43</f>
        <v>0</v>
      </c>
      <c r="BF41">
        <f>Tokens!BH43</f>
        <v>0</v>
      </c>
      <c r="BG41">
        <f>Tokens!BI43</f>
        <v>0</v>
      </c>
      <c r="BH41" t="str">
        <f>Tokens!BJ43</f>
        <v>A Madonna Di A Sierra</v>
      </c>
      <c r="BI41" t="str">
        <f>Tokens!BK43</f>
        <v>Calvi On The Rocks</v>
      </c>
    </row>
    <row r="42" spans="1:61" x14ac:dyDescent="0.25">
      <c r="A42" t="str">
        <f>Tokens!C44</f>
        <v>A Madonna Di A Sierra #41</v>
      </c>
      <c r="B42" t="str">
        <f>Tokens!D44</f>
        <v>COR22B41</v>
      </c>
      <c r="C42" t="str">
        <f>Tokens!E44</f>
        <v>A Madonna Di A Sierra, 3 ans - Pass NFT 5 jours pour 2 personnes, valable pour 3 éditions Calvi On The Rocks de votre choix.</v>
      </c>
      <c r="D42">
        <f>Tokens!F44</f>
        <v>1000</v>
      </c>
      <c r="E42" t="str">
        <f>Tokens!G44</f>
        <v>https://bafybeicfi5p5wry5tnu3xqqi3yjvvgicf6f2yg4ehs7xt2y7fckdofflk4.ipfs.nftstorage.link?visual31.png</v>
      </c>
      <c r="F42" t="str">
        <f>Tokens!H44</f>
        <v>NfluenT for Calvi On The rocks</v>
      </c>
      <c r="G42">
        <f>Tokens!I44</f>
        <v>0</v>
      </c>
      <c r="H42" t="str">
        <f>Tokens!J44</f>
        <v>Pass festival</v>
      </c>
      <c r="I42" t="str">
        <f>Tokens!K44</f>
        <v>pour deux(2) personnes</v>
      </c>
      <c r="J42" t="str">
        <f>Tokens!L44</f>
        <v>Edition1</v>
      </c>
      <c r="K42">
        <f>Tokens!M44</f>
        <v>2</v>
      </c>
      <c r="L42" t="str">
        <f>Tokens!N44</f>
        <v>Edition2</v>
      </c>
      <c r="M42">
        <f>Tokens!O44</f>
        <v>2</v>
      </c>
      <c r="N42" t="str">
        <f>Tokens!P44</f>
        <v>Edition3</v>
      </c>
      <c r="O42">
        <f>Tokens!Q44</f>
        <v>2</v>
      </c>
      <c r="P42">
        <f>Tokens!R44</f>
        <v>0</v>
      </c>
      <c r="Q42">
        <f>Tokens!S44</f>
        <v>0</v>
      </c>
      <c r="R42">
        <f>Tokens!T44</f>
        <v>0</v>
      </c>
      <c r="S42">
        <f>Tokens!U44</f>
        <v>0</v>
      </c>
      <c r="T42" t="str">
        <f>Tokens!V44</f>
        <v>Dernière utilisation</v>
      </c>
      <c r="U42">
        <f>Tokens!W44</f>
        <v>0</v>
      </c>
      <c r="V42">
        <f>Tokens!X44</f>
        <v>0</v>
      </c>
      <c r="W42">
        <f>Tokens!Y44</f>
        <v>0</v>
      </c>
      <c r="X42" t="str">
        <f>Tokens!Z44</f>
        <v>avantage1</v>
      </c>
      <c r="Y42" t="str">
        <f>Tokens!AA44</f>
        <v>accès pour deux (2) personnes à un (1) événement partenaire officiel de Calvi on the Rocks</v>
      </c>
      <c r="Z42">
        <f>Tokens!AB44</f>
        <v>0</v>
      </c>
      <c r="AA42">
        <f>Tokens!AC44</f>
        <v>0</v>
      </c>
      <c r="AB42">
        <f>Tokens!AD44</f>
        <v>0</v>
      </c>
      <c r="AC42">
        <f>Tokens!AE44</f>
        <v>0</v>
      </c>
      <c r="AD42" t="str">
        <f>Tokens!AF44</f>
        <v>avantage2</v>
      </c>
      <c r="AE42" t="str">
        <f>Tokens!AG44</f>
        <v>invitation à la “Soirée off” réservée aux membres NFT pour deux (2) personnes</v>
      </c>
      <c r="AF42" t="str">
        <f>Tokens!AH44</f>
        <v>avantage3</v>
      </c>
      <c r="AG42" t="str">
        <f>Tokens!AI44</f>
        <v>accès membre pour les after party officielles pour deux (2) personnes</v>
      </c>
      <c r="AH42" t="str">
        <f>Tokens!AJ44</f>
        <v>avantage4</v>
      </c>
      <c r="AI42" t="str">
        <f>Tokens!AK44</f>
        <v>accès prioritaire et bar dédié (consommation à la charge du festivalier) - tables réservées à l'avance pour les « NFT member » pour deux (2) personnes</v>
      </c>
      <c r="AJ42" t="str">
        <f>Tokens!AL44</f>
        <v>avantage5</v>
      </c>
      <c r="AK42" t="str">
        <f>Tokens!AM44</f>
        <v>1 affiche numérotée (quelques unes seront signées au hasard)</v>
      </c>
      <c r="AL42">
        <f>Tokens!AN44</f>
        <v>0</v>
      </c>
      <c r="AM42">
        <f>Tokens!AO44</f>
        <v>0</v>
      </c>
      <c r="AN42">
        <f>Tokens!AP44</f>
        <v>0</v>
      </c>
      <c r="AO42">
        <f>Tokens!AQ44</f>
        <v>0</v>
      </c>
      <c r="AP42">
        <f>Tokens!AR44</f>
        <v>0</v>
      </c>
      <c r="AQ42">
        <f>Tokens!AS44</f>
        <v>0</v>
      </c>
      <c r="AR42">
        <f>Tokens!AT44</f>
        <v>0</v>
      </c>
      <c r="AS42">
        <f>Tokens!AU44</f>
        <v>0</v>
      </c>
      <c r="AT42" t="str">
        <f>Tokens!AV44</f>
        <v>Validation</v>
      </c>
      <c r="AU42" t="str">
        <f>Tokens!AW44</f>
        <v>https://tokensol.nfluent.io?s=COR22B41&amp;platform=ftx</v>
      </c>
      <c r="AV42" t="str">
        <f>Tokens!AX44</f>
        <v>paul</v>
      </c>
      <c r="AW42">
        <f>Tokens!AY44</f>
        <v>10</v>
      </c>
      <c r="AX42" t="str">
        <f>Tokens!AZ44</f>
        <v>sophie</v>
      </c>
      <c r="AY42">
        <f>Tokens!BA44</f>
        <v>90</v>
      </c>
      <c r="AZ42">
        <f>Tokens!BB44</f>
        <v>0</v>
      </c>
      <c r="BA42">
        <f>Tokens!BC44</f>
        <v>0</v>
      </c>
      <c r="BB42" t="str">
        <f>Tokens!BD44</f>
        <v>https://bafybeicgtrhjweckx2vfwtyokcngfyecfczyi234bo576emk7czddpc2du.ipfs.nftstorage.link?CALVI_12.mp4</v>
      </c>
      <c r="BC42" t="str">
        <f>Tokens!BE44</f>
        <v>mp4</v>
      </c>
      <c r="BD42">
        <f>Tokens!BF44</f>
        <v>0</v>
      </c>
      <c r="BE42">
        <f>Tokens!BG44</f>
        <v>0</v>
      </c>
      <c r="BF42">
        <f>Tokens!BH44</f>
        <v>0</v>
      </c>
      <c r="BG42">
        <f>Tokens!BI44</f>
        <v>0</v>
      </c>
      <c r="BH42" t="str">
        <f>Tokens!BJ44</f>
        <v>A Madonna Di A Sierra</v>
      </c>
      <c r="BI42" t="str">
        <f>Tokens!BK44</f>
        <v>Calvi On The Rocks</v>
      </c>
    </row>
    <row r="43" spans="1:61" x14ac:dyDescent="0.25">
      <c r="A43" t="str">
        <f>Tokens!C45</f>
        <v>A Madonna Di A Sierra #42</v>
      </c>
      <c r="B43" t="str">
        <f>Tokens!D45</f>
        <v>COR22B42</v>
      </c>
      <c r="C43" t="str">
        <f>Tokens!E45</f>
        <v>A Madonna Di A Sierra, 3 ans - Pass NFT 5 jours pour 2 personnes, valable pour 3 éditions Calvi On The Rocks de votre choix.</v>
      </c>
      <c r="D43">
        <f>Tokens!F45</f>
        <v>1000</v>
      </c>
      <c r="E43" t="str">
        <f>Tokens!G45</f>
        <v>https://bafybeih6ebsj4kh2je66d74zt45kguwojpfw5abt3vz634qedwppeeax64.ipfs.nftstorage.link?visual32.png</v>
      </c>
      <c r="F43" t="str">
        <f>Tokens!H45</f>
        <v>NfluenT for Calvi On The rocks</v>
      </c>
      <c r="G43">
        <f>Tokens!I45</f>
        <v>0</v>
      </c>
      <c r="H43" t="str">
        <f>Tokens!J45</f>
        <v>Pass festival</v>
      </c>
      <c r="I43" t="str">
        <f>Tokens!K45</f>
        <v>pour deux(2) personnes</v>
      </c>
      <c r="J43" t="str">
        <f>Tokens!L45</f>
        <v>Edition1</v>
      </c>
      <c r="K43">
        <f>Tokens!M45</f>
        <v>2</v>
      </c>
      <c r="L43" t="str">
        <f>Tokens!N45</f>
        <v>Edition2</v>
      </c>
      <c r="M43">
        <f>Tokens!O45</f>
        <v>2</v>
      </c>
      <c r="N43" t="str">
        <f>Tokens!P45</f>
        <v>Edition3</v>
      </c>
      <c r="O43">
        <f>Tokens!Q45</f>
        <v>2</v>
      </c>
      <c r="P43">
        <f>Tokens!R45</f>
        <v>0</v>
      </c>
      <c r="Q43">
        <f>Tokens!S45</f>
        <v>0</v>
      </c>
      <c r="R43">
        <f>Tokens!T45</f>
        <v>0</v>
      </c>
      <c r="S43">
        <f>Tokens!U45</f>
        <v>0</v>
      </c>
      <c r="T43" t="str">
        <f>Tokens!V45</f>
        <v>Dernière utilisation</v>
      </c>
      <c r="U43">
        <f>Tokens!W45</f>
        <v>0</v>
      </c>
      <c r="V43">
        <f>Tokens!X45</f>
        <v>0</v>
      </c>
      <c r="W43">
        <f>Tokens!Y45</f>
        <v>0</v>
      </c>
      <c r="X43" t="str">
        <f>Tokens!Z45</f>
        <v>avantage1</v>
      </c>
      <c r="Y43" t="str">
        <f>Tokens!AA45</f>
        <v>accès pour deux (2) personnes à un (1) événement partenaire officiel de Calvi on the Rocks</v>
      </c>
      <c r="Z43">
        <f>Tokens!AB45</f>
        <v>0</v>
      </c>
      <c r="AA43">
        <f>Tokens!AC45</f>
        <v>0</v>
      </c>
      <c r="AB43">
        <f>Tokens!AD45</f>
        <v>0</v>
      </c>
      <c r="AC43">
        <f>Tokens!AE45</f>
        <v>0</v>
      </c>
      <c r="AD43" t="str">
        <f>Tokens!AF45</f>
        <v>avantage2</v>
      </c>
      <c r="AE43" t="str">
        <f>Tokens!AG45</f>
        <v>invitation à la “Soirée off” réservée aux membres NFT pour deux (2) personnes</v>
      </c>
      <c r="AF43" t="str">
        <f>Tokens!AH45</f>
        <v>avantage3</v>
      </c>
      <c r="AG43" t="str">
        <f>Tokens!AI45</f>
        <v>accès membre pour les after party officielles pour deux (2) personnes</v>
      </c>
      <c r="AH43" t="str">
        <f>Tokens!AJ45</f>
        <v>avantage4</v>
      </c>
      <c r="AI43" t="str">
        <f>Tokens!AK45</f>
        <v>accès prioritaire et bar dédié (consommation à la charge du festivalier) - tables réservées à l'avance pour les « NFT member » pour deux (2) personnes</v>
      </c>
      <c r="AJ43" t="str">
        <f>Tokens!AL45</f>
        <v>avantage5</v>
      </c>
      <c r="AK43" t="str">
        <f>Tokens!AM45</f>
        <v>1 affiche numérotée (quelques unes seront signées au hasard)</v>
      </c>
      <c r="AL43">
        <f>Tokens!AN45</f>
        <v>0</v>
      </c>
      <c r="AM43">
        <f>Tokens!AO45</f>
        <v>0</v>
      </c>
      <c r="AN43">
        <f>Tokens!AP45</f>
        <v>0</v>
      </c>
      <c r="AO43">
        <f>Tokens!AQ45</f>
        <v>0</v>
      </c>
      <c r="AP43">
        <f>Tokens!AR45</f>
        <v>0</v>
      </c>
      <c r="AQ43">
        <f>Tokens!AS45</f>
        <v>0</v>
      </c>
      <c r="AR43">
        <f>Tokens!AT45</f>
        <v>0</v>
      </c>
      <c r="AS43">
        <f>Tokens!AU45</f>
        <v>0</v>
      </c>
      <c r="AT43" t="str">
        <f>Tokens!AV45</f>
        <v>Validation</v>
      </c>
      <c r="AU43" t="str">
        <f>Tokens!AW45</f>
        <v>https://tokensol.nfluent.io?s=COR22B42&amp;platform=ftx</v>
      </c>
      <c r="AV43" t="str">
        <f>Tokens!AX45</f>
        <v>paul</v>
      </c>
      <c r="AW43">
        <f>Tokens!AY45</f>
        <v>10</v>
      </c>
      <c r="AX43" t="str">
        <f>Tokens!AZ45</f>
        <v>sophie</v>
      </c>
      <c r="AY43">
        <f>Tokens!BA45</f>
        <v>90</v>
      </c>
      <c r="AZ43">
        <f>Tokens!BB45</f>
        <v>0</v>
      </c>
      <c r="BA43">
        <f>Tokens!BC45</f>
        <v>0</v>
      </c>
      <c r="BB43" t="str">
        <f>Tokens!BD45</f>
        <v>https://bafybeicgtrhjweckx2vfwtyokcngfyecfczyi234bo576emk7czddpc2du.ipfs.nftstorage.link?CALVI_12.mp4</v>
      </c>
      <c r="BC43" t="str">
        <f>Tokens!BE45</f>
        <v>mp4</v>
      </c>
      <c r="BD43">
        <f>Tokens!BF45</f>
        <v>0</v>
      </c>
      <c r="BE43">
        <f>Tokens!BG45</f>
        <v>0</v>
      </c>
      <c r="BF43">
        <f>Tokens!BH45</f>
        <v>0</v>
      </c>
      <c r="BG43">
        <f>Tokens!BI45</f>
        <v>0</v>
      </c>
      <c r="BH43" t="str">
        <f>Tokens!BJ45</f>
        <v>A Madonna Di A Sierra</v>
      </c>
      <c r="BI43" t="str">
        <f>Tokens!BK45</f>
        <v>Calvi On The Rocks</v>
      </c>
    </row>
    <row r="44" spans="1:61" x14ac:dyDescent="0.25">
      <c r="A44" t="str">
        <f>Tokens!C46</f>
        <v>A Madonna Di A Sierra #43</v>
      </c>
      <c r="B44" t="str">
        <f>Tokens!D46</f>
        <v>COR22B43</v>
      </c>
      <c r="C44" t="str">
        <f>Tokens!E46</f>
        <v>A Madonna Di A Sierra, 3 ans - Pass NFT 5 jours pour 2 personnes, valable pour 3 éditions Calvi On The Rocks de votre choix.</v>
      </c>
      <c r="D44">
        <f>Tokens!F46</f>
        <v>1000</v>
      </c>
      <c r="E44" t="str">
        <f>Tokens!G46</f>
        <v>https://bafybeic4iywdosthoae7sx7naxozvooy5qjxugmisd6n3qpjdfssx2z5q4.ipfs.nftstorage.link?visual33.png</v>
      </c>
      <c r="F44" t="str">
        <f>Tokens!H46</f>
        <v>NfluenT for Calvi On The rocks</v>
      </c>
      <c r="G44">
        <f>Tokens!I46</f>
        <v>0</v>
      </c>
      <c r="H44" t="str">
        <f>Tokens!J46</f>
        <v>Pass festival</v>
      </c>
      <c r="I44" t="str">
        <f>Tokens!K46</f>
        <v>pour deux(2) personnes</v>
      </c>
      <c r="J44" t="str">
        <f>Tokens!L46</f>
        <v>Edition1</v>
      </c>
      <c r="K44">
        <f>Tokens!M46</f>
        <v>2</v>
      </c>
      <c r="L44" t="str">
        <f>Tokens!N46</f>
        <v>Edition2</v>
      </c>
      <c r="M44">
        <f>Tokens!O46</f>
        <v>2</v>
      </c>
      <c r="N44" t="str">
        <f>Tokens!P46</f>
        <v>Edition3</v>
      </c>
      <c r="O44">
        <f>Tokens!Q46</f>
        <v>2</v>
      </c>
      <c r="P44">
        <f>Tokens!R46</f>
        <v>0</v>
      </c>
      <c r="Q44">
        <f>Tokens!S46</f>
        <v>0</v>
      </c>
      <c r="R44">
        <f>Tokens!T46</f>
        <v>0</v>
      </c>
      <c r="S44">
        <f>Tokens!U46</f>
        <v>0</v>
      </c>
      <c r="T44" t="str">
        <f>Tokens!V46</f>
        <v>Dernière utilisation</v>
      </c>
      <c r="U44">
        <f>Tokens!W46</f>
        <v>0</v>
      </c>
      <c r="V44">
        <f>Tokens!X46</f>
        <v>0</v>
      </c>
      <c r="W44">
        <f>Tokens!Y46</f>
        <v>0</v>
      </c>
      <c r="X44" t="str">
        <f>Tokens!Z46</f>
        <v>avantage1</v>
      </c>
      <c r="Y44" t="str">
        <f>Tokens!AA46</f>
        <v>accès pour deux (2) personnes à un (1) événement partenaire officiel de Calvi on the Rocks</v>
      </c>
      <c r="Z44">
        <f>Tokens!AB46</f>
        <v>0</v>
      </c>
      <c r="AA44">
        <f>Tokens!AC46</f>
        <v>0</v>
      </c>
      <c r="AB44">
        <f>Tokens!AD46</f>
        <v>0</v>
      </c>
      <c r="AC44">
        <f>Tokens!AE46</f>
        <v>0</v>
      </c>
      <c r="AD44" t="str">
        <f>Tokens!AF46</f>
        <v>avantage2</v>
      </c>
      <c r="AE44" t="str">
        <f>Tokens!AG46</f>
        <v>invitation à la “Soirée off” réservée aux membres NFT pour deux (2) personnes</v>
      </c>
      <c r="AF44" t="str">
        <f>Tokens!AH46</f>
        <v>avantage3</v>
      </c>
      <c r="AG44" t="str">
        <f>Tokens!AI46</f>
        <v>accès membre pour les after party officielles pour deux (2) personnes</v>
      </c>
      <c r="AH44" t="str">
        <f>Tokens!AJ46</f>
        <v>avantage4</v>
      </c>
      <c r="AI44" t="str">
        <f>Tokens!AK46</f>
        <v>accès prioritaire et bar dédié (consommation à la charge du festivalier) - tables réservées à l'avance pour les « NFT member » pour deux (2) personnes</v>
      </c>
      <c r="AJ44" t="str">
        <f>Tokens!AL46</f>
        <v>avantage5</v>
      </c>
      <c r="AK44" t="str">
        <f>Tokens!AM46</f>
        <v>1 affiche numérotée (quelques unes seront signées au hasard)</v>
      </c>
      <c r="AL44">
        <f>Tokens!AN46</f>
        <v>0</v>
      </c>
      <c r="AM44">
        <f>Tokens!AO46</f>
        <v>0</v>
      </c>
      <c r="AN44">
        <f>Tokens!AP46</f>
        <v>0</v>
      </c>
      <c r="AO44">
        <f>Tokens!AQ46</f>
        <v>0</v>
      </c>
      <c r="AP44">
        <f>Tokens!AR46</f>
        <v>0</v>
      </c>
      <c r="AQ44">
        <f>Tokens!AS46</f>
        <v>0</v>
      </c>
      <c r="AR44">
        <f>Tokens!AT46</f>
        <v>0</v>
      </c>
      <c r="AS44">
        <f>Tokens!AU46</f>
        <v>0</v>
      </c>
      <c r="AT44" t="str">
        <f>Tokens!AV46</f>
        <v>Validation</v>
      </c>
      <c r="AU44" t="str">
        <f>Tokens!AW46</f>
        <v>https://tokensol.nfluent.io?s=COR22B43&amp;platform=ftx</v>
      </c>
      <c r="AV44" t="str">
        <f>Tokens!AX46</f>
        <v>paul</v>
      </c>
      <c r="AW44">
        <f>Tokens!AY46</f>
        <v>10</v>
      </c>
      <c r="AX44" t="str">
        <f>Tokens!AZ46</f>
        <v>sophie</v>
      </c>
      <c r="AY44">
        <f>Tokens!BA46</f>
        <v>90</v>
      </c>
      <c r="AZ44">
        <f>Tokens!BB46</f>
        <v>0</v>
      </c>
      <c r="BA44">
        <f>Tokens!BC46</f>
        <v>0</v>
      </c>
      <c r="BB44" t="str">
        <f>Tokens!BD46</f>
        <v>https://bafybeicgtrhjweckx2vfwtyokcngfyecfczyi234bo576emk7czddpc2du.ipfs.nftstorage.link?CALVI_12.mp4</v>
      </c>
      <c r="BC44" t="str">
        <f>Tokens!BE46</f>
        <v>mp4</v>
      </c>
      <c r="BD44">
        <f>Tokens!BF46</f>
        <v>0</v>
      </c>
      <c r="BE44">
        <f>Tokens!BG46</f>
        <v>0</v>
      </c>
      <c r="BF44">
        <f>Tokens!BH46</f>
        <v>0</v>
      </c>
      <c r="BG44">
        <f>Tokens!BI46</f>
        <v>0</v>
      </c>
      <c r="BH44" t="str">
        <f>Tokens!BJ46</f>
        <v>A Madonna Di A Sierra</v>
      </c>
      <c r="BI44" t="str">
        <f>Tokens!BK46</f>
        <v>Calvi On The Rocks</v>
      </c>
    </row>
    <row r="45" spans="1:61" x14ac:dyDescent="0.25">
      <c r="A45" t="str">
        <f>Tokens!C47</f>
        <v>A Madonna Di A Sierra #44</v>
      </c>
      <c r="B45" t="str">
        <f>Tokens!D47</f>
        <v>COR22B44</v>
      </c>
      <c r="C45" t="str">
        <f>Tokens!E47</f>
        <v>A Madonna Di A Sierra, 3 ans - Pass NFT 5 jours pour 2 personnes, valable pour 3 éditions Calvi On The Rocks de votre choix.</v>
      </c>
      <c r="D45">
        <f>Tokens!F47</f>
        <v>1000</v>
      </c>
      <c r="E45" t="str">
        <f>Tokens!G47</f>
        <v>https://bafybeibwhe3eb2raspitclkahb4n5feuiatafg4z4rhlvg3mn3lvd6t3qe.ipfs.nftstorage.link?visual34.png</v>
      </c>
      <c r="F45" t="str">
        <f>Tokens!H47</f>
        <v>NfluenT for Calvi On The rocks</v>
      </c>
      <c r="G45">
        <f>Tokens!I47</f>
        <v>0</v>
      </c>
      <c r="H45" t="str">
        <f>Tokens!J47</f>
        <v>Pass festival</v>
      </c>
      <c r="I45" t="str">
        <f>Tokens!K47</f>
        <v>pour deux(2) personnes</v>
      </c>
      <c r="J45" t="str">
        <f>Tokens!L47</f>
        <v>Edition1</v>
      </c>
      <c r="K45">
        <f>Tokens!M47</f>
        <v>2</v>
      </c>
      <c r="L45" t="str">
        <f>Tokens!N47</f>
        <v>Edition2</v>
      </c>
      <c r="M45">
        <f>Tokens!O47</f>
        <v>2</v>
      </c>
      <c r="N45" t="str">
        <f>Tokens!P47</f>
        <v>Edition3</v>
      </c>
      <c r="O45">
        <f>Tokens!Q47</f>
        <v>2</v>
      </c>
      <c r="P45">
        <f>Tokens!R47</f>
        <v>0</v>
      </c>
      <c r="Q45">
        <f>Tokens!S47</f>
        <v>0</v>
      </c>
      <c r="R45">
        <f>Tokens!T47</f>
        <v>0</v>
      </c>
      <c r="S45">
        <f>Tokens!U47</f>
        <v>0</v>
      </c>
      <c r="T45" t="str">
        <f>Tokens!V47</f>
        <v>Dernière utilisation</v>
      </c>
      <c r="U45">
        <f>Tokens!W47</f>
        <v>0</v>
      </c>
      <c r="V45">
        <f>Tokens!X47</f>
        <v>0</v>
      </c>
      <c r="W45">
        <f>Tokens!Y47</f>
        <v>0</v>
      </c>
      <c r="X45" t="str">
        <f>Tokens!Z47</f>
        <v>avantage1</v>
      </c>
      <c r="Y45" t="str">
        <f>Tokens!AA47</f>
        <v>accès pour deux (2) personnes à un (1) événement partenaire officiel de Calvi on the Rocks</v>
      </c>
      <c r="Z45">
        <f>Tokens!AB47</f>
        <v>0</v>
      </c>
      <c r="AA45">
        <f>Tokens!AC47</f>
        <v>0</v>
      </c>
      <c r="AB45">
        <f>Tokens!AD47</f>
        <v>0</v>
      </c>
      <c r="AC45">
        <f>Tokens!AE47</f>
        <v>0</v>
      </c>
      <c r="AD45" t="str">
        <f>Tokens!AF47</f>
        <v>avantage2</v>
      </c>
      <c r="AE45" t="str">
        <f>Tokens!AG47</f>
        <v>invitation à la “Soirée off” réservée aux membres NFT pour deux (2) personnes</v>
      </c>
      <c r="AF45" t="str">
        <f>Tokens!AH47</f>
        <v>avantage3</v>
      </c>
      <c r="AG45" t="str">
        <f>Tokens!AI47</f>
        <v>accès membre pour les after party officielles pour deux (2) personnes</v>
      </c>
      <c r="AH45" t="str">
        <f>Tokens!AJ47</f>
        <v>avantage4</v>
      </c>
      <c r="AI45" t="str">
        <f>Tokens!AK47</f>
        <v>accès prioritaire et bar dédié (consommation à la charge du festivalier) - tables réservées à l'avance pour les « NFT member » pour deux (2) personnes</v>
      </c>
      <c r="AJ45" t="str">
        <f>Tokens!AL47</f>
        <v>avantage5</v>
      </c>
      <c r="AK45" t="str">
        <f>Tokens!AM47</f>
        <v>1 affiche numérotée (quelques unes seront signées au hasard)</v>
      </c>
      <c r="AL45">
        <f>Tokens!AN47</f>
        <v>0</v>
      </c>
      <c r="AM45">
        <f>Tokens!AO47</f>
        <v>0</v>
      </c>
      <c r="AN45">
        <f>Tokens!AP47</f>
        <v>0</v>
      </c>
      <c r="AO45">
        <f>Tokens!AQ47</f>
        <v>0</v>
      </c>
      <c r="AP45">
        <f>Tokens!AR47</f>
        <v>0</v>
      </c>
      <c r="AQ45">
        <f>Tokens!AS47</f>
        <v>0</v>
      </c>
      <c r="AR45">
        <f>Tokens!AT47</f>
        <v>0</v>
      </c>
      <c r="AS45">
        <f>Tokens!AU47</f>
        <v>0</v>
      </c>
      <c r="AT45" t="str">
        <f>Tokens!AV47</f>
        <v>Validation</v>
      </c>
      <c r="AU45" t="str">
        <f>Tokens!AW47</f>
        <v>https://tokensol.nfluent.io?s=COR22B44&amp;platform=ftx</v>
      </c>
      <c r="AV45" t="str">
        <f>Tokens!AX47</f>
        <v>paul</v>
      </c>
      <c r="AW45">
        <f>Tokens!AY47</f>
        <v>10</v>
      </c>
      <c r="AX45" t="str">
        <f>Tokens!AZ47</f>
        <v>sophie</v>
      </c>
      <c r="AY45">
        <f>Tokens!BA47</f>
        <v>90</v>
      </c>
      <c r="AZ45">
        <f>Tokens!BB47</f>
        <v>0</v>
      </c>
      <c r="BA45">
        <f>Tokens!BC47</f>
        <v>0</v>
      </c>
      <c r="BB45" t="str">
        <f>Tokens!BD47</f>
        <v>https://bafybeicgtrhjweckx2vfwtyokcngfyecfczyi234bo576emk7czddpc2du.ipfs.nftstorage.link?CALVI_12.mp4</v>
      </c>
      <c r="BC45" t="str">
        <f>Tokens!BE47</f>
        <v>mp4</v>
      </c>
      <c r="BD45">
        <f>Tokens!BF47</f>
        <v>0</v>
      </c>
      <c r="BE45">
        <f>Tokens!BG47</f>
        <v>0</v>
      </c>
      <c r="BF45">
        <f>Tokens!BH47</f>
        <v>0</v>
      </c>
      <c r="BG45">
        <f>Tokens!BI47</f>
        <v>0</v>
      </c>
      <c r="BH45" t="str">
        <f>Tokens!BJ47</f>
        <v>A Madonna Di A Sierra</v>
      </c>
      <c r="BI45" t="str">
        <f>Tokens!BK47</f>
        <v>Calvi On The Rocks</v>
      </c>
    </row>
    <row r="46" spans="1:61" x14ac:dyDescent="0.25">
      <c r="A46" t="str">
        <f>Tokens!C48</f>
        <v>A Madonna Di A Sierra #45</v>
      </c>
      <c r="B46" t="str">
        <f>Tokens!D48</f>
        <v>COR22B45</v>
      </c>
      <c r="C46" t="str">
        <f>Tokens!E48</f>
        <v>A Madonna Di A Sierra, 3 ans - Pass NFT 5 jours pour 2 personnes, valable pour 3 éditions Calvi On The Rocks de votre choix.</v>
      </c>
      <c r="D46">
        <f>Tokens!F48</f>
        <v>1000</v>
      </c>
      <c r="E46" t="str">
        <f>Tokens!G48</f>
        <v>https://bafybeigyzokddccwnjtwtruf5cfzlyactcbrnr2acdcroosijeadgwx2am.ipfs.nftstorage.link?visual35.png</v>
      </c>
      <c r="F46" t="str">
        <f>Tokens!H48</f>
        <v>NfluenT for Calvi On The rocks</v>
      </c>
      <c r="G46">
        <f>Tokens!I48</f>
        <v>0</v>
      </c>
      <c r="H46" t="str">
        <f>Tokens!J48</f>
        <v>Pass festival</v>
      </c>
      <c r="I46" t="str">
        <f>Tokens!K48</f>
        <v>pour deux(2) personnes</v>
      </c>
      <c r="J46" t="str">
        <f>Tokens!L48</f>
        <v>Edition1</v>
      </c>
      <c r="K46">
        <f>Tokens!M48</f>
        <v>2</v>
      </c>
      <c r="L46" t="str">
        <f>Tokens!N48</f>
        <v>Edition2</v>
      </c>
      <c r="M46">
        <f>Tokens!O48</f>
        <v>2</v>
      </c>
      <c r="N46" t="str">
        <f>Tokens!P48</f>
        <v>Edition3</v>
      </c>
      <c r="O46">
        <f>Tokens!Q48</f>
        <v>2</v>
      </c>
      <c r="P46">
        <f>Tokens!R48</f>
        <v>0</v>
      </c>
      <c r="Q46">
        <f>Tokens!S48</f>
        <v>0</v>
      </c>
      <c r="R46">
        <f>Tokens!T48</f>
        <v>0</v>
      </c>
      <c r="S46">
        <f>Tokens!U48</f>
        <v>0</v>
      </c>
      <c r="T46" t="str">
        <f>Tokens!V48</f>
        <v>Dernière utilisation</v>
      </c>
      <c r="U46">
        <f>Tokens!W48</f>
        <v>0</v>
      </c>
      <c r="V46">
        <f>Tokens!X48</f>
        <v>0</v>
      </c>
      <c r="W46">
        <f>Tokens!Y48</f>
        <v>0</v>
      </c>
      <c r="X46" t="str">
        <f>Tokens!Z48</f>
        <v>avantage1</v>
      </c>
      <c r="Y46" t="str">
        <f>Tokens!AA48</f>
        <v>accès pour deux (2) personnes à un (1) événement partenaire officiel de Calvi on the Rocks</v>
      </c>
      <c r="Z46">
        <f>Tokens!AB48</f>
        <v>0</v>
      </c>
      <c r="AA46">
        <f>Tokens!AC48</f>
        <v>0</v>
      </c>
      <c r="AB46">
        <f>Tokens!AD48</f>
        <v>0</v>
      </c>
      <c r="AC46">
        <f>Tokens!AE48</f>
        <v>0</v>
      </c>
      <c r="AD46" t="str">
        <f>Tokens!AF48</f>
        <v>avantage2</v>
      </c>
      <c r="AE46" t="str">
        <f>Tokens!AG48</f>
        <v>invitation à la “Soirée off” réservée aux membres NFT pour deux (2) personnes</v>
      </c>
      <c r="AF46" t="str">
        <f>Tokens!AH48</f>
        <v>avantage3</v>
      </c>
      <c r="AG46" t="str">
        <f>Tokens!AI48</f>
        <v>accès membre pour les after party officielles pour deux (2) personnes</v>
      </c>
      <c r="AH46" t="str">
        <f>Tokens!AJ48</f>
        <v>avantage4</v>
      </c>
      <c r="AI46" t="str">
        <f>Tokens!AK48</f>
        <v>accès prioritaire et bar dédié (consommation à la charge du festivalier) - tables réservées à l'avance pour les « NFT member » pour deux (2) personnes</v>
      </c>
      <c r="AJ46" t="str">
        <f>Tokens!AL48</f>
        <v>avantage5</v>
      </c>
      <c r="AK46" t="str">
        <f>Tokens!AM48</f>
        <v>1 affiche numérotée (quelques unes seront signées au hasard)</v>
      </c>
      <c r="AL46">
        <f>Tokens!AN48</f>
        <v>0</v>
      </c>
      <c r="AM46">
        <f>Tokens!AO48</f>
        <v>0</v>
      </c>
      <c r="AN46">
        <f>Tokens!AP48</f>
        <v>0</v>
      </c>
      <c r="AO46">
        <f>Tokens!AQ48</f>
        <v>0</v>
      </c>
      <c r="AP46">
        <f>Tokens!AR48</f>
        <v>0</v>
      </c>
      <c r="AQ46">
        <f>Tokens!AS48</f>
        <v>0</v>
      </c>
      <c r="AR46">
        <f>Tokens!AT48</f>
        <v>0</v>
      </c>
      <c r="AS46">
        <f>Tokens!AU48</f>
        <v>0</v>
      </c>
      <c r="AT46" t="str">
        <f>Tokens!AV48</f>
        <v>Validation</v>
      </c>
      <c r="AU46" t="str">
        <f>Tokens!AW48</f>
        <v>https://tokensol.nfluent.io?s=COR22B45&amp;platform=ftx</v>
      </c>
      <c r="AV46" t="str">
        <f>Tokens!AX48</f>
        <v>paul</v>
      </c>
      <c r="AW46">
        <f>Tokens!AY48</f>
        <v>10</v>
      </c>
      <c r="AX46" t="str">
        <f>Tokens!AZ48</f>
        <v>sophie</v>
      </c>
      <c r="AY46">
        <f>Tokens!BA48</f>
        <v>90</v>
      </c>
      <c r="AZ46">
        <f>Tokens!BB48</f>
        <v>0</v>
      </c>
      <c r="BA46">
        <f>Tokens!BC48</f>
        <v>0</v>
      </c>
      <c r="BB46" t="str">
        <f>Tokens!BD48</f>
        <v>https://bafybeicgtrhjweckx2vfwtyokcngfyecfczyi234bo576emk7czddpc2du.ipfs.nftstorage.link?CALVI_12.mp4</v>
      </c>
      <c r="BC46" t="str">
        <f>Tokens!BE48</f>
        <v>mp4</v>
      </c>
      <c r="BD46">
        <f>Tokens!BF48</f>
        <v>0</v>
      </c>
      <c r="BE46">
        <f>Tokens!BG48</f>
        <v>0</v>
      </c>
      <c r="BF46">
        <f>Tokens!BH48</f>
        <v>0</v>
      </c>
      <c r="BG46">
        <f>Tokens!BI48</f>
        <v>0</v>
      </c>
      <c r="BH46" t="str">
        <f>Tokens!BJ48</f>
        <v>A Madonna Di A Sierra</v>
      </c>
      <c r="BI46" t="str">
        <f>Tokens!BK48</f>
        <v>Calvi On The Rocks</v>
      </c>
    </row>
    <row r="47" spans="1:61" x14ac:dyDescent="0.25">
      <c r="A47" t="str">
        <f>Tokens!C49</f>
        <v>A Madonna Di A Sierra #46</v>
      </c>
      <c r="B47" t="str">
        <f>Tokens!D49</f>
        <v>COR22B46</v>
      </c>
      <c r="C47" t="str">
        <f>Tokens!E49</f>
        <v>A Madonna Di A Sierra, 3 ans - Pass NFT 5 jours pour 2 personnes, valable pour 3 éditions Calvi On The Rocks de votre choix.</v>
      </c>
      <c r="D47">
        <f>Tokens!F49</f>
        <v>1000</v>
      </c>
      <c r="E47" t="str">
        <f>Tokens!G49</f>
        <v>https://bafybeiatxdt5maa6nsgffztw27ftrvby7pzdjrip3j4pyn7ukvxtho2p5y.ipfs.nftstorage.link?visual36.png</v>
      </c>
      <c r="F47" t="str">
        <f>Tokens!H49</f>
        <v>NfluenT for Calvi On The rocks</v>
      </c>
      <c r="G47">
        <f>Tokens!I49</f>
        <v>0</v>
      </c>
      <c r="H47" t="str">
        <f>Tokens!J49</f>
        <v>Pass festival</v>
      </c>
      <c r="I47" t="str">
        <f>Tokens!K49</f>
        <v>pour deux(2) personnes</v>
      </c>
      <c r="J47" t="str">
        <f>Tokens!L49</f>
        <v>Edition1</v>
      </c>
      <c r="K47">
        <f>Tokens!M49</f>
        <v>2</v>
      </c>
      <c r="L47" t="str">
        <f>Tokens!N49</f>
        <v>Edition2</v>
      </c>
      <c r="M47">
        <f>Tokens!O49</f>
        <v>2</v>
      </c>
      <c r="N47" t="str">
        <f>Tokens!P49</f>
        <v>Edition3</v>
      </c>
      <c r="O47">
        <f>Tokens!Q49</f>
        <v>2</v>
      </c>
      <c r="P47">
        <f>Tokens!R49</f>
        <v>0</v>
      </c>
      <c r="Q47">
        <f>Tokens!S49</f>
        <v>0</v>
      </c>
      <c r="R47">
        <f>Tokens!T49</f>
        <v>0</v>
      </c>
      <c r="S47">
        <f>Tokens!U49</f>
        <v>0</v>
      </c>
      <c r="T47" t="str">
        <f>Tokens!V49</f>
        <v>Dernière utilisation</v>
      </c>
      <c r="U47">
        <f>Tokens!W49</f>
        <v>0</v>
      </c>
      <c r="V47">
        <f>Tokens!X49</f>
        <v>0</v>
      </c>
      <c r="W47">
        <f>Tokens!Y49</f>
        <v>0</v>
      </c>
      <c r="X47" t="str">
        <f>Tokens!Z49</f>
        <v>avantage1</v>
      </c>
      <c r="Y47" t="str">
        <f>Tokens!AA49</f>
        <v>accès pour deux (2) personnes à un (1) événement partenaire officiel de Calvi on the Rocks</v>
      </c>
      <c r="Z47">
        <f>Tokens!AB49</f>
        <v>0</v>
      </c>
      <c r="AA47">
        <f>Tokens!AC49</f>
        <v>0</v>
      </c>
      <c r="AB47">
        <f>Tokens!AD49</f>
        <v>0</v>
      </c>
      <c r="AC47">
        <f>Tokens!AE49</f>
        <v>0</v>
      </c>
      <c r="AD47" t="str">
        <f>Tokens!AF49</f>
        <v>avantage2</v>
      </c>
      <c r="AE47" t="str">
        <f>Tokens!AG49</f>
        <v>invitation à la “Soirée off” réservée aux membres NFT pour deux (2) personnes</v>
      </c>
      <c r="AF47" t="str">
        <f>Tokens!AH49</f>
        <v>avantage3</v>
      </c>
      <c r="AG47" t="str">
        <f>Tokens!AI49</f>
        <v>accès membre pour les after party officielles pour deux (2) personnes</v>
      </c>
      <c r="AH47" t="str">
        <f>Tokens!AJ49</f>
        <v>avantage4</v>
      </c>
      <c r="AI47" t="str">
        <f>Tokens!AK49</f>
        <v>accès prioritaire et bar dédié (consommation à la charge du festivalier) - tables réservées à l'avance pour les « NFT member » pour deux (2) personnes</v>
      </c>
      <c r="AJ47" t="str">
        <f>Tokens!AL49</f>
        <v>avantage5</v>
      </c>
      <c r="AK47" t="str">
        <f>Tokens!AM49</f>
        <v>1 affiche numérotée (quelques unes seront signées au hasard)</v>
      </c>
      <c r="AL47">
        <f>Tokens!AN49</f>
        <v>0</v>
      </c>
      <c r="AM47">
        <f>Tokens!AO49</f>
        <v>0</v>
      </c>
      <c r="AN47">
        <f>Tokens!AP49</f>
        <v>0</v>
      </c>
      <c r="AO47">
        <f>Tokens!AQ49</f>
        <v>0</v>
      </c>
      <c r="AP47">
        <f>Tokens!AR49</f>
        <v>0</v>
      </c>
      <c r="AQ47">
        <f>Tokens!AS49</f>
        <v>0</v>
      </c>
      <c r="AR47">
        <f>Tokens!AT49</f>
        <v>0</v>
      </c>
      <c r="AS47">
        <f>Tokens!AU49</f>
        <v>0</v>
      </c>
      <c r="AT47" t="str">
        <f>Tokens!AV49</f>
        <v>Validation</v>
      </c>
      <c r="AU47" t="str">
        <f>Tokens!AW49</f>
        <v>https://tokensol.nfluent.io?s=COR22B46&amp;platform=ftx</v>
      </c>
      <c r="AV47" t="str">
        <f>Tokens!AX49</f>
        <v>paul</v>
      </c>
      <c r="AW47">
        <f>Tokens!AY49</f>
        <v>10</v>
      </c>
      <c r="AX47" t="str">
        <f>Tokens!AZ49</f>
        <v>sophie</v>
      </c>
      <c r="AY47">
        <f>Tokens!BA49</f>
        <v>90</v>
      </c>
      <c r="AZ47">
        <f>Tokens!BB49</f>
        <v>0</v>
      </c>
      <c r="BA47">
        <f>Tokens!BC49</f>
        <v>0</v>
      </c>
      <c r="BB47" t="str">
        <f>Tokens!BD49</f>
        <v>https://bafybeicgtrhjweckx2vfwtyokcngfyecfczyi234bo576emk7czddpc2du.ipfs.nftstorage.link?CALVI_12.mp4</v>
      </c>
      <c r="BC47" t="str">
        <f>Tokens!BE49</f>
        <v>mp4</v>
      </c>
      <c r="BD47">
        <f>Tokens!BF49</f>
        <v>0</v>
      </c>
      <c r="BE47">
        <f>Tokens!BG49</f>
        <v>0</v>
      </c>
      <c r="BF47">
        <f>Tokens!BH49</f>
        <v>0</v>
      </c>
      <c r="BG47">
        <f>Tokens!BI49</f>
        <v>0</v>
      </c>
      <c r="BH47" t="str">
        <f>Tokens!BJ49</f>
        <v>A Madonna Di A Sierra</v>
      </c>
      <c r="BI47" t="str">
        <f>Tokens!BK49</f>
        <v>Calvi On The Rocks</v>
      </c>
    </row>
    <row r="48" spans="1:61" x14ac:dyDescent="0.25">
      <c r="A48" t="str">
        <f>Tokens!C50</f>
        <v>A Madonna Di A Sierra #47</v>
      </c>
      <c r="B48" t="str">
        <f>Tokens!D50</f>
        <v>COR22B47</v>
      </c>
      <c r="C48" t="str">
        <f>Tokens!E50</f>
        <v>A Madonna Di A Sierra, 3 ans - Pass NFT 5 jours pour 2 personnes, valable pour 3 éditions Calvi On The Rocks de votre choix.</v>
      </c>
      <c r="D48">
        <f>Tokens!F50</f>
        <v>1000</v>
      </c>
      <c r="E48" t="str">
        <f>Tokens!G50</f>
        <v>https://bafybeih5d5lxzyizan6hd5aenhjbu4ugsdm3kqv5us53utf7dqo46b4xqy.ipfs.nftstorage.link?visual37.png</v>
      </c>
      <c r="F48" t="str">
        <f>Tokens!H50</f>
        <v>NfluenT for Calvi On The rocks</v>
      </c>
      <c r="G48">
        <f>Tokens!I50</f>
        <v>0</v>
      </c>
      <c r="H48" t="str">
        <f>Tokens!J50</f>
        <v>Pass festival</v>
      </c>
      <c r="I48" t="str">
        <f>Tokens!K50</f>
        <v>pour deux(2) personnes</v>
      </c>
      <c r="J48" t="str">
        <f>Tokens!L50</f>
        <v>Edition1</v>
      </c>
      <c r="K48">
        <f>Tokens!M50</f>
        <v>2</v>
      </c>
      <c r="L48" t="str">
        <f>Tokens!N50</f>
        <v>Edition2</v>
      </c>
      <c r="M48">
        <f>Tokens!O50</f>
        <v>2</v>
      </c>
      <c r="N48" t="str">
        <f>Tokens!P50</f>
        <v>Edition3</v>
      </c>
      <c r="O48">
        <f>Tokens!Q50</f>
        <v>2</v>
      </c>
      <c r="P48">
        <f>Tokens!R50</f>
        <v>0</v>
      </c>
      <c r="Q48">
        <f>Tokens!S50</f>
        <v>0</v>
      </c>
      <c r="R48">
        <f>Tokens!T50</f>
        <v>0</v>
      </c>
      <c r="S48">
        <f>Tokens!U50</f>
        <v>0</v>
      </c>
      <c r="T48" t="str">
        <f>Tokens!V50</f>
        <v>Dernière utilisation</v>
      </c>
      <c r="U48">
        <f>Tokens!W50</f>
        <v>0</v>
      </c>
      <c r="V48">
        <f>Tokens!X50</f>
        <v>0</v>
      </c>
      <c r="W48">
        <f>Tokens!Y50</f>
        <v>0</v>
      </c>
      <c r="X48" t="str">
        <f>Tokens!Z50</f>
        <v>avantage1</v>
      </c>
      <c r="Y48" t="str">
        <f>Tokens!AA50</f>
        <v>accès pour deux (2) personnes à un (1) événement partenaire officiel de Calvi on the Rocks</v>
      </c>
      <c r="Z48">
        <f>Tokens!AB50</f>
        <v>0</v>
      </c>
      <c r="AA48">
        <f>Tokens!AC50</f>
        <v>0</v>
      </c>
      <c r="AB48">
        <f>Tokens!AD50</f>
        <v>0</v>
      </c>
      <c r="AC48">
        <f>Tokens!AE50</f>
        <v>0</v>
      </c>
      <c r="AD48" t="str">
        <f>Tokens!AF50</f>
        <v>avantage2</v>
      </c>
      <c r="AE48" t="str">
        <f>Tokens!AG50</f>
        <v>invitation à la “Soirée off” réservée aux membres NFT pour deux (2) personnes</v>
      </c>
      <c r="AF48" t="str">
        <f>Tokens!AH50</f>
        <v>avantage3</v>
      </c>
      <c r="AG48" t="str">
        <f>Tokens!AI50</f>
        <v>accès membre pour les after party officielles pour deux (2) personnes</v>
      </c>
      <c r="AH48" t="str">
        <f>Tokens!AJ50</f>
        <v>avantage4</v>
      </c>
      <c r="AI48" t="str">
        <f>Tokens!AK50</f>
        <v>accès prioritaire et bar dédié (consommation à la charge du festivalier) - tables réservées à l'avance pour les « NFT member » pour deux (2) personnes</v>
      </c>
      <c r="AJ48" t="str">
        <f>Tokens!AL50</f>
        <v>avantage5</v>
      </c>
      <c r="AK48" t="str">
        <f>Tokens!AM50</f>
        <v>1 affiche numérotée (quelques unes seront signées au hasard)</v>
      </c>
      <c r="AL48">
        <f>Tokens!AN50</f>
        <v>0</v>
      </c>
      <c r="AM48">
        <f>Tokens!AO50</f>
        <v>0</v>
      </c>
      <c r="AN48">
        <f>Tokens!AP50</f>
        <v>0</v>
      </c>
      <c r="AO48">
        <f>Tokens!AQ50</f>
        <v>0</v>
      </c>
      <c r="AP48">
        <f>Tokens!AR50</f>
        <v>0</v>
      </c>
      <c r="AQ48">
        <f>Tokens!AS50</f>
        <v>0</v>
      </c>
      <c r="AR48">
        <f>Tokens!AT50</f>
        <v>0</v>
      </c>
      <c r="AS48">
        <f>Tokens!AU50</f>
        <v>0</v>
      </c>
      <c r="AT48" t="str">
        <f>Tokens!AV50</f>
        <v>Validation</v>
      </c>
      <c r="AU48" t="str">
        <f>Tokens!AW50</f>
        <v>https://tokensol.nfluent.io?s=COR22B47&amp;platform=ftx</v>
      </c>
      <c r="AV48" t="str">
        <f>Tokens!AX50</f>
        <v>paul</v>
      </c>
      <c r="AW48">
        <f>Tokens!AY50</f>
        <v>10</v>
      </c>
      <c r="AX48" t="str">
        <f>Tokens!AZ50</f>
        <v>sophie</v>
      </c>
      <c r="AY48">
        <f>Tokens!BA50</f>
        <v>90</v>
      </c>
      <c r="AZ48">
        <f>Tokens!BB50</f>
        <v>0</v>
      </c>
      <c r="BA48">
        <f>Tokens!BC50</f>
        <v>0</v>
      </c>
      <c r="BB48" t="str">
        <f>Tokens!BD50</f>
        <v>https://bafybeicgtrhjweckx2vfwtyokcngfyecfczyi234bo576emk7czddpc2du.ipfs.nftstorage.link?CALVI_12.mp4</v>
      </c>
      <c r="BC48" t="str">
        <f>Tokens!BE50</f>
        <v>mp4</v>
      </c>
      <c r="BD48">
        <f>Tokens!BF50</f>
        <v>0</v>
      </c>
      <c r="BE48">
        <f>Tokens!BG50</f>
        <v>0</v>
      </c>
      <c r="BF48">
        <f>Tokens!BH50</f>
        <v>0</v>
      </c>
      <c r="BG48">
        <f>Tokens!BI50</f>
        <v>0</v>
      </c>
      <c r="BH48" t="str">
        <f>Tokens!BJ50</f>
        <v>A Madonna Di A Sierra</v>
      </c>
      <c r="BI48" t="str">
        <f>Tokens!BK50</f>
        <v>Calvi On The Rocks</v>
      </c>
    </row>
    <row r="49" spans="1:61" x14ac:dyDescent="0.25">
      <c r="A49" t="str">
        <f>Tokens!C51</f>
        <v>A Madonna Di A Sierra #48</v>
      </c>
      <c r="B49" t="str">
        <f>Tokens!D51</f>
        <v>COR22B48</v>
      </c>
      <c r="C49" t="str">
        <f>Tokens!E51</f>
        <v>A Madonna Di A Sierra, 3 ans - Pass NFT 5 jours pour 2 personnes, valable pour 3 éditions Calvi On The Rocks de votre choix.</v>
      </c>
      <c r="D49">
        <f>Tokens!F51</f>
        <v>1000</v>
      </c>
      <c r="E49" t="str">
        <f>Tokens!G51</f>
        <v>https://bafybeigsnb3a6tbwcp6c64yxiqgelzelrv7tvuvm37mmc34u2nlfmdmag4.ipfs.nftstorage.link?visual38.png</v>
      </c>
      <c r="F49" t="str">
        <f>Tokens!H51</f>
        <v>NfluenT for Calvi On The rocks</v>
      </c>
      <c r="G49">
        <f>Tokens!I51</f>
        <v>0</v>
      </c>
      <c r="H49" t="str">
        <f>Tokens!J51</f>
        <v>Pass festival</v>
      </c>
      <c r="I49" t="str">
        <f>Tokens!K51</f>
        <v>pour deux(2) personnes</v>
      </c>
      <c r="J49" t="str">
        <f>Tokens!L51</f>
        <v>Edition1</v>
      </c>
      <c r="K49">
        <f>Tokens!M51</f>
        <v>2</v>
      </c>
      <c r="L49" t="str">
        <f>Tokens!N51</f>
        <v>Edition2</v>
      </c>
      <c r="M49">
        <f>Tokens!O51</f>
        <v>2</v>
      </c>
      <c r="N49" t="str">
        <f>Tokens!P51</f>
        <v>Edition3</v>
      </c>
      <c r="O49">
        <f>Tokens!Q51</f>
        <v>2</v>
      </c>
      <c r="P49">
        <f>Tokens!R51</f>
        <v>0</v>
      </c>
      <c r="Q49">
        <f>Tokens!S51</f>
        <v>0</v>
      </c>
      <c r="R49">
        <f>Tokens!T51</f>
        <v>0</v>
      </c>
      <c r="S49">
        <f>Tokens!U51</f>
        <v>0</v>
      </c>
      <c r="T49" t="str">
        <f>Tokens!V51</f>
        <v>Dernière utilisation</v>
      </c>
      <c r="U49">
        <f>Tokens!W51</f>
        <v>0</v>
      </c>
      <c r="V49">
        <f>Tokens!X51</f>
        <v>0</v>
      </c>
      <c r="W49">
        <f>Tokens!Y51</f>
        <v>0</v>
      </c>
      <c r="X49" t="str">
        <f>Tokens!Z51</f>
        <v>avantage1</v>
      </c>
      <c r="Y49" t="str">
        <f>Tokens!AA51</f>
        <v>accès pour deux (2) personnes à un (1) événement partenaire officiel de Calvi on the Rocks</v>
      </c>
      <c r="Z49">
        <f>Tokens!AB51</f>
        <v>0</v>
      </c>
      <c r="AA49">
        <f>Tokens!AC51</f>
        <v>0</v>
      </c>
      <c r="AB49">
        <f>Tokens!AD51</f>
        <v>0</v>
      </c>
      <c r="AC49">
        <f>Tokens!AE51</f>
        <v>0</v>
      </c>
      <c r="AD49" t="str">
        <f>Tokens!AF51</f>
        <v>avantage2</v>
      </c>
      <c r="AE49" t="str">
        <f>Tokens!AG51</f>
        <v>invitation à la “Soirée off” réservée aux membres NFT pour deux (2) personnes</v>
      </c>
      <c r="AF49" t="str">
        <f>Tokens!AH51</f>
        <v>avantage3</v>
      </c>
      <c r="AG49" t="str">
        <f>Tokens!AI51</f>
        <v>accès membre pour les after party officielles pour deux (2) personnes</v>
      </c>
      <c r="AH49" t="str">
        <f>Tokens!AJ51</f>
        <v>avantage4</v>
      </c>
      <c r="AI49" t="str">
        <f>Tokens!AK51</f>
        <v>accès prioritaire et bar dédié (consommation à la charge du festivalier) - tables réservées à l'avance pour les « NFT member » pour deux (2) personnes</v>
      </c>
      <c r="AJ49" t="str">
        <f>Tokens!AL51</f>
        <v>avantage5</v>
      </c>
      <c r="AK49" t="str">
        <f>Tokens!AM51</f>
        <v>1 affiche numérotée (quelques unes seront signées au hasard)</v>
      </c>
      <c r="AL49">
        <f>Tokens!AN51</f>
        <v>0</v>
      </c>
      <c r="AM49">
        <f>Tokens!AO51</f>
        <v>0</v>
      </c>
      <c r="AN49">
        <f>Tokens!AP51</f>
        <v>0</v>
      </c>
      <c r="AO49">
        <f>Tokens!AQ51</f>
        <v>0</v>
      </c>
      <c r="AP49">
        <f>Tokens!AR51</f>
        <v>0</v>
      </c>
      <c r="AQ49">
        <f>Tokens!AS51</f>
        <v>0</v>
      </c>
      <c r="AR49">
        <f>Tokens!AT51</f>
        <v>0</v>
      </c>
      <c r="AS49">
        <f>Tokens!AU51</f>
        <v>0</v>
      </c>
      <c r="AT49" t="str">
        <f>Tokens!AV51</f>
        <v>Validation</v>
      </c>
      <c r="AU49" t="str">
        <f>Tokens!AW51</f>
        <v>https://tokensol.nfluent.io?s=COR22B48&amp;platform=ftx</v>
      </c>
      <c r="AV49" t="str">
        <f>Tokens!AX51</f>
        <v>paul</v>
      </c>
      <c r="AW49">
        <f>Tokens!AY51</f>
        <v>10</v>
      </c>
      <c r="AX49" t="str">
        <f>Tokens!AZ51</f>
        <v>sophie</v>
      </c>
      <c r="AY49">
        <f>Tokens!BA51</f>
        <v>90</v>
      </c>
      <c r="AZ49">
        <f>Tokens!BB51</f>
        <v>0</v>
      </c>
      <c r="BA49">
        <f>Tokens!BC51</f>
        <v>0</v>
      </c>
      <c r="BB49" t="str">
        <f>Tokens!BD51</f>
        <v>https://bafybeicgtrhjweckx2vfwtyokcngfyecfczyi234bo576emk7czddpc2du.ipfs.nftstorage.link?CALVI_12.mp4</v>
      </c>
      <c r="BC49" t="str">
        <f>Tokens!BE51</f>
        <v>mp4</v>
      </c>
      <c r="BD49">
        <f>Tokens!BF51</f>
        <v>0</v>
      </c>
      <c r="BE49">
        <f>Tokens!BG51</f>
        <v>0</v>
      </c>
      <c r="BF49">
        <f>Tokens!BH51</f>
        <v>0</v>
      </c>
      <c r="BG49">
        <f>Tokens!BI51</f>
        <v>0</v>
      </c>
      <c r="BH49" t="str">
        <f>Tokens!BJ51</f>
        <v>A Madonna Di A Sierra</v>
      </c>
      <c r="BI49" t="str">
        <f>Tokens!BK51</f>
        <v>Calvi On The Rocks</v>
      </c>
    </row>
    <row r="50" spans="1:61" x14ac:dyDescent="0.25">
      <c r="A50" t="str">
        <f>Tokens!C52</f>
        <v>A Madonna Di A Sierra #49</v>
      </c>
      <c r="B50" t="str">
        <f>Tokens!D52</f>
        <v>COR22B49</v>
      </c>
      <c r="C50" t="str">
        <f>Tokens!E52</f>
        <v>A Madonna Di A Sierra, 3 ans - Pass NFT 5 jours pour 2 personnes, valable pour 3 éditions Calvi On The Rocks de votre choix.</v>
      </c>
      <c r="D50">
        <f>Tokens!F52</f>
        <v>1000</v>
      </c>
      <c r="E50" t="str">
        <f>Tokens!G52</f>
        <v>https://bafybeifmiplpldsy3xtzhkosfpxeg42wjf4uulx7c4qyne7grducpjoxiq.ipfs.nftstorage.link?visual39.png</v>
      </c>
      <c r="F50" t="str">
        <f>Tokens!H52</f>
        <v>NfluenT for Calvi On The rocks</v>
      </c>
      <c r="G50">
        <f>Tokens!I52</f>
        <v>0</v>
      </c>
      <c r="H50" t="str">
        <f>Tokens!J52</f>
        <v>Pass festival</v>
      </c>
      <c r="I50" t="str">
        <f>Tokens!K52</f>
        <v>pour deux(2) personnes</v>
      </c>
      <c r="J50" t="str">
        <f>Tokens!L52</f>
        <v>Edition1</v>
      </c>
      <c r="K50">
        <f>Tokens!M52</f>
        <v>2</v>
      </c>
      <c r="L50" t="str">
        <f>Tokens!N52</f>
        <v>Edition2</v>
      </c>
      <c r="M50">
        <f>Tokens!O52</f>
        <v>2</v>
      </c>
      <c r="N50" t="str">
        <f>Tokens!P52</f>
        <v>Edition3</v>
      </c>
      <c r="O50">
        <f>Tokens!Q52</f>
        <v>2</v>
      </c>
      <c r="P50">
        <f>Tokens!R52</f>
        <v>0</v>
      </c>
      <c r="Q50">
        <f>Tokens!S52</f>
        <v>0</v>
      </c>
      <c r="R50">
        <f>Tokens!T52</f>
        <v>0</v>
      </c>
      <c r="S50">
        <f>Tokens!U52</f>
        <v>0</v>
      </c>
      <c r="T50" t="str">
        <f>Tokens!V52</f>
        <v>Dernière utilisation</v>
      </c>
      <c r="U50">
        <f>Tokens!W52</f>
        <v>0</v>
      </c>
      <c r="V50">
        <f>Tokens!X52</f>
        <v>0</v>
      </c>
      <c r="W50">
        <f>Tokens!Y52</f>
        <v>0</v>
      </c>
      <c r="X50" t="str">
        <f>Tokens!Z52</f>
        <v>avantage1</v>
      </c>
      <c r="Y50" t="str">
        <f>Tokens!AA52</f>
        <v>accès pour deux (2) personnes à un (1) événement partenaire officiel de Calvi on the Rocks</v>
      </c>
      <c r="Z50">
        <f>Tokens!AB52</f>
        <v>0</v>
      </c>
      <c r="AA50">
        <f>Tokens!AC52</f>
        <v>0</v>
      </c>
      <c r="AB50">
        <f>Tokens!AD52</f>
        <v>0</v>
      </c>
      <c r="AC50">
        <f>Tokens!AE52</f>
        <v>0</v>
      </c>
      <c r="AD50" t="str">
        <f>Tokens!AF52</f>
        <v>avantage2</v>
      </c>
      <c r="AE50" t="str">
        <f>Tokens!AG52</f>
        <v>invitation à la “Soirée off” réservée aux membres NFT pour deux (2) personnes</v>
      </c>
      <c r="AF50" t="str">
        <f>Tokens!AH52</f>
        <v>avantage3</v>
      </c>
      <c r="AG50" t="str">
        <f>Tokens!AI52</f>
        <v>accès membre pour les after party officielles pour deux (2) personnes</v>
      </c>
      <c r="AH50" t="str">
        <f>Tokens!AJ52</f>
        <v>avantage4</v>
      </c>
      <c r="AI50" t="str">
        <f>Tokens!AK52</f>
        <v>accès prioritaire et bar dédié (consommation à la charge du festivalier) - tables réservées à l'avance pour les « NFT member » pour deux (2) personnes</v>
      </c>
      <c r="AJ50" t="str">
        <f>Tokens!AL52</f>
        <v>avantage5</v>
      </c>
      <c r="AK50" t="str">
        <f>Tokens!AM52</f>
        <v>1 affiche numérotée (quelques unes seront signées au hasard)</v>
      </c>
      <c r="AL50">
        <f>Tokens!AN52</f>
        <v>0</v>
      </c>
      <c r="AM50">
        <f>Tokens!AO52</f>
        <v>0</v>
      </c>
      <c r="AN50">
        <f>Tokens!AP52</f>
        <v>0</v>
      </c>
      <c r="AO50">
        <f>Tokens!AQ52</f>
        <v>0</v>
      </c>
      <c r="AP50">
        <f>Tokens!AR52</f>
        <v>0</v>
      </c>
      <c r="AQ50">
        <f>Tokens!AS52</f>
        <v>0</v>
      </c>
      <c r="AR50">
        <f>Tokens!AT52</f>
        <v>0</v>
      </c>
      <c r="AS50">
        <f>Tokens!AU52</f>
        <v>0</v>
      </c>
      <c r="AT50" t="str">
        <f>Tokens!AV52</f>
        <v>Validation</v>
      </c>
      <c r="AU50" t="str">
        <f>Tokens!AW52</f>
        <v>https://tokensol.nfluent.io?s=COR22B49&amp;platform=ftx</v>
      </c>
      <c r="AV50" t="str">
        <f>Tokens!AX52</f>
        <v>paul</v>
      </c>
      <c r="AW50">
        <f>Tokens!AY52</f>
        <v>10</v>
      </c>
      <c r="AX50" t="str">
        <f>Tokens!AZ52</f>
        <v>sophie</v>
      </c>
      <c r="AY50">
        <f>Tokens!BA52</f>
        <v>90</v>
      </c>
      <c r="AZ50">
        <f>Tokens!BB52</f>
        <v>0</v>
      </c>
      <c r="BA50">
        <f>Tokens!BC52</f>
        <v>0</v>
      </c>
      <c r="BB50" t="str">
        <f>Tokens!BD52</f>
        <v>https://bafybeicgtrhjweckx2vfwtyokcngfyecfczyi234bo576emk7czddpc2du.ipfs.nftstorage.link?CALVI_12.mp4</v>
      </c>
      <c r="BC50" t="str">
        <f>Tokens!BE52</f>
        <v>mp4</v>
      </c>
      <c r="BD50">
        <f>Tokens!BF52</f>
        <v>0</v>
      </c>
      <c r="BE50">
        <f>Tokens!BG52</f>
        <v>0</v>
      </c>
      <c r="BF50">
        <f>Tokens!BH52</f>
        <v>0</v>
      </c>
      <c r="BG50">
        <f>Tokens!BI52</f>
        <v>0</v>
      </c>
      <c r="BH50" t="str">
        <f>Tokens!BJ52</f>
        <v>A Madonna Di A Sierra</v>
      </c>
      <c r="BI50" t="str">
        <f>Tokens!BK52</f>
        <v>Calvi On The Rocks</v>
      </c>
    </row>
    <row r="51" spans="1:61" x14ac:dyDescent="0.25">
      <c r="A51" t="str">
        <f>Tokens!C53</f>
        <v>A Madonna Di A Sierra #50</v>
      </c>
      <c r="B51" t="str">
        <f>Tokens!D53</f>
        <v>COR22B50</v>
      </c>
      <c r="C51" t="str">
        <f>Tokens!E53</f>
        <v>A Madonna Di A Sierra, 3 ans - Pass NFT 5 jours pour 2 personnes, valable pour 3 éditions Calvi On The Rocks de votre choix.</v>
      </c>
      <c r="D51">
        <f>Tokens!F53</f>
        <v>1000</v>
      </c>
      <c r="E51" t="str">
        <f>Tokens!G53</f>
        <v>https://bafybeietli3eifgr6vuurorpuvguqiyfgw5ykaxwvmy7clltao55uibl2y.ipfs.nftstorage.link?visual40.png</v>
      </c>
      <c r="F51" t="str">
        <f>Tokens!H53</f>
        <v>NfluenT for Calvi On The rocks</v>
      </c>
      <c r="G51">
        <f>Tokens!I53</f>
        <v>0</v>
      </c>
      <c r="H51" t="str">
        <f>Tokens!J53</f>
        <v>Pass festival</v>
      </c>
      <c r="I51" t="str">
        <f>Tokens!K53</f>
        <v>pour deux(2) personnes</v>
      </c>
      <c r="J51" t="str">
        <f>Tokens!L53</f>
        <v>Edition1</v>
      </c>
      <c r="K51">
        <f>Tokens!M53</f>
        <v>2</v>
      </c>
      <c r="L51" t="str">
        <f>Tokens!N53</f>
        <v>Edition2</v>
      </c>
      <c r="M51">
        <f>Tokens!O53</f>
        <v>2</v>
      </c>
      <c r="N51" t="str">
        <f>Tokens!P53</f>
        <v>Edition3</v>
      </c>
      <c r="O51">
        <f>Tokens!Q53</f>
        <v>2</v>
      </c>
      <c r="P51">
        <f>Tokens!R53</f>
        <v>0</v>
      </c>
      <c r="Q51">
        <f>Tokens!S53</f>
        <v>0</v>
      </c>
      <c r="R51">
        <f>Tokens!T53</f>
        <v>0</v>
      </c>
      <c r="S51">
        <f>Tokens!U53</f>
        <v>0</v>
      </c>
      <c r="T51" t="str">
        <f>Tokens!V53</f>
        <v>Dernière utilisation</v>
      </c>
      <c r="U51">
        <f>Tokens!W53</f>
        <v>0</v>
      </c>
      <c r="V51">
        <f>Tokens!X53</f>
        <v>0</v>
      </c>
      <c r="W51">
        <f>Tokens!Y53</f>
        <v>0</v>
      </c>
      <c r="X51" t="str">
        <f>Tokens!Z53</f>
        <v>avantage1</v>
      </c>
      <c r="Y51" t="str">
        <f>Tokens!AA53</f>
        <v>accès pour deux (2) personnes à un (1) événement partenaire officiel de Calvi on the Rocks</v>
      </c>
      <c r="Z51">
        <f>Tokens!AB53</f>
        <v>0</v>
      </c>
      <c r="AA51">
        <f>Tokens!AC53</f>
        <v>0</v>
      </c>
      <c r="AB51">
        <f>Tokens!AD53</f>
        <v>0</v>
      </c>
      <c r="AC51">
        <f>Tokens!AE53</f>
        <v>0</v>
      </c>
      <c r="AD51" t="str">
        <f>Tokens!AF53</f>
        <v>avantage2</v>
      </c>
      <c r="AE51" t="str">
        <f>Tokens!AG53</f>
        <v>invitation à la “Soirée off” réservée aux membres NFT pour deux (2) personnes</v>
      </c>
      <c r="AF51" t="str">
        <f>Tokens!AH53</f>
        <v>avantage3</v>
      </c>
      <c r="AG51" t="str">
        <f>Tokens!AI53</f>
        <v>accès membre pour les after party officielles pour deux (2) personnes</v>
      </c>
      <c r="AH51" t="str">
        <f>Tokens!AJ53</f>
        <v>avantage4</v>
      </c>
      <c r="AI51" t="str">
        <f>Tokens!AK53</f>
        <v>accès prioritaire et bar dédié (consommation à la charge du festivalier) - tables réservées à l'avance pour les « NFT member » pour deux (2) personnes</v>
      </c>
      <c r="AJ51" t="str">
        <f>Tokens!AL53</f>
        <v>avantage5</v>
      </c>
      <c r="AK51" t="str">
        <f>Tokens!AM53</f>
        <v>1 affiche numérotée (quelques unes seront signées au hasard)</v>
      </c>
      <c r="AL51">
        <f>Tokens!AN53</f>
        <v>0</v>
      </c>
      <c r="AM51">
        <f>Tokens!AO53</f>
        <v>0</v>
      </c>
      <c r="AN51">
        <f>Tokens!AP53</f>
        <v>0</v>
      </c>
      <c r="AO51">
        <f>Tokens!AQ53</f>
        <v>0</v>
      </c>
      <c r="AP51">
        <f>Tokens!AR53</f>
        <v>0</v>
      </c>
      <c r="AQ51">
        <f>Tokens!AS53</f>
        <v>0</v>
      </c>
      <c r="AR51">
        <f>Tokens!AT53</f>
        <v>0</v>
      </c>
      <c r="AS51">
        <f>Tokens!AU53</f>
        <v>0</v>
      </c>
      <c r="AT51" t="str">
        <f>Tokens!AV53</f>
        <v>Validation</v>
      </c>
      <c r="AU51" t="str">
        <f>Tokens!AW53</f>
        <v>https://tokensol.nfluent.io?s=COR22B50&amp;platform=ftx</v>
      </c>
      <c r="AV51" t="str">
        <f>Tokens!AX53</f>
        <v>paul</v>
      </c>
      <c r="AW51">
        <f>Tokens!AY53</f>
        <v>10</v>
      </c>
      <c r="AX51" t="str">
        <f>Tokens!AZ53</f>
        <v>sophie</v>
      </c>
      <c r="AY51">
        <f>Tokens!BA53</f>
        <v>90</v>
      </c>
      <c r="AZ51">
        <f>Tokens!BB53</f>
        <v>0</v>
      </c>
      <c r="BA51">
        <f>Tokens!BC53</f>
        <v>0</v>
      </c>
      <c r="BB51" t="str">
        <f>Tokens!BD53</f>
        <v>https://bafybeicgtrhjweckx2vfwtyokcngfyecfczyi234bo576emk7czddpc2du.ipfs.nftstorage.link?CALVI_12.mp4</v>
      </c>
      <c r="BC51" t="str">
        <f>Tokens!BE53</f>
        <v>mp4</v>
      </c>
      <c r="BD51">
        <f>Tokens!BF53</f>
        <v>0</v>
      </c>
      <c r="BE51">
        <f>Tokens!BG53</f>
        <v>0</v>
      </c>
      <c r="BF51">
        <f>Tokens!BH53</f>
        <v>0</v>
      </c>
      <c r="BG51">
        <f>Tokens!BI53</f>
        <v>0</v>
      </c>
      <c r="BH51" t="str">
        <f>Tokens!BJ53</f>
        <v>A Madonna Di A Sierra</v>
      </c>
      <c r="BI51" t="str">
        <f>Tokens!BK53</f>
        <v>Calvi On The Rocks</v>
      </c>
    </row>
    <row r="52" spans="1:61" x14ac:dyDescent="0.25">
      <c r="A52" t="str">
        <f>Tokens!C54</f>
        <v>A Madonna Di A Sierra #51</v>
      </c>
      <c r="B52" t="str">
        <f>Tokens!D54</f>
        <v>COR22B51</v>
      </c>
      <c r="C52" t="str">
        <f>Tokens!E54</f>
        <v>A Madonna Di A Sierra, 3 ans - Pass NFT 5 jours pour 2 personnes, valable pour 3 éditions Calvi On The Rocks de votre choix.</v>
      </c>
      <c r="D52">
        <f>Tokens!F54</f>
        <v>1000</v>
      </c>
      <c r="E52" t="str">
        <f>Tokens!G54</f>
        <v>https://bafybeig6ruma6tnldwg5bqwsumflogz2ibt76xajjhebpfojbubz4g6viq.ipfs.nftstorage.link?visual41.png</v>
      </c>
      <c r="F52" t="str">
        <f>Tokens!H54</f>
        <v>NfluenT for Calvi On The rocks</v>
      </c>
      <c r="G52">
        <f>Tokens!I54</f>
        <v>0</v>
      </c>
      <c r="H52" t="str">
        <f>Tokens!J54</f>
        <v>Pass festival</v>
      </c>
      <c r="I52" t="str">
        <f>Tokens!K54</f>
        <v>pour deux(2) personnes</v>
      </c>
      <c r="J52" t="str">
        <f>Tokens!L54</f>
        <v>Edition1</v>
      </c>
      <c r="K52">
        <f>Tokens!M54</f>
        <v>2</v>
      </c>
      <c r="L52" t="str">
        <f>Tokens!N54</f>
        <v>Edition2</v>
      </c>
      <c r="M52">
        <f>Tokens!O54</f>
        <v>2</v>
      </c>
      <c r="N52" t="str">
        <f>Tokens!P54</f>
        <v>Edition3</v>
      </c>
      <c r="O52">
        <f>Tokens!Q54</f>
        <v>2</v>
      </c>
      <c r="P52">
        <f>Tokens!R54</f>
        <v>0</v>
      </c>
      <c r="Q52">
        <f>Tokens!S54</f>
        <v>0</v>
      </c>
      <c r="R52">
        <f>Tokens!T54</f>
        <v>0</v>
      </c>
      <c r="S52">
        <f>Tokens!U54</f>
        <v>0</v>
      </c>
      <c r="T52" t="str">
        <f>Tokens!V54</f>
        <v>Dernière utilisation</v>
      </c>
      <c r="U52">
        <f>Tokens!W54</f>
        <v>0</v>
      </c>
      <c r="V52">
        <f>Tokens!X54</f>
        <v>0</v>
      </c>
      <c r="W52">
        <f>Tokens!Y54</f>
        <v>0</v>
      </c>
      <c r="X52" t="str">
        <f>Tokens!Z54</f>
        <v>avantage1</v>
      </c>
      <c r="Y52" t="str">
        <f>Tokens!AA54</f>
        <v>accès pour deux (2) personnes à un (1) événement partenaire officiel de Calvi on the Rocks</v>
      </c>
      <c r="Z52">
        <f>Tokens!AB54</f>
        <v>0</v>
      </c>
      <c r="AA52">
        <f>Tokens!AC54</f>
        <v>0</v>
      </c>
      <c r="AB52">
        <f>Tokens!AD54</f>
        <v>0</v>
      </c>
      <c r="AC52">
        <f>Tokens!AE54</f>
        <v>0</v>
      </c>
      <c r="AD52" t="str">
        <f>Tokens!AF54</f>
        <v>avantage2</v>
      </c>
      <c r="AE52" t="str">
        <f>Tokens!AG54</f>
        <v>invitation à la “Soirée off” réservée aux membres NFT pour deux (2) personnes</v>
      </c>
      <c r="AF52" t="str">
        <f>Tokens!AH54</f>
        <v>avantage3</v>
      </c>
      <c r="AG52" t="str">
        <f>Tokens!AI54</f>
        <v>accès membre pour les after party officielles pour deux (2) personnes</v>
      </c>
      <c r="AH52" t="str">
        <f>Tokens!AJ54</f>
        <v>avantage4</v>
      </c>
      <c r="AI52" t="str">
        <f>Tokens!AK54</f>
        <v>accès prioritaire et bar dédié (consommation à la charge du festivalier) - tables réservées à l'avance pour les « NFT member » pour deux (2) personnes</v>
      </c>
      <c r="AJ52" t="str">
        <f>Tokens!AL54</f>
        <v>avantage5</v>
      </c>
      <c r="AK52" t="str">
        <f>Tokens!AM54</f>
        <v>1 affiche numérotée (quelques unes seront signées au hasard)</v>
      </c>
      <c r="AL52">
        <f>Tokens!AN54</f>
        <v>0</v>
      </c>
      <c r="AM52">
        <f>Tokens!AO54</f>
        <v>0</v>
      </c>
      <c r="AN52">
        <f>Tokens!AP54</f>
        <v>0</v>
      </c>
      <c r="AO52">
        <f>Tokens!AQ54</f>
        <v>0</v>
      </c>
      <c r="AP52">
        <f>Tokens!AR54</f>
        <v>0</v>
      </c>
      <c r="AQ52">
        <f>Tokens!AS54</f>
        <v>0</v>
      </c>
      <c r="AR52">
        <f>Tokens!AT54</f>
        <v>0</v>
      </c>
      <c r="AS52">
        <f>Tokens!AU54</f>
        <v>0</v>
      </c>
      <c r="AT52" t="str">
        <f>Tokens!AV54</f>
        <v>Validation</v>
      </c>
      <c r="AU52" t="str">
        <f>Tokens!AW54</f>
        <v>https://tokensol.nfluent.io?s=COR22B51&amp;platform=ftx</v>
      </c>
      <c r="AV52" t="str">
        <f>Tokens!AX54</f>
        <v>paul</v>
      </c>
      <c r="AW52">
        <f>Tokens!AY54</f>
        <v>10</v>
      </c>
      <c r="AX52" t="str">
        <f>Tokens!AZ54</f>
        <v>sophie</v>
      </c>
      <c r="AY52">
        <f>Tokens!BA54</f>
        <v>90</v>
      </c>
      <c r="AZ52">
        <f>Tokens!BB54</f>
        <v>0</v>
      </c>
      <c r="BA52">
        <f>Tokens!BC54</f>
        <v>0</v>
      </c>
      <c r="BB52" t="str">
        <f>Tokens!BD54</f>
        <v>https://bafybeicgtrhjweckx2vfwtyokcngfyecfczyi234bo576emk7czddpc2du.ipfs.nftstorage.link?CALVI_12.mp4</v>
      </c>
      <c r="BC52" t="str">
        <f>Tokens!BE54</f>
        <v>mp4</v>
      </c>
      <c r="BD52">
        <f>Tokens!BF54</f>
        <v>0</v>
      </c>
      <c r="BE52">
        <f>Tokens!BG54</f>
        <v>0</v>
      </c>
      <c r="BF52">
        <f>Tokens!BH54</f>
        <v>0</v>
      </c>
      <c r="BG52">
        <f>Tokens!BI54</f>
        <v>0</v>
      </c>
      <c r="BH52" t="str">
        <f>Tokens!BJ54</f>
        <v>A Madonna Di A Sierra</v>
      </c>
      <c r="BI52" t="str">
        <f>Tokens!BK54</f>
        <v>Calvi On The Rocks</v>
      </c>
    </row>
    <row r="53" spans="1:61" x14ac:dyDescent="0.25">
      <c r="A53" t="str">
        <f>Tokens!C55</f>
        <v>A Madonna Di A Sierra #52</v>
      </c>
      <c r="B53" t="str">
        <f>Tokens!D55</f>
        <v>COR22B52</v>
      </c>
      <c r="C53" t="str">
        <f>Tokens!E55</f>
        <v>A Madonna Di A Sierra, 3 ans - Pass NFT 5 jours pour 2 personnes, valable pour 3 éditions Calvi On The Rocks de votre choix.</v>
      </c>
      <c r="D53">
        <f>Tokens!F55</f>
        <v>1000</v>
      </c>
      <c r="E53" t="str">
        <f>Tokens!G55</f>
        <v>https://bafybeiana5rpqqiwijtdafkrzsxnnzcat33qww2vbkj327el6usj2taw5e.ipfs.nftstorage.link?visual42.png</v>
      </c>
      <c r="F53" t="str">
        <f>Tokens!H55</f>
        <v>NfluenT for Calvi On The rocks</v>
      </c>
      <c r="G53">
        <f>Tokens!I55</f>
        <v>0</v>
      </c>
      <c r="H53" t="str">
        <f>Tokens!J55</f>
        <v>Pass festival</v>
      </c>
      <c r="I53" t="str">
        <f>Tokens!K55</f>
        <v>pour deux(2) personnes</v>
      </c>
      <c r="J53" t="str">
        <f>Tokens!L55</f>
        <v>Edition1</v>
      </c>
      <c r="K53">
        <f>Tokens!M55</f>
        <v>2</v>
      </c>
      <c r="L53" t="str">
        <f>Tokens!N55</f>
        <v>Edition2</v>
      </c>
      <c r="M53">
        <f>Tokens!O55</f>
        <v>2</v>
      </c>
      <c r="N53" t="str">
        <f>Tokens!P55</f>
        <v>Edition3</v>
      </c>
      <c r="O53">
        <f>Tokens!Q55</f>
        <v>2</v>
      </c>
      <c r="P53">
        <f>Tokens!R55</f>
        <v>0</v>
      </c>
      <c r="Q53">
        <f>Tokens!S55</f>
        <v>0</v>
      </c>
      <c r="R53">
        <f>Tokens!T55</f>
        <v>0</v>
      </c>
      <c r="S53">
        <f>Tokens!U55</f>
        <v>0</v>
      </c>
      <c r="T53" t="str">
        <f>Tokens!V55</f>
        <v>Dernière utilisation</v>
      </c>
      <c r="U53">
        <f>Tokens!W55</f>
        <v>0</v>
      </c>
      <c r="V53">
        <f>Tokens!X55</f>
        <v>0</v>
      </c>
      <c r="W53">
        <f>Tokens!Y55</f>
        <v>0</v>
      </c>
      <c r="X53" t="str">
        <f>Tokens!Z55</f>
        <v>avantage1</v>
      </c>
      <c r="Y53" t="str">
        <f>Tokens!AA55</f>
        <v>accès pour deux (2) personnes à un (1) événement partenaire officiel de Calvi on the Rocks</v>
      </c>
      <c r="Z53">
        <f>Tokens!AB55</f>
        <v>0</v>
      </c>
      <c r="AA53">
        <f>Tokens!AC55</f>
        <v>0</v>
      </c>
      <c r="AB53">
        <f>Tokens!AD55</f>
        <v>0</v>
      </c>
      <c r="AC53">
        <f>Tokens!AE55</f>
        <v>0</v>
      </c>
      <c r="AD53" t="str">
        <f>Tokens!AF55</f>
        <v>avantage2</v>
      </c>
      <c r="AE53" t="str">
        <f>Tokens!AG55</f>
        <v>invitation à la “Soirée off” réservée aux membres NFT pour deux (2) personnes</v>
      </c>
      <c r="AF53" t="str">
        <f>Tokens!AH55</f>
        <v>avantage3</v>
      </c>
      <c r="AG53" t="str">
        <f>Tokens!AI55</f>
        <v>accès membre pour les after party officielles pour deux (2) personnes</v>
      </c>
      <c r="AH53" t="str">
        <f>Tokens!AJ55</f>
        <v>avantage4</v>
      </c>
      <c r="AI53" t="str">
        <f>Tokens!AK55</f>
        <v>accès prioritaire et bar dédié (consommation à la charge du festivalier) - tables réservées à l'avance pour les « NFT member » pour deux (2) personnes</v>
      </c>
      <c r="AJ53" t="str">
        <f>Tokens!AL55</f>
        <v>avantage5</v>
      </c>
      <c r="AK53" t="str">
        <f>Tokens!AM55</f>
        <v>1 affiche numérotée (quelques unes seront signées au hasard)</v>
      </c>
      <c r="AL53">
        <f>Tokens!AN55</f>
        <v>0</v>
      </c>
      <c r="AM53">
        <f>Tokens!AO55</f>
        <v>0</v>
      </c>
      <c r="AN53">
        <f>Tokens!AP55</f>
        <v>0</v>
      </c>
      <c r="AO53">
        <f>Tokens!AQ55</f>
        <v>0</v>
      </c>
      <c r="AP53">
        <f>Tokens!AR55</f>
        <v>0</v>
      </c>
      <c r="AQ53">
        <f>Tokens!AS55</f>
        <v>0</v>
      </c>
      <c r="AR53">
        <f>Tokens!AT55</f>
        <v>0</v>
      </c>
      <c r="AS53">
        <f>Tokens!AU55</f>
        <v>0</v>
      </c>
      <c r="AT53" t="str">
        <f>Tokens!AV55</f>
        <v>Validation</v>
      </c>
      <c r="AU53" t="str">
        <f>Tokens!AW55</f>
        <v>https://tokensol.nfluent.io?s=COR22B52&amp;platform=ftx</v>
      </c>
      <c r="AV53" t="str">
        <f>Tokens!AX55</f>
        <v>paul</v>
      </c>
      <c r="AW53">
        <f>Tokens!AY55</f>
        <v>10</v>
      </c>
      <c r="AX53" t="str">
        <f>Tokens!AZ55</f>
        <v>sophie</v>
      </c>
      <c r="AY53">
        <f>Tokens!BA55</f>
        <v>90</v>
      </c>
      <c r="AZ53">
        <f>Tokens!BB55</f>
        <v>0</v>
      </c>
      <c r="BA53">
        <f>Tokens!BC55</f>
        <v>0</v>
      </c>
      <c r="BB53" t="str">
        <f>Tokens!BD55</f>
        <v>https://bafybeicgtrhjweckx2vfwtyokcngfyecfczyi234bo576emk7czddpc2du.ipfs.nftstorage.link?CALVI_12.mp4</v>
      </c>
      <c r="BC53" t="str">
        <f>Tokens!BE55</f>
        <v>mp4</v>
      </c>
      <c r="BD53">
        <f>Tokens!BF55</f>
        <v>0</v>
      </c>
      <c r="BE53">
        <f>Tokens!BG55</f>
        <v>0</v>
      </c>
      <c r="BF53">
        <f>Tokens!BH55</f>
        <v>0</v>
      </c>
      <c r="BG53">
        <f>Tokens!BI55</f>
        <v>0</v>
      </c>
      <c r="BH53" t="str">
        <f>Tokens!BJ55</f>
        <v>A Madonna Di A Sierra</v>
      </c>
      <c r="BI53" t="str">
        <f>Tokens!BK55</f>
        <v>Calvi On The Rocks</v>
      </c>
    </row>
    <row r="54" spans="1:61" x14ac:dyDescent="0.25">
      <c r="A54" t="str">
        <f>Tokens!C56</f>
        <v>A Madonna Di A Sierra #53</v>
      </c>
      <c r="B54" t="str">
        <f>Tokens!D56</f>
        <v>COR22B53</v>
      </c>
      <c r="C54" t="str">
        <f>Tokens!E56</f>
        <v>A Madonna Di A Sierra, 3 ans - Pass NFT 5 jours pour 2 personnes, valable pour 3 éditions Calvi On The Rocks de votre choix.</v>
      </c>
      <c r="D54">
        <f>Tokens!F56</f>
        <v>1000</v>
      </c>
      <c r="E54" t="str">
        <f>Tokens!G56</f>
        <v>https://bafybeigk264uuwwhrt2nywulo42k4ylfjbz3fmpyszrazeopvneaejzoi4.ipfs.nftstorage.link?visual43.png</v>
      </c>
      <c r="F54" t="str">
        <f>Tokens!H56</f>
        <v>NfluenT for Calvi On The rocks</v>
      </c>
      <c r="G54">
        <f>Tokens!I56</f>
        <v>0</v>
      </c>
      <c r="H54" t="str">
        <f>Tokens!J56</f>
        <v>Pass festival</v>
      </c>
      <c r="I54" t="str">
        <f>Tokens!K56</f>
        <v>pour deux(2) personnes</v>
      </c>
      <c r="J54" t="str">
        <f>Tokens!L56</f>
        <v>Edition1</v>
      </c>
      <c r="K54">
        <f>Tokens!M56</f>
        <v>2</v>
      </c>
      <c r="L54" t="str">
        <f>Tokens!N56</f>
        <v>Edition2</v>
      </c>
      <c r="M54">
        <f>Tokens!O56</f>
        <v>2</v>
      </c>
      <c r="N54" t="str">
        <f>Tokens!P56</f>
        <v>Edition3</v>
      </c>
      <c r="O54">
        <f>Tokens!Q56</f>
        <v>2</v>
      </c>
      <c r="P54">
        <f>Tokens!R56</f>
        <v>0</v>
      </c>
      <c r="Q54">
        <f>Tokens!S56</f>
        <v>0</v>
      </c>
      <c r="R54">
        <f>Tokens!T56</f>
        <v>0</v>
      </c>
      <c r="S54">
        <f>Tokens!U56</f>
        <v>0</v>
      </c>
      <c r="T54" t="str">
        <f>Tokens!V56</f>
        <v>Dernière utilisation</v>
      </c>
      <c r="U54">
        <f>Tokens!W56</f>
        <v>0</v>
      </c>
      <c r="V54">
        <f>Tokens!X56</f>
        <v>0</v>
      </c>
      <c r="W54">
        <f>Tokens!Y56</f>
        <v>0</v>
      </c>
      <c r="X54" t="str">
        <f>Tokens!Z56</f>
        <v>avantage1</v>
      </c>
      <c r="Y54" t="str">
        <f>Tokens!AA56</f>
        <v>accès pour deux (2) personnes à un (1) événement partenaire officiel de Calvi on the Rocks</v>
      </c>
      <c r="Z54">
        <f>Tokens!AB56</f>
        <v>0</v>
      </c>
      <c r="AA54">
        <f>Tokens!AC56</f>
        <v>0</v>
      </c>
      <c r="AB54">
        <f>Tokens!AD56</f>
        <v>0</v>
      </c>
      <c r="AC54">
        <f>Tokens!AE56</f>
        <v>0</v>
      </c>
      <c r="AD54" t="str">
        <f>Tokens!AF56</f>
        <v>avantage2</v>
      </c>
      <c r="AE54" t="str">
        <f>Tokens!AG56</f>
        <v>invitation à la “Soirée off” réservée aux membres NFT pour deux (2) personnes</v>
      </c>
      <c r="AF54" t="str">
        <f>Tokens!AH56</f>
        <v>avantage3</v>
      </c>
      <c r="AG54" t="str">
        <f>Tokens!AI56</f>
        <v>accès membre pour les after party officielles pour deux (2) personnes</v>
      </c>
      <c r="AH54" t="str">
        <f>Tokens!AJ56</f>
        <v>avantage4</v>
      </c>
      <c r="AI54" t="str">
        <f>Tokens!AK56</f>
        <v>accès prioritaire et bar dédié (consommation à la charge du festivalier) - tables réservées à l'avance pour les « NFT member » pour deux (2) personnes</v>
      </c>
      <c r="AJ54" t="str">
        <f>Tokens!AL56</f>
        <v>avantage5</v>
      </c>
      <c r="AK54" t="str">
        <f>Tokens!AM56</f>
        <v>1 affiche numérotée (quelques unes seront signées au hasard)</v>
      </c>
      <c r="AL54">
        <f>Tokens!AN56</f>
        <v>0</v>
      </c>
      <c r="AM54">
        <f>Tokens!AO56</f>
        <v>0</v>
      </c>
      <c r="AN54">
        <f>Tokens!AP56</f>
        <v>0</v>
      </c>
      <c r="AO54">
        <f>Tokens!AQ56</f>
        <v>0</v>
      </c>
      <c r="AP54">
        <f>Tokens!AR56</f>
        <v>0</v>
      </c>
      <c r="AQ54">
        <f>Tokens!AS56</f>
        <v>0</v>
      </c>
      <c r="AR54">
        <f>Tokens!AT56</f>
        <v>0</v>
      </c>
      <c r="AS54">
        <f>Tokens!AU56</f>
        <v>0</v>
      </c>
      <c r="AT54" t="str">
        <f>Tokens!AV56</f>
        <v>Validation</v>
      </c>
      <c r="AU54" t="str">
        <f>Tokens!AW56</f>
        <v>https://tokensol.nfluent.io?s=COR22B53&amp;platform=ftx</v>
      </c>
      <c r="AV54" t="str">
        <f>Tokens!AX56</f>
        <v>paul</v>
      </c>
      <c r="AW54">
        <f>Tokens!AY56</f>
        <v>10</v>
      </c>
      <c r="AX54" t="str">
        <f>Tokens!AZ56</f>
        <v>sophie</v>
      </c>
      <c r="AY54">
        <f>Tokens!BA56</f>
        <v>90</v>
      </c>
      <c r="AZ54">
        <f>Tokens!BB56</f>
        <v>0</v>
      </c>
      <c r="BA54">
        <f>Tokens!BC56</f>
        <v>0</v>
      </c>
      <c r="BB54" t="str">
        <f>Tokens!BD56</f>
        <v>https://bafybeicgtrhjweckx2vfwtyokcngfyecfczyi234bo576emk7czddpc2du.ipfs.nftstorage.link?CALVI_12.mp4</v>
      </c>
      <c r="BC54" t="str">
        <f>Tokens!BE56</f>
        <v>mp4</v>
      </c>
      <c r="BD54">
        <f>Tokens!BF56</f>
        <v>0</v>
      </c>
      <c r="BE54">
        <f>Tokens!BG56</f>
        <v>0</v>
      </c>
      <c r="BF54">
        <f>Tokens!BH56</f>
        <v>0</v>
      </c>
      <c r="BG54">
        <f>Tokens!BI56</f>
        <v>0</v>
      </c>
      <c r="BH54" t="str">
        <f>Tokens!BJ56</f>
        <v>A Madonna Di A Sierra</v>
      </c>
      <c r="BI54" t="str">
        <f>Tokens!BK56</f>
        <v>Calvi On The Rocks</v>
      </c>
    </row>
    <row r="55" spans="1:61" x14ac:dyDescent="0.25">
      <c r="A55" t="str">
        <f>Tokens!C57</f>
        <v>A Madonna Di A Sierra #54</v>
      </c>
      <c r="B55" t="str">
        <f>Tokens!D57</f>
        <v>COR22B54</v>
      </c>
      <c r="C55" t="str">
        <f>Tokens!E57</f>
        <v>A Madonna Di A Sierra, 3 ans - Pass NFT 5 jours pour 2 personnes, valable pour 3 éditions Calvi On The Rocks de votre choix.</v>
      </c>
      <c r="D55">
        <f>Tokens!F57</f>
        <v>1000</v>
      </c>
      <c r="E55" t="str">
        <f>Tokens!G57</f>
        <v>https://bafybeigace26227x272omuzp2chpnhx6vv2rnglyou4o5sridutcztuk5y.ipfs.nftstorage.link?visual44.png</v>
      </c>
      <c r="F55" t="str">
        <f>Tokens!H57</f>
        <v>NfluenT for Calvi On The rocks</v>
      </c>
      <c r="G55">
        <f>Tokens!I57</f>
        <v>0</v>
      </c>
      <c r="H55" t="str">
        <f>Tokens!J57</f>
        <v>Pass festival</v>
      </c>
      <c r="I55" t="str">
        <f>Tokens!K57</f>
        <v>pour deux(2) personnes</v>
      </c>
      <c r="J55" t="str">
        <f>Tokens!L57</f>
        <v>Edition1</v>
      </c>
      <c r="K55">
        <f>Tokens!M57</f>
        <v>2</v>
      </c>
      <c r="L55" t="str">
        <f>Tokens!N57</f>
        <v>Edition2</v>
      </c>
      <c r="M55">
        <f>Tokens!O57</f>
        <v>2</v>
      </c>
      <c r="N55" t="str">
        <f>Tokens!P57</f>
        <v>Edition3</v>
      </c>
      <c r="O55">
        <f>Tokens!Q57</f>
        <v>2</v>
      </c>
      <c r="P55">
        <f>Tokens!R57</f>
        <v>0</v>
      </c>
      <c r="Q55">
        <f>Tokens!S57</f>
        <v>0</v>
      </c>
      <c r="R55">
        <f>Tokens!T57</f>
        <v>0</v>
      </c>
      <c r="S55">
        <f>Tokens!U57</f>
        <v>0</v>
      </c>
      <c r="T55" t="str">
        <f>Tokens!V57</f>
        <v>Dernière utilisation</v>
      </c>
      <c r="U55">
        <f>Tokens!W57</f>
        <v>0</v>
      </c>
      <c r="V55">
        <f>Tokens!X57</f>
        <v>0</v>
      </c>
      <c r="W55">
        <f>Tokens!Y57</f>
        <v>0</v>
      </c>
      <c r="X55" t="str">
        <f>Tokens!Z57</f>
        <v>avantage1</v>
      </c>
      <c r="Y55" t="str">
        <f>Tokens!AA57</f>
        <v>accès pour deux (2) personnes à un (1) événement partenaire officiel de Calvi on the Rocks</v>
      </c>
      <c r="Z55">
        <f>Tokens!AB57</f>
        <v>0</v>
      </c>
      <c r="AA55">
        <f>Tokens!AC57</f>
        <v>0</v>
      </c>
      <c r="AB55">
        <f>Tokens!AD57</f>
        <v>0</v>
      </c>
      <c r="AC55">
        <f>Tokens!AE57</f>
        <v>0</v>
      </c>
      <c r="AD55" t="str">
        <f>Tokens!AF57</f>
        <v>avantage2</v>
      </c>
      <c r="AE55" t="str">
        <f>Tokens!AG57</f>
        <v>invitation à la “Soirée off” réservée aux membres NFT pour deux (2) personnes</v>
      </c>
      <c r="AF55" t="str">
        <f>Tokens!AH57</f>
        <v>avantage3</v>
      </c>
      <c r="AG55" t="str">
        <f>Tokens!AI57</f>
        <v>accès membre pour les after party officielles pour deux (2) personnes</v>
      </c>
      <c r="AH55" t="str">
        <f>Tokens!AJ57</f>
        <v>avantage4</v>
      </c>
      <c r="AI55" t="str">
        <f>Tokens!AK57</f>
        <v>accès prioritaire et bar dédié (consommation à la charge du festivalier) - tables réservées à l'avance pour les « NFT member » pour deux (2) personnes</v>
      </c>
      <c r="AJ55" t="str">
        <f>Tokens!AL57</f>
        <v>avantage5</v>
      </c>
      <c r="AK55" t="str">
        <f>Tokens!AM57</f>
        <v>1 affiche numérotée (quelques unes seront signées au hasard)</v>
      </c>
      <c r="AL55">
        <f>Tokens!AN57</f>
        <v>0</v>
      </c>
      <c r="AM55">
        <f>Tokens!AO57</f>
        <v>0</v>
      </c>
      <c r="AN55">
        <f>Tokens!AP57</f>
        <v>0</v>
      </c>
      <c r="AO55">
        <f>Tokens!AQ57</f>
        <v>0</v>
      </c>
      <c r="AP55">
        <f>Tokens!AR57</f>
        <v>0</v>
      </c>
      <c r="AQ55">
        <f>Tokens!AS57</f>
        <v>0</v>
      </c>
      <c r="AR55">
        <f>Tokens!AT57</f>
        <v>0</v>
      </c>
      <c r="AS55">
        <f>Tokens!AU57</f>
        <v>0</v>
      </c>
      <c r="AT55" t="str">
        <f>Tokens!AV57</f>
        <v>Validation</v>
      </c>
      <c r="AU55" t="str">
        <f>Tokens!AW57</f>
        <v>https://tokensol.nfluent.io?s=COR22B54&amp;platform=ftx</v>
      </c>
      <c r="AV55" t="str">
        <f>Tokens!AX57</f>
        <v>paul</v>
      </c>
      <c r="AW55">
        <f>Tokens!AY57</f>
        <v>10</v>
      </c>
      <c r="AX55" t="str">
        <f>Tokens!AZ57</f>
        <v>sophie</v>
      </c>
      <c r="AY55">
        <f>Tokens!BA57</f>
        <v>90</v>
      </c>
      <c r="AZ55">
        <f>Tokens!BB57</f>
        <v>0</v>
      </c>
      <c r="BA55">
        <f>Tokens!BC57</f>
        <v>0</v>
      </c>
      <c r="BB55" t="str">
        <f>Tokens!BD57</f>
        <v>https://bafybeicgtrhjweckx2vfwtyokcngfyecfczyi234bo576emk7czddpc2du.ipfs.nftstorage.link?CALVI_12.mp4</v>
      </c>
      <c r="BC55" t="str">
        <f>Tokens!BE57</f>
        <v>mp4</v>
      </c>
      <c r="BD55">
        <f>Tokens!BF57</f>
        <v>0</v>
      </c>
      <c r="BE55">
        <f>Tokens!BG57</f>
        <v>0</v>
      </c>
      <c r="BF55">
        <f>Tokens!BH57</f>
        <v>0</v>
      </c>
      <c r="BG55">
        <f>Tokens!BI57</f>
        <v>0</v>
      </c>
      <c r="BH55" t="str">
        <f>Tokens!BJ57</f>
        <v>A Madonna Di A Sierra</v>
      </c>
      <c r="BI55" t="str">
        <f>Tokens!BK57</f>
        <v>Calvi On The Rocks</v>
      </c>
    </row>
    <row r="56" spans="1:61" x14ac:dyDescent="0.25">
      <c r="A56" t="str">
        <f>Tokens!C58</f>
        <v>A Madonna Di A Sierra #55</v>
      </c>
      <c r="B56" t="str">
        <f>Tokens!D58</f>
        <v>COR22B55</v>
      </c>
      <c r="C56" t="str">
        <f>Tokens!E58</f>
        <v>A Madonna Di A Sierra, 3 ans - Pass NFT 5 jours pour 2 personnes, valable pour 3 éditions Calvi On The Rocks de votre choix.</v>
      </c>
      <c r="D56">
        <f>Tokens!F58</f>
        <v>1000</v>
      </c>
      <c r="E56" t="str">
        <f>Tokens!G58</f>
        <v>https://bafybeihkyer3vcqybfdywfpfogd6hf7lguhoozaaw52ynglxdhstqwkxtm.ipfs.nftstorage.link?visual45.png</v>
      </c>
      <c r="F56" t="str">
        <f>Tokens!H58</f>
        <v>NfluenT for Calvi On The rocks</v>
      </c>
      <c r="G56">
        <f>Tokens!I58</f>
        <v>0</v>
      </c>
      <c r="H56" t="str">
        <f>Tokens!J58</f>
        <v>Pass festival</v>
      </c>
      <c r="I56" t="str">
        <f>Tokens!K58</f>
        <v>pour deux(2) personnes</v>
      </c>
      <c r="J56" t="str">
        <f>Tokens!L58</f>
        <v>Edition1</v>
      </c>
      <c r="K56">
        <f>Tokens!M58</f>
        <v>2</v>
      </c>
      <c r="L56" t="str">
        <f>Tokens!N58</f>
        <v>Edition2</v>
      </c>
      <c r="M56">
        <f>Tokens!O58</f>
        <v>2</v>
      </c>
      <c r="N56" t="str">
        <f>Tokens!P58</f>
        <v>Edition3</v>
      </c>
      <c r="O56">
        <f>Tokens!Q58</f>
        <v>2</v>
      </c>
      <c r="P56">
        <f>Tokens!R58</f>
        <v>0</v>
      </c>
      <c r="Q56">
        <f>Tokens!S58</f>
        <v>0</v>
      </c>
      <c r="R56">
        <f>Tokens!T58</f>
        <v>0</v>
      </c>
      <c r="S56">
        <f>Tokens!U58</f>
        <v>0</v>
      </c>
      <c r="T56" t="str">
        <f>Tokens!V58</f>
        <v>Dernière utilisation</v>
      </c>
      <c r="U56">
        <f>Tokens!W58</f>
        <v>0</v>
      </c>
      <c r="V56">
        <f>Tokens!X58</f>
        <v>0</v>
      </c>
      <c r="W56">
        <f>Tokens!Y58</f>
        <v>0</v>
      </c>
      <c r="X56" t="str">
        <f>Tokens!Z58</f>
        <v>avantage1</v>
      </c>
      <c r="Y56" t="str">
        <f>Tokens!AA58</f>
        <v>accès pour deux (2) personnes à un (1) événement partenaire officiel de Calvi on the Rocks</v>
      </c>
      <c r="Z56">
        <f>Tokens!AB58</f>
        <v>0</v>
      </c>
      <c r="AA56">
        <f>Tokens!AC58</f>
        <v>0</v>
      </c>
      <c r="AB56">
        <f>Tokens!AD58</f>
        <v>0</v>
      </c>
      <c r="AC56">
        <f>Tokens!AE58</f>
        <v>0</v>
      </c>
      <c r="AD56" t="str">
        <f>Tokens!AF58</f>
        <v>avantage2</v>
      </c>
      <c r="AE56" t="str">
        <f>Tokens!AG58</f>
        <v>invitation à la “Soirée off” réservée aux membres NFT pour deux (2) personnes</v>
      </c>
      <c r="AF56" t="str">
        <f>Tokens!AH58</f>
        <v>avantage3</v>
      </c>
      <c r="AG56" t="str">
        <f>Tokens!AI58</f>
        <v>accès membre pour les after party officielles pour deux (2) personnes</v>
      </c>
      <c r="AH56" t="str">
        <f>Tokens!AJ58</f>
        <v>avantage4</v>
      </c>
      <c r="AI56" t="str">
        <f>Tokens!AK58</f>
        <v>accès prioritaire et bar dédié (consommation à la charge du festivalier) - tables réservées à l'avance pour les « NFT member » pour deux (2) personnes</v>
      </c>
      <c r="AJ56" t="str">
        <f>Tokens!AL58</f>
        <v>avantage5</v>
      </c>
      <c r="AK56" t="str">
        <f>Tokens!AM58</f>
        <v>1 affiche numérotée (quelques unes seront signées au hasard)</v>
      </c>
      <c r="AL56">
        <f>Tokens!AN58</f>
        <v>0</v>
      </c>
      <c r="AM56">
        <f>Tokens!AO58</f>
        <v>0</v>
      </c>
      <c r="AN56">
        <f>Tokens!AP58</f>
        <v>0</v>
      </c>
      <c r="AO56">
        <f>Tokens!AQ58</f>
        <v>0</v>
      </c>
      <c r="AP56">
        <f>Tokens!AR58</f>
        <v>0</v>
      </c>
      <c r="AQ56">
        <f>Tokens!AS58</f>
        <v>0</v>
      </c>
      <c r="AR56">
        <f>Tokens!AT58</f>
        <v>0</v>
      </c>
      <c r="AS56">
        <f>Tokens!AU58</f>
        <v>0</v>
      </c>
      <c r="AT56" t="str">
        <f>Tokens!AV58</f>
        <v>Validation</v>
      </c>
      <c r="AU56" t="str">
        <f>Tokens!AW58</f>
        <v>https://tokensol.nfluent.io?s=COR22B55&amp;platform=ftx</v>
      </c>
      <c r="AV56" t="str">
        <f>Tokens!AX58</f>
        <v>paul</v>
      </c>
      <c r="AW56">
        <f>Tokens!AY58</f>
        <v>10</v>
      </c>
      <c r="AX56" t="str">
        <f>Tokens!AZ58</f>
        <v>sophie</v>
      </c>
      <c r="AY56">
        <f>Tokens!BA58</f>
        <v>90</v>
      </c>
      <c r="AZ56">
        <f>Tokens!BB58</f>
        <v>0</v>
      </c>
      <c r="BA56">
        <f>Tokens!BC58</f>
        <v>0</v>
      </c>
      <c r="BB56" t="str">
        <f>Tokens!BD58</f>
        <v>https://bafybeicgtrhjweckx2vfwtyokcngfyecfczyi234bo576emk7czddpc2du.ipfs.nftstorage.link?CALVI_12.mp4</v>
      </c>
      <c r="BC56" t="str">
        <f>Tokens!BE58</f>
        <v>mp4</v>
      </c>
      <c r="BD56">
        <f>Tokens!BF58</f>
        <v>0</v>
      </c>
      <c r="BE56">
        <f>Tokens!BG58</f>
        <v>0</v>
      </c>
      <c r="BF56">
        <f>Tokens!BH58</f>
        <v>0</v>
      </c>
      <c r="BG56">
        <f>Tokens!BI58</f>
        <v>0</v>
      </c>
      <c r="BH56" t="str">
        <f>Tokens!BJ58</f>
        <v>A Madonna Di A Sierra</v>
      </c>
      <c r="BI56" t="str">
        <f>Tokens!BK58</f>
        <v>Calvi On The Rocks</v>
      </c>
    </row>
    <row r="57" spans="1:61" x14ac:dyDescent="0.25">
      <c r="A57" t="str">
        <f>Tokens!C59</f>
        <v>A Madonna Di A Sierra #56</v>
      </c>
      <c r="B57" t="str">
        <f>Tokens!D59</f>
        <v>COR22B56</v>
      </c>
      <c r="C57" t="str">
        <f>Tokens!E59</f>
        <v>A Madonna Di A Sierra, 3 ans - Pass NFT 5 jours pour 2 personnes, valable pour 3 éditions Calvi On The Rocks de votre choix.</v>
      </c>
      <c r="D57">
        <f>Tokens!F59</f>
        <v>1000</v>
      </c>
      <c r="E57" t="str">
        <f>Tokens!G59</f>
        <v>https://bafybeibzd4s6wk3sznjmxogcnpxbkkhgonuawwmpc65fqe3fg2in3skgxm.ipfs.nftstorage.link?visual46.png</v>
      </c>
      <c r="F57" t="str">
        <f>Tokens!H59</f>
        <v>NfluenT for Calvi On The rocks</v>
      </c>
      <c r="G57">
        <f>Tokens!I59</f>
        <v>0</v>
      </c>
      <c r="H57" t="str">
        <f>Tokens!J59</f>
        <v>Pass festival</v>
      </c>
      <c r="I57" t="str">
        <f>Tokens!K59</f>
        <v>pour deux(2) personnes</v>
      </c>
      <c r="J57" t="str">
        <f>Tokens!L59</f>
        <v>Edition1</v>
      </c>
      <c r="K57">
        <f>Tokens!M59</f>
        <v>2</v>
      </c>
      <c r="L57" t="str">
        <f>Tokens!N59</f>
        <v>Edition2</v>
      </c>
      <c r="M57">
        <f>Tokens!O59</f>
        <v>2</v>
      </c>
      <c r="N57" t="str">
        <f>Tokens!P59</f>
        <v>Edition3</v>
      </c>
      <c r="O57">
        <f>Tokens!Q59</f>
        <v>2</v>
      </c>
      <c r="P57">
        <f>Tokens!R59</f>
        <v>0</v>
      </c>
      <c r="Q57">
        <f>Tokens!S59</f>
        <v>0</v>
      </c>
      <c r="R57">
        <f>Tokens!T59</f>
        <v>0</v>
      </c>
      <c r="S57">
        <f>Tokens!U59</f>
        <v>0</v>
      </c>
      <c r="T57" t="str">
        <f>Tokens!V59</f>
        <v>Dernière utilisation</v>
      </c>
      <c r="U57">
        <f>Tokens!W59</f>
        <v>0</v>
      </c>
      <c r="V57">
        <f>Tokens!X59</f>
        <v>0</v>
      </c>
      <c r="W57">
        <f>Tokens!Y59</f>
        <v>0</v>
      </c>
      <c r="X57" t="str">
        <f>Tokens!Z59</f>
        <v>avantage1</v>
      </c>
      <c r="Y57" t="str">
        <f>Tokens!AA59</f>
        <v>accès pour deux (2) personnes à un (1) événement partenaire officiel de Calvi on the Rocks</v>
      </c>
      <c r="Z57">
        <f>Tokens!AB59</f>
        <v>0</v>
      </c>
      <c r="AA57">
        <f>Tokens!AC59</f>
        <v>0</v>
      </c>
      <c r="AB57">
        <f>Tokens!AD59</f>
        <v>0</v>
      </c>
      <c r="AC57">
        <f>Tokens!AE59</f>
        <v>0</v>
      </c>
      <c r="AD57" t="str">
        <f>Tokens!AF59</f>
        <v>avantage2</v>
      </c>
      <c r="AE57" t="str">
        <f>Tokens!AG59</f>
        <v>invitation à la “Soirée off” réservée aux membres NFT pour deux (2) personnes</v>
      </c>
      <c r="AF57" t="str">
        <f>Tokens!AH59</f>
        <v>avantage3</v>
      </c>
      <c r="AG57" t="str">
        <f>Tokens!AI59</f>
        <v>accès membre pour les after party officielles pour deux (2) personnes</v>
      </c>
      <c r="AH57" t="str">
        <f>Tokens!AJ59</f>
        <v>avantage4</v>
      </c>
      <c r="AI57" t="str">
        <f>Tokens!AK59</f>
        <v>accès prioritaire et bar dédié (consommation à la charge du festivalier) - tables réservées à l'avance pour les « NFT member » pour deux (2) personnes</v>
      </c>
      <c r="AJ57" t="str">
        <f>Tokens!AL59</f>
        <v>avantage5</v>
      </c>
      <c r="AK57" t="str">
        <f>Tokens!AM59</f>
        <v>1 affiche numérotée (quelques unes seront signées au hasard)</v>
      </c>
      <c r="AL57">
        <f>Tokens!AN59</f>
        <v>0</v>
      </c>
      <c r="AM57">
        <f>Tokens!AO59</f>
        <v>0</v>
      </c>
      <c r="AN57">
        <f>Tokens!AP59</f>
        <v>0</v>
      </c>
      <c r="AO57">
        <f>Tokens!AQ59</f>
        <v>0</v>
      </c>
      <c r="AP57">
        <f>Tokens!AR59</f>
        <v>0</v>
      </c>
      <c r="AQ57">
        <f>Tokens!AS59</f>
        <v>0</v>
      </c>
      <c r="AR57">
        <f>Tokens!AT59</f>
        <v>0</v>
      </c>
      <c r="AS57">
        <f>Tokens!AU59</f>
        <v>0</v>
      </c>
      <c r="AT57" t="str">
        <f>Tokens!AV59</f>
        <v>Validation</v>
      </c>
      <c r="AU57" t="str">
        <f>Tokens!AW59</f>
        <v>https://tokensol.nfluent.io?s=COR22B56&amp;platform=ftx</v>
      </c>
      <c r="AV57" t="str">
        <f>Tokens!AX59</f>
        <v>paul</v>
      </c>
      <c r="AW57">
        <f>Tokens!AY59</f>
        <v>10</v>
      </c>
      <c r="AX57" t="str">
        <f>Tokens!AZ59</f>
        <v>sophie</v>
      </c>
      <c r="AY57">
        <f>Tokens!BA59</f>
        <v>90</v>
      </c>
      <c r="AZ57">
        <f>Tokens!BB59</f>
        <v>0</v>
      </c>
      <c r="BA57">
        <f>Tokens!BC59</f>
        <v>0</v>
      </c>
      <c r="BB57" t="str">
        <f>Tokens!BD59</f>
        <v>https://bafybeicgtrhjweckx2vfwtyokcngfyecfczyi234bo576emk7czddpc2du.ipfs.nftstorage.link?CALVI_12.mp4</v>
      </c>
      <c r="BC57" t="str">
        <f>Tokens!BE59</f>
        <v>mp4</v>
      </c>
      <c r="BD57">
        <f>Tokens!BF59</f>
        <v>0</v>
      </c>
      <c r="BE57">
        <f>Tokens!BG59</f>
        <v>0</v>
      </c>
      <c r="BF57">
        <f>Tokens!BH59</f>
        <v>0</v>
      </c>
      <c r="BG57">
        <f>Tokens!BI59</f>
        <v>0</v>
      </c>
      <c r="BH57" t="str">
        <f>Tokens!BJ59</f>
        <v>A Madonna Di A Sierra</v>
      </c>
      <c r="BI57" t="str">
        <f>Tokens!BK59</f>
        <v>Calvi On The Rocks</v>
      </c>
    </row>
    <row r="58" spans="1:61" x14ac:dyDescent="0.25">
      <c r="A58" t="str">
        <f>Tokens!C60</f>
        <v>A Madonna Di A Sierra #57</v>
      </c>
      <c r="B58" t="str">
        <f>Tokens!D60</f>
        <v>COR22B57</v>
      </c>
      <c r="C58" t="str">
        <f>Tokens!E60</f>
        <v>A Madonna Di A Sierra, 3 ans - Pass NFT 5 jours pour 2 personnes, valable pour 3 éditions Calvi On The Rocks de votre choix.</v>
      </c>
      <c r="D58">
        <f>Tokens!F60</f>
        <v>1000</v>
      </c>
      <c r="E58" t="str">
        <f>Tokens!G60</f>
        <v>https://bafybeiezlp3zpfsrt5kt436tupnmuzn2irqppxw2opitvbter2ijuw5oqu.ipfs.nftstorage.link?visual47.png</v>
      </c>
      <c r="F58" t="str">
        <f>Tokens!H60</f>
        <v>NfluenT for Calvi On The rocks</v>
      </c>
      <c r="G58">
        <f>Tokens!I60</f>
        <v>0</v>
      </c>
      <c r="H58" t="str">
        <f>Tokens!J60</f>
        <v>Pass festival</v>
      </c>
      <c r="I58" t="str">
        <f>Tokens!K60</f>
        <v>pour deux(2) personnes</v>
      </c>
      <c r="J58" t="str">
        <f>Tokens!L60</f>
        <v>Edition1</v>
      </c>
      <c r="K58">
        <f>Tokens!M60</f>
        <v>2</v>
      </c>
      <c r="L58" t="str">
        <f>Tokens!N60</f>
        <v>Edition2</v>
      </c>
      <c r="M58">
        <f>Tokens!O60</f>
        <v>2</v>
      </c>
      <c r="N58" t="str">
        <f>Tokens!P60</f>
        <v>Edition3</v>
      </c>
      <c r="O58">
        <f>Tokens!Q60</f>
        <v>2</v>
      </c>
      <c r="P58">
        <f>Tokens!R60</f>
        <v>0</v>
      </c>
      <c r="Q58">
        <f>Tokens!S60</f>
        <v>0</v>
      </c>
      <c r="R58">
        <f>Tokens!T60</f>
        <v>0</v>
      </c>
      <c r="S58">
        <f>Tokens!U60</f>
        <v>0</v>
      </c>
      <c r="T58" t="str">
        <f>Tokens!V60</f>
        <v>Dernière utilisation</v>
      </c>
      <c r="U58">
        <f>Tokens!W60</f>
        <v>0</v>
      </c>
      <c r="V58">
        <f>Tokens!X60</f>
        <v>0</v>
      </c>
      <c r="W58">
        <f>Tokens!Y60</f>
        <v>0</v>
      </c>
      <c r="X58" t="str">
        <f>Tokens!Z60</f>
        <v>avantage1</v>
      </c>
      <c r="Y58" t="str">
        <f>Tokens!AA60</f>
        <v>accès pour deux (2) personnes à un (1) événement partenaire officiel de Calvi on the Rocks</v>
      </c>
      <c r="Z58">
        <f>Tokens!AB60</f>
        <v>0</v>
      </c>
      <c r="AA58">
        <f>Tokens!AC60</f>
        <v>0</v>
      </c>
      <c r="AB58">
        <f>Tokens!AD60</f>
        <v>0</v>
      </c>
      <c r="AC58">
        <f>Tokens!AE60</f>
        <v>0</v>
      </c>
      <c r="AD58" t="str">
        <f>Tokens!AF60</f>
        <v>avantage2</v>
      </c>
      <c r="AE58" t="str">
        <f>Tokens!AG60</f>
        <v>invitation à la “Soirée off” réservée aux membres NFT pour deux (2) personnes</v>
      </c>
      <c r="AF58" t="str">
        <f>Tokens!AH60</f>
        <v>avantage3</v>
      </c>
      <c r="AG58" t="str">
        <f>Tokens!AI60</f>
        <v>accès membre pour les after party officielles pour deux (2) personnes</v>
      </c>
      <c r="AH58" t="str">
        <f>Tokens!AJ60</f>
        <v>avantage4</v>
      </c>
      <c r="AI58" t="str">
        <f>Tokens!AK60</f>
        <v>accès prioritaire et bar dédié (consommation à la charge du festivalier) - tables réservées à l'avance pour les « NFT member » pour deux (2) personnes</v>
      </c>
      <c r="AJ58" t="str">
        <f>Tokens!AL60</f>
        <v>avantage5</v>
      </c>
      <c r="AK58" t="str">
        <f>Tokens!AM60</f>
        <v>1 affiche numérotée (quelques unes seront signées au hasard)</v>
      </c>
      <c r="AL58">
        <f>Tokens!AN60</f>
        <v>0</v>
      </c>
      <c r="AM58">
        <f>Tokens!AO60</f>
        <v>0</v>
      </c>
      <c r="AN58">
        <f>Tokens!AP60</f>
        <v>0</v>
      </c>
      <c r="AO58">
        <f>Tokens!AQ60</f>
        <v>0</v>
      </c>
      <c r="AP58">
        <f>Tokens!AR60</f>
        <v>0</v>
      </c>
      <c r="AQ58">
        <f>Tokens!AS60</f>
        <v>0</v>
      </c>
      <c r="AR58">
        <f>Tokens!AT60</f>
        <v>0</v>
      </c>
      <c r="AS58">
        <f>Tokens!AU60</f>
        <v>0</v>
      </c>
      <c r="AT58" t="str">
        <f>Tokens!AV60</f>
        <v>Validation</v>
      </c>
      <c r="AU58" t="str">
        <f>Tokens!AW60</f>
        <v>https://tokensol.nfluent.io?s=COR22B57&amp;platform=ftx</v>
      </c>
      <c r="AV58" t="str">
        <f>Tokens!AX60</f>
        <v>paul</v>
      </c>
      <c r="AW58">
        <f>Tokens!AY60</f>
        <v>10</v>
      </c>
      <c r="AX58" t="str">
        <f>Tokens!AZ60</f>
        <v>sophie</v>
      </c>
      <c r="AY58">
        <f>Tokens!BA60</f>
        <v>90</v>
      </c>
      <c r="AZ58">
        <f>Tokens!BB60</f>
        <v>0</v>
      </c>
      <c r="BA58">
        <f>Tokens!BC60</f>
        <v>0</v>
      </c>
      <c r="BB58" t="str">
        <f>Tokens!BD60</f>
        <v>https://bafybeicgtrhjweckx2vfwtyokcngfyecfczyi234bo576emk7czddpc2du.ipfs.nftstorage.link?CALVI_12.mp4</v>
      </c>
      <c r="BC58" t="str">
        <f>Tokens!BE60</f>
        <v>mp4</v>
      </c>
      <c r="BD58">
        <f>Tokens!BF60</f>
        <v>0</v>
      </c>
      <c r="BE58">
        <f>Tokens!BG60</f>
        <v>0</v>
      </c>
      <c r="BF58">
        <f>Tokens!BH60</f>
        <v>0</v>
      </c>
      <c r="BG58">
        <f>Tokens!BI60</f>
        <v>0</v>
      </c>
      <c r="BH58" t="str">
        <f>Tokens!BJ60</f>
        <v>A Madonna Di A Sierra</v>
      </c>
      <c r="BI58" t="str">
        <f>Tokens!BK60</f>
        <v>Calvi On The Rocks</v>
      </c>
    </row>
    <row r="59" spans="1:61" x14ac:dyDescent="0.25">
      <c r="A59" t="str">
        <f>Tokens!C61</f>
        <v>A Madonna Di A Sierra #58</v>
      </c>
      <c r="B59" t="str">
        <f>Tokens!D61</f>
        <v>COR22B58</v>
      </c>
      <c r="C59" t="str">
        <f>Tokens!E61</f>
        <v>A Madonna Di A Sierra, 3 ans - Pass NFT 5 jours pour 2 personnes, valable pour 3 éditions Calvi On The Rocks de votre choix.</v>
      </c>
      <c r="D59">
        <f>Tokens!F61</f>
        <v>1000</v>
      </c>
      <c r="E59" t="str">
        <f>Tokens!G61</f>
        <v>https://bafybeib4mquntuhfbwno52olfavbnvvmefymhncv33nma3b7ok3j5n72oe.ipfs.nftstorage.link?visual48.png</v>
      </c>
      <c r="F59" t="str">
        <f>Tokens!H61</f>
        <v>NfluenT for Calvi On The rocks</v>
      </c>
      <c r="G59">
        <f>Tokens!I61</f>
        <v>0</v>
      </c>
      <c r="H59" t="str">
        <f>Tokens!J61</f>
        <v>Pass festival</v>
      </c>
      <c r="I59" t="str">
        <f>Tokens!K61</f>
        <v>pour deux(2) personnes</v>
      </c>
      <c r="J59" t="str">
        <f>Tokens!L61</f>
        <v>Edition1</v>
      </c>
      <c r="K59">
        <f>Tokens!M61</f>
        <v>2</v>
      </c>
      <c r="L59" t="str">
        <f>Tokens!N61</f>
        <v>Edition2</v>
      </c>
      <c r="M59">
        <f>Tokens!O61</f>
        <v>2</v>
      </c>
      <c r="N59" t="str">
        <f>Tokens!P61</f>
        <v>Edition3</v>
      </c>
      <c r="O59">
        <f>Tokens!Q61</f>
        <v>2</v>
      </c>
      <c r="P59">
        <f>Tokens!R61</f>
        <v>0</v>
      </c>
      <c r="Q59">
        <f>Tokens!S61</f>
        <v>0</v>
      </c>
      <c r="R59">
        <f>Tokens!T61</f>
        <v>0</v>
      </c>
      <c r="S59">
        <f>Tokens!U61</f>
        <v>0</v>
      </c>
      <c r="T59" t="str">
        <f>Tokens!V61</f>
        <v>Dernière utilisation</v>
      </c>
      <c r="U59">
        <f>Tokens!W61</f>
        <v>0</v>
      </c>
      <c r="V59">
        <f>Tokens!X61</f>
        <v>0</v>
      </c>
      <c r="W59">
        <f>Tokens!Y61</f>
        <v>0</v>
      </c>
      <c r="X59" t="str">
        <f>Tokens!Z61</f>
        <v>avantage1</v>
      </c>
      <c r="Y59" t="str">
        <f>Tokens!AA61</f>
        <v>accès pour deux (2) personnes à un (1) événement partenaire officiel de Calvi on the Rocks</v>
      </c>
      <c r="Z59">
        <f>Tokens!AB61</f>
        <v>0</v>
      </c>
      <c r="AA59">
        <f>Tokens!AC61</f>
        <v>0</v>
      </c>
      <c r="AB59">
        <f>Tokens!AD61</f>
        <v>0</v>
      </c>
      <c r="AC59">
        <f>Tokens!AE61</f>
        <v>0</v>
      </c>
      <c r="AD59" t="str">
        <f>Tokens!AF61</f>
        <v>avantage2</v>
      </c>
      <c r="AE59" t="str">
        <f>Tokens!AG61</f>
        <v>invitation à la “Soirée off” réservée aux membres NFT pour deux (2) personnes</v>
      </c>
      <c r="AF59" t="str">
        <f>Tokens!AH61</f>
        <v>avantage3</v>
      </c>
      <c r="AG59" t="str">
        <f>Tokens!AI61</f>
        <v>accès membre pour les after party officielles pour deux (2) personnes</v>
      </c>
      <c r="AH59" t="str">
        <f>Tokens!AJ61</f>
        <v>avantage4</v>
      </c>
      <c r="AI59" t="str">
        <f>Tokens!AK61</f>
        <v>accès prioritaire et bar dédié (consommation à la charge du festivalier) - tables réservées à l'avance pour les « NFT member » pour deux (2) personnes</v>
      </c>
      <c r="AJ59" t="str">
        <f>Tokens!AL61</f>
        <v>avantage5</v>
      </c>
      <c r="AK59" t="str">
        <f>Tokens!AM61</f>
        <v>1 affiche numérotée (quelques unes seront signées au hasard)</v>
      </c>
      <c r="AL59">
        <f>Tokens!AN61</f>
        <v>0</v>
      </c>
      <c r="AM59">
        <f>Tokens!AO61</f>
        <v>0</v>
      </c>
      <c r="AN59">
        <f>Tokens!AP61</f>
        <v>0</v>
      </c>
      <c r="AO59">
        <f>Tokens!AQ61</f>
        <v>0</v>
      </c>
      <c r="AP59">
        <f>Tokens!AR61</f>
        <v>0</v>
      </c>
      <c r="AQ59">
        <f>Tokens!AS61</f>
        <v>0</v>
      </c>
      <c r="AR59">
        <f>Tokens!AT61</f>
        <v>0</v>
      </c>
      <c r="AS59">
        <f>Tokens!AU61</f>
        <v>0</v>
      </c>
      <c r="AT59" t="str">
        <f>Tokens!AV61</f>
        <v>Validation</v>
      </c>
      <c r="AU59" t="str">
        <f>Tokens!AW61</f>
        <v>https://tokensol.nfluent.io?s=COR22B58&amp;platform=ftx</v>
      </c>
      <c r="AV59" t="str">
        <f>Tokens!AX61</f>
        <v>paul</v>
      </c>
      <c r="AW59">
        <f>Tokens!AY61</f>
        <v>10</v>
      </c>
      <c r="AX59" t="str">
        <f>Tokens!AZ61</f>
        <v>sophie</v>
      </c>
      <c r="AY59">
        <f>Tokens!BA61</f>
        <v>90</v>
      </c>
      <c r="AZ59">
        <f>Tokens!BB61</f>
        <v>0</v>
      </c>
      <c r="BA59">
        <f>Tokens!BC61</f>
        <v>0</v>
      </c>
      <c r="BB59" t="str">
        <f>Tokens!BD61</f>
        <v>https://bafybeicgtrhjweckx2vfwtyokcngfyecfczyi234bo576emk7czddpc2du.ipfs.nftstorage.link?CALVI_12.mp4</v>
      </c>
      <c r="BC59" t="str">
        <f>Tokens!BE61</f>
        <v>mp4</v>
      </c>
      <c r="BD59">
        <f>Tokens!BF61</f>
        <v>0</v>
      </c>
      <c r="BE59">
        <f>Tokens!BG61</f>
        <v>0</v>
      </c>
      <c r="BF59">
        <f>Tokens!BH61</f>
        <v>0</v>
      </c>
      <c r="BG59">
        <f>Tokens!BI61</f>
        <v>0</v>
      </c>
      <c r="BH59" t="str">
        <f>Tokens!BJ61</f>
        <v>A Madonna Di A Sierra</v>
      </c>
      <c r="BI59" t="str">
        <f>Tokens!BK61</f>
        <v>Calvi On The Rocks</v>
      </c>
    </row>
    <row r="60" spans="1:61" x14ac:dyDescent="0.25">
      <c r="A60" t="str">
        <f>Tokens!C62</f>
        <v>A Madonna Di A Sierra #59</v>
      </c>
      <c r="B60" t="str">
        <f>Tokens!D62</f>
        <v>COR22B59</v>
      </c>
      <c r="C60" t="str">
        <f>Tokens!E62</f>
        <v>A Madonna Di A Sierra, 3 ans - Pass NFT 5 jours pour 2 personnes, valable pour 3 éditions Calvi On The Rocks de votre choix.</v>
      </c>
      <c r="D60">
        <f>Tokens!F62</f>
        <v>1000</v>
      </c>
      <c r="E60" t="str">
        <f>Tokens!G62</f>
        <v>https://bafybeiasesgf5y334k6inn3jnbgushcdzw7txtlhylhduxtmqvfuxosyhu.ipfs.nftstorage.link?visual49.png</v>
      </c>
      <c r="F60" t="str">
        <f>Tokens!H62</f>
        <v>NfluenT for Calvi On The rocks</v>
      </c>
      <c r="G60">
        <f>Tokens!I62</f>
        <v>0</v>
      </c>
      <c r="H60" t="str">
        <f>Tokens!J62</f>
        <v>Pass festival</v>
      </c>
      <c r="I60" t="str">
        <f>Tokens!K62</f>
        <v>pour deux(2) personnes</v>
      </c>
      <c r="J60" t="str">
        <f>Tokens!L62</f>
        <v>Edition1</v>
      </c>
      <c r="K60">
        <f>Tokens!M62</f>
        <v>2</v>
      </c>
      <c r="L60" t="str">
        <f>Tokens!N62</f>
        <v>Edition2</v>
      </c>
      <c r="M60">
        <f>Tokens!O62</f>
        <v>2</v>
      </c>
      <c r="N60" t="str">
        <f>Tokens!P62</f>
        <v>Edition3</v>
      </c>
      <c r="O60">
        <f>Tokens!Q62</f>
        <v>2</v>
      </c>
      <c r="P60">
        <f>Tokens!R62</f>
        <v>0</v>
      </c>
      <c r="Q60">
        <f>Tokens!S62</f>
        <v>0</v>
      </c>
      <c r="R60">
        <f>Tokens!T62</f>
        <v>0</v>
      </c>
      <c r="S60">
        <f>Tokens!U62</f>
        <v>0</v>
      </c>
      <c r="T60" t="str">
        <f>Tokens!V62</f>
        <v>Dernière utilisation</v>
      </c>
      <c r="U60">
        <f>Tokens!W62</f>
        <v>0</v>
      </c>
      <c r="V60">
        <f>Tokens!X62</f>
        <v>0</v>
      </c>
      <c r="W60">
        <f>Tokens!Y62</f>
        <v>0</v>
      </c>
      <c r="X60" t="str">
        <f>Tokens!Z62</f>
        <v>avantage1</v>
      </c>
      <c r="Y60" t="str">
        <f>Tokens!AA62</f>
        <v>accès pour deux (2) personnes à un (1) événement partenaire officiel de Calvi on the Rocks</v>
      </c>
      <c r="Z60">
        <f>Tokens!AB62</f>
        <v>0</v>
      </c>
      <c r="AA60">
        <f>Tokens!AC62</f>
        <v>0</v>
      </c>
      <c r="AB60">
        <f>Tokens!AD62</f>
        <v>0</v>
      </c>
      <c r="AC60">
        <f>Tokens!AE62</f>
        <v>0</v>
      </c>
      <c r="AD60" t="str">
        <f>Tokens!AF62</f>
        <v>avantage2</v>
      </c>
      <c r="AE60" t="str">
        <f>Tokens!AG62</f>
        <v>invitation à la “Soirée off” réservée aux membres NFT pour deux (2) personnes</v>
      </c>
      <c r="AF60" t="str">
        <f>Tokens!AH62</f>
        <v>avantage3</v>
      </c>
      <c r="AG60" t="str">
        <f>Tokens!AI62</f>
        <v>accès membre pour les after party officielles pour deux (2) personnes</v>
      </c>
      <c r="AH60" t="str">
        <f>Tokens!AJ62</f>
        <v>avantage4</v>
      </c>
      <c r="AI60" t="str">
        <f>Tokens!AK62</f>
        <v>accès prioritaire et bar dédié (consommation à la charge du festivalier) - tables réservées à l'avance pour les « NFT member » pour deux (2) personnes</v>
      </c>
      <c r="AJ60" t="str">
        <f>Tokens!AL62</f>
        <v>avantage5</v>
      </c>
      <c r="AK60" t="str">
        <f>Tokens!AM62</f>
        <v>1 affiche numérotée (quelques unes seront signées au hasard)</v>
      </c>
      <c r="AL60">
        <f>Tokens!AN62</f>
        <v>0</v>
      </c>
      <c r="AM60">
        <f>Tokens!AO62</f>
        <v>0</v>
      </c>
      <c r="AN60">
        <f>Tokens!AP62</f>
        <v>0</v>
      </c>
      <c r="AO60">
        <f>Tokens!AQ62</f>
        <v>0</v>
      </c>
      <c r="AP60">
        <f>Tokens!AR62</f>
        <v>0</v>
      </c>
      <c r="AQ60">
        <f>Tokens!AS62</f>
        <v>0</v>
      </c>
      <c r="AR60">
        <f>Tokens!AT62</f>
        <v>0</v>
      </c>
      <c r="AS60">
        <f>Tokens!AU62</f>
        <v>0</v>
      </c>
      <c r="AT60" t="str">
        <f>Tokens!AV62</f>
        <v>Validation</v>
      </c>
      <c r="AU60" t="str">
        <f>Tokens!AW62</f>
        <v>https://tokensol.nfluent.io?s=COR22B59&amp;platform=ftx</v>
      </c>
      <c r="AV60" t="str">
        <f>Tokens!AX62</f>
        <v>paul</v>
      </c>
      <c r="AW60">
        <f>Tokens!AY62</f>
        <v>10</v>
      </c>
      <c r="AX60" t="str">
        <f>Tokens!AZ62</f>
        <v>sophie</v>
      </c>
      <c r="AY60">
        <f>Tokens!BA62</f>
        <v>90</v>
      </c>
      <c r="AZ60">
        <f>Tokens!BB62</f>
        <v>0</v>
      </c>
      <c r="BA60">
        <f>Tokens!BC62</f>
        <v>0</v>
      </c>
      <c r="BB60" t="str">
        <f>Tokens!BD62</f>
        <v>https://bafybeicgtrhjweckx2vfwtyokcngfyecfczyi234bo576emk7czddpc2du.ipfs.nftstorage.link?CALVI_12.mp4</v>
      </c>
      <c r="BC60" t="str">
        <f>Tokens!BE62</f>
        <v>mp4</v>
      </c>
      <c r="BD60">
        <f>Tokens!BF62</f>
        <v>0</v>
      </c>
      <c r="BE60">
        <f>Tokens!BG62</f>
        <v>0</v>
      </c>
      <c r="BF60">
        <f>Tokens!BH62</f>
        <v>0</v>
      </c>
      <c r="BG60">
        <f>Tokens!BI62</f>
        <v>0</v>
      </c>
      <c r="BH60" t="str">
        <f>Tokens!BJ62</f>
        <v>A Madonna Di A Sierra</v>
      </c>
      <c r="BI60" t="str">
        <f>Tokens!BK62</f>
        <v>Calvi On The Rocks</v>
      </c>
    </row>
    <row r="61" spans="1:61" x14ac:dyDescent="0.25">
      <c r="A61" t="str">
        <f>Tokens!C63</f>
        <v>A Madonna Di A Sierra #60</v>
      </c>
      <c r="B61" t="str">
        <f>Tokens!D63</f>
        <v>COR22B60</v>
      </c>
      <c r="C61" t="str">
        <f>Tokens!E63</f>
        <v>A Madonna Di A Sierra, 3 ans - Pass NFT 5 jours pour 2 personnes, valable pour 3 éditions Calvi On The Rocks de votre choix.</v>
      </c>
      <c r="D61">
        <f>Tokens!F63</f>
        <v>1000</v>
      </c>
      <c r="E61" t="str">
        <f>Tokens!G63</f>
        <v>https://bafybeie35uhrqt3p7ja6nksn7mwwum3odfpzm3wblulph6rvi26tdt6uyi.ipfs.nftstorage.link?visual50.png</v>
      </c>
      <c r="F61" t="str">
        <f>Tokens!H63</f>
        <v>NfluenT for Calvi On The rocks</v>
      </c>
      <c r="G61">
        <f>Tokens!I63</f>
        <v>0</v>
      </c>
      <c r="H61" t="str">
        <f>Tokens!J63</f>
        <v>Pass festival</v>
      </c>
      <c r="I61" t="str">
        <f>Tokens!K63</f>
        <v>pour deux(2) personnes</v>
      </c>
      <c r="J61" t="str">
        <f>Tokens!L63</f>
        <v>Edition1</v>
      </c>
      <c r="K61">
        <f>Tokens!M63</f>
        <v>2</v>
      </c>
      <c r="L61" t="str">
        <f>Tokens!N63</f>
        <v>Edition2</v>
      </c>
      <c r="M61">
        <f>Tokens!O63</f>
        <v>2</v>
      </c>
      <c r="N61" t="str">
        <f>Tokens!P63</f>
        <v>Edition3</v>
      </c>
      <c r="O61">
        <f>Tokens!Q63</f>
        <v>2</v>
      </c>
      <c r="P61">
        <f>Tokens!R63</f>
        <v>0</v>
      </c>
      <c r="Q61">
        <f>Tokens!S63</f>
        <v>0</v>
      </c>
      <c r="R61">
        <f>Tokens!T63</f>
        <v>0</v>
      </c>
      <c r="S61">
        <f>Tokens!U63</f>
        <v>0</v>
      </c>
      <c r="T61" t="str">
        <f>Tokens!V63</f>
        <v>Dernière utilisation</v>
      </c>
      <c r="U61">
        <f>Tokens!W63</f>
        <v>0</v>
      </c>
      <c r="V61">
        <f>Tokens!X63</f>
        <v>0</v>
      </c>
      <c r="W61">
        <f>Tokens!Y63</f>
        <v>0</v>
      </c>
      <c r="X61" t="str">
        <f>Tokens!Z63</f>
        <v>avantage1</v>
      </c>
      <c r="Y61" t="str">
        <f>Tokens!AA63</f>
        <v>accès pour deux (2) personnes à un (1) événement partenaire officiel de Calvi on the Rocks</v>
      </c>
      <c r="Z61">
        <f>Tokens!AB63</f>
        <v>0</v>
      </c>
      <c r="AA61">
        <f>Tokens!AC63</f>
        <v>0</v>
      </c>
      <c r="AB61">
        <f>Tokens!AD63</f>
        <v>0</v>
      </c>
      <c r="AC61">
        <f>Tokens!AE63</f>
        <v>0</v>
      </c>
      <c r="AD61" t="str">
        <f>Tokens!AF63</f>
        <v>avantage2</v>
      </c>
      <c r="AE61" t="str">
        <f>Tokens!AG63</f>
        <v>invitation à la “Soirée off” réservée aux membres NFT pour deux (2) personnes</v>
      </c>
      <c r="AF61" t="str">
        <f>Tokens!AH63</f>
        <v>avantage3</v>
      </c>
      <c r="AG61" t="str">
        <f>Tokens!AI63</f>
        <v>accès membre pour les after party officielles pour deux (2) personnes</v>
      </c>
      <c r="AH61" t="str">
        <f>Tokens!AJ63</f>
        <v>avantage4</v>
      </c>
      <c r="AI61" t="str">
        <f>Tokens!AK63</f>
        <v>accès prioritaire et bar dédié (consommation à la charge du festivalier) - tables réservées à l'avance pour les « NFT member » pour deux (2) personnes</v>
      </c>
      <c r="AJ61" t="str">
        <f>Tokens!AL63</f>
        <v>avantage5</v>
      </c>
      <c r="AK61" t="str">
        <f>Tokens!AM63</f>
        <v>1 affiche numérotée (quelques unes seront signées au hasard)</v>
      </c>
      <c r="AL61">
        <f>Tokens!AN63</f>
        <v>0</v>
      </c>
      <c r="AM61">
        <f>Tokens!AO63</f>
        <v>0</v>
      </c>
      <c r="AN61">
        <f>Tokens!AP63</f>
        <v>0</v>
      </c>
      <c r="AO61">
        <f>Tokens!AQ63</f>
        <v>0</v>
      </c>
      <c r="AP61">
        <f>Tokens!AR63</f>
        <v>0</v>
      </c>
      <c r="AQ61">
        <f>Tokens!AS63</f>
        <v>0</v>
      </c>
      <c r="AR61">
        <f>Tokens!AT63</f>
        <v>0</v>
      </c>
      <c r="AS61">
        <f>Tokens!AU63</f>
        <v>0</v>
      </c>
      <c r="AT61" t="str">
        <f>Tokens!AV63</f>
        <v>Validation</v>
      </c>
      <c r="AU61" t="str">
        <f>Tokens!AW63</f>
        <v>https://tokensol.nfluent.io?s=COR22B60&amp;platform=ftx</v>
      </c>
      <c r="AV61" t="str">
        <f>Tokens!AX63</f>
        <v>paul</v>
      </c>
      <c r="AW61">
        <f>Tokens!AY63</f>
        <v>10</v>
      </c>
      <c r="AX61" t="str">
        <f>Tokens!AZ63</f>
        <v>sophie</v>
      </c>
      <c r="AY61">
        <f>Tokens!BA63</f>
        <v>90</v>
      </c>
      <c r="AZ61">
        <f>Tokens!BB63</f>
        <v>0</v>
      </c>
      <c r="BA61">
        <f>Tokens!BC63</f>
        <v>0</v>
      </c>
      <c r="BB61" t="str">
        <f>Tokens!BD63</f>
        <v>https://bafybeicgtrhjweckx2vfwtyokcngfyecfczyi234bo576emk7czddpc2du.ipfs.nftstorage.link?CALVI_12.mp4</v>
      </c>
      <c r="BC61" t="str">
        <f>Tokens!BE63</f>
        <v>mp4</v>
      </c>
      <c r="BD61">
        <f>Tokens!BF63</f>
        <v>0</v>
      </c>
      <c r="BE61">
        <f>Tokens!BG63</f>
        <v>0</v>
      </c>
      <c r="BF61">
        <f>Tokens!BH63</f>
        <v>0</v>
      </c>
      <c r="BG61">
        <f>Tokens!BI63</f>
        <v>0</v>
      </c>
      <c r="BH61" t="str">
        <f>Tokens!BJ63</f>
        <v>A Madonna Di A Sierra</v>
      </c>
      <c r="BI61" t="str">
        <f>Tokens!BK63</f>
        <v>Calvi On The Rocks</v>
      </c>
    </row>
    <row r="62" spans="1:61" x14ac:dyDescent="0.25">
      <c r="A62" t="str">
        <f>Tokens!C64</f>
        <v>La Porteuse D'Eau #1</v>
      </c>
      <c r="B62" t="str">
        <f>Tokens!D64</f>
        <v>COR22C1</v>
      </c>
      <c r="C62" t="str">
        <f>Tokens!E64</f>
        <v>La Porteuse D'Eau, 3 ans - Pass NFT 5 jours pour 2 personnes, valable pour 3 éditions Calvi On The Rocks de votre choix.</v>
      </c>
      <c r="D62">
        <f>Tokens!F64</f>
        <v>1000</v>
      </c>
      <c r="E62" t="str">
        <f>Tokens!G64</f>
        <v>https://bafybeihq2d6zehgllk742aq7jsiyi5cehhnwllg7n4wkydyqvxzvognahq.ipfs.nftstorage.link?image_1.png</v>
      </c>
      <c r="F62" t="str">
        <f>Tokens!H64</f>
        <v>NfluenT for Calvi On The rocks</v>
      </c>
      <c r="G62">
        <f>Tokens!I64</f>
        <v>0</v>
      </c>
      <c r="H62" t="str">
        <f>Tokens!J64</f>
        <v>Pass festival</v>
      </c>
      <c r="I62" t="str">
        <f>Tokens!K64</f>
        <v>pour deux(2) personnes</v>
      </c>
      <c r="J62" t="str">
        <f>Tokens!L64</f>
        <v>Edition1</v>
      </c>
      <c r="K62">
        <f>Tokens!M64</f>
        <v>2</v>
      </c>
      <c r="L62" t="str">
        <f>Tokens!N64</f>
        <v>Edition2</v>
      </c>
      <c r="M62">
        <f>Tokens!O64</f>
        <v>2</v>
      </c>
      <c r="N62" t="str">
        <f>Tokens!P64</f>
        <v>Edition3</v>
      </c>
      <c r="O62">
        <f>Tokens!Q64</f>
        <v>2</v>
      </c>
      <c r="P62">
        <f>Tokens!R64</f>
        <v>0</v>
      </c>
      <c r="Q62">
        <f>Tokens!S64</f>
        <v>0</v>
      </c>
      <c r="R62">
        <f>Tokens!T64</f>
        <v>0</v>
      </c>
      <c r="S62">
        <f>Tokens!U64</f>
        <v>0</v>
      </c>
      <c r="T62" t="str">
        <f>Tokens!V64</f>
        <v>Dernière utilisation</v>
      </c>
      <c r="U62">
        <f>Tokens!W64</f>
        <v>0</v>
      </c>
      <c r="V62">
        <f>Tokens!X64</f>
        <v>0</v>
      </c>
      <c r="W62">
        <f>Tokens!Y64</f>
        <v>0</v>
      </c>
      <c r="X62" t="str">
        <f>Tokens!Z64</f>
        <v>avantage1</v>
      </c>
      <c r="Y62" t="str">
        <f>Tokens!AA64</f>
        <v>accès pour deux (2) personnes à un (1) événement partenaire officiel de Calvi on the Rocks</v>
      </c>
      <c r="Z62">
        <f>Tokens!AB64</f>
        <v>0</v>
      </c>
      <c r="AA62">
        <f>Tokens!AC64</f>
        <v>0</v>
      </c>
      <c r="AB62">
        <f>Tokens!AD64</f>
        <v>0</v>
      </c>
      <c r="AC62">
        <f>Tokens!AE64</f>
        <v>0</v>
      </c>
      <c r="AD62">
        <f>Tokens!AF64</f>
        <v>0</v>
      </c>
      <c r="AE62">
        <f>Tokens!AG64</f>
        <v>0</v>
      </c>
      <c r="AF62" t="str">
        <f>Tokens!AH64</f>
        <v>avantage2</v>
      </c>
      <c r="AG62" t="str">
        <f>Tokens!AI64</f>
        <v>accès membre pour les after party officielles pour deux (2) personnes</v>
      </c>
      <c r="AH62" t="str">
        <f>Tokens!AJ64</f>
        <v>avantage3</v>
      </c>
      <c r="AI62" t="str">
        <f>Tokens!AK64</f>
        <v>accès prioritaire et bar dédié (consommation à la charge du festivalier) - tables réservées à l'avance pour les « NFT member » pour deux (2) personnes</v>
      </c>
      <c r="AJ62" t="str">
        <f>Tokens!AL64</f>
        <v>avantage4</v>
      </c>
      <c r="AK62" t="str">
        <f>Tokens!AM64</f>
        <v>1 affiche dédicacée et numérotée</v>
      </c>
      <c r="AL62">
        <f>Tokens!AN64</f>
        <v>0</v>
      </c>
      <c r="AM62">
        <f>Tokens!AO64</f>
        <v>0</v>
      </c>
      <c r="AN62">
        <f>Tokens!AP64</f>
        <v>0</v>
      </c>
      <c r="AO62">
        <f>Tokens!AQ64</f>
        <v>0</v>
      </c>
      <c r="AP62">
        <f>Tokens!AR64</f>
        <v>0</v>
      </c>
      <c r="AQ62">
        <f>Tokens!AS64</f>
        <v>0</v>
      </c>
      <c r="AR62">
        <f>Tokens!AT64</f>
        <v>0</v>
      </c>
      <c r="AS62">
        <f>Tokens!AU64</f>
        <v>0</v>
      </c>
      <c r="AT62" t="str">
        <f>Tokens!AV64</f>
        <v>Validation</v>
      </c>
      <c r="AU62" t="str">
        <f>Tokens!AW64</f>
        <v>https://tokensol.nfluent.io?s=COR22C1&amp;platform=ftx</v>
      </c>
      <c r="AV62" t="str">
        <f>Tokens!AX64</f>
        <v>paul</v>
      </c>
      <c r="AW62">
        <f>Tokens!AY64</f>
        <v>10</v>
      </c>
      <c r="AX62" t="str">
        <f>Tokens!AZ64</f>
        <v>sophie</v>
      </c>
      <c r="AY62">
        <f>Tokens!BA64</f>
        <v>90</v>
      </c>
      <c r="AZ62">
        <f>Tokens!BB64</f>
        <v>0</v>
      </c>
      <c r="BA62">
        <f>Tokens!BC64</f>
        <v>0</v>
      </c>
      <c r="BB62">
        <f>Tokens!BD64</f>
        <v>0</v>
      </c>
      <c r="BC62">
        <f>Tokens!BE64</f>
        <v>0</v>
      </c>
      <c r="BD62">
        <f>Tokens!BF64</f>
        <v>0</v>
      </c>
      <c r="BE62">
        <f>Tokens!BG64</f>
        <v>0</v>
      </c>
      <c r="BF62">
        <f>Tokens!BH64</f>
        <v>0</v>
      </c>
      <c r="BG62">
        <f>Tokens!BI64</f>
        <v>0</v>
      </c>
      <c r="BH62" t="str">
        <f>Tokens!BJ64</f>
        <v>La Porteuse D'Eau</v>
      </c>
      <c r="BI62" t="str">
        <f>Tokens!BK64</f>
        <v>Calvi On The Rocks</v>
      </c>
    </row>
    <row r="63" spans="1:61" x14ac:dyDescent="0.25">
      <c r="A63" t="str">
        <f>Tokens!C65</f>
        <v>La Porteuse D'Eau #2</v>
      </c>
      <c r="B63" t="str">
        <f>Tokens!D65</f>
        <v>COR22C2</v>
      </c>
      <c r="C63" t="str">
        <f>Tokens!E65</f>
        <v>La Porteuse D'Eau, 3 ans - Pass NFT 5 jours pour 2 personnes, valable pour 3 éditions Calvi On The Rocks de votre choix.</v>
      </c>
      <c r="D63">
        <f>Tokens!F65</f>
        <v>1000</v>
      </c>
      <c r="E63" t="str">
        <f>Tokens!G65</f>
        <v>https://bafybeidizcobgccpx2mmgwhml4ohnz3szvapcdhnfcastwrkwgsimhrla4.ipfs.nftstorage.link?image_2.png</v>
      </c>
      <c r="F63" t="str">
        <f>Tokens!H65</f>
        <v>NfluenT for Calvi On The rocks</v>
      </c>
      <c r="G63">
        <f>Tokens!I65</f>
        <v>0</v>
      </c>
      <c r="H63" t="str">
        <f>Tokens!J65</f>
        <v>Pass festival</v>
      </c>
      <c r="I63" t="str">
        <f>Tokens!K65</f>
        <v>pour deux(2) personnes</v>
      </c>
      <c r="J63" t="str">
        <f>Tokens!L65</f>
        <v>Edition1</v>
      </c>
      <c r="K63">
        <f>Tokens!M65</f>
        <v>2</v>
      </c>
      <c r="L63" t="str">
        <f>Tokens!N65</f>
        <v>Edition2</v>
      </c>
      <c r="M63">
        <f>Tokens!O65</f>
        <v>2</v>
      </c>
      <c r="N63" t="str">
        <f>Tokens!P65</f>
        <v>Edition3</v>
      </c>
      <c r="O63">
        <f>Tokens!Q65</f>
        <v>2</v>
      </c>
      <c r="P63">
        <f>Tokens!R65</f>
        <v>0</v>
      </c>
      <c r="Q63">
        <f>Tokens!S65</f>
        <v>0</v>
      </c>
      <c r="R63">
        <f>Tokens!T65</f>
        <v>0</v>
      </c>
      <c r="S63">
        <f>Tokens!U65</f>
        <v>0</v>
      </c>
      <c r="T63" t="str">
        <f>Tokens!V65</f>
        <v>Dernière utilisation</v>
      </c>
      <c r="U63">
        <f>Tokens!W65</f>
        <v>0</v>
      </c>
      <c r="V63">
        <f>Tokens!X65</f>
        <v>0</v>
      </c>
      <c r="W63">
        <f>Tokens!Y65</f>
        <v>0</v>
      </c>
      <c r="X63" t="str">
        <f>Tokens!Z65</f>
        <v>avantage1</v>
      </c>
      <c r="Y63" t="str">
        <f>Tokens!AA65</f>
        <v>accès pour deux (2) personnes à un (1) événement partenaire officiel de Calvi on the Rocks</v>
      </c>
      <c r="Z63">
        <f>Tokens!AB65</f>
        <v>0</v>
      </c>
      <c r="AA63">
        <f>Tokens!AC65</f>
        <v>0</v>
      </c>
      <c r="AB63">
        <f>Tokens!AD65</f>
        <v>0</v>
      </c>
      <c r="AC63">
        <f>Tokens!AE65</f>
        <v>0</v>
      </c>
      <c r="AD63">
        <f>Tokens!AF65</f>
        <v>0</v>
      </c>
      <c r="AE63">
        <f>Tokens!AG65</f>
        <v>0</v>
      </c>
      <c r="AF63" t="str">
        <f>Tokens!AH65</f>
        <v>avantage2</v>
      </c>
      <c r="AG63" t="str">
        <f>Tokens!AI65</f>
        <v>accès membre pour les after party officielles pour deux (2) personnes</v>
      </c>
      <c r="AH63" t="str">
        <f>Tokens!AJ65</f>
        <v>avantage3</v>
      </c>
      <c r="AI63" t="str">
        <f>Tokens!AK65</f>
        <v>accès prioritaire et bar dédié (consommation à la charge du festivalier) - tables réservées à l'avance pour les « NFT member » pour deux (2) personnes</v>
      </c>
      <c r="AJ63" t="str">
        <f>Tokens!AL65</f>
        <v>avantage4</v>
      </c>
      <c r="AK63" t="str">
        <f>Tokens!AM65</f>
        <v>1 affiche dédicacée et numérotée</v>
      </c>
      <c r="AL63">
        <f>Tokens!AN65</f>
        <v>0</v>
      </c>
      <c r="AM63">
        <f>Tokens!AO65</f>
        <v>0</v>
      </c>
      <c r="AN63">
        <f>Tokens!AP65</f>
        <v>0</v>
      </c>
      <c r="AO63">
        <f>Tokens!AQ65</f>
        <v>0</v>
      </c>
      <c r="AP63">
        <f>Tokens!AR65</f>
        <v>0</v>
      </c>
      <c r="AQ63">
        <f>Tokens!AS65</f>
        <v>0</v>
      </c>
      <c r="AR63">
        <f>Tokens!AT65</f>
        <v>0</v>
      </c>
      <c r="AS63">
        <f>Tokens!AU65</f>
        <v>0</v>
      </c>
      <c r="AT63" t="str">
        <f>Tokens!AV65</f>
        <v>Validation</v>
      </c>
      <c r="AU63" t="str">
        <f>Tokens!AW65</f>
        <v>https://tokensol.nfluent.io?s=COR22C2&amp;platform=ftx</v>
      </c>
      <c r="AV63" t="str">
        <f>Tokens!AX65</f>
        <v>paul</v>
      </c>
      <c r="AW63">
        <f>Tokens!AY65</f>
        <v>10</v>
      </c>
      <c r="AX63" t="str">
        <f>Tokens!AZ65</f>
        <v>sophie</v>
      </c>
      <c r="AY63">
        <f>Tokens!BA65</f>
        <v>90</v>
      </c>
      <c r="AZ63">
        <f>Tokens!BB65</f>
        <v>0</v>
      </c>
      <c r="BA63">
        <f>Tokens!BC65</f>
        <v>0</v>
      </c>
      <c r="BB63">
        <f>Tokens!BD65</f>
        <v>0</v>
      </c>
      <c r="BC63">
        <f>Tokens!BE65</f>
        <v>0</v>
      </c>
      <c r="BD63">
        <f>Tokens!BF65</f>
        <v>0</v>
      </c>
      <c r="BE63">
        <f>Tokens!BG65</f>
        <v>0</v>
      </c>
      <c r="BF63">
        <f>Tokens!BH65</f>
        <v>0</v>
      </c>
      <c r="BG63">
        <f>Tokens!BI65</f>
        <v>0</v>
      </c>
      <c r="BH63" t="str">
        <f>Tokens!BJ65</f>
        <v>La Porteuse D'Eau</v>
      </c>
      <c r="BI63" t="str">
        <f>Tokens!BK65</f>
        <v>Calvi On The Rocks</v>
      </c>
    </row>
    <row r="64" spans="1:61" x14ac:dyDescent="0.25">
      <c r="A64" t="str">
        <f>Tokens!C66</f>
        <v>La Porteuse D'Eau #3</v>
      </c>
      <c r="B64" t="str">
        <f>Tokens!D66</f>
        <v>COR22C3</v>
      </c>
      <c r="C64" t="str">
        <f>Tokens!E66</f>
        <v>La Porteuse D'Eau, 3 ans - Pass NFT 5 jours pour 2 personnes, valable pour 3 éditions Calvi On The Rocks de votre choix.</v>
      </c>
      <c r="D64">
        <f>Tokens!F66</f>
        <v>1000</v>
      </c>
      <c r="E64" t="str">
        <f>Tokens!G66</f>
        <v>https://bafybeifqocdtyiqames7ku7scinuwroubstxypwiiroecqckcehhl6fopu.ipfs.nftstorage.link?image_3.png</v>
      </c>
      <c r="F64" t="str">
        <f>Tokens!H66</f>
        <v>NfluenT for Calvi On The rocks</v>
      </c>
      <c r="G64">
        <f>Tokens!I66</f>
        <v>0</v>
      </c>
      <c r="H64" t="str">
        <f>Tokens!J66</f>
        <v>Pass festival</v>
      </c>
      <c r="I64" t="str">
        <f>Tokens!K66</f>
        <v>pour deux(2) personnes</v>
      </c>
      <c r="J64" t="str">
        <f>Tokens!L66</f>
        <v>Edition1</v>
      </c>
      <c r="K64">
        <f>Tokens!M66</f>
        <v>2</v>
      </c>
      <c r="L64" t="str">
        <f>Tokens!N66</f>
        <v>Edition2</v>
      </c>
      <c r="M64">
        <f>Tokens!O66</f>
        <v>2</v>
      </c>
      <c r="N64" t="str">
        <f>Tokens!P66</f>
        <v>Edition3</v>
      </c>
      <c r="O64">
        <f>Tokens!Q66</f>
        <v>2</v>
      </c>
      <c r="P64">
        <f>Tokens!R66</f>
        <v>0</v>
      </c>
      <c r="Q64">
        <f>Tokens!S66</f>
        <v>0</v>
      </c>
      <c r="R64">
        <f>Tokens!T66</f>
        <v>0</v>
      </c>
      <c r="S64">
        <f>Tokens!U66</f>
        <v>0</v>
      </c>
      <c r="T64" t="str">
        <f>Tokens!V66</f>
        <v>Dernière utilisation</v>
      </c>
      <c r="U64">
        <f>Tokens!W66</f>
        <v>0</v>
      </c>
      <c r="V64">
        <f>Tokens!X66</f>
        <v>0</v>
      </c>
      <c r="W64">
        <f>Tokens!Y66</f>
        <v>0</v>
      </c>
      <c r="X64" t="str">
        <f>Tokens!Z66</f>
        <v>avantage1</v>
      </c>
      <c r="Y64" t="str">
        <f>Tokens!AA66</f>
        <v>accès pour deux (2) personnes à un (1) événement partenaire officiel de Calvi on the Rocks</v>
      </c>
      <c r="Z64">
        <f>Tokens!AB66</f>
        <v>0</v>
      </c>
      <c r="AA64">
        <f>Tokens!AC66</f>
        <v>0</v>
      </c>
      <c r="AB64">
        <f>Tokens!AD66</f>
        <v>0</v>
      </c>
      <c r="AC64">
        <f>Tokens!AE66</f>
        <v>0</v>
      </c>
      <c r="AD64">
        <f>Tokens!AF66</f>
        <v>0</v>
      </c>
      <c r="AE64">
        <f>Tokens!AG66</f>
        <v>0</v>
      </c>
      <c r="AF64" t="str">
        <f>Tokens!AH66</f>
        <v>avantage2</v>
      </c>
      <c r="AG64" t="str">
        <f>Tokens!AI66</f>
        <v>accès membre pour les after party officielles pour deux (2) personnes</v>
      </c>
      <c r="AH64" t="str">
        <f>Tokens!AJ66</f>
        <v>avantage3</v>
      </c>
      <c r="AI64" t="str">
        <f>Tokens!AK66</f>
        <v>accès prioritaire et bar dédié (consommation à la charge du festivalier) - tables réservées à l'avance pour les « NFT member » pour deux (2) personnes</v>
      </c>
      <c r="AJ64" t="str">
        <f>Tokens!AL66</f>
        <v>avantage4</v>
      </c>
      <c r="AK64" t="str">
        <f>Tokens!AM66</f>
        <v>1 affiche dédicacée et numérotée</v>
      </c>
      <c r="AL64">
        <f>Tokens!AN66</f>
        <v>0</v>
      </c>
      <c r="AM64">
        <f>Tokens!AO66</f>
        <v>0</v>
      </c>
      <c r="AN64">
        <f>Tokens!AP66</f>
        <v>0</v>
      </c>
      <c r="AO64">
        <f>Tokens!AQ66</f>
        <v>0</v>
      </c>
      <c r="AP64">
        <f>Tokens!AR66</f>
        <v>0</v>
      </c>
      <c r="AQ64">
        <f>Tokens!AS66</f>
        <v>0</v>
      </c>
      <c r="AR64">
        <f>Tokens!AT66</f>
        <v>0</v>
      </c>
      <c r="AS64">
        <f>Tokens!AU66</f>
        <v>0</v>
      </c>
      <c r="AT64" t="str">
        <f>Tokens!AV66</f>
        <v>Validation</v>
      </c>
      <c r="AU64" t="str">
        <f>Tokens!AW66</f>
        <v>https://tokensol.nfluent.io?s=COR22C3&amp;platform=ftx</v>
      </c>
      <c r="AV64" t="str">
        <f>Tokens!AX66</f>
        <v>paul</v>
      </c>
      <c r="AW64">
        <f>Tokens!AY66</f>
        <v>10</v>
      </c>
      <c r="AX64" t="str">
        <f>Tokens!AZ66</f>
        <v>sophie</v>
      </c>
      <c r="AY64">
        <f>Tokens!BA66</f>
        <v>90</v>
      </c>
      <c r="AZ64">
        <f>Tokens!BB66</f>
        <v>0</v>
      </c>
      <c r="BA64">
        <f>Tokens!BC66</f>
        <v>0</v>
      </c>
      <c r="BB64">
        <f>Tokens!BD66</f>
        <v>0</v>
      </c>
      <c r="BC64">
        <f>Tokens!BE66</f>
        <v>0</v>
      </c>
      <c r="BD64">
        <f>Tokens!BF66</f>
        <v>0</v>
      </c>
      <c r="BE64">
        <f>Tokens!BG66</f>
        <v>0</v>
      </c>
      <c r="BF64">
        <f>Tokens!BH66</f>
        <v>0</v>
      </c>
      <c r="BG64">
        <f>Tokens!BI66</f>
        <v>0</v>
      </c>
      <c r="BH64" t="str">
        <f>Tokens!BJ66</f>
        <v>La Porteuse D'Eau</v>
      </c>
      <c r="BI64" t="str">
        <f>Tokens!BK66</f>
        <v>Calvi On The Rocks</v>
      </c>
    </row>
    <row r="65" spans="1:61" x14ac:dyDescent="0.25">
      <c r="A65" t="str">
        <f>Tokens!C67</f>
        <v>La Porteuse D'Eau #4</v>
      </c>
      <c r="B65" t="str">
        <f>Tokens!D67</f>
        <v>COR22C4</v>
      </c>
      <c r="C65" t="str">
        <f>Tokens!E67</f>
        <v>La Porteuse D'Eau, 3 ans - Pass NFT 5 jours pour 2 personnes, valable pour 3 éditions Calvi On The Rocks de votre choix.</v>
      </c>
      <c r="D65">
        <f>Tokens!F67</f>
        <v>1000</v>
      </c>
      <c r="E65" t="str">
        <f>Tokens!G67</f>
        <v>https://bafybeif7vly34br6njb36rqvtbdl63pfnuuhnagank33mdlr7p5gctq4xy.ipfs.nftstorage.link?image_4.png</v>
      </c>
      <c r="F65" t="str">
        <f>Tokens!H67</f>
        <v>NfluenT for Calvi On The rocks</v>
      </c>
      <c r="G65">
        <f>Tokens!I67</f>
        <v>0</v>
      </c>
      <c r="H65" t="str">
        <f>Tokens!J67</f>
        <v>Pass festival</v>
      </c>
      <c r="I65" t="str">
        <f>Tokens!K67</f>
        <v>pour deux(2) personnes</v>
      </c>
      <c r="J65" t="str">
        <f>Tokens!L67</f>
        <v>Edition1</v>
      </c>
      <c r="K65">
        <f>Tokens!M67</f>
        <v>2</v>
      </c>
      <c r="L65" t="str">
        <f>Tokens!N67</f>
        <v>Edition2</v>
      </c>
      <c r="M65">
        <f>Tokens!O67</f>
        <v>2</v>
      </c>
      <c r="N65" t="str">
        <f>Tokens!P67</f>
        <v>Edition3</v>
      </c>
      <c r="O65">
        <f>Tokens!Q67</f>
        <v>2</v>
      </c>
      <c r="P65">
        <f>Tokens!R67</f>
        <v>0</v>
      </c>
      <c r="Q65">
        <f>Tokens!S67</f>
        <v>0</v>
      </c>
      <c r="R65">
        <f>Tokens!T67</f>
        <v>0</v>
      </c>
      <c r="S65">
        <f>Tokens!U67</f>
        <v>0</v>
      </c>
      <c r="T65" t="str">
        <f>Tokens!V67</f>
        <v>Dernière utilisation</v>
      </c>
      <c r="U65">
        <f>Tokens!W67</f>
        <v>0</v>
      </c>
      <c r="V65">
        <f>Tokens!X67</f>
        <v>0</v>
      </c>
      <c r="W65">
        <f>Tokens!Y67</f>
        <v>0</v>
      </c>
      <c r="X65" t="str">
        <f>Tokens!Z67</f>
        <v>avantage1</v>
      </c>
      <c r="Y65" t="str">
        <f>Tokens!AA67</f>
        <v>accès pour deux (2) personnes à un (1) événement partenaire officiel de Calvi on the Rocks</v>
      </c>
      <c r="Z65">
        <f>Tokens!AB67</f>
        <v>0</v>
      </c>
      <c r="AA65">
        <f>Tokens!AC67</f>
        <v>0</v>
      </c>
      <c r="AB65">
        <f>Tokens!AD67</f>
        <v>0</v>
      </c>
      <c r="AC65">
        <f>Tokens!AE67</f>
        <v>0</v>
      </c>
      <c r="AD65">
        <f>Tokens!AF67</f>
        <v>0</v>
      </c>
      <c r="AE65">
        <f>Tokens!AG67</f>
        <v>0</v>
      </c>
      <c r="AF65" t="str">
        <f>Tokens!AH67</f>
        <v>avantage2</v>
      </c>
      <c r="AG65" t="str">
        <f>Tokens!AI67</f>
        <v>accès membre pour les after party officielles pour deux (2) personnes</v>
      </c>
      <c r="AH65" t="str">
        <f>Tokens!AJ67</f>
        <v>avantage3</v>
      </c>
      <c r="AI65" t="str">
        <f>Tokens!AK67</f>
        <v>accès prioritaire et bar dédié (consommation à la charge du festivalier) - tables réservées à l'avance pour les « NFT member » pour deux (2) personnes</v>
      </c>
      <c r="AJ65" t="str">
        <f>Tokens!AL67</f>
        <v>avantage4</v>
      </c>
      <c r="AK65" t="str">
        <f>Tokens!AM67</f>
        <v>1 affiche dédicacée et numérotée</v>
      </c>
      <c r="AL65">
        <f>Tokens!AN67</f>
        <v>0</v>
      </c>
      <c r="AM65">
        <f>Tokens!AO67</f>
        <v>0</v>
      </c>
      <c r="AN65">
        <f>Tokens!AP67</f>
        <v>0</v>
      </c>
      <c r="AO65">
        <f>Tokens!AQ67</f>
        <v>0</v>
      </c>
      <c r="AP65">
        <f>Tokens!AR67</f>
        <v>0</v>
      </c>
      <c r="AQ65">
        <f>Tokens!AS67</f>
        <v>0</v>
      </c>
      <c r="AR65">
        <f>Tokens!AT67</f>
        <v>0</v>
      </c>
      <c r="AS65">
        <f>Tokens!AU67</f>
        <v>0</v>
      </c>
      <c r="AT65" t="str">
        <f>Tokens!AV67</f>
        <v>Validation</v>
      </c>
      <c r="AU65" t="str">
        <f>Tokens!AW67</f>
        <v>https://tokensol.nfluent.io?s=COR22C4&amp;platform=ftx</v>
      </c>
      <c r="AV65" t="str">
        <f>Tokens!AX67</f>
        <v>paul</v>
      </c>
      <c r="AW65">
        <f>Tokens!AY67</f>
        <v>10</v>
      </c>
      <c r="AX65" t="str">
        <f>Tokens!AZ67</f>
        <v>sophie</v>
      </c>
      <c r="AY65">
        <f>Tokens!BA67</f>
        <v>90</v>
      </c>
      <c r="AZ65">
        <f>Tokens!BB67</f>
        <v>0</v>
      </c>
      <c r="BA65">
        <f>Tokens!BC67</f>
        <v>0</v>
      </c>
      <c r="BB65">
        <f>Tokens!BD67</f>
        <v>0</v>
      </c>
      <c r="BC65">
        <f>Tokens!BE67</f>
        <v>0</v>
      </c>
      <c r="BD65">
        <f>Tokens!BF67</f>
        <v>0</v>
      </c>
      <c r="BE65">
        <f>Tokens!BG67</f>
        <v>0</v>
      </c>
      <c r="BF65">
        <f>Tokens!BH67</f>
        <v>0</v>
      </c>
      <c r="BG65">
        <f>Tokens!BI67</f>
        <v>0</v>
      </c>
      <c r="BH65" t="str">
        <f>Tokens!BJ67</f>
        <v>La Porteuse D'Eau</v>
      </c>
      <c r="BI65" t="str">
        <f>Tokens!BK67</f>
        <v>Calvi On The Rocks</v>
      </c>
    </row>
    <row r="66" spans="1:61" x14ac:dyDescent="0.25">
      <c r="A66" t="str">
        <f>Tokens!C68</f>
        <v>La Porteuse D'Eau #5</v>
      </c>
      <c r="B66" t="str">
        <f>Tokens!D68</f>
        <v>COR22C5</v>
      </c>
      <c r="C66" t="str">
        <f>Tokens!E68</f>
        <v>La Porteuse D'Eau, 3 ans - Pass NFT 5 jours pour 2 personnes, valable pour 3 éditions Calvi On The Rocks de votre choix.</v>
      </c>
      <c r="D66">
        <f>Tokens!F68</f>
        <v>1000</v>
      </c>
      <c r="E66" t="str">
        <f>Tokens!G68</f>
        <v>https://bafybeiabysnvrxai6c3v4t6mg6dh6lvegid7s52666vvsrqsmlhlct7udq.ipfs.nftstorage.link?image_5.png</v>
      </c>
      <c r="F66" t="str">
        <f>Tokens!H68</f>
        <v>NfluenT for Calvi On The rocks</v>
      </c>
      <c r="G66">
        <f>Tokens!I68</f>
        <v>0</v>
      </c>
      <c r="H66" t="str">
        <f>Tokens!J68</f>
        <v>Pass festival</v>
      </c>
      <c r="I66" t="str">
        <f>Tokens!K68</f>
        <v>pour deux(2) personnes</v>
      </c>
      <c r="J66" t="str">
        <f>Tokens!L68</f>
        <v>Edition1</v>
      </c>
      <c r="K66">
        <f>Tokens!M68</f>
        <v>2</v>
      </c>
      <c r="L66" t="str">
        <f>Tokens!N68</f>
        <v>Edition2</v>
      </c>
      <c r="M66">
        <f>Tokens!O68</f>
        <v>2</v>
      </c>
      <c r="N66" t="str">
        <f>Tokens!P68</f>
        <v>Edition3</v>
      </c>
      <c r="O66">
        <f>Tokens!Q68</f>
        <v>2</v>
      </c>
      <c r="P66">
        <f>Tokens!R68</f>
        <v>0</v>
      </c>
      <c r="Q66">
        <f>Tokens!S68</f>
        <v>0</v>
      </c>
      <c r="R66">
        <f>Tokens!T68</f>
        <v>0</v>
      </c>
      <c r="S66">
        <f>Tokens!U68</f>
        <v>0</v>
      </c>
      <c r="T66" t="str">
        <f>Tokens!V68</f>
        <v>Dernière utilisation</v>
      </c>
      <c r="U66">
        <f>Tokens!W68</f>
        <v>0</v>
      </c>
      <c r="V66">
        <f>Tokens!X68</f>
        <v>0</v>
      </c>
      <c r="W66">
        <f>Tokens!Y68</f>
        <v>0</v>
      </c>
      <c r="X66" t="str">
        <f>Tokens!Z68</f>
        <v>avantage1</v>
      </c>
      <c r="Y66" t="str">
        <f>Tokens!AA68</f>
        <v>accès pour deux (2) personnes à un (1) événement partenaire officiel de Calvi on the Rocks</v>
      </c>
      <c r="Z66">
        <f>Tokens!AB68</f>
        <v>0</v>
      </c>
      <c r="AA66">
        <f>Tokens!AC68</f>
        <v>0</v>
      </c>
      <c r="AB66">
        <f>Tokens!AD68</f>
        <v>0</v>
      </c>
      <c r="AC66">
        <f>Tokens!AE68</f>
        <v>0</v>
      </c>
      <c r="AD66">
        <f>Tokens!AF68</f>
        <v>0</v>
      </c>
      <c r="AE66">
        <f>Tokens!AG68</f>
        <v>0</v>
      </c>
      <c r="AF66" t="str">
        <f>Tokens!AH68</f>
        <v>avantage2</v>
      </c>
      <c r="AG66" t="str">
        <f>Tokens!AI68</f>
        <v>accès membre pour les after party officielles pour deux (2) personnes</v>
      </c>
      <c r="AH66" t="str">
        <f>Tokens!AJ68</f>
        <v>avantage3</v>
      </c>
      <c r="AI66" t="str">
        <f>Tokens!AK68</f>
        <v>accès prioritaire et bar dédié (consommation à la charge du festivalier) - tables réservées à l'avance pour les « NFT member » pour deux (2) personnes</v>
      </c>
      <c r="AJ66" t="str">
        <f>Tokens!AL68</f>
        <v>avantage4</v>
      </c>
      <c r="AK66" t="str">
        <f>Tokens!AM68</f>
        <v>1 affiche dédicacée et numérotée</v>
      </c>
      <c r="AL66">
        <f>Tokens!AN68</f>
        <v>0</v>
      </c>
      <c r="AM66">
        <f>Tokens!AO68</f>
        <v>0</v>
      </c>
      <c r="AN66">
        <f>Tokens!AP68</f>
        <v>0</v>
      </c>
      <c r="AO66">
        <f>Tokens!AQ68</f>
        <v>0</v>
      </c>
      <c r="AP66">
        <f>Tokens!AR68</f>
        <v>0</v>
      </c>
      <c r="AQ66">
        <f>Tokens!AS68</f>
        <v>0</v>
      </c>
      <c r="AR66">
        <f>Tokens!AT68</f>
        <v>0</v>
      </c>
      <c r="AS66">
        <f>Tokens!AU68</f>
        <v>0</v>
      </c>
      <c r="AT66" t="str">
        <f>Tokens!AV68</f>
        <v>Validation</v>
      </c>
      <c r="AU66" t="str">
        <f>Tokens!AW68</f>
        <v>https://tokensol.nfluent.io?s=COR22C5&amp;platform=ftx</v>
      </c>
      <c r="AV66" t="str">
        <f>Tokens!AX68</f>
        <v>paul</v>
      </c>
      <c r="AW66">
        <f>Tokens!AY68</f>
        <v>10</v>
      </c>
      <c r="AX66" t="str">
        <f>Tokens!AZ68</f>
        <v>sophie</v>
      </c>
      <c r="AY66">
        <f>Tokens!BA68</f>
        <v>90</v>
      </c>
      <c r="AZ66">
        <f>Tokens!BB68</f>
        <v>0</v>
      </c>
      <c r="BA66">
        <f>Tokens!BC68</f>
        <v>0</v>
      </c>
      <c r="BB66">
        <f>Tokens!BD68</f>
        <v>0</v>
      </c>
      <c r="BC66">
        <f>Tokens!BE68</f>
        <v>0</v>
      </c>
      <c r="BD66">
        <f>Tokens!BF68</f>
        <v>0</v>
      </c>
      <c r="BE66">
        <f>Tokens!BG68</f>
        <v>0</v>
      </c>
      <c r="BF66">
        <f>Tokens!BH68</f>
        <v>0</v>
      </c>
      <c r="BG66">
        <f>Tokens!BI68</f>
        <v>0</v>
      </c>
      <c r="BH66" t="str">
        <f>Tokens!BJ68</f>
        <v>La Porteuse D'Eau</v>
      </c>
      <c r="BI66" t="str">
        <f>Tokens!BK68</f>
        <v>Calvi On The Rocks</v>
      </c>
    </row>
    <row r="67" spans="1:61" x14ac:dyDescent="0.25">
      <c r="A67" t="str">
        <f>Tokens!C69</f>
        <v>La Porteuse D'Eau #6</v>
      </c>
      <c r="B67" t="str">
        <f>Tokens!D69</f>
        <v>COR22C6</v>
      </c>
      <c r="C67" t="str">
        <f>Tokens!E69</f>
        <v>La Porteuse D'Eau, 3 ans - Pass NFT 5 jours pour 2 personnes, valable pour 3 éditions Calvi On The Rocks de votre choix.</v>
      </c>
      <c r="D67">
        <f>Tokens!F69</f>
        <v>1000</v>
      </c>
      <c r="E67" t="str">
        <f>Tokens!G69</f>
        <v>https://bafybeihzut5ckldqoj3cu7f6plgftzytovtxf5dmz6cl5wl63p5tczvqge.ipfs.nftstorage.link?image_6.png</v>
      </c>
      <c r="F67" t="str">
        <f>Tokens!H69</f>
        <v>NfluenT for Calvi On The rocks</v>
      </c>
      <c r="G67">
        <f>Tokens!I69</f>
        <v>0</v>
      </c>
      <c r="H67" t="str">
        <f>Tokens!J69</f>
        <v>Pass festival</v>
      </c>
      <c r="I67" t="str">
        <f>Tokens!K69</f>
        <v>pour deux(2) personnes</v>
      </c>
      <c r="J67" t="str">
        <f>Tokens!L69</f>
        <v>Edition1</v>
      </c>
      <c r="K67">
        <f>Tokens!M69</f>
        <v>2</v>
      </c>
      <c r="L67" t="str">
        <f>Tokens!N69</f>
        <v>Edition2</v>
      </c>
      <c r="M67">
        <f>Tokens!O69</f>
        <v>2</v>
      </c>
      <c r="N67" t="str">
        <f>Tokens!P69</f>
        <v>Edition3</v>
      </c>
      <c r="O67">
        <f>Tokens!Q69</f>
        <v>2</v>
      </c>
      <c r="P67">
        <f>Tokens!R69</f>
        <v>0</v>
      </c>
      <c r="Q67">
        <f>Tokens!S69</f>
        <v>0</v>
      </c>
      <c r="R67">
        <f>Tokens!T69</f>
        <v>0</v>
      </c>
      <c r="S67">
        <f>Tokens!U69</f>
        <v>0</v>
      </c>
      <c r="T67" t="str">
        <f>Tokens!V69</f>
        <v>Dernière utilisation</v>
      </c>
      <c r="U67">
        <f>Tokens!W69</f>
        <v>0</v>
      </c>
      <c r="V67">
        <f>Tokens!X69</f>
        <v>0</v>
      </c>
      <c r="W67">
        <f>Tokens!Y69</f>
        <v>0</v>
      </c>
      <c r="X67" t="str">
        <f>Tokens!Z69</f>
        <v>avantage1</v>
      </c>
      <c r="Y67" t="str">
        <f>Tokens!AA69</f>
        <v>accès pour deux (2) personnes à un (1) événement partenaire officiel de Calvi on the Rocks</v>
      </c>
      <c r="Z67">
        <f>Tokens!AB69</f>
        <v>0</v>
      </c>
      <c r="AA67">
        <f>Tokens!AC69</f>
        <v>0</v>
      </c>
      <c r="AB67">
        <f>Tokens!AD69</f>
        <v>0</v>
      </c>
      <c r="AC67">
        <f>Tokens!AE69</f>
        <v>0</v>
      </c>
      <c r="AD67">
        <f>Tokens!AF69</f>
        <v>0</v>
      </c>
      <c r="AE67">
        <f>Tokens!AG69</f>
        <v>0</v>
      </c>
      <c r="AF67" t="str">
        <f>Tokens!AH69</f>
        <v>avantage2</v>
      </c>
      <c r="AG67" t="str">
        <f>Tokens!AI69</f>
        <v>accès membre pour les after party officielles pour deux (2) personnes</v>
      </c>
      <c r="AH67" t="str">
        <f>Tokens!AJ69</f>
        <v>avantage3</v>
      </c>
      <c r="AI67" t="str">
        <f>Tokens!AK69</f>
        <v>accès prioritaire et bar dédié (consommation à la charge du festivalier) - tables réservées à l'avance pour les « NFT member » pour deux (2) personnes</v>
      </c>
      <c r="AJ67" t="str">
        <f>Tokens!AL69</f>
        <v>avantage4</v>
      </c>
      <c r="AK67" t="str">
        <f>Tokens!AM69</f>
        <v>1 affiche dédicacée et numérotée</v>
      </c>
      <c r="AL67">
        <f>Tokens!AN69</f>
        <v>0</v>
      </c>
      <c r="AM67">
        <f>Tokens!AO69</f>
        <v>0</v>
      </c>
      <c r="AN67">
        <f>Tokens!AP69</f>
        <v>0</v>
      </c>
      <c r="AO67">
        <f>Tokens!AQ69</f>
        <v>0</v>
      </c>
      <c r="AP67">
        <f>Tokens!AR69</f>
        <v>0</v>
      </c>
      <c r="AQ67">
        <f>Tokens!AS69</f>
        <v>0</v>
      </c>
      <c r="AR67">
        <f>Tokens!AT69</f>
        <v>0</v>
      </c>
      <c r="AS67">
        <f>Tokens!AU69</f>
        <v>0</v>
      </c>
      <c r="AT67" t="str">
        <f>Tokens!AV69</f>
        <v>Validation</v>
      </c>
      <c r="AU67" t="str">
        <f>Tokens!AW69</f>
        <v>https://tokensol.nfluent.io?s=COR22C6&amp;platform=ftx</v>
      </c>
      <c r="AV67" t="str">
        <f>Tokens!AX69</f>
        <v>paul</v>
      </c>
      <c r="AW67">
        <f>Tokens!AY69</f>
        <v>10</v>
      </c>
      <c r="AX67" t="str">
        <f>Tokens!AZ69</f>
        <v>sophie</v>
      </c>
      <c r="AY67">
        <f>Tokens!BA69</f>
        <v>90</v>
      </c>
      <c r="AZ67">
        <f>Tokens!BB69</f>
        <v>0</v>
      </c>
      <c r="BA67">
        <f>Tokens!BC69</f>
        <v>0</v>
      </c>
      <c r="BB67">
        <f>Tokens!BD69</f>
        <v>0</v>
      </c>
      <c r="BC67">
        <f>Tokens!BE69</f>
        <v>0</v>
      </c>
      <c r="BD67">
        <f>Tokens!BF69</f>
        <v>0</v>
      </c>
      <c r="BE67">
        <f>Tokens!BG69</f>
        <v>0</v>
      </c>
      <c r="BF67">
        <f>Tokens!BH69</f>
        <v>0</v>
      </c>
      <c r="BG67">
        <f>Tokens!BI69</f>
        <v>0</v>
      </c>
      <c r="BH67" t="str">
        <f>Tokens!BJ69</f>
        <v>La Porteuse D'Eau</v>
      </c>
      <c r="BI67" t="str">
        <f>Tokens!BK69</f>
        <v>Calvi On The Rocks</v>
      </c>
    </row>
    <row r="68" spans="1:61" x14ac:dyDescent="0.25">
      <c r="A68" t="str">
        <f>Tokens!C70</f>
        <v>La Porteuse D'Eau #7</v>
      </c>
      <c r="B68" t="str">
        <f>Tokens!D70</f>
        <v>COR22C7</v>
      </c>
      <c r="C68" t="str">
        <f>Tokens!E70</f>
        <v>La Porteuse D'Eau, 3 ans - Pass NFT 5 jours pour 2 personnes, valable pour 3 éditions Calvi On The Rocks de votre choix.</v>
      </c>
      <c r="D68">
        <f>Tokens!F70</f>
        <v>1000</v>
      </c>
      <c r="E68" t="str">
        <f>Tokens!G70</f>
        <v>https://bafybeiabpy2xwqhikhavpzxzyc6mhrqbkwea4iy6hi6vgxmvujq43buvn4.ipfs.nftstorage.link?image_7.png</v>
      </c>
      <c r="F68" t="str">
        <f>Tokens!H70</f>
        <v>NfluenT for Calvi On The rocks</v>
      </c>
      <c r="G68">
        <f>Tokens!I70</f>
        <v>0</v>
      </c>
      <c r="H68" t="str">
        <f>Tokens!J70</f>
        <v>Pass festival</v>
      </c>
      <c r="I68" t="str">
        <f>Tokens!K70</f>
        <v>pour deux(2) personnes</v>
      </c>
      <c r="J68" t="str">
        <f>Tokens!L70</f>
        <v>Edition1</v>
      </c>
      <c r="K68">
        <f>Tokens!M70</f>
        <v>2</v>
      </c>
      <c r="L68" t="str">
        <f>Tokens!N70</f>
        <v>Edition2</v>
      </c>
      <c r="M68">
        <f>Tokens!O70</f>
        <v>2</v>
      </c>
      <c r="N68" t="str">
        <f>Tokens!P70</f>
        <v>Edition3</v>
      </c>
      <c r="O68">
        <f>Tokens!Q70</f>
        <v>2</v>
      </c>
      <c r="P68">
        <f>Tokens!R70</f>
        <v>0</v>
      </c>
      <c r="Q68">
        <f>Tokens!S70</f>
        <v>0</v>
      </c>
      <c r="R68">
        <f>Tokens!T70</f>
        <v>0</v>
      </c>
      <c r="S68">
        <f>Tokens!U70</f>
        <v>0</v>
      </c>
      <c r="T68" t="str">
        <f>Tokens!V70</f>
        <v>Dernière utilisation</v>
      </c>
      <c r="U68">
        <f>Tokens!W70</f>
        <v>0</v>
      </c>
      <c r="V68">
        <f>Tokens!X70</f>
        <v>0</v>
      </c>
      <c r="W68">
        <f>Tokens!Y70</f>
        <v>0</v>
      </c>
      <c r="X68" t="str">
        <f>Tokens!Z70</f>
        <v>avantage1</v>
      </c>
      <c r="Y68" t="str">
        <f>Tokens!AA70</f>
        <v>accès pour deux (2) personnes à un (1) événement partenaire officiel de Calvi on the Rocks</v>
      </c>
      <c r="Z68">
        <f>Tokens!AB70</f>
        <v>0</v>
      </c>
      <c r="AA68">
        <f>Tokens!AC70</f>
        <v>0</v>
      </c>
      <c r="AB68">
        <f>Tokens!AD70</f>
        <v>0</v>
      </c>
      <c r="AC68">
        <f>Tokens!AE70</f>
        <v>0</v>
      </c>
      <c r="AD68">
        <f>Tokens!AF70</f>
        <v>0</v>
      </c>
      <c r="AE68">
        <f>Tokens!AG70</f>
        <v>0</v>
      </c>
      <c r="AF68" t="str">
        <f>Tokens!AH70</f>
        <v>avantage2</v>
      </c>
      <c r="AG68" t="str">
        <f>Tokens!AI70</f>
        <v>accès membre pour les after party officielles pour deux (2) personnes</v>
      </c>
      <c r="AH68" t="str">
        <f>Tokens!AJ70</f>
        <v>avantage3</v>
      </c>
      <c r="AI68" t="str">
        <f>Tokens!AK70</f>
        <v>accès prioritaire et bar dédié (consommation à la charge du festivalier) - tables réservées à l'avance pour les « NFT member » pour deux (2) personnes</v>
      </c>
      <c r="AJ68" t="str">
        <f>Tokens!AL70</f>
        <v>avantage4</v>
      </c>
      <c r="AK68" t="str">
        <f>Tokens!AM70</f>
        <v>1 affiche dédicacée et numérotée</v>
      </c>
      <c r="AL68">
        <f>Tokens!AN70</f>
        <v>0</v>
      </c>
      <c r="AM68">
        <f>Tokens!AO70</f>
        <v>0</v>
      </c>
      <c r="AN68">
        <f>Tokens!AP70</f>
        <v>0</v>
      </c>
      <c r="AO68">
        <f>Tokens!AQ70</f>
        <v>0</v>
      </c>
      <c r="AP68">
        <f>Tokens!AR70</f>
        <v>0</v>
      </c>
      <c r="AQ68">
        <f>Tokens!AS70</f>
        <v>0</v>
      </c>
      <c r="AR68">
        <f>Tokens!AT70</f>
        <v>0</v>
      </c>
      <c r="AS68">
        <f>Tokens!AU70</f>
        <v>0</v>
      </c>
      <c r="AT68" t="str">
        <f>Tokens!AV70</f>
        <v>Validation</v>
      </c>
      <c r="AU68" t="str">
        <f>Tokens!AW70</f>
        <v>https://tokensol.nfluent.io?s=COR22C7&amp;platform=ftx</v>
      </c>
      <c r="AV68" t="str">
        <f>Tokens!AX70</f>
        <v>paul</v>
      </c>
      <c r="AW68">
        <f>Tokens!AY70</f>
        <v>10</v>
      </c>
      <c r="AX68" t="str">
        <f>Tokens!AZ70</f>
        <v>sophie</v>
      </c>
      <c r="AY68">
        <f>Tokens!BA70</f>
        <v>90</v>
      </c>
      <c r="AZ68">
        <f>Tokens!BB70</f>
        <v>0</v>
      </c>
      <c r="BA68">
        <f>Tokens!BC70</f>
        <v>0</v>
      </c>
      <c r="BB68">
        <f>Tokens!BD70</f>
        <v>0</v>
      </c>
      <c r="BC68">
        <f>Tokens!BE70</f>
        <v>0</v>
      </c>
      <c r="BD68">
        <f>Tokens!BF70</f>
        <v>0</v>
      </c>
      <c r="BE68">
        <f>Tokens!BG70</f>
        <v>0</v>
      </c>
      <c r="BF68">
        <f>Tokens!BH70</f>
        <v>0</v>
      </c>
      <c r="BG68">
        <f>Tokens!BI70</f>
        <v>0</v>
      </c>
      <c r="BH68" t="str">
        <f>Tokens!BJ70</f>
        <v>La Porteuse D'Eau</v>
      </c>
      <c r="BI68" t="str">
        <f>Tokens!BK70</f>
        <v>Calvi On The Rocks</v>
      </c>
    </row>
    <row r="69" spans="1:61" x14ac:dyDescent="0.25">
      <c r="A69" t="str">
        <f>Tokens!C71</f>
        <v>La Porteuse D'Eau #8</v>
      </c>
      <c r="B69" t="str">
        <f>Tokens!D71</f>
        <v>COR22C8</v>
      </c>
      <c r="C69" t="str">
        <f>Tokens!E71</f>
        <v>La Porteuse D'Eau, 3 ans - Pass NFT 5 jours pour 2 personnes, valable pour 3 éditions Calvi On The Rocks de votre choix.</v>
      </c>
      <c r="D69">
        <f>Tokens!F71</f>
        <v>1000</v>
      </c>
      <c r="E69" t="str">
        <f>Tokens!G71</f>
        <v>https://bafybeids7h5zro26e4shilrdvqj7i7tjyty2oqx652xwgafguce7vjbbem.ipfs.nftstorage.link?image_8.png</v>
      </c>
      <c r="F69" t="str">
        <f>Tokens!H71</f>
        <v>NfluenT for Calvi On The rocks</v>
      </c>
      <c r="G69">
        <f>Tokens!I71</f>
        <v>0</v>
      </c>
      <c r="H69" t="str">
        <f>Tokens!J71</f>
        <v>Pass festival</v>
      </c>
      <c r="I69" t="str">
        <f>Tokens!K71</f>
        <v>pour deux(2) personnes</v>
      </c>
      <c r="J69" t="str">
        <f>Tokens!L71</f>
        <v>Edition1</v>
      </c>
      <c r="K69">
        <f>Tokens!M71</f>
        <v>2</v>
      </c>
      <c r="L69" t="str">
        <f>Tokens!N71</f>
        <v>Edition2</v>
      </c>
      <c r="M69">
        <f>Tokens!O71</f>
        <v>2</v>
      </c>
      <c r="N69" t="str">
        <f>Tokens!P71</f>
        <v>Edition3</v>
      </c>
      <c r="O69">
        <f>Tokens!Q71</f>
        <v>2</v>
      </c>
      <c r="P69">
        <f>Tokens!R71</f>
        <v>0</v>
      </c>
      <c r="Q69">
        <f>Tokens!S71</f>
        <v>0</v>
      </c>
      <c r="R69">
        <f>Tokens!T71</f>
        <v>0</v>
      </c>
      <c r="S69">
        <f>Tokens!U71</f>
        <v>0</v>
      </c>
      <c r="T69" t="str">
        <f>Tokens!V71</f>
        <v>Dernière utilisation</v>
      </c>
      <c r="U69">
        <f>Tokens!W71</f>
        <v>0</v>
      </c>
      <c r="V69">
        <f>Tokens!X71</f>
        <v>0</v>
      </c>
      <c r="W69">
        <f>Tokens!Y71</f>
        <v>0</v>
      </c>
      <c r="X69" t="str">
        <f>Tokens!Z71</f>
        <v>avantage1</v>
      </c>
      <c r="Y69" t="str">
        <f>Tokens!AA71</f>
        <v>accès pour deux (2) personnes à un (1) événement partenaire officiel de Calvi on the Rocks</v>
      </c>
      <c r="Z69">
        <f>Tokens!AB71</f>
        <v>0</v>
      </c>
      <c r="AA69">
        <f>Tokens!AC71</f>
        <v>0</v>
      </c>
      <c r="AB69">
        <f>Tokens!AD71</f>
        <v>0</v>
      </c>
      <c r="AC69">
        <f>Tokens!AE71</f>
        <v>0</v>
      </c>
      <c r="AD69">
        <f>Tokens!AF71</f>
        <v>0</v>
      </c>
      <c r="AE69">
        <f>Tokens!AG71</f>
        <v>0</v>
      </c>
      <c r="AF69" t="str">
        <f>Tokens!AH71</f>
        <v>avantage2</v>
      </c>
      <c r="AG69" t="str">
        <f>Tokens!AI71</f>
        <v>accès membre pour les after party officielles pour deux (2) personnes</v>
      </c>
      <c r="AH69" t="str">
        <f>Tokens!AJ71</f>
        <v>avantage3</v>
      </c>
      <c r="AI69" t="str">
        <f>Tokens!AK71</f>
        <v>accès prioritaire et bar dédié (consommation à la charge du festivalier) - tables réservées à l'avance pour les « NFT member » pour deux (2) personnes</v>
      </c>
      <c r="AJ69" t="str">
        <f>Tokens!AL71</f>
        <v>avantage4</v>
      </c>
      <c r="AK69" t="str">
        <f>Tokens!AM71</f>
        <v>1 affiche dédicacée et numérotée</v>
      </c>
      <c r="AL69">
        <f>Tokens!AN71</f>
        <v>0</v>
      </c>
      <c r="AM69">
        <f>Tokens!AO71</f>
        <v>0</v>
      </c>
      <c r="AN69">
        <f>Tokens!AP71</f>
        <v>0</v>
      </c>
      <c r="AO69">
        <f>Tokens!AQ71</f>
        <v>0</v>
      </c>
      <c r="AP69">
        <f>Tokens!AR71</f>
        <v>0</v>
      </c>
      <c r="AQ69">
        <f>Tokens!AS71</f>
        <v>0</v>
      </c>
      <c r="AR69">
        <f>Tokens!AT71</f>
        <v>0</v>
      </c>
      <c r="AS69">
        <f>Tokens!AU71</f>
        <v>0</v>
      </c>
      <c r="AT69" t="str">
        <f>Tokens!AV71</f>
        <v>Validation</v>
      </c>
      <c r="AU69" t="str">
        <f>Tokens!AW71</f>
        <v>https://tokensol.nfluent.io?s=COR22C8&amp;platform=ftx</v>
      </c>
      <c r="AV69" t="str">
        <f>Tokens!AX71</f>
        <v>paul</v>
      </c>
      <c r="AW69">
        <f>Tokens!AY71</f>
        <v>10</v>
      </c>
      <c r="AX69" t="str">
        <f>Tokens!AZ71</f>
        <v>sophie</v>
      </c>
      <c r="AY69">
        <f>Tokens!BA71</f>
        <v>90</v>
      </c>
      <c r="AZ69">
        <f>Tokens!BB71</f>
        <v>0</v>
      </c>
      <c r="BA69">
        <f>Tokens!BC71</f>
        <v>0</v>
      </c>
      <c r="BB69">
        <f>Tokens!BD71</f>
        <v>0</v>
      </c>
      <c r="BC69">
        <f>Tokens!BE71</f>
        <v>0</v>
      </c>
      <c r="BD69">
        <f>Tokens!BF71</f>
        <v>0</v>
      </c>
      <c r="BE69">
        <f>Tokens!BG71</f>
        <v>0</v>
      </c>
      <c r="BF69">
        <f>Tokens!BH71</f>
        <v>0</v>
      </c>
      <c r="BG69">
        <f>Tokens!BI71</f>
        <v>0</v>
      </c>
      <c r="BH69" t="str">
        <f>Tokens!BJ71</f>
        <v>La Porteuse D'Eau</v>
      </c>
      <c r="BI69" t="str">
        <f>Tokens!BK71</f>
        <v>Calvi On The Rocks</v>
      </c>
    </row>
    <row r="70" spans="1:61" x14ac:dyDescent="0.25">
      <c r="A70" t="str">
        <f>Tokens!C72</f>
        <v>La Porteuse D'Eau #9</v>
      </c>
      <c r="B70" t="str">
        <f>Tokens!D72</f>
        <v>COR22C9</v>
      </c>
      <c r="C70" t="str">
        <f>Tokens!E72</f>
        <v>La Porteuse D'Eau, 3 ans - Pass NFT 5 jours pour 2 personnes, valable pour 3 éditions Calvi On The Rocks de votre choix.</v>
      </c>
      <c r="D70">
        <f>Tokens!F72</f>
        <v>1000</v>
      </c>
      <c r="E70" t="str">
        <f>Tokens!G72</f>
        <v>https://bafybeidomhheaoacgwju3gav5lzdyg6bplai6hngzkt3utgdfcjwrv3bna.ipfs.nftstorage.link?image_9.png</v>
      </c>
      <c r="F70" t="str">
        <f>Tokens!H72</f>
        <v>NfluenT for Calvi On The rocks</v>
      </c>
      <c r="G70">
        <f>Tokens!I72</f>
        <v>0</v>
      </c>
      <c r="H70" t="str">
        <f>Tokens!J72</f>
        <v>Pass festival</v>
      </c>
      <c r="I70" t="str">
        <f>Tokens!K72</f>
        <v>pour deux(2) personnes</v>
      </c>
      <c r="J70" t="str">
        <f>Tokens!L72</f>
        <v>Edition1</v>
      </c>
      <c r="K70">
        <f>Tokens!M72</f>
        <v>2</v>
      </c>
      <c r="L70" t="str">
        <f>Tokens!N72</f>
        <v>Edition2</v>
      </c>
      <c r="M70">
        <f>Tokens!O72</f>
        <v>2</v>
      </c>
      <c r="N70" t="str">
        <f>Tokens!P72</f>
        <v>Edition3</v>
      </c>
      <c r="O70">
        <f>Tokens!Q72</f>
        <v>2</v>
      </c>
      <c r="P70">
        <f>Tokens!R72</f>
        <v>0</v>
      </c>
      <c r="Q70">
        <f>Tokens!S72</f>
        <v>0</v>
      </c>
      <c r="R70">
        <f>Tokens!T72</f>
        <v>0</v>
      </c>
      <c r="S70">
        <f>Tokens!U72</f>
        <v>0</v>
      </c>
      <c r="T70" t="str">
        <f>Tokens!V72</f>
        <v>Dernière utilisation</v>
      </c>
      <c r="U70">
        <f>Tokens!W72</f>
        <v>0</v>
      </c>
      <c r="V70">
        <f>Tokens!X72</f>
        <v>0</v>
      </c>
      <c r="W70">
        <f>Tokens!Y72</f>
        <v>0</v>
      </c>
      <c r="X70" t="str">
        <f>Tokens!Z72</f>
        <v>avantage1</v>
      </c>
      <c r="Y70" t="str">
        <f>Tokens!AA72</f>
        <v>accès pour deux (2) personnes à un (1) événement partenaire officiel de Calvi on the Rocks</v>
      </c>
      <c r="Z70">
        <f>Tokens!AB72</f>
        <v>0</v>
      </c>
      <c r="AA70">
        <f>Tokens!AC72</f>
        <v>0</v>
      </c>
      <c r="AB70">
        <f>Tokens!AD72</f>
        <v>0</v>
      </c>
      <c r="AC70">
        <f>Tokens!AE72</f>
        <v>0</v>
      </c>
      <c r="AD70">
        <f>Tokens!AF72</f>
        <v>0</v>
      </c>
      <c r="AE70">
        <f>Tokens!AG72</f>
        <v>0</v>
      </c>
      <c r="AF70" t="str">
        <f>Tokens!AH72</f>
        <v>avantage2</v>
      </c>
      <c r="AG70" t="str">
        <f>Tokens!AI72</f>
        <v>accès membre pour les after party officielles pour deux (2) personnes</v>
      </c>
      <c r="AH70" t="str">
        <f>Tokens!AJ72</f>
        <v>avantage3</v>
      </c>
      <c r="AI70" t="str">
        <f>Tokens!AK72</f>
        <v>accès prioritaire et bar dédié (consommation à la charge du festivalier) - tables réservées à l'avance pour les « NFT member » pour deux (2) personnes</v>
      </c>
      <c r="AJ70" t="str">
        <f>Tokens!AL72</f>
        <v>avantage4</v>
      </c>
      <c r="AK70" t="str">
        <f>Tokens!AM72</f>
        <v>1 affiche dédicacée et numérotée</v>
      </c>
      <c r="AL70">
        <f>Tokens!AN72</f>
        <v>0</v>
      </c>
      <c r="AM70">
        <f>Tokens!AO72</f>
        <v>0</v>
      </c>
      <c r="AN70">
        <f>Tokens!AP72</f>
        <v>0</v>
      </c>
      <c r="AO70">
        <f>Tokens!AQ72</f>
        <v>0</v>
      </c>
      <c r="AP70">
        <f>Tokens!AR72</f>
        <v>0</v>
      </c>
      <c r="AQ70">
        <f>Tokens!AS72</f>
        <v>0</v>
      </c>
      <c r="AR70">
        <f>Tokens!AT72</f>
        <v>0</v>
      </c>
      <c r="AS70">
        <f>Tokens!AU72</f>
        <v>0</v>
      </c>
      <c r="AT70" t="str">
        <f>Tokens!AV72</f>
        <v>Validation</v>
      </c>
      <c r="AU70" t="str">
        <f>Tokens!AW72</f>
        <v>https://tokensol.nfluent.io?s=COR22C9&amp;platform=ftx</v>
      </c>
      <c r="AV70" t="str">
        <f>Tokens!AX72</f>
        <v>paul</v>
      </c>
      <c r="AW70">
        <f>Tokens!AY72</f>
        <v>10</v>
      </c>
      <c r="AX70" t="str">
        <f>Tokens!AZ72</f>
        <v>sophie</v>
      </c>
      <c r="AY70">
        <f>Tokens!BA72</f>
        <v>90</v>
      </c>
      <c r="AZ70">
        <f>Tokens!BB72</f>
        <v>0</v>
      </c>
      <c r="BA70">
        <f>Tokens!BC72</f>
        <v>0</v>
      </c>
      <c r="BB70">
        <f>Tokens!BD72</f>
        <v>0</v>
      </c>
      <c r="BC70">
        <f>Tokens!BE72</f>
        <v>0</v>
      </c>
      <c r="BD70">
        <f>Tokens!BF72</f>
        <v>0</v>
      </c>
      <c r="BE70">
        <f>Tokens!BG72</f>
        <v>0</v>
      </c>
      <c r="BF70">
        <f>Tokens!BH72</f>
        <v>0</v>
      </c>
      <c r="BG70">
        <f>Tokens!BI72</f>
        <v>0</v>
      </c>
      <c r="BH70" t="str">
        <f>Tokens!BJ72</f>
        <v>La Porteuse D'Eau</v>
      </c>
      <c r="BI70" t="str">
        <f>Tokens!BK72</f>
        <v>Calvi On The Rocks</v>
      </c>
    </row>
    <row r="71" spans="1:61" x14ac:dyDescent="0.25">
      <c r="A71" t="str">
        <f>Tokens!C73</f>
        <v>La Porteuse D'Eau #10</v>
      </c>
      <c r="B71" t="str">
        <f>Tokens!D73</f>
        <v>COR22C10</v>
      </c>
      <c r="C71" t="str">
        <f>Tokens!E73</f>
        <v>La Porteuse D'Eau, 3 ans - Pass NFT 5 jours pour 2 personnes, valable pour 3 éditions Calvi On The Rocks de votre choix.</v>
      </c>
      <c r="D71">
        <f>Tokens!F73</f>
        <v>1000</v>
      </c>
      <c r="E71" t="str">
        <f>Tokens!G73</f>
        <v>https://bafybeicordeza5gk2bza3mvxlpkuixf2rl7wnnuldoo222om2i4bxv2oqa.ipfs.nftstorage.link?image_10.png</v>
      </c>
      <c r="F71" t="str">
        <f>Tokens!H73</f>
        <v>NfluenT for Calvi On The rocks</v>
      </c>
      <c r="G71">
        <f>Tokens!I73</f>
        <v>0</v>
      </c>
      <c r="H71" t="str">
        <f>Tokens!J73</f>
        <v>Pass festival</v>
      </c>
      <c r="I71" t="str">
        <f>Tokens!K73</f>
        <v>pour deux(2) personnes</v>
      </c>
      <c r="J71" t="str">
        <f>Tokens!L73</f>
        <v>Edition1</v>
      </c>
      <c r="K71">
        <f>Tokens!M73</f>
        <v>2</v>
      </c>
      <c r="L71" t="str">
        <f>Tokens!N73</f>
        <v>Edition2</v>
      </c>
      <c r="M71">
        <f>Tokens!O73</f>
        <v>2</v>
      </c>
      <c r="N71" t="str">
        <f>Tokens!P73</f>
        <v>Edition3</v>
      </c>
      <c r="O71">
        <f>Tokens!Q73</f>
        <v>2</v>
      </c>
      <c r="P71">
        <f>Tokens!R73</f>
        <v>0</v>
      </c>
      <c r="Q71">
        <f>Tokens!S73</f>
        <v>0</v>
      </c>
      <c r="R71">
        <f>Tokens!T73</f>
        <v>0</v>
      </c>
      <c r="S71">
        <f>Tokens!U73</f>
        <v>0</v>
      </c>
      <c r="T71" t="str">
        <f>Tokens!V73</f>
        <v>Dernière utilisation</v>
      </c>
      <c r="U71">
        <f>Tokens!W73</f>
        <v>0</v>
      </c>
      <c r="V71">
        <f>Tokens!X73</f>
        <v>0</v>
      </c>
      <c r="W71">
        <f>Tokens!Y73</f>
        <v>0</v>
      </c>
      <c r="X71" t="str">
        <f>Tokens!Z73</f>
        <v>avantage1</v>
      </c>
      <c r="Y71" t="str">
        <f>Tokens!AA73</f>
        <v>accès pour deux (2) personnes à un (1) événement partenaire officiel de Calvi on the Rocks</v>
      </c>
      <c r="Z71">
        <f>Tokens!AB73</f>
        <v>0</v>
      </c>
      <c r="AA71">
        <f>Tokens!AC73</f>
        <v>0</v>
      </c>
      <c r="AB71">
        <f>Tokens!AD73</f>
        <v>0</v>
      </c>
      <c r="AC71">
        <f>Tokens!AE73</f>
        <v>0</v>
      </c>
      <c r="AD71">
        <f>Tokens!AF73</f>
        <v>0</v>
      </c>
      <c r="AE71">
        <f>Tokens!AG73</f>
        <v>0</v>
      </c>
      <c r="AF71" t="str">
        <f>Tokens!AH73</f>
        <v>avantage2</v>
      </c>
      <c r="AG71" t="str">
        <f>Tokens!AI73</f>
        <v>accès membre pour les after party officielles pour deux (2) personnes</v>
      </c>
      <c r="AH71" t="str">
        <f>Tokens!AJ73</f>
        <v>avantage3</v>
      </c>
      <c r="AI71" t="str">
        <f>Tokens!AK73</f>
        <v>accès prioritaire et bar dédié (consommation à la charge du festivalier) - tables réservées à l'avance pour les « NFT member » pour deux (2) personnes</v>
      </c>
      <c r="AJ71" t="str">
        <f>Tokens!AL73</f>
        <v>avantage4</v>
      </c>
      <c r="AK71" t="str">
        <f>Tokens!AM73</f>
        <v>1 affiche dédicacée et numérotée</v>
      </c>
      <c r="AL71">
        <f>Tokens!AN73</f>
        <v>0</v>
      </c>
      <c r="AM71">
        <f>Tokens!AO73</f>
        <v>0</v>
      </c>
      <c r="AN71">
        <f>Tokens!AP73</f>
        <v>0</v>
      </c>
      <c r="AO71">
        <f>Tokens!AQ73</f>
        <v>0</v>
      </c>
      <c r="AP71">
        <f>Tokens!AR73</f>
        <v>0</v>
      </c>
      <c r="AQ71">
        <f>Tokens!AS73</f>
        <v>0</v>
      </c>
      <c r="AR71">
        <f>Tokens!AT73</f>
        <v>0</v>
      </c>
      <c r="AS71">
        <f>Tokens!AU73</f>
        <v>0</v>
      </c>
      <c r="AT71" t="str">
        <f>Tokens!AV73</f>
        <v>Validation</v>
      </c>
      <c r="AU71" t="str">
        <f>Tokens!AW73</f>
        <v>https://tokensol.nfluent.io?s=COR22C10&amp;platform=ftx</v>
      </c>
      <c r="AV71" t="str">
        <f>Tokens!AX73</f>
        <v>paul</v>
      </c>
      <c r="AW71">
        <f>Tokens!AY73</f>
        <v>10</v>
      </c>
      <c r="AX71" t="str">
        <f>Tokens!AZ73</f>
        <v>sophie</v>
      </c>
      <c r="AY71">
        <f>Tokens!BA73</f>
        <v>90</v>
      </c>
      <c r="AZ71">
        <f>Tokens!BB73</f>
        <v>0</v>
      </c>
      <c r="BA71">
        <f>Tokens!BC73</f>
        <v>0</v>
      </c>
      <c r="BB71">
        <f>Tokens!BD73</f>
        <v>0</v>
      </c>
      <c r="BC71">
        <f>Tokens!BE73</f>
        <v>0</v>
      </c>
      <c r="BD71">
        <f>Tokens!BF73</f>
        <v>0</v>
      </c>
      <c r="BE71">
        <f>Tokens!BG73</f>
        <v>0</v>
      </c>
      <c r="BF71">
        <f>Tokens!BH73</f>
        <v>0</v>
      </c>
      <c r="BG71">
        <f>Tokens!BI73</f>
        <v>0</v>
      </c>
      <c r="BH71" t="str">
        <f>Tokens!BJ73</f>
        <v>La Porteuse D'Eau</v>
      </c>
      <c r="BI71" t="str">
        <f>Tokens!BK73</f>
        <v>Calvi On The Rocks</v>
      </c>
    </row>
    <row r="72" spans="1:61" x14ac:dyDescent="0.25">
      <c r="A72" t="str">
        <f>Tokens!C74</f>
        <v>La Porteuse D'Eau #11</v>
      </c>
      <c r="B72" t="str">
        <f>Tokens!D74</f>
        <v>COR22C11</v>
      </c>
      <c r="C72" t="str">
        <f>Tokens!E74</f>
        <v>La Porteuse D'Eau, 3 ans - Pass NFT 5 jours pour 2 personnes, valable pour 3 éditions Calvi On The Rocks de votre choix.</v>
      </c>
      <c r="D72">
        <f>Tokens!F74</f>
        <v>1000</v>
      </c>
      <c r="E72" t="str">
        <f>Tokens!G74</f>
        <v>https://bafybeicordeza5gk2bza3mvxlpkuixf2rl7wnnuldoo222om2i4bxv2oqa.ipfs.nftstorage.link?image_10.png</v>
      </c>
      <c r="F72" t="str">
        <f>Tokens!H74</f>
        <v>NfluenT for Calvi On The rocks</v>
      </c>
      <c r="G72">
        <f>Tokens!I74</f>
        <v>0</v>
      </c>
      <c r="H72" t="str">
        <f>Tokens!J74</f>
        <v>Pass festival</v>
      </c>
      <c r="I72" t="str">
        <f>Tokens!K74</f>
        <v>pour deux(2) personnes</v>
      </c>
      <c r="J72" t="str">
        <f>Tokens!L74</f>
        <v>Edition1</v>
      </c>
      <c r="K72">
        <f>Tokens!M74</f>
        <v>2</v>
      </c>
      <c r="L72" t="str">
        <f>Tokens!N74</f>
        <v>Edition2</v>
      </c>
      <c r="M72">
        <f>Tokens!O74</f>
        <v>2</v>
      </c>
      <c r="N72" t="str">
        <f>Tokens!P74</f>
        <v>Edition3</v>
      </c>
      <c r="O72">
        <f>Tokens!Q74</f>
        <v>2</v>
      </c>
      <c r="P72">
        <f>Tokens!R74</f>
        <v>0</v>
      </c>
      <c r="Q72">
        <f>Tokens!S74</f>
        <v>0</v>
      </c>
      <c r="R72">
        <f>Tokens!T74</f>
        <v>0</v>
      </c>
      <c r="S72">
        <f>Tokens!U74</f>
        <v>0</v>
      </c>
      <c r="T72" t="str">
        <f>Tokens!V74</f>
        <v>Dernière utilisation</v>
      </c>
      <c r="U72">
        <f>Tokens!W74</f>
        <v>0</v>
      </c>
      <c r="V72">
        <f>Tokens!X74</f>
        <v>0</v>
      </c>
      <c r="W72">
        <f>Tokens!Y74</f>
        <v>0</v>
      </c>
      <c r="X72" t="str">
        <f>Tokens!Z74</f>
        <v>avantage1</v>
      </c>
      <c r="Y72" t="str">
        <f>Tokens!AA74</f>
        <v>accès pour deux (2) personnes à un (1) événement partenaire officiel de Calvi on the Rocks</v>
      </c>
      <c r="Z72">
        <f>Tokens!AB74</f>
        <v>0</v>
      </c>
      <c r="AA72">
        <f>Tokens!AC74</f>
        <v>0</v>
      </c>
      <c r="AB72">
        <f>Tokens!AD74</f>
        <v>0</v>
      </c>
      <c r="AC72">
        <f>Tokens!AE74</f>
        <v>0</v>
      </c>
      <c r="AD72">
        <f>Tokens!AF74</f>
        <v>0</v>
      </c>
      <c r="AE72">
        <f>Tokens!AG74</f>
        <v>0</v>
      </c>
      <c r="AF72" t="str">
        <f>Tokens!AH74</f>
        <v>avantage2</v>
      </c>
      <c r="AG72" t="str">
        <f>Tokens!AI74</f>
        <v>accès membre pour les after party officielles pour deux (2) personnes</v>
      </c>
      <c r="AH72" t="str">
        <f>Tokens!AJ74</f>
        <v>avantage3</v>
      </c>
      <c r="AI72" t="str">
        <f>Tokens!AK74</f>
        <v>accès prioritaire et bar dédié (consommation à la charge du festivalier) - tables réservées à l'avance pour les « NFT member » pour deux (2) personnes</v>
      </c>
      <c r="AJ72" t="str">
        <f>Tokens!AL74</f>
        <v>avantage4</v>
      </c>
      <c r="AK72" t="str">
        <f>Tokens!AM74</f>
        <v>1 affiche dédicacée et numérotée</v>
      </c>
      <c r="AL72">
        <f>Tokens!AN74</f>
        <v>0</v>
      </c>
      <c r="AM72">
        <f>Tokens!AO74</f>
        <v>0</v>
      </c>
      <c r="AN72">
        <f>Tokens!AP74</f>
        <v>0</v>
      </c>
      <c r="AO72">
        <f>Tokens!AQ74</f>
        <v>0</v>
      </c>
      <c r="AP72">
        <f>Tokens!AR74</f>
        <v>0</v>
      </c>
      <c r="AQ72">
        <f>Tokens!AS74</f>
        <v>0</v>
      </c>
      <c r="AR72">
        <f>Tokens!AT74</f>
        <v>0</v>
      </c>
      <c r="AS72">
        <f>Tokens!AU74</f>
        <v>0</v>
      </c>
      <c r="AT72" t="str">
        <f>Tokens!AV74</f>
        <v>Validation</v>
      </c>
      <c r="AU72" t="str">
        <f>Tokens!AW74</f>
        <v>https://tokensol.nfluent.io?s=COR22C11&amp;platform=ftx</v>
      </c>
      <c r="AV72" t="str">
        <f>Tokens!AX74</f>
        <v>paul</v>
      </c>
      <c r="AW72">
        <f>Tokens!AY74</f>
        <v>10</v>
      </c>
      <c r="AX72" t="str">
        <f>Tokens!AZ74</f>
        <v>sophie</v>
      </c>
      <c r="AY72">
        <f>Tokens!BA74</f>
        <v>90</v>
      </c>
      <c r="AZ72">
        <f>Tokens!BB74</f>
        <v>0</v>
      </c>
      <c r="BA72">
        <f>Tokens!BC74</f>
        <v>0</v>
      </c>
      <c r="BB72">
        <f>Tokens!BD74</f>
        <v>0</v>
      </c>
      <c r="BC72">
        <f>Tokens!BE74</f>
        <v>0</v>
      </c>
      <c r="BD72">
        <f>Tokens!BF74</f>
        <v>0</v>
      </c>
      <c r="BE72">
        <f>Tokens!BG74</f>
        <v>0</v>
      </c>
      <c r="BF72">
        <f>Tokens!BH74</f>
        <v>0</v>
      </c>
      <c r="BG72">
        <f>Tokens!BI74</f>
        <v>0</v>
      </c>
      <c r="BH72" t="str">
        <f>Tokens!BJ74</f>
        <v>La Porteuse D'Eau</v>
      </c>
      <c r="BI72" t="str">
        <f>Tokens!BK74</f>
        <v>Calvi On The Rocks</v>
      </c>
    </row>
    <row r="73" spans="1:61" x14ac:dyDescent="0.25">
      <c r="A73" t="str">
        <f>Tokens!C75</f>
        <v>La Porteuse D'Eau #12</v>
      </c>
      <c r="B73" t="str">
        <f>Tokens!D75</f>
        <v>COR22C12</v>
      </c>
      <c r="C73" t="str">
        <f>Tokens!E75</f>
        <v>La Porteuse D'Eau, 3 ans - Pass NFT 5 jours pour 2 personnes, valable pour 3 éditions Calvi On The Rocks de votre choix.</v>
      </c>
      <c r="D73">
        <f>Tokens!F75</f>
        <v>1000</v>
      </c>
      <c r="E73" t="str">
        <f>Tokens!G75</f>
        <v>https://bafybeicordeza5gk2bza3mvxlpkuixf2rl7wnnuldoo222om2i4bxv2oqa.ipfs.nftstorage.link?image_10.png</v>
      </c>
      <c r="F73" t="str">
        <f>Tokens!H75</f>
        <v>NfluenT for Calvi On The rocks</v>
      </c>
      <c r="G73">
        <f>Tokens!I75</f>
        <v>0</v>
      </c>
      <c r="H73" t="str">
        <f>Tokens!J75</f>
        <v>Pass festival</v>
      </c>
      <c r="I73" t="str">
        <f>Tokens!K75</f>
        <v>pour deux(2) personnes</v>
      </c>
      <c r="J73" t="str">
        <f>Tokens!L75</f>
        <v>Edition1</v>
      </c>
      <c r="K73">
        <f>Tokens!M75</f>
        <v>2</v>
      </c>
      <c r="L73" t="str">
        <f>Tokens!N75</f>
        <v>Edition2</v>
      </c>
      <c r="M73">
        <f>Tokens!O75</f>
        <v>2</v>
      </c>
      <c r="N73" t="str">
        <f>Tokens!P75</f>
        <v>Edition3</v>
      </c>
      <c r="O73">
        <f>Tokens!Q75</f>
        <v>2</v>
      </c>
      <c r="P73">
        <f>Tokens!R75</f>
        <v>0</v>
      </c>
      <c r="Q73">
        <f>Tokens!S75</f>
        <v>0</v>
      </c>
      <c r="R73">
        <f>Tokens!T75</f>
        <v>0</v>
      </c>
      <c r="S73">
        <f>Tokens!U75</f>
        <v>0</v>
      </c>
      <c r="T73" t="str">
        <f>Tokens!V75</f>
        <v>Dernière utilisation</v>
      </c>
      <c r="U73">
        <f>Tokens!W75</f>
        <v>0</v>
      </c>
      <c r="V73">
        <f>Tokens!X75</f>
        <v>0</v>
      </c>
      <c r="W73">
        <f>Tokens!Y75</f>
        <v>0</v>
      </c>
      <c r="X73" t="str">
        <f>Tokens!Z75</f>
        <v>avantage1</v>
      </c>
      <c r="Y73" t="str">
        <f>Tokens!AA75</f>
        <v>accès pour deux (2) personnes à un (1) événement partenaire officiel de Calvi on the Rocks</v>
      </c>
      <c r="Z73">
        <f>Tokens!AB75</f>
        <v>0</v>
      </c>
      <c r="AA73">
        <f>Tokens!AC75</f>
        <v>0</v>
      </c>
      <c r="AB73">
        <f>Tokens!AD75</f>
        <v>0</v>
      </c>
      <c r="AC73">
        <f>Tokens!AE75</f>
        <v>0</v>
      </c>
      <c r="AD73">
        <f>Tokens!AF75</f>
        <v>0</v>
      </c>
      <c r="AE73">
        <f>Tokens!AG75</f>
        <v>0</v>
      </c>
      <c r="AF73" t="str">
        <f>Tokens!AH75</f>
        <v>avantage2</v>
      </c>
      <c r="AG73" t="str">
        <f>Tokens!AI75</f>
        <v>accès membre pour les after party officielles pour deux (2) personnes</v>
      </c>
      <c r="AH73" t="str">
        <f>Tokens!AJ75</f>
        <v>avantage3</v>
      </c>
      <c r="AI73" t="str">
        <f>Tokens!AK75</f>
        <v>accès prioritaire et bar dédié (consommation à la charge du festivalier) - tables réservées à l'avance pour les « NFT member » pour deux (2) personnes</v>
      </c>
      <c r="AJ73" t="str">
        <f>Tokens!AL75</f>
        <v>avantage4</v>
      </c>
      <c r="AK73" t="str">
        <f>Tokens!AM75</f>
        <v>1 affiche dédicacée et numérotée</v>
      </c>
      <c r="AL73">
        <f>Tokens!AN75</f>
        <v>0</v>
      </c>
      <c r="AM73">
        <f>Tokens!AO75</f>
        <v>0</v>
      </c>
      <c r="AN73">
        <f>Tokens!AP75</f>
        <v>0</v>
      </c>
      <c r="AO73">
        <f>Tokens!AQ75</f>
        <v>0</v>
      </c>
      <c r="AP73">
        <f>Tokens!AR75</f>
        <v>0</v>
      </c>
      <c r="AQ73">
        <f>Tokens!AS75</f>
        <v>0</v>
      </c>
      <c r="AR73">
        <f>Tokens!AT75</f>
        <v>0</v>
      </c>
      <c r="AS73">
        <f>Tokens!AU75</f>
        <v>0</v>
      </c>
      <c r="AT73" t="str">
        <f>Tokens!AV75</f>
        <v>Validation</v>
      </c>
      <c r="AU73" t="str">
        <f>Tokens!AW75</f>
        <v>https://tokensol.nfluent.io?s=COR22C12&amp;platform=ftx</v>
      </c>
      <c r="AV73" t="str">
        <f>Tokens!AX75</f>
        <v>paul</v>
      </c>
      <c r="AW73">
        <f>Tokens!AY75</f>
        <v>10</v>
      </c>
      <c r="AX73" t="str">
        <f>Tokens!AZ75</f>
        <v>sophie</v>
      </c>
      <c r="AY73">
        <f>Tokens!BA75</f>
        <v>90</v>
      </c>
      <c r="AZ73">
        <f>Tokens!BB75</f>
        <v>0</v>
      </c>
      <c r="BA73">
        <f>Tokens!BC75</f>
        <v>0</v>
      </c>
      <c r="BB73">
        <f>Tokens!BD75</f>
        <v>0</v>
      </c>
      <c r="BC73">
        <f>Tokens!BE75</f>
        <v>0</v>
      </c>
      <c r="BD73">
        <f>Tokens!BF75</f>
        <v>0</v>
      </c>
      <c r="BE73">
        <f>Tokens!BG75</f>
        <v>0</v>
      </c>
      <c r="BF73">
        <f>Tokens!BH75</f>
        <v>0</v>
      </c>
      <c r="BG73">
        <f>Tokens!BI75</f>
        <v>0</v>
      </c>
      <c r="BH73" t="str">
        <f>Tokens!BJ75</f>
        <v>La Porteuse D'Eau</v>
      </c>
      <c r="BI73" t="str">
        <f>Tokens!BK75</f>
        <v>Calvi On The Rocks</v>
      </c>
    </row>
    <row r="74" spans="1:61" x14ac:dyDescent="0.25">
      <c r="A74" t="str">
        <f>Tokens!C76</f>
        <v>La Porteuse D'Eau #13</v>
      </c>
      <c r="B74" t="str">
        <f>Tokens!D76</f>
        <v>COR22C13</v>
      </c>
      <c r="C74" t="str">
        <f>Tokens!E76</f>
        <v>La Porteuse D'Eau, 3 ans - Pass NFT 5 jours pour 2 personnes, valable pour 3 éditions Calvi On The Rocks de votre choix.</v>
      </c>
      <c r="D74">
        <f>Tokens!F76</f>
        <v>1000</v>
      </c>
      <c r="E74" t="str">
        <f>Tokens!G76</f>
        <v>https://bafybeicordeza5gk2bza3mvxlpkuixf2rl7wnnuldoo222om2i4bxv2oqa.ipfs.nftstorage.link?image_10.png</v>
      </c>
      <c r="F74" t="str">
        <f>Tokens!H76</f>
        <v>NfluenT for Calvi On The rocks</v>
      </c>
      <c r="G74">
        <f>Tokens!I76</f>
        <v>0</v>
      </c>
      <c r="H74" t="str">
        <f>Tokens!J76</f>
        <v>Pass festival</v>
      </c>
      <c r="I74" t="str">
        <f>Tokens!K76</f>
        <v>pour deux(2) personnes</v>
      </c>
      <c r="J74" t="str">
        <f>Tokens!L76</f>
        <v>Edition1</v>
      </c>
      <c r="K74">
        <f>Tokens!M76</f>
        <v>2</v>
      </c>
      <c r="L74" t="str">
        <f>Tokens!N76</f>
        <v>Edition2</v>
      </c>
      <c r="M74">
        <f>Tokens!O76</f>
        <v>2</v>
      </c>
      <c r="N74" t="str">
        <f>Tokens!P76</f>
        <v>Edition3</v>
      </c>
      <c r="O74">
        <f>Tokens!Q76</f>
        <v>2</v>
      </c>
      <c r="P74">
        <f>Tokens!R76</f>
        <v>0</v>
      </c>
      <c r="Q74">
        <f>Tokens!S76</f>
        <v>0</v>
      </c>
      <c r="R74">
        <f>Tokens!T76</f>
        <v>0</v>
      </c>
      <c r="S74">
        <f>Tokens!U76</f>
        <v>0</v>
      </c>
      <c r="T74" t="str">
        <f>Tokens!V76</f>
        <v>Dernière utilisation</v>
      </c>
      <c r="U74">
        <f>Tokens!W76</f>
        <v>0</v>
      </c>
      <c r="V74">
        <f>Tokens!X76</f>
        <v>0</v>
      </c>
      <c r="W74">
        <f>Tokens!Y76</f>
        <v>0</v>
      </c>
      <c r="X74" t="str">
        <f>Tokens!Z76</f>
        <v>avantage1</v>
      </c>
      <c r="Y74" t="str">
        <f>Tokens!AA76</f>
        <v>accès pour deux (2) personnes à un (1) événement partenaire officiel de Calvi on the Rocks</v>
      </c>
      <c r="Z74">
        <f>Tokens!AB76</f>
        <v>0</v>
      </c>
      <c r="AA74">
        <f>Tokens!AC76</f>
        <v>0</v>
      </c>
      <c r="AB74">
        <f>Tokens!AD76</f>
        <v>0</v>
      </c>
      <c r="AC74">
        <f>Tokens!AE76</f>
        <v>0</v>
      </c>
      <c r="AD74">
        <f>Tokens!AF76</f>
        <v>0</v>
      </c>
      <c r="AE74">
        <f>Tokens!AG76</f>
        <v>0</v>
      </c>
      <c r="AF74" t="str">
        <f>Tokens!AH76</f>
        <v>avantage2</v>
      </c>
      <c r="AG74" t="str">
        <f>Tokens!AI76</f>
        <v>accès membre pour les after party officielles pour deux (2) personnes</v>
      </c>
      <c r="AH74" t="str">
        <f>Tokens!AJ76</f>
        <v>avantage3</v>
      </c>
      <c r="AI74" t="str">
        <f>Tokens!AK76</f>
        <v>accès prioritaire et bar dédié (consommation à la charge du festivalier) - tables réservées à l'avance pour les « NFT member » pour deux (2) personnes</v>
      </c>
      <c r="AJ74" t="str">
        <f>Tokens!AL76</f>
        <v>avantage4</v>
      </c>
      <c r="AK74" t="str">
        <f>Tokens!AM76</f>
        <v>1 affiche dédicacée et numérotée</v>
      </c>
      <c r="AL74">
        <f>Tokens!AN76</f>
        <v>0</v>
      </c>
      <c r="AM74">
        <f>Tokens!AO76</f>
        <v>0</v>
      </c>
      <c r="AN74">
        <f>Tokens!AP76</f>
        <v>0</v>
      </c>
      <c r="AO74">
        <f>Tokens!AQ76</f>
        <v>0</v>
      </c>
      <c r="AP74">
        <f>Tokens!AR76</f>
        <v>0</v>
      </c>
      <c r="AQ74">
        <f>Tokens!AS76</f>
        <v>0</v>
      </c>
      <c r="AR74">
        <f>Tokens!AT76</f>
        <v>0</v>
      </c>
      <c r="AS74">
        <f>Tokens!AU76</f>
        <v>0</v>
      </c>
      <c r="AT74" t="str">
        <f>Tokens!AV76</f>
        <v>Validation</v>
      </c>
      <c r="AU74" t="str">
        <f>Tokens!AW76</f>
        <v>https://tokensol.nfluent.io?s=COR22C13&amp;platform=ftx</v>
      </c>
      <c r="AV74" t="str">
        <f>Tokens!AX76</f>
        <v>paul</v>
      </c>
      <c r="AW74">
        <f>Tokens!AY76</f>
        <v>10</v>
      </c>
      <c r="AX74" t="str">
        <f>Tokens!AZ76</f>
        <v>sophie</v>
      </c>
      <c r="AY74">
        <f>Tokens!BA76</f>
        <v>90</v>
      </c>
      <c r="AZ74">
        <f>Tokens!BB76</f>
        <v>0</v>
      </c>
      <c r="BA74">
        <f>Tokens!BC76</f>
        <v>0</v>
      </c>
      <c r="BB74">
        <f>Tokens!BD76</f>
        <v>0</v>
      </c>
      <c r="BC74">
        <f>Tokens!BE76</f>
        <v>0</v>
      </c>
      <c r="BD74">
        <f>Tokens!BF76</f>
        <v>0</v>
      </c>
      <c r="BE74">
        <f>Tokens!BG76</f>
        <v>0</v>
      </c>
      <c r="BF74">
        <f>Tokens!BH76</f>
        <v>0</v>
      </c>
      <c r="BG74">
        <f>Tokens!BI76</f>
        <v>0</v>
      </c>
      <c r="BH74" t="str">
        <f>Tokens!BJ76</f>
        <v>La Porteuse D'Eau</v>
      </c>
      <c r="BI74" t="str">
        <f>Tokens!BK76</f>
        <v>Calvi On The Rocks</v>
      </c>
    </row>
    <row r="75" spans="1:61" x14ac:dyDescent="0.25">
      <c r="A75" t="str">
        <f>Tokens!C77</f>
        <v>La Porteuse D'Eau #14</v>
      </c>
      <c r="B75" t="str">
        <f>Tokens!D77</f>
        <v>COR22C14</v>
      </c>
      <c r="C75" t="str">
        <f>Tokens!E77</f>
        <v>La Porteuse D'Eau, 3 ans - Pass NFT 5 jours pour 2 personnes, valable pour 3 éditions Calvi On The Rocks de votre choix.</v>
      </c>
      <c r="D75">
        <f>Tokens!F77</f>
        <v>1000</v>
      </c>
      <c r="E75" t="str">
        <f>Tokens!G77</f>
        <v>https://bafybeicordeza5gk2bza3mvxlpkuixf2rl7wnnuldoo222om2i4bxv2oqa.ipfs.nftstorage.link?image_10.png</v>
      </c>
      <c r="F75" t="str">
        <f>Tokens!H77</f>
        <v>NfluenT for Calvi On The rocks</v>
      </c>
      <c r="G75">
        <f>Tokens!I77</f>
        <v>0</v>
      </c>
      <c r="H75" t="str">
        <f>Tokens!J77</f>
        <v>Pass festival</v>
      </c>
      <c r="I75" t="str">
        <f>Tokens!K77</f>
        <v>pour deux(2) personnes</v>
      </c>
      <c r="J75" t="str">
        <f>Tokens!L77</f>
        <v>Edition1</v>
      </c>
      <c r="K75">
        <f>Tokens!M77</f>
        <v>2</v>
      </c>
      <c r="L75" t="str">
        <f>Tokens!N77</f>
        <v>Edition2</v>
      </c>
      <c r="M75">
        <f>Tokens!O77</f>
        <v>2</v>
      </c>
      <c r="N75" t="str">
        <f>Tokens!P77</f>
        <v>Edition3</v>
      </c>
      <c r="O75">
        <f>Tokens!Q77</f>
        <v>2</v>
      </c>
      <c r="P75">
        <f>Tokens!R77</f>
        <v>0</v>
      </c>
      <c r="Q75">
        <f>Tokens!S77</f>
        <v>0</v>
      </c>
      <c r="R75">
        <f>Tokens!T77</f>
        <v>0</v>
      </c>
      <c r="S75">
        <f>Tokens!U77</f>
        <v>0</v>
      </c>
      <c r="T75" t="str">
        <f>Tokens!V77</f>
        <v>Dernière utilisation</v>
      </c>
      <c r="U75">
        <f>Tokens!W77</f>
        <v>0</v>
      </c>
      <c r="V75">
        <f>Tokens!X77</f>
        <v>0</v>
      </c>
      <c r="W75">
        <f>Tokens!Y77</f>
        <v>0</v>
      </c>
      <c r="X75" t="str">
        <f>Tokens!Z77</f>
        <v>avantage1</v>
      </c>
      <c r="Y75" t="str">
        <f>Tokens!AA77</f>
        <v>accès pour deux (2) personnes à un (1) événement partenaire officiel de Calvi on the Rocks</v>
      </c>
      <c r="Z75">
        <f>Tokens!AB77</f>
        <v>0</v>
      </c>
      <c r="AA75">
        <f>Tokens!AC77</f>
        <v>0</v>
      </c>
      <c r="AB75">
        <f>Tokens!AD77</f>
        <v>0</v>
      </c>
      <c r="AC75">
        <f>Tokens!AE77</f>
        <v>0</v>
      </c>
      <c r="AD75">
        <f>Tokens!AF77</f>
        <v>0</v>
      </c>
      <c r="AE75">
        <f>Tokens!AG77</f>
        <v>0</v>
      </c>
      <c r="AF75" t="str">
        <f>Tokens!AH77</f>
        <v>avantage2</v>
      </c>
      <c r="AG75" t="str">
        <f>Tokens!AI77</f>
        <v>accès membre pour les after party officielles pour deux (2) personnes</v>
      </c>
      <c r="AH75" t="str">
        <f>Tokens!AJ77</f>
        <v>avantage3</v>
      </c>
      <c r="AI75" t="str">
        <f>Tokens!AK77</f>
        <v>accès prioritaire et bar dédié (consommation à la charge du festivalier) - tables réservées à l'avance pour les « NFT member » pour deux (2) personnes</v>
      </c>
      <c r="AJ75" t="str">
        <f>Tokens!AL77</f>
        <v>avantage4</v>
      </c>
      <c r="AK75" t="str">
        <f>Tokens!AM77</f>
        <v>1 affiche dédicacée et numérotée</v>
      </c>
      <c r="AL75">
        <f>Tokens!AN77</f>
        <v>0</v>
      </c>
      <c r="AM75">
        <f>Tokens!AO77</f>
        <v>0</v>
      </c>
      <c r="AN75">
        <f>Tokens!AP77</f>
        <v>0</v>
      </c>
      <c r="AO75">
        <f>Tokens!AQ77</f>
        <v>0</v>
      </c>
      <c r="AP75">
        <f>Tokens!AR77</f>
        <v>0</v>
      </c>
      <c r="AQ75">
        <f>Tokens!AS77</f>
        <v>0</v>
      </c>
      <c r="AR75">
        <f>Tokens!AT77</f>
        <v>0</v>
      </c>
      <c r="AS75">
        <f>Tokens!AU77</f>
        <v>0</v>
      </c>
      <c r="AT75" t="str">
        <f>Tokens!AV77</f>
        <v>Validation</v>
      </c>
      <c r="AU75" t="str">
        <f>Tokens!AW77</f>
        <v>https://tokensol.nfluent.io?s=COR22C14&amp;platform=ftx</v>
      </c>
      <c r="AV75" t="str">
        <f>Tokens!AX77</f>
        <v>paul</v>
      </c>
      <c r="AW75">
        <f>Tokens!AY77</f>
        <v>10</v>
      </c>
      <c r="AX75" t="str">
        <f>Tokens!AZ77</f>
        <v>sophie</v>
      </c>
      <c r="AY75">
        <f>Tokens!BA77</f>
        <v>90</v>
      </c>
      <c r="AZ75">
        <f>Tokens!BB77</f>
        <v>0</v>
      </c>
      <c r="BA75">
        <f>Tokens!BC77</f>
        <v>0</v>
      </c>
      <c r="BB75">
        <f>Tokens!BD77</f>
        <v>0</v>
      </c>
      <c r="BC75">
        <f>Tokens!BE77</f>
        <v>0</v>
      </c>
      <c r="BD75">
        <f>Tokens!BF77</f>
        <v>0</v>
      </c>
      <c r="BE75">
        <f>Tokens!BG77</f>
        <v>0</v>
      </c>
      <c r="BF75">
        <f>Tokens!BH77</f>
        <v>0</v>
      </c>
      <c r="BG75">
        <f>Tokens!BI77</f>
        <v>0</v>
      </c>
      <c r="BH75" t="str">
        <f>Tokens!BJ77</f>
        <v>La Porteuse D'Eau</v>
      </c>
      <c r="BI75" t="str">
        <f>Tokens!BK77</f>
        <v>Calvi On The Rocks</v>
      </c>
    </row>
    <row r="76" spans="1:61" x14ac:dyDescent="0.25">
      <c r="A76" t="str">
        <f>Tokens!C78</f>
        <v>La Porteuse D'Eau #15</v>
      </c>
      <c r="B76" t="str">
        <f>Tokens!D78</f>
        <v>COR22C15</v>
      </c>
      <c r="C76" t="str">
        <f>Tokens!E78</f>
        <v>La Porteuse D'Eau, 3 ans - Pass NFT 5 jours pour 2 personnes, valable pour 3 éditions Calvi On The Rocks de votre choix.</v>
      </c>
      <c r="D76">
        <f>Tokens!F78</f>
        <v>1000</v>
      </c>
      <c r="E76" t="str">
        <f>Tokens!G78</f>
        <v>https://bafybeicordeza5gk2bza3mvxlpkuixf2rl7wnnuldoo222om2i4bxv2oqa.ipfs.nftstorage.link?image_10.png</v>
      </c>
      <c r="F76" t="str">
        <f>Tokens!H78</f>
        <v>NfluenT for Calvi On The rocks</v>
      </c>
      <c r="G76">
        <f>Tokens!I78</f>
        <v>0</v>
      </c>
      <c r="H76" t="str">
        <f>Tokens!J78</f>
        <v>Pass festival</v>
      </c>
      <c r="I76" t="str">
        <f>Tokens!K78</f>
        <v>pour deux(2) personnes</v>
      </c>
      <c r="J76" t="str">
        <f>Tokens!L78</f>
        <v>Edition1</v>
      </c>
      <c r="K76">
        <f>Tokens!M78</f>
        <v>2</v>
      </c>
      <c r="L76" t="str">
        <f>Tokens!N78</f>
        <v>Edition2</v>
      </c>
      <c r="M76">
        <f>Tokens!O78</f>
        <v>2</v>
      </c>
      <c r="N76" t="str">
        <f>Tokens!P78</f>
        <v>Edition3</v>
      </c>
      <c r="O76">
        <f>Tokens!Q78</f>
        <v>2</v>
      </c>
      <c r="P76">
        <f>Tokens!R78</f>
        <v>0</v>
      </c>
      <c r="Q76">
        <f>Tokens!S78</f>
        <v>0</v>
      </c>
      <c r="R76">
        <f>Tokens!T78</f>
        <v>0</v>
      </c>
      <c r="S76">
        <f>Tokens!U78</f>
        <v>0</v>
      </c>
      <c r="T76" t="str">
        <f>Tokens!V78</f>
        <v>Dernière utilisation</v>
      </c>
      <c r="U76">
        <f>Tokens!W78</f>
        <v>0</v>
      </c>
      <c r="V76">
        <f>Tokens!X78</f>
        <v>0</v>
      </c>
      <c r="W76">
        <f>Tokens!Y78</f>
        <v>0</v>
      </c>
      <c r="X76" t="str">
        <f>Tokens!Z78</f>
        <v>avantage1</v>
      </c>
      <c r="Y76" t="str">
        <f>Tokens!AA78</f>
        <v>accès pour deux (2) personnes à un (1) événement partenaire officiel de Calvi on the Rocks</v>
      </c>
      <c r="Z76">
        <f>Tokens!AB78</f>
        <v>0</v>
      </c>
      <c r="AA76">
        <f>Tokens!AC78</f>
        <v>0</v>
      </c>
      <c r="AB76">
        <f>Tokens!AD78</f>
        <v>0</v>
      </c>
      <c r="AC76">
        <f>Tokens!AE78</f>
        <v>0</v>
      </c>
      <c r="AD76">
        <f>Tokens!AF78</f>
        <v>0</v>
      </c>
      <c r="AE76">
        <f>Tokens!AG78</f>
        <v>0</v>
      </c>
      <c r="AF76" t="str">
        <f>Tokens!AH78</f>
        <v>avantage2</v>
      </c>
      <c r="AG76" t="str">
        <f>Tokens!AI78</f>
        <v>accès membre pour les after party officielles pour deux (2) personnes</v>
      </c>
      <c r="AH76" t="str">
        <f>Tokens!AJ78</f>
        <v>avantage3</v>
      </c>
      <c r="AI76" t="str">
        <f>Tokens!AK78</f>
        <v>accès prioritaire et bar dédié (consommation à la charge du festivalier) - tables réservées à l'avance pour les « NFT member » pour deux (2) personnes</v>
      </c>
      <c r="AJ76" t="str">
        <f>Tokens!AL78</f>
        <v>avantage4</v>
      </c>
      <c r="AK76" t="str">
        <f>Tokens!AM78</f>
        <v>1 affiche dédicacée et numérotée</v>
      </c>
      <c r="AL76">
        <f>Tokens!AN78</f>
        <v>0</v>
      </c>
      <c r="AM76">
        <f>Tokens!AO78</f>
        <v>0</v>
      </c>
      <c r="AN76">
        <f>Tokens!AP78</f>
        <v>0</v>
      </c>
      <c r="AO76">
        <f>Tokens!AQ78</f>
        <v>0</v>
      </c>
      <c r="AP76">
        <f>Tokens!AR78</f>
        <v>0</v>
      </c>
      <c r="AQ76">
        <f>Tokens!AS78</f>
        <v>0</v>
      </c>
      <c r="AR76">
        <f>Tokens!AT78</f>
        <v>0</v>
      </c>
      <c r="AS76">
        <f>Tokens!AU78</f>
        <v>0</v>
      </c>
      <c r="AT76" t="str">
        <f>Tokens!AV78</f>
        <v>Validation</v>
      </c>
      <c r="AU76" t="str">
        <f>Tokens!AW78</f>
        <v>https://tokensol.nfluent.io?s=COR22C15&amp;platform=ftx</v>
      </c>
      <c r="AV76" t="str">
        <f>Tokens!AX78</f>
        <v>paul</v>
      </c>
      <c r="AW76">
        <f>Tokens!AY78</f>
        <v>10</v>
      </c>
      <c r="AX76" t="str">
        <f>Tokens!AZ78</f>
        <v>sophie</v>
      </c>
      <c r="AY76">
        <f>Tokens!BA78</f>
        <v>90</v>
      </c>
      <c r="AZ76">
        <f>Tokens!BB78</f>
        <v>0</v>
      </c>
      <c r="BA76">
        <f>Tokens!BC78</f>
        <v>0</v>
      </c>
      <c r="BB76">
        <f>Tokens!BD78</f>
        <v>0</v>
      </c>
      <c r="BC76">
        <f>Tokens!BE78</f>
        <v>0</v>
      </c>
      <c r="BD76">
        <f>Tokens!BF78</f>
        <v>0</v>
      </c>
      <c r="BE76">
        <f>Tokens!BG78</f>
        <v>0</v>
      </c>
      <c r="BF76">
        <f>Tokens!BH78</f>
        <v>0</v>
      </c>
      <c r="BG76">
        <f>Tokens!BI78</f>
        <v>0</v>
      </c>
      <c r="BH76" t="str">
        <f>Tokens!BJ78</f>
        <v>La Porteuse D'Eau</v>
      </c>
      <c r="BI76" t="str">
        <f>Tokens!BK78</f>
        <v>Calvi On The Rocks</v>
      </c>
    </row>
    <row r="77" spans="1:61" x14ac:dyDescent="0.25">
      <c r="A77" t="str">
        <f>Tokens!C79</f>
        <v>La Porteuse D'Eau #16</v>
      </c>
      <c r="B77" t="str">
        <f>Tokens!D79</f>
        <v>COR22C16</v>
      </c>
      <c r="C77" t="str">
        <f>Tokens!E79</f>
        <v>La Porteuse D'Eau, 3 ans - Pass NFT 5 jours pour 2 personnes, valable pour 3 éditions Calvi On The Rocks de votre choix.</v>
      </c>
      <c r="D77">
        <f>Tokens!F79</f>
        <v>1000</v>
      </c>
      <c r="E77" t="str">
        <f>Tokens!G79</f>
        <v>https://bafybeicordeza5gk2bza3mvxlpkuixf2rl7wnnuldoo222om2i4bxv2oqa.ipfs.nftstorage.link?image_10.png</v>
      </c>
      <c r="F77" t="str">
        <f>Tokens!H79</f>
        <v>NfluenT for Calvi On The rocks</v>
      </c>
      <c r="G77">
        <f>Tokens!I79</f>
        <v>0</v>
      </c>
      <c r="H77" t="str">
        <f>Tokens!J79</f>
        <v>Pass festival</v>
      </c>
      <c r="I77" t="str">
        <f>Tokens!K79</f>
        <v>pour deux(2) personnes</v>
      </c>
      <c r="J77" t="str">
        <f>Tokens!L79</f>
        <v>Edition1</v>
      </c>
      <c r="K77">
        <f>Tokens!M79</f>
        <v>2</v>
      </c>
      <c r="L77" t="str">
        <f>Tokens!N79</f>
        <v>Edition2</v>
      </c>
      <c r="M77">
        <f>Tokens!O79</f>
        <v>2</v>
      </c>
      <c r="N77" t="str">
        <f>Tokens!P79</f>
        <v>Edition3</v>
      </c>
      <c r="O77">
        <f>Tokens!Q79</f>
        <v>2</v>
      </c>
      <c r="P77">
        <f>Tokens!R79</f>
        <v>0</v>
      </c>
      <c r="Q77">
        <f>Tokens!S79</f>
        <v>0</v>
      </c>
      <c r="R77">
        <f>Tokens!T79</f>
        <v>0</v>
      </c>
      <c r="S77">
        <f>Tokens!U79</f>
        <v>0</v>
      </c>
      <c r="T77" t="str">
        <f>Tokens!V79</f>
        <v>Dernière utilisation</v>
      </c>
      <c r="U77">
        <f>Tokens!W79</f>
        <v>0</v>
      </c>
      <c r="V77">
        <f>Tokens!X79</f>
        <v>0</v>
      </c>
      <c r="W77">
        <f>Tokens!Y79</f>
        <v>0</v>
      </c>
      <c r="X77" t="str">
        <f>Tokens!Z79</f>
        <v>avantage1</v>
      </c>
      <c r="Y77" t="str">
        <f>Tokens!AA79</f>
        <v>accès pour deux (2) personnes à un (1) événement partenaire officiel de Calvi on the Rocks</v>
      </c>
      <c r="Z77">
        <f>Tokens!AB79</f>
        <v>0</v>
      </c>
      <c r="AA77">
        <f>Tokens!AC79</f>
        <v>0</v>
      </c>
      <c r="AB77">
        <f>Tokens!AD79</f>
        <v>0</v>
      </c>
      <c r="AC77">
        <f>Tokens!AE79</f>
        <v>0</v>
      </c>
      <c r="AD77">
        <f>Tokens!AF79</f>
        <v>0</v>
      </c>
      <c r="AE77">
        <f>Tokens!AG79</f>
        <v>0</v>
      </c>
      <c r="AF77" t="str">
        <f>Tokens!AH79</f>
        <v>avantage2</v>
      </c>
      <c r="AG77" t="str">
        <f>Tokens!AI79</f>
        <v>accès membre pour les after party officielles pour deux (2) personnes</v>
      </c>
      <c r="AH77" t="str">
        <f>Tokens!AJ79</f>
        <v>avantage3</v>
      </c>
      <c r="AI77" t="str">
        <f>Tokens!AK79</f>
        <v>accès prioritaire et bar dédié (consommation à la charge du festivalier) - tables réservées à l'avance pour les « NFT member » pour deux (2) personnes</v>
      </c>
      <c r="AJ77" t="str">
        <f>Tokens!AL79</f>
        <v>avantage4</v>
      </c>
      <c r="AK77" t="str">
        <f>Tokens!AM79</f>
        <v>1 affiche dédicacée et numérotée</v>
      </c>
      <c r="AL77">
        <f>Tokens!AN79</f>
        <v>0</v>
      </c>
      <c r="AM77">
        <f>Tokens!AO79</f>
        <v>0</v>
      </c>
      <c r="AN77">
        <f>Tokens!AP79</f>
        <v>0</v>
      </c>
      <c r="AO77">
        <f>Tokens!AQ79</f>
        <v>0</v>
      </c>
      <c r="AP77">
        <f>Tokens!AR79</f>
        <v>0</v>
      </c>
      <c r="AQ77">
        <f>Tokens!AS79</f>
        <v>0</v>
      </c>
      <c r="AR77">
        <f>Tokens!AT79</f>
        <v>0</v>
      </c>
      <c r="AS77">
        <f>Tokens!AU79</f>
        <v>0</v>
      </c>
      <c r="AT77" t="str">
        <f>Tokens!AV79</f>
        <v>Validation</v>
      </c>
      <c r="AU77" t="str">
        <f>Tokens!AW79</f>
        <v>https://tokensol.nfluent.io?s=COR22C16&amp;platform=ftx</v>
      </c>
      <c r="AV77" t="str">
        <f>Tokens!AX79</f>
        <v>paul</v>
      </c>
      <c r="AW77">
        <f>Tokens!AY79</f>
        <v>10</v>
      </c>
      <c r="AX77" t="str">
        <f>Tokens!AZ79</f>
        <v>sophie</v>
      </c>
      <c r="AY77">
        <f>Tokens!BA79</f>
        <v>90</v>
      </c>
      <c r="AZ77">
        <f>Tokens!BB79</f>
        <v>0</v>
      </c>
      <c r="BA77">
        <f>Tokens!BC79</f>
        <v>0</v>
      </c>
      <c r="BB77">
        <f>Tokens!BD79</f>
        <v>0</v>
      </c>
      <c r="BC77">
        <f>Tokens!BE79</f>
        <v>0</v>
      </c>
      <c r="BD77">
        <f>Tokens!BF79</f>
        <v>0</v>
      </c>
      <c r="BE77">
        <f>Tokens!BG79</f>
        <v>0</v>
      </c>
      <c r="BF77">
        <f>Tokens!BH79</f>
        <v>0</v>
      </c>
      <c r="BG77">
        <f>Tokens!BI79</f>
        <v>0</v>
      </c>
      <c r="BH77" t="str">
        <f>Tokens!BJ79</f>
        <v>La Porteuse D'Eau</v>
      </c>
      <c r="BI77" t="str">
        <f>Tokens!BK79</f>
        <v>Calvi On The Rocks</v>
      </c>
    </row>
    <row r="78" spans="1:61" x14ac:dyDescent="0.25">
      <c r="A78" t="str">
        <f>Tokens!C80</f>
        <v>La Porteuse D'Eau #17</v>
      </c>
      <c r="B78" t="str">
        <f>Tokens!D80</f>
        <v>COR22C17</v>
      </c>
      <c r="C78" t="str">
        <f>Tokens!E80</f>
        <v>La Porteuse D'Eau, 3 ans - Pass NFT 5 jours pour 2 personnes, valable pour 3 éditions Calvi On The Rocks de votre choix.</v>
      </c>
      <c r="D78">
        <f>Tokens!F80</f>
        <v>1000</v>
      </c>
      <c r="E78" t="str">
        <f>Tokens!G80</f>
        <v>https://bafybeicordeza5gk2bza3mvxlpkuixf2rl7wnnuldoo222om2i4bxv2oqa.ipfs.nftstorage.link?image_10.png</v>
      </c>
      <c r="F78" t="str">
        <f>Tokens!H80</f>
        <v>NfluenT for Calvi On The rocks</v>
      </c>
      <c r="G78">
        <f>Tokens!I80</f>
        <v>0</v>
      </c>
      <c r="H78" t="str">
        <f>Tokens!J80</f>
        <v>Pass festival</v>
      </c>
      <c r="I78" t="str">
        <f>Tokens!K80</f>
        <v>pour deux(2) personnes</v>
      </c>
      <c r="J78" t="str">
        <f>Tokens!L80</f>
        <v>Edition1</v>
      </c>
      <c r="K78">
        <f>Tokens!M80</f>
        <v>2</v>
      </c>
      <c r="L78" t="str">
        <f>Tokens!N80</f>
        <v>Edition2</v>
      </c>
      <c r="M78">
        <f>Tokens!O80</f>
        <v>2</v>
      </c>
      <c r="N78" t="str">
        <f>Tokens!P80</f>
        <v>Edition3</v>
      </c>
      <c r="O78">
        <f>Tokens!Q80</f>
        <v>2</v>
      </c>
      <c r="P78">
        <f>Tokens!R80</f>
        <v>0</v>
      </c>
      <c r="Q78">
        <f>Tokens!S80</f>
        <v>0</v>
      </c>
      <c r="R78">
        <f>Tokens!T80</f>
        <v>0</v>
      </c>
      <c r="S78">
        <f>Tokens!U80</f>
        <v>0</v>
      </c>
      <c r="T78" t="str">
        <f>Tokens!V80</f>
        <v>Dernière utilisation</v>
      </c>
      <c r="U78">
        <f>Tokens!W80</f>
        <v>0</v>
      </c>
      <c r="V78">
        <f>Tokens!X80</f>
        <v>0</v>
      </c>
      <c r="W78">
        <f>Tokens!Y80</f>
        <v>0</v>
      </c>
      <c r="X78" t="str">
        <f>Tokens!Z80</f>
        <v>avantage1</v>
      </c>
      <c r="Y78" t="str">
        <f>Tokens!AA80</f>
        <v>accès pour deux (2) personnes à un (1) événement partenaire officiel de Calvi on the Rocks</v>
      </c>
      <c r="Z78">
        <f>Tokens!AB80</f>
        <v>0</v>
      </c>
      <c r="AA78">
        <f>Tokens!AC80</f>
        <v>0</v>
      </c>
      <c r="AB78">
        <f>Tokens!AD80</f>
        <v>0</v>
      </c>
      <c r="AC78">
        <f>Tokens!AE80</f>
        <v>0</v>
      </c>
      <c r="AD78">
        <f>Tokens!AF80</f>
        <v>0</v>
      </c>
      <c r="AE78">
        <f>Tokens!AG80</f>
        <v>0</v>
      </c>
      <c r="AF78" t="str">
        <f>Tokens!AH80</f>
        <v>avantage2</v>
      </c>
      <c r="AG78" t="str">
        <f>Tokens!AI80</f>
        <v>accès membre pour les after party officielles pour deux (2) personnes</v>
      </c>
      <c r="AH78" t="str">
        <f>Tokens!AJ80</f>
        <v>avantage3</v>
      </c>
      <c r="AI78" t="str">
        <f>Tokens!AK80</f>
        <v>accès prioritaire et bar dédié (consommation à la charge du festivalier) - tables réservées à l'avance pour les « NFT member » pour deux (2) personnes</v>
      </c>
      <c r="AJ78" t="str">
        <f>Tokens!AL80</f>
        <v>avantage4</v>
      </c>
      <c r="AK78" t="str">
        <f>Tokens!AM80</f>
        <v>1 affiche dédicacée et numérotée</v>
      </c>
      <c r="AL78">
        <f>Tokens!AN80</f>
        <v>0</v>
      </c>
      <c r="AM78">
        <f>Tokens!AO80</f>
        <v>0</v>
      </c>
      <c r="AN78">
        <f>Tokens!AP80</f>
        <v>0</v>
      </c>
      <c r="AO78">
        <f>Tokens!AQ80</f>
        <v>0</v>
      </c>
      <c r="AP78">
        <f>Tokens!AR80</f>
        <v>0</v>
      </c>
      <c r="AQ78">
        <f>Tokens!AS80</f>
        <v>0</v>
      </c>
      <c r="AR78">
        <f>Tokens!AT80</f>
        <v>0</v>
      </c>
      <c r="AS78">
        <f>Tokens!AU80</f>
        <v>0</v>
      </c>
      <c r="AT78" t="str">
        <f>Tokens!AV80</f>
        <v>Validation</v>
      </c>
      <c r="AU78" t="str">
        <f>Tokens!AW80</f>
        <v>https://tokensol.nfluent.io?s=COR22C17&amp;platform=ftx</v>
      </c>
      <c r="AV78" t="str">
        <f>Tokens!AX80</f>
        <v>paul</v>
      </c>
      <c r="AW78">
        <f>Tokens!AY80</f>
        <v>10</v>
      </c>
      <c r="AX78" t="str">
        <f>Tokens!AZ80</f>
        <v>sophie</v>
      </c>
      <c r="AY78">
        <f>Tokens!BA80</f>
        <v>90</v>
      </c>
      <c r="AZ78">
        <f>Tokens!BB80</f>
        <v>0</v>
      </c>
      <c r="BA78">
        <f>Tokens!BC80</f>
        <v>0</v>
      </c>
      <c r="BB78">
        <f>Tokens!BD80</f>
        <v>0</v>
      </c>
      <c r="BC78">
        <f>Tokens!BE80</f>
        <v>0</v>
      </c>
      <c r="BD78">
        <f>Tokens!BF80</f>
        <v>0</v>
      </c>
      <c r="BE78">
        <f>Tokens!BG80</f>
        <v>0</v>
      </c>
      <c r="BF78">
        <f>Tokens!BH80</f>
        <v>0</v>
      </c>
      <c r="BG78">
        <f>Tokens!BI80</f>
        <v>0</v>
      </c>
      <c r="BH78" t="str">
        <f>Tokens!BJ80</f>
        <v>La Porteuse D'Eau</v>
      </c>
      <c r="BI78" t="str">
        <f>Tokens!BK80</f>
        <v>Calvi On The Rocks</v>
      </c>
    </row>
    <row r="79" spans="1:61" x14ac:dyDescent="0.25">
      <c r="A79" t="str">
        <f>Tokens!C81</f>
        <v>La Porteuse D'Eau #18</v>
      </c>
      <c r="B79" t="str">
        <f>Tokens!D81</f>
        <v>COR22C18</v>
      </c>
      <c r="C79" t="str">
        <f>Tokens!E81</f>
        <v>La Porteuse D'Eau, 3 ans - Pass NFT 5 jours pour 2 personnes, valable pour 3 éditions Calvi On The Rocks de votre choix.</v>
      </c>
      <c r="D79">
        <f>Tokens!F81</f>
        <v>1000</v>
      </c>
      <c r="E79" t="str">
        <f>Tokens!G81</f>
        <v>https://bafybeicordeza5gk2bza3mvxlpkuixf2rl7wnnuldoo222om2i4bxv2oqa.ipfs.nftstorage.link?image_10.png</v>
      </c>
      <c r="F79" t="str">
        <f>Tokens!H81</f>
        <v>NfluenT for Calvi On The rocks</v>
      </c>
      <c r="G79">
        <f>Tokens!I81</f>
        <v>0</v>
      </c>
      <c r="H79" t="str">
        <f>Tokens!J81</f>
        <v>Pass festival</v>
      </c>
      <c r="I79" t="str">
        <f>Tokens!K81</f>
        <v>pour deux(2) personnes</v>
      </c>
      <c r="J79" t="str">
        <f>Tokens!L81</f>
        <v>Edition1</v>
      </c>
      <c r="K79">
        <f>Tokens!M81</f>
        <v>2</v>
      </c>
      <c r="L79" t="str">
        <f>Tokens!N81</f>
        <v>Edition2</v>
      </c>
      <c r="M79">
        <f>Tokens!O81</f>
        <v>2</v>
      </c>
      <c r="N79" t="str">
        <f>Tokens!P81</f>
        <v>Edition3</v>
      </c>
      <c r="O79">
        <f>Tokens!Q81</f>
        <v>2</v>
      </c>
      <c r="P79">
        <f>Tokens!R81</f>
        <v>0</v>
      </c>
      <c r="Q79">
        <f>Tokens!S81</f>
        <v>0</v>
      </c>
      <c r="R79">
        <f>Tokens!T81</f>
        <v>0</v>
      </c>
      <c r="S79">
        <f>Tokens!U81</f>
        <v>0</v>
      </c>
      <c r="T79" t="str">
        <f>Tokens!V81</f>
        <v>Dernière utilisation</v>
      </c>
      <c r="U79">
        <f>Tokens!W81</f>
        <v>0</v>
      </c>
      <c r="V79">
        <f>Tokens!X81</f>
        <v>0</v>
      </c>
      <c r="W79">
        <f>Tokens!Y81</f>
        <v>0</v>
      </c>
      <c r="X79" t="str">
        <f>Tokens!Z81</f>
        <v>avantage1</v>
      </c>
      <c r="Y79" t="str">
        <f>Tokens!AA81</f>
        <v>accès pour deux (2) personnes à un (1) événement partenaire officiel de Calvi on the Rocks</v>
      </c>
      <c r="Z79">
        <f>Tokens!AB81</f>
        <v>0</v>
      </c>
      <c r="AA79">
        <f>Tokens!AC81</f>
        <v>0</v>
      </c>
      <c r="AB79">
        <f>Tokens!AD81</f>
        <v>0</v>
      </c>
      <c r="AC79">
        <f>Tokens!AE81</f>
        <v>0</v>
      </c>
      <c r="AD79">
        <f>Tokens!AF81</f>
        <v>0</v>
      </c>
      <c r="AE79">
        <f>Tokens!AG81</f>
        <v>0</v>
      </c>
      <c r="AF79" t="str">
        <f>Tokens!AH81</f>
        <v>avantage2</v>
      </c>
      <c r="AG79" t="str">
        <f>Tokens!AI81</f>
        <v>accès membre pour les after party officielles pour deux (2) personnes</v>
      </c>
      <c r="AH79" t="str">
        <f>Tokens!AJ81</f>
        <v>avantage3</v>
      </c>
      <c r="AI79" t="str">
        <f>Tokens!AK81</f>
        <v>accès prioritaire et bar dédié (consommation à la charge du festivalier) - tables réservées à l'avance pour les « NFT member » pour deux (2) personnes</v>
      </c>
      <c r="AJ79" t="str">
        <f>Tokens!AL81</f>
        <v>avantage4</v>
      </c>
      <c r="AK79" t="str">
        <f>Tokens!AM81</f>
        <v>1 affiche dédicacée et numérotée</v>
      </c>
      <c r="AL79">
        <f>Tokens!AN81</f>
        <v>0</v>
      </c>
      <c r="AM79">
        <f>Tokens!AO81</f>
        <v>0</v>
      </c>
      <c r="AN79">
        <f>Tokens!AP81</f>
        <v>0</v>
      </c>
      <c r="AO79">
        <f>Tokens!AQ81</f>
        <v>0</v>
      </c>
      <c r="AP79">
        <f>Tokens!AR81</f>
        <v>0</v>
      </c>
      <c r="AQ79">
        <f>Tokens!AS81</f>
        <v>0</v>
      </c>
      <c r="AR79">
        <f>Tokens!AT81</f>
        <v>0</v>
      </c>
      <c r="AS79">
        <f>Tokens!AU81</f>
        <v>0</v>
      </c>
      <c r="AT79" t="str">
        <f>Tokens!AV81</f>
        <v>Validation</v>
      </c>
      <c r="AU79" t="str">
        <f>Tokens!AW81</f>
        <v>https://tokensol.nfluent.io?s=COR22C18&amp;platform=ftx</v>
      </c>
      <c r="AV79" t="str">
        <f>Tokens!AX81</f>
        <v>paul</v>
      </c>
      <c r="AW79">
        <f>Tokens!AY81</f>
        <v>10</v>
      </c>
      <c r="AX79" t="str">
        <f>Tokens!AZ81</f>
        <v>sophie</v>
      </c>
      <c r="AY79">
        <f>Tokens!BA81</f>
        <v>90</v>
      </c>
      <c r="AZ79">
        <f>Tokens!BB81</f>
        <v>0</v>
      </c>
      <c r="BA79">
        <f>Tokens!BC81</f>
        <v>0</v>
      </c>
      <c r="BB79">
        <f>Tokens!BD81</f>
        <v>0</v>
      </c>
      <c r="BC79">
        <f>Tokens!BE81</f>
        <v>0</v>
      </c>
      <c r="BD79">
        <f>Tokens!BF81</f>
        <v>0</v>
      </c>
      <c r="BE79">
        <f>Tokens!BG81</f>
        <v>0</v>
      </c>
      <c r="BF79">
        <f>Tokens!BH81</f>
        <v>0</v>
      </c>
      <c r="BG79">
        <f>Tokens!BI81</f>
        <v>0</v>
      </c>
      <c r="BH79" t="str">
        <f>Tokens!BJ81</f>
        <v>La Porteuse D'Eau</v>
      </c>
      <c r="BI79" t="str">
        <f>Tokens!BK81</f>
        <v>Calvi On The Rocks</v>
      </c>
    </row>
    <row r="80" spans="1:61" x14ac:dyDescent="0.25">
      <c r="A80" t="str">
        <f>Tokens!C82</f>
        <v>La Porteuse D'Eau #19</v>
      </c>
      <c r="B80" t="str">
        <f>Tokens!D82</f>
        <v>COR22C19</v>
      </c>
      <c r="C80" t="str">
        <f>Tokens!E82</f>
        <v>La Porteuse D'Eau, 3 ans - Pass NFT 5 jours pour 2 personnes, valable pour 3 éditions Calvi On The Rocks de votre choix.</v>
      </c>
      <c r="D80">
        <f>Tokens!F82</f>
        <v>1000</v>
      </c>
      <c r="E80" t="str">
        <f>Tokens!G82</f>
        <v>https://bafybeicordeza5gk2bza3mvxlpkuixf2rl7wnnuldoo222om2i4bxv2oqa.ipfs.nftstorage.link?image_10.png</v>
      </c>
      <c r="F80" t="str">
        <f>Tokens!H82</f>
        <v>NfluenT for Calvi On The rocks</v>
      </c>
      <c r="G80">
        <f>Tokens!I82</f>
        <v>0</v>
      </c>
      <c r="H80" t="str">
        <f>Tokens!J82</f>
        <v>Pass festival</v>
      </c>
      <c r="I80" t="str">
        <f>Tokens!K82</f>
        <v>pour deux(2) personnes</v>
      </c>
      <c r="J80" t="str">
        <f>Tokens!L82</f>
        <v>Edition1</v>
      </c>
      <c r="K80">
        <f>Tokens!M82</f>
        <v>2</v>
      </c>
      <c r="L80" t="str">
        <f>Tokens!N82</f>
        <v>Edition2</v>
      </c>
      <c r="M80">
        <f>Tokens!O82</f>
        <v>2</v>
      </c>
      <c r="N80" t="str">
        <f>Tokens!P82</f>
        <v>Edition3</v>
      </c>
      <c r="O80">
        <f>Tokens!Q82</f>
        <v>2</v>
      </c>
      <c r="P80">
        <f>Tokens!R82</f>
        <v>0</v>
      </c>
      <c r="Q80">
        <f>Tokens!S82</f>
        <v>0</v>
      </c>
      <c r="R80">
        <f>Tokens!T82</f>
        <v>0</v>
      </c>
      <c r="S80">
        <f>Tokens!U82</f>
        <v>0</v>
      </c>
      <c r="T80" t="str">
        <f>Tokens!V82</f>
        <v>Dernière utilisation</v>
      </c>
      <c r="U80">
        <f>Tokens!W82</f>
        <v>0</v>
      </c>
      <c r="V80">
        <f>Tokens!X82</f>
        <v>0</v>
      </c>
      <c r="W80">
        <f>Tokens!Y82</f>
        <v>0</v>
      </c>
      <c r="X80" t="str">
        <f>Tokens!Z82</f>
        <v>avantage1</v>
      </c>
      <c r="Y80" t="str">
        <f>Tokens!AA82</f>
        <v>accès pour deux (2) personnes à un (1) événement partenaire officiel de Calvi on the Rocks</v>
      </c>
      <c r="Z80">
        <f>Tokens!AB82</f>
        <v>0</v>
      </c>
      <c r="AA80">
        <f>Tokens!AC82</f>
        <v>0</v>
      </c>
      <c r="AB80">
        <f>Tokens!AD82</f>
        <v>0</v>
      </c>
      <c r="AC80">
        <f>Tokens!AE82</f>
        <v>0</v>
      </c>
      <c r="AD80">
        <f>Tokens!AF82</f>
        <v>0</v>
      </c>
      <c r="AE80">
        <f>Tokens!AG82</f>
        <v>0</v>
      </c>
      <c r="AF80" t="str">
        <f>Tokens!AH82</f>
        <v>avantage2</v>
      </c>
      <c r="AG80" t="str">
        <f>Tokens!AI82</f>
        <v>accès membre pour les after party officielles pour deux (2) personnes</v>
      </c>
      <c r="AH80" t="str">
        <f>Tokens!AJ82</f>
        <v>avantage3</v>
      </c>
      <c r="AI80" t="str">
        <f>Tokens!AK82</f>
        <v>accès prioritaire et bar dédié (consommation à la charge du festivalier) - tables réservées à l'avance pour les « NFT member » pour deux (2) personnes</v>
      </c>
      <c r="AJ80" t="str">
        <f>Tokens!AL82</f>
        <v>avantage4</v>
      </c>
      <c r="AK80" t="str">
        <f>Tokens!AM82</f>
        <v>1 affiche dédicacée et numérotée</v>
      </c>
      <c r="AL80">
        <f>Tokens!AN82</f>
        <v>0</v>
      </c>
      <c r="AM80">
        <f>Tokens!AO82</f>
        <v>0</v>
      </c>
      <c r="AN80">
        <f>Tokens!AP82</f>
        <v>0</v>
      </c>
      <c r="AO80">
        <f>Tokens!AQ82</f>
        <v>0</v>
      </c>
      <c r="AP80">
        <f>Tokens!AR82</f>
        <v>0</v>
      </c>
      <c r="AQ80">
        <f>Tokens!AS82</f>
        <v>0</v>
      </c>
      <c r="AR80">
        <f>Tokens!AT82</f>
        <v>0</v>
      </c>
      <c r="AS80">
        <f>Tokens!AU82</f>
        <v>0</v>
      </c>
      <c r="AT80" t="str">
        <f>Tokens!AV82</f>
        <v>Validation</v>
      </c>
      <c r="AU80" t="str">
        <f>Tokens!AW82</f>
        <v>https://tokensol.nfluent.io?s=COR22C19&amp;platform=ftx</v>
      </c>
      <c r="AV80" t="str">
        <f>Tokens!AX82</f>
        <v>paul</v>
      </c>
      <c r="AW80">
        <f>Tokens!AY82</f>
        <v>10</v>
      </c>
      <c r="AX80" t="str">
        <f>Tokens!AZ82</f>
        <v>sophie</v>
      </c>
      <c r="AY80">
        <f>Tokens!BA82</f>
        <v>90</v>
      </c>
      <c r="AZ80">
        <f>Tokens!BB82</f>
        <v>0</v>
      </c>
      <c r="BA80">
        <f>Tokens!BC82</f>
        <v>0</v>
      </c>
      <c r="BB80">
        <f>Tokens!BD82</f>
        <v>0</v>
      </c>
      <c r="BC80">
        <f>Tokens!BE82</f>
        <v>0</v>
      </c>
      <c r="BD80">
        <f>Tokens!BF82</f>
        <v>0</v>
      </c>
      <c r="BE80">
        <f>Tokens!BG82</f>
        <v>0</v>
      </c>
      <c r="BF80">
        <f>Tokens!BH82</f>
        <v>0</v>
      </c>
      <c r="BG80">
        <f>Tokens!BI82</f>
        <v>0</v>
      </c>
      <c r="BH80" t="str">
        <f>Tokens!BJ82</f>
        <v>La Porteuse D'Eau</v>
      </c>
      <c r="BI80" t="str">
        <f>Tokens!BK82</f>
        <v>Calvi On The Rocks</v>
      </c>
    </row>
    <row r="81" spans="1:61" x14ac:dyDescent="0.25">
      <c r="A81" t="str">
        <f>Tokens!C83</f>
        <v>La Porteuse D'Eau #20</v>
      </c>
      <c r="B81" t="str">
        <f>Tokens!D83</f>
        <v>COR22C20</v>
      </c>
      <c r="C81" t="str">
        <f>Tokens!E83</f>
        <v>La Porteuse D'Eau, 3 ans - Pass NFT 5 jours pour 2 personnes, valable pour 3 éditions Calvi On The Rocks de votre choix.</v>
      </c>
      <c r="D81">
        <f>Tokens!F83</f>
        <v>1000</v>
      </c>
      <c r="E81" t="str">
        <f>Tokens!G83</f>
        <v>https://bafybeicordeza5gk2bza3mvxlpkuixf2rl7wnnuldoo222om2i4bxv2oqa.ipfs.nftstorage.link?image_10.png</v>
      </c>
      <c r="F81" t="str">
        <f>Tokens!H83</f>
        <v>NfluenT for Calvi On The rocks</v>
      </c>
      <c r="G81">
        <f>Tokens!I83</f>
        <v>0</v>
      </c>
      <c r="H81" t="str">
        <f>Tokens!J83</f>
        <v>Pass festival</v>
      </c>
      <c r="I81" t="str">
        <f>Tokens!K83</f>
        <v>pour deux(2) personnes</v>
      </c>
      <c r="J81" t="str">
        <f>Tokens!L83</f>
        <v>Edition1</v>
      </c>
      <c r="K81">
        <f>Tokens!M83</f>
        <v>2</v>
      </c>
      <c r="L81" t="str">
        <f>Tokens!N83</f>
        <v>Edition2</v>
      </c>
      <c r="M81">
        <f>Tokens!O83</f>
        <v>2</v>
      </c>
      <c r="N81" t="str">
        <f>Tokens!P83</f>
        <v>Edition3</v>
      </c>
      <c r="O81">
        <f>Tokens!Q83</f>
        <v>2</v>
      </c>
      <c r="P81">
        <f>Tokens!R83</f>
        <v>0</v>
      </c>
      <c r="Q81">
        <f>Tokens!S83</f>
        <v>0</v>
      </c>
      <c r="R81">
        <f>Tokens!T83</f>
        <v>0</v>
      </c>
      <c r="S81">
        <f>Tokens!U83</f>
        <v>0</v>
      </c>
      <c r="T81" t="str">
        <f>Tokens!V83</f>
        <v>Dernière utilisation</v>
      </c>
      <c r="U81">
        <f>Tokens!W83</f>
        <v>0</v>
      </c>
      <c r="V81">
        <f>Tokens!X83</f>
        <v>0</v>
      </c>
      <c r="W81">
        <f>Tokens!Y83</f>
        <v>0</v>
      </c>
      <c r="X81" t="str">
        <f>Tokens!Z83</f>
        <v>avantage1</v>
      </c>
      <c r="Y81" t="str">
        <f>Tokens!AA83</f>
        <v>accès pour deux (2) personnes à un (1) événement partenaire officiel de Calvi on the Rocks</v>
      </c>
      <c r="Z81">
        <f>Tokens!AB83</f>
        <v>0</v>
      </c>
      <c r="AA81">
        <f>Tokens!AC83</f>
        <v>0</v>
      </c>
      <c r="AB81">
        <f>Tokens!AD83</f>
        <v>0</v>
      </c>
      <c r="AC81">
        <f>Tokens!AE83</f>
        <v>0</v>
      </c>
      <c r="AD81">
        <f>Tokens!AF83</f>
        <v>0</v>
      </c>
      <c r="AE81">
        <f>Tokens!AG83</f>
        <v>0</v>
      </c>
      <c r="AF81" t="str">
        <f>Tokens!AH83</f>
        <v>avantage2</v>
      </c>
      <c r="AG81" t="str">
        <f>Tokens!AI83</f>
        <v>accès membre pour les after party officielles pour deux (2) personnes</v>
      </c>
      <c r="AH81" t="str">
        <f>Tokens!AJ83</f>
        <v>avantage3</v>
      </c>
      <c r="AI81" t="str">
        <f>Tokens!AK83</f>
        <v>accès prioritaire et bar dédié (consommation à la charge du festivalier) - tables réservées à l'avance pour les « NFT member » pour deux (2) personnes</v>
      </c>
      <c r="AJ81" t="str">
        <f>Tokens!AL83</f>
        <v>avantage4</v>
      </c>
      <c r="AK81" t="str">
        <f>Tokens!AM83</f>
        <v>1 affiche dédicacée et numérotée</v>
      </c>
      <c r="AL81">
        <f>Tokens!AN83</f>
        <v>0</v>
      </c>
      <c r="AM81">
        <f>Tokens!AO83</f>
        <v>0</v>
      </c>
      <c r="AN81">
        <f>Tokens!AP83</f>
        <v>0</v>
      </c>
      <c r="AO81">
        <f>Tokens!AQ83</f>
        <v>0</v>
      </c>
      <c r="AP81">
        <f>Tokens!AR83</f>
        <v>0</v>
      </c>
      <c r="AQ81">
        <f>Tokens!AS83</f>
        <v>0</v>
      </c>
      <c r="AR81">
        <f>Tokens!AT83</f>
        <v>0</v>
      </c>
      <c r="AS81">
        <f>Tokens!AU83</f>
        <v>0</v>
      </c>
      <c r="AT81" t="str">
        <f>Tokens!AV83</f>
        <v>Validation</v>
      </c>
      <c r="AU81" t="str">
        <f>Tokens!AW83</f>
        <v>https://tokensol.nfluent.io?s=COR22C20&amp;platform=ftx</v>
      </c>
      <c r="AV81" t="str">
        <f>Tokens!AX83</f>
        <v>paul</v>
      </c>
      <c r="AW81">
        <f>Tokens!AY83</f>
        <v>10</v>
      </c>
      <c r="AX81" t="str">
        <f>Tokens!AZ83</f>
        <v>sophie</v>
      </c>
      <c r="AY81">
        <f>Tokens!BA83</f>
        <v>90</v>
      </c>
      <c r="AZ81">
        <f>Tokens!BB83</f>
        <v>0</v>
      </c>
      <c r="BA81">
        <f>Tokens!BC83</f>
        <v>0</v>
      </c>
      <c r="BB81">
        <f>Tokens!BD83</f>
        <v>0</v>
      </c>
      <c r="BC81">
        <f>Tokens!BE83</f>
        <v>0</v>
      </c>
      <c r="BD81">
        <f>Tokens!BF83</f>
        <v>0</v>
      </c>
      <c r="BE81">
        <f>Tokens!BG83</f>
        <v>0</v>
      </c>
      <c r="BF81">
        <f>Tokens!BH83</f>
        <v>0</v>
      </c>
      <c r="BG81">
        <f>Tokens!BI83</f>
        <v>0</v>
      </c>
      <c r="BH81" t="str">
        <f>Tokens!BJ83</f>
        <v>La Porteuse D'Eau</v>
      </c>
      <c r="BI81" t="str">
        <f>Tokens!BK83</f>
        <v>Calvi On The Rocks</v>
      </c>
    </row>
    <row r="82" spans="1:61" x14ac:dyDescent="0.25">
      <c r="A82" t="str">
        <f>Tokens!C84</f>
        <v>La Porteuse D'Eau #21</v>
      </c>
      <c r="B82" t="str">
        <f>Tokens!D84</f>
        <v>COR22C21</v>
      </c>
      <c r="C82" t="str">
        <f>Tokens!E84</f>
        <v>La Porteuse D'Eau, 3 ans - Pass NFT 5 jours pour 2 personnes, valable pour 3 éditions Calvi On The Rocks de votre choix.</v>
      </c>
      <c r="D82">
        <f>Tokens!F84</f>
        <v>1000</v>
      </c>
      <c r="E82" t="str">
        <f>Tokens!G84</f>
        <v>https://bafybeicordeza5gk2bza3mvxlpkuixf2rl7wnnuldoo222om2i4bxv2oqa.ipfs.nftstorage.link?image_10.png</v>
      </c>
      <c r="F82" t="str">
        <f>Tokens!H84</f>
        <v>NfluenT for Calvi On The rocks</v>
      </c>
      <c r="G82">
        <f>Tokens!I84</f>
        <v>0</v>
      </c>
      <c r="H82" t="str">
        <f>Tokens!J84</f>
        <v>Pass festival</v>
      </c>
      <c r="I82" t="str">
        <f>Tokens!K84</f>
        <v>pour deux(2) personnes</v>
      </c>
      <c r="J82" t="str">
        <f>Tokens!L84</f>
        <v>Edition1</v>
      </c>
      <c r="K82">
        <f>Tokens!M84</f>
        <v>2</v>
      </c>
      <c r="L82" t="str">
        <f>Tokens!N84</f>
        <v>Edition2</v>
      </c>
      <c r="M82">
        <f>Tokens!O84</f>
        <v>2</v>
      </c>
      <c r="N82" t="str">
        <f>Tokens!P84</f>
        <v>Edition3</v>
      </c>
      <c r="O82">
        <f>Tokens!Q84</f>
        <v>2</v>
      </c>
      <c r="P82">
        <f>Tokens!R84</f>
        <v>0</v>
      </c>
      <c r="Q82">
        <f>Tokens!S84</f>
        <v>0</v>
      </c>
      <c r="R82">
        <f>Tokens!T84</f>
        <v>0</v>
      </c>
      <c r="S82">
        <f>Tokens!U84</f>
        <v>0</v>
      </c>
      <c r="T82" t="str">
        <f>Tokens!V84</f>
        <v>Dernière utilisation</v>
      </c>
      <c r="U82">
        <f>Tokens!W84</f>
        <v>0</v>
      </c>
      <c r="V82">
        <f>Tokens!X84</f>
        <v>0</v>
      </c>
      <c r="W82">
        <f>Tokens!Y84</f>
        <v>0</v>
      </c>
      <c r="X82" t="str">
        <f>Tokens!Z84</f>
        <v>avantage1</v>
      </c>
      <c r="Y82" t="str">
        <f>Tokens!AA84</f>
        <v>accès pour deux (2) personnes à un (1) événement partenaire officiel de Calvi on the Rocks</v>
      </c>
      <c r="Z82">
        <f>Tokens!AB84</f>
        <v>0</v>
      </c>
      <c r="AA82">
        <f>Tokens!AC84</f>
        <v>0</v>
      </c>
      <c r="AB82">
        <f>Tokens!AD84</f>
        <v>0</v>
      </c>
      <c r="AC82">
        <f>Tokens!AE84</f>
        <v>0</v>
      </c>
      <c r="AD82">
        <f>Tokens!AF84</f>
        <v>0</v>
      </c>
      <c r="AE82">
        <f>Tokens!AG84</f>
        <v>0</v>
      </c>
      <c r="AF82" t="str">
        <f>Tokens!AH84</f>
        <v>avantage2</v>
      </c>
      <c r="AG82" t="str">
        <f>Tokens!AI84</f>
        <v>accès membre pour les after party officielles pour deux (2) personnes</v>
      </c>
      <c r="AH82" t="str">
        <f>Tokens!AJ84</f>
        <v>avantage3</v>
      </c>
      <c r="AI82" t="str">
        <f>Tokens!AK84</f>
        <v>accès prioritaire et bar dédié (consommation à la charge du festivalier) - tables réservées à l'avance pour les « NFT member » pour deux (2) personnes</v>
      </c>
      <c r="AJ82" t="str">
        <f>Tokens!AL84</f>
        <v>avantage4</v>
      </c>
      <c r="AK82" t="str">
        <f>Tokens!AM84</f>
        <v>1 affiche dédicacée et numérotée</v>
      </c>
      <c r="AL82">
        <f>Tokens!AN84</f>
        <v>0</v>
      </c>
      <c r="AM82">
        <f>Tokens!AO84</f>
        <v>0</v>
      </c>
      <c r="AN82">
        <f>Tokens!AP84</f>
        <v>0</v>
      </c>
      <c r="AO82">
        <f>Tokens!AQ84</f>
        <v>0</v>
      </c>
      <c r="AP82">
        <f>Tokens!AR84</f>
        <v>0</v>
      </c>
      <c r="AQ82">
        <f>Tokens!AS84</f>
        <v>0</v>
      </c>
      <c r="AR82">
        <f>Tokens!AT84</f>
        <v>0</v>
      </c>
      <c r="AS82">
        <f>Tokens!AU84</f>
        <v>0</v>
      </c>
      <c r="AT82" t="str">
        <f>Tokens!AV84</f>
        <v>Validation</v>
      </c>
      <c r="AU82" t="str">
        <f>Tokens!AW84</f>
        <v>https://tokensol.nfluent.io?s=COR22C21&amp;platform=ftx</v>
      </c>
      <c r="AV82" t="str">
        <f>Tokens!AX84</f>
        <v>paul</v>
      </c>
      <c r="AW82">
        <f>Tokens!AY84</f>
        <v>10</v>
      </c>
      <c r="AX82" t="str">
        <f>Tokens!AZ84</f>
        <v>sophie</v>
      </c>
      <c r="AY82">
        <f>Tokens!BA84</f>
        <v>90</v>
      </c>
      <c r="AZ82">
        <f>Tokens!BB84</f>
        <v>0</v>
      </c>
      <c r="BA82">
        <f>Tokens!BC84</f>
        <v>0</v>
      </c>
      <c r="BB82">
        <f>Tokens!BD84</f>
        <v>0</v>
      </c>
      <c r="BC82">
        <f>Tokens!BE84</f>
        <v>0</v>
      </c>
      <c r="BD82">
        <f>Tokens!BF84</f>
        <v>0</v>
      </c>
      <c r="BE82">
        <f>Tokens!BG84</f>
        <v>0</v>
      </c>
      <c r="BF82">
        <f>Tokens!BH84</f>
        <v>0</v>
      </c>
      <c r="BG82">
        <f>Tokens!BI84</f>
        <v>0</v>
      </c>
      <c r="BH82" t="str">
        <f>Tokens!BJ84</f>
        <v>La Porteuse D'Eau</v>
      </c>
      <c r="BI82" t="str">
        <f>Tokens!BK84</f>
        <v>Calvi On The Rocks</v>
      </c>
    </row>
    <row r="83" spans="1:61" x14ac:dyDescent="0.25">
      <c r="A83" t="str">
        <f>Tokens!C85</f>
        <v>La Porteuse D'Eau #22</v>
      </c>
      <c r="B83" t="str">
        <f>Tokens!D85</f>
        <v>COR22C22</v>
      </c>
      <c r="C83" t="str">
        <f>Tokens!E85</f>
        <v>La Porteuse D'Eau, 3 ans - Pass NFT 5 jours pour 2 personnes, valable pour 3 éditions Calvi On The Rocks de votre choix.</v>
      </c>
      <c r="D83">
        <f>Tokens!F85</f>
        <v>1000</v>
      </c>
      <c r="E83" t="str">
        <f>Tokens!G85</f>
        <v>https://bafybeicordeza5gk2bza3mvxlpkuixf2rl7wnnuldoo222om2i4bxv2oqa.ipfs.nftstorage.link?image_10.png</v>
      </c>
      <c r="F83" t="str">
        <f>Tokens!H85</f>
        <v>NfluenT for Calvi On The rocks</v>
      </c>
      <c r="G83">
        <f>Tokens!I85</f>
        <v>0</v>
      </c>
      <c r="H83" t="str">
        <f>Tokens!J85</f>
        <v>Pass festival</v>
      </c>
      <c r="I83" t="str">
        <f>Tokens!K85</f>
        <v>pour deux(2) personnes</v>
      </c>
      <c r="J83" t="str">
        <f>Tokens!L85</f>
        <v>Edition1</v>
      </c>
      <c r="K83">
        <f>Tokens!M85</f>
        <v>2</v>
      </c>
      <c r="L83" t="str">
        <f>Tokens!N85</f>
        <v>Edition2</v>
      </c>
      <c r="M83">
        <f>Tokens!O85</f>
        <v>2</v>
      </c>
      <c r="N83" t="str">
        <f>Tokens!P85</f>
        <v>Edition3</v>
      </c>
      <c r="O83">
        <f>Tokens!Q85</f>
        <v>2</v>
      </c>
      <c r="P83">
        <f>Tokens!R85</f>
        <v>0</v>
      </c>
      <c r="Q83">
        <f>Tokens!S85</f>
        <v>0</v>
      </c>
      <c r="R83">
        <f>Tokens!T85</f>
        <v>0</v>
      </c>
      <c r="S83">
        <f>Tokens!U85</f>
        <v>0</v>
      </c>
      <c r="T83" t="str">
        <f>Tokens!V85</f>
        <v>Dernière utilisation</v>
      </c>
      <c r="U83">
        <f>Tokens!W85</f>
        <v>0</v>
      </c>
      <c r="V83">
        <f>Tokens!X85</f>
        <v>0</v>
      </c>
      <c r="W83">
        <f>Tokens!Y85</f>
        <v>0</v>
      </c>
      <c r="X83" t="str">
        <f>Tokens!Z85</f>
        <v>avantage1</v>
      </c>
      <c r="Y83" t="str">
        <f>Tokens!AA85</f>
        <v>accès pour deux (2) personnes à un (1) événement partenaire officiel de Calvi on the Rocks</v>
      </c>
      <c r="Z83">
        <f>Tokens!AB85</f>
        <v>0</v>
      </c>
      <c r="AA83">
        <f>Tokens!AC85</f>
        <v>0</v>
      </c>
      <c r="AB83">
        <f>Tokens!AD85</f>
        <v>0</v>
      </c>
      <c r="AC83">
        <f>Tokens!AE85</f>
        <v>0</v>
      </c>
      <c r="AD83">
        <f>Tokens!AF85</f>
        <v>0</v>
      </c>
      <c r="AE83">
        <f>Tokens!AG85</f>
        <v>0</v>
      </c>
      <c r="AF83" t="str">
        <f>Tokens!AH85</f>
        <v>avantage2</v>
      </c>
      <c r="AG83" t="str">
        <f>Tokens!AI85</f>
        <v>accès membre pour les after party officielles pour deux (2) personnes</v>
      </c>
      <c r="AH83" t="str">
        <f>Tokens!AJ85</f>
        <v>avantage3</v>
      </c>
      <c r="AI83" t="str">
        <f>Tokens!AK85</f>
        <v>accès prioritaire et bar dédié (consommation à la charge du festivalier) - tables réservées à l'avance pour les « NFT member » pour deux (2) personnes</v>
      </c>
      <c r="AJ83" t="str">
        <f>Tokens!AL85</f>
        <v>avantage4</v>
      </c>
      <c r="AK83" t="str">
        <f>Tokens!AM85</f>
        <v>1 affiche dédicacée et numérotée</v>
      </c>
      <c r="AL83">
        <f>Tokens!AN85</f>
        <v>0</v>
      </c>
      <c r="AM83">
        <f>Tokens!AO85</f>
        <v>0</v>
      </c>
      <c r="AN83">
        <f>Tokens!AP85</f>
        <v>0</v>
      </c>
      <c r="AO83">
        <f>Tokens!AQ85</f>
        <v>0</v>
      </c>
      <c r="AP83">
        <f>Tokens!AR85</f>
        <v>0</v>
      </c>
      <c r="AQ83">
        <f>Tokens!AS85</f>
        <v>0</v>
      </c>
      <c r="AR83">
        <f>Tokens!AT85</f>
        <v>0</v>
      </c>
      <c r="AS83">
        <f>Tokens!AU85</f>
        <v>0</v>
      </c>
      <c r="AT83" t="str">
        <f>Tokens!AV85</f>
        <v>Validation</v>
      </c>
      <c r="AU83" t="str">
        <f>Tokens!AW85</f>
        <v>https://tokensol.nfluent.io?s=COR22C22&amp;platform=ftx</v>
      </c>
      <c r="AV83" t="str">
        <f>Tokens!AX85</f>
        <v>paul</v>
      </c>
      <c r="AW83">
        <f>Tokens!AY85</f>
        <v>10</v>
      </c>
      <c r="AX83" t="str">
        <f>Tokens!AZ85</f>
        <v>sophie</v>
      </c>
      <c r="AY83">
        <f>Tokens!BA85</f>
        <v>90</v>
      </c>
      <c r="AZ83">
        <f>Tokens!BB85</f>
        <v>0</v>
      </c>
      <c r="BA83">
        <f>Tokens!BC85</f>
        <v>0</v>
      </c>
      <c r="BB83">
        <f>Tokens!BD85</f>
        <v>0</v>
      </c>
      <c r="BC83">
        <f>Tokens!BE85</f>
        <v>0</v>
      </c>
      <c r="BD83">
        <f>Tokens!BF85</f>
        <v>0</v>
      </c>
      <c r="BE83">
        <f>Tokens!BG85</f>
        <v>0</v>
      </c>
      <c r="BF83">
        <f>Tokens!BH85</f>
        <v>0</v>
      </c>
      <c r="BG83">
        <f>Tokens!BI85</f>
        <v>0</v>
      </c>
      <c r="BH83" t="str">
        <f>Tokens!BJ85</f>
        <v>La Porteuse D'Eau</v>
      </c>
      <c r="BI83" t="str">
        <f>Tokens!BK85</f>
        <v>Calvi On The Rocks</v>
      </c>
    </row>
    <row r="84" spans="1:61" x14ac:dyDescent="0.25">
      <c r="A84" t="str">
        <f>Tokens!C86</f>
        <v>La Porteuse D'Eau #23</v>
      </c>
      <c r="B84" t="str">
        <f>Tokens!D86</f>
        <v>COR22C23</v>
      </c>
      <c r="C84" t="str">
        <f>Tokens!E86</f>
        <v>La Porteuse D'Eau, 3 ans - Pass NFT 5 jours pour 2 personnes, valable pour 3 éditions Calvi On The Rocks de votre choix.</v>
      </c>
      <c r="D84">
        <f>Tokens!F86</f>
        <v>1000</v>
      </c>
      <c r="E84" t="str">
        <f>Tokens!G86</f>
        <v>https://bafybeicordeza5gk2bza3mvxlpkuixf2rl7wnnuldoo222om2i4bxv2oqa.ipfs.nftstorage.link?image_10.png</v>
      </c>
      <c r="F84" t="str">
        <f>Tokens!H86</f>
        <v>NfluenT for Calvi On The rocks</v>
      </c>
      <c r="G84">
        <f>Tokens!I86</f>
        <v>0</v>
      </c>
      <c r="H84" t="str">
        <f>Tokens!J86</f>
        <v>Pass festival</v>
      </c>
      <c r="I84" t="str">
        <f>Tokens!K86</f>
        <v>pour deux(2) personnes</v>
      </c>
      <c r="J84" t="str">
        <f>Tokens!L86</f>
        <v>Edition1</v>
      </c>
      <c r="K84">
        <f>Tokens!M86</f>
        <v>2</v>
      </c>
      <c r="L84" t="str">
        <f>Tokens!N86</f>
        <v>Edition2</v>
      </c>
      <c r="M84">
        <f>Tokens!O86</f>
        <v>2</v>
      </c>
      <c r="N84" t="str">
        <f>Tokens!P86</f>
        <v>Edition3</v>
      </c>
      <c r="O84">
        <f>Tokens!Q86</f>
        <v>2</v>
      </c>
      <c r="P84">
        <f>Tokens!R86</f>
        <v>0</v>
      </c>
      <c r="Q84">
        <f>Tokens!S86</f>
        <v>0</v>
      </c>
      <c r="R84">
        <f>Tokens!T86</f>
        <v>0</v>
      </c>
      <c r="S84">
        <f>Tokens!U86</f>
        <v>0</v>
      </c>
      <c r="T84" t="str">
        <f>Tokens!V86</f>
        <v>Dernière utilisation</v>
      </c>
      <c r="U84">
        <f>Tokens!W86</f>
        <v>0</v>
      </c>
      <c r="V84">
        <f>Tokens!X86</f>
        <v>0</v>
      </c>
      <c r="W84">
        <f>Tokens!Y86</f>
        <v>0</v>
      </c>
      <c r="X84" t="str">
        <f>Tokens!Z86</f>
        <v>avantage1</v>
      </c>
      <c r="Y84" t="str">
        <f>Tokens!AA86</f>
        <v>accès pour deux (2) personnes à un (1) événement partenaire officiel de Calvi on the Rocks</v>
      </c>
      <c r="Z84">
        <f>Tokens!AB86</f>
        <v>0</v>
      </c>
      <c r="AA84">
        <f>Tokens!AC86</f>
        <v>0</v>
      </c>
      <c r="AB84">
        <f>Tokens!AD86</f>
        <v>0</v>
      </c>
      <c r="AC84">
        <f>Tokens!AE86</f>
        <v>0</v>
      </c>
      <c r="AD84">
        <f>Tokens!AF86</f>
        <v>0</v>
      </c>
      <c r="AE84">
        <f>Tokens!AG86</f>
        <v>0</v>
      </c>
      <c r="AF84" t="str">
        <f>Tokens!AH86</f>
        <v>avantage2</v>
      </c>
      <c r="AG84" t="str">
        <f>Tokens!AI86</f>
        <v>accès membre pour les after party officielles pour deux (2) personnes</v>
      </c>
      <c r="AH84" t="str">
        <f>Tokens!AJ86</f>
        <v>avantage3</v>
      </c>
      <c r="AI84" t="str">
        <f>Tokens!AK86</f>
        <v>accès prioritaire et bar dédié (consommation à la charge du festivalier) - tables réservées à l'avance pour les « NFT member » pour deux (2) personnes</v>
      </c>
      <c r="AJ84" t="str">
        <f>Tokens!AL86</f>
        <v>avantage4</v>
      </c>
      <c r="AK84" t="str">
        <f>Tokens!AM86</f>
        <v>1 affiche dédicacée et numérotée</v>
      </c>
      <c r="AL84">
        <f>Tokens!AN86</f>
        <v>0</v>
      </c>
      <c r="AM84">
        <f>Tokens!AO86</f>
        <v>0</v>
      </c>
      <c r="AN84">
        <f>Tokens!AP86</f>
        <v>0</v>
      </c>
      <c r="AO84">
        <f>Tokens!AQ86</f>
        <v>0</v>
      </c>
      <c r="AP84">
        <f>Tokens!AR86</f>
        <v>0</v>
      </c>
      <c r="AQ84">
        <f>Tokens!AS86</f>
        <v>0</v>
      </c>
      <c r="AR84">
        <f>Tokens!AT86</f>
        <v>0</v>
      </c>
      <c r="AS84">
        <f>Tokens!AU86</f>
        <v>0</v>
      </c>
      <c r="AT84" t="str">
        <f>Tokens!AV86</f>
        <v>Validation</v>
      </c>
      <c r="AU84" t="str">
        <f>Tokens!AW86</f>
        <v>https://tokensol.nfluent.io?s=COR22C23&amp;platform=ftx</v>
      </c>
      <c r="AV84" t="str">
        <f>Tokens!AX86</f>
        <v>paul</v>
      </c>
      <c r="AW84">
        <f>Tokens!AY86</f>
        <v>10</v>
      </c>
      <c r="AX84" t="str">
        <f>Tokens!AZ86</f>
        <v>sophie</v>
      </c>
      <c r="AY84">
        <f>Tokens!BA86</f>
        <v>90</v>
      </c>
      <c r="AZ84">
        <f>Tokens!BB86</f>
        <v>0</v>
      </c>
      <c r="BA84">
        <f>Tokens!BC86</f>
        <v>0</v>
      </c>
      <c r="BB84">
        <f>Tokens!BD86</f>
        <v>0</v>
      </c>
      <c r="BC84">
        <f>Tokens!BE86</f>
        <v>0</v>
      </c>
      <c r="BD84">
        <f>Tokens!BF86</f>
        <v>0</v>
      </c>
      <c r="BE84">
        <f>Tokens!BG86</f>
        <v>0</v>
      </c>
      <c r="BF84">
        <f>Tokens!BH86</f>
        <v>0</v>
      </c>
      <c r="BG84">
        <f>Tokens!BI86</f>
        <v>0</v>
      </c>
      <c r="BH84" t="str">
        <f>Tokens!BJ86</f>
        <v>La Porteuse D'Eau</v>
      </c>
      <c r="BI84" t="str">
        <f>Tokens!BK86</f>
        <v>Calvi On The Rocks</v>
      </c>
    </row>
    <row r="85" spans="1:61" x14ac:dyDescent="0.25">
      <c r="A85" t="str">
        <f>Tokens!C87</f>
        <v>La Porteuse D'Eau #24</v>
      </c>
      <c r="B85" t="str">
        <f>Tokens!D87</f>
        <v>COR22C24</v>
      </c>
      <c r="C85" t="str">
        <f>Tokens!E87</f>
        <v>La Porteuse D'Eau, 3 ans - Pass NFT 5 jours pour 2 personnes, valable pour 3 éditions Calvi On The Rocks de votre choix.</v>
      </c>
      <c r="D85">
        <f>Tokens!F87</f>
        <v>1000</v>
      </c>
      <c r="E85" t="str">
        <f>Tokens!G87</f>
        <v>https://bafybeicordeza5gk2bza3mvxlpkuixf2rl7wnnuldoo222om2i4bxv2oqa.ipfs.nftstorage.link?image_10.png</v>
      </c>
      <c r="F85" t="str">
        <f>Tokens!H87</f>
        <v>NfluenT for Calvi On The rocks</v>
      </c>
      <c r="G85">
        <f>Tokens!I87</f>
        <v>0</v>
      </c>
      <c r="H85" t="str">
        <f>Tokens!J87</f>
        <v>Pass festival</v>
      </c>
      <c r="I85" t="str">
        <f>Tokens!K87</f>
        <v>pour deux(2) personnes</v>
      </c>
      <c r="J85" t="str">
        <f>Tokens!L87</f>
        <v>Edition1</v>
      </c>
      <c r="K85">
        <f>Tokens!M87</f>
        <v>2</v>
      </c>
      <c r="L85" t="str">
        <f>Tokens!N87</f>
        <v>Edition2</v>
      </c>
      <c r="M85">
        <f>Tokens!O87</f>
        <v>2</v>
      </c>
      <c r="N85" t="str">
        <f>Tokens!P87</f>
        <v>Edition3</v>
      </c>
      <c r="O85">
        <f>Tokens!Q87</f>
        <v>2</v>
      </c>
      <c r="P85">
        <f>Tokens!R87</f>
        <v>0</v>
      </c>
      <c r="Q85">
        <f>Tokens!S87</f>
        <v>0</v>
      </c>
      <c r="R85">
        <f>Tokens!T87</f>
        <v>0</v>
      </c>
      <c r="S85">
        <f>Tokens!U87</f>
        <v>0</v>
      </c>
      <c r="T85" t="str">
        <f>Tokens!V87</f>
        <v>Dernière utilisation</v>
      </c>
      <c r="U85">
        <f>Tokens!W87</f>
        <v>0</v>
      </c>
      <c r="V85">
        <f>Tokens!X87</f>
        <v>0</v>
      </c>
      <c r="W85">
        <f>Tokens!Y87</f>
        <v>0</v>
      </c>
      <c r="X85" t="str">
        <f>Tokens!Z87</f>
        <v>avantage1</v>
      </c>
      <c r="Y85" t="str">
        <f>Tokens!AA87</f>
        <v>accès pour deux (2) personnes à un (1) événement partenaire officiel de Calvi on the Rocks</v>
      </c>
      <c r="Z85">
        <f>Tokens!AB87</f>
        <v>0</v>
      </c>
      <c r="AA85">
        <f>Tokens!AC87</f>
        <v>0</v>
      </c>
      <c r="AB85">
        <f>Tokens!AD87</f>
        <v>0</v>
      </c>
      <c r="AC85">
        <f>Tokens!AE87</f>
        <v>0</v>
      </c>
      <c r="AD85">
        <f>Tokens!AF87</f>
        <v>0</v>
      </c>
      <c r="AE85">
        <f>Tokens!AG87</f>
        <v>0</v>
      </c>
      <c r="AF85" t="str">
        <f>Tokens!AH87</f>
        <v>avantage2</v>
      </c>
      <c r="AG85" t="str">
        <f>Tokens!AI87</f>
        <v>accès membre pour les after party officielles pour deux (2) personnes</v>
      </c>
      <c r="AH85" t="str">
        <f>Tokens!AJ87</f>
        <v>avantage3</v>
      </c>
      <c r="AI85" t="str">
        <f>Tokens!AK87</f>
        <v>accès prioritaire et bar dédié (consommation à la charge du festivalier) - tables réservées à l'avance pour les « NFT member » pour deux (2) personnes</v>
      </c>
      <c r="AJ85" t="str">
        <f>Tokens!AL87</f>
        <v>avantage4</v>
      </c>
      <c r="AK85" t="str">
        <f>Tokens!AM87</f>
        <v>1 affiche dédicacée et numérotée</v>
      </c>
      <c r="AL85">
        <f>Tokens!AN87</f>
        <v>0</v>
      </c>
      <c r="AM85">
        <f>Tokens!AO87</f>
        <v>0</v>
      </c>
      <c r="AN85">
        <f>Tokens!AP87</f>
        <v>0</v>
      </c>
      <c r="AO85">
        <f>Tokens!AQ87</f>
        <v>0</v>
      </c>
      <c r="AP85">
        <f>Tokens!AR87</f>
        <v>0</v>
      </c>
      <c r="AQ85">
        <f>Tokens!AS87</f>
        <v>0</v>
      </c>
      <c r="AR85">
        <f>Tokens!AT87</f>
        <v>0</v>
      </c>
      <c r="AS85">
        <f>Tokens!AU87</f>
        <v>0</v>
      </c>
      <c r="AT85" t="str">
        <f>Tokens!AV87</f>
        <v>Validation</v>
      </c>
      <c r="AU85" t="str">
        <f>Tokens!AW87</f>
        <v>https://tokensol.nfluent.io?s=COR22C24&amp;platform=ftx</v>
      </c>
      <c r="AV85" t="str">
        <f>Tokens!AX87</f>
        <v>paul</v>
      </c>
      <c r="AW85">
        <f>Tokens!AY87</f>
        <v>10</v>
      </c>
      <c r="AX85" t="str">
        <f>Tokens!AZ87</f>
        <v>sophie</v>
      </c>
      <c r="AY85">
        <f>Tokens!BA87</f>
        <v>90</v>
      </c>
      <c r="AZ85">
        <f>Tokens!BB87</f>
        <v>0</v>
      </c>
      <c r="BA85">
        <f>Tokens!BC87</f>
        <v>0</v>
      </c>
      <c r="BB85">
        <f>Tokens!BD87</f>
        <v>0</v>
      </c>
      <c r="BC85">
        <f>Tokens!BE87</f>
        <v>0</v>
      </c>
      <c r="BD85">
        <f>Tokens!BF87</f>
        <v>0</v>
      </c>
      <c r="BE85">
        <f>Tokens!BG87</f>
        <v>0</v>
      </c>
      <c r="BF85">
        <f>Tokens!BH87</f>
        <v>0</v>
      </c>
      <c r="BG85">
        <f>Tokens!BI87</f>
        <v>0</v>
      </c>
      <c r="BH85" t="str">
        <f>Tokens!BJ87</f>
        <v>La Porteuse D'Eau</v>
      </c>
      <c r="BI85" t="str">
        <f>Tokens!BK87</f>
        <v>Calvi On The Rocks</v>
      </c>
    </row>
    <row r="86" spans="1:61" x14ac:dyDescent="0.25">
      <c r="A86" t="str">
        <f>Tokens!C88</f>
        <v>La Porteuse D'Eau #25</v>
      </c>
      <c r="B86" t="str">
        <f>Tokens!D88</f>
        <v>COR22C25</v>
      </c>
      <c r="C86" t="str">
        <f>Tokens!E88</f>
        <v>La Porteuse D'Eau, 3 ans - Pass NFT 5 jours pour 2 personnes, valable pour 3 éditions Calvi On The Rocks de votre choix.</v>
      </c>
      <c r="D86">
        <f>Tokens!F88</f>
        <v>1000</v>
      </c>
      <c r="E86" t="str">
        <f>Tokens!G88</f>
        <v>https://bafybeicordeza5gk2bza3mvxlpkuixf2rl7wnnuldoo222om2i4bxv2oqa.ipfs.nftstorage.link?image_10.png</v>
      </c>
      <c r="F86" t="str">
        <f>Tokens!H88</f>
        <v>NfluenT for Calvi On The rocks</v>
      </c>
      <c r="G86">
        <f>Tokens!I88</f>
        <v>0</v>
      </c>
      <c r="H86" t="str">
        <f>Tokens!J88</f>
        <v>Pass festival</v>
      </c>
      <c r="I86" t="str">
        <f>Tokens!K88</f>
        <v>pour deux(2) personnes</v>
      </c>
      <c r="J86" t="str">
        <f>Tokens!L88</f>
        <v>Edition1</v>
      </c>
      <c r="K86">
        <f>Tokens!M88</f>
        <v>2</v>
      </c>
      <c r="L86" t="str">
        <f>Tokens!N88</f>
        <v>Edition2</v>
      </c>
      <c r="M86">
        <f>Tokens!O88</f>
        <v>2</v>
      </c>
      <c r="N86" t="str">
        <f>Tokens!P88</f>
        <v>Edition3</v>
      </c>
      <c r="O86">
        <f>Tokens!Q88</f>
        <v>2</v>
      </c>
      <c r="P86">
        <f>Tokens!R88</f>
        <v>0</v>
      </c>
      <c r="Q86">
        <f>Tokens!S88</f>
        <v>0</v>
      </c>
      <c r="R86">
        <f>Tokens!T88</f>
        <v>0</v>
      </c>
      <c r="S86">
        <f>Tokens!U88</f>
        <v>0</v>
      </c>
      <c r="T86" t="str">
        <f>Tokens!V88</f>
        <v>Dernière utilisation</v>
      </c>
      <c r="U86">
        <f>Tokens!W88</f>
        <v>0</v>
      </c>
      <c r="V86">
        <f>Tokens!X88</f>
        <v>0</v>
      </c>
      <c r="W86">
        <f>Tokens!Y88</f>
        <v>0</v>
      </c>
      <c r="X86" t="str">
        <f>Tokens!Z88</f>
        <v>avantage1</v>
      </c>
      <c r="Y86" t="str">
        <f>Tokens!AA88</f>
        <v>accès pour deux (2) personnes à un (1) événement partenaire officiel de Calvi on the Rocks</v>
      </c>
      <c r="Z86">
        <f>Tokens!AB88</f>
        <v>0</v>
      </c>
      <c r="AA86">
        <f>Tokens!AC88</f>
        <v>0</v>
      </c>
      <c r="AB86">
        <f>Tokens!AD88</f>
        <v>0</v>
      </c>
      <c r="AC86">
        <f>Tokens!AE88</f>
        <v>0</v>
      </c>
      <c r="AD86">
        <f>Tokens!AF88</f>
        <v>0</v>
      </c>
      <c r="AE86">
        <f>Tokens!AG88</f>
        <v>0</v>
      </c>
      <c r="AF86" t="str">
        <f>Tokens!AH88</f>
        <v>avantage2</v>
      </c>
      <c r="AG86" t="str">
        <f>Tokens!AI88</f>
        <v>accès membre pour les after party officielles pour deux (2) personnes</v>
      </c>
      <c r="AH86" t="str">
        <f>Tokens!AJ88</f>
        <v>avantage3</v>
      </c>
      <c r="AI86" t="str">
        <f>Tokens!AK88</f>
        <v>accès prioritaire et bar dédié (consommation à la charge du festivalier) - tables réservées à l'avance pour les « NFT member » pour deux (2) personnes</v>
      </c>
      <c r="AJ86" t="str">
        <f>Tokens!AL88</f>
        <v>avantage4</v>
      </c>
      <c r="AK86" t="str">
        <f>Tokens!AM88</f>
        <v>1 affiche dédicacée et numérotée</v>
      </c>
      <c r="AL86">
        <f>Tokens!AN88</f>
        <v>0</v>
      </c>
      <c r="AM86">
        <f>Tokens!AO88</f>
        <v>0</v>
      </c>
      <c r="AN86">
        <f>Tokens!AP88</f>
        <v>0</v>
      </c>
      <c r="AO86">
        <f>Tokens!AQ88</f>
        <v>0</v>
      </c>
      <c r="AP86">
        <f>Tokens!AR88</f>
        <v>0</v>
      </c>
      <c r="AQ86">
        <f>Tokens!AS88</f>
        <v>0</v>
      </c>
      <c r="AR86">
        <f>Tokens!AT88</f>
        <v>0</v>
      </c>
      <c r="AS86">
        <f>Tokens!AU88</f>
        <v>0</v>
      </c>
      <c r="AT86" t="str">
        <f>Tokens!AV88</f>
        <v>Validation</v>
      </c>
      <c r="AU86" t="str">
        <f>Tokens!AW88</f>
        <v>https://tokensol.nfluent.io?s=COR22C25&amp;platform=ftx</v>
      </c>
      <c r="AV86" t="str">
        <f>Tokens!AX88</f>
        <v>paul</v>
      </c>
      <c r="AW86">
        <f>Tokens!AY88</f>
        <v>10</v>
      </c>
      <c r="AX86" t="str">
        <f>Tokens!AZ88</f>
        <v>sophie</v>
      </c>
      <c r="AY86">
        <f>Tokens!BA88</f>
        <v>90</v>
      </c>
      <c r="AZ86">
        <f>Tokens!BB88</f>
        <v>0</v>
      </c>
      <c r="BA86">
        <f>Tokens!BC88</f>
        <v>0</v>
      </c>
      <c r="BB86">
        <f>Tokens!BD88</f>
        <v>0</v>
      </c>
      <c r="BC86">
        <f>Tokens!BE88</f>
        <v>0</v>
      </c>
      <c r="BD86">
        <f>Tokens!BF88</f>
        <v>0</v>
      </c>
      <c r="BE86">
        <f>Tokens!BG88</f>
        <v>0</v>
      </c>
      <c r="BF86">
        <f>Tokens!BH88</f>
        <v>0</v>
      </c>
      <c r="BG86">
        <f>Tokens!BI88</f>
        <v>0</v>
      </c>
      <c r="BH86" t="str">
        <f>Tokens!BJ88</f>
        <v>La Porteuse D'Eau</v>
      </c>
      <c r="BI86" t="str">
        <f>Tokens!BK88</f>
        <v>Calvi On The Rocks</v>
      </c>
    </row>
    <row r="87" spans="1:61" x14ac:dyDescent="0.25">
      <c r="A87" t="str">
        <f>Tokens!C89</f>
        <v>La Porteuse D'Eau #26</v>
      </c>
      <c r="B87" t="str">
        <f>Tokens!D89</f>
        <v>COR22C26</v>
      </c>
      <c r="C87" t="str">
        <f>Tokens!E89</f>
        <v>La Porteuse D'Eau, 3 ans - Pass NFT 5 jours pour 2 personnes, valable pour 3 éditions Calvi On The Rocks de votre choix.</v>
      </c>
      <c r="D87">
        <f>Tokens!F89</f>
        <v>1000</v>
      </c>
      <c r="E87" t="str">
        <f>Tokens!G89</f>
        <v>https://bafybeicordeza5gk2bza3mvxlpkuixf2rl7wnnuldoo222om2i4bxv2oqa.ipfs.nftstorage.link?image_10.png</v>
      </c>
      <c r="F87" t="str">
        <f>Tokens!H89</f>
        <v>NfluenT for Calvi On The rocks</v>
      </c>
      <c r="G87">
        <f>Tokens!I89</f>
        <v>0</v>
      </c>
      <c r="H87" t="str">
        <f>Tokens!J89</f>
        <v>Pass festival</v>
      </c>
      <c r="I87" t="str">
        <f>Tokens!K89</f>
        <v>pour deux(2) personnes</v>
      </c>
      <c r="J87" t="str">
        <f>Tokens!L89</f>
        <v>Edition1</v>
      </c>
      <c r="K87">
        <f>Tokens!M89</f>
        <v>2</v>
      </c>
      <c r="L87" t="str">
        <f>Tokens!N89</f>
        <v>Edition2</v>
      </c>
      <c r="M87">
        <f>Tokens!O89</f>
        <v>2</v>
      </c>
      <c r="N87" t="str">
        <f>Tokens!P89</f>
        <v>Edition3</v>
      </c>
      <c r="O87">
        <f>Tokens!Q89</f>
        <v>2</v>
      </c>
      <c r="P87">
        <f>Tokens!R89</f>
        <v>0</v>
      </c>
      <c r="Q87">
        <f>Tokens!S89</f>
        <v>0</v>
      </c>
      <c r="R87">
        <f>Tokens!T89</f>
        <v>0</v>
      </c>
      <c r="S87">
        <f>Tokens!U89</f>
        <v>0</v>
      </c>
      <c r="T87" t="str">
        <f>Tokens!V89</f>
        <v>Dernière utilisation</v>
      </c>
      <c r="U87">
        <f>Tokens!W89</f>
        <v>0</v>
      </c>
      <c r="V87">
        <f>Tokens!X89</f>
        <v>0</v>
      </c>
      <c r="W87">
        <f>Tokens!Y89</f>
        <v>0</v>
      </c>
      <c r="X87" t="str">
        <f>Tokens!Z89</f>
        <v>avantage1</v>
      </c>
      <c r="Y87" t="str">
        <f>Tokens!AA89</f>
        <v>accès pour deux (2) personnes à un (1) événement partenaire officiel de Calvi on the Rocks</v>
      </c>
      <c r="Z87">
        <f>Tokens!AB89</f>
        <v>0</v>
      </c>
      <c r="AA87">
        <f>Tokens!AC89</f>
        <v>0</v>
      </c>
      <c r="AB87">
        <f>Tokens!AD89</f>
        <v>0</v>
      </c>
      <c r="AC87">
        <f>Tokens!AE89</f>
        <v>0</v>
      </c>
      <c r="AD87">
        <f>Tokens!AF89</f>
        <v>0</v>
      </c>
      <c r="AE87">
        <f>Tokens!AG89</f>
        <v>0</v>
      </c>
      <c r="AF87" t="str">
        <f>Tokens!AH89</f>
        <v>avantage2</v>
      </c>
      <c r="AG87" t="str">
        <f>Tokens!AI89</f>
        <v>accès membre pour les after party officielles pour deux (2) personnes</v>
      </c>
      <c r="AH87" t="str">
        <f>Tokens!AJ89</f>
        <v>avantage3</v>
      </c>
      <c r="AI87" t="str">
        <f>Tokens!AK89</f>
        <v>accès prioritaire et bar dédié (consommation à la charge du festivalier) - tables réservées à l'avance pour les « NFT member » pour deux (2) personnes</v>
      </c>
      <c r="AJ87" t="str">
        <f>Tokens!AL89</f>
        <v>avantage4</v>
      </c>
      <c r="AK87" t="str">
        <f>Tokens!AM89</f>
        <v>1 affiche dédicacée et numérotée</v>
      </c>
      <c r="AL87">
        <f>Tokens!AN89</f>
        <v>0</v>
      </c>
      <c r="AM87">
        <f>Tokens!AO89</f>
        <v>0</v>
      </c>
      <c r="AN87">
        <f>Tokens!AP89</f>
        <v>0</v>
      </c>
      <c r="AO87">
        <f>Tokens!AQ89</f>
        <v>0</v>
      </c>
      <c r="AP87">
        <f>Tokens!AR89</f>
        <v>0</v>
      </c>
      <c r="AQ87">
        <f>Tokens!AS89</f>
        <v>0</v>
      </c>
      <c r="AR87">
        <f>Tokens!AT89</f>
        <v>0</v>
      </c>
      <c r="AS87">
        <f>Tokens!AU89</f>
        <v>0</v>
      </c>
      <c r="AT87" t="str">
        <f>Tokens!AV89</f>
        <v>Validation</v>
      </c>
      <c r="AU87" t="str">
        <f>Tokens!AW89</f>
        <v>https://tokensol.nfluent.io?s=COR22C26&amp;platform=ftx</v>
      </c>
      <c r="AV87" t="str">
        <f>Tokens!AX89</f>
        <v>paul</v>
      </c>
      <c r="AW87">
        <f>Tokens!AY89</f>
        <v>10</v>
      </c>
      <c r="AX87" t="str">
        <f>Tokens!AZ89</f>
        <v>sophie</v>
      </c>
      <c r="AY87">
        <f>Tokens!BA89</f>
        <v>90</v>
      </c>
      <c r="AZ87">
        <f>Tokens!BB89</f>
        <v>0</v>
      </c>
      <c r="BA87">
        <f>Tokens!BC89</f>
        <v>0</v>
      </c>
      <c r="BB87">
        <f>Tokens!BD89</f>
        <v>0</v>
      </c>
      <c r="BC87">
        <f>Tokens!BE89</f>
        <v>0</v>
      </c>
      <c r="BD87">
        <f>Tokens!BF89</f>
        <v>0</v>
      </c>
      <c r="BE87">
        <f>Tokens!BG89</f>
        <v>0</v>
      </c>
      <c r="BF87">
        <f>Tokens!BH89</f>
        <v>0</v>
      </c>
      <c r="BG87">
        <f>Tokens!BI89</f>
        <v>0</v>
      </c>
      <c r="BH87" t="str">
        <f>Tokens!BJ89</f>
        <v>La Porteuse D'Eau</v>
      </c>
      <c r="BI87" t="str">
        <f>Tokens!BK89</f>
        <v>Calvi On The Rocks</v>
      </c>
    </row>
    <row r="88" spans="1:61" x14ac:dyDescent="0.25">
      <c r="A88" t="str">
        <f>Tokens!C90</f>
        <v>La Porteuse D'Eau #27</v>
      </c>
      <c r="B88" t="str">
        <f>Tokens!D90</f>
        <v>COR22C27</v>
      </c>
      <c r="C88" t="str">
        <f>Tokens!E90</f>
        <v>La Porteuse D'Eau, 3 ans - Pass NFT 5 jours pour 2 personnes, valable pour 3 éditions Calvi On The Rocks de votre choix.</v>
      </c>
      <c r="D88">
        <f>Tokens!F90</f>
        <v>1000</v>
      </c>
      <c r="E88" t="str">
        <f>Tokens!G90</f>
        <v>https://bafybeicordeza5gk2bza3mvxlpkuixf2rl7wnnuldoo222om2i4bxv2oqa.ipfs.nftstorage.link?image_10.png</v>
      </c>
      <c r="F88" t="str">
        <f>Tokens!H90</f>
        <v>NfluenT for Calvi On The rocks</v>
      </c>
      <c r="G88">
        <f>Tokens!I90</f>
        <v>0</v>
      </c>
      <c r="H88" t="str">
        <f>Tokens!J90</f>
        <v>Pass festival</v>
      </c>
      <c r="I88" t="str">
        <f>Tokens!K90</f>
        <v>pour deux(2) personnes</v>
      </c>
      <c r="J88" t="str">
        <f>Tokens!L90</f>
        <v>Edition1</v>
      </c>
      <c r="K88">
        <f>Tokens!M90</f>
        <v>2</v>
      </c>
      <c r="L88" t="str">
        <f>Tokens!N90</f>
        <v>Edition2</v>
      </c>
      <c r="M88">
        <f>Tokens!O90</f>
        <v>2</v>
      </c>
      <c r="N88" t="str">
        <f>Tokens!P90</f>
        <v>Edition3</v>
      </c>
      <c r="O88">
        <f>Tokens!Q90</f>
        <v>2</v>
      </c>
      <c r="P88">
        <f>Tokens!R90</f>
        <v>0</v>
      </c>
      <c r="Q88">
        <f>Tokens!S90</f>
        <v>0</v>
      </c>
      <c r="R88">
        <f>Tokens!T90</f>
        <v>0</v>
      </c>
      <c r="S88">
        <f>Tokens!U90</f>
        <v>0</v>
      </c>
      <c r="T88" t="str">
        <f>Tokens!V90</f>
        <v>Dernière utilisation</v>
      </c>
      <c r="U88">
        <f>Tokens!W90</f>
        <v>0</v>
      </c>
      <c r="V88">
        <f>Tokens!X90</f>
        <v>0</v>
      </c>
      <c r="W88">
        <f>Tokens!Y90</f>
        <v>0</v>
      </c>
      <c r="X88" t="str">
        <f>Tokens!Z90</f>
        <v>avantage1</v>
      </c>
      <c r="Y88" t="str">
        <f>Tokens!AA90</f>
        <v>accès pour deux (2) personnes à un (1) événement partenaire officiel de Calvi on the Rocks</v>
      </c>
      <c r="Z88">
        <f>Tokens!AB90</f>
        <v>0</v>
      </c>
      <c r="AA88">
        <f>Tokens!AC90</f>
        <v>0</v>
      </c>
      <c r="AB88">
        <f>Tokens!AD90</f>
        <v>0</v>
      </c>
      <c r="AC88">
        <f>Tokens!AE90</f>
        <v>0</v>
      </c>
      <c r="AD88">
        <f>Tokens!AF90</f>
        <v>0</v>
      </c>
      <c r="AE88">
        <f>Tokens!AG90</f>
        <v>0</v>
      </c>
      <c r="AF88" t="str">
        <f>Tokens!AH90</f>
        <v>avantage2</v>
      </c>
      <c r="AG88" t="str">
        <f>Tokens!AI90</f>
        <v>accès membre pour les after party officielles pour deux (2) personnes</v>
      </c>
      <c r="AH88" t="str">
        <f>Tokens!AJ90</f>
        <v>avantage3</v>
      </c>
      <c r="AI88" t="str">
        <f>Tokens!AK90</f>
        <v>accès prioritaire et bar dédié (consommation à la charge du festivalier) - tables réservées à l'avance pour les « NFT member » pour deux (2) personnes</v>
      </c>
      <c r="AJ88" t="str">
        <f>Tokens!AL90</f>
        <v>avantage4</v>
      </c>
      <c r="AK88" t="str">
        <f>Tokens!AM90</f>
        <v>1 affiche dédicacée et numérotée</v>
      </c>
      <c r="AL88">
        <f>Tokens!AN90</f>
        <v>0</v>
      </c>
      <c r="AM88">
        <f>Tokens!AO90</f>
        <v>0</v>
      </c>
      <c r="AN88">
        <f>Tokens!AP90</f>
        <v>0</v>
      </c>
      <c r="AO88">
        <f>Tokens!AQ90</f>
        <v>0</v>
      </c>
      <c r="AP88">
        <f>Tokens!AR90</f>
        <v>0</v>
      </c>
      <c r="AQ88">
        <f>Tokens!AS90</f>
        <v>0</v>
      </c>
      <c r="AR88">
        <f>Tokens!AT90</f>
        <v>0</v>
      </c>
      <c r="AS88">
        <f>Tokens!AU90</f>
        <v>0</v>
      </c>
      <c r="AT88" t="str">
        <f>Tokens!AV90</f>
        <v>Validation</v>
      </c>
      <c r="AU88" t="str">
        <f>Tokens!AW90</f>
        <v>https://tokensol.nfluent.io?s=COR22C27&amp;platform=ftx</v>
      </c>
      <c r="AV88" t="str">
        <f>Tokens!AX90</f>
        <v>paul</v>
      </c>
      <c r="AW88">
        <f>Tokens!AY90</f>
        <v>10</v>
      </c>
      <c r="AX88" t="str">
        <f>Tokens!AZ90</f>
        <v>sophie</v>
      </c>
      <c r="AY88">
        <f>Tokens!BA90</f>
        <v>90</v>
      </c>
      <c r="AZ88">
        <f>Tokens!BB90</f>
        <v>0</v>
      </c>
      <c r="BA88">
        <f>Tokens!BC90</f>
        <v>0</v>
      </c>
      <c r="BB88">
        <f>Tokens!BD90</f>
        <v>0</v>
      </c>
      <c r="BC88">
        <f>Tokens!BE90</f>
        <v>0</v>
      </c>
      <c r="BD88">
        <f>Tokens!BF90</f>
        <v>0</v>
      </c>
      <c r="BE88">
        <f>Tokens!BG90</f>
        <v>0</v>
      </c>
      <c r="BF88">
        <f>Tokens!BH90</f>
        <v>0</v>
      </c>
      <c r="BG88">
        <f>Tokens!BI90</f>
        <v>0</v>
      </c>
      <c r="BH88" t="str">
        <f>Tokens!BJ90</f>
        <v>La Porteuse D'Eau</v>
      </c>
      <c r="BI88" t="str">
        <f>Tokens!BK90</f>
        <v>Calvi On The Rocks</v>
      </c>
    </row>
    <row r="89" spans="1:61" x14ac:dyDescent="0.25">
      <c r="A89" t="str">
        <f>Tokens!C91</f>
        <v>La Porteuse D'Eau #28</v>
      </c>
      <c r="B89" t="str">
        <f>Tokens!D91</f>
        <v>COR22C28</v>
      </c>
      <c r="C89" t="str">
        <f>Tokens!E91</f>
        <v>La Porteuse D'Eau, 3 ans - Pass NFT 5 jours pour 2 personnes, valable pour 3 éditions Calvi On The Rocks de votre choix.</v>
      </c>
      <c r="D89">
        <f>Tokens!F91</f>
        <v>1000</v>
      </c>
      <c r="E89" t="str">
        <f>Tokens!G91</f>
        <v>https://bafybeicordeza5gk2bza3mvxlpkuixf2rl7wnnuldoo222om2i4bxv2oqa.ipfs.nftstorage.link?image_10.png</v>
      </c>
      <c r="F89" t="str">
        <f>Tokens!H91</f>
        <v>NfluenT for Calvi On The rocks</v>
      </c>
      <c r="G89">
        <f>Tokens!I91</f>
        <v>0</v>
      </c>
      <c r="H89" t="str">
        <f>Tokens!J91</f>
        <v>Pass festival</v>
      </c>
      <c r="I89" t="str">
        <f>Tokens!K91</f>
        <v>pour deux(2) personnes</v>
      </c>
      <c r="J89" t="str">
        <f>Tokens!L91</f>
        <v>Edition1</v>
      </c>
      <c r="K89">
        <f>Tokens!M91</f>
        <v>2</v>
      </c>
      <c r="L89" t="str">
        <f>Tokens!N91</f>
        <v>Edition2</v>
      </c>
      <c r="M89">
        <f>Tokens!O91</f>
        <v>2</v>
      </c>
      <c r="N89" t="str">
        <f>Tokens!P91</f>
        <v>Edition3</v>
      </c>
      <c r="O89">
        <f>Tokens!Q91</f>
        <v>2</v>
      </c>
      <c r="P89">
        <f>Tokens!R91</f>
        <v>0</v>
      </c>
      <c r="Q89">
        <f>Tokens!S91</f>
        <v>0</v>
      </c>
      <c r="R89">
        <f>Tokens!T91</f>
        <v>0</v>
      </c>
      <c r="S89">
        <f>Tokens!U91</f>
        <v>0</v>
      </c>
      <c r="T89" t="str">
        <f>Tokens!V91</f>
        <v>Dernière utilisation</v>
      </c>
      <c r="U89">
        <f>Tokens!W91</f>
        <v>0</v>
      </c>
      <c r="V89">
        <f>Tokens!X91</f>
        <v>0</v>
      </c>
      <c r="W89">
        <f>Tokens!Y91</f>
        <v>0</v>
      </c>
      <c r="X89" t="str">
        <f>Tokens!Z91</f>
        <v>avantage1</v>
      </c>
      <c r="Y89" t="str">
        <f>Tokens!AA91</f>
        <v>accès pour deux (2) personnes à un (1) événement partenaire officiel de Calvi on the Rocks</v>
      </c>
      <c r="Z89">
        <f>Tokens!AB91</f>
        <v>0</v>
      </c>
      <c r="AA89">
        <f>Tokens!AC91</f>
        <v>0</v>
      </c>
      <c r="AB89">
        <f>Tokens!AD91</f>
        <v>0</v>
      </c>
      <c r="AC89">
        <f>Tokens!AE91</f>
        <v>0</v>
      </c>
      <c r="AD89">
        <f>Tokens!AF91</f>
        <v>0</v>
      </c>
      <c r="AE89">
        <f>Tokens!AG91</f>
        <v>0</v>
      </c>
      <c r="AF89" t="str">
        <f>Tokens!AH91</f>
        <v>avantage2</v>
      </c>
      <c r="AG89" t="str">
        <f>Tokens!AI91</f>
        <v>accès membre pour les after party officielles pour deux (2) personnes</v>
      </c>
      <c r="AH89" t="str">
        <f>Tokens!AJ91</f>
        <v>avantage3</v>
      </c>
      <c r="AI89" t="str">
        <f>Tokens!AK91</f>
        <v>accès prioritaire et bar dédié (consommation à la charge du festivalier) - tables réservées à l'avance pour les « NFT member » pour deux (2) personnes</v>
      </c>
      <c r="AJ89" t="str">
        <f>Tokens!AL91</f>
        <v>avantage4</v>
      </c>
      <c r="AK89" t="str">
        <f>Tokens!AM91</f>
        <v>1 affiche dédicacée et numérotée</v>
      </c>
      <c r="AL89">
        <f>Tokens!AN91</f>
        <v>0</v>
      </c>
      <c r="AM89">
        <f>Tokens!AO91</f>
        <v>0</v>
      </c>
      <c r="AN89">
        <f>Tokens!AP91</f>
        <v>0</v>
      </c>
      <c r="AO89">
        <f>Tokens!AQ91</f>
        <v>0</v>
      </c>
      <c r="AP89">
        <f>Tokens!AR91</f>
        <v>0</v>
      </c>
      <c r="AQ89">
        <f>Tokens!AS91</f>
        <v>0</v>
      </c>
      <c r="AR89">
        <f>Tokens!AT91</f>
        <v>0</v>
      </c>
      <c r="AS89">
        <f>Tokens!AU91</f>
        <v>0</v>
      </c>
      <c r="AT89" t="str">
        <f>Tokens!AV91</f>
        <v>Validation</v>
      </c>
      <c r="AU89" t="str">
        <f>Tokens!AW91</f>
        <v>https://tokensol.nfluent.io?s=COR22C28&amp;platform=ftx</v>
      </c>
      <c r="AV89" t="str">
        <f>Tokens!AX91</f>
        <v>paul</v>
      </c>
      <c r="AW89">
        <f>Tokens!AY91</f>
        <v>10</v>
      </c>
      <c r="AX89" t="str">
        <f>Tokens!AZ91</f>
        <v>sophie</v>
      </c>
      <c r="AY89">
        <f>Tokens!BA91</f>
        <v>90</v>
      </c>
      <c r="AZ89">
        <f>Tokens!BB91</f>
        <v>0</v>
      </c>
      <c r="BA89">
        <f>Tokens!BC91</f>
        <v>0</v>
      </c>
      <c r="BB89">
        <f>Tokens!BD91</f>
        <v>0</v>
      </c>
      <c r="BC89">
        <f>Tokens!BE91</f>
        <v>0</v>
      </c>
      <c r="BD89">
        <f>Tokens!BF91</f>
        <v>0</v>
      </c>
      <c r="BE89">
        <f>Tokens!BG91</f>
        <v>0</v>
      </c>
      <c r="BF89">
        <f>Tokens!BH91</f>
        <v>0</v>
      </c>
      <c r="BG89">
        <f>Tokens!BI91</f>
        <v>0</v>
      </c>
      <c r="BH89" t="str">
        <f>Tokens!BJ91</f>
        <v>La Porteuse D'Eau</v>
      </c>
      <c r="BI89" t="str">
        <f>Tokens!BK91</f>
        <v>Calvi On The Rocks</v>
      </c>
    </row>
    <row r="90" spans="1:61" x14ac:dyDescent="0.25">
      <c r="A90" t="str">
        <f>Tokens!C92</f>
        <v>La Porteuse D'Eau #29</v>
      </c>
      <c r="B90" t="str">
        <f>Tokens!D92</f>
        <v>COR22C29</v>
      </c>
      <c r="C90" t="str">
        <f>Tokens!E92</f>
        <v>La Porteuse D'Eau, 3 ans - Pass NFT 5 jours pour 2 personnes, valable pour 3 éditions Calvi On The Rocks de votre choix.</v>
      </c>
      <c r="D90">
        <f>Tokens!F92</f>
        <v>1000</v>
      </c>
      <c r="E90" t="str">
        <f>Tokens!G92</f>
        <v>https://bafybeicordeza5gk2bza3mvxlpkuixf2rl7wnnuldoo222om2i4bxv2oqa.ipfs.nftstorage.link?image_10.png</v>
      </c>
      <c r="F90" t="str">
        <f>Tokens!H92</f>
        <v>NfluenT for Calvi On The rocks</v>
      </c>
      <c r="G90">
        <f>Tokens!I92</f>
        <v>0</v>
      </c>
      <c r="H90" t="str">
        <f>Tokens!J92</f>
        <v>Pass festival</v>
      </c>
      <c r="I90" t="str">
        <f>Tokens!K92</f>
        <v>pour deux(2) personnes</v>
      </c>
      <c r="J90" t="str">
        <f>Tokens!L92</f>
        <v>Edition1</v>
      </c>
      <c r="K90">
        <f>Tokens!M92</f>
        <v>2</v>
      </c>
      <c r="L90" t="str">
        <f>Tokens!N92</f>
        <v>Edition2</v>
      </c>
      <c r="M90">
        <f>Tokens!O92</f>
        <v>2</v>
      </c>
      <c r="N90" t="str">
        <f>Tokens!P92</f>
        <v>Edition3</v>
      </c>
      <c r="O90">
        <f>Tokens!Q92</f>
        <v>2</v>
      </c>
      <c r="P90">
        <f>Tokens!R92</f>
        <v>0</v>
      </c>
      <c r="Q90">
        <f>Tokens!S92</f>
        <v>0</v>
      </c>
      <c r="R90">
        <f>Tokens!T92</f>
        <v>0</v>
      </c>
      <c r="S90">
        <f>Tokens!U92</f>
        <v>0</v>
      </c>
      <c r="T90" t="str">
        <f>Tokens!V92</f>
        <v>Dernière utilisation</v>
      </c>
      <c r="U90">
        <f>Tokens!W92</f>
        <v>0</v>
      </c>
      <c r="V90">
        <f>Tokens!X92</f>
        <v>0</v>
      </c>
      <c r="W90">
        <f>Tokens!Y92</f>
        <v>0</v>
      </c>
      <c r="X90" t="str">
        <f>Tokens!Z92</f>
        <v>avantage1</v>
      </c>
      <c r="Y90" t="str">
        <f>Tokens!AA92</f>
        <v>accès pour deux (2) personnes à un (1) événement partenaire officiel de Calvi on the Rocks</v>
      </c>
      <c r="Z90">
        <f>Tokens!AB92</f>
        <v>0</v>
      </c>
      <c r="AA90">
        <f>Tokens!AC92</f>
        <v>0</v>
      </c>
      <c r="AB90">
        <f>Tokens!AD92</f>
        <v>0</v>
      </c>
      <c r="AC90">
        <f>Tokens!AE92</f>
        <v>0</v>
      </c>
      <c r="AD90">
        <f>Tokens!AF92</f>
        <v>0</v>
      </c>
      <c r="AE90">
        <f>Tokens!AG92</f>
        <v>0</v>
      </c>
      <c r="AF90" t="str">
        <f>Tokens!AH92</f>
        <v>avantage2</v>
      </c>
      <c r="AG90" t="str">
        <f>Tokens!AI92</f>
        <v>accès membre pour les after party officielles pour deux (2) personnes</v>
      </c>
      <c r="AH90" t="str">
        <f>Tokens!AJ92</f>
        <v>avantage3</v>
      </c>
      <c r="AI90" t="str">
        <f>Tokens!AK92</f>
        <v>accès prioritaire et bar dédié (consommation à la charge du festivalier) - tables réservées à l'avance pour les « NFT member » pour deux (2) personnes</v>
      </c>
      <c r="AJ90" t="str">
        <f>Tokens!AL92</f>
        <v>avantage4</v>
      </c>
      <c r="AK90" t="str">
        <f>Tokens!AM92</f>
        <v>1 affiche dédicacée et numérotée</v>
      </c>
      <c r="AL90">
        <f>Tokens!AN92</f>
        <v>0</v>
      </c>
      <c r="AM90">
        <f>Tokens!AO92</f>
        <v>0</v>
      </c>
      <c r="AN90">
        <f>Tokens!AP92</f>
        <v>0</v>
      </c>
      <c r="AO90">
        <f>Tokens!AQ92</f>
        <v>0</v>
      </c>
      <c r="AP90">
        <f>Tokens!AR92</f>
        <v>0</v>
      </c>
      <c r="AQ90">
        <f>Tokens!AS92</f>
        <v>0</v>
      </c>
      <c r="AR90">
        <f>Tokens!AT92</f>
        <v>0</v>
      </c>
      <c r="AS90">
        <f>Tokens!AU92</f>
        <v>0</v>
      </c>
      <c r="AT90" t="str">
        <f>Tokens!AV92</f>
        <v>Validation</v>
      </c>
      <c r="AU90" t="str">
        <f>Tokens!AW92</f>
        <v>https://tokensol.nfluent.io?s=COR22C29&amp;platform=ftx</v>
      </c>
      <c r="AV90" t="str">
        <f>Tokens!AX92</f>
        <v>paul</v>
      </c>
      <c r="AW90">
        <f>Tokens!AY92</f>
        <v>10</v>
      </c>
      <c r="AX90" t="str">
        <f>Tokens!AZ92</f>
        <v>sophie</v>
      </c>
      <c r="AY90">
        <f>Tokens!BA92</f>
        <v>90</v>
      </c>
      <c r="AZ90">
        <f>Tokens!BB92</f>
        <v>0</v>
      </c>
      <c r="BA90">
        <f>Tokens!BC92</f>
        <v>0</v>
      </c>
      <c r="BB90">
        <f>Tokens!BD92</f>
        <v>0</v>
      </c>
      <c r="BC90">
        <f>Tokens!BE92</f>
        <v>0</v>
      </c>
      <c r="BD90">
        <f>Tokens!BF92</f>
        <v>0</v>
      </c>
      <c r="BE90">
        <f>Tokens!BG92</f>
        <v>0</v>
      </c>
      <c r="BF90">
        <f>Tokens!BH92</f>
        <v>0</v>
      </c>
      <c r="BG90">
        <f>Tokens!BI92</f>
        <v>0</v>
      </c>
      <c r="BH90" t="str">
        <f>Tokens!BJ92</f>
        <v>La Porteuse D'Eau</v>
      </c>
      <c r="BI90" t="str">
        <f>Tokens!BK92</f>
        <v>Calvi On The Rocks</v>
      </c>
    </row>
    <row r="91" spans="1:61" x14ac:dyDescent="0.25">
      <c r="A91" t="str">
        <f>Tokens!C93</f>
        <v>La Porteuse D'Eau #30</v>
      </c>
      <c r="B91" t="str">
        <f>Tokens!D93</f>
        <v>COR22C30</v>
      </c>
      <c r="C91" t="str">
        <f>Tokens!E93</f>
        <v>La Porteuse D'Eau, 3 ans - Pass NFT 5 jours pour 2 personnes, valable pour 3 éditions Calvi On The Rocks de votre choix.</v>
      </c>
      <c r="D91">
        <f>Tokens!F93</f>
        <v>1000</v>
      </c>
      <c r="E91" t="str">
        <f>Tokens!G93</f>
        <v>https://bafybeicordeza5gk2bza3mvxlpkuixf2rl7wnnuldoo222om2i4bxv2oqa.ipfs.nftstorage.link?image_10.png</v>
      </c>
      <c r="F91" t="str">
        <f>Tokens!H93</f>
        <v>NfluenT for Calvi On The rocks</v>
      </c>
      <c r="G91">
        <f>Tokens!I93</f>
        <v>0</v>
      </c>
      <c r="H91" t="str">
        <f>Tokens!J93</f>
        <v>Pass festival</v>
      </c>
      <c r="I91" t="str">
        <f>Tokens!K93</f>
        <v>pour deux(2) personnes</v>
      </c>
      <c r="J91" t="str">
        <f>Tokens!L93</f>
        <v>Edition1</v>
      </c>
      <c r="K91">
        <f>Tokens!M93</f>
        <v>2</v>
      </c>
      <c r="L91" t="str">
        <f>Tokens!N93</f>
        <v>Edition2</v>
      </c>
      <c r="M91">
        <f>Tokens!O93</f>
        <v>2</v>
      </c>
      <c r="N91" t="str">
        <f>Tokens!P93</f>
        <v>Edition3</v>
      </c>
      <c r="O91">
        <f>Tokens!Q93</f>
        <v>2</v>
      </c>
      <c r="P91">
        <f>Tokens!R93</f>
        <v>0</v>
      </c>
      <c r="Q91">
        <f>Tokens!S93</f>
        <v>0</v>
      </c>
      <c r="R91">
        <f>Tokens!T93</f>
        <v>0</v>
      </c>
      <c r="S91">
        <f>Tokens!U93</f>
        <v>0</v>
      </c>
      <c r="T91" t="str">
        <f>Tokens!V93</f>
        <v>Dernière utilisation</v>
      </c>
      <c r="U91">
        <f>Tokens!W93</f>
        <v>0</v>
      </c>
      <c r="V91">
        <f>Tokens!X93</f>
        <v>0</v>
      </c>
      <c r="W91">
        <f>Tokens!Y93</f>
        <v>0</v>
      </c>
      <c r="X91" t="str">
        <f>Tokens!Z93</f>
        <v>avantage1</v>
      </c>
      <c r="Y91" t="str">
        <f>Tokens!AA93</f>
        <v>accès pour deux (2) personnes à un (1) événement partenaire officiel de Calvi on the Rocks</v>
      </c>
      <c r="Z91">
        <f>Tokens!AB93</f>
        <v>0</v>
      </c>
      <c r="AA91">
        <f>Tokens!AC93</f>
        <v>0</v>
      </c>
      <c r="AB91">
        <f>Tokens!AD93</f>
        <v>0</v>
      </c>
      <c r="AC91">
        <f>Tokens!AE93</f>
        <v>0</v>
      </c>
      <c r="AD91">
        <f>Tokens!AF93</f>
        <v>0</v>
      </c>
      <c r="AE91">
        <f>Tokens!AG93</f>
        <v>0</v>
      </c>
      <c r="AF91" t="str">
        <f>Tokens!AH93</f>
        <v>avantage2</v>
      </c>
      <c r="AG91" t="str">
        <f>Tokens!AI93</f>
        <v>accès membre pour les after party officielles pour deux (2) personnes</v>
      </c>
      <c r="AH91" t="str">
        <f>Tokens!AJ93</f>
        <v>avantage3</v>
      </c>
      <c r="AI91" t="str">
        <f>Tokens!AK93</f>
        <v>accès prioritaire et bar dédié (consommation à la charge du festivalier) - tables réservées à l'avance pour les « NFT member » pour deux (2) personnes</v>
      </c>
      <c r="AJ91" t="str">
        <f>Tokens!AL93</f>
        <v>avantage4</v>
      </c>
      <c r="AK91" t="str">
        <f>Tokens!AM93</f>
        <v>1 affiche dédicacée et numérotée</v>
      </c>
      <c r="AL91">
        <f>Tokens!AN93</f>
        <v>0</v>
      </c>
      <c r="AM91">
        <f>Tokens!AO93</f>
        <v>0</v>
      </c>
      <c r="AN91">
        <f>Tokens!AP93</f>
        <v>0</v>
      </c>
      <c r="AO91">
        <f>Tokens!AQ93</f>
        <v>0</v>
      </c>
      <c r="AP91">
        <f>Tokens!AR93</f>
        <v>0</v>
      </c>
      <c r="AQ91">
        <f>Tokens!AS93</f>
        <v>0</v>
      </c>
      <c r="AR91">
        <f>Tokens!AT93</f>
        <v>0</v>
      </c>
      <c r="AS91">
        <f>Tokens!AU93</f>
        <v>0</v>
      </c>
      <c r="AT91" t="str">
        <f>Tokens!AV93</f>
        <v>Validation</v>
      </c>
      <c r="AU91" t="str">
        <f>Tokens!AW93</f>
        <v>https://tokensol.nfluent.io?s=COR22C30&amp;platform=ftx</v>
      </c>
      <c r="AV91" t="str">
        <f>Tokens!AX93</f>
        <v>paul</v>
      </c>
      <c r="AW91">
        <f>Tokens!AY93</f>
        <v>10</v>
      </c>
      <c r="AX91" t="str">
        <f>Tokens!AZ93</f>
        <v>sophie</v>
      </c>
      <c r="AY91">
        <f>Tokens!BA93</f>
        <v>90</v>
      </c>
      <c r="AZ91">
        <f>Tokens!BB93</f>
        <v>0</v>
      </c>
      <c r="BA91">
        <f>Tokens!BC93</f>
        <v>0</v>
      </c>
      <c r="BB91">
        <f>Tokens!BD93</f>
        <v>0</v>
      </c>
      <c r="BC91">
        <f>Tokens!BE93</f>
        <v>0</v>
      </c>
      <c r="BD91">
        <f>Tokens!BF93</f>
        <v>0</v>
      </c>
      <c r="BE91">
        <f>Tokens!BG93</f>
        <v>0</v>
      </c>
      <c r="BF91">
        <f>Tokens!BH93</f>
        <v>0</v>
      </c>
      <c r="BG91">
        <f>Tokens!BI93</f>
        <v>0</v>
      </c>
      <c r="BH91" t="str">
        <f>Tokens!BJ93</f>
        <v>La Porteuse D'Eau</v>
      </c>
      <c r="BI91" t="str">
        <f>Tokens!BK93</f>
        <v>Calvi On The Rocks</v>
      </c>
    </row>
    <row r="92" spans="1:61" x14ac:dyDescent="0.25">
      <c r="A92" t="str">
        <f>Tokens!C94</f>
        <v>La Porteuse D'Eau #31</v>
      </c>
      <c r="B92" t="str">
        <f>Tokens!D94</f>
        <v>COR22C31</v>
      </c>
      <c r="C92" t="str">
        <f>Tokens!E94</f>
        <v>La Porteuse D'Eau, 3 ans - Pass NFT 5 jours pour 2 personnes, valable pour 3 éditions Calvi On The Rocks de votre choix.</v>
      </c>
      <c r="D92">
        <f>Tokens!F94</f>
        <v>1000</v>
      </c>
      <c r="E92" t="str">
        <f>Tokens!G94</f>
        <v>https://bafybeicordeza5gk2bza3mvxlpkuixf2rl7wnnuldoo222om2i4bxv2oqa.ipfs.nftstorage.link?image_10.png</v>
      </c>
      <c r="F92" t="str">
        <f>Tokens!H94</f>
        <v>NfluenT for Calvi On The rocks</v>
      </c>
      <c r="G92">
        <f>Tokens!I94</f>
        <v>0</v>
      </c>
      <c r="H92" t="str">
        <f>Tokens!J94</f>
        <v>Pass festival</v>
      </c>
      <c r="I92" t="str">
        <f>Tokens!K94</f>
        <v>pour deux(2) personnes</v>
      </c>
      <c r="J92" t="str">
        <f>Tokens!L94</f>
        <v>Edition1</v>
      </c>
      <c r="K92">
        <f>Tokens!M94</f>
        <v>2</v>
      </c>
      <c r="L92" t="str">
        <f>Tokens!N94</f>
        <v>Edition2</v>
      </c>
      <c r="M92">
        <f>Tokens!O94</f>
        <v>2</v>
      </c>
      <c r="N92" t="str">
        <f>Tokens!P94</f>
        <v>Edition3</v>
      </c>
      <c r="O92">
        <f>Tokens!Q94</f>
        <v>2</v>
      </c>
      <c r="P92">
        <f>Tokens!R94</f>
        <v>0</v>
      </c>
      <c r="Q92">
        <f>Tokens!S94</f>
        <v>0</v>
      </c>
      <c r="R92">
        <f>Tokens!T94</f>
        <v>0</v>
      </c>
      <c r="S92">
        <f>Tokens!U94</f>
        <v>0</v>
      </c>
      <c r="T92" t="str">
        <f>Tokens!V94</f>
        <v>Dernière utilisation</v>
      </c>
      <c r="U92">
        <f>Tokens!W94</f>
        <v>0</v>
      </c>
      <c r="V92">
        <f>Tokens!X94</f>
        <v>0</v>
      </c>
      <c r="W92">
        <f>Tokens!Y94</f>
        <v>0</v>
      </c>
      <c r="X92" t="str">
        <f>Tokens!Z94</f>
        <v>avantage1</v>
      </c>
      <c r="Y92" t="str">
        <f>Tokens!AA94</f>
        <v>accès pour deux (2) personnes à un (1) événement partenaire officiel de Calvi on the Rocks</v>
      </c>
      <c r="Z92">
        <f>Tokens!AB94</f>
        <v>0</v>
      </c>
      <c r="AA92">
        <f>Tokens!AC94</f>
        <v>0</v>
      </c>
      <c r="AB92">
        <f>Tokens!AD94</f>
        <v>0</v>
      </c>
      <c r="AC92">
        <f>Tokens!AE94</f>
        <v>0</v>
      </c>
      <c r="AD92">
        <f>Tokens!AF94</f>
        <v>0</v>
      </c>
      <c r="AE92">
        <f>Tokens!AG94</f>
        <v>0</v>
      </c>
      <c r="AF92" t="str">
        <f>Tokens!AH94</f>
        <v>avantage2</v>
      </c>
      <c r="AG92" t="str">
        <f>Tokens!AI94</f>
        <v>accès membre pour les after party officielles pour deux (2) personnes</v>
      </c>
      <c r="AH92" t="str">
        <f>Tokens!AJ94</f>
        <v>avantage3</v>
      </c>
      <c r="AI92" t="str">
        <f>Tokens!AK94</f>
        <v>accès prioritaire et bar dédié (consommation à la charge du festivalier) - tables réservées à l'avance pour les « NFT member » pour deux (2) personnes</v>
      </c>
      <c r="AJ92" t="str">
        <f>Tokens!AL94</f>
        <v>avantage4</v>
      </c>
      <c r="AK92" t="str">
        <f>Tokens!AM94</f>
        <v>1 affiche dédicacée et numérotée</v>
      </c>
      <c r="AL92">
        <f>Tokens!AN94</f>
        <v>0</v>
      </c>
      <c r="AM92">
        <f>Tokens!AO94</f>
        <v>0</v>
      </c>
      <c r="AN92">
        <f>Tokens!AP94</f>
        <v>0</v>
      </c>
      <c r="AO92">
        <f>Tokens!AQ94</f>
        <v>0</v>
      </c>
      <c r="AP92">
        <f>Tokens!AR94</f>
        <v>0</v>
      </c>
      <c r="AQ92">
        <f>Tokens!AS94</f>
        <v>0</v>
      </c>
      <c r="AR92">
        <f>Tokens!AT94</f>
        <v>0</v>
      </c>
      <c r="AS92">
        <f>Tokens!AU94</f>
        <v>0</v>
      </c>
      <c r="AT92" t="str">
        <f>Tokens!AV94</f>
        <v>Validation</v>
      </c>
      <c r="AU92" t="str">
        <f>Tokens!AW94</f>
        <v>https://tokensol.nfluent.io?s=COR22C31&amp;platform=ftx</v>
      </c>
      <c r="AV92" t="str">
        <f>Tokens!AX94</f>
        <v>paul</v>
      </c>
      <c r="AW92">
        <f>Tokens!AY94</f>
        <v>10</v>
      </c>
      <c r="AX92" t="str">
        <f>Tokens!AZ94</f>
        <v>sophie</v>
      </c>
      <c r="AY92">
        <f>Tokens!BA94</f>
        <v>90</v>
      </c>
      <c r="AZ92">
        <f>Tokens!BB94</f>
        <v>0</v>
      </c>
      <c r="BA92">
        <f>Tokens!BC94</f>
        <v>0</v>
      </c>
      <c r="BB92">
        <f>Tokens!BD94</f>
        <v>0</v>
      </c>
      <c r="BC92">
        <f>Tokens!BE94</f>
        <v>0</v>
      </c>
      <c r="BD92">
        <f>Tokens!BF94</f>
        <v>0</v>
      </c>
      <c r="BE92">
        <f>Tokens!BG94</f>
        <v>0</v>
      </c>
      <c r="BF92">
        <f>Tokens!BH94</f>
        <v>0</v>
      </c>
      <c r="BG92">
        <f>Tokens!BI94</f>
        <v>0</v>
      </c>
      <c r="BH92" t="str">
        <f>Tokens!BJ94</f>
        <v>La Porteuse D'Eau</v>
      </c>
      <c r="BI92" t="str">
        <f>Tokens!BK94</f>
        <v>Calvi On The Rocks</v>
      </c>
    </row>
    <row r="93" spans="1:61" x14ac:dyDescent="0.25">
      <c r="A93" t="str">
        <f>Tokens!C95</f>
        <v>La Porteuse D'Eau #32</v>
      </c>
      <c r="B93" t="str">
        <f>Tokens!D95</f>
        <v>COR22C32</v>
      </c>
      <c r="C93" t="str">
        <f>Tokens!E95</f>
        <v>La Porteuse D'Eau, 3 ans - Pass NFT 5 jours pour 2 personnes, valable pour 3 éditions Calvi On The Rocks de votre choix.</v>
      </c>
      <c r="D93">
        <f>Tokens!F95</f>
        <v>1000</v>
      </c>
      <c r="E93" t="str">
        <f>Tokens!G95</f>
        <v>https://bafybeicordeza5gk2bza3mvxlpkuixf2rl7wnnuldoo222om2i4bxv2oqa.ipfs.nftstorage.link?image_10.png</v>
      </c>
      <c r="F93" t="str">
        <f>Tokens!H95</f>
        <v>NfluenT for Calvi On The rocks</v>
      </c>
      <c r="G93">
        <f>Tokens!I95</f>
        <v>0</v>
      </c>
      <c r="H93" t="str">
        <f>Tokens!J95</f>
        <v>Pass festival</v>
      </c>
      <c r="I93" t="str">
        <f>Tokens!K95</f>
        <v>pour deux(2) personnes</v>
      </c>
      <c r="J93" t="str">
        <f>Tokens!L95</f>
        <v>Edition1</v>
      </c>
      <c r="K93">
        <f>Tokens!M95</f>
        <v>2</v>
      </c>
      <c r="L93" t="str">
        <f>Tokens!N95</f>
        <v>Edition2</v>
      </c>
      <c r="M93">
        <f>Tokens!O95</f>
        <v>2</v>
      </c>
      <c r="N93" t="str">
        <f>Tokens!P95</f>
        <v>Edition3</v>
      </c>
      <c r="O93">
        <f>Tokens!Q95</f>
        <v>2</v>
      </c>
      <c r="P93">
        <f>Tokens!R95</f>
        <v>0</v>
      </c>
      <c r="Q93">
        <f>Tokens!S95</f>
        <v>0</v>
      </c>
      <c r="R93">
        <f>Tokens!T95</f>
        <v>0</v>
      </c>
      <c r="S93">
        <f>Tokens!U95</f>
        <v>0</v>
      </c>
      <c r="T93" t="str">
        <f>Tokens!V95</f>
        <v>Dernière utilisation</v>
      </c>
      <c r="U93">
        <f>Tokens!W95</f>
        <v>0</v>
      </c>
      <c r="V93">
        <f>Tokens!X95</f>
        <v>0</v>
      </c>
      <c r="W93">
        <f>Tokens!Y95</f>
        <v>0</v>
      </c>
      <c r="X93" t="str">
        <f>Tokens!Z95</f>
        <v>avantage1</v>
      </c>
      <c r="Y93" t="str">
        <f>Tokens!AA95</f>
        <v>accès pour deux (2) personnes à un (1) événement partenaire officiel de Calvi on the Rocks</v>
      </c>
      <c r="Z93">
        <f>Tokens!AB95</f>
        <v>0</v>
      </c>
      <c r="AA93">
        <f>Tokens!AC95</f>
        <v>0</v>
      </c>
      <c r="AB93">
        <f>Tokens!AD95</f>
        <v>0</v>
      </c>
      <c r="AC93">
        <f>Tokens!AE95</f>
        <v>0</v>
      </c>
      <c r="AD93">
        <f>Tokens!AF95</f>
        <v>0</v>
      </c>
      <c r="AE93">
        <f>Tokens!AG95</f>
        <v>0</v>
      </c>
      <c r="AF93" t="str">
        <f>Tokens!AH95</f>
        <v>avantage2</v>
      </c>
      <c r="AG93" t="str">
        <f>Tokens!AI95</f>
        <v>accès membre pour les after party officielles pour deux (2) personnes</v>
      </c>
      <c r="AH93" t="str">
        <f>Tokens!AJ95</f>
        <v>avantage3</v>
      </c>
      <c r="AI93" t="str">
        <f>Tokens!AK95</f>
        <v>accès prioritaire et bar dédié (consommation à la charge du festivalier) - tables réservées à l'avance pour les « NFT member » pour deux (2) personnes</v>
      </c>
      <c r="AJ93" t="str">
        <f>Tokens!AL95</f>
        <v>avantage4</v>
      </c>
      <c r="AK93" t="str">
        <f>Tokens!AM95</f>
        <v>1 affiche dédicacée et numérotée</v>
      </c>
      <c r="AL93">
        <f>Tokens!AN95</f>
        <v>0</v>
      </c>
      <c r="AM93">
        <f>Tokens!AO95</f>
        <v>0</v>
      </c>
      <c r="AN93">
        <f>Tokens!AP95</f>
        <v>0</v>
      </c>
      <c r="AO93">
        <f>Tokens!AQ95</f>
        <v>0</v>
      </c>
      <c r="AP93">
        <f>Tokens!AR95</f>
        <v>0</v>
      </c>
      <c r="AQ93">
        <f>Tokens!AS95</f>
        <v>0</v>
      </c>
      <c r="AR93">
        <f>Tokens!AT95</f>
        <v>0</v>
      </c>
      <c r="AS93">
        <f>Tokens!AU95</f>
        <v>0</v>
      </c>
      <c r="AT93" t="str">
        <f>Tokens!AV95</f>
        <v>Validation</v>
      </c>
      <c r="AU93" t="str">
        <f>Tokens!AW95</f>
        <v>https://tokensol.nfluent.io?s=COR22C32&amp;platform=ftx</v>
      </c>
      <c r="AV93" t="str">
        <f>Tokens!AX95</f>
        <v>paul</v>
      </c>
      <c r="AW93">
        <f>Tokens!AY95</f>
        <v>10</v>
      </c>
      <c r="AX93" t="str">
        <f>Tokens!AZ95</f>
        <v>sophie</v>
      </c>
      <c r="AY93">
        <f>Tokens!BA95</f>
        <v>90</v>
      </c>
      <c r="AZ93">
        <f>Tokens!BB95</f>
        <v>0</v>
      </c>
      <c r="BA93">
        <f>Tokens!BC95</f>
        <v>0</v>
      </c>
      <c r="BB93">
        <f>Tokens!BD95</f>
        <v>0</v>
      </c>
      <c r="BC93">
        <f>Tokens!BE95</f>
        <v>0</v>
      </c>
      <c r="BD93">
        <f>Tokens!BF95</f>
        <v>0</v>
      </c>
      <c r="BE93">
        <f>Tokens!BG95</f>
        <v>0</v>
      </c>
      <c r="BF93">
        <f>Tokens!BH95</f>
        <v>0</v>
      </c>
      <c r="BG93">
        <f>Tokens!BI95</f>
        <v>0</v>
      </c>
      <c r="BH93" t="str">
        <f>Tokens!BJ95</f>
        <v>La Porteuse D'Eau</v>
      </c>
      <c r="BI93" t="str">
        <f>Tokens!BK95</f>
        <v>Calvi On The Rocks</v>
      </c>
    </row>
    <row r="94" spans="1:61" x14ac:dyDescent="0.25">
      <c r="A94" t="str">
        <f>Tokens!C96</f>
        <v>La Porteuse D'Eau #33</v>
      </c>
      <c r="B94" t="str">
        <f>Tokens!D96</f>
        <v>COR22C33</v>
      </c>
      <c r="C94" t="str">
        <f>Tokens!E96</f>
        <v>La Porteuse D'Eau, 3 ans - Pass NFT 5 jours pour 2 personnes, valable pour 3 éditions Calvi On The Rocks de votre choix.</v>
      </c>
      <c r="D94">
        <f>Tokens!F96</f>
        <v>1000</v>
      </c>
      <c r="E94" t="str">
        <f>Tokens!G96</f>
        <v>https://bafybeicordeza5gk2bza3mvxlpkuixf2rl7wnnuldoo222om2i4bxv2oqa.ipfs.nftstorage.link?image_10.png</v>
      </c>
      <c r="F94" t="str">
        <f>Tokens!H96</f>
        <v>NfluenT for Calvi On The rocks</v>
      </c>
      <c r="G94">
        <f>Tokens!I96</f>
        <v>0</v>
      </c>
      <c r="H94" t="str">
        <f>Tokens!J96</f>
        <v>Pass festival</v>
      </c>
      <c r="I94" t="str">
        <f>Tokens!K96</f>
        <v>pour deux(2) personnes</v>
      </c>
      <c r="J94" t="str">
        <f>Tokens!L96</f>
        <v>Edition1</v>
      </c>
      <c r="K94">
        <f>Tokens!M96</f>
        <v>2</v>
      </c>
      <c r="L94" t="str">
        <f>Tokens!N96</f>
        <v>Edition2</v>
      </c>
      <c r="M94">
        <f>Tokens!O96</f>
        <v>2</v>
      </c>
      <c r="N94" t="str">
        <f>Tokens!P96</f>
        <v>Edition3</v>
      </c>
      <c r="O94">
        <f>Tokens!Q96</f>
        <v>2</v>
      </c>
      <c r="P94">
        <f>Tokens!R96</f>
        <v>0</v>
      </c>
      <c r="Q94">
        <f>Tokens!S96</f>
        <v>0</v>
      </c>
      <c r="R94">
        <f>Tokens!T96</f>
        <v>0</v>
      </c>
      <c r="S94">
        <f>Tokens!U96</f>
        <v>0</v>
      </c>
      <c r="T94" t="str">
        <f>Tokens!V96</f>
        <v>Dernière utilisation</v>
      </c>
      <c r="U94">
        <f>Tokens!W96</f>
        <v>0</v>
      </c>
      <c r="V94">
        <f>Tokens!X96</f>
        <v>0</v>
      </c>
      <c r="W94">
        <f>Tokens!Y96</f>
        <v>0</v>
      </c>
      <c r="X94" t="str">
        <f>Tokens!Z96</f>
        <v>avantage1</v>
      </c>
      <c r="Y94" t="str">
        <f>Tokens!AA96</f>
        <v>accès pour deux (2) personnes à un (1) événement partenaire officiel de Calvi on the Rocks</v>
      </c>
      <c r="Z94">
        <f>Tokens!AB96</f>
        <v>0</v>
      </c>
      <c r="AA94">
        <f>Tokens!AC96</f>
        <v>0</v>
      </c>
      <c r="AB94">
        <f>Tokens!AD96</f>
        <v>0</v>
      </c>
      <c r="AC94">
        <f>Tokens!AE96</f>
        <v>0</v>
      </c>
      <c r="AD94">
        <f>Tokens!AF96</f>
        <v>0</v>
      </c>
      <c r="AE94">
        <f>Tokens!AG96</f>
        <v>0</v>
      </c>
      <c r="AF94" t="str">
        <f>Tokens!AH96</f>
        <v>avantage2</v>
      </c>
      <c r="AG94" t="str">
        <f>Tokens!AI96</f>
        <v>accès membre pour les after party officielles pour deux (2) personnes</v>
      </c>
      <c r="AH94" t="str">
        <f>Tokens!AJ96</f>
        <v>avantage3</v>
      </c>
      <c r="AI94" t="str">
        <f>Tokens!AK96</f>
        <v>accès prioritaire et bar dédié (consommation à la charge du festivalier) - tables réservées à l'avance pour les « NFT member » pour deux (2) personnes</v>
      </c>
      <c r="AJ94" t="str">
        <f>Tokens!AL96</f>
        <v>avantage4</v>
      </c>
      <c r="AK94" t="str">
        <f>Tokens!AM96</f>
        <v>1 affiche dédicacée et numérotée</v>
      </c>
      <c r="AL94">
        <f>Tokens!AN96</f>
        <v>0</v>
      </c>
      <c r="AM94">
        <f>Tokens!AO96</f>
        <v>0</v>
      </c>
      <c r="AN94">
        <f>Tokens!AP96</f>
        <v>0</v>
      </c>
      <c r="AO94">
        <f>Tokens!AQ96</f>
        <v>0</v>
      </c>
      <c r="AP94">
        <f>Tokens!AR96</f>
        <v>0</v>
      </c>
      <c r="AQ94">
        <f>Tokens!AS96</f>
        <v>0</v>
      </c>
      <c r="AR94">
        <f>Tokens!AT96</f>
        <v>0</v>
      </c>
      <c r="AS94">
        <f>Tokens!AU96</f>
        <v>0</v>
      </c>
      <c r="AT94" t="str">
        <f>Tokens!AV96</f>
        <v>Validation</v>
      </c>
      <c r="AU94" t="str">
        <f>Tokens!AW96</f>
        <v>https://tokensol.nfluent.io?s=COR22C33&amp;platform=ftx</v>
      </c>
      <c r="AV94" t="str">
        <f>Tokens!AX96</f>
        <v>paul</v>
      </c>
      <c r="AW94">
        <f>Tokens!AY96</f>
        <v>10</v>
      </c>
      <c r="AX94" t="str">
        <f>Tokens!AZ96</f>
        <v>sophie</v>
      </c>
      <c r="AY94">
        <f>Tokens!BA96</f>
        <v>90</v>
      </c>
      <c r="AZ94">
        <f>Tokens!BB96</f>
        <v>0</v>
      </c>
      <c r="BA94">
        <f>Tokens!BC96</f>
        <v>0</v>
      </c>
      <c r="BB94">
        <f>Tokens!BD96</f>
        <v>0</v>
      </c>
      <c r="BC94">
        <f>Tokens!BE96</f>
        <v>0</v>
      </c>
      <c r="BD94">
        <f>Tokens!BF96</f>
        <v>0</v>
      </c>
      <c r="BE94">
        <f>Tokens!BG96</f>
        <v>0</v>
      </c>
      <c r="BF94">
        <f>Tokens!BH96</f>
        <v>0</v>
      </c>
      <c r="BG94">
        <f>Tokens!BI96</f>
        <v>0</v>
      </c>
      <c r="BH94" t="str">
        <f>Tokens!BJ96</f>
        <v>La Porteuse D'Eau</v>
      </c>
      <c r="BI94" t="str">
        <f>Tokens!BK96</f>
        <v>Calvi On The Rocks</v>
      </c>
    </row>
    <row r="95" spans="1:61" x14ac:dyDescent="0.25">
      <c r="A95" t="str">
        <f>Tokens!C97</f>
        <v>La Porteuse D'Eau #34</v>
      </c>
      <c r="B95" t="str">
        <f>Tokens!D97</f>
        <v>COR22C34</v>
      </c>
      <c r="C95" t="str">
        <f>Tokens!E97</f>
        <v>La Porteuse D'Eau, 3 ans - Pass NFT 5 jours pour 2 personnes, valable pour 3 éditions Calvi On The Rocks de votre choix.</v>
      </c>
      <c r="D95">
        <f>Tokens!F97</f>
        <v>1000</v>
      </c>
      <c r="E95" t="str">
        <f>Tokens!G97</f>
        <v>https://bafybeicordeza5gk2bza3mvxlpkuixf2rl7wnnuldoo222om2i4bxv2oqa.ipfs.nftstorage.link?image_10.png</v>
      </c>
      <c r="F95" t="str">
        <f>Tokens!H97</f>
        <v>NfluenT for Calvi On The rocks</v>
      </c>
      <c r="G95">
        <f>Tokens!I97</f>
        <v>0</v>
      </c>
      <c r="H95" t="str">
        <f>Tokens!J97</f>
        <v>Pass festival</v>
      </c>
      <c r="I95" t="str">
        <f>Tokens!K97</f>
        <v>pour deux(2) personnes</v>
      </c>
      <c r="J95" t="str">
        <f>Tokens!L97</f>
        <v>Edition1</v>
      </c>
      <c r="K95">
        <f>Tokens!M97</f>
        <v>2</v>
      </c>
      <c r="L95" t="str">
        <f>Tokens!N97</f>
        <v>Edition2</v>
      </c>
      <c r="M95">
        <f>Tokens!O97</f>
        <v>2</v>
      </c>
      <c r="N95" t="str">
        <f>Tokens!P97</f>
        <v>Edition3</v>
      </c>
      <c r="O95">
        <f>Tokens!Q97</f>
        <v>2</v>
      </c>
      <c r="P95">
        <f>Tokens!R97</f>
        <v>0</v>
      </c>
      <c r="Q95">
        <f>Tokens!S97</f>
        <v>0</v>
      </c>
      <c r="R95">
        <f>Tokens!T97</f>
        <v>0</v>
      </c>
      <c r="S95">
        <f>Tokens!U97</f>
        <v>0</v>
      </c>
      <c r="T95" t="str">
        <f>Tokens!V97</f>
        <v>Dernière utilisation</v>
      </c>
      <c r="U95">
        <f>Tokens!W97</f>
        <v>0</v>
      </c>
      <c r="V95">
        <f>Tokens!X97</f>
        <v>0</v>
      </c>
      <c r="W95">
        <f>Tokens!Y97</f>
        <v>0</v>
      </c>
      <c r="X95" t="str">
        <f>Tokens!Z97</f>
        <v>avantage1</v>
      </c>
      <c r="Y95" t="str">
        <f>Tokens!AA97</f>
        <v>accès pour deux (2) personnes à un (1) événement partenaire officiel de Calvi on the Rocks</v>
      </c>
      <c r="Z95">
        <f>Tokens!AB97</f>
        <v>0</v>
      </c>
      <c r="AA95">
        <f>Tokens!AC97</f>
        <v>0</v>
      </c>
      <c r="AB95">
        <f>Tokens!AD97</f>
        <v>0</v>
      </c>
      <c r="AC95">
        <f>Tokens!AE97</f>
        <v>0</v>
      </c>
      <c r="AD95">
        <f>Tokens!AF97</f>
        <v>0</v>
      </c>
      <c r="AE95">
        <f>Tokens!AG97</f>
        <v>0</v>
      </c>
      <c r="AF95" t="str">
        <f>Tokens!AH97</f>
        <v>avantage2</v>
      </c>
      <c r="AG95" t="str">
        <f>Tokens!AI97</f>
        <v>accès membre pour les after party officielles pour deux (2) personnes</v>
      </c>
      <c r="AH95" t="str">
        <f>Tokens!AJ97</f>
        <v>avantage3</v>
      </c>
      <c r="AI95" t="str">
        <f>Tokens!AK97</f>
        <v>accès prioritaire et bar dédié (consommation à la charge du festivalier) - tables réservées à l'avance pour les « NFT member » pour deux (2) personnes</v>
      </c>
      <c r="AJ95" t="str">
        <f>Tokens!AL97</f>
        <v>avantage4</v>
      </c>
      <c r="AK95" t="str">
        <f>Tokens!AM97</f>
        <v>1 affiche dédicacée et numérotée</v>
      </c>
      <c r="AL95">
        <f>Tokens!AN97</f>
        <v>0</v>
      </c>
      <c r="AM95">
        <f>Tokens!AO97</f>
        <v>0</v>
      </c>
      <c r="AN95">
        <f>Tokens!AP97</f>
        <v>0</v>
      </c>
      <c r="AO95">
        <f>Tokens!AQ97</f>
        <v>0</v>
      </c>
      <c r="AP95">
        <f>Tokens!AR97</f>
        <v>0</v>
      </c>
      <c r="AQ95">
        <f>Tokens!AS97</f>
        <v>0</v>
      </c>
      <c r="AR95">
        <f>Tokens!AT97</f>
        <v>0</v>
      </c>
      <c r="AS95">
        <f>Tokens!AU97</f>
        <v>0</v>
      </c>
      <c r="AT95" t="str">
        <f>Tokens!AV97</f>
        <v>Validation</v>
      </c>
      <c r="AU95" t="str">
        <f>Tokens!AW97</f>
        <v>https://tokensol.nfluent.io?s=COR22C34&amp;platform=ftx</v>
      </c>
      <c r="AV95" t="str">
        <f>Tokens!AX97</f>
        <v>paul</v>
      </c>
      <c r="AW95">
        <f>Tokens!AY97</f>
        <v>10</v>
      </c>
      <c r="AX95" t="str">
        <f>Tokens!AZ97</f>
        <v>sophie</v>
      </c>
      <c r="AY95">
        <f>Tokens!BA97</f>
        <v>90</v>
      </c>
      <c r="AZ95">
        <f>Tokens!BB97</f>
        <v>0</v>
      </c>
      <c r="BA95">
        <f>Tokens!BC97</f>
        <v>0</v>
      </c>
      <c r="BB95">
        <f>Tokens!BD97</f>
        <v>0</v>
      </c>
      <c r="BC95">
        <f>Tokens!BE97</f>
        <v>0</v>
      </c>
      <c r="BD95">
        <f>Tokens!BF97</f>
        <v>0</v>
      </c>
      <c r="BE95">
        <f>Tokens!BG97</f>
        <v>0</v>
      </c>
      <c r="BF95">
        <f>Tokens!BH97</f>
        <v>0</v>
      </c>
      <c r="BG95">
        <f>Tokens!BI97</f>
        <v>0</v>
      </c>
      <c r="BH95" t="str">
        <f>Tokens!BJ97</f>
        <v>La Porteuse D'Eau</v>
      </c>
      <c r="BI95" t="str">
        <f>Tokens!BK97</f>
        <v>Calvi On The Rocks</v>
      </c>
    </row>
    <row r="96" spans="1:61" x14ac:dyDescent="0.25">
      <c r="A96" t="str">
        <f>Tokens!C98</f>
        <v>La Porteuse D'Eau #35</v>
      </c>
      <c r="B96" t="str">
        <f>Tokens!D98</f>
        <v>COR22C35</v>
      </c>
      <c r="C96" t="str">
        <f>Tokens!E98</f>
        <v>La Porteuse D'Eau, 3 ans - Pass NFT 5 jours pour 2 personnes, valable pour 3 éditions Calvi On The Rocks de votre choix.</v>
      </c>
      <c r="D96">
        <f>Tokens!F98</f>
        <v>1000</v>
      </c>
      <c r="E96" t="str">
        <f>Tokens!G98</f>
        <v>https://bafybeicordeza5gk2bza3mvxlpkuixf2rl7wnnuldoo222om2i4bxv2oqa.ipfs.nftstorage.link?image_10.png</v>
      </c>
      <c r="F96" t="str">
        <f>Tokens!H98</f>
        <v>NfluenT for Calvi On The rocks</v>
      </c>
      <c r="G96">
        <f>Tokens!I98</f>
        <v>0</v>
      </c>
      <c r="H96" t="str">
        <f>Tokens!J98</f>
        <v>Pass festival</v>
      </c>
      <c r="I96" t="str">
        <f>Tokens!K98</f>
        <v>pour deux(2) personnes</v>
      </c>
      <c r="J96" t="str">
        <f>Tokens!L98</f>
        <v>Edition1</v>
      </c>
      <c r="K96">
        <f>Tokens!M98</f>
        <v>2</v>
      </c>
      <c r="L96" t="str">
        <f>Tokens!N98</f>
        <v>Edition2</v>
      </c>
      <c r="M96">
        <f>Tokens!O98</f>
        <v>2</v>
      </c>
      <c r="N96" t="str">
        <f>Tokens!P98</f>
        <v>Edition3</v>
      </c>
      <c r="O96">
        <f>Tokens!Q98</f>
        <v>2</v>
      </c>
      <c r="P96">
        <f>Tokens!R98</f>
        <v>0</v>
      </c>
      <c r="Q96">
        <f>Tokens!S98</f>
        <v>0</v>
      </c>
      <c r="R96">
        <f>Tokens!T98</f>
        <v>0</v>
      </c>
      <c r="S96">
        <f>Tokens!U98</f>
        <v>0</v>
      </c>
      <c r="T96" t="str">
        <f>Tokens!V98</f>
        <v>Dernière utilisation</v>
      </c>
      <c r="U96">
        <f>Tokens!W98</f>
        <v>0</v>
      </c>
      <c r="V96">
        <f>Tokens!X98</f>
        <v>0</v>
      </c>
      <c r="W96">
        <f>Tokens!Y98</f>
        <v>0</v>
      </c>
      <c r="X96" t="str">
        <f>Tokens!Z98</f>
        <v>avantage1</v>
      </c>
      <c r="Y96" t="str">
        <f>Tokens!AA98</f>
        <v>accès pour deux (2) personnes à un (1) événement partenaire officiel de Calvi on the Rocks</v>
      </c>
      <c r="Z96">
        <f>Tokens!AB98</f>
        <v>0</v>
      </c>
      <c r="AA96">
        <f>Tokens!AC98</f>
        <v>0</v>
      </c>
      <c r="AB96">
        <f>Tokens!AD98</f>
        <v>0</v>
      </c>
      <c r="AC96">
        <f>Tokens!AE98</f>
        <v>0</v>
      </c>
      <c r="AD96">
        <f>Tokens!AF98</f>
        <v>0</v>
      </c>
      <c r="AE96">
        <f>Tokens!AG98</f>
        <v>0</v>
      </c>
      <c r="AF96" t="str">
        <f>Tokens!AH98</f>
        <v>avantage2</v>
      </c>
      <c r="AG96" t="str">
        <f>Tokens!AI98</f>
        <v>accès membre pour les after party officielles pour deux (2) personnes</v>
      </c>
      <c r="AH96" t="str">
        <f>Tokens!AJ98</f>
        <v>avantage3</v>
      </c>
      <c r="AI96" t="str">
        <f>Tokens!AK98</f>
        <v>accès prioritaire et bar dédié (consommation à la charge du festivalier) - tables réservées à l'avance pour les « NFT member » pour deux (2) personnes</v>
      </c>
      <c r="AJ96" t="str">
        <f>Tokens!AL98</f>
        <v>avantage4</v>
      </c>
      <c r="AK96" t="str">
        <f>Tokens!AM98</f>
        <v>1 affiche dédicacée et numérotée</v>
      </c>
      <c r="AL96">
        <f>Tokens!AN98</f>
        <v>0</v>
      </c>
      <c r="AM96">
        <f>Tokens!AO98</f>
        <v>0</v>
      </c>
      <c r="AN96">
        <f>Tokens!AP98</f>
        <v>0</v>
      </c>
      <c r="AO96">
        <f>Tokens!AQ98</f>
        <v>0</v>
      </c>
      <c r="AP96">
        <f>Tokens!AR98</f>
        <v>0</v>
      </c>
      <c r="AQ96">
        <f>Tokens!AS98</f>
        <v>0</v>
      </c>
      <c r="AR96">
        <f>Tokens!AT98</f>
        <v>0</v>
      </c>
      <c r="AS96">
        <f>Tokens!AU98</f>
        <v>0</v>
      </c>
      <c r="AT96" t="str">
        <f>Tokens!AV98</f>
        <v>Validation</v>
      </c>
      <c r="AU96" t="str">
        <f>Tokens!AW98</f>
        <v>https://tokensol.nfluent.io?s=COR22C35&amp;platform=ftx</v>
      </c>
      <c r="AV96" t="str">
        <f>Tokens!AX98</f>
        <v>paul</v>
      </c>
      <c r="AW96">
        <f>Tokens!AY98</f>
        <v>10</v>
      </c>
      <c r="AX96" t="str">
        <f>Tokens!AZ98</f>
        <v>sophie</v>
      </c>
      <c r="AY96">
        <f>Tokens!BA98</f>
        <v>90</v>
      </c>
      <c r="AZ96">
        <f>Tokens!BB98</f>
        <v>0</v>
      </c>
      <c r="BA96">
        <f>Tokens!BC98</f>
        <v>0</v>
      </c>
      <c r="BB96">
        <f>Tokens!BD98</f>
        <v>0</v>
      </c>
      <c r="BC96">
        <f>Tokens!BE98</f>
        <v>0</v>
      </c>
      <c r="BD96">
        <f>Tokens!BF98</f>
        <v>0</v>
      </c>
      <c r="BE96">
        <f>Tokens!BG98</f>
        <v>0</v>
      </c>
      <c r="BF96">
        <f>Tokens!BH98</f>
        <v>0</v>
      </c>
      <c r="BG96">
        <f>Tokens!BI98</f>
        <v>0</v>
      </c>
      <c r="BH96" t="str">
        <f>Tokens!BJ98</f>
        <v>La Porteuse D'Eau</v>
      </c>
      <c r="BI96" t="str">
        <f>Tokens!BK98</f>
        <v>Calvi On The Rocks</v>
      </c>
    </row>
    <row r="97" spans="1:61" x14ac:dyDescent="0.25">
      <c r="A97" t="str">
        <f>Tokens!C99</f>
        <v>La Porteuse D'Eau #36</v>
      </c>
      <c r="B97" t="str">
        <f>Tokens!D99</f>
        <v>COR22C36</v>
      </c>
      <c r="C97" t="str">
        <f>Tokens!E99</f>
        <v>La Porteuse D'Eau, 3 ans - Pass NFT 5 jours pour 2 personnes, valable pour 3 éditions Calvi On The Rocks de votre choix.</v>
      </c>
      <c r="D97">
        <f>Tokens!F99</f>
        <v>1000</v>
      </c>
      <c r="E97" t="str">
        <f>Tokens!G99</f>
        <v>https://bafybeicordeza5gk2bza3mvxlpkuixf2rl7wnnuldoo222om2i4bxv2oqa.ipfs.nftstorage.link?image_10.png</v>
      </c>
      <c r="F97" t="str">
        <f>Tokens!H99</f>
        <v>NfluenT for Calvi On The rocks</v>
      </c>
      <c r="G97">
        <f>Tokens!I99</f>
        <v>0</v>
      </c>
      <c r="H97" t="str">
        <f>Tokens!J99</f>
        <v>Pass festival</v>
      </c>
      <c r="I97" t="str">
        <f>Tokens!K99</f>
        <v>pour deux(2) personnes</v>
      </c>
      <c r="J97" t="str">
        <f>Tokens!L99</f>
        <v>Edition1</v>
      </c>
      <c r="K97">
        <f>Tokens!M99</f>
        <v>2</v>
      </c>
      <c r="L97" t="str">
        <f>Tokens!N99</f>
        <v>Edition2</v>
      </c>
      <c r="M97">
        <f>Tokens!O99</f>
        <v>2</v>
      </c>
      <c r="N97" t="str">
        <f>Tokens!P99</f>
        <v>Edition3</v>
      </c>
      <c r="O97">
        <f>Tokens!Q99</f>
        <v>2</v>
      </c>
      <c r="P97">
        <f>Tokens!R99</f>
        <v>0</v>
      </c>
      <c r="Q97">
        <f>Tokens!S99</f>
        <v>0</v>
      </c>
      <c r="R97">
        <f>Tokens!T99</f>
        <v>0</v>
      </c>
      <c r="S97">
        <f>Tokens!U99</f>
        <v>0</v>
      </c>
      <c r="T97" t="str">
        <f>Tokens!V99</f>
        <v>Dernière utilisation</v>
      </c>
      <c r="U97">
        <f>Tokens!W99</f>
        <v>0</v>
      </c>
      <c r="V97">
        <f>Tokens!X99</f>
        <v>0</v>
      </c>
      <c r="W97">
        <f>Tokens!Y99</f>
        <v>0</v>
      </c>
      <c r="X97" t="str">
        <f>Tokens!Z99</f>
        <v>avantage1</v>
      </c>
      <c r="Y97" t="str">
        <f>Tokens!AA99</f>
        <v>accès pour deux (2) personnes à un (1) événement partenaire officiel de Calvi on the Rocks</v>
      </c>
      <c r="Z97">
        <f>Tokens!AB99</f>
        <v>0</v>
      </c>
      <c r="AA97">
        <f>Tokens!AC99</f>
        <v>0</v>
      </c>
      <c r="AB97">
        <f>Tokens!AD99</f>
        <v>0</v>
      </c>
      <c r="AC97">
        <f>Tokens!AE99</f>
        <v>0</v>
      </c>
      <c r="AD97">
        <f>Tokens!AF99</f>
        <v>0</v>
      </c>
      <c r="AE97">
        <f>Tokens!AG99</f>
        <v>0</v>
      </c>
      <c r="AF97" t="str">
        <f>Tokens!AH99</f>
        <v>avantage2</v>
      </c>
      <c r="AG97" t="str">
        <f>Tokens!AI99</f>
        <v>accès membre pour les after party officielles pour deux (2) personnes</v>
      </c>
      <c r="AH97" t="str">
        <f>Tokens!AJ99</f>
        <v>avantage3</v>
      </c>
      <c r="AI97" t="str">
        <f>Tokens!AK99</f>
        <v>accès prioritaire et bar dédié (consommation à la charge du festivalier) - tables réservées à l'avance pour les « NFT member » pour deux (2) personnes</v>
      </c>
      <c r="AJ97" t="str">
        <f>Tokens!AL99</f>
        <v>avantage4</v>
      </c>
      <c r="AK97" t="str">
        <f>Tokens!AM99</f>
        <v>1 affiche dédicacée et numérotée</v>
      </c>
      <c r="AL97">
        <f>Tokens!AN99</f>
        <v>0</v>
      </c>
      <c r="AM97">
        <f>Tokens!AO99</f>
        <v>0</v>
      </c>
      <c r="AN97">
        <f>Tokens!AP99</f>
        <v>0</v>
      </c>
      <c r="AO97">
        <f>Tokens!AQ99</f>
        <v>0</v>
      </c>
      <c r="AP97">
        <f>Tokens!AR99</f>
        <v>0</v>
      </c>
      <c r="AQ97">
        <f>Tokens!AS99</f>
        <v>0</v>
      </c>
      <c r="AR97">
        <f>Tokens!AT99</f>
        <v>0</v>
      </c>
      <c r="AS97">
        <f>Tokens!AU99</f>
        <v>0</v>
      </c>
      <c r="AT97" t="str">
        <f>Tokens!AV99</f>
        <v>Validation</v>
      </c>
      <c r="AU97" t="str">
        <f>Tokens!AW99</f>
        <v>https://tokensol.nfluent.io?s=COR22C36&amp;platform=ftx</v>
      </c>
      <c r="AV97" t="str">
        <f>Tokens!AX99</f>
        <v>paul</v>
      </c>
      <c r="AW97">
        <f>Tokens!AY99</f>
        <v>10</v>
      </c>
      <c r="AX97" t="str">
        <f>Tokens!AZ99</f>
        <v>sophie</v>
      </c>
      <c r="AY97">
        <f>Tokens!BA99</f>
        <v>90</v>
      </c>
      <c r="AZ97">
        <f>Tokens!BB99</f>
        <v>0</v>
      </c>
      <c r="BA97">
        <f>Tokens!BC99</f>
        <v>0</v>
      </c>
      <c r="BB97">
        <f>Tokens!BD99</f>
        <v>0</v>
      </c>
      <c r="BC97">
        <f>Tokens!BE99</f>
        <v>0</v>
      </c>
      <c r="BD97">
        <f>Tokens!BF99</f>
        <v>0</v>
      </c>
      <c r="BE97">
        <f>Tokens!BG99</f>
        <v>0</v>
      </c>
      <c r="BF97">
        <f>Tokens!BH99</f>
        <v>0</v>
      </c>
      <c r="BG97">
        <f>Tokens!BI99</f>
        <v>0</v>
      </c>
      <c r="BH97" t="str">
        <f>Tokens!BJ99</f>
        <v>La Porteuse D'Eau</v>
      </c>
      <c r="BI97" t="str">
        <f>Tokens!BK99</f>
        <v>Calvi On The Rocks</v>
      </c>
    </row>
    <row r="98" spans="1:61" x14ac:dyDescent="0.25">
      <c r="A98" t="str">
        <f>Tokens!C100</f>
        <v>La Porteuse D'Eau #37</v>
      </c>
      <c r="B98" t="str">
        <f>Tokens!D100</f>
        <v>COR22C37</v>
      </c>
      <c r="C98" t="str">
        <f>Tokens!E100</f>
        <v>La Porteuse D'Eau, 3 ans - Pass NFT 5 jours pour 2 personnes, valable pour 3 éditions Calvi On The Rocks de votre choix.</v>
      </c>
      <c r="D98">
        <f>Tokens!F100</f>
        <v>1000</v>
      </c>
      <c r="E98" t="str">
        <f>Tokens!G100</f>
        <v>https://bafybeicordeza5gk2bza3mvxlpkuixf2rl7wnnuldoo222om2i4bxv2oqa.ipfs.nftstorage.link?image_10.png</v>
      </c>
      <c r="F98" t="str">
        <f>Tokens!H100</f>
        <v>NfluenT for Calvi On The rocks</v>
      </c>
      <c r="G98">
        <f>Tokens!I100</f>
        <v>0</v>
      </c>
      <c r="H98" t="str">
        <f>Tokens!J100</f>
        <v>Pass festival</v>
      </c>
      <c r="I98" t="str">
        <f>Tokens!K100</f>
        <v>pour deux(2) personnes</v>
      </c>
      <c r="J98" t="str">
        <f>Tokens!L100</f>
        <v>Edition1</v>
      </c>
      <c r="K98">
        <f>Tokens!M100</f>
        <v>2</v>
      </c>
      <c r="L98" t="str">
        <f>Tokens!N100</f>
        <v>Edition2</v>
      </c>
      <c r="M98">
        <f>Tokens!O100</f>
        <v>2</v>
      </c>
      <c r="N98" t="str">
        <f>Tokens!P100</f>
        <v>Edition3</v>
      </c>
      <c r="O98">
        <f>Tokens!Q100</f>
        <v>2</v>
      </c>
      <c r="P98">
        <f>Tokens!R100</f>
        <v>0</v>
      </c>
      <c r="Q98">
        <f>Tokens!S100</f>
        <v>0</v>
      </c>
      <c r="R98">
        <f>Tokens!T100</f>
        <v>0</v>
      </c>
      <c r="S98">
        <f>Tokens!U100</f>
        <v>0</v>
      </c>
      <c r="T98" t="str">
        <f>Tokens!V100</f>
        <v>Dernière utilisation</v>
      </c>
      <c r="U98">
        <f>Tokens!W100</f>
        <v>0</v>
      </c>
      <c r="V98">
        <f>Tokens!X100</f>
        <v>0</v>
      </c>
      <c r="W98">
        <f>Tokens!Y100</f>
        <v>0</v>
      </c>
      <c r="X98" t="str">
        <f>Tokens!Z100</f>
        <v>avantage1</v>
      </c>
      <c r="Y98" t="str">
        <f>Tokens!AA100</f>
        <v>accès pour deux (2) personnes à un (1) événement partenaire officiel de Calvi on the Rocks</v>
      </c>
      <c r="Z98">
        <f>Tokens!AB100</f>
        <v>0</v>
      </c>
      <c r="AA98">
        <f>Tokens!AC100</f>
        <v>0</v>
      </c>
      <c r="AB98">
        <f>Tokens!AD100</f>
        <v>0</v>
      </c>
      <c r="AC98">
        <f>Tokens!AE100</f>
        <v>0</v>
      </c>
      <c r="AD98">
        <f>Tokens!AF100</f>
        <v>0</v>
      </c>
      <c r="AE98">
        <f>Tokens!AG100</f>
        <v>0</v>
      </c>
      <c r="AF98" t="str">
        <f>Tokens!AH100</f>
        <v>avantage2</v>
      </c>
      <c r="AG98" t="str">
        <f>Tokens!AI100</f>
        <v>accès membre pour les after party officielles pour deux (2) personnes</v>
      </c>
      <c r="AH98" t="str">
        <f>Tokens!AJ100</f>
        <v>avantage3</v>
      </c>
      <c r="AI98" t="str">
        <f>Tokens!AK100</f>
        <v>accès prioritaire et bar dédié (consommation à la charge du festivalier) - tables réservées à l'avance pour les « NFT member » pour deux (2) personnes</v>
      </c>
      <c r="AJ98" t="str">
        <f>Tokens!AL100</f>
        <v>avantage4</v>
      </c>
      <c r="AK98" t="str">
        <f>Tokens!AM100</f>
        <v>1 affiche dédicacée et numérotée</v>
      </c>
      <c r="AL98">
        <f>Tokens!AN100</f>
        <v>0</v>
      </c>
      <c r="AM98">
        <f>Tokens!AO100</f>
        <v>0</v>
      </c>
      <c r="AN98">
        <f>Tokens!AP100</f>
        <v>0</v>
      </c>
      <c r="AO98">
        <f>Tokens!AQ100</f>
        <v>0</v>
      </c>
      <c r="AP98">
        <f>Tokens!AR100</f>
        <v>0</v>
      </c>
      <c r="AQ98">
        <f>Tokens!AS100</f>
        <v>0</v>
      </c>
      <c r="AR98">
        <f>Tokens!AT100</f>
        <v>0</v>
      </c>
      <c r="AS98">
        <f>Tokens!AU100</f>
        <v>0</v>
      </c>
      <c r="AT98" t="str">
        <f>Tokens!AV100</f>
        <v>Validation</v>
      </c>
      <c r="AU98" t="str">
        <f>Tokens!AW100</f>
        <v>https://tokensol.nfluent.io?s=COR22C37&amp;platform=ftx</v>
      </c>
      <c r="AV98" t="str">
        <f>Tokens!AX100</f>
        <v>paul</v>
      </c>
      <c r="AW98">
        <f>Tokens!AY100</f>
        <v>10</v>
      </c>
      <c r="AX98" t="str">
        <f>Tokens!AZ100</f>
        <v>sophie</v>
      </c>
      <c r="AY98">
        <f>Tokens!BA100</f>
        <v>90</v>
      </c>
      <c r="AZ98">
        <f>Tokens!BB100</f>
        <v>0</v>
      </c>
      <c r="BA98">
        <f>Tokens!BC100</f>
        <v>0</v>
      </c>
      <c r="BB98">
        <f>Tokens!BD100</f>
        <v>0</v>
      </c>
      <c r="BC98">
        <f>Tokens!BE100</f>
        <v>0</v>
      </c>
      <c r="BD98">
        <f>Tokens!BF100</f>
        <v>0</v>
      </c>
      <c r="BE98">
        <f>Tokens!BG100</f>
        <v>0</v>
      </c>
      <c r="BF98">
        <f>Tokens!BH100</f>
        <v>0</v>
      </c>
      <c r="BG98">
        <f>Tokens!BI100</f>
        <v>0</v>
      </c>
      <c r="BH98" t="str">
        <f>Tokens!BJ100</f>
        <v>La Porteuse D'Eau</v>
      </c>
      <c r="BI98" t="str">
        <f>Tokens!BK100</f>
        <v>Calvi On The Rocks</v>
      </c>
    </row>
    <row r="99" spans="1:61" x14ac:dyDescent="0.25">
      <c r="A99" t="str">
        <f>Tokens!C101</f>
        <v>La Porteuse D'Eau #38</v>
      </c>
      <c r="B99" t="str">
        <f>Tokens!D101</f>
        <v>COR22C38</v>
      </c>
      <c r="C99" t="str">
        <f>Tokens!E101</f>
        <v>La Porteuse D'Eau, 3 ans - Pass NFT 5 jours pour 2 personnes, valable pour 3 éditions Calvi On The Rocks de votre choix.</v>
      </c>
      <c r="D99">
        <f>Tokens!F101</f>
        <v>1000</v>
      </c>
      <c r="E99" t="str">
        <f>Tokens!G101</f>
        <v>https://bafybeicordeza5gk2bza3mvxlpkuixf2rl7wnnuldoo222om2i4bxv2oqa.ipfs.nftstorage.link?image_10.png</v>
      </c>
      <c r="F99" t="str">
        <f>Tokens!H101</f>
        <v>NfluenT for Calvi On The rocks</v>
      </c>
      <c r="G99">
        <f>Tokens!I101</f>
        <v>0</v>
      </c>
      <c r="H99" t="str">
        <f>Tokens!J101</f>
        <v>Pass festival</v>
      </c>
      <c r="I99" t="str">
        <f>Tokens!K101</f>
        <v>pour deux(2) personnes</v>
      </c>
      <c r="J99" t="str">
        <f>Tokens!L101</f>
        <v>Edition1</v>
      </c>
      <c r="K99">
        <f>Tokens!M101</f>
        <v>2</v>
      </c>
      <c r="L99" t="str">
        <f>Tokens!N101</f>
        <v>Edition2</v>
      </c>
      <c r="M99">
        <f>Tokens!O101</f>
        <v>2</v>
      </c>
      <c r="N99" t="str">
        <f>Tokens!P101</f>
        <v>Edition3</v>
      </c>
      <c r="O99">
        <f>Tokens!Q101</f>
        <v>2</v>
      </c>
      <c r="P99">
        <f>Tokens!R101</f>
        <v>0</v>
      </c>
      <c r="Q99">
        <f>Tokens!S101</f>
        <v>0</v>
      </c>
      <c r="R99">
        <f>Tokens!T101</f>
        <v>0</v>
      </c>
      <c r="S99">
        <f>Tokens!U101</f>
        <v>0</v>
      </c>
      <c r="T99" t="str">
        <f>Tokens!V101</f>
        <v>Dernière utilisation</v>
      </c>
      <c r="U99">
        <f>Tokens!W101</f>
        <v>0</v>
      </c>
      <c r="V99">
        <f>Tokens!X101</f>
        <v>0</v>
      </c>
      <c r="W99">
        <f>Tokens!Y101</f>
        <v>0</v>
      </c>
      <c r="X99" t="str">
        <f>Tokens!Z101</f>
        <v>avantage1</v>
      </c>
      <c r="Y99" t="str">
        <f>Tokens!AA101</f>
        <v>accès pour deux (2) personnes à un (1) événement partenaire officiel de Calvi on the Rocks</v>
      </c>
      <c r="Z99">
        <f>Tokens!AB101</f>
        <v>0</v>
      </c>
      <c r="AA99">
        <f>Tokens!AC101</f>
        <v>0</v>
      </c>
      <c r="AB99">
        <f>Tokens!AD101</f>
        <v>0</v>
      </c>
      <c r="AC99">
        <f>Tokens!AE101</f>
        <v>0</v>
      </c>
      <c r="AD99">
        <f>Tokens!AF101</f>
        <v>0</v>
      </c>
      <c r="AE99">
        <f>Tokens!AG101</f>
        <v>0</v>
      </c>
      <c r="AF99" t="str">
        <f>Tokens!AH101</f>
        <v>avantage2</v>
      </c>
      <c r="AG99" t="str">
        <f>Tokens!AI101</f>
        <v>accès membre pour les after party officielles pour deux (2) personnes</v>
      </c>
      <c r="AH99" t="str">
        <f>Tokens!AJ101</f>
        <v>avantage3</v>
      </c>
      <c r="AI99" t="str">
        <f>Tokens!AK101</f>
        <v>accès prioritaire et bar dédié (consommation à la charge du festivalier) - tables réservées à l'avance pour les « NFT member » pour deux (2) personnes</v>
      </c>
      <c r="AJ99" t="str">
        <f>Tokens!AL101</f>
        <v>avantage4</v>
      </c>
      <c r="AK99" t="str">
        <f>Tokens!AM101</f>
        <v>1 affiche dédicacée et numérotée</v>
      </c>
      <c r="AL99">
        <f>Tokens!AN101</f>
        <v>0</v>
      </c>
      <c r="AM99">
        <f>Tokens!AO101</f>
        <v>0</v>
      </c>
      <c r="AN99">
        <f>Tokens!AP101</f>
        <v>0</v>
      </c>
      <c r="AO99">
        <f>Tokens!AQ101</f>
        <v>0</v>
      </c>
      <c r="AP99">
        <f>Tokens!AR101</f>
        <v>0</v>
      </c>
      <c r="AQ99">
        <f>Tokens!AS101</f>
        <v>0</v>
      </c>
      <c r="AR99">
        <f>Tokens!AT101</f>
        <v>0</v>
      </c>
      <c r="AS99">
        <f>Tokens!AU101</f>
        <v>0</v>
      </c>
      <c r="AT99" t="str">
        <f>Tokens!AV101</f>
        <v>Validation</v>
      </c>
      <c r="AU99" t="str">
        <f>Tokens!AW101</f>
        <v>https://tokensol.nfluent.io?s=COR22C38&amp;platform=ftx</v>
      </c>
      <c r="AV99" t="str">
        <f>Tokens!AX101</f>
        <v>paul</v>
      </c>
      <c r="AW99">
        <f>Tokens!AY101</f>
        <v>10</v>
      </c>
      <c r="AX99" t="str">
        <f>Tokens!AZ101</f>
        <v>sophie</v>
      </c>
      <c r="AY99">
        <f>Tokens!BA101</f>
        <v>90</v>
      </c>
      <c r="AZ99">
        <f>Tokens!BB101</f>
        <v>0</v>
      </c>
      <c r="BA99">
        <f>Tokens!BC101</f>
        <v>0</v>
      </c>
      <c r="BB99">
        <f>Tokens!BD101</f>
        <v>0</v>
      </c>
      <c r="BC99">
        <f>Tokens!BE101</f>
        <v>0</v>
      </c>
      <c r="BD99">
        <f>Tokens!BF101</f>
        <v>0</v>
      </c>
      <c r="BE99">
        <f>Tokens!BG101</f>
        <v>0</v>
      </c>
      <c r="BF99">
        <f>Tokens!BH101</f>
        <v>0</v>
      </c>
      <c r="BG99">
        <f>Tokens!BI101</f>
        <v>0</v>
      </c>
      <c r="BH99" t="str">
        <f>Tokens!BJ101</f>
        <v>La Porteuse D'Eau</v>
      </c>
      <c r="BI99" t="str">
        <f>Tokens!BK101</f>
        <v>Calvi On The Rocks</v>
      </c>
    </row>
    <row r="100" spans="1:61" x14ac:dyDescent="0.25">
      <c r="A100" t="str">
        <f>Tokens!C102</f>
        <v>La Porteuse D'Eau #39</v>
      </c>
      <c r="B100" t="str">
        <f>Tokens!D102</f>
        <v>COR22C39</v>
      </c>
      <c r="C100" t="str">
        <f>Tokens!E102</f>
        <v>La Porteuse D'Eau, 3 ans - Pass NFT 5 jours pour 2 personnes, valable pour 3 éditions Calvi On The Rocks de votre choix.</v>
      </c>
      <c r="D100">
        <f>Tokens!F102</f>
        <v>1000</v>
      </c>
      <c r="E100" t="str">
        <f>Tokens!G102</f>
        <v>https://bafybeicordeza5gk2bza3mvxlpkuixf2rl7wnnuldoo222om2i4bxv2oqa.ipfs.nftstorage.link?image_10.png</v>
      </c>
      <c r="F100" t="str">
        <f>Tokens!H102</f>
        <v>NfluenT for Calvi On The rocks</v>
      </c>
      <c r="G100">
        <f>Tokens!I102</f>
        <v>0</v>
      </c>
      <c r="H100" t="str">
        <f>Tokens!J102</f>
        <v>Pass festival</v>
      </c>
      <c r="I100" t="str">
        <f>Tokens!K102</f>
        <v>pour deux(2) personnes</v>
      </c>
      <c r="J100" t="str">
        <f>Tokens!L102</f>
        <v>Edition1</v>
      </c>
      <c r="K100">
        <f>Tokens!M102</f>
        <v>2</v>
      </c>
      <c r="L100" t="str">
        <f>Tokens!N102</f>
        <v>Edition2</v>
      </c>
      <c r="M100">
        <f>Tokens!O102</f>
        <v>2</v>
      </c>
      <c r="N100" t="str">
        <f>Tokens!P102</f>
        <v>Edition3</v>
      </c>
      <c r="O100">
        <f>Tokens!Q102</f>
        <v>2</v>
      </c>
      <c r="P100">
        <f>Tokens!R102</f>
        <v>0</v>
      </c>
      <c r="Q100">
        <f>Tokens!S102</f>
        <v>0</v>
      </c>
      <c r="R100">
        <f>Tokens!T102</f>
        <v>0</v>
      </c>
      <c r="S100">
        <f>Tokens!U102</f>
        <v>0</v>
      </c>
      <c r="T100" t="str">
        <f>Tokens!V102</f>
        <v>Dernière utilisation</v>
      </c>
      <c r="U100">
        <f>Tokens!W102</f>
        <v>0</v>
      </c>
      <c r="V100">
        <f>Tokens!X102</f>
        <v>0</v>
      </c>
      <c r="W100">
        <f>Tokens!Y102</f>
        <v>0</v>
      </c>
      <c r="X100" t="str">
        <f>Tokens!Z102</f>
        <v>avantage1</v>
      </c>
      <c r="Y100" t="str">
        <f>Tokens!AA102</f>
        <v>accès pour deux (2) personnes à un (1) événement partenaire officiel de Calvi on the Rocks</v>
      </c>
      <c r="Z100">
        <f>Tokens!AB102</f>
        <v>0</v>
      </c>
      <c r="AA100">
        <f>Tokens!AC102</f>
        <v>0</v>
      </c>
      <c r="AB100">
        <f>Tokens!AD102</f>
        <v>0</v>
      </c>
      <c r="AC100">
        <f>Tokens!AE102</f>
        <v>0</v>
      </c>
      <c r="AD100">
        <f>Tokens!AF102</f>
        <v>0</v>
      </c>
      <c r="AE100">
        <f>Tokens!AG102</f>
        <v>0</v>
      </c>
      <c r="AF100" t="str">
        <f>Tokens!AH102</f>
        <v>avantage2</v>
      </c>
      <c r="AG100" t="str">
        <f>Tokens!AI102</f>
        <v>accès membre pour les after party officielles pour deux (2) personnes</v>
      </c>
      <c r="AH100" t="str">
        <f>Tokens!AJ102</f>
        <v>avantage3</v>
      </c>
      <c r="AI100" t="str">
        <f>Tokens!AK102</f>
        <v>accès prioritaire et bar dédié (consommation à la charge du festivalier) - tables réservées à l'avance pour les « NFT member » pour deux (2) personnes</v>
      </c>
      <c r="AJ100" t="str">
        <f>Tokens!AL102</f>
        <v>avantage4</v>
      </c>
      <c r="AK100" t="str">
        <f>Tokens!AM102</f>
        <v>1 affiche dédicacée et numérotée</v>
      </c>
      <c r="AL100">
        <f>Tokens!AN102</f>
        <v>0</v>
      </c>
      <c r="AM100">
        <f>Tokens!AO102</f>
        <v>0</v>
      </c>
      <c r="AN100">
        <f>Tokens!AP102</f>
        <v>0</v>
      </c>
      <c r="AO100">
        <f>Tokens!AQ102</f>
        <v>0</v>
      </c>
      <c r="AP100">
        <f>Tokens!AR102</f>
        <v>0</v>
      </c>
      <c r="AQ100">
        <f>Tokens!AS102</f>
        <v>0</v>
      </c>
      <c r="AR100">
        <f>Tokens!AT102</f>
        <v>0</v>
      </c>
      <c r="AS100">
        <f>Tokens!AU102</f>
        <v>0</v>
      </c>
      <c r="AT100" t="str">
        <f>Tokens!AV102</f>
        <v>Validation</v>
      </c>
      <c r="AU100" t="str">
        <f>Tokens!AW102</f>
        <v>https://tokensol.nfluent.io?s=COR22C39&amp;platform=ftx</v>
      </c>
      <c r="AV100" t="str">
        <f>Tokens!AX102</f>
        <v>paul</v>
      </c>
      <c r="AW100">
        <f>Tokens!AY102</f>
        <v>10</v>
      </c>
      <c r="AX100" t="str">
        <f>Tokens!AZ102</f>
        <v>sophie</v>
      </c>
      <c r="AY100">
        <f>Tokens!BA102</f>
        <v>90</v>
      </c>
      <c r="AZ100">
        <f>Tokens!BB102</f>
        <v>0</v>
      </c>
      <c r="BA100">
        <f>Tokens!BC102</f>
        <v>0</v>
      </c>
      <c r="BB100">
        <f>Tokens!BD102</f>
        <v>0</v>
      </c>
      <c r="BC100">
        <f>Tokens!BE102</f>
        <v>0</v>
      </c>
      <c r="BD100">
        <f>Tokens!BF102</f>
        <v>0</v>
      </c>
      <c r="BE100">
        <f>Tokens!BG102</f>
        <v>0</v>
      </c>
      <c r="BF100">
        <f>Tokens!BH102</f>
        <v>0</v>
      </c>
      <c r="BG100">
        <f>Tokens!BI102</f>
        <v>0</v>
      </c>
      <c r="BH100" t="str">
        <f>Tokens!BJ102</f>
        <v>La Porteuse D'Eau</v>
      </c>
      <c r="BI100" t="str">
        <f>Tokens!BK102</f>
        <v>Calvi On The Rocks</v>
      </c>
    </row>
    <row r="101" spans="1:61" x14ac:dyDescent="0.25">
      <c r="A101" t="str">
        <f>Tokens!C103</f>
        <v>La Porteuse D'Eau #40</v>
      </c>
      <c r="B101" t="str">
        <f>Tokens!D103</f>
        <v>COR22C40</v>
      </c>
      <c r="C101" t="str">
        <f>Tokens!E103</f>
        <v>La Porteuse D'Eau, 3 ans - Pass NFT 5 jours pour 2 personnes, valable pour 3 éditions Calvi On The Rocks de votre choix.</v>
      </c>
      <c r="D101">
        <f>Tokens!F103</f>
        <v>1000</v>
      </c>
      <c r="E101" t="str">
        <f>Tokens!G103</f>
        <v>https://bafybeicordeza5gk2bza3mvxlpkuixf2rl7wnnuldoo222om2i4bxv2oqa.ipfs.nftstorage.link?image_10.png</v>
      </c>
      <c r="F101" t="str">
        <f>Tokens!H103</f>
        <v>NfluenT for Calvi On The rocks</v>
      </c>
      <c r="G101">
        <f>Tokens!I103</f>
        <v>0</v>
      </c>
      <c r="H101" t="str">
        <f>Tokens!J103</f>
        <v>Pass festival</v>
      </c>
      <c r="I101" t="str">
        <f>Tokens!K103</f>
        <v>pour deux(2) personnes</v>
      </c>
      <c r="J101" t="str">
        <f>Tokens!L103</f>
        <v>Edition1</v>
      </c>
      <c r="K101">
        <f>Tokens!M103</f>
        <v>2</v>
      </c>
      <c r="L101" t="str">
        <f>Tokens!N103</f>
        <v>Edition2</v>
      </c>
      <c r="M101">
        <f>Tokens!O103</f>
        <v>2</v>
      </c>
      <c r="N101" t="str">
        <f>Tokens!P103</f>
        <v>Edition3</v>
      </c>
      <c r="O101">
        <f>Tokens!Q103</f>
        <v>2</v>
      </c>
      <c r="P101">
        <f>Tokens!R103</f>
        <v>0</v>
      </c>
      <c r="Q101">
        <f>Tokens!S103</f>
        <v>0</v>
      </c>
      <c r="R101">
        <f>Tokens!T103</f>
        <v>0</v>
      </c>
      <c r="S101">
        <f>Tokens!U103</f>
        <v>0</v>
      </c>
      <c r="T101" t="str">
        <f>Tokens!V103</f>
        <v>Dernière utilisation</v>
      </c>
      <c r="U101">
        <f>Tokens!W103</f>
        <v>0</v>
      </c>
      <c r="V101">
        <f>Tokens!X103</f>
        <v>0</v>
      </c>
      <c r="W101">
        <f>Tokens!Y103</f>
        <v>0</v>
      </c>
      <c r="X101" t="str">
        <f>Tokens!Z103</f>
        <v>avantage1</v>
      </c>
      <c r="Y101" t="str">
        <f>Tokens!AA103</f>
        <v>accès pour deux (2) personnes à un (1) événement partenaire officiel de Calvi on the Rocks</v>
      </c>
      <c r="Z101">
        <f>Tokens!AB103</f>
        <v>0</v>
      </c>
      <c r="AA101">
        <f>Tokens!AC103</f>
        <v>0</v>
      </c>
      <c r="AB101">
        <f>Tokens!AD103</f>
        <v>0</v>
      </c>
      <c r="AC101">
        <f>Tokens!AE103</f>
        <v>0</v>
      </c>
      <c r="AD101">
        <f>Tokens!AF103</f>
        <v>0</v>
      </c>
      <c r="AE101">
        <f>Tokens!AG103</f>
        <v>0</v>
      </c>
      <c r="AF101" t="str">
        <f>Tokens!AH103</f>
        <v>avantage2</v>
      </c>
      <c r="AG101" t="str">
        <f>Tokens!AI103</f>
        <v>accès membre pour les after party officielles pour deux (2) personnes</v>
      </c>
      <c r="AH101" t="str">
        <f>Tokens!AJ103</f>
        <v>avantage3</v>
      </c>
      <c r="AI101" t="str">
        <f>Tokens!AK103</f>
        <v>accès prioritaire et bar dédié (consommation à la charge du festivalier) - tables réservées à l'avance pour les « NFT member » pour deux (2) personnes</v>
      </c>
      <c r="AJ101" t="str">
        <f>Tokens!AL103</f>
        <v>avantage4</v>
      </c>
      <c r="AK101" t="str">
        <f>Tokens!AM103</f>
        <v>1 affiche dédicacée et numérotée</v>
      </c>
      <c r="AL101">
        <f>Tokens!AN103</f>
        <v>0</v>
      </c>
      <c r="AM101">
        <f>Tokens!AO103</f>
        <v>0</v>
      </c>
      <c r="AN101">
        <f>Tokens!AP103</f>
        <v>0</v>
      </c>
      <c r="AO101">
        <f>Tokens!AQ103</f>
        <v>0</v>
      </c>
      <c r="AP101">
        <f>Tokens!AR103</f>
        <v>0</v>
      </c>
      <c r="AQ101">
        <f>Tokens!AS103</f>
        <v>0</v>
      </c>
      <c r="AR101">
        <f>Tokens!AT103</f>
        <v>0</v>
      </c>
      <c r="AS101">
        <f>Tokens!AU103</f>
        <v>0</v>
      </c>
      <c r="AT101" t="str">
        <f>Tokens!AV103</f>
        <v>Validation</v>
      </c>
      <c r="AU101" t="str">
        <f>Tokens!AW103</f>
        <v>https://tokensol.nfluent.io?s=COR22C40&amp;platform=ftx</v>
      </c>
      <c r="AV101" t="str">
        <f>Tokens!AX103</f>
        <v>paul</v>
      </c>
      <c r="AW101">
        <f>Tokens!AY103</f>
        <v>10</v>
      </c>
      <c r="AX101" t="str">
        <f>Tokens!AZ103</f>
        <v>sophie</v>
      </c>
      <c r="AY101">
        <f>Tokens!BA103</f>
        <v>90</v>
      </c>
      <c r="AZ101">
        <f>Tokens!BB103</f>
        <v>0</v>
      </c>
      <c r="BA101">
        <f>Tokens!BC103</f>
        <v>0</v>
      </c>
      <c r="BB101">
        <f>Tokens!BD103</f>
        <v>0</v>
      </c>
      <c r="BC101">
        <f>Tokens!BE103</f>
        <v>0</v>
      </c>
      <c r="BD101">
        <f>Tokens!BF103</f>
        <v>0</v>
      </c>
      <c r="BE101">
        <f>Tokens!BG103</f>
        <v>0</v>
      </c>
      <c r="BF101">
        <f>Tokens!BH103</f>
        <v>0</v>
      </c>
      <c r="BG101">
        <f>Tokens!BI103</f>
        <v>0</v>
      </c>
      <c r="BH101" t="str">
        <f>Tokens!BJ103</f>
        <v>La Porteuse D'Eau</v>
      </c>
      <c r="BI101" t="str">
        <f>Tokens!BK103</f>
        <v>Calvi On The Rocks</v>
      </c>
    </row>
    <row r="102" spans="1:61" x14ac:dyDescent="0.25">
      <c r="A102" t="str">
        <f>Tokens!C104</f>
        <v>La Porteuse D'Eau #41</v>
      </c>
      <c r="B102" t="str">
        <f>Tokens!D104</f>
        <v>COR22C41</v>
      </c>
      <c r="C102" t="str">
        <f>Tokens!E104</f>
        <v>La Porteuse D'Eau, 3 ans - Pass NFT 5 jours pour 2 personnes, valable pour 3 éditions Calvi On The Rocks de votre choix.</v>
      </c>
      <c r="D102">
        <f>Tokens!F104</f>
        <v>1000</v>
      </c>
      <c r="E102" t="str">
        <f>Tokens!G104</f>
        <v>https://bafybeicordeza5gk2bza3mvxlpkuixf2rl7wnnuldoo222om2i4bxv2oqa.ipfs.nftstorage.link?image_10.png</v>
      </c>
      <c r="F102" t="str">
        <f>Tokens!H104</f>
        <v>NfluenT for Calvi On The rocks</v>
      </c>
      <c r="G102">
        <f>Tokens!I104</f>
        <v>0</v>
      </c>
      <c r="H102" t="str">
        <f>Tokens!J104</f>
        <v>Pass festival</v>
      </c>
      <c r="I102" t="str">
        <f>Tokens!K104</f>
        <v>pour deux(2) personnes</v>
      </c>
      <c r="J102" t="str">
        <f>Tokens!L104</f>
        <v>Edition1</v>
      </c>
      <c r="K102">
        <f>Tokens!M104</f>
        <v>2</v>
      </c>
      <c r="L102" t="str">
        <f>Tokens!N104</f>
        <v>Edition2</v>
      </c>
      <c r="M102">
        <f>Tokens!O104</f>
        <v>2</v>
      </c>
      <c r="N102" t="str">
        <f>Tokens!P104</f>
        <v>Edition3</v>
      </c>
      <c r="O102">
        <f>Tokens!Q104</f>
        <v>2</v>
      </c>
      <c r="P102">
        <f>Tokens!R104</f>
        <v>0</v>
      </c>
      <c r="Q102">
        <f>Tokens!S104</f>
        <v>0</v>
      </c>
      <c r="R102">
        <f>Tokens!T104</f>
        <v>0</v>
      </c>
      <c r="S102">
        <f>Tokens!U104</f>
        <v>0</v>
      </c>
      <c r="T102" t="str">
        <f>Tokens!V104</f>
        <v>Dernière utilisation</v>
      </c>
      <c r="U102">
        <f>Tokens!W104</f>
        <v>0</v>
      </c>
      <c r="V102">
        <f>Tokens!X104</f>
        <v>0</v>
      </c>
      <c r="W102">
        <f>Tokens!Y104</f>
        <v>0</v>
      </c>
      <c r="X102" t="str">
        <f>Tokens!Z104</f>
        <v>avantage1</v>
      </c>
      <c r="Y102" t="str">
        <f>Tokens!AA104</f>
        <v>accès pour deux (2) personnes à un (1) événement partenaire officiel de Calvi on the Rocks</v>
      </c>
      <c r="Z102">
        <f>Tokens!AB104</f>
        <v>0</v>
      </c>
      <c r="AA102">
        <f>Tokens!AC104</f>
        <v>0</v>
      </c>
      <c r="AB102">
        <f>Tokens!AD104</f>
        <v>0</v>
      </c>
      <c r="AC102">
        <f>Tokens!AE104</f>
        <v>0</v>
      </c>
      <c r="AD102">
        <f>Tokens!AF104</f>
        <v>0</v>
      </c>
      <c r="AE102">
        <f>Tokens!AG104</f>
        <v>0</v>
      </c>
      <c r="AF102" t="str">
        <f>Tokens!AH104</f>
        <v>avantage2</v>
      </c>
      <c r="AG102" t="str">
        <f>Tokens!AI104</f>
        <v>accès membre pour les after party officielles pour deux (2) personnes</v>
      </c>
      <c r="AH102" t="str">
        <f>Tokens!AJ104</f>
        <v>avantage3</v>
      </c>
      <c r="AI102" t="str">
        <f>Tokens!AK104</f>
        <v>accès prioritaire et bar dédié (consommation à la charge du festivalier) - tables réservées à l'avance pour les « NFT member » pour deux (2) personnes</v>
      </c>
      <c r="AJ102" t="str">
        <f>Tokens!AL104</f>
        <v>avantage4</v>
      </c>
      <c r="AK102" t="str">
        <f>Tokens!AM104</f>
        <v>1 affiche dédicacée et numérotée</v>
      </c>
      <c r="AL102">
        <f>Tokens!AN104</f>
        <v>0</v>
      </c>
      <c r="AM102">
        <f>Tokens!AO104</f>
        <v>0</v>
      </c>
      <c r="AN102">
        <f>Tokens!AP104</f>
        <v>0</v>
      </c>
      <c r="AO102">
        <f>Tokens!AQ104</f>
        <v>0</v>
      </c>
      <c r="AP102">
        <f>Tokens!AR104</f>
        <v>0</v>
      </c>
      <c r="AQ102">
        <f>Tokens!AS104</f>
        <v>0</v>
      </c>
      <c r="AR102">
        <f>Tokens!AT104</f>
        <v>0</v>
      </c>
      <c r="AS102">
        <f>Tokens!AU104</f>
        <v>0</v>
      </c>
      <c r="AT102" t="str">
        <f>Tokens!AV104</f>
        <v>Validation</v>
      </c>
      <c r="AU102" t="str">
        <f>Tokens!AW104</f>
        <v>https://tokensol.nfluent.io?s=COR22C41&amp;platform=ftx</v>
      </c>
      <c r="AV102" t="str">
        <f>Tokens!AX104</f>
        <v>paul</v>
      </c>
      <c r="AW102">
        <f>Tokens!AY104</f>
        <v>10</v>
      </c>
      <c r="AX102" t="str">
        <f>Tokens!AZ104</f>
        <v>sophie</v>
      </c>
      <c r="AY102">
        <f>Tokens!BA104</f>
        <v>90</v>
      </c>
      <c r="AZ102">
        <f>Tokens!BB104</f>
        <v>0</v>
      </c>
      <c r="BA102">
        <f>Tokens!BC104</f>
        <v>0</v>
      </c>
      <c r="BB102">
        <f>Tokens!BD104</f>
        <v>0</v>
      </c>
      <c r="BC102">
        <f>Tokens!BE104</f>
        <v>0</v>
      </c>
      <c r="BD102">
        <f>Tokens!BF104</f>
        <v>0</v>
      </c>
      <c r="BE102">
        <f>Tokens!BG104</f>
        <v>0</v>
      </c>
      <c r="BF102">
        <f>Tokens!BH104</f>
        <v>0</v>
      </c>
      <c r="BG102">
        <f>Tokens!BI104</f>
        <v>0</v>
      </c>
      <c r="BH102" t="str">
        <f>Tokens!BJ104</f>
        <v>La Porteuse D'Eau</v>
      </c>
      <c r="BI102" t="str">
        <f>Tokens!BK104</f>
        <v>Calvi On The Rocks</v>
      </c>
    </row>
    <row r="103" spans="1:61" x14ac:dyDescent="0.25">
      <c r="A103" t="str">
        <f>Tokens!C105</f>
        <v>La Porteuse D'Eau #42</v>
      </c>
      <c r="B103" t="str">
        <f>Tokens!D105</f>
        <v>COR22C42</v>
      </c>
      <c r="C103" t="str">
        <f>Tokens!E105</f>
        <v>La Porteuse D'Eau, 3 ans - Pass NFT 5 jours pour 2 personnes, valable pour 3 éditions Calvi On The Rocks de votre choix.</v>
      </c>
      <c r="D103">
        <f>Tokens!F105</f>
        <v>1000</v>
      </c>
      <c r="E103" t="str">
        <f>Tokens!G105</f>
        <v>https://bafybeicordeza5gk2bza3mvxlpkuixf2rl7wnnuldoo222om2i4bxv2oqa.ipfs.nftstorage.link?image_10.png</v>
      </c>
      <c r="F103" t="str">
        <f>Tokens!H105</f>
        <v>NfluenT for Calvi On The rocks</v>
      </c>
      <c r="G103">
        <f>Tokens!I105</f>
        <v>0</v>
      </c>
      <c r="H103" t="str">
        <f>Tokens!J105</f>
        <v>Pass festival</v>
      </c>
      <c r="I103" t="str">
        <f>Tokens!K105</f>
        <v>pour deux(2) personnes</v>
      </c>
      <c r="J103" t="str">
        <f>Tokens!L105</f>
        <v>Edition1</v>
      </c>
      <c r="K103">
        <f>Tokens!M105</f>
        <v>2</v>
      </c>
      <c r="L103" t="str">
        <f>Tokens!N105</f>
        <v>Edition2</v>
      </c>
      <c r="M103">
        <f>Tokens!O105</f>
        <v>2</v>
      </c>
      <c r="N103" t="str">
        <f>Tokens!P105</f>
        <v>Edition3</v>
      </c>
      <c r="O103">
        <f>Tokens!Q105</f>
        <v>2</v>
      </c>
      <c r="P103">
        <f>Tokens!R105</f>
        <v>0</v>
      </c>
      <c r="Q103">
        <f>Tokens!S105</f>
        <v>0</v>
      </c>
      <c r="R103">
        <f>Tokens!T105</f>
        <v>0</v>
      </c>
      <c r="S103">
        <f>Tokens!U105</f>
        <v>0</v>
      </c>
      <c r="T103" t="str">
        <f>Tokens!V105</f>
        <v>Dernière utilisation</v>
      </c>
      <c r="U103">
        <f>Tokens!W105</f>
        <v>0</v>
      </c>
      <c r="V103">
        <f>Tokens!X105</f>
        <v>0</v>
      </c>
      <c r="W103">
        <f>Tokens!Y105</f>
        <v>0</v>
      </c>
      <c r="X103" t="str">
        <f>Tokens!Z105</f>
        <v>avantage1</v>
      </c>
      <c r="Y103" t="str">
        <f>Tokens!AA105</f>
        <v>accès pour deux (2) personnes à un (1) événement partenaire officiel de Calvi on the Rocks</v>
      </c>
      <c r="Z103">
        <f>Tokens!AB105</f>
        <v>0</v>
      </c>
      <c r="AA103">
        <f>Tokens!AC105</f>
        <v>0</v>
      </c>
      <c r="AB103">
        <f>Tokens!AD105</f>
        <v>0</v>
      </c>
      <c r="AC103">
        <f>Tokens!AE105</f>
        <v>0</v>
      </c>
      <c r="AD103">
        <f>Tokens!AF105</f>
        <v>0</v>
      </c>
      <c r="AE103">
        <f>Tokens!AG105</f>
        <v>0</v>
      </c>
      <c r="AF103" t="str">
        <f>Tokens!AH105</f>
        <v>avantage2</v>
      </c>
      <c r="AG103" t="str">
        <f>Tokens!AI105</f>
        <v>accès membre pour les after party officielles pour deux (2) personnes</v>
      </c>
      <c r="AH103" t="str">
        <f>Tokens!AJ105</f>
        <v>avantage3</v>
      </c>
      <c r="AI103" t="str">
        <f>Tokens!AK105</f>
        <v>accès prioritaire et bar dédié (consommation à la charge du festivalier) - tables réservées à l'avance pour les « NFT member » pour deux (2) personnes</v>
      </c>
      <c r="AJ103" t="str">
        <f>Tokens!AL105</f>
        <v>avantage4</v>
      </c>
      <c r="AK103" t="str">
        <f>Tokens!AM105</f>
        <v>1 affiche dédicacée et numérotée</v>
      </c>
      <c r="AL103">
        <f>Tokens!AN105</f>
        <v>0</v>
      </c>
      <c r="AM103">
        <f>Tokens!AO105</f>
        <v>0</v>
      </c>
      <c r="AN103">
        <f>Tokens!AP105</f>
        <v>0</v>
      </c>
      <c r="AO103">
        <f>Tokens!AQ105</f>
        <v>0</v>
      </c>
      <c r="AP103">
        <f>Tokens!AR105</f>
        <v>0</v>
      </c>
      <c r="AQ103">
        <f>Tokens!AS105</f>
        <v>0</v>
      </c>
      <c r="AR103">
        <f>Tokens!AT105</f>
        <v>0</v>
      </c>
      <c r="AS103">
        <f>Tokens!AU105</f>
        <v>0</v>
      </c>
      <c r="AT103" t="str">
        <f>Tokens!AV105</f>
        <v>Validation</v>
      </c>
      <c r="AU103" t="str">
        <f>Tokens!AW105</f>
        <v>https://tokensol.nfluent.io?s=COR22C42&amp;platform=ftx</v>
      </c>
      <c r="AV103" t="str">
        <f>Tokens!AX105</f>
        <v>paul</v>
      </c>
      <c r="AW103">
        <f>Tokens!AY105</f>
        <v>10</v>
      </c>
      <c r="AX103" t="str">
        <f>Tokens!AZ105</f>
        <v>sophie</v>
      </c>
      <c r="AY103">
        <f>Tokens!BA105</f>
        <v>90</v>
      </c>
      <c r="AZ103">
        <f>Tokens!BB105</f>
        <v>0</v>
      </c>
      <c r="BA103">
        <f>Tokens!BC105</f>
        <v>0</v>
      </c>
      <c r="BB103">
        <f>Tokens!BD105</f>
        <v>0</v>
      </c>
      <c r="BC103">
        <f>Tokens!BE105</f>
        <v>0</v>
      </c>
      <c r="BD103">
        <f>Tokens!BF105</f>
        <v>0</v>
      </c>
      <c r="BE103">
        <f>Tokens!BG105</f>
        <v>0</v>
      </c>
      <c r="BF103">
        <f>Tokens!BH105</f>
        <v>0</v>
      </c>
      <c r="BG103">
        <f>Tokens!BI105</f>
        <v>0</v>
      </c>
      <c r="BH103" t="str">
        <f>Tokens!BJ105</f>
        <v>La Porteuse D'Eau</v>
      </c>
      <c r="BI103" t="str">
        <f>Tokens!BK105</f>
        <v>Calvi On The Rocks</v>
      </c>
    </row>
    <row r="104" spans="1:61" x14ac:dyDescent="0.25">
      <c r="A104" t="str">
        <f>Tokens!C106</f>
        <v>La Porteuse D'Eau #43</v>
      </c>
      <c r="B104" t="str">
        <f>Tokens!D106</f>
        <v>COR22C43</v>
      </c>
      <c r="C104" t="str">
        <f>Tokens!E106</f>
        <v>La Porteuse D'Eau, 3 ans - Pass NFT 5 jours pour 2 personnes, valable pour 3 éditions Calvi On The Rocks de votre choix.</v>
      </c>
      <c r="D104">
        <f>Tokens!F106</f>
        <v>1000</v>
      </c>
      <c r="E104" t="str">
        <f>Tokens!G106</f>
        <v>https://bafybeicordeza5gk2bza3mvxlpkuixf2rl7wnnuldoo222om2i4bxv2oqa.ipfs.nftstorage.link?image_10.png</v>
      </c>
      <c r="F104" t="str">
        <f>Tokens!H106</f>
        <v>NfluenT for Calvi On The rocks</v>
      </c>
      <c r="G104">
        <f>Tokens!I106</f>
        <v>0</v>
      </c>
      <c r="H104" t="str">
        <f>Tokens!J106</f>
        <v>Pass festival</v>
      </c>
      <c r="I104" t="str">
        <f>Tokens!K106</f>
        <v>pour deux(2) personnes</v>
      </c>
      <c r="J104" t="str">
        <f>Tokens!L106</f>
        <v>Edition1</v>
      </c>
      <c r="K104">
        <f>Tokens!M106</f>
        <v>2</v>
      </c>
      <c r="L104" t="str">
        <f>Tokens!N106</f>
        <v>Edition2</v>
      </c>
      <c r="M104">
        <f>Tokens!O106</f>
        <v>2</v>
      </c>
      <c r="N104" t="str">
        <f>Tokens!P106</f>
        <v>Edition3</v>
      </c>
      <c r="O104">
        <f>Tokens!Q106</f>
        <v>2</v>
      </c>
      <c r="P104">
        <f>Tokens!R106</f>
        <v>0</v>
      </c>
      <c r="Q104">
        <f>Tokens!S106</f>
        <v>0</v>
      </c>
      <c r="R104">
        <f>Tokens!T106</f>
        <v>0</v>
      </c>
      <c r="S104">
        <f>Tokens!U106</f>
        <v>0</v>
      </c>
      <c r="T104" t="str">
        <f>Tokens!V106</f>
        <v>Dernière utilisation</v>
      </c>
      <c r="U104">
        <f>Tokens!W106</f>
        <v>0</v>
      </c>
      <c r="V104">
        <f>Tokens!X106</f>
        <v>0</v>
      </c>
      <c r="W104">
        <f>Tokens!Y106</f>
        <v>0</v>
      </c>
      <c r="X104" t="str">
        <f>Tokens!Z106</f>
        <v>avantage1</v>
      </c>
      <c r="Y104" t="str">
        <f>Tokens!AA106</f>
        <v>accès pour deux (2) personnes à un (1) événement partenaire officiel de Calvi on the Rocks</v>
      </c>
      <c r="Z104">
        <f>Tokens!AB106</f>
        <v>0</v>
      </c>
      <c r="AA104">
        <f>Tokens!AC106</f>
        <v>0</v>
      </c>
      <c r="AB104">
        <f>Tokens!AD106</f>
        <v>0</v>
      </c>
      <c r="AC104">
        <f>Tokens!AE106</f>
        <v>0</v>
      </c>
      <c r="AD104">
        <f>Tokens!AF106</f>
        <v>0</v>
      </c>
      <c r="AE104">
        <f>Tokens!AG106</f>
        <v>0</v>
      </c>
      <c r="AF104" t="str">
        <f>Tokens!AH106</f>
        <v>avantage2</v>
      </c>
      <c r="AG104" t="str">
        <f>Tokens!AI106</f>
        <v>accès membre pour les after party officielles pour deux (2) personnes</v>
      </c>
      <c r="AH104" t="str">
        <f>Tokens!AJ106</f>
        <v>avantage3</v>
      </c>
      <c r="AI104" t="str">
        <f>Tokens!AK106</f>
        <v>accès prioritaire et bar dédié (consommation à la charge du festivalier) - tables réservées à l'avance pour les « NFT member » pour deux (2) personnes</v>
      </c>
      <c r="AJ104" t="str">
        <f>Tokens!AL106</f>
        <v>avantage4</v>
      </c>
      <c r="AK104" t="str">
        <f>Tokens!AM106</f>
        <v>1 affiche dédicacée et numérotée</v>
      </c>
      <c r="AL104">
        <f>Tokens!AN106</f>
        <v>0</v>
      </c>
      <c r="AM104">
        <f>Tokens!AO106</f>
        <v>0</v>
      </c>
      <c r="AN104">
        <f>Tokens!AP106</f>
        <v>0</v>
      </c>
      <c r="AO104">
        <f>Tokens!AQ106</f>
        <v>0</v>
      </c>
      <c r="AP104">
        <f>Tokens!AR106</f>
        <v>0</v>
      </c>
      <c r="AQ104">
        <f>Tokens!AS106</f>
        <v>0</v>
      </c>
      <c r="AR104">
        <f>Tokens!AT106</f>
        <v>0</v>
      </c>
      <c r="AS104">
        <f>Tokens!AU106</f>
        <v>0</v>
      </c>
      <c r="AT104" t="str">
        <f>Tokens!AV106</f>
        <v>Validation</v>
      </c>
      <c r="AU104" t="str">
        <f>Tokens!AW106</f>
        <v>https://tokensol.nfluent.io?s=COR22C43&amp;platform=ftx</v>
      </c>
      <c r="AV104" t="str">
        <f>Tokens!AX106</f>
        <v>paul</v>
      </c>
      <c r="AW104">
        <f>Tokens!AY106</f>
        <v>10</v>
      </c>
      <c r="AX104" t="str">
        <f>Tokens!AZ106</f>
        <v>sophie</v>
      </c>
      <c r="AY104">
        <f>Tokens!BA106</f>
        <v>90</v>
      </c>
      <c r="AZ104">
        <f>Tokens!BB106</f>
        <v>0</v>
      </c>
      <c r="BA104">
        <f>Tokens!BC106</f>
        <v>0</v>
      </c>
      <c r="BB104">
        <f>Tokens!BD106</f>
        <v>0</v>
      </c>
      <c r="BC104">
        <f>Tokens!BE106</f>
        <v>0</v>
      </c>
      <c r="BD104">
        <f>Tokens!BF106</f>
        <v>0</v>
      </c>
      <c r="BE104">
        <f>Tokens!BG106</f>
        <v>0</v>
      </c>
      <c r="BF104">
        <f>Tokens!BH106</f>
        <v>0</v>
      </c>
      <c r="BG104">
        <f>Tokens!BI106</f>
        <v>0</v>
      </c>
      <c r="BH104" t="str">
        <f>Tokens!BJ106</f>
        <v>La Porteuse D'Eau</v>
      </c>
      <c r="BI104" t="str">
        <f>Tokens!BK106</f>
        <v>Calvi On The Rocks</v>
      </c>
    </row>
    <row r="105" spans="1:61" x14ac:dyDescent="0.25">
      <c r="A105" t="str">
        <f>Tokens!C107</f>
        <v>La Porteuse D'Eau #44</v>
      </c>
      <c r="B105" t="str">
        <f>Tokens!D107</f>
        <v>COR22C44</v>
      </c>
      <c r="C105" t="str">
        <f>Tokens!E107</f>
        <v>La Porteuse D'Eau, 3 ans - Pass NFT 5 jours pour 2 personnes, valable pour 3 éditions Calvi On The Rocks de votre choix.</v>
      </c>
      <c r="D105">
        <f>Tokens!F107</f>
        <v>1000</v>
      </c>
      <c r="E105" t="str">
        <f>Tokens!G107</f>
        <v>https://bafybeicordeza5gk2bza3mvxlpkuixf2rl7wnnuldoo222om2i4bxv2oqa.ipfs.nftstorage.link?image_10.png</v>
      </c>
      <c r="F105" t="str">
        <f>Tokens!H107</f>
        <v>NfluenT for Calvi On The rocks</v>
      </c>
      <c r="G105">
        <f>Tokens!I107</f>
        <v>0</v>
      </c>
      <c r="H105" t="str">
        <f>Tokens!J107</f>
        <v>Pass festival</v>
      </c>
      <c r="I105" t="str">
        <f>Tokens!K107</f>
        <v>pour deux(2) personnes</v>
      </c>
      <c r="J105" t="str">
        <f>Tokens!L107</f>
        <v>Edition1</v>
      </c>
      <c r="K105">
        <f>Tokens!M107</f>
        <v>2</v>
      </c>
      <c r="L105" t="str">
        <f>Tokens!N107</f>
        <v>Edition2</v>
      </c>
      <c r="M105">
        <f>Tokens!O107</f>
        <v>2</v>
      </c>
      <c r="N105" t="str">
        <f>Tokens!P107</f>
        <v>Edition3</v>
      </c>
      <c r="O105">
        <f>Tokens!Q107</f>
        <v>2</v>
      </c>
      <c r="P105">
        <f>Tokens!R107</f>
        <v>0</v>
      </c>
      <c r="Q105">
        <f>Tokens!S107</f>
        <v>0</v>
      </c>
      <c r="R105">
        <f>Tokens!T107</f>
        <v>0</v>
      </c>
      <c r="S105">
        <f>Tokens!U107</f>
        <v>0</v>
      </c>
      <c r="T105" t="str">
        <f>Tokens!V107</f>
        <v>Dernière utilisation</v>
      </c>
      <c r="U105">
        <f>Tokens!W107</f>
        <v>0</v>
      </c>
      <c r="V105">
        <f>Tokens!X107</f>
        <v>0</v>
      </c>
      <c r="W105">
        <f>Tokens!Y107</f>
        <v>0</v>
      </c>
      <c r="X105" t="str">
        <f>Tokens!Z107</f>
        <v>avantage1</v>
      </c>
      <c r="Y105" t="str">
        <f>Tokens!AA107</f>
        <v>accès pour deux (2) personnes à un (1) événement partenaire officiel de Calvi on the Rocks</v>
      </c>
      <c r="Z105">
        <f>Tokens!AB107</f>
        <v>0</v>
      </c>
      <c r="AA105">
        <f>Tokens!AC107</f>
        <v>0</v>
      </c>
      <c r="AB105">
        <f>Tokens!AD107</f>
        <v>0</v>
      </c>
      <c r="AC105">
        <f>Tokens!AE107</f>
        <v>0</v>
      </c>
      <c r="AD105">
        <f>Tokens!AF107</f>
        <v>0</v>
      </c>
      <c r="AE105">
        <f>Tokens!AG107</f>
        <v>0</v>
      </c>
      <c r="AF105" t="str">
        <f>Tokens!AH107</f>
        <v>avantage2</v>
      </c>
      <c r="AG105" t="str">
        <f>Tokens!AI107</f>
        <v>accès membre pour les after party officielles pour deux (2) personnes</v>
      </c>
      <c r="AH105" t="str">
        <f>Tokens!AJ107</f>
        <v>avantage3</v>
      </c>
      <c r="AI105" t="str">
        <f>Tokens!AK107</f>
        <v>accès prioritaire et bar dédié (consommation à la charge du festivalier) - tables réservées à l'avance pour les « NFT member » pour deux (2) personnes</v>
      </c>
      <c r="AJ105" t="str">
        <f>Tokens!AL107</f>
        <v>avantage4</v>
      </c>
      <c r="AK105" t="str">
        <f>Tokens!AM107</f>
        <v>1 affiche dédicacée et numérotée</v>
      </c>
      <c r="AL105">
        <f>Tokens!AN107</f>
        <v>0</v>
      </c>
      <c r="AM105">
        <f>Tokens!AO107</f>
        <v>0</v>
      </c>
      <c r="AN105">
        <f>Tokens!AP107</f>
        <v>0</v>
      </c>
      <c r="AO105">
        <f>Tokens!AQ107</f>
        <v>0</v>
      </c>
      <c r="AP105">
        <f>Tokens!AR107</f>
        <v>0</v>
      </c>
      <c r="AQ105">
        <f>Tokens!AS107</f>
        <v>0</v>
      </c>
      <c r="AR105">
        <f>Tokens!AT107</f>
        <v>0</v>
      </c>
      <c r="AS105">
        <f>Tokens!AU107</f>
        <v>0</v>
      </c>
      <c r="AT105" t="str">
        <f>Tokens!AV107</f>
        <v>Validation</v>
      </c>
      <c r="AU105" t="str">
        <f>Tokens!AW107</f>
        <v>https://tokensol.nfluent.io?s=COR22C44&amp;platform=ftx</v>
      </c>
      <c r="AV105" t="str">
        <f>Tokens!AX107</f>
        <v>paul</v>
      </c>
      <c r="AW105">
        <f>Tokens!AY107</f>
        <v>10</v>
      </c>
      <c r="AX105" t="str">
        <f>Tokens!AZ107</f>
        <v>sophie</v>
      </c>
      <c r="AY105">
        <f>Tokens!BA107</f>
        <v>90</v>
      </c>
      <c r="AZ105">
        <f>Tokens!BB107</f>
        <v>0</v>
      </c>
      <c r="BA105">
        <f>Tokens!BC107</f>
        <v>0</v>
      </c>
      <c r="BB105">
        <f>Tokens!BD107</f>
        <v>0</v>
      </c>
      <c r="BC105">
        <f>Tokens!BE107</f>
        <v>0</v>
      </c>
      <c r="BD105">
        <f>Tokens!BF107</f>
        <v>0</v>
      </c>
      <c r="BE105">
        <f>Tokens!BG107</f>
        <v>0</v>
      </c>
      <c r="BF105">
        <f>Tokens!BH107</f>
        <v>0</v>
      </c>
      <c r="BG105">
        <f>Tokens!BI107</f>
        <v>0</v>
      </c>
      <c r="BH105" t="str">
        <f>Tokens!BJ107</f>
        <v>La Porteuse D'Eau</v>
      </c>
      <c r="BI105" t="str">
        <f>Tokens!BK107</f>
        <v>Calvi On The Rocks</v>
      </c>
    </row>
    <row r="106" spans="1:61" x14ac:dyDescent="0.25">
      <c r="A106" t="str">
        <f>Tokens!C108</f>
        <v>La Porteuse D'Eau #45</v>
      </c>
      <c r="B106" t="str">
        <f>Tokens!D108</f>
        <v>COR22C45</v>
      </c>
      <c r="C106" t="str">
        <f>Tokens!E108</f>
        <v>La Porteuse D'Eau, 3 ans - Pass NFT 5 jours pour 2 personnes, valable pour 3 éditions Calvi On The Rocks de votre choix.</v>
      </c>
      <c r="D106">
        <f>Tokens!F108</f>
        <v>1000</v>
      </c>
      <c r="E106" t="str">
        <f>Tokens!G108</f>
        <v>https://bafybeicordeza5gk2bza3mvxlpkuixf2rl7wnnuldoo222om2i4bxv2oqa.ipfs.nftstorage.link?image_10.png</v>
      </c>
      <c r="F106" t="str">
        <f>Tokens!H108</f>
        <v>NfluenT for Calvi On The rocks</v>
      </c>
      <c r="G106">
        <f>Tokens!I108</f>
        <v>0</v>
      </c>
      <c r="H106" t="str">
        <f>Tokens!J108</f>
        <v>Pass festival</v>
      </c>
      <c r="I106" t="str">
        <f>Tokens!K108</f>
        <v>pour deux(2) personnes</v>
      </c>
      <c r="J106" t="str">
        <f>Tokens!L108</f>
        <v>Edition1</v>
      </c>
      <c r="K106">
        <f>Tokens!M108</f>
        <v>2</v>
      </c>
      <c r="L106" t="str">
        <f>Tokens!N108</f>
        <v>Edition2</v>
      </c>
      <c r="M106">
        <f>Tokens!O108</f>
        <v>2</v>
      </c>
      <c r="N106" t="str">
        <f>Tokens!P108</f>
        <v>Edition3</v>
      </c>
      <c r="O106">
        <f>Tokens!Q108</f>
        <v>2</v>
      </c>
      <c r="P106">
        <f>Tokens!R108</f>
        <v>0</v>
      </c>
      <c r="Q106">
        <f>Tokens!S108</f>
        <v>0</v>
      </c>
      <c r="R106">
        <f>Tokens!T108</f>
        <v>0</v>
      </c>
      <c r="S106">
        <f>Tokens!U108</f>
        <v>0</v>
      </c>
      <c r="T106" t="str">
        <f>Tokens!V108</f>
        <v>Dernière utilisation</v>
      </c>
      <c r="U106">
        <f>Tokens!W108</f>
        <v>0</v>
      </c>
      <c r="V106">
        <f>Tokens!X108</f>
        <v>0</v>
      </c>
      <c r="W106">
        <f>Tokens!Y108</f>
        <v>0</v>
      </c>
      <c r="X106" t="str">
        <f>Tokens!Z108</f>
        <v>avantage1</v>
      </c>
      <c r="Y106" t="str">
        <f>Tokens!AA108</f>
        <v>accès pour deux (2) personnes à un (1) événement partenaire officiel de Calvi on the Rocks</v>
      </c>
      <c r="Z106">
        <f>Tokens!AB108</f>
        <v>0</v>
      </c>
      <c r="AA106">
        <f>Tokens!AC108</f>
        <v>0</v>
      </c>
      <c r="AB106">
        <f>Tokens!AD108</f>
        <v>0</v>
      </c>
      <c r="AC106">
        <f>Tokens!AE108</f>
        <v>0</v>
      </c>
      <c r="AD106">
        <f>Tokens!AF108</f>
        <v>0</v>
      </c>
      <c r="AE106">
        <f>Tokens!AG108</f>
        <v>0</v>
      </c>
      <c r="AF106" t="str">
        <f>Tokens!AH108</f>
        <v>avantage2</v>
      </c>
      <c r="AG106" t="str">
        <f>Tokens!AI108</f>
        <v>accès membre pour les after party officielles pour deux (2) personnes</v>
      </c>
      <c r="AH106" t="str">
        <f>Tokens!AJ108</f>
        <v>avantage3</v>
      </c>
      <c r="AI106" t="str">
        <f>Tokens!AK108</f>
        <v>accès prioritaire et bar dédié (consommation à la charge du festivalier) - tables réservées à l'avance pour les « NFT member » pour deux (2) personnes</v>
      </c>
      <c r="AJ106" t="str">
        <f>Tokens!AL108</f>
        <v>avantage4</v>
      </c>
      <c r="AK106" t="str">
        <f>Tokens!AM108</f>
        <v>1 affiche dédicacée et numérotée</v>
      </c>
      <c r="AL106">
        <f>Tokens!AN108</f>
        <v>0</v>
      </c>
      <c r="AM106">
        <f>Tokens!AO108</f>
        <v>0</v>
      </c>
      <c r="AN106">
        <f>Tokens!AP108</f>
        <v>0</v>
      </c>
      <c r="AO106">
        <f>Tokens!AQ108</f>
        <v>0</v>
      </c>
      <c r="AP106">
        <f>Tokens!AR108</f>
        <v>0</v>
      </c>
      <c r="AQ106">
        <f>Tokens!AS108</f>
        <v>0</v>
      </c>
      <c r="AR106">
        <f>Tokens!AT108</f>
        <v>0</v>
      </c>
      <c r="AS106">
        <f>Tokens!AU108</f>
        <v>0</v>
      </c>
      <c r="AT106" t="str">
        <f>Tokens!AV108</f>
        <v>Validation</v>
      </c>
      <c r="AU106" t="str">
        <f>Tokens!AW108</f>
        <v>https://tokensol.nfluent.io?s=COR22C45&amp;platform=ftx</v>
      </c>
      <c r="AV106" t="str">
        <f>Tokens!AX108</f>
        <v>paul</v>
      </c>
      <c r="AW106">
        <f>Tokens!AY108</f>
        <v>10</v>
      </c>
      <c r="AX106" t="str">
        <f>Tokens!AZ108</f>
        <v>sophie</v>
      </c>
      <c r="AY106">
        <f>Tokens!BA108</f>
        <v>90</v>
      </c>
      <c r="AZ106">
        <f>Tokens!BB108</f>
        <v>0</v>
      </c>
      <c r="BA106">
        <f>Tokens!BC108</f>
        <v>0</v>
      </c>
      <c r="BB106">
        <f>Tokens!BD108</f>
        <v>0</v>
      </c>
      <c r="BC106">
        <f>Tokens!BE108</f>
        <v>0</v>
      </c>
      <c r="BD106">
        <f>Tokens!BF108</f>
        <v>0</v>
      </c>
      <c r="BE106">
        <f>Tokens!BG108</f>
        <v>0</v>
      </c>
      <c r="BF106">
        <f>Tokens!BH108</f>
        <v>0</v>
      </c>
      <c r="BG106">
        <f>Tokens!BI108</f>
        <v>0</v>
      </c>
      <c r="BH106" t="str">
        <f>Tokens!BJ108</f>
        <v>La Porteuse D'Eau</v>
      </c>
      <c r="BI106" t="str">
        <f>Tokens!BK108</f>
        <v>Calvi On The Rocks</v>
      </c>
    </row>
    <row r="107" spans="1:61" x14ac:dyDescent="0.25">
      <c r="A107" t="str">
        <f>Tokens!C109</f>
        <v>La Porteuse D'Eau #46</v>
      </c>
      <c r="B107" t="str">
        <f>Tokens!D109</f>
        <v>COR22C46</v>
      </c>
      <c r="C107" t="str">
        <f>Tokens!E109</f>
        <v>La Porteuse D'Eau, 3 ans - Pass NFT 5 jours pour 2 personnes, valable pour 3 éditions Calvi On The Rocks de votre choix.</v>
      </c>
      <c r="D107">
        <f>Tokens!F109</f>
        <v>1000</v>
      </c>
      <c r="E107" t="str">
        <f>Tokens!G109</f>
        <v>https://bafybeicordeza5gk2bza3mvxlpkuixf2rl7wnnuldoo222om2i4bxv2oqa.ipfs.nftstorage.link?image_10.png</v>
      </c>
      <c r="F107" t="str">
        <f>Tokens!H109</f>
        <v>NfluenT for Calvi On The rocks</v>
      </c>
      <c r="G107">
        <f>Tokens!I109</f>
        <v>0</v>
      </c>
      <c r="H107" t="str">
        <f>Tokens!J109</f>
        <v>Pass festival</v>
      </c>
      <c r="I107" t="str">
        <f>Tokens!K109</f>
        <v>pour deux(2) personnes</v>
      </c>
      <c r="J107" t="str">
        <f>Tokens!L109</f>
        <v>Edition1</v>
      </c>
      <c r="K107">
        <f>Tokens!M109</f>
        <v>2</v>
      </c>
      <c r="L107" t="str">
        <f>Tokens!N109</f>
        <v>Edition2</v>
      </c>
      <c r="M107">
        <f>Tokens!O109</f>
        <v>2</v>
      </c>
      <c r="N107" t="str">
        <f>Tokens!P109</f>
        <v>Edition3</v>
      </c>
      <c r="O107">
        <f>Tokens!Q109</f>
        <v>2</v>
      </c>
      <c r="P107">
        <f>Tokens!R109</f>
        <v>0</v>
      </c>
      <c r="Q107">
        <f>Tokens!S109</f>
        <v>0</v>
      </c>
      <c r="R107">
        <f>Tokens!T109</f>
        <v>0</v>
      </c>
      <c r="S107">
        <f>Tokens!U109</f>
        <v>0</v>
      </c>
      <c r="T107" t="str">
        <f>Tokens!V109</f>
        <v>Dernière utilisation</v>
      </c>
      <c r="U107">
        <f>Tokens!W109</f>
        <v>0</v>
      </c>
      <c r="V107">
        <f>Tokens!X109</f>
        <v>0</v>
      </c>
      <c r="W107">
        <f>Tokens!Y109</f>
        <v>0</v>
      </c>
      <c r="X107" t="str">
        <f>Tokens!Z109</f>
        <v>avantage1</v>
      </c>
      <c r="Y107" t="str">
        <f>Tokens!AA109</f>
        <v>accès pour deux (2) personnes à un (1) événement partenaire officiel de Calvi on the Rocks</v>
      </c>
      <c r="Z107">
        <f>Tokens!AB109</f>
        <v>0</v>
      </c>
      <c r="AA107">
        <f>Tokens!AC109</f>
        <v>0</v>
      </c>
      <c r="AB107">
        <f>Tokens!AD109</f>
        <v>0</v>
      </c>
      <c r="AC107">
        <f>Tokens!AE109</f>
        <v>0</v>
      </c>
      <c r="AD107">
        <f>Tokens!AF109</f>
        <v>0</v>
      </c>
      <c r="AE107">
        <f>Tokens!AG109</f>
        <v>0</v>
      </c>
      <c r="AF107" t="str">
        <f>Tokens!AH109</f>
        <v>avantage2</v>
      </c>
      <c r="AG107" t="str">
        <f>Tokens!AI109</f>
        <v>accès membre pour les after party officielles pour deux (2) personnes</v>
      </c>
      <c r="AH107" t="str">
        <f>Tokens!AJ109</f>
        <v>avantage3</v>
      </c>
      <c r="AI107" t="str">
        <f>Tokens!AK109</f>
        <v>accès prioritaire et bar dédié (consommation à la charge du festivalier) - tables réservées à l'avance pour les « NFT member » pour deux (2) personnes</v>
      </c>
      <c r="AJ107" t="str">
        <f>Tokens!AL109</f>
        <v>avantage4</v>
      </c>
      <c r="AK107" t="str">
        <f>Tokens!AM109</f>
        <v>1 affiche dédicacée et numérotée</v>
      </c>
      <c r="AL107">
        <f>Tokens!AN109</f>
        <v>0</v>
      </c>
      <c r="AM107">
        <f>Tokens!AO109</f>
        <v>0</v>
      </c>
      <c r="AN107">
        <f>Tokens!AP109</f>
        <v>0</v>
      </c>
      <c r="AO107">
        <f>Tokens!AQ109</f>
        <v>0</v>
      </c>
      <c r="AP107">
        <f>Tokens!AR109</f>
        <v>0</v>
      </c>
      <c r="AQ107">
        <f>Tokens!AS109</f>
        <v>0</v>
      </c>
      <c r="AR107">
        <f>Tokens!AT109</f>
        <v>0</v>
      </c>
      <c r="AS107">
        <f>Tokens!AU109</f>
        <v>0</v>
      </c>
      <c r="AT107" t="str">
        <f>Tokens!AV109</f>
        <v>Validation</v>
      </c>
      <c r="AU107" t="str">
        <f>Tokens!AW109</f>
        <v>https://tokensol.nfluent.io?s=COR22C46&amp;platform=ftx</v>
      </c>
      <c r="AV107" t="str">
        <f>Tokens!AX109</f>
        <v>paul</v>
      </c>
      <c r="AW107">
        <f>Tokens!AY109</f>
        <v>10</v>
      </c>
      <c r="AX107" t="str">
        <f>Tokens!AZ109</f>
        <v>sophie</v>
      </c>
      <c r="AY107">
        <f>Tokens!BA109</f>
        <v>90</v>
      </c>
      <c r="AZ107">
        <f>Tokens!BB109</f>
        <v>0</v>
      </c>
      <c r="BA107">
        <f>Tokens!BC109</f>
        <v>0</v>
      </c>
      <c r="BB107">
        <f>Tokens!BD109</f>
        <v>0</v>
      </c>
      <c r="BC107">
        <f>Tokens!BE109</f>
        <v>0</v>
      </c>
      <c r="BD107">
        <f>Tokens!BF109</f>
        <v>0</v>
      </c>
      <c r="BE107">
        <f>Tokens!BG109</f>
        <v>0</v>
      </c>
      <c r="BF107">
        <f>Tokens!BH109</f>
        <v>0</v>
      </c>
      <c r="BG107">
        <f>Tokens!BI109</f>
        <v>0</v>
      </c>
      <c r="BH107" t="str">
        <f>Tokens!BJ109</f>
        <v>La Porteuse D'Eau</v>
      </c>
      <c r="BI107" t="str">
        <f>Tokens!BK109</f>
        <v>Calvi On The Rocks</v>
      </c>
    </row>
    <row r="108" spans="1:61" x14ac:dyDescent="0.25">
      <c r="A108" t="str">
        <f>Tokens!C110</f>
        <v>La Porteuse D'Eau #47</v>
      </c>
      <c r="B108" t="str">
        <f>Tokens!D110</f>
        <v>COR22C47</v>
      </c>
      <c r="C108" t="str">
        <f>Tokens!E110</f>
        <v>La Porteuse D'Eau, 3 ans - Pass NFT 5 jours pour 2 personnes, valable pour 3 éditions Calvi On The Rocks de votre choix.</v>
      </c>
      <c r="D108">
        <f>Tokens!F110</f>
        <v>1000</v>
      </c>
      <c r="E108" t="str">
        <f>Tokens!G110</f>
        <v>https://bafybeicordeza5gk2bza3mvxlpkuixf2rl7wnnuldoo222om2i4bxv2oqa.ipfs.nftstorage.link?image_10.png</v>
      </c>
      <c r="F108" t="str">
        <f>Tokens!H110</f>
        <v>NfluenT for Calvi On The rocks</v>
      </c>
      <c r="G108">
        <f>Tokens!I110</f>
        <v>0</v>
      </c>
      <c r="H108" t="str">
        <f>Tokens!J110</f>
        <v>Pass festival</v>
      </c>
      <c r="I108" t="str">
        <f>Tokens!K110</f>
        <v>pour deux(2) personnes</v>
      </c>
      <c r="J108" t="str">
        <f>Tokens!L110</f>
        <v>Edition1</v>
      </c>
      <c r="K108">
        <f>Tokens!M110</f>
        <v>2</v>
      </c>
      <c r="L108" t="str">
        <f>Tokens!N110</f>
        <v>Edition2</v>
      </c>
      <c r="M108">
        <f>Tokens!O110</f>
        <v>2</v>
      </c>
      <c r="N108" t="str">
        <f>Tokens!P110</f>
        <v>Edition3</v>
      </c>
      <c r="O108">
        <f>Tokens!Q110</f>
        <v>2</v>
      </c>
      <c r="P108">
        <f>Tokens!R110</f>
        <v>0</v>
      </c>
      <c r="Q108">
        <f>Tokens!S110</f>
        <v>0</v>
      </c>
      <c r="R108">
        <f>Tokens!T110</f>
        <v>0</v>
      </c>
      <c r="S108">
        <f>Tokens!U110</f>
        <v>0</v>
      </c>
      <c r="T108" t="str">
        <f>Tokens!V110</f>
        <v>Dernière utilisation</v>
      </c>
      <c r="U108">
        <f>Tokens!W110</f>
        <v>0</v>
      </c>
      <c r="V108">
        <f>Tokens!X110</f>
        <v>0</v>
      </c>
      <c r="W108">
        <f>Tokens!Y110</f>
        <v>0</v>
      </c>
      <c r="X108" t="str">
        <f>Tokens!Z110</f>
        <v>avantage1</v>
      </c>
      <c r="Y108" t="str">
        <f>Tokens!AA110</f>
        <v>accès pour deux (2) personnes à un (1) événement partenaire officiel de Calvi on the Rocks</v>
      </c>
      <c r="Z108">
        <f>Tokens!AB110</f>
        <v>0</v>
      </c>
      <c r="AA108">
        <f>Tokens!AC110</f>
        <v>0</v>
      </c>
      <c r="AB108">
        <f>Tokens!AD110</f>
        <v>0</v>
      </c>
      <c r="AC108">
        <f>Tokens!AE110</f>
        <v>0</v>
      </c>
      <c r="AD108">
        <f>Tokens!AF110</f>
        <v>0</v>
      </c>
      <c r="AE108">
        <f>Tokens!AG110</f>
        <v>0</v>
      </c>
      <c r="AF108" t="str">
        <f>Tokens!AH110</f>
        <v>avantage2</v>
      </c>
      <c r="AG108" t="str">
        <f>Tokens!AI110</f>
        <v>accès membre pour les after party officielles pour deux (2) personnes</v>
      </c>
      <c r="AH108" t="str">
        <f>Tokens!AJ110</f>
        <v>avantage3</v>
      </c>
      <c r="AI108" t="str">
        <f>Tokens!AK110</f>
        <v>accès prioritaire et bar dédié (consommation à la charge du festivalier) - tables réservées à l'avance pour les « NFT member » pour deux (2) personnes</v>
      </c>
      <c r="AJ108" t="str">
        <f>Tokens!AL110</f>
        <v>avantage4</v>
      </c>
      <c r="AK108" t="str">
        <f>Tokens!AM110</f>
        <v>1 affiche dédicacée et numérotée</v>
      </c>
      <c r="AL108">
        <f>Tokens!AN110</f>
        <v>0</v>
      </c>
      <c r="AM108">
        <f>Tokens!AO110</f>
        <v>0</v>
      </c>
      <c r="AN108">
        <f>Tokens!AP110</f>
        <v>0</v>
      </c>
      <c r="AO108">
        <f>Tokens!AQ110</f>
        <v>0</v>
      </c>
      <c r="AP108">
        <f>Tokens!AR110</f>
        <v>0</v>
      </c>
      <c r="AQ108">
        <f>Tokens!AS110</f>
        <v>0</v>
      </c>
      <c r="AR108">
        <f>Tokens!AT110</f>
        <v>0</v>
      </c>
      <c r="AS108">
        <f>Tokens!AU110</f>
        <v>0</v>
      </c>
      <c r="AT108" t="str">
        <f>Tokens!AV110</f>
        <v>Validation</v>
      </c>
      <c r="AU108" t="str">
        <f>Tokens!AW110</f>
        <v>https://tokensol.nfluent.io?s=COR22C47&amp;platform=ftx</v>
      </c>
      <c r="AV108" t="str">
        <f>Tokens!AX110</f>
        <v>paul</v>
      </c>
      <c r="AW108">
        <f>Tokens!AY110</f>
        <v>10</v>
      </c>
      <c r="AX108" t="str">
        <f>Tokens!AZ110</f>
        <v>sophie</v>
      </c>
      <c r="AY108">
        <f>Tokens!BA110</f>
        <v>90</v>
      </c>
      <c r="AZ108">
        <f>Tokens!BB110</f>
        <v>0</v>
      </c>
      <c r="BA108">
        <f>Tokens!BC110</f>
        <v>0</v>
      </c>
      <c r="BB108">
        <f>Tokens!BD110</f>
        <v>0</v>
      </c>
      <c r="BC108">
        <f>Tokens!BE110</f>
        <v>0</v>
      </c>
      <c r="BD108">
        <f>Tokens!BF110</f>
        <v>0</v>
      </c>
      <c r="BE108">
        <f>Tokens!BG110</f>
        <v>0</v>
      </c>
      <c r="BF108">
        <f>Tokens!BH110</f>
        <v>0</v>
      </c>
      <c r="BG108">
        <f>Tokens!BI110</f>
        <v>0</v>
      </c>
      <c r="BH108" t="str">
        <f>Tokens!BJ110</f>
        <v>La Porteuse D'Eau</v>
      </c>
      <c r="BI108" t="str">
        <f>Tokens!BK110</f>
        <v>Calvi On The Rocks</v>
      </c>
    </row>
    <row r="109" spans="1:61" x14ac:dyDescent="0.25">
      <c r="A109" t="str">
        <f>Tokens!C111</f>
        <v>La Porteuse D'Eau #48</v>
      </c>
      <c r="B109" t="str">
        <f>Tokens!D111</f>
        <v>COR22C48</v>
      </c>
      <c r="C109" t="str">
        <f>Tokens!E111</f>
        <v>La Porteuse D'Eau, 3 ans - Pass NFT 5 jours pour 2 personnes, valable pour 3 éditions Calvi On The Rocks de votre choix.</v>
      </c>
      <c r="D109">
        <f>Tokens!F111</f>
        <v>1000</v>
      </c>
      <c r="E109" t="str">
        <f>Tokens!G111</f>
        <v>https://bafybeicordeza5gk2bza3mvxlpkuixf2rl7wnnuldoo222om2i4bxv2oqa.ipfs.nftstorage.link?image_10.png</v>
      </c>
      <c r="F109" t="str">
        <f>Tokens!H111</f>
        <v>NfluenT for Calvi On The rocks</v>
      </c>
      <c r="G109">
        <f>Tokens!I111</f>
        <v>0</v>
      </c>
      <c r="H109" t="str">
        <f>Tokens!J111</f>
        <v>Pass festival</v>
      </c>
      <c r="I109" t="str">
        <f>Tokens!K111</f>
        <v>pour deux(2) personnes</v>
      </c>
      <c r="J109" t="str">
        <f>Tokens!L111</f>
        <v>Edition1</v>
      </c>
      <c r="K109">
        <f>Tokens!M111</f>
        <v>2</v>
      </c>
      <c r="L109" t="str">
        <f>Tokens!N111</f>
        <v>Edition2</v>
      </c>
      <c r="M109">
        <f>Tokens!O111</f>
        <v>2</v>
      </c>
      <c r="N109" t="str">
        <f>Tokens!P111</f>
        <v>Edition3</v>
      </c>
      <c r="O109">
        <f>Tokens!Q111</f>
        <v>2</v>
      </c>
      <c r="P109">
        <f>Tokens!R111</f>
        <v>0</v>
      </c>
      <c r="Q109">
        <f>Tokens!S111</f>
        <v>0</v>
      </c>
      <c r="R109">
        <f>Tokens!T111</f>
        <v>0</v>
      </c>
      <c r="S109">
        <f>Tokens!U111</f>
        <v>0</v>
      </c>
      <c r="T109" t="str">
        <f>Tokens!V111</f>
        <v>Dernière utilisation</v>
      </c>
      <c r="U109">
        <f>Tokens!W111</f>
        <v>0</v>
      </c>
      <c r="V109">
        <f>Tokens!X111</f>
        <v>0</v>
      </c>
      <c r="W109">
        <f>Tokens!Y111</f>
        <v>0</v>
      </c>
      <c r="X109" t="str">
        <f>Tokens!Z111</f>
        <v>avantage1</v>
      </c>
      <c r="Y109" t="str">
        <f>Tokens!AA111</f>
        <v>accès pour deux (2) personnes à un (1) événement partenaire officiel de Calvi on the Rocks</v>
      </c>
      <c r="Z109">
        <f>Tokens!AB111</f>
        <v>0</v>
      </c>
      <c r="AA109">
        <f>Tokens!AC111</f>
        <v>0</v>
      </c>
      <c r="AB109">
        <f>Tokens!AD111</f>
        <v>0</v>
      </c>
      <c r="AC109">
        <f>Tokens!AE111</f>
        <v>0</v>
      </c>
      <c r="AD109">
        <f>Tokens!AF111</f>
        <v>0</v>
      </c>
      <c r="AE109">
        <f>Tokens!AG111</f>
        <v>0</v>
      </c>
      <c r="AF109" t="str">
        <f>Tokens!AH111</f>
        <v>avantage2</v>
      </c>
      <c r="AG109" t="str">
        <f>Tokens!AI111</f>
        <v>accès membre pour les after party officielles pour deux (2) personnes</v>
      </c>
      <c r="AH109" t="str">
        <f>Tokens!AJ111</f>
        <v>avantage3</v>
      </c>
      <c r="AI109" t="str">
        <f>Tokens!AK111</f>
        <v>accès prioritaire et bar dédié (consommation à la charge du festivalier) - tables réservées à l'avance pour les « NFT member » pour deux (2) personnes</v>
      </c>
      <c r="AJ109" t="str">
        <f>Tokens!AL111</f>
        <v>avantage4</v>
      </c>
      <c r="AK109" t="str">
        <f>Tokens!AM111</f>
        <v>1 affiche dédicacée et numérotée</v>
      </c>
      <c r="AL109">
        <f>Tokens!AN111</f>
        <v>0</v>
      </c>
      <c r="AM109">
        <f>Tokens!AO111</f>
        <v>0</v>
      </c>
      <c r="AN109">
        <f>Tokens!AP111</f>
        <v>0</v>
      </c>
      <c r="AO109">
        <f>Tokens!AQ111</f>
        <v>0</v>
      </c>
      <c r="AP109">
        <f>Tokens!AR111</f>
        <v>0</v>
      </c>
      <c r="AQ109">
        <f>Tokens!AS111</f>
        <v>0</v>
      </c>
      <c r="AR109">
        <f>Tokens!AT111</f>
        <v>0</v>
      </c>
      <c r="AS109">
        <f>Tokens!AU111</f>
        <v>0</v>
      </c>
      <c r="AT109" t="str">
        <f>Tokens!AV111</f>
        <v>Validation</v>
      </c>
      <c r="AU109" t="str">
        <f>Tokens!AW111</f>
        <v>https://tokensol.nfluent.io?s=COR22C48&amp;platform=ftx</v>
      </c>
      <c r="AV109" t="str">
        <f>Tokens!AX111</f>
        <v>paul</v>
      </c>
      <c r="AW109">
        <f>Tokens!AY111</f>
        <v>10</v>
      </c>
      <c r="AX109" t="str">
        <f>Tokens!AZ111</f>
        <v>sophie</v>
      </c>
      <c r="AY109">
        <f>Tokens!BA111</f>
        <v>90</v>
      </c>
      <c r="AZ109">
        <f>Tokens!BB111</f>
        <v>0</v>
      </c>
      <c r="BA109">
        <f>Tokens!BC111</f>
        <v>0</v>
      </c>
      <c r="BB109">
        <f>Tokens!BD111</f>
        <v>0</v>
      </c>
      <c r="BC109">
        <f>Tokens!BE111</f>
        <v>0</v>
      </c>
      <c r="BD109">
        <f>Tokens!BF111</f>
        <v>0</v>
      </c>
      <c r="BE109">
        <f>Tokens!BG111</f>
        <v>0</v>
      </c>
      <c r="BF109">
        <f>Tokens!BH111</f>
        <v>0</v>
      </c>
      <c r="BG109">
        <f>Tokens!BI111</f>
        <v>0</v>
      </c>
      <c r="BH109" t="str">
        <f>Tokens!BJ111</f>
        <v>La Porteuse D'Eau</v>
      </c>
      <c r="BI109" t="str">
        <f>Tokens!BK111</f>
        <v>Calvi On The Rocks</v>
      </c>
    </row>
    <row r="110" spans="1:61" x14ac:dyDescent="0.25">
      <c r="A110" t="str">
        <f>Tokens!C112</f>
        <v>La Porteuse D'Eau #49</v>
      </c>
      <c r="B110" t="str">
        <f>Tokens!D112</f>
        <v>COR22C49</v>
      </c>
      <c r="C110" t="str">
        <f>Tokens!E112</f>
        <v>La Porteuse D'Eau, 3 ans - Pass NFT 5 jours pour 2 personnes, valable pour 3 éditions Calvi On The Rocks de votre choix.</v>
      </c>
      <c r="D110">
        <f>Tokens!F112</f>
        <v>1000</v>
      </c>
      <c r="E110" t="str">
        <f>Tokens!G112</f>
        <v>https://bafybeicordeza5gk2bza3mvxlpkuixf2rl7wnnuldoo222om2i4bxv2oqa.ipfs.nftstorage.link?image_10.png</v>
      </c>
      <c r="F110" t="str">
        <f>Tokens!H112</f>
        <v>NfluenT for Calvi On The rocks</v>
      </c>
      <c r="G110">
        <f>Tokens!I112</f>
        <v>0</v>
      </c>
      <c r="H110" t="str">
        <f>Tokens!J112</f>
        <v>Pass festival</v>
      </c>
      <c r="I110" t="str">
        <f>Tokens!K112</f>
        <v>pour deux(2) personnes</v>
      </c>
      <c r="J110" t="str">
        <f>Tokens!L112</f>
        <v>Edition1</v>
      </c>
      <c r="K110">
        <f>Tokens!M112</f>
        <v>2</v>
      </c>
      <c r="L110" t="str">
        <f>Tokens!N112</f>
        <v>Edition2</v>
      </c>
      <c r="M110">
        <f>Tokens!O112</f>
        <v>2</v>
      </c>
      <c r="N110" t="str">
        <f>Tokens!P112</f>
        <v>Edition3</v>
      </c>
      <c r="O110">
        <f>Tokens!Q112</f>
        <v>2</v>
      </c>
      <c r="P110">
        <f>Tokens!R112</f>
        <v>0</v>
      </c>
      <c r="Q110">
        <f>Tokens!S112</f>
        <v>0</v>
      </c>
      <c r="R110">
        <f>Tokens!T112</f>
        <v>0</v>
      </c>
      <c r="S110">
        <f>Tokens!U112</f>
        <v>0</v>
      </c>
      <c r="T110" t="str">
        <f>Tokens!V112</f>
        <v>Dernière utilisation</v>
      </c>
      <c r="U110">
        <f>Tokens!W112</f>
        <v>0</v>
      </c>
      <c r="V110">
        <f>Tokens!X112</f>
        <v>0</v>
      </c>
      <c r="W110">
        <f>Tokens!Y112</f>
        <v>0</v>
      </c>
      <c r="X110" t="str">
        <f>Tokens!Z112</f>
        <v>avantage1</v>
      </c>
      <c r="Y110" t="str">
        <f>Tokens!AA112</f>
        <v>accès pour deux (2) personnes à un (1) événement partenaire officiel de Calvi on the Rocks</v>
      </c>
      <c r="Z110">
        <f>Tokens!AB112</f>
        <v>0</v>
      </c>
      <c r="AA110">
        <f>Tokens!AC112</f>
        <v>0</v>
      </c>
      <c r="AB110">
        <f>Tokens!AD112</f>
        <v>0</v>
      </c>
      <c r="AC110">
        <f>Tokens!AE112</f>
        <v>0</v>
      </c>
      <c r="AD110">
        <f>Tokens!AF112</f>
        <v>0</v>
      </c>
      <c r="AE110">
        <f>Tokens!AG112</f>
        <v>0</v>
      </c>
      <c r="AF110" t="str">
        <f>Tokens!AH112</f>
        <v>avantage2</v>
      </c>
      <c r="AG110" t="str">
        <f>Tokens!AI112</f>
        <v>accès membre pour les after party officielles pour deux (2) personnes</v>
      </c>
      <c r="AH110" t="str">
        <f>Tokens!AJ112</f>
        <v>avantage3</v>
      </c>
      <c r="AI110" t="str">
        <f>Tokens!AK112</f>
        <v>accès prioritaire et bar dédié (consommation à la charge du festivalier) - tables réservées à l'avance pour les « NFT member » pour deux (2) personnes</v>
      </c>
      <c r="AJ110" t="str">
        <f>Tokens!AL112</f>
        <v>avantage4</v>
      </c>
      <c r="AK110" t="str">
        <f>Tokens!AM112</f>
        <v>1 affiche dédicacée et numérotée</v>
      </c>
      <c r="AL110">
        <f>Tokens!AN112</f>
        <v>0</v>
      </c>
      <c r="AM110">
        <f>Tokens!AO112</f>
        <v>0</v>
      </c>
      <c r="AN110">
        <f>Tokens!AP112</f>
        <v>0</v>
      </c>
      <c r="AO110">
        <f>Tokens!AQ112</f>
        <v>0</v>
      </c>
      <c r="AP110">
        <f>Tokens!AR112</f>
        <v>0</v>
      </c>
      <c r="AQ110">
        <f>Tokens!AS112</f>
        <v>0</v>
      </c>
      <c r="AR110">
        <f>Tokens!AT112</f>
        <v>0</v>
      </c>
      <c r="AS110">
        <f>Tokens!AU112</f>
        <v>0</v>
      </c>
      <c r="AT110" t="str">
        <f>Tokens!AV112</f>
        <v>Validation</v>
      </c>
      <c r="AU110" t="str">
        <f>Tokens!AW112</f>
        <v>https://tokensol.nfluent.io?s=COR22C49&amp;platform=ftx</v>
      </c>
      <c r="AV110" t="str">
        <f>Tokens!AX112</f>
        <v>paul</v>
      </c>
      <c r="AW110">
        <f>Tokens!AY112</f>
        <v>10</v>
      </c>
      <c r="AX110" t="str">
        <f>Tokens!AZ112</f>
        <v>sophie</v>
      </c>
      <c r="AY110">
        <f>Tokens!BA112</f>
        <v>90</v>
      </c>
      <c r="AZ110">
        <f>Tokens!BB112</f>
        <v>0</v>
      </c>
      <c r="BA110">
        <f>Tokens!BC112</f>
        <v>0</v>
      </c>
      <c r="BB110">
        <f>Tokens!BD112</f>
        <v>0</v>
      </c>
      <c r="BC110">
        <f>Tokens!BE112</f>
        <v>0</v>
      </c>
      <c r="BD110">
        <f>Tokens!BF112</f>
        <v>0</v>
      </c>
      <c r="BE110">
        <f>Tokens!BG112</f>
        <v>0</v>
      </c>
      <c r="BF110">
        <f>Tokens!BH112</f>
        <v>0</v>
      </c>
      <c r="BG110">
        <f>Tokens!BI112</f>
        <v>0</v>
      </c>
      <c r="BH110" t="str">
        <f>Tokens!BJ112</f>
        <v>La Porteuse D'Eau</v>
      </c>
      <c r="BI110" t="str">
        <f>Tokens!BK112</f>
        <v>Calvi On The Rocks</v>
      </c>
    </row>
    <row r="111" spans="1:61" x14ac:dyDescent="0.25">
      <c r="A111" t="str">
        <f>Tokens!C113</f>
        <v>La Porteuse D'Eau #50</v>
      </c>
      <c r="B111" t="str">
        <f>Tokens!D113</f>
        <v>COR22C50</v>
      </c>
      <c r="C111" t="str">
        <f>Tokens!E113</f>
        <v>La Porteuse D'Eau, 3 ans - Pass NFT 5 jours pour 2 personnes, valable pour 3 éditions Calvi On The Rocks de votre choix.</v>
      </c>
      <c r="D111">
        <f>Tokens!F113</f>
        <v>1000</v>
      </c>
      <c r="E111" t="str">
        <f>Tokens!G113</f>
        <v>https://bafybeicordeza5gk2bza3mvxlpkuixf2rl7wnnuldoo222om2i4bxv2oqa.ipfs.nftstorage.link?image_10.png</v>
      </c>
      <c r="F111" t="str">
        <f>Tokens!H113</f>
        <v>NfluenT for Calvi On The rocks</v>
      </c>
      <c r="G111">
        <f>Tokens!I113</f>
        <v>0</v>
      </c>
      <c r="H111" t="str">
        <f>Tokens!J113</f>
        <v>Pass festival</v>
      </c>
      <c r="I111" t="str">
        <f>Tokens!K113</f>
        <v>pour deux(2) personnes</v>
      </c>
      <c r="J111" t="str">
        <f>Tokens!L113</f>
        <v>Edition1</v>
      </c>
      <c r="K111">
        <f>Tokens!M113</f>
        <v>2</v>
      </c>
      <c r="L111" t="str">
        <f>Tokens!N113</f>
        <v>Edition2</v>
      </c>
      <c r="M111">
        <f>Tokens!O113</f>
        <v>2</v>
      </c>
      <c r="N111" t="str">
        <f>Tokens!P113</f>
        <v>Edition3</v>
      </c>
      <c r="O111">
        <f>Tokens!Q113</f>
        <v>2</v>
      </c>
      <c r="P111">
        <f>Tokens!R113</f>
        <v>0</v>
      </c>
      <c r="Q111">
        <f>Tokens!S113</f>
        <v>0</v>
      </c>
      <c r="R111">
        <f>Tokens!T113</f>
        <v>0</v>
      </c>
      <c r="S111">
        <f>Tokens!U113</f>
        <v>0</v>
      </c>
      <c r="T111" t="str">
        <f>Tokens!V113</f>
        <v>Dernière utilisation</v>
      </c>
      <c r="U111">
        <f>Tokens!W113</f>
        <v>0</v>
      </c>
      <c r="V111">
        <f>Tokens!X113</f>
        <v>0</v>
      </c>
      <c r="W111">
        <f>Tokens!Y113</f>
        <v>0</v>
      </c>
      <c r="X111" t="str">
        <f>Tokens!Z113</f>
        <v>avantage1</v>
      </c>
      <c r="Y111" t="str">
        <f>Tokens!AA113</f>
        <v>accès pour deux (2) personnes à un (1) événement partenaire officiel de Calvi on the Rocks</v>
      </c>
      <c r="Z111">
        <f>Tokens!AB113</f>
        <v>0</v>
      </c>
      <c r="AA111">
        <f>Tokens!AC113</f>
        <v>0</v>
      </c>
      <c r="AB111">
        <f>Tokens!AD113</f>
        <v>0</v>
      </c>
      <c r="AC111">
        <f>Tokens!AE113</f>
        <v>0</v>
      </c>
      <c r="AD111">
        <f>Tokens!AF113</f>
        <v>0</v>
      </c>
      <c r="AE111">
        <f>Tokens!AG113</f>
        <v>0</v>
      </c>
      <c r="AF111" t="str">
        <f>Tokens!AH113</f>
        <v>avantage2</v>
      </c>
      <c r="AG111" t="str">
        <f>Tokens!AI113</f>
        <v>accès membre pour les after party officielles pour deux (2) personnes</v>
      </c>
      <c r="AH111" t="str">
        <f>Tokens!AJ113</f>
        <v>avantage3</v>
      </c>
      <c r="AI111" t="str">
        <f>Tokens!AK113</f>
        <v>accès prioritaire et bar dédié (consommation à la charge du festivalier) - tables réservées à l'avance pour les « NFT member » pour deux (2) personnes</v>
      </c>
      <c r="AJ111" t="str">
        <f>Tokens!AL113</f>
        <v>avantage4</v>
      </c>
      <c r="AK111" t="str">
        <f>Tokens!AM113</f>
        <v>1 affiche dédicacée et numérotée</v>
      </c>
      <c r="AL111">
        <f>Tokens!AN113</f>
        <v>0</v>
      </c>
      <c r="AM111">
        <f>Tokens!AO113</f>
        <v>0</v>
      </c>
      <c r="AN111">
        <f>Tokens!AP113</f>
        <v>0</v>
      </c>
      <c r="AO111">
        <f>Tokens!AQ113</f>
        <v>0</v>
      </c>
      <c r="AP111">
        <f>Tokens!AR113</f>
        <v>0</v>
      </c>
      <c r="AQ111">
        <f>Tokens!AS113</f>
        <v>0</v>
      </c>
      <c r="AR111">
        <f>Tokens!AT113</f>
        <v>0</v>
      </c>
      <c r="AS111">
        <f>Tokens!AU113</f>
        <v>0</v>
      </c>
      <c r="AT111" t="str">
        <f>Tokens!AV113</f>
        <v>Validation</v>
      </c>
      <c r="AU111" t="str">
        <f>Tokens!AW113</f>
        <v>https://tokensol.nfluent.io?s=COR22C50&amp;platform=ftx</v>
      </c>
      <c r="AV111" t="str">
        <f>Tokens!AX113</f>
        <v>paul</v>
      </c>
      <c r="AW111">
        <f>Tokens!AY113</f>
        <v>10</v>
      </c>
      <c r="AX111" t="str">
        <f>Tokens!AZ113</f>
        <v>sophie</v>
      </c>
      <c r="AY111">
        <f>Tokens!BA113</f>
        <v>90</v>
      </c>
      <c r="AZ111">
        <f>Tokens!BB113</f>
        <v>0</v>
      </c>
      <c r="BA111">
        <f>Tokens!BC113</f>
        <v>0</v>
      </c>
      <c r="BB111">
        <f>Tokens!BD113</f>
        <v>0</v>
      </c>
      <c r="BC111">
        <f>Tokens!BE113</f>
        <v>0</v>
      </c>
      <c r="BD111">
        <f>Tokens!BF113</f>
        <v>0</v>
      </c>
      <c r="BE111">
        <f>Tokens!BG113</f>
        <v>0</v>
      </c>
      <c r="BF111">
        <f>Tokens!BH113</f>
        <v>0</v>
      </c>
      <c r="BG111">
        <f>Tokens!BI113</f>
        <v>0</v>
      </c>
      <c r="BH111" t="str">
        <f>Tokens!BJ113</f>
        <v>La Porteuse D'Eau</v>
      </c>
      <c r="BI111" t="str">
        <f>Tokens!BK113</f>
        <v>Calvi On The Rocks</v>
      </c>
    </row>
    <row r="112" spans="1:61" x14ac:dyDescent="0.25">
      <c r="A112" t="str">
        <f>Tokens!C114</f>
        <v>La Porteuse D'Eau #51</v>
      </c>
      <c r="B112" t="str">
        <f>Tokens!D114</f>
        <v>COR22C51</v>
      </c>
      <c r="C112" t="str">
        <f>Tokens!E114</f>
        <v>La Porteuse D'Eau, 3 ans - Pass NFT 5 jours pour 2 personnes, valable pour 3 éditions Calvi On The Rocks de votre choix.</v>
      </c>
      <c r="D112">
        <f>Tokens!F114</f>
        <v>1000</v>
      </c>
      <c r="E112" t="str">
        <f>Tokens!G114</f>
        <v>https://bafybeicordeza5gk2bza3mvxlpkuixf2rl7wnnuldoo222om2i4bxv2oqa.ipfs.nftstorage.link?image_10.png</v>
      </c>
      <c r="F112" t="str">
        <f>Tokens!H114</f>
        <v>NfluenT for Calvi On The rocks</v>
      </c>
      <c r="G112">
        <f>Tokens!I114</f>
        <v>0</v>
      </c>
      <c r="H112" t="str">
        <f>Tokens!J114</f>
        <v>Pass festival</v>
      </c>
      <c r="I112" t="str">
        <f>Tokens!K114</f>
        <v>pour deux(2) personnes</v>
      </c>
      <c r="J112" t="str">
        <f>Tokens!L114</f>
        <v>Edition1</v>
      </c>
      <c r="K112">
        <f>Tokens!M114</f>
        <v>2</v>
      </c>
      <c r="L112" t="str">
        <f>Tokens!N114</f>
        <v>Edition2</v>
      </c>
      <c r="M112">
        <f>Tokens!O114</f>
        <v>2</v>
      </c>
      <c r="N112" t="str">
        <f>Tokens!P114</f>
        <v>Edition3</v>
      </c>
      <c r="O112">
        <f>Tokens!Q114</f>
        <v>2</v>
      </c>
      <c r="P112">
        <f>Tokens!R114</f>
        <v>0</v>
      </c>
      <c r="Q112">
        <f>Tokens!S114</f>
        <v>0</v>
      </c>
      <c r="R112">
        <f>Tokens!T114</f>
        <v>0</v>
      </c>
      <c r="S112">
        <f>Tokens!U114</f>
        <v>0</v>
      </c>
      <c r="T112" t="str">
        <f>Tokens!V114</f>
        <v>Dernière utilisation</v>
      </c>
      <c r="U112">
        <f>Tokens!W114</f>
        <v>0</v>
      </c>
      <c r="V112">
        <f>Tokens!X114</f>
        <v>0</v>
      </c>
      <c r="W112">
        <f>Tokens!Y114</f>
        <v>0</v>
      </c>
      <c r="X112" t="str">
        <f>Tokens!Z114</f>
        <v>avantage1</v>
      </c>
      <c r="Y112" t="str">
        <f>Tokens!AA114</f>
        <v>accès pour deux (2) personnes à un (1) événement partenaire officiel de Calvi on the Rocks</v>
      </c>
      <c r="Z112">
        <f>Tokens!AB114</f>
        <v>0</v>
      </c>
      <c r="AA112">
        <f>Tokens!AC114</f>
        <v>0</v>
      </c>
      <c r="AB112">
        <f>Tokens!AD114</f>
        <v>0</v>
      </c>
      <c r="AC112">
        <f>Tokens!AE114</f>
        <v>0</v>
      </c>
      <c r="AD112">
        <f>Tokens!AF114</f>
        <v>0</v>
      </c>
      <c r="AE112">
        <f>Tokens!AG114</f>
        <v>0</v>
      </c>
      <c r="AF112" t="str">
        <f>Tokens!AH114</f>
        <v>avantage2</v>
      </c>
      <c r="AG112" t="str">
        <f>Tokens!AI114</f>
        <v>accès membre pour les after party officielles pour deux (2) personnes</v>
      </c>
      <c r="AH112" t="str">
        <f>Tokens!AJ114</f>
        <v>avantage3</v>
      </c>
      <c r="AI112" t="str">
        <f>Tokens!AK114</f>
        <v>accès prioritaire et bar dédié (consommation à la charge du festivalier) - tables réservées à l'avance pour les « NFT member » pour deux (2) personnes</v>
      </c>
      <c r="AJ112" t="str">
        <f>Tokens!AL114</f>
        <v>avantage4</v>
      </c>
      <c r="AK112" t="str">
        <f>Tokens!AM114</f>
        <v>1 affiche dédicacée et numérotée</v>
      </c>
      <c r="AL112">
        <f>Tokens!AN114</f>
        <v>0</v>
      </c>
      <c r="AM112">
        <f>Tokens!AO114</f>
        <v>0</v>
      </c>
      <c r="AN112">
        <f>Tokens!AP114</f>
        <v>0</v>
      </c>
      <c r="AO112">
        <f>Tokens!AQ114</f>
        <v>0</v>
      </c>
      <c r="AP112">
        <f>Tokens!AR114</f>
        <v>0</v>
      </c>
      <c r="AQ112">
        <f>Tokens!AS114</f>
        <v>0</v>
      </c>
      <c r="AR112">
        <f>Tokens!AT114</f>
        <v>0</v>
      </c>
      <c r="AS112">
        <f>Tokens!AU114</f>
        <v>0</v>
      </c>
      <c r="AT112" t="str">
        <f>Tokens!AV114</f>
        <v>Validation</v>
      </c>
      <c r="AU112" t="str">
        <f>Tokens!AW114</f>
        <v>https://tokensol.nfluent.io?s=COR22C51&amp;platform=ftx</v>
      </c>
      <c r="AV112" t="str">
        <f>Tokens!AX114</f>
        <v>paul</v>
      </c>
      <c r="AW112">
        <f>Tokens!AY114</f>
        <v>10</v>
      </c>
      <c r="AX112" t="str">
        <f>Tokens!AZ114</f>
        <v>sophie</v>
      </c>
      <c r="AY112">
        <f>Tokens!BA114</f>
        <v>90</v>
      </c>
      <c r="AZ112">
        <f>Tokens!BB114</f>
        <v>0</v>
      </c>
      <c r="BA112">
        <f>Tokens!BC114</f>
        <v>0</v>
      </c>
      <c r="BB112">
        <f>Tokens!BD114</f>
        <v>0</v>
      </c>
      <c r="BC112">
        <f>Tokens!BE114</f>
        <v>0</v>
      </c>
      <c r="BD112">
        <f>Tokens!BF114</f>
        <v>0</v>
      </c>
      <c r="BE112">
        <f>Tokens!BG114</f>
        <v>0</v>
      </c>
      <c r="BF112">
        <f>Tokens!BH114</f>
        <v>0</v>
      </c>
      <c r="BG112">
        <f>Tokens!BI114</f>
        <v>0</v>
      </c>
      <c r="BH112" t="str">
        <f>Tokens!BJ114</f>
        <v>La Porteuse D'Eau</v>
      </c>
      <c r="BI112" t="str">
        <f>Tokens!BK114</f>
        <v>Calvi On The Rocks</v>
      </c>
    </row>
    <row r="113" spans="1:61" x14ac:dyDescent="0.25">
      <c r="A113" t="str">
        <f>Tokens!C115</f>
        <v>La Porteuse D'Eau #52</v>
      </c>
      <c r="B113" t="str">
        <f>Tokens!D115</f>
        <v>COR22C52</v>
      </c>
      <c r="C113" t="str">
        <f>Tokens!E115</f>
        <v>La Porteuse D'Eau, 3 ans - Pass NFT 5 jours pour 2 personnes, valable pour 3 éditions Calvi On The Rocks de votre choix.</v>
      </c>
      <c r="D113">
        <f>Tokens!F115</f>
        <v>1000</v>
      </c>
      <c r="E113" t="str">
        <f>Tokens!G115</f>
        <v>https://bafybeicordeza5gk2bza3mvxlpkuixf2rl7wnnuldoo222om2i4bxv2oqa.ipfs.nftstorage.link?image_10.png</v>
      </c>
      <c r="F113" t="str">
        <f>Tokens!H115</f>
        <v>NfluenT for Calvi On The rocks</v>
      </c>
      <c r="G113">
        <f>Tokens!I115</f>
        <v>0</v>
      </c>
      <c r="H113" t="str">
        <f>Tokens!J115</f>
        <v>Pass festival</v>
      </c>
      <c r="I113" t="str">
        <f>Tokens!K115</f>
        <v>pour deux(2) personnes</v>
      </c>
      <c r="J113" t="str">
        <f>Tokens!L115</f>
        <v>Edition1</v>
      </c>
      <c r="K113">
        <f>Tokens!M115</f>
        <v>2</v>
      </c>
      <c r="L113" t="str">
        <f>Tokens!N115</f>
        <v>Edition2</v>
      </c>
      <c r="M113">
        <f>Tokens!O115</f>
        <v>2</v>
      </c>
      <c r="N113" t="str">
        <f>Tokens!P115</f>
        <v>Edition3</v>
      </c>
      <c r="O113">
        <f>Tokens!Q115</f>
        <v>2</v>
      </c>
      <c r="P113">
        <f>Tokens!R115</f>
        <v>0</v>
      </c>
      <c r="Q113">
        <f>Tokens!S115</f>
        <v>0</v>
      </c>
      <c r="R113">
        <f>Tokens!T115</f>
        <v>0</v>
      </c>
      <c r="S113">
        <f>Tokens!U115</f>
        <v>0</v>
      </c>
      <c r="T113" t="str">
        <f>Tokens!V115</f>
        <v>Dernière utilisation</v>
      </c>
      <c r="U113">
        <f>Tokens!W115</f>
        <v>0</v>
      </c>
      <c r="V113">
        <f>Tokens!X115</f>
        <v>0</v>
      </c>
      <c r="W113">
        <f>Tokens!Y115</f>
        <v>0</v>
      </c>
      <c r="X113" t="str">
        <f>Tokens!Z115</f>
        <v>avantage1</v>
      </c>
      <c r="Y113" t="str">
        <f>Tokens!AA115</f>
        <v>accès pour deux (2) personnes à un (1) événement partenaire officiel de Calvi on the Rocks</v>
      </c>
      <c r="Z113">
        <f>Tokens!AB115</f>
        <v>0</v>
      </c>
      <c r="AA113">
        <f>Tokens!AC115</f>
        <v>0</v>
      </c>
      <c r="AB113">
        <f>Tokens!AD115</f>
        <v>0</v>
      </c>
      <c r="AC113">
        <f>Tokens!AE115</f>
        <v>0</v>
      </c>
      <c r="AD113">
        <f>Tokens!AF115</f>
        <v>0</v>
      </c>
      <c r="AE113">
        <f>Tokens!AG115</f>
        <v>0</v>
      </c>
      <c r="AF113" t="str">
        <f>Tokens!AH115</f>
        <v>avantage2</v>
      </c>
      <c r="AG113" t="str">
        <f>Tokens!AI115</f>
        <v>accès membre pour les after party officielles pour deux (2) personnes</v>
      </c>
      <c r="AH113" t="str">
        <f>Tokens!AJ115</f>
        <v>avantage3</v>
      </c>
      <c r="AI113" t="str">
        <f>Tokens!AK115</f>
        <v>accès prioritaire et bar dédié (consommation à la charge du festivalier) - tables réservées à l'avance pour les « NFT member » pour deux (2) personnes</v>
      </c>
      <c r="AJ113" t="str">
        <f>Tokens!AL115</f>
        <v>avantage4</v>
      </c>
      <c r="AK113" t="str">
        <f>Tokens!AM115</f>
        <v>1 affiche dédicacée et numérotée</v>
      </c>
      <c r="AL113">
        <f>Tokens!AN115</f>
        <v>0</v>
      </c>
      <c r="AM113">
        <f>Tokens!AO115</f>
        <v>0</v>
      </c>
      <c r="AN113">
        <f>Tokens!AP115</f>
        <v>0</v>
      </c>
      <c r="AO113">
        <f>Tokens!AQ115</f>
        <v>0</v>
      </c>
      <c r="AP113">
        <f>Tokens!AR115</f>
        <v>0</v>
      </c>
      <c r="AQ113">
        <f>Tokens!AS115</f>
        <v>0</v>
      </c>
      <c r="AR113">
        <f>Tokens!AT115</f>
        <v>0</v>
      </c>
      <c r="AS113">
        <f>Tokens!AU115</f>
        <v>0</v>
      </c>
      <c r="AT113" t="str">
        <f>Tokens!AV115</f>
        <v>Validation</v>
      </c>
      <c r="AU113" t="str">
        <f>Tokens!AW115</f>
        <v>https://tokensol.nfluent.io?s=COR22C52&amp;platform=ftx</v>
      </c>
      <c r="AV113" t="str">
        <f>Tokens!AX115</f>
        <v>paul</v>
      </c>
      <c r="AW113">
        <f>Tokens!AY115</f>
        <v>10</v>
      </c>
      <c r="AX113" t="str">
        <f>Tokens!AZ115</f>
        <v>sophie</v>
      </c>
      <c r="AY113">
        <f>Tokens!BA115</f>
        <v>90</v>
      </c>
      <c r="AZ113">
        <f>Tokens!BB115</f>
        <v>0</v>
      </c>
      <c r="BA113">
        <f>Tokens!BC115</f>
        <v>0</v>
      </c>
      <c r="BB113">
        <f>Tokens!BD115</f>
        <v>0</v>
      </c>
      <c r="BC113">
        <f>Tokens!BE115</f>
        <v>0</v>
      </c>
      <c r="BD113">
        <f>Tokens!BF115</f>
        <v>0</v>
      </c>
      <c r="BE113">
        <f>Tokens!BG115</f>
        <v>0</v>
      </c>
      <c r="BF113">
        <f>Tokens!BH115</f>
        <v>0</v>
      </c>
      <c r="BG113">
        <f>Tokens!BI115</f>
        <v>0</v>
      </c>
      <c r="BH113" t="str">
        <f>Tokens!BJ115</f>
        <v>La Porteuse D'Eau</v>
      </c>
      <c r="BI113" t="str">
        <f>Tokens!BK115</f>
        <v>Calvi On The Rocks</v>
      </c>
    </row>
    <row r="114" spans="1:61" x14ac:dyDescent="0.25">
      <c r="A114" t="str">
        <f>Tokens!C116</f>
        <v>La Porteuse D'Eau #53</v>
      </c>
      <c r="B114" t="str">
        <f>Tokens!D116</f>
        <v>COR22C53</v>
      </c>
      <c r="C114" t="str">
        <f>Tokens!E116</f>
        <v>La Porteuse D'Eau, 3 ans - Pass NFT 5 jours pour 2 personnes, valable pour 3 éditions Calvi On The Rocks de votre choix.</v>
      </c>
      <c r="D114">
        <f>Tokens!F116</f>
        <v>1000</v>
      </c>
      <c r="E114" t="str">
        <f>Tokens!G116</f>
        <v>https://bafybeicordeza5gk2bza3mvxlpkuixf2rl7wnnuldoo222om2i4bxv2oqa.ipfs.nftstorage.link?image_10.png</v>
      </c>
      <c r="F114" t="str">
        <f>Tokens!H116</f>
        <v>NfluenT for Calvi On The rocks</v>
      </c>
      <c r="G114">
        <f>Tokens!I116</f>
        <v>0</v>
      </c>
      <c r="H114" t="str">
        <f>Tokens!J116</f>
        <v>Pass festival</v>
      </c>
      <c r="I114" t="str">
        <f>Tokens!K116</f>
        <v>pour deux(2) personnes</v>
      </c>
      <c r="J114" t="str">
        <f>Tokens!L116</f>
        <v>Edition1</v>
      </c>
      <c r="K114">
        <f>Tokens!M116</f>
        <v>2</v>
      </c>
      <c r="L114" t="str">
        <f>Tokens!N116</f>
        <v>Edition2</v>
      </c>
      <c r="M114">
        <f>Tokens!O116</f>
        <v>2</v>
      </c>
      <c r="N114" t="str">
        <f>Tokens!P116</f>
        <v>Edition3</v>
      </c>
      <c r="O114">
        <f>Tokens!Q116</f>
        <v>2</v>
      </c>
      <c r="P114">
        <f>Tokens!R116</f>
        <v>0</v>
      </c>
      <c r="Q114">
        <f>Tokens!S116</f>
        <v>0</v>
      </c>
      <c r="R114">
        <f>Tokens!T116</f>
        <v>0</v>
      </c>
      <c r="S114">
        <f>Tokens!U116</f>
        <v>0</v>
      </c>
      <c r="T114" t="str">
        <f>Tokens!V116</f>
        <v>Dernière utilisation</v>
      </c>
      <c r="U114">
        <f>Tokens!W116</f>
        <v>0</v>
      </c>
      <c r="V114">
        <f>Tokens!X116</f>
        <v>0</v>
      </c>
      <c r="W114">
        <f>Tokens!Y116</f>
        <v>0</v>
      </c>
      <c r="X114" t="str">
        <f>Tokens!Z116</f>
        <v>avantage1</v>
      </c>
      <c r="Y114" t="str">
        <f>Tokens!AA116</f>
        <v>accès pour deux (2) personnes à un (1) événement partenaire officiel de Calvi on the Rocks</v>
      </c>
      <c r="Z114">
        <f>Tokens!AB116</f>
        <v>0</v>
      </c>
      <c r="AA114">
        <f>Tokens!AC116</f>
        <v>0</v>
      </c>
      <c r="AB114">
        <f>Tokens!AD116</f>
        <v>0</v>
      </c>
      <c r="AC114">
        <f>Tokens!AE116</f>
        <v>0</v>
      </c>
      <c r="AD114">
        <f>Tokens!AF116</f>
        <v>0</v>
      </c>
      <c r="AE114">
        <f>Tokens!AG116</f>
        <v>0</v>
      </c>
      <c r="AF114" t="str">
        <f>Tokens!AH116</f>
        <v>avantage2</v>
      </c>
      <c r="AG114" t="str">
        <f>Tokens!AI116</f>
        <v>accès membre pour les after party officielles pour deux (2) personnes</v>
      </c>
      <c r="AH114" t="str">
        <f>Tokens!AJ116</f>
        <v>avantage3</v>
      </c>
      <c r="AI114" t="str">
        <f>Tokens!AK116</f>
        <v>accès prioritaire et bar dédié (consommation à la charge du festivalier) - tables réservées à l'avance pour les « NFT member » pour deux (2) personnes</v>
      </c>
      <c r="AJ114" t="str">
        <f>Tokens!AL116</f>
        <v>avantage4</v>
      </c>
      <c r="AK114" t="str">
        <f>Tokens!AM116</f>
        <v>1 affiche dédicacée et numérotée</v>
      </c>
      <c r="AL114">
        <f>Tokens!AN116</f>
        <v>0</v>
      </c>
      <c r="AM114">
        <f>Tokens!AO116</f>
        <v>0</v>
      </c>
      <c r="AN114">
        <f>Tokens!AP116</f>
        <v>0</v>
      </c>
      <c r="AO114">
        <f>Tokens!AQ116</f>
        <v>0</v>
      </c>
      <c r="AP114">
        <f>Tokens!AR116</f>
        <v>0</v>
      </c>
      <c r="AQ114">
        <f>Tokens!AS116</f>
        <v>0</v>
      </c>
      <c r="AR114">
        <f>Tokens!AT116</f>
        <v>0</v>
      </c>
      <c r="AS114">
        <f>Tokens!AU116</f>
        <v>0</v>
      </c>
      <c r="AT114" t="str">
        <f>Tokens!AV116</f>
        <v>Validation</v>
      </c>
      <c r="AU114" t="str">
        <f>Tokens!AW116</f>
        <v>https://tokensol.nfluent.io?s=COR22C53&amp;platform=ftx</v>
      </c>
      <c r="AV114" t="str">
        <f>Tokens!AX116</f>
        <v>paul</v>
      </c>
      <c r="AW114">
        <f>Tokens!AY116</f>
        <v>10</v>
      </c>
      <c r="AX114" t="str">
        <f>Tokens!AZ116</f>
        <v>sophie</v>
      </c>
      <c r="AY114">
        <f>Tokens!BA116</f>
        <v>90</v>
      </c>
      <c r="AZ114">
        <f>Tokens!BB116</f>
        <v>0</v>
      </c>
      <c r="BA114">
        <f>Tokens!BC116</f>
        <v>0</v>
      </c>
      <c r="BB114">
        <f>Tokens!BD116</f>
        <v>0</v>
      </c>
      <c r="BC114">
        <f>Tokens!BE116</f>
        <v>0</v>
      </c>
      <c r="BD114">
        <f>Tokens!BF116</f>
        <v>0</v>
      </c>
      <c r="BE114">
        <f>Tokens!BG116</f>
        <v>0</v>
      </c>
      <c r="BF114">
        <f>Tokens!BH116</f>
        <v>0</v>
      </c>
      <c r="BG114">
        <f>Tokens!BI116</f>
        <v>0</v>
      </c>
      <c r="BH114" t="str">
        <f>Tokens!BJ116</f>
        <v>La Porteuse D'Eau</v>
      </c>
      <c r="BI114" t="str">
        <f>Tokens!BK116</f>
        <v>Calvi On The Rocks</v>
      </c>
    </row>
    <row r="115" spans="1:61" x14ac:dyDescent="0.25">
      <c r="A115" t="str">
        <f>Tokens!C117</f>
        <v>La Porteuse D'Eau #54</v>
      </c>
      <c r="B115" t="str">
        <f>Tokens!D117</f>
        <v>COR22C54</v>
      </c>
      <c r="C115" t="str">
        <f>Tokens!E117</f>
        <v>La Porteuse D'Eau, 3 ans - Pass NFT 5 jours pour 2 personnes, valable pour 3 éditions Calvi On The Rocks de votre choix.</v>
      </c>
      <c r="D115">
        <f>Tokens!F117</f>
        <v>1000</v>
      </c>
      <c r="E115" t="str">
        <f>Tokens!G117</f>
        <v>https://bafybeicordeza5gk2bza3mvxlpkuixf2rl7wnnuldoo222om2i4bxv2oqa.ipfs.nftstorage.link?image_10.png</v>
      </c>
      <c r="F115" t="str">
        <f>Tokens!H117</f>
        <v>NfluenT for Calvi On The rocks</v>
      </c>
      <c r="G115">
        <f>Tokens!I117</f>
        <v>0</v>
      </c>
      <c r="H115" t="str">
        <f>Tokens!J117</f>
        <v>Pass festival</v>
      </c>
      <c r="I115" t="str">
        <f>Tokens!K117</f>
        <v>pour deux(2) personnes</v>
      </c>
      <c r="J115" t="str">
        <f>Tokens!L117</f>
        <v>Edition1</v>
      </c>
      <c r="K115">
        <f>Tokens!M117</f>
        <v>2</v>
      </c>
      <c r="L115" t="str">
        <f>Tokens!N117</f>
        <v>Edition2</v>
      </c>
      <c r="M115">
        <f>Tokens!O117</f>
        <v>2</v>
      </c>
      <c r="N115" t="str">
        <f>Tokens!P117</f>
        <v>Edition3</v>
      </c>
      <c r="O115">
        <f>Tokens!Q117</f>
        <v>2</v>
      </c>
      <c r="P115">
        <f>Tokens!R117</f>
        <v>0</v>
      </c>
      <c r="Q115">
        <f>Tokens!S117</f>
        <v>0</v>
      </c>
      <c r="R115">
        <f>Tokens!T117</f>
        <v>0</v>
      </c>
      <c r="S115">
        <f>Tokens!U117</f>
        <v>0</v>
      </c>
      <c r="T115" t="str">
        <f>Tokens!V117</f>
        <v>Dernière utilisation</v>
      </c>
      <c r="U115">
        <f>Tokens!W117</f>
        <v>0</v>
      </c>
      <c r="V115">
        <f>Tokens!X117</f>
        <v>0</v>
      </c>
      <c r="W115">
        <f>Tokens!Y117</f>
        <v>0</v>
      </c>
      <c r="X115" t="str">
        <f>Tokens!Z117</f>
        <v>avantage1</v>
      </c>
      <c r="Y115" t="str">
        <f>Tokens!AA117</f>
        <v>accès pour deux (2) personnes à un (1) événement partenaire officiel de Calvi on the Rocks</v>
      </c>
      <c r="Z115">
        <f>Tokens!AB117</f>
        <v>0</v>
      </c>
      <c r="AA115">
        <f>Tokens!AC117</f>
        <v>0</v>
      </c>
      <c r="AB115">
        <f>Tokens!AD117</f>
        <v>0</v>
      </c>
      <c r="AC115">
        <f>Tokens!AE117</f>
        <v>0</v>
      </c>
      <c r="AD115">
        <f>Tokens!AF117</f>
        <v>0</v>
      </c>
      <c r="AE115">
        <f>Tokens!AG117</f>
        <v>0</v>
      </c>
      <c r="AF115" t="str">
        <f>Tokens!AH117</f>
        <v>avantage2</v>
      </c>
      <c r="AG115" t="str">
        <f>Tokens!AI117</f>
        <v>accès membre pour les after party officielles pour deux (2) personnes</v>
      </c>
      <c r="AH115" t="str">
        <f>Tokens!AJ117</f>
        <v>avantage3</v>
      </c>
      <c r="AI115" t="str">
        <f>Tokens!AK117</f>
        <v>accès prioritaire et bar dédié (consommation à la charge du festivalier) - tables réservées à l'avance pour les « NFT member » pour deux (2) personnes</v>
      </c>
      <c r="AJ115" t="str">
        <f>Tokens!AL117</f>
        <v>avantage4</v>
      </c>
      <c r="AK115" t="str">
        <f>Tokens!AM117</f>
        <v>1 affiche dédicacée et numérotée</v>
      </c>
      <c r="AL115">
        <f>Tokens!AN117</f>
        <v>0</v>
      </c>
      <c r="AM115">
        <f>Tokens!AO117</f>
        <v>0</v>
      </c>
      <c r="AN115">
        <f>Tokens!AP117</f>
        <v>0</v>
      </c>
      <c r="AO115">
        <f>Tokens!AQ117</f>
        <v>0</v>
      </c>
      <c r="AP115">
        <f>Tokens!AR117</f>
        <v>0</v>
      </c>
      <c r="AQ115">
        <f>Tokens!AS117</f>
        <v>0</v>
      </c>
      <c r="AR115">
        <f>Tokens!AT117</f>
        <v>0</v>
      </c>
      <c r="AS115">
        <f>Tokens!AU117</f>
        <v>0</v>
      </c>
      <c r="AT115" t="str">
        <f>Tokens!AV117</f>
        <v>Validation</v>
      </c>
      <c r="AU115" t="str">
        <f>Tokens!AW117</f>
        <v>https://tokensol.nfluent.io?s=COR22C54&amp;platform=ftx</v>
      </c>
      <c r="AV115" t="str">
        <f>Tokens!AX117</f>
        <v>paul</v>
      </c>
      <c r="AW115">
        <f>Tokens!AY117</f>
        <v>10</v>
      </c>
      <c r="AX115" t="str">
        <f>Tokens!AZ117</f>
        <v>sophie</v>
      </c>
      <c r="AY115">
        <f>Tokens!BA117</f>
        <v>90</v>
      </c>
      <c r="AZ115">
        <f>Tokens!BB117</f>
        <v>0</v>
      </c>
      <c r="BA115">
        <f>Tokens!BC117</f>
        <v>0</v>
      </c>
      <c r="BB115">
        <f>Tokens!BD117</f>
        <v>0</v>
      </c>
      <c r="BC115">
        <f>Tokens!BE117</f>
        <v>0</v>
      </c>
      <c r="BD115">
        <f>Tokens!BF117</f>
        <v>0</v>
      </c>
      <c r="BE115">
        <f>Tokens!BG117</f>
        <v>0</v>
      </c>
      <c r="BF115">
        <f>Tokens!BH117</f>
        <v>0</v>
      </c>
      <c r="BG115">
        <f>Tokens!BI117</f>
        <v>0</v>
      </c>
      <c r="BH115" t="str">
        <f>Tokens!BJ117</f>
        <v>La Porteuse D'Eau</v>
      </c>
      <c r="BI115" t="str">
        <f>Tokens!BK117</f>
        <v>Calvi On The Rocks</v>
      </c>
    </row>
    <row r="116" spans="1:61" x14ac:dyDescent="0.25">
      <c r="A116" t="str">
        <f>Tokens!C118</f>
        <v>La Porteuse D'Eau #55</v>
      </c>
      <c r="B116" t="str">
        <f>Tokens!D118</f>
        <v>COR22C55</v>
      </c>
      <c r="C116" t="str">
        <f>Tokens!E118</f>
        <v>La Porteuse D'Eau, 3 ans - Pass NFT 5 jours pour 2 personnes, valable pour 3 éditions Calvi On The Rocks de votre choix.</v>
      </c>
      <c r="D116">
        <f>Tokens!F118</f>
        <v>1000</v>
      </c>
      <c r="E116" t="str">
        <f>Tokens!G118</f>
        <v>https://bafybeicordeza5gk2bza3mvxlpkuixf2rl7wnnuldoo222om2i4bxv2oqa.ipfs.nftstorage.link?image_10.png</v>
      </c>
      <c r="F116" t="str">
        <f>Tokens!H118</f>
        <v>NfluenT for Calvi On The rocks</v>
      </c>
      <c r="G116">
        <f>Tokens!I118</f>
        <v>0</v>
      </c>
      <c r="H116" t="str">
        <f>Tokens!J118</f>
        <v>Pass festival</v>
      </c>
      <c r="I116" t="str">
        <f>Tokens!K118</f>
        <v>pour deux(2) personnes</v>
      </c>
      <c r="J116" t="str">
        <f>Tokens!L118</f>
        <v>Edition1</v>
      </c>
      <c r="K116">
        <f>Tokens!M118</f>
        <v>2</v>
      </c>
      <c r="L116" t="str">
        <f>Tokens!N118</f>
        <v>Edition2</v>
      </c>
      <c r="M116">
        <f>Tokens!O118</f>
        <v>2</v>
      </c>
      <c r="N116" t="str">
        <f>Tokens!P118</f>
        <v>Edition3</v>
      </c>
      <c r="O116">
        <f>Tokens!Q118</f>
        <v>2</v>
      </c>
      <c r="P116">
        <f>Tokens!R118</f>
        <v>0</v>
      </c>
      <c r="Q116">
        <f>Tokens!S118</f>
        <v>0</v>
      </c>
      <c r="R116">
        <f>Tokens!T118</f>
        <v>0</v>
      </c>
      <c r="S116">
        <f>Tokens!U118</f>
        <v>0</v>
      </c>
      <c r="T116" t="str">
        <f>Tokens!V118</f>
        <v>Dernière utilisation</v>
      </c>
      <c r="U116">
        <f>Tokens!W118</f>
        <v>0</v>
      </c>
      <c r="V116">
        <f>Tokens!X118</f>
        <v>0</v>
      </c>
      <c r="W116">
        <f>Tokens!Y118</f>
        <v>0</v>
      </c>
      <c r="X116" t="str">
        <f>Tokens!Z118</f>
        <v>avantage1</v>
      </c>
      <c r="Y116" t="str">
        <f>Tokens!AA118</f>
        <v>accès pour deux (2) personnes à un (1) événement partenaire officiel de Calvi on the Rocks</v>
      </c>
      <c r="Z116">
        <f>Tokens!AB118</f>
        <v>0</v>
      </c>
      <c r="AA116">
        <f>Tokens!AC118</f>
        <v>0</v>
      </c>
      <c r="AB116">
        <f>Tokens!AD118</f>
        <v>0</v>
      </c>
      <c r="AC116">
        <f>Tokens!AE118</f>
        <v>0</v>
      </c>
      <c r="AD116">
        <f>Tokens!AF118</f>
        <v>0</v>
      </c>
      <c r="AE116">
        <f>Tokens!AG118</f>
        <v>0</v>
      </c>
      <c r="AF116" t="str">
        <f>Tokens!AH118</f>
        <v>avantage2</v>
      </c>
      <c r="AG116" t="str">
        <f>Tokens!AI118</f>
        <v>accès membre pour les after party officielles pour deux (2) personnes</v>
      </c>
      <c r="AH116" t="str">
        <f>Tokens!AJ118</f>
        <v>avantage3</v>
      </c>
      <c r="AI116" t="str">
        <f>Tokens!AK118</f>
        <v>accès prioritaire et bar dédié (consommation à la charge du festivalier) - tables réservées à l'avance pour les « NFT member » pour deux (2) personnes</v>
      </c>
      <c r="AJ116" t="str">
        <f>Tokens!AL118</f>
        <v>avantage4</v>
      </c>
      <c r="AK116" t="str">
        <f>Tokens!AM118</f>
        <v>1 affiche dédicacée et numérotée</v>
      </c>
      <c r="AL116">
        <f>Tokens!AN118</f>
        <v>0</v>
      </c>
      <c r="AM116">
        <f>Tokens!AO118</f>
        <v>0</v>
      </c>
      <c r="AN116">
        <f>Tokens!AP118</f>
        <v>0</v>
      </c>
      <c r="AO116">
        <f>Tokens!AQ118</f>
        <v>0</v>
      </c>
      <c r="AP116">
        <f>Tokens!AR118</f>
        <v>0</v>
      </c>
      <c r="AQ116">
        <f>Tokens!AS118</f>
        <v>0</v>
      </c>
      <c r="AR116">
        <f>Tokens!AT118</f>
        <v>0</v>
      </c>
      <c r="AS116">
        <f>Tokens!AU118</f>
        <v>0</v>
      </c>
      <c r="AT116" t="str">
        <f>Tokens!AV118</f>
        <v>Validation</v>
      </c>
      <c r="AU116" t="str">
        <f>Tokens!AW118</f>
        <v>https://tokensol.nfluent.io?s=COR22C55&amp;platform=ftx</v>
      </c>
      <c r="AV116" t="str">
        <f>Tokens!AX118</f>
        <v>paul</v>
      </c>
      <c r="AW116">
        <f>Tokens!AY118</f>
        <v>10</v>
      </c>
      <c r="AX116" t="str">
        <f>Tokens!AZ118</f>
        <v>sophie</v>
      </c>
      <c r="AY116">
        <f>Tokens!BA118</f>
        <v>90</v>
      </c>
      <c r="AZ116">
        <f>Tokens!BB118</f>
        <v>0</v>
      </c>
      <c r="BA116">
        <f>Tokens!BC118</f>
        <v>0</v>
      </c>
      <c r="BB116">
        <f>Tokens!BD118</f>
        <v>0</v>
      </c>
      <c r="BC116">
        <f>Tokens!BE118</f>
        <v>0</v>
      </c>
      <c r="BD116">
        <f>Tokens!BF118</f>
        <v>0</v>
      </c>
      <c r="BE116">
        <f>Tokens!BG118</f>
        <v>0</v>
      </c>
      <c r="BF116">
        <f>Tokens!BH118</f>
        <v>0</v>
      </c>
      <c r="BG116">
        <f>Tokens!BI118</f>
        <v>0</v>
      </c>
      <c r="BH116" t="str">
        <f>Tokens!BJ118</f>
        <v>La Porteuse D'Eau</v>
      </c>
      <c r="BI116" t="str">
        <f>Tokens!BK118</f>
        <v>Calvi On The Rocks</v>
      </c>
    </row>
    <row r="117" spans="1:61" x14ac:dyDescent="0.25">
      <c r="A117" t="str">
        <f>Tokens!C119</f>
        <v>La Porteuse D'Eau #56</v>
      </c>
      <c r="B117" t="str">
        <f>Tokens!D119</f>
        <v>COR22C56</v>
      </c>
      <c r="C117" t="str">
        <f>Tokens!E119</f>
        <v>La Porteuse D'Eau, 3 ans - Pass NFT 5 jours pour 2 personnes, valable pour 3 éditions Calvi On The Rocks de votre choix.</v>
      </c>
      <c r="D117">
        <f>Tokens!F119</f>
        <v>1000</v>
      </c>
      <c r="E117" t="str">
        <f>Tokens!G119</f>
        <v>https://bafybeicordeza5gk2bza3mvxlpkuixf2rl7wnnuldoo222om2i4bxv2oqa.ipfs.nftstorage.link?image_10.png</v>
      </c>
      <c r="F117" t="str">
        <f>Tokens!H119</f>
        <v>NfluenT for Calvi On The rocks</v>
      </c>
      <c r="G117">
        <f>Tokens!I119</f>
        <v>0</v>
      </c>
      <c r="H117" t="str">
        <f>Tokens!J119</f>
        <v>Pass festival</v>
      </c>
      <c r="I117" t="str">
        <f>Tokens!K119</f>
        <v>pour deux(2) personnes</v>
      </c>
      <c r="J117" t="str">
        <f>Tokens!L119</f>
        <v>Edition1</v>
      </c>
      <c r="K117">
        <f>Tokens!M119</f>
        <v>2</v>
      </c>
      <c r="L117" t="str">
        <f>Tokens!N119</f>
        <v>Edition2</v>
      </c>
      <c r="M117">
        <f>Tokens!O119</f>
        <v>2</v>
      </c>
      <c r="N117" t="str">
        <f>Tokens!P119</f>
        <v>Edition3</v>
      </c>
      <c r="O117">
        <f>Tokens!Q119</f>
        <v>2</v>
      </c>
      <c r="P117">
        <f>Tokens!R119</f>
        <v>0</v>
      </c>
      <c r="Q117">
        <f>Tokens!S119</f>
        <v>0</v>
      </c>
      <c r="R117">
        <f>Tokens!T119</f>
        <v>0</v>
      </c>
      <c r="S117">
        <f>Tokens!U119</f>
        <v>0</v>
      </c>
      <c r="T117" t="str">
        <f>Tokens!V119</f>
        <v>Dernière utilisation</v>
      </c>
      <c r="U117">
        <f>Tokens!W119</f>
        <v>0</v>
      </c>
      <c r="V117">
        <f>Tokens!X119</f>
        <v>0</v>
      </c>
      <c r="W117">
        <f>Tokens!Y119</f>
        <v>0</v>
      </c>
      <c r="X117" t="str">
        <f>Tokens!Z119</f>
        <v>avantage1</v>
      </c>
      <c r="Y117" t="str">
        <f>Tokens!AA119</f>
        <v>accès pour deux (2) personnes à un (1) événement partenaire officiel de Calvi on the Rocks</v>
      </c>
      <c r="Z117">
        <f>Tokens!AB119</f>
        <v>0</v>
      </c>
      <c r="AA117">
        <f>Tokens!AC119</f>
        <v>0</v>
      </c>
      <c r="AB117">
        <f>Tokens!AD119</f>
        <v>0</v>
      </c>
      <c r="AC117">
        <f>Tokens!AE119</f>
        <v>0</v>
      </c>
      <c r="AD117">
        <f>Tokens!AF119</f>
        <v>0</v>
      </c>
      <c r="AE117">
        <f>Tokens!AG119</f>
        <v>0</v>
      </c>
      <c r="AF117" t="str">
        <f>Tokens!AH119</f>
        <v>avantage2</v>
      </c>
      <c r="AG117" t="str">
        <f>Tokens!AI119</f>
        <v>accès membre pour les after party officielles pour deux (2) personnes</v>
      </c>
      <c r="AH117" t="str">
        <f>Tokens!AJ119</f>
        <v>avantage3</v>
      </c>
      <c r="AI117" t="str">
        <f>Tokens!AK119</f>
        <v>accès prioritaire et bar dédié (consommation à la charge du festivalier) - tables réservées à l'avance pour les « NFT member » pour deux (2) personnes</v>
      </c>
      <c r="AJ117" t="str">
        <f>Tokens!AL119</f>
        <v>avantage4</v>
      </c>
      <c r="AK117" t="str">
        <f>Tokens!AM119</f>
        <v>1 affiche dédicacée et numérotée</v>
      </c>
      <c r="AL117">
        <f>Tokens!AN119</f>
        <v>0</v>
      </c>
      <c r="AM117">
        <f>Tokens!AO119</f>
        <v>0</v>
      </c>
      <c r="AN117">
        <f>Tokens!AP119</f>
        <v>0</v>
      </c>
      <c r="AO117">
        <f>Tokens!AQ119</f>
        <v>0</v>
      </c>
      <c r="AP117">
        <f>Tokens!AR119</f>
        <v>0</v>
      </c>
      <c r="AQ117">
        <f>Tokens!AS119</f>
        <v>0</v>
      </c>
      <c r="AR117">
        <f>Tokens!AT119</f>
        <v>0</v>
      </c>
      <c r="AS117">
        <f>Tokens!AU119</f>
        <v>0</v>
      </c>
      <c r="AT117" t="str">
        <f>Tokens!AV119</f>
        <v>Validation</v>
      </c>
      <c r="AU117" t="str">
        <f>Tokens!AW119</f>
        <v>https://tokensol.nfluent.io?s=COR22C56&amp;platform=ftx</v>
      </c>
      <c r="AV117" t="str">
        <f>Tokens!AX119</f>
        <v>paul</v>
      </c>
      <c r="AW117">
        <f>Tokens!AY119</f>
        <v>10</v>
      </c>
      <c r="AX117" t="str">
        <f>Tokens!AZ119</f>
        <v>sophie</v>
      </c>
      <c r="AY117">
        <f>Tokens!BA119</f>
        <v>90</v>
      </c>
      <c r="AZ117">
        <f>Tokens!BB119</f>
        <v>0</v>
      </c>
      <c r="BA117">
        <f>Tokens!BC119</f>
        <v>0</v>
      </c>
      <c r="BB117">
        <f>Tokens!BD119</f>
        <v>0</v>
      </c>
      <c r="BC117">
        <f>Tokens!BE119</f>
        <v>0</v>
      </c>
      <c r="BD117">
        <f>Tokens!BF119</f>
        <v>0</v>
      </c>
      <c r="BE117">
        <f>Tokens!BG119</f>
        <v>0</v>
      </c>
      <c r="BF117">
        <f>Tokens!BH119</f>
        <v>0</v>
      </c>
      <c r="BG117">
        <f>Tokens!BI119</f>
        <v>0</v>
      </c>
      <c r="BH117" t="str">
        <f>Tokens!BJ119</f>
        <v>La Porteuse D'Eau</v>
      </c>
      <c r="BI117" t="str">
        <f>Tokens!BK119</f>
        <v>Calvi On The Rocks</v>
      </c>
    </row>
    <row r="118" spans="1:61" x14ac:dyDescent="0.25">
      <c r="A118" t="str">
        <f>Tokens!C120</f>
        <v>La Porteuse D'Eau #57</v>
      </c>
      <c r="B118" t="str">
        <f>Tokens!D120</f>
        <v>COR22C57</v>
      </c>
      <c r="C118" t="str">
        <f>Tokens!E120</f>
        <v>La Porteuse D'Eau, 3 ans - Pass NFT 5 jours pour 2 personnes, valable pour 3 éditions Calvi On The Rocks de votre choix.</v>
      </c>
      <c r="D118">
        <f>Tokens!F120</f>
        <v>1000</v>
      </c>
      <c r="E118" t="str">
        <f>Tokens!G120</f>
        <v>https://bafybeicordeza5gk2bza3mvxlpkuixf2rl7wnnuldoo222om2i4bxv2oqa.ipfs.nftstorage.link?image_10.png</v>
      </c>
      <c r="F118" t="str">
        <f>Tokens!H120</f>
        <v>NfluenT for Calvi On The rocks</v>
      </c>
      <c r="G118">
        <f>Tokens!I120</f>
        <v>0</v>
      </c>
      <c r="H118" t="str">
        <f>Tokens!J120</f>
        <v>Pass festival</v>
      </c>
      <c r="I118" t="str">
        <f>Tokens!K120</f>
        <v>pour deux(2) personnes</v>
      </c>
      <c r="J118" t="str">
        <f>Tokens!L120</f>
        <v>Edition1</v>
      </c>
      <c r="K118">
        <f>Tokens!M120</f>
        <v>2</v>
      </c>
      <c r="L118" t="str">
        <f>Tokens!N120</f>
        <v>Edition2</v>
      </c>
      <c r="M118">
        <f>Tokens!O120</f>
        <v>2</v>
      </c>
      <c r="N118" t="str">
        <f>Tokens!P120</f>
        <v>Edition3</v>
      </c>
      <c r="O118">
        <f>Tokens!Q120</f>
        <v>2</v>
      </c>
      <c r="P118">
        <f>Tokens!R120</f>
        <v>0</v>
      </c>
      <c r="Q118">
        <f>Tokens!S120</f>
        <v>0</v>
      </c>
      <c r="R118">
        <f>Tokens!T120</f>
        <v>0</v>
      </c>
      <c r="S118">
        <f>Tokens!U120</f>
        <v>0</v>
      </c>
      <c r="T118" t="str">
        <f>Tokens!V120</f>
        <v>Dernière utilisation</v>
      </c>
      <c r="U118">
        <f>Tokens!W120</f>
        <v>0</v>
      </c>
      <c r="V118">
        <f>Tokens!X120</f>
        <v>0</v>
      </c>
      <c r="W118">
        <f>Tokens!Y120</f>
        <v>0</v>
      </c>
      <c r="X118" t="str">
        <f>Tokens!Z120</f>
        <v>avantage1</v>
      </c>
      <c r="Y118" t="str">
        <f>Tokens!AA120</f>
        <v>accès pour deux (2) personnes à un (1) événement partenaire officiel de Calvi on the Rocks</v>
      </c>
      <c r="Z118">
        <f>Tokens!AB120</f>
        <v>0</v>
      </c>
      <c r="AA118">
        <f>Tokens!AC120</f>
        <v>0</v>
      </c>
      <c r="AB118">
        <f>Tokens!AD120</f>
        <v>0</v>
      </c>
      <c r="AC118">
        <f>Tokens!AE120</f>
        <v>0</v>
      </c>
      <c r="AD118">
        <f>Tokens!AF120</f>
        <v>0</v>
      </c>
      <c r="AE118">
        <f>Tokens!AG120</f>
        <v>0</v>
      </c>
      <c r="AF118" t="str">
        <f>Tokens!AH120</f>
        <v>avantage2</v>
      </c>
      <c r="AG118" t="str">
        <f>Tokens!AI120</f>
        <v>accès membre pour les after party officielles pour deux (2) personnes</v>
      </c>
      <c r="AH118" t="str">
        <f>Tokens!AJ120</f>
        <v>avantage3</v>
      </c>
      <c r="AI118" t="str">
        <f>Tokens!AK120</f>
        <v>accès prioritaire et bar dédié (consommation à la charge du festivalier) - tables réservées à l'avance pour les « NFT member » pour deux (2) personnes</v>
      </c>
      <c r="AJ118" t="str">
        <f>Tokens!AL120</f>
        <v>avantage4</v>
      </c>
      <c r="AK118" t="str">
        <f>Tokens!AM120</f>
        <v>1 affiche dédicacée et numérotée</v>
      </c>
      <c r="AL118">
        <f>Tokens!AN120</f>
        <v>0</v>
      </c>
      <c r="AM118">
        <f>Tokens!AO120</f>
        <v>0</v>
      </c>
      <c r="AN118">
        <f>Tokens!AP120</f>
        <v>0</v>
      </c>
      <c r="AO118">
        <f>Tokens!AQ120</f>
        <v>0</v>
      </c>
      <c r="AP118">
        <f>Tokens!AR120</f>
        <v>0</v>
      </c>
      <c r="AQ118">
        <f>Tokens!AS120</f>
        <v>0</v>
      </c>
      <c r="AR118">
        <f>Tokens!AT120</f>
        <v>0</v>
      </c>
      <c r="AS118">
        <f>Tokens!AU120</f>
        <v>0</v>
      </c>
      <c r="AT118" t="str">
        <f>Tokens!AV120</f>
        <v>Validation</v>
      </c>
      <c r="AU118" t="str">
        <f>Tokens!AW120</f>
        <v>https://tokensol.nfluent.io?s=COR22C57&amp;platform=ftx</v>
      </c>
      <c r="AV118" t="str">
        <f>Tokens!AX120</f>
        <v>paul</v>
      </c>
      <c r="AW118">
        <f>Tokens!AY120</f>
        <v>10</v>
      </c>
      <c r="AX118" t="str">
        <f>Tokens!AZ120</f>
        <v>sophie</v>
      </c>
      <c r="AY118">
        <f>Tokens!BA120</f>
        <v>90</v>
      </c>
      <c r="AZ118">
        <f>Tokens!BB120</f>
        <v>0</v>
      </c>
      <c r="BA118">
        <f>Tokens!BC120</f>
        <v>0</v>
      </c>
      <c r="BB118">
        <f>Tokens!BD120</f>
        <v>0</v>
      </c>
      <c r="BC118">
        <f>Tokens!BE120</f>
        <v>0</v>
      </c>
      <c r="BD118">
        <f>Tokens!BF120</f>
        <v>0</v>
      </c>
      <c r="BE118">
        <f>Tokens!BG120</f>
        <v>0</v>
      </c>
      <c r="BF118">
        <f>Tokens!BH120</f>
        <v>0</v>
      </c>
      <c r="BG118">
        <f>Tokens!BI120</f>
        <v>0</v>
      </c>
      <c r="BH118" t="str">
        <f>Tokens!BJ120</f>
        <v>La Porteuse D'Eau</v>
      </c>
      <c r="BI118" t="str">
        <f>Tokens!BK120</f>
        <v>Calvi On The Rocks</v>
      </c>
    </row>
    <row r="119" spans="1:61" x14ac:dyDescent="0.25">
      <c r="A119" t="str">
        <f>Tokens!C121</f>
        <v>La Porteuse D'Eau #58</v>
      </c>
      <c r="B119" t="str">
        <f>Tokens!D121</f>
        <v>COR22C58</v>
      </c>
      <c r="C119" t="str">
        <f>Tokens!E121</f>
        <v>La Porteuse D'Eau, 3 ans - Pass NFT 5 jours pour 2 personnes, valable pour 3 éditions Calvi On The Rocks de votre choix.</v>
      </c>
      <c r="D119">
        <f>Tokens!F121</f>
        <v>1000</v>
      </c>
      <c r="E119" t="str">
        <f>Tokens!G121</f>
        <v>https://bafybeicordeza5gk2bza3mvxlpkuixf2rl7wnnuldoo222om2i4bxv2oqa.ipfs.nftstorage.link?image_10.png</v>
      </c>
      <c r="F119" t="str">
        <f>Tokens!H121</f>
        <v>NfluenT for Calvi On The rocks</v>
      </c>
      <c r="G119">
        <f>Tokens!I121</f>
        <v>0</v>
      </c>
      <c r="H119" t="str">
        <f>Tokens!J121</f>
        <v>Pass festival</v>
      </c>
      <c r="I119" t="str">
        <f>Tokens!K121</f>
        <v>pour deux(2) personnes</v>
      </c>
      <c r="J119" t="str">
        <f>Tokens!L121</f>
        <v>Edition1</v>
      </c>
      <c r="K119">
        <f>Tokens!M121</f>
        <v>2</v>
      </c>
      <c r="L119" t="str">
        <f>Tokens!N121</f>
        <v>Edition2</v>
      </c>
      <c r="M119">
        <f>Tokens!O121</f>
        <v>2</v>
      </c>
      <c r="N119" t="str">
        <f>Tokens!P121</f>
        <v>Edition3</v>
      </c>
      <c r="O119">
        <f>Tokens!Q121</f>
        <v>2</v>
      </c>
      <c r="P119">
        <f>Tokens!R121</f>
        <v>0</v>
      </c>
      <c r="Q119">
        <f>Tokens!S121</f>
        <v>0</v>
      </c>
      <c r="R119">
        <f>Tokens!T121</f>
        <v>0</v>
      </c>
      <c r="S119">
        <f>Tokens!U121</f>
        <v>0</v>
      </c>
      <c r="T119" t="str">
        <f>Tokens!V121</f>
        <v>Dernière utilisation</v>
      </c>
      <c r="U119">
        <f>Tokens!W121</f>
        <v>0</v>
      </c>
      <c r="V119">
        <f>Tokens!X121</f>
        <v>0</v>
      </c>
      <c r="W119">
        <f>Tokens!Y121</f>
        <v>0</v>
      </c>
      <c r="X119" t="str">
        <f>Tokens!Z121</f>
        <v>avantage1</v>
      </c>
      <c r="Y119" t="str">
        <f>Tokens!AA121</f>
        <v>accès pour deux (2) personnes à un (1) événement partenaire officiel de Calvi on the Rocks</v>
      </c>
      <c r="Z119">
        <f>Tokens!AB121</f>
        <v>0</v>
      </c>
      <c r="AA119">
        <f>Tokens!AC121</f>
        <v>0</v>
      </c>
      <c r="AB119">
        <f>Tokens!AD121</f>
        <v>0</v>
      </c>
      <c r="AC119">
        <f>Tokens!AE121</f>
        <v>0</v>
      </c>
      <c r="AD119">
        <f>Tokens!AF121</f>
        <v>0</v>
      </c>
      <c r="AE119">
        <f>Tokens!AG121</f>
        <v>0</v>
      </c>
      <c r="AF119" t="str">
        <f>Tokens!AH121</f>
        <v>avantage2</v>
      </c>
      <c r="AG119" t="str">
        <f>Tokens!AI121</f>
        <v>accès membre pour les after party officielles pour deux (2) personnes</v>
      </c>
      <c r="AH119" t="str">
        <f>Tokens!AJ121</f>
        <v>avantage3</v>
      </c>
      <c r="AI119" t="str">
        <f>Tokens!AK121</f>
        <v>accès prioritaire et bar dédié (consommation à la charge du festivalier) - tables réservées à l'avance pour les « NFT member » pour deux (2) personnes</v>
      </c>
      <c r="AJ119" t="str">
        <f>Tokens!AL121</f>
        <v>avantage4</v>
      </c>
      <c r="AK119" t="str">
        <f>Tokens!AM121</f>
        <v>1 affiche dédicacée et numérotée</v>
      </c>
      <c r="AL119">
        <f>Tokens!AN121</f>
        <v>0</v>
      </c>
      <c r="AM119">
        <f>Tokens!AO121</f>
        <v>0</v>
      </c>
      <c r="AN119">
        <f>Tokens!AP121</f>
        <v>0</v>
      </c>
      <c r="AO119">
        <f>Tokens!AQ121</f>
        <v>0</v>
      </c>
      <c r="AP119">
        <f>Tokens!AR121</f>
        <v>0</v>
      </c>
      <c r="AQ119">
        <f>Tokens!AS121</f>
        <v>0</v>
      </c>
      <c r="AR119">
        <f>Tokens!AT121</f>
        <v>0</v>
      </c>
      <c r="AS119">
        <f>Tokens!AU121</f>
        <v>0</v>
      </c>
      <c r="AT119" t="str">
        <f>Tokens!AV121</f>
        <v>Validation</v>
      </c>
      <c r="AU119" t="str">
        <f>Tokens!AW121</f>
        <v>https://tokensol.nfluent.io?s=COR22C58&amp;platform=ftx</v>
      </c>
      <c r="AV119" t="str">
        <f>Tokens!AX121</f>
        <v>paul</v>
      </c>
      <c r="AW119">
        <f>Tokens!AY121</f>
        <v>10</v>
      </c>
      <c r="AX119" t="str">
        <f>Tokens!AZ121</f>
        <v>sophie</v>
      </c>
      <c r="AY119">
        <f>Tokens!BA121</f>
        <v>90</v>
      </c>
      <c r="AZ119">
        <f>Tokens!BB121</f>
        <v>0</v>
      </c>
      <c r="BA119">
        <f>Tokens!BC121</f>
        <v>0</v>
      </c>
      <c r="BB119">
        <f>Tokens!BD121</f>
        <v>0</v>
      </c>
      <c r="BC119">
        <f>Tokens!BE121</f>
        <v>0</v>
      </c>
      <c r="BD119">
        <f>Tokens!BF121</f>
        <v>0</v>
      </c>
      <c r="BE119">
        <f>Tokens!BG121</f>
        <v>0</v>
      </c>
      <c r="BF119">
        <f>Tokens!BH121</f>
        <v>0</v>
      </c>
      <c r="BG119">
        <f>Tokens!BI121</f>
        <v>0</v>
      </c>
      <c r="BH119" t="str">
        <f>Tokens!BJ121</f>
        <v>La Porteuse D'Eau</v>
      </c>
      <c r="BI119" t="str">
        <f>Tokens!BK121</f>
        <v>Calvi On The Rocks</v>
      </c>
    </row>
    <row r="120" spans="1:61" x14ac:dyDescent="0.25">
      <c r="A120" t="str">
        <f>Tokens!C122</f>
        <v>La Porteuse D'Eau #59</v>
      </c>
      <c r="B120" t="str">
        <f>Tokens!D122</f>
        <v>COR22C59</v>
      </c>
      <c r="C120" t="str">
        <f>Tokens!E122</f>
        <v>La Porteuse D'Eau, 3 ans - Pass NFT 5 jours pour 2 personnes, valable pour 3 éditions Calvi On The Rocks de votre choix.</v>
      </c>
      <c r="D120">
        <f>Tokens!F122</f>
        <v>1000</v>
      </c>
      <c r="E120" t="str">
        <f>Tokens!G122</f>
        <v>https://bafybeicordeza5gk2bza3mvxlpkuixf2rl7wnnuldoo222om2i4bxv2oqa.ipfs.nftstorage.link?image_10.png</v>
      </c>
      <c r="F120" t="str">
        <f>Tokens!H122</f>
        <v>NfluenT for Calvi On The rocks</v>
      </c>
      <c r="G120">
        <f>Tokens!I122</f>
        <v>0</v>
      </c>
      <c r="H120" t="str">
        <f>Tokens!J122</f>
        <v>Pass festival</v>
      </c>
      <c r="I120" t="str">
        <f>Tokens!K122</f>
        <v>pour deux(2) personnes</v>
      </c>
      <c r="J120" t="str">
        <f>Tokens!L122</f>
        <v>Edition1</v>
      </c>
      <c r="K120">
        <f>Tokens!M122</f>
        <v>2</v>
      </c>
      <c r="L120" t="str">
        <f>Tokens!N122</f>
        <v>Edition2</v>
      </c>
      <c r="M120">
        <f>Tokens!O122</f>
        <v>2</v>
      </c>
      <c r="N120" t="str">
        <f>Tokens!P122</f>
        <v>Edition3</v>
      </c>
      <c r="O120">
        <f>Tokens!Q122</f>
        <v>2</v>
      </c>
      <c r="P120">
        <f>Tokens!R122</f>
        <v>0</v>
      </c>
      <c r="Q120">
        <f>Tokens!S122</f>
        <v>0</v>
      </c>
      <c r="R120">
        <f>Tokens!T122</f>
        <v>0</v>
      </c>
      <c r="S120">
        <f>Tokens!U122</f>
        <v>0</v>
      </c>
      <c r="T120" t="str">
        <f>Tokens!V122</f>
        <v>Dernière utilisation</v>
      </c>
      <c r="U120">
        <f>Tokens!W122</f>
        <v>0</v>
      </c>
      <c r="V120">
        <f>Tokens!X122</f>
        <v>0</v>
      </c>
      <c r="W120">
        <f>Tokens!Y122</f>
        <v>0</v>
      </c>
      <c r="X120" t="str">
        <f>Tokens!Z122</f>
        <v>avantage1</v>
      </c>
      <c r="Y120" t="str">
        <f>Tokens!AA122</f>
        <v>accès pour deux (2) personnes à un (1) événement partenaire officiel de Calvi on the Rocks</v>
      </c>
      <c r="Z120">
        <f>Tokens!AB122</f>
        <v>0</v>
      </c>
      <c r="AA120">
        <f>Tokens!AC122</f>
        <v>0</v>
      </c>
      <c r="AB120">
        <f>Tokens!AD122</f>
        <v>0</v>
      </c>
      <c r="AC120">
        <f>Tokens!AE122</f>
        <v>0</v>
      </c>
      <c r="AD120">
        <f>Tokens!AF122</f>
        <v>0</v>
      </c>
      <c r="AE120">
        <f>Tokens!AG122</f>
        <v>0</v>
      </c>
      <c r="AF120" t="str">
        <f>Tokens!AH122</f>
        <v>avantage2</v>
      </c>
      <c r="AG120" t="str">
        <f>Tokens!AI122</f>
        <v>accès membre pour les after party officielles pour deux (2) personnes</v>
      </c>
      <c r="AH120" t="str">
        <f>Tokens!AJ122</f>
        <v>avantage3</v>
      </c>
      <c r="AI120" t="str">
        <f>Tokens!AK122</f>
        <v>accès prioritaire et bar dédié (consommation à la charge du festivalier) - tables réservées à l'avance pour les « NFT member » pour deux (2) personnes</v>
      </c>
      <c r="AJ120" t="str">
        <f>Tokens!AL122</f>
        <v>avantage4</v>
      </c>
      <c r="AK120" t="str">
        <f>Tokens!AM122</f>
        <v>1 affiche dédicacée et numérotée</v>
      </c>
      <c r="AL120">
        <f>Tokens!AN122</f>
        <v>0</v>
      </c>
      <c r="AM120">
        <f>Tokens!AO122</f>
        <v>0</v>
      </c>
      <c r="AN120">
        <f>Tokens!AP122</f>
        <v>0</v>
      </c>
      <c r="AO120">
        <f>Tokens!AQ122</f>
        <v>0</v>
      </c>
      <c r="AP120">
        <f>Tokens!AR122</f>
        <v>0</v>
      </c>
      <c r="AQ120">
        <f>Tokens!AS122</f>
        <v>0</v>
      </c>
      <c r="AR120">
        <f>Tokens!AT122</f>
        <v>0</v>
      </c>
      <c r="AS120">
        <f>Tokens!AU122</f>
        <v>0</v>
      </c>
      <c r="AT120" t="str">
        <f>Tokens!AV122</f>
        <v>Validation</v>
      </c>
      <c r="AU120" t="str">
        <f>Tokens!AW122</f>
        <v>https://tokensol.nfluent.io?s=COR22C59&amp;platform=ftx</v>
      </c>
      <c r="AV120" t="str">
        <f>Tokens!AX122</f>
        <v>paul</v>
      </c>
      <c r="AW120">
        <f>Tokens!AY122</f>
        <v>10</v>
      </c>
      <c r="AX120" t="str">
        <f>Tokens!AZ122</f>
        <v>sophie</v>
      </c>
      <c r="AY120">
        <f>Tokens!BA122</f>
        <v>90</v>
      </c>
      <c r="AZ120">
        <f>Tokens!BB122</f>
        <v>0</v>
      </c>
      <c r="BA120">
        <f>Tokens!BC122</f>
        <v>0</v>
      </c>
      <c r="BB120">
        <f>Tokens!BD122</f>
        <v>0</v>
      </c>
      <c r="BC120">
        <f>Tokens!BE122</f>
        <v>0</v>
      </c>
      <c r="BD120">
        <f>Tokens!BF122</f>
        <v>0</v>
      </c>
      <c r="BE120">
        <f>Tokens!BG122</f>
        <v>0</v>
      </c>
      <c r="BF120">
        <f>Tokens!BH122</f>
        <v>0</v>
      </c>
      <c r="BG120">
        <f>Tokens!BI122</f>
        <v>0</v>
      </c>
      <c r="BH120" t="str">
        <f>Tokens!BJ122</f>
        <v>La Porteuse D'Eau</v>
      </c>
      <c r="BI120" t="str">
        <f>Tokens!BK122</f>
        <v>Calvi On The Rocks</v>
      </c>
    </row>
    <row r="121" spans="1:61" x14ac:dyDescent="0.25">
      <c r="A121" t="str">
        <f>Tokens!C123</f>
        <v>La Porteuse D'Eau #60</v>
      </c>
      <c r="B121" t="str">
        <f>Tokens!D123</f>
        <v>COR22C60</v>
      </c>
      <c r="C121" t="str">
        <f>Tokens!E123</f>
        <v>La Porteuse D'Eau, 3 ans - Pass NFT 5 jours pour 2 personnes, valable pour 3 éditions Calvi On The Rocks de votre choix.</v>
      </c>
      <c r="D121">
        <f>Tokens!F123</f>
        <v>1000</v>
      </c>
      <c r="E121" t="str">
        <f>Tokens!G123</f>
        <v>https://bafybeicordeza5gk2bza3mvxlpkuixf2rl7wnnuldoo222om2i4bxv2oqa.ipfs.nftstorage.link?image_10.png</v>
      </c>
      <c r="F121" t="str">
        <f>Tokens!H123</f>
        <v>NfluenT for Calvi On The rocks</v>
      </c>
      <c r="G121">
        <f>Tokens!I123</f>
        <v>0</v>
      </c>
      <c r="H121" t="str">
        <f>Tokens!J123</f>
        <v>Pass festival</v>
      </c>
      <c r="I121" t="str">
        <f>Tokens!K123</f>
        <v>pour deux(2) personnes</v>
      </c>
      <c r="J121" t="str">
        <f>Tokens!L123</f>
        <v>Edition1</v>
      </c>
      <c r="K121">
        <f>Tokens!M123</f>
        <v>2</v>
      </c>
      <c r="L121" t="str">
        <f>Tokens!N123</f>
        <v>Edition2</v>
      </c>
      <c r="M121">
        <f>Tokens!O123</f>
        <v>2</v>
      </c>
      <c r="N121" t="str">
        <f>Tokens!P123</f>
        <v>Edition3</v>
      </c>
      <c r="O121">
        <f>Tokens!Q123</f>
        <v>2</v>
      </c>
      <c r="P121">
        <f>Tokens!R123</f>
        <v>0</v>
      </c>
      <c r="Q121">
        <f>Tokens!S123</f>
        <v>0</v>
      </c>
      <c r="R121">
        <f>Tokens!T123</f>
        <v>0</v>
      </c>
      <c r="S121">
        <f>Tokens!U123</f>
        <v>0</v>
      </c>
      <c r="T121" t="str">
        <f>Tokens!V123</f>
        <v>Dernière utilisation</v>
      </c>
      <c r="U121">
        <f>Tokens!W123</f>
        <v>0</v>
      </c>
      <c r="V121">
        <f>Tokens!X123</f>
        <v>0</v>
      </c>
      <c r="W121">
        <f>Tokens!Y123</f>
        <v>0</v>
      </c>
      <c r="X121" t="str">
        <f>Tokens!Z123</f>
        <v>avantage1</v>
      </c>
      <c r="Y121" t="str">
        <f>Tokens!AA123</f>
        <v>accès pour deux (2) personnes à un (1) événement partenaire officiel de Calvi on the Rocks</v>
      </c>
      <c r="Z121">
        <f>Tokens!AB123</f>
        <v>0</v>
      </c>
      <c r="AA121">
        <f>Tokens!AC123</f>
        <v>0</v>
      </c>
      <c r="AB121">
        <f>Tokens!AD123</f>
        <v>0</v>
      </c>
      <c r="AC121">
        <f>Tokens!AE123</f>
        <v>0</v>
      </c>
      <c r="AD121">
        <f>Tokens!AF123</f>
        <v>0</v>
      </c>
      <c r="AE121">
        <f>Tokens!AG123</f>
        <v>0</v>
      </c>
      <c r="AF121" t="str">
        <f>Tokens!AH123</f>
        <v>avantage2</v>
      </c>
      <c r="AG121" t="str">
        <f>Tokens!AI123</f>
        <v>accès membre pour les after party officielles pour deux (2) personnes</v>
      </c>
      <c r="AH121" t="str">
        <f>Tokens!AJ123</f>
        <v>avantage3</v>
      </c>
      <c r="AI121" t="str">
        <f>Tokens!AK123</f>
        <v>accès prioritaire et bar dédié (consommation à la charge du festivalier) - tables réservées à l'avance pour les « NFT member » pour deux (2) personnes</v>
      </c>
      <c r="AJ121" t="str">
        <f>Tokens!AL123</f>
        <v>avantage4</v>
      </c>
      <c r="AK121" t="str">
        <f>Tokens!AM123</f>
        <v>1 affiche dédicacée et numérotée</v>
      </c>
      <c r="AL121">
        <f>Tokens!AN123</f>
        <v>0</v>
      </c>
      <c r="AM121">
        <f>Tokens!AO123</f>
        <v>0</v>
      </c>
      <c r="AN121">
        <f>Tokens!AP123</f>
        <v>0</v>
      </c>
      <c r="AO121">
        <f>Tokens!AQ123</f>
        <v>0</v>
      </c>
      <c r="AP121">
        <f>Tokens!AR123</f>
        <v>0</v>
      </c>
      <c r="AQ121">
        <f>Tokens!AS123</f>
        <v>0</v>
      </c>
      <c r="AR121">
        <f>Tokens!AT123</f>
        <v>0</v>
      </c>
      <c r="AS121">
        <f>Tokens!AU123</f>
        <v>0</v>
      </c>
      <c r="AT121" t="str">
        <f>Tokens!AV123</f>
        <v>Validation</v>
      </c>
      <c r="AU121" t="str">
        <f>Tokens!AW123</f>
        <v>https://tokensol.nfluent.io?s=COR22C60&amp;platform=ftx</v>
      </c>
      <c r="AV121" t="str">
        <f>Tokens!AX123</f>
        <v>paul</v>
      </c>
      <c r="AW121">
        <f>Tokens!AY123</f>
        <v>10</v>
      </c>
      <c r="AX121" t="str">
        <f>Tokens!AZ123</f>
        <v>sophie</v>
      </c>
      <c r="AY121">
        <f>Tokens!BA123</f>
        <v>90</v>
      </c>
      <c r="AZ121">
        <f>Tokens!BB123</f>
        <v>0</v>
      </c>
      <c r="BA121">
        <f>Tokens!BC123</f>
        <v>0</v>
      </c>
      <c r="BB121">
        <f>Tokens!BD123</f>
        <v>0</v>
      </c>
      <c r="BC121">
        <f>Tokens!BE123</f>
        <v>0</v>
      </c>
      <c r="BD121">
        <f>Tokens!BF123</f>
        <v>0</v>
      </c>
      <c r="BE121">
        <f>Tokens!BG123</f>
        <v>0</v>
      </c>
      <c r="BF121">
        <f>Tokens!BH123</f>
        <v>0</v>
      </c>
      <c r="BG121">
        <f>Tokens!BI123</f>
        <v>0</v>
      </c>
      <c r="BH121" t="str">
        <f>Tokens!BJ123</f>
        <v>La Porteuse D'Eau</v>
      </c>
      <c r="BI121" t="str">
        <f>Tokens!BK123</f>
        <v>Calvi On The Rocks</v>
      </c>
    </row>
    <row r="122" spans="1:61" x14ac:dyDescent="0.25">
      <c r="A122" t="str">
        <f>Tokens!C124</f>
        <v>La Porteuse D'Eau #61</v>
      </c>
      <c r="B122" t="str">
        <f>Tokens!D124</f>
        <v>COR22C61</v>
      </c>
      <c r="C122" t="str">
        <f>Tokens!E124</f>
        <v>La Porteuse D'Eau, 3 ans - Pass NFT 5 jours pour 2 personnes, valable pour 3 éditions Calvi On The Rocks de votre choix.</v>
      </c>
      <c r="D122">
        <f>Tokens!F124</f>
        <v>1000</v>
      </c>
      <c r="E122" t="str">
        <f>Tokens!G124</f>
        <v>https://bafybeicordeza5gk2bza3mvxlpkuixf2rl7wnnuldoo222om2i4bxv2oqa.ipfs.nftstorage.link?image_10.png</v>
      </c>
      <c r="F122" t="str">
        <f>Tokens!H124</f>
        <v>NfluenT for Calvi On The rocks</v>
      </c>
      <c r="G122">
        <f>Tokens!I124</f>
        <v>0</v>
      </c>
      <c r="H122" t="str">
        <f>Tokens!J124</f>
        <v>Pass festival</v>
      </c>
      <c r="I122" t="str">
        <f>Tokens!K124</f>
        <v>pour deux(2) personnes</v>
      </c>
      <c r="J122" t="str">
        <f>Tokens!L124</f>
        <v>Edition1</v>
      </c>
      <c r="K122">
        <f>Tokens!M124</f>
        <v>2</v>
      </c>
      <c r="L122" t="str">
        <f>Tokens!N124</f>
        <v>Edition2</v>
      </c>
      <c r="M122">
        <f>Tokens!O124</f>
        <v>2</v>
      </c>
      <c r="N122" t="str">
        <f>Tokens!P124</f>
        <v>Edition3</v>
      </c>
      <c r="O122">
        <f>Tokens!Q124</f>
        <v>2</v>
      </c>
      <c r="P122">
        <f>Tokens!R124</f>
        <v>0</v>
      </c>
      <c r="Q122">
        <f>Tokens!S124</f>
        <v>0</v>
      </c>
      <c r="R122">
        <f>Tokens!T124</f>
        <v>0</v>
      </c>
      <c r="S122">
        <f>Tokens!U124</f>
        <v>0</v>
      </c>
      <c r="T122" t="str">
        <f>Tokens!V124</f>
        <v>Dernière utilisation</v>
      </c>
      <c r="U122">
        <f>Tokens!W124</f>
        <v>0</v>
      </c>
      <c r="V122">
        <f>Tokens!X124</f>
        <v>0</v>
      </c>
      <c r="W122">
        <f>Tokens!Y124</f>
        <v>0</v>
      </c>
      <c r="X122" t="str">
        <f>Tokens!Z124</f>
        <v>avantage1</v>
      </c>
      <c r="Y122" t="str">
        <f>Tokens!AA124</f>
        <v>accès pour deux (2) personnes à un (1) événement partenaire officiel de Calvi on the Rocks</v>
      </c>
      <c r="Z122">
        <f>Tokens!AB124</f>
        <v>0</v>
      </c>
      <c r="AA122">
        <f>Tokens!AC124</f>
        <v>0</v>
      </c>
      <c r="AB122">
        <f>Tokens!AD124</f>
        <v>0</v>
      </c>
      <c r="AC122">
        <f>Tokens!AE124</f>
        <v>0</v>
      </c>
      <c r="AD122">
        <f>Tokens!AF124</f>
        <v>0</v>
      </c>
      <c r="AE122">
        <f>Tokens!AG124</f>
        <v>0</v>
      </c>
      <c r="AF122" t="str">
        <f>Tokens!AH124</f>
        <v>avantage2</v>
      </c>
      <c r="AG122" t="str">
        <f>Tokens!AI124</f>
        <v>accès membre pour les after party officielles pour deux (2) personnes</v>
      </c>
      <c r="AH122" t="str">
        <f>Tokens!AJ124</f>
        <v>avantage3</v>
      </c>
      <c r="AI122" t="str">
        <f>Tokens!AK124</f>
        <v>accès prioritaire et bar dédié (consommation à la charge du festivalier) - tables réservées à l'avance pour les « NFT member » pour deux (2) personnes</v>
      </c>
      <c r="AJ122" t="str">
        <f>Tokens!AL124</f>
        <v>avantage4</v>
      </c>
      <c r="AK122" t="str">
        <f>Tokens!AM124</f>
        <v>1 affiche dédicacée et numérotée</v>
      </c>
      <c r="AL122">
        <f>Tokens!AN124</f>
        <v>0</v>
      </c>
      <c r="AM122">
        <f>Tokens!AO124</f>
        <v>0</v>
      </c>
      <c r="AN122">
        <f>Tokens!AP124</f>
        <v>0</v>
      </c>
      <c r="AO122">
        <f>Tokens!AQ124</f>
        <v>0</v>
      </c>
      <c r="AP122">
        <f>Tokens!AR124</f>
        <v>0</v>
      </c>
      <c r="AQ122">
        <f>Tokens!AS124</f>
        <v>0</v>
      </c>
      <c r="AR122">
        <f>Tokens!AT124</f>
        <v>0</v>
      </c>
      <c r="AS122">
        <f>Tokens!AU124</f>
        <v>0</v>
      </c>
      <c r="AT122" t="str">
        <f>Tokens!AV124</f>
        <v>Validation</v>
      </c>
      <c r="AU122" t="str">
        <f>Tokens!AW124</f>
        <v>https://tokensol.nfluent.io?s=COR22C61&amp;platform=ftx</v>
      </c>
      <c r="AV122" t="str">
        <f>Tokens!AX124</f>
        <v>paul</v>
      </c>
      <c r="AW122">
        <f>Tokens!AY124</f>
        <v>10</v>
      </c>
      <c r="AX122" t="str">
        <f>Tokens!AZ124</f>
        <v>sophie</v>
      </c>
      <c r="AY122">
        <f>Tokens!BA124</f>
        <v>90</v>
      </c>
      <c r="AZ122">
        <f>Tokens!BB124</f>
        <v>0</v>
      </c>
      <c r="BA122">
        <f>Tokens!BC124</f>
        <v>0</v>
      </c>
      <c r="BB122">
        <f>Tokens!BD124</f>
        <v>0</v>
      </c>
      <c r="BC122">
        <f>Tokens!BE124</f>
        <v>0</v>
      </c>
      <c r="BD122">
        <f>Tokens!BF124</f>
        <v>0</v>
      </c>
      <c r="BE122">
        <f>Tokens!BG124</f>
        <v>0</v>
      </c>
      <c r="BF122">
        <f>Tokens!BH124</f>
        <v>0</v>
      </c>
      <c r="BG122">
        <f>Tokens!BI124</f>
        <v>0</v>
      </c>
      <c r="BH122" t="str">
        <f>Tokens!BJ124</f>
        <v>La Porteuse D'Eau</v>
      </c>
      <c r="BI122" t="str">
        <f>Tokens!BK124</f>
        <v>Calvi On The Rocks</v>
      </c>
    </row>
    <row r="123" spans="1:61" x14ac:dyDescent="0.25">
      <c r="A123" t="str">
        <f>Tokens!C125</f>
        <v>La Porteuse D'Eau #62</v>
      </c>
      <c r="B123" t="str">
        <f>Tokens!D125</f>
        <v>COR22C62</v>
      </c>
      <c r="C123" t="str">
        <f>Tokens!E125</f>
        <v>La Porteuse D'Eau, 3 ans - Pass NFT 5 jours pour 2 personnes, valable pour 3 éditions Calvi On The Rocks de votre choix.</v>
      </c>
      <c r="D123">
        <f>Tokens!F125</f>
        <v>1000</v>
      </c>
      <c r="E123" t="str">
        <f>Tokens!G125</f>
        <v>https://bafybeicordeza5gk2bza3mvxlpkuixf2rl7wnnuldoo222om2i4bxv2oqa.ipfs.nftstorage.link?image_10.png</v>
      </c>
      <c r="F123" t="str">
        <f>Tokens!H125</f>
        <v>NfluenT for Calvi On The rocks</v>
      </c>
      <c r="G123">
        <f>Tokens!I125</f>
        <v>0</v>
      </c>
      <c r="H123" t="str">
        <f>Tokens!J125</f>
        <v>Pass festival</v>
      </c>
      <c r="I123" t="str">
        <f>Tokens!K125</f>
        <v>pour deux(2) personnes</v>
      </c>
      <c r="J123" t="str">
        <f>Tokens!L125</f>
        <v>Edition1</v>
      </c>
      <c r="K123">
        <f>Tokens!M125</f>
        <v>2</v>
      </c>
      <c r="L123" t="str">
        <f>Tokens!N125</f>
        <v>Edition2</v>
      </c>
      <c r="M123">
        <f>Tokens!O125</f>
        <v>2</v>
      </c>
      <c r="N123" t="str">
        <f>Tokens!P125</f>
        <v>Edition3</v>
      </c>
      <c r="O123">
        <f>Tokens!Q125</f>
        <v>2</v>
      </c>
      <c r="P123">
        <f>Tokens!R125</f>
        <v>0</v>
      </c>
      <c r="Q123">
        <f>Tokens!S125</f>
        <v>0</v>
      </c>
      <c r="R123">
        <f>Tokens!T125</f>
        <v>0</v>
      </c>
      <c r="S123">
        <f>Tokens!U125</f>
        <v>0</v>
      </c>
      <c r="T123" t="str">
        <f>Tokens!V125</f>
        <v>Dernière utilisation</v>
      </c>
      <c r="U123">
        <f>Tokens!W125</f>
        <v>0</v>
      </c>
      <c r="V123">
        <f>Tokens!X125</f>
        <v>0</v>
      </c>
      <c r="W123">
        <f>Tokens!Y125</f>
        <v>0</v>
      </c>
      <c r="X123" t="str">
        <f>Tokens!Z125</f>
        <v>avantage1</v>
      </c>
      <c r="Y123" t="str">
        <f>Tokens!AA125</f>
        <v>accès pour deux (2) personnes à un (1) événement partenaire officiel de Calvi on the Rocks</v>
      </c>
      <c r="Z123">
        <f>Tokens!AB125</f>
        <v>0</v>
      </c>
      <c r="AA123">
        <f>Tokens!AC125</f>
        <v>0</v>
      </c>
      <c r="AB123">
        <f>Tokens!AD125</f>
        <v>0</v>
      </c>
      <c r="AC123">
        <f>Tokens!AE125</f>
        <v>0</v>
      </c>
      <c r="AD123">
        <f>Tokens!AF125</f>
        <v>0</v>
      </c>
      <c r="AE123">
        <f>Tokens!AG125</f>
        <v>0</v>
      </c>
      <c r="AF123" t="str">
        <f>Tokens!AH125</f>
        <v>avantage2</v>
      </c>
      <c r="AG123" t="str">
        <f>Tokens!AI125</f>
        <v>accès membre pour les after party officielles pour deux (2) personnes</v>
      </c>
      <c r="AH123" t="str">
        <f>Tokens!AJ125</f>
        <v>avantage3</v>
      </c>
      <c r="AI123" t="str">
        <f>Tokens!AK125</f>
        <v>accès prioritaire et bar dédié (consommation à la charge du festivalier) - tables réservées à l'avance pour les « NFT member » pour deux (2) personnes</v>
      </c>
      <c r="AJ123" t="str">
        <f>Tokens!AL125</f>
        <v>avantage4</v>
      </c>
      <c r="AK123" t="str">
        <f>Tokens!AM125</f>
        <v>1 affiche dédicacée et numérotée</v>
      </c>
      <c r="AL123">
        <f>Tokens!AN125</f>
        <v>0</v>
      </c>
      <c r="AM123">
        <f>Tokens!AO125</f>
        <v>0</v>
      </c>
      <c r="AN123">
        <f>Tokens!AP125</f>
        <v>0</v>
      </c>
      <c r="AO123">
        <f>Tokens!AQ125</f>
        <v>0</v>
      </c>
      <c r="AP123">
        <f>Tokens!AR125</f>
        <v>0</v>
      </c>
      <c r="AQ123">
        <f>Tokens!AS125</f>
        <v>0</v>
      </c>
      <c r="AR123">
        <f>Tokens!AT125</f>
        <v>0</v>
      </c>
      <c r="AS123">
        <f>Tokens!AU125</f>
        <v>0</v>
      </c>
      <c r="AT123" t="str">
        <f>Tokens!AV125</f>
        <v>Validation</v>
      </c>
      <c r="AU123" t="str">
        <f>Tokens!AW125</f>
        <v>https://tokensol.nfluent.io?s=COR22C62&amp;platform=ftx</v>
      </c>
      <c r="AV123" t="str">
        <f>Tokens!AX125</f>
        <v>paul</v>
      </c>
      <c r="AW123">
        <f>Tokens!AY125</f>
        <v>10</v>
      </c>
      <c r="AX123" t="str">
        <f>Tokens!AZ125</f>
        <v>sophie</v>
      </c>
      <c r="AY123">
        <f>Tokens!BA125</f>
        <v>90</v>
      </c>
      <c r="AZ123">
        <f>Tokens!BB125</f>
        <v>0</v>
      </c>
      <c r="BA123">
        <f>Tokens!BC125</f>
        <v>0</v>
      </c>
      <c r="BB123">
        <f>Tokens!BD125</f>
        <v>0</v>
      </c>
      <c r="BC123">
        <f>Tokens!BE125</f>
        <v>0</v>
      </c>
      <c r="BD123">
        <f>Tokens!BF125</f>
        <v>0</v>
      </c>
      <c r="BE123">
        <f>Tokens!BG125</f>
        <v>0</v>
      </c>
      <c r="BF123">
        <f>Tokens!BH125</f>
        <v>0</v>
      </c>
      <c r="BG123">
        <f>Tokens!BI125</f>
        <v>0</v>
      </c>
      <c r="BH123" t="str">
        <f>Tokens!BJ125</f>
        <v>La Porteuse D'Eau</v>
      </c>
      <c r="BI123" t="str">
        <f>Tokens!BK125</f>
        <v>Calvi On The Rocks</v>
      </c>
    </row>
    <row r="124" spans="1:61" x14ac:dyDescent="0.25">
      <c r="A124" t="str">
        <f>Tokens!C126</f>
        <v>La Porteuse D'Eau #63</v>
      </c>
      <c r="B124" t="str">
        <f>Tokens!D126</f>
        <v>COR22C63</v>
      </c>
      <c r="C124" t="str">
        <f>Tokens!E126</f>
        <v>La Porteuse D'Eau, 3 ans - Pass NFT 5 jours pour 2 personnes, valable pour 3 éditions Calvi On The Rocks de votre choix.</v>
      </c>
      <c r="D124">
        <f>Tokens!F126</f>
        <v>1000</v>
      </c>
      <c r="E124" t="str">
        <f>Tokens!G126</f>
        <v>https://bafybeicordeza5gk2bza3mvxlpkuixf2rl7wnnuldoo222om2i4bxv2oqa.ipfs.nftstorage.link?image_10.png</v>
      </c>
      <c r="F124" t="str">
        <f>Tokens!H126</f>
        <v>NfluenT for Calvi On The rocks</v>
      </c>
      <c r="G124">
        <f>Tokens!I126</f>
        <v>0</v>
      </c>
      <c r="H124" t="str">
        <f>Tokens!J126</f>
        <v>Pass festival</v>
      </c>
      <c r="I124" t="str">
        <f>Tokens!K126</f>
        <v>pour deux(2) personnes</v>
      </c>
      <c r="J124" t="str">
        <f>Tokens!L126</f>
        <v>Edition1</v>
      </c>
      <c r="K124">
        <f>Tokens!M126</f>
        <v>2</v>
      </c>
      <c r="L124" t="str">
        <f>Tokens!N126</f>
        <v>Edition2</v>
      </c>
      <c r="M124">
        <f>Tokens!O126</f>
        <v>2</v>
      </c>
      <c r="N124" t="str">
        <f>Tokens!P126</f>
        <v>Edition3</v>
      </c>
      <c r="O124">
        <f>Tokens!Q126</f>
        <v>2</v>
      </c>
      <c r="P124">
        <f>Tokens!R126</f>
        <v>0</v>
      </c>
      <c r="Q124">
        <f>Tokens!S126</f>
        <v>0</v>
      </c>
      <c r="R124">
        <f>Tokens!T126</f>
        <v>0</v>
      </c>
      <c r="S124">
        <f>Tokens!U126</f>
        <v>0</v>
      </c>
      <c r="T124" t="str">
        <f>Tokens!V126</f>
        <v>Dernière utilisation</v>
      </c>
      <c r="U124">
        <f>Tokens!W126</f>
        <v>0</v>
      </c>
      <c r="V124">
        <f>Tokens!X126</f>
        <v>0</v>
      </c>
      <c r="W124">
        <f>Tokens!Y126</f>
        <v>0</v>
      </c>
      <c r="X124" t="str">
        <f>Tokens!Z126</f>
        <v>avantage1</v>
      </c>
      <c r="Y124" t="str">
        <f>Tokens!AA126</f>
        <v>accès pour deux (2) personnes à un (1) événement partenaire officiel de Calvi on the Rocks</v>
      </c>
      <c r="Z124">
        <f>Tokens!AB126</f>
        <v>0</v>
      </c>
      <c r="AA124">
        <f>Tokens!AC126</f>
        <v>0</v>
      </c>
      <c r="AB124">
        <f>Tokens!AD126</f>
        <v>0</v>
      </c>
      <c r="AC124">
        <f>Tokens!AE126</f>
        <v>0</v>
      </c>
      <c r="AD124">
        <f>Tokens!AF126</f>
        <v>0</v>
      </c>
      <c r="AE124">
        <f>Tokens!AG126</f>
        <v>0</v>
      </c>
      <c r="AF124" t="str">
        <f>Tokens!AH126</f>
        <v>avantage2</v>
      </c>
      <c r="AG124" t="str">
        <f>Tokens!AI126</f>
        <v>accès membre pour les after party officielles pour deux (2) personnes</v>
      </c>
      <c r="AH124" t="str">
        <f>Tokens!AJ126</f>
        <v>avantage3</v>
      </c>
      <c r="AI124" t="str">
        <f>Tokens!AK126</f>
        <v>accès prioritaire et bar dédié (consommation à la charge du festivalier) - tables réservées à l'avance pour les « NFT member » pour deux (2) personnes</v>
      </c>
      <c r="AJ124" t="str">
        <f>Tokens!AL126</f>
        <v>avantage4</v>
      </c>
      <c r="AK124" t="str">
        <f>Tokens!AM126</f>
        <v>1 affiche dédicacée et numérotée</v>
      </c>
      <c r="AL124">
        <f>Tokens!AN126</f>
        <v>0</v>
      </c>
      <c r="AM124">
        <f>Tokens!AO126</f>
        <v>0</v>
      </c>
      <c r="AN124">
        <f>Tokens!AP126</f>
        <v>0</v>
      </c>
      <c r="AO124">
        <f>Tokens!AQ126</f>
        <v>0</v>
      </c>
      <c r="AP124">
        <f>Tokens!AR126</f>
        <v>0</v>
      </c>
      <c r="AQ124">
        <f>Tokens!AS126</f>
        <v>0</v>
      </c>
      <c r="AR124">
        <f>Tokens!AT126</f>
        <v>0</v>
      </c>
      <c r="AS124">
        <f>Tokens!AU126</f>
        <v>0</v>
      </c>
      <c r="AT124" t="str">
        <f>Tokens!AV126</f>
        <v>Validation</v>
      </c>
      <c r="AU124" t="str">
        <f>Tokens!AW126</f>
        <v>https://tokensol.nfluent.io?s=COR22C63&amp;platform=ftx</v>
      </c>
      <c r="AV124" t="str">
        <f>Tokens!AX126</f>
        <v>paul</v>
      </c>
      <c r="AW124">
        <f>Tokens!AY126</f>
        <v>10</v>
      </c>
      <c r="AX124" t="str">
        <f>Tokens!AZ126</f>
        <v>sophie</v>
      </c>
      <c r="AY124">
        <f>Tokens!BA126</f>
        <v>90</v>
      </c>
      <c r="AZ124">
        <f>Tokens!BB126</f>
        <v>0</v>
      </c>
      <c r="BA124">
        <f>Tokens!BC126</f>
        <v>0</v>
      </c>
      <c r="BB124">
        <f>Tokens!BD126</f>
        <v>0</v>
      </c>
      <c r="BC124">
        <f>Tokens!BE126</f>
        <v>0</v>
      </c>
      <c r="BD124">
        <f>Tokens!BF126</f>
        <v>0</v>
      </c>
      <c r="BE124">
        <f>Tokens!BG126</f>
        <v>0</v>
      </c>
      <c r="BF124">
        <f>Tokens!BH126</f>
        <v>0</v>
      </c>
      <c r="BG124">
        <f>Tokens!BI126</f>
        <v>0</v>
      </c>
      <c r="BH124" t="str">
        <f>Tokens!BJ126</f>
        <v>La Porteuse D'Eau</v>
      </c>
      <c r="BI124" t="str">
        <f>Tokens!BK126</f>
        <v>Calvi On The Rocks</v>
      </c>
    </row>
    <row r="125" spans="1:61" x14ac:dyDescent="0.25">
      <c r="A125" t="str">
        <f>Tokens!C127</f>
        <v>La Porteuse D'Eau #64</v>
      </c>
      <c r="B125" t="str">
        <f>Tokens!D127</f>
        <v>COR22C64</v>
      </c>
      <c r="C125" t="str">
        <f>Tokens!E127</f>
        <v>La Porteuse D'Eau, 3 ans - Pass NFT 5 jours pour 2 personnes, valable pour 3 éditions Calvi On The Rocks de votre choix.</v>
      </c>
      <c r="D125">
        <f>Tokens!F127</f>
        <v>1000</v>
      </c>
      <c r="E125" t="str">
        <f>Tokens!G127</f>
        <v>https://bafybeicordeza5gk2bza3mvxlpkuixf2rl7wnnuldoo222om2i4bxv2oqa.ipfs.nftstorage.link?image_10.png</v>
      </c>
      <c r="F125" t="str">
        <f>Tokens!H127</f>
        <v>NfluenT for Calvi On The rocks</v>
      </c>
      <c r="G125">
        <f>Tokens!I127</f>
        <v>0</v>
      </c>
      <c r="H125" t="str">
        <f>Tokens!J127</f>
        <v>Pass festival</v>
      </c>
      <c r="I125" t="str">
        <f>Tokens!K127</f>
        <v>pour deux(2) personnes</v>
      </c>
      <c r="J125" t="str">
        <f>Tokens!L127</f>
        <v>Edition1</v>
      </c>
      <c r="K125">
        <f>Tokens!M127</f>
        <v>2</v>
      </c>
      <c r="L125" t="str">
        <f>Tokens!N127</f>
        <v>Edition2</v>
      </c>
      <c r="M125">
        <f>Tokens!O127</f>
        <v>2</v>
      </c>
      <c r="N125" t="str">
        <f>Tokens!P127</f>
        <v>Edition3</v>
      </c>
      <c r="O125">
        <f>Tokens!Q127</f>
        <v>2</v>
      </c>
      <c r="P125">
        <f>Tokens!R127</f>
        <v>0</v>
      </c>
      <c r="Q125">
        <f>Tokens!S127</f>
        <v>0</v>
      </c>
      <c r="R125">
        <f>Tokens!T127</f>
        <v>0</v>
      </c>
      <c r="S125">
        <f>Tokens!U127</f>
        <v>0</v>
      </c>
      <c r="T125" t="str">
        <f>Tokens!V127</f>
        <v>Dernière utilisation</v>
      </c>
      <c r="U125">
        <f>Tokens!W127</f>
        <v>0</v>
      </c>
      <c r="V125">
        <f>Tokens!X127</f>
        <v>0</v>
      </c>
      <c r="W125">
        <f>Tokens!Y127</f>
        <v>0</v>
      </c>
      <c r="X125" t="str">
        <f>Tokens!Z127</f>
        <v>avantage1</v>
      </c>
      <c r="Y125" t="str">
        <f>Tokens!AA127</f>
        <v>accès pour deux (2) personnes à un (1) événement partenaire officiel de Calvi on the Rocks</v>
      </c>
      <c r="Z125">
        <f>Tokens!AB127</f>
        <v>0</v>
      </c>
      <c r="AA125">
        <f>Tokens!AC127</f>
        <v>0</v>
      </c>
      <c r="AB125">
        <f>Tokens!AD127</f>
        <v>0</v>
      </c>
      <c r="AC125">
        <f>Tokens!AE127</f>
        <v>0</v>
      </c>
      <c r="AD125">
        <f>Tokens!AF127</f>
        <v>0</v>
      </c>
      <c r="AE125">
        <f>Tokens!AG127</f>
        <v>0</v>
      </c>
      <c r="AF125" t="str">
        <f>Tokens!AH127</f>
        <v>avantage2</v>
      </c>
      <c r="AG125" t="str">
        <f>Tokens!AI127</f>
        <v>accès membre pour les after party officielles pour deux (2) personnes</v>
      </c>
      <c r="AH125" t="str">
        <f>Tokens!AJ127</f>
        <v>avantage3</v>
      </c>
      <c r="AI125" t="str">
        <f>Tokens!AK127</f>
        <v>accès prioritaire et bar dédié (consommation à la charge du festivalier) - tables réservées à l'avance pour les « NFT member » pour deux (2) personnes</v>
      </c>
      <c r="AJ125" t="str">
        <f>Tokens!AL127</f>
        <v>avantage4</v>
      </c>
      <c r="AK125" t="str">
        <f>Tokens!AM127</f>
        <v>1 affiche dédicacée et numérotée</v>
      </c>
      <c r="AL125">
        <f>Tokens!AN127</f>
        <v>0</v>
      </c>
      <c r="AM125">
        <f>Tokens!AO127</f>
        <v>0</v>
      </c>
      <c r="AN125">
        <f>Tokens!AP127</f>
        <v>0</v>
      </c>
      <c r="AO125">
        <f>Tokens!AQ127</f>
        <v>0</v>
      </c>
      <c r="AP125">
        <f>Tokens!AR127</f>
        <v>0</v>
      </c>
      <c r="AQ125">
        <f>Tokens!AS127</f>
        <v>0</v>
      </c>
      <c r="AR125">
        <f>Tokens!AT127</f>
        <v>0</v>
      </c>
      <c r="AS125">
        <f>Tokens!AU127</f>
        <v>0</v>
      </c>
      <c r="AT125" t="str">
        <f>Tokens!AV127</f>
        <v>Validation</v>
      </c>
      <c r="AU125" t="str">
        <f>Tokens!AW127</f>
        <v>https://tokensol.nfluent.io?s=COR22C64&amp;platform=ftx</v>
      </c>
      <c r="AV125" t="str">
        <f>Tokens!AX127</f>
        <v>paul</v>
      </c>
      <c r="AW125">
        <f>Tokens!AY127</f>
        <v>10</v>
      </c>
      <c r="AX125" t="str">
        <f>Tokens!AZ127</f>
        <v>sophie</v>
      </c>
      <c r="AY125">
        <f>Tokens!BA127</f>
        <v>90</v>
      </c>
      <c r="AZ125">
        <f>Tokens!BB127</f>
        <v>0</v>
      </c>
      <c r="BA125">
        <f>Tokens!BC127</f>
        <v>0</v>
      </c>
      <c r="BB125">
        <f>Tokens!BD127</f>
        <v>0</v>
      </c>
      <c r="BC125">
        <f>Tokens!BE127</f>
        <v>0</v>
      </c>
      <c r="BD125">
        <f>Tokens!BF127</f>
        <v>0</v>
      </c>
      <c r="BE125">
        <f>Tokens!BG127</f>
        <v>0</v>
      </c>
      <c r="BF125">
        <f>Tokens!BH127</f>
        <v>0</v>
      </c>
      <c r="BG125">
        <f>Tokens!BI127</f>
        <v>0</v>
      </c>
      <c r="BH125" t="str">
        <f>Tokens!BJ127</f>
        <v>La Porteuse D'Eau</v>
      </c>
      <c r="BI125" t="str">
        <f>Tokens!BK127</f>
        <v>Calvi On The Rocks</v>
      </c>
    </row>
    <row r="126" spans="1:61" x14ac:dyDescent="0.25">
      <c r="A126" t="str">
        <f>Tokens!C128</f>
        <v>La Porteuse D'Eau #65</v>
      </c>
      <c r="B126" t="str">
        <f>Tokens!D128</f>
        <v>COR22C65</v>
      </c>
      <c r="C126" t="str">
        <f>Tokens!E128</f>
        <v>La Porteuse D'Eau, 3 ans - Pass NFT 5 jours pour 2 personnes, valable pour 3 éditions Calvi On The Rocks de votre choix.</v>
      </c>
      <c r="D126">
        <f>Tokens!F128</f>
        <v>1000</v>
      </c>
      <c r="E126" t="str">
        <f>Tokens!G128</f>
        <v>https://bafybeicordeza5gk2bza3mvxlpkuixf2rl7wnnuldoo222om2i4bxv2oqa.ipfs.nftstorage.link?image_10.png</v>
      </c>
      <c r="F126" t="str">
        <f>Tokens!H128</f>
        <v>NfluenT for Calvi On The rocks</v>
      </c>
      <c r="G126">
        <f>Tokens!I128</f>
        <v>0</v>
      </c>
      <c r="H126" t="str">
        <f>Tokens!J128</f>
        <v>Pass festival</v>
      </c>
      <c r="I126" t="str">
        <f>Tokens!K128</f>
        <v>pour deux(2) personnes</v>
      </c>
      <c r="J126" t="str">
        <f>Tokens!L128</f>
        <v>Edition1</v>
      </c>
      <c r="K126">
        <f>Tokens!M128</f>
        <v>2</v>
      </c>
      <c r="L126" t="str">
        <f>Tokens!N128</f>
        <v>Edition2</v>
      </c>
      <c r="M126">
        <f>Tokens!O128</f>
        <v>2</v>
      </c>
      <c r="N126" t="str">
        <f>Tokens!P128</f>
        <v>Edition3</v>
      </c>
      <c r="O126">
        <f>Tokens!Q128</f>
        <v>2</v>
      </c>
      <c r="P126">
        <f>Tokens!R128</f>
        <v>0</v>
      </c>
      <c r="Q126">
        <f>Tokens!S128</f>
        <v>0</v>
      </c>
      <c r="R126">
        <f>Tokens!T128</f>
        <v>0</v>
      </c>
      <c r="S126">
        <f>Tokens!U128</f>
        <v>0</v>
      </c>
      <c r="T126" t="str">
        <f>Tokens!V128</f>
        <v>Dernière utilisation</v>
      </c>
      <c r="U126">
        <f>Tokens!W128</f>
        <v>0</v>
      </c>
      <c r="V126">
        <f>Tokens!X128</f>
        <v>0</v>
      </c>
      <c r="W126">
        <f>Tokens!Y128</f>
        <v>0</v>
      </c>
      <c r="X126" t="str">
        <f>Tokens!Z128</f>
        <v>avantage1</v>
      </c>
      <c r="Y126" t="str">
        <f>Tokens!AA128</f>
        <v>accès pour deux (2) personnes à un (1) événement partenaire officiel de Calvi on the Rocks</v>
      </c>
      <c r="Z126">
        <f>Tokens!AB128</f>
        <v>0</v>
      </c>
      <c r="AA126">
        <f>Tokens!AC128</f>
        <v>0</v>
      </c>
      <c r="AB126">
        <f>Tokens!AD128</f>
        <v>0</v>
      </c>
      <c r="AC126">
        <f>Tokens!AE128</f>
        <v>0</v>
      </c>
      <c r="AD126">
        <f>Tokens!AF128</f>
        <v>0</v>
      </c>
      <c r="AE126">
        <f>Tokens!AG128</f>
        <v>0</v>
      </c>
      <c r="AF126" t="str">
        <f>Tokens!AH128</f>
        <v>avantage2</v>
      </c>
      <c r="AG126" t="str">
        <f>Tokens!AI128</f>
        <v>accès membre pour les after party officielles pour deux (2) personnes</v>
      </c>
      <c r="AH126" t="str">
        <f>Tokens!AJ128</f>
        <v>avantage3</v>
      </c>
      <c r="AI126" t="str">
        <f>Tokens!AK128</f>
        <v>accès prioritaire et bar dédié (consommation à la charge du festivalier) - tables réservées à l'avance pour les « NFT member » pour deux (2) personnes</v>
      </c>
      <c r="AJ126" t="str">
        <f>Tokens!AL128</f>
        <v>avantage4</v>
      </c>
      <c r="AK126" t="str">
        <f>Tokens!AM128</f>
        <v>1 affiche dédicacée et numérotée</v>
      </c>
      <c r="AL126">
        <f>Tokens!AN128</f>
        <v>0</v>
      </c>
      <c r="AM126">
        <f>Tokens!AO128</f>
        <v>0</v>
      </c>
      <c r="AN126">
        <f>Tokens!AP128</f>
        <v>0</v>
      </c>
      <c r="AO126">
        <f>Tokens!AQ128</f>
        <v>0</v>
      </c>
      <c r="AP126">
        <f>Tokens!AR128</f>
        <v>0</v>
      </c>
      <c r="AQ126">
        <f>Tokens!AS128</f>
        <v>0</v>
      </c>
      <c r="AR126">
        <f>Tokens!AT128</f>
        <v>0</v>
      </c>
      <c r="AS126">
        <f>Tokens!AU128</f>
        <v>0</v>
      </c>
      <c r="AT126" t="str">
        <f>Tokens!AV128</f>
        <v>Validation</v>
      </c>
      <c r="AU126" t="str">
        <f>Tokens!AW128</f>
        <v>https://tokensol.nfluent.io?s=COR22C65&amp;platform=ftx</v>
      </c>
      <c r="AV126" t="str">
        <f>Tokens!AX128</f>
        <v>paul</v>
      </c>
      <c r="AW126">
        <f>Tokens!AY128</f>
        <v>10</v>
      </c>
      <c r="AX126" t="str">
        <f>Tokens!AZ128</f>
        <v>sophie</v>
      </c>
      <c r="AY126">
        <f>Tokens!BA128</f>
        <v>90</v>
      </c>
      <c r="AZ126">
        <f>Tokens!BB128</f>
        <v>0</v>
      </c>
      <c r="BA126">
        <f>Tokens!BC128</f>
        <v>0</v>
      </c>
      <c r="BB126">
        <f>Tokens!BD128</f>
        <v>0</v>
      </c>
      <c r="BC126">
        <f>Tokens!BE128</f>
        <v>0</v>
      </c>
      <c r="BD126">
        <f>Tokens!BF128</f>
        <v>0</v>
      </c>
      <c r="BE126">
        <f>Tokens!BG128</f>
        <v>0</v>
      </c>
      <c r="BF126">
        <f>Tokens!BH128</f>
        <v>0</v>
      </c>
      <c r="BG126">
        <f>Tokens!BI128</f>
        <v>0</v>
      </c>
      <c r="BH126" t="str">
        <f>Tokens!BJ128</f>
        <v>La Porteuse D'Eau</v>
      </c>
      <c r="BI126" t="str">
        <f>Tokens!BK128</f>
        <v>Calvi On The Rocks</v>
      </c>
    </row>
    <row r="127" spans="1:61" x14ac:dyDescent="0.25">
      <c r="A127" t="str">
        <f>Tokens!C129</f>
        <v>La Porteuse D'Eau #66</v>
      </c>
      <c r="B127" t="str">
        <f>Tokens!D129</f>
        <v>COR22C66</v>
      </c>
      <c r="C127" t="str">
        <f>Tokens!E129</f>
        <v>La Porteuse D'Eau, 3 ans - Pass NFT 5 jours pour 2 personnes, valable pour 3 éditions Calvi On The Rocks de votre choix.</v>
      </c>
      <c r="D127">
        <f>Tokens!F129</f>
        <v>1000</v>
      </c>
      <c r="E127" t="str">
        <f>Tokens!G129</f>
        <v>https://bafybeicordeza5gk2bza3mvxlpkuixf2rl7wnnuldoo222om2i4bxv2oqa.ipfs.nftstorage.link?image_10.png</v>
      </c>
      <c r="F127" t="str">
        <f>Tokens!H129</f>
        <v>NfluenT for Calvi On The rocks</v>
      </c>
      <c r="G127">
        <f>Tokens!I129</f>
        <v>0</v>
      </c>
      <c r="H127" t="str">
        <f>Tokens!J129</f>
        <v>Pass festival</v>
      </c>
      <c r="I127" t="str">
        <f>Tokens!K129</f>
        <v>pour deux(2) personnes</v>
      </c>
      <c r="J127" t="str">
        <f>Tokens!L129</f>
        <v>Edition1</v>
      </c>
      <c r="K127">
        <f>Tokens!M129</f>
        <v>2</v>
      </c>
      <c r="L127" t="str">
        <f>Tokens!N129</f>
        <v>Edition2</v>
      </c>
      <c r="M127">
        <f>Tokens!O129</f>
        <v>2</v>
      </c>
      <c r="N127" t="str">
        <f>Tokens!P129</f>
        <v>Edition3</v>
      </c>
      <c r="O127">
        <f>Tokens!Q129</f>
        <v>2</v>
      </c>
      <c r="P127">
        <f>Tokens!R129</f>
        <v>0</v>
      </c>
      <c r="Q127">
        <f>Tokens!S129</f>
        <v>0</v>
      </c>
      <c r="R127">
        <f>Tokens!T129</f>
        <v>0</v>
      </c>
      <c r="S127">
        <f>Tokens!U129</f>
        <v>0</v>
      </c>
      <c r="T127" t="str">
        <f>Tokens!V129</f>
        <v>Dernière utilisation</v>
      </c>
      <c r="U127">
        <f>Tokens!W129</f>
        <v>0</v>
      </c>
      <c r="V127">
        <f>Tokens!X129</f>
        <v>0</v>
      </c>
      <c r="W127">
        <f>Tokens!Y129</f>
        <v>0</v>
      </c>
      <c r="X127" t="str">
        <f>Tokens!Z129</f>
        <v>avantage1</v>
      </c>
      <c r="Y127" t="str">
        <f>Tokens!AA129</f>
        <v>accès pour deux (2) personnes à un (1) événement partenaire officiel de Calvi on the Rocks</v>
      </c>
      <c r="Z127">
        <f>Tokens!AB129</f>
        <v>0</v>
      </c>
      <c r="AA127">
        <f>Tokens!AC129</f>
        <v>0</v>
      </c>
      <c r="AB127">
        <f>Tokens!AD129</f>
        <v>0</v>
      </c>
      <c r="AC127">
        <f>Tokens!AE129</f>
        <v>0</v>
      </c>
      <c r="AD127">
        <f>Tokens!AF129</f>
        <v>0</v>
      </c>
      <c r="AE127">
        <f>Tokens!AG129</f>
        <v>0</v>
      </c>
      <c r="AF127" t="str">
        <f>Tokens!AH129</f>
        <v>avantage2</v>
      </c>
      <c r="AG127" t="str">
        <f>Tokens!AI129</f>
        <v>accès membre pour les after party officielles pour deux (2) personnes</v>
      </c>
      <c r="AH127" t="str">
        <f>Tokens!AJ129</f>
        <v>avantage3</v>
      </c>
      <c r="AI127" t="str">
        <f>Tokens!AK129</f>
        <v>accès prioritaire et bar dédié (consommation à la charge du festivalier) - tables réservées à l'avance pour les « NFT member » pour deux (2) personnes</v>
      </c>
      <c r="AJ127" t="str">
        <f>Tokens!AL129</f>
        <v>avantage4</v>
      </c>
      <c r="AK127" t="str">
        <f>Tokens!AM129</f>
        <v>1 affiche dédicacée et numérotée</v>
      </c>
      <c r="AL127">
        <f>Tokens!AN129</f>
        <v>0</v>
      </c>
      <c r="AM127">
        <f>Tokens!AO129</f>
        <v>0</v>
      </c>
      <c r="AN127">
        <f>Tokens!AP129</f>
        <v>0</v>
      </c>
      <c r="AO127">
        <f>Tokens!AQ129</f>
        <v>0</v>
      </c>
      <c r="AP127">
        <f>Tokens!AR129</f>
        <v>0</v>
      </c>
      <c r="AQ127">
        <f>Tokens!AS129</f>
        <v>0</v>
      </c>
      <c r="AR127">
        <f>Tokens!AT129</f>
        <v>0</v>
      </c>
      <c r="AS127">
        <f>Tokens!AU129</f>
        <v>0</v>
      </c>
      <c r="AT127" t="str">
        <f>Tokens!AV129</f>
        <v>Validation</v>
      </c>
      <c r="AU127" t="str">
        <f>Tokens!AW129</f>
        <v>https://tokensol.nfluent.io?s=COR22C66&amp;platform=ftx</v>
      </c>
      <c r="AV127" t="str">
        <f>Tokens!AX129</f>
        <v>paul</v>
      </c>
      <c r="AW127">
        <f>Tokens!AY129</f>
        <v>10</v>
      </c>
      <c r="AX127" t="str">
        <f>Tokens!AZ129</f>
        <v>sophie</v>
      </c>
      <c r="AY127">
        <f>Tokens!BA129</f>
        <v>90</v>
      </c>
      <c r="AZ127">
        <f>Tokens!BB129</f>
        <v>0</v>
      </c>
      <c r="BA127">
        <f>Tokens!BC129</f>
        <v>0</v>
      </c>
      <c r="BB127">
        <f>Tokens!BD129</f>
        <v>0</v>
      </c>
      <c r="BC127">
        <f>Tokens!BE129</f>
        <v>0</v>
      </c>
      <c r="BD127">
        <f>Tokens!BF129</f>
        <v>0</v>
      </c>
      <c r="BE127">
        <f>Tokens!BG129</f>
        <v>0</v>
      </c>
      <c r="BF127">
        <f>Tokens!BH129</f>
        <v>0</v>
      </c>
      <c r="BG127">
        <f>Tokens!BI129</f>
        <v>0</v>
      </c>
      <c r="BH127" t="str">
        <f>Tokens!BJ129</f>
        <v>La Porteuse D'Eau</v>
      </c>
      <c r="BI127" t="str">
        <f>Tokens!BK129</f>
        <v>Calvi On The Rocks</v>
      </c>
    </row>
    <row r="128" spans="1:61" x14ac:dyDescent="0.25">
      <c r="A128" t="str">
        <f>Tokens!C130</f>
        <v>La Porteuse D'Eau #67</v>
      </c>
      <c r="B128" t="str">
        <f>Tokens!D130</f>
        <v>COR22C67</v>
      </c>
      <c r="C128" t="str">
        <f>Tokens!E130</f>
        <v>La Porteuse D'Eau, 3 ans - Pass NFT 5 jours pour 2 personnes, valable pour 3 éditions Calvi On The Rocks de votre choix.</v>
      </c>
      <c r="D128">
        <f>Tokens!F130</f>
        <v>1000</v>
      </c>
      <c r="E128" t="str">
        <f>Tokens!G130</f>
        <v>https://bafybeicordeza5gk2bza3mvxlpkuixf2rl7wnnuldoo222om2i4bxv2oqa.ipfs.nftstorage.link?image_10.png</v>
      </c>
      <c r="F128" t="str">
        <f>Tokens!H130</f>
        <v>NfluenT for Calvi On The rocks</v>
      </c>
      <c r="G128">
        <f>Tokens!I130</f>
        <v>0</v>
      </c>
      <c r="H128" t="str">
        <f>Tokens!J130</f>
        <v>Pass festival</v>
      </c>
      <c r="I128" t="str">
        <f>Tokens!K130</f>
        <v>pour deux(2) personnes</v>
      </c>
      <c r="J128" t="str">
        <f>Tokens!L130</f>
        <v>Edition1</v>
      </c>
      <c r="K128">
        <f>Tokens!M130</f>
        <v>2</v>
      </c>
      <c r="L128" t="str">
        <f>Tokens!N130</f>
        <v>Edition2</v>
      </c>
      <c r="M128">
        <f>Tokens!O130</f>
        <v>2</v>
      </c>
      <c r="N128" t="str">
        <f>Tokens!P130</f>
        <v>Edition3</v>
      </c>
      <c r="O128">
        <f>Tokens!Q130</f>
        <v>2</v>
      </c>
      <c r="P128">
        <f>Tokens!R130</f>
        <v>0</v>
      </c>
      <c r="Q128">
        <f>Tokens!S130</f>
        <v>0</v>
      </c>
      <c r="R128">
        <f>Tokens!T130</f>
        <v>0</v>
      </c>
      <c r="S128">
        <f>Tokens!U130</f>
        <v>0</v>
      </c>
      <c r="T128" t="str">
        <f>Tokens!V130</f>
        <v>Dernière utilisation</v>
      </c>
      <c r="U128">
        <f>Tokens!W130</f>
        <v>0</v>
      </c>
      <c r="V128">
        <f>Tokens!X130</f>
        <v>0</v>
      </c>
      <c r="W128">
        <f>Tokens!Y130</f>
        <v>0</v>
      </c>
      <c r="X128" t="str">
        <f>Tokens!Z130</f>
        <v>avantage1</v>
      </c>
      <c r="Y128" t="str">
        <f>Tokens!AA130</f>
        <v>accès pour deux (2) personnes à un (1) événement partenaire officiel de Calvi on the Rocks</v>
      </c>
      <c r="Z128">
        <f>Tokens!AB130</f>
        <v>0</v>
      </c>
      <c r="AA128">
        <f>Tokens!AC130</f>
        <v>0</v>
      </c>
      <c r="AB128">
        <f>Tokens!AD130</f>
        <v>0</v>
      </c>
      <c r="AC128">
        <f>Tokens!AE130</f>
        <v>0</v>
      </c>
      <c r="AD128">
        <f>Tokens!AF130</f>
        <v>0</v>
      </c>
      <c r="AE128">
        <f>Tokens!AG130</f>
        <v>0</v>
      </c>
      <c r="AF128" t="str">
        <f>Tokens!AH130</f>
        <v>avantage2</v>
      </c>
      <c r="AG128" t="str">
        <f>Tokens!AI130</f>
        <v>accès membre pour les after party officielles pour deux (2) personnes</v>
      </c>
      <c r="AH128" t="str">
        <f>Tokens!AJ130</f>
        <v>avantage3</v>
      </c>
      <c r="AI128" t="str">
        <f>Tokens!AK130</f>
        <v>accès prioritaire et bar dédié (consommation à la charge du festivalier) - tables réservées à l'avance pour les « NFT member » pour deux (2) personnes</v>
      </c>
      <c r="AJ128" t="str">
        <f>Tokens!AL130</f>
        <v>avantage4</v>
      </c>
      <c r="AK128" t="str">
        <f>Tokens!AM130</f>
        <v>1 affiche dédicacée et numérotée</v>
      </c>
      <c r="AL128">
        <f>Tokens!AN130</f>
        <v>0</v>
      </c>
      <c r="AM128">
        <f>Tokens!AO130</f>
        <v>0</v>
      </c>
      <c r="AN128">
        <f>Tokens!AP130</f>
        <v>0</v>
      </c>
      <c r="AO128">
        <f>Tokens!AQ130</f>
        <v>0</v>
      </c>
      <c r="AP128">
        <f>Tokens!AR130</f>
        <v>0</v>
      </c>
      <c r="AQ128">
        <f>Tokens!AS130</f>
        <v>0</v>
      </c>
      <c r="AR128">
        <f>Tokens!AT130</f>
        <v>0</v>
      </c>
      <c r="AS128">
        <f>Tokens!AU130</f>
        <v>0</v>
      </c>
      <c r="AT128" t="str">
        <f>Tokens!AV130</f>
        <v>Validation</v>
      </c>
      <c r="AU128" t="str">
        <f>Tokens!AW130</f>
        <v>https://tokensol.nfluent.io?s=COR22C67&amp;platform=ftx</v>
      </c>
      <c r="AV128" t="str">
        <f>Tokens!AX130</f>
        <v>paul</v>
      </c>
      <c r="AW128">
        <f>Tokens!AY130</f>
        <v>10</v>
      </c>
      <c r="AX128" t="str">
        <f>Tokens!AZ130</f>
        <v>sophie</v>
      </c>
      <c r="AY128">
        <f>Tokens!BA130</f>
        <v>90</v>
      </c>
      <c r="AZ128">
        <f>Tokens!BB130</f>
        <v>0</v>
      </c>
      <c r="BA128">
        <f>Tokens!BC130</f>
        <v>0</v>
      </c>
      <c r="BB128">
        <f>Tokens!BD130</f>
        <v>0</v>
      </c>
      <c r="BC128">
        <f>Tokens!BE130</f>
        <v>0</v>
      </c>
      <c r="BD128">
        <f>Tokens!BF130</f>
        <v>0</v>
      </c>
      <c r="BE128">
        <f>Tokens!BG130</f>
        <v>0</v>
      </c>
      <c r="BF128">
        <f>Tokens!BH130</f>
        <v>0</v>
      </c>
      <c r="BG128">
        <f>Tokens!BI130</f>
        <v>0</v>
      </c>
      <c r="BH128" t="str">
        <f>Tokens!BJ130</f>
        <v>La Porteuse D'Eau</v>
      </c>
      <c r="BI128" t="str">
        <f>Tokens!BK130</f>
        <v>Calvi On The Rocks</v>
      </c>
    </row>
    <row r="129" spans="1:61" x14ac:dyDescent="0.25">
      <c r="A129" t="str">
        <f>Tokens!C131</f>
        <v>La Porteuse D'Eau #68</v>
      </c>
      <c r="B129" t="str">
        <f>Tokens!D131</f>
        <v>COR22C68</v>
      </c>
      <c r="C129" t="str">
        <f>Tokens!E131</f>
        <v>La Porteuse D'Eau, 3 ans - Pass NFT 5 jours pour 2 personnes, valable pour 3 éditions Calvi On The Rocks de votre choix.</v>
      </c>
      <c r="D129">
        <f>Tokens!F131</f>
        <v>1000</v>
      </c>
      <c r="E129" t="str">
        <f>Tokens!G131</f>
        <v>https://bafybeicordeza5gk2bza3mvxlpkuixf2rl7wnnuldoo222om2i4bxv2oqa.ipfs.nftstorage.link?image_10.png</v>
      </c>
      <c r="F129" t="str">
        <f>Tokens!H131</f>
        <v>NfluenT for Calvi On The rocks</v>
      </c>
      <c r="G129">
        <f>Tokens!I131</f>
        <v>0</v>
      </c>
      <c r="H129" t="str">
        <f>Tokens!J131</f>
        <v>Pass festival</v>
      </c>
      <c r="I129" t="str">
        <f>Tokens!K131</f>
        <v>pour deux(2) personnes</v>
      </c>
      <c r="J129" t="str">
        <f>Tokens!L131</f>
        <v>Edition1</v>
      </c>
      <c r="K129">
        <f>Tokens!M131</f>
        <v>2</v>
      </c>
      <c r="L129" t="str">
        <f>Tokens!N131</f>
        <v>Edition2</v>
      </c>
      <c r="M129">
        <f>Tokens!O131</f>
        <v>2</v>
      </c>
      <c r="N129" t="str">
        <f>Tokens!P131</f>
        <v>Edition3</v>
      </c>
      <c r="O129">
        <f>Tokens!Q131</f>
        <v>2</v>
      </c>
      <c r="P129">
        <f>Tokens!R131</f>
        <v>0</v>
      </c>
      <c r="Q129">
        <f>Tokens!S131</f>
        <v>0</v>
      </c>
      <c r="R129">
        <f>Tokens!T131</f>
        <v>0</v>
      </c>
      <c r="S129">
        <f>Tokens!U131</f>
        <v>0</v>
      </c>
      <c r="T129" t="str">
        <f>Tokens!V131</f>
        <v>Dernière utilisation</v>
      </c>
      <c r="U129">
        <f>Tokens!W131</f>
        <v>0</v>
      </c>
      <c r="V129">
        <f>Tokens!X131</f>
        <v>0</v>
      </c>
      <c r="W129">
        <f>Tokens!Y131</f>
        <v>0</v>
      </c>
      <c r="X129" t="str">
        <f>Tokens!Z131</f>
        <v>avantage1</v>
      </c>
      <c r="Y129" t="str">
        <f>Tokens!AA131</f>
        <v>accès pour deux (2) personnes à un (1) événement partenaire officiel de Calvi on the Rocks</v>
      </c>
      <c r="Z129">
        <f>Tokens!AB131</f>
        <v>0</v>
      </c>
      <c r="AA129">
        <f>Tokens!AC131</f>
        <v>0</v>
      </c>
      <c r="AB129">
        <f>Tokens!AD131</f>
        <v>0</v>
      </c>
      <c r="AC129">
        <f>Tokens!AE131</f>
        <v>0</v>
      </c>
      <c r="AD129">
        <f>Tokens!AF131</f>
        <v>0</v>
      </c>
      <c r="AE129">
        <f>Tokens!AG131</f>
        <v>0</v>
      </c>
      <c r="AF129" t="str">
        <f>Tokens!AH131</f>
        <v>avantage2</v>
      </c>
      <c r="AG129" t="str">
        <f>Tokens!AI131</f>
        <v>accès membre pour les after party officielles pour deux (2) personnes</v>
      </c>
      <c r="AH129" t="str">
        <f>Tokens!AJ131</f>
        <v>avantage3</v>
      </c>
      <c r="AI129" t="str">
        <f>Tokens!AK131</f>
        <v>accès prioritaire et bar dédié (consommation à la charge du festivalier) - tables réservées à l'avance pour les « NFT member » pour deux (2) personnes</v>
      </c>
      <c r="AJ129" t="str">
        <f>Tokens!AL131</f>
        <v>avantage4</v>
      </c>
      <c r="AK129" t="str">
        <f>Tokens!AM131</f>
        <v>1 affiche dédicacée et numérotée</v>
      </c>
      <c r="AL129">
        <f>Tokens!AN131</f>
        <v>0</v>
      </c>
      <c r="AM129">
        <f>Tokens!AO131</f>
        <v>0</v>
      </c>
      <c r="AN129">
        <f>Tokens!AP131</f>
        <v>0</v>
      </c>
      <c r="AO129">
        <f>Tokens!AQ131</f>
        <v>0</v>
      </c>
      <c r="AP129">
        <f>Tokens!AR131</f>
        <v>0</v>
      </c>
      <c r="AQ129">
        <f>Tokens!AS131</f>
        <v>0</v>
      </c>
      <c r="AR129">
        <f>Tokens!AT131</f>
        <v>0</v>
      </c>
      <c r="AS129">
        <f>Tokens!AU131</f>
        <v>0</v>
      </c>
      <c r="AT129" t="str">
        <f>Tokens!AV131</f>
        <v>Validation</v>
      </c>
      <c r="AU129" t="str">
        <f>Tokens!AW131</f>
        <v>https://tokensol.nfluent.io?s=COR22C68&amp;platform=ftx</v>
      </c>
      <c r="AV129" t="str">
        <f>Tokens!AX131</f>
        <v>paul</v>
      </c>
      <c r="AW129">
        <f>Tokens!AY131</f>
        <v>10</v>
      </c>
      <c r="AX129" t="str">
        <f>Tokens!AZ131</f>
        <v>sophie</v>
      </c>
      <c r="AY129">
        <f>Tokens!BA131</f>
        <v>90</v>
      </c>
      <c r="AZ129">
        <f>Tokens!BB131</f>
        <v>0</v>
      </c>
      <c r="BA129">
        <f>Tokens!BC131</f>
        <v>0</v>
      </c>
      <c r="BB129">
        <f>Tokens!BD131</f>
        <v>0</v>
      </c>
      <c r="BC129">
        <f>Tokens!BE131</f>
        <v>0</v>
      </c>
      <c r="BD129">
        <f>Tokens!BF131</f>
        <v>0</v>
      </c>
      <c r="BE129">
        <f>Tokens!BG131</f>
        <v>0</v>
      </c>
      <c r="BF129">
        <f>Tokens!BH131</f>
        <v>0</v>
      </c>
      <c r="BG129">
        <f>Tokens!BI131</f>
        <v>0</v>
      </c>
      <c r="BH129" t="str">
        <f>Tokens!BJ131</f>
        <v>La Porteuse D'Eau</v>
      </c>
      <c r="BI129" t="str">
        <f>Tokens!BK131</f>
        <v>Calvi On The Rocks</v>
      </c>
    </row>
    <row r="130" spans="1:61" x14ac:dyDescent="0.25">
      <c r="A130" t="str">
        <f>Tokens!C132</f>
        <v>La Porteuse D'Eau #69</v>
      </c>
      <c r="B130" t="str">
        <f>Tokens!D132</f>
        <v>COR22C69</v>
      </c>
      <c r="C130" t="str">
        <f>Tokens!E132</f>
        <v>La Porteuse D'Eau, 3 ans - Pass NFT 5 jours pour 2 personnes, valable pour 3 éditions Calvi On The Rocks de votre choix.</v>
      </c>
      <c r="D130">
        <f>Tokens!F132</f>
        <v>1000</v>
      </c>
      <c r="E130" t="str">
        <f>Tokens!G132</f>
        <v>https://bafybeicordeza5gk2bza3mvxlpkuixf2rl7wnnuldoo222om2i4bxv2oqa.ipfs.nftstorage.link?image_10.png</v>
      </c>
      <c r="F130" t="str">
        <f>Tokens!H132</f>
        <v>NfluenT for Calvi On The rocks</v>
      </c>
      <c r="G130">
        <f>Tokens!I132</f>
        <v>0</v>
      </c>
      <c r="H130" t="str">
        <f>Tokens!J132</f>
        <v>Pass festival</v>
      </c>
      <c r="I130" t="str">
        <f>Tokens!K132</f>
        <v>pour deux(2) personnes</v>
      </c>
      <c r="J130" t="str">
        <f>Tokens!L132</f>
        <v>Edition1</v>
      </c>
      <c r="K130">
        <f>Tokens!M132</f>
        <v>2</v>
      </c>
      <c r="L130" t="str">
        <f>Tokens!N132</f>
        <v>Edition2</v>
      </c>
      <c r="M130">
        <f>Tokens!O132</f>
        <v>2</v>
      </c>
      <c r="N130" t="str">
        <f>Tokens!P132</f>
        <v>Edition3</v>
      </c>
      <c r="O130">
        <f>Tokens!Q132</f>
        <v>2</v>
      </c>
      <c r="P130">
        <f>Tokens!R132</f>
        <v>0</v>
      </c>
      <c r="Q130">
        <f>Tokens!S132</f>
        <v>0</v>
      </c>
      <c r="R130">
        <f>Tokens!T132</f>
        <v>0</v>
      </c>
      <c r="S130">
        <f>Tokens!U132</f>
        <v>0</v>
      </c>
      <c r="T130" t="str">
        <f>Tokens!V132</f>
        <v>Dernière utilisation</v>
      </c>
      <c r="U130">
        <f>Tokens!W132</f>
        <v>0</v>
      </c>
      <c r="V130">
        <f>Tokens!X132</f>
        <v>0</v>
      </c>
      <c r="W130">
        <f>Tokens!Y132</f>
        <v>0</v>
      </c>
      <c r="X130" t="str">
        <f>Tokens!Z132</f>
        <v>avantage1</v>
      </c>
      <c r="Y130" t="str">
        <f>Tokens!AA132</f>
        <v>accès pour deux (2) personnes à un (1) événement partenaire officiel de Calvi on the Rocks</v>
      </c>
      <c r="Z130">
        <f>Tokens!AB132</f>
        <v>0</v>
      </c>
      <c r="AA130">
        <f>Tokens!AC132</f>
        <v>0</v>
      </c>
      <c r="AB130">
        <f>Tokens!AD132</f>
        <v>0</v>
      </c>
      <c r="AC130">
        <f>Tokens!AE132</f>
        <v>0</v>
      </c>
      <c r="AD130">
        <f>Tokens!AF132</f>
        <v>0</v>
      </c>
      <c r="AE130">
        <f>Tokens!AG132</f>
        <v>0</v>
      </c>
      <c r="AF130" t="str">
        <f>Tokens!AH132</f>
        <v>avantage2</v>
      </c>
      <c r="AG130" t="str">
        <f>Tokens!AI132</f>
        <v>accès membre pour les after party officielles pour deux (2) personnes</v>
      </c>
      <c r="AH130" t="str">
        <f>Tokens!AJ132</f>
        <v>avantage3</v>
      </c>
      <c r="AI130" t="str">
        <f>Tokens!AK132</f>
        <v>accès prioritaire et bar dédié (consommation à la charge du festivalier) - tables réservées à l'avance pour les « NFT member » pour deux (2) personnes</v>
      </c>
      <c r="AJ130" t="str">
        <f>Tokens!AL132</f>
        <v>avantage4</v>
      </c>
      <c r="AK130" t="str">
        <f>Tokens!AM132</f>
        <v>1 affiche dédicacée et numérotée</v>
      </c>
      <c r="AL130">
        <f>Tokens!AN132</f>
        <v>0</v>
      </c>
      <c r="AM130">
        <f>Tokens!AO132</f>
        <v>0</v>
      </c>
      <c r="AN130">
        <f>Tokens!AP132</f>
        <v>0</v>
      </c>
      <c r="AO130">
        <f>Tokens!AQ132</f>
        <v>0</v>
      </c>
      <c r="AP130">
        <f>Tokens!AR132</f>
        <v>0</v>
      </c>
      <c r="AQ130">
        <f>Tokens!AS132</f>
        <v>0</v>
      </c>
      <c r="AR130">
        <f>Tokens!AT132</f>
        <v>0</v>
      </c>
      <c r="AS130">
        <f>Tokens!AU132</f>
        <v>0</v>
      </c>
      <c r="AT130" t="str">
        <f>Tokens!AV132</f>
        <v>Validation</v>
      </c>
      <c r="AU130" t="str">
        <f>Tokens!AW132</f>
        <v>https://tokensol.nfluent.io?s=COR22C69&amp;platform=ftx</v>
      </c>
      <c r="AV130" t="str">
        <f>Tokens!AX132</f>
        <v>paul</v>
      </c>
      <c r="AW130">
        <f>Tokens!AY132</f>
        <v>10</v>
      </c>
      <c r="AX130" t="str">
        <f>Tokens!AZ132</f>
        <v>sophie</v>
      </c>
      <c r="AY130">
        <f>Tokens!BA132</f>
        <v>90</v>
      </c>
      <c r="AZ130">
        <f>Tokens!BB132</f>
        <v>0</v>
      </c>
      <c r="BA130">
        <f>Tokens!BC132</f>
        <v>0</v>
      </c>
      <c r="BB130">
        <f>Tokens!BD132</f>
        <v>0</v>
      </c>
      <c r="BC130">
        <f>Tokens!BE132</f>
        <v>0</v>
      </c>
      <c r="BD130">
        <f>Tokens!BF132</f>
        <v>0</v>
      </c>
      <c r="BE130">
        <f>Tokens!BG132</f>
        <v>0</v>
      </c>
      <c r="BF130">
        <f>Tokens!BH132</f>
        <v>0</v>
      </c>
      <c r="BG130">
        <f>Tokens!BI132</f>
        <v>0</v>
      </c>
      <c r="BH130" t="str">
        <f>Tokens!BJ132</f>
        <v>La Porteuse D'Eau</v>
      </c>
      <c r="BI130" t="str">
        <f>Tokens!BK132</f>
        <v>Calvi On The Rocks</v>
      </c>
    </row>
    <row r="131" spans="1:61" x14ac:dyDescent="0.25">
      <c r="A131" t="str">
        <f>Tokens!C133</f>
        <v>La Porteuse D'Eau #70</v>
      </c>
      <c r="B131" t="str">
        <f>Tokens!D133</f>
        <v>COR22C70</v>
      </c>
      <c r="C131" t="str">
        <f>Tokens!E133</f>
        <v>La Porteuse D'Eau, 3 ans - Pass NFT 5 jours pour 2 personnes, valable pour 3 éditions Calvi On The Rocks de votre choix.</v>
      </c>
      <c r="D131">
        <f>Tokens!F133</f>
        <v>1000</v>
      </c>
      <c r="E131" t="str">
        <f>Tokens!G133</f>
        <v>https://bafybeicordeza5gk2bza3mvxlpkuixf2rl7wnnuldoo222om2i4bxv2oqa.ipfs.nftstorage.link?image_10.png</v>
      </c>
      <c r="F131" t="str">
        <f>Tokens!H133</f>
        <v>NfluenT for Calvi On The rocks</v>
      </c>
      <c r="G131">
        <f>Tokens!I133</f>
        <v>0</v>
      </c>
      <c r="H131" t="str">
        <f>Tokens!J133</f>
        <v>Pass festival</v>
      </c>
      <c r="I131" t="str">
        <f>Tokens!K133</f>
        <v>pour deux(2) personnes</v>
      </c>
      <c r="J131" t="str">
        <f>Tokens!L133</f>
        <v>Edition1</v>
      </c>
      <c r="K131">
        <f>Tokens!M133</f>
        <v>2</v>
      </c>
      <c r="L131" t="str">
        <f>Tokens!N133</f>
        <v>Edition2</v>
      </c>
      <c r="M131">
        <f>Tokens!O133</f>
        <v>2</v>
      </c>
      <c r="N131" t="str">
        <f>Tokens!P133</f>
        <v>Edition3</v>
      </c>
      <c r="O131">
        <f>Tokens!Q133</f>
        <v>2</v>
      </c>
      <c r="P131">
        <f>Tokens!R133</f>
        <v>0</v>
      </c>
      <c r="Q131">
        <f>Tokens!S133</f>
        <v>0</v>
      </c>
      <c r="R131">
        <f>Tokens!T133</f>
        <v>0</v>
      </c>
      <c r="S131">
        <f>Tokens!U133</f>
        <v>0</v>
      </c>
      <c r="T131" t="str">
        <f>Tokens!V133</f>
        <v>Dernière utilisation</v>
      </c>
      <c r="U131">
        <f>Tokens!W133</f>
        <v>0</v>
      </c>
      <c r="V131">
        <f>Tokens!X133</f>
        <v>0</v>
      </c>
      <c r="W131">
        <f>Tokens!Y133</f>
        <v>0</v>
      </c>
      <c r="X131" t="str">
        <f>Tokens!Z133</f>
        <v>avantage1</v>
      </c>
      <c r="Y131" t="str">
        <f>Tokens!AA133</f>
        <v>accès pour deux (2) personnes à un (1) événement partenaire officiel de Calvi on the Rocks</v>
      </c>
      <c r="Z131">
        <f>Tokens!AB133</f>
        <v>0</v>
      </c>
      <c r="AA131">
        <f>Tokens!AC133</f>
        <v>0</v>
      </c>
      <c r="AB131">
        <f>Tokens!AD133</f>
        <v>0</v>
      </c>
      <c r="AC131">
        <f>Tokens!AE133</f>
        <v>0</v>
      </c>
      <c r="AD131">
        <f>Tokens!AF133</f>
        <v>0</v>
      </c>
      <c r="AE131">
        <f>Tokens!AG133</f>
        <v>0</v>
      </c>
      <c r="AF131" t="str">
        <f>Tokens!AH133</f>
        <v>avantage2</v>
      </c>
      <c r="AG131" t="str">
        <f>Tokens!AI133</f>
        <v>accès membre pour les after party officielles pour deux (2) personnes</v>
      </c>
      <c r="AH131" t="str">
        <f>Tokens!AJ133</f>
        <v>avantage3</v>
      </c>
      <c r="AI131" t="str">
        <f>Tokens!AK133</f>
        <v>accès prioritaire et bar dédié (consommation à la charge du festivalier) - tables réservées à l'avance pour les « NFT member » pour deux (2) personnes</v>
      </c>
      <c r="AJ131" t="str">
        <f>Tokens!AL133</f>
        <v>avantage4</v>
      </c>
      <c r="AK131" t="str">
        <f>Tokens!AM133</f>
        <v>1 affiche dédicacée et numérotée</v>
      </c>
      <c r="AL131">
        <f>Tokens!AN133</f>
        <v>0</v>
      </c>
      <c r="AM131">
        <f>Tokens!AO133</f>
        <v>0</v>
      </c>
      <c r="AN131">
        <f>Tokens!AP133</f>
        <v>0</v>
      </c>
      <c r="AO131">
        <f>Tokens!AQ133</f>
        <v>0</v>
      </c>
      <c r="AP131">
        <f>Tokens!AR133</f>
        <v>0</v>
      </c>
      <c r="AQ131">
        <f>Tokens!AS133</f>
        <v>0</v>
      </c>
      <c r="AR131">
        <f>Tokens!AT133</f>
        <v>0</v>
      </c>
      <c r="AS131">
        <f>Tokens!AU133</f>
        <v>0</v>
      </c>
      <c r="AT131" t="str">
        <f>Tokens!AV133</f>
        <v>Validation</v>
      </c>
      <c r="AU131" t="str">
        <f>Tokens!AW133</f>
        <v>https://tokensol.nfluent.io?s=COR22C70&amp;platform=ftx</v>
      </c>
      <c r="AV131" t="str">
        <f>Tokens!AX133</f>
        <v>paul</v>
      </c>
      <c r="AW131">
        <f>Tokens!AY133</f>
        <v>10</v>
      </c>
      <c r="AX131" t="str">
        <f>Tokens!AZ133</f>
        <v>sophie</v>
      </c>
      <c r="AY131">
        <f>Tokens!BA133</f>
        <v>90</v>
      </c>
      <c r="AZ131">
        <f>Tokens!BB133</f>
        <v>0</v>
      </c>
      <c r="BA131">
        <f>Tokens!BC133</f>
        <v>0</v>
      </c>
      <c r="BB131">
        <f>Tokens!BD133</f>
        <v>0</v>
      </c>
      <c r="BC131">
        <f>Tokens!BE133</f>
        <v>0</v>
      </c>
      <c r="BD131">
        <f>Tokens!BF133</f>
        <v>0</v>
      </c>
      <c r="BE131">
        <f>Tokens!BG133</f>
        <v>0</v>
      </c>
      <c r="BF131">
        <f>Tokens!BH133</f>
        <v>0</v>
      </c>
      <c r="BG131">
        <f>Tokens!BI133</f>
        <v>0</v>
      </c>
      <c r="BH131" t="str">
        <f>Tokens!BJ133</f>
        <v>La Porteuse D'Eau</v>
      </c>
      <c r="BI131" t="str">
        <f>Tokens!BK133</f>
        <v>Calvi On The Rocks</v>
      </c>
    </row>
    <row r="132" spans="1:61" x14ac:dyDescent="0.25">
      <c r="A132" t="str">
        <f>Tokens!C134</f>
        <v>La Porteuse D'Eau #71</v>
      </c>
      <c r="B132" t="str">
        <f>Tokens!D134</f>
        <v>COR22C71</v>
      </c>
      <c r="C132" t="str">
        <f>Tokens!E134</f>
        <v>La Porteuse D'Eau, 3 ans - Pass NFT 5 jours pour 2 personnes, valable pour 3 éditions Calvi On The Rocks de votre choix.</v>
      </c>
      <c r="D132">
        <f>Tokens!F134</f>
        <v>1000</v>
      </c>
      <c r="E132" t="str">
        <f>Tokens!G134</f>
        <v>https://bafybeicordeza5gk2bza3mvxlpkuixf2rl7wnnuldoo222om2i4bxv2oqa.ipfs.nftstorage.link?image_10.png</v>
      </c>
      <c r="F132" t="str">
        <f>Tokens!H134</f>
        <v>NfluenT for Calvi On The rocks</v>
      </c>
      <c r="G132">
        <f>Tokens!I134</f>
        <v>0</v>
      </c>
      <c r="H132" t="str">
        <f>Tokens!J134</f>
        <v>Pass festival</v>
      </c>
      <c r="I132" t="str">
        <f>Tokens!K134</f>
        <v>pour deux(2) personnes</v>
      </c>
      <c r="J132" t="str">
        <f>Tokens!L134</f>
        <v>Edition1</v>
      </c>
      <c r="K132">
        <f>Tokens!M134</f>
        <v>2</v>
      </c>
      <c r="L132" t="str">
        <f>Tokens!N134</f>
        <v>Edition2</v>
      </c>
      <c r="M132">
        <f>Tokens!O134</f>
        <v>2</v>
      </c>
      <c r="N132" t="str">
        <f>Tokens!P134</f>
        <v>Edition3</v>
      </c>
      <c r="O132">
        <f>Tokens!Q134</f>
        <v>2</v>
      </c>
      <c r="P132">
        <f>Tokens!R134</f>
        <v>0</v>
      </c>
      <c r="Q132">
        <f>Tokens!S134</f>
        <v>0</v>
      </c>
      <c r="R132">
        <f>Tokens!T134</f>
        <v>0</v>
      </c>
      <c r="S132">
        <f>Tokens!U134</f>
        <v>0</v>
      </c>
      <c r="T132" t="str">
        <f>Tokens!V134</f>
        <v>Dernière utilisation</v>
      </c>
      <c r="U132">
        <f>Tokens!W134</f>
        <v>0</v>
      </c>
      <c r="V132">
        <f>Tokens!X134</f>
        <v>0</v>
      </c>
      <c r="W132">
        <f>Tokens!Y134</f>
        <v>0</v>
      </c>
      <c r="X132" t="str">
        <f>Tokens!Z134</f>
        <v>avantage1</v>
      </c>
      <c r="Y132" t="str">
        <f>Tokens!AA134</f>
        <v>accès pour deux (2) personnes à un (1) événement partenaire officiel de Calvi on the Rocks</v>
      </c>
      <c r="Z132">
        <f>Tokens!AB134</f>
        <v>0</v>
      </c>
      <c r="AA132">
        <f>Tokens!AC134</f>
        <v>0</v>
      </c>
      <c r="AB132">
        <f>Tokens!AD134</f>
        <v>0</v>
      </c>
      <c r="AC132">
        <f>Tokens!AE134</f>
        <v>0</v>
      </c>
      <c r="AD132">
        <f>Tokens!AF134</f>
        <v>0</v>
      </c>
      <c r="AE132">
        <f>Tokens!AG134</f>
        <v>0</v>
      </c>
      <c r="AF132" t="str">
        <f>Tokens!AH134</f>
        <v>avantage2</v>
      </c>
      <c r="AG132" t="str">
        <f>Tokens!AI134</f>
        <v>accès membre pour les after party officielles pour deux (2) personnes</v>
      </c>
      <c r="AH132" t="str">
        <f>Tokens!AJ134</f>
        <v>avantage3</v>
      </c>
      <c r="AI132" t="str">
        <f>Tokens!AK134</f>
        <v>accès prioritaire et bar dédié (consommation à la charge du festivalier) - tables réservées à l'avance pour les « NFT member » pour deux (2) personnes</v>
      </c>
      <c r="AJ132" t="str">
        <f>Tokens!AL134</f>
        <v>avantage4</v>
      </c>
      <c r="AK132" t="str">
        <f>Tokens!AM134</f>
        <v>1 affiche dédicacée et numérotée</v>
      </c>
      <c r="AL132">
        <f>Tokens!AN134</f>
        <v>0</v>
      </c>
      <c r="AM132">
        <f>Tokens!AO134</f>
        <v>0</v>
      </c>
      <c r="AN132">
        <f>Tokens!AP134</f>
        <v>0</v>
      </c>
      <c r="AO132">
        <f>Tokens!AQ134</f>
        <v>0</v>
      </c>
      <c r="AP132">
        <f>Tokens!AR134</f>
        <v>0</v>
      </c>
      <c r="AQ132">
        <f>Tokens!AS134</f>
        <v>0</v>
      </c>
      <c r="AR132">
        <f>Tokens!AT134</f>
        <v>0</v>
      </c>
      <c r="AS132">
        <f>Tokens!AU134</f>
        <v>0</v>
      </c>
      <c r="AT132" t="str">
        <f>Tokens!AV134</f>
        <v>Validation</v>
      </c>
      <c r="AU132" t="str">
        <f>Tokens!AW134</f>
        <v>https://tokensol.nfluent.io?s=COR22C71&amp;platform=ftx</v>
      </c>
      <c r="AV132" t="str">
        <f>Tokens!AX134</f>
        <v>paul</v>
      </c>
      <c r="AW132">
        <f>Tokens!AY134</f>
        <v>10</v>
      </c>
      <c r="AX132" t="str">
        <f>Tokens!AZ134</f>
        <v>sophie</v>
      </c>
      <c r="AY132">
        <f>Tokens!BA134</f>
        <v>90</v>
      </c>
      <c r="AZ132">
        <f>Tokens!BB134</f>
        <v>0</v>
      </c>
      <c r="BA132">
        <f>Tokens!BC134</f>
        <v>0</v>
      </c>
      <c r="BB132">
        <f>Tokens!BD134</f>
        <v>0</v>
      </c>
      <c r="BC132">
        <f>Tokens!BE134</f>
        <v>0</v>
      </c>
      <c r="BD132">
        <f>Tokens!BF134</f>
        <v>0</v>
      </c>
      <c r="BE132">
        <f>Tokens!BG134</f>
        <v>0</v>
      </c>
      <c r="BF132">
        <f>Tokens!BH134</f>
        <v>0</v>
      </c>
      <c r="BG132">
        <f>Tokens!BI134</f>
        <v>0</v>
      </c>
      <c r="BH132" t="str">
        <f>Tokens!BJ134</f>
        <v>La Porteuse D'Eau</v>
      </c>
      <c r="BI132" t="str">
        <f>Tokens!BK134</f>
        <v>Calvi On The Rocks</v>
      </c>
    </row>
    <row r="133" spans="1:61" x14ac:dyDescent="0.25">
      <c r="A133" t="str">
        <f>Tokens!C135</f>
        <v>La Porteuse D'Eau #72</v>
      </c>
      <c r="B133" t="str">
        <f>Tokens!D135</f>
        <v>COR22C72</v>
      </c>
      <c r="C133" t="str">
        <f>Tokens!E135</f>
        <v>La Porteuse D'Eau, 3 ans - Pass NFT 5 jours pour 2 personnes, valable pour 3 éditions Calvi On The Rocks de votre choix.</v>
      </c>
      <c r="D133">
        <f>Tokens!F135</f>
        <v>1000</v>
      </c>
      <c r="E133" t="str">
        <f>Tokens!G135</f>
        <v>https://bafybeicordeza5gk2bza3mvxlpkuixf2rl7wnnuldoo222om2i4bxv2oqa.ipfs.nftstorage.link?image_10.png</v>
      </c>
      <c r="F133" t="str">
        <f>Tokens!H135</f>
        <v>NfluenT for Calvi On The rocks</v>
      </c>
      <c r="G133">
        <f>Tokens!I135</f>
        <v>0</v>
      </c>
      <c r="H133" t="str">
        <f>Tokens!J135</f>
        <v>Pass festival</v>
      </c>
      <c r="I133" t="str">
        <f>Tokens!K135</f>
        <v>pour deux(2) personnes</v>
      </c>
      <c r="J133" t="str">
        <f>Tokens!L135</f>
        <v>Edition1</v>
      </c>
      <c r="K133">
        <f>Tokens!M135</f>
        <v>2</v>
      </c>
      <c r="L133" t="str">
        <f>Tokens!N135</f>
        <v>Edition2</v>
      </c>
      <c r="M133">
        <f>Tokens!O135</f>
        <v>2</v>
      </c>
      <c r="N133" t="str">
        <f>Tokens!P135</f>
        <v>Edition3</v>
      </c>
      <c r="O133">
        <f>Tokens!Q135</f>
        <v>2</v>
      </c>
      <c r="P133">
        <f>Tokens!R135</f>
        <v>0</v>
      </c>
      <c r="Q133">
        <f>Tokens!S135</f>
        <v>0</v>
      </c>
      <c r="R133">
        <f>Tokens!T135</f>
        <v>0</v>
      </c>
      <c r="S133">
        <f>Tokens!U135</f>
        <v>0</v>
      </c>
      <c r="T133" t="str">
        <f>Tokens!V135</f>
        <v>Dernière utilisation</v>
      </c>
      <c r="U133">
        <f>Tokens!W135</f>
        <v>0</v>
      </c>
      <c r="V133">
        <f>Tokens!X135</f>
        <v>0</v>
      </c>
      <c r="W133">
        <f>Tokens!Y135</f>
        <v>0</v>
      </c>
      <c r="X133" t="str">
        <f>Tokens!Z135</f>
        <v>avantage1</v>
      </c>
      <c r="Y133" t="str">
        <f>Tokens!AA135</f>
        <v>accès pour deux (2) personnes à un (1) événement partenaire officiel de Calvi on the Rocks</v>
      </c>
      <c r="Z133">
        <f>Tokens!AB135</f>
        <v>0</v>
      </c>
      <c r="AA133">
        <f>Tokens!AC135</f>
        <v>0</v>
      </c>
      <c r="AB133">
        <f>Tokens!AD135</f>
        <v>0</v>
      </c>
      <c r="AC133">
        <f>Tokens!AE135</f>
        <v>0</v>
      </c>
      <c r="AD133">
        <f>Tokens!AF135</f>
        <v>0</v>
      </c>
      <c r="AE133">
        <f>Tokens!AG135</f>
        <v>0</v>
      </c>
      <c r="AF133" t="str">
        <f>Tokens!AH135</f>
        <v>avantage2</v>
      </c>
      <c r="AG133" t="str">
        <f>Tokens!AI135</f>
        <v>accès membre pour les after party officielles pour deux (2) personnes</v>
      </c>
      <c r="AH133" t="str">
        <f>Tokens!AJ135</f>
        <v>avantage3</v>
      </c>
      <c r="AI133" t="str">
        <f>Tokens!AK135</f>
        <v>accès prioritaire et bar dédié (consommation à la charge du festivalier) - tables réservées à l'avance pour les « NFT member » pour deux (2) personnes</v>
      </c>
      <c r="AJ133" t="str">
        <f>Tokens!AL135</f>
        <v>avantage4</v>
      </c>
      <c r="AK133" t="str">
        <f>Tokens!AM135</f>
        <v>1 affiche dédicacée et numérotée</v>
      </c>
      <c r="AL133">
        <f>Tokens!AN135</f>
        <v>0</v>
      </c>
      <c r="AM133">
        <f>Tokens!AO135</f>
        <v>0</v>
      </c>
      <c r="AN133">
        <f>Tokens!AP135</f>
        <v>0</v>
      </c>
      <c r="AO133">
        <f>Tokens!AQ135</f>
        <v>0</v>
      </c>
      <c r="AP133">
        <f>Tokens!AR135</f>
        <v>0</v>
      </c>
      <c r="AQ133">
        <f>Tokens!AS135</f>
        <v>0</v>
      </c>
      <c r="AR133">
        <f>Tokens!AT135</f>
        <v>0</v>
      </c>
      <c r="AS133">
        <f>Tokens!AU135</f>
        <v>0</v>
      </c>
      <c r="AT133" t="str">
        <f>Tokens!AV135</f>
        <v>Validation</v>
      </c>
      <c r="AU133" t="str">
        <f>Tokens!AW135</f>
        <v>https://tokensol.nfluent.io?s=COR22C72&amp;platform=ftx</v>
      </c>
      <c r="AV133" t="str">
        <f>Tokens!AX135</f>
        <v>paul</v>
      </c>
      <c r="AW133">
        <f>Tokens!AY135</f>
        <v>10</v>
      </c>
      <c r="AX133" t="str">
        <f>Tokens!AZ135</f>
        <v>sophie</v>
      </c>
      <c r="AY133">
        <f>Tokens!BA135</f>
        <v>90</v>
      </c>
      <c r="AZ133">
        <f>Tokens!BB135</f>
        <v>0</v>
      </c>
      <c r="BA133">
        <f>Tokens!BC135</f>
        <v>0</v>
      </c>
      <c r="BB133">
        <f>Tokens!BD135</f>
        <v>0</v>
      </c>
      <c r="BC133">
        <f>Tokens!BE135</f>
        <v>0</v>
      </c>
      <c r="BD133">
        <f>Tokens!BF135</f>
        <v>0</v>
      </c>
      <c r="BE133">
        <f>Tokens!BG135</f>
        <v>0</v>
      </c>
      <c r="BF133">
        <f>Tokens!BH135</f>
        <v>0</v>
      </c>
      <c r="BG133">
        <f>Tokens!BI135</f>
        <v>0</v>
      </c>
      <c r="BH133" t="str">
        <f>Tokens!BJ135</f>
        <v>La Porteuse D'Eau</v>
      </c>
      <c r="BI133" t="str">
        <f>Tokens!BK135</f>
        <v>Calvi On The Rocks</v>
      </c>
    </row>
    <row r="134" spans="1:61" x14ac:dyDescent="0.25">
      <c r="A134" t="str">
        <f>Tokens!C136</f>
        <v>La Porteuse D'Eau #73</v>
      </c>
      <c r="B134" t="str">
        <f>Tokens!D136</f>
        <v>COR22C73</v>
      </c>
      <c r="C134" t="str">
        <f>Tokens!E136</f>
        <v>La Porteuse D'Eau, 3 ans - Pass NFT 5 jours pour 2 personnes, valable pour 3 éditions Calvi On The Rocks de votre choix.</v>
      </c>
      <c r="D134">
        <f>Tokens!F136</f>
        <v>1000</v>
      </c>
      <c r="E134" t="str">
        <f>Tokens!G136</f>
        <v>https://bafybeicordeza5gk2bza3mvxlpkuixf2rl7wnnuldoo222om2i4bxv2oqa.ipfs.nftstorage.link?image_10.png</v>
      </c>
      <c r="F134" t="str">
        <f>Tokens!H136</f>
        <v>NfluenT for Calvi On The rocks</v>
      </c>
      <c r="G134">
        <f>Tokens!I136</f>
        <v>0</v>
      </c>
      <c r="H134" t="str">
        <f>Tokens!J136</f>
        <v>Pass festival</v>
      </c>
      <c r="I134" t="str">
        <f>Tokens!K136</f>
        <v>pour deux(2) personnes</v>
      </c>
      <c r="J134" t="str">
        <f>Tokens!L136</f>
        <v>Edition1</v>
      </c>
      <c r="K134">
        <f>Tokens!M136</f>
        <v>2</v>
      </c>
      <c r="L134" t="str">
        <f>Tokens!N136</f>
        <v>Edition2</v>
      </c>
      <c r="M134">
        <f>Tokens!O136</f>
        <v>2</v>
      </c>
      <c r="N134" t="str">
        <f>Tokens!P136</f>
        <v>Edition3</v>
      </c>
      <c r="O134">
        <f>Tokens!Q136</f>
        <v>2</v>
      </c>
      <c r="P134">
        <f>Tokens!R136</f>
        <v>0</v>
      </c>
      <c r="Q134">
        <f>Tokens!S136</f>
        <v>0</v>
      </c>
      <c r="R134">
        <f>Tokens!T136</f>
        <v>0</v>
      </c>
      <c r="S134">
        <f>Tokens!U136</f>
        <v>0</v>
      </c>
      <c r="T134" t="str">
        <f>Tokens!V136</f>
        <v>Dernière utilisation</v>
      </c>
      <c r="U134">
        <f>Tokens!W136</f>
        <v>0</v>
      </c>
      <c r="V134">
        <f>Tokens!X136</f>
        <v>0</v>
      </c>
      <c r="W134">
        <f>Tokens!Y136</f>
        <v>0</v>
      </c>
      <c r="X134" t="str">
        <f>Tokens!Z136</f>
        <v>avantage1</v>
      </c>
      <c r="Y134" t="str">
        <f>Tokens!AA136</f>
        <v>accès pour deux (2) personnes à un (1) événement partenaire officiel de Calvi on the Rocks</v>
      </c>
      <c r="Z134">
        <f>Tokens!AB136</f>
        <v>0</v>
      </c>
      <c r="AA134">
        <f>Tokens!AC136</f>
        <v>0</v>
      </c>
      <c r="AB134">
        <f>Tokens!AD136</f>
        <v>0</v>
      </c>
      <c r="AC134">
        <f>Tokens!AE136</f>
        <v>0</v>
      </c>
      <c r="AD134">
        <f>Tokens!AF136</f>
        <v>0</v>
      </c>
      <c r="AE134">
        <f>Tokens!AG136</f>
        <v>0</v>
      </c>
      <c r="AF134" t="str">
        <f>Tokens!AH136</f>
        <v>avantage2</v>
      </c>
      <c r="AG134" t="str">
        <f>Tokens!AI136</f>
        <v>accès membre pour les after party officielles pour deux (2) personnes</v>
      </c>
      <c r="AH134" t="str">
        <f>Tokens!AJ136</f>
        <v>avantage3</v>
      </c>
      <c r="AI134" t="str">
        <f>Tokens!AK136</f>
        <v>accès prioritaire et bar dédié (consommation à la charge du festivalier) - tables réservées à l'avance pour les « NFT member » pour deux (2) personnes</v>
      </c>
      <c r="AJ134" t="str">
        <f>Tokens!AL136</f>
        <v>avantage4</v>
      </c>
      <c r="AK134" t="str">
        <f>Tokens!AM136</f>
        <v>1 affiche dédicacée et numérotée</v>
      </c>
      <c r="AL134">
        <f>Tokens!AN136</f>
        <v>0</v>
      </c>
      <c r="AM134">
        <f>Tokens!AO136</f>
        <v>0</v>
      </c>
      <c r="AN134">
        <f>Tokens!AP136</f>
        <v>0</v>
      </c>
      <c r="AO134">
        <f>Tokens!AQ136</f>
        <v>0</v>
      </c>
      <c r="AP134">
        <f>Tokens!AR136</f>
        <v>0</v>
      </c>
      <c r="AQ134">
        <f>Tokens!AS136</f>
        <v>0</v>
      </c>
      <c r="AR134">
        <f>Tokens!AT136</f>
        <v>0</v>
      </c>
      <c r="AS134">
        <f>Tokens!AU136</f>
        <v>0</v>
      </c>
      <c r="AT134" t="str">
        <f>Tokens!AV136</f>
        <v>Validation</v>
      </c>
      <c r="AU134" t="str">
        <f>Tokens!AW136</f>
        <v>https://tokensol.nfluent.io?s=COR22C73&amp;platform=ftx</v>
      </c>
      <c r="AV134" t="str">
        <f>Tokens!AX136</f>
        <v>paul</v>
      </c>
      <c r="AW134">
        <f>Tokens!AY136</f>
        <v>10</v>
      </c>
      <c r="AX134" t="str">
        <f>Tokens!AZ136</f>
        <v>sophie</v>
      </c>
      <c r="AY134">
        <f>Tokens!BA136</f>
        <v>90</v>
      </c>
      <c r="AZ134">
        <f>Tokens!BB136</f>
        <v>0</v>
      </c>
      <c r="BA134">
        <f>Tokens!BC136</f>
        <v>0</v>
      </c>
      <c r="BB134">
        <f>Tokens!BD136</f>
        <v>0</v>
      </c>
      <c r="BC134">
        <f>Tokens!BE136</f>
        <v>0</v>
      </c>
      <c r="BD134">
        <f>Tokens!BF136</f>
        <v>0</v>
      </c>
      <c r="BE134">
        <f>Tokens!BG136</f>
        <v>0</v>
      </c>
      <c r="BF134">
        <f>Tokens!BH136</f>
        <v>0</v>
      </c>
      <c r="BG134">
        <f>Tokens!BI136</f>
        <v>0</v>
      </c>
      <c r="BH134" t="str">
        <f>Tokens!BJ136</f>
        <v>La Porteuse D'Eau</v>
      </c>
      <c r="BI134" t="str">
        <f>Tokens!BK136</f>
        <v>Calvi On The Rocks</v>
      </c>
    </row>
    <row r="135" spans="1:61" x14ac:dyDescent="0.25">
      <c r="A135" t="str">
        <f>Tokens!C137</f>
        <v>La Porteuse D'Eau #74</v>
      </c>
      <c r="B135" t="str">
        <f>Tokens!D137</f>
        <v>COR22C74</v>
      </c>
      <c r="C135" t="str">
        <f>Tokens!E137</f>
        <v>La Porteuse D'Eau, 3 ans - Pass NFT 5 jours pour 2 personnes, valable pour 3 éditions Calvi On The Rocks de votre choix.</v>
      </c>
      <c r="D135">
        <f>Tokens!F137</f>
        <v>1000</v>
      </c>
      <c r="E135" t="str">
        <f>Tokens!G137</f>
        <v>https://bafybeicordeza5gk2bza3mvxlpkuixf2rl7wnnuldoo222om2i4bxv2oqa.ipfs.nftstorage.link?image_10.png</v>
      </c>
      <c r="F135" t="str">
        <f>Tokens!H137</f>
        <v>NfluenT for Calvi On The rocks</v>
      </c>
      <c r="G135">
        <f>Tokens!I137</f>
        <v>0</v>
      </c>
      <c r="H135" t="str">
        <f>Tokens!J137</f>
        <v>Pass festival</v>
      </c>
      <c r="I135" t="str">
        <f>Tokens!K137</f>
        <v>pour deux(2) personnes</v>
      </c>
      <c r="J135" t="str">
        <f>Tokens!L137</f>
        <v>Edition1</v>
      </c>
      <c r="K135">
        <f>Tokens!M137</f>
        <v>2</v>
      </c>
      <c r="L135" t="str">
        <f>Tokens!N137</f>
        <v>Edition2</v>
      </c>
      <c r="M135">
        <f>Tokens!O137</f>
        <v>2</v>
      </c>
      <c r="N135" t="str">
        <f>Tokens!P137</f>
        <v>Edition3</v>
      </c>
      <c r="O135">
        <f>Tokens!Q137</f>
        <v>2</v>
      </c>
      <c r="P135">
        <f>Tokens!R137</f>
        <v>0</v>
      </c>
      <c r="Q135">
        <f>Tokens!S137</f>
        <v>0</v>
      </c>
      <c r="R135">
        <f>Tokens!T137</f>
        <v>0</v>
      </c>
      <c r="S135">
        <f>Tokens!U137</f>
        <v>0</v>
      </c>
      <c r="T135" t="str">
        <f>Tokens!V137</f>
        <v>Dernière utilisation</v>
      </c>
      <c r="U135">
        <f>Tokens!W137</f>
        <v>0</v>
      </c>
      <c r="V135">
        <f>Tokens!X137</f>
        <v>0</v>
      </c>
      <c r="W135">
        <f>Tokens!Y137</f>
        <v>0</v>
      </c>
      <c r="X135" t="str">
        <f>Tokens!Z137</f>
        <v>avantage1</v>
      </c>
      <c r="Y135" t="str">
        <f>Tokens!AA137</f>
        <v>accès pour deux (2) personnes à un (1) événement partenaire officiel de Calvi on the Rocks</v>
      </c>
      <c r="Z135">
        <f>Tokens!AB137</f>
        <v>0</v>
      </c>
      <c r="AA135">
        <f>Tokens!AC137</f>
        <v>0</v>
      </c>
      <c r="AB135">
        <f>Tokens!AD137</f>
        <v>0</v>
      </c>
      <c r="AC135">
        <f>Tokens!AE137</f>
        <v>0</v>
      </c>
      <c r="AD135">
        <f>Tokens!AF137</f>
        <v>0</v>
      </c>
      <c r="AE135">
        <f>Tokens!AG137</f>
        <v>0</v>
      </c>
      <c r="AF135" t="str">
        <f>Tokens!AH137</f>
        <v>avantage2</v>
      </c>
      <c r="AG135" t="str">
        <f>Tokens!AI137</f>
        <v>accès membre pour les after party officielles pour deux (2) personnes</v>
      </c>
      <c r="AH135" t="str">
        <f>Tokens!AJ137</f>
        <v>avantage3</v>
      </c>
      <c r="AI135" t="str">
        <f>Tokens!AK137</f>
        <v>accès prioritaire et bar dédié (consommation à la charge du festivalier) - tables réservées à l'avance pour les « NFT member » pour deux (2) personnes</v>
      </c>
      <c r="AJ135" t="str">
        <f>Tokens!AL137</f>
        <v>avantage4</v>
      </c>
      <c r="AK135" t="str">
        <f>Tokens!AM137</f>
        <v>1 affiche dédicacée et numérotée</v>
      </c>
      <c r="AL135">
        <f>Tokens!AN137</f>
        <v>0</v>
      </c>
      <c r="AM135">
        <f>Tokens!AO137</f>
        <v>0</v>
      </c>
      <c r="AN135">
        <f>Tokens!AP137</f>
        <v>0</v>
      </c>
      <c r="AO135">
        <f>Tokens!AQ137</f>
        <v>0</v>
      </c>
      <c r="AP135">
        <f>Tokens!AR137</f>
        <v>0</v>
      </c>
      <c r="AQ135">
        <f>Tokens!AS137</f>
        <v>0</v>
      </c>
      <c r="AR135">
        <f>Tokens!AT137</f>
        <v>0</v>
      </c>
      <c r="AS135">
        <f>Tokens!AU137</f>
        <v>0</v>
      </c>
      <c r="AT135" t="str">
        <f>Tokens!AV137</f>
        <v>Validation</v>
      </c>
      <c r="AU135" t="str">
        <f>Tokens!AW137</f>
        <v>https://tokensol.nfluent.io?s=COR22C74&amp;platform=ftx</v>
      </c>
      <c r="AV135" t="str">
        <f>Tokens!AX137</f>
        <v>paul</v>
      </c>
      <c r="AW135">
        <f>Tokens!AY137</f>
        <v>10</v>
      </c>
      <c r="AX135" t="str">
        <f>Tokens!AZ137</f>
        <v>sophie</v>
      </c>
      <c r="AY135">
        <f>Tokens!BA137</f>
        <v>90</v>
      </c>
      <c r="AZ135">
        <f>Tokens!BB137</f>
        <v>0</v>
      </c>
      <c r="BA135">
        <f>Tokens!BC137</f>
        <v>0</v>
      </c>
      <c r="BB135">
        <f>Tokens!BD137</f>
        <v>0</v>
      </c>
      <c r="BC135">
        <f>Tokens!BE137</f>
        <v>0</v>
      </c>
      <c r="BD135">
        <f>Tokens!BF137</f>
        <v>0</v>
      </c>
      <c r="BE135">
        <f>Tokens!BG137</f>
        <v>0</v>
      </c>
      <c r="BF135">
        <f>Tokens!BH137</f>
        <v>0</v>
      </c>
      <c r="BG135">
        <f>Tokens!BI137</f>
        <v>0</v>
      </c>
      <c r="BH135" t="str">
        <f>Tokens!BJ137</f>
        <v>La Porteuse D'Eau</v>
      </c>
      <c r="BI135" t="str">
        <f>Tokens!BK137</f>
        <v>Calvi On The Rocks</v>
      </c>
    </row>
    <row r="136" spans="1:61" x14ac:dyDescent="0.25">
      <c r="A136" t="str">
        <f>Tokens!C138</f>
        <v>La Porteuse D'Eau #75</v>
      </c>
      <c r="B136" t="str">
        <f>Tokens!D138</f>
        <v>COR22C75</v>
      </c>
      <c r="C136" t="str">
        <f>Tokens!E138</f>
        <v>La Porteuse D'Eau, 3 ans - Pass NFT 5 jours pour 2 personnes, valable pour 3 éditions Calvi On The Rocks de votre choix.</v>
      </c>
      <c r="D136">
        <f>Tokens!F138</f>
        <v>1000</v>
      </c>
      <c r="E136" t="str">
        <f>Tokens!G138</f>
        <v>https://bafybeicordeza5gk2bza3mvxlpkuixf2rl7wnnuldoo222om2i4bxv2oqa.ipfs.nftstorage.link?image_10.png</v>
      </c>
      <c r="F136" t="str">
        <f>Tokens!H138</f>
        <v>NfluenT for Calvi On The rocks</v>
      </c>
      <c r="G136">
        <f>Tokens!I138</f>
        <v>0</v>
      </c>
      <c r="H136" t="str">
        <f>Tokens!J138</f>
        <v>Pass festival</v>
      </c>
      <c r="I136" t="str">
        <f>Tokens!K138</f>
        <v>pour deux(2) personnes</v>
      </c>
      <c r="J136" t="str">
        <f>Tokens!L138</f>
        <v>Edition1</v>
      </c>
      <c r="K136">
        <f>Tokens!M138</f>
        <v>2</v>
      </c>
      <c r="L136" t="str">
        <f>Tokens!N138</f>
        <v>Edition2</v>
      </c>
      <c r="M136">
        <f>Tokens!O138</f>
        <v>2</v>
      </c>
      <c r="N136" t="str">
        <f>Tokens!P138</f>
        <v>Edition3</v>
      </c>
      <c r="O136">
        <f>Tokens!Q138</f>
        <v>2</v>
      </c>
      <c r="P136">
        <f>Tokens!R138</f>
        <v>0</v>
      </c>
      <c r="Q136">
        <f>Tokens!S138</f>
        <v>0</v>
      </c>
      <c r="R136">
        <f>Tokens!T138</f>
        <v>0</v>
      </c>
      <c r="S136">
        <f>Tokens!U138</f>
        <v>0</v>
      </c>
      <c r="T136" t="str">
        <f>Tokens!V138</f>
        <v>Dernière utilisation</v>
      </c>
      <c r="U136">
        <f>Tokens!W138</f>
        <v>0</v>
      </c>
      <c r="V136">
        <f>Tokens!X138</f>
        <v>0</v>
      </c>
      <c r="W136">
        <f>Tokens!Y138</f>
        <v>0</v>
      </c>
      <c r="X136" t="str">
        <f>Tokens!Z138</f>
        <v>avantage1</v>
      </c>
      <c r="Y136" t="str">
        <f>Tokens!AA138</f>
        <v>accès pour deux (2) personnes à un (1) événement partenaire officiel de Calvi on the Rocks</v>
      </c>
      <c r="Z136">
        <f>Tokens!AB138</f>
        <v>0</v>
      </c>
      <c r="AA136">
        <f>Tokens!AC138</f>
        <v>0</v>
      </c>
      <c r="AB136">
        <f>Tokens!AD138</f>
        <v>0</v>
      </c>
      <c r="AC136">
        <f>Tokens!AE138</f>
        <v>0</v>
      </c>
      <c r="AD136">
        <f>Tokens!AF138</f>
        <v>0</v>
      </c>
      <c r="AE136">
        <f>Tokens!AG138</f>
        <v>0</v>
      </c>
      <c r="AF136" t="str">
        <f>Tokens!AH138</f>
        <v>avantage2</v>
      </c>
      <c r="AG136" t="str">
        <f>Tokens!AI138</f>
        <v>accès membre pour les after party officielles pour deux (2) personnes</v>
      </c>
      <c r="AH136" t="str">
        <f>Tokens!AJ138</f>
        <v>avantage3</v>
      </c>
      <c r="AI136" t="str">
        <f>Tokens!AK138</f>
        <v>accès prioritaire et bar dédié (consommation à la charge du festivalier) - tables réservées à l'avance pour les « NFT member » pour deux (2) personnes</v>
      </c>
      <c r="AJ136" t="str">
        <f>Tokens!AL138</f>
        <v>avantage4</v>
      </c>
      <c r="AK136" t="str">
        <f>Tokens!AM138</f>
        <v>1 affiche dédicacée et numérotée</v>
      </c>
      <c r="AL136">
        <f>Tokens!AN138</f>
        <v>0</v>
      </c>
      <c r="AM136">
        <f>Tokens!AO138</f>
        <v>0</v>
      </c>
      <c r="AN136">
        <f>Tokens!AP138</f>
        <v>0</v>
      </c>
      <c r="AO136">
        <f>Tokens!AQ138</f>
        <v>0</v>
      </c>
      <c r="AP136">
        <f>Tokens!AR138</f>
        <v>0</v>
      </c>
      <c r="AQ136">
        <f>Tokens!AS138</f>
        <v>0</v>
      </c>
      <c r="AR136">
        <f>Tokens!AT138</f>
        <v>0</v>
      </c>
      <c r="AS136">
        <f>Tokens!AU138</f>
        <v>0</v>
      </c>
      <c r="AT136" t="str">
        <f>Tokens!AV138</f>
        <v>Validation</v>
      </c>
      <c r="AU136" t="str">
        <f>Tokens!AW138</f>
        <v>https://tokensol.nfluent.io?s=COR22C75&amp;platform=ftx</v>
      </c>
      <c r="AV136" t="str">
        <f>Tokens!AX138</f>
        <v>paul</v>
      </c>
      <c r="AW136">
        <f>Tokens!AY138</f>
        <v>10</v>
      </c>
      <c r="AX136" t="str">
        <f>Tokens!AZ138</f>
        <v>sophie</v>
      </c>
      <c r="AY136">
        <f>Tokens!BA138</f>
        <v>90</v>
      </c>
      <c r="AZ136">
        <f>Tokens!BB138</f>
        <v>0</v>
      </c>
      <c r="BA136">
        <f>Tokens!BC138</f>
        <v>0</v>
      </c>
      <c r="BB136">
        <f>Tokens!BD138</f>
        <v>0</v>
      </c>
      <c r="BC136">
        <f>Tokens!BE138</f>
        <v>0</v>
      </c>
      <c r="BD136">
        <f>Tokens!BF138</f>
        <v>0</v>
      </c>
      <c r="BE136">
        <f>Tokens!BG138</f>
        <v>0</v>
      </c>
      <c r="BF136">
        <f>Tokens!BH138</f>
        <v>0</v>
      </c>
      <c r="BG136">
        <f>Tokens!BI138</f>
        <v>0</v>
      </c>
      <c r="BH136" t="str">
        <f>Tokens!BJ138</f>
        <v>La Porteuse D'Eau</v>
      </c>
      <c r="BI136" t="str">
        <f>Tokens!BK138</f>
        <v>Calvi On The Rocks</v>
      </c>
    </row>
    <row r="137" spans="1:61" x14ac:dyDescent="0.25">
      <c r="A137" t="str">
        <f>Tokens!C139</f>
        <v>La Porteuse D'Eau #76</v>
      </c>
      <c r="B137" t="str">
        <f>Tokens!D139</f>
        <v>COR22C76</v>
      </c>
      <c r="C137" t="str">
        <f>Tokens!E139</f>
        <v>La Porteuse D'Eau, 3 ans - Pass NFT 5 jours pour 2 personnes, valable pour 3 éditions Calvi On The Rocks de votre choix.</v>
      </c>
      <c r="D137">
        <f>Tokens!F139</f>
        <v>1000</v>
      </c>
      <c r="E137" t="str">
        <f>Tokens!G139</f>
        <v>https://bafybeicordeza5gk2bza3mvxlpkuixf2rl7wnnuldoo222om2i4bxv2oqa.ipfs.nftstorage.link?image_10.png</v>
      </c>
      <c r="F137" t="str">
        <f>Tokens!H139</f>
        <v>NfluenT for Calvi On The rocks</v>
      </c>
      <c r="G137">
        <f>Tokens!I139</f>
        <v>0</v>
      </c>
      <c r="H137" t="str">
        <f>Tokens!J139</f>
        <v>Pass festival</v>
      </c>
      <c r="I137" t="str">
        <f>Tokens!K139</f>
        <v>pour deux(2) personnes</v>
      </c>
      <c r="J137" t="str">
        <f>Tokens!L139</f>
        <v>Edition1</v>
      </c>
      <c r="K137">
        <f>Tokens!M139</f>
        <v>2</v>
      </c>
      <c r="L137" t="str">
        <f>Tokens!N139</f>
        <v>Edition2</v>
      </c>
      <c r="M137">
        <f>Tokens!O139</f>
        <v>2</v>
      </c>
      <c r="N137" t="str">
        <f>Tokens!P139</f>
        <v>Edition3</v>
      </c>
      <c r="O137">
        <f>Tokens!Q139</f>
        <v>2</v>
      </c>
      <c r="P137">
        <f>Tokens!R139</f>
        <v>0</v>
      </c>
      <c r="Q137">
        <f>Tokens!S139</f>
        <v>0</v>
      </c>
      <c r="R137">
        <f>Tokens!T139</f>
        <v>0</v>
      </c>
      <c r="S137">
        <f>Tokens!U139</f>
        <v>0</v>
      </c>
      <c r="T137" t="str">
        <f>Tokens!V139</f>
        <v>Dernière utilisation</v>
      </c>
      <c r="U137">
        <f>Tokens!W139</f>
        <v>0</v>
      </c>
      <c r="V137">
        <f>Tokens!X139</f>
        <v>0</v>
      </c>
      <c r="W137">
        <f>Tokens!Y139</f>
        <v>0</v>
      </c>
      <c r="X137" t="str">
        <f>Tokens!Z139</f>
        <v>avantage1</v>
      </c>
      <c r="Y137" t="str">
        <f>Tokens!AA139</f>
        <v>accès pour deux (2) personnes à un (1) événement partenaire officiel de Calvi on the Rocks</v>
      </c>
      <c r="Z137">
        <f>Tokens!AB139</f>
        <v>0</v>
      </c>
      <c r="AA137">
        <f>Tokens!AC139</f>
        <v>0</v>
      </c>
      <c r="AB137">
        <f>Tokens!AD139</f>
        <v>0</v>
      </c>
      <c r="AC137">
        <f>Tokens!AE139</f>
        <v>0</v>
      </c>
      <c r="AD137">
        <f>Tokens!AF139</f>
        <v>0</v>
      </c>
      <c r="AE137">
        <f>Tokens!AG139</f>
        <v>0</v>
      </c>
      <c r="AF137" t="str">
        <f>Tokens!AH139</f>
        <v>avantage2</v>
      </c>
      <c r="AG137" t="str">
        <f>Tokens!AI139</f>
        <v>accès membre pour les after party officielles pour deux (2) personnes</v>
      </c>
      <c r="AH137" t="str">
        <f>Tokens!AJ139</f>
        <v>avantage3</v>
      </c>
      <c r="AI137" t="str">
        <f>Tokens!AK139</f>
        <v>accès prioritaire et bar dédié (consommation à la charge du festivalier) - tables réservées à l'avance pour les « NFT member » pour deux (2) personnes</v>
      </c>
      <c r="AJ137" t="str">
        <f>Tokens!AL139</f>
        <v>avantage4</v>
      </c>
      <c r="AK137" t="str">
        <f>Tokens!AM139</f>
        <v>1 affiche dédicacée et numérotée</v>
      </c>
      <c r="AL137">
        <f>Tokens!AN139</f>
        <v>0</v>
      </c>
      <c r="AM137">
        <f>Tokens!AO139</f>
        <v>0</v>
      </c>
      <c r="AN137">
        <f>Tokens!AP139</f>
        <v>0</v>
      </c>
      <c r="AO137">
        <f>Tokens!AQ139</f>
        <v>0</v>
      </c>
      <c r="AP137">
        <f>Tokens!AR139</f>
        <v>0</v>
      </c>
      <c r="AQ137">
        <f>Tokens!AS139</f>
        <v>0</v>
      </c>
      <c r="AR137">
        <f>Tokens!AT139</f>
        <v>0</v>
      </c>
      <c r="AS137">
        <f>Tokens!AU139</f>
        <v>0</v>
      </c>
      <c r="AT137" t="str">
        <f>Tokens!AV139</f>
        <v>Validation</v>
      </c>
      <c r="AU137" t="str">
        <f>Tokens!AW139</f>
        <v>https://tokensol.nfluent.io?s=COR22C76&amp;platform=ftx</v>
      </c>
      <c r="AV137" t="str">
        <f>Tokens!AX139</f>
        <v>paul</v>
      </c>
      <c r="AW137">
        <f>Tokens!AY139</f>
        <v>10</v>
      </c>
      <c r="AX137" t="str">
        <f>Tokens!AZ139</f>
        <v>sophie</v>
      </c>
      <c r="AY137">
        <f>Tokens!BA139</f>
        <v>90</v>
      </c>
      <c r="AZ137">
        <f>Tokens!BB139</f>
        <v>0</v>
      </c>
      <c r="BA137">
        <f>Tokens!BC139</f>
        <v>0</v>
      </c>
      <c r="BB137">
        <f>Tokens!BD139</f>
        <v>0</v>
      </c>
      <c r="BC137">
        <f>Tokens!BE139</f>
        <v>0</v>
      </c>
      <c r="BD137">
        <f>Tokens!BF139</f>
        <v>0</v>
      </c>
      <c r="BE137">
        <f>Tokens!BG139</f>
        <v>0</v>
      </c>
      <c r="BF137">
        <f>Tokens!BH139</f>
        <v>0</v>
      </c>
      <c r="BG137">
        <f>Tokens!BI139</f>
        <v>0</v>
      </c>
      <c r="BH137" t="str">
        <f>Tokens!BJ139</f>
        <v>La Porteuse D'Eau</v>
      </c>
      <c r="BI137" t="str">
        <f>Tokens!BK139</f>
        <v>Calvi On The Rocks</v>
      </c>
    </row>
    <row r="138" spans="1:61" x14ac:dyDescent="0.25">
      <c r="A138" t="str">
        <f>Tokens!C140</f>
        <v>La Porteuse D'Eau #77</v>
      </c>
      <c r="B138" t="str">
        <f>Tokens!D140</f>
        <v>COR22C77</v>
      </c>
      <c r="C138" t="str">
        <f>Tokens!E140</f>
        <v>La Porteuse D'Eau, 3 ans - Pass NFT 5 jours pour 2 personnes, valable pour 3 éditions Calvi On The Rocks de votre choix.</v>
      </c>
      <c r="D138">
        <f>Tokens!F140</f>
        <v>1000</v>
      </c>
      <c r="E138" t="str">
        <f>Tokens!G140</f>
        <v>https://bafybeicordeza5gk2bza3mvxlpkuixf2rl7wnnuldoo222om2i4bxv2oqa.ipfs.nftstorage.link?image_10.png</v>
      </c>
      <c r="F138" t="str">
        <f>Tokens!H140</f>
        <v>NfluenT for Calvi On The rocks</v>
      </c>
      <c r="G138">
        <f>Tokens!I140</f>
        <v>0</v>
      </c>
      <c r="H138" t="str">
        <f>Tokens!J140</f>
        <v>Pass festival</v>
      </c>
      <c r="I138" t="str">
        <f>Tokens!K140</f>
        <v>pour deux(2) personnes</v>
      </c>
      <c r="J138" t="str">
        <f>Tokens!L140</f>
        <v>Edition1</v>
      </c>
      <c r="K138">
        <f>Tokens!M140</f>
        <v>2</v>
      </c>
      <c r="L138" t="str">
        <f>Tokens!N140</f>
        <v>Edition2</v>
      </c>
      <c r="M138">
        <f>Tokens!O140</f>
        <v>2</v>
      </c>
      <c r="N138" t="str">
        <f>Tokens!P140</f>
        <v>Edition3</v>
      </c>
      <c r="O138">
        <f>Tokens!Q140</f>
        <v>2</v>
      </c>
      <c r="P138">
        <f>Tokens!R140</f>
        <v>0</v>
      </c>
      <c r="Q138">
        <f>Tokens!S140</f>
        <v>0</v>
      </c>
      <c r="R138">
        <f>Tokens!T140</f>
        <v>0</v>
      </c>
      <c r="S138">
        <f>Tokens!U140</f>
        <v>0</v>
      </c>
      <c r="T138" t="str">
        <f>Tokens!V140</f>
        <v>Dernière utilisation</v>
      </c>
      <c r="U138">
        <f>Tokens!W140</f>
        <v>0</v>
      </c>
      <c r="V138">
        <f>Tokens!X140</f>
        <v>0</v>
      </c>
      <c r="W138">
        <f>Tokens!Y140</f>
        <v>0</v>
      </c>
      <c r="X138" t="str">
        <f>Tokens!Z140</f>
        <v>avantage1</v>
      </c>
      <c r="Y138" t="str">
        <f>Tokens!AA140</f>
        <v>accès pour deux (2) personnes à un (1) événement partenaire officiel de Calvi on the Rocks</v>
      </c>
      <c r="Z138">
        <f>Tokens!AB140</f>
        <v>0</v>
      </c>
      <c r="AA138">
        <f>Tokens!AC140</f>
        <v>0</v>
      </c>
      <c r="AB138">
        <f>Tokens!AD140</f>
        <v>0</v>
      </c>
      <c r="AC138">
        <f>Tokens!AE140</f>
        <v>0</v>
      </c>
      <c r="AD138">
        <f>Tokens!AF140</f>
        <v>0</v>
      </c>
      <c r="AE138">
        <f>Tokens!AG140</f>
        <v>0</v>
      </c>
      <c r="AF138" t="str">
        <f>Tokens!AH140</f>
        <v>avantage2</v>
      </c>
      <c r="AG138" t="str">
        <f>Tokens!AI140</f>
        <v>accès membre pour les after party officielles pour deux (2) personnes</v>
      </c>
      <c r="AH138" t="str">
        <f>Tokens!AJ140</f>
        <v>avantage3</v>
      </c>
      <c r="AI138" t="str">
        <f>Tokens!AK140</f>
        <v>accès prioritaire et bar dédié (consommation à la charge du festivalier) - tables réservées à l'avance pour les « NFT member » pour deux (2) personnes</v>
      </c>
      <c r="AJ138" t="str">
        <f>Tokens!AL140</f>
        <v>avantage4</v>
      </c>
      <c r="AK138" t="str">
        <f>Tokens!AM140</f>
        <v>1 affiche dédicacée et numérotée</v>
      </c>
      <c r="AL138">
        <f>Tokens!AN140</f>
        <v>0</v>
      </c>
      <c r="AM138">
        <f>Tokens!AO140</f>
        <v>0</v>
      </c>
      <c r="AN138">
        <f>Tokens!AP140</f>
        <v>0</v>
      </c>
      <c r="AO138">
        <f>Tokens!AQ140</f>
        <v>0</v>
      </c>
      <c r="AP138">
        <f>Tokens!AR140</f>
        <v>0</v>
      </c>
      <c r="AQ138">
        <f>Tokens!AS140</f>
        <v>0</v>
      </c>
      <c r="AR138">
        <f>Tokens!AT140</f>
        <v>0</v>
      </c>
      <c r="AS138">
        <f>Tokens!AU140</f>
        <v>0</v>
      </c>
      <c r="AT138" t="str">
        <f>Tokens!AV140</f>
        <v>Validation</v>
      </c>
      <c r="AU138" t="str">
        <f>Tokens!AW140</f>
        <v>https://tokensol.nfluent.io?s=COR22C77&amp;platform=ftx</v>
      </c>
      <c r="AV138" t="str">
        <f>Tokens!AX140</f>
        <v>paul</v>
      </c>
      <c r="AW138">
        <f>Tokens!AY140</f>
        <v>10</v>
      </c>
      <c r="AX138" t="str">
        <f>Tokens!AZ140</f>
        <v>sophie</v>
      </c>
      <c r="AY138">
        <f>Tokens!BA140</f>
        <v>90</v>
      </c>
      <c r="AZ138">
        <f>Tokens!BB140</f>
        <v>0</v>
      </c>
      <c r="BA138">
        <f>Tokens!BC140</f>
        <v>0</v>
      </c>
      <c r="BB138">
        <f>Tokens!BD140</f>
        <v>0</v>
      </c>
      <c r="BC138">
        <f>Tokens!BE140</f>
        <v>0</v>
      </c>
      <c r="BD138">
        <f>Tokens!BF140</f>
        <v>0</v>
      </c>
      <c r="BE138">
        <f>Tokens!BG140</f>
        <v>0</v>
      </c>
      <c r="BF138">
        <f>Tokens!BH140</f>
        <v>0</v>
      </c>
      <c r="BG138">
        <f>Tokens!BI140</f>
        <v>0</v>
      </c>
      <c r="BH138" t="str">
        <f>Tokens!BJ140</f>
        <v>La Porteuse D'Eau</v>
      </c>
      <c r="BI138" t="str">
        <f>Tokens!BK140</f>
        <v>Calvi On The Rocks</v>
      </c>
    </row>
    <row r="139" spans="1:61" x14ac:dyDescent="0.25">
      <c r="A139" t="str">
        <f>Tokens!C141</f>
        <v>La Porteuse D'Eau #78</v>
      </c>
      <c r="B139" t="str">
        <f>Tokens!D141</f>
        <v>COR22C78</v>
      </c>
      <c r="C139" t="str">
        <f>Tokens!E141</f>
        <v>La Porteuse D'Eau, 3 ans - Pass NFT 5 jours pour 2 personnes, valable pour 3 éditions Calvi On The Rocks de votre choix.</v>
      </c>
      <c r="D139">
        <f>Tokens!F141</f>
        <v>1000</v>
      </c>
      <c r="E139" t="str">
        <f>Tokens!G141</f>
        <v>https://bafybeicordeza5gk2bza3mvxlpkuixf2rl7wnnuldoo222om2i4bxv2oqa.ipfs.nftstorage.link?image_10.png</v>
      </c>
      <c r="F139" t="str">
        <f>Tokens!H141</f>
        <v>NfluenT for Calvi On The rocks</v>
      </c>
      <c r="G139">
        <f>Tokens!I141</f>
        <v>0</v>
      </c>
      <c r="H139" t="str">
        <f>Tokens!J141</f>
        <v>Pass festival</v>
      </c>
      <c r="I139" t="str">
        <f>Tokens!K141</f>
        <v>pour deux(2) personnes</v>
      </c>
      <c r="J139" t="str">
        <f>Tokens!L141</f>
        <v>Edition1</v>
      </c>
      <c r="K139">
        <f>Tokens!M141</f>
        <v>2</v>
      </c>
      <c r="L139" t="str">
        <f>Tokens!N141</f>
        <v>Edition2</v>
      </c>
      <c r="M139">
        <f>Tokens!O141</f>
        <v>2</v>
      </c>
      <c r="N139" t="str">
        <f>Tokens!P141</f>
        <v>Edition3</v>
      </c>
      <c r="O139">
        <f>Tokens!Q141</f>
        <v>2</v>
      </c>
      <c r="P139">
        <f>Tokens!R141</f>
        <v>0</v>
      </c>
      <c r="Q139">
        <f>Tokens!S141</f>
        <v>0</v>
      </c>
      <c r="R139">
        <f>Tokens!T141</f>
        <v>0</v>
      </c>
      <c r="S139">
        <f>Tokens!U141</f>
        <v>0</v>
      </c>
      <c r="T139" t="str">
        <f>Tokens!V141</f>
        <v>Dernière utilisation</v>
      </c>
      <c r="U139">
        <f>Tokens!W141</f>
        <v>0</v>
      </c>
      <c r="V139">
        <f>Tokens!X141</f>
        <v>0</v>
      </c>
      <c r="W139">
        <f>Tokens!Y141</f>
        <v>0</v>
      </c>
      <c r="X139" t="str">
        <f>Tokens!Z141</f>
        <v>avantage1</v>
      </c>
      <c r="Y139" t="str">
        <f>Tokens!AA141</f>
        <v>accès pour deux (2) personnes à un (1) événement partenaire officiel de Calvi on the Rocks</v>
      </c>
      <c r="Z139">
        <f>Tokens!AB141</f>
        <v>0</v>
      </c>
      <c r="AA139">
        <f>Tokens!AC141</f>
        <v>0</v>
      </c>
      <c r="AB139">
        <f>Tokens!AD141</f>
        <v>0</v>
      </c>
      <c r="AC139">
        <f>Tokens!AE141</f>
        <v>0</v>
      </c>
      <c r="AD139">
        <f>Tokens!AF141</f>
        <v>0</v>
      </c>
      <c r="AE139">
        <f>Tokens!AG141</f>
        <v>0</v>
      </c>
      <c r="AF139" t="str">
        <f>Tokens!AH141</f>
        <v>avantage2</v>
      </c>
      <c r="AG139" t="str">
        <f>Tokens!AI141</f>
        <v>accès membre pour les after party officielles pour deux (2) personnes</v>
      </c>
      <c r="AH139" t="str">
        <f>Tokens!AJ141</f>
        <v>avantage3</v>
      </c>
      <c r="AI139" t="str">
        <f>Tokens!AK141</f>
        <v>accès prioritaire et bar dédié (consommation à la charge du festivalier) - tables réservées à l'avance pour les « NFT member » pour deux (2) personnes</v>
      </c>
      <c r="AJ139" t="str">
        <f>Tokens!AL141</f>
        <v>avantage4</v>
      </c>
      <c r="AK139" t="str">
        <f>Tokens!AM141</f>
        <v>1 affiche dédicacée et numérotée</v>
      </c>
      <c r="AL139">
        <f>Tokens!AN141</f>
        <v>0</v>
      </c>
      <c r="AM139">
        <f>Tokens!AO141</f>
        <v>0</v>
      </c>
      <c r="AN139">
        <f>Tokens!AP141</f>
        <v>0</v>
      </c>
      <c r="AO139">
        <f>Tokens!AQ141</f>
        <v>0</v>
      </c>
      <c r="AP139">
        <f>Tokens!AR141</f>
        <v>0</v>
      </c>
      <c r="AQ139">
        <f>Tokens!AS141</f>
        <v>0</v>
      </c>
      <c r="AR139">
        <f>Tokens!AT141</f>
        <v>0</v>
      </c>
      <c r="AS139">
        <f>Tokens!AU141</f>
        <v>0</v>
      </c>
      <c r="AT139" t="str">
        <f>Tokens!AV141</f>
        <v>Validation</v>
      </c>
      <c r="AU139" t="str">
        <f>Tokens!AW141</f>
        <v>https://tokensol.nfluent.io?s=COR22C78&amp;platform=ftx</v>
      </c>
      <c r="AV139" t="str">
        <f>Tokens!AX141</f>
        <v>paul</v>
      </c>
      <c r="AW139">
        <f>Tokens!AY141</f>
        <v>10</v>
      </c>
      <c r="AX139" t="str">
        <f>Tokens!AZ141</f>
        <v>sophie</v>
      </c>
      <c r="AY139">
        <f>Tokens!BA141</f>
        <v>90</v>
      </c>
      <c r="AZ139">
        <f>Tokens!BB141</f>
        <v>0</v>
      </c>
      <c r="BA139">
        <f>Tokens!BC141</f>
        <v>0</v>
      </c>
      <c r="BB139">
        <f>Tokens!BD141</f>
        <v>0</v>
      </c>
      <c r="BC139">
        <f>Tokens!BE141</f>
        <v>0</v>
      </c>
      <c r="BD139">
        <f>Tokens!BF141</f>
        <v>0</v>
      </c>
      <c r="BE139">
        <f>Tokens!BG141</f>
        <v>0</v>
      </c>
      <c r="BF139">
        <f>Tokens!BH141</f>
        <v>0</v>
      </c>
      <c r="BG139">
        <f>Tokens!BI141</f>
        <v>0</v>
      </c>
      <c r="BH139" t="str">
        <f>Tokens!BJ141</f>
        <v>La Porteuse D'Eau</v>
      </c>
      <c r="BI139" t="str">
        <f>Tokens!BK141</f>
        <v>Calvi On The Rocks</v>
      </c>
    </row>
    <row r="140" spans="1:61" x14ac:dyDescent="0.25">
      <c r="A140" t="str">
        <f>Tokens!C142</f>
        <v>La Porteuse D'Eau #79</v>
      </c>
      <c r="B140" t="str">
        <f>Tokens!D142</f>
        <v>COR22C79</v>
      </c>
      <c r="C140" t="str">
        <f>Tokens!E142</f>
        <v>La Porteuse D'Eau, 3 ans - Pass NFT 5 jours pour 2 personnes, valable pour 3 éditions Calvi On The Rocks de votre choix.</v>
      </c>
      <c r="D140">
        <f>Tokens!F142</f>
        <v>1000</v>
      </c>
      <c r="E140" t="str">
        <f>Tokens!G142</f>
        <v>https://bafybeicordeza5gk2bza3mvxlpkuixf2rl7wnnuldoo222om2i4bxv2oqa.ipfs.nftstorage.link?image_10.png</v>
      </c>
      <c r="F140" t="str">
        <f>Tokens!H142</f>
        <v>NfluenT for Calvi On The rocks</v>
      </c>
      <c r="G140">
        <f>Tokens!I142</f>
        <v>0</v>
      </c>
      <c r="H140" t="str">
        <f>Tokens!J142</f>
        <v>Pass festival</v>
      </c>
      <c r="I140" t="str">
        <f>Tokens!K142</f>
        <v>pour deux(2) personnes</v>
      </c>
      <c r="J140" t="str">
        <f>Tokens!L142</f>
        <v>Edition1</v>
      </c>
      <c r="K140">
        <f>Tokens!M142</f>
        <v>2</v>
      </c>
      <c r="L140" t="str">
        <f>Tokens!N142</f>
        <v>Edition2</v>
      </c>
      <c r="M140">
        <f>Tokens!O142</f>
        <v>2</v>
      </c>
      <c r="N140" t="str">
        <f>Tokens!P142</f>
        <v>Edition3</v>
      </c>
      <c r="O140">
        <f>Tokens!Q142</f>
        <v>2</v>
      </c>
      <c r="P140">
        <f>Tokens!R142</f>
        <v>0</v>
      </c>
      <c r="Q140">
        <f>Tokens!S142</f>
        <v>0</v>
      </c>
      <c r="R140">
        <f>Tokens!T142</f>
        <v>0</v>
      </c>
      <c r="S140">
        <f>Tokens!U142</f>
        <v>0</v>
      </c>
      <c r="T140" t="str">
        <f>Tokens!V142</f>
        <v>Dernière utilisation</v>
      </c>
      <c r="U140">
        <f>Tokens!W142</f>
        <v>0</v>
      </c>
      <c r="V140">
        <f>Tokens!X142</f>
        <v>0</v>
      </c>
      <c r="W140">
        <f>Tokens!Y142</f>
        <v>0</v>
      </c>
      <c r="X140" t="str">
        <f>Tokens!Z142</f>
        <v>avantage1</v>
      </c>
      <c r="Y140" t="str">
        <f>Tokens!AA142</f>
        <v>accès pour deux (2) personnes à un (1) événement partenaire officiel de Calvi on the Rocks</v>
      </c>
      <c r="Z140">
        <f>Tokens!AB142</f>
        <v>0</v>
      </c>
      <c r="AA140">
        <f>Tokens!AC142</f>
        <v>0</v>
      </c>
      <c r="AB140">
        <f>Tokens!AD142</f>
        <v>0</v>
      </c>
      <c r="AC140">
        <f>Tokens!AE142</f>
        <v>0</v>
      </c>
      <c r="AD140">
        <f>Tokens!AF142</f>
        <v>0</v>
      </c>
      <c r="AE140">
        <f>Tokens!AG142</f>
        <v>0</v>
      </c>
      <c r="AF140" t="str">
        <f>Tokens!AH142</f>
        <v>avantage2</v>
      </c>
      <c r="AG140" t="str">
        <f>Tokens!AI142</f>
        <v>accès membre pour les after party officielles pour deux (2) personnes</v>
      </c>
      <c r="AH140" t="str">
        <f>Tokens!AJ142</f>
        <v>avantage3</v>
      </c>
      <c r="AI140" t="str">
        <f>Tokens!AK142</f>
        <v>accès prioritaire et bar dédié (consommation à la charge du festivalier) - tables réservées à l'avance pour les « NFT member » pour deux (2) personnes</v>
      </c>
      <c r="AJ140" t="str">
        <f>Tokens!AL142</f>
        <v>avantage4</v>
      </c>
      <c r="AK140" t="str">
        <f>Tokens!AM142</f>
        <v>1 affiche dédicacée et numérotée</v>
      </c>
      <c r="AL140">
        <f>Tokens!AN142</f>
        <v>0</v>
      </c>
      <c r="AM140">
        <f>Tokens!AO142</f>
        <v>0</v>
      </c>
      <c r="AN140">
        <f>Tokens!AP142</f>
        <v>0</v>
      </c>
      <c r="AO140">
        <f>Tokens!AQ142</f>
        <v>0</v>
      </c>
      <c r="AP140">
        <f>Tokens!AR142</f>
        <v>0</v>
      </c>
      <c r="AQ140">
        <f>Tokens!AS142</f>
        <v>0</v>
      </c>
      <c r="AR140">
        <f>Tokens!AT142</f>
        <v>0</v>
      </c>
      <c r="AS140">
        <f>Tokens!AU142</f>
        <v>0</v>
      </c>
      <c r="AT140" t="str">
        <f>Tokens!AV142</f>
        <v>Validation</v>
      </c>
      <c r="AU140" t="str">
        <f>Tokens!AW142</f>
        <v>https://tokensol.nfluent.io?s=COR22C79&amp;platform=ftx</v>
      </c>
      <c r="AV140" t="str">
        <f>Tokens!AX142</f>
        <v>paul</v>
      </c>
      <c r="AW140">
        <f>Tokens!AY142</f>
        <v>10</v>
      </c>
      <c r="AX140" t="str">
        <f>Tokens!AZ142</f>
        <v>sophie</v>
      </c>
      <c r="AY140">
        <f>Tokens!BA142</f>
        <v>90</v>
      </c>
      <c r="AZ140">
        <f>Tokens!BB142</f>
        <v>0</v>
      </c>
      <c r="BA140">
        <f>Tokens!BC142</f>
        <v>0</v>
      </c>
      <c r="BB140">
        <f>Tokens!BD142</f>
        <v>0</v>
      </c>
      <c r="BC140">
        <f>Tokens!BE142</f>
        <v>0</v>
      </c>
      <c r="BD140">
        <f>Tokens!BF142</f>
        <v>0</v>
      </c>
      <c r="BE140">
        <f>Tokens!BG142</f>
        <v>0</v>
      </c>
      <c r="BF140">
        <f>Tokens!BH142</f>
        <v>0</v>
      </c>
      <c r="BG140">
        <f>Tokens!BI142</f>
        <v>0</v>
      </c>
      <c r="BH140" t="str">
        <f>Tokens!BJ142</f>
        <v>La Porteuse D'Eau</v>
      </c>
      <c r="BI140" t="str">
        <f>Tokens!BK142</f>
        <v>Calvi On The Rocks</v>
      </c>
    </row>
    <row r="141" spans="1:61" x14ac:dyDescent="0.25">
      <c r="A141" t="str">
        <f>Tokens!C143</f>
        <v>La Porteuse D'Eau #80</v>
      </c>
      <c r="B141" t="str">
        <f>Tokens!D143</f>
        <v>COR22C80</v>
      </c>
      <c r="C141" t="str">
        <f>Tokens!E143</f>
        <v>La Porteuse D'Eau, 3 ans - Pass NFT 5 jours pour 2 personnes, valable pour 3 éditions Calvi On The Rocks de votre choix.</v>
      </c>
      <c r="D141">
        <f>Tokens!F143</f>
        <v>1000</v>
      </c>
      <c r="E141" t="str">
        <f>Tokens!G143</f>
        <v>https://bafybeicordeza5gk2bza3mvxlpkuixf2rl7wnnuldoo222om2i4bxv2oqa.ipfs.nftstorage.link?image_10.png</v>
      </c>
      <c r="F141" t="str">
        <f>Tokens!H143</f>
        <v>NfluenT for Calvi On The rocks</v>
      </c>
      <c r="G141">
        <f>Tokens!I143</f>
        <v>0</v>
      </c>
      <c r="H141" t="str">
        <f>Tokens!J143</f>
        <v>Pass festival</v>
      </c>
      <c r="I141" t="str">
        <f>Tokens!K143</f>
        <v>pour deux(2) personnes</v>
      </c>
      <c r="J141" t="str">
        <f>Tokens!L143</f>
        <v>Edition1</v>
      </c>
      <c r="K141">
        <f>Tokens!M143</f>
        <v>2</v>
      </c>
      <c r="L141" t="str">
        <f>Tokens!N143</f>
        <v>Edition2</v>
      </c>
      <c r="M141">
        <f>Tokens!O143</f>
        <v>2</v>
      </c>
      <c r="N141" t="str">
        <f>Tokens!P143</f>
        <v>Edition3</v>
      </c>
      <c r="O141">
        <f>Tokens!Q143</f>
        <v>2</v>
      </c>
      <c r="P141">
        <f>Tokens!R143</f>
        <v>0</v>
      </c>
      <c r="Q141">
        <f>Tokens!S143</f>
        <v>0</v>
      </c>
      <c r="R141">
        <f>Tokens!T143</f>
        <v>0</v>
      </c>
      <c r="S141">
        <f>Tokens!U143</f>
        <v>0</v>
      </c>
      <c r="T141" t="str">
        <f>Tokens!V143</f>
        <v>Dernière utilisation</v>
      </c>
      <c r="U141">
        <f>Tokens!W143</f>
        <v>0</v>
      </c>
      <c r="V141">
        <f>Tokens!X143</f>
        <v>0</v>
      </c>
      <c r="W141">
        <f>Tokens!Y143</f>
        <v>0</v>
      </c>
      <c r="X141" t="str">
        <f>Tokens!Z143</f>
        <v>avantage1</v>
      </c>
      <c r="Y141" t="str">
        <f>Tokens!AA143</f>
        <v>accès pour deux (2) personnes à un (1) événement partenaire officiel de Calvi on the Rocks</v>
      </c>
      <c r="Z141">
        <f>Tokens!AB143</f>
        <v>0</v>
      </c>
      <c r="AA141">
        <f>Tokens!AC143</f>
        <v>0</v>
      </c>
      <c r="AB141">
        <f>Tokens!AD143</f>
        <v>0</v>
      </c>
      <c r="AC141">
        <f>Tokens!AE143</f>
        <v>0</v>
      </c>
      <c r="AD141">
        <f>Tokens!AF143</f>
        <v>0</v>
      </c>
      <c r="AE141">
        <f>Tokens!AG143</f>
        <v>0</v>
      </c>
      <c r="AF141" t="str">
        <f>Tokens!AH143</f>
        <v>avantage2</v>
      </c>
      <c r="AG141" t="str">
        <f>Tokens!AI143</f>
        <v>accès membre pour les after party officielles pour deux (2) personnes</v>
      </c>
      <c r="AH141" t="str">
        <f>Tokens!AJ143</f>
        <v>avantage3</v>
      </c>
      <c r="AI141" t="str">
        <f>Tokens!AK143</f>
        <v>accès prioritaire et bar dédié (consommation à la charge du festivalier) - tables réservées à l'avance pour les « NFT member » pour deux (2) personnes</v>
      </c>
      <c r="AJ141" t="str">
        <f>Tokens!AL143</f>
        <v>avantage4</v>
      </c>
      <c r="AK141" t="str">
        <f>Tokens!AM143</f>
        <v>1 affiche dédicacée et numérotée</v>
      </c>
      <c r="AL141">
        <f>Tokens!AN143</f>
        <v>0</v>
      </c>
      <c r="AM141">
        <f>Tokens!AO143</f>
        <v>0</v>
      </c>
      <c r="AN141">
        <f>Tokens!AP143</f>
        <v>0</v>
      </c>
      <c r="AO141">
        <f>Tokens!AQ143</f>
        <v>0</v>
      </c>
      <c r="AP141">
        <f>Tokens!AR143</f>
        <v>0</v>
      </c>
      <c r="AQ141">
        <f>Tokens!AS143</f>
        <v>0</v>
      </c>
      <c r="AR141">
        <f>Tokens!AT143</f>
        <v>0</v>
      </c>
      <c r="AS141">
        <f>Tokens!AU143</f>
        <v>0</v>
      </c>
      <c r="AT141" t="str">
        <f>Tokens!AV143</f>
        <v>Validation</v>
      </c>
      <c r="AU141" t="str">
        <f>Tokens!AW143</f>
        <v>https://tokensol.nfluent.io?s=COR22C80&amp;platform=ftx</v>
      </c>
      <c r="AV141" t="str">
        <f>Tokens!AX143</f>
        <v>paul</v>
      </c>
      <c r="AW141">
        <f>Tokens!AY143</f>
        <v>10</v>
      </c>
      <c r="AX141" t="str">
        <f>Tokens!AZ143</f>
        <v>sophie</v>
      </c>
      <c r="AY141">
        <f>Tokens!BA143</f>
        <v>90</v>
      </c>
      <c r="AZ141">
        <f>Tokens!BB143</f>
        <v>0</v>
      </c>
      <c r="BA141">
        <f>Tokens!BC143</f>
        <v>0</v>
      </c>
      <c r="BB141">
        <f>Tokens!BD143</f>
        <v>0</v>
      </c>
      <c r="BC141">
        <f>Tokens!BE143</f>
        <v>0</v>
      </c>
      <c r="BD141">
        <f>Tokens!BF143</f>
        <v>0</v>
      </c>
      <c r="BE141">
        <f>Tokens!BG143</f>
        <v>0</v>
      </c>
      <c r="BF141">
        <f>Tokens!BH143</f>
        <v>0</v>
      </c>
      <c r="BG141">
        <f>Tokens!BI143</f>
        <v>0</v>
      </c>
      <c r="BH141" t="str">
        <f>Tokens!BJ143</f>
        <v>La Porteuse D'Eau</v>
      </c>
      <c r="BI141" t="str">
        <f>Tokens!BK143</f>
        <v>Calvi On The Rocks</v>
      </c>
    </row>
    <row r="142" spans="1:61" x14ac:dyDescent="0.25">
      <c r="A142" t="str">
        <f>Tokens!C144</f>
        <v>La Porteuse D'Eau #81</v>
      </c>
      <c r="B142" t="str">
        <f>Tokens!D144</f>
        <v>COR22C81</v>
      </c>
      <c r="C142" t="str">
        <f>Tokens!E144</f>
        <v>La Porteuse D'Eau, 3 ans - Pass NFT 5 jours pour 2 personnes, valable pour 3 éditions Calvi On The Rocks de votre choix.</v>
      </c>
      <c r="D142">
        <f>Tokens!F144</f>
        <v>1000</v>
      </c>
      <c r="E142" t="str">
        <f>Tokens!G144</f>
        <v>https://bafybeicordeza5gk2bza3mvxlpkuixf2rl7wnnuldoo222om2i4bxv2oqa.ipfs.nftstorage.link?image_10.png</v>
      </c>
      <c r="F142" t="str">
        <f>Tokens!H144</f>
        <v>NfluenT for Calvi On The rocks</v>
      </c>
      <c r="G142">
        <f>Tokens!I144</f>
        <v>0</v>
      </c>
      <c r="H142" t="str">
        <f>Tokens!J144</f>
        <v>Pass festival</v>
      </c>
      <c r="I142" t="str">
        <f>Tokens!K144</f>
        <v>pour deux(2) personnes</v>
      </c>
      <c r="J142" t="str">
        <f>Tokens!L144</f>
        <v>Edition1</v>
      </c>
      <c r="K142">
        <f>Tokens!M144</f>
        <v>2</v>
      </c>
      <c r="L142" t="str">
        <f>Tokens!N144</f>
        <v>Edition2</v>
      </c>
      <c r="M142">
        <f>Tokens!O144</f>
        <v>2</v>
      </c>
      <c r="N142" t="str">
        <f>Tokens!P144</f>
        <v>Edition3</v>
      </c>
      <c r="O142">
        <f>Tokens!Q144</f>
        <v>2</v>
      </c>
      <c r="P142">
        <f>Tokens!R144</f>
        <v>0</v>
      </c>
      <c r="Q142">
        <f>Tokens!S144</f>
        <v>0</v>
      </c>
      <c r="R142">
        <f>Tokens!T144</f>
        <v>0</v>
      </c>
      <c r="S142">
        <f>Tokens!U144</f>
        <v>0</v>
      </c>
      <c r="T142" t="str">
        <f>Tokens!V144</f>
        <v>Dernière utilisation</v>
      </c>
      <c r="U142">
        <f>Tokens!W144</f>
        <v>0</v>
      </c>
      <c r="V142">
        <f>Tokens!X144</f>
        <v>0</v>
      </c>
      <c r="W142">
        <f>Tokens!Y144</f>
        <v>0</v>
      </c>
      <c r="X142" t="str">
        <f>Tokens!Z144</f>
        <v>avantage1</v>
      </c>
      <c r="Y142" t="str">
        <f>Tokens!AA144</f>
        <v>accès pour deux (2) personnes à un (1) événement partenaire officiel de Calvi on the Rocks</v>
      </c>
      <c r="Z142">
        <f>Tokens!AB144</f>
        <v>0</v>
      </c>
      <c r="AA142">
        <f>Tokens!AC144</f>
        <v>0</v>
      </c>
      <c r="AB142">
        <f>Tokens!AD144</f>
        <v>0</v>
      </c>
      <c r="AC142">
        <f>Tokens!AE144</f>
        <v>0</v>
      </c>
      <c r="AD142">
        <f>Tokens!AF144</f>
        <v>0</v>
      </c>
      <c r="AE142">
        <f>Tokens!AG144</f>
        <v>0</v>
      </c>
      <c r="AF142" t="str">
        <f>Tokens!AH144</f>
        <v>avantage2</v>
      </c>
      <c r="AG142" t="str">
        <f>Tokens!AI144</f>
        <v>accès membre pour les after party officielles pour deux (2) personnes</v>
      </c>
      <c r="AH142" t="str">
        <f>Tokens!AJ144</f>
        <v>avantage3</v>
      </c>
      <c r="AI142" t="str">
        <f>Tokens!AK144</f>
        <v>accès prioritaire et bar dédié (consommation à la charge du festivalier) - tables réservées à l'avance pour les « NFT member » pour deux (2) personnes</v>
      </c>
      <c r="AJ142" t="str">
        <f>Tokens!AL144</f>
        <v>avantage4</v>
      </c>
      <c r="AK142" t="str">
        <f>Tokens!AM144</f>
        <v>1 affiche dédicacée et numérotée</v>
      </c>
      <c r="AL142">
        <f>Tokens!AN144</f>
        <v>0</v>
      </c>
      <c r="AM142">
        <f>Tokens!AO144</f>
        <v>0</v>
      </c>
      <c r="AN142">
        <f>Tokens!AP144</f>
        <v>0</v>
      </c>
      <c r="AO142">
        <f>Tokens!AQ144</f>
        <v>0</v>
      </c>
      <c r="AP142">
        <f>Tokens!AR144</f>
        <v>0</v>
      </c>
      <c r="AQ142">
        <f>Tokens!AS144</f>
        <v>0</v>
      </c>
      <c r="AR142">
        <f>Tokens!AT144</f>
        <v>0</v>
      </c>
      <c r="AS142">
        <f>Tokens!AU144</f>
        <v>0</v>
      </c>
      <c r="AT142" t="str">
        <f>Tokens!AV144</f>
        <v>Validation</v>
      </c>
      <c r="AU142" t="str">
        <f>Tokens!AW144</f>
        <v>https://tokensol.nfluent.io?s=COR22C81&amp;platform=ftx</v>
      </c>
      <c r="AV142" t="str">
        <f>Tokens!AX144</f>
        <v>paul</v>
      </c>
      <c r="AW142">
        <f>Tokens!AY144</f>
        <v>10</v>
      </c>
      <c r="AX142" t="str">
        <f>Tokens!AZ144</f>
        <v>sophie</v>
      </c>
      <c r="AY142">
        <f>Tokens!BA144</f>
        <v>90</v>
      </c>
      <c r="AZ142">
        <f>Tokens!BB144</f>
        <v>0</v>
      </c>
      <c r="BA142">
        <f>Tokens!BC144</f>
        <v>0</v>
      </c>
      <c r="BB142">
        <f>Tokens!BD144</f>
        <v>0</v>
      </c>
      <c r="BC142">
        <f>Tokens!BE144</f>
        <v>0</v>
      </c>
      <c r="BD142">
        <f>Tokens!BF144</f>
        <v>0</v>
      </c>
      <c r="BE142">
        <f>Tokens!BG144</f>
        <v>0</v>
      </c>
      <c r="BF142">
        <f>Tokens!BH144</f>
        <v>0</v>
      </c>
      <c r="BG142">
        <f>Tokens!BI144</f>
        <v>0</v>
      </c>
      <c r="BH142" t="str">
        <f>Tokens!BJ144</f>
        <v>La Porteuse D'Eau</v>
      </c>
      <c r="BI142" t="str">
        <f>Tokens!BK144</f>
        <v>Calvi On The Rocks</v>
      </c>
    </row>
    <row r="143" spans="1:61" x14ac:dyDescent="0.25">
      <c r="A143" t="str">
        <f>Tokens!C145</f>
        <v>La Porteuse D'Eau #82</v>
      </c>
      <c r="B143" t="str">
        <f>Tokens!D145</f>
        <v>COR22C82</v>
      </c>
      <c r="C143" t="str">
        <f>Tokens!E145</f>
        <v>La Porteuse D'Eau, 3 ans - Pass NFT 5 jours pour 2 personnes, valable pour 3 éditions Calvi On The Rocks de votre choix.</v>
      </c>
      <c r="D143">
        <f>Tokens!F145</f>
        <v>1000</v>
      </c>
      <c r="E143" t="str">
        <f>Tokens!G145</f>
        <v>https://bafybeicordeza5gk2bza3mvxlpkuixf2rl7wnnuldoo222om2i4bxv2oqa.ipfs.nftstorage.link?image_10.png</v>
      </c>
      <c r="F143" t="str">
        <f>Tokens!H145</f>
        <v>NfluenT for Calvi On The rocks</v>
      </c>
      <c r="G143">
        <f>Tokens!I145</f>
        <v>0</v>
      </c>
      <c r="H143" t="str">
        <f>Tokens!J145</f>
        <v>Pass festival</v>
      </c>
      <c r="I143" t="str">
        <f>Tokens!K145</f>
        <v>pour deux(2) personnes</v>
      </c>
      <c r="J143" t="str">
        <f>Tokens!L145</f>
        <v>Edition1</v>
      </c>
      <c r="K143">
        <f>Tokens!M145</f>
        <v>2</v>
      </c>
      <c r="L143" t="str">
        <f>Tokens!N145</f>
        <v>Edition2</v>
      </c>
      <c r="M143">
        <f>Tokens!O145</f>
        <v>2</v>
      </c>
      <c r="N143" t="str">
        <f>Tokens!P145</f>
        <v>Edition3</v>
      </c>
      <c r="O143">
        <f>Tokens!Q145</f>
        <v>2</v>
      </c>
      <c r="P143">
        <f>Tokens!R145</f>
        <v>0</v>
      </c>
      <c r="Q143">
        <f>Tokens!S145</f>
        <v>0</v>
      </c>
      <c r="R143">
        <f>Tokens!T145</f>
        <v>0</v>
      </c>
      <c r="S143">
        <f>Tokens!U145</f>
        <v>0</v>
      </c>
      <c r="T143" t="str">
        <f>Tokens!V145</f>
        <v>Dernière utilisation</v>
      </c>
      <c r="U143">
        <f>Tokens!W145</f>
        <v>0</v>
      </c>
      <c r="V143">
        <f>Tokens!X145</f>
        <v>0</v>
      </c>
      <c r="W143">
        <f>Tokens!Y145</f>
        <v>0</v>
      </c>
      <c r="X143" t="str">
        <f>Tokens!Z145</f>
        <v>avantage1</v>
      </c>
      <c r="Y143" t="str">
        <f>Tokens!AA145</f>
        <v>accès pour deux (2) personnes à un (1) événement partenaire officiel de Calvi on the Rocks</v>
      </c>
      <c r="Z143">
        <f>Tokens!AB145</f>
        <v>0</v>
      </c>
      <c r="AA143">
        <f>Tokens!AC145</f>
        <v>0</v>
      </c>
      <c r="AB143">
        <f>Tokens!AD145</f>
        <v>0</v>
      </c>
      <c r="AC143">
        <f>Tokens!AE145</f>
        <v>0</v>
      </c>
      <c r="AD143">
        <f>Tokens!AF145</f>
        <v>0</v>
      </c>
      <c r="AE143">
        <f>Tokens!AG145</f>
        <v>0</v>
      </c>
      <c r="AF143" t="str">
        <f>Tokens!AH145</f>
        <v>avantage2</v>
      </c>
      <c r="AG143" t="str">
        <f>Tokens!AI145</f>
        <v>accès membre pour les after party officielles pour deux (2) personnes</v>
      </c>
      <c r="AH143" t="str">
        <f>Tokens!AJ145</f>
        <v>avantage3</v>
      </c>
      <c r="AI143" t="str">
        <f>Tokens!AK145</f>
        <v>accès prioritaire et bar dédié (consommation à la charge du festivalier) - tables réservées à l'avance pour les « NFT member » pour deux (2) personnes</v>
      </c>
      <c r="AJ143" t="str">
        <f>Tokens!AL145</f>
        <v>avantage4</v>
      </c>
      <c r="AK143" t="str">
        <f>Tokens!AM145</f>
        <v>1 affiche dédicacée et numérotée</v>
      </c>
      <c r="AL143">
        <f>Tokens!AN145</f>
        <v>0</v>
      </c>
      <c r="AM143">
        <f>Tokens!AO145</f>
        <v>0</v>
      </c>
      <c r="AN143">
        <f>Tokens!AP145</f>
        <v>0</v>
      </c>
      <c r="AO143">
        <f>Tokens!AQ145</f>
        <v>0</v>
      </c>
      <c r="AP143">
        <f>Tokens!AR145</f>
        <v>0</v>
      </c>
      <c r="AQ143">
        <f>Tokens!AS145</f>
        <v>0</v>
      </c>
      <c r="AR143">
        <f>Tokens!AT145</f>
        <v>0</v>
      </c>
      <c r="AS143">
        <f>Tokens!AU145</f>
        <v>0</v>
      </c>
      <c r="AT143" t="str">
        <f>Tokens!AV145</f>
        <v>Validation</v>
      </c>
      <c r="AU143" t="str">
        <f>Tokens!AW145</f>
        <v>https://tokensol.nfluent.io?s=COR22C82&amp;platform=ftx</v>
      </c>
      <c r="AV143" t="str">
        <f>Tokens!AX145</f>
        <v>paul</v>
      </c>
      <c r="AW143">
        <f>Tokens!AY145</f>
        <v>10</v>
      </c>
      <c r="AX143" t="str">
        <f>Tokens!AZ145</f>
        <v>sophie</v>
      </c>
      <c r="AY143">
        <f>Tokens!BA145</f>
        <v>90</v>
      </c>
      <c r="AZ143">
        <f>Tokens!BB145</f>
        <v>0</v>
      </c>
      <c r="BA143">
        <f>Tokens!BC145</f>
        <v>0</v>
      </c>
      <c r="BB143">
        <f>Tokens!BD145</f>
        <v>0</v>
      </c>
      <c r="BC143">
        <f>Tokens!BE145</f>
        <v>0</v>
      </c>
      <c r="BD143">
        <f>Tokens!BF145</f>
        <v>0</v>
      </c>
      <c r="BE143">
        <f>Tokens!BG145</f>
        <v>0</v>
      </c>
      <c r="BF143">
        <f>Tokens!BH145</f>
        <v>0</v>
      </c>
      <c r="BG143">
        <f>Tokens!BI145</f>
        <v>0</v>
      </c>
      <c r="BH143" t="str">
        <f>Tokens!BJ145</f>
        <v>La Porteuse D'Eau</v>
      </c>
      <c r="BI143" t="str">
        <f>Tokens!BK145</f>
        <v>Calvi On The Rocks</v>
      </c>
    </row>
    <row r="144" spans="1:61" x14ac:dyDescent="0.25">
      <c r="A144" t="str">
        <f>Tokens!C146</f>
        <v>La Porteuse D'Eau #83</v>
      </c>
      <c r="B144" t="str">
        <f>Tokens!D146</f>
        <v>COR22C83</v>
      </c>
      <c r="C144" t="str">
        <f>Tokens!E146</f>
        <v>La Porteuse D'Eau, 3 ans - Pass NFT 5 jours pour 2 personnes, valable pour 3 éditions Calvi On The Rocks de votre choix.</v>
      </c>
      <c r="D144">
        <f>Tokens!F146</f>
        <v>1000</v>
      </c>
      <c r="E144" t="str">
        <f>Tokens!G146</f>
        <v>https://bafybeicordeza5gk2bza3mvxlpkuixf2rl7wnnuldoo222om2i4bxv2oqa.ipfs.nftstorage.link?image_10.png</v>
      </c>
      <c r="F144" t="str">
        <f>Tokens!H146</f>
        <v>NfluenT for Calvi On The rocks</v>
      </c>
      <c r="G144">
        <f>Tokens!I146</f>
        <v>0</v>
      </c>
      <c r="H144" t="str">
        <f>Tokens!J146</f>
        <v>Pass festival</v>
      </c>
      <c r="I144" t="str">
        <f>Tokens!K146</f>
        <v>pour deux(2) personnes</v>
      </c>
      <c r="J144" t="str">
        <f>Tokens!L146</f>
        <v>Edition1</v>
      </c>
      <c r="K144">
        <f>Tokens!M146</f>
        <v>2</v>
      </c>
      <c r="L144" t="str">
        <f>Tokens!N146</f>
        <v>Edition2</v>
      </c>
      <c r="M144">
        <f>Tokens!O146</f>
        <v>2</v>
      </c>
      <c r="N144" t="str">
        <f>Tokens!P146</f>
        <v>Edition3</v>
      </c>
      <c r="O144">
        <f>Tokens!Q146</f>
        <v>2</v>
      </c>
      <c r="P144">
        <f>Tokens!R146</f>
        <v>0</v>
      </c>
      <c r="Q144">
        <f>Tokens!S146</f>
        <v>0</v>
      </c>
      <c r="R144">
        <f>Tokens!T146</f>
        <v>0</v>
      </c>
      <c r="S144">
        <f>Tokens!U146</f>
        <v>0</v>
      </c>
      <c r="T144" t="str">
        <f>Tokens!V146</f>
        <v>Dernière utilisation</v>
      </c>
      <c r="U144">
        <f>Tokens!W146</f>
        <v>0</v>
      </c>
      <c r="V144">
        <f>Tokens!X146</f>
        <v>0</v>
      </c>
      <c r="W144">
        <f>Tokens!Y146</f>
        <v>0</v>
      </c>
      <c r="X144" t="str">
        <f>Tokens!Z146</f>
        <v>avantage1</v>
      </c>
      <c r="Y144" t="str">
        <f>Tokens!AA146</f>
        <v>accès pour deux (2) personnes à un (1) événement partenaire officiel de Calvi on the Rocks</v>
      </c>
      <c r="Z144">
        <f>Tokens!AB146</f>
        <v>0</v>
      </c>
      <c r="AA144">
        <f>Tokens!AC146</f>
        <v>0</v>
      </c>
      <c r="AB144">
        <f>Tokens!AD146</f>
        <v>0</v>
      </c>
      <c r="AC144">
        <f>Tokens!AE146</f>
        <v>0</v>
      </c>
      <c r="AD144">
        <f>Tokens!AF146</f>
        <v>0</v>
      </c>
      <c r="AE144">
        <f>Tokens!AG146</f>
        <v>0</v>
      </c>
      <c r="AF144" t="str">
        <f>Tokens!AH146</f>
        <v>avantage2</v>
      </c>
      <c r="AG144" t="str">
        <f>Tokens!AI146</f>
        <v>accès membre pour les after party officielles pour deux (2) personnes</v>
      </c>
      <c r="AH144" t="str">
        <f>Tokens!AJ146</f>
        <v>avantage3</v>
      </c>
      <c r="AI144" t="str">
        <f>Tokens!AK146</f>
        <v>accès prioritaire et bar dédié (consommation à la charge du festivalier) - tables réservées à l'avance pour les « NFT member » pour deux (2) personnes</v>
      </c>
      <c r="AJ144" t="str">
        <f>Tokens!AL146</f>
        <v>avantage4</v>
      </c>
      <c r="AK144" t="str">
        <f>Tokens!AM146</f>
        <v>1 affiche dédicacée et numérotée</v>
      </c>
      <c r="AL144">
        <f>Tokens!AN146</f>
        <v>0</v>
      </c>
      <c r="AM144">
        <f>Tokens!AO146</f>
        <v>0</v>
      </c>
      <c r="AN144">
        <f>Tokens!AP146</f>
        <v>0</v>
      </c>
      <c r="AO144">
        <f>Tokens!AQ146</f>
        <v>0</v>
      </c>
      <c r="AP144">
        <f>Tokens!AR146</f>
        <v>0</v>
      </c>
      <c r="AQ144">
        <f>Tokens!AS146</f>
        <v>0</v>
      </c>
      <c r="AR144">
        <f>Tokens!AT146</f>
        <v>0</v>
      </c>
      <c r="AS144">
        <f>Tokens!AU146</f>
        <v>0</v>
      </c>
      <c r="AT144" t="str">
        <f>Tokens!AV146</f>
        <v>Validation</v>
      </c>
      <c r="AU144" t="str">
        <f>Tokens!AW146</f>
        <v>https://tokensol.nfluent.io?s=COR22C83&amp;platform=ftx</v>
      </c>
      <c r="AV144" t="str">
        <f>Tokens!AX146</f>
        <v>paul</v>
      </c>
      <c r="AW144">
        <f>Tokens!AY146</f>
        <v>10</v>
      </c>
      <c r="AX144" t="str">
        <f>Tokens!AZ146</f>
        <v>sophie</v>
      </c>
      <c r="AY144">
        <f>Tokens!BA146</f>
        <v>90</v>
      </c>
      <c r="AZ144">
        <f>Tokens!BB146</f>
        <v>0</v>
      </c>
      <c r="BA144">
        <f>Tokens!BC146</f>
        <v>0</v>
      </c>
      <c r="BB144">
        <f>Tokens!BD146</f>
        <v>0</v>
      </c>
      <c r="BC144">
        <f>Tokens!BE146</f>
        <v>0</v>
      </c>
      <c r="BD144">
        <f>Tokens!BF146</f>
        <v>0</v>
      </c>
      <c r="BE144">
        <f>Tokens!BG146</f>
        <v>0</v>
      </c>
      <c r="BF144">
        <f>Tokens!BH146</f>
        <v>0</v>
      </c>
      <c r="BG144">
        <f>Tokens!BI146</f>
        <v>0</v>
      </c>
      <c r="BH144" t="str">
        <f>Tokens!BJ146</f>
        <v>La Porteuse D'Eau</v>
      </c>
      <c r="BI144" t="str">
        <f>Tokens!BK146</f>
        <v>Calvi On The Rocks</v>
      </c>
    </row>
    <row r="145" spans="1:61" x14ac:dyDescent="0.25">
      <c r="A145" t="str">
        <f>Tokens!C147</f>
        <v>La Porteuse D'Eau #84</v>
      </c>
      <c r="B145" t="str">
        <f>Tokens!D147</f>
        <v>COR22C84</v>
      </c>
      <c r="C145" t="str">
        <f>Tokens!E147</f>
        <v>La Porteuse D'Eau, 3 ans - Pass NFT 5 jours pour 2 personnes, valable pour 3 éditions Calvi On The Rocks de votre choix.</v>
      </c>
      <c r="D145">
        <f>Tokens!F147</f>
        <v>1000</v>
      </c>
      <c r="E145" t="str">
        <f>Tokens!G147</f>
        <v>https://bafybeicordeza5gk2bza3mvxlpkuixf2rl7wnnuldoo222om2i4bxv2oqa.ipfs.nftstorage.link?image_10.png</v>
      </c>
      <c r="F145" t="str">
        <f>Tokens!H147</f>
        <v>NfluenT for Calvi On The rocks</v>
      </c>
      <c r="G145">
        <f>Tokens!I147</f>
        <v>0</v>
      </c>
      <c r="H145" t="str">
        <f>Tokens!J147</f>
        <v>Pass festival</v>
      </c>
      <c r="I145" t="str">
        <f>Tokens!K147</f>
        <v>pour deux(2) personnes</v>
      </c>
      <c r="J145" t="str">
        <f>Tokens!L147</f>
        <v>Edition1</v>
      </c>
      <c r="K145">
        <f>Tokens!M147</f>
        <v>2</v>
      </c>
      <c r="L145" t="str">
        <f>Tokens!N147</f>
        <v>Edition2</v>
      </c>
      <c r="M145">
        <f>Tokens!O147</f>
        <v>2</v>
      </c>
      <c r="N145" t="str">
        <f>Tokens!P147</f>
        <v>Edition3</v>
      </c>
      <c r="O145">
        <f>Tokens!Q147</f>
        <v>2</v>
      </c>
      <c r="P145">
        <f>Tokens!R147</f>
        <v>0</v>
      </c>
      <c r="Q145">
        <f>Tokens!S147</f>
        <v>0</v>
      </c>
      <c r="R145">
        <f>Tokens!T147</f>
        <v>0</v>
      </c>
      <c r="S145">
        <f>Tokens!U147</f>
        <v>0</v>
      </c>
      <c r="T145" t="str">
        <f>Tokens!V147</f>
        <v>Dernière utilisation</v>
      </c>
      <c r="U145">
        <f>Tokens!W147</f>
        <v>0</v>
      </c>
      <c r="V145">
        <f>Tokens!X147</f>
        <v>0</v>
      </c>
      <c r="W145">
        <f>Tokens!Y147</f>
        <v>0</v>
      </c>
      <c r="X145" t="str">
        <f>Tokens!Z147</f>
        <v>avantage1</v>
      </c>
      <c r="Y145" t="str">
        <f>Tokens!AA147</f>
        <v>accès pour deux (2) personnes à un (1) événement partenaire officiel de Calvi on the Rocks</v>
      </c>
      <c r="Z145">
        <f>Tokens!AB147</f>
        <v>0</v>
      </c>
      <c r="AA145">
        <f>Tokens!AC147</f>
        <v>0</v>
      </c>
      <c r="AB145">
        <f>Tokens!AD147</f>
        <v>0</v>
      </c>
      <c r="AC145">
        <f>Tokens!AE147</f>
        <v>0</v>
      </c>
      <c r="AD145">
        <f>Tokens!AF147</f>
        <v>0</v>
      </c>
      <c r="AE145">
        <f>Tokens!AG147</f>
        <v>0</v>
      </c>
      <c r="AF145" t="str">
        <f>Tokens!AH147</f>
        <v>avantage2</v>
      </c>
      <c r="AG145" t="str">
        <f>Tokens!AI147</f>
        <v>accès membre pour les after party officielles pour deux (2) personnes</v>
      </c>
      <c r="AH145" t="str">
        <f>Tokens!AJ147</f>
        <v>avantage3</v>
      </c>
      <c r="AI145" t="str">
        <f>Tokens!AK147</f>
        <v>accès prioritaire et bar dédié (consommation à la charge du festivalier) - tables réservées à l'avance pour les « NFT member » pour deux (2) personnes</v>
      </c>
      <c r="AJ145" t="str">
        <f>Tokens!AL147</f>
        <v>avantage4</v>
      </c>
      <c r="AK145" t="str">
        <f>Tokens!AM147</f>
        <v>1 affiche dédicacée et numérotée</v>
      </c>
      <c r="AL145">
        <f>Tokens!AN147</f>
        <v>0</v>
      </c>
      <c r="AM145">
        <f>Tokens!AO147</f>
        <v>0</v>
      </c>
      <c r="AN145">
        <f>Tokens!AP147</f>
        <v>0</v>
      </c>
      <c r="AO145">
        <f>Tokens!AQ147</f>
        <v>0</v>
      </c>
      <c r="AP145">
        <f>Tokens!AR147</f>
        <v>0</v>
      </c>
      <c r="AQ145">
        <f>Tokens!AS147</f>
        <v>0</v>
      </c>
      <c r="AR145">
        <f>Tokens!AT147</f>
        <v>0</v>
      </c>
      <c r="AS145">
        <f>Tokens!AU147</f>
        <v>0</v>
      </c>
      <c r="AT145" t="str">
        <f>Tokens!AV147</f>
        <v>Validation</v>
      </c>
      <c r="AU145" t="str">
        <f>Tokens!AW147</f>
        <v>https://tokensol.nfluent.io?s=COR22C84&amp;platform=ftx</v>
      </c>
      <c r="AV145" t="str">
        <f>Tokens!AX147</f>
        <v>paul</v>
      </c>
      <c r="AW145">
        <f>Tokens!AY147</f>
        <v>10</v>
      </c>
      <c r="AX145" t="str">
        <f>Tokens!AZ147</f>
        <v>sophie</v>
      </c>
      <c r="AY145">
        <f>Tokens!BA147</f>
        <v>90</v>
      </c>
      <c r="AZ145">
        <f>Tokens!BB147</f>
        <v>0</v>
      </c>
      <c r="BA145">
        <f>Tokens!BC147</f>
        <v>0</v>
      </c>
      <c r="BB145">
        <f>Tokens!BD147</f>
        <v>0</v>
      </c>
      <c r="BC145">
        <f>Tokens!BE147</f>
        <v>0</v>
      </c>
      <c r="BD145">
        <f>Tokens!BF147</f>
        <v>0</v>
      </c>
      <c r="BE145">
        <f>Tokens!BG147</f>
        <v>0</v>
      </c>
      <c r="BF145">
        <f>Tokens!BH147</f>
        <v>0</v>
      </c>
      <c r="BG145">
        <f>Tokens!BI147</f>
        <v>0</v>
      </c>
      <c r="BH145" t="str">
        <f>Tokens!BJ147</f>
        <v>La Porteuse D'Eau</v>
      </c>
      <c r="BI145" t="str">
        <f>Tokens!BK147</f>
        <v>Calvi On The Rocks</v>
      </c>
    </row>
    <row r="146" spans="1:61" x14ac:dyDescent="0.25">
      <c r="A146" t="str">
        <f>Tokens!C148</f>
        <v>La Porteuse D'Eau #85</v>
      </c>
      <c r="B146" t="str">
        <f>Tokens!D148</f>
        <v>COR22C85</v>
      </c>
      <c r="C146" t="str">
        <f>Tokens!E148</f>
        <v>La Porteuse D'Eau, 3 ans - Pass NFT 5 jours pour 2 personnes, valable pour 3 éditions Calvi On The Rocks de votre choix.</v>
      </c>
      <c r="D146">
        <f>Tokens!F148</f>
        <v>1000</v>
      </c>
      <c r="E146" t="str">
        <f>Tokens!G148</f>
        <v>https://bafybeicordeza5gk2bza3mvxlpkuixf2rl7wnnuldoo222om2i4bxv2oqa.ipfs.nftstorage.link?image_10.png</v>
      </c>
      <c r="F146" t="str">
        <f>Tokens!H148</f>
        <v>NfluenT for Calvi On The rocks</v>
      </c>
      <c r="G146">
        <f>Tokens!I148</f>
        <v>0</v>
      </c>
      <c r="H146" t="str">
        <f>Tokens!J148</f>
        <v>Pass festival</v>
      </c>
      <c r="I146" t="str">
        <f>Tokens!K148</f>
        <v>pour deux(2) personnes</v>
      </c>
      <c r="J146" t="str">
        <f>Tokens!L148</f>
        <v>Edition1</v>
      </c>
      <c r="K146">
        <f>Tokens!M148</f>
        <v>2</v>
      </c>
      <c r="L146" t="str">
        <f>Tokens!N148</f>
        <v>Edition2</v>
      </c>
      <c r="M146">
        <f>Tokens!O148</f>
        <v>2</v>
      </c>
      <c r="N146" t="str">
        <f>Tokens!P148</f>
        <v>Edition3</v>
      </c>
      <c r="O146">
        <f>Tokens!Q148</f>
        <v>2</v>
      </c>
      <c r="P146">
        <f>Tokens!R148</f>
        <v>0</v>
      </c>
      <c r="Q146">
        <f>Tokens!S148</f>
        <v>0</v>
      </c>
      <c r="R146">
        <f>Tokens!T148</f>
        <v>0</v>
      </c>
      <c r="S146">
        <f>Tokens!U148</f>
        <v>0</v>
      </c>
      <c r="T146" t="str">
        <f>Tokens!V148</f>
        <v>Dernière utilisation</v>
      </c>
      <c r="U146">
        <f>Tokens!W148</f>
        <v>0</v>
      </c>
      <c r="V146">
        <f>Tokens!X148</f>
        <v>0</v>
      </c>
      <c r="W146">
        <f>Tokens!Y148</f>
        <v>0</v>
      </c>
      <c r="X146" t="str">
        <f>Tokens!Z148</f>
        <v>avantage1</v>
      </c>
      <c r="Y146" t="str">
        <f>Tokens!AA148</f>
        <v>accès pour deux (2) personnes à un (1) événement partenaire officiel de Calvi on the Rocks</v>
      </c>
      <c r="Z146">
        <f>Tokens!AB148</f>
        <v>0</v>
      </c>
      <c r="AA146">
        <f>Tokens!AC148</f>
        <v>0</v>
      </c>
      <c r="AB146">
        <f>Tokens!AD148</f>
        <v>0</v>
      </c>
      <c r="AC146">
        <f>Tokens!AE148</f>
        <v>0</v>
      </c>
      <c r="AD146">
        <f>Tokens!AF148</f>
        <v>0</v>
      </c>
      <c r="AE146">
        <f>Tokens!AG148</f>
        <v>0</v>
      </c>
      <c r="AF146" t="str">
        <f>Tokens!AH148</f>
        <v>avantage2</v>
      </c>
      <c r="AG146" t="str">
        <f>Tokens!AI148</f>
        <v>accès membre pour les after party officielles pour deux (2) personnes</v>
      </c>
      <c r="AH146" t="str">
        <f>Tokens!AJ148</f>
        <v>avantage3</v>
      </c>
      <c r="AI146" t="str">
        <f>Tokens!AK148</f>
        <v>accès prioritaire et bar dédié (consommation à la charge du festivalier) - tables réservées à l'avance pour les « NFT member » pour deux (2) personnes</v>
      </c>
      <c r="AJ146" t="str">
        <f>Tokens!AL148</f>
        <v>avantage4</v>
      </c>
      <c r="AK146" t="str">
        <f>Tokens!AM148</f>
        <v>1 affiche dédicacée et numérotée</v>
      </c>
      <c r="AL146">
        <f>Tokens!AN148</f>
        <v>0</v>
      </c>
      <c r="AM146">
        <f>Tokens!AO148</f>
        <v>0</v>
      </c>
      <c r="AN146">
        <f>Tokens!AP148</f>
        <v>0</v>
      </c>
      <c r="AO146">
        <f>Tokens!AQ148</f>
        <v>0</v>
      </c>
      <c r="AP146">
        <f>Tokens!AR148</f>
        <v>0</v>
      </c>
      <c r="AQ146">
        <f>Tokens!AS148</f>
        <v>0</v>
      </c>
      <c r="AR146">
        <f>Tokens!AT148</f>
        <v>0</v>
      </c>
      <c r="AS146">
        <f>Tokens!AU148</f>
        <v>0</v>
      </c>
      <c r="AT146" t="str">
        <f>Tokens!AV148</f>
        <v>Validation</v>
      </c>
      <c r="AU146" t="str">
        <f>Tokens!AW148</f>
        <v>https://tokensol.nfluent.io?s=COR22C85&amp;platform=ftx</v>
      </c>
      <c r="AV146" t="str">
        <f>Tokens!AX148</f>
        <v>paul</v>
      </c>
      <c r="AW146">
        <f>Tokens!AY148</f>
        <v>10</v>
      </c>
      <c r="AX146" t="str">
        <f>Tokens!AZ148</f>
        <v>sophie</v>
      </c>
      <c r="AY146">
        <f>Tokens!BA148</f>
        <v>90</v>
      </c>
      <c r="AZ146">
        <f>Tokens!BB148</f>
        <v>0</v>
      </c>
      <c r="BA146">
        <f>Tokens!BC148</f>
        <v>0</v>
      </c>
      <c r="BB146">
        <f>Tokens!BD148</f>
        <v>0</v>
      </c>
      <c r="BC146">
        <f>Tokens!BE148</f>
        <v>0</v>
      </c>
      <c r="BD146">
        <f>Tokens!BF148</f>
        <v>0</v>
      </c>
      <c r="BE146">
        <f>Tokens!BG148</f>
        <v>0</v>
      </c>
      <c r="BF146">
        <f>Tokens!BH148</f>
        <v>0</v>
      </c>
      <c r="BG146">
        <f>Tokens!BI148</f>
        <v>0</v>
      </c>
      <c r="BH146" t="str">
        <f>Tokens!BJ148</f>
        <v>La Porteuse D'Eau</v>
      </c>
      <c r="BI146" t="str">
        <f>Tokens!BK148</f>
        <v>Calvi On The Rocks</v>
      </c>
    </row>
    <row r="147" spans="1:61" x14ac:dyDescent="0.25">
      <c r="A147" t="str">
        <f>Tokens!C149</f>
        <v>La Porteuse D'Eau #86</v>
      </c>
      <c r="B147" t="str">
        <f>Tokens!D149</f>
        <v>COR22C86</v>
      </c>
      <c r="C147" t="str">
        <f>Tokens!E149</f>
        <v>La Porteuse D'Eau, 3 ans - Pass NFT 5 jours pour 2 personnes, valable pour 3 éditions Calvi On The Rocks de votre choix.</v>
      </c>
      <c r="D147">
        <f>Tokens!F149</f>
        <v>1000</v>
      </c>
      <c r="E147" t="str">
        <f>Tokens!G149</f>
        <v>https://bafybeicordeza5gk2bza3mvxlpkuixf2rl7wnnuldoo222om2i4bxv2oqa.ipfs.nftstorage.link?image_10.png</v>
      </c>
      <c r="F147" t="str">
        <f>Tokens!H149</f>
        <v>NfluenT for Calvi On The rocks</v>
      </c>
      <c r="G147">
        <f>Tokens!I149</f>
        <v>0</v>
      </c>
      <c r="H147" t="str">
        <f>Tokens!J149</f>
        <v>Pass festival</v>
      </c>
      <c r="I147" t="str">
        <f>Tokens!K149</f>
        <v>pour deux(2) personnes</v>
      </c>
      <c r="J147" t="str">
        <f>Tokens!L149</f>
        <v>Edition1</v>
      </c>
      <c r="K147">
        <f>Tokens!M149</f>
        <v>2</v>
      </c>
      <c r="L147" t="str">
        <f>Tokens!N149</f>
        <v>Edition2</v>
      </c>
      <c r="M147">
        <f>Tokens!O149</f>
        <v>2</v>
      </c>
      <c r="N147" t="str">
        <f>Tokens!P149</f>
        <v>Edition3</v>
      </c>
      <c r="O147">
        <f>Tokens!Q149</f>
        <v>2</v>
      </c>
      <c r="P147">
        <f>Tokens!R149</f>
        <v>0</v>
      </c>
      <c r="Q147">
        <f>Tokens!S149</f>
        <v>0</v>
      </c>
      <c r="R147">
        <f>Tokens!T149</f>
        <v>0</v>
      </c>
      <c r="S147">
        <f>Tokens!U149</f>
        <v>0</v>
      </c>
      <c r="T147" t="str">
        <f>Tokens!V149</f>
        <v>Dernière utilisation</v>
      </c>
      <c r="U147">
        <f>Tokens!W149</f>
        <v>0</v>
      </c>
      <c r="V147">
        <f>Tokens!X149</f>
        <v>0</v>
      </c>
      <c r="W147">
        <f>Tokens!Y149</f>
        <v>0</v>
      </c>
      <c r="X147" t="str">
        <f>Tokens!Z149</f>
        <v>avantage1</v>
      </c>
      <c r="Y147" t="str">
        <f>Tokens!AA149</f>
        <v>accès pour deux (2) personnes à un (1) événement partenaire officiel de Calvi on the Rocks</v>
      </c>
      <c r="Z147">
        <f>Tokens!AB149</f>
        <v>0</v>
      </c>
      <c r="AA147">
        <f>Tokens!AC149</f>
        <v>0</v>
      </c>
      <c r="AB147">
        <f>Tokens!AD149</f>
        <v>0</v>
      </c>
      <c r="AC147">
        <f>Tokens!AE149</f>
        <v>0</v>
      </c>
      <c r="AD147">
        <f>Tokens!AF149</f>
        <v>0</v>
      </c>
      <c r="AE147">
        <f>Tokens!AG149</f>
        <v>0</v>
      </c>
      <c r="AF147" t="str">
        <f>Tokens!AH149</f>
        <v>avantage2</v>
      </c>
      <c r="AG147" t="str">
        <f>Tokens!AI149</f>
        <v>accès membre pour les after party officielles pour deux (2) personnes</v>
      </c>
      <c r="AH147" t="str">
        <f>Tokens!AJ149</f>
        <v>avantage3</v>
      </c>
      <c r="AI147" t="str">
        <f>Tokens!AK149</f>
        <v>accès prioritaire et bar dédié (consommation à la charge du festivalier) - tables réservées à l'avance pour les « NFT member » pour deux (2) personnes</v>
      </c>
      <c r="AJ147" t="str">
        <f>Tokens!AL149</f>
        <v>avantage4</v>
      </c>
      <c r="AK147" t="str">
        <f>Tokens!AM149</f>
        <v>1 affiche dédicacée et numérotée</v>
      </c>
      <c r="AL147">
        <f>Tokens!AN149</f>
        <v>0</v>
      </c>
      <c r="AM147">
        <f>Tokens!AO149</f>
        <v>0</v>
      </c>
      <c r="AN147">
        <f>Tokens!AP149</f>
        <v>0</v>
      </c>
      <c r="AO147">
        <f>Tokens!AQ149</f>
        <v>0</v>
      </c>
      <c r="AP147">
        <f>Tokens!AR149</f>
        <v>0</v>
      </c>
      <c r="AQ147">
        <f>Tokens!AS149</f>
        <v>0</v>
      </c>
      <c r="AR147">
        <f>Tokens!AT149</f>
        <v>0</v>
      </c>
      <c r="AS147">
        <f>Tokens!AU149</f>
        <v>0</v>
      </c>
      <c r="AT147" t="str">
        <f>Tokens!AV149</f>
        <v>Validation</v>
      </c>
      <c r="AU147" t="str">
        <f>Tokens!AW149</f>
        <v>https://tokensol.nfluent.io?s=COR22C86&amp;platform=ftx</v>
      </c>
      <c r="AV147" t="str">
        <f>Tokens!AX149</f>
        <v>paul</v>
      </c>
      <c r="AW147">
        <f>Tokens!AY149</f>
        <v>10</v>
      </c>
      <c r="AX147" t="str">
        <f>Tokens!AZ149</f>
        <v>sophie</v>
      </c>
      <c r="AY147">
        <f>Tokens!BA149</f>
        <v>90</v>
      </c>
      <c r="AZ147">
        <f>Tokens!BB149</f>
        <v>0</v>
      </c>
      <c r="BA147">
        <f>Tokens!BC149</f>
        <v>0</v>
      </c>
      <c r="BB147">
        <f>Tokens!BD149</f>
        <v>0</v>
      </c>
      <c r="BC147">
        <f>Tokens!BE149</f>
        <v>0</v>
      </c>
      <c r="BD147">
        <f>Tokens!BF149</f>
        <v>0</v>
      </c>
      <c r="BE147">
        <f>Tokens!BG149</f>
        <v>0</v>
      </c>
      <c r="BF147">
        <f>Tokens!BH149</f>
        <v>0</v>
      </c>
      <c r="BG147">
        <f>Tokens!BI149</f>
        <v>0</v>
      </c>
      <c r="BH147" t="str">
        <f>Tokens!BJ149</f>
        <v>La Porteuse D'Eau</v>
      </c>
      <c r="BI147" t="str">
        <f>Tokens!BK149</f>
        <v>Calvi On The Rocks</v>
      </c>
    </row>
    <row r="148" spans="1:61" x14ac:dyDescent="0.25">
      <c r="A148" t="str">
        <f>Tokens!C150</f>
        <v>La Porteuse D'Eau #87</v>
      </c>
      <c r="B148" t="str">
        <f>Tokens!D150</f>
        <v>COR22C87</v>
      </c>
      <c r="C148" t="str">
        <f>Tokens!E150</f>
        <v>La Porteuse D'Eau, 3 ans - Pass NFT 5 jours pour 2 personnes, valable pour 3 éditions Calvi On The Rocks de votre choix.</v>
      </c>
      <c r="D148">
        <f>Tokens!F150</f>
        <v>1000</v>
      </c>
      <c r="E148" t="str">
        <f>Tokens!G150</f>
        <v>https://bafybeicordeza5gk2bza3mvxlpkuixf2rl7wnnuldoo222om2i4bxv2oqa.ipfs.nftstorage.link?image_10.png</v>
      </c>
      <c r="F148" t="str">
        <f>Tokens!H150</f>
        <v>NfluenT for Calvi On The rocks</v>
      </c>
      <c r="G148">
        <f>Tokens!I150</f>
        <v>0</v>
      </c>
      <c r="H148" t="str">
        <f>Tokens!J150</f>
        <v>Pass festival</v>
      </c>
      <c r="I148" t="str">
        <f>Tokens!K150</f>
        <v>pour deux(2) personnes</v>
      </c>
      <c r="J148" t="str">
        <f>Tokens!L150</f>
        <v>Edition1</v>
      </c>
      <c r="K148">
        <f>Tokens!M150</f>
        <v>2</v>
      </c>
      <c r="L148" t="str">
        <f>Tokens!N150</f>
        <v>Edition2</v>
      </c>
      <c r="M148">
        <f>Tokens!O150</f>
        <v>2</v>
      </c>
      <c r="N148" t="str">
        <f>Tokens!P150</f>
        <v>Edition3</v>
      </c>
      <c r="O148">
        <f>Tokens!Q150</f>
        <v>2</v>
      </c>
      <c r="P148">
        <f>Tokens!R150</f>
        <v>0</v>
      </c>
      <c r="Q148">
        <f>Tokens!S150</f>
        <v>0</v>
      </c>
      <c r="R148">
        <f>Tokens!T150</f>
        <v>0</v>
      </c>
      <c r="S148">
        <f>Tokens!U150</f>
        <v>0</v>
      </c>
      <c r="T148" t="str">
        <f>Tokens!V150</f>
        <v>Dernière utilisation</v>
      </c>
      <c r="U148">
        <f>Tokens!W150</f>
        <v>0</v>
      </c>
      <c r="V148">
        <f>Tokens!X150</f>
        <v>0</v>
      </c>
      <c r="W148">
        <f>Tokens!Y150</f>
        <v>0</v>
      </c>
      <c r="X148" t="str">
        <f>Tokens!Z150</f>
        <v>avantage1</v>
      </c>
      <c r="Y148" t="str">
        <f>Tokens!AA150</f>
        <v>accès pour deux (2) personnes à un (1) événement partenaire officiel de Calvi on the Rocks</v>
      </c>
      <c r="Z148">
        <f>Tokens!AB150</f>
        <v>0</v>
      </c>
      <c r="AA148">
        <f>Tokens!AC150</f>
        <v>0</v>
      </c>
      <c r="AB148">
        <f>Tokens!AD150</f>
        <v>0</v>
      </c>
      <c r="AC148">
        <f>Tokens!AE150</f>
        <v>0</v>
      </c>
      <c r="AD148">
        <f>Tokens!AF150</f>
        <v>0</v>
      </c>
      <c r="AE148">
        <f>Tokens!AG150</f>
        <v>0</v>
      </c>
      <c r="AF148" t="str">
        <f>Tokens!AH150</f>
        <v>avantage2</v>
      </c>
      <c r="AG148" t="str">
        <f>Tokens!AI150</f>
        <v>accès membre pour les after party officielles pour deux (2) personnes</v>
      </c>
      <c r="AH148" t="str">
        <f>Tokens!AJ150</f>
        <v>avantage3</v>
      </c>
      <c r="AI148" t="str">
        <f>Tokens!AK150</f>
        <v>accès prioritaire et bar dédié (consommation à la charge du festivalier) - tables réservées à l'avance pour les « NFT member » pour deux (2) personnes</v>
      </c>
      <c r="AJ148" t="str">
        <f>Tokens!AL150</f>
        <v>avantage4</v>
      </c>
      <c r="AK148" t="str">
        <f>Tokens!AM150</f>
        <v>1 affiche dédicacée et numérotée</v>
      </c>
      <c r="AL148">
        <f>Tokens!AN150</f>
        <v>0</v>
      </c>
      <c r="AM148">
        <f>Tokens!AO150</f>
        <v>0</v>
      </c>
      <c r="AN148">
        <f>Tokens!AP150</f>
        <v>0</v>
      </c>
      <c r="AO148">
        <f>Tokens!AQ150</f>
        <v>0</v>
      </c>
      <c r="AP148">
        <f>Tokens!AR150</f>
        <v>0</v>
      </c>
      <c r="AQ148">
        <f>Tokens!AS150</f>
        <v>0</v>
      </c>
      <c r="AR148">
        <f>Tokens!AT150</f>
        <v>0</v>
      </c>
      <c r="AS148">
        <f>Tokens!AU150</f>
        <v>0</v>
      </c>
      <c r="AT148" t="str">
        <f>Tokens!AV150</f>
        <v>Validation</v>
      </c>
      <c r="AU148" t="str">
        <f>Tokens!AW150</f>
        <v>https://tokensol.nfluent.io?s=COR22C87&amp;platform=ftx</v>
      </c>
      <c r="AV148" t="str">
        <f>Tokens!AX150</f>
        <v>paul</v>
      </c>
      <c r="AW148">
        <f>Tokens!AY150</f>
        <v>10</v>
      </c>
      <c r="AX148" t="str">
        <f>Tokens!AZ150</f>
        <v>sophie</v>
      </c>
      <c r="AY148">
        <f>Tokens!BA150</f>
        <v>90</v>
      </c>
      <c r="AZ148">
        <f>Tokens!BB150</f>
        <v>0</v>
      </c>
      <c r="BA148">
        <f>Tokens!BC150</f>
        <v>0</v>
      </c>
      <c r="BB148">
        <f>Tokens!BD150</f>
        <v>0</v>
      </c>
      <c r="BC148">
        <f>Tokens!BE150</f>
        <v>0</v>
      </c>
      <c r="BD148">
        <f>Tokens!BF150</f>
        <v>0</v>
      </c>
      <c r="BE148">
        <f>Tokens!BG150</f>
        <v>0</v>
      </c>
      <c r="BF148">
        <f>Tokens!BH150</f>
        <v>0</v>
      </c>
      <c r="BG148">
        <f>Tokens!BI150</f>
        <v>0</v>
      </c>
      <c r="BH148" t="str">
        <f>Tokens!BJ150</f>
        <v>La Porteuse D'Eau</v>
      </c>
      <c r="BI148" t="str">
        <f>Tokens!BK150</f>
        <v>Calvi On The Rocks</v>
      </c>
    </row>
    <row r="149" spans="1:61" x14ac:dyDescent="0.25">
      <c r="A149" t="str">
        <f>Tokens!C151</f>
        <v>La Porteuse D'Eau #88</v>
      </c>
      <c r="B149" t="str">
        <f>Tokens!D151</f>
        <v>COR22C88</v>
      </c>
      <c r="C149" t="str">
        <f>Tokens!E151</f>
        <v>La Porteuse D'Eau, 3 ans - Pass NFT 5 jours pour 2 personnes, valable pour 3 éditions Calvi On The Rocks de votre choix.</v>
      </c>
      <c r="D149">
        <f>Tokens!F151</f>
        <v>1000</v>
      </c>
      <c r="E149" t="str">
        <f>Tokens!G151</f>
        <v>https://bafybeicordeza5gk2bza3mvxlpkuixf2rl7wnnuldoo222om2i4bxv2oqa.ipfs.nftstorage.link?image_10.png</v>
      </c>
      <c r="F149" t="str">
        <f>Tokens!H151</f>
        <v>NfluenT for Calvi On The rocks</v>
      </c>
      <c r="G149">
        <f>Tokens!I151</f>
        <v>0</v>
      </c>
      <c r="H149" t="str">
        <f>Tokens!J151</f>
        <v>Pass festival</v>
      </c>
      <c r="I149" t="str">
        <f>Tokens!K151</f>
        <v>pour deux(2) personnes</v>
      </c>
      <c r="J149" t="str">
        <f>Tokens!L151</f>
        <v>Edition1</v>
      </c>
      <c r="K149">
        <f>Tokens!M151</f>
        <v>2</v>
      </c>
      <c r="L149" t="str">
        <f>Tokens!N151</f>
        <v>Edition2</v>
      </c>
      <c r="M149">
        <f>Tokens!O151</f>
        <v>2</v>
      </c>
      <c r="N149" t="str">
        <f>Tokens!P151</f>
        <v>Edition3</v>
      </c>
      <c r="O149">
        <f>Tokens!Q151</f>
        <v>2</v>
      </c>
      <c r="P149">
        <f>Tokens!R151</f>
        <v>0</v>
      </c>
      <c r="Q149">
        <f>Tokens!S151</f>
        <v>0</v>
      </c>
      <c r="R149">
        <f>Tokens!T151</f>
        <v>0</v>
      </c>
      <c r="S149">
        <f>Tokens!U151</f>
        <v>0</v>
      </c>
      <c r="T149" t="str">
        <f>Tokens!V151</f>
        <v>Dernière utilisation</v>
      </c>
      <c r="U149">
        <f>Tokens!W151</f>
        <v>0</v>
      </c>
      <c r="V149">
        <f>Tokens!X151</f>
        <v>0</v>
      </c>
      <c r="W149">
        <f>Tokens!Y151</f>
        <v>0</v>
      </c>
      <c r="X149" t="str">
        <f>Tokens!Z151</f>
        <v>avantage1</v>
      </c>
      <c r="Y149" t="str">
        <f>Tokens!AA151</f>
        <v>accès pour deux (2) personnes à un (1) événement partenaire officiel de Calvi on the Rocks</v>
      </c>
      <c r="Z149">
        <f>Tokens!AB151</f>
        <v>0</v>
      </c>
      <c r="AA149">
        <f>Tokens!AC151</f>
        <v>0</v>
      </c>
      <c r="AB149">
        <f>Tokens!AD151</f>
        <v>0</v>
      </c>
      <c r="AC149">
        <f>Tokens!AE151</f>
        <v>0</v>
      </c>
      <c r="AD149">
        <f>Tokens!AF151</f>
        <v>0</v>
      </c>
      <c r="AE149">
        <f>Tokens!AG151</f>
        <v>0</v>
      </c>
      <c r="AF149" t="str">
        <f>Tokens!AH151</f>
        <v>avantage2</v>
      </c>
      <c r="AG149" t="str">
        <f>Tokens!AI151</f>
        <v>accès membre pour les after party officielles pour deux (2) personnes</v>
      </c>
      <c r="AH149" t="str">
        <f>Tokens!AJ151</f>
        <v>avantage3</v>
      </c>
      <c r="AI149" t="str">
        <f>Tokens!AK151</f>
        <v>accès prioritaire et bar dédié (consommation à la charge du festivalier) - tables réservées à l'avance pour les « NFT member » pour deux (2) personnes</v>
      </c>
      <c r="AJ149" t="str">
        <f>Tokens!AL151</f>
        <v>avantage4</v>
      </c>
      <c r="AK149" t="str">
        <f>Tokens!AM151</f>
        <v>1 affiche dédicacée et numérotée</v>
      </c>
      <c r="AL149">
        <f>Tokens!AN151</f>
        <v>0</v>
      </c>
      <c r="AM149">
        <f>Tokens!AO151</f>
        <v>0</v>
      </c>
      <c r="AN149">
        <f>Tokens!AP151</f>
        <v>0</v>
      </c>
      <c r="AO149">
        <f>Tokens!AQ151</f>
        <v>0</v>
      </c>
      <c r="AP149">
        <f>Tokens!AR151</f>
        <v>0</v>
      </c>
      <c r="AQ149">
        <f>Tokens!AS151</f>
        <v>0</v>
      </c>
      <c r="AR149">
        <f>Tokens!AT151</f>
        <v>0</v>
      </c>
      <c r="AS149">
        <f>Tokens!AU151</f>
        <v>0</v>
      </c>
      <c r="AT149" t="str">
        <f>Tokens!AV151</f>
        <v>Validation</v>
      </c>
      <c r="AU149" t="str">
        <f>Tokens!AW151</f>
        <v>https://tokensol.nfluent.io?s=COR22C88&amp;platform=ftx</v>
      </c>
      <c r="AV149" t="str">
        <f>Tokens!AX151</f>
        <v>paul</v>
      </c>
      <c r="AW149">
        <f>Tokens!AY151</f>
        <v>10</v>
      </c>
      <c r="AX149" t="str">
        <f>Tokens!AZ151</f>
        <v>sophie</v>
      </c>
      <c r="AY149">
        <f>Tokens!BA151</f>
        <v>90</v>
      </c>
      <c r="AZ149">
        <f>Tokens!BB151</f>
        <v>0</v>
      </c>
      <c r="BA149">
        <f>Tokens!BC151</f>
        <v>0</v>
      </c>
      <c r="BB149">
        <f>Tokens!BD151</f>
        <v>0</v>
      </c>
      <c r="BC149">
        <f>Tokens!BE151</f>
        <v>0</v>
      </c>
      <c r="BD149">
        <f>Tokens!BF151</f>
        <v>0</v>
      </c>
      <c r="BE149">
        <f>Tokens!BG151</f>
        <v>0</v>
      </c>
      <c r="BF149">
        <f>Tokens!BH151</f>
        <v>0</v>
      </c>
      <c r="BG149">
        <f>Tokens!BI151</f>
        <v>0</v>
      </c>
      <c r="BH149" t="str">
        <f>Tokens!BJ151</f>
        <v>La Porteuse D'Eau</v>
      </c>
      <c r="BI149" t="str">
        <f>Tokens!BK151</f>
        <v>Calvi On The Rocks</v>
      </c>
    </row>
    <row r="150" spans="1:61" x14ac:dyDescent="0.25">
      <c r="A150" t="str">
        <f>Tokens!C152</f>
        <v>La Porteuse D'Eau #89</v>
      </c>
      <c r="B150" t="str">
        <f>Tokens!D152</f>
        <v>COR22C89</v>
      </c>
      <c r="C150" t="str">
        <f>Tokens!E152</f>
        <v>La Porteuse D'Eau, 3 ans - Pass NFT 5 jours pour 2 personnes, valable pour 3 éditions Calvi On The Rocks de votre choix.</v>
      </c>
      <c r="D150">
        <f>Tokens!F152</f>
        <v>1000</v>
      </c>
      <c r="E150" t="str">
        <f>Tokens!G152</f>
        <v>https://bafybeicordeza5gk2bza3mvxlpkuixf2rl7wnnuldoo222om2i4bxv2oqa.ipfs.nftstorage.link?image_10.png</v>
      </c>
      <c r="F150" t="str">
        <f>Tokens!H152</f>
        <v>NfluenT for Calvi On The rocks</v>
      </c>
      <c r="G150">
        <f>Tokens!I152</f>
        <v>0</v>
      </c>
      <c r="H150" t="str">
        <f>Tokens!J152</f>
        <v>Pass festival</v>
      </c>
      <c r="I150" t="str">
        <f>Tokens!K152</f>
        <v>pour deux(2) personnes</v>
      </c>
      <c r="J150" t="str">
        <f>Tokens!L152</f>
        <v>Edition1</v>
      </c>
      <c r="K150">
        <f>Tokens!M152</f>
        <v>2</v>
      </c>
      <c r="L150" t="str">
        <f>Tokens!N152</f>
        <v>Edition2</v>
      </c>
      <c r="M150">
        <f>Tokens!O152</f>
        <v>2</v>
      </c>
      <c r="N150" t="str">
        <f>Tokens!P152</f>
        <v>Edition3</v>
      </c>
      <c r="O150">
        <f>Tokens!Q152</f>
        <v>2</v>
      </c>
      <c r="P150">
        <f>Tokens!R152</f>
        <v>0</v>
      </c>
      <c r="Q150">
        <f>Tokens!S152</f>
        <v>0</v>
      </c>
      <c r="R150">
        <f>Tokens!T152</f>
        <v>0</v>
      </c>
      <c r="S150">
        <f>Tokens!U152</f>
        <v>0</v>
      </c>
      <c r="T150" t="str">
        <f>Tokens!V152</f>
        <v>Dernière utilisation</v>
      </c>
      <c r="U150">
        <f>Tokens!W152</f>
        <v>0</v>
      </c>
      <c r="V150">
        <f>Tokens!X152</f>
        <v>0</v>
      </c>
      <c r="W150">
        <f>Tokens!Y152</f>
        <v>0</v>
      </c>
      <c r="X150" t="str">
        <f>Tokens!Z152</f>
        <v>avantage1</v>
      </c>
      <c r="Y150" t="str">
        <f>Tokens!AA152</f>
        <v>accès pour deux (2) personnes à un (1) événement partenaire officiel de Calvi on the Rocks</v>
      </c>
      <c r="Z150">
        <f>Tokens!AB152</f>
        <v>0</v>
      </c>
      <c r="AA150">
        <f>Tokens!AC152</f>
        <v>0</v>
      </c>
      <c r="AB150">
        <f>Tokens!AD152</f>
        <v>0</v>
      </c>
      <c r="AC150">
        <f>Tokens!AE152</f>
        <v>0</v>
      </c>
      <c r="AD150">
        <f>Tokens!AF152</f>
        <v>0</v>
      </c>
      <c r="AE150">
        <f>Tokens!AG152</f>
        <v>0</v>
      </c>
      <c r="AF150" t="str">
        <f>Tokens!AH152</f>
        <v>avantage2</v>
      </c>
      <c r="AG150" t="str">
        <f>Tokens!AI152</f>
        <v>accès membre pour les after party officielles pour deux (2) personnes</v>
      </c>
      <c r="AH150" t="str">
        <f>Tokens!AJ152</f>
        <v>avantage3</v>
      </c>
      <c r="AI150" t="str">
        <f>Tokens!AK152</f>
        <v>accès prioritaire et bar dédié (consommation à la charge du festivalier) - tables réservées à l'avance pour les « NFT member » pour deux (2) personnes</v>
      </c>
      <c r="AJ150" t="str">
        <f>Tokens!AL152</f>
        <v>avantage4</v>
      </c>
      <c r="AK150" t="str">
        <f>Tokens!AM152</f>
        <v>1 affiche dédicacée et numérotée</v>
      </c>
      <c r="AL150">
        <f>Tokens!AN152</f>
        <v>0</v>
      </c>
      <c r="AM150">
        <f>Tokens!AO152</f>
        <v>0</v>
      </c>
      <c r="AN150">
        <f>Tokens!AP152</f>
        <v>0</v>
      </c>
      <c r="AO150">
        <f>Tokens!AQ152</f>
        <v>0</v>
      </c>
      <c r="AP150">
        <f>Tokens!AR152</f>
        <v>0</v>
      </c>
      <c r="AQ150">
        <f>Tokens!AS152</f>
        <v>0</v>
      </c>
      <c r="AR150">
        <f>Tokens!AT152</f>
        <v>0</v>
      </c>
      <c r="AS150">
        <f>Tokens!AU152</f>
        <v>0</v>
      </c>
      <c r="AT150" t="str">
        <f>Tokens!AV152</f>
        <v>Validation</v>
      </c>
      <c r="AU150" t="str">
        <f>Tokens!AW152</f>
        <v>https://tokensol.nfluent.io?s=COR22C89&amp;platform=ftx</v>
      </c>
      <c r="AV150" t="str">
        <f>Tokens!AX152</f>
        <v>paul</v>
      </c>
      <c r="AW150">
        <f>Tokens!AY152</f>
        <v>10</v>
      </c>
      <c r="AX150" t="str">
        <f>Tokens!AZ152</f>
        <v>sophie</v>
      </c>
      <c r="AY150">
        <f>Tokens!BA152</f>
        <v>90</v>
      </c>
      <c r="AZ150">
        <f>Tokens!BB152</f>
        <v>0</v>
      </c>
      <c r="BA150">
        <f>Tokens!BC152</f>
        <v>0</v>
      </c>
      <c r="BB150">
        <f>Tokens!BD152</f>
        <v>0</v>
      </c>
      <c r="BC150">
        <f>Tokens!BE152</f>
        <v>0</v>
      </c>
      <c r="BD150">
        <f>Tokens!BF152</f>
        <v>0</v>
      </c>
      <c r="BE150">
        <f>Tokens!BG152</f>
        <v>0</v>
      </c>
      <c r="BF150">
        <f>Tokens!BH152</f>
        <v>0</v>
      </c>
      <c r="BG150">
        <f>Tokens!BI152</f>
        <v>0</v>
      </c>
      <c r="BH150" t="str">
        <f>Tokens!BJ152</f>
        <v>La Porteuse D'Eau</v>
      </c>
      <c r="BI150" t="str">
        <f>Tokens!BK152</f>
        <v>Calvi On The Rocks</v>
      </c>
    </row>
    <row r="151" spans="1:61" x14ac:dyDescent="0.25">
      <c r="A151" t="str">
        <f>Tokens!C153</f>
        <v>La Porteuse D'Eau #90</v>
      </c>
      <c r="B151" t="str">
        <f>Tokens!D153</f>
        <v>COR22C90</v>
      </c>
      <c r="C151" t="str">
        <f>Tokens!E153</f>
        <v>La Porteuse D'Eau, 3 ans - Pass NFT 5 jours pour 2 personnes, valable pour 3 éditions Calvi On The Rocks de votre choix.</v>
      </c>
      <c r="D151">
        <f>Tokens!F153</f>
        <v>1000</v>
      </c>
      <c r="E151" t="str">
        <f>Tokens!G153</f>
        <v>https://bafybeicordeza5gk2bza3mvxlpkuixf2rl7wnnuldoo222om2i4bxv2oqa.ipfs.nftstorage.link?image_10.png</v>
      </c>
      <c r="F151" t="str">
        <f>Tokens!H153</f>
        <v>NfluenT for Calvi On The rocks</v>
      </c>
      <c r="G151">
        <f>Tokens!I153</f>
        <v>0</v>
      </c>
      <c r="H151" t="str">
        <f>Tokens!J153</f>
        <v>Pass festival</v>
      </c>
      <c r="I151" t="str">
        <f>Tokens!K153</f>
        <v>pour deux(2) personnes</v>
      </c>
      <c r="J151" t="str">
        <f>Tokens!L153</f>
        <v>Edition1</v>
      </c>
      <c r="K151">
        <f>Tokens!M153</f>
        <v>2</v>
      </c>
      <c r="L151" t="str">
        <f>Tokens!N153</f>
        <v>Edition2</v>
      </c>
      <c r="M151">
        <f>Tokens!O153</f>
        <v>2</v>
      </c>
      <c r="N151" t="str">
        <f>Tokens!P153</f>
        <v>Edition3</v>
      </c>
      <c r="O151">
        <f>Tokens!Q153</f>
        <v>2</v>
      </c>
      <c r="P151">
        <f>Tokens!R153</f>
        <v>0</v>
      </c>
      <c r="Q151">
        <f>Tokens!S153</f>
        <v>0</v>
      </c>
      <c r="R151">
        <f>Tokens!T153</f>
        <v>0</v>
      </c>
      <c r="S151">
        <f>Tokens!U153</f>
        <v>0</v>
      </c>
      <c r="T151" t="str">
        <f>Tokens!V153</f>
        <v>Dernière utilisation</v>
      </c>
      <c r="U151">
        <f>Tokens!W153</f>
        <v>0</v>
      </c>
      <c r="V151">
        <f>Tokens!X153</f>
        <v>0</v>
      </c>
      <c r="W151">
        <f>Tokens!Y153</f>
        <v>0</v>
      </c>
      <c r="X151" t="str">
        <f>Tokens!Z153</f>
        <v>avantage1</v>
      </c>
      <c r="Y151" t="str">
        <f>Tokens!AA153</f>
        <v>accès pour deux (2) personnes à un (1) événement partenaire officiel de Calvi on the Rocks</v>
      </c>
      <c r="Z151">
        <f>Tokens!AB153</f>
        <v>0</v>
      </c>
      <c r="AA151">
        <f>Tokens!AC153</f>
        <v>0</v>
      </c>
      <c r="AB151">
        <f>Tokens!AD153</f>
        <v>0</v>
      </c>
      <c r="AC151">
        <f>Tokens!AE153</f>
        <v>0</v>
      </c>
      <c r="AD151">
        <f>Tokens!AF153</f>
        <v>0</v>
      </c>
      <c r="AE151">
        <f>Tokens!AG153</f>
        <v>0</v>
      </c>
      <c r="AF151" t="str">
        <f>Tokens!AH153</f>
        <v>avantage2</v>
      </c>
      <c r="AG151" t="str">
        <f>Tokens!AI153</f>
        <v>accès membre pour les after party officielles pour deux (2) personnes</v>
      </c>
      <c r="AH151" t="str">
        <f>Tokens!AJ153</f>
        <v>avantage3</v>
      </c>
      <c r="AI151" t="str">
        <f>Tokens!AK153</f>
        <v>accès prioritaire et bar dédié (consommation à la charge du festivalier) - tables réservées à l'avance pour les « NFT member » pour deux (2) personnes</v>
      </c>
      <c r="AJ151" t="str">
        <f>Tokens!AL153</f>
        <v>avantage4</v>
      </c>
      <c r="AK151" t="str">
        <f>Tokens!AM153</f>
        <v>1 affiche dédicacée et numérotée</v>
      </c>
      <c r="AL151">
        <f>Tokens!AN153</f>
        <v>0</v>
      </c>
      <c r="AM151">
        <f>Tokens!AO153</f>
        <v>0</v>
      </c>
      <c r="AN151">
        <f>Tokens!AP153</f>
        <v>0</v>
      </c>
      <c r="AO151">
        <f>Tokens!AQ153</f>
        <v>0</v>
      </c>
      <c r="AP151">
        <f>Tokens!AR153</f>
        <v>0</v>
      </c>
      <c r="AQ151">
        <f>Tokens!AS153</f>
        <v>0</v>
      </c>
      <c r="AR151">
        <f>Tokens!AT153</f>
        <v>0</v>
      </c>
      <c r="AS151">
        <f>Tokens!AU153</f>
        <v>0</v>
      </c>
      <c r="AT151" t="str">
        <f>Tokens!AV153</f>
        <v>Validation</v>
      </c>
      <c r="AU151" t="str">
        <f>Tokens!AW153</f>
        <v>https://tokensol.nfluent.io?s=COR22C90&amp;platform=ftx</v>
      </c>
      <c r="AV151" t="str">
        <f>Tokens!AX153</f>
        <v>paul</v>
      </c>
      <c r="AW151">
        <f>Tokens!AY153</f>
        <v>10</v>
      </c>
      <c r="AX151" t="str">
        <f>Tokens!AZ153</f>
        <v>sophie</v>
      </c>
      <c r="AY151">
        <f>Tokens!BA153</f>
        <v>90</v>
      </c>
      <c r="AZ151">
        <f>Tokens!BB153</f>
        <v>0</v>
      </c>
      <c r="BA151">
        <f>Tokens!BC153</f>
        <v>0</v>
      </c>
      <c r="BB151">
        <f>Tokens!BD153</f>
        <v>0</v>
      </c>
      <c r="BC151">
        <f>Tokens!BE153</f>
        <v>0</v>
      </c>
      <c r="BD151">
        <f>Tokens!BF153</f>
        <v>0</v>
      </c>
      <c r="BE151">
        <f>Tokens!BG153</f>
        <v>0</v>
      </c>
      <c r="BF151">
        <f>Tokens!BH153</f>
        <v>0</v>
      </c>
      <c r="BG151">
        <f>Tokens!BI153</f>
        <v>0</v>
      </c>
      <c r="BH151" t="str">
        <f>Tokens!BJ153</f>
        <v>La Porteuse D'Eau</v>
      </c>
      <c r="BI151" t="str">
        <f>Tokens!BK153</f>
        <v>Calvi On The Rocks</v>
      </c>
    </row>
    <row r="152" spans="1:61" x14ac:dyDescent="0.25">
      <c r="A152" t="str">
        <f>Tokens!C154</f>
        <v>La Porteuse D'Eau #91</v>
      </c>
      <c r="B152" t="str">
        <f>Tokens!D154</f>
        <v>COR22C91</v>
      </c>
      <c r="C152" t="str">
        <f>Tokens!E154</f>
        <v>La Porteuse D'Eau, 3 ans - Pass NFT 5 jours pour 2 personnes, valable pour 3 éditions Calvi On The Rocks de votre choix.</v>
      </c>
      <c r="D152">
        <f>Tokens!F154</f>
        <v>1000</v>
      </c>
      <c r="E152" t="str">
        <f>Tokens!G154</f>
        <v>https://bafybeicordeza5gk2bza3mvxlpkuixf2rl7wnnuldoo222om2i4bxv2oqa.ipfs.nftstorage.link?image_10.png</v>
      </c>
      <c r="F152" t="str">
        <f>Tokens!H154</f>
        <v>NfluenT for Calvi On The rocks</v>
      </c>
      <c r="G152">
        <f>Tokens!I154</f>
        <v>0</v>
      </c>
      <c r="H152" t="str">
        <f>Tokens!J154</f>
        <v>Pass festival</v>
      </c>
      <c r="I152" t="str">
        <f>Tokens!K154</f>
        <v>pour deux(2) personnes</v>
      </c>
      <c r="J152" t="str">
        <f>Tokens!L154</f>
        <v>Edition1</v>
      </c>
      <c r="K152">
        <f>Tokens!M154</f>
        <v>2</v>
      </c>
      <c r="L152" t="str">
        <f>Tokens!N154</f>
        <v>Edition2</v>
      </c>
      <c r="M152">
        <f>Tokens!O154</f>
        <v>2</v>
      </c>
      <c r="N152" t="str">
        <f>Tokens!P154</f>
        <v>Edition3</v>
      </c>
      <c r="O152">
        <f>Tokens!Q154</f>
        <v>2</v>
      </c>
      <c r="P152">
        <f>Tokens!R154</f>
        <v>0</v>
      </c>
      <c r="Q152">
        <f>Tokens!S154</f>
        <v>0</v>
      </c>
      <c r="R152">
        <f>Tokens!T154</f>
        <v>0</v>
      </c>
      <c r="S152">
        <f>Tokens!U154</f>
        <v>0</v>
      </c>
      <c r="T152" t="str">
        <f>Tokens!V154</f>
        <v>Dernière utilisation</v>
      </c>
      <c r="U152">
        <f>Tokens!W154</f>
        <v>0</v>
      </c>
      <c r="V152">
        <f>Tokens!X154</f>
        <v>0</v>
      </c>
      <c r="W152">
        <f>Tokens!Y154</f>
        <v>0</v>
      </c>
      <c r="X152" t="str">
        <f>Tokens!Z154</f>
        <v>avantage1</v>
      </c>
      <c r="Y152" t="str">
        <f>Tokens!AA154</f>
        <v>accès pour deux (2) personnes à un (1) événement partenaire officiel de Calvi on the Rocks</v>
      </c>
      <c r="Z152">
        <f>Tokens!AB154</f>
        <v>0</v>
      </c>
      <c r="AA152">
        <f>Tokens!AC154</f>
        <v>0</v>
      </c>
      <c r="AB152">
        <f>Tokens!AD154</f>
        <v>0</v>
      </c>
      <c r="AC152">
        <f>Tokens!AE154</f>
        <v>0</v>
      </c>
      <c r="AD152">
        <f>Tokens!AF154</f>
        <v>0</v>
      </c>
      <c r="AE152">
        <f>Tokens!AG154</f>
        <v>0</v>
      </c>
      <c r="AF152" t="str">
        <f>Tokens!AH154</f>
        <v>avantage2</v>
      </c>
      <c r="AG152" t="str">
        <f>Tokens!AI154</f>
        <v>accès membre pour les after party officielles pour deux (2) personnes</v>
      </c>
      <c r="AH152" t="str">
        <f>Tokens!AJ154</f>
        <v>avantage3</v>
      </c>
      <c r="AI152" t="str">
        <f>Tokens!AK154</f>
        <v>accès prioritaire et bar dédié (consommation à la charge du festivalier) - tables réservées à l'avance pour les « NFT member » pour deux (2) personnes</v>
      </c>
      <c r="AJ152" t="str">
        <f>Tokens!AL154</f>
        <v>avantage4</v>
      </c>
      <c r="AK152" t="str">
        <f>Tokens!AM154</f>
        <v>1 affiche dédicacée et numérotée</v>
      </c>
      <c r="AL152">
        <f>Tokens!AN154</f>
        <v>0</v>
      </c>
      <c r="AM152">
        <f>Tokens!AO154</f>
        <v>0</v>
      </c>
      <c r="AN152">
        <f>Tokens!AP154</f>
        <v>0</v>
      </c>
      <c r="AO152">
        <f>Tokens!AQ154</f>
        <v>0</v>
      </c>
      <c r="AP152">
        <f>Tokens!AR154</f>
        <v>0</v>
      </c>
      <c r="AQ152">
        <f>Tokens!AS154</f>
        <v>0</v>
      </c>
      <c r="AR152">
        <f>Tokens!AT154</f>
        <v>0</v>
      </c>
      <c r="AS152">
        <f>Tokens!AU154</f>
        <v>0</v>
      </c>
      <c r="AT152" t="str">
        <f>Tokens!AV154</f>
        <v>Validation</v>
      </c>
      <c r="AU152" t="str">
        <f>Tokens!AW154</f>
        <v>https://tokensol.nfluent.io?s=COR22C91&amp;platform=ftx</v>
      </c>
      <c r="AV152" t="str">
        <f>Tokens!AX154</f>
        <v>paul</v>
      </c>
      <c r="AW152">
        <f>Tokens!AY154</f>
        <v>10</v>
      </c>
      <c r="AX152" t="str">
        <f>Tokens!AZ154</f>
        <v>sophie</v>
      </c>
      <c r="AY152">
        <f>Tokens!BA154</f>
        <v>90</v>
      </c>
      <c r="AZ152">
        <f>Tokens!BB154</f>
        <v>0</v>
      </c>
      <c r="BA152">
        <f>Tokens!BC154</f>
        <v>0</v>
      </c>
      <c r="BB152">
        <f>Tokens!BD154</f>
        <v>0</v>
      </c>
      <c r="BC152">
        <f>Tokens!BE154</f>
        <v>0</v>
      </c>
      <c r="BD152">
        <f>Tokens!BF154</f>
        <v>0</v>
      </c>
      <c r="BE152">
        <f>Tokens!BG154</f>
        <v>0</v>
      </c>
      <c r="BF152">
        <f>Tokens!BH154</f>
        <v>0</v>
      </c>
      <c r="BG152">
        <f>Tokens!BI154</f>
        <v>0</v>
      </c>
      <c r="BH152" t="str">
        <f>Tokens!BJ154</f>
        <v>La Porteuse D'Eau</v>
      </c>
      <c r="BI152" t="str">
        <f>Tokens!BK154</f>
        <v>Calvi On The Rocks</v>
      </c>
    </row>
    <row r="153" spans="1:61" x14ac:dyDescent="0.25">
      <c r="A153" t="str">
        <f>Tokens!C155</f>
        <v>La Porteuse D'Eau #92</v>
      </c>
      <c r="B153" t="str">
        <f>Tokens!D155</f>
        <v>COR22C92</v>
      </c>
      <c r="C153" t="str">
        <f>Tokens!E155</f>
        <v>La Porteuse D'Eau, 3 ans - Pass NFT 5 jours pour 2 personnes, valable pour 3 éditions Calvi On The Rocks de votre choix.</v>
      </c>
      <c r="D153">
        <f>Tokens!F155</f>
        <v>1000</v>
      </c>
      <c r="E153" t="str">
        <f>Tokens!G155</f>
        <v>https://bafybeicordeza5gk2bza3mvxlpkuixf2rl7wnnuldoo222om2i4bxv2oqa.ipfs.nftstorage.link?image_10.png</v>
      </c>
      <c r="F153" t="str">
        <f>Tokens!H155</f>
        <v>NfluenT for Calvi On The rocks</v>
      </c>
      <c r="G153">
        <f>Tokens!I155</f>
        <v>0</v>
      </c>
      <c r="H153" t="str">
        <f>Tokens!J155</f>
        <v>Pass festival</v>
      </c>
      <c r="I153" t="str">
        <f>Tokens!K155</f>
        <v>pour deux(2) personnes</v>
      </c>
      <c r="J153" t="str">
        <f>Tokens!L155</f>
        <v>Edition1</v>
      </c>
      <c r="K153">
        <f>Tokens!M155</f>
        <v>2</v>
      </c>
      <c r="L153" t="str">
        <f>Tokens!N155</f>
        <v>Edition2</v>
      </c>
      <c r="M153">
        <f>Tokens!O155</f>
        <v>2</v>
      </c>
      <c r="N153" t="str">
        <f>Tokens!P155</f>
        <v>Edition3</v>
      </c>
      <c r="O153">
        <f>Tokens!Q155</f>
        <v>2</v>
      </c>
      <c r="P153">
        <f>Tokens!R155</f>
        <v>0</v>
      </c>
      <c r="Q153">
        <f>Tokens!S155</f>
        <v>0</v>
      </c>
      <c r="R153">
        <f>Tokens!T155</f>
        <v>0</v>
      </c>
      <c r="S153">
        <f>Tokens!U155</f>
        <v>0</v>
      </c>
      <c r="T153" t="str">
        <f>Tokens!V155</f>
        <v>Dernière utilisation</v>
      </c>
      <c r="U153">
        <f>Tokens!W155</f>
        <v>0</v>
      </c>
      <c r="V153">
        <f>Tokens!X155</f>
        <v>0</v>
      </c>
      <c r="W153">
        <f>Tokens!Y155</f>
        <v>0</v>
      </c>
      <c r="X153" t="str">
        <f>Tokens!Z155</f>
        <v>avantage1</v>
      </c>
      <c r="Y153" t="str">
        <f>Tokens!AA155</f>
        <v>accès pour deux (2) personnes à un (1) événement partenaire officiel de Calvi on the Rocks</v>
      </c>
      <c r="Z153">
        <f>Tokens!AB155</f>
        <v>0</v>
      </c>
      <c r="AA153">
        <f>Tokens!AC155</f>
        <v>0</v>
      </c>
      <c r="AB153">
        <f>Tokens!AD155</f>
        <v>0</v>
      </c>
      <c r="AC153">
        <f>Tokens!AE155</f>
        <v>0</v>
      </c>
      <c r="AD153">
        <f>Tokens!AF155</f>
        <v>0</v>
      </c>
      <c r="AE153">
        <f>Tokens!AG155</f>
        <v>0</v>
      </c>
      <c r="AF153" t="str">
        <f>Tokens!AH155</f>
        <v>avantage2</v>
      </c>
      <c r="AG153" t="str">
        <f>Tokens!AI155</f>
        <v>accès membre pour les after party officielles pour deux (2) personnes</v>
      </c>
      <c r="AH153" t="str">
        <f>Tokens!AJ155</f>
        <v>avantage3</v>
      </c>
      <c r="AI153" t="str">
        <f>Tokens!AK155</f>
        <v>accès prioritaire et bar dédié (consommation à la charge du festivalier) - tables réservées à l'avance pour les « NFT member » pour deux (2) personnes</v>
      </c>
      <c r="AJ153" t="str">
        <f>Tokens!AL155</f>
        <v>avantage4</v>
      </c>
      <c r="AK153" t="str">
        <f>Tokens!AM155</f>
        <v>1 affiche dédicacée et numérotée</v>
      </c>
      <c r="AL153">
        <f>Tokens!AN155</f>
        <v>0</v>
      </c>
      <c r="AM153">
        <f>Tokens!AO155</f>
        <v>0</v>
      </c>
      <c r="AN153">
        <f>Tokens!AP155</f>
        <v>0</v>
      </c>
      <c r="AO153">
        <f>Tokens!AQ155</f>
        <v>0</v>
      </c>
      <c r="AP153">
        <f>Tokens!AR155</f>
        <v>0</v>
      </c>
      <c r="AQ153">
        <f>Tokens!AS155</f>
        <v>0</v>
      </c>
      <c r="AR153">
        <f>Tokens!AT155</f>
        <v>0</v>
      </c>
      <c r="AS153">
        <f>Tokens!AU155</f>
        <v>0</v>
      </c>
      <c r="AT153" t="str">
        <f>Tokens!AV155</f>
        <v>Validation</v>
      </c>
      <c r="AU153" t="str">
        <f>Tokens!AW155</f>
        <v>https://tokensol.nfluent.io?s=COR22C92&amp;platform=ftx</v>
      </c>
      <c r="AV153" t="str">
        <f>Tokens!AX155</f>
        <v>paul</v>
      </c>
      <c r="AW153">
        <f>Tokens!AY155</f>
        <v>10</v>
      </c>
      <c r="AX153" t="str">
        <f>Tokens!AZ155</f>
        <v>sophie</v>
      </c>
      <c r="AY153">
        <f>Tokens!BA155</f>
        <v>90</v>
      </c>
      <c r="AZ153">
        <f>Tokens!BB155</f>
        <v>0</v>
      </c>
      <c r="BA153">
        <f>Tokens!BC155</f>
        <v>0</v>
      </c>
      <c r="BB153">
        <f>Tokens!BD155</f>
        <v>0</v>
      </c>
      <c r="BC153">
        <f>Tokens!BE155</f>
        <v>0</v>
      </c>
      <c r="BD153">
        <f>Tokens!BF155</f>
        <v>0</v>
      </c>
      <c r="BE153">
        <f>Tokens!BG155</f>
        <v>0</v>
      </c>
      <c r="BF153">
        <f>Tokens!BH155</f>
        <v>0</v>
      </c>
      <c r="BG153">
        <f>Tokens!BI155</f>
        <v>0</v>
      </c>
      <c r="BH153" t="str">
        <f>Tokens!BJ155</f>
        <v>La Porteuse D'Eau</v>
      </c>
      <c r="BI153" t="str">
        <f>Tokens!BK155</f>
        <v>Calvi On The Rocks</v>
      </c>
    </row>
    <row r="154" spans="1:61" x14ac:dyDescent="0.25">
      <c r="A154" t="str">
        <f>Tokens!C156</f>
        <v>La Porteuse D'Eau #93</v>
      </c>
      <c r="B154" t="str">
        <f>Tokens!D156</f>
        <v>COR22C93</v>
      </c>
      <c r="C154" t="str">
        <f>Tokens!E156</f>
        <v>La Porteuse D'Eau, 3 ans - Pass NFT 5 jours pour 2 personnes, valable pour 3 éditions Calvi On The Rocks de votre choix.</v>
      </c>
      <c r="D154">
        <f>Tokens!F156</f>
        <v>1000</v>
      </c>
      <c r="E154" t="str">
        <f>Tokens!G156</f>
        <v>https://bafybeicordeza5gk2bza3mvxlpkuixf2rl7wnnuldoo222om2i4bxv2oqa.ipfs.nftstorage.link?image_10.png</v>
      </c>
      <c r="F154" t="str">
        <f>Tokens!H156</f>
        <v>NfluenT for Calvi On The rocks</v>
      </c>
      <c r="G154">
        <f>Tokens!I156</f>
        <v>0</v>
      </c>
      <c r="H154" t="str">
        <f>Tokens!J156</f>
        <v>Pass festival</v>
      </c>
      <c r="I154" t="str">
        <f>Tokens!K156</f>
        <v>pour deux(2) personnes</v>
      </c>
      <c r="J154" t="str">
        <f>Tokens!L156</f>
        <v>Edition1</v>
      </c>
      <c r="K154">
        <f>Tokens!M156</f>
        <v>2</v>
      </c>
      <c r="L154" t="str">
        <f>Tokens!N156</f>
        <v>Edition2</v>
      </c>
      <c r="M154">
        <f>Tokens!O156</f>
        <v>2</v>
      </c>
      <c r="N154" t="str">
        <f>Tokens!P156</f>
        <v>Edition3</v>
      </c>
      <c r="O154">
        <f>Tokens!Q156</f>
        <v>2</v>
      </c>
      <c r="P154">
        <f>Tokens!R156</f>
        <v>0</v>
      </c>
      <c r="Q154">
        <f>Tokens!S156</f>
        <v>0</v>
      </c>
      <c r="R154">
        <f>Tokens!T156</f>
        <v>0</v>
      </c>
      <c r="S154">
        <f>Tokens!U156</f>
        <v>0</v>
      </c>
      <c r="T154" t="str">
        <f>Tokens!V156</f>
        <v>Dernière utilisation</v>
      </c>
      <c r="U154">
        <f>Tokens!W156</f>
        <v>0</v>
      </c>
      <c r="V154">
        <f>Tokens!X156</f>
        <v>0</v>
      </c>
      <c r="W154">
        <f>Tokens!Y156</f>
        <v>0</v>
      </c>
      <c r="X154" t="str">
        <f>Tokens!Z156</f>
        <v>avantage1</v>
      </c>
      <c r="Y154" t="str">
        <f>Tokens!AA156</f>
        <v>accès pour deux (2) personnes à un (1) événement partenaire officiel de Calvi on the Rocks</v>
      </c>
      <c r="Z154">
        <f>Tokens!AB156</f>
        <v>0</v>
      </c>
      <c r="AA154">
        <f>Tokens!AC156</f>
        <v>0</v>
      </c>
      <c r="AB154">
        <f>Tokens!AD156</f>
        <v>0</v>
      </c>
      <c r="AC154">
        <f>Tokens!AE156</f>
        <v>0</v>
      </c>
      <c r="AD154">
        <f>Tokens!AF156</f>
        <v>0</v>
      </c>
      <c r="AE154">
        <f>Tokens!AG156</f>
        <v>0</v>
      </c>
      <c r="AF154" t="str">
        <f>Tokens!AH156</f>
        <v>avantage2</v>
      </c>
      <c r="AG154" t="str">
        <f>Tokens!AI156</f>
        <v>accès membre pour les after party officielles pour deux (2) personnes</v>
      </c>
      <c r="AH154" t="str">
        <f>Tokens!AJ156</f>
        <v>avantage3</v>
      </c>
      <c r="AI154" t="str">
        <f>Tokens!AK156</f>
        <v>accès prioritaire et bar dédié (consommation à la charge du festivalier) - tables réservées à l'avance pour les « NFT member » pour deux (2) personnes</v>
      </c>
      <c r="AJ154" t="str">
        <f>Tokens!AL156</f>
        <v>avantage4</v>
      </c>
      <c r="AK154" t="str">
        <f>Tokens!AM156</f>
        <v>1 affiche dédicacée et numérotée</v>
      </c>
      <c r="AL154">
        <f>Tokens!AN156</f>
        <v>0</v>
      </c>
      <c r="AM154">
        <f>Tokens!AO156</f>
        <v>0</v>
      </c>
      <c r="AN154">
        <f>Tokens!AP156</f>
        <v>0</v>
      </c>
      <c r="AO154">
        <f>Tokens!AQ156</f>
        <v>0</v>
      </c>
      <c r="AP154">
        <f>Tokens!AR156</f>
        <v>0</v>
      </c>
      <c r="AQ154">
        <f>Tokens!AS156</f>
        <v>0</v>
      </c>
      <c r="AR154">
        <f>Tokens!AT156</f>
        <v>0</v>
      </c>
      <c r="AS154">
        <f>Tokens!AU156</f>
        <v>0</v>
      </c>
      <c r="AT154" t="str">
        <f>Tokens!AV156</f>
        <v>Validation</v>
      </c>
      <c r="AU154" t="str">
        <f>Tokens!AW156</f>
        <v>https://tokensol.nfluent.io?s=COR22C93&amp;platform=ftx</v>
      </c>
      <c r="AV154" t="str">
        <f>Tokens!AX156</f>
        <v>paul</v>
      </c>
      <c r="AW154">
        <f>Tokens!AY156</f>
        <v>10</v>
      </c>
      <c r="AX154" t="str">
        <f>Tokens!AZ156</f>
        <v>sophie</v>
      </c>
      <c r="AY154">
        <f>Tokens!BA156</f>
        <v>90</v>
      </c>
      <c r="AZ154">
        <f>Tokens!BB156</f>
        <v>0</v>
      </c>
      <c r="BA154">
        <f>Tokens!BC156</f>
        <v>0</v>
      </c>
      <c r="BB154">
        <f>Tokens!BD156</f>
        <v>0</v>
      </c>
      <c r="BC154">
        <f>Tokens!BE156</f>
        <v>0</v>
      </c>
      <c r="BD154">
        <f>Tokens!BF156</f>
        <v>0</v>
      </c>
      <c r="BE154">
        <f>Tokens!BG156</f>
        <v>0</v>
      </c>
      <c r="BF154">
        <f>Tokens!BH156</f>
        <v>0</v>
      </c>
      <c r="BG154">
        <f>Tokens!BI156</f>
        <v>0</v>
      </c>
      <c r="BH154" t="str">
        <f>Tokens!BJ156</f>
        <v>La Porteuse D'Eau</v>
      </c>
      <c r="BI154" t="str">
        <f>Tokens!BK156</f>
        <v>Calvi On The Rocks</v>
      </c>
    </row>
    <row r="155" spans="1:61" x14ac:dyDescent="0.25">
      <c r="A155" t="str">
        <f>Tokens!C157</f>
        <v>La Porteuse D'Eau #94</v>
      </c>
      <c r="B155" t="str">
        <f>Tokens!D157</f>
        <v>COR22C94</v>
      </c>
      <c r="C155" t="str">
        <f>Tokens!E157</f>
        <v>La Porteuse D'Eau, 3 ans - Pass NFT 5 jours pour 2 personnes, valable pour 3 éditions Calvi On The Rocks de votre choix.</v>
      </c>
      <c r="D155">
        <f>Tokens!F157</f>
        <v>1000</v>
      </c>
      <c r="E155" t="str">
        <f>Tokens!G157</f>
        <v>https://bafybeicordeza5gk2bza3mvxlpkuixf2rl7wnnuldoo222om2i4bxv2oqa.ipfs.nftstorage.link?image_10.png</v>
      </c>
      <c r="F155" t="str">
        <f>Tokens!H157</f>
        <v>NfluenT for Calvi On The rocks</v>
      </c>
      <c r="G155">
        <f>Tokens!I157</f>
        <v>0</v>
      </c>
      <c r="H155" t="str">
        <f>Tokens!J157</f>
        <v>Pass festival</v>
      </c>
      <c r="I155" t="str">
        <f>Tokens!K157</f>
        <v>pour deux(2) personnes</v>
      </c>
      <c r="J155" t="str">
        <f>Tokens!L157</f>
        <v>Edition1</v>
      </c>
      <c r="K155">
        <f>Tokens!M157</f>
        <v>2</v>
      </c>
      <c r="L155" t="str">
        <f>Tokens!N157</f>
        <v>Edition2</v>
      </c>
      <c r="M155">
        <f>Tokens!O157</f>
        <v>2</v>
      </c>
      <c r="N155" t="str">
        <f>Tokens!P157</f>
        <v>Edition3</v>
      </c>
      <c r="O155">
        <f>Tokens!Q157</f>
        <v>2</v>
      </c>
      <c r="P155">
        <f>Tokens!R157</f>
        <v>0</v>
      </c>
      <c r="Q155">
        <f>Tokens!S157</f>
        <v>0</v>
      </c>
      <c r="R155">
        <f>Tokens!T157</f>
        <v>0</v>
      </c>
      <c r="S155">
        <f>Tokens!U157</f>
        <v>0</v>
      </c>
      <c r="T155" t="str">
        <f>Tokens!V157</f>
        <v>Dernière utilisation</v>
      </c>
      <c r="U155">
        <f>Tokens!W157</f>
        <v>0</v>
      </c>
      <c r="V155">
        <f>Tokens!X157</f>
        <v>0</v>
      </c>
      <c r="W155">
        <f>Tokens!Y157</f>
        <v>0</v>
      </c>
      <c r="X155" t="str">
        <f>Tokens!Z157</f>
        <v>avantage1</v>
      </c>
      <c r="Y155" t="str">
        <f>Tokens!AA157</f>
        <v>accès pour deux (2) personnes à un (1) événement partenaire officiel de Calvi on the Rocks</v>
      </c>
      <c r="Z155">
        <f>Tokens!AB157</f>
        <v>0</v>
      </c>
      <c r="AA155">
        <f>Tokens!AC157</f>
        <v>0</v>
      </c>
      <c r="AB155">
        <f>Tokens!AD157</f>
        <v>0</v>
      </c>
      <c r="AC155">
        <f>Tokens!AE157</f>
        <v>0</v>
      </c>
      <c r="AD155">
        <f>Tokens!AF157</f>
        <v>0</v>
      </c>
      <c r="AE155">
        <f>Tokens!AG157</f>
        <v>0</v>
      </c>
      <c r="AF155" t="str">
        <f>Tokens!AH157</f>
        <v>avantage2</v>
      </c>
      <c r="AG155" t="str">
        <f>Tokens!AI157</f>
        <v>accès membre pour les after party officielles pour deux (2) personnes</v>
      </c>
      <c r="AH155" t="str">
        <f>Tokens!AJ157</f>
        <v>avantage3</v>
      </c>
      <c r="AI155" t="str">
        <f>Tokens!AK157</f>
        <v>accès prioritaire et bar dédié (consommation à la charge du festivalier) - tables réservées à l'avance pour les « NFT member » pour deux (2) personnes</v>
      </c>
      <c r="AJ155" t="str">
        <f>Tokens!AL157</f>
        <v>avantage4</v>
      </c>
      <c r="AK155" t="str">
        <f>Tokens!AM157</f>
        <v>1 affiche dédicacée et numérotée</v>
      </c>
      <c r="AL155">
        <f>Tokens!AN157</f>
        <v>0</v>
      </c>
      <c r="AM155">
        <f>Tokens!AO157</f>
        <v>0</v>
      </c>
      <c r="AN155">
        <f>Tokens!AP157</f>
        <v>0</v>
      </c>
      <c r="AO155">
        <f>Tokens!AQ157</f>
        <v>0</v>
      </c>
      <c r="AP155">
        <f>Tokens!AR157</f>
        <v>0</v>
      </c>
      <c r="AQ155">
        <f>Tokens!AS157</f>
        <v>0</v>
      </c>
      <c r="AR155">
        <f>Tokens!AT157</f>
        <v>0</v>
      </c>
      <c r="AS155">
        <f>Tokens!AU157</f>
        <v>0</v>
      </c>
      <c r="AT155" t="str">
        <f>Tokens!AV157</f>
        <v>Validation</v>
      </c>
      <c r="AU155" t="str">
        <f>Tokens!AW157</f>
        <v>https://tokensol.nfluent.io?s=COR22C94&amp;platform=ftx</v>
      </c>
      <c r="AV155" t="str">
        <f>Tokens!AX157</f>
        <v>paul</v>
      </c>
      <c r="AW155">
        <f>Tokens!AY157</f>
        <v>10</v>
      </c>
      <c r="AX155" t="str">
        <f>Tokens!AZ157</f>
        <v>sophie</v>
      </c>
      <c r="AY155">
        <f>Tokens!BA157</f>
        <v>90</v>
      </c>
      <c r="AZ155">
        <f>Tokens!BB157</f>
        <v>0</v>
      </c>
      <c r="BA155">
        <f>Tokens!BC157</f>
        <v>0</v>
      </c>
      <c r="BB155">
        <f>Tokens!BD157</f>
        <v>0</v>
      </c>
      <c r="BC155">
        <f>Tokens!BE157</f>
        <v>0</v>
      </c>
      <c r="BD155">
        <f>Tokens!BF157</f>
        <v>0</v>
      </c>
      <c r="BE155">
        <f>Tokens!BG157</f>
        <v>0</v>
      </c>
      <c r="BF155">
        <f>Tokens!BH157</f>
        <v>0</v>
      </c>
      <c r="BG155">
        <f>Tokens!BI157</f>
        <v>0</v>
      </c>
      <c r="BH155" t="str">
        <f>Tokens!BJ157</f>
        <v>La Porteuse D'Eau</v>
      </c>
      <c r="BI155" t="str">
        <f>Tokens!BK157</f>
        <v>Calvi On The Rocks</v>
      </c>
    </row>
    <row r="156" spans="1:61" x14ac:dyDescent="0.25">
      <c r="A156" t="str">
        <f>Tokens!C158</f>
        <v>La Porteuse D'Eau #95</v>
      </c>
      <c r="B156" t="str">
        <f>Tokens!D158</f>
        <v>COR22C95</v>
      </c>
      <c r="C156" t="str">
        <f>Tokens!E158</f>
        <v>La Porteuse D'Eau, 3 ans - Pass NFT 5 jours pour 2 personnes, valable pour 3 éditions Calvi On The Rocks de votre choix.</v>
      </c>
      <c r="D156">
        <f>Tokens!F158</f>
        <v>1000</v>
      </c>
      <c r="E156" t="str">
        <f>Tokens!G158</f>
        <v>https://bafybeicordeza5gk2bza3mvxlpkuixf2rl7wnnuldoo222om2i4bxv2oqa.ipfs.nftstorage.link?image_10.png</v>
      </c>
      <c r="F156" t="str">
        <f>Tokens!H158</f>
        <v>NfluenT for Calvi On The rocks</v>
      </c>
      <c r="G156">
        <f>Tokens!I158</f>
        <v>0</v>
      </c>
      <c r="H156" t="str">
        <f>Tokens!J158</f>
        <v>Pass festival</v>
      </c>
      <c r="I156" t="str">
        <f>Tokens!K158</f>
        <v>pour deux(2) personnes</v>
      </c>
      <c r="J156" t="str">
        <f>Tokens!L158</f>
        <v>Edition1</v>
      </c>
      <c r="K156">
        <f>Tokens!M158</f>
        <v>2</v>
      </c>
      <c r="L156" t="str">
        <f>Tokens!N158</f>
        <v>Edition2</v>
      </c>
      <c r="M156">
        <f>Tokens!O158</f>
        <v>2</v>
      </c>
      <c r="N156" t="str">
        <f>Tokens!P158</f>
        <v>Edition3</v>
      </c>
      <c r="O156">
        <f>Tokens!Q158</f>
        <v>2</v>
      </c>
      <c r="P156">
        <f>Tokens!R158</f>
        <v>0</v>
      </c>
      <c r="Q156">
        <f>Tokens!S158</f>
        <v>0</v>
      </c>
      <c r="R156">
        <f>Tokens!T158</f>
        <v>0</v>
      </c>
      <c r="S156">
        <f>Tokens!U158</f>
        <v>0</v>
      </c>
      <c r="T156" t="str">
        <f>Tokens!V158</f>
        <v>Dernière utilisation</v>
      </c>
      <c r="U156">
        <f>Tokens!W158</f>
        <v>0</v>
      </c>
      <c r="V156">
        <f>Tokens!X158</f>
        <v>0</v>
      </c>
      <c r="W156">
        <f>Tokens!Y158</f>
        <v>0</v>
      </c>
      <c r="X156" t="str">
        <f>Tokens!Z158</f>
        <v>avantage1</v>
      </c>
      <c r="Y156" t="str">
        <f>Tokens!AA158</f>
        <v>accès pour deux (2) personnes à un (1) événement partenaire officiel de Calvi on the Rocks</v>
      </c>
      <c r="Z156">
        <f>Tokens!AB158</f>
        <v>0</v>
      </c>
      <c r="AA156">
        <f>Tokens!AC158</f>
        <v>0</v>
      </c>
      <c r="AB156">
        <f>Tokens!AD158</f>
        <v>0</v>
      </c>
      <c r="AC156">
        <f>Tokens!AE158</f>
        <v>0</v>
      </c>
      <c r="AD156">
        <f>Tokens!AF158</f>
        <v>0</v>
      </c>
      <c r="AE156">
        <f>Tokens!AG158</f>
        <v>0</v>
      </c>
      <c r="AF156" t="str">
        <f>Tokens!AH158</f>
        <v>avantage2</v>
      </c>
      <c r="AG156" t="str">
        <f>Tokens!AI158</f>
        <v>accès membre pour les after party officielles pour deux (2) personnes</v>
      </c>
      <c r="AH156" t="str">
        <f>Tokens!AJ158</f>
        <v>avantage3</v>
      </c>
      <c r="AI156" t="str">
        <f>Tokens!AK158</f>
        <v>accès prioritaire et bar dédié (consommation à la charge du festivalier) - tables réservées à l'avance pour les « NFT member » pour deux (2) personnes</v>
      </c>
      <c r="AJ156" t="str">
        <f>Tokens!AL158</f>
        <v>avantage4</v>
      </c>
      <c r="AK156" t="str">
        <f>Tokens!AM158</f>
        <v>1 affiche dédicacée et numérotée</v>
      </c>
      <c r="AL156">
        <f>Tokens!AN158</f>
        <v>0</v>
      </c>
      <c r="AM156">
        <f>Tokens!AO158</f>
        <v>0</v>
      </c>
      <c r="AN156">
        <f>Tokens!AP158</f>
        <v>0</v>
      </c>
      <c r="AO156">
        <f>Tokens!AQ158</f>
        <v>0</v>
      </c>
      <c r="AP156">
        <f>Tokens!AR158</f>
        <v>0</v>
      </c>
      <c r="AQ156">
        <f>Tokens!AS158</f>
        <v>0</v>
      </c>
      <c r="AR156">
        <f>Tokens!AT158</f>
        <v>0</v>
      </c>
      <c r="AS156">
        <f>Tokens!AU158</f>
        <v>0</v>
      </c>
      <c r="AT156" t="str">
        <f>Tokens!AV158</f>
        <v>Validation</v>
      </c>
      <c r="AU156" t="str">
        <f>Tokens!AW158</f>
        <v>https://tokensol.nfluent.io?s=COR22C95&amp;platform=ftx</v>
      </c>
      <c r="AV156" t="str">
        <f>Tokens!AX158</f>
        <v>paul</v>
      </c>
      <c r="AW156">
        <f>Tokens!AY158</f>
        <v>10</v>
      </c>
      <c r="AX156" t="str">
        <f>Tokens!AZ158</f>
        <v>sophie</v>
      </c>
      <c r="AY156">
        <f>Tokens!BA158</f>
        <v>90</v>
      </c>
      <c r="AZ156">
        <f>Tokens!BB158</f>
        <v>0</v>
      </c>
      <c r="BA156">
        <f>Tokens!BC158</f>
        <v>0</v>
      </c>
      <c r="BB156">
        <f>Tokens!BD158</f>
        <v>0</v>
      </c>
      <c r="BC156">
        <f>Tokens!BE158</f>
        <v>0</v>
      </c>
      <c r="BD156">
        <f>Tokens!BF158</f>
        <v>0</v>
      </c>
      <c r="BE156">
        <f>Tokens!BG158</f>
        <v>0</v>
      </c>
      <c r="BF156">
        <f>Tokens!BH158</f>
        <v>0</v>
      </c>
      <c r="BG156">
        <f>Tokens!BI158</f>
        <v>0</v>
      </c>
      <c r="BH156" t="str">
        <f>Tokens!BJ158</f>
        <v>La Porteuse D'Eau</v>
      </c>
      <c r="BI156" t="str">
        <f>Tokens!BK158</f>
        <v>Calvi On The Rocks</v>
      </c>
    </row>
    <row r="157" spans="1:61" x14ac:dyDescent="0.25">
      <c r="A157" t="str">
        <f>Tokens!C159</f>
        <v>La Porteuse D'Eau #96</v>
      </c>
      <c r="B157" t="str">
        <f>Tokens!D159</f>
        <v>COR22C96</v>
      </c>
      <c r="C157" t="str">
        <f>Tokens!E159</f>
        <v>La Porteuse D'Eau, 3 ans - Pass NFT 5 jours pour 2 personnes, valable pour 3 éditions Calvi On The Rocks de votre choix.</v>
      </c>
      <c r="D157">
        <f>Tokens!F159</f>
        <v>1000</v>
      </c>
      <c r="E157" t="str">
        <f>Tokens!G159</f>
        <v>https://bafybeicordeza5gk2bza3mvxlpkuixf2rl7wnnuldoo222om2i4bxv2oqa.ipfs.nftstorage.link?image_10.png</v>
      </c>
      <c r="F157" t="str">
        <f>Tokens!H159</f>
        <v>NfluenT for Calvi On The rocks</v>
      </c>
      <c r="G157">
        <f>Tokens!I159</f>
        <v>0</v>
      </c>
      <c r="H157" t="str">
        <f>Tokens!J159</f>
        <v>Pass festival</v>
      </c>
      <c r="I157" t="str">
        <f>Tokens!K159</f>
        <v>pour deux(2) personnes</v>
      </c>
      <c r="J157" t="str">
        <f>Tokens!L159</f>
        <v>Edition1</v>
      </c>
      <c r="K157">
        <f>Tokens!M159</f>
        <v>2</v>
      </c>
      <c r="L157" t="str">
        <f>Tokens!N159</f>
        <v>Edition2</v>
      </c>
      <c r="M157">
        <f>Tokens!O159</f>
        <v>2</v>
      </c>
      <c r="N157" t="str">
        <f>Tokens!P159</f>
        <v>Edition3</v>
      </c>
      <c r="O157">
        <f>Tokens!Q159</f>
        <v>2</v>
      </c>
      <c r="P157">
        <f>Tokens!R159</f>
        <v>0</v>
      </c>
      <c r="Q157">
        <f>Tokens!S159</f>
        <v>0</v>
      </c>
      <c r="R157">
        <f>Tokens!T159</f>
        <v>0</v>
      </c>
      <c r="S157">
        <f>Tokens!U159</f>
        <v>0</v>
      </c>
      <c r="T157" t="str">
        <f>Tokens!V159</f>
        <v>Dernière utilisation</v>
      </c>
      <c r="U157">
        <f>Tokens!W159</f>
        <v>0</v>
      </c>
      <c r="V157">
        <f>Tokens!X159</f>
        <v>0</v>
      </c>
      <c r="W157">
        <f>Tokens!Y159</f>
        <v>0</v>
      </c>
      <c r="X157" t="str">
        <f>Tokens!Z159</f>
        <v>avantage1</v>
      </c>
      <c r="Y157" t="str">
        <f>Tokens!AA159</f>
        <v>accès pour deux (2) personnes à un (1) événement partenaire officiel de Calvi on the Rocks</v>
      </c>
      <c r="Z157">
        <f>Tokens!AB159</f>
        <v>0</v>
      </c>
      <c r="AA157">
        <f>Tokens!AC159</f>
        <v>0</v>
      </c>
      <c r="AB157">
        <f>Tokens!AD159</f>
        <v>0</v>
      </c>
      <c r="AC157">
        <f>Tokens!AE159</f>
        <v>0</v>
      </c>
      <c r="AD157">
        <f>Tokens!AF159</f>
        <v>0</v>
      </c>
      <c r="AE157">
        <f>Tokens!AG159</f>
        <v>0</v>
      </c>
      <c r="AF157" t="str">
        <f>Tokens!AH159</f>
        <v>avantage2</v>
      </c>
      <c r="AG157" t="str">
        <f>Tokens!AI159</f>
        <v>accès membre pour les after party officielles pour deux (2) personnes</v>
      </c>
      <c r="AH157" t="str">
        <f>Tokens!AJ159</f>
        <v>avantage3</v>
      </c>
      <c r="AI157" t="str">
        <f>Tokens!AK159</f>
        <v>accès prioritaire et bar dédié (consommation à la charge du festivalier) - tables réservées à l'avance pour les « NFT member » pour deux (2) personnes</v>
      </c>
      <c r="AJ157" t="str">
        <f>Tokens!AL159</f>
        <v>avantage4</v>
      </c>
      <c r="AK157" t="str">
        <f>Tokens!AM159</f>
        <v>1 affiche dédicacée et numérotée</v>
      </c>
      <c r="AL157">
        <f>Tokens!AN159</f>
        <v>0</v>
      </c>
      <c r="AM157">
        <f>Tokens!AO159</f>
        <v>0</v>
      </c>
      <c r="AN157">
        <f>Tokens!AP159</f>
        <v>0</v>
      </c>
      <c r="AO157">
        <f>Tokens!AQ159</f>
        <v>0</v>
      </c>
      <c r="AP157">
        <f>Tokens!AR159</f>
        <v>0</v>
      </c>
      <c r="AQ157">
        <f>Tokens!AS159</f>
        <v>0</v>
      </c>
      <c r="AR157">
        <f>Tokens!AT159</f>
        <v>0</v>
      </c>
      <c r="AS157">
        <f>Tokens!AU159</f>
        <v>0</v>
      </c>
      <c r="AT157" t="str">
        <f>Tokens!AV159</f>
        <v>Validation</v>
      </c>
      <c r="AU157" t="str">
        <f>Tokens!AW159</f>
        <v>https://tokensol.nfluent.io?s=COR22C96&amp;platform=ftx</v>
      </c>
      <c r="AV157" t="str">
        <f>Tokens!AX159</f>
        <v>paul</v>
      </c>
      <c r="AW157">
        <f>Tokens!AY159</f>
        <v>10</v>
      </c>
      <c r="AX157" t="str">
        <f>Tokens!AZ159</f>
        <v>sophie</v>
      </c>
      <c r="AY157">
        <f>Tokens!BA159</f>
        <v>90</v>
      </c>
      <c r="AZ157">
        <f>Tokens!BB159</f>
        <v>0</v>
      </c>
      <c r="BA157">
        <f>Tokens!BC159</f>
        <v>0</v>
      </c>
      <c r="BB157">
        <f>Tokens!BD159</f>
        <v>0</v>
      </c>
      <c r="BC157">
        <f>Tokens!BE159</f>
        <v>0</v>
      </c>
      <c r="BD157">
        <f>Tokens!BF159</f>
        <v>0</v>
      </c>
      <c r="BE157">
        <f>Tokens!BG159</f>
        <v>0</v>
      </c>
      <c r="BF157">
        <f>Tokens!BH159</f>
        <v>0</v>
      </c>
      <c r="BG157">
        <f>Tokens!BI159</f>
        <v>0</v>
      </c>
      <c r="BH157" t="str">
        <f>Tokens!BJ159</f>
        <v>La Porteuse D'Eau</v>
      </c>
      <c r="BI157" t="str">
        <f>Tokens!BK159</f>
        <v>Calvi On The Rocks</v>
      </c>
    </row>
    <row r="158" spans="1:61" x14ac:dyDescent="0.25">
      <c r="A158" t="str">
        <f>Tokens!C160</f>
        <v>La Porteuse D'Eau #97</v>
      </c>
      <c r="B158" t="str">
        <f>Tokens!D160</f>
        <v>COR22C97</v>
      </c>
      <c r="C158" t="str">
        <f>Tokens!E160</f>
        <v>La Porteuse D'Eau, 3 ans - Pass NFT 5 jours pour 2 personnes, valable pour 3 éditions Calvi On The Rocks de votre choix.</v>
      </c>
      <c r="D158">
        <f>Tokens!F160</f>
        <v>1000</v>
      </c>
      <c r="E158" t="str">
        <f>Tokens!G160</f>
        <v>https://bafybeicordeza5gk2bza3mvxlpkuixf2rl7wnnuldoo222om2i4bxv2oqa.ipfs.nftstorage.link?image_10.png</v>
      </c>
      <c r="F158" t="str">
        <f>Tokens!H160</f>
        <v>NfluenT for Calvi On The rocks</v>
      </c>
      <c r="G158">
        <f>Tokens!I160</f>
        <v>0</v>
      </c>
      <c r="H158" t="str">
        <f>Tokens!J160</f>
        <v>Pass festival</v>
      </c>
      <c r="I158" t="str">
        <f>Tokens!K160</f>
        <v>pour deux(2) personnes</v>
      </c>
      <c r="J158" t="str">
        <f>Tokens!L160</f>
        <v>Edition1</v>
      </c>
      <c r="K158">
        <f>Tokens!M160</f>
        <v>2</v>
      </c>
      <c r="L158" t="str">
        <f>Tokens!N160</f>
        <v>Edition2</v>
      </c>
      <c r="M158">
        <f>Tokens!O160</f>
        <v>2</v>
      </c>
      <c r="N158" t="str">
        <f>Tokens!P160</f>
        <v>Edition3</v>
      </c>
      <c r="O158">
        <f>Tokens!Q160</f>
        <v>2</v>
      </c>
      <c r="P158">
        <f>Tokens!R160</f>
        <v>0</v>
      </c>
      <c r="Q158">
        <f>Tokens!S160</f>
        <v>0</v>
      </c>
      <c r="R158">
        <f>Tokens!T160</f>
        <v>0</v>
      </c>
      <c r="S158">
        <f>Tokens!U160</f>
        <v>0</v>
      </c>
      <c r="T158" t="str">
        <f>Tokens!V160</f>
        <v>Dernière utilisation</v>
      </c>
      <c r="U158">
        <f>Tokens!W160</f>
        <v>0</v>
      </c>
      <c r="V158">
        <f>Tokens!X160</f>
        <v>0</v>
      </c>
      <c r="W158">
        <f>Tokens!Y160</f>
        <v>0</v>
      </c>
      <c r="X158" t="str">
        <f>Tokens!Z160</f>
        <v>avantage1</v>
      </c>
      <c r="Y158" t="str">
        <f>Tokens!AA160</f>
        <v>accès pour deux (2) personnes à un (1) événement partenaire officiel de Calvi on the Rocks</v>
      </c>
      <c r="Z158">
        <f>Tokens!AB160</f>
        <v>0</v>
      </c>
      <c r="AA158">
        <f>Tokens!AC160</f>
        <v>0</v>
      </c>
      <c r="AB158">
        <f>Tokens!AD160</f>
        <v>0</v>
      </c>
      <c r="AC158">
        <f>Tokens!AE160</f>
        <v>0</v>
      </c>
      <c r="AD158">
        <f>Tokens!AF160</f>
        <v>0</v>
      </c>
      <c r="AE158">
        <f>Tokens!AG160</f>
        <v>0</v>
      </c>
      <c r="AF158" t="str">
        <f>Tokens!AH160</f>
        <v>avantage2</v>
      </c>
      <c r="AG158" t="str">
        <f>Tokens!AI160</f>
        <v>accès membre pour les after party officielles pour deux (2) personnes</v>
      </c>
      <c r="AH158" t="str">
        <f>Tokens!AJ160</f>
        <v>avantage3</v>
      </c>
      <c r="AI158" t="str">
        <f>Tokens!AK160</f>
        <v>accès prioritaire et bar dédié (consommation à la charge du festivalier) - tables réservées à l'avance pour les « NFT member » pour deux (2) personnes</v>
      </c>
      <c r="AJ158" t="str">
        <f>Tokens!AL160</f>
        <v>avantage4</v>
      </c>
      <c r="AK158" t="str">
        <f>Tokens!AM160</f>
        <v>1 affiche dédicacée et numérotée</v>
      </c>
      <c r="AL158">
        <f>Tokens!AN160</f>
        <v>0</v>
      </c>
      <c r="AM158">
        <f>Tokens!AO160</f>
        <v>0</v>
      </c>
      <c r="AN158">
        <f>Tokens!AP160</f>
        <v>0</v>
      </c>
      <c r="AO158">
        <f>Tokens!AQ160</f>
        <v>0</v>
      </c>
      <c r="AP158">
        <f>Tokens!AR160</f>
        <v>0</v>
      </c>
      <c r="AQ158">
        <f>Tokens!AS160</f>
        <v>0</v>
      </c>
      <c r="AR158">
        <f>Tokens!AT160</f>
        <v>0</v>
      </c>
      <c r="AS158">
        <f>Tokens!AU160</f>
        <v>0</v>
      </c>
      <c r="AT158" t="str">
        <f>Tokens!AV160</f>
        <v>Validation</v>
      </c>
      <c r="AU158" t="str">
        <f>Tokens!AW160</f>
        <v>https://tokensol.nfluent.io?s=COR22C97&amp;platform=ftx</v>
      </c>
      <c r="AV158" t="str">
        <f>Tokens!AX160</f>
        <v>paul</v>
      </c>
      <c r="AW158">
        <f>Tokens!AY160</f>
        <v>10</v>
      </c>
      <c r="AX158" t="str">
        <f>Tokens!AZ160</f>
        <v>sophie</v>
      </c>
      <c r="AY158">
        <f>Tokens!BA160</f>
        <v>90</v>
      </c>
      <c r="AZ158">
        <f>Tokens!BB160</f>
        <v>0</v>
      </c>
      <c r="BA158">
        <f>Tokens!BC160</f>
        <v>0</v>
      </c>
      <c r="BB158">
        <f>Tokens!BD160</f>
        <v>0</v>
      </c>
      <c r="BC158">
        <f>Tokens!BE160</f>
        <v>0</v>
      </c>
      <c r="BD158">
        <f>Tokens!BF160</f>
        <v>0</v>
      </c>
      <c r="BE158">
        <f>Tokens!BG160</f>
        <v>0</v>
      </c>
      <c r="BF158">
        <f>Tokens!BH160</f>
        <v>0</v>
      </c>
      <c r="BG158">
        <f>Tokens!BI160</f>
        <v>0</v>
      </c>
      <c r="BH158" t="str">
        <f>Tokens!BJ160</f>
        <v>La Porteuse D'Eau</v>
      </c>
      <c r="BI158" t="str">
        <f>Tokens!BK160</f>
        <v>Calvi On The Rocks</v>
      </c>
    </row>
    <row r="159" spans="1:61" x14ac:dyDescent="0.25">
      <c r="A159" t="str">
        <f>Tokens!C161</f>
        <v>La Porteuse D'Eau #98</v>
      </c>
      <c r="B159" t="str">
        <f>Tokens!D161</f>
        <v>COR22C98</v>
      </c>
      <c r="C159" t="str">
        <f>Tokens!E161</f>
        <v>La Porteuse D'Eau, 3 ans - Pass NFT 5 jours pour 2 personnes, valable pour 3 éditions Calvi On The Rocks de votre choix.</v>
      </c>
      <c r="D159">
        <f>Tokens!F161</f>
        <v>1000</v>
      </c>
      <c r="E159" t="str">
        <f>Tokens!G161</f>
        <v>https://bafybeicordeza5gk2bza3mvxlpkuixf2rl7wnnuldoo222om2i4bxv2oqa.ipfs.nftstorage.link?image_10.png</v>
      </c>
      <c r="F159" t="str">
        <f>Tokens!H161</f>
        <v>NfluenT for Calvi On The rocks</v>
      </c>
      <c r="G159">
        <f>Tokens!I161</f>
        <v>0</v>
      </c>
      <c r="H159" t="str">
        <f>Tokens!J161</f>
        <v>Pass festival</v>
      </c>
      <c r="I159" t="str">
        <f>Tokens!K161</f>
        <v>pour deux(2) personnes</v>
      </c>
      <c r="J159" t="str">
        <f>Tokens!L161</f>
        <v>Edition1</v>
      </c>
      <c r="K159">
        <f>Tokens!M161</f>
        <v>2</v>
      </c>
      <c r="L159" t="str">
        <f>Tokens!N161</f>
        <v>Edition2</v>
      </c>
      <c r="M159">
        <f>Tokens!O161</f>
        <v>2</v>
      </c>
      <c r="N159" t="str">
        <f>Tokens!P161</f>
        <v>Edition3</v>
      </c>
      <c r="O159">
        <f>Tokens!Q161</f>
        <v>2</v>
      </c>
      <c r="P159">
        <f>Tokens!R161</f>
        <v>0</v>
      </c>
      <c r="Q159">
        <f>Tokens!S161</f>
        <v>0</v>
      </c>
      <c r="R159">
        <f>Tokens!T161</f>
        <v>0</v>
      </c>
      <c r="S159">
        <f>Tokens!U161</f>
        <v>0</v>
      </c>
      <c r="T159" t="str">
        <f>Tokens!V161</f>
        <v>Dernière utilisation</v>
      </c>
      <c r="U159">
        <f>Tokens!W161</f>
        <v>0</v>
      </c>
      <c r="V159">
        <f>Tokens!X161</f>
        <v>0</v>
      </c>
      <c r="W159">
        <f>Tokens!Y161</f>
        <v>0</v>
      </c>
      <c r="X159" t="str">
        <f>Tokens!Z161</f>
        <v>avantage1</v>
      </c>
      <c r="Y159" t="str">
        <f>Tokens!AA161</f>
        <v>accès pour deux (2) personnes à un (1) événement partenaire officiel de Calvi on the Rocks</v>
      </c>
      <c r="Z159">
        <f>Tokens!AB161</f>
        <v>0</v>
      </c>
      <c r="AA159">
        <f>Tokens!AC161</f>
        <v>0</v>
      </c>
      <c r="AB159">
        <f>Tokens!AD161</f>
        <v>0</v>
      </c>
      <c r="AC159">
        <f>Tokens!AE161</f>
        <v>0</v>
      </c>
      <c r="AD159">
        <f>Tokens!AF161</f>
        <v>0</v>
      </c>
      <c r="AE159">
        <f>Tokens!AG161</f>
        <v>0</v>
      </c>
      <c r="AF159" t="str">
        <f>Tokens!AH161</f>
        <v>avantage2</v>
      </c>
      <c r="AG159" t="str">
        <f>Tokens!AI161</f>
        <v>accès membre pour les after party officielles pour deux (2) personnes</v>
      </c>
      <c r="AH159" t="str">
        <f>Tokens!AJ161</f>
        <v>avantage3</v>
      </c>
      <c r="AI159" t="str">
        <f>Tokens!AK161</f>
        <v>accès prioritaire et bar dédié (consommation à la charge du festivalier) - tables réservées à l'avance pour les « NFT member » pour deux (2) personnes</v>
      </c>
      <c r="AJ159" t="str">
        <f>Tokens!AL161</f>
        <v>avantage4</v>
      </c>
      <c r="AK159" t="str">
        <f>Tokens!AM161</f>
        <v>1 affiche dédicacée et numérotée</v>
      </c>
      <c r="AL159">
        <f>Tokens!AN161</f>
        <v>0</v>
      </c>
      <c r="AM159">
        <f>Tokens!AO161</f>
        <v>0</v>
      </c>
      <c r="AN159">
        <f>Tokens!AP161</f>
        <v>0</v>
      </c>
      <c r="AO159">
        <f>Tokens!AQ161</f>
        <v>0</v>
      </c>
      <c r="AP159">
        <f>Tokens!AR161</f>
        <v>0</v>
      </c>
      <c r="AQ159">
        <f>Tokens!AS161</f>
        <v>0</v>
      </c>
      <c r="AR159">
        <f>Tokens!AT161</f>
        <v>0</v>
      </c>
      <c r="AS159">
        <f>Tokens!AU161</f>
        <v>0</v>
      </c>
      <c r="AT159" t="str">
        <f>Tokens!AV161</f>
        <v>Validation</v>
      </c>
      <c r="AU159" t="str">
        <f>Tokens!AW161</f>
        <v>https://tokensol.nfluent.io?s=COR22C98&amp;platform=ftx</v>
      </c>
      <c r="AV159" t="str">
        <f>Tokens!AX161</f>
        <v>paul</v>
      </c>
      <c r="AW159">
        <f>Tokens!AY161</f>
        <v>10</v>
      </c>
      <c r="AX159" t="str">
        <f>Tokens!AZ161</f>
        <v>sophie</v>
      </c>
      <c r="AY159">
        <f>Tokens!BA161</f>
        <v>90</v>
      </c>
      <c r="AZ159">
        <f>Tokens!BB161</f>
        <v>0</v>
      </c>
      <c r="BA159">
        <f>Tokens!BC161</f>
        <v>0</v>
      </c>
      <c r="BB159">
        <f>Tokens!BD161</f>
        <v>0</v>
      </c>
      <c r="BC159">
        <f>Tokens!BE161</f>
        <v>0</v>
      </c>
      <c r="BD159">
        <f>Tokens!BF161</f>
        <v>0</v>
      </c>
      <c r="BE159">
        <f>Tokens!BG161</f>
        <v>0</v>
      </c>
      <c r="BF159">
        <f>Tokens!BH161</f>
        <v>0</v>
      </c>
      <c r="BG159">
        <f>Tokens!BI161</f>
        <v>0</v>
      </c>
      <c r="BH159" t="str">
        <f>Tokens!BJ161</f>
        <v>La Porteuse D'Eau</v>
      </c>
      <c r="BI159" t="str">
        <f>Tokens!BK161</f>
        <v>Calvi On The Rocks</v>
      </c>
    </row>
    <row r="160" spans="1:61" x14ac:dyDescent="0.25">
      <c r="A160" t="str">
        <f>Tokens!C162</f>
        <v>La Porteuse D'Eau #99</v>
      </c>
      <c r="B160" t="str">
        <f>Tokens!D162</f>
        <v>COR22C99</v>
      </c>
      <c r="C160" t="str">
        <f>Tokens!E162</f>
        <v>La Porteuse D'Eau, 3 ans - Pass NFT 5 jours pour 2 personnes, valable pour 3 éditions Calvi On The Rocks de votre choix.</v>
      </c>
      <c r="D160">
        <f>Tokens!F162</f>
        <v>1000</v>
      </c>
      <c r="E160" t="str">
        <f>Tokens!G162</f>
        <v>https://bafybeicordeza5gk2bza3mvxlpkuixf2rl7wnnuldoo222om2i4bxv2oqa.ipfs.nftstorage.link?image_10.png</v>
      </c>
      <c r="F160" t="str">
        <f>Tokens!H162</f>
        <v>NfluenT for Calvi On The rocks</v>
      </c>
      <c r="G160">
        <f>Tokens!I162</f>
        <v>0</v>
      </c>
      <c r="H160" t="str">
        <f>Tokens!J162</f>
        <v>Pass festival</v>
      </c>
      <c r="I160" t="str">
        <f>Tokens!K162</f>
        <v>pour deux(2) personnes</v>
      </c>
      <c r="J160" t="str">
        <f>Tokens!L162</f>
        <v>Edition1</v>
      </c>
      <c r="K160">
        <f>Tokens!M162</f>
        <v>2</v>
      </c>
      <c r="L160" t="str">
        <f>Tokens!N162</f>
        <v>Edition2</v>
      </c>
      <c r="M160">
        <f>Tokens!O162</f>
        <v>2</v>
      </c>
      <c r="N160" t="str">
        <f>Tokens!P162</f>
        <v>Edition3</v>
      </c>
      <c r="O160">
        <f>Tokens!Q162</f>
        <v>2</v>
      </c>
      <c r="P160">
        <f>Tokens!R162</f>
        <v>0</v>
      </c>
      <c r="Q160">
        <f>Tokens!S162</f>
        <v>0</v>
      </c>
      <c r="R160">
        <f>Tokens!T162</f>
        <v>0</v>
      </c>
      <c r="S160">
        <f>Tokens!U162</f>
        <v>0</v>
      </c>
      <c r="T160" t="str">
        <f>Tokens!V162</f>
        <v>Dernière utilisation</v>
      </c>
      <c r="U160">
        <f>Tokens!W162</f>
        <v>0</v>
      </c>
      <c r="V160">
        <f>Tokens!X162</f>
        <v>0</v>
      </c>
      <c r="W160">
        <f>Tokens!Y162</f>
        <v>0</v>
      </c>
      <c r="X160" t="str">
        <f>Tokens!Z162</f>
        <v>avantage1</v>
      </c>
      <c r="Y160" t="str">
        <f>Tokens!AA162</f>
        <v>accès pour deux (2) personnes à un (1) événement partenaire officiel de Calvi on the Rocks</v>
      </c>
      <c r="Z160">
        <f>Tokens!AB162</f>
        <v>0</v>
      </c>
      <c r="AA160">
        <f>Tokens!AC162</f>
        <v>0</v>
      </c>
      <c r="AB160">
        <f>Tokens!AD162</f>
        <v>0</v>
      </c>
      <c r="AC160">
        <f>Tokens!AE162</f>
        <v>0</v>
      </c>
      <c r="AD160">
        <f>Tokens!AF162</f>
        <v>0</v>
      </c>
      <c r="AE160">
        <f>Tokens!AG162</f>
        <v>0</v>
      </c>
      <c r="AF160" t="str">
        <f>Tokens!AH162</f>
        <v>avantage2</v>
      </c>
      <c r="AG160" t="str">
        <f>Tokens!AI162</f>
        <v>accès membre pour les after party officielles pour deux (2) personnes</v>
      </c>
      <c r="AH160" t="str">
        <f>Tokens!AJ162</f>
        <v>avantage3</v>
      </c>
      <c r="AI160" t="str">
        <f>Tokens!AK162</f>
        <v>accès prioritaire et bar dédié (consommation à la charge du festivalier) - tables réservées à l'avance pour les « NFT member » pour deux (2) personnes</v>
      </c>
      <c r="AJ160" t="str">
        <f>Tokens!AL162</f>
        <v>avantage4</v>
      </c>
      <c r="AK160" t="str">
        <f>Tokens!AM162</f>
        <v>1 affiche dédicacée et numérotée</v>
      </c>
      <c r="AL160">
        <f>Tokens!AN162</f>
        <v>0</v>
      </c>
      <c r="AM160">
        <f>Tokens!AO162</f>
        <v>0</v>
      </c>
      <c r="AN160">
        <f>Tokens!AP162</f>
        <v>0</v>
      </c>
      <c r="AO160">
        <f>Tokens!AQ162</f>
        <v>0</v>
      </c>
      <c r="AP160">
        <f>Tokens!AR162</f>
        <v>0</v>
      </c>
      <c r="AQ160">
        <f>Tokens!AS162</f>
        <v>0</v>
      </c>
      <c r="AR160">
        <f>Tokens!AT162</f>
        <v>0</v>
      </c>
      <c r="AS160">
        <f>Tokens!AU162</f>
        <v>0</v>
      </c>
      <c r="AT160" t="str">
        <f>Tokens!AV162</f>
        <v>Validation</v>
      </c>
      <c r="AU160" t="str">
        <f>Tokens!AW162</f>
        <v>https://tokensol.nfluent.io?s=COR22C99&amp;platform=ftx</v>
      </c>
      <c r="AV160" t="str">
        <f>Tokens!AX162</f>
        <v>paul</v>
      </c>
      <c r="AW160">
        <f>Tokens!AY162</f>
        <v>10</v>
      </c>
      <c r="AX160" t="str">
        <f>Tokens!AZ162</f>
        <v>sophie</v>
      </c>
      <c r="AY160">
        <f>Tokens!BA162</f>
        <v>90</v>
      </c>
      <c r="AZ160">
        <f>Tokens!BB162</f>
        <v>0</v>
      </c>
      <c r="BA160">
        <f>Tokens!BC162</f>
        <v>0</v>
      </c>
      <c r="BB160">
        <f>Tokens!BD162</f>
        <v>0</v>
      </c>
      <c r="BC160">
        <f>Tokens!BE162</f>
        <v>0</v>
      </c>
      <c r="BD160">
        <f>Tokens!BF162</f>
        <v>0</v>
      </c>
      <c r="BE160">
        <f>Tokens!BG162</f>
        <v>0</v>
      </c>
      <c r="BF160">
        <f>Tokens!BH162</f>
        <v>0</v>
      </c>
      <c r="BG160">
        <f>Tokens!BI162</f>
        <v>0</v>
      </c>
      <c r="BH160" t="str">
        <f>Tokens!BJ162</f>
        <v>La Porteuse D'Eau</v>
      </c>
      <c r="BI160" t="str">
        <f>Tokens!BK162</f>
        <v>Calvi On The Rocks</v>
      </c>
    </row>
    <row r="161" spans="1:61" x14ac:dyDescent="0.25">
      <c r="A161" t="str">
        <f>Tokens!C163</f>
        <v>La Porteuse D'Eau #100</v>
      </c>
      <c r="B161" t="str">
        <f>Tokens!D163</f>
        <v>COR22C100</v>
      </c>
      <c r="C161" t="str">
        <f>Tokens!E163</f>
        <v>La Porteuse D'Eau, 3 ans - Pass NFT 5 jours pour 2 personnes, valable pour 3 éditions Calvi On The Rocks de votre choix.</v>
      </c>
      <c r="D161">
        <f>Tokens!F163</f>
        <v>1000</v>
      </c>
      <c r="E161" t="str">
        <f>Tokens!G163</f>
        <v>https://bafybeicordeza5gk2bza3mvxlpkuixf2rl7wnnuldoo222om2i4bxv2oqa.ipfs.nftstorage.link?image_10.png</v>
      </c>
      <c r="F161" t="str">
        <f>Tokens!H163</f>
        <v>NfluenT for Calvi On The rocks</v>
      </c>
      <c r="G161">
        <f>Tokens!I163</f>
        <v>0</v>
      </c>
      <c r="H161" t="str">
        <f>Tokens!J163</f>
        <v>Pass festival</v>
      </c>
      <c r="I161" t="str">
        <f>Tokens!K163</f>
        <v>pour deux(2) personnes</v>
      </c>
      <c r="J161" t="str">
        <f>Tokens!L163</f>
        <v>Edition1</v>
      </c>
      <c r="K161">
        <f>Tokens!M163</f>
        <v>2</v>
      </c>
      <c r="L161" t="str">
        <f>Tokens!N163</f>
        <v>Edition2</v>
      </c>
      <c r="M161">
        <f>Tokens!O163</f>
        <v>2</v>
      </c>
      <c r="N161" t="str">
        <f>Tokens!P163</f>
        <v>Edition3</v>
      </c>
      <c r="O161">
        <f>Tokens!Q163</f>
        <v>2</v>
      </c>
      <c r="P161">
        <f>Tokens!R163</f>
        <v>0</v>
      </c>
      <c r="Q161">
        <f>Tokens!S163</f>
        <v>0</v>
      </c>
      <c r="R161">
        <f>Tokens!T163</f>
        <v>0</v>
      </c>
      <c r="S161">
        <f>Tokens!U163</f>
        <v>0</v>
      </c>
      <c r="T161" t="str">
        <f>Tokens!V163</f>
        <v>Dernière utilisation</v>
      </c>
      <c r="U161">
        <f>Tokens!W163</f>
        <v>0</v>
      </c>
      <c r="V161">
        <f>Tokens!X163</f>
        <v>0</v>
      </c>
      <c r="W161">
        <f>Tokens!Y163</f>
        <v>0</v>
      </c>
      <c r="X161" t="str">
        <f>Tokens!Z163</f>
        <v>avantage1</v>
      </c>
      <c r="Y161" t="str">
        <f>Tokens!AA163</f>
        <v>accès pour deux (2) personnes à un (1) événement partenaire officiel de Calvi on the Rocks</v>
      </c>
      <c r="Z161">
        <f>Tokens!AB163</f>
        <v>0</v>
      </c>
      <c r="AA161">
        <f>Tokens!AC163</f>
        <v>0</v>
      </c>
      <c r="AB161">
        <f>Tokens!AD163</f>
        <v>0</v>
      </c>
      <c r="AC161">
        <f>Tokens!AE163</f>
        <v>0</v>
      </c>
      <c r="AD161">
        <f>Tokens!AF163</f>
        <v>0</v>
      </c>
      <c r="AE161">
        <f>Tokens!AG163</f>
        <v>0</v>
      </c>
      <c r="AF161" t="str">
        <f>Tokens!AH163</f>
        <v>avantage2</v>
      </c>
      <c r="AG161" t="str">
        <f>Tokens!AI163</f>
        <v>accès membre pour les after party officielles pour deux (2) personnes</v>
      </c>
      <c r="AH161" t="str">
        <f>Tokens!AJ163</f>
        <v>avantage3</v>
      </c>
      <c r="AI161" t="str">
        <f>Tokens!AK163</f>
        <v>accès prioritaire et bar dédié (consommation à la charge du festivalier) - tables réservées à l'avance pour les « NFT member » pour deux (2) personnes</v>
      </c>
      <c r="AJ161" t="str">
        <f>Tokens!AL163</f>
        <v>avantage4</v>
      </c>
      <c r="AK161" t="str">
        <f>Tokens!AM163</f>
        <v>1 affiche dédicacée et numérotée</v>
      </c>
      <c r="AL161">
        <f>Tokens!AN163</f>
        <v>0</v>
      </c>
      <c r="AM161">
        <f>Tokens!AO163</f>
        <v>0</v>
      </c>
      <c r="AN161">
        <f>Tokens!AP163</f>
        <v>0</v>
      </c>
      <c r="AO161">
        <f>Tokens!AQ163</f>
        <v>0</v>
      </c>
      <c r="AP161">
        <f>Tokens!AR163</f>
        <v>0</v>
      </c>
      <c r="AQ161">
        <f>Tokens!AS163</f>
        <v>0</v>
      </c>
      <c r="AR161">
        <f>Tokens!AT163</f>
        <v>0</v>
      </c>
      <c r="AS161">
        <f>Tokens!AU163</f>
        <v>0</v>
      </c>
      <c r="AT161" t="str">
        <f>Tokens!AV163</f>
        <v>Validation</v>
      </c>
      <c r="AU161" t="str">
        <f>Tokens!AW163</f>
        <v>https://tokensol.nfluent.io?s=COR22C100&amp;platform=ftx</v>
      </c>
      <c r="AV161" t="str">
        <f>Tokens!AX163</f>
        <v>paul</v>
      </c>
      <c r="AW161">
        <f>Tokens!AY163</f>
        <v>10</v>
      </c>
      <c r="AX161" t="str">
        <f>Tokens!AZ163</f>
        <v>sophie</v>
      </c>
      <c r="AY161">
        <f>Tokens!BA163</f>
        <v>90</v>
      </c>
      <c r="AZ161">
        <f>Tokens!BB163</f>
        <v>0</v>
      </c>
      <c r="BA161">
        <f>Tokens!BC163</f>
        <v>0</v>
      </c>
      <c r="BB161">
        <f>Tokens!BD163</f>
        <v>0</v>
      </c>
      <c r="BC161">
        <f>Tokens!BE163</f>
        <v>0</v>
      </c>
      <c r="BD161">
        <f>Tokens!BF163</f>
        <v>0</v>
      </c>
      <c r="BE161">
        <f>Tokens!BG163</f>
        <v>0</v>
      </c>
      <c r="BF161">
        <f>Tokens!BH163</f>
        <v>0</v>
      </c>
      <c r="BG161">
        <f>Tokens!BI163</f>
        <v>0</v>
      </c>
      <c r="BH161" t="str">
        <f>Tokens!BJ163</f>
        <v>La Porteuse D'Eau</v>
      </c>
      <c r="BI161" t="str">
        <f>Tokens!BK163</f>
        <v>Calvi On The Rocks</v>
      </c>
    </row>
    <row r="162" spans="1:61" x14ac:dyDescent="0.25">
      <c r="A162" t="str">
        <f>Tokens!C164</f>
        <v>In Casa #1</v>
      </c>
      <c r="B162" t="str">
        <f>Tokens!D164</f>
        <v>COR22D1</v>
      </c>
      <c r="C162" t="str">
        <f>Tokens!E164</f>
        <v>In Casa, 1 an - Pass NFT 1 jour pour 1 personne, valable pour 1 édition Calvi On The Rocks de votre choix.</v>
      </c>
      <c r="D162">
        <f>Tokens!F164</f>
        <v>1000</v>
      </c>
      <c r="E162" t="str">
        <f>Tokens!G164</f>
        <v>https://bafybeicoll5hta7svtdoafktcinhd425jp2rrb23igyngrt6gxvz5d5t4m.ipfs.nftstorage.link?image_1.png</v>
      </c>
      <c r="F162" t="str">
        <f>Tokens!H164</f>
        <v>NfluenT for Calvi On The rocks</v>
      </c>
      <c r="G162">
        <f>Tokens!I164</f>
        <v>0</v>
      </c>
      <c r="H162" t="str">
        <f>Tokens!J164</f>
        <v>Pass festival</v>
      </c>
      <c r="I162" t="str">
        <f>Tokens!K164</f>
        <v>pour une(1) personne</v>
      </c>
      <c r="J162" t="str">
        <f>Tokens!L164</f>
        <v>Edition1</v>
      </c>
      <c r="K162">
        <f>Tokens!M164</f>
        <v>2</v>
      </c>
      <c r="L162">
        <f>Tokens!N164</f>
        <v>0</v>
      </c>
      <c r="M162">
        <f>Tokens!O164</f>
        <v>0</v>
      </c>
      <c r="N162">
        <f>Tokens!P164</f>
        <v>0</v>
      </c>
      <c r="O162">
        <f>Tokens!Q164</f>
        <v>0</v>
      </c>
      <c r="P162">
        <f>Tokens!R164</f>
        <v>0</v>
      </c>
      <c r="Q162">
        <f>Tokens!S164</f>
        <v>0</v>
      </c>
      <c r="R162">
        <f>Tokens!T164</f>
        <v>0</v>
      </c>
      <c r="S162">
        <f>Tokens!U164</f>
        <v>0</v>
      </c>
      <c r="T162" t="str">
        <f>Tokens!V164</f>
        <v>Dernière utilisation</v>
      </c>
      <c r="U162">
        <f>Tokens!W164</f>
        <v>0</v>
      </c>
      <c r="V162">
        <f>Tokens!X164</f>
        <v>0</v>
      </c>
      <c r="W162">
        <f>Tokens!Y164</f>
        <v>0</v>
      </c>
      <c r="X162">
        <f>Tokens!Z164</f>
        <v>0</v>
      </c>
      <c r="Y162">
        <f>Tokens!AA164</f>
        <v>0</v>
      </c>
      <c r="Z162">
        <f>Tokens!AB164</f>
        <v>0</v>
      </c>
      <c r="AA162">
        <f>Tokens!AC164</f>
        <v>0</v>
      </c>
      <c r="AB162">
        <f>Tokens!AD164</f>
        <v>0</v>
      </c>
      <c r="AC162">
        <f>Tokens!AE164</f>
        <v>0</v>
      </c>
      <c r="AD162">
        <f>Tokens!AF164</f>
        <v>0</v>
      </c>
      <c r="AE162">
        <f>Tokens!AG164</f>
        <v>0</v>
      </c>
      <c r="AF162">
        <f>Tokens!AH164</f>
        <v>0</v>
      </c>
      <c r="AG162">
        <f>Tokens!AI164</f>
        <v>0</v>
      </c>
      <c r="AH162">
        <f>Tokens!AJ164</f>
        <v>0</v>
      </c>
      <c r="AI162">
        <f>Tokens!AK164</f>
        <v>0</v>
      </c>
      <c r="AJ162" t="str">
        <f>Tokens!AL164</f>
        <v>avantage1</v>
      </c>
      <c r="AK162" t="str">
        <f>Tokens!AM164</f>
        <v>1 affiche numérotée (quelques unes seront signées au hasard)</v>
      </c>
      <c r="AL162">
        <f>Tokens!AN164</f>
        <v>0</v>
      </c>
      <c r="AM162">
        <f>Tokens!AO164</f>
        <v>0</v>
      </c>
      <c r="AN162">
        <f>Tokens!AP164</f>
        <v>0</v>
      </c>
      <c r="AO162">
        <f>Tokens!AQ164</f>
        <v>0</v>
      </c>
      <c r="AP162">
        <f>Tokens!AR164</f>
        <v>0</v>
      </c>
      <c r="AQ162">
        <f>Tokens!AS164</f>
        <v>0</v>
      </c>
      <c r="AR162">
        <f>Tokens!AT164</f>
        <v>0</v>
      </c>
      <c r="AS162">
        <f>Tokens!AU164</f>
        <v>0</v>
      </c>
      <c r="AT162" t="str">
        <f>Tokens!AV164</f>
        <v>Validation</v>
      </c>
      <c r="AU162" t="str">
        <f>Tokens!AW164</f>
        <v>https://tokensol.nfluent.io?s=COR22D1&amp;platform=ftx</v>
      </c>
      <c r="AV162" t="str">
        <f>Tokens!AX164</f>
        <v>paul</v>
      </c>
      <c r="AW162">
        <f>Tokens!AY164</f>
        <v>10</v>
      </c>
      <c r="AX162" t="str">
        <f>Tokens!AZ164</f>
        <v>sophie</v>
      </c>
      <c r="AY162">
        <f>Tokens!BA164</f>
        <v>90</v>
      </c>
      <c r="AZ162">
        <f>Tokens!BB164</f>
        <v>0</v>
      </c>
      <c r="BA162">
        <f>Tokens!BC164</f>
        <v>0</v>
      </c>
      <c r="BB162">
        <f>Tokens!BD164</f>
        <v>0</v>
      </c>
      <c r="BC162">
        <f>Tokens!BE164</f>
        <v>0</v>
      </c>
      <c r="BD162">
        <f>Tokens!BF164</f>
        <v>0</v>
      </c>
      <c r="BE162">
        <f>Tokens!BG164</f>
        <v>0</v>
      </c>
      <c r="BF162">
        <f>Tokens!BH164</f>
        <v>0</v>
      </c>
      <c r="BG162">
        <f>Tokens!BI164</f>
        <v>0</v>
      </c>
      <c r="BH162" t="str">
        <f>Tokens!BJ164</f>
        <v>In Casa</v>
      </c>
      <c r="BI162" t="str">
        <f>Tokens!BK164</f>
        <v>Calvi On The Rocks</v>
      </c>
    </row>
    <row r="163" spans="1:61" x14ac:dyDescent="0.25">
      <c r="A163" t="str">
        <f>Tokens!C165</f>
        <v>In Casa #2</v>
      </c>
      <c r="B163" t="str">
        <f>Tokens!D165</f>
        <v>COR22D2</v>
      </c>
      <c r="C163" t="str">
        <f>Tokens!E165</f>
        <v>In Casa, 1 an - Pass NFT 1 jour pour 1 personne, valable pour 1 édition Calvi On The Rocks de votre choix.</v>
      </c>
      <c r="D163">
        <f>Tokens!F165</f>
        <v>1000</v>
      </c>
      <c r="E163" t="str">
        <f>Tokens!G165</f>
        <v>https://bafybeihs2mwol76ke7lxzkt42426xyyp3pifid6e4xfriqcgefem4z42ca.ipfs.nftstorage.link?image_2.png</v>
      </c>
      <c r="F163" t="str">
        <f>Tokens!H165</f>
        <v>NfluenT for Calvi On The rocks</v>
      </c>
      <c r="G163">
        <f>Tokens!I165</f>
        <v>0</v>
      </c>
      <c r="H163" t="str">
        <f>Tokens!J165</f>
        <v>Pass festival</v>
      </c>
      <c r="I163" t="str">
        <f>Tokens!K165</f>
        <v>pour une(1) personne</v>
      </c>
      <c r="J163" t="str">
        <f>Tokens!L165</f>
        <v>Edition1</v>
      </c>
      <c r="K163">
        <f>Tokens!M165</f>
        <v>2</v>
      </c>
      <c r="L163">
        <f>Tokens!N165</f>
        <v>0</v>
      </c>
      <c r="M163">
        <f>Tokens!O165</f>
        <v>0</v>
      </c>
      <c r="N163">
        <f>Tokens!P165</f>
        <v>0</v>
      </c>
      <c r="O163">
        <f>Tokens!Q165</f>
        <v>0</v>
      </c>
      <c r="P163">
        <f>Tokens!R165</f>
        <v>0</v>
      </c>
      <c r="Q163">
        <f>Tokens!S165</f>
        <v>0</v>
      </c>
      <c r="R163">
        <f>Tokens!T165</f>
        <v>0</v>
      </c>
      <c r="S163">
        <f>Tokens!U165</f>
        <v>0</v>
      </c>
      <c r="T163" t="str">
        <f>Tokens!V165</f>
        <v>Dernière utilisation</v>
      </c>
      <c r="U163">
        <f>Tokens!W165</f>
        <v>0</v>
      </c>
      <c r="V163">
        <f>Tokens!X165</f>
        <v>0</v>
      </c>
      <c r="W163">
        <f>Tokens!Y165</f>
        <v>0</v>
      </c>
      <c r="X163">
        <f>Tokens!Z165</f>
        <v>0</v>
      </c>
      <c r="Y163">
        <f>Tokens!AA165</f>
        <v>0</v>
      </c>
      <c r="Z163">
        <f>Tokens!AB165</f>
        <v>0</v>
      </c>
      <c r="AA163">
        <f>Tokens!AC165</f>
        <v>0</v>
      </c>
      <c r="AB163">
        <f>Tokens!AD165</f>
        <v>0</v>
      </c>
      <c r="AC163">
        <f>Tokens!AE165</f>
        <v>0</v>
      </c>
      <c r="AD163">
        <f>Tokens!AF165</f>
        <v>0</v>
      </c>
      <c r="AE163">
        <f>Tokens!AG165</f>
        <v>0</v>
      </c>
      <c r="AF163">
        <f>Tokens!AH165</f>
        <v>0</v>
      </c>
      <c r="AG163">
        <f>Tokens!AI165</f>
        <v>0</v>
      </c>
      <c r="AH163">
        <f>Tokens!AJ165</f>
        <v>0</v>
      </c>
      <c r="AI163">
        <f>Tokens!AK165</f>
        <v>0</v>
      </c>
      <c r="AJ163" t="str">
        <f>Tokens!AL165</f>
        <v>avantage1</v>
      </c>
      <c r="AK163" t="str">
        <f>Tokens!AM165</f>
        <v>1 affiche numérotée (quelques unes seront signées au hasard)</v>
      </c>
      <c r="AL163">
        <f>Tokens!AN165</f>
        <v>0</v>
      </c>
      <c r="AM163">
        <f>Tokens!AO165</f>
        <v>0</v>
      </c>
      <c r="AN163">
        <f>Tokens!AP165</f>
        <v>0</v>
      </c>
      <c r="AO163">
        <f>Tokens!AQ165</f>
        <v>0</v>
      </c>
      <c r="AP163">
        <f>Tokens!AR165</f>
        <v>0</v>
      </c>
      <c r="AQ163">
        <f>Tokens!AS165</f>
        <v>0</v>
      </c>
      <c r="AR163">
        <f>Tokens!AT165</f>
        <v>0</v>
      </c>
      <c r="AS163">
        <f>Tokens!AU165</f>
        <v>0</v>
      </c>
      <c r="AT163" t="str">
        <f>Tokens!AV165</f>
        <v>Validation</v>
      </c>
      <c r="AU163" t="str">
        <f>Tokens!AW165</f>
        <v>https://tokensol.nfluent.io?s=COR22D2&amp;platform=ftx</v>
      </c>
      <c r="AV163" t="str">
        <f>Tokens!AX165</f>
        <v>paul</v>
      </c>
      <c r="AW163">
        <f>Tokens!AY165</f>
        <v>10</v>
      </c>
      <c r="AX163" t="str">
        <f>Tokens!AZ165</f>
        <v>sophie</v>
      </c>
      <c r="AY163">
        <f>Tokens!BA165</f>
        <v>90</v>
      </c>
      <c r="AZ163">
        <f>Tokens!BB165</f>
        <v>0</v>
      </c>
      <c r="BA163">
        <f>Tokens!BC165</f>
        <v>0</v>
      </c>
      <c r="BB163">
        <f>Tokens!BD165</f>
        <v>0</v>
      </c>
      <c r="BC163">
        <f>Tokens!BE165</f>
        <v>0</v>
      </c>
      <c r="BD163">
        <f>Tokens!BF165</f>
        <v>0</v>
      </c>
      <c r="BE163">
        <f>Tokens!BG165</f>
        <v>0</v>
      </c>
      <c r="BF163">
        <f>Tokens!BH165</f>
        <v>0</v>
      </c>
      <c r="BG163">
        <f>Tokens!BI165</f>
        <v>0</v>
      </c>
      <c r="BH163" t="str">
        <f>Tokens!BJ165</f>
        <v>In Casa</v>
      </c>
      <c r="BI163" t="str">
        <f>Tokens!BK165</f>
        <v>Calvi On The Rocks</v>
      </c>
    </row>
    <row r="164" spans="1:61" x14ac:dyDescent="0.25">
      <c r="A164" t="str">
        <f>Tokens!C166</f>
        <v>In Casa #3</v>
      </c>
      <c r="B164" t="str">
        <f>Tokens!D166</f>
        <v>COR22D3</v>
      </c>
      <c r="C164" t="str">
        <f>Tokens!E166</f>
        <v>In Casa, 1 an - Pass NFT 1 jour pour 1 personne, valable pour 1 édition Calvi On The Rocks de votre choix.</v>
      </c>
      <c r="D164">
        <f>Tokens!F166</f>
        <v>1000</v>
      </c>
      <c r="E164" t="str">
        <f>Tokens!G166</f>
        <v>https://bafybeihg7br2nyp3bwduvcmw343g647l5yazn4lqifsrpmiju4ib4or3ca.ipfs.nftstorage.link?image_3.png</v>
      </c>
      <c r="F164" t="str">
        <f>Tokens!H166</f>
        <v>NfluenT for Calvi On The rocks</v>
      </c>
      <c r="G164">
        <f>Tokens!I166</f>
        <v>0</v>
      </c>
      <c r="H164" t="str">
        <f>Tokens!J166</f>
        <v>Pass festival</v>
      </c>
      <c r="I164" t="str">
        <f>Tokens!K166</f>
        <v>pour une(1) personne</v>
      </c>
      <c r="J164" t="str">
        <f>Tokens!L166</f>
        <v>Edition1</v>
      </c>
      <c r="K164">
        <f>Tokens!M166</f>
        <v>2</v>
      </c>
      <c r="L164">
        <f>Tokens!N166</f>
        <v>0</v>
      </c>
      <c r="M164">
        <f>Tokens!O166</f>
        <v>0</v>
      </c>
      <c r="N164">
        <f>Tokens!P166</f>
        <v>0</v>
      </c>
      <c r="O164">
        <f>Tokens!Q166</f>
        <v>0</v>
      </c>
      <c r="P164">
        <f>Tokens!R166</f>
        <v>0</v>
      </c>
      <c r="Q164">
        <f>Tokens!S166</f>
        <v>0</v>
      </c>
      <c r="R164">
        <f>Tokens!T166</f>
        <v>0</v>
      </c>
      <c r="S164">
        <f>Tokens!U166</f>
        <v>0</v>
      </c>
      <c r="T164" t="str">
        <f>Tokens!V166</f>
        <v>Dernière utilisation</v>
      </c>
      <c r="U164">
        <f>Tokens!W166</f>
        <v>0</v>
      </c>
      <c r="V164">
        <f>Tokens!X166</f>
        <v>0</v>
      </c>
      <c r="W164">
        <f>Tokens!Y166</f>
        <v>0</v>
      </c>
      <c r="X164">
        <f>Tokens!Z166</f>
        <v>0</v>
      </c>
      <c r="Y164">
        <f>Tokens!AA166</f>
        <v>0</v>
      </c>
      <c r="Z164">
        <f>Tokens!AB166</f>
        <v>0</v>
      </c>
      <c r="AA164">
        <f>Tokens!AC166</f>
        <v>0</v>
      </c>
      <c r="AB164">
        <f>Tokens!AD166</f>
        <v>0</v>
      </c>
      <c r="AC164">
        <f>Tokens!AE166</f>
        <v>0</v>
      </c>
      <c r="AD164">
        <f>Tokens!AF166</f>
        <v>0</v>
      </c>
      <c r="AE164">
        <f>Tokens!AG166</f>
        <v>0</v>
      </c>
      <c r="AF164">
        <f>Tokens!AH166</f>
        <v>0</v>
      </c>
      <c r="AG164">
        <f>Tokens!AI166</f>
        <v>0</v>
      </c>
      <c r="AH164">
        <f>Tokens!AJ166</f>
        <v>0</v>
      </c>
      <c r="AI164">
        <f>Tokens!AK166</f>
        <v>0</v>
      </c>
      <c r="AJ164" t="str">
        <f>Tokens!AL166</f>
        <v>avantage1</v>
      </c>
      <c r="AK164" t="str">
        <f>Tokens!AM166</f>
        <v>1 affiche numérotée (quelques unes seront signées au hasard)</v>
      </c>
      <c r="AL164">
        <f>Tokens!AN166</f>
        <v>0</v>
      </c>
      <c r="AM164">
        <f>Tokens!AO166</f>
        <v>0</v>
      </c>
      <c r="AN164">
        <f>Tokens!AP166</f>
        <v>0</v>
      </c>
      <c r="AO164">
        <f>Tokens!AQ166</f>
        <v>0</v>
      </c>
      <c r="AP164">
        <f>Tokens!AR166</f>
        <v>0</v>
      </c>
      <c r="AQ164">
        <f>Tokens!AS166</f>
        <v>0</v>
      </c>
      <c r="AR164">
        <f>Tokens!AT166</f>
        <v>0</v>
      </c>
      <c r="AS164">
        <f>Tokens!AU166</f>
        <v>0</v>
      </c>
      <c r="AT164" t="str">
        <f>Tokens!AV166</f>
        <v>Validation</v>
      </c>
      <c r="AU164" t="str">
        <f>Tokens!AW166</f>
        <v>https://tokensol.nfluent.io?s=COR22D3&amp;platform=ftx</v>
      </c>
      <c r="AV164" t="str">
        <f>Tokens!AX166</f>
        <v>paul</v>
      </c>
      <c r="AW164">
        <f>Tokens!AY166</f>
        <v>10</v>
      </c>
      <c r="AX164" t="str">
        <f>Tokens!AZ166</f>
        <v>sophie</v>
      </c>
      <c r="AY164">
        <f>Tokens!BA166</f>
        <v>90</v>
      </c>
      <c r="AZ164">
        <f>Tokens!BB166</f>
        <v>0</v>
      </c>
      <c r="BA164">
        <f>Tokens!BC166</f>
        <v>0</v>
      </c>
      <c r="BB164">
        <f>Tokens!BD166</f>
        <v>0</v>
      </c>
      <c r="BC164">
        <f>Tokens!BE166</f>
        <v>0</v>
      </c>
      <c r="BD164">
        <f>Tokens!BF166</f>
        <v>0</v>
      </c>
      <c r="BE164">
        <f>Tokens!BG166</f>
        <v>0</v>
      </c>
      <c r="BF164">
        <f>Tokens!BH166</f>
        <v>0</v>
      </c>
      <c r="BG164">
        <f>Tokens!BI166</f>
        <v>0</v>
      </c>
      <c r="BH164" t="str">
        <f>Tokens!BJ166</f>
        <v>In Casa</v>
      </c>
      <c r="BI164" t="str">
        <f>Tokens!BK166</f>
        <v>Calvi On The Rocks</v>
      </c>
    </row>
    <row r="165" spans="1:61" x14ac:dyDescent="0.25">
      <c r="A165" t="str">
        <f>Tokens!C167</f>
        <v>In Casa #4</v>
      </c>
      <c r="B165" t="str">
        <f>Tokens!D167</f>
        <v>COR22D4</v>
      </c>
      <c r="C165" t="str">
        <f>Tokens!E167</f>
        <v>In Casa, 1 an - Pass NFT 1 jour pour 1 personne, valable pour 1 édition Calvi On The Rocks de votre choix.</v>
      </c>
      <c r="D165">
        <f>Tokens!F167</f>
        <v>1000</v>
      </c>
      <c r="E165" t="str">
        <f>Tokens!G167</f>
        <v>https://bafybeifkznmi34p3yr7jyh3vxs5p4ixs2l6iyu7w5gfujhagnv6bvyqsoa.ipfs.nftstorage.link?image_4.png</v>
      </c>
      <c r="F165" t="str">
        <f>Tokens!H167</f>
        <v>NfluenT for Calvi On The rocks</v>
      </c>
      <c r="G165">
        <f>Tokens!I167</f>
        <v>0</v>
      </c>
      <c r="H165" t="str">
        <f>Tokens!J167</f>
        <v>Pass festival</v>
      </c>
      <c r="I165" t="str">
        <f>Tokens!K167</f>
        <v>pour une(1) personne</v>
      </c>
      <c r="J165" t="str">
        <f>Tokens!L167</f>
        <v>Edition1</v>
      </c>
      <c r="K165">
        <f>Tokens!M167</f>
        <v>2</v>
      </c>
      <c r="L165">
        <f>Tokens!N167</f>
        <v>0</v>
      </c>
      <c r="M165">
        <f>Tokens!O167</f>
        <v>0</v>
      </c>
      <c r="N165">
        <f>Tokens!P167</f>
        <v>0</v>
      </c>
      <c r="O165">
        <f>Tokens!Q167</f>
        <v>0</v>
      </c>
      <c r="P165">
        <f>Tokens!R167</f>
        <v>0</v>
      </c>
      <c r="Q165">
        <f>Tokens!S167</f>
        <v>0</v>
      </c>
      <c r="R165">
        <f>Tokens!T167</f>
        <v>0</v>
      </c>
      <c r="S165">
        <f>Tokens!U167</f>
        <v>0</v>
      </c>
      <c r="T165" t="str">
        <f>Tokens!V167</f>
        <v>Dernière utilisation</v>
      </c>
      <c r="U165">
        <f>Tokens!W167</f>
        <v>0</v>
      </c>
      <c r="V165">
        <f>Tokens!X167</f>
        <v>0</v>
      </c>
      <c r="W165">
        <f>Tokens!Y167</f>
        <v>0</v>
      </c>
      <c r="X165">
        <f>Tokens!Z167</f>
        <v>0</v>
      </c>
      <c r="Y165">
        <f>Tokens!AA167</f>
        <v>0</v>
      </c>
      <c r="Z165">
        <f>Tokens!AB167</f>
        <v>0</v>
      </c>
      <c r="AA165">
        <f>Tokens!AC167</f>
        <v>0</v>
      </c>
      <c r="AB165">
        <f>Tokens!AD167</f>
        <v>0</v>
      </c>
      <c r="AC165">
        <f>Tokens!AE167</f>
        <v>0</v>
      </c>
      <c r="AD165">
        <f>Tokens!AF167</f>
        <v>0</v>
      </c>
      <c r="AE165">
        <f>Tokens!AG167</f>
        <v>0</v>
      </c>
      <c r="AF165">
        <f>Tokens!AH167</f>
        <v>0</v>
      </c>
      <c r="AG165">
        <f>Tokens!AI167</f>
        <v>0</v>
      </c>
      <c r="AH165">
        <f>Tokens!AJ167</f>
        <v>0</v>
      </c>
      <c r="AI165">
        <f>Tokens!AK167</f>
        <v>0</v>
      </c>
      <c r="AJ165" t="str">
        <f>Tokens!AL167</f>
        <v>avantage1</v>
      </c>
      <c r="AK165" t="str">
        <f>Tokens!AM167</f>
        <v>1 affiche numérotée (quelques unes seront signées au hasard)</v>
      </c>
      <c r="AL165">
        <f>Tokens!AN167</f>
        <v>0</v>
      </c>
      <c r="AM165">
        <f>Tokens!AO167</f>
        <v>0</v>
      </c>
      <c r="AN165">
        <f>Tokens!AP167</f>
        <v>0</v>
      </c>
      <c r="AO165">
        <f>Tokens!AQ167</f>
        <v>0</v>
      </c>
      <c r="AP165">
        <f>Tokens!AR167</f>
        <v>0</v>
      </c>
      <c r="AQ165">
        <f>Tokens!AS167</f>
        <v>0</v>
      </c>
      <c r="AR165">
        <f>Tokens!AT167</f>
        <v>0</v>
      </c>
      <c r="AS165">
        <f>Tokens!AU167</f>
        <v>0</v>
      </c>
      <c r="AT165" t="str">
        <f>Tokens!AV167</f>
        <v>Validation</v>
      </c>
      <c r="AU165" t="str">
        <f>Tokens!AW167</f>
        <v>https://tokensol.nfluent.io?s=COR22D4&amp;platform=ftx</v>
      </c>
      <c r="AV165" t="str">
        <f>Tokens!AX167</f>
        <v>paul</v>
      </c>
      <c r="AW165">
        <f>Tokens!AY167</f>
        <v>10</v>
      </c>
      <c r="AX165" t="str">
        <f>Tokens!AZ167</f>
        <v>sophie</v>
      </c>
      <c r="AY165">
        <f>Tokens!BA167</f>
        <v>90</v>
      </c>
      <c r="AZ165">
        <f>Tokens!BB167</f>
        <v>0</v>
      </c>
      <c r="BA165">
        <f>Tokens!BC167</f>
        <v>0</v>
      </c>
      <c r="BB165">
        <f>Tokens!BD167</f>
        <v>0</v>
      </c>
      <c r="BC165">
        <f>Tokens!BE167</f>
        <v>0</v>
      </c>
      <c r="BD165">
        <f>Tokens!BF167</f>
        <v>0</v>
      </c>
      <c r="BE165">
        <f>Tokens!BG167</f>
        <v>0</v>
      </c>
      <c r="BF165">
        <f>Tokens!BH167</f>
        <v>0</v>
      </c>
      <c r="BG165">
        <f>Tokens!BI167</f>
        <v>0</v>
      </c>
      <c r="BH165" t="str">
        <f>Tokens!BJ167</f>
        <v>In Casa</v>
      </c>
      <c r="BI165" t="str">
        <f>Tokens!BK167</f>
        <v>Calvi On The Rocks</v>
      </c>
    </row>
    <row r="166" spans="1:61" x14ac:dyDescent="0.25">
      <c r="A166" t="str">
        <f>Tokens!C168</f>
        <v>In Casa #5</v>
      </c>
      <c r="B166" t="str">
        <f>Tokens!D168</f>
        <v>COR22D5</v>
      </c>
      <c r="C166" t="str">
        <f>Tokens!E168</f>
        <v>In Casa, 1 an - Pass NFT 1 jour pour 1 personne, valable pour 1 édition Calvi On The Rocks de votre choix.</v>
      </c>
      <c r="D166">
        <f>Tokens!F168</f>
        <v>1000</v>
      </c>
      <c r="E166" t="str">
        <f>Tokens!G168</f>
        <v>https://bafybeidcjat5b4fkmpuarowpxptwbdyhaqewb3hcf4k3k3jb4ci4tpdvdy.ipfs.nftstorage.link?image_5.png</v>
      </c>
      <c r="F166" t="str">
        <f>Tokens!H168</f>
        <v>NfluenT for Calvi On The rocks</v>
      </c>
      <c r="G166">
        <f>Tokens!I168</f>
        <v>0</v>
      </c>
      <c r="H166" t="str">
        <f>Tokens!J168</f>
        <v>Pass festival</v>
      </c>
      <c r="I166" t="str">
        <f>Tokens!K168</f>
        <v>pour une(1) personne</v>
      </c>
      <c r="J166" t="str">
        <f>Tokens!L168</f>
        <v>Edition1</v>
      </c>
      <c r="K166">
        <f>Tokens!M168</f>
        <v>2</v>
      </c>
      <c r="L166">
        <f>Tokens!N168</f>
        <v>0</v>
      </c>
      <c r="M166">
        <f>Tokens!O168</f>
        <v>0</v>
      </c>
      <c r="N166">
        <f>Tokens!P168</f>
        <v>0</v>
      </c>
      <c r="O166">
        <f>Tokens!Q168</f>
        <v>0</v>
      </c>
      <c r="P166">
        <f>Tokens!R168</f>
        <v>0</v>
      </c>
      <c r="Q166">
        <f>Tokens!S168</f>
        <v>0</v>
      </c>
      <c r="R166">
        <f>Tokens!T168</f>
        <v>0</v>
      </c>
      <c r="S166">
        <f>Tokens!U168</f>
        <v>0</v>
      </c>
      <c r="T166" t="str">
        <f>Tokens!V168</f>
        <v>Dernière utilisation</v>
      </c>
      <c r="U166">
        <f>Tokens!W168</f>
        <v>0</v>
      </c>
      <c r="V166">
        <f>Tokens!X168</f>
        <v>0</v>
      </c>
      <c r="W166">
        <f>Tokens!Y168</f>
        <v>0</v>
      </c>
      <c r="X166">
        <f>Tokens!Z168</f>
        <v>0</v>
      </c>
      <c r="Y166">
        <f>Tokens!AA168</f>
        <v>0</v>
      </c>
      <c r="Z166">
        <f>Tokens!AB168</f>
        <v>0</v>
      </c>
      <c r="AA166">
        <f>Tokens!AC168</f>
        <v>0</v>
      </c>
      <c r="AB166">
        <f>Tokens!AD168</f>
        <v>0</v>
      </c>
      <c r="AC166">
        <f>Tokens!AE168</f>
        <v>0</v>
      </c>
      <c r="AD166">
        <f>Tokens!AF168</f>
        <v>0</v>
      </c>
      <c r="AE166">
        <f>Tokens!AG168</f>
        <v>0</v>
      </c>
      <c r="AF166">
        <f>Tokens!AH168</f>
        <v>0</v>
      </c>
      <c r="AG166">
        <f>Tokens!AI168</f>
        <v>0</v>
      </c>
      <c r="AH166">
        <f>Tokens!AJ168</f>
        <v>0</v>
      </c>
      <c r="AI166">
        <f>Tokens!AK168</f>
        <v>0</v>
      </c>
      <c r="AJ166" t="str">
        <f>Tokens!AL168</f>
        <v>avantage1</v>
      </c>
      <c r="AK166" t="str">
        <f>Tokens!AM168</f>
        <v>1 affiche numérotée (quelques unes seront signées au hasard)</v>
      </c>
      <c r="AL166">
        <f>Tokens!AN168</f>
        <v>0</v>
      </c>
      <c r="AM166">
        <f>Tokens!AO168</f>
        <v>0</v>
      </c>
      <c r="AN166">
        <f>Tokens!AP168</f>
        <v>0</v>
      </c>
      <c r="AO166">
        <f>Tokens!AQ168</f>
        <v>0</v>
      </c>
      <c r="AP166">
        <f>Tokens!AR168</f>
        <v>0</v>
      </c>
      <c r="AQ166">
        <f>Tokens!AS168</f>
        <v>0</v>
      </c>
      <c r="AR166">
        <f>Tokens!AT168</f>
        <v>0</v>
      </c>
      <c r="AS166">
        <f>Tokens!AU168</f>
        <v>0</v>
      </c>
      <c r="AT166" t="str">
        <f>Tokens!AV168</f>
        <v>Validation</v>
      </c>
      <c r="AU166" t="str">
        <f>Tokens!AW168</f>
        <v>https://tokensol.nfluent.io?s=COR22D5&amp;platform=ftx</v>
      </c>
      <c r="AV166" t="str">
        <f>Tokens!AX168</f>
        <v>paul</v>
      </c>
      <c r="AW166">
        <f>Tokens!AY168</f>
        <v>10</v>
      </c>
      <c r="AX166" t="str">
        <f>Tokens!AZ168</f>
        <v>sophie</v>
      </c>
      <c r="AY166">
        <f>Tokens!BA168</f>
        <v>90</v>
      </c>
      <c r="AZ166">
        <f>Tokens!BB168</f>
        <v>0</v>
      </c>
      <c r="BA166">
        <f>Tokens!BC168</f>
        <v>0</v>
      </c>
      <c r="BB166">
        <f>Tokens!BD168</f>
        <v>0</v>
      </c>
      <c r="BC166">
        <f>Tokens!BE168</f>
        <v>0</v>
      </c>
      <c r="BD166">
        <f>Tokens!BF168</f>
        <v>0</v>
      </c>
      <c r="BE166">
        <f>Tokens!BG168</f>
        <v>0</v>
      </c>
      <c r="BF166">
        <f>Tokens!BH168</f>
        <v>0</v>
      </c>
      <c r="BG166">
        <f>Tokens!BI168</f>
        <v>0</v>
      </c>
      <c r="BH166" t="str">
        <f>Tokens!BJ168</f>
        <v>In Casa</v>
      </c>
      <c r="BI166" t="str">
        <f>Tokens!BK168</f>
        <v>Calvi On The Rocks</v>
      </c>
    </row>
    <row r="167" spans="1:61" x14ac:dyDescent="0.25">
      <c r="A167" t="str">
        <f>Tokens!C169</f>
        <v>In Casa #6</v>
      </c>
      <c r="B167" t="str">
        <f>Tokens!D169</f>
        <v>COR22D6</v>
      </c>
      <c r="C167" t="str">
        <f>Tokens!E169</f>
        <v>In Casa, 1 an - Pass NFT 1 jour pour 1 personne, valable pour 1 édition Calvi On The Rocks de votre choix.</v>
      </c>
      <c r="D167">
        <f>Tokens!F169</f>
        <v>1000</v>
      </c>
      <c r="E167" t="str">
        <f>Tokens!G169</f>
        <v>https://bafybeic5ibk7q6uy4axzy45eiwz7ixs2cbe4tp5qbbysdxnqlyjrekog5q.ipfs.nftstorage.link?image_6.png</v>
      </c>
      <c r="F167" t="str">
        <f>Tokens!H169</f>
        <v>NfluenT for Calvi On The rocks</v>
      </c>
      <c r="G167">
        <f>Tokens!I169</f>
        <v>0</v>
      </c>
      <c r="H167" t="str">
        <f>Tokens!J169</f>
        <v>Pass festival</v>
      </c>
      <c r="I167" t="str">
        <f>Tokens!K169</f>
        <v>pour une(1) personne</v>
      </c>
      <c r="J167" t="str">
        <f>Tokens!L169</f>
        <v>Edition1</v>
      </c>
      <c r="K167">
        <f>Tokens!M169</f>
        <v>2</v>
      </c>
      <c r="L167">
        <f>Tokens!N169</f>
        <v>0</v>
      </c>
      <c r="M167">
        <f>Tokens!O169</f>
        <v>0</v>
      </c>
      <c r="N167">
        <f>Tokens!P169</f>
        <v>0</v>
      </c>
      <c r="O167">
        <f>Tokens!Q169</f>
        <v>0</v>
      </c>
      <c r="P167">
        <f>Tokens!R169</f>
        <v>0</v>
      </c>
      <c r="Q167">
        <f>Tokens!S169</f>
        <v>0</v>
      </c>
      <c r="R167">
        <f>Tokens!T169</f>
        <v>0</v>
      </c>
      <c r="S167">
        <f>Tokens!U169</f>
        <v>0</v>
      </c>
      <c r="T167" t="str">
        <f>Tokens!V169</f>
        <v>Dernière utilisation</v>
      </c>
      <c r="U167">
        <f>Tokens!W169</f>
        <v>0</v>
      </c>
      <c r="V167">
        <f>Tokens!X169</f>
        <v>0</v>
      </c>
      <c r="W167">
        <f>Tokens!Y169</f>
        <v>0</v>
      </c>
      <c r="X167">
        <f>Tokens!Z169</f>
        <v>0</v>
      </c>
      <c r="Y167">
        <f>Tokens!AA169</f>
        <v>0</v>
      </c>
      <c r="Z167">
        <f>Tokens!AB169</f>
        <v>0</v>
      </c>
      <c r="AA167">
        <f>Tokens!AC169</f>
        <v>0</v>
      </c>
      <c r="AB167">
        <f>Tokens!AD169</f>
        <v>0</v>
      </c>
      <c r="AC167">
        <f>Tokens!AE169</f>
        <v>0</v>
      </c>
      <c r="AD167">
        <f>Tokens!AF169</f>
        <v>0</v>
      </c>
      <c r="AE167">
        <f>Tokens!AG169</f>
        <v>0</v>
      </c>
      <c r="AF167">
        <f>Tokens!AH169</f>
        <v>0</v>
      </c>
      <c r="AG167">
        <f>Tokens!AI169</f>
        <v>0</v>
      </c>
      <c r="AH167">
        <f>Tokens!AJ169</f>
        <v>0</v>
      </c>
      <c r="AI167">
        <f>Tokens!AK169</f>
        <v>0</v>
      </c>
      <c r="AJ167" t="str">
        <f>Tokens!AL169</f>
        <v>avantage1</v>
      </c>
      <c r="AK167" t="str">
        <f>Tokens!AM169</f>
        <v>1 affiche numérotée (quelques unes seront signées au hasard)</v>
      </c>
      <c r="AL167">
        <f>Tokens!AN169</f>
        <v>0</v>
      </c>
      <c r="AM167">
        <f>Tokens!AO169</f>
        <v>0</v>
      </c>
      <c r="AN167">
        <f>Tokens!AP169</f>
        <v>0</v>
      </c>
      <c r="AO167">
        <f>Tokens!AQ169</f>
        <v>0</v>
      </c>
      <c r="AP167">
        <f>Tokens!AR169</f>
        <v>0</v>
      </c>
      <c r="AQ167">
        <f>Tokens!AS169</f>
        <v>0</v>
      </c>
      <c r="AR167">
        <f>Tokens!AT169</f>
        <v>0</v>
      </c>
      <c r="AS167">
        <f>Tokens!AU169</f>
        <v>0</v>
      </c>
      <c r="AT167" t="str">
        <f>Tokens!AV169</f>
        <v>Validation</v>
      </c>
      <c r="AU167" t="str">
        <f>Tokens!AW169</f>
        <v>https://tokensol.nfluent.io?s=COR22D6&amp;platform=ftx</v>
      </c>
      <c r="AV167" t="str">
        <f>Tokens!AX169</f>
        <v>paul</v>
      </c>
      <c r="AW167">
        <f>Tokens!AY169</f>
        <v>10</v>
      </c>
      <c r="AX167" t="str">
        <f>Tokens!AZ169</f>
        <v>sophie</v>
      </c>
      <c r="AY167">
        <f>Tokens!BA169</f>
        <v>90</v>
      </c>
      <c r="AZ167">
        <f>Tokens!BB169</f>
        <v>0</v>
      </c>
      <c r="BA167">
        <f>Tokens!BC169</f>
        <v>0</v>
      </c>
      <c r="BB167">
        <f>Tokens!BD169</f>
        <v>0</v>
      </c>
      <c r="BC167">
        <f>Tokens!BE169</f>
        <v>0</v>
      </c>
      <c r="BD167">
        <f>Tokens!BF169</f>
        <v>0</v>
      </c>
      <c r="BE167">
        <f>Tokens!BG169</f>
        <v>0</v>
      </c>
      <c r="BF167">
        <f>Tokens!BH169</f>
        <v>0</v>
      </c>
      <c r="BG167">
        <f>Tokens!BI169</f>
        <v>0</v>
      </c>
      <c r="BH167" t="str">
        <f>Tokens!BJ169</f>
        <v>In Casa</v>
      </c>
      <c r="BI167" t="str">
        <f>Tokens!BK169</f>
        <v>Calvi On The Rocks</v>
      </c>
    </row>
    <row r="168" spans="1:61" x14ac:dyDescent="0.25">
      <c r="A168" t="str">
        <f>Tokens!C170</f>
        <v>In Casa #7</v>
      </c>
      <c r="B168" t="str">
        <f>Tokens!D170</f>
        <v>COR22D7</v>
      </c>
      <c r="C168" t="str">
        <f>Tokens!E170</f>
        <v>In Casa, 1 an - Pass NFT 1 jour pour 1 personne, valable pour 1 édition Calvi On The Rocks de votre choix.</v>
      </c>
      <c r="D168">
        <f>Tokens!F170</f>
        <v>1000</v>
      </c>
      <c r="E168" t="str">
        <f>Tokens!G170</f>
        <v>https://bafybeihfirwumpeac537ohp7j5iy5kasj5lhuoddx6duoqhj22ew7lrkba.ipfs.nftstorage.link?image_7.png</v>
      </c>
      <c r="F168" t="str">
        <f>Tokens!H170</f>
        <v>NfluenT for Calvi On The rocks</v>
      </c>
      <c r="G168">
        <f>Tokens!I170</f>
        <v>0</v>
      </c>
      <c r="H168" t="str">
        <f>Tokens!J170</f>
        <v>Pass festival</v>
      </c>
      <c r="I168" t="str">
        <f>Tokens!K170</f>
        <v>pour une(1) personne</v>
      </c>
      <c r="J168" t="str">
        <f>Tokens!L170</f>
        <v>Edition1</v>
      </c>
      <c r="K168">
        <f>Tokens!M170</f>
        <v>2</v>
      </c>
      <c r="L168">
        <f>Tokens!N170</f>
        <v>0</v>
      </c>
      <c r="M168">
        <f>Tokens!O170</f>
        <v>0</v>
      </c>
      <c r="N168">
        <f>Tokens!P170</f>
        <v>0</v>
      </c>
      <c r="O168">
        <f>Tokens!Q170</f>
        <v>0</v>
      </c>
      <c r="P168">
        <f>Tokens!R170</f>
        <v>0</v>
      </c>
      <c r="Q168">
        <f>Tokens!S170</f>
        <v>0</v>
      </c>
      <c r="R168">
        <f>Tokens!T170</f>
        <v>0</v>
      </c>
      <c r="S168">
        <f>Tokens!U170</f>
        <v>0</v>
      </c>
      <c r="T168" t="str">
        <f>Tokens!V170</f>
        <v>Dernière utilisation</v>
      </c>
      <c r="U168">
        <f>Tokens!W170</f>
        <v>0</v>
      </c>
      <c r="V168">
        <f>Tokens!X170</f>
        <v>0</v>
      </c>
      <c r="W168">
        <f>Tokens!Y170</f>
        <v>0</v>
      </c>
      <c r="X168">
        <f>Tokens!Z170</f>
        <v>0</v>
      </c>
      <c r="Y168">
        <f>Tokens!AA170</f>
        <v>0</v>
      </c>
      <c r="Z168">
        <f>Tokens!AB170</f>
        <v>0</v>
      </c>
      <c r="AA168">
        <f>Tokens!AC170</f>
        <v>0</v>
      </c>
      <c r="AB168">
        <f>Tokens!AD170</f>
        <v>0</v>
      </c>
      <c r="AC168">
        <f>Tokens!AE170</f>
        <v>0</v>
      </c>
      <c r="AD168">
        <f>Tokens!AF170</f>
        <v>0</v>
      </c>
      <c r="AE168">
        <f>Tokens!AG170</f>
        <v>0</v>
      </c>
      <c r="AF168">
        <f>Tokens!AH170</f>
        <v>0</v>
      </c>
      <c r="AG168">
        <f>Tokens!AI170</f>
        <v>0</v>
      </c>
      <c r="AH168">
        <f>Tokens!AJ170</f>
        <v>0</v>
      </c>
      <c r="AI168">
        <f>Tokens!AK170</f>
        <v>0</v>
      </c>
      <c r="AJ168" t="str">
        <f>Tokens!AL170</f>
        <v>avantage1</v>
      </c>
      <c r="AK168" t="str">
        <f>Tokens!AM170</f>
        <v>1 affiche numérotée (quelques unes seront signées au hasard)</v>
      </c>
      <c r="AL168">
        <f>Tokens!AN170</f>
        <v>0</v>
      </c>
      <c r="AM168">
        <f>Tokens!AO170</f>
        <v>0</v>
      </c>
      <c r="AN168">
        <f>Tokens!AP170</f>
        <v>0</v>
      </c>
      <c r="AO168">
        <f>Tokens!AQ170</f>
        <v>0</v>
      </c>
      <c r="AP168">
        <f>Tokens!AR170</f>
        <v>0</v>
      </c>
      <c r="AQ168">
        <f>Tokens!AS170</f>
        <v>0</v>
      </c>
      <c r="AR168">
        <f>Tokens!AT170</f>
        <v>0</v>
      </c>
      <c r="AS168">
        <f>Tokens!AU170</f>
        <v>0</v>
      </c>
      <c r="AT168" t="str">
        <f>Tokens!AV170</f>
        <v>Validation</v>
      </c>
      <c r="AU168" t="str">
        <f>Tokens!AW170</f>
        <v>https://tokensol.nfluent.io?s=COR22D7&amp;platform=ftx</v>
      </c>
      <c r="AV168" t="str">
        <f>Tokens!AX170</f>
        <v>paul</v>
      </c>
      <c r="AW168">
        <f>Tokens!AY170</f>
        <v>10</v>
      </c>
      <c r="AX168" t="str">
        <f>Tokens!AZ170</f>
        <v>sophie</v>
      </c>
      <c r="AY168">
        <f>Tokens!BA170</f>
        <v>90</v>
      </c>
      <c r="AZ168">
        <f>Tokens!BB170</f>
        <v>0</v>
      </c>
      <c r="BA168">
        <f>Tokens!BC170</f>
        <v>0</v>
      </c>
      <c r="BB168">
        <f>Tokens!BD170</f>
        <v>0</v>
      </c>
      <c r="BC168">
        <f>Tokens!BE170</f>
        <v>0</v>
      </c>
      <c r="BD168">
        <f>Tokens!BF170</f>
        <v>0</v>
      </c>
      <c r="BE168">
        <f>Tokens!BG170</f>
        <v>0</v>
      </c>
      <c r="BF168">
        <f>Tokens!BH170</f>
        <v>0</v>
      </c>
      <c r="BG168">
        <f>Tokens!BI170</f>
        <v>0</v>
      </c>
      <c r="BH168" t="str">
        <f>Tokens!BJ170</f>
        <v>In Casa</v>
      </c>
      <c r="BI168" t="str">
        <f>Tokens!BK170</f>
        <v>Calvi On The Rocks</v>
      </c>
    </row>
    <row r="169" spans="1:61" x14ac:dyDescent="0.25">
      <c r="A169" t="str">
        <f>Tokens!C171</f>
        <v>In Casa #8</v>
      </c>
      <c r="B169" t="str">
        <f>Tokens!D171</f>
        <v>COR22D8</v>
      </c>
      <c r="C169" t="str">
        <f>Tokens!E171</f>
        <v>In Casa, 1 an - Pass NFT 1 jour pour 1 personne, valable pour 1 édition Calvi On The Rocks de votre choix.</v>
      </c>
      <c r="D169">
        <f>Tokens!F171</f>
        <v>1000</v>
      </c>
      <c r="E169" t="str">
        <f>Tokens!G171</f>
        <v>https://bafybeibjbgbk63q42lrcdhtli2iqhp5efemuo3q5z4fgqleb2sjrjfoaya.ipfs.nftstorage.link?image_8.png</v>
      </c>
      <c r="F169" t="str">
        <f>Tokens!H171</f>
        <v>NfluenT for Calvi On The rocks</v>
      </c>
      <c r="G169">
        <f>Tokens!I171</f>
        <v>0</v>
      </c>
      <c r="H169" t="str">
        <f>Tokens!J171</f>
        <v>Pass festival</v>
      </c>
      <c r="I169" t="str">
        <f>Tokens!K171</f>
        <v>pour une(1) personne</v>
      </c>
      <c r="J169" t="str">
        <f>Tokens!L171</f>
        <v>Edition1</v>
      </c>
      <c r="K169">
        <f>Tokens!M171</f>
        <v>2</v>
      </c>
      <c r="L169">
        <f>Tokens!N171</f>
        <v>0</v>
      </c>
      <c r="M169">
        <f>Tokens!O171</f>
        <v>0</v>
      </c>
      <c r="N169">
        <f>Tokens!P171</f>
        <v>0</v>
      </c>
      <c r="O169">
        <f>Tokens!Q171</f>
        <v>0</v>
      </c>
      <c r="P169">
        <f>Tokens!R171</f>
        <v>0</v>
      </c>
      <c r="Q169">
        <f>Tokens!S171</f>
        <v>0</v>
      </c>
      <c r="R169">
        <f>Tokens!T171</f>
        <v>0</v>
      </c>
      <c r="S169">
        <f>Tokens!U171</f>
        <v>0</v>
      </c>
      <c r="T169" t="str">
        <f>Tokens!V171</f>
        <v>Dernière utilisation</v>
      </c>
      <c r="U169">
        <f>Tokens!W171</f>
        <v>0</v>
      </c>
      <c r="V169">
        <f>Tokens!X171</f>
        <v>0</v>
      </c>
      <c r="W169">
        <f>Tokens!Y171</f>
        <v>0</v>
      </c>
      <c r="X169">
        <f>Tokens!Z171</f>
        <v>0</v>
      </c>
      <c r="Y169">
        <f>Tokens!AA171</f>
        <v>0</v>
      </c>
      <c r="Z169">
        <f>Tokens!AB171</f>
        <v>0</v>
      </c>
      <c r="AA169">
        <f>Tokens!AC171</f>
        <v>0</v>
      </c>
      <c r="AB169">
        <f>Tokens!AD171</f>
        <v>0</v>
      </c>
      <c r="AC169">
        <f>Tokens!AE171</f>
        <v>0</v>
      </c>
      <c r="AD169">
        <f>Tokens!AF171</f>
        <v>0</v>
      </c>
      <c r="AE169">
        <f>Tokens!AG171</f>
        <v>0</v>
      </c>
      <c r="AF169">
        <f>Tokens!AH171</f>
        <v>0</v>
      </c>
      <c r="AG169">
        <f>Tokens!AI171</f>
        <v>0</v>
      </c>
      <c r="AH169">
        <f>Tokens!AJ171</f>
        <v>0</v>
      </c>
      <c r="AI169">
        <f>Tokens!AK171</f>
        <v>0</v>
      </c>
      <c r="AJ169" t="str">
        <f>Tokens!AL171</f>
        <v>avantage1</v>
      </c>
      <c r="AK169" t="str">
        <f>Tokens!AM171</f>
        <v>1 affiche numérotée (quelques unes seront signées au hasard)</v>
      </c>
      <c r="AL169">
        <f>Tokens!AN171</f>
        <v>0</v>
      </c>
      <c r="AM169">
        <f>Tokens!AO171</f>
        <v>0</v>
      </c>
      <c r="AN169">
        <f>Tokens!AP171</f>
        <v>0</v>
      </c>
      <c r="AO169">
        <f>Tokens!AQ171</f>
        <v>0</v>
      </c>
      <c r="AP169">
        <f>Tokens!AR171</f>
        <v>0</v>
      </c>
      <c r="AQ169">
        <f>Tokens!AS171</f>
        <v>0</v>
      </c>
      <c r="AR169">
        <f>Tokens!AT171</f>
        <v>0</v>
      </c>
      <c r="AS169">
        <f>Tokens!AU171</f>
        <v>0</v>
      </c>
      <c r="AT169" t="str">
        <f>Tokens!AV171</f>
        <v>Validation</v>
      </c>
      <c r="AU169" t="str">
        <f>Tokens!AW171</f>
        <v>https://tokensol.nfluent.io?s=COR22D8&amp;platform=ftx</v>
      </c>
      <c r="AV169" t="str">
        <f>Tokens!AX171</f>
        <v>paul</v>
      </c>
      <c r="AW169">
        <f>Tokens!AY171</f>
        <v>10</v>
      </c>
      <c r="AX169" t="str">
        <f>Tokens!AZ171</f>
        <v>sophie</v>
      </c>
      <c r="AY169">
        <f>Tokens!BA171</f>
        <v>90</v>
      </c>
      <c r="AZ169">
        <f>Tokens!BB171</f>
        <v>0</v>
      </c>
      <c r="BA169">
        <f>Tokens!BC171</f>
        <v>0</v>
      </c>
      <c r="BB169">
        <f>Tokens!BD171</f>
        <v>0</v>
      </c>
      <c r="BC169">
        <f>Tokens!BE171</f>
        <v>0</v>
      </c>
      <c r="BD169">
        <f>Tokens!BF171</f>
        <v>0</v>
      </c>
      <c r="BE169">
        <f>Tokens!BG171</f>
        <v>0</v>
      </c>
      <c r="BF169">
        <f>Tokens!BH171</f>
        <v>0</v>
      </c>
      <c r="BG169">
        <f>Tokens!BI171</f>
        <v>0</v>
      </c>
      <c r="BH169" t="str">
        <f>Tokens!BJ171</f>
        <v>In Casa</v>
      </c>
      <c r="BI169" t="str">
        <f>Tokens!BK171</f>
        <v>Calvi On The Rocks</v>
      </c>
    </row>
    <row r="170" spans="1:61" x14ac:dyDescent="0.25">
      <c r="A170" t="str">
        <f>Tokens!C172</f>
        <v>In Casa #9</v>
      </c>
      <c r="B170" t="str">
        <f>Tokens!D172</f>
        <v>COR22D9</v>
      </c>
      <c r="C170" t="str">
        <f>Tokens!E172</f>
        <v>In Casa, 1 an - Pass NFT 1 jour pour 1 personne, valable pour 1 édition Calvi On The Rocks de votre choix.</v>
      </c>
      <c r="D170">
        <f>Tokens!F172</f>
        <v>1000</v>
      </c>
      <c r="E170" t="str">
        <f>Tokens!G172</f>
        <v>https://bafybeiei46pxxotcdgfs5lg2osoxqs4jorf4lkezrt2i6qom776ygtoa6u.ipfs.nftstorage.link?image_9.png</v>
      </c>
      <c r="F170" t="str">
        <f>Tokens!H172</f>
        <v>NfluenT for Calvi On The rocks</v>
      </c>
      <c r="G170">
        <f>Tokens!I172</f>
        <v>0</v>
      </c>
      <c r="H170" t="str">
        <f>Tokens!J172</f>
        <v>Pass festival</v>
      </c>
      <c r="I170" t="str">
        <f>Tokens!K172</f>
        <v>pour une(1) personne</v>
      </c>
      <c r="J170" t="str">
        <f>Tokens!L172</f>
        <v>Edition1</v>
      </c>
      <c r="K170">
        <f>Tokens!M172</f>
        <v>2</v>
      </c>
      <c r="L170">
        <f>Tokens!N172</f>
        <v>0</v>
      </c>
      <c r="M170">
        <f>Tokens!O172</f>
        <v>0</v>
      </c>
      <c r="N170">
        <f>Tokens!P172</f>
        <v>0</v>
      </c>
      <c r="O170">
        <f>Tokens!Q172</f>
        <v>0</v>
      </c>
      <c r="P170">
        <f>Tokens!R172</f>
        <v>0</v>
      </c>
      <c r="Q170">
        <f>Tokens!S172</f>
        <v>0</v>
      </c>
      <c r="R170">
        <f>Tokens!T172</f>
        <v>0</v>
      </c>
      <c r="S170">
        <f>Tokens!U172</f>
        <v>0</v>
      </c>
      <c r="T170" t="str">
        <f>Tokens!V172</f>
        <v>Dernière utilisation</v>
      </c>
      <c r="U170">
        <f>Tokens!W172</f>
        <v>0</v>
      </c>
      <c r="V170">
        <f>Tokens!X172</f>
        <v>0</v>
      </c>
      <c r="W170">
        <f>Tokens!Y172</f>
        <v>0</v>
      </c>
      <c r="X170">
        <f>Tokens!Z172</f>
        <v>0</v>
      </c>
      <c r="Y170">
        <f>Tokens!AA172</f>
        <v>0</v>
      </c>
      <c r="Z170">
        <f>Tokens!AB172</f>
        <v>0</v>
      </c>
      <c r="AA170">
        <f>Tokens!AC172</f>
        <v>0</v>
      </c>
      <c r="AB170">
        <f>Tokens!AD172</f>
        <v>0</v>
      </c>
      <c r="AC170">
        <f>Tokens!AE172</f>
        <v>0</v>
      </c>
      <c r="AD170">
        <f>Tokens!AF172</f>
        <v>0</v>
      </c>
      <c r="AE170">
        <f>Tokens!AG172</f>
        <v>0</v>
      </c>
      <c r="AF170">
        <f>Tokens!AH172</f>
        <v>0</v>
      </c>
      <c r="AG170">
        <f>Tokens!AI172</f>
        <v>0</v>
      </c>
      <c r="AH170">
        <f>Tokens!AJ172</f>
        <v>0</v>
      </c>
      <c r="AI170">
        <f>Tokens!AK172</f>
        <v>0</v>
      </c>
      <c r="AJ170" t="str">
        <f>Tokens!AL172</f>
        <v>avantage1</v>
      </c>
      <c r="AK170" t="str">
        <f>Tokens!AM172</f>
        <v>1 affiche numérotée (quelques unes seront signées au hasard)</v>
      </c>
      <c r="AL170">
        <f>Tokens!AN172</f>
        <v>0</v>
      </c>
      <c r="AM170">
        <f>Tokens!AO172</f>
        <v>0</v>
      </c>
      <c r="AN170">
        <f>Tokens!AP172</f>
        <v>0</v>
      </c>
      <c r="AO170">
        <f>Tokens!AQ172</f>
        <v>0</v>
      </c>
      <c r="AP170">
        <f>Tokens!AR172</f>
        <v>0</v>
      </c>
      <c r="AQ170">
        <f>Tokens!AS172</f>
        <v>0</v>
      </c>
      <c r="AR170">
        <f>Tokens!AT172</f>
        <v>0</v>
      </c>
      <c r="AS170">
        <f>Tokens!AU172</f>
        <v>0</v>
      </c>
      <c r="AT170" t="str">
        <f>Tokens!AV172</f>
        <v>Validation</v>
      </c>
      <c r="AU170" t="str">
        <f>Tokens!AW172</f>
        <v>https://tokensol.nfluent.io?s=COR22D9&amp;platform=ftx</v>
      </c>
      <c r="AV170" t="str">
        <f>Tokens!AX172</f>
        <v>paul</v>
      </c>
      <c r="AW170">
        <f>Tokens!AY172</f>
        <v>10</v>
      </c>
      <c r="AX170" t="str">
        <f>Tokens!AZ172</f>
        <v>sophie</v>
      </c>
      <c r="AY170">
        <f>Tokens!BA172</f>
        <v>90</v>
      </c>
      <c r="AZ170">
        <f>Tokens!BB172</f>
        <v>0</v>
      </c>
      <c r="BA170">
        <f>Tokens!BC172</f>
        <v>0</v>
      </c>
      <c r="BB170">
        <f>Tokens!BD172</f>
        <v>0</v>
      </c>
      <c r="BC170">
        <f>Tokens!BE172</f>
        <v>0</v>
      </c>
      <c r="BD170">
        <f>Tokens!BF172</f>
        <v>0</v>
      </c>
      <c r="BE170">
        <f>Tokens!BG172</f>
        <v>0</v>
      </c>
      <c r="BF170">
        <f>Tokens!BH172</f>
        <v>0</v>
      </c>
      <c r="BG170">
        <f>Tokens!BI172</f>
        <v>0</v>
      </c>
      <c r="BH170" t="str">
        <f>Tokens!BJ172</f>
        <v>In Casa</v>
      </c>
      <c r="BI170" t="str">
        <f>Tokens!BK172</f>
        <v>Calvi On The Rocks</v>
      </c>
    </row>
    <row r="171" spans="1:61" x14ac:dyDescent="0.25">
      <c r="A171" t="str">
        <f>Tokens!C173</f>
        <v>In Casa #10</v>
      </c>
      <c r="B171" t="str">
        <f>Tokens!D173</f>
        <v>COR22D10</v>
      </c>
      <c r="C171" t="str">
        <f>Tokens!E173</f>
        <v>In Casa, 1 an - Pass NFT 1 jour pour 1 personne, valable pour 1 édition Calvi On The Rocks de votre choix.</v>
      </c>
      <c r="D171">
        <f>Tokens!F173</f>
        <v>1000</v>
      </c>
      <c r="E171" t="str">
        <f>Tokens!G173</f>
        <v>https://bafybeib64zppo6dfiejtgz67dh2uuff5mexka2747ogpkjabirujbpudh4.ipfs.nftstorage.link?image_10.png</v>
      </c>
      <c r="F171" t="str">
        <f>Tokens!H173</f>
        <v>NfluenT for Calvi On The rocks</v>
      </c>
      <c r="G171">
        <f>Tokens!I173</f>
        <v>0</v>
      </c>
      <c r="H171" t="str">
        <f>Tokens!J173</f>
        <v>Pass festival</v>
      </c>
      <c r="I171" t="str">
        <f>Tokens!K173</f>
        <v>pour une(1) personne</v>
      </c>
      <c r="J171" t="str">
        <f>Tokens!L173</f>
        <v>Edition1</v>
      </c>
      <c r="K171">
        <f>Tokens!M173</f>
        <v>2</v>
      </c>
      <c r="L171">
        <f>Tokens!N173</f>
        <v>0</v>
      </c>
      <c r="M171">
        <f>Tokens!O173</f>
        <v>0</v>
      </c>
      <c r="N171">
        <f>Tokens!P173</f>
        <v>0</v>
      </c>
      <c r="O171">
        <f>Tokens!Q173</f>
        <v>0</v>
      </c>
      <c r="P171">
        <f>Tokens!R173</f>
        <v>0</v>
      </c>
      <c r="Q171">
        <f>Tokens!S173</f>
        <v>0</v>
      </c>
      <c r="R171">
        <f>Tokens!T173</f>
        <v>0</v>
      </c>
      <c r="S171">
        <f>Tokens!U173</f>
        <v>0</v>
      </c>
      <c r="T171" t="str">
        <f>Tokens!V173</f>
        <v>Dernière utilisation</v>
      </c>
      <c r="U171">
        <f>Tokens!W173</f>
        <v>0</v>
      </c>
      <c r="V171">
        <f>Tokens!X173</f>
        <v>0</v>
      </c>
      <c r="W171">
        <f>Tokens!Y173</f>
        <v>0</v>
      </c>
      <c r="X171">
        <f>Tokens!Z173</f>
        <v>0</v>
      </c>
      <c r="Y171">
        <f>Tokens!AA173</f>
        <v>0</v>
      </c>
      <c r="Z171">
        <f>Tokens!AB173</f>
        <v>0</v>
      </c>
      <c r="AA171">
        <f>Tokens!AC173</f>
        <v>0</v>
      </c>
      <c r="AB171">
        <f>Tokens!AD173</f>
        <v>0</v>
      </c>
      <c r="AC171">
        <f>Tokens!AE173</f>
        <v>0</v>
      </c>
      <c r="AD171">
        <f>Tokens!AF173</f>
        <v>0</v>
      </c>
      <c r="AE171">
        <f>Tokens!AG173</f>
        <v>0</v>
      </c>
      <c r="AF171">
        <f>Tokens!AH173</f>
        <v>0</v>
      </c>
      <c r="AG171">
        <f>Tokens!AI173</f>
        <v>0</v>
      </c>
      <c r="AH171">
        <f>Tokens!AJ173</f>
        <v>0</v>
      </c>
      <c r="AI171">
        <f>Tokens!AK173</f>
        <v>0</v>
      </c>
      <c r="AJ171" t="str">
        <f>Tokens!AL173</f>
        <v>avantage1</v>
      </c>
      <c r="AK171" t="str">
        <f>Tokens!AM173</f>
        <v>1 affiche numérotée (quelques unes seront signées au hasard)</v>
      </c>
      <c r="AL171">
        <f>Tokens!AN173</f>
        <v>0</v>
      </c>
      <c r="AM171">
        <f>Tokens!AO173</f>
        <v>0</v>
      </c>
      <c r="AN171">
        <f>Tokens!AP173</f>
        <v>0</v>
      </c>
      <c r="AO171">
        <f>Tokens!AQ173</f>
        <v>0</v>
      </c>
      <c r="AP171">
        <f>Tokens!AR173</f>
        <v>0</v>
      </c>
      <c r="AQ171">
        <f>Tokens!AS173</f>
        <v>0</v>
      </c>
      <c r="AR171">
        <f>Tokens!AT173</f>
        <v>0</v>
      </c>
      <c r="AS171">
        <f>Tokens!AU173</f>
        <v>0</v>
      </c>
      <c r="AT171" t="str">
        <f>Tokens!AV173</f>
        <v>Validation</v>
      </c>
      <c r="AU171" t="str">
        <f>Tokens!AW173</f>
        <v>https://tokensol.nfluent.io?s=COR22D10&amp;platform=ftx</v>
      </c>
      <c r="AV171" t="str">
        <f>Tokens!AX173</f>
        <v>paul</v>
      </c>
      <c r="AW171">
        <f>Tokens!AY173</f>
        <v>10</v>
      </c>
      <c r="AX171" t="str">
        <f>Tokens!AZ173</f>
        <v>sophie</v>
      </c>
      <c r="AY171">
        <f>Tokens!BA173</f>
        <v>90</v>
      </c>
      <c r="AZ171">
        <f>Tokens!BB173</f>
        <v>0</v>
      </c>
      <c r="BA171">
        <f>Tokens!BC173</f>
        <v>0</v>
      </c>
      <c r="BB171">
        <f>Tokens!BD173</f>
        <v>0</v>
      </c>
      <c r="BC171">
        <f>Tokens!BE173</f>
        <v>0</v>
      </c>
      <c r="BD171">
        <f>Tokens!BF173</f>
        <v>0</v>
      </c>
      <c r="BE171">
        <f>Tokens!BG173</f>
        <v>0</v>
      </c>
      <c r="BF171">
        <f>Tokens!BH173</f>
        <v>0</v>
      </c>
      <c r="BG171">
        <f>Tokens!BI173</f>
        <v>0</v>
      </c>
      <c r="BH171" t="str">
        <f>Tokens!BJ173</f>
        <v>In Casa</v>
      </c>
      <c r="BI171" t="str">
        <f>Tokens!BK173</f>
        <v>Calvi On The Rocks</v>
      </c>
    </row>
    <row r="172" spans="1:61" x14ac:dyDescent="0.25">
      <c r="A172" t="str">
        <f>Tokens!C174</f>
        <v>In Casa #11</v>
      </c>
      <c r="B172" t="str">
        <f>Tokens!D174</f>
        <v>COR22D11</v>
      </c>
      <c r="C172" t="str">
        <f>Tokens!E174</f>
        <v>In Casa, 1 an - Pass NFT 1 jour pour 1 personne, valable pour 1 édition Calvi On The Rocks de votre choix.</v>
      </c>
      <c r="D172">
        <f>Tokens!F174</f>
        <v>1000</v>
      </c>
      <c r="E172" t="str">
        <f>Tokens!G174</f>
        <v>https://bafybeihm6o2khv7leb4kz2lgvo2vmt3bwcewrjv4a5xvqed4ol322u6nv4.ipfs.nftstorage.link?image_11.png</v>
      </c>
      <c r="F172" t="str">
        <f>Tokens!H174</f>
        <v>NfluenT for Calvi On The rocks</v>
      </c>
      <c r="G172">
        <f>Tokens!I174</f>
        <v>0</v>
      </c>
      <c r="H172" t="str">
        <f>Tokens!J174</f>
        <v>Pass festival</v>
      </c>
      <c r="I172" t="str">
        <f>Tokens!K174</f>
        <v>pour une(1) personne</v>
      </c>
      <c r="J172" t="str">
        <f>Tokens!L174</f>
        <v>Edition1</v>
      </c>
      <c r="K172">
        <f>Tokens!M174</f>
        <v>2</v>
      </c>
      <c r="L172">
        <f>Tokens!N174</f>
        <v>0</v>
      </c>
      <c r="M172">
        <f>Tokens!O174</f>
        <v>0</v>
      </c>
      <c r="N172">
        <f>Tokens!P174</f>
        <v>0</v>
      </c>
      <c r="O172">
        <f>Tokens!Q174</f>
        <v>0</v>
      </c>
      <c r="P172">
        <f>Tokens!R174</f>
        <v>0</v>
      </c>
      <c r="Q172">
        <f>Tokens!S174</f>
        <v>0</v>
      </c>
      <c r="R172">
        <f>Tokens!T174</f>
        <v>0</v>
      </c>
      <c r="S172">
        <f>Tokens!U174</f>
        <v>0</v>
      </c>
      <c r="T172" t="str">
        <f>Tokens!V174</f>
        <v>Dernière utilisation</v>
      </c>
      <c r="U172">
        <f>Tokens!W174</f>
        <v>0</v>
      </c>
      <c r="V172">
        <f>Tokens!X174</f>
        <v>0</v>
      </c>
      <c r="W172">
        <f>Tokens!Y174</f>
        <v>0</v>
      </c>
      <c r="X172">
        <f>Tokens!Z174</f>
        <v>0</v>
      </c>
      <c r="Y172">
        <f>Tokens!AA174</f>
        <v>0</v>
      </c>
      <c r="Z172">
        <f>Tokens!AB174</f>
        <v>0</v>
      </c>
      <c r="AA172">
        <f>Tokens!AC174</f>
        <v>0</v>
      </c>
      <c r="AB172">
        <f>Tokens!AD174</f>
        <v>0</v>
      </c>
      <c r="AC172">
        <f>Tokens!AE174</f>
        <v>0</v>
      </c>
      <c r="AD172">
        <f>Tokens!AF174</f>
        <v>0</v>
      </c>
      <c r="AE172">
        <f>Tokens!AG174</f>
        <v>0</v>
      </c>
      <c r="AF172">
        <f>Tokens!AH174</f>
        <v>0</v>
      </c>
      <c r="AG172">
        <f>Tokens!AI174</f>
        <v>0</v>
      </c>
      <c r="AH172">
        <f>Tokens!AJ174</f>
        <v>0</v>
      </c>
      <c r="AI172">
        <f>Tokens!AK174</f>
        <v>0</v>
      </c>
      <c r="AJ172" t="str">
        <f>Tokens!AL174</f>
        <v>avantage1</v>
      </c>
      <c r="AK172" t="str">
        <f>Tokens!AM174</f>
        <v>1 affiche numérotée (quelques unes seront signées au hasard)</v>
      </c>
      <c r="AL172">
        <f>Tokens!AN174</f>
        <v>0</v>
      </c>
      <c r="AM172">
        <f>Tokens!AO174</f>
        <v>0</v>
      </c>
      <c r="AN172">
        <f>Tokens!AP174</f>
        <v>0</v>
      </c>
      <c r="AO172">
        <f>Tokens!AQ174</f>
        <v>0</v>
      </c>
      <c r="AP172">
        <f>Tokens!AR174</f>
        <v>0</v>
      </c>
      <c r="AQ172">
        <f>Tokens!AS174</f>
        <v>0</v>
      </c>
      <c r="AR172">
        <f>Tokens!AT174</f>
        <v>0</v>
      </c>
      <c r="AS172">
        <f>Tokens!AU174</f>
        <v>0</v>
      </c>
      <c r="AT172" t="str">
        <f>Tokens!AV174</f>
        <v>Validation</v>
      </c>
      <c r="AU172" t="str">
        <f>Tokens!AW174</f>
        <v>https://tokensol.nfluent.io?s=COR22D11&amp;platform=ftx</v>
      </c>
      <c r="AV172" t="str">
        <f>Tokens!AX174</f>
        <v>paul</v>
      </c>
      <c r="AW172">
        <f>Tokens!AY174</f>
        <v>10</v>
      </c>
      <c r="AX172" t="str">
        <f>Tokens!AZ174</f>
        <v>sophie</v>
      </c>
      <c r="AY172">
        <f>Tokens!BA174</f>
        <v>90</v>
      </c>
      <c r="AZ172">
        <f>Tokens!BB174</f>
        <v>0</v>
      </c>
      <c r="BA172">
        <f>Tokens!BC174</f>
        <v>0</v>
      </c>
      <c r="BB172">
        <f>Tokens!BD174</f>
        <v>0</v>
      </c>
      <c r="BC172">
        <f>Tokens!BE174</f>
        <v>0</v>
      </c>
      <c r="BD172">
        <f>Tokens!BF174</f>
        <v>0</v>
      </c>
      <c r="BE172">
        <f>Tokens!BG174</f>
        <v>0</v>
      </c>
      <c r="BF172">
        <f>Tokens!BH174</f>
        <v>0</v>
      </c>
      <c r="BG172">
        <f>Tokens!BI174</f>
        <v>0</v>
      </c>
      <c r="BH172" t="str">
        <f>Tokens!BJ174</f>
        <v>In Casa</v>
      </c>
      <c r="BI172" t="str">
        <f>Tokens!BK174</f>
        <v>Calvi On The Rocks</v>
      </c>
    </row>
    <row r="173" spans="1:61" x14ac:dyDescent="0.25">
      <c r="A173" t="str">
        <f>Tokens!C175</f>
        <v>In Casa #12</v>
      </c>
      <c r="B173" t="str">
        <f>Tokens!D175</f>
        <v>COR22D12</v>
      </c>
      <c r="C173" t="str">
        <f>Tokens!E175</f>
        <v>In Casa, 1 an - Pass NFT 1 jour pour 1 personne, valable pour 1 édition Calvi On The Rocks de votre choix.</v>
      </c>
      <c r="D173">
        <f>Tokens!F175</f>
        <v>1000</v>
      </c>
      <c r="E173" t="str">
        <f>Tokens!G175</f>
        <v>https://bafybeibbiju5k463xbdqdmcqbqhcsrbym6lt4wdhybqzklvhzqpnvltvom.ipfs.nftstorage.link?image_12.png</v>
      </c>
      <c r="F173" t="str">
        <f>Tokens!H175</f>
        <v>NfluenT for Calvi On The rocks</v>
      </c>
      <c r="G173">
        <f>Tokens!I175</f>
        <v>0</v>
      </c>
      <c r="H173" t="str">
        <f>Tokens!J175</f>
        <v>Pass festival</v>
      </c>
      <c r="I173" t="str">
        <f>Tokens!K175</f>
        <v>pour une(1) personne</v>
      </c>
      <c r="J173" t="str">
        <f>Tokens!L175</f>
        <v>Edition1</v>
      </c>
      <c r="K173">
        <f>Tokens!M175</f>
        <v>2</v>
      </c>
      <c r="L173">
        <f>Tokens!N175</f>
        <v>0</v>
      </c>
      <c r="M173">
        <f>Tokens!O175</f>
        <v>0</v>
      </c>
      <c r="N173">
        <f>Tokens!P175</f>
        <v>0</v>
      </c>
      <c r="O173">
        <f>Tokens!Q175</f>
        <v>0</v>
      </c>
      <c r="P173">
        <f>Tokens!R175</f>
        <v>0</v>
      </c>
      <c r="Q173">
        <f>Tokens!S175</f>
        <v>0</v>
      </c>
      <c r="R173">
        <f>Tokens!T175</f>
        <v>0</v>
      </c>
      <c r="S173">
        <f>Tokens!U175</f>
        <v>0</v>
      </c>
      <c r="T173" t="str">
        <f>Tokens!V175</f>
        <v>Dernière utilisation</v>
      </c>
      <c r="U173">
        <f>Tokens!W175</f>
        <v>0</v>
      </c>
      <c r="V173">
        <f>Tokens!X175</f>
        <v>0</v>
      </c>
      <c r="W173">
        <f>Tokens!Y175</f>
        <v>0</v>
      </c>
      <c r="X173">
        <f>Tokens!Z175</f>
        <v>0</v>
      </c>
      <c r="Y173">
        <f>Tokens!AA175</f>
        <v>0</v>
      </c>
      <c r="Z173">
        <f>Tokens!AB175</f>
        <v>0</v>
      </c>
      <c r="AA173">
        <f>Tokens!AC175</f>
        <v>0</v>
      </c>
      <c r="AB173">
        <f>Tokens!AD175</f>
        <v>0</v>
      </c>
      <c r="AC173">
        <f>Tokens!AE175</f>
        <v>0</v>
      </c>
      <c r="AD173">
        <f>Tokens!AF175</f>
        <v>0</v>
      </c>
      <c r="AE173">
        <f>Tokens!AG175</f>
        <v>0</v>
      </c>
      <c r="AF173">
        <f>Tokens!AH175</f>
        <v>0</v>
      </c>
      <c r="AG173">
        <f>Tokens!AI175</f>
        <v>0</v>
      </c>
      <c r="AH173">
        <f>Tokens!AJ175</f>
        <v>0</v>
      </c>
      <c r="AI173">
        <f>Tokens!AK175</f>
        <v>0</v>
      </c>
      <c r="AJ173" t="str">
        <f>Tokens!AL175</f>
        <v>avantage1</v>
      </c>
      <c r="AK173" t="str">
        <f>Tokens!AM175</f>
        <v>1 affiche numérotée (quelques unes seront signées au hasard)</v>
      </c>
      <c r="AL173">
        <f>Tokens!AN175</f>
        <v>0</v>
      </c>
      <c r="AM173">
        <f>Tokens!AO175</f>
        <v>0</v>
      </c>
      <c r="AN173">
        <f>Tokens!AP175</f>
        <v>0</v>
      </c>
      <c r="AO173">
        <f>Tokens!AQ175</f>
        <v>0</v>
      </c>
      <c r="AP173">
        <f>Tokens!AR175</f>
        <v>0</v>
      </c>
      <c r="AQ173">
        <f>Tokens!AS175</f>
        <v>0</v>
      </c>
      <c r="AR173">
        <f>Tokens!AT175</f>
        <v>0</v>
      </c>
      <c r="AS173">
        <f>Tokens!AU175</f>
        <v>0</v>
      </c>
      <c r="AT173" t="str">
        <f>Tokens!AV175</f>
        <v>Validation</v>
      </c>
      <c r="AU173" t="str">
        <f>Tokens!AW175</f>
        <v>https://tokensol.nfluent.io?s=COR22D12&amp;platform=ftx</v>
      </c>
      <c r="AV173" t="str">
        <f>Tokens!AX175</f>
        <v>paul</v>
      </c>
      <c r="AW173">
        <f>Tokens!AY175</f>
        <v>10</v>
      </c>
      <c r="AX173" t="str">
        <f>Tokens!AZ175</f>
        <v>sophie</v>
      </c>
      <c r="AY173">
        <f>Tokens!BA175</f>
        <v>90</v>
      </c>
      <c r="AZ173">
        <f>Tokens!BB175</f>
        <v>0</v>
      </c>
      <c r="BA173">
        <f>Tokens!BC175</f>
        <v>0</v>
      </c>
      <c r="BB173">
        <f>Tokens!BD175</f>
        <v>0</v>
      </c>
      <c r="BC173">
        <f>Tokens!BE175</f>
        <v>0</v>
      </c>
      <c r="BD173">
        <f>Tokens!BF175</f>
        <v>0</v>
      </c>
      <c r="BE173">
        <f>Tokens!BG175</f>
        <v>0</v>
      </c>
      <c r="BF173">
        <f>Tokens!BH175</f>
        <v>0</v>
      </c>
      <c r="BG173">
        <f>Tokens!BI175</f>
        <v>0</v>
      </c>
      <c r="BH173" t="str">
        <f>Tokens!BJ175</f>
        <v>In Casa</v>
      </c>
      <c r="BI173" t="str">
        <f>Tokens!BK175</f>
        <v>Calvi On The Rocks</v>
      </c>
    </row>
    <row r="174" spans="1:61" x14ac:dyDescent="0.25">
      <c r="A174" t="str">
        <f>Tokens!C176</f>
        <v>In Casa #13</v>
      </c>
      <c r="B174" t="str">
        <f>Tokens!D176</f>
        <v>COR22D13</v>
      </c>
      <c r="C174" t="str">
        <f>Tokens!E176</f>
        <v>In Casa, 1 an - Pass NFT 1 jour pour 1 personne, valable pour 1 édition Calvi On The Rocks de votre choix.</v>
      </c>
      <c r="D174">
        <f>Tokens!F176</f>
        <v>1000</v>
      </c>
      <c r="E174" t="str">
        <f>Tokens!G176</f>
        <v>https://bafybeid7i4akooxuejxq2zmtsajshchkg2stmsst5pq5krk2bwvq46zwcy.ipfs.nftstorage.link?image_13.png</v>
      </c>
      <c r="F174" t="str">
        <f>Tokens!H176</f>
        <v>NfluenT for Calvi On The rocks</v>
      </c>
      <c r="G174">
        <f>Tokens!I176</f>
        <v>0</v>
      </c>
      <c r="H174" t="str">
        <f>Tokens!J176</f>
        <v>Pass festival</v>
      </c>
      <c r="I174" t="str">
        <f>Tokens!K176</f>
        <v>pour une(1) personne</v>
      </c>
      <c r="J174" t="str">
        <f>Tokens!L176</f>
        <v>Edition1</v>
      </c>
      <c r="K174">
        <f>Tokens!M176</f>
        <v>2</v>
      </c>
      <c r="L174">
        <f>Tokens!N176</f>
        <v>0</v>
      </c>
      <c r="M174">
        <f>Tokens!O176</f>
        <v>0</v>
      </c>
      <c r="N174">
        <f>Tokens!P176</f>
        <v>0</v>
      </c>
      <c r="O174">
        <f>Tokens!Q176</f>
        <v>0</v>
      </c>
      <c r="P174">
        <f>Tokens!R176</f>
        <v>0</v>
      </c>
      <c r="Q174">
        <f>Tokens!S176</f>
        <v>0</v>
      </c>
      <c r="R174">
        <f>Tokens!T176</f>
        <v>0</v>
      </c>
      <c r="S174">
        <f>Tokens!U176</f>
        <v>0</v>
      </c>
      <c r="T174" t="str">
        <f>Tokens!V176</f>
        <v>Dernière utilisation</v>
      </c>
      <c r="U174">
        <f>Tokens!W176</f>
        <v>0</v>
      </c>
      <c r="V174">
        <f>Tokens!X176</f>
        <v>0</v>
      </c>
      <c r="W174">
        <f>Tokens!Y176</f>
        <v>0</v>
      </c>
      <c r="X174">
        <f>Tokens!Z176</f>
        <v>0</v>
      </c>
      <c r="Y174">
        <f>Tokens!AA176</f>
        <v>0</v>
      </c>
      <c r="Z174">
        <f>Tokens!AB176</f>
        <v>0</v>
      </c>
      <c r="AA174">
        <f>Tokens!AC176</f>
        <v>0</v>
      </c>
      <c r="AB174">
        <f>Tokens!AD176</f>
        <v>0</v>
      </c>
      <c r="AC174">
        <f>Tokens!AE176</f>
        <v>0</v>
      </c>
      <c r="AD174">
        <f>Tokens!AF176</f>
        <v>0</v>
      </c>
      <c r="AE174">
        <f>Tokens!AG176</f>
        <v>0</v>
      </c>
      <c r="AF174">
        <f>Tokens!AH176</f>
        <v>0</v>
      </c>
      <c r="AG174">
        <f>Tokens!AI176</f>
        <v>0</v>
      </c>
      <c r="AH174">
        <f>Tokens!AJ176</f>
        <v>0</v>
      </c>
      <c r="AI174">
        <f>Tokens!AK176</f>
        <v>0</v>
      </c>
      <c r="AJ174" t="str">
        <f>Tokens!AL176</f>
        <v>avantage1</v>
      </c>
      <c r="AK174" t="str">
        <f>Tokens!AM176</f>
        <v>1 affiche numérotée (quelques unes seront signées au hasard)</v>
      </c>
      <c r="AL174">
        <f>Tokens!AN176</f>
        <v>0</v>
      </c>
      <c r="AM174">
        <f>Tokens!AO176</f>
        <v>0</v>
      </c>
      <c r="AN174">
        <f>Tokens!AP176</f>
        <v>0</v>
      </c>
      <c r="AO174">
        <f>Tokens!AQ176</f>
        <v>0</v>
      </c>
      <c r="AP174">
        <f>Tokens!AR176</f>
        <v>0</v>
      </c>
      <c r="AQ174">
        <f>Tokens!AS176</f>
        <v>0</v>
      </c>
      <c r="AR174">
        <f>Tokens!AT176</f>
        <v>0</v>
      </c>
      <c r="AS174">
        <f>Tokens!AU176</f>
        <v>0</v>
      </c>
      <c r="AT174" t="str">
        <f>Tokens!AV176</f>
        <v>Validation</v>
      </c>
      <c r="AU174" t="str">
        <f>Tokens!AW176</f>
        <v>https://tokensol.nfluent.io?s=COR22D13&amp;platform=ftx</v>
      </c>
      <c r="AV174" t="str">
        <f>Tokens!AX176</f>
        <v>paul</v>
      </c>
      <c r="AW174">
        <f>Tokens!AY176</f>
        <v>10</v>
      </c>
      <c r="AX174" t="str">
        <f>Tokens!AZ176</f>
        <v>sophie</v>
      </c>
      <c r="AY174">
        <f>Tokens!BA176</f>
        <v>90</v>
      </c>
      <c r="AZ174">
        <f>Tokens!BB176</f>
        <v>0</v>
      </c>
      <c r="BA174">
        <f>Tokens!BC176</f>
        <v>0</v>
      </c>
      <c r="BB174">
        <f>Tokens!BD176</f>
        <v>0</v>
      </c>
      <c r="BC174">
        <f>Tokens!BE176</f>
        <v>0</v>
      </c>
      <c r="BD174">
        <f>Tokens!BF176</f>
        <v>0</v>
      </c>
      <c r="BE174">
        <f>Tokens!BG176</f>
        <v>0</v>
      </c>
      <c r="BF174">
        <f>Tokens!BH176</f>
        <v>0</v>
      </c>
      <c r="BG174">
        <f>Tokens!BI176</f>
        <v>0</v>
      </c>
      <c r="BH174" t="str">
        <f>Tokens!BJ176</f>
        <v>In Casa</v>
      </c>
      <c r="BI174" t="str">
        <f>Tokens!BK176</f>
        <v>Calvi On The Rocks</v>
      </c>
    </row>
    <row r="175" spans="1:61" x14ac:dyDescent="0.25">
      <c r="A175" t="str">
        <f>Tokens!C177</f>
        <v>In Casa #14</v>
      </c>
      <c r="B175" t="str">
        <f>Tokens!D177</f>
        <v>COR22D14</v>
      </c>
      <c r="C175" t="str">
        <f>Tokens!E177</f>
        <v>In Casa, 1 an - Pass NFT 1 jour pour 1 personne, valable pour 1 édition Calvi On The Rocks de votre choix.</v>
      </c>
      <c r="D175">
        <f>Tokens!F177</f>
        <v>1000</v>
      </c>
      <c r="E175" t="str">
        <f>Tokens!G177</f>
        <v>https://bafybeig35i4gj4ijaps5itng2d7ivagpjp2qz6v7qdhxxkxkcnyhqrc7ma.ipfs.nftstorage.link?image_14.png</v>
      </c>
      <c r="F175" t="str">
        <f>Tokens!H177</f>
        <v>NfluenT for Calvi On The rocks</v>
      </c>
      <c r="G175">
        <f>Tokens!I177</f>
        <v>0</v>
      </c>
      <c r="H175" t="str">
        <f>Tokens!J177</f>
        <v>Pass festival</v>
      </c>
      <c r="I175" t="str">
        <f>Tokens!K177</f>
        <v>pour une(1) personne</v>
      </c>
      <c r="J175" t="str">
        <f>Tokens!L177</f>
        <v>Edition1</v>
      </c>
      <c r="K175">
        <f>Tokens!M177</f>
        <v>2</v>
      </c>
      <c r="L175">
        <f>Tokens!N177</f>
        <v>0</v>
      </c>
      <c r="M175">
        <f>Tokens!O177</f>
        <v>0</v>
      </c>
      <c r="N175">
        <f>Tokens!P177</f>
        <v>0</v>
      </c>
      <c r="O175">
        <f>Tokens!Q177</f>
        <v>0</v>
      </c>
      <c r="P175">
        <f>Tokens!R177</f>
        <v>0</v>
      </c>
      <c r="Q175">
        <f>Tokens!S177</f>
        <v>0</v>
      </c>
      <c r="R175">
        <f>Tokens!T177</f>
        <v>0</v>
      </c>
      <c r="S175">
        <f>Tokens!U177</f>
        <v>0</v>
      </c>
      <c r="T175" t="str">
        <f>Tokens!V177</f>
        <v>Dernière utilisation</v>
      </c>
      <c r="U175">
        <f>Tokens!W177</f>
        <v>0</v>
      </c>
      <c r="V175">
        <f>Tokens!X177</f>
        <v>0</v>
      </c>
      <c r="W175">
        <f>Tokens!Y177</f>
        <v>0</v>
      </c>
      <c r="X175">
        <f>Tokens!Z177</f>
        <v>0</v>
      </c>
      <c r="Y175">
        <f>Tokens!AA177</f>
        <v>0</v>
      </c>
      <c r="Z175">
        <f>Tokens!AB177</f>
        <v>0</v>
      </c>
      <c r="AA175">
        <f>Tokens!AC177</f>
        <v>0</v>
      </c>
      <c r="AB175">
        <f>Tokens!AD177</f>
        <v>0</v>
      </c>
      <c r="AC175">
        <f>Tokens!AE177</f>
        <v>0</v>
      </c>
      <c r="AD175">
        <f>Tokens!AF177</f>
        <v>0</v>
      </c>
      <c r="AE175">
        <f>Tokens!AG177</f>
        <v>0</v>
      </c>
      <c r="AF175">
        <f>Tokens!AH177</f>
        <v>0</v>
      </c>
      <c r="AG175">
        <f>Tokens!AI177</f>
        <v>0</v>
      </c>
      <c r="AH175">
        <f>Tokens!AJ177</f>
        <v>0</v>
      </c>
      <c r="AI175">
        <f>Tokens!AK177</f>
        <v>0</v>
      </c>
      <c r="AJ175" t="str">
        <f>Tokens!AL177</f>
        <v>avantage1</v>
      </c>
      <c r="AK175" t="str">
        <f>Tokens!AM177</f>
        <v>1 affiche numérotée (quelques unes seront signées au hasard)</v>
      </c>
      <c r="AL175">
        <f>Tokens!AN177</f>
        <v>0</v>
      </c>
      <c r="AM175">
        <f>Tokens!AO177</f>
        <v>0</v>
      </c>
      <c r="AN175">
        <f>Tokens!AP177</f>
        <v>0</v>
      </c>
      <c r="AO175">
        <f>Tokens!AQ177</f>
        <v>0</v>
      </c>
      <c r="AP175">
        <f>Tokens!AR177</f>
        <v>0</v>
      </c>
      <c r="AQ175">
        <f>Tokens!AS177</f>
        <v>0</v>
      </c>
      <c r="AR175">
        <f>Tokens!AT177</f>
        <v>0</v>
      </c>
      <c r="AS175">
        <f>Tokens!AU177</f>
        <v>0</v>
      </c>
      <c r="AT175" t="str">
        <f>Tokens!AV177</f>
        <v>Validation</v>
      </c>
      <c r="AU175" t="str">
        <f>Tokens!AW177</f>
        <v>https://tokensol.nfluent.io?s=COR22D14&amp;platform=ftx</v>
      </c>
      <c r="AV175" t="str">
        <f>Tokens!AX177</f>
        <v>paul</v>
      </c>
      <c r="AW175">
        <f>Tokens!AY177</f>
        <v>10</v>
      </c>
      <c r="AX175" t="str">
        <f>Tokens!AZ177</f>
        <v>sophie</v>
      </c>
      <c r="AY175">
        <f>Tokens!BA177</f>
        <v>90</v>
      </c>
      <c r="AZ175">
        <f>Tokens!BB177</f>
        <v>0</v>
      </c>
      <c r="BA175">
        <f>Tokens!BC177</f>
        <v>0</v>
      </c>
      <c r="BB175">
        <f>Tokens!BD177</f>
        <v>0</v>
      </c>
      <c r="BC175">
        <f>Tokens!BE177</f>
        <v>0</v>
      </c>
      <c r="BD175">
        <f>Tokens!BF177</f>
        <v>0</v>
      </c>
      <c r="BE175">
        <f>Tokens!BG177</f>
        <v>0</v>
      </c>
      <c r="BF175">
        <f>Tokens!BH177</f>
        <v>0</v>
      </c>
      <c r="BG175">
        <f>Tokens!BI177</f>
        <v>0</v>
      </c>
      <c r="BH175" t="str">
        <f>Tokens!BJ177</f>
        <v>In Casa</v>
      </c>
      <c r="BI175" t="str">
        <f>Tokens!BK177</f>
        <v>Calvi On The Rocks</v>
      </c>
    </row>
    <row r="176" spans="1:61" x14ac:dyDescent="0.25">
      <c r="A176" t="str">
        <f>Tokens!C178</f>
        <v>In Casa #15</v>
      </c>
      <c r="B176" t="str">
        <f>Tokens!D178</f>
        <v>COR22D15</v>
      </c>
      <c r="C176" t="str">
        <f>Tokens!E178</f>
        <v>In Casa, 1 an - Pass NFT 1 jour pour 1 personne, valable pour 1 édition Calvi On The Rocks de votre choix.</v>
      </c>
      <c r="D176">
        <f>Tokens!F178</f>
        <v>1000</v>
      </c>
      <c r="E176" t="str">
        <f>Tokens!G178</f>
        <v>https://bafybeiemmtdjejkk3fxg5dt7rosxaxwap2twqmw5ckvpbczukoq3hbp5by.ipfs.nftstorage.link?image_15.png</v>
      </c>
      <c r="F176" t="str">
        <f>Tokens!H178</f>
        <v>NfluenT for Calvi On The rocks</v>
      </c>
      <c r="G176">
        <f>Tokens!I178</f>
        <v>0</v>
      </c>
      <c r="H176" t="str">
        <f>Tokens!J178</f>
        <v>Pass festival</v>
      </c>
      <c r="I176" t="str">
        <f>Tokens!K178</f>
        <v>pour une(1) personne</v>
      </c>
      <c r="J176" t="str">
        <f>Tokens!L178</f>
        <v>Edition1</v>
      </c>
      <c r="K176">
        <f>Tokens!M178</f>
        <v>2</v>
      </c>
      <c r="L176">
        <f>Tokens!N178</f>
        <v>0</v>
      </c>
      <c r="M176">
        <f>Tokens!O178</f>
        <v>0</v>
      </c>
      <c r="N176">
        <f>Tokens!P178</f>
        <v>0</v>
      </c>
      <c r="O176">
        <f>Tokens!Q178</f>
        <v>0</v>
      </c>
      <c r="P176">
        <f>Tokens!R178</f>
        <v>0</v>
      </c>
      <c r="Q176">
        <f>Tokens!S178</f>
        <v>0</v>
      </c>
      <c r="R176">
        <f>Tokens!T178</f>
        <v>0</v>
      </c>
      <c r="S176">
        <f>Tokens!U178</f>
        <v>0</v>
      </c>
      <c r="T176" t="str">
        <f>Tokens!V178</f>
        <v>Dernière utilisation</v>
      </c>
      <c r="U176">
        <f>Tokens!W178</f>
        <v>0</v>
      </c>
      <c r="V176">
        <f>Tokens!X178</f>
        <v>0</v>
      </c>
      <c r="W176">
        <f>Tokens!Y178</f>
        <v>0</v>
      </c>
      <c r="X176">
        <f>Tokens!Z178</f>
        <v>0</v>
      </c>
      <c r="Y176">
        <f>Tokens!AA178</f>
        <v>0</v>
      </c>
      <c r="Z176">
        <f>Tokens!AB178</f>
        <v>0</v>
      </c>
      <c r="AA176">
        <f>Tokens!AC178</f>
        <v>0</v>
      </c>
      <c r="AB176">
        <f>Tokens!AD178</f>
        <v>0</v>
      </c>
      <c r="AC176">
        <f>Tokens!AE178</f>
        <v>0</v>
      </c>
      <c r="AD176">
        <f>Tokens!AF178</f>
        <v>0</v>
      </c>
      <c r="AE176">
        <f>Tokens!AG178</f>
        <v>0</v>
      </c>
      <c r="AF176">
        <f>Tokens!AH178</f>
        <v>0</v>
      </c>
      <c r="AG176">
        <f>Tokens!AI178</f>
        <v>0</v>
      </c>
      <c r="AH176">
        <f>Tokens!AJ178</f>
        <v>0</v>
      </c>
      <c r="AI176">
        <f>Tokens!AK178</f>
        <v>0</v>
      </c>
      <c r="AJ176" t="str">
        <f>Tokens!AL178</f>
        <v>avantage1</v>
      </c>
      <c r="AK176" t="str">
        <f>Tokens!AM178</f>
        <v>1 affiche numérotée (quelques unes seront signées au hasard)</v>
      </c>
      <c r="AL176">
        <f>Tokens!AN178</f>
        <v>0</v>
      </c>
      <c r="AM176">
        <f>Tokens!AO178</f>
        <v>0</v>
      </c>
      <c r="AN176">
        <f>Tokens!AP178</f>
        <v>0</v>
      </c>
      <c r="AO176">
        <f>Tokens!AQ178</f>
        <v>0</v>
      </c>
      <c r="AP176">
        <f>Tokens!AR178</f>
        <v>0</v>
      </c>
      <c r="AQ176">
        <f>Tokens!AS178</f>
        <v>0</v>
      </c>
      <c r="AR176">
        <f>Tokens!AT178</f>
        <v>0</v>
      </c>
      <c r="AS176">
        <f>Tokens!AU178</f>
        <v>0</v>
      </c>
      <c r="AT176" t="str">
        <f>Tokens!AV178</f>
        <v>Validation</v>
      </c>
      <c r="AU176" t="str">
        <f>Tokens!AW178</f>
        <v>https://tokensol.nfluent.io?s=COR22D15&amp;platform=ftx</v>
      </c>
      <c r="AV176" t="str">
        <f>Tokens!AX178</f>
        <v>paul</v>
      </c>
      <c r="AW176">
        <f>Tokens!AY178</f>
        <v>10</v>
      </c>
      <c r="AX176" t="str">
        <f>Tokens!AZ178</f>
        <v>sophie</v>
      </c>
      <c r="AY176">
        <f>Tokens!BA178</f>
        <v>90</v>
      </c>
      <c r="AZ176">
        <f>Tokens!BB178</f>
        <v>0</v>
      </c>
      <c r="BA176">
        <f>Tokens!BC178</f>
        <v>0</v>
      </c>
      <c r="BB176">
        <f>Tokens!BD178</f>
        <v>0</v>
      </c>
      <c r="BC176">
        <f>Tokens!BE178</f>
        <v>0</v>
      </c>
      <c r="BD176">
        <f>Tokens!BF178</f>
        <v>0</v>
      </c>
      <c r="BE176">
        <f>Tokens!BG178</f>
        <v>0</v>
      </c>
      <c r="BF176">
        <f>Tokens!BH178</f>
        <v>0</v>
      </c>
      <c r="BG176">
        <f>Tokens!BI178</f>
        <v>0</v>
      </c>
      <c r="BH176" t="str">
        <f>Tokens!BJ178</f>
        <v>In Casa</v>
      </c>
      <c r="BI176" t="str">
        <f>Tokens!BK178</f>
        <v>Calvi On The Rocks</v>
      </c>
    </row>
    <row r="177" spans="1:61" x14ac:dyDescent="0.25">
      <c r="A177" t="str">
        <f>Tokens!C179</f>
        <v>In Casa #16</v>
      </c>
      <c r="B177" t="str">
        <f>Tokens!D179</f>
        <v>COR22D16</v>
      </c>
      <c r="C177" t="str">
        <f>Tokens!E179</f>
        <v>In Casa, 1 an - Pass NFT 1 jour pour 1 personne, valable pour 1 édition Calvi On The Rocks de votre choix.</v>
      </c>
      <c r="D177">
        <f>Tokens!F179</f>
        <v>1000</v>
      </c>
      <c r="E177" t="str">
        <f>Tokens!G179</f>
        <v>https://bafybeifuk4acnivjp4r4ki3r5pfp726fldgbk3vfcoamjm73t2ycj5tg3m.ipfs.nftstorage.link?image_16.png</v>
      </c>
      <c r="F177" t="str">
        <f>Tokens!H179</f>
        <v>NfluenT for Calvi On The rocks</v>
      </c>
      <c r="G177">
        <f>Tokens!I179</f>
        <v>0</v>
      </c>
      <c r="H177" t="str">
        <f>Tokens!J179</f>
        <v>Pass festival</v>
      </c>
      <c r="I177" t="str">
        <f>Tokens!K179</f>
        <v>pour une(1) personne</v>
      </c>
      <c r="J177" t="str">
        <f>Tokens!L179</f>
        <v>Edition1</v>
      </c>
      <c r="K177">
        <f>Tokens!M179</f>
        <v>2</v>
      </c>
      <c r="L177">
        <f>Tokens!N179</f>
        <v>0</v>
      </c>
      <c r="M177">
        <f>Tokens!O179</f>
        <v>0</v>
      </c>
      <c r="N177">
        <f>Tokens!P179</f>
        <v>0</v>
      </c>
      <c r="O177">
        <f>Tokens!Q179</f>
        <v>0</v>
      </c>
      <c r="P177">
        <f>Tokens!R179</f>
        <v>0</v>
      </c>
      <c r="Q177">
        <f>Tokens!S179</f>
        <v>0</v>
      </c>
      <c r="R177">
        <f>Tokens!T179</f>
        <v>0</v>
      </c>
      <c r="S177">
        <f>Tokens!U179</f>
        <v>0</v>
      </c>
      <c r="T177" t="str">
        <f>Tokens!V179</f>
        <v>Dernière utilisation</v>
      </c>
      <c r="U177">
        <f>Tokens!W179</f>
        <v>0</v>
      </c>
      <c r="V177">
        <f>Tokens!X179</f>
        <v>0</v>
      </c>
      <c r="W177">
        <f>Tokens!Y179</f>
        <v>0</v>
      </c>
      <c r="X177">
        <f>Tokens!Z179</f>
        <v>0</v>
      </c>
      <c r="Y177">
        <f>Tokens!AA179</f>
        <v>0</v>
      </c>
      <c r="Z177">
        <f>Tokens!AB179</f>
        <v>0</v>
      </c>
      <c r="AA177">
        <f>Tokens!AC179</f>
        <v>0</v>
      </c>
      <c r="AB177">
        <f>Tokens!AD179</f>
        <v>0</v>
      </c>
      <c r="AC177">
        <f>Tokens!AE179</f>
        <v>0</v>
      </c>
      <c r="AD177">
        <f>Tokens!AF179</f>
        <v>0</v>
      </c>
      <c r="AE177">
        <f>Tokens!AG179</f>
        <v>0</v>
      </c>
      <c r="AF177">
        <f>Tokens!AH179</f>
        <v>0</v>
      </c>
      <c r="AG177">
        <f>Tokens!AI179</f>
        <v>0</v>
      </c>
      <c r="AH177">
        <f>Tokens!AJ179</f>
        <v>0</v>
      </c>
      <c r="AI177">
        <f>Tokens!AK179</f>
        <v>0</v>
      </c>
      <c r="AJ177" t="str">
        <f>Tokens!AL179</f>
        <v>avantage1</v>
      </c>
      <c r="AK177" t="str">
        <f>Tokens!AM179</f>
        <v>1 affiche numérotée (quelques unes seront signées au hasard)</v>
      </c>
      <c r="AL177">
        <f>Tokens!AN179</f>
        <v>0</v>
      </c>
      <c r="AM177">
        <f>Tokens!AO179</f>
        <v>0</v>
      </c>
      <c r="AN177">
        <f>Tokens!AP179</f>
        <v>0</v>
      </c>
      <c r="AO177">
        <f>Tokens!AQ179</f>
        <v>0</v>
      </c>
      <c r="AP177">
        <f>Tokens!AR179</f>
        <v>0</v>
      </c>
      <c r="AQ177">
        <f>Tokens!AS179</f>
        <v>0</v>
      </c>
      <c r="AR177">
        <f>Tokens!AT179</f>
        <v>0</v>
      </c>
      <c r="AS177">
        <f>Tokens!AU179</f>
        <v>0</v>
      </c>
      <c r="AT177" t="str">
        <f>Tokens!AV179</f>
        <v>Validation</v>
      </c>
      <c r="AU177" t="str">
        <f>Tokens!AW179</f>
        <v>https://tokensol.nfluent.io?s=COR22D16&amp;platform=ftx</v>
      </c>
      <c r="AV177" t="str">
        <f>Tokens!AX179</f>
        <v>paul</v>
      </c>
      <c r="AW177">
        <f>Tokens!AY179</f>
        <v>10</v>
      </c>
      <c r="AX177" t="str">
        <f>Tokens!AZ179</f>
        <v>sophie</v>
      </c>
      <c r="AY177">
        <f>Tokens!BA179</f>
        <v>90</v>
      </c>
      <c r="AZ177">
        <f>Tokens!BB179</f>
        <v>0</v>
      </c>
      <c r="BA177">
        <f>Tokens!BC179</f>
        <v>0</v>
      </c>
      <c r="BB177">
        <f>Tokens!BD179</f>
        <v>0</v>
      </c>
      <c r="BC177">
        <f>Tokens!BE179</f>
        <v>0</v>
      </c>
      <c r="BD177">
        <f>Tokens!BF179</f>
        <v>0</v>
      </c>
      <c r="BE177">
        <f>Tokens!BG179</f>
        <v>0</v>
      </c>
      <c r="BF177">
        <f>Tokens!BH179</f>
        <v>0</v>
      </c>
      <c r="BG177">
        <f>Tokens!BI179</f>
        <v>0</v>
      </c>
      <c r="BH177" t="str">
        <f>Tokens!BJ179</f>
        <v>In Casa</v>
      </c>
      <c r="BI177" t="str">
        <f>Tokens!BK179</f>
        <v>Calvi On The Rocks</v>
      </c>
    </row>
    <row r="178" spans="1:61" x14ac:dyDescent="0.25">
      <c r="A178" t="str">
        <f>Tokens!C180</f>
        <v>In Casa #17</v>
      </c>
      <c r="B178" t="str">
        <f>Tokens!D180</f>
        <v>COR22D17</v>
      </c>
      <c r="C178" t="str">
        <f>Tokens!E180</f>
        <v>In Casa, 1 an - Pass NFT 1 jour pour 1 personne, valable pour 1 édition Calvi On The Rocks de votre choix.</v>
      </c>
      <c r="D178">
        <f>Tokens!F180</f>
        <v>1000</v>
      </c>
      <c r="E178" t="str">
        <f>Tokens!G180</f>
        <v>https://bafybeia5c7daemckellktqrle4zsf5zxxgydguzb2t4jhwizwa2ddfhklu.ipfs.nftstorage.link?image_17.png</v>
      </c>
      <c r="F178" t="str">
        <f>Tokens!H180</f>
        <v>NfluenT for Calvi On The rocks</v>
      </c>
      <c r="G178">
        <f>Tokens!I180</f>
        <v>0</v>
      </c>
      <c r="H178" t="str">
        <f>Tokens!J180</f>
        <v>Pass festival</v>
      </c>
      <c r="I178" t="str">
        <f>Tokens!K180</f>
        <v>pour une(1) personne</v>
      </c>
      <c r="J178" t="str">
        <f>Tokens!L180</f>
        <v>Edition1</v>
      </c>
      <c r="K178">
        <f>Tokens!M180</f>
        <v>2</v>
      </c>
      <c r="L178">
        <f>Tokens!N180</f>
        <v>0</v>
      </c>
      <c r="M178">
        <f>Tokens!O180</f>
        <v>0</v>
      </c>
      <c r="N178">
        <f>Tokens!P180</f>
        <v>0</v>
      </c>
      <c r="O178">
        <f>Tokens!Q180</f>
        <v>0</v>
      </c>
      <c r="P178">
        <f>Tokens!R180</f>
        <v>0</v>
      </c>
      <c r="Q178">
        <f>Tokens!S180</f>
        <v>0</v>
      </c>
      <c r="R178">
        <f>Tokens!T180</f>
        <v>0</v>
      </c>
      <c r="S178">
        <f>Tokens!U180</f>
        <v>0</v>
      </c>
      <c r="T178" t="str">
        <f>Tokens!V180</f>
        <v>Dernière utilisation</v>
      </c>
      <c r="U178">
        <f>Tokens!W180</f>
        <v>0</v>
      </c>
      <c r="V178">
        <f>Tokens!X180</f>
        <v>0</v>
      </c>
      <c r="W178">
        <f>Tokens!Y180</f>
        <v>0</v>
      </c>
      <c r="X178">
        <f>Tokens!Z180</f>
        <v>0</v>
      </c>
      <c r="Y178">
        <f>Tokens!AA180</f>
        <v>0</v>
      </c>
      <c r="Z178">
        <f>Tokens!AB180</f>
        <v>0</v>
      </c>
      <c r="AA178">
        <f>Tokens!AC180</f>
        <v>0</v>
      </c>
      <c r="AB178">
        <f>Tokens!AD180</f>
        <v>0</v>
      </c>
      <c r="AC178">
        <f>Tokens!AE180</f>
        <v>0</v>
      </c>
      <c r="AD178">
        <f>Tokens!AF180</f>
        <v>0</v>
      </c>
      <c r="AE178">
        <f>Tokens!AG180</f>
        <v>0</v>
      </c>
      <c r="AF178">
        <f>Tokens!AH180</f>
        <v>0</v>
      </c>
      <c r="AG178">
        <f>Tokens!AI180</f>
        <v>0</v>
      </c>
      <c r="AH178">
        <f>Tokens!AJ180</f>
        <v>0</v>
      </c>
      <c r="AI178">
        <f>Tokens!AK180</f>
        <v>0</v>
      </c>
      <c r="AJ178" t="str">
        <f>Tokens!AL180</f>
        <v>avantage1</v>
      </c>
      <c r="AK178" t="str">
        <f>Tokens!AM180</f>
        <v>1 affiche numérotée (quelques unes seront signées au hasard)</v>
      </c>
      <c r="AL178">
        <f>Tokens!AN180</f>
        <v>0</v>
      </c>
      <c r="AM178">
        <f>Tokens!AO180</f>
        <v>0</v>
      </c>
      <c r="AN178">
        <f>Tokens!AP180</f>
        <v>0</v>
      </c>
      <c r="AO178">
        <f>Tokens!AQ180</f>
        <v>0</v>
      </c>
      <c r="AP178">
        <f>Tokens!AR180</f>
        <v>0</v>
      </c>
      <c r="AQ178">
        <f>Tokens!AS180</f>
        <v>0</v>
      </c>
      <c r="AR178">
        <f>Tokens!AT180</f>
        <v>0</v>
      </c>
      <c r="AS178">
        <f>Tokens!AU180</f>
        <v>0</v>
      </c>
      <c r="AT178" t="str">
        <f>Tokens!AV180</f>
        <v>Validation</v>
      </c>
      <c r="AU178" t="str">
        <f>Tokens!AW180</f>
        <v>https://tokensol.nfluent.io?s=COR22D17&amp;platform=ftx</v>
      </c>
      <c r="AV178" t="str">
        <f>Tokens!AX180</f>
        <v>paul</v>
      </c>
      <c r="AW178">
        <f>Tokens!AY180</f>
        <v>10</v>
      </c>
      <c r="AX178" t="str">
        <f>Tokens!AZ180</f>
        <v>sophie</v>
      </c>
      <c r="AY178">
        <f>Tokens!BA180</f>
        <v>90</v>
      </c>
      <c r="AZ178">
        <f>Tokens!BB180</f>
        <v>0</v>
      </c>
      <c r="BA178">
        <f>Tokens!BC180</f>
        <v>0</v>
      </c>
      <c r="BB178">
        <f>Tokens!BD180</f>
        <v>0</v>
      </c>
      <c r="BC178">
        <f>Tokens!BE180</f>
        <v>0</v>
      </c>
      <c r="BD178">
        <f>Tokens!BF180</f>
        <v>0</v>
      </c>
      <c r="BE178">
        <f>Tokens!BG180</f>
        <v>0</v>
      </c>
      <c r="BF178">
        <f>Tokens!BH180</f>
        <v>0</v>
      </c>
      <c r="BG178">
        <f>Tokens!BI180</f>
        <v>0</v>
      </c>
      <c r="BH178" t="str">
        <f>Tokens!BJ180</f>
        <v>In Casa</v>
      </c>
      <c r="BI178" t="str">
        <f>Tokens!BK180</f>
        <v>Calvi On The Rocks</v>
      </c>
    </row>
    <row r="179" spans="1:61" x14ac:dyDescent="0.25">
      <c r="A179" t="str">
        <f>Tokens!C181</f>
        <v>In Casa #18</v>
      </c>
      <c r="B179" t="str">
        <f>Tokens!D181</f>
        <v>COR22D18</v>
      </c>
      <c r="C179" t="str">
        <f>Tokens!E181</f>
        <v>In Casa, 1 an - Pass NFT 1 jour pour 1 personne, valable pour 1 édition Calvi On The Rocks de votre choix.</v>
      </c>
      <c r="D179">
        <f>Tokens!F181</f>
        <v>1000</v>
      </c>
      <c r="E179" t="str">
        <f>Tokens!G181</f>
        <v>https://bafybeicphs3qcir5ie2jo553gjupbxfwy2eh44oriqasmydazl757dss3i.ipfs.nftstorage.link?image_18.png</v>
      </c>
      <c r="F179" t="str">
        <f>Tokens!H181</f>
        <v>NfluenT for Calvi On The rocks</v>
      </c>
      <c r="G179">
        <f>Tokens!I181</f>
        <v>0</v>
      </c>
      <c r="H179" t="str">
        <f>Tokens!J181</f>
        <v>Pass festival</v>
      </c>
      <c r="I179" t="str">
        <f>Tokens!K181</f>
        <v>pour une(1) personne</v>
      </c>
      <c r="J179" t="str">
        <f>Tokens!L181</f>
        <v>Edition1</v>
      </c>
      <c r="K179">
        <f>Tokens!M181</f>
        <v>2</v>
      </c>
      <c r="L179">
        <f>Tokens!N181</f>
        <v>0</v>
      </c>
      <c r="M179">
        <f>Tokens!O181</f>
        <v>0</v>
      </c>
      <c r="N179">
        <f>Tokens!P181</f>
        <v>0</v>
      </c>
      <c r="O179">
        <f>Tokens!Q181</f>
        <v>0</v>
      </c>
      <c r="P179">
        <f>Tokens!R181</f>
        <v>0</v>
      </c>
      <c r="Q179">
        <f>Tokens!S181</f>
        <v>0</v>
      </c>
      <c r="R179">
        <f>Tokens!T181</f>
        <v>0</v>
      </c>
      <c r="S179">
        <f>Tokens!U181</f>
        <v>0</v>
      </c>
      <c r="T179" t="str">
        <f>Tokens!V181</f>
        <v>Dernière utilisation</v>
      </c>
      <c r="U179">
        <f>Tokens!W181</f>
        <v>0</v>
      </c>
      <c r="V179">
        <f>Tokens!X181</f>
        <v>0</v>
      </c>
      <c r="W179">
        <f>Tokens!Y181</f>
        <v>0</v>
      </c>
      <c r="X179">
        <f>Tokens!Z181</f>
        <v>0</v>
      </c>
      <c r="Y179">
        <f>Tokens!AA181</f>
        <v>0</v>
      </c>
      <c r="Z179">
        <f>Tokens!AB181</f>
        <v>0</v>
      </c>
      <c r="AA179">
        <f>Tokens!AC181</f>
        <v>0</v>
      </c>
      <c r="AB179">
        <f>Tokens!AD181</f>
        <v>0</v>
      </c>
      <c r="AC179">
        <f>Tokens!AE181</f>
        <v>0</v>
      </c>
      <c r="AD179">
        <f>Tokens!AF181</f>
        <v>0</v>
      </c>
      <c r="AE179">
        <f>Tokens!AG181</f>
        <v>0</v>
      </c>
      <c r="AF179">
        <f>Tokens!AH181</f>
        <v>0</v>
      </c>
      <c r="AG179">
        <f>Tokens!AI181</f>
        <v>0</v>
      </c>
      <c r="AH179">
        <f>Tokens!AJ181</f>
        <v>0</v>
      </c>
      <c r="AI179">
        <f>Tokens!AK181</f>
        <v>0</v>
      </c>
      <c r="AJ179" t="str">
        <f>Tokens!AL181</f>
        <v>avantage1</v>
      </c>
      <c r="AK179" t="str">
        <f>Tokens!AM181</f>
        <v>1 affiche numérotée (quelques unes seront signées au hasard)</v>
      </c>
      <c r="AL179">
        <f>Tokens!AN181</f>
        <v>0</v>
      </c>
      <c r="AM179">
        <f>Tokens!AO181</f>
        <v>0</v>
      </c>
      <c r="AN179">
        <f>Tokens!AP181</f>
        <v>0</v>
      </c>
      <c r="AO179">
        <f>Tokens!AQ181</f>
        <v>0</v>
      </c>
      <c r="AP179">
        <f>Tokens!AR181</f>
        <v>0</v>
      </c>
      <c r="AQ179">
        <f>Tokens!AS181</f>
        <v>0</v>
      </c>
      <c r="AR179">
        <f>Tokens!AT181</f>
        <v>0</v>
      </c>
      <c r="AS179">
        <f>Tokens!AU181</f>
        <v>0</v>
      </c>
      <c r="AT179" t="str">
        <f>Tokens!AV181</f>
        <v>Validation</v>
      </c>
      <c r="AU179" t="str">
        <f>Tokens!AW181</f>
        <v>https://tokensol.nfluent.io?s=COR22D18&amp;platform=ftx</v>
      </c>
      <c r="AV179" t="str">
        <f>Tokens!AX181</f>
        <v>paul</v>
      </c>
      <c r="AW179">
        <f>Tokens!AY181</f>
        <v>10</v>
      </c>
      <c r="AX179" t="str">
        <f>Tokens!AZ181</f>
        <v>sophie</v>
      </c>
      <c r="AY179">
        <f>Tokens!BA181</f>
        <v>90</v>
      </c>
      <c r="AZ179">
        <f>Tokens!BB181</f>
        <v>0</v>
      </c>
      <c r="BA179">
        <f>Tokens!BC181</f>
        <v>0</v>
      </c>
      <c r="BB179">
        <f>Tokens!BD181</f>
        <v>0</v>
      </c>
      <c r="BC179">
        <f>Tokens!BE181</f>
        <v>0</v>
      </c>
      <c r="BD179">
        <f>Tokens!BF181</f>
        <v>0</v>
      </c>
      <c r="BE179">
        <f>Tokens!BG181</f>
        <v>0</v>
      </c>
      <c r="BF179">
        <f>Tokens!BH181</f>
        <v>0</v>
      </c>
      <c r="BG179">
        <f>Tokens!BI181</f>
        <v>0</v>
      </c>
      <c r="BH179" t="str">
        <f>Tokens!BJ181</f>
        <v>In Casa</v>
      </c>
      <c r="BI179" t="str">
        <f>Tokens!BK181</f>
        <v>Calvi On The Rocks</v>
      </c>
    </row>
    <row r="180" spans="1:61" x14ac:dyDescent="0.25">
      <c r="A180" t="str">
        <f>Tokens!C182</f>
        <v>In Casa #19</v>
      </c>
      <c r="B180" t="str">
        <f>Tokens!D182</f>
        <v>COR22D19</v>
      </c>
      <c r="C180" t="str">
        <f>Tokens!E182</f>
        <v>In Casa, 1 an - Pass NFT 1 jour pour 1 personne, valable pour 1 édition Calvi On The Rocks de votre choix.</v>
      </c>
      <c r="D180">
        <f>Tokens!F182</f>
        <v>1000</v>
      </c>
      <c r="E180" t="str">
        <f>Tokens!G182</f>
        <v>https://bafybeif6ttfc74lqsdn45lhp6xug3cbz4sa64ykwq2cbozljqxb7dvg2om.ipfs.nftstorage.link?image_19.png</v>
      </c>
      <c r="F180" t="str">
        <f>Tokens!H182</f>
        <v>NfluenT for Calvi On The rocks</v>
      </c>
      <c r="G180">
        <f>Tokens!I182</f>
        <v>0</v>
      </c>
      <c r="H180" t="str">
        <f>Tokens!J182</f>
        <v>Pass festival</v>
      </c>
      <c r="I180" t="str">
        <f>Tokens!K182</f>
        <v>pour une(1) personne</v>
      </c>
      <c r="J180" t="str">
        <f>Tokens!L182</f>
        <v>Edition1</v>
      </c>
      <c r="K180">
        <f>Tokens!M182</f>
        <v>2</v>
      </c>
      <c r="L180">
        <f>Tokens!N182</f>
        <v>0</v>
      </c>
      <c r="M180">
        <f>Tokens!O182</f>
        <v>0</v>
      </c>
      <c r="N180">
        <f>Tokens!P182</f>
        <v>0</v>
      </c>
      <c r="O180">
        <f>Tokens!Q182</f>
        <v>0</v>
      </c>
      <c r="P180">
        <f>Tokens!R182</f>
        <v>0</v>
      </c>
      <c r="Q180">
        <f>Tokens!S182</f>
        <v>0</v>
      </c>
      <c r="R180">
        <f>Tokens!T182</f>
        <v>0</v>
      </c>
      <c r="S180">
        <f>Tokens!U182</f>
        <v>0</v>
      </c>
      <c r="T180" t="str">
        <f>Tokens!V182</f>
        <v>Dernière utilisation</v>
      </c>
      <c r="U180">
        <f>Tokens!W182</f>
        <v>0</v>
      </c>
      <c r="V180">
        <f>Tokens!X182</f>
        <v>0</v>
      </c>
      <c r="W180">
        <f>Tokens!Y182</f>
        <v>0</v>
      </c>
      <c r="X180">
        <f>Tokens!Z182</f>
        <v>0</v>
      </c>
      <c r="Y180">
        <f>Tokens!AA182</f>
        <v>0</v>
      </c>
      <c r="Z180">
        <f>Tokens!AB182</f>
        <v>0</v>
      </c>
      <c r="AA180">
        <f>Tokens!AC182</f>
        <v>0</v>
      </c>
      <c r="AB180">
        <f>Tokens!AD182</f>
        <v>0</v>
      </c>
      <c r="AC180">
        <f>Tokens!AE182</f>
        <v>0</v>
      </c>
      <c r="AD180">
        <f>Tokens!AF182</f>
        <v>0</v>
      </c>
      <c r="AE180">
        <f>Tokens!AG182</f>
        <v>0</v>
      </c>
      <c r="AF180">
        <f>Tokens!AH182</f>
        <v>0</v>
      </c>
      <c r="AG180">
        <f>Tokens!AI182</f>
        <v>0</v>
      </c>
      <c r="AH180">
        <f>Tokens!AJ182</f>
        <v>0</v>
      </c>
      <c r="AI180">
        <f>Tokens!AK182</f>
        <v>0</v>
      </c>
      <c r="AJ180" t="str">
        <f>Tokens!AL182</f>
        <v>avantage1</v>
      </c>
      <c r="AK180" t="str">
        <f>Tokens!AM182</f>
        <v>1 affiche numérotée (quelques unes seront signées au hasard)</v>
      </c>
      <c r="AL180">
        <f>Tokens!AN182</f>
        <v>0</v>
      </c>
      <c r="AM180">
        <f>Tokens!AO182</f>
        <v>0</v>
      </c>
      <c r="AN180">
        <f>Tokens!AP182</f>
        <v>0</v>
      </c>
      <c r="AO180">
        <f>Tokens!AQ182</f>
        <v>0</v>
      </c>
      <c r="AP180">
        <f>Tokens!AR182</f>
        <v>0</v>
      </c>
      <c r="AQ180">
        <f>Tokens!AS182</f>
        <v>0</v>
      </c>
      <c r="AR180">
        <f>Tokens!AT182</f>
        <v>0</v>
      </c>
      <c r="AS180">
        <f>Tokens!AU182</f>
        <v>0</v>
      </c>
      <c r="AT180" t="str">
        <f>Tokens!AV182</f>
        <v>Validation</v>
      </c>
      <c r="AU180" t="str">
        <f>Tokens!AW182</f>
        <v>https://tokensol.nfluent.io?s=COR22D19&amp;platform=ftx</v>
      </c>
      <c r="AV180" t="str">
        <f>Tokens!AX182</f>
        <v>paul</v>
      </c>
      <c r="AW180">
        <f>Tokens!AY182</f>
        <v>10</v>
      </c>
      <c r="AX180" t="str">
        <f>Tokens!AZ182</f>
        <v>sophie</v>
      </c>
      <c r="AY180">
        <f>Tokens!BA182</f>
        <v>90</v>
      </c>
      <c r="AZ180">
        <f>Tokens!BB182</f>
        <v>0</v>
      </c>
      <c r="BA180">
        <f>Tokens!BC182</f>
        <v>0</v>
      </c>
      <c r="BB180">
        <f>Tokens!BD182</f>
        <v>0</v>
      </c>
      <c r="BC180">
        <f>Tokens!BE182</f>
        <v>0</v>
      </c>
      <c r="BD180">
        <f>Tokens!BF182</f>
        <v>0</v>
      </c>
      <c r="BE180">
        <f>Tokens!BG182</f>
        <v>0</v>
      </c>
      <c r="BF180">
        <f>Tokens!BH182</f>
        <v>0</v>
      </c>
      <c r="BG180">
        <f>Tokens!BI182</f>
        <v>0</v>
      </c>
      <c r="BH180" t="str">
        <f>Tokens!BJ182</f>
        <v>In Casa</v>
      </c>
      <c r="BI180" t="str">
        <f>Tokens!BK182</f>
        <v>Calvi On The Rocks</v>
      </c>
    </row>
    <row r="181" spans="1:61" x14ac:dyDescent="0.25">
      <c r="A181" t="str">
        <f>Tokens!C183</f>
        <v>In Casa #20</v>
      </c>
      <c r="B181" t="str">
        <f>Tokens!D183</f>
        <v>COR22D20</v>
      </c>
      <c r="C181" t="str">
        <f>Tokens!E183</f>
        <v>In Casa, 1 an - Pass NFT 1 jour pour 1 personne, valable pour 1 édition Calvi On The Rocks de votre choix.</v>
      </c>
      <c r="D181">
        <f>Tokens!F183</f>
        <v>1000</v>
      </c>
      <c r="E181" t="str">
        <f>Tokens!G183</f>
        <v>https://bafybeiefaatdybxqagxi4cl36vbei75ne6hv4cew6otogtv6whnph6gdqu.ipfs.nftstorage.link?image_20.png</v>
      </c>
      <c r="F181" t="str">
        <f>Tokens!H183</f>
        <v>NfluenT for Calvi On The rocks</v>
      </c>
      <c r="G181">
        <f>Tokens!I183</f>
        <v>0</v>
      </c>
      <c r="H181" t="str">
        <f>Tokens!J183</f>
        <v>Pass festival</v>
      </c>
      <c r="I181" t="str">
        <f>Tokens!K183</f>
        <v>pour une(1) personne</v>
      </c>
      <c r="J181" t="str">
        <f>Tokens!L183</f>
        <v>Edition1</v>
      </c>
      <c r="K181">
        <f>Tokens!M183</f>
        <v>2</v>
      </c>
      <c r="L181">
        <f>Tokens!N183</f>
        <v>0</v>
      </c>
      <c r="M181">
        <f>Tokens!O183</f>
        <v>0</v>
      </c>
      <c r="N181">
        <f>Tokens!P183</f>
        <v>0</v>
      </c>
      <c r="O181">
        <f>Tokens!Q183</f>
        <v>0</v>
      </c>
      <c r="P181">
        <f>Tokens!R183</f>
        <v>0</v>
      </c>
      <c r="Q181">
        <f>Tokens!S183</f>
        <v>0</v>
      </c>
      <c r="R181">
        <f>Tokens!T183</f>
        <v>0</v>
      </c>
      <c r="S181">
        <f>Tokens!U183</f>
        <v>0</v>
      </c>
      <c r="T181" t="str">
        <f>Tokens!V183</f>
        <v>Dernière utilisation</v>
      </c>
      <c r="U181">
        <f>Tokens!W183</f>
        <v>0</v>
      </c>
      <c r="V181">
        <f>Tokens!X183</f>
        <v>0</v>
      </c>
      <c r="W181">
        <f>Tokens!Y183</f>
        <v>0</v>
      </c>
      <c r="X181">
        <f>Tokens!Z183</f>
        <v>0</v>
      </c>
      <c r="Y181">
        <f>Tokens!AA183</f>
        <v>0</v>
      </c>
      <c r="Z181">
        <f>Tokens!AB183</f>
        <v>0</v>
      </c>
      <c r="AA181">
        <f>Tokens!AC183</f>
        <v>0</v>
      </c>
      <c r="AB181">
        <f>Tokens!AD183</f>
        <v>0</v>
      </c>
      <c r="AC181">
        <f>Tokens!AE183</f>
        <v>0</v>
      </c>
      <c r="AD181">
        <f>Tokens!AF183</f>
        <v>0</v>
      </c>
      <c r="AE181">
        <f>Tokens!AG183</f>
        <v>0</v>
      </c>
      <c r="AF181">
        <f>Tokens!AH183</f>
        <v>0</v>
      </c>
      <c r="AG181">
        <f>Tokens!AI183</f>
        <v>0</v>
      </c>
      <c r="AH181">
        <f>Tokens!AJ183</f>
        <v>0</v>
      </c>
      <c r="AI181">
        <f>Tokens!AK183</f>
        <v>0</v>
      </c>
      <c r="AJ181" t="str">
        <f>Tokens!AL183</f>
        <v>avantage1</v>
      </c>
      <c r="AK181" t="str">
        <f>Tokens!AM183</f>
        <v>1 affiche numérotée (quelques unes seront signées au hasard)</v>
      </c>
      <c r="AL181">
        <f>Tokens!AN183</f>
        <v>0</v>
      </c>
      <c r="AM181">
        <f>Tokens!AO183</f>
        <v>0</v>
      </c>
      <c r="AN181">
        <f>Tokens!AP183</f>
        <v>0</v>
      </c>
      <c r="AO181">
        <f>Tokens!AQ183</f>
        <v>0</v>
      </c>
      <c r="AP181">
        <f>Tokens!AR183</f>
        <v>0</v>
      </c>
      <c r="AQ181">
        <f>Tokens!AS183</f>
        <v>0</v>
      </c>
      <c r="AR181">
        <f>Tokens!AT183</f>
        <v>0</v>
      </c>
      <c r="AS181">
        <f>Tokens!AU183</f>
        <v>0</v>
      </c>
      <c r="AT181" t="str">
        <f>Tokens!AV183</f>
        <v>Validation</v>
      </c>
      <c r="AU181" t="str">
        <f>Tokens!AW183</f>
        <v>https://tokensol.nfluent.io?s=COR22D20&amp;platform=ftx</v>
      </c>
      <c r="AV181" t="str">
        <f>Tokens!AX183</f>
        <v>paul</v>
      </c>
      <c r="AW181">
        <f>Tokens!AY183</f>
        <v>10</v>
      </c>
      <c r="AX181" t="str">
        <f>Tokens!AZ183</f>
        <v>sophie</v>
      </c>
      <c r="AY181">
        <f>Tokens!BA183</f>
        <v>90</v>
      </c>
      <c r="AZ181">
        <f>Tokens!BB183</f>
        <v>0</v>
      </c>
      <c r="BA181">
        <f>Tokens!BC183</f>
        <v>0</v>
      </c>
      <c r="BB181">
        <f>Tokens!BD183</f>
        <v>0</v>
      </c>
      <c r="BC181">
        <f>Tokens!BE183</f>
        <v>0</v>
      </c>
      <c r="BD181">
        <f>Tokens!BF183</f>
        <v>0</v>
      </c>
      <c r="BE181">
        <f>Tokens!BG183</f>
        <v>0</v>
      </c>
      <c r="BF181">
        <f>Tokens!BH183</f>
        <v>0</v>
      </c>
      <c r="BG181">
        <f>Tokens!BI183</f>
        <v>0</v>
      </c>
      <c r="BH181" t="str">
        <f>Tokens!BJ183</f>
        <v>In Casa</v>
      </c>
      <c r="BI181" t="str">
        <f>Tokens!BK183</f>
        <v>Calvi On The Rocks</v>
      </c>
    </row>
    <row r="182" spans="1:61" x14ac:dyDescent="0.25">
      <c r="A182" t="str">
        <f>Tokens!C184</f>
        <v>In Casa #21</v>
      </c>
      <c r="B182" t="str">
        <f>Tokens!D184</f>
        <v>COR22D21</v>
      </c>
      <c r="C182" t="str">
        <f>Tokens!E184</f>
        <v>In Casa, 1 an - Pass NFT 1 jour pour 1 personne, valable pour 1 édition Calvi On The Rocks de votre choix.</v>
      </c>
      <c r="D182">
        <f>Tokens!F184</f>
        <v>1000</v>
      </c>
      <c r="E182" t="str">
        <f>Tokens!G184</f>
        <v>https://bafybeicwojcjvg34jy4djfoe2ppagku65qqg3uj3xbwvvcn25be63xhbpu.ipfs.nftstorage.link?image_21.png</v>
      </c>
      <c r="F182" t="str">
        <f>Tokens!H184</f>
        <v>NfluenT for Calvi On The rocks</v>
      </c>
      <c r="G182">
        <f>Tokens!I184</f>
        <v>0</v>
      </c>
      <c r="H182" t="str">
        <f>Tokens!J184</f>
        <v>Pass festival</v>
      </c>
      <c r="I182" t="str">
        <f>Tokens!K184</f>
        <v>pour une(1) personne</v>
      </c>
      <c r="J182" t="str">
        <f>Tokens!L184</f>
        <v>Edition1</v>
      </c>
      <c r="K182">
        <f>Tokens!M184</f>
        <v>2</v>
      </c>
      <c r="L182">
        <f>Tokens!N184</f>
        <v>0</v>
      </c>
      <c r="M182">
        <f>Tokens!O184</f>
        <v>0</v>
      </c>
      <c r="N182">
        <f>Tokens!P184</f>
        <v>0</v>
      </c>
      <c r="O182">
        <f>Tokens!Q184</f>
        <v>0</v>
      </c>
      <c r="P182">
        <f>Tokens!R184</f>
        <v>0</v>
      </c>
      <c r="Q182">
        <f>Tokens!S184</f>
        <v>0</v>
      </c>
      <c r="R182">
        <f>Tokens!T184</f>
        <v>0</v>
      </c>
      <c r="S182">
        <f>Tokens!U184</f>
        <v>0</v>
      </c>
      <c r="T182" t="str">
        <f>Tokens!V184</f>
        <v>Dernière utilisation</v>
      </c>
      <c r="U182">
        <f>Tokens!W184</f>
        <v>0</v>
      </c>
      <c r="V182">
        <f>Tokens!X184</f>
        <v>0</v>
      </c>
      <c r="W182">
        <f>Tokens!Y184</f>
        <v>0</v>
      </c>
      <c r="X182">
        <f>Tokens!Z184</f>
        <v>0</v>
      </c>
      <c r="Y182">
        <f>Tokens!AA184</f>
        <v>0</v>
      </c>
      <c r="Z182">
        <f>Tokens!AB184</f>
        <v>0</v>
      </c>
      <c r="AA182">
        <f>Tokens!AC184</f>
        <v>0</v>
      </c>
      <c r="AB182">
        <f>Tokens!AD184</f>
        <v>0</v>
      </c>
      <c r="AC182">
        <f>Tokens!AE184</f>
        <v>0</v>
      </c>
      <c r="AD182">
        <f>Tokens!AF184</f>
        <v>0</v>
      </c>
      <c r="AE182">
        <f>Tokens!AG184</f>
        <v>0</v>
      </c>
      <c r="AF182">
        <f>Tokens!AH184</f>
        <v>0</v>
      </c>
      <c r="AG182">
        <f>Tokens!AI184</f>
        <v>0</v>
      </c>
      <c r="AH182">
        <f>Tokens!AJ184</f>
        <v>0</v>
      </c>
      <c r="AI182">
        <f>Tokens!AK184</f>
        <v>0</v>
      </c>
      <c r="AJ182" t="str">
        <f>Tokens!AL184</f>
        <v>avantage1</v>
      </c>
      <c r="AK182" t="str">
        <f>Tokens!AM184</f>
        <v>1 affiche numérotée (quelques unes seront signées au hasard)</v>
      </c>
      <c r="AL182">
        <f>Tokens!AN184</f>
        <v>0</v>
      </c>
      <c r="AM182">
        <f>Tokens!AO184</f>
        <v>0</v>
      </c>
      <c r="AN182">
        <f>Tokens!AP184</f>
        <v>0</v>
      </c>
      <c r="AO182">
        <f>Tokens!AQ184</f>
        <v>0</v>
      </c>
      <c r="AP182">
        <f>Tokens!AR184</f>
        <v>0</v>
      </c>
      <c r="AQ182">
        <f>Tokens!AS184</f>
        <v>0</v>
      </c>
      <c r="AR182">
        <f>Tokens!AT184</f>
        <v>0</v>
      </c>
      <c r="AS182">
        <f>Tokens!AU184</f>
        <v>0</v>
      </c>
      <c r="AT182" t="str">
        <f>Tokens!AV184</f>
        <v>Validation</v>
      </c>
      <c r="AU182" t="str">
        <f>Tokens!AW184</f>
        <v>https://tokensol.nfluent.io?s=COR22D21&amp;platform=ftx</v>
      </c>
      <c r="AV182" t="str">
        <f>Tokens!AX184</f>
        <v>paul</v>
      </c>
      <c r="AW182">
        <f>Tokens!AY184</f>
        <v>10</v>
      </c>
      <c r="AX182" t="str">
        <f>Tokens!AZ184</f>
        <v>sophie</v>
      </c>
      <c r="AY182">
        <f>Tokens!BA184</f>
        <v>90</v>
      </c>
      <c r="AZ182">
        <f>Tokens!BB184</f>
        <v>0</v>
      </c>
      <c r="BA182">
        <f>Tokens!BC184</f>
        <v>0</v>
      </c>
      <c r="BB182">
        <f>Tokens!BD184</f>
        <v>0</v>
      </c>
      <c r="BC182">
        <f>Tokens!BE184</f>
        <v>0</v>
      </c>
      <c r="BD182">
        <f>Tokens!BF184</f>
        <v>0</v>
      </c>
      <c r="BE182">
        <f>Tokens!BG184</f>
        <v>0</v>
      </c>
      <c r="BF182">
        <f>Tokens!BH184</f>
        <v>0</v>
      </c>
      <c r="BG182">
        <f>Tokens!BI184</f>
        <v>0</v>
      </c>
      <c r="BH182" t="str">
        <f>Tokens!BJ184</f>
        <v>In Casa</v>
      </c>
      <c r="BI182" t="str">
        <f>Tokens!BK184</f>
        <v>Calvi On The Rocks</v>
      </c>
    </row>
    <row r="183" spans="1:61" x14ac:dyDescent="0.25">
      <c r="A183" t="str">
        <f>Tokens!C185</f>
        <v>In Casa #22</v>
      </c>
      <c r="B183" t="str">
        <f>Tokens!D185</f>
        <v>COR22D22</v>
      </c>
      <c r="C183" t="str">
        <f>Tokens!E185</f>
        <v>In Casa, 1 an - Pass NFT 1 jour pour 1 personne, valable pour 1 édition Calvi On The Rocks de votre choix.</v>
      </c>
      <c r="D183">
        <f>Tokens!F185</f>
        <v>1000</v>
      </c>
      <c r="E183" t="str">
        <f>Tokens!G185</f>
        <v>https://bafybeidae6olwr27uutzzehvfowdhxjunmtjc3fypwxumyxxoa7ql5xtly.ipfs.nftstorage.link?image_22.png</v>
      </c>
      <c r="F183" t="str">
        <f>Tokens!H185</f>
        <v>NfluenT for Calvi On The rocks</v>
      </c>
      <c r="G183">
        <f>Tokens!I185</f>
        <v>0</v>
      </c>
      <c r="H183" t="str">
        <f>Tokens!J185</f>
        <v>Pass festival</v>
      </c>
      <c r="I183" t="str">
        <f>Tokens!K185</f>
        <v>pour une(1) personne</v>
      </c>
      <c r="J183" t="str">
        <f>Tokens!L185</f>
        <v>Edition1</v>
      </c>
      <c r="K183">
        <f>Tokens!M185</f>
        <v>2</v>
      </c>
      <c r="L183">
        <f>Tokens!N185</f>
        <v>0</v>
      </c>
      <c r="M183">
        <f>Tokens!O185</f>
        <v>0</v>
      </c>
      <c r="N183">
        <f>Tokens!P185</f>
        <v>0</v>
      </c>
      <c r="O183">
        <f>Tokens!Q185</f>
        <v>0</v>
      </c>
      <c r="P183">
        <f>Tokens!R185</f>
        <v>0</v>
      </c>
      <c r="Q183">
        <f>Tokens!S185</f>
        <v>0</v>
      </c>
      <c r="R183">
        <f>Tokens!T185</f>
        <v>0</v>
      </c>
      <c r="S183">
        <f>Tokens!U185</f>
        <v>0</v>
      </c>
      <c r="T183" t="str">
        <f>Tokens!V185</f>
        <v>Dernière utilisation</v>
      </c>
      <c r="U183">
        <f>Tokens!W185</f>
        <v>0</v>
      </c>
      <c r="V183">
        <f>Tokens!X185</f>
        <v>0</v>
      </c>
      <c r="W183">
        <f>Tokens!Y185</f>
        <v>0</v>
      </c>
      <c r="X183">
        <f>Tokens!Z185</f>
        <v>0</v>
      </c>
      <c r="Y183">
        <f>Tokens!AA185</f>
        <v>0</v>
      </c>
      <c r="Z183">
        <f>Tokens!AB185</f>
        <v>0</v>
      </c>
      <c r="AA183">
        <f>Tokens!AC185</f>
        <v>0</v>
      </c>
      <c r="AB183">
        <f>Tokens!AD185</f>
        <v>0</v>
      </c>
      <c r="AC183">
        <f>Tokens!AE185</f>
        <v>0</v>
      </c>
      <c r="AD183">
        <f>Tokens!AF185</f>
        <v>0</v>
      </c>
      <c r="AE183">
        <f>Tokens!AG185</f>
        <v>0</v>
      </c>
      <c r="AF183">
        <f>Tokens!AH185</f>
        <v>0</v>
      </c>
      <c r="AG183">
        <f>Tokens!AI185</f>
        <v>0</v>
      </c>
      <c r="AH183">
        <f>Tokens!AJ185</f>
        <v>0</v>
      </c>
      <c r="AI183">
        <f>Tokens!AK185</f>
        <v>0</v>
      </c>
      <c r="AJ183" t="str">
        <f>Tokens!AL185</f>
        <v>avantage1</v>
      </c>
      <c r="AK183" t="str">
        <f>Tokens!AM185</f>
        <v>1 affiche numérotée (quelques unes seront signées au hasard)</v>
      </c>
      <c r="AL183">
        <f>Tokens!AN185</f>
        <v>0</v>
      </c>
      <c r="AM183">
        <f>Tokens!AO185</f>
        <v>0</v>
      </c>
      <c r="AN183">
        <f>Tokens!AP185</f>
        <v>0</v>
      </c>
      <c r="AO183">
        <f>Tokens!AQ185</f>
        <v>0</v>
      </c>
      <c r="AP183">
        <f>Tokens!AR185</f>
        <v>0</v>
      </c>
      <c r="AQ183">
        <f>Tokens!AS185</f>
        <v>0</v>
      </c>
      <c r="AR183">
        <f>Tokens!AT185</f>
        <v>0</v>
      </c>
      <c r="AS183">
        <f>Tokens!AU185</f>
        <v>0</v>
      </c>
      <c r="AT183" t="str">
        <f>Tokens!AV185</f>
        <v>Validation</v>
      </c>
      <c r="AU183" t="str">
        <f>Tokens!AW185</f>
        <v>https://tokensol.nfluent.io?s=COR22D22&amp;platform=ftx</v>
      </c>
      <c r="AV183" t="str">
        <f>Tokens!AX185</f>
        <v>paul</v>
      </c>
      <c r="AW183">
        <f>Tokens!AY185</f>
        <v>10</v>
      </c>
      <c r="AX183" t="str">
        <f>Tokens!AZ185</f>
        <v>sophie</v>
      </c>
      <c r="AY183">
        <f>Tokens!BA185</f>
        <v>90</v>
      </c>
      <c r="AZ183">
        <f>Tokens!BB185</f>
        <v>0</v>
      </c>
      <c r="BA183">
        <f>Tokens!BC185</f>
        <v>0</v>
      </c>
      <c r="BB183">
        <f>Tokens!BD185</f>
        <v>0</v>
      </c>
      <c r="BC183">
        <f>Tokens!BE185</f>
        <v>0</v>
      </c>
      <c r="BD183">
        <f>Tokens!BF185</f>
        <v>0</v>
      </c>
      <c r="BE183">
        <f>Tokens!BG185</f>
        <v>0</v>
      </c>
      <c r="BF183">
        <f>Tokens!BH185</f>
        <v>0</v>
      </c>
      <c r="BG183">
        <f>Tokens!BI185</f>
        <v>0</v>
      </c>
      <c r="BH183" t="str">
        <f>Tokens!BJ185</f>
        <v>In Casa</v>
      </c>
      <c r="BI183" t="str">
        <f>Tokens!BK185</f>
        <v>Calvi On The Rocks</v>
      </c>
    </row>
    <row r="184" spans="1:61" x14ac:dyDescent="0.25">
      <c r="A184" t="str">
        <f>Tokens!C186</f>
        <v>In Casa #23</v>
      </c>
      <c r="B184" t="str">
        <f>Tokens!D186</f>
        <v>COR22D23</v>
      </c>
      <c r="C184" t="str">
        <f>Tokens!E186</f>
        <v>In Casa, 1 an - Pass NFT 1 jour pour 1 personne, valable pour 1 édition Calvi On The Rocks de votre choix.</v>
      </c>
      <c r="D184">
        <f>Tokens!F186</f>
        <v>1000</v>
      </c>
      <c r="E184" t="str">
        <f>Tokens!G186</f>
        <v>https://bafybeia64adrly342xzve6xqp2xu2xdr6mvwtftkz7c5kadx4ydecinqrq.ipfs.nftstorage.link?image_23.png</v>
      </c>
      <c r="F184" t="str">
        <f>Tokens!H186</f>
        <v>NfluenT for Calvi On The rocks</v>
      </c>
      <c r="G184">
        <f>Tokens!I186</f>
        <v>0</v>
      </c>
      <c r="H184" t="str">
        <f>Tokens!J186</f>
        <v>Pass festival</v>
      </c>
      <c r="I184" t="str">
        <f>Tokens!K186</f>
        <v>pour une(1) personne</v>
      </c>
      <c r="J184" t="str">
        <f>Tokens!L186</f>
        <v>Edition1</v>
      </c>
      <c r="K184">
        <f>Tokens!M186</f>
        <v>2</v>
      </c>
      <c r="L184">
        <f>Tokens!N186</f>
        <v>0</v>
      </c>
      <c r="M184">
        <f>Tokens!O186</f>
        <v>0</v>
      </c>
      <c r="N184">
        <f>Tokens!P186</f>
        <v>0</v>
      </c>
      <c r="O184">
        <f>Tokens!Q186</f>
        <v>0</v>
      </c>
      <c r="P184">
        <f>Tokens!R186</f>
        <v>0</v>
      </c>
      <c r="Q184">
        <f>Tokens!S186</f>
        <v>0</v>
      </c>
      <c r="R184">
        <f>Tokens!T186</f>
        <v>0</v>
      </c>
      <c r="S184">
        <f>Tokens!U186</f>
        <v>0</v>
      </c>
      <c r="T184" t="str">
        <f>Tokens!V186</f>
        <v>Dernière utilisation</v>
      </c>
      <c r="U184">
        <f>Tokens!W186</f>
        <v>0</v>
      </c>
      <c r="V184">
        <f>Tokens!X186</f>
        <v>0</v>
      </c>
      <c r="W184">
        <f>Tokens!Y186</f>
        <v>0</v>
      </c>
      <c r="X184">
        <f>Tokens!Z186</f>
        <v>0</v>
      </c>
      <c r="Y184">
        <f>Tokens!AA186</f>
        <v>0</v>
      </c>
      <c r="Z184">
        <f>Tokens!AB186</f>
        <v>0</v>
      </c>
      <c r="AA184">
        <f>Tokens!AC186</f>
        <v>0</v>
      </c>
      <c r="AB184">
        <f>Tokens!AD186</f>
        <v>0</v>
      </c>
      <c r="AC184">
        <f>Tokens!AE186</f>
        <v>0</v>
      </c>
      <c r="AD184">
        <f>Tokens!AF186</f>
        <v>0</v>
      </c>
      <c r="AE184">
        <f>Tokens!AG186</f>
        <v>0</v>
      </c>
      <c r="AF184">
        <f>Tokens!AH186</f>
        <v>0</v>
      </c>
      <c r="AG184">
        <f>Tokens!AI186</f>
        <v>0</v>
      </c>
      <c r="AH184">
        <f>Tokens!AJ186</f>
        <v>0</v>
      </c>
      <c r="AI184">
        <f>Tokens!AK186</f>
        <v>0</v>
      </c>
      <c r="AJ184" t="str">
        <f>Tokens!AL186</f>
        <v>avantage1</v>
      </c>
      <c r="AK184" t="str">
        <f>Tokens!AM186</f>
        <v>1 affiche numérotée (quelques unes seront signées au hasard)</v>
      </c>
      <c r="AL184">
        <f>Tokens!AN186</f>
        <v>0</v>
      </c>
      <c r="AM184">
        <f>Tokens!AO186</f>
        <v>0</v>
      </c>
      <c r="AN184">
        <f>Tokens!AP186</f>
        <v>0</v>
      </c>
      <c r="AO184">
        <f>Tokens!AQ186</f>
        <v>0</v>
      </c>
      <c r="AP184">
        <f>Tokens!AR186</f>
        <v>0</v>
      </c>
      <c r="AQ184">
        <f>Tokens!AS186</f>
        <v>0</v>
      </c>
      <c r="AR184">
        <f>Tokens!AT186</f>
        <v>0</v>
      </c>
      <c r="AS184">
        <f>Tokens!AU186</f>
        <v>0</v>
      </c>
      <c r="AT184" t="str">
        <f>Tokens!AV186</f>
        <v>Validation</v>
      </c>
      <c r="AU184" t="str">
        <f>Tokens!AW186</f>
        <v>https://tokensol.nfluent.io?s=COR22D23&amp;platform=ftx</v>
      </c>
      <c r="AV184" t="str">
        <f>Tokens!AX186</f>
        <v>paul</v>
      </c>
      <c r="AW184">
        <f>Tokens!AY186</f>
        <v>10</v>
      </c>
      <c r="AX184" t="str">
        <f>Tokens!AZ186</f>
        <v>sophie</v>
      </c>
      <c r="AY184">
        <f>Tokens!BA186</f>
        <v>90</v>
      </c>
      <c r="AZ184">
        <f>Tokens!BB186</f>
        <v>0</v>
      </c>
      <c r="BA184">
        <f>Tokens!BC186</f>
        <v>0</v>
      </c>
      <c r="BB184">
        <f>Tokens!BD186</f>
        <v>0</v>
      </c>
      <c r="BC184">
        <f>Tokens!BE186</f>
        <v>0</v>
      </c>
      <c r="BD184">
        <f>Tokens!BF186</f>
        <v>0</v>
      </c>
      <c r="BE184">
        <f>Tokens!BG186</f>
        <v>0</v>
      </c>
      <c r="BF184">
        <f>Tokens!BH186</f>
        <v>0</v>
      </c>
      <c r="BG184">
        <f>Tokens!BI186</f>
        <v>0</v>
      </c>
      <c r="BH184" t="str">
        <f>Tokens!BJ186</f>
        <v>In Casa</v>
      </c>
      <c r="BI184" t="str">
        <f>Tokens!BK186</f>
        <v>Calvi On The Rocks</v>
      </c>
    </row>
    <row r="185" spans="1:61" x14ac:dyDescent="0.25">
      <c r="A185" t="str">
        <f>Tokens!C187</f>
        <v>In Casa #24</v>
      </c>
      <c r="B185" t="str">
        <f>Tokens!D187</f>
        <v>COR22D24</v>
      </c>
      <c r="C185" t="str">
        <f>Tokens!E187</f>
        <v>In Casa, 1 an - Pass NFT 1 jour pour 1 personne, valable pour 1 édition Calvi On The Rocks de votre choix.</v>
      </c>
      <c r="D185">
        <f>Tokens!F187</f>
        <v>1000</v>
      </c>
      <c r="E185" t="str">
        <f>Tokens!G187</f>
        <v>https://bafybeichgctk7hfgrp3srhcfyyj3jhwphzucf5fssjjv3j4klilvryoapu.ipfs.nftstorage.link?image_24.png</v>
      </c>
      <c r="F185" t="str">
        <f>Tokens!H187</f>
        <v>NfluenT for Calvi On The rocks</v>
      </c>
      <c r="G185">
        <f>Tokens!I187</f>
        <v>0</v>
      </c>
      <c r="H185" t="str">
        <f>Tokens!J187</f>
        <v>Pass festival</v>
      </c>
      <c r="I185" t="str">
        <f>Tokens!K187</f>
        <v>pour une(1) personne</v>
      </c>
      <c r="J185" t="str">
        <f>Tokens!L187</f>
        <v>Edition1</v>
      </c>
      <c r="K185">
        <f>Tokens!M187</f>
        <v>2</v>
      </c>
      <c r="L185">
        <f>Tokens!N187</f>
        <v>0</v>
      </c>
      <c r="M185">
        <f>Tokens!O187</f>
        <v>0</v>
      </c>
      <c r="N185">
        <f>Tokens!P187</f>
        <v>0</v>
      </c>
      <c r="O185">
        <f>Tokens!Q187</f>
        <v>0</v>
      </c>
      <c r="P185">
        <f>Tokens!R187</f>
        <v>0</v>
      </c>
      <c r="Q185">
        <f>Tokens!S187</f>
        <v>0</v>
      </c>
      <c r="R185">
        <f>Tokens!T187</f>
        <v>0</v>
      </c>
      <c r="S185">
        <f>Tokens!U187</f>
        <v>0</v>
      </c>
      <c r="T185" t="str">
        <f>Tokens!V187</f>
        <v>Dernière utilisation</v>
      </c>
      <c r="U185">
        <f>Tokens!W187</f>
        <v>0</v>
      </c>
      <c r="V185">
        <f>Tokens!X187</f>
        <v>0</v>
      </c>
      <c r="W185">
        <f>Tokens!Y187</f>
        <v>0</v>
      </c>
      <c r="X185">
        <f>Tokens!Z187</f>
        <v>0</v>
      </c>
      <c r="Y185">
        <f>Tokens!AA187</f>
        <v>0</v>
      </c>
      <c r="Z185">
        <f>Tokens!AB187</f>
        <v>0</v>
      </c>
      <c r="AA185">
        <f>Tokens!AC187</f>
        <v>0</v>
      </c>
      <c r="AB185">
        <f>Tokens!AD187</f>
        <v>0</v>
      </c>
      <c r="AC185">
        <f>Tokens!AE187</f>
        <v>0</v>
      </c>
      <c r="AD185">
        <f>Tokens!AF187</f>
        <v>0</v>
      </c>
      <c r="AE185">
        <f>Tokens!AG187</f>
        <v>0</v>
      </c>
      <c r="AF185">
        <f>Tokens!AH187</f>
        <v>0</v>
      </c>
      <c r="AG185">
        <f>Tokens!AI187</f>
        <v>0</v>
      </c>
      <c r="AH185">
        <f>Tokens!AJ187</f>
        <v>0</v>
      </c>
      <c r="AI185">
        <f>Tokens!AK187</f>
        <v>0</v>
      </c>
      <c r="AJ185" t="str">
        <f>Tokens!AL187</f>
        <v>avantage1</v>
      </c>
      <c r="AK185" t="str">
        <f>Tokens!AM187</f>
        <v>1 affiche numérotée (quelques unes seront signées au hasard)</v>
      </c>
      <c r="AL185">
        <f>Tokens!AN187</f>
        <v>0</v>
      </c>
      <c r="AM185">
        <f>Tokens!AO187</f>
        <v>0</v>
      </c>
      <c r="AN185">
        <f>Tokens!AP187</f>
        <v>0</v>
      </c>
      <c r="AO185">
        <f>Tokens!AQ187</f>
        <v>0</v>
      </c>
      <c r="AP185">
        <f>Tokens!AR187</f>
        <v>0</v>
      </c>
      <c r="AQ185">
        <f>Tokens!AS187</f>
        <v>0</v>
      </c>
      <c r="AR185">
        <f>Tokens!AT187</f>
        <v>0</v>
      </c>
      <c r="AS185">
        <f>Tokens!AU187</f>
        <v>0</v>
      </c>
      <c r="AT185" t="str">
        <f>Tokens!AV187</f>
        <v>Validation</v>
      </c>
      <c r="AU185" t="str">
        <f>Tokens!AW187</f>
        <v>https://tokensol.nfluent.io?s=COR22D24&amp;platform=ftx</v>
      </c>
      <c r="AV185" t="str">
        <f>Tokens!AX187</f>
        <v>paul</v>
      </c>
      <c r="AW185">
        <f>Tokens!AY187</f>
        <v>10</v>
      </c>
      <c r="AX185" t="str">
        <f>Tokens!AZ187</f>
        <v>sophie</v>
      </c>
      <c r="AY185">
        <f>Tokens!BA187</f>
        <v>90</v>
      </c>
      <c r="AZ185">
        <f>Tokens!BB187</f>
        <v>0</v>
      </c>
      <c r="BA185">
        <f>Tokens!BC187</f>
        <v>0</v>
      </c>
      <c r="BB185">
        <f>Tokens!BD187</f>
        <v>0</v>
      </c>
      <c r="BC185">
        <f>Tokens!BE187</f>
        <v>0</v>
      </c>
      <c r="BD185">
        <f>Tokens!BF187</f>
        <v>0</v>
      </c>
      <c r="BE185">
        <f>Tokens!BG187</f>
        <v>0</v>
      </c>
      <c r="BF185">
        <f>Tokens!BH187</f>
        <v>0</v>
      </c>
      <c r="BG185">
        <f>Tokens!BI187</f>
        <v>0</v>
      </c>
      <c r="BH185" t="str">
        <f>Tokens!BJ187</f>
        <v>In Casa</v>
      </c>
      <c r="BI185" t="str">
        <f>Tokens!BK187</f>
        <v>Calvi On The Rocks</v>
      </c>
    </row>
    <row r="186" spans="1:61" x14ac:dyDescent="0.25">
      <c r="A186" t="str">
        <f>Tokens!C188</f>
        <v>In Casa #25</v>
      </c>
      <c r="B186" t="str">
        <f>Tokens!D188</f>
        <v>COR22D25</v>
      </c>
      <c r="C186" t="str">
        <f>Tokens!E188</f>
        <v>In Casa, 1 an - Pass NFT 1 jour pour 1 personne, valable pour 1 édition Calvi On The Rocks de votre choix.</v>
      </c>
      <c r="D186">
        <f>Tokens!F188</f>
        <v>1000</v>
      </c>
      <c r="E186" t="str">
        <f>Tokens!G188</f>
        <v>https://bafybeigo3ea2sztxcjn3hl72ebv6rubtgbaz3b3ztfhvabk47byxepaiby.ipfs.nftstorage.link?image_25.png</v>
      </c>
      <c r="F186" t="str">
        <f>Tokens!H188</f>
        <v>NfluenT for Calvi On The rocks</v>
      </c>
      <c r="G186">
        <f>Tokens!I188</f>
        <v>0</v>
      </c>
      <c r="H186" t="str">
        <f>Tokens!J188</f>
        <v>Pass festival</v>
      </c>
      <c r="I186" t="str">
        <f>Tokens!K188</f>
        <v>pour une(1) personne</v>
      </c>
      <c r="J186" t="str">
        <f>Tokens!L188</f>
        <v>Edition1</v>
      </c>
      <c r="K186">
        <f>Tokens!M188</f>
        <v>2</v>
      </c>
      <c r="L186">
        <f>Tokens!N188</f>
        <v>0</v>
      </c>
      <c r="M186">
        <f>Tokens!O188</f>
        <v>0</v>
      </c>
      <c r="N186">
        <f>Tokens!P188</f>
        <v>0</v>
      </c>
      <c r="O186">
        <f>Tokens!Q188</f>
        <v>0</v>
      </c>
      <c r="P186">
        <f>Tokens!R188</f>
        <v>0</v>
      </c>
      <c r="Q186">
        <f>Tokens!S188</f>
        <v>0</v>
      </c>
      <c r="R186">
        <f>Tokens!T188</f>
        <v>0</v>
      </c>
      <c r="S186">
        <f>Tokens!U188</f>
        <v>0</v>
      </c>
      <c r="T186" t="str">
        <f>Tokens!V188</f>
        <v>Dernière utilisation</v>
      </c>
      <c r="U186">
        <f>Tokens!W188</f>
        <v>0</v>
      </c>
      <c r="V186">
        <f>Tokens!X188</f>
        <v>0</v>
      </c>
      <c r="W186">
        <f>Tokens!Y188</f>
        <v>0</v>
      </c>
      <c r="X186">
        <f>Tokens!Z188</f>
        <v>0</v>
      </c>
      <c r="Y186">
        <f>Tokens!AA188</f>
        <v>0</v>
      </c>
      <c r="Z186">
        <f>Tokens!AB188</f>
        <v>0</v>
      </c>
      <c r="AA186">
        <f>Tokens!AC188</f>
        <v>0</v>
      </c>
      <c r="AB186">
        <f>Tokens!AD188</f>
        <v>0</v>
      </c>
      <c r="AC186">
        <f>Tokens!AE188</f>
        <v>0</v>
      </c>
      <c r="AD186">
        <f>Tokens!AF188</f>
        <v>0</v>
      </c>
      <c r="AE186">
        <f>Tokens!AG188</f>
        <v>0</v>
      </c>
      <c r="AF186">
        <f>Tokens!AH188</f>
        <v>0</v>
      </c>
      <c r="AG186">
        <f>Tokens!AI188</f>
        <v>0</v>
      </c>
      <c r="AH186">
        <f>Tokens!AJ188</f>
        <v>0</v>
      </c>
      <c r="AI186">
        <f>Tokens!AK188</f>
        <v>0</v>
      </c>
      <c r="AJ186" t="str">
        <f>Tokens!AL188</f>
        <v>avantage1</v>
      </c>
      <c r="AK186" t="str">
        <f>Tokens!AM188</f>
        <v>1 affiche numérotée (quelques unes seront signées au hasard)</v>
      </c>
      <c r="AL186">
        <f>Tokens!AN188</f>
        <v>0</v>
      </c>
      <c r="AM186">
        <f>Tokens!AO188</f>
        <v>0</v>
      </c>
      <c r="AN186">
        <f>Tokens!AP188</f>
        <v>0</v>
      </c>
      <c r="AO186">
        <f>Tokens!AQ188</f>
        <v>0</v>
      </c>
      <c r="AP186">
        <f>Tokens!AR188</f>
        <v>0</v>
      </c>
      <c r="AQ186">
        <f>Tokens!AS188</f>
        <v>0</v>
      </c>
      <c r="AR186">
        <f>Tokens!AT188</f>
        <v>0</v>
      </c>
      <c r="AS186">
        <f>Tokens!AU188</f>
        <v>0</v>
      </c>
      <c r="AT186" t="str">
        <f>Tokens!AV188</f>
        <v>Validation</v>
      </c>
      <c r="AU186" t="str">
        <f>Tokens!AW188</f>
        <v>https://tokensol.nfluent.io?s=COR22D25&amp;platform=ftx</v>
      </c>
      <c r="AV186" t="str">
        <f>Tokens!AX188</f>
        <v>paul</v>
      </c>
      <c r="AW186">
        <f>Tokens!AY188</f>
        <v>10</v>
      </c>
      <c r="AX186" t="str">
        <f>Tokens!AZ188</f>
        <v>sophie</v>
      </c>
      <c r="AY186">
        <f>Tokens!BA188</f>
        <v>90</v>
      </c>
      <c r="AZ186">
        <f>Tokens!BB188</f>
        <v>0</v>
      </c>
      <c r="BA186">
        <f>Tokens!BC188</f>
        <v>0</v>
      </c>
      <c r="BB186">
        <f>Tokens!BD188</f>
        <v>0</v>
      </c>
      <c r="BC186">
        <f>Tokens!BE188</f>
        <v>0</v>
      </c>
      <c r="BD186">
        <f>Tokens!BF188</f>
        <v>0</v>
      </c>
      <c r="BE186">
        <f>Tokens!BG188</f>
        <v>0</v>
      </c>
      <c r="BF186">
        <f>Tokens!BH188</f>
        <v>0</v>
      </c>
      <c r="BG186">
        <f>Tokens!BI188</f>
        <v>0</v>
      </c>
      <c r="BH186" t="str">
        <f>Tokens!BJ188</f>
        <v>In Casa</v>
      </c>
      <c r="BI186" t="str">
        <f>Tokens!BK188</f>
        <v>Calvi On The Rocks</v>
      </c>
    </row>
    <row r="187" spans="1:61" x14ac:dyDescent="0.25">
      <c r="A187" t="str">
        <f>Tokens!C189</f>
        <v>In Casa #26</v>
      </c>
      <c r="B187" t="str">
        <f>Tokens!D189</f>
        <v>COR22D26</v>
      </c>
      <c r="C187" t="str">
        <f>Tokens!E189</f>
        <v>In Casa, 1 an - Pass NFT 1 jour pour 1 personne, valable pour 1 édition Calvi On The Rocks de votre choix.</v>
      </c>
      <c r="D187">
        <f>Tokens!F189</f>
        <v>1000</v>
      </c>
      <c r="E187" t="str">
        <f>Tokens!G189</f>
        <v>https://bafybeig42qrpsu6iyhbhhy7q7kfpkopiibv6ili52fbnfh5vzmapfdhxlq.ipfs.nftstorage.link?image_26.png</v>
      </c>
      <c r="F187" t="str">
        <f>Tokens!H189</f>
        <v>NfluenT for Calvi On The rocks</v>
      </c>
      <c r="G187">
        <f>Tokens!I189</f>
        <v>0</v>
      </c>
      <c r="H187" t="str">
        <f>Tokens!J189</f>
        <v>Pass festival</v>
      </c>
      <c r="I187" t="str">
        <f>Tokens!K189</f>
        <v>pour une(1) personne</v>
      </c>
      <c r="J187" t="str">
        <f>Tokens!L189</f>
        <v>Edition1</v>
      </c>
      <c r="K187">
        <f>Tokens!M189</f>
        <v>2</v>
      </c>
      <c r="L187">
        <f>Tokens!N189</f>
        <v>0</v>
      </c>
      <c r="M187">
        <f>Tokens!O189</f>
        <v>0</v>
      </c>
      <c r="N187">
        <f>Tokens!P189</f>
        <v>0</v>
      </c>
      <c r="O187">
        <f>Tokens!Q189</f>
        <v>0</v>
      </c>
      <c r="P187">
        <f>Tokens!R189</f>
        <v>0</v>
      </c>
      <c r="Q187">
        <f>Tokens!S189</f>
        <v>0</v>
      </c>
      <c r="R187">
        <f>Tokens!T189</f>
        <v>0</v>
      </c>
      <c r="S187">
        <f>Tokens!U189</f>
        <v>0</v>
      </c>
      <c r="T187" t="str">
        <f>Tokens!V189</f>
        <v>Dernière utilisation</v>
      </c>
      <c r="U187">
        <f>Tokens!W189</f>
        <v>0</v>
      </c>
      <c r="V187">
        <f>Tokens!X189</f>
        <v>0</v>
      </c>
      <c r="W187">
        <f>Tokens!Y189</f>
        <v>0</v>
      </c>
      <c r="X187">
        <f>Tokens!Z189</f>
        <v>0</v>
      </c>
      <c r="Y187">
        <f>Tokens!AA189</f>
        <v>0</v>
      </c>
      <c r="Z187">
        <f>Tokens!AB189</f>
        <v>0</v>
      </c>
      <c r="AA187">
        <f>Tokens!AC189</f>
        <v>0</v>
      </c>
      <c r="AB187">
        <f>Tokens!AD189</f>
        <v>0</v>
      </c>
      <c r="AC187">
        <f>Tokens!AE189</f>
        <v>0</v>
      </c>
      <c r="AD187">
        <f>Tokens!AF189</f>
        <v>0</v>
      </c>
      <c r="AE187">
        <f>Tokens!AG189</f>
        <v>0</v>
      </c>
      <c r="AF187">
        <f>Tokens!AH189</f>
        <v>0</v>
      </c>
      <c r="AG187">
        <f>Tokens!AI189</f>
        <v>0</v>
      </c>
      <c r="AH187">
        <f>Tokens!AJ189</f>
        <v>0</v>
      </c>
      <c r="AI187">
        <f>Tokens!AK189</f>
        <v>0</v>
      </c>
      <c r="AJ187" t="str">
        <f>Tokens!AL189</f>
        <v>avantage1</v>
      </c>
      <c r="AK187" t="str">
        <f>Tokens!AM189</f>
        <v>1 affiche numérotée (quelques unes seront signées au hasard)</v>
      </c>
      <c r="AL187">
        <f>Tokens!AN189</f>
        <v>0</v>
      </c>
      <c r="AM187">
        <f>Tokens!AO189</f>
        <v>0</v>
      </c>
      <c r="AN187">
        <f>Tokens!AP189</f>
        <v>0</v>
      </c>
      <c r="AO187">
        <f>Tokens!AQ189</f>
        <v>0</v>
      </c>
      <c r="AP187">
        <f>Tokens!AR189</f>
        <v>0</v>
      </c>
      <c r="AQ187">
        <f>Tokens!AS189</f>
        <v>0</v>
      </c>
      <c r="AR187">
        <f>Tokens!AT189</f>
        <v>0</v>
      </c>
      <c r="AS187">
        <f>Tokens!AU189</f>
        <v>0</v>
      </c>
      <c r="AT187" t="str">
        <f>Tokens!AV189</f>
        <v>Validation</v>
      </c>
      <c r="AU187" t="str">
        <f>Tokens!AW189</f>
        <v>https://tokensol.nfluent.io?s=COR22D26&amp;platform=ftx</v>
      </c>
      <c r="AV187" t="str">
        <f>Tokens!AX189</f>
        <v>paul</v>
      </c>
      <c r="AW187">
        <f>Tokens!AY189</f>
        <v>10</v>
      </c>
      <c r="AX187" t="str">
        <f>Tokens!AZ189</f>
        <v>sophie</v>
      </c>
      <c r="AY187">
        <f>Tokens!BA189</f>
        <v>90</v>
      </c>
      <c r="AZ187">
        <f>Tokens!BB189</f>
        <v>0</v>
      </c>
      <c r="BA187">
        <f>Tokens!BC189</f>
        <v>0</v>
      </c>
      <c r="BB187">
        <f>Tokens!BD189</f>
        <v>0</v>
      </c>
      <c r="BC187">
        <f>Tokens!BE189</f>
        <v>0</v>
      </c>
      <c r="BD187">
        <f>Tokens!BF189</f>
        <v>0</v>
      </c>
      <c r="BE187">
        <f>Tokens!BG189</f>
        <v>0</v>
      </c>
      <c r="BF187">
        <f>Tokens!BH189</f>
        <v>0</v>
      </c>
      <c r="BG187">
        <f>Tokens!BI189</f>
        <v>0</v>
      </c>
      <c r="BH187" t="str">
        <f>Tokens!BJ189</f>
        <v>In Casa</v>
      </c>
      <c r="BI187" t="str">
        <f>Tokens!BK189</f>
        <v>Calvi On The Rocks</v>
      </c>
    </row>
    <row r="188" spans="1:61" x14ac:dyDescent="0.25">
      <c r="A188" t="str">
        <f>Tokens!C190</f>
        <v>In Casa #27</v>
      </c>
      <c r="B188" t="str">
        <f>Tokens!D190</f>
        <v>COR22D27</v>
      </c>
      <c r="C188" t="str">
        <f>Tokens!E190</f>
        <v>In Casa, 1 an - Pass NFT 1 jour pour 1 personne, valable pour 1 édition Calvi On The Rocks de votre choix.</v>
      </c>
      <c r="D188">
        <f>Tokens!F190</f>
        <v>1000</v>
      </c>
      <c r="E188" t="str">
        <f>Tokens!G190</f>
        <v>https://bafybeiezluznifxxxvzlgaz7upaz5t3ydvmyofmcdl75e3ofoccp44mhfe.ipfs.nftstorage.link?image_27.png</v>
      </c>
      <c r="F188" t="str">
        <f>Tokens!H190</f>
        <v>NfluenT for Calvi On The rocks</v>
      </c>
      <c r="G188">
        <f>Tokens!I190</f>
        <v>0</v>
      </c>
      <c r="H188" t="str">
        <f>Tokens!J190</f>
        <v>Pass festival</v>
      </c>
      <c r="I188" t="str">
        <f>Tokens!K190</f>
        <v>pour une(1) personne</v>
      </c>
      <c r="J188" t="str">
        <f>Tokens!L190</f>
        <v>Edition1</v>
      </c>
      <c r="K188">
        <f>Tokens!M190</f>
        <v>2</v>
      </c>
      <c r="L188">
        <f>Tokens!N190</f>
        <v>0</v>
      </c>
      <c r="M188">
        <f>Tokens!O190</f>
        <v>0</v>
      </c>
      <c r="N188">
        <f>Tokens!P190</f>
        <v>0</v>
      </c>
      <c r="O188">
        <f>Tokens!Q190</f>
        <v>0</v>
      </c>
      <c r="P188">
        <f>Tokens!R190</f>
        <v>0</v>
      </c>
      <c r="Q188">
        <f>Tokens!S190</f>
        <v>0</v>
      </c>
      <c r="R188">
        <f>Tokens!T190</f>
        <v>0</v>
      </c>
      <c r="S188">
        <f>Tokens!U190</f>
        <v>0</v>
      </c>
      <c r="T188" t="str">
        <f>Tokens!V190</f>
        <v>Dernière utilisation</v>
      </c>
      <c r="U188">
        <f>Tokens!W190</f>
        <v>0</v>
      </c>
      <c r="V188">
        <f>Tokens!X190</f>
        <v>0</v>
      </c>
      <c r="W188">
        <f>Tokens!Y190</f>
        <v>0</v>
      </c>
      <c r="X188">
        <f>Tokens!Z190</f>
        <v>0</v>
      </c>
      <c r="Y188">
        <f>Tokens!AA190</f>
        <v>0</v>
      </c>
      <c r="Z188">
        <f>Tokens!AB190</f>
        <v>0</v>
      </c>
      <c r="AA188">
        <f>Tokens!AC190</f>
        <v>0</v>
      </c>
      <c r="AB188">
        <f>Tokens!AD190</f>
        <v>0</v>
      </c>
      <c r="AC188">
        <f>Tokens!AE190</f>
        <v>0</v>
      </c>
      <c r="AD188">
        <f>Tokens!AF190</f>
        <v>0</v>
      </c>
      <c r="AE188">
        <f>Tokens!AG190</f>
        <v>0</v>
      </c>
      <c r="AF188">
        <f>Tokens!AH190</f>
        <v>0</v>
      </c>
      <c r="AG188">
        <f>Tokens!AI190</f>
        <v>0</v>
      </c>
      <c r="AH188">
        <f>Tokens!AJ190</f>
        <v>0</v>
      </c>
      <c r="AI188">
        <f>Tokens!AK190</f>
        <v>0</v>
      </c>
      <c r="AJ188" t="str">
        <f>Tokens!AL190</f>
        <v>avantage1</v>
      </c>
      <c r="AK188" t="str">
        <f>Tokens!AM190</f>
        <v>1 affiche numérotée (quelques unes seront signées au hasard)</v>
      </c>
      <c r="AL188">
        <f>Tokens!AN190</f>
        <v>0</v>
      </c>
      <c r="AM188">
        <f>Tokens!AO190</f>
        <v>0</v>
      </c>
      <c r="AN188">
        <f>Tokens!AP190</f>
        <v>0</v>
      </c>
      <c r="AO188">
        <f>Tokens!AQ190</f>
        <v>0</v>
      </c>
      <c r="AP188">
        <f>Tokens!AR190</f>
        <v>0</v>
      </c>
      <c r="AQ188">
        <f>Tokens!AS190</f>
        <v>0</v>
      </c>
      <c r="AR188">
        <f>Tokens!AT190</f>
        <v>0</v>
      </c>
      <c r="AS188">
        <f>Tokens!AU190</f>
        <v>0</v>
      </c>
      <c r="AT188" t="str">
        <f>Tokens!AV190</f>
        <v>Validation</v>
      </c>
      <c r="AU188" t="str">
        <f>Tokens!AW190</f>
        <v>https://tokensol.nfluent.io?s=COR22D27&amp;platform=ftx</v>
      </c>
      <c r="AV188" t="str">
        <f>Tokens!AX190</f>
        <v>paul</v>
      </c>
      <c r="AW188">
        <f>Tokens!AY190</f>
        <v>10</v>
      </c>
      <c r="AX188" t="str">
        <f>Tokens!AZ190</f>
        <v>sophie</v>
      </c>
      <c r="AY188">
        <f>Tokens!BA190</f>
        <v>90</v>
      </c>
      <c r="AZ188">
        <f>Tokens!BB190</f>
        <v>0</v>
      </c>
      <c r="BA188">
        <f>Tokens!BC190</f>
        <v>0</v>
      </c>
      <c r="BB188">
        <f>Tokens!BD190</f>
        <v>0</v>
      </c>
      <c r="BC188">
        <f>Tokens!BE190</f>
        <v>0</v>
      </c>
      <c r="BD188">
        <f>Tokens!BF190</f>
        <v>0</v>
      </c>
      <c r="BE188">
        <f>Tokens!BG190</f>
        <v>0</v>
      </c>
      <c r="BF188">
        <f>Tokens!BH190</f>
        <v>0</v>
      </c>
      <c r="BG188">
        <f>Tokens!BI190</f>
        <v>0</v>
      </c>
      <c r="BH188" t="str">
        <f>Tokens!BJ190</f>
        <v>In Casa</v>
      </c>
      <c r="BI188" t="str">
        <f>Tokens!BK190</f>
        <v>Calvi On The Rocks</v>
      </c>
    </row>
    <row r="189" spans="1:61" x14ac:dyDescent="0.25">
      <c r="A189" t="str">
        <f>Tokens!C191</f>
        <v>In Casa #28</v>
      </c>
      <c r="B189" t="str">
        <f>Tokens!D191</f>
        <v>COR22D28</v>
      </c>
      <c r="C189" t="str">
        <f>Tokens!E191</f>
        <v>In Casa, 1 an - Pass NFT 1 jour pour 1 personne, valable pour 1 édition Calvi On The Rocks de votre choix.</v>
      </c>
      <c r="D189">
        <f>Tokens!F191</f>
        <v>1000</v>
      </c>
      <c r="E189" t="str">
        <f>Tokens!G191</f>
        <v>https://bafybeic4wl5bjbkynw2cj5jmz5k6y4nxqbbojtodtf6vepr7xnl6an5yn4.ipfs.nftstorage.link?image_28.png</v>
      </c>
      <c r="F189" t="str">
        <f>Tokens!H191</f>
        <v>NfluenT for Calvi On The rocks</v>
      </c>
      <c r="G189">
        <f>Tokens!I191</f>
        <v>0</v>
      </c>
      <c r="H189" t="str">
        <f>Tokens!J191</f>
        <v>Pass festival</v>
      </c>
      <c r="I189" t="str">
        <f>Tokens!K191</f>
        <v>pour une(1) personne</v>
      </c>
      <c r="J189" t="str">
        <f>Tokens!L191</f>
        <v>Edition1</v>
      </c>
      <c r="K189">
        <f>Tokens!M191</f>
        <v>2</v>
      </c>
      <c r="L189">
        <f>Tokens!N191</f>
        <v>0</v>
      </c>
      <c r="M189">
        <f>Tokens!O191</f>
        <v>0</v>
      </c>
      <c r="N189">
        <f>Tokens!P191</f>
        <v>0</v>
      </c>
      <c r="O189">
        <f>Tokens!Q191</f>
        <v>0</v>
      </c>
      <c r="P189">
        <f>Tokens!R191</f>
        <v>0</v>
      </c>
      <c r="Q189">
        <f>Tokens!S191</f>
        <v>0</v>
      </c>
      <c r="R189">
        <f>Tokens!T191</f>
        <v>0</v>
      </c>
      <c r="S189">
        <f>Tokens!U191</f>
        <v>0</v>
      </c>
      <c r="T189" t="str">
        <f>Tokens!V191</f>
        <v>Dernière utilisation</v>
      </c>
      <c r="U189">
        <f>Tokens!W191</f>
        <v>0</v>
      </c>
      <c r="V189">
        <f>Tokens!X191</f>
        <v>0</v>
      </c>
      <c r="W189">
        <f>Tokens!Y191</f>
        <v>0</v>
      </c>
      <c r="X189">
        <f>Tokens!Z191</f>
        <v>0</v>
      </c>
      <c r="Y189">
        <f>Tokens!AA191</f>
        <v>0</v>
      </c>
      <c r="Z189">
        <f>Tokens!AB191</f>
        <v>0</v>
      </c>
      <c r="AA189">
        <f>Tokens!AC191</f>
        <v>0</v>
      </c>
      <c r="AB189">
        <f>Tokens!AD191</f>
        <v>0</v>
      </c>
      <c r="AC189">
        <f>Tokens!AE191</f>
        <v>0</v>
      </c>
      <c r="AD189">
        <f>Tokens!AF191</f>
        <v>0</v>
      </c>
      <c r="AE189">
        <f>Tokens!AG191</f>
        <v>0</v>
      </c>
      <c r="AF189">
        <f>Tokens!AH191</f>
        <v>0</v>
      </c>
      <c r="AG189">
        <f>Tokens!AI191</f>
        <v>0</v>
      </c>
      <c r="AH189">
        <f>Tokens!AJ191</f>
        <v>0</v>
      </c>
      <c r="AI189">
        <f>Tokens!AK191</f>
        <v>0</v>
      </c>
      <c r="AJ189" t="str">
        <f>Tokens!AL191</f>
        <v>avantage1</v>
      </c>
      <c r="AK189" t="str">
        <f>Tokens!AM191</f>
        <v>1 affiche numérotée (quelques unes seront signées au hasard)</v>
      </c>
      <c r="AL189">
        <f>Tokens!AN191</f>
        <v>0</v>
      </c>
      <c r="AM189">
        <f>Tokens!AO191</f>
        <v>0</v>
      </c>
      <c r="AN189">
        <f>Tokens!AP191</f>
        <v>0</v>
      </c>
      <c r="AO189">
        <f>Tokens!AQ191</f>
        <v>0</v>
      </c>
      <c r="AP189">
        <f>Tokens!AR191</f>
        <v>0</v>
      </c>
      <c r="AQ189">
        <f>Tokens!AS191</f>
        <v>0</v>
      </c>
      <c r="AR189">
        <f>Tokens!AT191</f>
        <v>0</v>
      </c>
      <c r="AS189">
        <f>Tokens!AU191</f>
        <v>0</v>
      </c>
      <c r="AT189" t="str">
        <f>Tokens!AV191</f>
        <v>Validation</v>
      </c>
      <c r="AU189" t="str">
        <f>Tokens!AW191</f>
        <v>https://tokensol.nfluent.io?s=COR22D28&amp;platform=ftx</v>
      </c>
      <c r="AV189" t="str">
        <f>Tokens!AX191</f>
        <v>paul</v>
      </c>
      <c r="AW189">
        <f>Tokens!AY191</f>
        <v>10</v>
      </c>
      <c r="AX189" t="str">
        <f>Tokens!AZ191</f>
        <v>sophie</v>
      </c>
      <c r="AY189">
        <f>Tokens!BA191</f>
        <v>90</v>
      </c>
      <c r="AZ189">
        <f>Tokens!BB191</f>
        <v>0</v>
      </c>
      <c r="BA189">
        <f>Tokens!BC191</f>
        <v>0</v>
      </c>
      <c r="BB189">
        <f>Tokens!BD191</f>
        <v>0</v>
      </c>
      <c r="BC189">
        <f>Tokens!BE191</f>
        <v>0</v>
      </c>
      <c r="BD189">
        <f>Tokens!BF191</f>
        <v>0</v>
      </c>
      <c r="BE189">
        <f>Tokens!BG191</f>
        <v>0</v>
      </c>
      <c r="BF189">
        <f>Tokens!BH191</f>
        <v>0</v>
      </c>
      <c r="BG189">
        <f>Tokens!BI191</f>
        <v>0</v>
      </c>
      <c r="BH189" t="str">
        <f>Tokens!BJ191</f>
        <v>In Casa</v>
      </c>
      <c r="BI189" t="str">
        <f>Tokens!BK191</f>
        <v>Calvi On The Rocks</v>
      </c>
    </row>
    <row r="190" spans="1:61" x14ac:dyDescent="0.25">
      <c r="A190" t="str">
        <f>Tokens!C192</f>
        <v>In Casa #29</v>
      </c>
      <c r="B190" t="str">
        <f>Tokens!D192</f>
        <v>COR22D29</v>
      </c>
      <c r="C190" t="str">
        <f>Tokens!E192</f>
        <v>In Casa, 1 an - Pass NFT 1 jour pour 1 personne, valable pour 1 édition Calvi On The Rocks de votre choix.</v>
      </c>
      <c r="D190">
        <f>Tokens!F192</f>
        <v>1000</v>
      </c>
      <c r="E190" t="str">
        <f>Tokens!G192</f>
        <v>https://bafybeihmq7nv7du37jtpkltzyizblm6v7iregzmbcsugxw4ugwa7bvkm6m.ipfs.nftstorage.link?image_29.png</v>
      </c>
      <c r="F190" t="str">
        <f>Tokens!H192</f>
        <v>NfluenT for Calvi On The rocks</v>
      </c>
      <c r="G190">
        <f>Tokens!I192</f>
        <v>0</v>
      </c>
      <c r="H190" t="str">
        <f>Tokens!J192</f>
        <v>Pass festival</v>
      </c>
      <c r="I190" t="str">
        <f>Tokens!K192</f>
        <v>pour une(1) personne</v>
      </c>
      <c r="J190" t="str">
        <f>Tokens!L192</f>
        <v>Edition1</v>
      </c>
      <c r="K190">
        <f>Tokens!M192</f>
        <v>2</v>
      </c>
      <c r="L190">
        <f>Tokens!N192</f>
        <v>0</v>
      </c>
      <c r="M190">
        <f>Tokens!O192</f>
        <v>0</v>
      </c>
      <c r="N190">
        <f>Tokens!P192</f>
        <v>0</v>
      </c>
      <c r="O190">
        <f>Tokens!Q192</f>
        <v>0</v>
      </c>
      <c r="P190">
        <f>Tokens!R192</f>
        <v>0</v>
      </c>
      <c r="Q190">
        <f>Tokens!S192</f>
        <v>0</v>
      </c>
      <c r="R190">
        <f>Tokens!T192</f>
        <v>0</v>
      </c>
      <c r="S190">
        <f>Tokens!U192</f>
        <v>0</v>
      </c>
      <c r="T190" t="str">
        <f>Tokens!V192</f>
        <v>Dernière utilisation</v>
      </c>
      <c r="U190">
        <f>Tokens!W192</f>
        <v>0</v>
      </c>
      <c r="V190">
        <f>Tokens!X192</f>
        <v>0</v>
      </c>
      <c r="W190">
        <f>Tokens!Y192</f>
        <v>0</v>
      </c>
      <c r="X190">
        <f>Tokens!Z192</f>
        <v>0</v>
      </c>
      <c r="Y190">
        <f>Tokens!AA192</f>
        <v>0</v>
      </c>
      <c r="Z190">
        <f>Tokens!AB192</f>
        <v>0</v>
      </c>
      <c r="AA190">
        <f>Tokens!AC192</f>
        <v>0</v>
      </c>
      <c r="AB190">
        <f>Tokens!AD192</f>
        <v>0</v>
      </c>
      <c r="AC190">
        <f>Tokens!AE192</f>
        <v>0</v>
      </c>
      <c r="AD190">
        <f>Tokens!AF192</f>
        <v>0</v>
      </c>
      <c r="AE190">
        <f>Tokens!AG192</f>
        <v>0</v>
      </c>
      <c r="AF190">
        <f>Tokens!AH192</f>
        <v>0</v>
      </c>
      <c r="AG190">
        <f>Tokens!AI192</f>
        <v>0</v>
      </c>
      <c r="AH190">
        <f>Tokens!AJ192</f>
        <v>0</v>
      </c>
      <c r="AI190">
        <f>Tokens!AK192</f>
        <v>0</v>
      </c>
      <c r="AJ190" t="str">
        <f>Tokens!AL192</f>
        <v>avantage1</v>
      </c>
      <c r="AK190" t="str">
        <f>Tokens!AM192</f>
        <v>1 affiche numérotée (quelques unes seront signées au hasard)</v>
      </c>
      <c r="AL190">
        <f>Tokens!AN192</f>
        <v>0</v>
      </c>
      <c r="AM190">
        <f>Tokens!AO192</f>
        <v>0</v>
      </c>
      <c r="AN190">
        <f>Tokens!AP192</f>
        <v>0</v>
      </c>
      <c r="AO190">
        <f>Tokens!AQ192</f>
        <v>0</v>
      </c>
      <c r="AP190">
        <f>Tokens!AR192</f>
        <v>0</v>
      </c>
      <c r="AQ190">
        <f>Tokens!AS192</f>
        <v>0</v>
      </c>
      <c r="AR190">
        <f>Tokens!AT192</f>
        <v>0</v>
      </c>
      <c r="AS190">
        <f>Tokens!AU192</f>
        <v>0</v>
      </c>
      <c r="AT190" t="str">
        <f>Tokens!AV192</f>
        <v>Validation</v>
      </c>
      <c r="AU190" t="str">
        <f>Tokens!AW192</f>
        <v>https://tokensol.nfluent.io?s=COR22D29&amp;platform=ftx</v>
      </c>
      <c r="AV190" t="str">
        <f>Tokens!AX192</f>
        <v>paul</v>
      </c>
      <c r="AW190">
        <f>Tokens!AY192</f>
        <v>10</v>
      </c>
      <c r="AX190" t="str">
        <f>Tokens!AZ192</f>
        <v>sophie</v>
      </c>
      <c r="AY190">
        <f>Tokens!BA192</f>
        <v>90</v>
      </c>
      <c r="AZ190">
        <f>Tokens!BB192</f>
        <v>0</v>
      </c>
      <c r="BA190">
        <f>Tokens!BC192</f>
        <v>0</v>
      </c>
      <c r="BB190">
        <f>Tokens!BD192</f>
        <v>0</v>
      </c>
      <c r="BC190">
        <f>Tokens!BE192</f>
        <v>0</v>
      </c>
      <c r="BD190">
        <f>Tokens!BF192</f>
        <v>0</v>
      </c>
      <c r="BE190">
        <f>Tokens!BG192</f>
        <v>0</v>
      </c>
      <c r="BF190">
        <f>Tokens!BH192</f>
        <v>0</v>
      </c>
      <c r="BG190">
        <f>Tokens!BI192</f>
        <v>0</v>
      </c>
      <c r="BH190" t="str">
        <f>Tokens!BJ192</f>
        <v>In Casa</v>
      </c>
      <c r="BI190" t="str">
        <f>Tokens!BK192</f>
        <v>Calvi On The Rocks</v>
      </c>
    </row>
    <row r="191" spans="1:61" x14ac:dyDescent="0.25">
      <c r="A191" t="str">
        <f>Tokens!C193</f>
        <v>In Casa #30</v>
      </c>
      <c r="B191" t="str">
        <f>Tokens!D193</f>
        <v>COR22D30</v>
      </c>
      <c r="C191" t="str">
        <f>Tokens!E193</f>
        <v>In Casa, 1 an - Pass NFT 1 jour pour 1 personne, valable pour 1 édition Calvi On The Rocks de votre choix.</v>
      </c>
      <c r="D191">
        <f>Tokens!F193</f>
        <v>1000</v>
      </c>
      <c r="E191" t="str">
        <f>Tokens!G193</f>
        <v>https://bafybeifpiy6ump2nkdalfsiiwafwgncmcp3bpq4fs6rsoaz77hisswzhlm.ipfs.nftstorage.link?image_30.png</v>
      </c>
      <c r="F191" t="str">
        <f>Tokens!H193</f>
        <v>NfluenT for Calvi On The rocks</v>
      </c>
      <c r="G191">
        <f>Tokens!I193</f>
        <v>0</v>
      </c>
      <c r="H191" t="str">
        <f>Tokens!J193</f>
        <v>Pass festival</v>
      </c>
      <c r="I191" t="str">
        <f>Tokens!K193</f>
        <v>pour une(1) personne</v>
      </c>
      <c r="J191" t="str">
        <f>Tokens!L193</f>
        <v>Edition1</v>
      </c>
      <c r="K191">
        <f>Tokens!M193</f>
        <v>2</v>
      </c>
      <c r="L191">
        <f>Tokens!N193</f>
        <v>0</v>
      </c>
      <c r="M191">
        <f>Tokens!O193</f>
        <v>0</v>
      </c>
      <c r="N191">
        <f>Tokens!P193</f>
        <v>0</v>
      </c>
      <c r="O191">
        <f>Tokens!Q193</f>
        <v>0</v>
      </c>
      <c r="P191">
        <f>Tokens!R193</f>
        <v>0</v>
      </c>
      <c r="Q191">
        <f>Tokens!S193</f>
        <v>0</v>
      </c>
      <c r="R191">
        <f>Tokens!T193</f>
        <v>0</v>
      </c>
      <c r="S191">
        <f>Tokens!U193</f>
        <v>0</v>
      </c>
      <c r="T191" t="str">
        <f>Tokens!V193</f>
        <v>Dernière utilisation</v>
      </c>
      <c r="U191">
        <f>Tokens!W193</f>
        <v>0</v>
      </c>
      <c r="V191">
        <f>Tokens!X193</f>
        <v>0</v>
      </c>
      <c r="W191">
        <f>Tokens!Y193</f>
        <v>0</v>
      </c>
      <c r="X191">
        <f>Tokens!Z193</f>
        <v>0</v>
      </c>
      <c r="Y191">
        <f>Tokens!AA193</f>
        <v>0</v>
      </c>
      <c r="Z191">
        <f>Tokens!AB193</f>
        <v>0</v>
      </c>
      <c r="AA191">
        <f>Tokens!AC193</f>
        <v>0</v>
      </c>
      <c r="AB191">
        <f>Tokens!AD193</f>
        <v>0</v>
      </c>
      <c r="AC191">
        <f>Tokens!AE193</f>
        <v>0</v>
      </c>
      <c r="AD191">
        <f>Tokens!AF193</f>
        <v>0</v>
      </c>
      <c r="AE191">
        <f>Tokens!AG193</f>
        <v>0</v>
      </c>
      <c r="AF191">
        <f>Tokens!AH193</f>
        <v>0</v>
      </c>
      <c r="AG191">
        <f>Tokens!AI193</f>
        <v>0</v>
      </c>
      <c r="AH191">
        <f>Tokens!AJ193</f>
        <v>0</v>
      </c>
      <c r="AI191">
        <f>Tokens!AK193</f>
        <v>0</v>
      </c>
      <c r="AJ191" t="str">
        <f>Tokens!AL193</f>
        <v>avantage1</v>
      </c>
      <c r="AK191" t="str">
        <f>Tokens!AM193</f>
        <v>1 affiche numérotée (quelques unes seront signées au hasard)</v>
      </c>
      <c r="AL191">
        <f>Tokens!AN193</f>
        <v>0</v>
      </c>
      <c r="AM191">
        <f>Tokens!AO193</f>
        <v>0</v>
      </c>
      <c r="AN191">
        <f>Tokens!AP193</f>
        <v>0</v>
      </c>
      <c r="AO191">
        <f>Tokens!AQ193</f>
        <v>0</v>
      </c>
      <c r="AP191">
        <f>Tokens!AR193</f>
        <v>0</v>
      </c>
      <c r="AQ191">
        <f>Tokens!AS193</f>
        <v>0</v>
      </c>
      <c r="AR191">
        <f>Tokens!AT193</f>
        <v>0</v>
      </c>
      <c r="AS191">
        <f>Tokens!AU193</f>
        <v>0</v>
      </c>
      <c r="AT191" t="str">
        <f>Tokens!AV193</f>
        <v>Validation</v>
      </c>
      <c r="AU191" t="str">
        <f>Tokens!AW193</f>
        <v>https://tokensol.nfluent.io?s=COR22D30&amp;platform=ftx</v>
      </c>
      <c r="AV191" t="str">
        <f>Tokens!AX193</f>
        <v>paul</v>
      </c>
      <c r="AW191">
        <f>Tokens!AY193</f>
        <v>10</v>
      </c>
      <c r="AX191" t="str">
        <f>Tokens!AZ193</f>
        <v>sophie</v>
      </c>
      <c r="AY191">
        <f>Tokens!BA193</f>
        <v>90</v>
      </c>
      <c r="AZ191">
        <f>Tokens!BB193</f>
        <v>0</v>
      </c>
      <c r="BA191">
        <f>Tokens!BC193</f>
        <v>0</v>
      </c>
      <c r="BB191">
        <f>Tokens!BD193</f>
        <v>0</v>
      </c>
      <c r="BC191">
        <f>Tokens!BE193</f>
        <v>0</v>
      </c>
      <c r="BD191">
        <f>Tokens!BF193</f>
        <v>0</v>
      </c>
      <c r="BE191">
        <f>Tokens!BG193</f>
        <v>0</v>
      </c>
      <c r="BF191">
        <f>Tokens!BH193</f>
        <v>0</v>
      </c>
      <c r="BG191">
        <f>Tokens!BI193</f>
        <v>0</v>
      </c>
      <c r="BH191" t="str">
        <f>Tokens!BJ193</f>
        <v>In Casa</v>
      </c>
      <c r="BI191" t="str">
        <f>Tokens!BK193</f>
        <v>Calvi On The Rocks</v>
      </c>
    </row>
    <row r="192" spans="1:61" x14ac:dyDescent="0.25">
      <c r="A192" t="str">
        <f>Tokens!C194</f>
        <v>In Casa #31</v>
      </c>
      <c r="B192" t="str">
        <f>Tokens!D194</f>
        <v>COR22D31</v>
      </c>
      <c r="C192" t="str">
        <f>Tokens!E194</f>
        <v>In Casa, 1 an - Pass NFT 1 jour pour 1 personne, valable pour 1 édition Calvi On The Rocks de votre choix.</v>
      </c>
      <c r="D192">
        <f>Tokens!F194</f>
        <v>1000</v>
      </c>
      <c r="E192" t="str">
        <f>Tokens!G194</f>
        <v>https://bafybeicrjz3acuufqoq4njhjrkjcw4tgqiwrj4vduosds2ukq7ws5m5oq4.ipfs.nftstorage.link?image_31.png</v>
      </c>
      <c r="F192" t="str">
        <f>Tokens!H194</f>
        <v>NfluenT for Calvi On The rocks</v>
      </c>
      <c r="G192">
        <f>Tokens!I194</f>
        <v>0</v>
      </c>
      <c r="H192" t="str">
        <f>Tokens!J194</f>
        <v>Pass festival</v>
      </c>
      <c r="I192" t="str">
        <f>Tokens!K194</f>
        <v>pour une(1) personne</v>
      </c>
      <c r="J192" t="str">
        <f>Tokens!L194</f>
        <v>Edition1</v>
      </c>
      <c r="K192">
        <f>Tokens!M194</f>
        <v>2</v>
      </c>
      <c r="L192">
        <f>Tokens!N194</f>
        <v>0</v>
      </c>
      <c r="M192">
        <f>Tokens!O194</f>
        <v>0</v>
      </c>
      <c r="N192">
        <f>Tokens!P194</f>
        <v>0</v>
      </c>
      <c r="O192">
        <f>Tokens!Q194</f>
        <v>0</v>
      </c>
      <c r="P192">
        <f>Tokens!R194</f>
        <v>0</v>
      </c>
      <c r="Q192">
        <f>Tokens!S194</f>
        <v>0</v>
      </c>
      <c r="R192">
        <f>Tokens!T194</f>
        <v>0</v>
      </c>
      <c r="S192">
        <f>Tokens!U194</f>
        <v>0</v>
      </c>
      <c r="T192" t="str">
        <f>Tokens!V194</f>
        <v>Dernière utilisation</v>
      </c>
      <c r="U192">
        <f>Tokens!W194</f>
        <v>0</v>
      </c>
      <c r="V192">
        <f>Tokens!X194</f>
        <v>0</v>
      </c>
      <c r="W192">
        <f>Tokens!Y194</f>
        <v>0</v>
      </c>
      <c r="X192">
        <f>Tokens!Z194</f>
        <v>0</v>
      </c>
      <c r="Y192">
        <f>Tokens!AA194</f>
        <v>0</v>
      </c>
      <c r="Z192">
        <f>Tokens!AB194</f>
        <v>0</v>
      </c>
      <c r="AA192">
        <f>Tokens!AC194</f>
        <v>0</v>
      </c>
      <c r="AB192">
        <f>Tokens!AD194</f>
        <v>0</v>
      </c>
      <c r="AC192">
        <f>Tokens!AE194</f>
        <v>0</v>
      </c>
      <c r="AD192">
        <f>Tokens!AF194</f>
        <v>0</v>
      </c>
      <c r="AE192">
        <f>Tokens!AG194</f>
        <v>0</v>
      </c>
      <c r="AF192">
        <f>Tokens!AH194</f>
        <v>0</v>
      </c>
      <c r="AG192">
        <f>Tokens!AI194</f>
        <v>0</v>
      </c>
      <c r="AH192">
        <f>Tokens!AJ194</f>
        <v>0</v>
      </c>
      <c r="AI192">
        <f>Tokens!AK194</f>
        <v>0</v>
      </c>
      <c r="AJ192" t="str">
        <f>Tokens!AL194</f>
        <v>avantage1</v>
      </c>
      <c r="AK192" t="str">
        <f>Tokens!AM194</f>
        <v>1 affiche numérotée (quelques unes seront signées au hasard)</v>
      </c>
      <c r="AL192">
        <f>Tokens!AN194</f>
        <v>0</v>
      </c>
      <c r="AM192">
        <f>Tokens!AO194</f>
        <v>0</v>
      </c>
      <c r="AN192">
        <f>Tokens!AP194</f>
        <v>0</v>
      </c>
      <c r="AO192">
        <f>Tokens!AQ194</f>
        <v>0</v>
      </c>
      <c r="AP192">
        <f>Tokens!AR194</f>
        <v>0</v>
      </c>
      <c r="AQ192">
        <f>Tokens!AS194</f>
        <v>0</v>
      </c>
      <c r="AR192">
        <f>Tokens!AT194</f>
        <v>0</v>
      </c>
      <c r="AS192">
        <f>Tokens!AU194</f>
        <v>0</v>
      </c>
      <c r="AT192" t="str">
        <f>Tokens!AV194</f>
        <v>Validation</v>
      </c>
      <c r="AU192" t="str">
        <f>Tokens!AW194</f>
        <v>https://tokensol.nfluent.io?s=COR22D31&amp;platform=ftx</v>
      </c>
      <c r="AV192" t="str">
        <f>Tokens!AX194</f>
        <v>paul</v>
      </c>
      <c r="AW192">
        <f>Tokens!AY194</f>
        <v>10</v>
      </c>
      <c r="AX192" t="str">
        <f>Tokens!AZ194</f>
        <v>sophie</v>
      </c>
      <c r="AY192">
        <f>Tokens!BA194</f>
        <v>90</v>
      </c>
      <c r="AZ192">
        <f>Tokens!BB194</f>
        <v>0</v>
      </c>
      <c r="BA192">
        <f>Tokens!BC194</f>
        <v>0</v>
      </c>
      <c r="BB192">
        <f>Tokens!BD194</f>
        <v>0</v>
      </c>
      <c r="BC192">
        <f>Tokens!BE194</f>
        <v>0</v>
      </c>
      <c r="BD192">
        <f>Tokens!BF194</f>
        <v>0</v>
      </c>
      <c r="BE192">
        <f>Tokens!BG194</f>
        <v>0</v>
      </c>
      <c r="BF192">
        <f>Tokens!BH194</f>
        <v>0</v>
      </c>
      <c r="BG192">
        <f>Tokens!BI194</f>
        <v>0</v>
      </c>
      <c r="BH192" t="str">
        <f>Tokens!BJ194</f>
        <v>In Casa</v>
      </c>
      <c r="BI192" t="str">
        <f>Tokens!BK194</f>
        <v>Calvi On The Rocks</v>
      </c>
    </row>
    <row r="193" spans="1:61" x14ac:dyDescent="0.25">
      <c r="A193" t="str">
        <f>Tokens!C195</f>
        <v>In Casa #32</v>
      </c>
      <c r="B193" t="str">
        <f>Tokens!D195</f>
        <v>COR22D32</v>
      </c>
      <c r="C193" t="str">
        <f>Tokens!E195</f>
        <v>In Casa, 1 an - Pass NFT 1 jour pour 1 personne, valable pour 1 édition Calvi On The Rocks de votre choix.</v>
      </c>
      <c r="D193">
        <f>Tokens!F195</f>
        <v>1000</v>
      </c>
      <c r="E193" t="str">
        <f>Tokens!G195</f>
        <v>https://bafybeia3kdwhk5sypyly7lcr7f5sum3mh5335i7rjcwrwbvnschpyy6w74.ipfs.nftstorage.link?image_32.png</v>
      </c>
      <c r="F193" t="str">
        <f>Tokens!H195</f>
        <v>NfluenT for Calvi On The rocks</v>
      </c>
      <c r="G193">
        <f>Tokens!I195</f>
        <v>0</v>
      </c>
      <c r="H193" t="str">
        <f>Tokens!J195</f>
        <v>Pass festival</v>
      </c>
      <c r="I193" t="str">
        <f>Tokens!K195</f>
        <v>pour une(1) personne</v>
      </c>
      <c r="J193" t="str">
        <f>Tokens!L195</f>
        <v>Edition1</v>
      </c>
      <c r="K193">
        <f>Tokens!M195</f>
        <v>2</v>
      </c>
      <c r="L193">
        <f>Tokens!N195</f>
        <v>0</v>
      </c>
      <c r="M193">
        <f>Tokens!O195</f>
        <v>0</v>
      </c>
      <c r="N193">
        <f>Tokens!P195</f>
        <v>0</v>
      </c>
      <c r="O193">
        <f>Tokens!Q195</f>
        <v>0</v>
      </c>
      <c r="P193">
        <f>Tokens!R195</f>
        <v>0</v>
      </c>
      <c r="Q193">
        <f>Tokens!S195</f>
        <v>0</v>
      </c>
      <c r="R193">
        <f>Tokens!T195</f>
        <v>0</v>
      </c>
      <c r="S193">
        <f>Tokens!U195</f>
        <v>0</v>
      </c>
      <c r="T193" t="str">
        <f>Tokens!V195</f>
        <v>Dernière utilisation</v>
      </c>
      <c r="U193">
        <f>Tokens!W195</f>
        <v>0</v>
      </c>
      <c r="V193">
        <f>Tokens!X195</f>
        <v>0</v>
      </c>
      <c r="W193">
        <f>Tokens!Y195</f>
        <v>0</v>
      </c>
      <c r="X193">
        <f>Tokens!Z195</f>
        <v>0</v>
      </c>
      <c r="Y193">
        <f>Tokens!AA195</f>
        <v>0</v>
      </c>
      <c r="Z193">
        <f>Tokens!AB195</f>
        <v>0</v>
      </c>
      <c r="AA193">
        <f>Tokens!AC195</f>
        <v>0</v>
      </c>
      <c r="AB193">
        <f>Tokens!AD195</f>
        <v>0</v>
      </c>
      <c r="AC193">
        <f>Tokens!AE195</f>
        <v>0</v>
      </c>
      <c r="AD193">
        <f>Tokens!AF195</f>
        <v>0</v>
      </c>
      <c r="AE193">
        <f>Tokens!AG195</f>
        <v>0</v>
      </c>
      <c r="AF193">
        <f>Tokens!AH195</f>
        <v>0</v>
      </c>
      <c r="AG193">
        <f>Tokens!AI195</f>
        <v>0</v>
      </c>
      <c r="AH193">
        <f>Tokens!AJ195</f>
        <v>0</v>
      </c>
      <c r="AI193">
        <f>Tokens!AK195</f>
        <v>0</v>
      </c>
      <c r="AJ193" t="str">
        <f>Tokens!AL195</f>
        <v>avantage1</v>
      </c>
      <c r="AK193" t="str">
        <f>Tokens!AM195</f>
        <v>1 affiche numérotée (quelques unes seront signées au hasard)</v>
      </c>
      <c r="AL193">
        <f>Tokens!AN195</f>
        <v>0</v>
      </c>
      <c r="AM193">
        <f>Tokens!AO195</f>
        <v>0</v>
      </c>
      <c r="AN193">
        <f>Tokens!AP195</f>
        <v>0</v>
      </c>
      <c r="AO193">
        <f>Tokens!AQ195</f>
        <v>0</v>
      </c>
      <c r="AP193">
        <f>Tokens!AR195</f>
        <v>0</v>
      </c>
      <c r="AQ193">
        <f>Tokens!AS195</f>
        <v>0</v>
      </c>
      <c r="AR193">
        <f>Tokens!AT195</f>
        <v>0</v>
      </c>
      <c r="AS193">
        <f>Tokens!AU195</f>
        <v>0</v>
      </c>
      <c r="AT193" t="str">
        <f>Tokens!AV195</f>
        <v>Validation</v>
      </c>
      <c r="AU193" t="str">
        <f>Tokens!AW195</f>
        <v>https://tokensol.nfluent.io?s=COR22D32&amp;platform=ftx</v>
      </c>
      <c r="AV193" t="str">
        <f>Tokens!AX195</f>
        <v>paul</v>
      </c>
      <c r="AW193">
        <f>Tokens!AY195</f>
        <v>10</v>
      </c>
      <c r="AX193" t="str">
        <f>Tokens!AZ195</f>
        <v>sophie</v>
      </c>
      <c r="AY193">
        <f>Tokens!BA195</f>
        <v>90</v>
      </c>
      <c r="AZ193">
        <f>Tokens!BB195</f>
        <v>0</v>
      </c>
      <c r="BA193">
        <f>Tokens!BC195</f>
        <v>0</v>
      </c>
      <c r="BB193">
        <f>Tokens!BD195</f>
        <v>0</v>
      </c>
      <c r="BC193">
        <f>Tokens!BE195</f>
        <v>0</v>
      </c>
      <c r="BD193">
        <f>Tokens!BF195</f>
        <v>0</v>
      </c>
      <c r="BE193">
        <f>Tokens!BG195</f>
        <v>0</v>
      </c>
      <c r="BF193">
        <f>Tokens!BH195</f>
        <v>0</v>
      </c>
      <c r="BG193">
        <f>Tokens!BI195</f>
        <v>0</v>
      </c>
      <c r="BH193" t="str">
        <f>Tokens!BJ195</f>
        <v>In Casa</v>
      </c>
      <c r="BI193" t="str">
        <f>Tokens!BK195</f>
        <v>Calvi On The Rocks</v>
      </c>
    </row>
    <row r="194" spans="1:61" x14ac:dyDescent="0.25">
      <c r="A194" t="str">
        <f>Tokens!C196</f>
        <v>In Casa #33</v>
      </c>
      <c r="B194" t="str">
        <f>Tokens!D196</f>
        <v>COR22D33</v>
      </c>
      <c r="C194" t="str">
        <f>Tokens!E196</f>
        <v>In Casa, 1 an - Pass NFT 1 jour pour 1 personne, valable pour 1 édition Calvi On The Rocks de votre choix.</v>
      </c>
      <c r="D194">
        <f>Tokens!F196</f>
        <v>1000</v>
      </c>
      <c r="E194" t="str">
        <f>Tokens!G196</f>
        <v>https://bafybeibwgz4pz23nc7q64hrankwlgww22p33ezrszvk6med5ddkssytqha.ipfs.nftstorage.link?image_33.png</v>
      </c>
      <c r="F194" t="str">
        <f>Tokens!H196</f>
        <v>NfluenT for Calvi On The rocks</v>
      </c>
      <c r="G194">
        <f>Tokens!I196</f>
        <v>0</v>
      </c>
      <c r="H194" t="str">
        <f>Tokens!J196</f>
        <v>Pass festival</v>
      </c>
      <c r="I194" t="str">
        <f>Tokens!K196</f>
        <v>pour une(1) personne</v>
      </c>
      <c r="J194" t="str">
        <f>Tokens!L196</f>
        <v>Edition1</v>
      </c>
      <c r="K194">
        <f>Tokens!M196</f>
        <v>2</v>
      </c>
      <c r="L194">
        <f>Tokens!N196</f>
        <v>0</v>
      </c>
      <c r="M194">
        <f>Tokens!O196</f>
        <v>0</v>
      </c>
      <c r="N194">
        <f>Tokens!P196</f>
        <v>0</v>
      </c>
      <c r="O194">
        <f>Tokens!Q196</f>
        <v>0</v>
      </c>
      <c r="P194">
        <f>Tokens!R196</f>
        <v>0</v>
      </c>
      <c r="Q194">
        <f>Tokens!S196</f>
        <v>0</v>
      </c>
      <c r="R194">
        <f>Tokens!T196</f>
        <v>0</v>
      </c>
      <c r="S194">
        <f>Tokens!U196</f>
        <v>0</v>
      </c>
      <c r="T194" t="str">
        <f>Tokens!V196</f>
        <v>Dernière utilisation</v>
      </c>
      <c r="U194">
        <f>Tokens!W196</f>
        <v>0</v>
      </c>
      <c r="V194">
        <f>Tokens!X196</f>
        <v>0</v>
      </c>
      <c r="W194">
        <f>Tokens!Y196</f>
        <v>0</v>
      </c>
      <c r="X194">
        <f>Tokens!Z196</f>
        <v>0</v>
      </c>
      <c r="Y194">
        <f>Tokens!AA196</f>
        <v>0</v>
      </c>
      <c r="Z194">
        <f>Tokens!AB196</f>
        <v>0</v>
      </c>
      <c r="AA194">
        <f>Tokens!AC196</f>
        <v>0</v>
      </c>
      <c r="AB194">
        <f>Tokens!AD196</f>
        <v>0</v>
      </c>
      <c r="AC194">
        <f>Tokens!AE196</f>
        <v>0</v>
      </c>
      <c r="AD194">
        <f>Tokens!AF196</f>
        <v>0</v>
      </c>
      <c r="AE194">
        <f>Tokens!AG196</f>
        <v>0</v>
      </c>
      <c r="AF194">
        <f>Tokens!AH196</f>
        <v>0</v>
      </c>
      <c r="AG194">
        <f>Tokens!AI196</f>
        <v>0</v>
      </c>
      <c r="AH194">
        <f>Tokens!AJ196</f>
        <v>0</v>
      </c>
      <c r="AI194">
        <f>Tokens!AK196</f>
        <v>0</v>
      </c>
      <c r="AJ194" t="str">
        <f>Tokens!AL196</f>
        <v>avantage1</v>
      </c>
      <c r="AK194" t="str">
        <f>Tokens!AM196</f>
        <v>1 affiche numérotée (quelques unes seront signées au hasard)</v>
      </c>
      <c r="AL194">
        <f>Tokens!AN196</f>
        <v>0</v>
      </c>
      <c r="AM194">
        <f>Tokens!AO196</f>
        <v>0</v>
      </c>
      <c r="AN194">
        <f>Tokens!AP196</f>
        <v>0</v>
      </c>
      <c r="AO194">
        <f>Tokens!AQ196</f>
        <v>0</v>
      </c>
      <c r="AP194">
        <f>Tokens!AR196</f>
        <v>0</v>
      </c>
      <c r="AQ194">
        <f>Tokens!AS196</f>
        <v>0</v>
      </c>
      <c r="AR194">
        <f>Tokens!AT196</f>
        <v>0</v>
      </c>
      <c r="AS194">
        <f>Tokens!AU196</f>
        <v>0</v>
      </c>
      <c r="AT194" t="str">
        <f>Tokens!AV196</f>
        <v>Validation</v>
      </c>
      <c r="AU194" t="str">
        <f>Tokens!AW196</f>
        <v>https://tokensol.nfluent.io?s=COR22D33&amp;platform=ftx</v>
      </c>
      <c r="AV194" t="str">
        <f>Tokens!AX196</f>
        <v>paul</v>
      </c>
      <c r="AW194">
        <f>Tokens!AY196</f>
        <v>10</v>
      </c>
      <c r="AX194" t="str">
        <f>Tokens!AZ196</f>
        <v>sophie</v>
      </c>
      <c r="AY194">
        <f>Tokens!BA196</f>
        <v>90</v>
      </c>
      <c r="AZ194">
        <f>Tokens!BB196</f>
        <v>0</v>
      </c>
      <c r="BA194">
        <f>Tokens!BC196</f>
        <v>0</v>
      </c>
      <c r="BB194">
        <f>Tokens!BD196</f>
        <v>0</v>
      </c>
      <c r="BC194">
        <f>Tokens!BE196</f>
        <v>0</v>
      </c>
      <c r="BD194">
        <f>Tokens!BF196</f>
        <v>0</v>
      </c>
      <c r="BE194">
        <f>Tokens!BG196</f>
        <v>0</v>
      </c>
      <c r="BF194">
        <f>Tokens!BH196</f>
        <v>0</v>
      </c>
      <c r="BG194">
        <f>Tokens!BI196</f>
        <v>0</v>
      </c>
      <c r="BH194" t="str">
        <f>Tokens!BJ196</f>
        <v>In Casa</v>
      </c>
      <c r="BI194" t="str">
        <f>Tokens!BK196</f>
        <v>Calvi On The Rocks</v>
      </c>
    </row>
    <row r="195" spans="1:61" x14ac:dyDescent="0.25">
      <c r="A195" t="str">
        <f>Tokens!C197</f>
        <v>In Casa #34</v>
      </c>
      <c r="B195" t="str">
        <f>Tokens!D197</f>
        <v>COR22D34</v>
      </c>
      <c r="C195" t="str">
        <f>Tokens!E197</f>
        <v>In Casa, 1 an - Pass NFT 1 jour pour 1 personne, valable pour 1 édition Calvi On The Rocks de votre choix.</v>
      </c>
      <c r="D195">
        <f>Tokens!F197</f>
        <v>1000</v>
      </c>
      <c r="E195" t="str">
        <f>Tokens!G197</f>
        <v>https://bafybeieevecaczohl2w5hcqqhou2dqkkgraa22kl6hovbt4mcshzj5uzze.ipfs.nftstorage.link?image_34.png</v>
      </c>
      <c r="F195" t="str">
        <f>Tokens!H197</f>
        <v>NfluenT for Calvi On The rocks</v>
      </c>
      <c r="G195">
        <f>Tokens!I197</f>
        <v>0</v>
      </c>
      <c r="H195" t="str">
        <f>Tokens!J197</f>
        <v>Pass festival</v>
      </c>
      <c r="I195" t="str">
        <f>Tokens!K197</f>
        <v>pour une(1) personne</v>
      </c>
      <c r="J195" t="str">
        <f>Tokens!L197</f>
        <v>Edition1</v>
      </c>
      <c r="K195">
        <f>Tokens!M197</f>
        <v>2</v>
      </c>
      <c r="L195">
        <f>Tokens!N197</f>
        <v>0</v>
      </c>
      <c r="M195">
        <f>Tokens!O197</f>
        <v>0</v>
      </c>
      <c r="N195">
        <f>Tokens!P197</f>
        <v>0</v>
      </c>
      <c r="O195">
        <f>Tokens!Q197</f>
        <v>0</v>
      </c>
      <c r="P195">
        <f>Tokens!R197</f>
        <v>0</v>
      </c>
      <c r="Q195">
        <f>Tokens!S197</f>
        <v>0</v>
      </c>
      <c r="R195">
        <f>Tokens!T197</f>
        <v>0</v>
      </c>
      <c r="S195">
        <f>Tokens!U197</f>
        <v>0</v>
      </c>
      <c r="T195" t="str">
        <f>Tokens!V197</f>
        <v>Dernière utilisation</v>
      </c>
      <c r="U195">
        <f>Tokens!W197</f>
        <v>0</v>
      </c>
      <c r="V195">
        <f>Tokens!X197</f>
        <v>0</v>
      </c>
      <c r="W195">
        <f>Tokens!Y197</f>
        <v>0</v>
      </c>
      <c r="X195">
        <f>Tokens!Z197</f>
        <v>0</v>
      </c>
      <c r="Y195">
        <f>Tokens!AA197</f>
        <v>0</v>
      </c>
      <c r="Z195">
        <f>Tokens!AB197</f>
        <v>0</v>
      </c>
      <c r="AA195">
        <f>Tokens!AC197</f>
        <v>0</v>
      </c>
      <c r="AB195">
        <f>Tokens!AD197</f>
        <v>0</v>
      </c>
      <c r="AC195">
        <f>Tokens!AE197</f>
        <v>0</v>
      </c>
      <c r="AD195">
        <f>Tokens!AF197</f>
        <v>0</v>
      </c>
      <c r="AE195">
        <f>Tokens!AG197</f>
        <v>0</v>
      </c>
      <c r="AF195">
        <f>Tokens!AH197</f>
        <v>0</v>
      </c>
      <c r="AG195">
        <f>Tokens!AI197</f>
        <v>0</v>
      </c>
      <c r="AH195">
        <f>Tokens!AJ197</f>
        <v>0</v>
      </c>
      <c r="AI195">
        <f>Tokens!AK197</f>
        <v>0</v>
      </c>
      <c r="AJ195" t="str">
        <f>Tokens!AL197</f>
        <v>avantage1</v>
      </c>
      <c r="AK195" t="str">
        <f>Tokens!AM197</f>
        <v>1 affiche numérotée (quelques unes seront signées au hasard)</v>
      </c>
      <c r="AL195">
        <f>Tokens!AN197</f>
        <v>0</v>
      </c>
      <c r="AM195">
        <f>Tokens!AO197</f>
        <v>0</v>
      </c>
      <c r="AN195">
        <f>Tokens!AP197</f>
        <v>0</v>
      </c>
      <c r="AO195">
        <f>Tokens!AQ197</f>
        <v>0</v>
      </c>
      <c r="AP195">
        <f>Tokens!AR197</f>
        <v>0</v>
      </c>
      <c r="AQ195">
        <f>Tokens!AS197</f>
        <v>0</v>
      </c>
      <c r="AR195">
        <f>Tokens!AT197</f>
        <v>0</v>
      </c>
      <c r="AS195">
        <f>Tokens!AU197</f>
        <v>0</v>
      </c>
      <c r="AT195" t="str">
        <f>Tokens!AV197</f>
        <v>Validation</v>
      </c>
      <c r="AU195" t="str">
        <f>Tokens!AW197</f>
        <v>https://tokensol.nfluent.io?s=COR22D34&amp;platform=ftx</v>
      </c>
      <c r="AV195" t="str">
        <f>Tokens!AX197</f>
        <v>paul</v>
      </c>
      <c r="AW195">
        <f>Tokens!AY197</f>
        <v>10</v>
      </c>
      <c r="AX195" t="str">
        <f>Tokens!AZ197</f>
        <v>sophie</v>
      </c>
      <c r="AY195">
        <f>Tokens!BA197</f>
        <v>90</v>
      </c>
      <c r="AZ195">
        <f>Tokens!BB197</f>
        <v>0</v>
      </c>
      <c r="BA195">
        <f>Tokens!BC197</f>
        <v>0</v>
      </c>
      <c r="BB195">
        <f>Tokens!BD197</f>
        <v>0</v>
      </c>
      <c r="BC195">
        <f>Tokens!BE197</f>
        <v>0</v>
      </c>
      <c r="BD195">
        <f>Tokens!BF197</f>
        <v>0</v>
      </c>
      <c r="BE195">
        <f>Tokens!BG197</f>
        <v>0</v>
      </c>
      <c r="BF195">
        <f>Tokens!BH197</f>
        <v>0</v>
      </c>
      <c r="BG195">
        <f>Tokens!BI197</f>
        <v>0</v>
      </c>
      <c r="BH195" t="str">
        <f>Tokens!BJ197</f>
        <v>In Casa</v>
      </c>
      <c r="BI195" t="str">
        <f>Tokens!BK197</f>
        <v>Calvi On The Rocks</v>
      </c>
    </row>
    <row r="196" spans="1:61" x14ac:dyDescent="0.25">
      <c r="A196" t="str">
        <f>Tokens!C198</f>
        <v>In Casa #35</v>
      </c>
      <c r="B196" t="str">
        <f>Tokens!D198</f>
        <v>COR22D35</v>
      </c>
      <c r="C196" t="str">
        <f>Tokens!E198</f>
        <v>In Casa, 1 an - Pass NFT 1 jour pour 1 personne, valable pour 1 édition Calvi On The Rocks de votre choix.</v>
      </c>
      <c r="D196">
        <f>Tokens!F198</f>
        <v>1000</v>
      </c>
      <c r="E196" t="str">
        <f>Tokens!G198</f>
        <v>https://bafybeid3hztvsplz5wwfh74vix3ycytlttcuc63g55727q5ub4n5hwybnm.ipfs.nftstorage.link?image_35.png</v>
      </c>
      <c r="F196" t="str">
        <f>Tokens!H198</f>
        <v>NfluenT for Calvi On The rocks</v>
      </c>
      <c r="G196">
        <f>Tokens!I198</f>
        <v>0</v>
      </c>
      <c r="H196" t="str">
        <f>Tokens!J198</f>
        <v>Pass festival</v>
      </c>
      <c r="I196" t="str">
        <f>Tokens!K198</f>
        <v>pour une(1) personne</v>
      </c>
      <c r="J196" t="str">
        <f>Tokens!L198</f>
        <v>Edition1</v>
      </c>
      <c r="K196">
        <f>Tokens!M198</f>
        <v>2</v>
      </c>
      <c r="L196">
        <f>Tokens!N198</f>
        <v>0</v>
      </c>
      <c r="M196">
        <f>Tokens!O198</f>
        <v>0</v>
      </c>
      <c r="N196">
        <f>Tokens!P198</f>
        <v>0</v>
      </c>
      <c r="O196">
        <f>Tokens!Q198</f>
        <v>0</v>
      </c>
      <c r="P196">
        <f>Tokens!R198</f>
        <v>0</v>
      </c>
      <c r="Q196">
        <f>Tokens!S198</f>
        <v>0</v>
      </c>
      <c r="R196">
        <f>Tokens!T198</f>
        <v>0</v>
      </c>
      <c r="S196">
        <f>Tokens!U198</f>
        <v>0</v>
      </c>
      <c r="T196" t="str">
        <f>Tokens!V198</f>
        <v>Dernière utilisation</v>
      </c>
      <c r="U196">
        <f>Tokens!W198</f>
        <v>0</v>
      </c>
      <c r="V196">
        <f>Tokens!X198</f>
        <v>0</v>
      </c>
      <c r="W196">
        <f>Tokens!Y198</f>
        <v>0</v>
      </c>
      <c r="X196">
        <f>Tokens!Z198</f>
        <v>0</v>
      </c>
      <c r="Y196">
        <f>Tokens!AA198</f>
        <v>0</v>
      </c>
      <c r="Z196">
        <f>Tokens!AB198</f>
        <v>0</v>
      </c>
      <c r="AA196">
        <f>Tokens!AC198</f>
        <v>0</v>
      </c>
      <c r="AB196">
        <f>Tokens!AD198</f>
        <v>0</v>
      </c>
      <c r="AC196">
        <f>Tokens!AE198</f>
        <v>0</v>
      </c>
      <c r="AD196">
        <f>Tokens!AF198</f>
        <v>0</v>
      </c>
      <c r="AE196">
        <f>Tokens!AG198</f>
        <v>0</v>
      </c>
      <c r="AF196">
        <f>Tokens!AH198</f>
        <v>0</v>
      </c>
      <c r="AG196">
        <f>Tokens!AI198</f>
        <v>0</v>
      </c>
      <c r="AH196">
        <f>Tokens!AJ198</f>
        <v>0</v>
      </c>
      <c r="AI196">
        <f>Tokens!AK198</f>
        <v>0</v>
      </c>
      <c r="AJ196" t="str">
        <f>Tokens!AL198</f>
        <v>avantage1</v>
      </c>
      <c r="AK196" t="str">
        <f>Tokens!AM198</f>
        <v>1 affiche numérotée (quelques unes seront signées au hasard)</v>
      </c>
      <c r="AL196">
        <f>Tokens!AN198</f>
        <v>0</v>
      </c>
      <c r="AM196">
        <f>Tokens!AO198</f>
        <v>0</v>
      </c>
      <c r="AN196">
        <f>Tokens!AP198</f>
        <v>0</v>
      </c>
      <c r="AO196">
        <f>Tokens!AQ198</f>
        <v>0</v>
      </c>
      <c r="AP196">
        <f>Tokens!AR198</f>
        <v>0</v>
      </c>
      <c r="AQ196">
        <f>Tokens!AS198</f>
        <v>0</v>
      </c>
      <c r="AR196">
        <f>Tokens!AT198</f>
        <v>0</v>
      </c>
      <c r="AS196">
        <f>Tokens!AU198</f>
        <v>0</v>
      </c>
      <c r="AT196" t="str">
        <f>Tokens!AV198</f>
        <v>Validation</v>
      </c>
      <c r="AU196" t="str">
        <f>Tokens!AW198</f>
        <v>https://tokensol.nfluent.io?s=COR22D35&amp;platform=ftx</v>
      </c>
      <c r="AV196" t="str">
        <f>Tokens!AX198</f>
        <v>paul</v>
      </c>
      <c r="AW196">
        <f>Tokens!AY198</f>
        <v>10</v>
      </c>
      <c r="AX196" t="str">
        <f>Tokens!AZ198</f>
        <v>sophie</v>
      </c>
      <c r="AY196">
        <f>Tokens!BA198</f>
        <v>90</v>
      </c>
      <c r="AZ196">
        <f>Tokens!BB198</f>
        <v>0</v>
      </c>
      <c r="BA196">
        <f>Tokens!BC198</f>
        <v>0</v>
      </c>
      <c r="BB196">
        <f>Tokens!BD198</f>
        <v>0</v>
      </c>
      <c r="BC196">
        <f>Tokens!BE198</f>
        <v>0</v>
      </c>
      <c r="BD196">
        <f>Tokens!BF198</f>
        <v>0</v>
      </c>
      <c r="BE196">
        <f>Tokens!BG198</f>
        <v>0</v>
      </c>
      <c r="BF196">
        <f>Tokens!BH198</f>
        <v>0</v>
      </c>
      <c r="BG196">
        <f>Tokens!BI198</f>
        <v>0</v>
      </c>
      <c r="BH196" t="str">
        <f>Tokens!BJ198</f>
        <v>In Casa</v>
      </c>
      <c r="BI196" t="str">
        <f>Tokens!BK198</f>
        <v>Calvi On The Rocks</v>
      </c>
    </row>
    <row r="197" spans="1:61" x14ac:dyDescent="0.25">
      <c r="A197" t="str">
        <f>Tokens!C199</f>
        <v>In Casa #36</v>
      </c>
      <c r="B197" t="str">
        <f>Tokens!D199</f>
        <v>COR22D36</v>
      </c>
      <c r="C197" t="str">
        <f>Tokens!E199</f>
        <v>In Casa, 1 an - Pass NFT 1 jour pour 1 personne, valable pour 1 édition Calvi On The Rocks de votre choix.</v>
      </c>
      <c r="D197">
        <f>Tokens!F199</f>
        <v>1000</v>
      </c>
      <c r="E197" t="str">
        <f>Tokens!G199</f>
        <v>https://bafybeiejafkg5hnvxhsd56gkkugnw62jlgfglp6m7aquw5gfye2f2lelzy.ipfs.nftstorage.link?image_36.png</v>
      </c>
      <c r="F197" t="str">
        <f>Tokens!H199</f>
        <v>NfluenT for Calvi On The rocks</v>
      </c>
      <c r="G197">
        <f>Tokens!I199</f>
        <v>0</v>
      </c>
      <c r="H197" t="str">
        <f>Tokens!J199</f>
        <v>Pass festival</v>
      </c>
      <c r="I197" t="str">
        <f>Tokens!K199</f>
        <v>pour une(1) personne</v>
      </c>
      <c r="J197" t="str">
        <f>Tokens!L199</f>
        <v>Edition1</v>
      </c>
      <c r="K197">
        <f>Tokens!M199</f>
        <v>2</v>
      </c>
      <c r="L197">
        <f>Tokens!N199</f>
        <v>0</v>
      </c>
      <c r="M197">
        <f>Tokens!O199</f>
        <v>0</v>
      </c>
      <c r="N197">
        <f>Tokens!P199</f>
        <v>0</v>
      </c>
      <c r="O197">
        <f>Tokens!Q199</f>
        <v>0</v>
      </c>
      <c r="P197">
        <f>Tokens!R199</f>
        <v>0</v>
      </c>
      <c r="Q197">
        <f>Tokens!S199</f>
        <v>0</v>
      </c>
      <c r="R197">
        <f>Tokens!T199</f>
        <v>0</v>
      </c>
      <c r="S197">
        <f>Tokens!U199</f>
        <v>0</v>
      </c>
      <c r="T197" t="str">
        <f>Tokens!V199</f>
        <v>Dernière utilisation</v>
      </c>
      <c r="U197">
        <f>Tokens!W199</f>
        <v>0</v>
      </c>
      <c r="V197">
        <f>Tokens!X199</f>
        <v>0</v>
      </c>
      <c r="W197">
        <f>Tokens!Y199</f>
        <v>0</v>
      </c>
      <c r="X197">
        <f>Tokens!Z199</f>
        <v>0</v>
      </c>
      <c r="Y197">
        <f>Tokens!AA199</f>
        <v>0</v>
      </c>
      <c r="Z197">
        <f>Tokens!AB199</f>
        <v>0</v>
      </c>
      <c r="AA197">
        <f>Tokens!AC199</f>
        <v>0</v>
      </c>
      <c r="AB197">
        <f>Tokens!AD199</f>
        <v>0</v>
      </c>
      <c r="AC197">
        <f>Tokens!AE199</f>
        <v>0</v>
      </c>
      <c r="AD197">
        <f>Tokens!AF199</f>
        <v>0</v>
      </c>
      <c r="AE197">
        <f>Tokens!AG199</f>
        <v>0</v>
      </c>
      <c r="AF197">
        <f>Tokens!AH199</f>
        <v>0</v>
      </c>
      <c r="AG197">
        <f>Tokens!AI199</f>
        <v>0</v>
      </c>
      <c r="AH197">
        <f>Tokens!AJ199</f>
        <v>0</v>
      </c>
      <c r="AI197">
        <f>Tokens!AK199</f>
        <v>0</v>
      </c>
      <c r="AJ197" t="str">
        <f>Tokens!AL199</f>
        <v>avantage1</v>
      </c>
      <c r="AK197" t="str">
        <f>Tokens!AM199</f>
        <v>1 affiche numérotée (quelques unes seront signées au hasard)</v>
      </c>
      <c r="AL197">
        <f>Tokens!AN199</f>
        <v>0</v>
      </c>
      <c r="AM197">
        <f>Tokens!AO199</f>
        <v>0</v>
      </c>
      <c r="AN197">
        <f>Tokens!AP199</f>
        <v>0</v>
      </c>
      <c r="AO197">
        <f>Tokens!AQ199</f>
        <v>0</v>
      </c>
      <c r="AP197">
        <f>Tokens!AR199</f>
        <v>0</v>
      </c>
      <c r="AQ197">
        <f>Tokens!AS199</f>
        <v>0</v>
      </c>
      <c r="AR197">
        <f>Tokens!AT199</f>
        <v>0</v>
      </c>
      <c r="AS197">
        <f>Tokens!AU199</f>
        <v>0</v>
      </c>
      <c r="AT197" t="str">
        <f>Tokens!AV199</f>
        <v>Validation</v>
      </c>
      <c r="AU197" t="str">
        <f>Tokens!AW199</f>
        <v>https://tokensol.nfluent.io?s=COR22D36&amp;platform=ftx</v>
      </c>
      <c r="AV197" t="str">
        <f>Tokens!AX199</f>
        <v>paul</v>
      </c>
      <c r="AW197">
        <f>Tokens!AY199</f>
        <v>10</v>
      </c>
      <c r="AX197" t="str">
        <f>Tokens!AZ199</f>
        <v>sophie</v>
      </c>
      <c r="AY197">
        <f>Tokens!BA199</f>
        <v>90</v>
      </c>
      <c r="AZ197">
        <f>Tokens!BB199</f>
        <v>0</v>
      </c>
      <c r="BA197">
        <f>Tokens!BC199</f>
        <v>0</v>
      </c>
      <c r="BB197">
        <f>Tokens!BD199</f>
        <v>0</v>
      </c>
      <c r="BC197">
        <f>Tokens!BE199</f>
        <v>0</v>
      </c>
      <c r="BD197">
        <f>Tokens!BF199</f>
        <v>0</v>
      </c>
      <c r="BE197">
        <f>Tokens!BG199</f>
        <v>0</v>
      </c>
      <c r="BF197">
        <f>Tokens!BH199</f>
        <v>0</v>
      </c>
      <c r="BG197">
        <f>Tokens!BI199</f>
        <v>0</v>
      </c>
      <c r="BH197" t="str">
        <f>Tokens!BJ199</f>
        <v>In Casa</v>
      </c>
      <c r="BI197" t="str">
        <f>Tokens!BK199</f>
        <v>Calvi On The Rocks</v>
      </c>
    </row>
    <row r="198" spans="1:61" x14ac:dyDescent="0.25">
      <c r="A198" t="str">
        <f>Tokens!C200</f>
        <v>In Casa #37</v>
      </c>
      <c r="B198" t="str">
        <f>Tokens!D200</f>
        <v>COR22D37</v>
      </c>
      <c r="C198" t="str">
        <f>Tokens!E200</f>
        <v>In Casa, 1 an - Pass NFT 1 jour pour 1 personne, valable pour 1 édition Calvi On The Rocks de votre choix.</v>
      </c>
      <c r="D198">
        <f>Tokens!F200</f>
        <v>1000</v>
      </c>
      <c r="E198" t="str">
        <f>Tokens!G200</f>
        <v>https://bafybeigwbo45aq4og73atyonjzvqjtvu47wlqgsn7x2akxxghw5uokzxna.ipfs.nftstorage.link?image_37.png</v>
      </c>
      <c r="F198" t="str">
        <f>Tokens!H200</f>
        <v>NfluenT for Calvi On The rocks</v>
      </c>
      <c r="G198">
        <f>Tokens!I200</f>
        <v>0</v>
      </c>
      <c r="H198" t="str">
        <f>Tokens!J200</f>
        <v>Pass festival</v>
      </c>
      <c r="I198" t="str">
        <f>Tokens!K200</f>
        <v>pour une(1) personne</v>
      </c>
      <c r="J198" t="str">
        <f>Tokens!L200</f>
        <v>Edition1</v>
      </c>
      <c r="K198">
        <f>Tokens!M200</f>
        <v>2</v>
      </c>
      <c r="L198">
        <f>Tokens!N200</f>
        <v>0</v>
      </c>
      <c r="M198">
        <f>Tokens!O200</f>
        <v>0</v>
      </c>
      <c r="N198">
        <f>Tokens!P200</f>
        <v>0</v>
      </c>
      <c r="O198">
        <f>Tokens!Q200</f>
        <v>0</v>
      </c>
      <c r="P198">
        <f>Tokens!R200</f>
        <v>0</v>
      </c>
      <c r="Q198">
        <f>Tokens!S200</f>
        <v>0</v>
      </c>
      <c r="R198">
        <f>Tokens!T200</f>
        <v>0</v>
      </c>
      <c r="S198">
        <f>Tokens!U200</f>
        <v>0</v>
      </c>
      <c r="T198" t="str">
        <f>Tokens!V200</f>
        <v>Dernière utilisation</v>
      </c>
      <c r="U198">
        <f>Tokens!W200</f>
        <v>0</v>
      </c>
      <c r="V198">
        <f>Tokens!X200</f>
        <v>0</v>
      </c>
      <c r="W198">
        <f>Tokens!Y200</f>
        <v>0</v>
      </c>
      <c r="X198">
        <f>Tokens!Z200</f>
        <v>0</v>
      </c>
      <c r="Y198">
        <f>Tokens!AA200</f>
        <v>0</v>
      </c>
      <c r="Z198">
        <f>Tokens!AB200</f>
        <v>0</v>
      </c>
      <c r="AA198">
        <f>Tokens!AC200</f>
        <v>0</v>
      </c>
      <c r="AB198">
        <f>Tokens!AD200</f>
        <v>0</v>
      </c>
      <c r="AC198">
        <f>Tokens!AE200</f>
        <v>0</v>
      </c>
      <c r="AD198">
        <f>Tokens!AF200</f>
        <v>0</v>
      </c>
      <c r="AE198">
        <f>Tokens!AG200</f>
        <v>0</v>
      </c>
      <c r="AF198">
        <f>Tokens!AH200</f>
        <v>0</v>
      </c>
      <c r="AG198">
        <f>Tokens!AI200</f>
        <v>0</v>
      </c>
      <c r="AH198">
        <f>Tokens!AJ200</f>
        <v>0</v>
      </c>
      <c r="AI198">
        <f>Tokens!AK200</f>
        <v>0</v>
      </c>
      <c r="AJ198" t="str">
        <f>Tokens!AL200</f>
        <v>avantage1</v>
      </c>
      <c r="AK198" t="str">
        <f>Tokens!AM200</f>
        <v>1 affiche numérotée (quelques unes seront signées au hasard)</v>
      </c>
      <c r="AL198">
        <f>Tokens!AN200</f>
        <v>0</v>
      </c>
      <c r="AM198">
        <f>Tokens!AO200</f>
        <v>0</v>
      </c>
      <c r="AN198">
        <f>Tokens!AP200</f>
        <v>0</v>
      </c>
      <c r="AO198">
        <f>Tokens!AQ200</f>
        <v>0</v>
      </c>
      <c r="AP198">
        <f>Tokens!AR200</f>
        <v>0</v>
      </c>
      <c r="AQ198">
        <f>Tokens!AS200</f>
        <v>0</v>
      </c>
      <c r="AR198">
        <f>Tokens!AT200</f>
        <v>0</v>
      </c>
      <c r="AS198">
        <f>Tokens!AU200</f>
        <v>0</v>
      </c>
      <c r="AT198" t="str">
        <f>Tokens!AV200</f>
        <v>Validation</v>
      </c>
      <c r="AU198" t="str">
        <f>Tokens!AW200</f>
        <v>https://tokensol.nfluent.io?s=COR22D37&amp;platform=ftx</v>
      </c>
      <c r="AV198" t="str">
        <f>Tokens!AX200</f>
        <v>paul</v>
      </c>
      <c r="AW198">
        <f>Tokens!AY200</f>
        <v>10</v>
      </c>
      <c r="AX198" t="str">
        <f>Tokens!AZ200</f>
        <v>sophie</v>
      </c>
      <c r="AY198">
        <f>Tokens!BA200</f>
        <v>90</v>
      </c>
      <c r="AZ198">
        <f>Tokens!BB200</f>
        <v>0</v>
      </c>
      <c r="BA198">
        <f>Tokens!BC200</f>
        <v>0</v>
      </c>
      <c r="BB198">
        <f>Tokens!BD200</f>
        <v>0</v>
      </c>
      <c r="BC198">
        <f>Tokens!BE200</f>
        <v>0</v>
      </c>
      <c r="BD198">
        <f>Tokens!BF200</f>
        <v>0</v>
      </c>
      <c r="BE198">
        <f>Tokens!BG200</f>
        <v>0</v>
      </c>
      <c r="BF198">
        <f>Tokens!BH200</f>
        <v>0</v>
      </c>
      <c r="BG198">
        <f>Tokens!BI200</f>
        <v>0</v>
      </c>
      <c r="BH198" t="str">
        <f>Tokens!BJ200</f>
        <v>In Casa</v>
      </c>
      <c r="BI198" t="str">
        <f>Tokens!BK200</f>
        <v>Calvi On The Rocks</v>
      </c>
    </row>
    <row r="199" spans="1:61" x14ac:dyDescent="0.25">
      <c r="A199" t="str">
        <f>Tokens!C201</f>
        <v>In Casa #38</v>
      </c>
      <c r="B199" t="str">
        <f>Tokens!D201</f>
        <v>COR22D38</v>
      </c>
      <c r="C199" t="str">
        <f>Tokens!E201</f>
        <v>In Casa, 1 an - Pass NFT 1 jour pour 1 personne, valable pour 1 édition Calvi On The Rocks de votre choix.</v>
      </c>
      <c r="D199">
        <f>Tokens!F201</f>
        <v>1000</v>
      </c>
      <c r="E199" t="str">
        <f>Tokens!G201</f>
        <v>https://bafybeigorzrkc5lugigqbl52x2zuu65jrrrufkpjqxjxp47tgvatc6wnem.ipfs.nftstorage.link?image_38.png</v>
      </c>
      <c r="F199" t="str">
        <f>Tokens!H201</f>
        <v>NfluenT for Calvi On The rocks</v>
      </c>
      <c r="G199">
        <f>Tokens!I201</f>
        <v>0</v>
      </c>
      <c r="H199" t="str">
        <f>Tokens!J201</f>
        <v>Pass festival</v>
      </c>
      <c r="I199" t="str">
        <f>Tokens!K201</f>
        <v>pour une(1) personne</v>
      </c>
      <c r="J199" t="str">
        <f>Tokens!L201</f>
        <v>Edition1</v>
      </c>
      <c r="K199">
        <f>Tokens!M201</f>
        <v>2</v>
      </c>
      <c r="L199">
        <f>Tokens!N201</f>
        <v>0</v>
      </c>
      <c r="M199">
        <f>Tokens!O201</f>
        <v>0</v>
      </c>
      <c r="N199">
        <f>Tokens!P201</f>
        <v>0</v>
      </c>
      <c r="O199">
        <f>Tokens!Q201</f>
        <v>0</v>
      </c>
      <c r="P199">
        <f>Tokens!R201</f>
        <v>0</v>
      </c>
      <c r="Q199">
        <f>Tokens!S201</f>
        <v>0</v>
      </c>
      <c r="R199">
        <f>Tokens!T201</f>
        <v>0</v>
      </c>
      <c r="S199">
        <f>Tokens!U201</f>
        <v>0</v>
      </c>
      <c r="T199" t="str">
        <f>Tokens!V201</f>
        <v>Dernière utilisation</v>
      </c>
      <c r="U199">
        <f>Tokens!W201</f>
        <v>0</v>
      </c>
      <c r="V199">
        <f>Tokens!X201</f>
        <v>0</v>
      </c>
      <c r="W199">
        <f>Tokens!Y201</f>
        <v>0</v>
      </c>
      <c r="X199">
        <f>Tokens!Z201</f>
        <v>0</v>
      </c>
      <c r="Y199">
        <f>Tokens!AA201</f>
        <v>0</v>
      </c>
      <c r="Z199">
        <f>Tokens!AB201</f>
        <v>0</v>
      </c>
      <c r="AA199">
        <f>Tokens!AC201</f>
        <v>0</v>
      </c>
      <c r="AB199">
        <f>Tokens!AD201</f>
        <v>0</v>
      </c>
      <c r="AC199">
        <f>Tokens!AE201</f>
        <v>0</v>
      </c>
      <c r="AD199">
        <f>Tokens!AF201</f>
        <v>0</v>
      </c>
      <c r="AE199">
        <f>Tokens!AG201</f>
        <v>0</v>
      </c>
      <c r="AF199">
        <f>Tokens!AH201</f>
        <v>0</v>
      </c>
      <c r="AG199">
        <f>Tokens!AI201</f>
        <v>0</v>
      </c>
      <c r="AH199">
        <f>Tokens!AJ201</f>
        <v>0</v>
      </c>
      <c r="AI199">
        <f>Tokens!AK201</f>
        <v>0</v>
      </c>
      <c r="AJ199" t="str">
        <f>Tokens!AL201</f>
        <v>avantage1</v>
      </c>
      <c r="AK199" t="str">
        <f>Tokens!AM201</f>
        <v>1 affiche numérotée (quelques unes seront signées au hasard)</v>
      </c>
      <c r="AL199">
        <f>Tokens!AN201</f>
        <v>0</v>
      </c>
      <c r="AM199">
        <f>Tokens!AO201</f>
        <v>0</v>
      </c>
      <c r="AN199">
        <f>Tokens!AP201</f>
        <v>0</v>
      </c>
      <c r="AO199">
        <f>Tokens!AQ201</f>
        <v>0</v>
      </c>
      <c r="AP199">
        <f>Tokens!AR201</f>
        <v>0</v>
      </c>
      <c r="AQ199">
        <f>Tokens!AS201</f>
        <v>0</v>
      </c>
      <c r="AR199">
        <f>Tokens!AT201</f>
        <v>0</v>
      </c>
      <c r="AS199">
        <f>Tokens!AU201</f>
        <v>0</v>
      </c>
      <c r="AT199" t="str">
        <f>Tokens!AV201</f>
        <v>Validation</v>
      </c>
      <c r="AU199" t="str">
        <f>Tokens!AW201</f>
        <v>https://tokensol.nfluent.io?s=COR22D38&amp;platform=ftx</v>
      </c>
      <c r="AV199" t="str">
        <f>Tokens!AX201</f>
        <v>paul</v>
      </c>
      <c r="AW199">
        <f>Tokens!AY201</f>
        <v>10</v>
      </c>
      <c r="AX199" t="str">
        <f>Tokens!AZ201</f>
        <v>sophie</v>
      </c>
      <c r="AY199">
        <f>Tokens!BA201</f>
        <v>90</v>
      </c>
      <c r="AZ199">
        <f>Tokens!BB201</f>
        <v>0</v>
      </c>
      <c r="BA199">
        <f>Tokens!BC201</f>
        <v>0</v>
      </c>
      <c r="BB199">
        <f>Tokens!BD201</f>
        <v>0</v>
      </c>
      <c r="BC199">
        <f>Tokens!BE201</f>
        <v>0</v>
      </c>
      <c r="BD199">
        <f>Tokens!BF201</f>
        <v>0</v>
      </c>
      <c r="BE199">
        <f>Tokens!BG201</f>
        <v>0</v>
      </c>
      <c r="BF199">
        <f>Tokens!BH201</f>
        <v>0</v>
      </c>
      <c r="BG199">
        <f>Tokens!BI201</f>
        <v>0</v>
      </c>
      <c r="BH199" t="str">
        <f>Tokens!BJ201</f>
        <v>In Casa</v>
      </c>
      <c r="BI199" t="str">
        <f>Tokens!BK201</f>
        <v>Calvi On The Rocks</v>
      </c>
    </row>
    <row r="200" spans="1:61" x14ac:dyDescent="0.25">
      <c r="A200" t="str">
        <f>Tokens!C202</f>
        <v>In Casa #39</v>
      </c>
      <c r="B200" t="str">
        <f>Tokens!D202</f>
        <v>COR22D39</v>
      </c>
      <c r="C200" t="str">
        <f>Tokens!E202</f>
        <v>In Casa, 1 an - Pass NFT 1 jour pour 1 personne, valable pour 1 édition Calvi On The Rocks de votre choix.</v>
      </c>
      <c r="D200">
        <f>Tokens!F202</f>
        <v>1000</v>
      </c>
      <c r="E200" t="str">
        <f>Tokens!G202</f>
        <v>https://bafybeibhthjppitimnt5moqnj5i44i7gqsts3n5tqc77pec2xtfz7dsvna.ipfs.nftstorage.link?image_39.png</v>
      </c>
      <c r="F200" t="str">
        <f>Tokens!H202</f>
        <v>NfluenT for Calvi On The rocks</v>
      </c>
      <c r="G200">
        <f>Tokens!I202</f>
        <v>0</v>
      </c>
      <c r="H200" t="str">
        <f>Tokens!J202</f>
        <v>Pass festival</v>
      </c>
      <c r="I200" t="str">
        <f>Tokens!K202</f>
        <v>pour une(1) personne</v>
      </c>
      <c r="J200" t="str">
        <f>Tokens!L202</f>
        <v>Edition1</v>
      </c>
      <c r="K200">
        <f>Tokens!M202</f>
        <v>2</v>
      </c>
      <c r="L200">
        <f>Tokens!N202</f>
        <v>0</v>
      </c>
      <c r="M200">
        <f>Tokens!O202</f>
        <v>0</v>
      </c>
      <c r="N200">
        <f>Tokens!P202</f>
        <v>0</v>
      </c>
      <c r="O200">
        <f>Tokens!Q202</f>
        <v>0</v>
      </c>
      <c r="P200">
        <f>Tokens!R202</f>
        <v>0</v>
      </c>
      <c r="Q200">
        <f>Tokens!S202</f>
        <v>0</v>
      </c>
      <c r="R200">
        <f>Tokens!T202</f>
        <v>0</v>
      </c>
      <c r="S200">
        <f>Tokens!U202</f>
        <v>0</v>
      </c>
      <c r="T200" t="str">
        <f>Tokens!V202</f>
        <v>Dernière utilisation</v>
      </c>
      <c r="U200">
        <f>Tokens!W202</f>
        <v>0</v>
      </c>
      <c r="V200">
        <f>Tokens!X202</f>
        <v>0</v>
      </c>
      <c r="W200">
        <f>Tokens!Y202</f>
        <v>0</v>
      </c>
      <c r="X200">
        <f>Tokens!Z202</f>
        <v>0</v>
      </c>
      <c r="Y200">
        <f>Tokens!AA202</f>
        <v>0</v>
      </c>
      <c r="Z200">
        <f>Tokens!AB202</f>
        <v>0</v>
      </c>
      <c r="AA200">
        <f>Tokens!AC202</f>
        <v>0</v>
      </c>
      <c r="AB200">
        <f>Tokens!AD202</f>
        <v>0</v>
      </c>
      <c r="AC200">
        <f>Tokens!AE202</f>
        <v>0</v>
      </c>
      <c r="AD200">
        <f>Tokens!AF202</f>
        <v>0</v>
      </c>
      <c r="AE200">
        <f>Tokens!AG202</f>
        <v>0</v>
      </c>
      <c r="AF200">
        <f>Tokens!AH202</f>
        <v>0</v>
      </c>
      <c r="AG200">
        <f>Tokens!AI202</f>
        <v>0</v>
      </c>
      <c r="AH200">
        <f>Tokens!AJ202</f>
        <v>0</v>
      </c>
      <c r="AI200">
        <f>Tokens!AK202</f>
        <v>0</v>
      </c>
      <c r="AJ200" t="str">
        <f>Tokens!AL202</f>
        <v>avantage1</v>
      </c>
      <c r="AK200" t="str">
        <f>Tokens!AM202</f>
        <v>1 affiche numérotée (quelques unes seront signées au hasard)</v>
      </c>
      <c r="AL200">
        <f>Tokens!AN202</f>
        <v>0</v>
      </c>
      <c r="AM200">
        <f>Tokens!AO202</f>
        <v>0</v>
      </c>
      <c r="AN200">
        <f>Tokens!AP202</f>
        <v>0</v>
      </c>
      <c r="AO200">
        <f>Tokens!AQ202</f>
        <v>0</v>
      </c>
      <c r="AP200">
        <f>Tokens!AR202</f>
        <v>0</v>
      </c>
      <c r="AQ200">
        <f>Tokens!AS202</f>
        <v>0</v>
      </c>
      <c r="AR200">
        <f>Tokens!AT202</f>
        <v>0</v>
      </c>
      <c r="AS200">
        <f>Tokens!AU202</f>
        <v>0</v>
      </c>
      <c r="AT200" t="str">
        <f>Tokens!AV202</f>
        <v>Validation</v>
      </c>
      <c r="AU200" t="str">
        <f>Tokens!AW202</f>
        <v>https://tokensol.nfluent.io?s=COR22D39&amp;platform=ftx</v>
      </c>
      <c r="AV200" t="str">
        <f>Tokens!AX202</f>
        <v>paul</v>
      </c>
      <c r="AW200">
        <f>Tokens!AY202</f>
        <v>10</v>
      </c>
      <c r="AX200" t="str">
        <f>Tokens!AZ202</f>
        <v>sophie</v>
      </c>
      <c r="AY200">
        <f>Tokens!BA202</f>
        <v>90</v>
      </c>
      <c r="AZ200">
        <f>Tokens!BB202</f>
        <v>0</v>
      </c>
      <c r="BA200">
        <f>Tokens!BC202</f>
        <v>0</v>
      </c>
      <c r="BB200">
        <f>Tokens!BD202</f>
        <v>0</v>
      </c>
      <c r="BC200">
        <f>Tokens!BE202</f>
        <v>0</v>
      </c>
      <c r="BD200">
        <f>Tokens!BF202</f>
        <v>0</v>
      </c>
      <c r="BE200">
        <f>Tokens!BG202</f>
        <v>0</v>
      </c>
      <c r="BF200">
        <f>Tokens!BH202</f>
        <v>0</v>
      </c>
      <c r="BG200">
        <f>Tokens!BI202</f>
        <v>0</v>
      </c>
      <c r="BH200" t="str">
        <f>Tokens!BJ202</f>
        <v>In Casa</v>
      </c>
      <c r="BI200" t="str">
        <f>Tokens!BK202</f>
        <v>Calvi On The Rocks</v>
      </c>
    </row>
    <row r="201" spans="1:61" x14ac:dyDescent="0.25">
      <c r="A201" t="str">
        <f>Tokens!C203</f>
        <v>In Casa #40</v>
      </c>
      <c r="B201" t="str">
        <f>Tokens!D203</f>
        <v>COR22D40</v>
      </c>
      <c r="C201" t="str">
        <f>Tokens!E203</f>
        <v>In Casa, 1 an - Pass NFT 1 jour pour 1 personne, valable pour 1 édition Calvi On The Rocks de votre choix.</v>
      </c>
      <c r="D201">
        <f>Tokens!F203</f>
        <v>1000</v>
      </c>
      <c r="E201" t="str">
        <f>Tokens!G203</f>
        <v>https://bafybeigi5bngpglrcvvtv2afmlky65g7c3tl2fnav754bb455phu7cxqry.ipfs.nftstorage.link?image_40.png</v>
      </c>
      <c r="F201" t="str">
        <f>Tokens!H203</f>
        <v>NfluenT for Calvi On The rocks</v>
      </c>
      <c r="G201">
        <f>Tokens!I203</f>
        <v>0</v>
      </c>
      <c r="H201" t="str">
        <f>Tokens!J203</f>
        <v>Pass festival</v>
      </c>
      <c r="I201" t="str">
        <f>Tokens!K203</f>
        <v>pour une(1) personne</v>
      </c>
      <c r="J201" t="str">
        <f>Tokens!L203</f>
        <v>Edition1</v>
      </c>
      <c r="K201">
        <f>Tokens!M203</f>
        <v>2</v>
      </c>
      <c r="L201">
        <f>Tokens!N203</f>
        <v>0</v>
      </c>
      <c r="M201">
        <f>Tokens!O203</f>
        <v>0</v>
      </c>
      <c r="N201">
        <f>Tokens!P203</f>
        <v>0</v>
      </c>
      <c r="O201">
        <f>Tokens!Q203</f>
        <v>0</v>
      </c>
      <c r="P201">
        <f>Tokens!R203</f>
        <v>0</v>
      </c>
      <c r="Q201">
        <f>Tokens!S203</f>
        <v>0</v>
      </c>
      <c r="R201">
        <f>Tokens!T203</f>
        <v>0</v>
      </c>
      <c r="S201">
        <f>Tokens!U203</f>
        <v>0</v>
      </c>
      <c r="T201" t="str">
        <f>Tokens!V203</f>
        <v>Dernière utilisation</v>
      </c>
      <c r="U201">
        <f>Tokens!W203</f>
        <v>0</v>
      </c>
      <c r="V201">
        <f>Tokens!X203</f>
        <v>0</v>
      </c>
      <c r="W201">
        <f>Tokens!Y203</f>
        <v>0</v>
      </c>
      <c r="X201">
        <f>Tokens!Z203</f>
        <v>0</v>
      </c>
      <c r="Y201">
        <f>Tokens!AA203</f>
        <v>0</v>
      </c>
      <c r="Z201">
        <f>Tokens!AB203</f>
        <v>0</v>
      </c>
      <c r="AA201">
        <f>Tokens!AC203</f>
        <v>0</v>
      </c>
      <c r="AB201">
        <f>Tokens!AD203</f>
        <v>0</v>
      </c>
      <c r="AC201">
        <f>Tokens!AE203</f>
        <v>0</v>
      </c>
      <c r="AD201">
        <f>Tokens!AF203</f>
        <v>0</v>
      </c>
      <c r="AE201">
        <f>Tokens!AG203</f>
        <v>0</v>
      </c>
      <c r="AF201">
        <f>Tokens!AH203</f>
        <v>0</v>
      </c>
      <c r="AG201">
        <f>Tokens!AI203</f>
        <v>0</v>
      </c>
      <c r="AH201">
        <f>Tokens!AJ203</f>
        <v>0</v>
      </c>
      <c r="AI201">
        <f>Tokens!AK203</f>
        <v>0</v>
      </c>
      <c r="AJ201" t="str">
        <f>Tokens!AL203</f>
        <v>avantage1</v>
      </c>
      <c r="AK201" t="str">
        <f>Tokens!AM203</f>
        <v>1 affiche numérotée (quelques unes seront signées au hasard)</v>
      </c>
      <c r="AL201">
        <f>Tokens!AN203</f>
        <v>0</v>
      </c>
      <c r="AM201">
        <f>Tokens!AO203</f>
        <v>0</v>
      </c>
      <c r="AN201">
        <f>Tokens!AP203</f>
        <v>0</v>
      </c>
      <c r="AO201">
        <f>Tokens!AQ203</f>
        <v>0</v>
      </c>
      <c r="AP201">
        <f>Tokens!AR203</f>
        <v>0</v>
      </c>
      <c r="AQ201">
        <f>Tokens!AS203</f>
        <v>0</v>
      </c>
      <c r="AR201">
        <f>Tokens!AT203</f>
        <v>0</v>
      </c>
      <c r="AS201">
        <f>Tokens!AU203</f>
        <v>0</v>
      </c>
      <c r="AT201" t="str">
        <f>Tokens!AV203</f>
        <v>Validation</v>
      </c>
      <c r="AU201" t="str">
        <f>Tokens!AW203</f>
        <v>https://tokensol.nfluent.io?s=COR22D40&amp;platform=ftx</v>
      </c>
      <c r="AV201" t="str">
        <f>Tokens!AX203</f>
        <v>paul</v>
      </c>
      <c r="AW201">
        <f>Tokens!AY203</f>
        <v>10</v>
      </c>
      <c r="AX201" t="str">
        <f>Tokens!AZ203</f>
        <v>sophie</v>
      </c>
      <c r="AY201">
        <f>Tokens!BA203</f>
        <v>90</v>
      </c>
      <c r="AZ201">
        <f>Tokens!BB203</f>
        <v>0</v>
      </c>
      <c r="BA201">
        <f>Tokens!BC203</f>
        <v>0</v>
      </c>
      <c r="BB201">
        <f>Tokens!BD203</f>
        <v>0</v>
      </c>
      <c r="BC201">
        <f>Tokens!BE203</f>
        <v>0</v>
      </c>
      <c r="BD201">
        <f>Tokens!BF203</f>
        <v>0</v>
      </c>
      <c r="BE201">
        <f>Tokens!BG203</f>
        <v>0</v>
      </c>
      <c r="BF201">
        <f>Tokens!BH203</f>
        <v>0</v>
      </c>
      <c r="BG201">
        <f>Tokens!BI203</f>
        <v>0</v>
      </c>
      <c r="BH201" t="str">
        <f>Tokens!BJ203</f>
        <v>In Casa</v>
      </c>
      <c r="BI201" t="str">
        <f>Tokens!BK203</f>
        <v>Calvi On The Rocks</v>
      </c>
    </row>
    <row r="202" spans="1:61" x14ac:dyDescent="0.25">
      <c r="A202" t="str">
        <f>Tokens!C204</f>
        <v>In Casa #41</v>
      </c>
      <c r="B202" t="str">
        <f>Tokens!D204</f>
        <v>COR22D41</v>
      </c>
      <c r="C202" t="str">
        <f>Tokens!E204</f>
        <v>In Casa, 1 an - Pass NFT 1 jour pour 1 personne, valable pour 1 édition Calvi On The Rocks de votre choix.</v>
      </c>
      <c r="D202">
        <f>Tokens!F204</f>
        <v>1000</v>
      </c>
      <c r="E202" t="str">
        <f>Tokens!G204</f>
        <v>https://bafybeigh7ljpuvn7skmx4anpow5rm5z5e6phywkvm6zjhdk7svgwtp32bi.ipfs.nftstorage.link?image_41.png</v>
      </c>
      <c r="F202" t="str">
        <f>Tokens!H204</f>
        <v>NfluenT for Calvi On The rocks</v>
      </c>
      <c r="G202">
        <f>Tokens!I204</f>
        <v>0</v>
      </c>
      <c r="H202" t="str">
        <f>Tokens!J204</f>
        <v>Pass festival</v>
      </c>
      <c r="I202" t="str">
        <f>Tokens!K204</f>
        <v>pour une(1) personne</v>
      </c>
      <c r="J202" t="str">
        <f>Tokens!L204</f>
        <v>Edition1</v>
      </c>
      <c r="K202">
        <f>Tokens!M204</f>
        <v>2</v>
      </c>
      <c r="L202">
        <f>Tokens!N204</f>
        <v>0</v>
      </c>
      <c r="M202">
        <f>Tokens!O204</f>
        <v>0</v>
      </c>
      <c r="N202">
        <f>Tokens!P204</f>
        <v>0</v>
      </c>
      <c r="O202">
        <f>Tokens!Q204</f>
        <v>0</v>
      </c>
      <c r="P202">
        <f>Tokens!R204</f>
        <v>0</v>
      </c>
      <c r="Q202">
        <f>Tokens!S204</f>
        <v>0</v>
      </c>
      <c r="R202">
        <f>Tokens!T204</f>
        <v>0</v>
      </c>
      <c r="S202">
        <f>Tokens!U204</f>
        <v>0</v>
      </c>
      <c r="T202" t="str">
        <f>Tokens!V204</f>
        <v>Dernière utilisation</v>
      </c>
      <c r="U202">
        <f>Tokens!W204</f>
        <v>0</v>
      </c>
      <c r="V202">
        <f>Tokens!X204</f>
        <v>0</v>
      </c>
      <c r="W202">
        <f>Tokens!Y204</f>
        <v>0</v>
      </c>
      <c r="X202">
        <f>Tokens!Z204</f>
        <v>0</v>
      </c>
      <c r="Y202">
        <f>Tokens!AA204</f>
        <v>0</v>
      </c>
      <c r="Z202">
        <f>Tokens!AB204</f>
        <v>0</v>
      </c>
      <c r="AA202">
        <f>Tokens!AC204</f>
        <v>0</v>
      </c>
      <c r="AB202">
        <f>Tokens!AD204</f>
        <v>0</v>
      </c>
      <c r="AC202">
        <f>Tokens!AE204</f>
        <v>0</v>
      </c>
      <c r="AD202">
        <f>Tokens!AF204</f>
        <v>0</v>
      </c>
      <c r="AE202">
        <f>Tokens!AG204</f>
        <v>0</v>
      </c>
      <c r="AF202">
        <f>Tokens!AH204</f>
        <v>0</v>
      </c>
      <c r="AG202">
        <f>Tokens!AI204</f>
        <v>0</v>
      </c>
      <c r="AH202">
        <f>Tokens!AJ204</f>
        <v>0</v>
      </c>
      <c r="AI202">
        <f>Tokens!AK204</f>
        <v>0</v>
      </c>
      <c r="AJ202" t="str">
        <f>Tokens!AL204</f>
        <v>avantage1</v>
      </c>
      <c r="AK202" t="str">
        <f>Tokens!AM204</f>
        <v>1 affiche numérotée (quelques unes seront signées au hasard)</v>
      </c>
      <c r="AL202">
        <f>Tokens!AN204</f>
        <v>0</v>
      </c>
      <c r="AM202">
        <f>Tokens!AO204</f>
        <v>0</v>
      </c>
      <c r="AN202">
        <f>Tokens!AP204</f>
        <v>0</v>
      </c>
      <c r="AO202">
        <f>Tokens!AQ204</f>
        <v>0</v>
      </c>
      <c r="AP202">
        <f>Tokens!AR204</f>
        <v>0</v>
      </c>
      <c r="AQ202">
        <f>Tokens!AS204</f>
        <v>0</v>
      </c>
      <c r="AR202">
        <f>Tokens!AT204</f>
        <v>0</v>
      </c>
      <c r="AS202">
        <f>Tokens!AU204</f>
        <v>0</v>
      </c>
      <c r="AT202" t="str">
        <f>Tokens!AV204</f>
        <v>Validation</v>
      </c>
      <c r="AU202" t="str">
        <f>Tokens!AW204</f>
        <v>https://tokensol.nfluent.io?s=COR22D41&amp;platform=ftx</v>
      </c>
      <c r="AV202" t="str">
        <f>Tokens!AX204</f>
        <v>paul</v>
      </c>
      <c r="AW202">
        <f>Tokens!AY204</f>
        <v>10</v>
      </c>
      <c r="AX202" t="str">
        <f>Tokens!AZ204</f>
        <v>sophie</v>
      </c>
      <c r="AY202">
        <f>Tokens!BA204</f>
        <v>90</v>
      </c>
      <c r="AZ202">
        <f>Tokens!BB204</f>
        <v>0</v>
      </c>
      <c r="BA202">
        <f>Tokens!BC204</f>
        <v>0</v>
      </c>
      <c r="BB202">
        <f>Tokens!BD204</f>
        <v>0</v>
      </c>
      <c r="BC202">
        <f>Tokens!BE204</f>
        <v>0</v>
      </c>
      <c r="BD202">
        <f>Tokens!BF204</f>
        <v>0</v>
      </c>
      <c r="BE202">
        <f>Tokens!BG204</f>
        <v>0</v>
      </c>
      <c r="BF202">
        <f>Tokens!BH204</f>
        <v>0</v>
      </c>
      <c r="BG202">
        <f>Tokens!BI204</f>
        <v>0</v>
      </c>
      <c r="BH202" t="str">
        <f>Tokens!BJ204</f>
        <v>In Casa</v>
      </c>
      <c r="BI202" t="str">
        <f>Tokens!BK204</f>
        <v>Calvi On The Rocks</v>
      </c>
    </row>
    <row r="203" spans="1:61" x14ac:dyDescent="0.25">
      <c r="A203" t="str">
        <f>Tokens!C205</f>
        <v>In Casa #42</v>
      </c>
      <c r="B203" t="str">
        <f>Tokens!D205</f>
        <v>COR22D42</v>
      </c>
      <c r="C203" t="str">
        <f>Tokens!E205</f>
        <v>In Casa, 1 an - Pass NFT 1 jour pour 1 personne, valable pour 1 édition Calvi On The Rocks de votre choix.</v>
      </c>
      <c r="D203">
        <f>Tokens!F205</f>
        <v>1000</v>
      </c>
      <c r="E203" t="str">
        <f>Tokens!G205</f>
        <v>https://bafybeih36fkexscaix2fi4ezikm4agozizkci5atvn4tlfwqlzk6jqyale.ipfs.nftstorage.link?image_42.png</v>
      </c>
      <c r="F203" t="str">
        <f>Tokens!H205</f>
        <v>NfluenT for Calvi On The rocks</v>
      </c>
      <c r="G203">
        <f>Tokens!I205</f>
        <v>0</v>
      </c>
      <c r="H203" t="str">
        <f>Tokens!J205</f>
        <v>Pass festival</v>
      </c>
      <c r="I203" t="str">
        <f>Tokens!K205</f>
        <v>pour une(1) personne</v>
      </c>
      <c r="J203" t="str">
        <f>Tokens!L205</f>
        <v>Edition1</v>
      </c>
      <c r="K203">
        <f>Tokens!M205</f>
        <v>2</v>
      </c>
      <c r="L203">
        <f>Tokens!N205</f>
        <v>0</v>
      </c>
      <c r="M203">
        <f>Tokens!O205</f>
        <v>0</v>
      </c>
      <c r="N203">
        <f>Tokens!P205</f>
        <v>0</v>
      </c>
      <c r="O203">
        <f>Tokens!Q205</f>
        <v>0</v>
      </c>
      <c r="P203">
        <f>Tokens!R205</f>
        <v>0</v>
      </c>
      <c r="Q203">
        <f>Tokens!S205</f>
        <v>0</v>
      </c>
      <c r="R203">
        <f>Tokens!T205</f>
        <v>0</v>
      </c>
      <c r="S203">
        <f>Tokens!U205</f>
        <v>0</v>
      </c>
      <c r="T203" t="str">
        <f>Tokens!V205</f>
        <v>Dernière utilisation</v>
      </c>
      <c r="U203">
        <f>Tokens!W205</f>
        <v>0</v>
      </c>
      <c r="V203">
        <f>Tokens!X205</f>
        <v>0</v>
      </c>
      <c r="W203">
        <f>Tokens!Y205</f>
        <v>0</v>
      </c>
      <c r="X203">
        <f>Tokens!Z205</f>
        <v>0</v>
      </c>
      <c r="Y203">
        <f>Tokens!AA205</f>
        <v>0</v>
      </c>
      <c r="Z203">
        <f>Tokens!AB205</f>
        <v>0</v>
      </c>
      <c r="AA203">
        <f>Tokens!AC205</f>
        <v>0</v>
      </c>
      <c r="AB203">
        <f>Tokens!AD205</f>
        <v>0</v>
      </c>
      <c r="AC203">
        <f>Tokens!AE205</f>
        <v>0</v>
      </c>
      <c r="AD203">
        <f>Tokens!AF205</f>
        <v>0</v>
      </c>
      <c r="AE203">
        <f>Tokens!AG205</f>
        <v>0</v>
      </c>
      <c r="AF203">
        <f>Tokens!AH205</f>
        <v>0</v>
      </c>
      <c r="AG203">
        <f>Tokens!AI205</f>
        <v>0</v>
      </c>
      <c r="AH203">
        <f>Tokens!AJ205</f>
        <v>0</v>
      </c>
      <c r="AI203">
        <f>Tokens!AK205</f>
        <v>0</v>
      </c>
      <c r="AJ203" t="str">
        <f>Tokens!AL205</f>
        <v>avantage1</v>
      </c>
      <c r="AK203" t="str">
        <f>Tokens!AM205</f>
        <v>1 affiche numérotée (quelques unes seront signées au hasard)</v>
      </c>
      <c r="AL203">
        <f>Tokens!AN205</f>
        <v>0</v>
      </c>
      <c r="AM203">
        <f>Tokens!AO205</f>
        <v>0</v>
      </c>
      <c r="AN203">
        <f>Tokens!AP205</f>
        <v>0</v>
      </c>
      <c r="AO203">
        <f>Tokens!AQ205</f>
        <v>0</v>
      </c>
      <c r="AP203">
        <f>Tokens!AR205</f>
        <v>0</v>
      </c>
      <c r="AQ203">
        <f>Tokens!AS205</f>
        <v>0</v>
      </c>
      <c r="AR203">
        <f>Tokens!AT205</f>
        <v>0</v>
      </c>
      <c r="AS203">
        <f>Tokens!AU205</f>
        <v>0</v>
      </c>
      <c r="AT203" t="str">
        <f>Tokens!AV205</f>
        <v>Validation</v>
      </c>
      <c r="AU203" t="str">
        <f>Tokens!AW205</f>
        <v>https://tokensol.nfluent.io?s=COR22D42&amp;platform=ftx</v>
      </c>
      <c r="AV203" t="str">
        <f>Tokens!AX205</f>
        <v>paul</v>
      </c>
      <c r="AW203">
        <f>Tokens!AY205</f>
        <v>10</v>
      </c>
      <c r="AX203" t="str">
        <f>Tokens!AZ205</f>
        <v>sophie</v>
      </c>
      <c r="AY203">
        <f>Tokens!BA205</f>
        <v>90</v>
      </c>
      <c r="AZ203">
        <f>Tokens!BB205</f>
        <v>0</v>
      </c>
      <c r="BA203">
        <f>Tokens!BC205</f>
        <v>0</v>
      </c>
      <c r="BB203">
        <f>Tokens!BD205</f>
        <v>0</v>
      </c>
      <c r="BC203">
        <f>Tokens!BE205</f>
        <v>0</v>
      </c>
      <c r="BD203">
        <f>Tokens!BF205</f>
        <v>0</v>
      </c>
      <c r="BE203">
        <f>Tokens!BG205</f>
        <v>0</v>
      </c>
      <c r="BF203">
        <f>Tokens!BH205</f>
        <v>0</v>
      </c>
      <c r="BG203">
        <f>Tokens!BI205</f>
        <v>0</v>
      </c>
      <c r="BH203" t="str">
        <f>Tokens!BJ205</f>
        <v>In Casa</v>
      </c>
      <c r="BI203" t="str">
        <f>Tokens!BK205</f>
        <v>Calvi On The Rocks</v>
      </c>
    </row>
    <row r="204" spans="1:61" x14ac:dyDescent="0.25">
      <c r="A204" t="str">
        <f>Tokens!C206</f>
        <v>In Casa #43</v>
      </c>
      <c r="B204" t="str">
        <f>Tokens!D206</f>
        <v>COR22D43</v>
      </c>
      <c r="C204" t="str">
        <f>Tokens!E206</f>
        <v>In Casa, 1 an - Pass NFT 1 jour pour 1 personne, valable pour 1 édition Calvi On The Rocks de votre choix.</v>
      </c>
      <c r="D204">
        <f>Tokens!F206</f>
        <v>1000</v>
      </c>
      <c r="E204" t="str">
        <f>Tokens!G206</f>
        <v>https://bafybeiepf2mmfhwxy2yfgiyakf4sr3c3lozzc72bkpy4c3wpujbpngapba.ipfs.nftstorage.link?image_43.png</v>
      </c>
      <c r="F204" t="str">
        <f>Tokens!H206</f>
        <v>NfluenT for Calvi On The rocks</v>
      </c>
      <c r="G204">
        <f>Tokens!I206</f>
        <v>0</v>
      </c>
      <c r="H204" t="str">
        <f>Tokens!J206</f>
        <v>Pass festival</v>
      </c>
      <c r="I204" t="str">
        <f>Tokens!K206</f>
        <v>pour une(1) personne</v>
      </c>
      <c r="J204" t="str">
        <f>Tokens!L206</f>
        <v>Edition1</v>
      </c>
      <c r="K204">
        <f>Tokens!M206</f>
        <v>2</v>
      </c>
      <c r="L204">
        <f>Tokens!N206</f>
        <v>0</v>
      </c>
      <c r="M204">
        <f>Tokens!O206</f>
        <v>0</v>
      </c>
      <c r="N204">
        <f>Tokens!P206</f>
        <v>0</v>
      </c>
      <c r="O204">
        <f>Tokens!Q206</f>
        <v>0</v>
      </c>
      <c r="P204">
        <f>Tokens!R206</f>
        <v>0</v>
      </c>
      <c r="Q204">
        <f>Tokens!S206</f>
        <v>0</v>
      </c>
      <c r="R204">
        <f>Tokens!T206</f>
        <v>0</v>
      </c>
      <c r="S204">
        <f>Tokens!U206</f>
        <v>0</v>
      </c>
      <c r="T204" t="str">
        <f>Tokens!V206</f>
        <v>Dernière utilisation</v>
      </c>
      <c r="U204">
        <f>Tokens!W206</f>
        <v>0</v>
      </c>
      <c r="V204">
        <f>Tokens!X206</f>
        <v>0</v>
      </c>
      <c r="W204">
        <f>Tokens!Y206</f>
        <v>0</v>
      </c>
      <c r="X204">
        <f>Tokens!Z206</f>
        <v>0</v>
      </c>
      <c r="Y204">
        <f>Tokens!AA206</f>
        <v>0</v>
      </c>
      <c r="Z204">
        <f>Tokens!AB206</f>
        <v>0</v>
      </c>
      <c r="AA204">
        <f>Tokens!AC206</f>
        <v>0</v>
      </c>
      <c r="AB204">
        <f>Tokens!AD206</f>
        <v>0</v>
      </c>
      <c r="AC204">
        <f>Tokens!AE206</f>
        <v>0</v>
      </c>
      <c r="AD204">
        <f>Tokens!AF206</f>
        <v>0</v>
      </c>
      <c r="AE204">
        <f>Tokens!AG206</f>
        <v>0</v>
      </c>
      <c r="AF204">
        <f>Tokens!AH206</f>
        <v>0</v>
      </c>
      <c r="AG204">
        <f>Tokens!AI206</f>
        <v>0</v>
      </c>
      <c r="AH204">
        <f>Tokens!AJ206</f>
        <v>0</v>
      </c>
      <c r="AI204">
        <f>Tokens!AK206</f>
        <v>0</v>
      </c>
      <c r="AJ204" t="str">
        <f>Tokens!AL206</f>
        <v>avantage1</v>
      </c>
      <c r="AK204" t="str">
        <f>Tokens!AM206</f>
        <v>1 affiche numérotée (quelques unes seront signées au hasard)</v>
      </c>
      <c r="AL204">
        <f>Tokens!AN206</f>
        <v>0</v>
      </c>
      <c r="AM204">
        <f>Tokens!AO206</f>
        <v>0</v>
      </c>
      <c r="AN204">
        <f>Tokens!AP206</f>
        <v>0</v>
      </c>
      <c r="AO204">
        <f>Tokens!AQ206</f>
        <v>0</v>
      </c>
      <c r="AP204">
        <f>Tokens!AR206</f>
        <v>0</v>
      </c>
      <c r="AQ204">
        <f>Tokens!AS206</f>
        <v>0</v>
      </c>
      <c r="AR204">
        <f>Tokens!AT206</f>
        <v>0</v>
      </c>
      <c r="AS204">
        <f>Tokens!AU206</f>
        <v>0</v>
      </c>
      <c r="AT204" t="str">
        <f>Tokens!AV206</f>
        <v>Validation</v>
      </c>
      <c r="AU204" t="str">
        <f>Tokens!AW206</f>
        <v>https://tokensol.nfluent.io?s=COR22D43&amp;platform=ftx</v>
      </c>
      <c r="AV204" t="str">
        <f>Tokens!AX206</f>
        <v>paul</v>
      </c>
      <c r="AW204">
        <f>Tokens!AY206</f>
        <v>10</v>
      </c>
      <c r="AX204" t="str">
        <f>Tokens!AZ206</f>
        <v>sophie</v>
      </c>
      <c r="AY204">
        <f>Tokens!BA206</f>
        <v>90</v>
      </c>
      <c r="AZ204">
        <f>Tokens!BB206</f>
        <v>0</v>
      </c>
      <c r="BA204">
        <f>Tokens!BC206</f>
        <v>0</v>
      </c>
      <c r="BB204">
        <f>Tokens!BD206</f>
        <v>0</v>
      </c>
      <c r="BC204">
        <f>Tokens!BE206</f>
        <v>0</v>
      </c>
      <c r="BD204">
        <f>Tokens!BF206</f>
        <v>0</v>
      </c>
      <c r="BE204">
        <f>Tokens!BG206</f>
        <v>0</v>
      </c>
      <c r="BF204">
        <f>Tokens!BH206</f>
        <v>0</v>
      </c>
      <c r="BG204">
        <f>Tokens!BI206</f>
        <v>0</v>
      </c>
      <c r="BH204" t="str">
        <f>Tokens!BJ206</f>
        <v>In Casa</v>
      </c>
      <c r="BI204" t="str">
        <f>Tokens!BK206</f>
        <v>Calvi On The Rocks</v>
      </c>
    </row>
    <row r="205" spans="1:61" x14ac:dyDescent="0.25">
      <c r="A205" t="str">
        <f>Tokens!C207</f>
        <v>In Casa #44</v>
      </c>
      <c r="B205" t="str">
        <f>Tokens!D207</f>
        <v>COR22D44</v>
      </c>
      <c r="C205" t="str">
        <f>Tokens!E207</f>
        <v>In Casa, 1 an - Pass NFT 1 jour pour 1 personne, valable pour 1 édition Calvi On The Rocks de votre choix.</v>
      </c>
      <c r="D205">
        <f>Tokens!F207</f>
        <v>1000</v>
      </c>
      <c r="E205" t="str">
        <f>Tokens!G207</f>
        <v>https://bafybeicbkrimta6u63lu37xvyys6gr7nftj4xzmwd4tw5ixvusqbwrpkhy.ipfs.nftstorage.link?image_44.png</v>
      </c>
      <c r="F205" t="str">
        <f>Tokens!H207</f>
        <v>NfluenT for Calvi On The rocks</v>
      </c>
      <c r="G205">
        <f>Tokens!I207</f>
        <v>0</v>
      </c>
      <c r="H205" t="str">
        <f>Tokens!J207</f>
        <v>Pass festival</v>
      </c>
      <c r="I205" t="str">
        <f>Tokens!K207</f>
        <v>pour une(1) personne</v>
      </c>
      <c r="J205" t="str">
        <f>Tokens!L207</f>
        <v>Edition1</v>
      </c>
      <c r="K205">
        <f>Tokens!M207</f>
        <v>2</v>
      </c>
      <c r="L205">
        <f>Tokens!N207</f>
        <v>0</v>
      </c>
      <c r="M205">
        <f>Tokens!O207</f>
        <v>0</v>
      </c>
      <c r="N205">
        <f>Tokens!P207</f>
        <v>0</v>
      </c>
      <c r="O205">
        <f>Tokens!Q207</f>
        <v>0</v>
      </c>
      <c r="P205">
        <f>Tokens!R207</f>
        <v>0</v>
      </c>
      <c r="Q205">
        <f>Tokens!S207</f>
        <v>0</v>
      </c>
      <c r="R205">
        <f>Tokens!T207</f>
        <v>0</v>
      </c>
      <c r="S205">
        <f>Tokens!U207</f>
        <v>0</v>
      </c>
      <c r="T205" t="str">
        <f>Tokens!V207</f>
        <v>Dernière utilisation</v>
      </c>
      <c r="U205">
        <f>Tokens!W207</f>
        <v>0</v>
      </c>
      <c r="V205">
        <f>Tokens!X207</f>
        <v>0</v>
      </c>
      <c r="W205">
        <f>Tokens!Y207</f>
        <v>0</v>
      </c>
      <c r="X205">
        <f>Tokens!Z207</f>
        <v>0</v>
      </c>
      <c r="Y205">
        <f>Tokens!AA207</f>
        <v>0</v>
      </c>
      <c r="Z205">
        <f>Tokens!AB207</f>
        <v>0</v>
      </c>
      <c r="AA205">
        <f>Tokens!AC207</f>
        <v>0</v>
      </c>
      <c r="AB205">
        <f>Tokens!AD207</f>
        <v>0</v>
      </c>
      <c r="AC205">
        <f>Tokens!AE207</f>
        <v>0</v>
      </c>
      <c r="AD205">
        <f>Tokens!AF207</f>
        <v>0</v>
      </c>
      <c r="AE205">
        <f>Tokens!AG207</f>
        <v>0</v>
      </c>
      <c r="AF205">
        <f>Tokens!AH207</f>
        <v>0</v>
      </c>
      <c r="AG205">
        <f>Tokens!AI207</f>
        <v>0</v>
      </c>
      <c r="AH205">
        <f>Tokens!AJ207</f>
        <v>0</v>
      </c>
      <c r="AI205">
        <f>Tokens!AK207</f>
        <v>0</v>
      </c>
      <c r="AJ205" t="str">
        <f>Tokens!AL207</f>
        <v>avantage1</v>
      </c>
      <c r="AK205" t="str">
        <f>Tokens!AM207</f>
        <v>1 affiche numérotée (quelques unes seront signées au hasard)</v>
      </c>
      <c r="AL205">
        <f>Tokens!AN207</f>
        <v>0</v>
      </c>
      <c r="AM205">
        <f>Tokens!AO207</f>
        <v>0</v>
      </c>
      <c r="AN205">
        <f>Tokens!AP207</f>
        <v>0</v>
      </c>
      <c r="AO205">
        <f>Tokens!AQ207</f>
        <v>0</v>
      </c>
      <c r="AP205">
        <f>Tokens!AR207</f>
        <v>0</v>
      </c>
      <c r="AQ205">
        <f>Tokens!AS207</f>
        <v>0</v>
      </c>
      <c r="AR205">
        <f>Tokens!AT207</f>
        <v>0</v>
      </c>
      <c r="AS205">
        <f>Tokens!AU207</f>
        <v>0</v>
      </c>
      <c r="AT205" t="str">
        <f>Tokens!AV207</f>
        <v>Validation</v>
      </c>
      <c r="AU205" t="str">
        <f>Tokens!AW207</f>
        <v>https://tokensol.nfluent.io?s=COR22D44&amp;platform=ftx</v>
      </c>
      <c r="AV205" t="str">
        <f>Tokens!AX207</f>
        <v>paul</v>
      </c>
      <c r="AW205">
        <f>Tokens!AY207</f>
        <v>10</v>
      </c>
      <c r="AX205" t="str">
        <f>Tokens!AZ207</f>
        <v>sophie</v>
      </c>
      <c r="AY205">
        <f>Tokens!BA207</f>
        <v>90</v>
      </c>
      <c r="AZ205">
        <f>Tokens!BB207</f>
        <v>0</v>
      </c>
      <c r="BA205">
        <f>Tokens!BC207</f>
        <v>0</v>
      </c>
      <c r="BB205">
        <f>Tokens!BD207</f>
        <v>0</v>
      </c>
      <c r="BC205">
        <f>Tokens!BE207</f>
        <v>0</v>
      </c>
      <c r="BD205">
        <f>Tokens!BF207</f>
        <v>0</v>
      </c>
      <c r="BE205">
        <f>Tokens!BG207</f>
        <v>0</v>
      </c>
      <c r="BF205">
        <f>Tokens!BH207</f>
        <v>0</v>
      </c>
      <c r="BG205">
        <f>Tokens!BI207</f>
        <v>0</v>
      </c>
      <c r="BH205" t="str">
        <f>Tokens!BJ207</f>
        <v>In Casa</v>
      </c>
      <c r="BI205" t="str">
        <f>Tokens!BK207</f>
        <v>Calvi On The Rocks</v>
      </c>
    </row>
    <row r="206" spans="1:61" x14ac:dyDescent="0.25">
      <c r="A206" t="str">
        <f>Tokens!C208</f>
        <v>In Casa #45</v>
      </c>
      <c r="B206" t="str">
        <f>Tokens!D208</f>
        <v>COR22D45</v>
      </c>
      <c r="C206" t="str">
        <f>Tokens!E208</f>
        <v>In Casa, 1 an - Pass NFT 1 jour pour 1 personne, valable pour 1 édition Calvi On The Rocks de votre choix.</v>
      </c>
      <c r="D206">
        <f>Tokens!F208</f>
        <v>1000</v>
      </c>
      <c r="E206" t="str">
        <f>Tokens!G208</f>
        <v>https://bafybeici7jwt5rdbrkdenuizedchyvnwqbeix2ny44c5pkoon3xowwxouu.ipfs.nftstorage.link?image_45.png</v>
      </c>
      <c r="F206" t="str">
        <f>Tokens!H208</f>
        <v>NfluenT for Calvi On The rocks</v>
      </c>
      <c r="G206">
        <f>Tokens!I208</f>
        <v>0</v>
      </c>
      <c r="H206" t="str">
        <f>Tokens!J208</f>
        <v>Pass festival</v>
      </c>
      <c r="I206" t="str">
        <f>Tokens!K208</f>
        <v>pour une(1) personne</v>
      </c>
      <c r="J206" t="str">
        <f>Tokens!L208</f>
        <v>Edition1</v>
      </c>
      <c r="K206">
        <f>Tokens!M208</f>
        <v>2</v>
      </c>
      <c r="L206">
        <f>Tokens!N208</f>
        <v>0</v>
      </c>
      <c r="M206">
        <f>Tokens!O208</f>
        <v>0</v>
      </c>
      <c r="N206">
        <f>Tokens!P208</f>
        <v>0</v>
      </c>
      <c r="O206">
        <f>Tokens!Q208</f>
        <v>0</v>
      </c>
      <c r="P206">
        <f>Tokens!R208</f>
        <v>0</v>
      </c>
      <c r="Q206">
        <f>Tokens!S208</f>
        <v>0</v>
      </c>
      <c r="R206">
        <f>Tokens!T208</f>
        <v>0</v>
      </c>
      <c r="S206">
        <f>Tokens!U208</f>
        <v>0</v>
      </c>
      <c r="T206" t="str">
        <f>Tokens!V208</f>
        <v>Dernière utilisation</v>
      </c>
      <c r="U206">
        <f>Tokens!W208</f>
        <v>0</v>
      </c>
      <c r="V206">
        <f>Tokens!X208</f>
        <v>0</v>
      </c>
      <c r="W206">
        <f>Tokens!Y208</f>
        <v>0</v>
      </c>
      <c r="X206">
        <f>Tokens!Z208</f>
        <v>0</v>
      </c>
      <c r="Y206">
        <f>Tokens!AA208</f>
        <v>0</v>
      </c>
      <c r="Z206">
        <f>Tokens!AB208</f>
        <v>0</v>
      </c>
      <c r="AA206">
        <f>Tokens!AC208</f>
        <v>0</v>
      </c>
      <c r="AB206">
        <f>Tokens!AD208</f>
        <v>0</v>
      </c>
      <c r="AC206">
        <f>Tokens!AE208</f>
        <v>0</v>
      </c>
      <c r="AD206">
        <f>Tokens!AF208</f>
        <v>0</v>
      </c>
      <c r="AE206">
        <f>Tokens!AG208</f>
        <v>0</v>
      </c>
      <c r="AF206">
        <f>Tokens!AH208</f>
        <v>0</v>
      </c>
      <c r="AG206">
        <f>Tokens!AI208</f>
        <v>0</v>
      </c>
      <c r="AH206">
        <f>Tokens!AJ208</f>
        <v>0</v>
      </c>
      <c r="AI206">
        <f>Tokens!AK208</f>
        <v>0</v>
      </c>
      <c r="AJ206" t="str">
        <f>Tokens!AL208</f>
        <v>avantage1</v>
      </c>
      <c r="AK206" t="str">
        <f>Tokens!AM208</f>
        <v>1 affiche numérotée (quelques unes seront signées au hasard)</v>
      </c>
      <c r="AL206">
        <f>Tokens!AN208</f>
        <v>0</v>
      </c>
      <c r="AM206">
        <f>Tokens!AO208</f>
        <v>0</v>
      </c>
      <c r="AN206">
        <f>Tokens!AP208</f>
        <v>0</v>
      </c>
      <c r="AO206">
        <f>Tokens!AQ208</f>
        <v>0</v>
      </c>
      <c r="AP206">
        <f>Tokens!AR208</f>
        <v>0</v>
      </c>
      <c r="AQ206">
        <f>Tokens!AS208</f>
        <v>0</v>
      </c>
      <c r="AR206">
        <f>Tokens!AT208</f>
        <v>0</v>
      </c>
      <c r="AS206">
        <f>Tokens!AU208</f>
        <v>0</v>
      </c>
      <c r="AT206" t="str">
        <f>Tokens!AV208</f>
        <v>Validation</v>
      </c>
      <c r="AU206" t="str">
        <f>Tokens!AW208</f>
        <v>https://tokensol.nfluent.io?s=COR22D45&amp;platform=ftx</v>
      </c>
      <c r="AV206" t="str">
        <f>Tokens!AX208</f>
        <v>paul</v>
      </c>
      <c r="AW206">
        <f>Tokens!AY208</f>
        <v>10</v>
      </c>
      <c r="AX206" t="str">
        <f>Tokens!AZ208</f>
        <v>sophie</v>
      </c>
      <c r="AY206">
        <f>Tokens!BA208</f>
        <v>90</v>
      </c>
      <c r="AZ206">
        <f>Tokens!BB208</f>
        <v>0</v>
      </c>
      <c r="BA206">
        <f>Tokens!BC208</f>
        <v>0</v>
      </c>
      <c r="BB206">
        <f>Tokens!BD208</f>
        <v>0</v>
      </c>
      <c r="BC206">
        <f>Tokens!BE208</f>
        <v>0</v>
      </c>
      <c r="BD206">
        <f>Tokens!BF208</f>
        <v>0</v>
      </c>
      <c r="BE206">
        <f>Tokens!BG208</f>
        <v>0</v>
      </c>
      <c r="BF206">
        <f>Tokens!BH208</f>
        <v>0</v>
      </c>
      <c r="BG206">
        <f>Tokens!BI208</f>
        <v>0</v>
      </c>
      <c r="BH206" t="str">
        <f>Tokens!BJ208</f>
        <v>In Casa</v>
      </c>
      <c r="BI206" t="str">
        <f>Tokens!BK208</f>
        <v>Calvi On The Rocks</v>
      </c>
    </row>
    <row r="207" spans="1:61" x14ac:dyDescent="0.25">
      <c r="A207" t="str">
        <f>Tokens!C209</f>
        <v>In Casa #46</v>
      </c>
      <c r="B207" t="str">
        <f>Tokens!D209</f>
        <v>COR22D46</v>
      </c>
      <c r="C207" t="str">
        <f>Tokens!E209</f>
        <v>In Casa, 1 an - Pass NFT 1 jour pour 1 personne, valable pour 1 édition Calvi On The Rocks de votre choix.</v>
      </c>
      <c r="D207">
        <f>Tokens!F209</f>
        <v>1000</v>
      </c>
      <c r="E207" t="str">
        <f>Tokens!G209</f>
        <v>https://bafybeidfbqo4nmxp2h46wujnl5fd7clgrj3rduhgcku475fnpf4hzhm6ui.ipfs.nftstorage.link?image_46.png</v>
      </c>
      <c r="F207" t="str">
        <f>Tokens!H209</f>
        <v>NfluenT for Calvi On The rocks</v>
      </c>
      <c r="G207">
        <f>Tokens!I209</f>
        <v>0</v>
      </c>
      <c r="H207" t="str">
        <f>Tokens!J209</f>
        <v>Pass festival</v>
      </c>
      <c r="I207" t="str">
        <f>Tokens!K209</f>
        <v>pour une(1) personne</v>
      </c>
      <c r="J207" t="str">
        <f>Tokens!L209</f>
        <v>Edition1</v>
      </c>
      <c r="K207">
        <f>Tokens!M209</f>
        <v>2</v>
      </c>
      <c r="L207">
        <f>Tokens!N209</f>
        <v>0</v>
      </c>
      <c r="M207">
        <f>Tokens!O209</f>
        <v>0</v>
      </c>
      <c r="N207">
        <f>Tokens!P209</f>
        <v>0</v>
      </c>
      <c r="O207">
        <f>Tokens!Q209</f>
        <v>0</v>
      </c>
      <c r="P207">
        <f>Tokens!R209</f>
        <v>0</v>
      </c>
      <c r="Q207">
        <f>Tokens!S209</f>
        <v>0</v>
      </c>
      <c r="R207">
        <f>Tokens!T209</f>
        <v>0</v>
      </c>
      <c r="S207">
        <f>Tokens!U209</f>
        <v>0</v>
      </c>
      <c r="T207" t="str">
        <f>Tokens!V209</f>
        <v>Dernière utilisation</v>
      </c>
      <c r="U207">
        <f>Tokens!W209</f>
        <v>0</v>
      </c>
      <c r="V207">
        <f>Tokens!X209</f>
        <v>0</v>
      </c>
      <c r="W207">
        <f>Tokens!Y209</f>
        <v>0</v>
      </c>
      <c r="X207">
        <f>Tokens!Z209</f>
        <v>0</v>
      </c>
      <c r="Y207">
        <f>Tokens!AA209</f>
        <v>0</v>
      </c>
      <c r="Z207">
        <f>Tokens!AB209</f>
        <v>0</v>
      </c>
      <c r="AA207">
        <f>Tokens!AC209</f>
        <v>0</v>
      </c>
      <c r="AB207">
        <f>Tokens!AD209</f>
        <v>0</v>
      </c>
      <c r="AC207">
        <f>Tokens!AE209</f>
        <v>0</v>
      </c>
      <c r="AD207">
        <f>Tokens!AF209</f>
        <v>0</v>
      </c>
      <c r="AE207">
        <f>Tokens!AG209</f>
        <v>0</v>
      </c>
      <c r="AF207">
        <f>Tokens!AH209</f>
        <v>0</v>
      </c>
      <c r="AG207">
        <f>Tokens!AI209</f>
        <v>0</v>
      </c>
      <c r="AH207">
        <f>Tokens!AJ209</f>
        <v>0</v>
      </c>
      <c r="AI207">
        <f>Tokens!AK209</f>
        <v>0</v>
      </c>
      <c r="AJ207" t="str">
        <f>Tokens!AL209</f>
        <v>avantage1</v>
      </c>
      <c r="AK207" t="str">
        <f>Tokens!AM209</f>
        <v>1 affiche numérotée (quelques unes seront signées au hasard)</v>
      </c>
      <c r="AL207">
        <f>Tokens!AN209</f>
        <v>0</v>
      </c>
      <c r="AM207">
        <f>Tokens!AO209</f>
        <v>0</v>
      </c>
      <c r="AN207">
        <f>Tokens!AP209</f>
        <v>0</v>
      </c>
      <c r="AO207">
        <f>Tokens!AQ209</f>
        <v>0</v>
      </c>
      <c r="AP207">
        <f>Tokens!AR209</f>
        <v>0</v>
      </c>
      <c r="AQ207">
        <f>Tokens!AS209</f>
        <v>0</v>
      </c>
      <c r="AR207">
        <f>Tokens!AT209</f>
        <v>0</v>
      </c>
      <c r="AS207">
        <f>Tokens!AU209</f>
        <v>0</v>
      </c>
      <c r="AT207" t="str">
        <f>Tokens!AV209</f>
        <v>Validation</v>
      </c>
      <c r="AU207" t="str">
        <f>Tokens!AW209</f>
        <v>https://tokensol.nfluent.io?s=COR22D46&amp;platform=ftx</v>
      </c>
      <c r="AV207" t="str">
        <f>Tokens!AX209</f>
        <v>paul</v>
      </c>
      <c r="AW207">
        <f>Tokens!AY209</f>
        <v>10</v>
      </c>
      <c r="AX207" t="str">
        <f>Tokens!AZ209</f>
        <v>sophie</v>
      </c>
      <c r="AY207">
        <f>Tokens!BA209</f>
        <v>90</v>
      </c>
      <c r="AZ207">
        <f>Tokens!BB209</f>
        <v>0</v>
      </c>
      <c r="BA207">
        <f>Tokens!BC209</f>
        <v>0</v>
      </c>
      <c r="BB207">
        <f>Tokens!BD209</f>
        <v>0</v>
      </c>
      <c r="BC207">
        <f>Tokens!BE209</f>
        <v>0</v>
      </c>
      <c r="BD207">
        <f>Tokens!BF209</f>
        <v>0</v>
      </c>
      <c r="BE207">
        <f>Tokens!BG209</f>
        <v>0</v>
      </c>
      <c r="BF207">
        <f>Tokens!BH209</f>
        <v>0</v>
      </c>
      <c r="BG207">
        <f>Tokens!BI209</f>
        <v>0</v>
      </c>
      <c r="BH207" t="str">
        <f>Tokens!BJ209</f>
        <v>In Casa</v>
      </c>
      <c r="BI207" t="str">
        <f>Tokens!BK209</f>
        <v>Calvi On The Rocks</v>
      </c>
    </row>
    <row r="208" spans="1:61" x14ac:dyDescent="0.25">
      <c r="A208" t="str">
        <f>Tokens!C210</f>
        <v>In Casa #47</v>
      </c>
      <c r="B208" t="str">
        <f>Tokens!D210</f>
        <v>COR22D47</v>
      </c>
      <c r="C208" t="str">
        <f>Tokens!E210</f>
        <v>In Casa, 1 an - Pass NFT 1 jour pour 1 personne, valable pour 1 édition Calvi On The Rocks de votre choix.</v>
      </c>
      <c r="D208">
        <f>Tokens!F210</f>
        <v>1000</v>
      </c>
      <c r="E208" t="str">
        <f>Tokens!G210</f>
        <v>https://bafybeicce3jue6k2jfz4u2cltz7rkznp6cnawbkyzeldbb56oifn76tkmm.ipfs.nftstorage.link?image_47.png</v>
      </c>
      <c r="F208" t="str">
        <f>Tokens!H210</f>
        <v>NfluenT for Calvi On The rocks</v>
      </c>
      <c r="G208">
        <f>Tokens!I210</f>
        <v>0</v>
      </c>
      <c r="H208" t="str">
        <f>Tokens!J210</f>
        <v>Pass festival</v>
      </c>
      <c r="I208" t="str">
        <f>Tokens!K210</f>
        <v>pour une(1) personne</v>
      </c>
      <c r="J208" t="str">
        <f>Tokens!L210</f>
        <v>Edition1</v>
      </c>
      <c r="K208">
        <f>Tokens!M210</f>
        <v>2</v>
      </c>
      <c r="L208">
        <f>Tokens!N210</f>
        <v>0</v>
      </c>
      <c r="M208">
        <f>Tokens!O210</f>
        <v>0</v>
      </c>
      <c r="N208">
        <f>Tokens!P210</f>
        <v>0</v>
      </c>
      <c r="O208">
        <f>Tokens!Q210</f>
        <v>0</v>
      </c>
      <c r="P208">
        <f>Tokens!R210</f>
        <v>0</v>
      </c>
      <c r="Q208">
        <f>Tokens!S210</f>
        <v>0</v>
      </c>
      <c r="R208">
        <f>Tokens!T210</f>
        <v>0</v>
      </c>
      <c r="S208">
        <f>Tokens!U210</f>
        <v>0</v>
      </c>
      <c r="T208" t="str">
        <f>Tokens!V210</f>
        <v>Dernière utilisation</v>
      </c>
      <c r="U208">
        <f>Tokens!W210</f>
        <v>0</v>
      </c>
      <c r="V208">
        <f>Tokens!X210</f>
        <v>0</v>
      </c>
      <c r="W208">
        <f>Tokens!Y210</f>
        <v>0</v>
      </c>
      <c r="X208">
        <f>Tokens!Z210</f>
        <v>0</v>
      </c>
      <c r="Y208">
        <f>Tokens!AA210</f>
        <v>0</v>
      </c>
      <c r="Z208">
        <f>Tokens!AB210</f>
        <v>0</v>
      </c>
      <c r="AA208">
        <f>Tokens!AC210</f>
        <v>0</v>
      </c>
      <c r="AB208">
        <f>Tokens!AD210</f>
        <v>0</v>
      </c>
      <c r="AC208">
        <f>Tokens!AE210</f>
        <v>0</v>
      </c>
      <c r="AD208">
        <f>Tokens!AF210</f>
        <v>0</v>
      </c>
      <c r="AE208">
        <f>Tokens!AG210</f>
        <v>0</v>
      </c>
      <c r="AF208">
        <f>Tokens!AH210</f>
        <v>0</v>
      </c>
      <c r="AG208">
        <f>Tokens!AI210</f>
        <v>0</v>
      </c>
      <c r="AH208">
        <f>Tokens!AJ210</f>
        <v>0</v>
      </c>
      <c r="AI208">
        <f>Tokens!AK210</f>
        <v>0</v>
      </c>
      <c r="AJ208" t="str">
        <f>Tokens!AL210</f>
        <v>avantage1</v>
      </c>
      <c r="AK208" t="str">
        <f>Tokens!AM210</f>
        <v>1 affiche numérotée (quelques unes seront signées au hasard)</v>
      </c>
      <c r="AL208">
        <f>Tokens!AN210</f>
        <v>0</v>
      </c>
      <c r="AM208">
        <f>Tokens!AO210</f>
        <v>0</v>
      </c>
      <c r="AN208">
        <f>Tokens!AP210</f>
        <v>0</v>
      </c>
      <c r="AO208">
        <f>Tokens!AQ210</f>
        <v>0</v>
      </c>
      <c r="AP208">
        <f>Tokens!AR210</f>
        <v>0</v>
      </c>
      <c r="AQ208">
        <f>Tokens!AS210</f>
        <v>0</v>
      </c>
      <c r="AR208">
        <f>Tokens!AT210</f>
        <v>0</v>
      </c>
      <c r="AS208">
        <f>Tokens!AU210</f>
        <v>0</v>
      </c>
      <c r="AT208" t="str">
        <f>Tokens!AV210</f>
        <v>Validation</v>
      </c>
      <c r="AU208" t="str">
        <f>Tokens!AW210</f>
        <v>https://tokensol.nfluent.io?s=COR22D47&amp;platform=ftx</v>
      </c>
      <c r="AV208" t="str">
        <f>Tokens!AX210</f>
        <v>paul</v>
      </c>
      <c r="AW208">
        <f>Tokens!AY210</f>
        <v>10</v>
      </c>
      <c r="AX208" t="str">
        <f>Tokens!AZ210</f>
        <v>sophie</v>
      </c>
      <c r="AY208">
        <f>Tokens!BA210</f>
        <v>90</v>
      </c>
      <c r="AZ208">
        <f>Tokens!BB210</f>
        <v>0</v>
      </c>
      <c r="BA208">
        <f>Tokens!BC210</f>
        <v>0</v>
      </c>
      <c r="BB208">
        <f>Tokens!BD210</f>
        <v>0</v>
      </c>
      <c r="BC208">
        <f>Tokens!BE210</f>
        <v>0</v>
      </c>
      <c r="BD208">
        <f>Tokens!BF210</f>
        <v>0</v>
      </c>
      <c r="BE208">
        <f>Tokens!BG210</f>
        <v>0</v>
      </c>
      <c r="BF208">
        <f>Tokens!BH210</f>
        <v>0</v>
      </c>
      <c r="BG208">
        <f>Tokens!BI210</f>
        <v>0</v>
      </c>
      <c r="BH208" t="str">
        <f>Tokens!BJ210</f>
        <v>In Casa</v>
      </c>
      <c r="BI208" t="str">
        <f>Tokens!BK210</f>
        <v>Calvi On The Rocks</v>
      </c>
    </row>
    <row r="209" spans="1:61" x14ac:dyDescent="0.25">
      <c r="A209" t="str">
        <f>Tokens!C211</f>
        <v>In Casa #48</v>
      </c>
      <c r="B209" t="str">
        <f>Tokens!D211</f>
        <v>COR22D48</v>
      </c>
      <c r="C209" t="str">
        <f>Tokens!E211</f>
        <v>In Casa, 1 an - Pass NFT 1 jour pour 1 personne, valable pour 1 édition Calvi On The Rocks de votre choix.</v>
      </c>
      <c r="D209">
        <f>Tokens!F211</f>
        <v>1000</v>
      </c>
      <c r="E209" t="str">
        <f>Tokens!G211</f>
        <v>https://bafybeifk3s3urdgsqmogbxnfdaxhkvqeojb34bn6qdtouby63d6vxwlb5u.ipfs.nftstorage.link?image_48.png</v>
      </c>
      <c r="F209" t="str">
        <f>Tokens!H211</f>
        <v>NfluenT for Calvi On The rocks</v>
      </c>
      <c r="G209">
        <f>Tokens!I211</f>
        <v>0</v>
      </c>
      <c r="H209" t="str">
        <f>Tokens!J211</f>
        <v>Pass festival</v>
      </c>
      <c r="I209" t="str">
        <f>Tokens!K211</f>
        <v>pour une(1) personne</v>
      </c>
      <c r="J209" t="str">
        <f>Tokens!L211</f>
        <v>Edition1</v>
      </c>
      <c r="K209">
        <f>Tokens!M211</f>
        <v>2</v>
      </c>
      <c r="L209">
        <f>Tokens!N211</f>
        <v>0</v>
      </c>
      <c r="M209">
        <f>Tokens!O211</f>
        <v>0</v>
      </c>
      <c r="N209">
        <f>Tokens!P211</f>
        <v>0</v>
      </c>
      <c r="O209">
        <f>Tokens!Q211</f>
        <v>0</v>
      </c>
      <c r="P209">
        <f>Tokens!R211</f>
        <v>0</v>
      </c>
      <c r="Q209">
        <f>Tokens!S211</f>
        <v>0</v>
      </c>
      <c r="R209">
        <f>Tokens!T211</f>
        <v>0</v>
      </c>
      <c r="S209">
        <f>Tokens!U211</f>
        <v>0</v>
      </c>
      <c r="T209" t="str">
        <f>Tokens!V211</f>
        <v>Dernière utilisation</v>
      </c>
      <c r="U209">
        <f>Tokens!W211</f>
        <v>0</v>
      </c>
      <c r="V209">
        <f>Tokens!X211</f>
        <v>0</v>
      </c>
      <c r="W209">
        <f>Tokens!Y211</f>
        <v>0</v>
      </c>
      <c r="X209">
        <f>Tokens!Z211</f>
        <v>0</v>
      </c>
      <c r="Y209">
        <f>Tokens!AA211</f>
        <v>0</v>
      </c>
      <c r="Z209">
        <f>Tokens!AB211</f>
        <v>0</v>
      </c>
      <c r="AA209">
        <f>Tokens!AC211</f>
        <v>0</v>
      </c>
      <c r="AB209">
        <f>Tokens!AD211</f>
        <v>0</v>
      </c>
      <c r="AC209">
        <f>Tokens!AE211</f>
        <v>0</v>
      </c>
      <c r="AD209">
        <f>Tokens!AF211</f>
        <v>0</v>
      </c>
      <c r="AE209">
        <f>Tokens!AG211</f>
        <v>0</v>
      </c>
      <c r="AF209">
        <f>Tokens!AH211</f>
        <v>0</v>
      </c>
      <c r="AG209">
        <f>Tokens!AI211</f>
        <v>0</v>
      </c>
      <c r="AH209">
        <f>Tokens!AJ211</f>
        <v>0</v>
      </c>
      <c r="AI209">
        <f>Tokens!AK211</f>
        <v>0</v>
      </c>
      <c r="AJ209" t="str">
        <f>Tokens!AL211</f>
        <v>avantage1</v>
      </c>
      <c r="AK209" t="str">
        <f>Tokens!AM211</f>
        <v>1 affiche numérotée (quelques unes seront signées au hasard)</v>
      </c>
      <c r="AL209">
        <f>Tokens!AN211</f>
        <v>0</v>
      </c>
      <c r="AM209">
        <f>Tokens!AO211</f>
        <v>0</v>
      </c>
      <c r="AN209">
        <f>Tokens!AP211</f>
        <v>0</v>
      </c>
      <c r="AO209">
        <f>Tokens!AQ211</f>
        <v>0</v>
      </c>
      <c r="AP209">
        <f>Tokens!AR211</f>
        <v>0</v>
      </c>
      <c r="AQ209">
        <f>Tokens!AS211</f>
        <v>0</v>
      </c>
      <c r="AR209">
        <f>Tokens!AT211</f>
        <v>0</v>
      </c>
      <c r="AS209">
        <f>Tokens!AU211</f>
        <v>0</v>
      </c>
      <c r="AT209" t="str">
        <f>Tokens!AV211</f>
        <v>Validation</v>
      </c>
      <c r="AU209" t="str">
        <f>Tokens!AW211</f>
        <v>https://tokensol.nfluent.io?s=COR22D48&amp;platform=ftx</v>
      </c>
      <c r="AV209" t="str">
        <f>Tokens!AX211</f>
        <v>paul</v>
      </c>
      <c r="AW209">
        <f>Tokens!AY211</f>
        <v>10</v>
      </c>
      <c r="AX209" t="str">
        <f>Tokens!AZ211</f>
        <v>sophie</v>
      </c>
      <c r="AY209">
        <f>Tokens!BA211</f>
        <v>90</v>
      </c>
      <c r="AZ209">
        <f>Tokens!BB211</f>
        <v>0</v>
      </c>
      <c r="BA209">
        <f>Tokens!BC211</f>
        <v>0</v>
      </c>
      <c r="BB209">
        <f>Tokens!BD211</f>
        <v>0</v>
      </c>
      <c r="BC209">
        <f>Tokens!BE211</f>
        <v>0</v>
      </c>
      <c r="BD209">
        <f>Tokens!BF211</f>
        <v>0</v>
      </c>
      <c r="BE209">
        <f>Tokens!BG211</f>
        <v>0</v>
      </c>
      <c r="BF209">
        <f>Tokens!BH211</f>
        <v>0</v>
      </c>
      <c r="BG209">
        <f>Tokens!BI211</f>
        <v>0</v>
      </c>
      <c r="BH209" t="str">
        <f>Tokens!BJ211</f>
        <v>In Casa</v>
      </c>
      <c r="BI209" t="str">
        <f>Tokens!BK211</f>
        <v>Calvi On The Rocks</v>
      </c>
    </row>
    <row r="210" spans="1:61" x14ac:dyDescent="0.25">
      <c r="A210" t="str">
        <f>Tokens!C212</f>
        <v>In Casa #49</v>
      </c>
      <c r="B210" t="str">
        <f>Tokens!D212</f>
        <v>COR22D49</v>
      </c>
      <c r="C210" t="str">
        <f>Tokens!E212</f>
        <v>In Casa, 1 an - Pass NFT 1 jour pour 1 personne, valable pour 1 édition Calvi On The Rocks de votre choix.</v>
      </c>
      <c r="D210">
        <f>Tokens!F212</f>
        <v>1000</v>
      </c>
      <c r="E210" t="str">
        <f>Tokens!G212</f>
        <v>https://bafybeidefyk2zvf7ylfslxbgjm7pdc4w5b4szrpgxh62t3srewbahcimwe.ipfs.nftstorage.link?image_49.png</v>
      </c>
      <c r="F210" t="str">
        <f>Tokens!H212</f>
        <v>NfluenT for Calvi On The rocks</v>
      </c>
      <c r="G210">
        <f>Tokens!I212</f>
        <v>0</v>
      </c>
      <c r="H210" t="str">
        <f>Tokens!J212</f>
        <v>Pass festival</v>
      </c>
      <c r="I210" t="str">
        <f>Tokens!K212</f>
        <v>pour une(1) personne</v>
      </c>
      <c r="J210" t="str">
        <f>Tokens!L212</f>
        <v>Edition1</v>
      </c>
      <c r="K210">
        <f>Tokens!M212</f>
        <v>2</v>
      </c>
      <c r="L210">
        <f>Tokens!N212</f>
        <v>0</v>
      </c>
      <c r="M210">
        <f>Tokens!O212</f>
        <v>0</v>
      </c>
      <c r="N210">
        <f>Tokens!P212</f>
        <v>0</v>
      </c>
      <c r="O210">
        <f>Tokens!Q212</f>
        <v>0</v>
      </c>
      <c r="P210">
        <f>Tokens!R212</f>
        <v>0</v>
      </c>
      <c r="Q210">
        <f>Tokens!S212</f>
        <v>0</v>
      </c>
      <c r="R210">
        <f>Tokens!T212</f>
        <v>0</v>
      </c>
      <c r="S210">
        <f>Tokens!U212</f>
        <v>0</v>
      </c>
      <c r="T210" t="str">
        <f>Tokens!V212</f>
        <v>Dernière utilisation</v>
      </c>
      <c r="U210">
        <f>Tokens!W212</f>
        <v>0</v>
      </c>
      <c r="V210">
        <f>Tokens!X212</f>
        <v>0</v>
      </c>
      <c r="W210">
        <f>Tokens!Y212</f>
        <v>0</v>
      </c>
      <c r="X210">
        <f>Tokens!Z212</f>
        <v>0</v>
      </c>
      <c r="Y210">
        <f>Tokens!AA212</f>
        <v>0</v>
      </c>
      <c r="Z210">
        <f>Tokens!AB212</f>
        <v>0</v>
      </c>
      <c r="AA210">
        <f>Tokens!AC212</f>
        <v>0</v>
      </c>
      <c r="AB210">
        <f>Tokens!AD212</f>
        <v>0</v>
      </c>
      <c r="AC210">
        <f>Tokens!AE212</f>
        <v>0</v>
      </c>
      <c r="AD210">
        <f>Tokens!AF212</f>
        <v>0</v>
      </c>
      <c r="AE210">
        <f>Tokens!AG212</f>
        <v>0</v>
      </c>
      <c r="AF210">
        <f>Tokens!AH212</f>
        <v>0</v>
      </c>
      <c r="AG210">
        <f>Tokens!AI212</f>
        <v>0</v>
      </c>
      <c r="AH210">
        <f>Tokens!AJ212</f>
        <v>0</v>
      </c>
      <c r="AI210">
        <f>Tokens!AK212</f>
        <v>0</v>
      </c>
      <c r="AJ210" t="str">
        <f>Tokens!AL212</f>
        <v>avantage1</v>
      </c>
      <c r="AK210" t="str">
        <f>Tokens!AM212</f>
        <v>1 affiche numérotée (quelques unes seront signées au hasard)</v>
      </c>
      <c r="AL210">
        <f>Tokens!AN212</f>
        <v>0</v>
      </c>
      <c r="AM210">
        <f>Tokens!AO212</f>
        <v>0</v>
      </c>
      <c r="AN210">
        <f>Tokens!AP212</f>
        <v>0</v>
      </c>
      <c r="AO210">
        <f>Tokens!AQ212</f>
        <v>0</v>
      </c>
      <c r="AP210">
        <f>Tokens!AR212</f>
        <v>0</v>
      </c>
      <c r="AQ210">
        <f>Tokens!AS212</f>
        <v>0</v>
      </c>
      <c r="AR210">
        <f>Tokens!AT212</f>
        <v>0</v>
      </c>
      <c r="AS210">
        <f>Tokens!AU212</f>
        <v>0</v>
      </c>
      <c r="AT210" t="str">
        <f>Tokens!AV212</f>
        <v>Validation</v>
      </c>
      <c r="AU210" t="str">
        <f>Tokens!AW212</f>
        <v>https://tokensol.nfluent.io?s=COR22D49&amp;platform=ftx</v>
      </c>
      <c r="AV210" t="str">
        <f>Tokens!AX212</f>
        <v>paul</v>
      </c>
      <c r="AW210">
        <f>Tokens!AY212</f>
        <v>10</v>
      </c>
      <c r="AX210" t="str">
        <f>Tokens!AZ212</f>
        <v>sophie</v>
      </c>
      <c r="AY210">
        <f>Tokens!BA212</f>
        <v>90</v>
      </c>
      <c r="AZ210">
        <f>Tokens!BB212</f>
        <v>0</v>
      </c>
      <c r="BA210">
        <f>Tokens!BC212</f>
        <v>0</v>
      </c>
      <c r="BB210">
        <f>Tokens!BD212</f>
        <v>0</v>
      </c>
      <c r="BC210">
        <f>Tokens!BE212</f>
        <v>0</v>
      </c>
      <c r="BD210">
        <f>Tokens!BF212</f>
        <v>0</v>
      </c>
      <c r="BE210">
        <f>Tokens!BG212</f>
        <v>0</v>
      </c>
      <c r="BF210">
        <f>Tokens!BH212</f>
        <v>0</v>
      </c>
      <c r="BG210">
        <f>Tokens!BI212</f>
        <v>0</v>
      </c>
      <c r="BH210" t="str">
        <f>Tokens!BJ212</f>
        <v>In Casa</v>
      </c>
      <c r="BI210" t="str">
        <f>Tokens!BK212</f>
        <v>Calvi On The Rocks</v>
      </c>
    </row>
    <row r="211" spans="1:61" x14ac:dyDescent="0.25">
      <c r="A211" t="str">
        <f>Tokens!C213</f>
        <v>In Casa #50</v>
      </c>
      <c r="B211" t="str">
        <f>Tokens!D213</f>
        <v>COR22D50</v>
      </c>
      <c r="C211" t="str">
        <f>Tokens!E213</f>
        <v>In Casa, 1 an - Pass NFT 1 jour pour 1 personne, valable pour 1 édition Calvi On The Rocks de votre choix.</v>
      </c>
      <c r="D211">
        <f>Tokens!F213</f>
        <v>1000</v>
      </c>
      <c r="E211" t="str">
        <f>Tokens!G213</f>
        <v>https://bafybeidakxptxt4ieutqjmqpupszvnao3uiiud7uhg5suqmtbcuuq4xvh4.ipfs.nftstorage.link?image_50.png</v>
      </c>
      <c r="F211" t="str">
        <f>Tokens!H213</f>
        <v>NfluenT for Calvi On The rocks</v>
      </c>
      <c r="G211">
        <f>Tokens!I213</f>
        <v>0</v>
      </c>
      <c r="H211" t="str">
        <f>Tokens!J213</f>
        <v>Pass festival</v>
      </c>
      <c r="I211" t="str">
        <f>Tokens!K213</f>
        <v>pour une(1) personne</v>
      </c>
      <c r="J211" t="str">
        <f>Tokens!L213</f>
        <v>Edition1</v>
      </c>
      <c r="K211">
        <f>Tokens!M213</f>
        <v>2</v>
      </c>
      <c r="L211">
        <f>Tokens!N213</f>
        <v>0</v>
      </c>
      <c r="M211">
        <f>Tokens!O213</f>
        <v>0</v>
      </c>
      <c r="N211">
        <f>Tokens!P213</f>
        <v>0</v>
      </c>
      <c r="O211">
        <f>Tokens!Q213</f>
        <v>0</v>
      </c>
      <c r="P211">
        <f>Tokens!R213</f>
        <v>0</v>
      </c>
      <c r="Q211">
        <f>Tokens!S213</f>
        <v>0</v>
      </c>
      <c r="R211">
        <f>Tokens!T213</f>
        <v>0</v>
      </c>
      <c r="S211">
        <f>Tokens!U213</f>
        <v>0</v>
      </c>
      <c r="T211" t="str">
        <f>Tokens!V213</f>
        <v>Dernière utilisation</v>
      </c>
      <c r="U211">
        <f>Tokens!W213</f>
        <v>0</v>
      </c>
      <c r="V211">
        <f>Tokens!X213</f>
        <v>0</v>
      </c>
      <c r="W211">
        <f>Tokens!Y213</f>
        <v>0</v>
      </c>
      <c r="X211">
        <f>Tokens!Z213</f>
        <v>0</v>
      </c>
      <c r="Y211">
        <f>Tokens!AA213</f>
        <v>0</v>
      </c>
      <c r="Z211">
        <f>Tokens!AB213</f>
        <v>0</v>
      </c>
      <c r="AA211">
        <f>Tokens!AC213</f>
        <v>0</v>
      </c>
      <c r="AB211">
        <f>Tokens!AD213</f>
        <v>0</v>
      </c>
      <c r="AC211">
        <f>Tokens!AE213</f>
        <v>0</v>
      </c>
      <c r="AD211">
        <f>Tokens!AF213</f>
        <v>0</v>
      </c>
      <c r="AE211">
        <f>Tokens!AG213</f>
        <v>0</v>
      </c>
      <c r="AF211">
        <f>Tokens!AH213</f>
        <v>0</v>
      </c>
      <c r="AG211">
        <f>Tokens!AI213</f>
        <v>0</v>
      </c>
      <c r="AH211">
        <f>Tokens!AJ213</f>
        <v>0</v>
      </c>
      <c r="AI211">
        <f>Tokens!AK213</f>
        <v>0</v>
      </c>
      <c r="AJ211" t="str">
        <f>Tokens!AL213</f>
        <v>avantage1</v>
      </c>
      <c r="AK211" t="str">
        <f>Tokens!AM213</f>
        <v>1 affiche numérotée (quelques unes seront signées au hasard)</v>
      </c>
      <c r="AL211">
        <f>Tokens!AN213</f>
        <v>0</v>
      </c>
      <c r="AM211">
        <f>Tokens!AO213</f>
        <v>0</v>
      </c>
      <c r="AN211">
        <f>Tokens!AP213</f>
        <v>0</v>
      </c>
      <c r="AO211">
        <f>Tokens!AQ213</f>
        <v>0</v>
      </c>
      <c r="AP211">
        <f>Tokens!AR213</f>
        <v>0</v>
      </c>
      <c r="AQ211">
        <f>Tokens!AS213</f>
        <v>0</v>
      </c>
      <c r="AR211">
        <f>Tokens!AT213</f>
        <v>0</v>
      </c>
      <c r="AS211">
        <f>Tokens!AU213</f>
        <v>0</v>
      </c>
      <c r="AT211" t="str">
        <f>Tokens!AV213</f>
        <v>Validation</v>
      </c>
      <c r="AU211" t="str">
        <f>Tokens!AW213</f>
        <v>https://tokensol.nfluent.io?s=COR22D50&amp;platform=ftx</v>
      </c>
      <c r="AV211" t="str">
        <f>Tokens!AX213</f>
        <v>paul</v>
      </c>
      <c r="AW211">
        <f>Tokens!AY213</f>
        <v>10</v>
      </c>
      <c r="AX211" t="str">
        <f>Tokens!AZ213</f>
        <v>sophie</v>
      </c>
      <c r="AY211">
        <f>Tokens!BA213</f>
        <v>90</v>
      </c>
      <c r="AZ211">
        <f>Tokens!BB213</f>
        <v>0</v>
      </c>
      <c r="BA211">
        <f>Tokens!BC213</f>
        <v>0</v>
      </c>
      <c r="BB211">
        <f>Tokens!BD213</f>
        <v>0</v>
      </c>
      <c r="BC211">
        <f>Tokens!BE213</f>
        <v>0</v>
      </c>
      <c r="BD211">
        <f>Tokens!BF213</f>
        <v>0</v>
      </c>
      <c r="BE211">
        <f>Tokens!BG213</f>
        <v>0</v>
      </c>
      <c r="BF211">
        <f>Tokens!BH213</f>
        <v>0</v>
      </c>
      <c r="BG211">
        <f>Tokens!BI213</f>
        <v>0</v>
      </c>
      <c r="BH211" t="str">
        <f>Tokens!BJ213</f>
        <v>In Casa</v>
      </c>
      <c r="BI211" t="str">
        <f>Tokens!BK213</f>
        <v>Calvi On The Rocks</v>
      </c>
    </row>
    <row r="212" spans="1:61" x14ac:dyDescent="0.25">
      <c r="A212" t="str">
        <f>Tokens!C214</f>
        <v>In Casa #51</v>
      </c>
      <c r="B212" t="str">
        <f>Tokens!D214</f>
        <v>COR22D51</v>
      </c>
      <c r="C212" t="str">
        <f>Tokens!E214</f>
        <v>In Casa, 1 an - Pass NFT 1 jour pour 1 personne, valable pour 1 édition Calvi On The Rocks de votre choix.</v>
      </c>
      <c r="D212">
        <f>Tokens!F214</f>
        <v>1000</v>
      </c>
      <c r="E212" t="str">
        <f>Tokens!G214</f>
        <v>https://bafybeiff4ejrpnavetojtg3f2alkvrnbgnbpquhv2xruyeuqk57yvkg2gq.ipfs.nftstorage.link?image_51.png</v>
      </c>
      <c r="F212" t="str">
        <f>Tokens!H214</f>
        <v>NfluenT for Calvi On The rocks</v>
      </c>
      <c r="G212">
        <f>Tokens!I214</f>
        <v>0</v>
      </c>
      <c r="H212" t="str">
        <f>Tokens!J214</f>
        <v>Pass festival</v>
      </c>
      <c r="I212" t="str">
        <f>Tokens!K214</f>
        <v>pour une(1) personne</v>
      </c>
      <c r="J212" t="str">
        <f>Tokens!L214</f>
        <v>Edition1</v>
      </c>
      <c r="K212">
        <f>Tokens!M214</f>
        <v>2</v>
      </c>
      <c r="L212">
        <f>Tokens!N214</f>
        <v>0</v>
      </c>
      <c r="M212">
        <f>Tokens!O214</f>
        <v>0</v>
      </c>
      <c r="N212">
        <f>Tokens!P214</f>
        <v>0</v>
      </c>
      <c r="O212">
        <f>Tokens!Q214</f>
        <v>0</v>
      </c>
      <c r="P212">
        <f>Tokens!R214</f>
        <v>0</v>
      </c>
      <c r="Q212">
        <f>Tokens!S214</f>
        <v>0</v>
      </c>
      <c r="R212">
        <f>Tokens!T214</f>
        <v>0</v>
      </c>
      <c r="S212">
        <f>Tokens!U214</f>
        <v>0</v>
      </c>
      <c r="T212" t="str">
        <f>Tokens!V214</f>
        <v>Dernière utilisation</v>
      </c>
      <c r="U212">
        <f>Tokens!W214</f>
        <v>0</v>
      </c>
      <c r="V212">
        <f>Tokens!X214</f>
        <v>0</v>
      </c>
      <c r="W212">
        <f>Tokens!Y214</f>
        <v>0</v>
      </c>
      <c r="X212">
        <f>Tokens!Z214</f>
        <v>0</v>
      </c>
      <c r="Y212">
        <f>Tokens!AA214</f>
        <v>0</v>
      </c>
      <c r="Z212">
        <f>Tokens!AB214</f>
        <v>0</v>
      </c>
      <c r="AA212">
        <f>Tokens!AC214</f>
        <v>0</v>
      </c>
      <c r="AB212">
        <f>Tokens!AD214</f>
        <v>0</v>
      </c>
      <c r="AC212">
        <f>Tokens!AE214</f>
        <v>0</v>
      </c>
      <c r="AD212">
        <f>Tokens!AF214</f>
        <v>0</v>
      </c>
      <c r="AE212">
        <f>Tokens!AG214</f>
        <v>0</v>
      </c>
      <c r="AF212">
        <f>Tokens!AH214</f>
        <v>0</v>
      </c>
      <c r="AG212">
        <f>Tokens!AI214</f>
        <v>0</v>
      </c>
      <c r="AH212">
        <f>Tokens!AJ214</f>
        <v>0</v>
      </c>
      <c r="AI212">
        <f>Tokens!AK214</f>
        <v>0</v>
      </c>
      <c r="AJ212" t="str">
        <f>Tokens!AL214</f>
        <v>avantage1</v>
      </c>
      <c r="AK212" t="str">
        <f>Tokens!AM214</f>
        <v>1 affiche numérotée (quelques unes seront signées au hasard)</v>
      </c>
      <c r="AL212">
        <f>Tokens!AN214</f>
        <v>0</v>
      </c>
      <c r="AM212">
        <f>Tokens!AO214</f>
        <v>0</v>
      </c>
      <c r="AN212">
        <f>Tokens!AP214</f>
        <v>0</v>
      </c>
      <c r="AO212">
        <f>Tokens!AQ214</f>
        <v>0</v>
      </c>
      <c r="AP212">
        <f>Tokens!AR214</f>
        <v>0</v>
      </c>
      <c r="AQ212">
        <f>Tokens!AS214</f>
        <v>0</v>
      </c>
      <c r="AR212">
        <f>Tokens!AT214</f>
        <v>0</v>
      </c>
      <c r="AS212">
        <f>Tokens!AU214</f>
        <v>0</v>
      </c>
      <c r="AT212" t="str">
        <f>Tokens!AV214</f>
        <v>Validation</v>
      </c>
      <c r="AU212" t="str">
        <f>Tokens!AW214</f>
        <v>https://tokensol.nfluent.io?s=COR22D51&amp;platform=ftx</v>
      </c>
      <c r="AV212" t="str">
        <f>Tokens!AX214</f>
        <v>paul</v>
      </c>
      <c r="AW212">
        <f>Tokens!AY214</f>
        <v>10</v>
      </c>
      <c r="AX212" t="str">
        <f>Tokens!AZ214</f>
        <v>sophie</v>
      </c>
      <c r="AY212">
        <f>Tokens!BA214</f>
        <v>90</v>
      </c>
      <c r="AZ212">
        <f>Tokens!BB214</f>
        <v>0</v>
      </c>
      <c r="BA212">
        <f>Tokens!BC214</f>
        <v>0</v>
      </c>
      <c r="BB212">
        <f>Tokens!BD214</f>
        <v>0</v>
      </c>
      <c r="BC212">
        <f>Tokens!BE214</f>
        <v>0</v>
      </c>
      <c r="BD212">
        <f>Tokens!BF214</f>
        <v>0</v>
      </c>
      <c r="BE212">
        <f>Tokens!BG214</f>
        <v>0</v>
      </c>
      <c r="BF212">
        <f>Tokens!BH214</f>
        <v>0</v>
      </c>
      <c r="BG212">
        <f>Tokens!BI214</f>
        <v>0</v>
      </c>
      <c r="BH212" t="str">
        <f>Tokens!BJ214</f>
        <v>In Casa</v>
      </c>
      <c r="BI212" t="str">
        <f>Tokens!BK214</f>
        <v>Calvi On The Rocks</v>
      </c>
    </row>
    <row r="213" spans="1:61" x14ac:dyDescent="0.25">
      <c r="A213" t="str">
        <f>Tokens!C215</f>
        <v>In Casa #52</v>
      </c>
      <c r="B213" t="str">
        <f>Tokens!D215</f>
        <v>COR22D52</v>
      </c>
      <c r="C213" t="str">
        <f>Tokens!E215</f>
        <v>In Casa, 1 an - Pass NFT 1 jour pour 1 personne, valable pour 1 édition Calvi On The Rocks de votre choix.</v>
      </c>
      <c r="D213">
        <f>Tokens!F215</f>
        <v>1000</v>
      </c>
      <c r="E213" t="str">
        <f>Tokens!G215</f>
        <v>https://bafybeidhsul6v627ocw23to3wvcoazwiuvxanxk5vakgoc3rnbapsspvh4.ipfs.nftstorage.link?image_52.png</v>
      </c>
      <c r="F213" t="str">
        <f>Tokens!H215</f>
        <v>NfluenT for Calvi On The rocks</v>
      </c>
      <c r="G213">
        <f>Tokens!I215</f>
        <v>0</v>
      </c>
      <c r="H213" t="str">
        <f>Tokens!J215</f>
        <v>Pass festival</v>
      </c>
      <c r="I213" t="str">
        <f>Tokens!K215</f>
        <v>pour une(1) personne</v>
      </c>
      <c r="J213" t="str">
        <f>Tokens!L215</f>
        <v>Edition1</v>
      </c>
      <c r="K213">
        <f>Tokens!M215</f>
        <v>2</v>
      </c>
      <c r="L213">
        <f>Tokens!N215</f>
        <v>0</v>
      </c>
      <c r="M213">
        <f>Tokens!O215</f>
        <v>0</v>
      </c>
      <c r="N213">
        <f>Tokens!P215</f>
        <v>0</v>
      </c>
      <c r="O213">
        <f>Tokens!Q215</f>
        <v>0</v>
      </c>
      <c r="P213">
        <f>Tokens!R215</f>
        <v>0</v>
      </c>
      <c r="Q213">
        <f>Tokens!S215</f>
        <v>0</v>
      </c>
      <c r="R213">
        <f>Tokens!T215</f>
        <v>0</v>
      </c>
      <c r="S213">
        <f>Tokens!U215</f>
        <v>0</v>
      </c>
      <c r="T213" t="str">
        <f>Tokens!V215</f>
        <v>Dernière utilisation</v>
      </c>
      <c r="U213">
        <f>Tokens!W215</f>
        <v>0</v>
      </c>
      <c r="V213">
        <f>Tokens!X215</f>
        <v>0</v>
      </c>
      <c r="W213">
        <f>Tokens!Y215</f>
        <v>0</v>
      </c>
      <c r="X213">
        <f>Tokens!Z215</f>
        <v>0</v>
      </c>
      <c r="Y213">
        <f>Tokens!AA215</f>
        <v>0</v>
      </c>
      <c r="Z213">
        <f>Tokens!AB215</f>
        <v>0</v>
      </c>
      <c r="AA213">
        <f>Tokens!AC215</f>
        <v>0</v>
      </c>
      <c r="AB213">
        <f>Tokens!AD215</f>
        <v>0</v>
      </c>
      <c r="AC213">
        <f>Tokens!AE215</f>
        <v>0</v>
      </c>
      <c r="AD213">
        <f>Tokens!AF215</f>
        <v>0</v>
      </c>
      <c r="AE213">
        <f>Tokens!AG215</f>
        <v>0</v>
      </c>
      <c r="AF213">
        <f>Tokens!AH215</f>
        <v>0</v>
      </c>
      <c r="AG213">
        <f>Tokens!AI215</f>
        <v>0</v>
      </c>
      <c r="AH213">
        <f>Tokens!AJ215</f>
        <v>0</v>
      </c>
      <c r="AI213">
        <f>Tokens!AK215</f>
        <v>0</v>
      </c>
      <c r="AJ213" t="str">
        <f>Tokens!AL215</f>
        <v>avantage1</v>
      </c>
      <c r="AK213" t="str">
        <f>Tokens!AM215</f>
        <v>1 affiche numérotée (quelques unes seront signées au hasard)</v>
      </c>
      <c r="AL213">
        <f>Tokens!AN215</f>
        <v>0</v>
      </c>
      <c r="AM213">
        <f>Tokens!AO215</f>
        <v>0</v>
      </c>
      <c r="AN213">
        <f>Tokens!AP215</f>
        <v>0</v>
      </c>
      <c r="AO213">
        <f>Tokens!AQ215</f>
        <v>0</v>
      </c>
      <c r="AP213">
        <f>Tokens!AR215</f>
        <v>0</v>
      </c>
      <c r="AQ213">
        <f>Tokens!AS215</f>
        <v>0</v>
      </c>
      <c r="AR213">
        <f>Tokens!AT215</f>
        <v>0</v>
      </c>
      <c r="AS213">
        <f>Tokens!AU215</f>
        <v>0</v>
      </c>
      <c r="AT213" t="str">
        <f>Tokens!AV215</f>
        <v>Validation</v>
      </c>
      <c r="AU213" t="str">
        <f>Tokens!AW215</f>
        <v>https://tokensol.nfluent.io?s=COR22D52&amp;platform=ftx</v>
      </c>
      <c r="AV213" t="str">
        <f>Tokens!AX215</f>
        <v>paul</v>
      </c>
      <c r="AW213">
        <f>Tokens!AY215</f>
        <v>10</v>
      </c>
      <c r="AX213" t="str">
        <f>Tokens!AZ215</f>
        <v>sophie</v>
      </c>
      <c r="AY213">
        <f>Tokens!BA215</f>
        <v>90</v>
      </c>
      <c r="AZ213">
        <f>Tokens!BB215</f>
        <v>0</v>
      </c>
      <c r="BA213">
        <f>Tokens!BC215</f>
        <v>0</v>
      </c>
      <c r="BB213">
        <f>Tokens!BD215</f>
        <v>0</v>
      </c>
      <c r="BC213">
        <f>Tokens!BE215</f>
        <v>0</v>
      </c>
      <c r="BD213">
        <f>Tokens!BF215</f>
        <v>0</v>
      </c>
      <c r="BE213">
        <f>Tokens!BG215</f>
        <v>0</v>
      </c>
      <c r="BF213">
        <f>Tokens!BH215</f>
        <v>0</v>
      </c>
      <c r="BG213">
        <f>Tokens!BI215</f>
        <v>0</v>
      </c>
      <c r="BH213" t="str">
        <f>Tokens!BJ215</f>
        <v>In Casa</v>
      </c>
      <c r="BI213" t="str">
        <f>Tokens!BK215</f>
        <v>Calvi On The Rocks</v>
      </c>
    </row>
    <row r="214" spans="1:61" x14ac:dyDescent="0.25">
      <c r="A214" t="str">
        <f>Tokens!C216</f>
        <v>In Casa #53</v>
      </c>
      <c r="B214" t="str">
        <f>Tokens!D216</f>
        <v>COR22D53</v>
      </c>
      <c r="C214" t="str">
        <f>Tokens!E216</f>
        <v>In Casa, 1 an - Pass NFT 1 jour pour 1 personne, valable pour 1 édition Calvi On The Rocks de votre choix.</v>
      </c>
      <c r="D214">
        <f>Tokens!F216</f>
        <v>1000</v>
      </c>
      <c r="E214" t="str">
        <f>Tokens!G216</f>
        <v>https://bafybeibbjjvf7nmfutg6oiokbkcebjvx545bqcqdkopzdzf2q4zfnvaqxi.ipfs.nftstorage.link?image_53.png</v>
      </c>
      <c r="F214" t="str">
        <f>Tokens!H216</f>
        <v>NfluenT for Calvi On The rocks</v>
      </c>
      <c r="G214">
        <f>Tokens!I216</f>
        <v>0</v>
      </c>
      <c r="H214" t="str">
        <f>Tokens!J216</f>
        <v>Pass festival</v>
      </c>
      <c r="I214" t="str">
        <f>Tokens!K216</f>
        <v>pour une(1) personne</v>
      </c>
      <c r="J214" t="str">
        <f>Tokens!L216</f>
        <v>Edition1</v>
      </c>
      <c r="K214">
        <f>Tokens!M216</f>
        <v>2</v>
      </c>
      <c r="L214">
        <f>Tokens!N216</f>
        <v>0</v>
      </c>
      <c r="M214">
        <f>Tokens!O216</f>
        <v>0</v>
      </c>
      <c r="N214">
        <f>Tokens!P216</f>
        <v>0</v>
      </c>
      <c r="O214">
        <f>Tokens!Q216</f>
        <v>0</v>
      </c>
      <c r="P214">
        <f>Tokens!R216</f>
        <v>0</v>
      </c>
      <c r="Q214">
        <f>Tokens!S216</f>
        <v>0</v>
      </c>
      <c r="R214">
        <f>Tokens!T216</f>
        <v>0</v>
      </c>
      <c r="S214">
        <f>Tokens!U216</f>
        <v>0</v>
      </c>
      <c r="T214" t="str">
        <f>Tokens!V216</f>
        <v>Dernière utilisation</v>
      </c>
      <c r="U214">
        <f>Tokens!W216</f>
        <v>0</v>
      </c>
      <c r="V214">
        <f>Tokens!X216</f>
        <v>0</v>
      </c>
      <c r="W214">
        <f>Tokens!Y216</f>
        <v>0</v>
      </c>
      <c r="X214">
        <f>Tokens!Z216</f>
        <v>0</v>
      </c>
      <c r="Y214">
        <f>Tokens!AA216</f>
        <v>0</v>
      </c>
      <c r="Z214">
        <f>Tokens!AB216</f>
        <v>0</v>
      </c>
      <c r="AA214">
        <f>Tokens!AC216</f>
        <v>0</v>
      </c>
      <c r="AB214">
        <f>Tokens!AD216</f>
        <v>0</v>
      </c>
      <c r="AC214">
        <f>Tokens!AE216</f>
        <v>0</v>
      </c>
      <c r="AD214">
        <f>Tokens!AF216</f>
        <v>0</v>
      </c>
      <c r="AE214">
        <f>Tokens!AG216</f>
        <v>0</v>
      </c>
      <c r="AF214">
        <f>Tokens!AH216</f>
        <v>0</v>
      </c>
      <c r="AG214">
        <f>Tokens!AI216</f>
        <v>0</v>
      </c>
      <c r="AH214">
        <f>Tokens!AJ216</f>
        <v>0</v>
      </c>
      <c r="AI214">
        <f>Tokens!AK216</f>
        <v>0</v>
      </c>
      <c r="AJ214" t="str">
        <f>Tokens!AL216</f>
        <v>avantage1</v>
      </c>
      <c r="AK214" t="str">
        <f>Tokens!AM216</f>
        <v>1 affiche numérotée (quelques unes seront signées au hasard)</v>
      </c>
      <c r="AL214">
        <f>Tokens!AN216</f>
        <v>0</v>
      </c>
      <c r="AM214">
        <f>Tokens!AO216</f>
        <v>0</v>
      </c>
      <c r="AN214">
        <f>Tokens!AP216</f>
        <v>0</v>
      </c>
      <c r="AO214">
        <f>Tokens!AQ216</f>
        <v>0</v>
      </c>
      <c r="AP214">
        <f>Tokens!AR216</f>
        <v>0</v>
      </c>
      <c r="AQ214">
        <f>Tokens!AS216</f>
        <v>0</v>
      </c>
      <c r="AR214">
        <f>Tokens!AT216</f>
        <v>0</v>
      </c>
      <c r="AS214">
        <f>Tokens!AU216</f>
        <v>0</v>
      </c>
      <c r="AT214" t="str">
        <f>Tokens!AV216</f>
        <v>Validation</v>
      </c>
      <c r="AU214" t="str">
        <f>Tokens!AW216</f>
        <v>https://tokensol.nfluent.io?s=COR22D53&amp;platform=ftx</v>
      </c>
      <c r="AV214" t="str">
        <f>Tokens!AX216</f>
        <v>paul</v>
      </c>
      <c r="AW214">
        <f>Tokens!AY216</f>
        <v>10</v>
      </c>
      <c r="AX214" t="str">
        <f>Tokens!AZ216</f>
        <v>sophie</v>
      </c>
      <c r="AY214">
        <f>Tokens!BA216</f>
        <v>90</v>
      </c>
      <c r="AZ214">
        <f>Tokens!BB216</f>
        <v>0</v>
      </c>
      <c r="BA214">
        <f>Tokens!BC216</f>
        <v>0</v>
      </c>
      <c r="BB214">
        <f>Tokens!BD216</f>
        <v>0</v>
      </c>
      <c r="BC214">
        <f>Tokens!BE216</f>
        <v>0</v>
      </c>
      <c r="BD214">
        <f>Tokens!BF216</f>
        <v>0</v>
      </c>
      <c r="BE214">
        <f>Tokens!BG216</f>
        <v>0</v>
      </c>
      <c r="BF214">
        <f>Tokens!BH216</f>
        <v>0</v>
      </c>
      <c r="BG214">
        <f>Tokens!BI216</f>
        <v>0</v>
      </c>
      <c r="BH214" t="str">
        <f>Tokens!BJ216</f>
        <v>In Casa</v>
      </c>
      <c r="BI214" t="str">
        <f>Tokens!BK216</f>
        <v>Calvi On The Rocks</v>
      </c>
    </row>
    <row r="215" spans="1:61" x14ac:dyDescent="0.25">
      <c r="A215" t="str">
        <f>Tokens!C217</f>
        <v>In Casa #54</v>
      </c>
      <c r="B215" t="str">
        <f>Tokens!D217</f>
        <v>COR22D54</v>
      </c>
      <c r="C215" t="str">
        <f>Tokens!E217</f>
        <v>In Casa, 1 an - Pass NFT 1 jour pour 1 personne, valable pour 1 édition Calvi On The Rocks de votre choix.</v>
      </c>
      <c r="D215">
        <f>Tokens!F217</f>
        <v>1000</v>
      </c>
      <c r="E215" t="str">
        <f>Tokens!G217</f>
        <v>https://bafybeig6dajub3zsvreyeynuwge3sdpolvsmhhnpporhsu6uurplucdowe.ipfs.nftstorage.link?image_54.png</v>
      </c>
      <c r="F215" t="str">
        <f>Tokens!H217</f>
        <v>NfluenT for Calvi On The rocks</v>
      </c>
      <c r="G215">
        <f>Tokens!I217</f>
        <v>0</v>
      </c>
      <c r="H215" t="str">
        <f>Tokens!J217</f>
        <v>Pass festival</v>
      </c>
      <c r="I215" t="str">
        <f>Tokens!K217</f>
        <v>pour une(1) personne</v>
      </c>
      <c r="J215" t="str">
        <f>Tokens!L217</f>
        <v>Edition1</v>
      </c>
      <c r="K215">
        <f>Tokens!M217</f>
        <v>2</v>
      </c>
      <c r="L215">
        <f>Tokens!N217</f>
        <v>0</v>
      </c>
      <c r="M215">
        <f>Tokens!O217</f>
        <v>0</v>
      </c>
      <c r="N215">
        <f>Tokens!P217</f>
        <v>0</v>
      </c>
      <c r="O215">
        <f>Tokens!Q217</f>
        <v>0</v>
      </c>
      <c r="P215">
        <f>Tokens!R217</f>
        <v>0</v>
      </c>
      <c r="Q215">
        <f>Tokens!S217</f>
        <v>0</v>
      </c>
      <c r="R215">
        <f>Tokens!T217</f>
        <v>0</v>
      </c>
      <c r="S215">
        <f>Tokens!U217</f>
        <v>0</v>
      </c>
      <c r="T215" t="str">
        <f>Tokens!V217</f>
        <v>Dernière utilisation</v>
      </c>
      <c r="U215">
        <f>Tokens!W217</f>
        <v>0</v>
      </c>
      <c r="V215">
        <f>Tokens!X217</f>
        <v>0</v>
      </c>
      <c r="W215">
        <f>Tokens!Y217</f>
        <v>0</v>
      </c>
      <c r="X215">
        <f>Tokens!Z217</f>
        <v>0</v>
      </c>
      <c r="Y215">
        <f>Tokens!AA217</f>
        <v>0</v>
      </c>
      <c r="Z215">
        <f>Tokens!AB217</f>
        <v>0</v>
      </c>
      <c r="AA215">
        <f>Tokens!AC217</f>
        <v>0</v>
      </c>
      <c r="AB215">
        <f>Tokens!AD217</f>
        <v>0</v>
      </c>
      <c r="AC215">
        <f>Tokens!AE217</f>
        <v>0</v>
      </c>
      <c r="AD215">
        <f>Tokens!AF217</f>
        <v>0</v>
      </c>
      <c r="AE215">
        <f>Tokens!AG217</f>
        <v>0</v>
      </c>
      <c r="AF215">
        <f>Tokens!AH217</f>
        <v>0</v>
      </c>
      <c r="AG215">
        <f>Tokens!AI217</f>
        <v>0</v>
      </c>
      <c r="AH215">
        <f>Tokens!AJ217</f>
        <v>0</v>
      </c>
      <c r="AI215">
        <f>Tokens!AK217</f>
        <v>0</v>
      </c>
      <c r="AJ215" t="str">
        <f>Tokens!AL217</f>
        <v>avantage1</v>
      </c>
      <c r="AK215" t="str">
        <f>Tokens!AM217</f>
        <v>1 affiche numérotée (quelques unes seront signées au hasard)</v>
      </c>
      <c r="AL215">
        <f>Tokens!AN217</f>
        <v>0</v>
      </c>
      <c r="AM215">
        <f>Tokens!AO217</f>
        <v>0</v>
      </c>
      <c r="AN215">
        <f>Tokens!AP217</f>
        <v>0</v>
      </c>
      <c r="AO215">
        <f>Tokens!AQ217</f>
        <v>0</v>
      </c>
      <c r="AP215">
        <f>Tokens!AR217</f>
        <v>0</v>
      </c>
      <c r="AQ215">
        <f>Tokens!AS217</f>
        <v>0</v>
      </c>
      <c r="AR215">
        <f>Tokens!AT217</f>
        <v>0</v>
      </c>
      <c r="AS215">
        <f>Tokens!AU217</f>
        <v>0</v>
      </c>
      <c r="AT215" t="str">
        <f>Tokens!AV217</f>
        <v>Validation</v>
      </c>
      <c r="AU215" t="str">
        <f>Tokens!AW217</f>
        <v>https://tokensol.nfluent.io?s=COR22D54&amp;platform=ftx</v>
      </c>
      <c r="AV215" t="str">
        <f>Tokens!AX217</f>
        <v>paul</v>
      </c>
      <c r="AW215">
        <f>Tokens!AY217</f>
        <v>10</v>
      </c>
      <c r="AX215" t="str">
        <f>Tokens!AZ217</f>
        <v>sophie</v>
      </c>
      <c r="AY215">
        <f>Tokens!BA217</f>
        <v>90</v>
      </c>
      <c r="AZ215">
        <f>Tokens!BB217</f>
        <v>0</v>
      </c>
      <c r="BA215">
        <f>Tokens!BC217</f>
        <v>0</v>
      </c>
      <c r="BB215">
        <f>Tokens!BD217</f>
        <v>0</v>
      </c>
      <c r="BC215">
        <f>Tokens!BE217</f>
        <v>0</v>
      </c>
      <c r="BD215">
        <f>Tokens!BF217</f>
        <v>0</v>
      </c>
      <c r="BE215">
        <f>Tokens!BG217</f>
        <v>0</v>
      </c>
      <c r="BF215">
        <f>Tokens!BH217</f>
        <v>0</v>
      </c>
      <c r="BG215">
        <f>Tokens!BI217</f>
        <v>0</v>
      </c>
      <c r="BH215" t="str">
        <f>Tokens!BJ217</f>
        <v>In Casa</v>
      </c>
      <c r="BI215" t="str">
        <f>Tokens!BK217</f>
        <v>Calvi On The Rocks</v>
      </c>
    </row>
    <row r="216" spans="1:61" x14ac:dyDescent="0.25">
      <c r="A216" t="str">
        <f>Tokens!C218</f>
        <v>In Casa #55</v>
      </c>
      <c r="B216" t="str">
        <f>Tokens!D218</f>
        <v>COR22D55</v>
      </c>
      <c r="C216" t="str">
        <f>Tokens!E218</f>
        <v>In Casa, 1 an - Pass NFT 1 jour pour 1 personne, valable pour 1 édition Calvi On The Rocks de votre choix.</v>
      </c>
      <c r="D216">
        <f>Tokens!F218</f>
        <v>1000</v>
      </c>
      <c r="E216" t="str">
        <f>Tokens!G218</f>
        <v>https://bafybeicse6agygkylqmn6q5ufcf52s2wa7wd5asvl2rqzo4k2dfh32ufsu.ipfs.nftstorage.link?image_55.png</v>
      </c>
      <c r="F216" t="str">
        <f>Tokens!H218</f>
        <v>NfluenT for Calvi On The rocks</v>
      </c>
      <c r="G216">
        <f>Tokens!I218</f>
        <v>0</v>
      </c>
      <c r="H216" t="str">
        <f>Tokens!J218</f>
        <v>Pass festival</v>
      </c>
      <c r="I216" t="str">
        <f>Tokens!K218</f>
        <v>pour une(1) personne</v>
      </c>
      <c r="J216" t="str">
        <f>Tokens!L218</f>
        <v>Edition1</v>
      </c>
      <c r="K216">
        <f>Tokens!M218</f>
        <v>2</v>
      </c>
      <c r="L216">
        <f>Tokens!N218</f>
        <v>0</v>
      </c>
      <c r="M216">
        <f>Tokens!O218</f>
        <v>0</v>
      </c>
      <c r="N216">
        <f>Tokens!P218</f>
        <v>0</v>
      </c>
      <c r="O216">
        <f>Tokens!Q218</f>
        <v>0</v>
      </c>
      <c r="P216">
        <f>Tokens!R218</f>
        <v>0</v>
      </c>
      <c r="Q216">
        <f>Tokens!S218</f>
        <v>0</v>
      </c>
      <c r="R216">
        <f>Tokens!T218</f>
        <v>0</v>
      </c>
      <c r="S216">
        <f>Tokens!U218</f>
        <v>0</v>
      </c>
      <c r="T216" t="str">
        <f>Tokens!V218</f>
        <v>Dernière utilisation</v>
      </c>
      <c r="U216">
        <f>Tokens!W218</f>
        <v>0</v>
      </c>
      <c r="V216">
        <f>Tokens!X218</f>
        <v>0</v>
      </c>
      <c r="W216">
        <f>Tokens!Y218</f>
        <v>0</v>
      </c>
      <c r="X216">
        <f>Tokens!Z218</f>
        <v>0</v>
      </c>
      <c r="Y216">
        <f>Tokens!AA218</f>
        <v>0</v>
      </c>
      <c r="Z216">
        <f>Tokens!AB218</f>
        <v>0</v>
      </c>
      <c r="AA216">
        <f>Tokens!AC218</f>
        <v>0</v>
      </c>
      <c r="AB216">
        <f>Tokens!AD218</f>
        <v>0</v>
      </c>
      <c r="AC216">
        <f>Tokens!AE218</f>
        <v>0</v>
      </c>
      <c r="AD216">
        <f>Tokens!AF218</f>
        <v>0</v>
      </c>
      <c r="AE216">
        <f>Tokens!AG218</f>
        <v>0</v>
      </c>
      <c r="AF216">
        <f>Tokens!AH218</f>
        <v>0</v>
      </c>
      <c r="AG216">
        <f>Tokens!AI218</f>
        <v>0</v>
      </c>
      <c r="AH216">
        <f>Tokens!AJ218</f>
        <v>0</v>
      </c>
      <c r="AI216">
        <f>Tokens!AK218</f>
        <v>0</v>
      </c>
      <c r="AJ216" t="str">
        <f>Tokens!AL218</f>
        <v>avantage1</v>
      </c>
      <c r="AK216" t="str">
        <f>Tokens!AM218</f>
        <v>1 affiche numérotée (quelques unes seront signées au hasard)</v>
      </c>
      <c r="AL216">
        <f>Tokens!AN218</f>
        <v>0</v>
      </c>
      <c r="AM216">
        <f>Tokens!AO218</f>
        <v>0</v>
      </c>
      <c r="AN216">
        <f>Tokens!AP218</f>
        <v>0</v>
      </c>
      <c r="AO216">
        <f>Tokens!AQ218</f>
        <v>0</v>
      </c>
      <c r="AP216">
        <f>Tokens!AR218</f>
        <v>0</v>
      </c>
      <c r="AQ216">
        <f>Tokens!AS218</f>
        <v>0</v>
      </c>
      <c r="AR216">
        <f>Tokens!AT218</f>
        <v>0</v>
      </c>
      <c r="AS216">
        <f>Tokens!AU218</f>
        <v>0</v>
      </c>
      <c r="AT216" t="str">
        <f>Tokens!AV218</f>
        <v>Validation</v>
      </c>
      <c r="AU216" t="str">
        <f>Tokens!AW218</f>
        <v>https://tokensol.nfluent.io?s=COR22D55&amp;platform=ftx</v>
      </c>
      <c r="AV216" t="str">
        <f>Tokens!AX218</f>
        <v>paul</v>
      </c>
      <c r="AW216">
        <f>Tokens!AY218</f>
        <v>10</v>
      </c>
      <c r="AX216" t="str">
        <f>Tokens!AZ218</f>
        <v>sophie</v>
      </c>
      <c r="AY216">
        <f>Tokens!BA218</f>
        <v>90</v>
      </c>
      <c r="AZ216">
        <f>Tokens!BB218</f>
        <v>0</v>
      </c>
      <c r="BA216">
        <f>Tokens!BC218</f>
        <v>0</v>
      </c>
      <c r="BB216">
        <f>Tokens!BD218</f>
        <v>0</v>
      </c>
      <c r="BC216">
        <f>Tokens!BE218</f>
        <v>0</v>
      </c>
      <c r="BD216">
        <f>Tokens!BF218</f>
        <v>0</v>
      </c>
      <c r="BE216">
        <f>Tokens!BG218</f>
        <v>0</v>
      </c>
      <c r="BF216">
        <f>Tokens!BH218</f>
        <v>0</v>
      </c>
      <c r="BG216">
        <f>Tokens!BI218</f>
        <v>0</v>
      </c>
      <c r="BH216" t="str">
        <f>Tokens!BJ218</f>
        <v>In Casa</v>
      </c>
      <c r="BI216" t="str">
        <f>Tokens!BK218</f>
        <v>Calvi On The Rocks</v>
      </c>
    </row>
    <row r="217" spans="1:61" x14ac:dyDescent="0.25">
      <c r="A217" t="str">
        <f>Tokens!C219</f>
        <v>In Casa #56</v>
      </c>
      <c r="B217" t="str">
        <f>Tokens!D219</f>
        <v>COR22D56</v>
      </c>
      <c r="C217" t="str">
        <f>Tokens!E219</f>
        <v>In Casa, 1 an - Pass NFT 1 jour pour 1 personne, valable pour 1 édition Calvi On The Rocks de votre choix.</v>
      </c>
      <c r="D217">
        <f>Tokens!F219</f>
        <v>1000</v>
      </c>
      <c r="E217" t="str">
        <f>Tokens!G219</f>
        <v>https://bafybeiblax7oq76vnezc62rqt3pzah6eym7ayffikv5zobzdawrzwpj32u.ipfs.nftstorage.link?image_56.png</v>
      </c>
      <c r="F217" t="str">
        <f>Tokens!H219</f>
        <v>NfluenT for Calvi On The rocks</v>
      </c>
      <c r="G217">
        <f>Tokens!I219</f>
        <v>0</v>
      </c>
      <c r="H217" t="str">
        <f>Tokens!J219</f>
        <v>Pass festival</v>
      </c>
      <c r="I217" t="str">
        <f>Tokens!K219</f>
        <v>pour une(1) personne</v>
      </c>
      <c r="J217" t="str">
        <f>Tokens!L219</f>
        <v>Edition1</v>
      </c>
      <c r="K217">
        <f>Tokens!M219</f>
        <v>2</v>
      </c>
      <c r="L217">
        <f>Tokens!N219</f>
        <v>0</v>
      </c>
      <c r="M217">
        <f>Tokens!O219</f>
        <v>0</v>
      </c>
      <c r="N217">
        <f>Tokens!P219</f>
        <v>0</v>
      </c>
      <c r="O217">
        <f>Tokens!Q219</f>
        <v>0</v>
      </c>
      <c r="P217">
        <f>Tokens!R219</f>
        <v>0</v>
      </c>
      <c r="Q217">
        <f>Tokens!S219</f>
        <v>0</v>
      </c>
      <c r="R217">
        <f>Tokens!T219</f>
        <v>0</v>
      </c>
      <c r="S217">
        <f>Tokens!U219</f>
        <v>0</v>
      </c>
      <c r="T217" t="str">
        <f>Tokens!V219</f>
        <v>Dernière utilisation</v>
      </c>
      <c r="U217">
        <f>Tokens!W219</f>
        <v>0</v>
      </c>
      <c r="V217">
        <f>Tokens!X219</f>
        <v>0</v>
      </c>
      <c r="W217">
        <f>Tokens!Y219</f>
        <v>0</v>
      </c>
      <c r="X217">
        <f>Tokens!Z219</f>
        <v>0</v>
      </c>
      <c r="Y217">
        <f>Tokens!AA219</f>
        <v>0</v>
      </c>
      <c r="Z217">
        <f>Tokens!AB219</f>
        <v>0</v>
      </c>
      <c r="AA217">
        <f>Tokens!AC219</f>
        <v>0</v>
      </c>
      <c r="AB217">
        <f>Tokens!AD219</f>
        <v>0</v>
      </c>
      <c r="AC217">
        <f>Tokens!AE219</f>
        <v>0</v>
      </c>
      <c r="AD217">
        <f>Tokens!AF219</f>
        <v>0</v>
      </c>
      <c r="AE217">
        <f>Tokens!AG219</f>
        <v>0</v>
      </c>
      <c r="AF217">
        <f>Tokens!AH219</f>
        <v>0</v>
      </c>
      <c r="AG217">
        <f>Tokens!AI219</f>
        <v>0</v>
      </c>
      <c r="AH217">
        <f>Tokens!AJ219</f>
        <v>0</v>
      </c>
      <c r="AI217">
        <f>Tokens!AK219</f>
        <v>0</v>
      </c>
      <c r="AJ217" t="str">
        <f>Tokens!AL219</f>
        <v>avantage1</v>
      </c>
      <c r="AK217" t="str">
        <f>Tokens!AM219</f>
        <v>1 affiche numérotée (quelques unes seront signées au hasard)</v>
      </c>
      <c r="AL217">
        <f>Tokens!AN219</f>
        <v>0</v>
      </c>
      <c r="AM217">
        <f>Tokens!AO219</f>
        <v>0</v>
      </c>
      <c r="AN217">
        <f>Tokens!AP219</f>
        <v>0</v>
      </c>
      <c r="AO217">
        <f>Tokens!AQ219</f>
        <v>0</v>
      </c>
      <c r="AP217">
        <f>Tokens!AR219</f>
        <v>0</v>
      </c>
      <c r="AQ217">
        <f>Tokens!AS219</f>
        <v>0</v>
      </c>
      <c r="AR217">
        <f>Tokens!AT219</f>
        <v>0</v>
      </c>
      <c r="AS217">
        <f>Tokens!AU219</f>
        <v>0</v>
      </c>
      <c r="AT217" t="str">
        <f>Tokens!AV219</f>
        <v>Validation</v>
      </c>
      <c r="AU217" t="str">
        <f>Tokens!AW219</f>
        <v>https://tokensol.nfluent.io?s=COR22D56&amp;platform=ftx</v>
      </c>
      <c r="AV217" t="str">
        <f>Tokens!AX219</f>
        <v>paul</v>
      </c>
      <c r="AW217">
        <f>Tokens!AY219</f>
        <v>10</v>
      </c>
      <c r="AX217" t="str">
        <f>Tokens!AZ219</f>
        <v>sophie</v>
      </c>
      <c r="AY217">
        <f>Tokens!BA219</f>
        <v>90</v>
      </c>
      <c r="AZ217">
        <f>Tokens!BB219</f>
        <v>0</v>
      </c>
      <c r="BA217">
        <f>Tokens!BC219</f>
        <v>0</v>
      </c>
      <c r="BB217">
        <f>Tokens!BD219</f>
        <v>0</v>
      </c>
      <c r="BC217">
        <f>Tokens!BE219</f>
        <v>0</v>
      </c>
      <c r="BD217">
        <f>Tokens!BF219</f>
        <v>0</v>
      </c>
      <c r="BE217">
        <f>Tokens!BG219</f>
        <v>0</v>
      </c>
      <c r="BF217">
        <f>Tokens!BH219</f>
        <v>0</v>
      </c>
      <c r="BG217">
        <f>Tokens!BI219</f>
        <v>0</v>
      </c>
      <c r="BH217" t="str">
        <f>Tokens!BJ219</f>
        <v>In Casa</v>
      </c>
      <c r="BI217" t="str">
        <f>Tokens!BK219</f>
        <v>Calvi On The Rocks</v>
      </c>
    </row>
    <row r="218" spans="1:61" x14ac:dyDescent="0.25">
      <c r="A218" t="str">
        <f>Tokens!C220</f>
        <v>In Casa #57</v>
      </c>
      <c r="B218" t="str">
        <f>Tokens!D220</f>
        <v>COR22D57</v>
      </c>
      <c r="C218" t="str">
        <f>Tokens!E220</f>
        <v>In Casa, 1 an - Pass NFT 1 jour pour 1 personne, valable pour 1 édition Calvi On The Rocks de votre choix.</v>
      </c>
      <c r="D218">
        <f>Tokens!F220</f>
        <v>1000</v>
      </c>
      <c r="E218" t="str">
        <f>Tokens!G220</f>
        <v>https://bafybeiaim7n4nom2mkvuuqjzjmblkx6v2bcvbyrfps7wpotgp5ufgi7ld4.ipfs.nftstorage.link?image_57.png</v>
      </c>
      <c r="F218" t="str">
        <f>Tokens!H220</f>
        <v>NfluenT for Calvi On The rocks</v>
      </c>
      <c r="G218">
        <f>Tokens!I220</f>
        <v>0</v>
      </c>
      <c r="H218" t="str">
        <f>Tokens!J220</f>
        <v>Pass festival</v>
      </c>
      <c r="I218" t="str">
        <f>Tokens!K220</f>
        <v>pour une(1) personne</v>
      </c>
      <c r="J218" t="str">
        <f>Tokens!L220</f>
        <v>Edition1</v>
      </c>
      <c r="K218">
        <f>Tokens!M220</f>
        <v>2</v>
      </c>
      <c r="L218">
        <f>Tokens!N220</f>
        <v>0</v>
      </c>
      <c r="M218">
        <f>Tokens!O220</f>
        <v>0</v>
      </c>
      <c r="N218">
        <f>Tokens!P220</f>
        <v>0</v>
      </c>
      <c r="O218">
        <f>Tokens!Q220</f>
        <v>0</v>
      </c>
      <c r="P218">
        <f>Tokens!R220</f>
        <v>0</v>
      </c>
      <c r="Q218">
        <f>Tokens!S220</f>
        <v>0</v>
      </c>
      <c r="R218">
        <f>Tokens!T220</f>
        <v>0</v>
      </c>
      <c r="S218">
        <f>Tokens!U220</f>
        <v>0</v>
      </c>
      <c r="T218" t="str">
        <f>Tokens!V220</f>
        <v>Dernière utilisation</v>
      </c>
      <c r="U218">
        <f>Tokens!W220</f>
        <v>0</v>
      </c>
      <c r="V218">
        <f>Tokens!X220</f>
        <v>0</v>
      </c>
      <c r="W218">
        <f>Tokens!Y220</f>
        <v>0</v>
      </c>
      <c r="X218">
        <f>Tokens!Z220</f>
        <v>0</v>
      </c>
      <c r="Y218">
        <f>Tokens!AA220</f>
        <v>0</v>
      </c>
      <c r="Z218">
        <f>Tokens!AB220</f>
        <v>0</v>
      </c>
      <c r="AA218">
        <f>Tokens!AC220</f>
        <v>0</v>
      </c>
      <c r="AB218">
        <f>Tokens!AD220</f>
        <v>0</v>
      </c>
      <c r="AC218">
        <f>Tokens!AE220</f>
        <v>0</v>
      </c>
      <c r="AD218">
        <f>Tokens!AF220</f>
        <v>0</v>
      </c>
      <c r="AE218">
        <f>Tokens!AG220</f>
        <v>0</v>
      </c>
      <c r="AF218">
        <f>Tokens!AH220</f>
        <v>0</v>
      </c>
      <c r="AG218">
        <f>Tokens!AI220</f>
        <v>0</v>
      </c>
      <c r="AH218">
        <f>Tokens!AJ220</f>
        <v>0</v>
      </c>
      <c r="AI218">
        <f>Tokens!AK220</f>
        <v>0</v>
      </c>
      <c r="AJ218" t="str">
        <f>Tokens!AL220</f>
        <v>avantage1</v>
      </c>
      <c r="AK218" t="str">
        <f>Tokens!AM220</f>
        <v>1 affiche numérotée (quelques unes seront signées au hasard)</v>
      </c>
      <c r="AL218">
        <f>Tokens!AN220</f>
        <v>0</v>
      </c>
      <c r="AM218">
        <f>Tokens!AO220</f>
        <v>0</v>
      </c>
      <c r="AN218">
        <f>Tokens!AP220</f>
        <v>0</v>
      </c>
      <c r="AO218">
        <f>Tokens!AQ220</f>
        <v>0</v>
      </c>
      <c r="AP218">
        <f>Tokens!AR220</f>
        <v>0</v>
      </c>
      <c r="AQ218">
        <f>Tokens!AS220</f>
        <v>0</v>
      </c>
      <c r="AR218">
        <f>Tokens!AT220</f>
        <v>0</v>
      </c>
      <c r="AS218">
        <f>Tokens!AU220</f>
        <v>0</v>
      </c>
      <c r="AT218" t="str">
        <f>Tokens!AV220</f>
        <v>Validation</v>
      </c>
      <c r="AU218" t="str">
        <f>Tokens!AW220</f>
        <v>https://tokensol.nfluent.io?s=COR22D57&amp;platform=ftx</v>
      </c>
      <c r="AV218" t="str">
        <f>Tokens!AX220</f>
        <v>paul</v>
      </c>
      <c r="AW218">
        <f>Tokens!AY220</f>
        <v>10</v>
      </c>
      <c r="AX218" t="str">
        <f>Tokens!AZ220</f>
        <v>sophie</v>
      </c>
      <c r="AY218">
        <f>Tokens!BA220</f>
        <v>90</v>
      </c>
      <c r="AZ218">
        <f>Tokens!BB220</f>
        <v>0</v>
      </c>
      <c r="BA218">
        <f>Tokens!BC220</f>
        <v>0</v>
      </c>
      <c r="BB218">
        <f>Tokens!BD220</f>
        <v>0</v>
      </c>
      <c r="BC218">
        <f>Tokens!BE220</f>
        <v>0</v>
      </c>
      <c r="BD218">
        <f>Tokens!BF220</f>
        <v>0</v>
      </c>
      <c r="BE218">
        <f>Tokens!BG220</f>
        <v>0</v>
      </c>
      <c r="BF218">
        <f>Tokens!BH220</f>
        <v>0</v>
      </c>
      <c r="BG218">
        <f>Tokens!BI220</f>
        <v>0</v>
      </c>
      <c r="BH218" t="str">
        <f>Tokens!BJ220</f>
        <v>In Casa</v>
      </c>
      <c r="BI218" t="str">
        <f>Tokens!BK220</f>
        <v>Calvi On The Rocks</v>
      </c>
    </row>
    <row r="219" spans="1:61" x14ac:dyDescent="0.25">
      <c r="A219" t="str">
        <f>Tokens!C221</f>
        <v>In Casa #58</v>
      </c>
      <c r="B219" t="str">
        <f>Tokens!D221</f>
        <v>COR22D58</v>
      </c>
      <c r="C219" t="str">
        <f>Tokens!E221</f>
        <v>In Casa, 1 an - Pass NFT 1 jour pour 1 personne, valable pour 1 édition Calvi On The Rocks de votre choix.</v>
      </c>
      <c r="D219">
        <f>Tokens!F221</f>
        <v>1000</v>
      </c>
      <c r="E219" t="str">
        <f>Tokens!G221</f>
        <v>https://bafybeihqbjbboop6ztdcv2bz2kz6thbtj3gdzt3rvz2lwaoxzsuskooqhi.ipfs.nftstorage.link?image_58.png</v>
      </c>
      <c r="F219" t="str">
        <f>Tokens!H221</f>
        <v>NfluenT for Calvi On The rocks</v>
      </c>
      <c r="G219">
        <f>Tokens!I221</f>
        <v>0</v>
      </c>
      <c r="H219" t="str">
        <f>Tokens!J221</f>
        <v>Pass festival</v>
      </c>
      <c r="I219" t="str">
        <f>Tokens!K221</f>
        <v>pour une(1) personne</v>
      </c>
      <c r="J219" t="str">
        <f>Tokens!L221</f>
        <v>Edition1</v>
      </c>
      <c r="K219">
        <f>Tokens!M221</f>
        <v>2</v>
      </c>
      <c r="L219">
        <f>Tokens!N221</f>
        <v>0</v>
      </c>
      <c r="M219">
        <f>Tokens!O221</f>
        <v>0</v>
      </c>
      <c r="N219">
        <f>Tokens!P221</f>
        <v>0</v>
      </c>
      <c r="O219">
        <f>Tokens!Q221</f>
        <v>0</v>
      </c>
      <c r="P219">
        <f>Tokens!R221</f>
        <v>0</v>
      </c>
      <c r="Q219">
        <f>Tokens!S221</f>
        <v>0</v>
      </c>
      <c r="R219">
        <f>Tokens!T221</f>
        <v>0</v>
      </c>
      <c r="S219">
        <f>Tokens!U221</f>
        <v>0</v>
      </c>
      <c r="T219" t="str">
        <f>Tokens!V221</f>
        <v>Dernière utilisation</v>
      </c>
      <c r="U219">
        <f>Tokens!W221</f>
        <v>0</v>
      </c>
      <c r="V219">
        <f>Tokens!X221</f>
        <v>0</v>
      </c>
      <c r="W219">
        <f>Tokens!Y221</f>
        <v>0</v>
      </c>
      <c r="X219">
        <f>Tokens!Z221</f>
        <v>0</v>
      </c>
      <c r="Y219">
        <f>Tokens!AA221</f>
        <v>0</v>
      </c>
      <c r="Z219">
        <f>Tokens!AB221</f>
        <v>0</v>
      </c>
      <c r="AA219">
        <f>Tokens!AC221</f>
        <v>0</v>
      </c>
      <c r="AB219">
        <f>Tokens!AD221</f>
        <v>0</v>
      </c>
      <c r="AC219">
        <f>Tokens!AE221</f>
        <v>0</v>
      </c>
      <c r="AD219">
        <f>Tokens!AF221</f>
        <v>0</v>
      </c>
      <c r="AE219">
        <f>Tokens!AG221</f>
        <v>0</v>
      </c>
      <c r="AF219">
        <f>Tokens!AH221</f>
        <v>0</v>
      </c>
      <c r="AG219">
        <f>Tokens!AI221</f>
        <v>0</v>
      </c>
      <c r="AH219">
        <f>Tokens!AJ221</f>
        <v>0</v>
      </c>
      <c r="AI219">
        <f>Tokens!AK221</f>
        <v>0</v>
      </c>
      <c r="AJ219" t="str">
        <f>Tokens!AL221</f>
        <v>avantage1</v>
      </c>
      <c r="AK219" t="str">
        <f>Tokens!AM221</f>
        <v>1 affiche numérotée (quelques unes seront signées au hasard)</v>
      </c>
      <c r="AL219">
        <f>Tokens!AN221</f>
        <v>0</v>
      </c>
      <c r="AM219">
        <f>Tokens!AO221</f>
        <v>0</v>
      </c>
      <c r="AN219">
        <f>Tokens!AP221</f>
        <v>0</v>
      </c>
      <c r="AO219">
        <f>Tokens!AQ221</f>
        <v>0</v>
      </c>
      <c r="AP219">
        <f>Tokens!AR221</f>
        <v>0</v>
      </c>
      <c r="AQ219">
        <f>Tokens!AS221</f>
        <v>0</v>
      </c>
      <c r="AR219">
        <f>Tokens!AT221</f>
        <v>0</v>
      </c>
      <c r="AS219">
        <f>Tokens!AU221</f>
        <v>0</v>
      </c>
      <c r="AT219" t="str">
        <f>Tokens!AV221</f>
        <v>Validation</v>
      </c>
      <c r="AU219" t="str">
        <f>Tokens!AW221</f>
        <v>https://tokensol.nfluent.io?s=COR22D58&amp;platform=ftx</v>
      </c>
      <c r="AV219" t="str">
        <f>Tokens!AX221</f>
        <v>paul</v>
      </c>
      <c r="AW219">
        <f>Tokens!AY221</f>
        <v>10</v>
      </c>
      <c r="AX219" t="str">
        <f>Tokens!AZ221</f>
        <v>sophie</v>
      </c>
      <c r="AY219">
        <f>Tokens!BA221</f>
        <v>90</v>
      </c>
      <c r="AZ219">
        <f>Tokens!BB221</f>
        <v>0</v>
      </c>
      <c r="BA219">
        <f>Tokens!BC221</f>
        <v>0</v>
      </c>
      <c r="BB219">
        <f>Tokens!BD221</f>
        <v>0</v>
      </c>
      <c r="BC219">
        <f>Tokens!BE221</f>
        <v>0</v>
      </c>
      <c r="BD219">
        <f>Tokens!BF221</f>
        <v>0</v>
      </c>
      <c r="BE219">
        <f>Tokens!BG221</f>
        <v>0</v>
      </c>
      <c r="BF219">
        <f>Tokens!BH221</f>
        <v>0</v>
      </c>
      <c r="BG219">
        <f>Tokens!BI221</f>
        <v>0</v>
      </c>
      <c r="BH219" t="str">
        <f>Tokens!BJ221</f>
        <v>In Casa</v>
      </c>
      <c r="BI219" t="str">
        <f>Tokens!BK221</f>
        <v>Calvi On The Rocks</v>
      </c>
    </row>
    <row r="220" spans="1:61" x14ac:dyDescent="0.25">
      <c r="A220" t="str">
        <f>Tokens!C222</f>
        <v>In Casa #59</v>
      </c>
      <c r="B220" t="str">
        <f>Tokens!D222</f>
        <v>COR22D59</v>
      </c>
      <c r="C220" t="str">
        <f>Tokens!E222</f>
        <v>In Casa, 1 an - Pass NFT 1 jour pour 1 personne, valable pour 1 édition Calvi On The Rocks de votre choix.</v>
      </c>
      <c r="D220">
        <f>Tokens!F222</f>
        <v>1000</v>
      </c>
      <c r="E220" t="str">
        <f>Tokens!G222</f>
        <v>https://bafybeihqtfqsyhidsal7p62q3rsme4wtym2xh4aru3lt7vlwpm76m2e2o4.ipfs.nftstorage.link?image_59.png</v>
      </c>
      <c r="F220" t="str">
        <f>Tokens!H222</f>
        <v>NfluenT for Calvi On The rocks</v>
      </c>
      <c r="G220">
        <f>Tokens!I222</f>
        <v>0</v>
      </c>
      <c r="H220" t="str">
        <f>Tokens!J222</f>
        <v>Pass festival</v>
      </c>
      <c r="I220" t="str">
        <f>Tokens!K222</f>
        <v>pour une(1) personne</v>
      </c>
      <c r="J220" t="str">
        <f>Tokens!L222</f>
        <v>Edition1</v>
      </c>
      <c r="K220">
        <f>Tokens!M222</f>
        <v>2</v>
      </c>
      <c r="L220">
        <f>Tokens!N222</f>
        <v>0</v>
      </c>
      <c r="M220">
        <f>Tokens!O222</f>
        <v>0</v>
      </c>
      <c r="N220">
        <f>Tokens!P222</f>
        <v>0</v>
      </c>
      <c r="O220">
        <f>Tokens!Q222</f>
        <v>0</v>
      </c>
      <c r="P220">
        <f>Tokens!R222</f>
        <v>0</v>
      </c>
      <c r="Q220">
        <f>Tokens!S222</f>
        <v>0</v>
      </c>
      <c r="R220">
        <f>Tokens!T222</f>
        <v>0</v>
      </c>
      <c r="S220">
        <f>Tokens!U222</f>
        <v>0</v>
      </c>
      <c r="T220" t="str">
        <f>Tokens!V222</f>
        <v>Dernière utilisation</v>
      </c>
      <c r="U220">
        <f>Tokens!W222</f>
        <v>0</v>
      </c>
      <c r="V220">
        <f>Tokens!X222</f>
        <v>0</v>
      </c>
      <c r="W220">
        <f>Tokens!Y222</f>
        <v>0</v>
      </c>
      <c r="X220">
        <f>Tokens!Z222</f>
        <v>0</v>
      </c>
      <c r="Y220">
        <f>Tokens!AA222</f>
        <v>0</v>
      </c>
      <c r="Z220">
        <f>Tokens!AB222</f>
        <v>0</v>
      </c>
      <c r="AA220">
        <f>Tokens!AC222</f>
        <v>0</v>
      </c>
      <c r="AB220">
        <f>Tokens!AD222</f>
        <v>0</v>
      </c>
      <c r="AC220">
        <f>Tokens!AE222</f>
        <v>0</v>
      </c>
      <c r="AD220">
        <f>Tokens!AF222</f>
        <v>0</v>
      </c>
      <c r="AE220">
        <f>Tokens!AG222</f>
        <v>0</v>
      </c>
      <c r="AF220">
        <f>Tokens!AH222</f>
        <v>0</v>
      </c>
      <c r="AG220">
        <f>Tokens!AI222</f>
        <v>0</v>
      </c>
      <c r="AH220">
        <f>Tokens!AJ222</f>
        <v>0</v>
      </c>
      <c r="AI220">
        <f>Tokens!AK222</f>
        <v>0</v>
      </c>
      <c r="AJ220" t="str">
        <f>Tokens!AL222</f>
        <v>avantage1</v>
      </c>
      <c r="AK220" t="str">
        <f>Tokens!AM222</f>
        <v>1 affiche numérotée (quelques unes seront signées au hasard)</v>
      </c>
      <c r="AL220">
        <f>Tokens!AN222</f>
        <v>0</v>
      </c>
      <c r="AM220">
        <f>Tokens!AO222</f>
        <v>0</v>
      </c>
      <c r="AN220">
        <f>Tokens!AP222</f>
        <v>0</v>
      </c>
      <c r="AO220">
        <f>Tokens!AQ222</f>
        <v>0</v>
      </c>
      <c r="AP220">
        <f>Tokens!AR222</f>
        <v>0</v>
      </c>
      <c r="AQ220">
        <f>Tokens!AS222</f>
        <v>0</v>
      </c>
      <c r="AR220">
        <f>Tokens!AT222</f>
        <v>0</v>
      </c>
      <c r="AS220">
        <f>Tokens!AU222</f>
        <v>0</v>
      </c>
      <c r="AT220" t="str">
        <f>Tokens!AV222</f>
        <v>Validation</v>
      </c>
      <c r="AU220" t="str">
        <f>Tokens!AW222</f>
        <v>https://tokensol.nfluent.io?s=COR22D59&amp;platform=ftx</v>
      </c>
      <c r="AV220" t="str">
        <f>Tokens!AX222</f>
        <v>paul</v>
      </c>
      <c r="AW220">
        <f>Tokens!AY222</f>
        <v>10</v>
      </c>
      <c r="AX220" t="str">
        <f>Tokens!AZ222</f>
        <v>sophie</v>
      </c>
      <c r="AY220">
        <f>Tokens!BA222</f>
        <v>90</v>
      </c>
      <c r="AZ220">
        <f>Tokens!BB222</f>
        <v>0</v>
      </c>
      <c r="BA220">
        <f>Tokens!BC222</f>
        <v>0</v>
      </c>
      <c r="BB220">
        <f>Tokens!BD222</f>
        <v>0</v>
      </c>
      <c r="BC220">
        <f>Tokens!BE222</f>
        <v>0</v>
      </c>
      <c r="BD220">
        <f>Tokens!BF222</f>
        <v>0</v>
      </c>
      <c r="BE220">
        <f>Tokens!BG222</f>
        <v>0</v>
      </c>
      <c r="BF220">
        <f>Tokens!BH222</f>
        <v>0</v>
      </c>
      <c r="BG220">
        <f>Tokens!BI222</f>
        <v>0</v>
      </c>
      <c r="BH220" t="str">
        <f>Tokens!BJ222</f>
        <v>In Casa</v>
      </c>
      <c r="BI220" t="str">
        <f>Tokens!BK222</f>
        <v>Calvi On The Rocks</v>
      </c>
    </row>
    <row r="221" spans="1:61" x14ac:dyDescent="0.25">
      <c r="A221" t="str">
        <f>Tokens!C223</f>
        <v>In Casa #60</v>
      </c>
      <c r="B221" t="str">
        <f>Tokens!D223</f>
        <v>COR22D60</v>
      </c>
      <c r="C221" t="str">
        <f>Tokens!E223</f>
        <v>In Casa, 1 an - Pass NFT 1 jour pour 1 personne, valable pour 1 édition Calvi On The Rocks de votre choix.</v>
      </c>
      <c r="D221">
        <f>Tokens!F223</f>
        <v>1000</v>
      </c>
      <c r="E221" t="str">
        <f>Tokens!G223</f>
        <v>https://bafybeidfiaiopx3m4oilu54xqz5el3hzrb6vmdez3signmas77h5uhjkry.ipfs.nftstorage.link?image_60.png</v>
      </c>
      <c r="F221" t="str">
        <f>Tokens!H223</f>
        <v>NfluenT for Calvi On The rocks</v>
      </c>
      <c r="G221">
        <f>Tokens!I223</f>
        <v>0</v>
      </c>
      <c r="H221" t="str">
        <f>Tokens!J223</f>
        <v>Pass festival</v>
      </c>
      <c r="I221" t="str">
        <f>Tokens!K223</f>
        <v>pour une(1) personne</v>
      </c>
      <c r="J221" t="str">
        <f>Tokens!L223</f>
        <v>Edition1</v>
      </c>
      <c r="K221">
        <f>Tokens!M223</f>
        <v>2</v>
      </c>
      <c r="L221">
        <f>Tokens!N223</f>
        <v>0</v>
      </c>
      <c r="M221">
        <f>Tokens!O223</f>
        <v>0</v>
      </c>
      <c r="N221">
        <f>Tokens!P223</f>
        <v>0</v>
      </c>
      <c r="O221">
        <f>Tokens!Q223</f>
        <v>0</v>
      </c>
      <c r="P221">
        <f>Tokens!R223</f>
        <v>0</v>
      </c>
      <c r="Q221">
        <f>Tokens!S223</f>
        <v>0</v>
      </c>
      <c r="R221">
        <f>Tokens!T223</f>
        <v>0</v>
      </c>
      <c r="S221">
        <f>Tokens!U223</f>
        <v>0</v>
      </c>
      <c r="T221" t="str">
        <f>Tokens!V223</f>
        <v>Dernière utilisation</v>
      </c>
      <c r="U221">
        <f>Tokens!W223</f>
        <v>0</v>
      </c>
      <c r="V221">
        <f>Tokens!X223</f>
        <v>0</v>
      </c>
      <c r="W221">
        <f>Tokens!Y223</f>
        <v>0</v>
      </c>
      <c r="X221">
        <f>Tokens!Z223</f>
        <v>0</v>
      </c>
      <c r="Y221">
        <f>Tokens!AA223</f>
        <v>0</v>
      </c>
      <c r="Z221">
        <f>Tokens!AB223</f>
        <v>0</v>
      </c>
      <c r="AA221">
        <f>Tokens!AC223</f>
        <v>0</v>
      </c>
      <c r="AB221">
        <f>Tokens!AD223</f>
        <v>0</v>
      </c>
      <c r="AC221">
        <f>Tokens!AE223</f>
        <v>0</v>
      </c>
      <c r="AD221">
        <f>Tokens!AF223</f>
        <v>0</v>
      </c>
      <c r="AE221">
        <f>Tokens!AG223</f>
        <v>0</v>
      </c>
      <c r="AF221">
        <f>Tokens!AH223</f>
        <v>0</v>
      </c>
      <c r="AG221">
        <f>Tokens!AI223</f>
        <v>0</v>
      </c>
      <c r="AH221">
        <f>Tokens!AJ223</f>
        <v>0</v>
      </c>
      <c r="AI221">
        <f>Tokens!AK223</f>
        <v>0</v>
      </c>
      <c r="AJ221" t="str">
        <f>Tokens!AL223</f>
        <v>avantage1</v>
      </c>
      <c r="AK221" t="str">
        <f>Tokens!AM223</f>
        <v>1 affiche numérotée (quelques unes seront signées au hasard)</v>
      </c>
      <c r="AL221">
        <f>Tokens!AN223</f>
        <v>0</v>
      </c>
      <c r="AM221">
        <f>Tokens!AO223</f>
        <v>0</v>
      </c>
      <c r="AN221">
        <f>Tokens!AP223</f>
        <v>0</v>
      </c>
      <c r="AO221">
        <f>Tokens!AQ223</f>
        <v>0</v>
      </c>
      <c r="AP221">
        <f>Tokens!AR223</f>
        <v>0</v>
      </c>
      <c r="AQ221">
        <f>Tokens!AS223</f>
        <v>0</v>
      </c>
      <c r="AR221">
        <f>Tokens!AT223</f>
        <v>0</v>
      </c>
      <c r="AS221">
        <f>Tokens!AU223</f>
        <v>0</v>
      </c>
      <c r="AT221" t="str">
        <f>Tokens!AV223</f>
        <v>Validation</v>
      </c>
      <c r="AU221" t="str">
        <f>Tokens!AW223</f>
        <v>https://tokensol.nfluent.io?s=COR22D60&amp;platform=ftx</v>
      </c>
      <c r="AV221" t="str">
        <f>Tokens!AX223</f>
        <v>paul</v>
      </c>
      <c r="AW221">
        <f>Tokens!AY223</f>
        <v>10</v>
      </c>
      <c r="AX221" t="str">
        <f>Tokens!AZ223</f>
        <v>sophie</v>
      </c>
      <c r="AY221">
        <f>Tokens!BA223</f>
        <v>90</v>
      </c>
      <c r="AZ221">
        <f>Tokens!BB223</f>
        <v>0</v>
      </c>
      <c r="BA221">
        <f>Tokens!BC223</f>
        <v>0</v>
      </c>
      <c r="BB221">
        <f>Tokens!BD223</f>
        <v>0</v>
      </c>
      <c r="BC221">
        <f>Tokens!BE223</f>
        <v>0</v>
      </c>
      <c r="BD221">
        <f>Tokens!BF223</f>
        <v>0</v>
      </c>
      <c r="BE221">
        <f>Tokens!BG223</f>
        <v>0</v>
      </c>
      <c r="BF221">
        <f>Tokens!BH223</f>
        <v>0</v>
      </c>
      <c r="BG221">
        <f>Tokens!BI223</f>
        <v>0</v>
      </c>
      <c r="BH221" t="str">
        <f>Tokens!BJ223</f>
        <v>In Casa</v>
      </c>
      <c r="BI221" t="str">
        <f>Tokens!BK223</f>
        <v>Calvi On The Rocks</v>
      </c>
    </row>
    <row r="222" spans="1:61" x14ac:dyDescent="0.25">
      <c r="A222" t="str">
        <f>Tokens!C224</f>
        <v>In Casa #61</v>
      </c>
      <c r="B222" t="str">
        <f>Tokens!D224</f>
        <v>COR22D61</v>
      </c>
      <c r="C222" t="str">
        <f>Tokens!E224</f>
        <v>In Casa, 1 an - Pass NFT 1 jour pour 1 personne, valable pour 1 édition Calvi On The Rocks de votre choix.</v>
      </c>
      <c r="D222">
        <f>Tokens!F224</f>
        <v>1000</v>
      </c>
      <c r="E222" t="str">
        <f>Tokens!G224</f>
        <v>https://bafybeicc536mtc3vwxymhzev4omj3lbpknbct4gu74yc2gt6amguarmk4a.ipfs.nftstorage.link?image_61.png</v>
      </c>
      <c r="F222" t="str">
        <f>Tokens!H224</f>
        <v>NfluenT for Calvi On The rocks</v>
      </c>
      <c r="G222">
        <f>Tokens!I224</f>
        <v>0</v>
      </c>
      <c r="H222" t="str">
        <f>Tokens!J224</f>
        <v>Pass festival</v>
      </c>
      <c r="I222" t="str">
        <f>Tokens!K224</f>
        <v>pour une(1) personne</v>
      </c>
      <c r="J222" t="str">
        <f>Tokens!L224</f>
        <v>Edition1</v>
      </c>
      <c r="K222">
        <f>Tokens!M224</f>
        <v>2</v>
      </c>
      <c r="L222">
        <f>Tokens!N224</f>
        <v>0</v>
      </c>
      <c r="M222">
        <f>Tokens!O224</f>
        <v>0</v>
      </c>
      <c r="N222">
        <f>Tokens!P224</f>
        <v>0</v>
      </c>
      <c r="O222">
        <f>Tokens!Q224</f>
        <v>0</v>
      </c>
      <c r="P222">
        <f>Tokens!R224</f>
        <v>0</v>
      </c>
      <c r="Q222">
        <f>Tokens!S224</f>
        <v>0</v>
      </c>
      <c r="R222">
        <f>Tokens!T224</f>
        <v>0</v>
      </c>
      <c r="S222">
        <f>Tokens!U224</f>
        <v>0</v>
      </c>
      <c r="T222" t="str">
        <f>Tokens!V224</f>
        <v>Dernière utilisation</v>
      </c>
      <c r="U222">
        <f>Tokens!W224</f>
        <v>0</v>
      </c>
      <c r="V222">
        <f>Tokens!X224</f>
        <v>0</v>
      </c>
      <c r="W222">
        <f>Tokens!Y224</f>
        <v>0</v>
      </c>
      <c r="X222">
        <f>Tokens!Z224</f>
        <v>0</v>
      </c>
      <c r="Y222">
        <f>Tokens!AA224</f>
        <v>0</v>
      </c>
      <c r="Z222">
        <f>Tokens!AB224</f>
        <v>0</v>
      </c>
      <c r="AA222">
        <f>Tokens!AC224</f>
        <v>0</v>
      </c>
      <c r="AB222">
        <f>Tokens!AD224</f>
        <v>0</v>
      </c>
      <c r="AC222">
        <f>Tokens!AE224</f>
        <v>0</v>
      </c>
      <c r="AD222">
        <f>Tokens!AF224</f>
        <v>0</v>
      </c>
      <c r="AE222">
        <f>Tokens!AG224</f>
        <v>0</v>
      </c>
      <c r="AF222">
        <f>Tokens!AH224</f>
        <v>0</v>
      </c>
      <c r="AG222">
        <f>Tokens!AI224</f>
        <v>0</v>
      </c>
      <c r="AH222">
        <f>Tokens!AJ224</f>
        <v>0</v>
      </c>
      <c r="AI222">
        <f>Tokens!AK224</f>
        <v>0</v>
      </c>
      <c r="AJ222" t="str">
        <f>Tokens!AL224</f>
        <v>avantage1</v>
      </c>
      <c r="AK222" t="str">
        <f>Tokens!AM224</f>
        <v>1 affiche numérotée (quelques unes seront signées au hasard)</v>
      </c>
      <c r="AL222">
        <f>Tokens!AN224</f>
        <v>0</v>
      </c>
      <c r="AM222">
        <f>Tokens!AO224</f>
        <v>0</v>
      </c>
      <c r="AN222">
        <f>Tokens!AP224</f>
        <v>0</v>
      </c>
      <c r="AO222">
        <f>Tokens!AQ224</f>
        <v>0</v>
      </c>
      <c r="AP222">
        <f>Tokens!AR224</f>
        <v>0</v>
      </c>
      <c r="AQ222">
        <f>Tokens!AS224</f>
        <v>0</v>
      </c>
      <c r="AR222">
        <f>Tokens!AT224</f>
        <v>0</v>
      </c>
      <c r="AS222">
        <f>Tokens!AU224</f>
        <v>0</v>
      </c>
      <c r="AT222" t="str">
        <f>Tokens!AV224</f>
        <v>Validation</v>
      </c>
      <c r="AU222" t="str">
        <f>Tokens!AW224</f>
        <v>https://tokensol.nfluent.io?s=COR22D61&amp;platform=ftx</v>
      </c>
      <c r="AV222" t="str">
        <f>Tokens!AX224</f>
        <v>paul</v>
      </c>
      <c r="AW222">
        <f>Tokens!AY224</f>
        <v>10</v>
      </c>
      <c r="AX222" t="str">
        <f>Tokens!AZ224</f>
        <v>sophie</v>
      </c>
      <c r="AY222">
        <f>Tokens!BA224</f>
        <v>90</v>
      </c>
      <c r="AZ222">
        <f>Tokens!BB224</f>
        <v>0</v>
      </c>
      <c r="BA222">
        <f>Tokens!BC224</f>
        <v>0</v>
      </c>
      <c r="BB222">
        <f>Tokens!BD224</f>
        <v>0</v>
      </c>
      <c r="BC222">
        <f>Tokens!BE224</f>
        <v>0</v>
      </c>
      <c r="BD222">
        <f>Tokens!BF224</f>
        <v>0</v>
      </c>
      <c r="BE222">
        <f>Tokens!BG224</f>
        <v>0</v>
      </c>
      <c r="BF222">
        <f>Tokens!BH224</f>
        <v>0</v>
      </c>
      <c r="BG222">
        <f>Tokens!BI224</f>
        <v>0</v>
      </c>
      <c r="BH222" t="str">
        <f>Tokens!BJ224</f>
        <v>In Casa</v>
      </c>
      <c r="BI222" t="str">
        <f>Tokens!BK224</f>
        <v>Calvi On The Rocks</v>
      </c>
    </row>
    <row r="223" spans="1:61" x14ac:dyDescent="0.25">
      <c r="A223" t="str">
        <f>Tokens!C225</f>
        <v>In Casa #62</v>
      </c>
      <c r="B223" t="str">
        <f>Tokens!D225</f>
        <v>COR22D62</v>
      </c>
      <c r="C223" t="str">
        <f>Tokens!E225</f>
        <v>In Casa, 1 an - Pass NFT 1 jour pour 1 personne, valable pour 1 édition Calvi On The Rocks de votre choix.</v>
      </c>
      <c r="D223">
        <f>Tokens!F225</f>
        <v>1000</v>
      </c>
      <c r="E223" t="str">
        <f>Tokens!G225</f>
        <v>https://bafybeigemaed5e4w5uesi5vrxfbxgbd73rm6bmoljgjc5w4x6e6mboe3sy.ipfs.nftstorage.link?image_62.png</v>
      </c>
      <c r="F223" t="str">
        <f>Tokens!H225</f>
        <v>NfluenT for Calvi On The rocks</v>
      </c>
      <c r="G223">
        <f>Tokens!I225</f>
        <v>0</v>
      </c>
      <c r="H223" t="str">
        <f>Tokens!J225</f>
        <v>Pass festival</v>
      </c>
      <c r="I223" t="str">
        <f>Tokens!K225</f>
        <v>pour une(1) personne</v>
      </c>
      <c r="J223" t="str">
        <f>Tokens!L225</f>
        <v>Edition1</v>
      </c>
      <c r="K223">
        <f>Tokens!M225</f>
        <v>2</v>
      </c>
      <c r="L223">
        <f>Tokens!N225</f>
        <v>0</v>
      </c>
      <c r="M223">
        <f>Tokens!O225</f>
        <v>0</v>
      </c>
      <c r="N223">
        <f>Tokens!P225</f>
        <v>0</v>
      </c>
      <c r="O223">
        <f>Tokens!Q225</f>
        <v>0</v>
      </c>
      <c r="P223">
        <f>Tokens!R225</f>
        <v>0</v>
      </c>
      <c r="Q223">
        <f>Tokens!S225</f>
        <v>0</v>
      </c>
      <c r="R223">
        <f>Tokens!T225</f>
        <v>0</v>
      </c>
      <c r="S223">
        <f>Tokens!U225</f>
        <v>0</v>
      </c>
      <c r="T223" t="str">
        <f>Tokens!V225</f>
        <v>Dernière utilisation</v>
      </c>
      <c r="U223">
        <f>Tokens!W225</f>
        <v>0</v>
      </c>
      <c r="V223">
        <f>Tokens!X225</f>
        <v>0</v>
      </c>
      <c r="W223">
        <f>Tokens!Y225</f>
        <v>0</v>
      </c>
      <c r="X223">
        <f>Tokens!Z225</f>
        <v>0</v>
      </c>
      <c r="Y223">
        <f>Tokens!AA225</f>
        <v>0</v>
      </c>
      <c r="Z223">
        <f>Tokens!AB225</f>
        <v>0</v>
      </c>
      <c r="AA223">
        <f>Tokens!AC225</f>
        <v>0</v>
      </c>
      <c r="AB223">
        <f>Tokens!AD225</f>
        <v>0</v>
      </c>
      <c r="AC223">
        <f>Tokens!AE225</f>
        <v>0</v>
      </c>
      <c r="AD223">
        <f>Tokens!AF225</f>
        <v>0</v>
      </c>
      <c r="AE223">
        <f>Tokens!AG225</f>
        <v>0</v>
      </c>
      <c r="AF223">
        <f>Tokens!AH225</f>
        <v>0</v>
      </c>
      <c r="AG223">
        <f>Tokens!AI225</f>
        <v>0</v>
      </c>
      <c r="AH223">
        <f>Tokens!AJ225</f>
        <v>0</v>
      </c>
      <c r="AI223">
        <f>Tokens!AK225</f>
        <v>0</v>
      </c>
      <c r="AJ223" t="str">
        <f>Tokens!AL225</f>
        <v>avantage1</v>
      </c>
      <c r="AK223" t="str">
        <f>Tokens!AM225</f>
        <v>1 affiche numérotée (quelques unes seront signées au hasard)</v>
      </c>
      <c r="AL223">
        <f>Tokens!AN225</f>
        <v>0</v>
      </c>
      <c r="AM223">
        <f>Tokens!AO225</f>
        <v>0</v>
      </c>
      <c r="AN223">
        <f>Tokens!AP225</f>
        <v>0</v>
      </c>
      <c r="AO223">
        <f>Tokens!AQ225</f>
        <v>0</v>
      </c>
      <c r="AP223">
        <f>Tokens!AR225</f>
        <v>0</v>
      </c>
      <c r="AQ223">
        <f>Tokens!AS225</f>
        <v>0</v>
      </c>
      <c r="AR223">
        <f>Tokens!AT225</f>
        <v>0</v>
      </c>
      <c r="AS223">
        <f>Tokens!AU225</f>
        <v>0</v>
      </c>
      <c r="AT223" t="str">
        <f>Tokens!AV225</f>
        <v>Validation</v>
      </c>
      <c r="AU223" t="str">
        <f>Tokens!AW225</f>
        <v>https://tokensol.nfluent.io?s=COR22D62&amp;platform=ftx</v>
      </c>
      <c r="AV223" t="str">
        <f>Tokens!AX225</f>
        <v>paul</v>
      </c>
      <c r="AW223">
        <f>Tokens!AY225</f>
        <v>10</v>
      </c>
      <c r="AX223" t="str">
        <f>Tokens!AZ225</f>
        <v>sophie</v>
      </c>
      <c r="AY223">
        <f>Tokens!BA225</f>
        <v>90</v>
      </c>
      <c r="AZ223">
        <f>Tokens!BB225</f>
        <v>0</v>
      </c>
      <c r="BA223">
        <f>Tokens!BC225</f>
        <v>0</v>
      </c>
      <c r="BB223">
        <f>Tokens!BD225</f>
        <v>0</v>
      </c>
      <c r="BC223">
        <f>Tokens!BE225</f>
        <v>0</v>
      </c>
      <c r="BD223">
        <f>Tokens!BF225</f>
        <v>0</v>
      </c>
      <c r="BE223">
        <f>Tokens!BG225</f>
        <v>0</v>
      </c>
      <c r="BF223">
        <f>Tokens!BH225</f>
        <v>0</v>
      </c>
      <c r="BG223">
        <f>Tokens!BI225</f>
        <v>0</v>
      </c>
      <c r="BH223" t="str">
        <f>Tokens!BJ225</f>
        <v>In Casa</v>
      </c>
      <c r="BI223" t="str">
        <f>Tokens!BK225</f>
        <v>Calvi On The Rocks</v>
      </c>
    </row>
    <row r="224" spans="1:61" x14ac:dyDescent="0.25">
      <c r="A224" t="str">
        <f>Tokens!C226</f>
        <v>In Casa #63</v>
      </c>
      <c r="B224" t="str">
        <f>Tokens!D226</f>
        <v>COR22D63</v>
      </c>
      <c r="C224" t="str">
        <f>Tokens!E226</f>
        <v>In Casa, 1 an - Pass NFT 1 jour pour 1 personne, valable pour 1 édition Calvi On The Rocks de votre choix.</v>
      </c>
      <c r="D224">
        <f>Tokens!F226</f>
        <v>1000</v>
      </c>
      <c r="E224" t="str">
        <f>Tokens!G226</f>
        <v>https://bafybeihfphislu5xsogrp55efv27xipghwjv5eyjrvzjkugcdbhskfakfq.ipfs.nftstorage.link?image_63.png</v>
      </c>
      <c r="F224" t="str">
        <f>Tokens!H226</f>
        <v>NfluenT for Calvi On The rocks</v>
      </c>
      <c r="G224">
        <f>Tokens!I226</f>
        <v>0</v>
      </c>
      <c r="H224" t="str">
        <f>Tokens!J226</f>
        <v>Pass festival</v>
      </c>
      <c r="I224" t="str">
        <f>Tokens!K226</f>
        <v>pour une(1) personne</v>
      </c>
      <c r="J224" t="str">
        <f>Tokens!L226</f>
        <v>Edition1</v>
      </c>
      <c r="K224">
        <f>Tokens!M226</f>
        <v>2</v>
      </c>
      <c r="L224">
        <f>Tokens!N226</f>
        <v>0</v>
      </c>
      <c r="M224">
        <f>Tokens!O226</f>
        <v>0</v>
      </c>
      <c r="N224">
        <f>Tokens!P226</f>
        <v>0</v>
      </c>
      <c r="O224">
        <f>Tokens!Q226</f>
        <v>0</v>
      </c>
      <c r="P224">
        <f>Tokens!R226</f>
        <v>0</v>
      </c>
      <c r="Q224">
        <f>Tokens!S226</f>
        <v>0</v>
      </c>
      <c r="R224">
        <f>Tokens!T226</f>
        <v>0</v>
      </c>
      <c r="S224">
        <f>Tokens!U226</f>
        <v>0</v>
      </c>
      <c r="T224" t="str">
        <f>Tokens!V226</f>
        <v>Dernière utilisation</v>
      </c>
      <c r="U224">
        <f>Tokens!W226</f>
        <v>0</v>
      </c>
      <c r="V224">
        <f>Tokens!X226</f>
        <v>0</v>
      </c>
      <c r="W224">
        <f>Tokens!Y226</f>
        <v>0</v>
      </c>
      <c r="X224">
        <f>Tokens!Z226</f>
        <v>0</v>
      </c>
      <c r="Y224">
        <f>Tokens!AA226</f>
        <v>0</v>
      </c>
      <c r="Z224">
        <f>Tokens!AB226</f>
        <v>0</v>
      </c>
      <c r="AA224">
        <f>Tokens!AC226</f>
        <v>0</v>
      </c>
      <c r="AB224">
        <f>Tokens!AD226</f>
        <v>0</v>
      </c>
      <c r="AC224">
        <f>Tokens!AE226</f>
        <v>0</v>
      </c>
      <c r="AD224">
        <f>Tokens!AF226</f>
        <v>0</v>
      </c>
      <c r="AE224">
        <f>Tokens!AG226</f>
        <v>0</v>
      </c>
      <c r="AF224">
        <f>Tokens!AH226</f>
        <v>0</v>
      </c>
      <c r="AG224">
        <f>Tokens!AI226</f>
        <v>0</v>
      </c>
      <c r="AH224">
        <f>Tokens!AJ226</f>
        <v>0</v>
      </c>
      <c r="AI224">
        <f>Tokens!AK226</f>
        <v>0</v>
      </c>
      <c r="AJ224" t="str">
        <f>Tokens!AL226</f>
        <v>avantage1</v>
      </c>
      <c r="AK224" t="str">
        <f>Tokens!AM226</f>
        <v>1 affiche numérotée (quelques unes seront signées au hasard)</v>
      </c>
      <c r="AL224">
        <f>Tokens!AN226</f>
        <v>0</v>
      </c>
      <c r="AM224">
        <f>Tokens!AO226</f>
        <v>0</v>
      </c>
      <c r="AN224">
        <f>Tokens!AP226</f>
        <v>0</v>
      </c>
      <c r="AO224">
        <f>Tokens!AQ226</f>
        <v>0</v>
      </c>
      <c r="AP224">
        <f>Tokens!AR226</f>
        <v>0</v>
      </c>
      <c r="AQ224">
        <f>Tokens!AS226</f>
        <v>0</v>
      </c>
      <c r="AR224">
        <f>Tokens!AT226</f>
        <v>0</v>
      </c>
      <c r="AS224">
        <f>Tokens!AU226</f>
        <v>0</v>
      </c>
      <c r="AT224" t="str">
        <f>Tokens!AV226</f>
        <v>Validation</v>
      </c>
      <c r="AU224" t="str">
        <f>Tokens!AW226</f>
        <v>https://tokensol.nfluent.io?s=COR22D63&amp;platform=ftx</v>
      </c>
      <c r="AV224" t="str">
        <f>Tokens!AX226</f>
        <v>paul</v>
      </c>
      <c r="AW224">
        <f>Tokens!AY226</f>
        <v>10</v>
      </c>
      <c r="AX224" t="str">
        <f>Tokens!AZ226</f>
        <v>sophie</v>
      </c>
      <c r="AY224">
        <f>Tokens!BA226</f>
        <v>90</v>
      </c>
      <c r="AZ224">
        <f>Tokens!BB226</f>
        <v>0</v>
      </c>
      <c r="BA224">
        <f>Tokens!BC226</f>
        <v>0</v>
      </c>
      <c r="BB224">
        <f>Tokens!BD226</f>
        <v>0</v>
      </c>
      <c r="BC224">
        <f>Tokens!BE226</f>
        <v>0</v>
      </c>
      <c r="BD224">
        <f>Tokens!BF226</f>
        <v>0</v>
      </c>
      <c r="BE224">
        <f>Tokens!BG226</f>
        <v>0</v>
      </c>
      <c r="BF224">
        <f>Tokens!BH226</f>
        <v>0</v>
      </c>
      <c r="BG224">
        <f>Tokens!BI226</f>
        <v>0</v>
      </c>
      <c r="BH224" t="str">
        <f>Tokens!BJ226</f>
        <v>In Casa</v>
      </c>
      <c r="BI224" t="str">
        <f>Tokens!BK226</f>
        <v>Calvi On The Rocks</v>
      </c>
    </row>
    <row r="225" spans="1:61" x14ac:dyDescent="0.25">
      <c r="A225" t="str">
        <f>Tokens!C227</f>
        <v>In Casa #64</v>
      </c>
      <c r="B225" t="str">
        <f>Tokens!D227</f>
        <v>COR22D64</v>
      </c>
      <c r="C225" t="str">
        <f>Tokens!E227</f>
        <v>In Casa, 1 an - Pass NFT 1 jour pour 1 personne, valable pour 1 édition Calvi On The Rocks de votre choix.</v>
      </c>
      <c r="D225">
        <f>Tokens!F227</f>
        <v>1000</v>
      </c>
      <c r="E225" t="str">
        <f>Tokens!G227</f>
        <v>https://bafybeih6pllty7u5bllrkhybu3ud5nkdjrfz6mj4fkgweykft2lin4cp74.ipfs.nftstorage.link?image_64.png</v>
      </c>
      <c r="F225" t="str">
        <f>Tokens!H227</f>
        <v>NfluenT for Calvi On The rocks</v>
      </c>
      <c r="G225">
        <f>Tokens!I227</f>
        <v>0</v>
      </c>
      <c r="H225" t="str">
        <f>Tokens!J227</f>
        <v>Pass festival</v>
      </c>
      <c r="I225" t="str">
        <f>Tokens!K227</f>
        <v>pour une(1) personne</v>
      </c>
      <c r="J225" t="str">
        <f>Tokens!L227</f>
        <v>Edition1</v>
      </c>
      <c r="K225">
        <f>Tokens!M227</f>
        <v>2</v>
      </c>
      <c r="L225">
        <f>Tokens!N227</f>
        <v>0</v>
      </c>
      <c r="M225">
        <f>Tokens!O227</f>
        <v>0</v>
      </c>
      <c r="N225">
        <f>Tokens!P227</f>
        <v>0</v>
      </c>
      <c r="O225">
        <f>Tokens!Q227</f>
        <v>0</v>
      </c>
      <c r="P225">
        <f>Tokens!R227</f>
        <v>0</v>
      </c>
      <c r="Q225">
        <f>Tokens!S227</f>
        <v>0</v>
      </c>
      <c r="R225">
        <f>Tokens!T227</f>
        <v>0</v>
      </c>
      <c r="S225">
        <f>Tokens!U227</f>
        <v>0</v>
      </c>
      <c r="T225" t="str">
        <f>Tokens!V227</f>
        <v>Dernière utilisation</v>
      </c>
      <c r="U225">
        <f>Tokens!W227</f>
        <v>0</v>
      </c>
      <c r="V225">
        <f>Tokens!X227</f>
        <v>0</v>
      </c>
      <c r="W225">
        <f>Tokens!Y227</f>
        <v>0</v>
      </c>
      <c r="X225">
        <f>Tokens!Z227</f>
        <v>0</v>
      </c>
      <c r="Y225">
        <f>Tokens!AA227</f>
        <v>0</v>
      </c>
      <c r="Z225">
        <f>Tokens!AB227</f>
        <v>0</v>
      </c>
      <c r="AA225">
        <f>Tokens!AC227</f>
        <v>0</v>
      </c>
      <c r="AB225">
        <f>Tokens!AD227</f>
        <v>0</v>
      </c>
      <c r="AC225">
        <f>Tokens!AE227</f>
        <v>0</v>
      </c>
      <c r="AD225">
        <f>Tokens!AF227</f>
        <v>0</v>
      </c>
      <c r="AE225">
        <f>Tokens!AG227</f>
        <v>0</v>
      </c>
      <c r="AF225">
        <f>Tokens!AH227</f>
        <v>0</v>
      </c>
      <c r="AG225">
        <f>Tokens!AI227</f>
        <v>0</v>
      </c>
      <c r="AH225">
        <f>Tokens!AJ227</f>
        <v>0</v>
      </c>
      <c r="AI225">
        <f>Tokens!AK227</f>
        <v>0</v>
      </c>
      <c r="AJ225" t="str">
        <f>Tokens!AL227</f>
        <v>avantage1</v>
      </c>
      <c r="AK225" t="str">
        <f>Tokens!AM227</f>
        <v>1 affiche numérotée (quelques unes seront signées au hasard)</v>
      </c>
      <c r="AL225">
        <f>Tokens!AN227</f>
        <v>0</v>
      </c>
      <c r="AM225">
        <f>Tokens!AO227</f>
        <v>0</v>
      </c>
      <c r="AN225">
        <f>Tokens!AP227</f>
        <v>0</v>
      </c>
      <c r="AO225">
        <f>Tokens!AQ227</f>
        <v>0</v>
      </c>
      <c r="AP225">
        <f>Tokens!AR227</f>
        <v>0</v>
      </c>
      <c r="AQ225">
        <f>Tokens!AS227</f>
        <v>0</v>
      </c>
      <c r="AR225">
        <f>Tokens!AT227</f>
        <v>0</v>
      </c>
      <c r="AS225">
        <f>Tokens!AU227</f>
        <v>0</v>
      </c>
      <c r="AT225" t="str">
        <f>Tokens!AV227</f>
        <v>Validation</v>
      </c>
      <c r="AU225" t="str">
        <f>Tokens!AW227</f>
        <v>https://tokensol.nfluent.io?s=COR22D64&amp;platform=ftx</v>
      </c>
      <c r="AV225" t="str">
        <f>Tokens!AX227</f>
        <v>paul</v>
      </c>
      <c r="AW225">
        <f>Tokens!AY227</f>
        <v>10</v>
      </c>
      <c r="AX225" t="str">
        <f>Tokens!AZ227</f>
        <v>sophie</v>
      </c>
      <c r="AY225">
        <f>Tokens!BA227</f>
        <v>90</v>
      </c>
      <c r="AZ225">
        <f>Tokens!BB227</f>
        <v>0</v>
      </c>
      <c r="BA225">
        <f>Tokens!BC227</f>
        <v>0</v>
      </c>
      <c r="BB225">
        <f>Tokens!BD227</f>
        <v>0</v>
      </c>
      <c r="BC225">
        <f>Tokens!BE227</f>
        <v>0</v>
      </c>
      <c r="BD225">
        <f>Tokens!BF227</f>
        <v>0</v>
      </c>
      <c r="BE225">
        <f>Tokens!BG227</f>
        <v>0</v>
      </c>
      <c r="BF225">
        <f>Tokens!BH227</f>
        <v>0</v>
      </c>
      <c r="BG225">
        <f>Tokens!BI227</f>
        <v>0</v>
      </c>
      <c r="BH225" t="str">
        <f>Tokens!BJ227</f>
        <v>In Casa</v>
      </c>
      <c r="BI225" t="str">
        <f>Tokens!BK227</f>
        <v>Calvi On The Rocks</v>
      </c>
    </row>
    <row r="226" spans="1:61" x14ac:dyDescent="0.25">
      <c r="A226" t="str">
        <f>Tokens!C228</f>
        <v>In Casa #65</v>
      </c>
      <c r="B226" t="str">
        <f>Tokens!D228</f>
        <v>COR22D65</v>
      </c>
      <c r="C226" t="str">
        <f>Tokens!E228</f>
        <v>In Casa, 1 an - Pass NFT 1 jour pour 1 personne, valable pour 1 édition Calvi On The Rocks de votre choix.</v>
      </c>
      <c r="D226">
        <f>Tokens!F228</f>
        <v>1000</v>
      </c>
      <c r="E226" t="str">
        <f>Tokens!G228</f>
        <v>https://bafybeigoncorcz4py43j3b2ynrvpjali2mmb5shx4bo4oij72absfsvrvu.ipfs.nftstorage.link?image_65.png</v>
      </c>
      <c r="F226" t="str">
        <f>Tokens!H228</f>
        <v>NfluenT for Calvi On The rocks</v>
      </c>
      <c r="G226">
        <f>Tokens!I228</f>
        <v>0</v>
      </c>
      <c r="H226" t="str">
        <f>Tokens!J228</f>
        <v>Pass festival</v>
      </c>
      <c r="I226" t="str">
        <f>Tokens!K228</f>
        <v>pour une(1) personne</v>
      </c>
      <c r="J226" t="str">
        <f>Tokens!L228</f>
        <v>Edition1</v>
      </c>
      <c r="K226">
        <f>Tokens!M228</f>
        <v>2</v>
      </c>
      <c r="L226">
        <f>Tokens!N228</f>
        <v>0</v>
      </c>
      <c r="M226">
        <f>Tokens!O228</f>
        <v>0</v>
      </c>
      <c r="N226">
        <f>Tokens!P228</f>
        <v>0</v>
      </c>
      <c r="O226">
        <f>Tokens!Q228</f>
        <v>0</v>
      </c>
      <c r="P226">
        <f>Tokens!R228</f>
        <v>0</v>
      </c>
      <c r="Q226">
        <f>Tokens!S228</f>
        <v>0</v>
      </c>
      <c r="R226">
        <f>Tokens!T228</f>
        <v>0</v>
      </c>
      <c r="S226">
        <f>Tokens!U228</f>
        <v>0</v>
      </c>
      <c r="T226" t="str">
        <f>Tokens!V228</f>
        <v>Dernière utilisation</v>
      </c>
      <c r="U226">
        <f>Tokens!W228</f>
        <v>0</v>
      </c>
      <c r="V226">
        <f>Tokens!X228</f>
        <v>0</v>
      </c>
      <c r="W226">
        <f>Tokens!Y228</f>
        <v>0</v>
      </c>
      <c r="X226">
        <f>Tokens!Z228</f>
        <v>0</v>
      </c>
      <c r="Y226">
        <f>Tokens!AA228</f>
        <v>0</v>
      </c>
      <c r="Z226">
        <f>Tokens!AB228</f>
        <v>0</v>
      </c>
      <c r="AA226">
        <f>Tokens!AC228</f>
        <v>0</v>
      </c>
      <c r="AB226">
        <f>Tokens!AD228</f>
        <v>0</v>
      </c>
      <c r="AC226">
        <f>Tokens!AE228</f>
        <v>0</v>
      </c>
      <c r="AD226">
        <f>Tokens!AF228</f>
        <v>0</v>
      </c>
      <c r="AE226">
        <f>Tokens!AG228</f>
        <v>0</v>
      </c>
      <c r="AF226">
        <f>Tokens!AH228</f>
        <v>0</v>
      </c>
      <c r="AG226">
        <f>Tokens!AI228</f>
        <v>0</v>
      </c>
      <c r="AH226">
        <f>Tokens!AJ228</f>
        <v>0</v>
      </c>
      <c r="AI226">
        <f>Tokens!AK228</f>
        <v>0</v>
      </c>
      <c r="AJ226" t="str">
        <f>Tokens!AL228</f>
        <v>avantage1</v>
      </c>
      <c r="AK226" t="str">
        <f>Tokens!AM228</f>
        <v>1 affiche numérotée (quelques unes seront signées au hasard)</v>
      </c>
      <c r="AL226">
        <f>Tokens!AN228</f>
        <v>0</v>
      </c>
      <c r="AM226">
        <f>Tokens!AO228</f>
        <v>0</v>
      </c>
      <c r="AN226">
        <f>Tokens!AP228</f>
        <v>0</v>
      </c>
      <c r="AO226">
        <f>Tokens!AQ228</f>
        <v>0</v>
      </c>
      <c r="AP226">
        <f>Tokens!AR228</f>
        <v>0</v>
      </c>
      <c r="AQ226">
        <f>Tokens!AS228</f>
        <v>0</v>
      </c>
      <c r="AR226">
        <f>Tokens!AT228</f>
        <v>0</v>
      </c>
      <c r="AS226">
        <f>Tokens!AU228</f>
        <v>0</v>
      </c>
      <c r="AT226" t="str">
        <f>Tokens!AV228</f>
        <v>Validation</v>
      </c>
      <c r="AU226" t="str">
        <f>Tokens!AW228</f>
        <v>https://tokensol.nfluent.io?s=COR22D65&amp;platform=ftx</v>
      </c>
      <c r="AV226" t="str">
        <f>Tokens!AX228</f>
        <v>paul</v>
      </c>
      <c r="AW226">
        <f>Tokens!AY228</f>
        <v>10</v>
      </c>
      <c r="AX226" t="str">
        <f>Tokens!AZ228</f>
        <v>sophie</v>
      </c>
      <c r="AY226">
        <f>Tokens!BA228</f>
        <v>90</v>
      </c>
      <c r="AZ226">
        <f>Tokens!BB228</f>
        <v>0</v>
      </c>
      <c r="BA226">
        <f>Tokens!BC228</f>
        <v>0</v>
      </c>
      <c r="BB226">
        <f>Tokens!BD228</f>
        <v>0</v>
      </c>
      <c r="BC226">
        <f>Tokens!BE228</f>
        <v>0</v>
      </c>
      <c r="BD226">
        <f>Tokens!BF228</f>
        <v>0</v>
      </c>
      <c r="BE226">
        <f>Tokens!BG228</f>
        <v>0</v>
      </c>
      <c r="BF226">
        <f>Tokens!BH228</f>
        <v>0</v>
      </c>
      <c r="BG226">
        <f>Tokens!BI228</f>
        <v>0</v>
      </c>
      <c r="BH226" t="str">
        <f>Tokens!BJ228</f>
        <v>In Casa</v>
      </c>
      <c r="BI226" t="str">
        <f>Tokens!BK228</f>
        <v>Calvi On The Rocks</v>
      </c>
    </row>
    <row r="227" spans="1:61" x14ac:dyDescent="0.25">
      <c r="A227" t="str">
        <f>Tokens!C229</f>
        <v>In Casa #66</v>
      </c>
      <c r="B227" t="str">
        <f>Tokens!D229</f>
        <v>COR22D66</v>
      </c>
      <c r="C227" t="str">
        <f>Tokens!E229</f>
        <v>In Casa, 1 an - Pass NFT 1 jour pour 1 personne, valable pour 1 édition Calvi On The Rocks de votre choix.</v>
      </c>
      <c r="D227">
        <f>Tokens!F229</f>
        <v>1000</v>
      </c>
      <c r="E227" t="str">
        <f>Tokens!G229</f>
        <v>https://bafybeia6mbkyuwxagggmfdx22smpexoyvpkemu3ovex2jfveyp3p3tzily.ipfs.nftstorage.link?image_66.png</v>
      </c>
      <c r="F227" t="str">
        <f>Tokens!H229</f>
        <v>NfluenT for Calvi On The rocks</v>
      </c>
      <c r="G227">
        <f>Tokens!I229</f>
        <v>0</v>
      </c>
      <c r="H227" t="str">
        <f>Tokens!J229</f>
        <v>Pass festival</v>
      </c>
      <c r="I227" t="str">
        <f>Tokens!K229</f>
        <v>pour une(1) personne</v>
      </c>
      <c r="J227" t="str">
        <f>Tokens!L229</f>
        <v>Edition1</v>
      </c>
      <c r="K227">
        <f>Tokens!M229</f>
        <v>2</v>
      </c>
      <c r="L227">
        <f>Tokens!N229</f>
        <v>0</v>
      </c>
      <c r="M227">
        <f>Tokens!O229</f>
        <v>0</v>
      </c>
      <c r="N227">
        <f>Tokens!P229</f>
        <v>0</v>
      </c>
      <c r="O227">
        <f>Tokens!Q229</f>
        <v>0</v>
      </c>
      <c r="P227">
        <f>Tokens!R229</f>
        <v>0</v>
      </c>
      <c r="Q227">
        <f>Tokens!S229</f>
        <v>0</v>
      </c>
      <c r="R227">
        <f>Tokens!T229</f>
        <v>0</v>
      </c>
      <c r="S227">
        <f>Tokens!U229</f>
        <v>0</v>
      </c>
      <c r="T227" t="str">
        <f>Tokens!V229</f>
        <v>Dernière utilisation</v>
      </c>
      <c r="U227">
        <f>Tokens!W229</f>
        <v>0</v>
      </c>
      <c r="V227">
        <f>Tokens!X229</f>
        <v>0</v>
      </c>
      <c r="W227">
        <f>Tokens!Y229</f>
        <v>0</v>
      </c>
      <c r="X227">
        <f>Tokens!Z229</f>
        <v>0</v>
      </c>
      <c r="Y227">
        <f>Tokens!AA229</f>
        <v>0</v>
      </c>
      <c r="Z227">
        <f>Tokens!AB229</f>
        <v>0</v>
      </c>
      <c r="AA227">
        <f>Tokens!AC229</f>
        <v>0</v>
      </c>
      <c r="AB227">
        <f>Tokens!AD229</f>
        <v>0</v>
      </c>
      <c r="AC227">
        <f>Tokens!AE229</f>
        <v>0</v>
      </c>
      <c r="AD227">
        <f>Tokens!AF229</f>
        <v>0</v>
      </c>
      <c r="AE227">
        <f>Tokens!AG229</f>
        <v>0</v>
      </c>
      <c r="AF227">
        <f>Tokens!AH229</f>
        <v>0</v>
      </c>
      <c r="AG227">
        <f>Tokens!AI229</f>
        <v>0</v>
      </c>
      <c r="AH227">
        <f>Tokens!AJ229</f>
        <v>0</v>
      </c>
      <c r="AI227">
        <f>Tokens!AK229</f>
        <v>0</v>
      </c>
      <c r="AJ227" t="str">
        <f>Tokens!AL229</f>
        <v>avantage1</v>
      </c>
      <c r="AK227" t="str">
        <f>Tokens!AM229</f>
        <v>1 affiche numérotée (quelques unes seront signées au hasard)</v>
      </c>
      <c r="AL227">
        <f>Tokens!AN229</f>
        <v>0</v>
      </c>
      <c r="AM227">
        <f>Tokens!AO229</f>
        <v>0</v>
      </c>
      <c r="AN227">
        <f>Tokens!AP229</f>
        <v>0</v>
      </c>
      <c r="AO227">
        <f>Tokens!AQ229</f>
        <v>0</v>
      </c>
      <c r="AP227">
        <f>Tokens!AR229</f>
        <v>0</v>
      </c>
      <c r="AQ227">
        <f>Tokens!AS229</f>
        <v>0</v>
      </c>
      <c r="AR227">
        <f>Tokens!AT229</f>
        <v>0</v>
      </c>
      <c r="AS227">
        <f>Tokens!AU229</f>
        <v>0</v>
      </c>
      <c r="AT227" t="str">
        <f>Tokens!AV229</f>
        <v>Validation</v>
      </c>
      <c r="AU227" t="str">
        <f>Tokens!AW229</f>
        <v>https://tokensol.nfluent.io?s=COR22D66&amp;platform=ftx</v>
      </c>
      <c r="AV227" t="str">
        <f>Tokens!AX229</f>
        <v>paul</v>
      </c>
      <c r="AW227">
        <f>Tokens!AY229</f>
        <v>10</v>
      </c>
      <c r="AX227" t="str">
        <f>Tokens!AZ229</f>
        <v>sophie</v>
      </c>
      <c r="AY227">
        <f>Tokens!BA229</f>
        <v>90</v>
      </c>
      <c r="AZ227">
        <f>Tokens!BB229</f>
        <v>0</v>
      </c>
      <c r="BA227">
        <f>Tokens!BC229</f>
        <v>0</v>
      </c>
      <c r="BB227">
        <f>Tokens!BD229</f>
        <v>0</v>
      </c>
      <c r="BC227">
        <f>Tokens!BE229</f>
        <v>0</v>
      </c>
      <c r="BD227">
        <f>Tokens!BF229</f>
        <v>0</v>
      </c>
      <c r="BE227">
        <f>Tokens!BG229</f>
        <v>0</v>
      </c>
      <c r="BF227">
        <f>Tokens!BH229</f>
        <v>0</v>
      </c>
      <c r="BG227">
        <f>Tokens!BI229</f>
        <v>0</v>
      </c>
      <c r="BH227" t="str">
        <f>Tokens!BJ229</f>
        <v>In Casa</v>
      </c>
      <c r="BI227" t="str">
        <f>Tokens!BK229</f>
        <v>Calvi On The Rocks</v>
      </c>
    </row>
    <row r="228" spans="1:61" x14ac:dyDescent="0.25">
      <c r="A228" t="str">
        <f>Tokens!C230</f>
        <v>In Casa #67</v>
      </c>
      <c r="B228" t="str">
        <f>Tokens!D230</f>
        <v>COR22D67</v>
      </c>
      <c r="C228" t="str">
        <f>Tokens!E230</f>
        <v>In Casa, 1 an - Pass NFT 1 jour pour 1 personne, valable pour 1 édition Calvi On The Rocks de votre choix.</v>
      </c>
      <c r="D228">
        <f>Tokens!F230</f>
        <v>1000</v>
      </c>
      <c r="E228" t="str">
        <f>Tokens!G230</f>
        <v>https://bafybeicfky5x2athgrdfowla7x5m6gm4guhv4dbzlgxcm5662fugdrhd6u.ipfs.nftstorage.link?image_67.png</v>
      </c>
      <c r="F228" t="str">
        <f>Tokens!H230</f>
        <v>NfluenT for Calvi On The rocks</v>
      </c>
      <c r="G228">
        <f>Tokens!I230</f>
        <v>0</v>
      </c>
      <c r="H228" t="str">
        <f>Tokens!J230</f>
        <v>Pass festival</v>
      </c>
      <c r="I228" t="str">
        <f>Tokens!K230</f>
        <v>pour une(1) personne</v>
      </c>
      <c r="J228" t="str">
        <f>Tokens!L230</f>
        <v>Edition1</v>
      </c>
      <c r="K228">
        <f>Tokens!M230</f>
        <v>2</v>
      </c>
      <c r="L228">
        <f>Tokens!N230</f>
        <v>0</v>
      </c>
      <c r="M228">
        <f>Tokens!O230</f>
        <v>0</v>
      </c>
      <c r="N228">
        <f>Tokens!P230</f>
        <v>0</v>
      </c>
      <c r="O228">
        <f>Tokens!Q230</f>
        <v>0</v>
      </c>
      <c r="P228">
        <f>Tokens!R230</f>
        <v>0</v>
      </c>
      <c r="Q228">
        <f>Tokens!S230</f>
        <v>0</v>
      </c>
      <c r="R228">
        <f>Tokens!T230</f>
        <v>0</v>
      </c>
      <c r="S228">
        <f>Tokens!U230</f>
        <v>0</v>
      </c>
      <c r="T228" t="str">
        <f>Tokens!V230</f>
        <v>Dernière utilisation</v>
      </c>
      <c r="U228">
        <f>Tokens!W230</f>
        <v>0</v>
      </c>
      <c r="V228">
        <f>Tokens!X230</f>
        <v>0</v>
      </c>
      <c r="W228">
        <f>Tokens!Y230</f>
        <v>0</v>
      </c>
      <c r="X228">
        <f>Tokens!Z230</f>
        <v>0</v>
      </c>
      <c r="Y228">
        <f>Tokens!AA230</f>
        <v>0</v>
      </c>
      <c r="Z228">
        <f>Tokens!AB230</f>
        <v>0</v>
      </c>
      <c r="AA228">
        <f>Tokens!AC230</f>
        <v>0</v>
      </c>
      <c r="AB228">
        <f>Tokens!AD230</f>
        <v>0</v>
      </c>
      <c r="AC228">
        <f>Tokens!AE230</f>
        <v>0</v>
      </c>
      <c r="AD228">
        <f>Tokens!AF230</f>
        <v>0</v>
      </c>
      <c r="AE228">
        <f>Tokens!AG230</f>
        <v>0</v>
      </c>
      <c r="AF228">
        <f>Tokens!AH230</f>
        <v>0</v>
      </c>
      <c r="AG228">
        <f>Tokens!AI230</f>
        <v>0</v>
      </c>
      <c r="AH228">
        <f>Tokens!AJ230</f>
        <v>0</v>
      </c>
      <c r="AI228">
        <f>Tokens!AK230</f>
        <v>0</v>
      </c>
      <c r="AJ228" t="str">
        <f>Tokens!AL230</f>
        <v>avantage1</v>
      </c>
      <c r="AK228" t="str">
        <f>Tokens!AM230</f>
        <v>1 affiche numérotée (quelques unes seront signées au hasard)</v>
      </c>
      <c r="AL228">
        <f>Tokens!AN230</f>
        <v>0</v>
      </c>
      <c r="AM228">
        <f>Tokens!AO230</f>
        <v>0</v>
      </c>
      <c r="AN228">
        <f>Tokens!AP230</f>
        <v>0</v>
      </c>
      <c r="AO228">
        <f>Tokens!AQ230</f>
        <v>0</v>
      </c>
      <c r="AP228">
        <f>Tokens!AR230</f>
        <v>0</v>
      </c>
      <c r="AQ228">
        <f>Tokens!AS230</f>
        <v>0</v>
      </c>
      <c r="AR228">
        <f>Tokens!AT230</f>
        <v>0</v>
      </c>
      <c r="AS228">
        <f>Tokens!AU230</f>
        <v>0</v>
      </c>
      <c r="AT228" t="str">
        <f>Tokens!AV230</f>
        <v>Validation</v>
      </c>
      <c r="AU228" t="str">
        <f>Tokens!AW230</f>
        <v>https://tokensol.nfluent.io?s=COR22D67&amp;platform=ftx</v>
      </c>
      <c r="AV228" t="str">
        <f>Tokens!AX230</f>
        <v>paul</v>
      </c>
      <c r="AW228">
        <f>Tokens!AY230</f>
        <v>10</v>
      </c>
      <c r="AX228" t="str">
        <f>Tokens!AZ230</f>
        <v>sophie</v>
      </c>
      <c r="AY228">
        <f>Tokens!BA230</f>
        <v>90</v>
      </c>
      <c r="AZ228">
        <f>Tokens!BB230</f>
        <v>0</v>
      </c>
      <c r="BA228">
        <f>Tokens!BC230</f>
        <v>0</v>
      </c>
      <c r="BB228">
        <f>Tokens!BD230</f>
        <v>0</v>
      </c>
      <c r="BC228">
        <f>Tokens!BE230</f>
        <v>0</v>
      </c>
      <c r="BD228">
        <f>Tokens!BF230</f>
        <v>0</v>
      </c>
      <c r="BE228">
        <f>Tokens!BG230</f>
        <v>0</v>
      </c>
      <c r="BF228">
        <f>Tokens!BH230</f>
        <v>0</v>
      </c>
      <c r="BG228">
        <f>Tokens!BI230</f>
        <v>0</v>
      </c>
      <c r="BH228" t="str">
        <f>Tokens!BJ230</f>
        <v>In Casa</v>
      </c>
      <c r="BI228" t="str">
        <f>Tokens!BK230</f>
        <v>Calvi On The Rocks</v>
      </c>
    </row>
    <row r="229" spans="1:61" x14ac:dyDescent="0.25">
      <c r="A229" t="str">
        <f>Tokens!C231</f>
        <v>In Casa #68</v>
      </c>
      <c r="B229" t="str">
        <f>Tokens!D231</f>
        <v>COR22D68</v>
      </c>
      <c r="C229" t="str">
        <f>Tokens!E231</f>
        <v>In Casa, 1 an - Pass NFT 1 jour pour 1 personne, valable pour 1 édition Calvi On The Rocks de votre choix.</v>
      </c>
      <c r="D229">
        <f>Tokens!F231</f>
        <v>1000</v>
      </c>
      <c r="E229" t="str">
        <f>Tokens!G231</f>
        <v>https://bafybeib2rwwtj5jbexgznjiwu2j6j6c2pb7oo6x6ehqifdsayneqjj6zai.ipfs.nftstorage.link?image_68.png</v>
      </c>
      <c r="F229" t="str">
        <f>Tokens!H231</f>
        <v>NfluenT for Calvi On The rocks</v>
      </c>
      <c r="G229">
        <f>Tokens!I231</f>
        <v>0</v>
      </c>
      <c r="H229" t="str">
        <f>Tokens!J231</f>
        <v>Pass festival</v>
      </c>
      <c r="I229" t="str">
        <f>Tokens!K231</f>
        <v>pour une(1) personne</v>
      </c>
      <c r="J229" t="str">
        <f>Tokens!L231</f>
        <v>Edition1</v>
      </c>
      <c r="K229">
        <f>Tokens!M231</f>
        <v>2</v>
      </c>
      <c r="L229">
        <f>Tokens!N231</f>
        <v>0</v>
      </c>
      <c r="M229">
        <f>Tokens!O231</f>
        <v>0</v>
      </c>
      <c r="N229">
        <f>Tokens!P231</f>
        <v>0</v>
      </c>
      <c r="O229">
        <f>Tokens!Q231</f>
        <v>0</v>
      </c>
      <c r="P229">
        <f>Tokens!R231</f>
        <v>0</v>
      </c>
      <c r="Q229">
        <f>Tokens!S231</f>
        <v>0</v>
      </c>
      <c r="R229">
        <f>Tokens!T231</f>
        <v>0</v>
      </c>
      <c r="S229">
        <f>Tokens!U231</f>
        <v>0</v>
      </c>
      <c r="T229" t="str">
        <f>Tokens!V231</f>
        <v>Dernière utilisation</v>
      </c>
      <c r="U229">
        <f>Tokens!W231</f>
        <v>0</v>
      </c>
      <c r="V229">
        <f>Tokens!X231</f>
        <v>0</v>
      </c>
      <c r="W229">
        <f>Tokens!Y231</f>
        <v>0</v>
      </c>
      <c r="X229">
        <f>Tokens!Z231</f>
        <v>0</v>
      </c>
      <c r="Y229">
        <f>Tokens!AA231</f>
        <v>0</v>
      </c>
      <c r="Z229">
        <f>Tokens!AB231</f>
        <v>0</v>
      </c>
      <c r="AA229">
        <f>Tokens!AC231</f>
        <v>0</v>
      </c>
      <c r="AB229">
        <f>Tokens!AD231</f>
        <v>0</v>
      </c>
      <c r="AC229">
        <f>Tokens!AE231</f>
        <v>0</v>
      </c>
      <c r="AD229">
        <f>Tokens!AF231</f>
        <v>0</v>
      </c>
      <c r="AE229">
        <f>Tokens!AG231</f>
        <v>0</v>
      </c>
      <c r="AF229">
        <f>Tokens!AH231</f>
        <v>0</v>
      </c>
      <c r="AG229">
        <f>Tokens!AI231</f>
        <v>0</v>
      </c>
      <c r="AH229">
        <f>Tokens!AJ231</f>
        <v>0</v>
      </c>
      <c r="AI229">
        <f>Tokens!AK231</f>
        <v>0</v>
      </c>
      <c r="AJ229" t="str">
        <f>Tokens!AL231</f>
        <v>avantage1</v>
      </c>
      <c r="AK229" t="str">
        <f>Tokens!AM231</f>
        <v>1 affiche numérotée (quelques unes seront signées au hasard)</v>
      </c>
      <c r="AL229">
        <f>Tokens!AN231</f>
        <v>0</v>
      </c>
      <c r="AM229">
        <f>Tokens!AO231</f>
        <v>0</v>
      </c>
      <c r="AN229">
        <f>Tokens!AP231</f>
        <v>0</v>
      </c>
      <c r="AO229">
        <f>Tokens!AQ231</f>
        <v>0</v>
      </c>
      <c r="AP229">
        <f>Tokens!AR231</f>
        <v>0</v>
      </c>
      <c r="AQ229">
        <f>Tokens!AS231</f>
        <v>0</v>
      </c>
      <c r="AR229">
        <f>Tokens!AT231</f>
        <v>0</v>
      </c>
      <c r="AS229">
        <f>Tokens!AU231</f>
        <v>0</v>
      </c>
      <c r="AT229" t="str">
        <f>Tokens!AV231</f>
        <v>Validation</v>
      </c>
      <c r="AU229" t="str">
        <f>Tokens!AW231</f>
        <v>https://tokensol.nfluent.io?s=COR22D68&amp;platform=ftx</v>
      </c>
      <c r="AV229" t="str">
        <f>Tokens!AX231</f>
        <v>paul</v>
      </c>
      <c r="AW229">
        <f>Tokens!AY231</f>
        <v>10</v>
      </c>
      <c r="AX229" t="str">
        <f>Tokens!AZ231</f>
        <v>sophie</v>
      </c>
      <c r="AY229">
        <f>Tokens!BA231</f>
        <v>90</v>
      </c>
      <c r="AZ229">
        <f>Tokens!BB231</f>
        <v>0</v>
      </c>
      <c r="BA229">
        <f>Tokens!BC231</f>
        <v>0</v>
      </c>
      <c r="BB229">
        <f>Tokens!BD231</f>
        <v>0</v>
      </c>
      <c r="BC229">
        <f>Tokens!BE231</f>
        <v>0</v>
      </c>
      <c r="BD229">
        <f>Tokens!BF231</f>
        <v>0</v>
      </c>
      <c r="BE229">
        <f>Tokens!BG231</f>
        <v>0</v>
      </c>
      <c r="BF229">
        <f>Tokens!BH231</f>
        <v>0</v>
      </c>
      <c r="BG229">
        <f>Tokens!BI231</f>
        <v>0</v>
      </c>
      <c r="BH229" t="str">
        <f>Tokens!BJ231</f>
        <v>In Casa</v>
      </c>
      <c r="BI229" t="str">
        <f>Tokens!BK231</f>
        <v>Calvi On The Rocks</v>
      </c>
    </row>
    <row r="230" spans="1:61" x14ac:dyDescent="0.25">
      <c r="A230" t="str">
        <f>Tokens!C232</f>
        <v>In Casa #69</v>
      </c>
      <c r="B230" t="str">
        <f>Tokens!D232</f>
        <v>COR22D69</v>
      </c>
      <c r="C230" t="str">
        <f>Tokens!E232</f>
        <v>In Casa, 1 an - Pass NFT 1 jour pour 1 personne, valable pour 1 édition Calvi On The Rocks de votre choix.</v>
      </c>
      <c r="D230">
        <f>Tokens!F232</f>
        <v>1000</v>
      </c>
      <c r="E230" t="str">
        <f>Tokens!G232</f>
        <v>https://bafybeigewp4od5qnefq4462vzpdmzvhhz3gepbmzdb2bdtyzzd3zwhij6m.ipfs.nftstorage.link?image_69.png</v>
      </c>
      <c r="F230" t="str">
        <f>Tokens!H232</f>
        <v>NfluenT for Calvi On The rocks</v>
      </c>
      <c r="G230">
        <f>Tokens!I232</f>
        <v>0</v>
      </c>
      <c r="H230" t="str">
        <f>Tokens!J232</f>
        <v>Pass festival</v>
      </c>
      <c r="I230" t="str">
        <f>Tokens!K232</f>
        <v>pour une(1) personne</v>
      </c>
      <c r="J230" t="str">
        <f>Tokens!L232</f>
        <v>Edition1</v>
      </c>
      <c r="K230">
        <f>Tokens!M232</f>
        <v>2</v>
      </c>
      <c r="L230">
        <f>Tokens!N232</f>
        <v>0</v>
      </c>
      <c r="M230">
        <f>Tokens!O232</f>
        <v>0</v>
      </c>
      <c r="N230">
        <f>Tokens!P232</f>
        <v>0</v>
      </c>
      <c r="O230">
        <f>Tokens!Q232</f>
        <v>0</v>
      </c>
      <c r="P230">
        <f>Tokens!R232</f>
        <v>0</v>
      </c>
      <c r="Q230">
        <f>Tokens!S232</f>
        <v>0</v>
      </c>
      <c r="R230">
        <f>Tokens!T232</f>
        <v>0</v>
      </c>
      <c r="S230">
        <f>Tokens!U232</f>
        <v>0</v>
      </c>
      <c r="T230" t="str">
        <f>Tokens!V232</f>
        <v>Dernière utilisation</v>
      </c>
      <c r="U230">
        <f>Tokens!W232</f>
        <v>0</v>
      </c>
      <c r="V230">
        <f>Tokens!X232</f>
        <v>0</v>
      </c>
      <c r="W230">
        <f>Tokens!Y232</f>
        <v>0</v>
      </c>
      <c r="X230">
        <f>Tokens!Z232</f>
        <v>0</v>
      </c>
      <c r="Y230">
        <f>Tokens!AA232</f>
        <v>0</v>
      </c>
      <c r="Z230">
        <f>Tokens!AB232</f>
        <v>0</v>
      </c>
      <c r="AA230">
        <f>Tokens!AC232</f>
        <v>0</v>
      </c>
      <c r="AB230">
        <f>Tokens!AD232</f>
        <v>0</v>
      </c>
      <c r="AC230">
        <f>Tokens!AE232</f>
        <v>0</v>
      </c>
      <c r="AD230">
        <f>Tokens!AF232</f>
        <v>0</v>
      </c>
      <c r="AE230">
        <f>Tokens!AG232</f>
        <v>0</v>
      </c>
      <c r="AF230">
        <f>Tokens!AH232</f>
        <v>0</v>
      </c>
      <c r="AG230">
        <f>Tokens!AI232</f>
        <v>0</v>
      </c>
      <c r="AH230">
        <f>Tokens!AJ232</f>
        <v>0</v>
      </c>
      <c r="AI230">
        <f>Tokens!AK232</f>
        <v>0</v>
      </c>
      <c r="AJ230" t="str">
        <f>Tokens!AL232</f>
        <v>avantage1</v>
      </c>
      <c r="AK230" t="str">
        <f>Tokens!AM232</f>
        <v>1 affiche numérotée (quelques unes seront signées au hasard)</v>
      </c>
      <c r="AL230">
        <f>Tokens!AN232</f>
        <v>0</v>
      </c>
      <c r="AM230">
        <f>Tokens!AO232</f>
        <v>0</v>
      </c>
      <c r="AN230">
        <f>Tokens!AP232</f>
        <v>0</v>
      </c>
      <c r="AO230">
        <f>Tokens!AQ232</f>
        <v>0</v>
      </c>
      <c r="AP230">
        <f>Tokens!AR232</f>
        <v>0</v>
      </c>
      <c r="AQ230">
        <f>Tokens!AS232</f>
        <v>0</v>
      </c>
      <c r="AR230">
        <f>Tokens!AT232</f>
        <v>0</v>
      </c>
      <c r="AS230">
        <f>Tokens!AU232</f>
        <v>0</v>
      </c>
      <c r="AT230" t="str">
        <f>Tokens!AV232</f>
        <v>Validation</v>
      </c>
      <c r="AU230" t="str">
        <f>Tokens!AW232</f>
        <v>https://tokensol.nfluent.io?s=COR22D69&amp;platform=ftx</v>
      </c>
      <c r="AV230" t="str">
        <f>Tokens!AX232</f>
        <v>paul</v>
      </c>
      <c r="AW230">
        <f>Tokens!AY232</f>
        <v>10</v>
      </c>
      <c r="AX230" t="str">
        <f>Tokens!AZ232</f>
        <v>sophie</v>
      </c>
      <c r="AY230">
        <f>Tokens!BA232</f>
        <v>90</v>
      </c>
      <c r="AZ230">
        <f>Tokens!BB232</f>
        <v>0</v>
      </c>
      <c r="BA230">
        <f>Tokens!BC232</f>
        <v>0</v>
      </c>
      <c r="BB230">
        <f>Tokens!BD232</f>
        <v>0</v>
      </c>
      <c r="BC230">
        <f>Tokens!BE232</f>
        <v>0</v>
      </c>
      <c r="BD230">
        <f>Tokens!BF232</f>
        <v>0</v>
      </c>
      <c r="BE230">
        <f>Tokens!BG232</f>
        <v>0</v>
      </c>
      <c r="BF230">
        <f>Tokens!BH232</f>
        <v>0</v>
      </c>
      <c r="BG230">
        <f>Tokens!BI232</f>
        <v>0</v>
      </c>
      <c r="BH230" t="str">
        <f>Tokens!BJ232</f>
        <v>In Casa</v>
      </c>
      <c r="BI230" t="str">
        <f>Tokens!BK232</f>
        <v>Calvi On The Rocks</v>
      </c>
    </row>
    <row r="231" spans="1:61" x14ac:dyDescent="0.25">
      <c r="A231" t="str">
        <f>Tokens!C233</f>
        <v>In Casa #70</v>
      </c>
      <c r="B231" t="str">
        <f>Tokens!D233</f>
        <v>COR22D70</v>
      </c>
      <c r="C231" t="str">
        <f>Tokens!E233</f>
        <v>In Casa, 1 an - Pass NFT 1 jour pour 1 personne, valable pour 1 édition Calvi On The Rocks de votre choix.</v>
      </c>
      <c r="D231">
        <f>Tokens!F233</f>
        <v>1000</v>
      </c>
      <c r="E231" t="str">
        <f>Tokens!G233</f>
        <v>https://bafybeig6c7tbs3rc3ubakaivbs3to6yxnsy2riwpcfl7xcfmapk3oray2e.ipfs.nftstorage.link?image_70.png</v>
      </c>
      <c r="F231" t="str">
        <f>Tokens!H233</f>
        <v>NfluenT for Calvi On The rocks</v>
      </c>
      <c r="G231">
        <f>Tokens!I233</f>
        <v>0</v>
      </c>
      <c r="H231" t="str">
        <f>Tokens!J233</f>
        <v>Pass festival</v>
      </c>
      <c r="I231" t="str">
        <f>Tokens!K233</f>
        <v>pour une(1) personne</v>
      </c>
      <c r="J231" t="str">
        <f>Tokens!L233</f>
        <v>Edition1</v>
      </c>
      <c r="K231">
        <f>Tokens!M233</f>
        <v>2</v>
      </c>
      <c r="L231">
        <f>Tokens!N233</f>
        <v>0</v>
      </c>
      <c r="M231">
        <f>Tokens!O233</f>
        <v>0</v>
      </c>
      <c r="N231">
        <f>Tokens!P233</f>
        <v>0</v>
      </c>
      <c r="O231">
        <f>Tokens!Q233</f>
        <v>0</v>
      </c>
      <c r="P231">
        <f>Tokens!R233</f>
        <v>0</v>
      </c>
      <c r="Q231">
        <f>Tokens!S233</f>
        <v>0</v>
      </c>
      <c r="R231">
        <f>Tokens!T233</f>
        <v>0</v>
      </c>
      <c r="S231">
        <f>Tokens!U233</f>
        <v>0</v>
      </c>
      <c r="T231" t="str">
        <f>Tokens!V233</f>
        <v>Dernière utilisation</v>
      </c>
      <c r="U231">
        <f>Tokens!W233</f>
        <v>0</v>
      </c>
      <c r="V231">
        <f>Tokens!X233</f>
        <v>0</v>
      </c>
      <c r="W231">
        <f>Tokens!Y233</f>
        <v>0</v>
      </c>
      <c r="X231">
        <f>Tokens!Z233</f>
        <v>0</v>
      </c>
      <c r="Y231">
        <f>Tokens!AA233</f>
        <v>0</v>
      </c>
      <c r="Z231">
        <f>Tokens!AB233</f>
        <v>0</v>
      </c>
      <c r="AA231">
        <f>Tokens!AC233</f>
        <v>0</v>
      </c>
      <c r="AB231">
        <f>Tokens!AD233</f>
        <v>0</v>
      </c>
      <c r="AC231">
        <f>Tokens!AE233</f>
        <v>0</v>
      </c>
      <c r="AD231">
        <f>Tokens!AF233</f>
        <v>0</v>
      </c>
      <c r="AE231">
        <f>Tokens!AG233</f>
        <v>0</v>
      </c>
      <c r="AF231">
        <f>Tokens!AH233</f>
        <v>0</v>
      </c>
      <c r="AG231">
        <f>Tokens!AI233</f>
        <v>0</v>
      </c>
      <c r="AH231">
        <f>Tokens!AJ233</f>
        <v>0</v>
      </c>
      <c r="AI231">
        <f>Tokens!AK233</f>
        <v>0</v>
      </c>
      <c r="AJ231" t="str">
        <f>Tokens!AL233</f>
        <v>avantage1</v>
      </c>
      <c r="AK231" t="str">
        <f>Tokens!AM233</f>
        <v>1 affiche numérotée (quelques unes seront signées au hasard)</v>
      </c>
      <c r="AL231">
        <f>Tokens!AN233</f>
        <v>0</v>
      </c>
      <c r="AM231">
        <f>Tokens!AO233</f>
        <v>0</v>
      </c>
      <c r="AN231">
        <f>Tokens!AP233</f>
        <v>0</v>
      </c>
      <c r="AO231">
        <f>Tokens!AQ233</f>
        <v>0</v>
      </c>
      <c r="AP231">
        <f>Tokens!AR233</f>
        <v>0</v>
      </c>
      <c r="AQ231">
        <f>Tokens!AS233</f>
        <v>0</v>
      </c>
      <c r="AR231">
        <f>Tokens!AT233</f>
        <v>0</v>
      </c>
      <c r="AS231">
        <f>Tokens!AU233</f>
        <v>0</v>
      </c>
      <c r="AT231" t="str">
        <f>Tokens!AV233</f>
        <v>Validation</v>
      </c>
      <c r="AU231" t="str">
        <f>Tokens!AW233</f>
        <v>https://tokensol.nfluent.io?s=COR22D70&amp;platform=ftx</v>
      </c>
      <c r="AV231" t="str">
        <f>Tokens!AX233</f>
        <v>paul</v>
      </c>
      <c r="AW231">
        <f>Tokens!AY233</f>
        <v>10</v>
      </c>
      <c r="AX231" t="str">
        <f>Tokens!AZ233</f>
        <v>sophie</v>
      </c>
      <c r="AY231">
        <f>Tokens!BA233</f>
        <v>90</v>
      </c>
      <c r="AZ231">
        <f>Tokens!BB233</f>
        <v>0</v>
      </c>
      <c r="BA231">
        <f>Tokens!BC233</f>
        <v>0</v>
      </c>
      <c r="BB231">
        <f>Tokens!BD233</f>
        <v>0</v>
      </c>
      <c r="BC231">
        <f>Tokens!BE233</f>
        <v>0</v>
      </c>
      <c r="BD231">
        <f>Tokens!BF233</f>
        <v>0</v>
      </c>
      <c r="BE231">
        <f>Tokens!BG233</f>
        <v>0</v>
      </c>
      <c r="BF231">
        <f>Tokens!BH233</f>
        <v>0</v>
      </c>
      <c r="BG231">
        <f>Tokens!BI233</f>
        <v>0</v>
      </c>
      <c r="BH231" t="str">
        <f>Tokens!BJ233</f>
        <v>In Casa</v>
      </c>
      <c r="BI231" t="str">
        <f>Tokens!BK233</f>
        <v>Calvi On The Rocks</v>
      </c>
    </row>
    <row r="232" spans="1:61" x14ac:dyDescent="0.25">
      <c r="A232" t="str">
        <f>Tokens!C234</f>
        <v>In Casa #71</v>
      </c>
      <c r="B232" t="str">
        <f>Tokens!D234</f>
        <v>COR22D71</v>
      </c>
      <c r="C232" t="str">
        <f>Tokens!E234</f>
        <v>In Casa, 1 an - Pass NFT 1 jour pour 1 personne, valable pour 1 édition Calvi On The Rocks de votre choix.</v>
      </c>
      <c r="D232">
        <f>Tokens!F234</f>
        <v>1000</v>
      </c>
      <c r="E232" t="str">
        <f>Tokens!G234</f>
        <v>https://bafybeidsmk456mdisgcz4el34yj7efuv5bjrzql67qp2ke7ymeg5hdqmom.ipfs.nftstorage.link?image_71.png</v>
      </c>
      <c r="F232" t="str">
        <f>Tokens!H234</f>
        <v>NfluenT for Calvi On The rocks</v>
      </c>
      <c r="G232">
        <f>Tokens!I234</f>
        <v>0</v>
      </c>
      <c r="H232" t="str">
        <f>Tokens!J234</f>
        <v>Pass festival</v>
      </c>
      <c r="I232" t="str">
        <f>Tokens!K234</f>
        <v>pour une(1) personne</v>
      </c>
      <c r="J232" t="str">
        <f>Tokens!L234</f>
        <v>Edition1</v>
      </c>
      <c r="K232">
        <f>Tokens!M234</f>
        <v>2</v>
      </c>
      <c r="L232">
        <f>Tokens!N234</f>
        <v>0</v>
      </c>
      <c r="M232">
        <f>Tokens!O234</f>
        <v>0</v>
      </c>
      <c r="N232">
        <f>Tokens!P234</f>
        <v>0</v>
      </c>
      <c r="O232">
        <f>Tokens!Q234</f>
        <v>0</v>
      </c>
      <c r="P232">
        <f>Tokens!R234</f>
        <v>0</v>
      </c>
      <c r="Q232">
        <f>Tokens!S234</f>
        <v>0</v>
      </c>
      <c r="R232">
        <f>Tokens!T234</f>
        <v>0</v>
      </c>
      <c r="S232">
        <f>Tokens!U234</f>
        <v>0</v>
      </c>
      <c r="T232" t="str">
        <f>Tokens!V234</f>
        <v>Dernière utilisation</v>
      </c>
      <c r="U232">
        <f>Tokens!W234</f>
        <v>0</v>
      </c>
      <c r="V232">
        <f>Tokens!X234</f>
        <v>0</v>
      </c>
      <c r="W232">
        <f>Tokens!Y234</f>
        <v>0</v>
      </c>
      <c r="X232">
        <f>Tokens!Z234</f>
        <v>0</v>
      </c>
      <c r="Y232">
        <f>Tokens!AA234</f>
        <v>0</v>
      </c>
      <c r="Z232">
        <f>Tokens!AB234</f>
        <v>0</v>
      </c>
      <c r="AA232">
        <f>Tokens!AC234</f>
        <v>0</v>
      </c>
      <c r="AB232">
        <f>Tokens!AD234</f>
        <v>0</v>
      </c>
      <c r="AC232">
        <f>Tokens!AE234</f>
        <v>0</v>
      </c>
      <c r="AD232">
        <f>Tokens!AF234</f>
        <v>0</v>
      </c>
      <c r="AE232">
        <f>Tokens!AG234</f>
        <v>0</v>
      </c>
      <c r="AF232">
        <f>Tokens!AH234</f>
        <v>0</v>
      </c>
      <c r="AG232">
        <f>Tokens!AI234</f>
        <v>0</v>
      </c>
      <c r="AH232">
        <f>Tokens!AJ234</f>
        <v>0</v>
      </c>
      <c r="AI232">
        <f>Tokens!AK234</f>
        <v>0</v>
      </c>
      <c r="AJ232" t="str">
        <f>Tokens!AL234</f>
        <v>avantage1</v>
      </c>
      <c r="AK232" t="str">
        <f>Tokens!AM234</f>
        <v>1 affiche numérotée (quelques unes seront signées au hasard)</v>
      </c>
      <c r="AL232">
        <f>Tokens!AN234</f>
        <v>0</v>
      </c>
      <c r="AM232">
        <f>Tokens!AO234</f>
        <v>0</v>
      </c>
      <c r="AN232">
        <f>Tokens!AP234</f>
        <v>0</v>
      </c>
      <c r="AO232">
        <f>Tokens!AQ234</f>
        <v>0</v>
      </c>
      <c r="AP232">
        <f>Tokens!AR234</f>
        <v>0</v>
      </c>
      <c r="AQ232">
        <f>Tokens!AS234</f>
        <v>0</v>
      </c>
      <c r="AR232">
        <f>Tokens!AT234</f>
        <v>0</v>
      </c>
      <c r="AS232">
        <f>Tokens!AU234</f>
        <v>0</v>
      </c>
      <c r="AT232" t="str">
        <f>Tokens!AV234</f>
        <v>Validation</v>
      </c>
      <c r="AU232" t="str">
        <f>Tokens!AW234</f>
        <v>https://tokensol.nfluent.io?s=COR22D71&amp;platform=ftx</v>
      </c>
      <c r="AV232" t="str">
        <f>Tokens!AX234</f>
        <v>paul</v>
      </c>
      <c r="AW232">
        <f>Tokens!AY234</f>
        <v>10</v>
      </c>
      <c r="AX232" t="str">
        <f>Tokens!AZ234</f>
        <v>sophie</v>
      </c>
      <c r="AY232">
        <f>Tokens!BA234</f>
        <v>90</v>
      </c>
      <c r="AZ232">
        <f>Tokens!BB234</f>
        <v>0</v>
      </c>
      <c r="BA232">
        <f>Tokens!BC234</f>
        <v>0</v>
      </c>
      <c r="BB232">
        <f>Tokens!BD234</f>
        <v>0</v>
      </c>
      <c r="BC232">
        <f>Tokens!BE234</f>
        <v>0</v>
      </c>
      <c r="BD232">
        <f>Tokens!BF234</f>
        <v>0</v>
      </c>
      <c r="BE232">
        <f>Tokens!BG234</f>
        <v>0</v>
      </c>
      <c r="BF232">
        <f>Tokens!BH234</f>
        <v>0</v>
      </c>
      <c r="BG232">
        <f>Tokens!BI234</f>
        <v>0</v>
      </c>
      <c r="BH232" t="str">
        <f>Tokens!BJ234</f>
        <v>In Casa</v>
      </c>
      <c r="BI232" t="str">
        <f>Tokens!BK234</f>
        <v>Calvi On The Rocks</v>
      </c>
    </row>
    <row r="233" spans="1:61" x14ac:dyDescent="0.25">
      <c r="A233" t="str">
        <f>Tokens!C235</f>
        <v>In Casa #72</v>
      </c>
      <c r="B233" t="str">
        <f>Tokens!D235</f>
        <v>COR22D72</v>
      </c>
      <c r="C233" t="str">
        <f>Tokens!E235</f>
        <v>In Casa, 1 an - Pass NFT 1 jour pour 1 personne, valable pour 1 édition Calvi On The Rocks de votre choix.</v>
      </c>
      <c r="D233">
        <f>Tokens!F235</f>
        <v>1000</v>
      </c>
      <c r="E233" t="str">
        <f>Tokens!G235</f>
        <v>https://bafybeicz7nes64p5aingffswz4vjcompsbn5ewcvtlopgdkxd4dmfvpqai.ipfs.nftstorage.link?image_72.png</v>
      </c>
      <c r="F233" t="str">
        <f>Tokens!H235</f>
        <v>NfluenT for Calvi On The rocks</v>
      </c>
      <c r="G233">
        <f>Tokens!I235</f>
        <v>0</v>
      </c>
      <c r="H233" t="str">
        <f>Tokens!J235</f>
        <v>Pass festival</v>
      </c>
      <c r="I233" t="str">
        <f>Tokens!K235</f>
        <v>pour une(1) personne</v>
      </c>
      <c r="J233" t="str">
        <f>Tokens!L235</f>
        <v>Edition1</v>
      </c>
      <c r="K233">
        <f>Tokens!M235</f>
        <v>2</v>
      </c>
      <c r="L233">
        <f>Tokens!N235</f>
        <v>0</v>
      </c>
      <c r="M233">
        <f>Tokens!O235</f>
        <v>0</v>
      </c>
      <c r="N233">
        <f>Tokens!P235</f>
        <v>0</v>
      </c>
      <c r="O233">
        <f>Tokens!Q235</f>
        <v>0</v>
      </c>
      <c r="P233">
        <f>Tokens!R235</f>
        <v>0</v>
      </c>
      <c r="Q233">
        <f>Tokens!S235</f>
        <v>0</v>
      </c>
      <c r="R233">
        <f>Tokens!T235</f>
        <v>0</v>
      </c>
      <c r="S233">
        <f>Tokens!U235</f>
        <v>0</v>
      </c>
      <c r="T233" t="str">
        <f>Tokens!V235</f>
        <v>Dernière utilisation</v>
      </c>
      <c r="U233">
        <f>Tokens!W235</f>
        <v>0</v>
      </c>
      <c r="V233">
        <f>Tokens!X235</f>
        <v>0</v>
      </c>
      <c r="W233">
        <f>Tokens!Y235</f>
        <v>0</v>
      </c>
      <c r="X233">
        <f>Tokens!Z235</f>
        <v>0</v>
      </c>
      <c r="Y233">
        <f>Tokens!AA235</f>
        <v>0</v>
      </c>
      <c r="Z233">
        <f>Tokens!AB235</f>
        <v>0</v>
      </c>
      <c r="AA233">
        <f>Tokens!AC235</f>
        <v>0</v>
      </c>
      <c r="AB233">
        <f>Tokens!AD235</f>
        <v>0</v>
      </c>
      <c r="AC233">
        <f>Tokens!AE235</f>
        <v>0</v>
      </c>
      <c r="AD233">
        <f>Tokens!AF235</f>
        <v>0</v>
      </c>
      <c r="AE233">
        <f>Tokens!AG235</f>
        <v>0</v>
      </c>
      <c r="AF233">
        <f>Tokens!AH235</f>
        <v>0</v>
      </c>
      <c r="AG233">
        <f>Tokens!AI235</f>
        <v>0</v>
      </c>
      <c r="AH233">
        <f>Tokens!AJ235</f>
        <v>0</v>
      </c>
      <c r="AI233">
        <f>Tokens!AK235</f>
        <v>0</v>
      </c>
      <c r="AJ233" t="str">
        <f>Tokens!AL235</f>
        <v>avantage1</v>
      </c>
      <c r="AK233" t="str">
        <f>Tokens!AM235</f>
        <v>1 affiche numérotée (quelques unes seront signées au hasard)</v>
      </c>
      <c r="AL233">
        <f>Tokens!AN235</f>
        <v>0</v>
      </c>
      <c r="AM233">
        <f>Tokens!AO235</f>
        <v>0</v>
      </c>
      <c r="AN233">
        <f>Tokens!AP235</f>
        <v>0</v>
      </c>
      <c r="AO233">
        <f>Tokens!AQ235</f>
        <v>0</v>
      </c>
      <c r="AP233">
        <f>Tokens!AR235</f>
        <v>0</v>
      </c>
      <c r="AQ233">
        <f>Tokens!AS235</f>
        <v>0</v>
      </c>
      <c r="AR233">
        <f>Tokens!AT235</f>
        <v>0</v>
      </c>
      <c r="AS233">
        <f>Tokens!AU235</f>
        <v>0</v>
      </c>
      <c r="AT233" t="str">
        <f>Tokens!AV235</f>
        <v>Validation</v>
      </c>
      <c r="AU233" t="str">
        <f>Tokens!AW235</f>
        <v>https://tokensol.nfluent.io?s=COR22D72&amp;platform=ftx</v>
      </c>
      <c r="AV233" t="str">
        <f>Tokens!AX235</f>
        <v>paul</v>
      </c>
      <c r="AW233">
        <f>Tokens!AY235</f>
        <v>10</v>
      </c>
      <c r="AX233" t="str">
        <f>Tokens!AZ235</f>
        <v>sophie</v>
      </c>
      <c r="AY233">
        <f>Tokens!BA235</f>
        <v>90</v>
      </c>
      <c r="AZ233">
        <f>Tokens!BB235</f>
        <v>0</v>
      </c>
      <c r="BA233">
        <f>Tokens!BC235</f>
        <v>0</v>
      </c>
      <c r="BB233">
        <f>Tokens!BD235</f>
        <v>0</v>
      </c>
      <c r="BC233">
        <f>Tokens!BE235</f>
        <v>0</v>
      </c>
      <c r="BD233">
        <f>Tokens!BF235</f>
        <v>0</v>
      </c>
      <c r="BE233">
        <f>Tokens!BG235</f>
        <v>0</v>
      </c>
      <c r="BF233">
        <f>Tokens!BH235</f>
        <v>0</v>
      </c>
      <c r="BG233">
        <f>Tokens!BI235</f>
        <v>0</v>
      </c>
      <c r="BH233" t="str">
        <f>Tokens!BJ235</f>
        <v>In Casa</v>
      </c>
      <c r="BI233" t="str">
        <f>Tokens!BK235</f>
        <v>Calvi On The Rocks</v>
      </c>
    </row>
    <row r="234" spans="1:61" x14ac:dyDescent="0.25">
      <c r="A234" t="str">
        <f>Tokens!C236</f>
        <v>In Casa #73</v>
      </c>
      <c r="B234" t="str">
        <f>Tokens!D236</f>
        <v>COR22D73</v>
      </c>
      <c r="C234" t="str">
        <f>Tokens!E236</f>
        <v>In Casa, 1 an - Pass NFT 1 jour pour 1 personne, valable pour 1 édition Calvi On The Rocks de votre choix.</v>
      </c>
      <c r="D234">
        <f>Tokens!F236</f>
        <v>1000</v>
      </c>
      <c r="E234" t="str">
        <f>Tokens!G236</f>
        <v>https://bafybeic5askllijlftb274ulyoehqra3l26m7vrhcyzg5srrzgkcjfkqtm.ipfs.nftstorage.link?image_73.png</v>
      </c>
      <c r="F234" t="str">
        <f>Tokens!H236</f>
        <v>NfluenT for Calvi On The rocks</v>
      </c>
      <c r="G234">
        <f>Tokens!I236</f>
        <v>0</v>
      </c>
      <c r="H234" t="str">
        <f>Tokens!J236</f>
        <v>Pass festival</v>
      </c>
      <c r="I234" t="str">
        <f>Tokens!K236</f>
        <v>pour une(1) personne</v>
      </c>
      <c r="J234" t="str">
        <f>Tokens!L236</f>
        <v>Edition1</v>
      </c>
      <c r="K234">
        <f>Tokens!M236</f>
        <v>2</v>
      </c>
      <c r="L234">
        <f>Tokens!N236</f>
        <v>0</v>
      </c>
      <c r="M234">
        <f>Tokens!O236</f>
        <v>0</v>
      </c>
      <c r="N234">
        <f>Tokens!P236</f>
        <v>0</v>
      </c>
      <c r="O234">
        <f>Tokens!Q236</f>
        <v>0</v>
      </c>
      <c r="P234">
        <f>Tokens!R236</f>
        <v>0</v>
      </c>
      <c r="Q234">
        <f>Tokens!S236</f>
        <v>0</v>
      </c>
      <c r="R234">
        <f>Tokens!T236</f>
        <v>0</v>
      </c>
      <c r="S234">
        <f>Tokens!U236</f>
        <v>0</v>
      </c>
      <c r="T234" t="str">
        <f>Tokens!V236</f>
        <v>Dernière utilisation</v>
      </c>
      <c r="U234">
        <f>Tokens!W236</f>
        <v>0</v>
      </c>
      <c r="V234">
        <f>Tokens!X236</f>
        <v>0</v>
      </c>
      <c r="W234">
        <f>Tokens!Y236</f>
        <v>0</v>
      </c>
      <c r="X234">
        <f>Tokens!Z236</f>
        <v>0</v>
      </c>
      <c r="Y234">
        <f>Tokens!AA236</f>
        <v>0</v>
      </c>
      <c r="Z234">
        <f>Tokens!AB236</f>
        <v>0</v>
      </c>
      <c r="AA234">
        <f>Tokens!AC236</f>
        <v>0</v>
      </c>
      <c r="AB234">
        <f>Tokens!AD236</f>
        <v>0</v>
      </c>
      <c r="AC234">
        <f>Tokens!AE236</f>
        <v>0</v>
      </c>
      <c r="AD234">
        <f>Tokens!AF236</f>
        <v>0</v>
      </c>
      <c r="AE234">
        <f>Tokens!AG236</f>
        <v>0</v>
      </c>
      <c r="AF234">
        <f>Tokens!AH236</f>
        <v>0</v>
      </c>
      <c r="AG234">
        <f>Tokens!AI236</f>
        <v>0</v>
      </c>
      <c r="AH234">
        <f>Tokens!AJ236</f>
        <v>0</v>
      </c>
      <c r="AI234">
        <f>Tokens!AK236</f>
        <v>0</v>
      </c>
      <c r="AJ234" t="str">
        <f>Tokens!AL236</f>
        <v>avantage1</v>
      </c>
      <c r="AK234" t="str">
        <f>Tokens!AM236</f>
        <v>1 affiche numérotée (quelques unes seront signées au hasard)</v>
      </c>
      <c r="AL234">
        <f>Tokens!AN236</f>
        <v>0</v>
      </c>
      <c r="AM234">
        <f>Tokens!AO236</f>
        <v>0</v>
      </c>
      <c r="AN234">
        <f>Tokens!AP236</f>
        <v>0</v>
      </c>
      <c r="AO234">
        <f>Tokens!AQ236</f>
        <v>0</v>
      </c>
      <c r="AP234">
        <f>Tokens!AR236</f>
        <v>0</v>
      </c>
      <c r="AQ234">
        <f>Tokens!AS236</f>
        <v>0</v>
      </c>
      <c r="AR234">
        <f>Tokens!AT236</f>
        <v>0</v>
      </c>
      <c r="AS234">
        <f>Tokens!AU236</f>
        <v>0</v>
      </c>
      <c r="AT234" t="str">
        <f>Tokens!AV236</f>
        <v>Validation</v>
      </c>
      <c r="AU234" t="str">
        <f>Tokens!AW236</f>
        <v>https://tokensol.nfluent.io?s=COR22D73&amp;platform=ftx</v>
      </c>
      <c r="AV234" t="str">
        <f>Tokens!AX236</f>
        <v>paul</v>
      </c>
      <c r="AW234">
        <f>Tokens!AY236</f>
        <v>10</v>
      </c>
      <c r="AX234" t="str">
        <f>Tokens!AZ236</f>
        <v>sophie</v>
      </c>
      <c r="AY234">
        <f>Tokens!BA236</f>
        <v>90</v>
      </c>
      <c r="AZ234">
        <f>Tokens!BB236</f>
        <v>0</v>
      </c>
      <c r="BA234">
        <f>Tokens!BC236</f>
        <v>0</v>
      </c>
      <c r="BB234">
        <f>Tokens!BD236</f>
        <v>0</v>
      </c>
      <c r="BC234">
        <f>Tokens!BE236</f>
        <v>0</v>
      </c>
      <c r="BD234">
        <f>Tokens!BF236</f>
        <v>0</v>
      </c>
      <c r="BE234">
        <f>Tokens!BG236</f>
        <v>0</v>
      </c>
      <c r="BF234">
        <f>Tokens!BH236</f>
        <v>0</v>
      </c>
      <c r="BG234">
        <f>Tokens!BI236</f>
        <v>0</v>
      </c>
      <c r="BH234" t="str">
        <f>Tokens!BJ236</f>
        <v>In Casa</v>
      </c>
      <c r="BI234" t="str">
        <f>Tokens!BK236</f>
        <v>Calvi On The Rocks</v>
      </c>
    </row>
    <row r="235" spans="1:61" x14ac:dyDescent="0.25">
      <c r="A235" t="str">
        <f>Tokens!C237</f>
        <v>In Casa #74</v>
      </c>
      <c r="B235" t="str">
        <f>Tokens!D237</f>
        <v>COR22D74</v>
      </c>
      <c r="C235" t="str">
        <f>Tokens!E237</f>
        <v>In Casa, 1 an - Pass NFT 1 jour pour 1 personne, valable pour 1 édition Calvi On The Rocks de votre choix.</v>
      </c>
      <c r="D235">
        <f>Tokens!F237</f>
        <v>1000</v>
      </c>
      <c r="E235" t="str">
        <f>Tokens!G237</f>
        <v>https://bafybeihulh3vzw5c3tfkqv5nin7qwq4om5ayt7ecaixldmoz6i5twx3rpy.ipfs.nftstorage.link?image_74.png</v>
      </c>
      <c r="F235" t="str">
        <f>Tokens!H237</f>
        <v>NfluenT for Calvi On The rocks</v>
      </c>
      <c r="G235">
        <f>Tokens!I237</f>
        <v>0</v>
      </c>
      <c r="H235" t="str">
        <f>Tokens!J237</f>
        <v>Pass festival</v>
      </c>
      <c r="I235" t="str">
        <f>Tokens!K237</f>
        <v>pour une(1) personne</v>
      </c>
      <c r="J235" t="str">
        <f>Tokens!L237</f>
        <v>Edition1</v>
      </c>
      <c r="K235">
        <f>Tokens!M237</f>
        <v>2</v>
      </c>
      <c r="L235">
        <f>Tokens!N237</f>
        <v>0</v>
      </c>
      <c r="M235">
        <f>Tokens!O237</f>
        <v>0</v>
      </c>
      <c r="N235">
        <f>Tokens!P237</f>
        <v>0</v>
      </c>
      <c r="O235">
        <f>Tokens!Q237</f>
        <v>0</v>
      </c>
      <c r="P235">
        <f>Tokens!R237</f>
        <v>0</v>
      </c>
      <c r="Q235">
        <f>Tokens!S237</f>
        <v>0</v>
      </c>
      <c r="R235">
        <f>Tokens!T237</f>
        <v>0</v>
      </c>
      <c r="S235">
        <f>Tokens!U237</f>
        <v>0</v>
      </c>
      <c r="T235" t="str">
        <f>Tokens!V237</f>
        <v>Dernière utilisation</v>
      </c>
      <c r="U235">
        <f>Tokens!W237</f>
        <v>0</v>
      </c>
      <c r="V235">
        <f>Tokens!X237</f>
        <v>0</v>
      </c>
      <c r="W235">
        <f>Tokens!Y237</f>
        <v>0</v>
      </c>
      <c r="X235">
        <f>Tokens!Z237</f>
        <v>0</v>
      </c>
      <c r="Y235">
        <f>Tokens!AA237</f>
        <v>0</v>
      </c>
      <c r="Z235">
        <f>Tokens!AB237</f>
        <v>0</v>
      </c>
      <c r="AA235">
        <f>Tokens!AC237</f>
        <v>0</v>
      </c>
      <c r="AB235">
        <f>Tokens!AD237</f>
        <v>0</v>
      </c>
      <c r="AC235">
        <f>Tokens!AE237</f>
        <v>0</v>
      </c>
      <c r="AD235">
        <f>Tokens!AF237</f>
        <v>0</v>
      </c>
      <c r="AE235">
        <f>Tokens!AG237</f>
        <v>0</v>
      </c>
      <c r="AF235">
        <f>Tokens!AH237</f>
        <v>0</v>
      </c>
      <c r="AG235">
        <f>Tokens!AI237</f>
        <v>0</v>
      </c>
      <c r="AH235">
        <f>Tokens!AJ237</f>
        <v>0</v>
      </c>
      <c r="AI235">
        <f>Tokens!AK237</f>
        <v>0</v>
      </c>
      <c r="AJ235" t="str">
        <f>Tokens!AL237</f>
        <v>avantage1</v>
      </c>
      <c r="AK235" t="str">
        <f>Tokens!AM237</f>
        <v>1 affiche numérotée (quelques unes seront signées au hasard)</v>
      </c>
      <c r="AL235">
        <f>Tokens!AN237</f>
        <v>0</v>
      </c>
      <c r="AM235">
        <f>Tokens!AO237</f>
        <v>0</v>
      </c>
      <c r="AN235">
        <f>Tokens!AP237</f>
        <v>0</v>
      </c>
      <c r="AO235">
        <f>Tokens!AQ237</f>
        <v>0</v>
      </c>
      <c r="AP235">
        <f>Tokens!AR237</f>
        <v>0</v>
      </c>
      <c r="AQ235">
        <f>Tokens!AS237</f>
        <v>0</v>
      </c>
      <c r="AR235">
        <f>Tokens!AT237</f>
        <v>0</v>
      </c>
      <c r="AS235">
        <f>Tokens!AU237</f>
        <v>0</v>
      </c>
      <c r="AT235" t="str">
        <f>Tokens!AV237</f>
        <v>Validation</v>
      </c>
      <c r="AU235" t="str">
        <f>Tokens!AW237</f>
        <v>https://tokensol.nfluent.io?s=COR22D74&amp;platform=ftx</v>
      </c>
      <c r="AV235" t="str">
        <f>Tokens!AX237</f>
        <v>paul</v>
      </c>
      <c r="AW235">
        <f>Tokens!AY237</f>
        <v>10</v>
      </c>
      <c r="AX235" t="str">
        <f>Tokens!AZ237</f>
        <v>sophie</v>
      </c>
      <c r="AY235">
        <f>Tokens!BA237</f>
        <v>90</v>
      </c>
      <c r="AZ235">
        <f>Tokens!BB237</f>
        <v>0</v>
      </c>
      <c r="BA235">
        <f>Tokens!BC237</f>
        <v>0</v>
      </c>
      <c r="BB235">
        <f>Tokens!BD237</f>
        <v>0</v>
      </c>
      <c r="BC235">
        <f>Tokens!BE237</f>
        <v>0</v>
      </c>
      <c r="BD235">
        <f>Tokens!BF237</f>
        <v>0</v>
      </c>
      <c r="BE235">
        <f>Tokens!BG237</f>
        <v>0</v>
      </c>
      <c r="BF235">
        <f>Tokens!BH237</f>
        <v>0</v>
      </c>
      <c r="BG235">
        <f>Tokens!BI237</f>
        <v>0</v>
      </c>
      <c r="BH235" t="str">
        <f>Tokens!BJ237</f>
        <v>In Casa</v>
      </c>
      <c r="BI235" t="str">
        <f>Tokens!BK237</f>
        <v>Calvi On The Rocks</v>
      </c>
    </row>
    <row r="236" spans="1:61" x14ac:dyDescent="0.25">
      <c r="A236" t="str">
        <f>Tokens!C238</f>
        <v>In Casa #75</v>
      </c>
      <c r="B236" t="str">
        <f>Tokens!D238</f>
        <v>COR22D75</v>
      </c>
      <c r="C236" t="str">
        <f>Tokens!E238</f>
        <v>In Casa, 1 an - Pass NFT 1 jour pour 1 personne, valable pour 1 édition Calvi On The Rocks de votre choix.</v>
      </c>
      <c r="D236">
        <f>Tokens!F238</f>
        <v>1000</v>
      </c>
      <c r="E236" t="str">
        <f>Tokens!G238</f>
        <v>https://bafybeiaetgdhdsx4us7e7lvqmtoajgmibyxlzbjzwn4py4x3iby76xdvii.ipfs.nftstorage.link?image_75.png</v>
      </c>
      <c r="F236" t="str">
        <f>Tokens!H238</f>
        <v>NfluenT for Calvi On The rocks</v>
      </c>
      <c r="G236">
        <f>Tokens!I238</f>
        <v>0</v>
      </c>
      <c r="H236" t="str">
        <f>Tokens!J238</f>
        <v>Pass festival</v>
      </c>
      <c r="I236" t="str">
        <f>Tokens!K238</f>
        <v>pour une(1) personne</v>
      </c>
      <c r="J236" t="str">
        <f>Tokens!L238</f>
        <v>Edition1</v>
      </c>
      <c r="K236">
        <f>Tokens!M238</f>
        <v>2</v>
      </c>
      <c r="L236">
        <f>Tokens!N238</f>
        <v>0</v>
      </c>
      <c r="M236">
        <f>Tokens!O238</f>
        <v>0</v>
      </c>
      <c r="N236">
        <f>Tokens!P238</f>
        <v>0</v>
      </c>
      <c r="O236">
        <f>Tokens!Q238</f>
        <v>0</v>
      </c>
      <c r="P236">
        <f>Tokens!R238</f>
        <v>0</v>
      </c>
      <c r="Q236">
        <f>Tokens!S238</f>
        <v>0</v>
      </c>
      <c r="R236">
        <f>Tokens!T238</f>
        <v>0</v>
      </c>
      <c r="S236">
        <f>Tokens!U238</f>
        <v>0</v>
      </c>
      <c r="T236" t="str">
        <f>Tokens!V238</f>
        <v>Dernière utilisation</v>
      </c>
      <c r="U236">
        <f>Tokens!W238</f>
        <v>0</v>
      </c>
      <c r="V236">
        <f>Tokens!X238</f>
        <v>0</v>
      </c>
      <c r="W236">
        <f>Tokens!Y238</f>
        <v>0</v>
      </c>
      <c r="X236">
        <f>Tokens!Z238</f>
        <v>0</v>
      </c>
      <c r="Y236">
        <f>Tokens!AA238</f>
        <v>0</v>
      </c>
      <c r="Z236">
        <f>Tokens!AB238</f>
        <v>0</v>
      </c>
      <c r="AA236">
        <f>Tokens!AC238</f>
        <v>0</v>
      </c>
      <c r="AB236">
        <f>Tokens!AD238</f>
        <v>0</v>
      </c>
      <c r="AC236">
        <f>Tokens!AE238</f>
        <v>0</v>
      </c>
      <c r="AD236">
        <f>Tokens!AF238</f>
        <v>0</v>
      </c>
      <c r="AE236">
        <f>Tokens!AG238</f>
        <v>0</v>
      </c>
      <c r="AF236">
        <f>Tokens!AH238</f>
        <v>0</v>
      </c>
      <c r="AG236">
        <f>Tokens!AI238</f>
        <v>0</v>
      </c>
      <c r="AH236">
        <f>Tokens!AJ238</f>
        <v>0</v>
      </c>
      <c r="AI236">
        <f>Tokens!AK238</f>
        <v>0</v>
      </c>
      <c r="AJ236" t="str">
        <f>Tokens!AL238</f>
        <v>avantage1</v>
      </c>
      <c r="AK236" t="str">
        <f>Tokens!AM238</f>
        <v>1 affiche numérotée (quelques unes seront signées au hasard)</v>
      </c>
      <c r="AL236">
        <f>Tokens!AN238</f>
        <v>0</v>
      </c>
      <c r="AM236">
        <f>Tokens!AO238</f>
        <v>0</v>
      </c>
      <c r="AN236">
        <f>Tokens!AP238</f>
        <v>0</v>
      </c>
      <c r="AO236">
        <f>Tokens!AQ238</f>
        <v>0</v>
      </c>
      <c r="AP236">
        <f>Tokens!AR238</f>
        <v>0</v>
      </c>
      <c r="AQ236">
        <f>Tokens!AS238</f>
        <v>0</v>
      </c>
      <c r="AR236">
        <f>Tokens!AT238</f>
        <v>0</v>
      </c>
      <c r="AS236">
        <f>Tokens!AU238</f>
        <v>0</v>
      </c>
      <c r="AT236" t="str">
        <f>Tokens!AV238</f>
        <v>Validation</v>
      </c>
      <c r="AU236" t="str">
        <f>Tokens!AW238</f>
        <v>https://tokensol.nfluent.io?s=COR22D75&amp;platform=ftx</v>
      </c>
      <c r="AV236" t="str">
        <f>Tokens!AX238</f>
        <v>paul</v>
      </c>
      <c r="AW236">
        <f>Tokens!AY238</f>
        <v>10</v>
      </c>
      <c r="AX236" t="str">
        <f>Tokens!AZ238</f>
        <v>sophie</v>
      </c>
      <c r="AY236">
        <f>Tokens!BA238</f>
        <v>90</v>
      </c>
      <c r="AZ236">
        <f>Tokens!BB238</f>
        <v>0</v>
      </c>
      <c r="BA236">
        <f>Tokens!BC238</f>
        <v>0</v>
      </c>
      <c r="BB236">
        <f>Tokens!BD238</f>
        <v>0</v>
      </c>
      <c r="BC236">
        <f>Tokens!BE238</f>
        <v>0</v>
      </c>
      <c r="BD236">
        <f>Tokens!BF238</f>
        <v>0</v>
      </c>
      <c r="BE236">
        <f>Tokens!BG238</f>
        <v>0</v>
      </c>
      <c r="BF236">
        <f>Tokens!BH238</f>
        <v>0</v>
      </c>
      <c r="BG236">
        <f>Tokens!BI238</f>
        <v>0</v>
      </c>
      <c r="BH236" t="str">
        <f>Tokens!BJ238</f>
        <v>In Casa</v>
      </c>
      <c r="BI236" t="str">
        <f>Tokens!BK238</f>
        <v>Calvi On The Rocks</v>
      </c>
    </row>
    <row r="237" spans="1:61" x14ac:dyDescent="0.25">
      <c r="A237" t="str">
        <f>Tokens!C239</f>
        <v>In Casa #76</v>
      </c>
      <c r="B237" t="str">
        <f>Tokens!D239</f>
        <v>COR22D76</v>
      </c>
      <c r="C237" t="str">
        <f>Tokens!E239</f>
        <v>In Casa, 1 an - Pass NFT 1 jour pour 1 personne, valable pour 1 édition Calvi On The Rocks de votre choix.</v>
      </c>
      <c r="D237">
        <f>Tokens!F239</f>
        <v>1000</v>
      </c>
      <c r="E237" t="str">
        <f>Tokens!G239</f>
        <v>https://bafybeihc3gzczmbdbrdlovituohd2niiqhqaeon3q73st7wmbxtntfcrm4.ipfs.nftstorage.link?image_76.png</v>
      </c>
      <c r="F237" t="str">
        <f>Tokens!H239</f>
        <v>NfluenT for Calvi On The rocks</v>
      </c>
      <c r="G237">
        <f>Tokens!I239</f>
        <v>0</v>
      </c>
      <c r="H237" t="str">
        <f>Tokens!J239</f>
        <v>Pass festival</v>
      </c>
      <c r="I237" t="str">
        <f>Tokens!K239</f>
        <v>pour une(1) personne</v>
      </c>
      <c r="J237" t="str">
        <f>Tokens!L239</f>
        <v>Edition1</v>
      </c>
      <c r="K237">
        <f>Tokens!M239</f>
        <v>2</v>
      </c>
      <c r="L237">
        <f>Tokens!N239</f>
        <v>0</v>
      </c>
      <c r="M237">
        <f>Tokens!O239</f>
        <v>0</v>
      </c>
      <c r="N237">
        <f>Tokens!P239</f>
        <v>0</v>
      </c>
      <c r="O237">
        <f>Tokens!Q239</f>
        <v>0</v>
      </c>
      <c r="P237">
        <f>Tokens!R239</f>
        <v>0</v>
      </c>
      <c r="Q237">
        <f>Tokens!S239</f>
        <v>0</v>
      </c>
      <c r="R237">
        <f>Tokens!T239</f>
        <v>0</v>
      </c>
      <c r="S237">
        <f>Tokens!U239</f>
        <v>0</v>
      </c>
      <c r="T237" t="str">
        <f>Tokens!V239</f>
        <v>Dernière utilisation</v>
      </c>
      <c r="U237">
        <f>Tokens!W239</f>
        <v>0</v>
      </c>
      <c r="V237">
        <f>Tokens!X239</f>
        <v>0</v>
      </c>
      <c r="W237">
        <f>Tokens!Y239</f>
        <v>0</v>
      </c>
      <c r="X237">
        <f>Tokens!Z239</f>
        <v>0</v>
      </c>
      <c r="Y237">
        <f>Tokens!AA239</f>
        <v>0</v>
      </c>
      <c r="Z237">
        <f>Tokens!AB239</f>
        <v>0</v>
      </c>
      <c r="AA237">
        <f>Tokens!AC239</f>
        <v>0</v>
      </c>
      <c r="AB237">
        <f>Tokens!AD239</f>
        <v>0</v>
      </c>
      <c r="AC237">
        <f>Tokens!AE239</f>
        <v>0</v>
      </c>
      <c r="AD237">
        <f>Tokens!AF239</f>
        <v>0</v>
      </c>
      <c r="AE237">
        <f>Tokens!AG239</f>
        <v>0</v>
      </c>
      <c r="AF237">
        <f>Tokens!AH239</f>
        <v>0</v>
      </c>
      <c r="AG237">
        <f>Tokens!AI239</f>
        <v>0</v>
      </c>
      <c r="AH237">
        <f>Tokens!AJ239</f>
        <v>0</v>
      </c>
      <c r="AI237">
        <f>Tokens!AK239</f>
        <v>0</v>
      </c>
      <c r="AJ237" t="str">
        <f>Tokens!AL239</f>
        <v>avantage1</v>
      </c>
      <c r="AK237" t="str">
        <f>Tokens!AM239</f>
        <v>1 affiche numérotée (quelques unes seront signées au hasard)</v>
      </c>
      <c r="AL237">
        <f>Tokens!AN239</f>
        <v>0</v>
      </c>
      <c r="AM237">
        <f>Tokens!AO239</f>
        <v>0</v>
      </c>
      <c r="AN237">
        <f>Tokens!AP239</f>
        <v>0</v>
      </c>
      <c r="AO237">
        <f>Tokens!AQ239</f>
        <v>0</v>
      </c>
      <c r="AP237">
        <f>Tokens!AR239</f>
        <v>0</v>
      </c>
      <c r="AQ237">
        <f>Tokens!AS239</f>
        <v>0</v>
      </c>
      <c r="AR237">
        <f>Tokens!AT239</f>
        <v>0</v>
      </c>
      <c r="AS237">
        <f>Tokens!AU239</f>
        <v>0</v>
      </c>
      <c r="AT237" t="str">
        <f>Tokens!AV239</f>
        <v>Validation</v>
      </c>
      <c r="AU237" t="str">
        <f>Tokens!AW239</f>
        <v>https://tokensol.nfluent.io?s=COR22D76&amp;platform=ftx</v>
      </c>
      <c r="AV237" t="str">
        <f>Tokens!AX239</f>
        <v>paul</v>
      </c>
      <c r="AW237">
        <f>Tokens!AY239</f>
        <v>10</v>
      </c>
      <c r="AX237" t="str">
        <f>Tokens!AZ239</f>
        <v>sophie</v>
      </c>
      <c r="AY237">
        <f>Tokens!BA239</f>
        <v>90</v>
      </c>
      <c r="AZ237">
        <f>Tokens!BB239</f>
        <v>0</v>
      </c>
      <c r="BA237">
        <f>Tokens!BC239</f>
        <v>0</v>
      </c>
      <c r="BB237">
        <f>Tokens!BD239</f>
        <v>0</v>
      </c>
      <c r="BC237">
        <f>Tokens!BE239</f>
        <v>0</v>
      </c>
      <c r="BD237">
        <f>Tokens!BF239</f>
        <v>0</v>
      </c>
      <c r="BE237">
        <f>Tokens!BG239</f>
        <v>0</v>
      </c>
      <c r="BF237">
        <f>Tokens!BH239</f>
        <v>0</v>
      </c>
      <c r="BG237">
        <f>Tokens!BI239</f>
        <v>0</v>
      </c>
      <c r="BH237" t="str">
        <f>Tokens!BJ239</f>
        <v>In Casa</v>
      </c>
      <c r="BI237" t="str">
        <f>Tokens!BK239</f>
        <v>Calvi On The Rocks</v>
      </c>
    </row>
    <row r="238" spans="1:61" x14ac:dyDescent="0.25">
      <c r="A238" t="str">
        <f>Tokens!C240</f>
        <v>In Casa #77</v>
      </c>
      <c r="B238" t="str">
        <f>Tokens!D240</f>
        <v>COR22D77</v>
      </c>
      <c r="C238" t="str">
        <f>Tokens!E240</f>
        <v>In Casa, 1 an - Pass NFT 1 jour pour 1 personne, valable pour 1 édition Calvi On The Rocks de votre choix.</v>
      </c>
      <c r="D238">
        <f>Tokens!F240</f>
        <v>1000</v>
      </c>
      <c r="E238" t="str">
        <f>Tokens!G240</f>
        <v>https://bafybeia4wzgbvxtlccvthcr36r65toigobijuu3trfgk6naoj7w67nnqsu.ipfs.nftstorage.link?image_77.png</v>
      </c>
      <c r="F238" t="str">
        <f>Tokens!H240</f>
        <v>NfluenT for Calvi On The rocks</v>
      </c>
      <c r="G238">
        <f>Tokens!I240</f>
        <v>0</v>
      </c>
      <c r="H238" t="str">
        <f>Tokens!J240</f>
        <v>Pass festival</v>
      </c>
      <c r="I238" t="str">
        <f>Tokens!K240</f>
        <v>pour une(1) personne</v>
      </c>
      <c r="J238" t="str">
        <f>Tokens!L240</f>
        <v>Edition1</v>
      </c>
      <c r="K238">
        <f>Tokens!M240</f>
        <v>2</v>
      </c>
      <c r="L238">
        <f>Tokens!N240</f>
        <v>0</v>
      </c>
      <c r="M238">
        <f>Tokens!O240</f>
        <v>0</v>
      </c>
      <c r="N238">
        <f>Tokens!P240</f>
        <v>0</v>
      </c>
      <c r="O238">
        <f>Tokens!Q240</f>
        <v>0</v>
      </c>
      <c r="P238">
        <f>Tokens!R240</f>
        <v>0</v>
      </c>
      <c r="Q238">
        <f>Tokens!S240</f>
        <v>0</v>
      </c>
      <c r="R238">
        <f>Tokens!T240</f>
        <v>0</v>
      </c>
      <c r="S238">
        <f>Tokens!U240</f>
        <v>0</v>
      </c>
      <c r="T238" t="str">
        <f>Tokens!V240</f>
        <v>Dernière utilisation</v>
      </c>
      <c r="U238">
        <f>Tokens!W240</f>
        <v>0</v>
      </c>
      <c r="V238">
        <f>Tokens!X240</f>
        <v>0</v>
      </c>
      <c r="W238">
        <f>Tokens!Y240</f>
        <v>0</v>
      </c>
      <c r="X238">
        <f>Tokens!Z240</f>
        <v>0</v>
      </c>
      <c r="Y238">
        <f>Tokens!AA240</f>
        <v>0</v>
      </c>
      <c r="Z238">
        <f>Tokens!AB240</f>
        <v>0</v>
      </c>
      <c r="AA238">
        <f>Tokens!AC240</f>
        <v>0</v>
      </c>
      <c r="AB238">
        <f>Tokens!AD240</f>
        <v>0</v>
      </c>
      <c r="AC238">
        <f>Tokens!AE240</f>
        <v>0</v>
      </c>
      <c r="AD238">
        <f>Tokens!AF240</f>
        <v>0</v>
      </c>
      <c r="AE238">
        <f>Tokens!AG240</f>
        <v>0</v>
      </c>
      <c r="AF238">
        <f>Tokens!AH240</f>
        <v>0</v>
      </c>
      <c r="AG238">
        <f>Tokens!AI240</f>
        <v>0</v>
      </c>
      <c r="AH238">
        <f>Tokens!AJ240</f>
        <v>0</v>
      </c>
      <c r="AI238">
        <f>Tokens!AK240</f>
        <v>0</v>
      </c>
      <c r="AJ238" t="str">
        <f>Tokens!AL240</f>
        <v>avantage1</v>
      </c>
      <c r="AK238" t="str">
        <f>Tokens!AM240</f>
        <v>1 affiche numérotée (quelques unes seront signées au hasard)</v>
      </c>
      <c r="AL238">
        <f>Tokens!AN240</f>
        <v>0</v>
      </c>
      <c r="AM238">
        <f>Tokens!AO240</f>
        <v>0</v>
      </c>
      <c r="AN238">
        <f>Tokens!AP240</f>
        <v>0</v>
      </c>
      <c r="AO238">
        <f>Tokens!AQ240</f>
        <v>0</v>
      </c>
      <c r="AP238">
        <f>Tokens!AR240</f>
        <v>0</v>
      </c>
      <c r="AQ238">
        <f>Tokens!AS240</f>
        <v>0</v>
      </c>
      <c r="AR238">
        <f>Tokens!AT240</f>
        <v>0</v>
      </c>
      <c r="AS238">
        <f>Tokens!AU240</f>
        <v>0</v>
      </c>
      <c r="AT238" t="str">
        <f>Tokens!AV240</f>
        <v>Validation</v>
      </c>
      <c r="AU238" t="str">
        <f>Tokens!AW240</f>
        <v>https://tokensol.nfluent.io?s=COR22D77&amp;platform=ftx</v>
      </c>
      <c r="AV238" t="str">
        <f>Tokens!AX240</f>
        <v>paul</v>
      </c>
      <c r="AW238">
        <f>Tokens!AY240</f>
        <v>10</v>
      </c>
      <c r="AX238" t="str">
        <f>Tokens!AZ240</f>
        <v>sophie</v>
      </c>
      <c r="AY238">
        <f>Tokens!BA240</f>
        <v>90</v>
      </c>
      <c r="AZ238">
        <f>Tokens!BB240</f>
        <v>0</v>
      </c>
      <c r="BA238">
        <f>Tokens!BC240</f>
        <v>0</v>
      </c>
      <c r="BB238">
        <f>Tokens!BD240</f>
        <v>0</v>
      </c>
      <c r="BC238">
        <f>Tokens!BE240</f>
        <v>0</v>
      </c>
      <c r="BD238">
        <f>Tokens!BF240</f>
        <v>0</v>
      </c>
      <c r="BE238">
        <f>Tokens!BG240</f>
        <v>0</v>
      </c>
      <c r="BF238">
        <f>Tokens!BH240</f>
        <v>0</v>
      </c>
      <c r="BG238">
        <f>Tokens!BI240</f>
        <v>0</v>
      </c>
      <c r="BH238" t="str">
        <f>Tokens!BJ240</f>
        <v>In Casa</v>
      </c>
      <c r="BI238" t="str">
        <f>Tokens!BK240</f>
        <v>Calvi On The Rocks</v>
      </c>
    </row>
    <row r="239" spans="1:61" x14ac:dyDescent="0.25">
      <c r="A239" t="str">
        <f>Tokens!C241</f>
        <v>In Casa #78</v>
      </c>
      <c r="B239" t="str">
        <f>Tokens!D241</f>
        <v>COR22D78</v>
      </c>
      <c r="C239" t="str">
        <f>Tokens!E241</f>
        <v>In Casa, 1 an - Pass NFT 1 jour pour 1 personne, valable pour 1 édition Calvi On The Rocks de votre choix.</v>
      </c>
      <c r="D239">
        <f>Tokens!F241</f>
        <v>1000</v>
      </c>
      <c r="E239" t="str">
        <f>Tokens!G241</f>
        <v>https://bafybeie6kamdjfnis4rjxukx47egoykgjyrrt4njmkeqxpvxfbsgkulgne.ipfs.nftstorage.link?image_78.png</v>
      </c>
      <c r="F239" t="str">
        <f>Tokens!H241</f>
        <v>NfluenT for Calvi On The rocks</v>
      </c>
      <c r="G239">
        <f>Tokens!I241</f>
        <v>0</v>
      </c>
      <c r="H239" t="str">
        <f>Tokens!J241</f>
        <v>Pass festival</v>
      </c>
      <c r="I239" t="str">
        <f>Tokens!K241</f>
        <v>pour une(1) personne</v>
      </c>
      <c r="J239" t="str">
        <f>Tokens!L241</f>
        <v>Edition1</v>
      </c>
      <c r="K239">
        <f>Tokens!M241</f>
        <v>2</v>
      </c>
      <c r="L239">
        <f>Tokens!N241</f>
        <v>0</v>
      </c>
      <c r="M239">
        <f>Tokens!O241</f>
        <v>0</v>
      </c>
      <c r="N239">
        <f>Tokens!P241</f>
        <v>0</v>
      </c>
      <c r="O239">
        <f>Tokens!Q241</f>
        <v>0</v>
      </c>
      <c r="P239">
        <f>Tokens!R241</f>
        <v>0</v>
      </c>
      <c r="Q239">
        <f>Tokens!S241</f>
        <v>0</v>
      </c>
      <c r="R239">
        <f>Tokens!T241</f>
        <v>0</v>
      </c>
      <c r="S239">
        <f>Tokens!U241</f>
        <v>0</v>
      </c>
      <c r="T239" t="str">
        <f>Tokens!V241</f>
        <v>Dernière utilisation</v>
      </c>
      <c r="U239">
        <f>Tokens!W241</f>
        <v>0</v>
      </c>
      <c r="V239">
        <f>Tokens!X241</f>
        <v>0</v>
      </c>
      <c r="W239">
        <f>Tokens!Y241</f>
        <v>0</v>
      </c>
      <c r="X239">
        <f>Tokens!Z241</f>
        <v>0</v>
      </c>
      <c r="Y239">
        <f>Tokens!AA241</f>
        <v>0</v>
      </c>
      <c r="Z239">
        <f>Tokens!AB241</f>
        <v>0</v>
      </c>
      <c r="AA239">
        <f>Tokens!AC241</f>
        <v>0</v>
      </c>
      <c r="AB239">
        <f>Tokens!AD241</f>
        <v>0</v>
      </c>
      <c r="AC239">
        <f>Tokens!AE241</f>
        <v>0</v>
      </c>
      <c r="AD239">
        <f>Tokens!AF241</f>
        <v>0</v>
      </c>
      <c r="AE239">
        <f>Tokens!AG241</f>
        <v>0</v>
      </c>
      <c r="AF239">
        <f>Tokens!AH241</f>
        <v>0</v>
      </c>
      <c r="AG239">
        <f>Tokens!AI241</f>
        <v>0</v>
      </c>
      <c r="AH239">
        <f>Tokens!AJ241</f>
        <v>0</v>
      </c>
      <c r="AI239">
        <f>Tokens!AK241</f>
        <v>0</v>
      </c>
      <c r="AJ239" t="str">
        <f>Tokens!AL241</f>
        <v>avantage1</v>
      </c>
      <c r="AK239" t="str">
        <f>Tokens!AM241</f>
        <v>1 affiche numérotée (quelques unes seront signées au hasard)</v>
      </c>
      <c r="AL239">
        <f>Tokens!AN241</f>
        <v>0</v>
      </c>
      <c r="AM239">
        <f>Tokens!AO241</f>
        <v>0</v>
      </c>
      <c r="AN239">
        <f>Tokens!AP241</f>
        <v>0</v>
      </c>
      <c r="AO239">
        <f>Tokens!AQ241</f>
        <v>0</v>
      </c>
      <c r="AP239">
        <f>Tokens!AR241</f>
        <v>0</v>
      </c>
      <c r="AQ239">
        <f>Tokens!AS241</f>
        <v>0</v>
      </c>
      <c r="AR239">
        <f>Tokens!AT241</f>
        <v>0</v>
      </c>
      <c r="AS239">
        <f>Tokens!AU241</f>
        <v>0</v>
      </c>
      <c r="AT239" t="str">
        <f>Tokens!AV241</f>
        <v>Validation</v>
      </c>
      <c r="AU239" t="str">
        <f>Tokens!AW241</f>
        <v>https://tokensol.nfluent.io?s=COR22D78&amp;platform=ftx</v>
      </c>
      <c r="AV239" t="str">
        <f>Tokens!AX241</f>
        <v>paul</v>
      </c>
      <c r="AW239">
        <f>Tokens!AY241</f>
        <v>10</v>
      </c>
      <c r="AX239" t="str">
        <f>Tokens!AZ241</f>
        <v>sophie</v>
      </c>
      <c r="AY239">
        <f>Tokens!BA241</f>
        <v>90</v>
      </c>
      <c r="AZ239">
        <f>Tokens!BB241</f>
        <v>0</v>
      </c>
      <c r="BA239">
        <f>Tokens!BC241</f>
        <v>0</v>
      </c>
      <c r="BB239">
        <f>Tokens!BD241</f>
        <v>0</v>
      </c>
      <c r="BC239">
        <f>Tokens!BE241</f>
        <v>0</v>
      </c>
      <c r="BD239">
        <f>Tokens!BF241</f>
        <v>0</v>
      </c>
      <c r="BE239">
        <f>Tokens!BG241</f>
        <v>0</v>
      </c>
      <c r="BF239">
        <f>Tokens!BH241</f>
        <v>0</v>
      </c>
      <c r="BG239">
        <f>Tokens!BI241</f>
        <v>0</v>
      </c>
      <c r="BH239" t="str">
        <f>Tokens!BJ241</f>
        <v>In Casa</v>
      </c>
      <c r="BI239" t="str">
        <f>Tokens!BK241</f>
        <v>Calvi On The Rocks</v>
      </c>
    </row>
    <row r="240" spans="1:61" x14ac:dyDescent="0.25">
      <c r="A240" t="str">
        <f>Tokens!C242</f>
        <v>In Casa #79</v>
      </c>
      <c r="B240" t="str">
        <f>Tokens!D242</f>
        <v>COR22D79</v>
      </c>
      <c r="C240" t="str">
        <f>Tokens!E242</f>
        <v>In Casa, 1 an - Pass NFT 1 jour pour 1 personne, valable pour 1 édition Calvi On The Rocks de votre choix.</v>
      </c>
      <c r="D240">
        <f>Tokens!F242</f>
        <v>1000</v>
      </c>
      <c r="E240" t="str">
        <f>Tokens!G242</f>
        <v>https://bafybeihtn2do4skkxhfl2wao7pxpkny6katwurabnxq4apfwh5yaktxt4m.ipfs.nftstorage.link?image_79.png</v>
      </c>
      <c r="F240" t="str">
        <f>Tokens!H242</f>
        <v>NfluenT for Calvi On The rocks</v>
      </c>
      <c r="G240">
        <f>Tokens!I242</f>
        <v>0</v>
      </c>
      <c r="H240" t="str">
        <f>Tokens!J242</f>
        <v>Pass festival</v>
      </c>
      <c r="I240" t="str">
        <f>Tokens!K242</f>
        <v>pour une(1) personne</v>
      </c>
      <c r="J240" t="str">
        <f>Tokens!L242</f>
        <v>Edition1</v>
      </c>
      <c r="K240">
        <f>Tokens!M242</f>
        <v>2</v>
      </c>
      <c r="L240">
        <f>Tokens!N242</f>
        <v>0</v>
      </c>
      <c r="M240">
        <f>Tokens!O242</f>
        <v>0</v>
      </c>
      <c r="N240">
        <f>Tokens!P242</f>
        <v>0</v>
      </c>
      <c r="O240">
        <f>Tokens!Q242</f>
        <v>0</v>
      </c>
      <c r="P240">
        <f>Tokens!R242</f>
        <v>0</v>
      </c>
      <c r="Q240">
        <f>Tokens!S242</f>
        <v>0</v>
      </c>
      <c r="R240">
        <f>Tokens!T242</f>
        <v>0</v>
      </c>
      <c r="S240">
        <f>Tokens!U242</f>
        <v>0</v>
      </c>
      <c r="T240" t="str">
        <f>Tokens!V242</f>
        <v>Dernière utilisation</v>
      </c>
      <c r="U240">
        <f>Tokens!W242</f>
        <v>0</v>
      </c>
      <c r="V240">
        <f>Tokens!X242</f>
        <v>0</v>
      </c>
      <c r="W240">
        <f>Tokens!Y242</f>
        <v>0</v>
      </c>
      <c r="X240">
        <f>Tokens!Z242</f>
        <v>0</v>
      </c>
      <c r="Y240">
        <f>Tokens!AA242</f>
        <v>0</v>
      </c>
      <c r="Z240">
        <f>Tokens!AB242</f>
        <v>0</v>
      </c>
      <c r="AA240">
        <f>Tokens!AC242</f>
        <v>0</v>
      </c>
      <c r="AB240">
        <f>Tokens!AD242</f>
        <v>0</v>
      </c>
      <c r="AC240">
        <f>Tokens!AE242</f>
        <v>0</v>
      </c>
      <c r="AD240">
        <f>Tokens!AF242</f>
        <v>0</v>
      </c>
      <c r="AE240">
        <f>Tokens!AG242</f>
        <v>0</v>
      </c>
      <c r="AF240">
        <f>Tokens!AH242</f>
        <v>0</v>
      </c>
      <c r="AG240">
        <f>Tokens!AI242</f>
        <v>0</v>
      </c>
      <c r="AH240">
        <f>Tokens!AJ242</f>
        <v>0</v>
      </c>
      <c r="AI240">
        <f>Tokens!AK242</f>
        <v>0</v>
      </c>
      <c r="AJ240" t="str">
        <f>Tokens!AL242</f>
        <v>avantage1</v>
      </c>
      <c r="AK240" t="str">
        <f>Tokens!AM242</f>
        <v>1 affiche numérotée (quelques unes seront signées au hasard)</v>
      </c>
      <c r="AL240">
        <f>Tokens!AN242</f>
        <v>0</v>
      </c>
      <c r="AM240">
        <f>Tokens!AO242</f>
        <v>0</v>
      </c>
      <c r="AN240">
        <f>Tokens!AP242</f>
        <v>0</v>
      </c>
      <c r="AO240">
        <f>Tokens!AQ242</f>
        <v>0</v>
      </c>
      <c r="AP240">
        <f>Tokens!AR242</f>
        <v>0</v>
      </c>
      <c r="AQ240">
        <f>Tokens!AS242</f>
        <v>0</v>
      </c>
      <c r="AR240">
        <f>Tokens!AT242</f>
        <v>0</v>
      </c>
      <c r="AS240">
        <f>Tokens!AU242</f>
        <v>0</v>
      </c>
      <c r="AT240" t="str">
        <f>Tokens!AV242</f>
        <v>Validation</v>
      </c>
      <c r="AU240" t="str">
        <f>Tokens!AW242</f>
        <v>https://tokensol.nfluent.io?s=COR22D79&amp;platform=ftx</v>
      </c>
      <c r="AV240" t="str">
        <f>Tokens!AX242</f>
        <v>paul</v>
      </c>
      <c r="AW240">
        <f>Tokens!AY242</f>
        <v>10</v>
      </c>
      <c r="AX240" t="str">
        <f>Tokens!AZ242</f>
        <v>sophie</v>
      </c>
      <c r="AY240">
        <f>Tokens!BA242</f>
        <v>90</v>
      </c>
      <c r="AZ240">
        <f>Tokens!BB242</f>
        <v>0</v>
      </c>
      <c r="BA240">
        <f>Tokens!BC242</f>
        <v>0</v>
      </c>
      <c r="BB240">
        <f>Tokens!BD242</f>
        <v>0</v>
      </c>
      <c r="BC240">
        <f>Tokens!BE242</f>
        <v>0</v>
      </c>
      <c r="BD240">
        <f>Tokens!BF242</f>
        <v>0</v>
      </c>
      <c r="BE240">
        <f>Tokens!BG242</f>
        <v>0</v>
      </c>
      <c r="BF240">
        <f>Tokens!BH242</f>
        <v>0</v>
      </c>
      <c r="BG240">
        <f>Tokens!BI242</f>
        <v>0</v>
      </c>
      <c r="BH240" t="str">
        <f>Tokens!BJ242</f>
        <v>In Casa</v>
      </c>
      <c r="BI240" t="str">
        <f>Tokens!BK242</f>
        <v>Calvi On The Rocks</v>
      </c>
    </row>
    <row r="241" spans="1:61" x14ac:dyDescent="0.25">
      <c r="A241" t="str">
        <f>Tokens!C243</f>
        <v>In Casa #80</v>
      </c>
      <c r="B241" t="str">
        <f>Tokens!D243</f>
        <v>COR22D80</v>
      </c>
      <c r="C241" t="str">
        <f>Tokens!E243</f>
        <v>In Casa, 1 an - Pass NFT 1 jour pour 1 personne, valable pour 1 édition Calvi On The Rocks de votre choix.</v>
      </c>
      <c r="D241">
        <f>Tokens!F243</f>
        <v>1000</v>
      </c>
      <c r="E241" t="str">
        <f>Tokens!G243</f>
        <v>https://bafybeibx4upif7v4uhk7dr2pizvncy7gywodsd3g4htbtawkdilvt3nfg4.ipfs.nftstorage.link?image_80.png</v>
      </c>
      <c r="F241" t="str">
        <f>Tokens!H243</f>
        <v>NfluenT for Calvi On The rocks</v>
      </c>
      <c r="G241">
        <f>Tokens!I243</f>
        <v>0</v>
      </c>
      <c r="H241" t="str">
        <f>Tokens!J243</f>
        <v>Pass festival</v>
      </c>
      <c r="I241" t="str">
        <f>Tokens!K243</f>
        <v>pour une(1) personne</v>
      </c>
      <c r="J241" t="str">
        <f>Tokens!L243</f>
        <v>Edition1</v>
      </c>
      <c r="K241">
        <f>Tokens!M243</f>
        <v>2</v>
      </c>
      <c r="L241">
        <f>Tokens!N243</f>
        <v>0</v>
      </c>
      <c r="M241">
        <f>Tokens!O243</f>
        <v>0</v>
      </c>
      <c r="N241">
        <f>Tokens!P243</f>
        <v>0</v>
      </c>
      <c r="O241">
        <f>Tokens!Q243</f>
        <v>0</v>
      </c>
      <c r="P241">
        <f>Tokens!R243</f>
        <v>0</v>
      </c>
      <c r="Q241">
        <f>Tokens!S243</f>
        <v>0</v>
      </c>
      <c r="R241">
        <f>Tokens!T243</f>
        <v>0</v>
      </c>
      <c r="S241">
        <f>Tokens!U243</f>
        <v>0</v>
      </c>
      <c r="T241" t="str">
        <f>Tokens!V243</f>
        <v>Dernière utilisation</v>
      </c>
      <c r="U241">
        <f>Tokens!W243</f>
        <v>0</v>
      </c>
      <c r="V241">
        <f>Tokens!X243</f>
        <v>0</v>
      </c>
      <c r="W241">
        <f>Tokens!Y243</f>
        <v>0</v>
      </c>
      <c r="X241">
        <f>Tokens!Z243</f>
        <v>0</v>
      </c>
      <c r="Y241">
        <f>Tokens!AA243</f>
        <v>0</v>
      </c>
      <c r="Z241">
        <f>Tokens!AB243</f>
        <v>0</v>
      </c>
      <c r="AA241">
        <f>Tokens!AC243</f>
        <v>0</v>
      </c>
      <c r="AB241">
        <f>Tokens!AD243</f>
        <v>0</v>
      </c>
      <c r="AC241">
        <f>Tokens!AE243</f>
        <v>0</v>
      </c>
      <c r="AD241">
        <f>Tokens!AF243</f>
        <v>0</v>
      </c>
      <c r="AE241">
        <f>Tokens!AG243</f>
        <v>0</v>
      </c>
      <c r="AF241">
        <f>Tokens!AH243</f>
        <v>0</v>
      </c>
      <c r="AG241">
        <f>Tokens!AI243</f>
        <v>0</v>
      </c>
      <c r="AH241">
        <f>Tokens!AJ243</f>
        <v>0</v>
      </c>
      <c r="AI241">
        <f>Tokens!AK243</f>
        <v>0</v>
      </c>
      <c r="AJ241" t="str">
        <f>Tokens!AL243</f>
        <v>avantage1</v>
      </c>
      <c r="AK241" t="str">
        <f>Tokens!AM243</f>
        <v>1 affiche numérotée (quelques unes seront signées au hasard)</v>
      </c>
      <c r="AL241">
        <f>Tokens!AN243</f>
        <v>0</v>
      </c>
      <c r="AM241">
        <f>Tokens!AO243</f>
        <v>0</v>
      </c>
      <c r="AN241">
        <f>Tokens!AP243</f>
        <v>0</v>
      </c>
      <c r="AO241">
        <f>Tokens!AQ243</f>
        <v>0</v>
      </c>
      <c r="AP241">
        <f>Tokens!AR243</f>
        <v>0</v>
      </c>
      <c r="AQ241">
        <f>Tokens!AS243</f>
        <v>0</v>
      </c>
      <c r="AR241">
        <f>Tokens!AT243</f>
        <v>0</v>
      </c>
      <c r="AS241">
        <f>Tokens!AU243</f>
        <v>0</v>
      </c>
      <c r="AT241" t="str">
        <f>Tokens!AV243</f>
        <v>Validation</v>
      </c>
      <c r="AU241" t="str">
        <f>Tokens!AW243</f>
        <v>https://tokensol.nfluent.io?s=COR22D80&amp;platform=ftx</v>
      </c>
      <c r="AV241" t="str">
        <f>Tokens!AX243</f>
        <v>paul</v>
      </c>
      <c r="AW241">
        <f>Tokens!AY243</f>
        <v>10</v>
      </c>
      <c r="AX241" t="str">
        <f>Tokens!AZ243</f>
        <v>sophie</v>
      </c>
      <c r="AY241">
        <f>Tokens!BA243</f>
        <v>90</v>
      </c>
      <c r="AZ241">
        <f>Tokens!BB243</f>
        <v>0</v>
      </c>
      <c r="BA241">
        <f>Tokens!BC243</f>
        <v>0</v>
      </c>
      <c r="BB241">
        <f>Tokens!BD243</f>
        <v>0</v>
      </c>
      <c r="BC241">
        <f>Tokens!BE243</f>
        <v>0</v>
      </c>
      <c r="BD241">
        <f>Tokens!BF243</f>
        <v>0</v>
      </c>
      <c r="BE241">
        <f>Tokens!BG243</f>
        <v>0</v>
      </c>
      <c r="BF241">
        <f>Tokens!BH243</f>
        <v>0</v>
      </c>
      <c r="BG241">
        <f>Tokens!BI243</f>
        <v>0</v>
      </c>
      <c r="BH241" t="str">
        <f>Tokens!BJ243</f>
        <v>In Casa</v>
      </c>
      <c r="BI241" t="str">
        <f>Tokens!BK243</f>
        <v>Calvi On The Rocks</v>
      </c>
    </row>
    <row r="242" spans="1:61" x14ac:dyDescent="0.25">
      <c r="A242" t="str">
        <f>Tokens!C244</f>
        <v>In Casa #81</v>
      </c>
      <c r="B242" t="str">
        <f>Tokens!D244</f>
        <v>COR22D81</v>
      </c>
      <c r="C242" t="str">
        <f>Tokens!E244</f>
        <v>In Casa, 1 an - Pass NFT 1 jour pour 1 personne, valable pour 1 édition Calvi On The Rocks de votre choix.</v>
      </c>
      <c r="D242">
        <f>Tokens!F244</f>
        <v>1000</v>
      </c>
      <c r="E242" t="str">
        <f>Tokens!G244</f>
        <v>https://bafybeiecpjkszjfihyajik3dbaqmwhgs4754pwlsyfupc7xzt5ltnm56oe.ipfs.nftstorage.link?image_81.png</v>
      </c>
      <c r="F242" t="str">
        <f>Tokens!H244</f>
        <v>NfluenT for Calvi On The rocks</v>
      </c>
      <c r="G242">
        <f>Tokens!I244</f>
        <v>0</v>
      </c>
      <c r="H242" t="str">
        <f>Tokens!J244</f>
        <v>Pass festival</v>
      </c>
      <c r="I242" t="str">
        <f>Tokens!K244</f>
        <v>pour une(1) personne</v>
      </c>
      <c r="J242" t="str">
        <f>Tokens!L244</f>
        <v>Edition1</v>
      </c>
      <c r="K242">
        <f>Tokens!M244</f>
        <v>2</v>
      </c>
      <c r="L242">
        <f>Tokens!N244</f>
        <v>0</v>
      </c>
      <c r="M242">
        <f>Tokens!O244</f>
        <v>0</v>
      </c>
      <c r="N242">
        <f>Tokens!P244</f>
        <v>0</v>
      </c>
      <c r="O242">
        <f>Tokens!Q244</f>
        <v>0</v>
      </c>
      <c r="P242">
        <f>Tokens!R244</f>
        <v>0</v>
      </c>
      <c r="Q242">
        <f>Tokens!S244</f>
        <v>0</v>
      </c>
      <c r="R242">
        <f>Tokens!T244</f>
        <v>0</v>
      </c>
      <c r="S242">
        <f>Tokens!U244</f>
        <v>0</v>
      </c>
      <c r="T242" t="str">
        <f>Tokens!V244</f>
        <v>Dernière utilisation</v>
      </c>
      <c r="U242">
        <f>Tokens!W244</f>
        <v>0</v>
      </c>
      <c r="V242">
        <f>Tokens!X244</f>
        <v>0</v>
      </c>
      <c r="W242">
        <f>Tokens!Y244</f>
        <v>0</v>
      </c>
      <c r="X242">
        <f>Tokens!Z244</f>
        <v>0</v>
      </c>
      <c r="Y242">
        <f>Tokens!AA244</f>
        <v>0</v>
      </c>
      <c r="Z242">
        <f>Tokens!AB244</f>
        <v>0</v>
      </c>
      <c r="AA242">
        <f>Tokens!AC244</f>
        <v>0</v>
      </c>
      <c r="AB242">
        <f>Tokens!AD244</f>
        <v>0</v>
      </c>
      <c r="AC242">
        <f>Tokens!AE244</f>
        <v>0</v>
      </c>
      <c r="AD242">
        <f>Tokens!AF244</f>
        <v>0</v>
      </c>
      <c r="AE242">
        <f>Tokens!AG244</f>
        <v>0</v>
      </c>
      <c r="AF242">
        <f>Tokens!AH244</f>
        <v>0</v>
      </c>
      <c r="AG242">
        <f>Tokens!AI244</f>
        <v>0</v>
      </c>
      <c r="AH242">
        <f>Tokens!AJ244</f>
        <v>0</v>
      </c>
      <c r="AI242">
        <f>Tokens!AK244</f>
        <v>0</v>
      </c>
      <c r="AJ242" t="str">
        <f>Tokens!AL244</f>
        <v>avantage1</v>
      </c>
      <c r="AK242" t="str">
        <f>Tokens!AM244</f>
        <v>1 affiche numérotée (quelques unes seront signées au hasard)</v>
      </c>
      <c r="AL242">
        <f>Tokens!AN244</f>
        <v>0</v>
      </c>
      <c r="AM242">
        <f>Tokens!AO244</f>
        <v>0</v>
      </c>
      <c r="AN242">
        <f>Tokens!AP244</f>
        <v>0</v>
      </c>
      <c r="AO242">
        <f>Tokens!AQ244</f>
        <v>0</v>
      </c>
      <c r="AP242">
        <f>Tokens!AR244</f>
        <v>0</v>
      </c>
      <c r="AQ242">
        <f>Tokens!AS244</f>
        <v>0</v>
      </c>
      <c r="AR242">
        <f>Tokens!AT244</f>
        <v>0</v>
      </c>
      <c r="AS242">
        <f>Tokens!AU244</f>
        <v>0</v>
      </c>
      <c r="AT242" t="str">
        <f>Tokens!AV244</f>
        <v>Validation</v>
      </c>
      <c r="AU242" t="str">
        <f>Tokens!AW244</f>
        <v>https://tokensol.nfluent.io?s=COR22D81&amp;platform=ftx</v>
      </c>
      <c r="AV242" t="str">
        <f>Tokens!AX244</f>
        <v>paul</v>
      </c>
      <c r="AW242">
        <f>Tokens!AY244</f>
        <v>10</v>
      </c>
      <c r="AX242" t="str">
        <f>Tokens!AZ244</f>
        <v>sophie</v>
      </c>
      <c r="AY242">
        <f>Tokens!BA244</f>
        <v>90</v>
      </c>
      <c r="AZ242">
        <f>Tokens!BB244</f>
        <v>0</v>
      </c>
      <c r="BA242">
        <f>Tokens!BC244</f>
        <v>0</v>
      </c>
      <c r="BB242">
        <f>Tokens!BD244</f>
        <v>0</v>
      </c>
      <c r="BC242">
        <f>Tokens!BE244</f>
        <v>0</v>
      </c>
      <c r="BD242">
        <f>Tokens!BF244</f>
        <v>0</v>
      </c>
      <c r="BE242">
        <f>Tokens!BG244</f>
        <v>0</v>
      </c>
      <c r="BF242">
        <f>Tokens!BH244</f>
        <v>0</v>
      </c>
      <c r="BG242">
        <f>Tokens!BI244</f>
        <v>0</v>
      </c>
      <c r="BH242" t="str">
        <f>Tokens!BJ244</f>
        <v>In Casa</v>
      </c>
      <c r="BI242" t="str">
        <f>Tokens!BK244</f>
        <v>Calvi On The Rocks</v>
      </c>
    </row>
    <row r="243" spans="1:61" x14ac:dyDescent="0.25">
      <c r="A243" t="str">
        <f>Tokens!C245</f>
        <v>In Casa #82</v>
      </c>
      <c r="B243" t="str">
        <f>Tokens!D245</f>
        <v>COR22D82</v>
      </c>
      <c r="C243" t="str">
        <f>Tokens!E245</f>
        <v>In Casa, 1 an - Pass NFT 1 jour pour 1 personne, valable pour 1 édition Calvi On The Rocks de votre choix.</v>
      </c>
      <c r="D243">
        <f>Tokens!F245</f>
        <v>1000</v>
      </c>
      <c r="E243" t="str">
        <f>Tokens!G245</f>
        <v>https://bafybeibbxzqmzm7fyve3n2izcihgq5iqpshf2pwrw7sphttybio2z2bdim.ipfs.nftstorage.link?image_82.png</v>
      </c>
      <c r="F243" t="str">
        <f>Tokens!H245</f>
        <v>NfluenT for Calvi On The rocks</v>
      </c>
      <c r="G243">
        <f>Tokens!I245</f>
        <v>0</v>
      </c>
      <c r="H243" t="str">
        <f>Tokens!J245</f>
        <v>Pass festival</v>
      </c>
      <c r="I243" t="str">
        <f>Tokens!K245</f>
        <v>pour une(1) personne</v>
      </c>
      <c r="J243" t="str">
        <f>Tokens!L245</f>
        <v>Edition1</v>
      </c>
      <c r="K243">
        <f>Tokens!M245</f>
        <v>2</v>
      </c>
      <c r="L243">
        <f>Tokens!N245</f>
        <v>0</v>
      </c>
      <c r="M243">
        <f>Tokens!O245</f>
        <v>0</v>
      </c>
      <c r="N243">
        <f>Tokens!P245</f>
        <v>0</v>
      </c>
      <c r="O243">
        <f>Tokens!Q245</f>
        <v>0</v>
      </c>
      <c r="P243">
        <f>Tokens!R245</f>
        <v>0</v>
      </c>
      <c r="Q243">
        <f>Tokens!S245</f>
        <v>0</v>
      </c>
      <c r="R243">
        <f>Tokens!T245</f>
        <v>0</v>
      </c>
      <c r="S243">
        <f>Tokens!U245</f>
        <v>0</v>
      </c>
      <c r="T243" t="str">
        <f>Tokens!V245</f>
        <v>Dernière utilisation</v>
      </c>
      <c r="U243">
        <f>Tokens!W245</f>
        <v>0</v>
      </c>
      <c r="V243">
        <f>Tokens!X245</f>
        <v>0</v>
      </c>
      <c r="W243">
        <f>Tokens!Y245</f>
        <v>0</v>
      </c>
      <c r="X243">
        <f>Tokens!Z245</f>
        <v>0</v>
      </c>
      <c r="Y243">
        <f>Tokens!AA245</f>
        <v>0</v>
      </c>
      <c r="Z243">
        <f>Tokens!AB245</f>
        <v>0</v>
      </c>
      <c r="AA243">
        <f>Tokens!AC245</f>
        <v>0</v>
      </c>
      <c r="AB243">
        <f>Tokens!AD245</f>
        <v>0</v>
      </c>
      <c r="AC243">
        <f>Tokens!AE245</f>
        <v>0</v>
      </c>
      <c r="AD243">
        <f>Tokens!AF245</f>
        <v>0</v>
      </c>
      <c r="AE243">
        <f>Tokens!AG245</f>
        <v>0</v>
      </c>
      <c r="AF243">
        <f>Tokens!AH245</f>
        <v>0</v>
      </c>
      <c r="AG243">
        <f>Tokens!AI245</f>
        <v>0</v>
      </c>
      <c r="AH243">
        <f>Tokens!AJ245</f>
        <v>0</v>
      </c>
      <c r="AI243">
        <f>Tokens!AK245</f>
        <v>0</v>
      </c>
      <c r="AJ243" t="str">
        <f>Tokens!AL245</f>
        <v>avantage1</v>
      </c>
      <c r="AK243" t="str">
        <f>Tokens!AM245</f>
        <v>1 affiche numérotée (quelques unes seront signées au hasard)</v>
      </c>
      <c r="AL243">
        <f>Tokens!AN245</f>
        <v>0</v>
      </c>
      <c r="AM243">
        <f>Tokens!AO245</f>
        <v>0</v>
      </c>
      <c r="AN243">
        <f>Tokens!AP245</f>
        <v>0</v>
      </c>
      <c r="AO243">
        <f>Tokens!AQ245</f>
        <v>0</v>
      </c>
      <c r="AP243">
        <f>Tokens!AR245</f>
        <v>0</v>
      </c>
      <c r="AQ243">
        <f>Tokens!AS245</f>
        <v>0</v>
      </c>
      <c r="AR243">
        <f>Tokens!AT245</f>
        <v>0</v>
      </c>
      <c r="AS243">
        <f>Tokens!AU245</f>
        <v>0</v>
      </c>
      <c r="AT243" t="str">
        <f>Tokens!AV245</f>
        <v>Validation</v>
      </c>
      <c r="AU243" t="str">
        <f>Tokens!AW245</f>
        <v>https://tokensol.nfluent.io?s=COR22D82&amp;platform=ftx</v>
      </c>
      <c r="AV243" t="str">
        <f>Tokens!AX245</f>
        <v>paul</v>
      </c>
      <c r="AW243">
        <f>Tokens!AY245</f>
        <v>10</v>
      </c>
      <c r="AX243" t="str">
        <f>Tokens!AZ245</f>
        <v>sophie</v>
      </c>
      <c r="AY243">
        <f>Tokens!BA245</f>
        <v>90</v>
      </c>
      <c r="AZ243">
        <f>Tokens!BB245</f>
        <v>0</v>
      </c>
      <c r="BA243">
        <f>Tokens!BC245</f>
        <v>0</v>
      </c>
      <c r="BB243">
        <f>Tokens!BD245</f>
        <v>0</v>
      </c>
      <c r="BC243">
        <f>Tokens!BE245</f>
        <v>0</v>
      </c>
      <c r="BD243">
        <f>Tokens!BF245</f>
        <v>0</v>
      </c>
      <c r="BE243">
        <f>Tokens!BG245</f>
        <v>0</v>
      </c>
      <c r="BF243">
        <f>Tokens!BH245</f>
        <v>0</v>
      </c>
      <c r="BG243">
        <f>Tokens!BI245</f>
        <v>0</v>
      </c>
      <c r="BH243" t="str">
        <f>Tokens!BJ245</f>
        <v>In Casa</v>
      </c>
      <c r="BI243" t="str">
        <f>Tokens!BK245</f>
        <v>Calvi On The Rocks</v>
      </c>
    </row>
    <row r="244" spans="1:61" x14ac:dyDescent="0.25">
      <c r="A244" t="str">
        <f>Tokens!C246</f>
        <v>In Casa #83</v>
      </c>
      <c r="B244" t="str">
        <f>Tokens!D246</f>
        <v>COR22D83</v>
      </c>
      <c r="C244" t="str">
        <f>Tokens!E246</f>
        <v>In Casa, 1 an - Pass NFT 1 jour pour 1 personne, valable pour 1 édition Calvi On The Rocks de votre choix.</v>
      </c>
      <c r="D244">
        <f>Tokens!F246</f>
        <v>1000</v>
      </c>
      <c r="E244" t="str">
        <f>Tokens!G246</f>
        <v>https://bafybeidear7246gqz3rg6btquloaayqfsa6bbwxwncw2hm6md4k5ue64oi.ipfs.nftstorage.link?image_83.png</v>
      </c>
      <c r="F244" t="str">
        <f>Tokens!H246</f>
        <v>NfluenT for Calvi On The rocks</v>
      </c>
      <c r="G244">
        <f>Tokens!I246</f>
        <v>0</v>
      </c>
      <c r="H244" t="str">
        <f>Tokens!J246</f>
        <v>Pass festival</v>
      </c>
      <c r="I244" t="str">
        <f>Tokens!K246</f>
        <v>pour une(1) personne</v>
      </c>
      <c r="J244" t="str">
        <f>Tokens!L246</f>
        <v>Edition1</v>
      </c>
      <c r="K244">
        <f>Tokens!M246</f>
        <v>2</v>
      </c>
      <c r="L244">
        <f>Tokens!N246</f>
        <v>0</v>
      </c>
      <c r="M244">
        <f>Tokens!O246</f>
        <v>0</v>
      </c>
      <c r="N244">
        <f>Tokens!P246</f>
        <v>0</v>
      </c>
      <c r="O244">
        <f>Tokens!Q246</f>
        <v>0</v>
      </c>
      <c r="P244">
        <f>Tokens!R246</f>
        <v>0</v>
      </c>
      <c r="Q244">
        <f>Tokens!S246</f>
        <v>0</v>
      </c>
      <c r="R244">
        <f>Tokens!T246</f>
        <v>0</v>
      </c>
      <c r="S244">
        <f>Tokens!U246</f>
        <v>0</v>
      </c>
      <c r="T244" t="str">
        <f>Tokens!V246</f>
        <v>Dernière utilisation</v>
      </c>
      <c r="U244">
        <f>Tokens!W246</f>
        <v>0</v>
      </c>
      <c r="V244">
        <f>Tokens!X246</f>
        <v>0</v>
      </c>
      <c r="W244">
        <f>Tokens!Y246</f>
        <v>0</v>
      </c>
      <c r="X244">
        <f>Tokens!Z246</f>
        <v>0</v>
      </c>
      <c r="Y244">
        <f>Tokens!AA246</f>
        <v>0</v>
      </c>
      <c r="Z244">
        <f>Tokens!AB246</f>
        <v>0</v>
      </c>
      <c r="AA244">
        <f>Tokens!AC246</f>
        <v>0</v>
      </c>
      <c r="AB244">
        <f>Tokens!AD246</f>
        <v>0</v>
      </c>
      <c r="AC244">
        <f>Tokens!AE246</f>
        <v>0</v>
      </c>
      <c r="AD244">
        <f>Tokens!AF246</f>
        <v>0</v>
      </c>
      <c r="AE244">
        <f>Tokens!AG246</f>
        <v>0</v>
      </c>
      <c r="AF244">
        <f>Tokens!AH246</f>
        <v>0</v>
      </c>
      <c r="AG244">
        <f>Tokens!AI246</f>
        <v>0</v>
      </c>
      <c r="AH244">
        <f>Tokens!AJ246</f>
        <v>0</v>
      </c>
      <c r="AI244">
        <f>Tokens!AK246</f>
        <v>0</v>
      </c>
      <c r="AJ244" t="str">
        <f>Tokens!AL246</f>
        <v>avantage1</v>
      </c>
      <c r="AK244" t="str">
        <f>Tokens!AM246</f>
        <v>1 affiche numérotée (quelques unes seront signées au hasard)</v>
      </c>
      <c r="AL244">
        <f>Tokens!AN246</f>
        <v>0</v>
      </c>
      <c r="AM244">
        <f>Tokens!AO246</f>
        <v>0</v>
      </c>
      <c r="AN244">
        <f>Tokens!AP246</f>
        <v>0</v>
      </c>
      <c r="AO244">
        <f>Tokens!AQ246</f>
        <v>0</v>
      </c>
      <c r="AP244">
        <f>Tokens!AR246</f>
        <v>0</v>
      </c>
      <c r="AQ244">
        <f>Tokens!AS246</f>
        <v>0</v>
      </c>
      <c r="AR244">
        <f>Tokens!AT246</f>
        <v>0</v>
      </c>
      <c r="AS244">
        <f>Tokens!AU246</f>
        <v>0</v>
      </c>
      <c r="AT244" t="str">
        <f>Tokens!AV246</f>
        <v>Validation</v>
      </c>
      <c r="AU244" t="str">
        <f>Tokens!AW246</f>
        <v>https://tokensol.nfluent.io?s=COR22D83&amp;platform=ftx</v>
      </c>
      <c r="AV244" t="str">
        <f>Tokens!AX246</f>
        <v>paul</v>
      </c>
      <c r="AW244">
        <f>Tokens!AY246</f>
        <v>10</v>
      </c>
      <c r="AX244" t="str">
        <f>Tokens!AZ246</f>
        <v>sophie</v>
      </c>
      <c r="AY244">
        <f>Tokens!BA246</f>
        <v>90</v>
      </c>
      <c r="AZ244">
        <f>Tokens!BB246</f>
        <v>0</v>
      </c>
      <c r="BA244">
        <f>Tokens!BC246</f>
        <v>0</v>
      </c>
      <c r="BB244">
        <f>Tokens!BD246</f>
        <v>0</v>
      </c>
      <c r="BC244">
        <f>Tokens!BE246</f>
        <v>0</v>
      </c>
      <c r="BD244">
        <f>Tokens!BF246</f>
        <v>0</v>
      </c>
      <c r="BE244">
        <f>Tokens!BG246</f>
        <v>0</v>
      </c>
      <c r="BF244">
        <f>Tokens!BH246</f>
        <v>0</v>
      </c>
      <c r="BG244">
        <f>Tokens!BI246</f>
        <v>0</v>
      </c>
      <c r="BH244" t="str">
        <f>Tokens!BJ246</f>
        <v>In Casa</v>
      </c>
      <c r="BI244" t="str">
        <f>Tokens!BK246</f>
        <v>Calvi On The Rocks</v>
      </c>
    </row>
    <row r="245" spans="1:61" x14ac:dyDescent="0.25">
      <c r="A245" t="str">
        <f>Tokens!C247</f>
        <v>In Casa #84</v>
      </c>
      <c r="B245" t="str">
        <f>Tokens!D247</f>
        <v>COR22D84</v>
      </c>
      <c r="C245" t="str">
        <f>Tokens!E247</f>
        <v>In Casa, 1 an - Pass NFT 1 jour pour 1 personne, valable pour 1 édition Calvi On The Rocks de votre choix.</v>
      </c>
      <c r="D245">
        <f>Tokens!F247</f>
        <v>1000</v>
      </c>
      <c r="E245" t="str">
        <f>Tokens!G247</f>
        <v>https://bafybeibmm4lre4uvodncdugwhzyn2pmdmexwabvwbmr5h2h74xxn7m7ale.ipfs.nftstorage.link?image_84.png</v>
      </c>
      <c r="F245" t="str">
        <f>Tokens!H247</f>
        <v>NfluenT for Calvi On The rocks</v>
      </c>
      <c r="G245">
        <f>Tokens!I247</f>
        <v>0</v>
      </c>
      <c r="H245" t="str">
        <f>Tokens!J247</f>
        <v>Pass festival</v>
      </c>
      <c r="I245" t="str">
        <f>Tokens!K247</f>
        <v>pour une(1) personne</v>
      </c>
      <c r="J245" t="str">
        <f>Tokens!L247</f>
        <v>Edition1</v>
      </c>
      <c r="K245">
        <f>Tokens!M247</f>
        <v>2</v>
      </c>
      <c r="L245">
        <f>Tokens!N247</f>
        <v>0</v>
      </c>
      <c r="M245">
        <f>Tokens!O247</f>
        <v>0</v>
      </c>
      <c r="N245">
        <f>Tokens!P247</f>
        <v>0</v>
      </c>
      <c r="O245">
        <f>Tokens!Q247</f>
        <v>0</v>
      </c>
      <c r="P245">
        <f>Tokens!R247</f>
        <v>0</v>
      </c>
      <c r="Q245">
        <f>Tokens!S247</f>
        <v>0</v>
      </c>
      <c r="R245">
        <f>Tokens!T247</f>
        <v>0</v>
      </c>
      <c r="S245">
        <f>Tokens!U247</f>
        <v>0</v>
      </c>
      <c r="T245" t="str">
        <f>Tokens!V247</f>
        <v>Dernière utilisation</v>
      </c>
      <c r="U245">
        <f>Tokens!W247</f>
        <v>0</v>
      </c>
      <c r="V245">
        <f>Tokens!X247</f>
        <v>0</v>
      </c>
      <c r="W245">
        <f>Tokens!Y247</f>
        <v>0</v>
      </c>
      <c r="X245">
        <f>Tokens!Z247</f>
        <v>0</v>
      </c>
      <c r="Y245">
        <f>Tokens!AA247</f>
        <v>0</v>
      </c>
      <c r="Z245">
        <f>Tokens!AB247</f>
        <v>0</v>
      </c>
      <c r="AA245">
        <f>Tokens!AC247</f>
        <v>0</v>
      </c>
      <c r="AB245">
        <f>Tokens!AD247</f>
        <v>0</v>
      </c>
      <c r="AC245">
        <f>Tokens!AE247</f>
        <v>0</v>
      </c>
      <c r="AD245">
        <f>Tokens!AF247</f>
        <v>0</v>
      </c>
      <c r="AE245">
        <f>Tokens!AG247</f>
        <v>0</v>
      </c>
      <c r="AF245">
        <f>Tokens!AH247</f>
        <v>0</v>
      </c>
      <c r="AG245">
        <f>Tokens!AI247</f>
        <v>0</v>
      </c>
      <c r="AH245">
        <f>Tokens!AJ247</f>
        <v>0</v>
      </c>
      <c r="AI245">
        <f>Tokens!AK247</f>
        <v>0</v>
      </c>
      <c r="AJ245" t="str">
        <f>Tokens!AL247</f>
        <v>avantage1</v>
      </c>
      <c r="AK245" t="str">
        <f>Tokens!AM247</f>
        <v>1 affiche numérotée (quelques unes seront signées au hasard)</v>
      </c>
      <c r="AL245">
        <f>Tokens!AN247</f>
        <v>0</v>
      </c>
      <c r="AM245">
        <f>Tokens!AO247</f>
        <v>0</v>
      </c>
      <c r="AN245">
        <f>Tokens!AP247</f>
        <v>0</v>
      </c>
      <c r="AO245">
        <f>Tokens!AQ247</f>
        <v>0</v>
      </c>
      <c r="AP245">
        <f>Tokens!AR247</f>
        <v>0</v>
      </c>
      <c r="AQ245">
        <f>Tokens!AS247</f>
        <v>0</v>
      </c>
      <c r="AR245">
        <f>Tokens!AT247</f>
        <v>0</v>
      </c>
      <c r="AS245">
        <f>Tokens!AU247</f>
        <v>0</v>
      </c>
      <c r="AT245" t="str">
        <f>Tokens!AV247</f>
        <v>Validation</v>
      </c>
      <c r="AU245" t="str">
        <f>Tokens!AW247</f>
        <v>https://tokensol.nfluent.io?s=COR22D84&amp;platform=ftx</v>
      </c>
      <c r="AV245" t="str">
        <f>Tokens!AX247</f>
        <v>paul</v>
      </c>
      <c r="AW245">
        <f>Tokens!AY247</f>
        <v>10</v>
      </c>
      <c r="AX245" t="str">
        <f>Tokens!AZ247</f>
        <v>sophie</v>
      </c>
      <c r="AY245">
        <f>Tokens!BA247</f>
        <v>90</v>
      </c>
      <c r="AZ245">
        <f>Tokens!BB247</f>
        <v>0</v>
      </c>
      <c r="BA245">
        <f>Tokens!BC247</f>
        <v>0</v>
      </c>
      <c r="BB245">
        <f>Tokens!BD247</f>
        <v>0</v>
      </c>
      <c r="BC245">
        <f>Tokens!BE247</f>
        <v>0</v>
      </c>
      <c r="BD245">
        <f>Tokens!BF247</f>
        <v>0</v>
      </c>
      <c r="BE245">
        <f>Tokens!BG247</f>
        <v>0</v>
      </c>
      <c r="BF245">
        <f>Tokens!BH247</f>
        <v>0</v>
      </c>
      <c r="BG245">
        <f>Tokens!BI247</f>
        <v>0</v>
      </c>
      <c r="BH245" t="str">
        <f>Tokens!BJ247</f>
        <v>In Casa</v>
      </c>
      <c r="BI245" t="str">
        <f>Tokens!BK247</f>
        <v>Calvi On The Rocks</v>
      </c>
    </row>
    <row r="246" spans="1:61" x14ac:dyDescent="0.25">
      <c r="A246" t="str">
        <f>Tokens!C248</f>
        <v>In Casa #85</v>
      </c>
      <c r="B246" t="str">
        <f>Tokens!D248</f>
        <v>COR22D85</v>
      </c>
      <c r="C246" t="str">
        <f>Tokens!E248</f>
        <v>In Casa, 1 an - Pass NFT 1 jour pour 1 personne, valable pour 1 édition Calvi On The Rocks de votre choix.</v>
      </c>
      <c r="D246">
        <f>Tokens!F248</f>
        <v>1000</v>
      </c>
      <c r="E246" t="str">
        <f>Tokens!G248</f>
        <v>https://bafybeical6wey46qjyce2itnrkn75cm4qvjnewuynsqcotimqwk7nccxxq.ipfs.nftstorage.link?image_85.png</v>
      </c>
      <c r="F246" t="str">
        <f>Tokens!H248</f>
        <v>NfluenT for Calvi On The rocks</v>
      </c>
      <c r="G246">
        <f>Tokens!I248</f>
        <v>0</v>
      </c>
      <c r="H246" t="str">
        <f>Tokens!J248</f>
        <v>Pass festival</v>
      </c>
      <c r="I246" t="str">
        <f>Tokens!K248</f>
        <v>pour une(1) personne</v>
      </c>
      <c r="J246" t="str">
        <f>Tokens!L248</f>
        <v>Edition1</v>
      </c>
      <c r="K246">
        <f>Tokens!M248</f>
        <v>2</v>
      </c>
      <c r="L246">
        <f>Tokens!N248</f>
        <v>0</v>
      </c>
      <c r="M246">
        <f>Tokens!O248</f>
        <v>0</v>
      </c>
      <c r="N246">
        <f>Tokens!P248</f>
        <v>0</v>
      </c>
      <c r="O246">
        <f>Tokens!Q248</f>
        <v>0</v>
      </c>
      <c r="P246">
        <f>Tokens!R248</f>
        <v>0</v>
      </c>
      <c r="Q246">
        <f>Tokens!S248</f>
        <v>0</v>
      </c>
      <c r="R246">
        <f>Tokens!T248</f>
        <v>0</v>
      </c>
      <c r="S246">
        <f>Tokens!U248</f>
        <v>0</v>
      </c>
      <c r="T246" t="str">
        <f>Tokens!V248</f>
        <v>Dernière utilisation</v>
      </c>
      <c r="U246">
        <f>Tokens!W248</f>
        <v>0</v>
      </c>
      <c r="V246">
        <f>Tokens!X248</f>
        <v>0</v>
      </c>
      <c r="W246">
        <f>Tokens!Y248</f>
        <v>0</v>
      </c>
      <c r="X246">
        <f>Tokens!Z248</f>
        <v>0</v>
      </c>
      <c r="Y246">
        <f>Tokens!AA248</f>
        <v>0</v>
      </c>
      <c r="Z246">
        <f>Tokens!AB248</f>
        <v>0</v>
      </c>
      <c r="AA246">
        <f>Tokens!AC248</f>
        <v>0</v>
      </c>
      <c r="AB246">
        <f>Tokens!AD248</f>
        <v>0</v>
      </c>
      <c r="AC246">
        <f>Tokens!AE248</f>
        <v>0</v>
      </c>
      <c r="AD246">
        <f>Tokens!AF248</f>
        <v>0</v>
      </c>
      <c r="AE246">
        <f>Tokens!AG248</f>
        <v>0</v>
      </c>
      <c r="AF246">
        <f>Tokens!AH248</f>
        <v>0</v>
      </c>
      <c r="AG246">
        <f>Tokens!AI248</f>
        <v>0</v>
      </c>
      <c r="AH246">
        <f>Tokens!AJ248</f>
        <v>0</v>
      </c>
      <c r="AI246">
        <f>Tokens!AK248</f>
        <v>0</v>
      </c>
      <c r="AJ246" t="str">
        <f>Tokens!AL248</f>
        <v>avantage1</v>
      </c>
      <c r="AK246" t="str">
        <f>Tokens!AM248</f>
        <v>1 affiche numérotée (quelques unes seront signées au hasard)</v>
      </c>
      <c r="AL246">
        <f>Tokens!AN248</f>
        <v>0</v>
      </c>
      <c r="AM246">
        <f>Tokens!AO248</f>
        <v>0</v>
      </c>
      <c r="AN246">
        <f>Tokens!AP248</f>
        <v>0</v>
      </c>
      <c r="AO246">
        <f>Tokens!AQ248</f>
        <v>0</v>
      </c>
      <c r="AP246">
        <f>Tokens!AR248</f>
        <v>0</v>
      </c>
      <c r="AQ246">
        <f>Tokens!AS248</f>
        <v>0</v>
      </c>
      <c r="AR246">
        <f>Tokens!AT248</f>
        <v>0</v>
      </c>
      <c r="AS246">
        <f>Tokens!AU248</f>
        <v>0</v>
      </c>
      <c r="AT246" t="str">
        <f>Tokens!AV248</f>
        <v>Validation</v>
      </c>
      <c r="AU246" t="str">
        <f>Tokens!AW248</f>
        <v>https://tokensol.nfluent.io?s=COR22D85&amp;platform=ftx</v>
      </c>
      <c r="AV246" t="str">
        <f>Tokens!AX248</f>
        <v>paul</v>
      </c>
      <c r="AW246">
        <f>Tokens!AY248</f>
        <v>10</v>
      </c>
      <c r="AX246" t="str">
        <f>Tokens!AZ248</f>
        <v>sophie</v>
      </c>
      <c r="AY246">
        <f>Tokens!BA248</f>
        <v>90</v>
      </c>
      <c r="AZ246">
        <f>Tokens!BB248</f>
        <v>0</v>
      </c>
      <c r="BA246">
        <f>Tokens!BC248</f>
        <v>0</v>
      </c>
      <c r="BB246">
        <f>Tokens!BD248</f>
        <v>0</v>
      </c>
      <c r="BC246">
        <f>Tokens!BE248</f>
        <v>0</v>
      </c>
      <c r="BD246">
        <f>Tokens!BF248</f>
        <v>0</v>
      </c>
      <c r="BE246">
        <f>Tokens!BG248</f>
        <v>0</v>
      </c>
      <c r="BF246">
        <f>Tokens!BH248</f>
        <v>0</v>
      </c>
      <c r="BG246">
        <f>Tokens!BI248</f>
        <v>0</v>
      </c>
      <c r="BH246" t="str">
        <f>Tokens!BJ248</f>
        <v>In Casa</v>
      </c>
      <c r="BI246" t="str">
        <f>Tokens!BK248</f>
        <v>Calvi On The Rocks</v>
      </c>
    </row>
    <row r="247" spans="1:61" x14ac:dyDescent="0.25">
      <c r="A247" t="str">
        <f>Tokens!C249</f>
        <v>In Casa #86</v>
      </c>
      <c r="B247" t="str">
        <f>Tokens!D249</f>
        <v>COR22D86</v>
      </c>
      <c r="C247" t="str">
        <f>Tokens!E249</f>
        <v>In Casa, 1 an - Pass NFT 1 jour pour 1 personne, valable pour 1 édition Calvi On The Rocks de votre choix.</v>
      </c>
      <c r="D247">
        <f>Tokens!F249</f>
        <v>1000</v>
      </c>
      <c r="E247" t="str">
        <f>Tokens!G249</f>
        <v>https://bafybeih5nog6yobsul5poc5m6qw6y4in63asdpt2l7a67aqhwt2xyra3oi.ipfs.nftstorage.link?image_86.png</v>
      </c>
      <c r="F247" t="str">
        <f>Tokens!H249</f>
        <v>NfluenT for Calvi On The rocks</v>
      </c>
      <c r="G247">
        <f>Tokens!I249</f>
        <v>0</v>
      </c>
      <c r="H247" t="str">
        <f>Tokens!J249</f>
        <v>Pass festival</v>
      </c>
      <c r="I247" t="str">
        <f>Tokens!K249</f>
        <v>pour une(1) personne</v>
      </c>
      <c r="J247" t="str">
        <f>Tokens!L249</f>
        <v>Edition1</v>
      </c>
      <c r="K247">
        <f>Tokens!M249</f>
        <v>2</v>
      </c>
      <c r="L247">
        <f>Tokens!N249</f>
        <v>0</v>
      </c>
      <c r="M247">
        <f>Tokens!O249</f>
        <v>0</v>
      </c>
      <c r="N247">
        <f>Tokens!P249</f>
        <v>0</v>
      </c>
      <c r="O247">
        <f>Tokens!Q249</f>
        <v>0</v>
      </c>
      <c r="P247">
        <f>Tokens!R249</f>
        <v>0</v>
      </c>
      <c r="Q247">
        <f>Tokens!S249</f>
        <v>0</v>
      </c>
      <c r="R247">
        <f>Tokens!T249</f>
        <v>0</v>
      </c>
      <c r="S247">
        <f>Tokens!U249</f>
        <v>0</v>
      </c>
      <c r="T247" t="str">
        <f>Tokens!V249</f>
        <v>Dernière utilisation</v>
      </c>
      <c r="U247">
        <f>Tokens!W249</f>
        <v>0</v>
      </c>
      <c r="V247">
        <f>Tokens!X249</f>
        <v>0</v>
      </c>
      <c r="W247">
        <f>Tokens!Y249</f>
        <v>0</v>
      </c>
      <c r="X247">
        <f>Tokens!Z249</f>
        <v>0</v>
      </c>
      <c r="Y247">
        <f>Tokens!AA249</f>
        <v>0</v>
      </c>
      <c r="Z247">
        <f>Tokens!AB249</f>
        <v>0</v>
      </c>
      <c r="AA247">
        <f>Tokens!AC249</f>
        <v>0</v>
      </c>
      <c r="AB247">
        <f>Tokens!AD249</f>
        <v>0</v>
      </c>
      <c r="AC247">
        <f>Tokens!AE249</f>
        <v>0</v>
      </c>
      <c r="AD247">
        <f>Tokens!AF249</f>
        <v>0</v>
      </c>
      <c r="AE247">
        <f>Tokens!AG249</f>
        <v>0</v>
      </c>
      <c r="AF247">
        <f>Tokens!AH249</f>
        <v>0</v>
      </c>
      <c r="AG247">
        <f>Tokens!AI249</f>
        <v>0</v>
      </c>
      <c r="AH247">
        <f>Tokens!AJ249</f>
        <v>0</v>
      </c>
      <c r="AI247">
        <f>Tokens!AK249</f>
        <v>0</v>
      </c>
      <c r="AJ247" t="str">
        <f>Tokens!AL249</f>
        <v>avantage1</v>
      </c>
      <c r="AK247" t="str">
        <f>Tokens!AM249</f>
        <v>1 affiche numérotée (quelques unes seront signées au hasard)</v>
      </c>
      <c r="AL247">
        <f>Tokens!AN249</f>
        <v>0</v>
      </c>
      <c r="AM247">
        <f>Tokens!AO249</f>
        <v>0</v>
      </c>
      <c r="AN247">
        <f>Tokens!AP249</f>
        <v>0</v>
      </c>
      <c r="AO247">
        <f>Tokens!AQ249</f>
        <v>0</v>
      </c>
      <c r="AP247">
        <f>Tokens!AR249</f>
        <v>0</v>
      </c>
      <c r="AQ247">
        <f>Tokens!AS249</f>
        <v>0</v>
      </c>
      <c r="AR247">
        <f>Tokens!AT249</f>
        <v>0</v>
      </c>
      <c r="AS247">
        <f>Tokens!AU249</f>
        <v>0</v>
      </c>
      <c r="AT247" t="str">
        <f>Tokens!AV249</f>
        <v>Validation</v>
      </c>
      <c r="AU247" t="str">
        <f>Tokens!AW249</f>
        <v>https://tokensol.nfluent.io?s=COR22D86&amp;platform=ftx</v>
      </c>
      <c r="AV247" t="str">
        <f>Tokens!AX249</f>
        <v>paul</v>
      </c>
      <c r="AW247">
        <f>Tokens!AY249</f>
        <v>10</v>
      </c>
      <c r="AX247" t="str">
        <f>Tokens!AZ249</f>
        <v>sophie</v>
      </c>
      <c r="AY247">
        <f>Tokens!BA249</f>
        <v>90</v>
      </c>
      <c r="AZ247">
        <f>Tokens!BB249</f>
        <v>0</v>
      </c>
      <c r="BA247">
        <f>Tokens!BC249</f>
        <v>0</v>
      </c>
      <c r="BB247">
        <f>Tokens!BD249</f>
        <v>0</v>
      </c>
      <c r="BC247">
        <f>Tokens!BE249</f>
        <v>0</v>
      </c>
      <c r="BD247">
        <f>Tokens!BF249</f>
        <v>0</v>
      </c>
      <c r="BE247">
        <f>Tokens!BG249</f>
        <v>0</v>
      </c>
      <c r="BF247">
        <f>Tokens!BH249</f>
        <v>0</v>
      </c>
      <c r="BG247">
        <f>Tokens!BI249</f>
        <v>0</v>
      </c>
      <c r="BH247" t="str">
        <f>Tokens!BJ249</f>
        <v>In Casa</v>
      </c>
      <c r="BI247" t="str">
        <f>Tokens!BK249</f>
        <v>Calvi On The Rocks</v>
      </c>
    </row>
    <row r="248" spans="1:61" x14ac:dyDescent="0.25">
      <c r="A248" t="str">
        <f>Tokens!C250</f>
        <v>In Casa #87</v>
      </c>
      <c r="B248" t="str">
        <f>Tokens!D250</f>
        <v>COR22D87</v>
      </c>
      <c r="C248" t="str">
        <f>Tokens!E250</f>
        <v>In Casa, 1 an - Pass NFT 1 jour pour 1 personne, valable pour 1 édition Calvi On The Rocks de votre choix.</v>
      </c>
      <c r="D248">
        <f>Tokens!F250</f>
        <v>1000</v>
      </c>
      <c r="E248" t="str">
        <f>Tokens!G250</f>
        <v>https://bafybeics7mek374va3phezzlmlng46jhs5ztwalr66sqxmmkgnyit62ini.ipfs.nftstorage.link?image_87.png</v>
      </c>
      <c r="F248" t="str">
        <f>Tokens!H250</f>
        <v>NfluenT for Calvi On The rocks</v>
      </c>
      <c r="G248">
        <f>Tokens!I250</f>
        <v>0</v>
      </c>
      <c r="H248" t="str">
        <f>Tokens!J250</f>
        <v>Pass festival</v>
      </c>
      <c r="I248" t="str">
        <f>Tokens!K250</f>
        <v>pour une(1) personne</v>
      </c>
      <c r="J248" t="str">
        <f>Tokens!L250</f>
        <v>Edition1</v>
      </c>
      <c r="K248">
        <f>Tokens!M250</f>
        <v>2</v>
      </c>
      <c r="L248">
        <f>Tokens!N250</f>
        <v>0</v>
      </c>
      <c r="M248">
        <f>Tokens!O250</f>
        <v>0</v>
      </c>
      <c r="N248">
        <f>Tokens!P250</f>
        <v>0</v>
      </c>
      <c r="O248">
        <f>Tokens!Q250</f>
        <v>0</v>
      </c>
      <c r="P248">
        <f>Tokens!R250</f>
        <v>0</v>
      </c>
      <c r="Q248">
        <f>Tokens!S250</f>
        <v>0</v>
      </c>
      <c r="R248">
        <f>Tokens!T250</f>
        <v>0</v>
      </c>
      <c r="S248">
        <f>Tokens!U250</f>
        <v>0</v>
      </c>
      <c r="T248" t="str">
        <f>Tokens!V250</f>
        <v>Dernière utilisation</v>
      </c>
      <c r="U248">
        <f>Tokens!W250</f>
        <v>0</v>
      </c>
      <c r="V248">
        <f>Tokens!X250</f>
        <v>0</v>
      </c>
      <c r="W248">
        <f>Tokens!Y250</f>
        <v>0</v>
      </c>
      <c r="X248">
        <f>Tokens!Z250</f>
        <v>0</v>
      </c>
      <c r="Y248">
        <f>Tokens!AA250</f>
        <v>0</v>
      </c>
      <c r="Z248">
        <f>Tokens!AB250</f>
        <v>0</v>
      </c>
      <c r="AA248">
        <f>Tokens!AC250</f>
        <v>0</v>
      </c>
      <c r="AB248">
        <f>Tokens!AD250</f>
        <v>0</v>
      </c>
      <c r="AC248">
        <f>Tokens!AE250</f>
        <v>0</v>
      </c>
      <c r="AD248">
        <f>Tokens!AF250</f>
        <v>0</v>
      </c>
      <c r="AE248">
        <f>Tokens!AG250</f>
        <v>0</v>
      </c>
      <c r="AF248">
        <f>Tokens!AH250</f>
        <v>0</v>
      </c>
      <c r="AG248">
        <f>Tokens!AI250</f>
        <v>0</v>
      </c>
      <c r="AH248">
        <f>Tokens!AJ250</f>
        <v>0</v>
      </c>
      <c r="AI248">
        <f>Tokens!AK250</f>
        <v>0</v>
      </c>
      <c r="AJ248" t="str">
        <f>Tokens!AL250</f>
        <v>avantage1</v>
      </c>
      <c r="AK248" t="str">
        <f>Tokens!AM250</f>
        <v>1 affiche numérotée (quelques unes seront signées au hasard)</v>
      </c>
      <c r="AL248">
        <f>Tokens!AN250</f>
        <v>0</v>
      </c>
      <c r="AM248">
        <f>Tokens!AO250</f>
        <v>0</v>
      </c>
      <c r="AN248">
        <f>Tokens!AP250</f>
        <v>0</v>
      </c>
      <c r="AO248">
        <f>Tokens!AQ250</f>
        <v>0</v>
      </c>
      <c r="AP248">
        <f>Tokens!AR250</f>
        <v>0</v>
      </c>
      <c r="AQ248">
        <f>Tokens!AS250</f>
        <v>0</v>
      </c>
      <c r="AR248">
        <f>Tokens!AT250</f>
        <v>0</v>
      </c>
      <c r="AS248">
        <f>Tokens!AU250</f>
        <v>0</v>
      </c>
      <c r="AT248" t="str">
        <f>Tokens!AV250</f>
        <v>Validation</v>
      </c>
      <c r="AU248" t="str">
        <f>Tokens!AW250</f>
        <v>https://tokensol.nfluent.io?s=COR22D87&amp;platform=ftx</v>
      </c>
      <c r="AV248" t="str">
        <f>Tokens!AX250</f>
        <v>paul</v>
      </c>
      <c r="AW248">
        <f>Tokens!AY250</f>
        <v>10</v>
      </c>
      <c r="AX248" t="str">
        <f>Tokens!AZ250</f>
        <v>sophie</v>
      </c>
      <c r="AY248">
        <f>Tokens!BA250</f>
        <v>90</v>
      </c>
      <c r="AZ248">
        <f>Tokens!BB250</f>
        <v>0</v>
      </c>
      <c r="BA248">
        <f>Tokens!BC250</f>
        <v>0</v>
      </c>
      <c r="BB248">
        <f>Tokens!BD250</f>
        <v>0</v>
      </c>
      <c r="BC248">
        <f>Tokens!BE250</f>
        <v>0</v>
      </c>
      <c r="BD248">
        <f>Tokens!BF250</f>
        <v>0</v>
      </c>
      <c r="BE248">
        <f>Tokens!BG250</f>
        <v>0</v>
      </c>
      <c r="BF248">
        <f>Tokens!BH250</f>
        <v>0</v>
      </c>
      <c r="BG248">
        <f>Tokens!BI250</f>
        <v>0</v>
      </c>
      <c r="BH248" t="str">
        <f>Tokens!BJ250</f>
        <v>In Casa</v>
      </c>
      <c r="BI248" t="str">
        <f>Tokens!BK250</f>
        <v>Calvi On The Rocks</v>
      </c>
    </row>
    <row r="249" spans="1:61" x14ac:dyDescent="0.25">
      <c r="A249" t="str">
        <f>Tokens!C251</f>
        <v>In Casa #88</v>
      </c>
      <c r="B249" t="str">
        <f>Tokens!D251</f>
        <v>COR22D88</v>
      </c>
      <c r="C249" t="str">
        <f>Tokens!E251</f>
        <v>In Casa, 1 an - Pass NFT 1 jour pour 1 personne, valable pour 1 édition Calvi On The Rocks de votre choix.</v>
      </c>
      <c r="D249">
        <f>Tokens!F251</f>
        <v>1000</v>
      </c>
      <c r="E249" t="str">
        <f>Tokens!G251</f>
        <v>https://bafybeidbbrpjvnvqxyiekdivbin62ibhywfzvpwwh66vvky7qmbepov2tq.ipfs.nftstorage.link?image_88.png</v>
      </c>
      <c r="F249" t="str">
        <f>Tokens!H251</f>
        <v>NfluenT for Calvi On The rocks</v>
      </c>
      <c r="G249">
        <f>Tokens!I251</f>
        <v>0</v>
      </c>
      <c r="H249" t="str">
        <f>Tokens!J251</f>
        <v>Pass festival</v>
      </c>
      <c r="I249" t="str">
        <f>Tokens!K251</f>
        <v>pour une(1) personne</v>
      </c>
      <c r="J249" t="str">
        <f>Tokens!L251</f>
        <v>Edition1</v>
      </c>
      <c r="K249">
        <f>Tokens!M251</f>
        <v>2</v>
      </c>
      <c r="L249">
        <f>Tokens!N251</f>
        <v>0</v>
      </c>
      <c r="M249">
        <f>Tokens!O251</f>
        <v>0</v>
      </c>
      <c r="N249">
        <f>Tokens!P251</f>
        <v>0</v>
      </c>
      <c r="O249">
        <f>Tokens!Q251</f>
        <v>0</v>
      </c>
      <c r="P249">
        <f>Tokens!R251</f>
        <v>0</v>
      </c>
      <c r="Q249">
        <f>Tokens!S251</f>
        <v>0</v>
      </c>
      <c r="R249">
        <f>Tokens!T251</f>
        <v>0</v>
      </c>
      <c r="S249">
        <f>Tokens!U251</f>
        <v>0</v>
      </c>
      <c r="T249" t="str">
        <f>Tokens!V251</f>
        <v>Dernière utilisation</v>
      </c>
      <c r="U249">
        <f>Tokens!W251</f>
        <v>0</v>
      </c>
      <c r="V249">
        <f>Tokens!X251</f>
        <v>0</v>
      </c>
      <c r="W249">
        <f>Tokens!Y251</f>
        <v>0</v>
      </c>
      <c r="X249">
        <f>Tokens!Z251</f>
        <v>0</v>
      </c>
      <c r="Y249">
        <f>Tokens!AA251</f>
        <v>0</v>
      </c>
      <c r="Z249">
        <f>Tokens!AB251</f>
        <v>0</v>
      </c>
      <c r="AA249">
        <f>Tokens!AC251</f>
        <v>0</v>
      </c>
      <c r="AB249">
        <f>Tokens!AD251</f>
        <v>0</v>
      </c>
      <c r="AC249">
        <f>Tokens!AE251</f>
        <v>0</v>
      </c>
      <c r="AD249">
        <f>Tokens!AF251</f>
        <v>0</v>
      </c>
      <c r="AE249">
        <f>Tokens!AG251</f>
        <v>0</v>
      </c>
      <c r="AF249">
        <f>Tokens!AH251</f>
        <v>0</v>
      </c>
      <c r="AG249">
        <f>Tokens!AI251</f>
        <v>0</v>
      </c>
      <c r="AH249">
        <f>Tokens!AJ251</f>
        <v>0</v>
      </c>
      <c r="AI249">
        <f>Tokens!AK251</f>
        <v>0</v>
      </c>
      <c r="AJ249" t="str">
        <f>Tokens!AL251</f>
        <v>avantage1</v>
      </c>
      <c r="AK249" t="str">
        <f>Tokens!AM251</f>
        <v>1 affiche numérotée (quelques unes seront signées au hasard)</v>
      </c>
      <c r="AL249">
        <f>Tokens!AN251</f>
        <v>0</v>
      </c>
      <c r="AM249">
        <f>Tokens!AO251</f>
        <v>0</v>
      </c>
      <c r="AN249">
        <f>Tokens!AP251</f>
        <v>0</v>
      </c>
      <c r="AO249">
        <f>Tokens!AQ251</f>
        <v>0</v>
      </c>
      <c r="AP249">
        <f>Tokens!AR251</f>
        <v>0</v>
      </c>
      <c r="AQ249">
        <f>Tokens!AS251</f>
        <v>0</v>
      </c>
      <c r="AR249">
        <f>Tokens!AT251</f>
        <v>0</v>
      </c>
      <c r="AS249">
        <f>Tokens!AU251</f>
        <v>0</v>
      </c>
      <c r="AT249" t="str">
        <f>Tokens!AV251</f>
        <v>Validation</v>
      </c>
      <c r="AU249" t="str">
        <f>Tokens!AW251</f>
        <v>https://tokensol.nfluent.io?s=COR22D88&amp;platform=ftx</v>
      </c>
      <c r="AV249" t="str">
        <f>Tokens!AX251</f>
        <v>paul</v>
      </c>
      <c r="AW249">
        <f>Tokens!AY251</f>
        <v>10</v>
      </c>
      <c r="AX249" t="str">
        <f>Tokens!AZ251</f>
        <v>sophie</v>
      </c>
      <c r="AY249">
        <f>Tokens!BA251</f>
        <v>90</v>
      </c>
      <c r="AZ249">
        <f>Tokens!BB251</f>
        <v>0</v>
      </c>
      <c r="BA249">
        <f>Tokens!BC251</f>
        <v>0</v>
      </c>
      <c r="BB249">
        <f>Tokens!BD251</f>
        <v>0</v>
      </c>
      <c r="BC249">
        <f>Tokens!BE251</f>
        <v>0</v>
      </c>
      <c r="BD249">
        <f>Tokens!BF251</f>
        <v>0</v>
      </c>
      <c r="BE249">
        <f>Tokens!BG251</f>
        <v>0</v>
      </c>
      <c r="BF249">
        <f>Tokens!BH251</f>
        <v>0</v>
      </c>
      <c r="BG249">
        <f>Tokens!BI251</f>
        <v>0</v>
      </c>
      <c r="BH249" t="str">
        <f>Tokens!BJ251</f>
        <v>In Casa</v>
      </c>
      <c r="BI249" t="str">
        <f>Tokens!BK251</f>
        <v>Calvi On The Rocks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500"/>
  <sheetViews>
    <sheetView showGridLines="0" zoomScale="115" zoomScaleNormal="115" workbookViewId="0">
      <selection activeCell="E23" sqref="E23:P23"/>
    </sheetView>
  </sheetViews>
  <sheetFormatPr baseColWidth="10" defaultRowHeight="14.25" customHeight="1" x14ac:dyDescent="0.25"/>
  <cols>
    <col min="1" max="1" width="31.5703125" style="61" customWidth="1"/>
    <col min="2" max="2" width="16.7109375" customWidth="1"/>
    <col min="3" max="4" width="7" customWidth="1"/>
    <col min="5" max="5" width="43.28515625" style="16" customWidth="1"/>
    <col min="6" max="6" width="24.28515625" style="13" customWidth="1"/>
    <col min="7" max="7" width="5.85546875" style="13" customWidth="1"/>
    <col min="8" max="8" width="13.7109375" style="13" customWidth="1"/>
    <col min="9" max="9" width="82.42578125" style="11" customWidth="1"/>
    <col min="10" max="10" width="52.140625" style="11" customWidth="1"/>
    <col min="11" max="11" width="24.28515625" customWidth="1"/>
    <col min="13" max="13" width="17.28515625" style="13" customWidth="1"/>
    <col min="14" max="14" width="13.140625" style="12" customWidth="1"/>
    <col min="15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41.85546875" customWidth="1"/>
    <col min="21" max="21" width="95.42578125" customWidth="1"/>
    <col min="22" max="22" width="95.28515625" customWidth="1"/>
    <col min="23" max="23" width="109.42578125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M1" s="15"/>
      <c r="N1" s="2" t="s">
        <v>57</v>
      </c>
      <c r="O1" s="15">
        <v>39</v>
      </c>
      <c r="P1" s="15"/>
    </row>
    <row r="2" spans="1:31" ht="15.75" customHeight="1" x14ac:dyDescent="0.25">
      <c r="M2" s="15"/>
      <c r="N2" s="12" t="s">
        <v>58</v>
      </c>
      <c r="O2" s="15">
        <f>SUM(O4:O99)</f>
        <v>0</v>
      </c>
      <c r="P2" s="15"/>
    </row>
    <row r="3" spans="1:31" s="27" customFormat="1" ht="15.75" customHeight="1" x14ac:dyDescent="0.3">
      <c r="A3" s="62" t="s">
        <v>137</v>
      </c>
      <c r="B3" s="51"/>
      <c r="C3" s="50">
        <v>1</v>
      </c>
      <c r="E3" s="53" t="s">
        <v>18</v>
      </c>
      <c r="F3" s="54" t="s">
        <v>19</v>
      </c>
      <c r="G3" s="54" t="s">
        <v>55</v>
      </c>
      <c r="H3" s="54" t="s">
        <v>56</v>
      </c>
      <c r="I3" s="55" t="s">
        <v>132</v>
      </c>
      <c r="J3" s="55" t="s">
        <v>65</v>
      </c>
      <c r="K3" s="55" t="s">
        <v>362</v>
      </c>
      <c r="L3" s="55"/>
      <c r="M3" s="54"/>
      <c r="N3" s="54" t="s">
        <v>133</v>
      </c>
      <c r="O3" s="54" t="s">
        <v>51</v>
      </c>
      <c r="P3" s="54" t="s">
        <v>66</v>
      </c>
      <c r="Q3" s="54" t="s">
        <v>130</v>
      </c>
      <c r="T3" s="52" t="s">
        <v>364</v>
      </c>
      <c r="U3" s="52" t="s">
        <v>382</v>
      </c>
      <c r="V3" s="52" t="s">
        <v>11</v>
      </c>
      <c r="W3" s="52" t="s">
        <v>12</v>
      </c>
      <c r="X3" s="52" t="s">
        <v>13</v>
      </c>
      <c r="Y3" s="52" t="s">
        <v>16</v>
      </c>
      <c r="Z3" s="52"/>
      <c r="AA3" s="52"/>
      <c r="AB3" s="52"/>
      <c r="AC3" s="52" t="s">
        <v>17</v>
      </c>
    </row>
    <row r="4" spans="1:31" s="1" customFormat="1" ht="18" customHeight="1" x14ac:dyDescent="0.3">
      <c r="A4" s="62" t="s">
        <v>365</v>
      </c>
      <c r="B4" s="51"/>
      <c r="C4" s="60">
        <v>20</v>
      </c>
      <c r="D4" s="1">
        <f>Tokens!B4</f>
        <v>1</v>
      </c>
      <c r="E4" s="17" t="str">
        <f>IF(Tokens!C4="","",Tokens!C4)</f>
        <v>La Citadella #1</v>
      </c>
      <c r="F4"/>
      <c r="G4"/>
      <c r="H4"/>
      <c r="I4"/>
      <c r="J4"/>
      <c r="K4"/>
      <c r="L4"/>
      <c r="M4"/>
      <c r="N4"/>
      <c r="O4" s="15" t="str">
        <f t="shared" ref="O4:O67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/>
      </c>
      <c r="Q4" s="2"/>
      <c r="R4" s="2"/>
      <c r="S4" s="11"/>
      <c r="T4" s="1" t="str">
        <f>"owner=" &amp; Tokens!BS4 &amp; "&amp;filename_for_metadata=" &amp; Tokens!BT4 &amp; "&amp;offchaindata_platform=" &amp; $B$17 &amp; "&amp;keyfile=" &amp; $B$5 &amp; "&amp;network=" &amp; LOWER($B$8) &amp; "&amp;repository=" &amp; $B$18</f>
        <v>owner=sophie&amp;filename_for_metadata=LaCitadella_COR22A1&amp;offchaindata_platform=MongoDB&amp;keyfile=Paul&amp;network=jsonfiles&amp;repository=test</v>
      </c>
      <c r="U4" s="1" t="str">
        <f>"{" &amp; V4 &amp; "," &amp; W4 &amp; "," &amp; """properties"":{" &amp; X4 &amp; "," &amp; Y4 &amp; "}," &amp; AC4 &amp; "}"</f>
        <v>{"name":"La Citadella #1",_x000D_
"symbol":"COR22A1",_x000D_
"description":"La Citadella, 5 ans - Pass NFT 5 jours pour 2 personnes, valable pour 5 éditions Calvi On The Rocks de votre choix.",_x000D_
"seller_fee_basis_points":1000,_x000D_
"image":"https://bafybeieb5gowbd2yayc4eefg62tpkvad5cyvunlyk44r3ppnpoqgd2j76m.ipfs.nftstorage.link?image_1.png",_x000D_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4" s="1" t="str">
        <f>formatRow(Tokens!C$2:I$2,Tokens!C4:I4)</f>
        <v>"name":"La Citadella #1",_x000D_
"symbol":"COR22A1",_x000D_
"description":"La Citadella, 5 ans - Pass NFT 5 jours pour 2 personnes, valable pour 5 éditions Calvi On The Rocks de votre choix.",_x000D_
"seller_fee_basis_points":1000,_x000D_
"image":"https://bafybeieb5gowbd2yayc4eefg62tpkvad5cyvunlyk44r3ppnpoqgd2j76m.ipfs.nftstorage.link?image_1.png",_x000D_
"Issuer":"NfluenT for Calvi On The rocks",_x000D_
"external_url":""</v>
      </c>
      <c r="W4" s="1" t="str">
        <f>formatRow(Tokens!J$2:AV$2,Tokens!J4:AV4,2,"attributes")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4" s="1" t="str">
        <f>formatRow(Tokens!AX$2:BC$2,Tokens!AX4:BC4,2,"creators")</f>
        <v>"creators":[{"address":"paul",_x000D_
"share":10},{"address":"sophie",_x000D_
"share":90}]</v>
      </c>
      <c r="Y4" s="1" t="str">
        <f>formatRow(Tokens!BD$2:BI$2,Tokens!BD4:BI4,2,"files")</f>
        <v>"files":[]</v>
      </c>
      <c r="AC4" s="1" t="str">
        <f>formatRow(Tokens!BJ$2:BK$2,Tokens!BJ4:BK4,0,"collection")</f>
        <v>"collection":{"name":"La Citadella",_x000D_
"family":"Calvi On The Rocks"}</v>
      </c>
    </row>
    <row r="5" spans="1:31" ht="15" customHeight="1" x14ac:dyDescent="0.25">
      <c r="A5" s="63" t="s">
        <v>356</v>
      </c>
      <c r="B5" t="s">
        <v>29</v>
      </c>
      <c r="D5" s="1">
        <f>Tokens!B5</f>
        <v>2</v>
      </c>
      <c r="E5" s="17" t="str">
        <f>IF(Tokens!C5="","",Tokens!C5)</f>
        <v>La Citadella #2</v>
      </c>
      <c r="F5"/>
      <c r="G5"/>
      <c r="H5"/>
      <c r="I5"/>
      <c r="J5"/>
      <c r="M5"/>
      <c r="N5"/>
      <c r="O5" s="15" t="str">
        <f t="shared" si="0"/>
        <v>_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/>
      </c>
      <c r="Q5" s="2"/>
      <c r="R5" s="2"/>
      <c r="S5" s="11"/>
      <c r="T5" s="1" t="str">
        <f>"owner=" &amp; Tokens!BS5 &amp; "&amp;filename_for_metadata=" &amp; Tokens!BT5 &amp; "&amp;offchaindata_platform=" &amp; $B$17 &amp; "&amp;keyfile=" &amp; $B$5 &amp; "&amp;network=" &amp; LOWER($B$8) &amp; "&amp;repository=" &amp; $B$18</f>
        <v>owner=sophie&amp;filename_for_metadata=LaCitadella_COR22A2&amp;offchaindata_platform=MongoDB&amp;keyfile=Paul&amp;network=jsonfiles&amp;repository=test</v>
      </c>
      <c r="U5" s="1" t="str">
        <f t="shared" ref="U5:U68" si="1">"{" &amp; V5 &amp; "," &amp; W5 &amp; "," &amp; """properties"":{" &amp; X5 &amp; "," &amp; Y5 &amp; "}," &amp; AC5 &amp; "}"</f>
        <v>{"name":"La Citadella #2",_x000D_
"symbol":"COR22A2",_x000D_
"description":"La Citadella, 5 ans - Pass NFT 5 jours pour 2 personnes, valable pour 5 éditions Calvi On The Rocks de votre choix.",_x000D_
"seller_fee_basis_points":1000,_x000D_
"image":"https://bafybeifsadgrbtpzgroske3qggjle5irbkt6joq2n3hyrk2urnzm7phvym.ipfs.nftstorage.link?image_2.png",_x000D_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5" s="1" t="str">
        <f>formatRow(Tokens!C$2:I$2,Tokens!C5:I5)</f>
        <v>"name":"La Citadella #2",_x000D_
"symbol":"COR22A2",_x000D_
"description":"La Citadella, 5 ans - Pass NFT 5 jours pour 2 personnes, valable pour 5 éditions Calvi On The Rocks de votre choix.",_x000D_
"seller_fee_basis_points":1000,_x000D_
"image":"https://bafybeifsadgrbtpzgroske3qggjle5irbkt6joq2n3hyrk2urnzm7phvym.ipfs.nftstorage.link?image_2.png",_x000D_
"Issuer":"NfluenT for Calvi On The rocks",_x000D_
"external_url":""</v>
      </c>
      <c r="W5" s="1" t="str">
        <f>formatRow(Tokens!J$2:AV$2,Tokens!J5:AV5,2,"attributes")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5" s="1" t="str">
        <f>formatRow(Tokens!AX$2:BC$2,Tokens!AX5:BC5,2,"creators")</f>
        <v>"creators":[{"address":"paul",_x000D_
"share":10},{"address":"sophie",_x000D_
"share":90}]</v>
      </c>
      <c r="Y5" s="1" t="str">
        <f>formatRow(Tokens!BD$2:BI$2,Tokens!BD5:BI5,2,"files")</f>
        <v>"files":[]</v>
      </c>
      <c r="Z5" s="1"/>
      <c r="AA5" s="1"/>
      <c r="AB5" s="1"/>
      <c r="AC5" s="1" t="str">
        <f>formatRow(Tokens!BJ$2:BK$2,Tokens!BJ5:BK5,0,"collection")</f>
        <v>"collection":{"name":"La Citadella",_x000D_
"family":"Calvi On The Rocks"}</v>
      </c>
      <c r="AD5" s="1"/>
      <c r="AE5" s="1"/>
    </row>
    <row r="6" spans="1:31" ht="15" customHeight="1" x14ac:dyDescent="0.25">
      <c r="A6" s="63" t="s">
        <v>117</v>
      </c>
      <c r="B6" t="s">
        <v>82</v>
      </c>
      <c r="D6" s="1">
        <f>Tokens!B6</f>
        <v>3</v>
      </c>
      <c r="E6" s="17" t="str">
        <f>IF(Tokens!C6="","",Tokens!C6)</f>
        <v>La Citadella #3</v>
      </c>
      <c r="F6"/>
      <c r="G6"/>
      <c r="H6"/>
      <c r="I6"/>
      <c r="J6"/>
      <c r="M6"/>
      <c r="N6"/>
      <c r="O6" s="15" t="str">
        <f t="shared" si="0"/>
        <v>_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/>
      </c>
      <c r="Q6" s="2"/>
      <c r="R6" s="2"/>
      <c r="S6" s="11"/>
      <c r="T6" s="1" t="str">
        <f>"owner=" &amp; Tokens!BS6 &amp; "&amp;filename_for_metadata=" &amp; Tokens!BT6 &amp; "&amp;offchaindata_platform=" &amp; $B$17 &amp; "&amp;keyfile=" &amp; $B$5 &amp; "&amp;network=" &amp; LOWER($B$8) &amp; "&amp;repository=" &amp; $B$18</f>
        <v>owner=sophie&amp;filename_for_metadata=LaCitadella_COR22A3&amp;offchaindata_platform=MongoDB&amp;keyfile=Paul&amp;network=jsonfiles&amp;repository=test</v>
      </c>
      <c r="U6" s="1" t="str">
        <f t="shared" si="1"/>
        <v>{"name":"La Citadella #3",_x000D_
"symbol":"COR22A3",_x000D_
"description":"La Citadella, 5 ans - Pass NFT 5 jours pour 2 personnes, valable pour 5 éditions Calvi On The Rocks de votre choix.",_x000D_
"seller_fee_basis_points":1000,_x000D_
"image":"https://bafybeihkvlzh3f7bvonc5rup65ywgxgovgzsgw5oibyfhpvqgpn7xjvmfy.ipfs.nftstorage.link?image_3.png",_x000D_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"share":90}],"files":[]},"collection":{"name":"La Citadella",_x000D_
"family":"Calvi On The Rocks"}}</v>
      </c>
      <c r="V6" s="1" t="str">
        <f>formatRow(Tokens!C$2:I$2,Tokens!C6:I6)</f>
        <v>"name":"La Citadella #3",_x000D_
"symbol":"COR22A3",_x000D_
"description":"La Citadella, 5 ans - Pass NFT 5 jours pour 2 personnes, valable pour 5 éditions Calvi On The Rocks de votre choix.",_x000D_
"seller_fee_basis_points":1000,_x000D_
"image":"https://bafybeihkvlzh3f7bvonc5rup65ywgxgovgzsgw5oibyfhpvqgpn7xjvmfy.ipfs.nftstorage.link?image_3.png",_x000D_
"Issuer":"NfluenT for Calvi On The rocks",_x000D_
"external_url":""</v>
      </c>
      <c r="W6" s="1" t="str">
        <f>formatRow(Tokens!J$2:AV$2,Tokens!J6:AV6,2,"attributes")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6" s="1" t="str">
        <f>formatRow(Tokens!AX$2:BC$2,Tokens!AX6:BC6,2,"creators")</f>
        <v>"creators":[{"address":"paul",_x000D_
"share":10},{"address":"sophie",_x000D_
"share":90}]</v>
      </c>
      <c r="Y6" s="1" t="str">
        <f>formatRow(Tokens!BD$2:BI$2,Tokens!BD6:BI6,2,"files")</f>
        <v>"files":[]</v>
      </c>
      <c r="Z6" s="1"/>
      <c r="AA6" s="1"/>
      <c r="AB6" s="1"/>
      <c r="AC6" s="1" t="str">
        <f>formatRow(Tokens!BJ$2:BK$2,Tokens!BJ6:BK6,0,"collection")</f>
        <v>"collection":{"name":"La Citadella",_x000D_
"family":"Calvi On The Rocks"}</v>
      </c>
      <c r="AD6" s="1"/>
      <c r="AE6" s="1"/>
    </row>
    <row r="7" spans="1:31" ht="14.25" customHeight="1" x14ac:dyDescent="0.25">
      <c r="A7" s="63" t="s">
        <v>129</v>
      </c>
      <c r="B7" t="s">
        <v>82</v>
      </c>
      <c r="D7" s="1">
        <f>Tokens!B7</f>
        <v>4</v>
      </c>
      <c r="E7" s="17" t="str">
        <f>IF(Tokens!C7="","",Tokens!C7)</f>
        <v>La Citadella #4</v>
      </c>
      <c r="F7"/>
      <c r="G7"/>
      <c r="H7"/>
      <c r="I7"/>
      <c r="J7"/>
      <c r="M7"/>
      <c r="N7"/>
      <c r="O7" s="15" t="str">
        <f t="shared" si="0"/>
        <v>_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/>
      </c>
      <c r="Q7" s="2"/>
      <c r="R7" s="2"/>
      <c r="S7" s="11"/>
      <c r="T7" s="1" t="str">
        <f>"owner=" &amp; Tokens!BS7 &amp; "&amp;filename_for_metadata=" &amp; Tokens!BT7 &amp; "&amp;offchaindata_platform=" &amp; $B$17 &amp; "&amp;keyfile=" &amp; $B$5 &amp; "&amp;network=" &amp; LOWER($B$8) &amp; "&amp;repository=" &amp; $B$18</f>
        <v>owner=sophie&amp;filename_for_metadata=Dudule_COR22A4&amp;offchaindata_platform=MongoDB&amp;keyfile=Paul&amp;network=jsonfiles&amp;repository=test</v>
      </c>
      <c r="U7" s="1" t="str">
        <f t="shared" si="1"/>
        <v>{"name":"La Citadella #4",_x000D_
"symbol":"COR22A4",_x000D_
"description":"La Citadella, 5 ans - Pass NFT 5 jours pour 2 personnes, valable pour 5 éditions Calvi On The Rocks de votre choix.",_x000D_
"seller_fee_basis_points":1000,_x000D_
"image":"https://bafybeigf6fbfhzua6kllohl2vzwo5o7bcgwd2w3h7orjzraf7uz55zrv24.ipfs.nftstorage.link?image_4.png",_x000D_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7" s="1" t="str">
        <f>formatRow(Tokens!C$2:I$2,Tokens!C7:I7)</f>
        <v>"name":"La Citadella #4",_x000D_
"symbol":"COR22A4",_x000D_
"description":"La Citadella, 5 ans - Pass NFT 5 jours pour 2 personnes, valable pour 5 éditions Calvi On The Rocks de votre choix.",_x000D_
"seller_fee_basis_points":1000,_x000D_
"image":"https://bafybeigf6fbfhzua6kllohl2vzwo5o7bcgwd2w3h7orjzraf7uz55zrv24.ipfs.nftstorage.link?image_4.png",_x000D_
"Issuer":"NfluenT for Calvi On The rocks",_x000D_
"external_url":""</v>
      </c>
      <c r="W7" s="1" t="str">
        <f>formatRow(Tokens!J$2:AV$2,Tokens!J7:AV7,2,"attributes")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7" s="1" t="str">
        <f>formatRow(Tokens!AX$2:BC$2,Tokens!AX7:BC7,2,"creators")</f>
        <v>"creators":[{"address":"paul",_x000D_
"share":10},{"address":"sophie",_x000D_
"share":90}]</v>
      </c>
      <c r="Y7" s="1" t="str">
        <f>formatRow(Tokens!BD$2:BI$2,Tokens!BD7:BI7,2,"files")</f>
        <v>"files":[]</v>
      </c>
      <c r="Z7" s="1"/>
      <c r="AA7" s="1"/>
      <c r="AB7" s="1"/>
      <c r="AC7" s="1" t="str">
        <f>formatRow(Tokens!BJ$2:BK$2,Tokens!BJ7:BK7,0,"collection")</f>
        <v>"collection":{"name":"Dudule",_x000D_
"family":"DuduleMaster"}</v>
      </c>
      <c r="AD7" s="1"/>
      <c r="AE7" s="1"/>
    </row>
    <row r="8" spans="1:31" ht="14.25" customHeight="1" x14ac:dyDescent="0.25">
      <c r="A8" s="63" t="s">
        <v>21</v>
      </c>
      <c r="B8" t="s">
        <v>157</v>
      </c>
      <c r="D8" s="1">
        <f>Tokens!B8</f>
        <v>5</v>
      </c>
      <c r="E8" s="17" t="str">
        <f>IF(Tokens!C8="","",Tokens!C8)</f>
        <v>La Citadella #5</v>
      </c>
      <c r="F8"/>
      <c r="G8"/>
      <c r="H8"/>
      <c r="I8"/>
      <c r="J8"/>
      <c r="M8"/>
      <c r="N8"/>
      <c r="O8" s="15" t="str">
        <f t="shared" si="0"/>
        <v>_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/>
      </c>
      <c r="Q8" s="2"/>
      <c r="R8" s="2"/>
      <c r="S8" s="11"/>
      <c r="T8" s="1" t="str">
        <f>"owner=" &amp; Tokens!BS8 &amp; "&amp;filename_for_metadata=" &amp; Tokens!BT8 &amp; "&amp;offchaindata_platform=" &amp; $B$17 &amp; "&amp;keyfile=" &amp; $B$5 &amp; "&amp;network=" &amp; LOWER($B$8) &amp; "&amp;repository=" &amp; $B$18</f>
        <v>owner=roger&amp;filename_for_metadata=Dudule_COR22A5&amp;offchaindata_platform=MongoDB&amp;keyfile=Paul&amp;network=jsonfiles&amp;repository=test</v>
      </c>
      <c r="U8" s="1" t="str">
        <f t="shared" si="1"/>
        <v>{"name":"La Citadella #5",_x000D_
"symbol":"COR22A5",_x000D_
"description":"La Citadella, 5 ans - Pass NFT 5 jours pour 2 personnes, valable pour 5 éditions Calvi On The Rocks de votre choix.",_x000D_
"seller_fee_basis_points":1000,_x000D_
"image":"https://bafybeib2nacyslyjp5vpypopuf6qgxsknvnyhdhfh4lhhgnz2gldin7gfi.ipfs.nftstorage.link?image_5.png",_x000D_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8" s="1" t="str">
        <f>formatRow(Tokens!C$2:I$2,Tokens!C8:I8)</f>
        <v>"name":"La Citadella #5",_x000D_
"symbol":"COR22A5",_x000D_
"description":"La Citadella, 5 ans - Pass NFT 5 jours pour 2 personnes, valable pour 5 éditions Calvi On The Rocks de votre choix.",_x000D_
"seller_fee_basis_points":1000,_x000D_
"image":"https://bafybeib2nacyslyjp5vpypopuf6qgxsknvnyhdhfh4lhhgnz2gldin7gfi.ipfs.nftstorage.link?image_5.png",_x000D_
"Issuer":"NfluenT for Calvi On The rocks",_x000D_
"external_url":""</v>
      </c>
      <c r="W8" s="1" t="str">
        <f>formatRow(Tokens!J$2:AV$2,Tokens!J8:AV8,2,"attributes")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8" s="1" t="str">
        <f>formatRow(Tokens!AX$2:BC$2,Tokens!AX8:BC8,2,"creators")</f>
        <v>"creators":[{"address":"paul",_x000D_
"share":10},{"address":"sophie",_x000D_
"share":90}]</v>
      </c>
      <c r="Y8" s="1" t="str">
        <f>formatRow(Tokens!BD$2:BI$2,Tokens!BD8:BI8,2,"files")</f>
        <v>"files":[]</v>
      </c>
      <c r="Z8" s="1"/>
      <c r="AA8" s="1"/>
      <c r="AB8" s="1"/>
      <c r="AC8" s="1" t="str">
        <f>formatRow(Tokens!BJ$2:BK$2,Tokens!BJ8:BK8,0,"collection")</f>
        <v>"collection":{"name":"Dudule",_x000D_
"family":"DuduleMaster"}</v>
      </c>
      <c r="AD8" s="1"/>
      <c r="AE8" s="1"/>
    </row>
    <row r="9" spans="1:31" ht="14.25" customHeight="1" x14ac:dyDescent="0.25">
      <c r="D9" s="1">
        <f>Tokens!B9</f>
        <v>6</v>
      </c>
      <c r="E9" s="17" t="str">
        <f>IF(Tokens!C9="","",Tokens!C9)</f>
        <v>La Citadella #6</v>
      </c>
      <c r="F9"/>
      <c r="G9"/>
      <c r="H9"/>
      <c r="I9"/>
      <c r="J9"/>
      <c r="M9"/>
      <c r="N9"/>
      <c r="O9" s="15" t="str">
        <f t="shared" si="0"/>
        <v>_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/>
      </c>
      <c r="Q9" s="2"/>
      <c r="R9" s="2"/>
      <c r="S9" s="11"/>
      <c r="T9" s="1" t="str">
        <f>"owner=" &amp; Tokens!BS9 &amp; "&amp;filename_for_metadata=" &amp; Tokens!BT9 &amp; "&amp;offchaindata_platform=" &amp; $B$17 &amp; "&amp;keyfile=" &amp; $B$5 &amp; "&amp;network=" &amp; LOWER($B$8) &amp; "&amp;repository=" &amp; $B$18</f>
        <v>owner=roger&amp;filename_for_metadata=Dudule_COR22A6&amp;offchaindata_platform=MongoDB&amp;keyfile=Paul&amp;network=jsonfiles&amp;repository=test</v>
      </c>
      <c r="U9" s="1" t="str">
        <f t="shared" si="1"/>
        <v>{"name":"La Citadella #6",_x000D_
"symbol":"COR22A6",_x000D_
"description":"La Citadella, 5 ans - Pass NFT 5 jours pour 2 personnes, valable pour 5 éditions Calvi On The Rocks de votre choix.",_x000D_
"seller_fee_basis_points":1000,_x000D_
"image":"https://bafybeig2gbsgxcqocd63aza57czcryvjsso3hnnus64xf3urjfuhhrtkzq.ipfs.nftstorage.link?image_6.png",_x000D_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9" s="1" t="str">
        <f>formatRow(Tokens!C$2:I$2,Tokens!C9:I9)</f>
        <v>"name":"La Citadella #6",_x000D_
"symbol":"COR22A6",_x000D_
"description":"La Citadella, 5 ans - Pass NFT 5 jours pour 2 personnes, valable pour 5 éditions Calvi On The Rocks de votre choix.",_x000D_
"seller_fee_basis_points":1000,_x000D_
"image":"https://bafybeig2gbsgxcqocd63aza57czcryvjsso3hnnus64xf3urjfuhhrtkzq.ipfs.nftstorage.link?image_6.png",_x000D_
"Issuer":"NfluenT for Calvi On The rocks",_x000D_
"external_url":""</v>
      </c>
      <c r="W9" s="1" t="str">
        <f>formatRow(Tokens!J$2:AV$2,Tokens!J9:AV9,2,"attributes")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9" s="1" t="str">
        <f>formatRow(Tokens!AX$2:BC$2,Tokens!AX9:BC9,2,"creators")</f>
        <v>"creators":[{"address":"paul",_x000D_
"share":10},{"address":"sophie",_x000D_
"share":90}]</v>
      </c>
      <c r="Y9" s="1" t="str">
        <f>formatRow(Tokens!BD$2:BI$2,Tokens!BD9:BI9,2,"files")</f>
        <v>"files":[]</v>
      </c>
      <c r="Z9" s="1"/>
      <c r="AA9" s="1"/>
      <c r="AB9" s="1"/>
      <c r="AC9" s="1" t="str">
        <f>formatRow(Tokens!BJ$2:BK$2,Tokens!BJ9:BK9,0,"collection")</f>
        <v>"collection":{"name":"Dudule",_x000D_
"family":"DuduleMaster"}</v>
      </c>
      <c r="AD9" s="1"/>
      <c r="AE9" s="1"/>
    </row>
    <row r="10" spans="1:31" ht="14.25" customHeight="1" x14ac:dyDescent="0.25">
      <c r="A10" s="63" t="s">
        <v>64</v>
      </c>
      <c r="B10" s="12" t="s">
        <v>371</v>
      </c>
      <c r="D10" s="1">
        <f>Tokens!B10</f>
        <v>7</v>
      </c>
      <c r="E10" s="17" t="str">
        <f>IF(Tokens!C10="","",Tokens!C10)</f>
        <v>La Citadella #7</v>
      </c>
      <c r="F10"/>
      <c r="G10"/>
      <c r="H10"/>
      <c r="I10"/>
      <c r="J10"/>
      <c r="M10"/>
      <c r="N10"/>
      <c r="O10" s="15" t="str">
        <f t="shared" si="0"/>
        <v>_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/>
      </c>
      <c r="Q10" s="2"/>
      <c r="R10" s="2"/>
      <c r="S10" s="11"/>
      <c r="T10" s="1" t="str">
        <f>"owner=" &amp; Tokens!BS10 &amp; "&amp;filename_for_metadata=" &amp; Tokens!BT10 &amp; "&amp;offchaindata_platform=" &amp; $B$17 &amp; "&amp;keyfile=" &amp; $B$5 &amp; "&amp;network=" &amp; LOWER($B$8) &amp; "&amp;repository=" &amp; $B$18</f>
        <v>owner=roger&amp;filename_for_metadata=Dudule_COR22A7&amp;offchaindata_platform=MongoDB&amp;keyfile=Paul&amp;network=jsonfiles&amp;repository=test</v>
      </c>
      <c r="U10" s="1" t="str">
        <f t="shared" si="1"/>
        <v>{"name":"La Citadella #7",_x000D_
"symbol":"COR22A7",_x000D_
"description":"La Citadella, 5 ans - Pass NFT 5 jours pour 2 personnes, valable pour 5 éditions Calvi On The Rocks de votre choix.",_x000D_
"seller_fee_basis_points":1000,_x000D_
"image":"https://bafybeibplb2psb4mbinf6u4ihgsyf7lva77amjcklt2uy6vfuwn6c67p7y.ipfs.nftstorage.link?image_7.png",_x000D_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0" s="1" t="str">
        <f>formatRow(Tokens!C$2:I$2,Tokens!C10:I10)</f>
        <v>"name":"La Citadella #7",_x000D_
"symbol":"COR22A7",_x000D_
"description":"La Citadella, 5 ans - Pass NFT 5 jours pour 2 personnes, valable pour 5 éditions Calvi On The Rocks de votre choix.",_x000D_
"seller_fee_basis_points":1000,_x000D_
"image":"https://bafybeibplb2psb4mbinf6u4ihgsyf7lva77amjcklt2uy6vfuwn6c67p7y.ipfs.nftstorage.link?image_7.png",_x000D_
"Issuer":"NfluenT for Calvi On The rocks",_x000D_
"external_url":""</v>
      </c>
      <c r="W10" s="1" t="str">
        <f>formatRow(Tokens!J$2:AV$2,Tokens!J10:AV10,2,"attributes")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0" s="1" t="str">
        <f>formatRow(Tokens!AX$2:BC$2,Tokens!AX10:BC10,2,"creators")</f>
        <v>"creators":[{"address":"paul",_x000D_
"share":10},{"address":"sophie",_x000D_
"share":90}]</v>
      </c>
      <c r="Y10" s="1" t="str">
        <f>formatRow(Tokens!BD$2:BI$2,Tokens!BD10:BI10,2,"files")</f>
        <v>"files":[]</v>
      </c>
      <c r="Z10" s="1"/>
      <c r="AA10" s="1"/>
      <c r="AB10" s="1"/>
      <c r="AC10" s="1" t="str">
        <f>formatRow(Tokens!BJ$2:BK$2,Tokens!BJ10:BK10,0,"collection")</f>
        <v>"collection":{"name":"Dudule",_x000D_
"family":"DuduleMaster"}</v>
      </c>
      <c r="AD10" s="1"/>
      <c r="AE10" s="1"/>
    </row>
    <row r="11" spans="1:31" ht="14.25" customHeight="1" x14ac:dyDescent="0.25">
      <c r="D11" s="1">
        <f>Tokens!B11</f>
        <v>8</v>
      </c>
      <c r="E11" s="17" t="str">
        <f>IF(Tokens!C11="","",Tokens!C11)</f>
        <v>La Citadella #8</v>
      </c>
      <c r="F11"/>
      <c r="G11"/>
      <c r="H11"/>
      <c r="I11"/>
      <c r="J11"/>
      <c r="M11"/>
      <c r="N11"/>
      <c r="O11" s="15" t="str">
        <f t="shared" si="0"/>
        <v>_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/>
      </c>
      <c r="Q11" s="2"/>
      <c r="R11" s="2"/>
      <c r="S11" s="11"/>
      <c r="T11" s="1" t="str">
        <f>"owner=" &amp; Tokens!BS11 &amp; "&amp;filename_for_metadata=" &amp; Tokens!BT11 &amp; "&amp;offchaindata_platform=" &amp; $B$17 &amp; "&amp;keyfile=" &amp; $B$5 &amp; "&amp;network=" &amp; LOWER($B$8) &amp; "&amp;repository=" &amp; $B$18</f>
        <v>owner=roger&amp;filename_for_metadata=Dudule_COR22A8&amp;offchaindata_platform=MongoDB&amp;keyfile=Paul&amp;network=jsonfiles&amp;repository=test</v>
      </c>
      <c r="U11" s="1" t="str">
        <f t="shared" si="1"/>
        <v>{"name":"La Citadella #8",_x000D_
"symbol":"COR22A8",_x000D_
"description":"La Citadella, 5 ans - Pass NFT 5 jours pour 2 personnes, valable pour 5 éditions Calvi On The Rocks de votre choix.",_x000D_
"seller_fee_basis_points":1000,_x000D_
"image":"https://bafybeih6cthl3l2rivjvokqh4p4pyo2xm5k2jpham6mezb2ebhxtc5tfau.ipfs.nftstorage.link?image_8.png",_x000D_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1" s="1" t="str">
        <f>formatRow(Tokens!C$2:I$2,Tokens!C11:I11)</f>
        <v>"name":"La Citadella #8",_x000D_
"symbol":"COR22A8",_x000D_
"description":"La Citadella, 5 ans - Pass NFT 5 jours pour 2 personnes, valable pour 5 éditions Calvi On The Rocks de votre choix.",_x000D_
"seller_fee_basis_points":1000,_x000D_
"image":"https://bafybeih6cthl3l2rivjvokqh4p4pyo2xm5k2jpham6mezb2ebhxtc5tfau.ipfs.nftstorage.link?image_8.png",_x000D_
"Issuer":"NfluenT for Calvi On The rocks",_x000D_
"external_url":""</v>
      </c>
      <c r="W11" s="1" t="str">
        <f>formatRow(Tokens!J$2:AV$2,Tokens!J11:AV11,2,"attributes")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1" s="1" t="str">
        <f>formatRow(Tokens!AX$2:BC$2,Tokens!AX11:BC11,2,"creators")</f>
        <v>"creators":[{"address":"paul",_x000D_
"share":10},{"address":"sophie",_x000D_
"share":90}]</v>
      </c>
      <c r="Y11" s="1" t="str">
        <f>formatRow(Tokens!BD$2:BI$2,Tokens!BD11:BI11,2,"files")</f>
        <v>"files":[]</v>
      </c>
      <c r="Z11" s="1"/>
      <c r="AA11" s="1"/>
      <c r="AB11" s="1"/>
      <c r="AC11" s="1" t="str">
        <f>formatRow(Tokens!BJ$2:BK$2,Tokens!BJ11:BK11,0,"collection")</f>
        <v>"collection":{"name":"Dudule",_x000D_
"family":"DuduleMaster"}</v>
      </c>
      <c r="AD11" s="1"/>
      <c r="AE11" s="1"/>
    </row>
    <row r="12" spans="1:31" ht="14.25" customHeight="1" x14ac:dyDescent="0.25">
      <c r="D12" s="1">
        <f>Tokens!B12</f>
        <v>9</v>
      </c>
      <c r="E12" s="17" t="str">
        <f>IF(Tokens!C12="","",Tokens!C12)</f>
        <v>La Citadella #9</v>
      </c>
      <c r="F12"/>
      <c r="G12"/>
      <c r="H12"/>
      <c r="I12"/>
      <c r="J12"/>
      <c r="M12"/>
      <c r="N12"/>
      <c r="O12" s="15" t="str">
        <f t="shared" si="0"/>
        <v>_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/>
      </c>
      <c r="Q12" s="2"/>
      <c r="R12" s="2"/>
      <c r="S12" s="11"/>
      <c r="T12" s="1" t="str">
        <f>"owner=" &amp; Tokens!BS12 &amp; "&amp;filename_for_metadata=" &amp; Tokens!BT12 &amp; "&amp;offchaindata_platform=" &amp; $B$17 &amp; "&amp;keyfile=" &amp; $B$5 &amp; "&amp;network=" &amp; LOWER($B$8) &amp; "&amp;repository=" &amp; $B$18</f>
        <v>owner=sophie&amp;filename_for_metadata=Dudule_COR22A9&amp;offchaindata_platform=MongoDB&amp;keyfile=Paul&amp;network=jsonfiles&amp;repository=test</v>
      </c>
      <c r="U12" s="1" t="str">
        <f t="shared" si="1"/>
        <v>{"name":"La Citadella #9",_x000D_
"symbol":"COR22A9",_x000D_
"description":"La Citadella, 5 ans - Pass NFT 5 jours pour 2 personnes, valable pour 5 éditions Calvi On The Rocks de votre choix.",_x000D_
"seller_fee_basis_points":1000,_x000D_
"image":"https://bafybeia44xlm6hy5jxqdebyh73a6xcjr2jqmlefq4jnqm7crkqxs5qa7ai.ipfs.nftstorage.link?image_9.png",_x000D_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2" s="1" t="str">
        <f>formatRow(Tokens!C$2:I$2,Tokens!C12:I12)</f>
        <v>"name":"La Citadella #9",_x000D_
"symbol":"COR22A9",_x000D_
"description":"La Citadella, 5 ans - Pass NFT 5 jours pour 2 personnes, valable pour 5 éditions Calvi On The Rocks de votre choix.",_x000D_
"seller_fee_basis_points":1000,_x000D_
"image":"https://bafybeia44xlm6hy5jxqdebyh73a6xcjr2jqmlefq4jnqm7crkqxs5qa7ai.ipfs.nftstorage.link?image_9.png",_x000D_
"Issuer":"NfluenT for Calvi On The rocks",_x000D_
"external_url":""</v>
      </c>
      <c r="W12" s="1" t="str">
        <f>formatRow(Tokens!J$2:AV$2,Tokens!J12:AV12,2,"attributes")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2" s="1" t="str">
        <f>formatRow(Tokens!AX$2:BC$2,Tokens!AX12:BC12,2,"creators")</f>
        <v>"creators":[{"address":"paul",_x000D_
"share":10},{"address":"sophie",_x000D_
"share":90}]</v>
      </c>
      <c r="Y12" s="1" t="str">
        <f>formatRow(Tokens!BD$2:BI$2,Tokens!BD12:BI12,2,"files")</f>
        <v>"files":[]</v>
      </c>
      <c r="Z12" s="1"/>
      <c r="AA12" s="1"/>
      <c r="AB12" s="1"/>
      <c r="AC12" s="1" t="str">
        <f>formatRow(Tokens!BJ$2:BK$2,Tokens!BJ12:BK12,0,"collection")</f>
        <v>"collection":{"name":"Dudule",_x000D_
"family":"DuduleMaster"}</v>
      </c>
      <c r="AD12" s="1"/>
      <c r="AE12" s="1"/>
    </row>
    <row r="13" spans="1:31" ht="14.25" customHeight="1" x14ac:dyDescent="0.25">
      <c r="D13" s="1">
        <f>Tokens!B13</f>
        <v>10</v>
      </c>
      <c r="E13" s="17" t="str">
        <f>IF(Tokens!C13="","",Tokens!C13)</f>
        <v>La Citadella #10</v>
      </c>
      <c r="F13"/>
      <c r="G13"/>
      <c r="H13"/>
      <c r="I13"/>
      <c r="J13"/>
      <c r="M13"/>
      <c r="N13"/>
      <c r="O13" s="15" t="str">
        <f t="shared" si="0"/>
        <v>_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Q13" s="2"/>
      <c r="R13" s="2"/>
      <c r="S13" s="11"/>
      <c r="T13" s="1" t="str">
        <f>"owner=" &amp; Tokens!BS13 &amp; "&amp;filename_for_metadata=" &amp; Tokens!BT13 &amp; "&amp;offchaindata_platform=" &amp; $B$17 &amp; "&amp;keyfile=" &amp; $B$5 &amp; "&amp;network=" &amp; LOWER($B$8) &amp; "&amp;repository=" &amp; $B$18</f>
        <v>owner=sophie&amp;filename_for_metadata=Dudule_COR22A10&amp;offchaindata_platform=MongoDB&amp;keyfile=Paul&amp;network=jsonfiles&amp;repository=test</v>
      </c>
      <c r="U13" s="1" t="str">
        <f t="shared" si="1"/>
        <v>{"name":"La Citadella #10",_x000D_
"symbol":"COR22A10",_x000D_
"description":"La Citadella, 5 ans - Pass NFT 5 jours pour 2 personnes, valable pour 5 éditions Calvi On The Rocks de votre choix.",_x000D_
"seller_fee_basis_points":1000,_x000D_
"image":"https://bafybeiblrdmlrty6gqzqqx2d3khwvo2qsdslzcixtpr6bkzmxttxukm53i.ipfs.nftstorage.link?image_10.png",_x000D_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partenaires"},{"trait_type":"Validation"}],"properties":{"creators":[{"address":"paul",_x000D_
"share":10},{"address":"sophie",_x000D_
"share":90}],"files":[]},"collection":{"name":"Dudule",_x000D_
"family":"DuduleMaster"}}</v>
      </c>
      <c r="V13" s="1" t="str">
        <f>formatRow(Tokens!C$2:I$2,Tokens!C13:I13)</f>
        <v>"name":"La Citadella #10",_x000D_
"symbol":"COR22A10",_x000D_
"description":"La Citadella, 5 ans - Pass NFT 5 jours pour 2 personnes, valable pour 5 éditions Calvi On The Rocks de votre choix.",_x000D_
"seller_fee_basis_points":1000,_x000D_
"image":"https://bafybeiblrdmlrty6gqzqqx2d3khwvo2qsdslzcixtpr6bkzmxttxukm53i.ipfs.nftstorage.link?image_10.png",_x000D_
"Issuer":"NfluenT for Calvi On The rocks",_x000D_
"external_url":""</v>
      </c>
      <c r="W13" s="1" t="str">
        <f>formatRow(Tokens!J$2:AV$2,Tokens!J13:AV13,2,"attributes")</f>
        <v>"attributes":[{"trait_type":"Pass festival",_x000D_
"value":"pour deux(2) personnes"},{"trait_type":"Edition1",_x000D_
"value":2},{"trait_type":"Edition2",_x000D_
"value":2},{"trait_type":"Edition3",_x000D_
"value":2},{"trait_type":"Edition4",_x000D_
"value":2},{"trait_type":"Edition5",_x000D_
"value":2},{"trait_type":"Dernière utilisation"},{"trait_type":"avantage1",_x000D_
"value":"accès aux Backstages pour deux (2) personnes"},{"trait_type":"avantage2",_x000D_
"value":"accès pour deux (2) personnes à un (1) événement partenaire officiel de Calvi on the Rocks"},{"trait_type":"avantage3",_x000D_
"value":"rencontre privilégiée avec les artistes pour deux (2) personnes"},{"trait_type":"avantage4",_x000D_
"value":"invitation aux soirées privées et villa artiste pour deux (2) personnes"},{"trait_type":"avantage5",_x000D_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"value":"logistique dite « artiste » sur place et conciergerie (prestations demandées à la charge du NFT member) pour deux (2) personnes"},{"trait_type":"avantage8",_x000D_
"value":"tirage spécial du magazine Numéro Art"},{"trait_type":"avantage9",_x000D_
"value":"cadeaux partenaires"},{"trait_type":"Validation"}]</v>
      </c>
      <c r="X13" s="1" t="str">
        <f>formatRow(Tokens!AX$2:BC$2,Tokens!AX13:BC13,2,"creators")</f>
        <v>"creators":[{"address":"paul",_x000D_
"share":10},{"address":"sophie",_x000D_
"share":90}]</v>
      </c>
      <c r="Y13" s="1" t="str">
        <f>formatRow(Tokens!BD$2:BI$2,Tokens!BD13:BI13,2,"files")</f>
        <v>"files":[]</v>
      </c>
      <c r="Z13" s="1"/>
      <c r="AA13" s="1"/>
      <c r="AB13" s="1"/>
      <c r="AC13" s="1" t="str">
        <f>formatRow(Tokens!BJ$2:BK$2,Tokens!BJ13:BK13,0,"collection")</f>
        <v>"collection":{"name":"Dudule",_x000D_
"family":"DuduleMaster"}</v>
      </c>
      <c r="AD13" s="1"/>
      <c r="AE13" s="1"/>
    </row>
    <row r="14" spans="1:31" ht="14.25" customHeight="1" x14ac:dyDescent="0.25">
      <c r="D14" s="1">
        <f>Tokens!B14</f>
        <v>11</v>
      </c>
      <c r="E14" s="17" t="str">
        <f>IF(Tokens!C14="","",Tokens!C14)</f>
        <v>A Madonna Di A Sierra #11</v>
      </c>
      <c r="F14"/>
      <c r="G14"/>
      <c r="H14"/>
      <c r="I14"/>
      <c r="J14"/>
      <c r="M14"/>
      <c r="N14"/>
      <c r="O14" s="15" t="str">
        <f t="shared" si="0"/>
        <v>_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Q14" s="2"/>
      <c r="R14" s="2"/>
      <c r="S14" s="11"/>
      <c r="T14" s="1" t="str">
        <f>"owner=" &amp; Tokens!BS14 &amp; "&amp;filename_for_metadata=" &amp; Tokens!BT14 &amp; "&amp;offchaindata_platform=" &amp; $B$17 &amp; "&amp;keyfile=" &amp; $B$5 &amp; "&amp;network=" &amp; LOWER($B$8) &amp; "&amp;repository=" &amp; $B$18</f>
        <v>owner=paul&amp;filename_for_metadata=AMadonnaDiASierra_COR22B11&amp;offchaindata_platform=MongoDB&amp;keyfile=Paul&amp;network=jsonfiles&amp;repository=test</v>
      </c>
      <c r="U14" s="1" t="str">
        <f t="shared" si="1"/>
        <v>{"name":"A Madonna Di A Sierra #11",_x000D_
"symbol":"COR22B11",_x000D_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4" s="1" t="str">
        <f>formatRow(Tokens!C$2:I$2,Tokens!C14:I14)</f>
        <v>"name":"A Madonna Di A Sierra #11",_x000D_
"symbol":"COR22B11",_x000D_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</v>
      </c>
      <c r="W14" s="1" t="str">
        <f>formatRow(Tokens!J$2:AV$2,Tokens!J14:AV14,2,"attributes")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4" s="1" t="str">
        <f>formatRow(Tokens!AX$2:BC$2,Tokens!AX14:BC14,2,"creators")</f>
        <v>"creators":[{"address":"paul",_x000D_
"share":10},{"address":"sophie",_x000D_
"share":90}]</v>
      </c>
      <c r="Y14" s="1" t="str">
        <f>formatRow(Tokens!BD$2:BI$2,Tokens!BD14:BI14,2,"files")</f>
        <v>"files":[{"files":"https://bafybeicgtrhjweckx2vfwtyokcngfyecfczyi234bo576emk7czddpc2du.ipfs.nftstorage.link?CALVI_12.mp4",_x000D_
"type":"mp4"}]</v>
      </c>
      <c r="Z14" s="1"/>
      <c r="AA14" s="1"/>
      <c r="AB14" s="1"/>
      <c r="AC14" s="1" t="str">
        <f>formatRow(Tokens!BJ$2:BK$2,Tokens!BJ14:BK14,0,"collection")</f>
        <v>"collection":{"name":"A Madonna Di A Sierra",_x000D_
"family":"Calvi On The Rocks"}</v>
      </c>
      <c r="AD14" s="1"/>
      <c r="AE14" s="1"/>
    </row>
    <row r="15" spans="1:31" ht="14.25" customHeight="1" x14ac:dyDescent="0.25">
      <c r="D15" s="1">
        <f>Tokens!B15</f>
        <v>12</v>
      </c>
      <c r="E15" s="17" t="str">
        <f>IF(Tokens!C15="","",Tokens!C15)</f>
        <v>A Madonna Di A Sierra #12</v>
      </c>
      <c r="F15"/>
      <c r="G15"/>
      <c r="H15"/>
      <c r="I15"/>
      <c r="J15"/>
      <c r="M15"/>
      <c r="N15"/>
      <c r="O15" s="15" t="str">
        <f t="shared" si="0"/>
        <v>_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Q15" s="2"/>
      <c r="R15" s="2"/>
      <c r="S15" s="11"/>
      <c r="T15" s="1" t="str">
        <f>"owner=" &amp; Tokens!BS15 &amp; "&amp;filename_for_metadata=" &amp; Tokens!BT15 &amp; "&amp;offchaindata_platform=" &amp; $B$17 &amp; "&amp;keyfile=" &amp; $B$5 &amp; "&amp;network=" &amp; LOWER($B$8) &amp; "&amp;repository=" &amp; $B$18</f>
        <v>owner=paul&amp;filename_for_metadata=AMadonnaDiASierra_COR22B12&amp;offchaindata_platform=MongoDB&amp;keyfile=Paul&amp;network=jsonfiles&amp;repository=test</v>
      </c>
      <c r="U15" s="1" t="str">
        <f t="shared" si="1"/>
        <v>{"name":"A Madonna Di A Sierra #12",_x000D_
"symbol":"COR22B12",_x000D_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5" s="1" t="str">
        <f>formatRow(Tokens!C$2:I$2,Tokens!C15:I15)</f>
        <v>"name":"A Madonna Di A Sierra #12",_x000D_
"symbol":"COR22B12",_x000D_
"description":"A Madonna Di A Sierra, 3 ans - Pass NFT 5 jours pour 2 personnes, valable pour 3 éditions Calvi On The Rocks de votre choix.",_x000D_
"seller_fee_basis_points":1000,_x000D_
"image":"https://bafybeihs2h6dfatrcrjcffsngwdd2wxkb7u7ugsf4vpoc5ewqrinq7of4e.ipfs.nftstorage.link?visual2.png",_x000D_
"Issuer":"NfluenT for Calvi On The rocks",_x000D_
"external_url":""</v>
      </c>
      <c r="W15" s="1" t="str">
        <f>formatRow(Tokens!J$2:AV$2,Tokens!J15:AV15,2,"attributes")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5" s="1" t="str">
        <f>formatRow(Tokens!AX$2:BC$2,Tokens!AX15:BC15,2,"creators")</f>
        <v>"creators":[{"address":"paul",_x000D_
"share":10},{"address":"sophie",_x000D_
"share":90}]</v>
      </c>
      <c r="Y15" s="1" t="str">
        <f>formatRow(Tokens!BD$2:BI$2,Tokens!BD15:BI15,2,"files")</f>
        <v>"files":[{"files":"https://bafybeicgtrhjweckx2vfwtyokcngfyecfczyi234bo576emk7czddpc2du.ipfs.nftstorage.link?CALVI_12.mp4",_x000D_
"type":"mp4"}]</v>
      </c>
      <c r="Z15" s="1"/>
      <c r="AA15" s="1"/>
      <c r="AB15" s="1"/>
      <c r="AC15" s="1" t="str">
        <f>formatRow(Tokens!BJ$2:BK$2,Tokens!BJ15:BK15,0,"collection")</f>
        <v>"collection":{"name":"A Madonna Di A Sierra",_x000D_
"family":"Calvi On The Rocks"}</v>
      </c>
      <c r="AD15" s="1"/>
      <c r="AE15" s="1"/>
    </row>
    <row r="16" spans="1:31" ht="14.25" customHeight="1" x14ac:dyDescent="0.25">
      <c r="A16" s="63" t="s">
        <v>162</v>
      </c>
      <c r="B16" t="s">
        <v>63</v>
      </c>
      <c r="D16" s="1">
        <f>Tokens!B16</f>
        <v>13</v>
      </c>
      <c r="E16" s="17" t="str">
        <f>IF(Tokens!C16="","",Tokens!C16)</f>
        <v>A Madonna Di A Sierra #13</v>
      </c>
      <c r="F16"/>
      <c r="G16"/>
      <c r="H16"/>
      <c r="I16"/>
      <c r="J16"/>
      <c r="M16"/>
      <c r="N16"/>
      <c r="O16" s="15" t="str">
        <f t="shared" si="0"/>
        <v>_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Q16" s="2"/>
      <c r="R16" s="2"/>
      <c r="S16" s="11"/>
      <c r="T16" s="1" t="str">
        <f>"owner=" &amp; Tokens!BS16 &amp; "&amp;filename_for_metadata=" &amp; Tokens!BT16 &amp; "&amp;offchaindata_platform=" &amp; $B$17 &amp; "&amp;keyfile=" &amp; $B$5 &amp; "&amp;network=" &amp; LOWER($B$8) &amp; "&amp;repository=" &amp; $B$18</f>
        <v>owner=paul&amp;filename_for_metadata=AMadonnaDiASierra_COR22B13&amp;offchaindata_platform=MongoDB&amp;keyfile=Paul&amp;network=jsonfiles&amp;repository=test</v>
      </c>
      <c r="U16" s="1" t="str">
        <f t="shared" si="1"/>
        <v>{"name":"A Madonna Di A Sierra #13",_x000D_
"symbol":"COR22B13",_x000D_
"description":"A Madonna Di A Sierra, 3 ans - Pass NFT 5 jours pour 2 personnes, valable pour 3 éditions Calvi On The Rocks de votre choix.",_x000D_
"seller_fee_basis_points":1000,_x000D_
"image":"https://bafybeicfeyuhjujtqz5qijc754pm2rbgqfelm6iz5k6qj4qitzupt5npie.ipfs.nftstorage.link?visual3.png",_x000D_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6" s="1" t="str">
        <f>formatRow(Tokens!C$2:I$2,Tokens!C16:I16)</f>
        <v>"name":"A Madonna Di A Sierra #13",_x000D_
"symbol":"COR22B13",_x000D_
"description":"A Madonna Di A Sierra, 3 ans - Pass NFT 5 jours pour 2 personnes, valable pour 3 éditions Calvi On The Rocks de votre choix.",_x000D_
"seller_fee_basis_points":1000,_x000D_
"image":"https://bafybeicfeyuhjujtqz5qijc754pm2rbgqfelm6iz5k6qj4qitzupt5npie.ipfs.nftstorage.link?visual3.png",_x000D_
"Issuer":"NfluenT for Calvi On The rocks",_x000D_
"external_url":""</v>
      </c>
      <c r="W16" s="1" t="str">
        <f>formatRow(Tokens!J$2:AV$2,Tokens!J16:AV16,2,"attributes")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6" s="1" t="str">
        <f>formatRow(Tokens!AX$2:BC$2,Tokens!AX16:BC16,2,"creators")</f>
        <v>"creators":[{"address":"paul",_x000D_
"share":10},{"address":"sophie",_x000D_
"share":90}]</v>
      </c>
      <c r="Y16" s="1" t="str">
        <f>formatRow(Tokens!BD$2:BI$2,Tokens!BD16:BI16,2,"files")</f>
        <v>"files":[{"files":"https://bafybeicgtrhjweckx2vfwtyokcngfyecfczyi234bo576emk7czddpc2du.ipfs.nftstorage.link?CALVI_12.mp4",_x000D_
"type":"mp4"}]</v>
      </c>
      <c r="Z16" s="1"/>
      <c r="AA16" s="1"/>
      <c r="AB16" s="1"/>
      <c r="AC16" s="1" t="str">
        <f>formatRow(Tokens!BJ$2:BK$2,Tokens!BJ16:BK16,0,"collection")</f>
        <v>"collection":{"name":"A Madonna Di A Sierra",_x000D_
"family":"Calvi On The Rocks"}</v>
      </c>
      <c r="AD16" s="1"/>
      <c r="AE16" s="1"/>
    </row>
    <row r="17" spans="1:31" ht="14.25" customHeight="1" x14ac:dyDescent="0.25">
      <c r="A17" s="64" t="s">
        <v>168</v>
      </c>
      <c r="B17" t="s">
        <v>163</v>
      </c>
      <c r="D17" s="1">
        <f>Tokens!B17</f>
        <v>14</v>
      </c>
      <c r="E17" s="17" t="str">
        <f>IF(Tokens!C17="","",Tokens!C17)</f>
        <v>A Madonna Di A Sierra #14</v>
      </c>
      <c r="F17"/>
      <c r="G17"/>
      <c r="H17"/>
      <c r="I17"/>
      <c r="J17"/>
      <c r="M17"/>
      <c r="N17"/>
      <c r="O17" s="15" t="str">
        <f t="shared" si="0"/>
        <v>_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Q17" s="2"/>
      <c r="R17" s="2"/>
      <c r="S17" s="11"/>
      <c r="T17" s="1" t="str">
        <f>"owner=" &amp; Tokens!BS17 &amp; "&amp;filename_for_metadata=" &amp; Tokens!BT17 &amp; "&amp;offchaindata_platform=" &amp; $B$17 &amp; "&amp;keyfile=" &amp; $B$5 &amp; "&amp;network=" &amp; LOWER($B$8) &amp; "&amp;repository=" &amp; $B$18</f>
        <v>owner=paul&amp;filename_for_metadata=AMadonnaDiASierra_COR22B14&amp;offchaindata_platform=MongoDB&amp;keyfile=Paul&amp;network=jsonfiles&amp;repository=test</v>
      </c>
      <c r="U17" s="1" t="str">
        <f t="shared" si="1"/>
        <v>{"name":"A Madonna Di A Sierra #14",_x000D_
"symbol":"COR22B14",_x000D_
"description":"A Madonna Di A Sierra, 3 ans - Pass NFT 5 jours pour 2 personnes, valable pour 3 éditions Calvi On The Rocks de votre choix.",_x000D_
"seller_fee_basis_points":1000,_x000D_
"image":"https://bafybeifqwz6z2w5t76ozxnde33boh4jjcjl4qsx44bpminukf6gqbpiafy.ipfs.nftstorage.link?visual4.png",_x000D_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7" s="1" t="str">
        <f>formatRow(Tokens!C$2:I$2,Tokens!C17:I17)</f>
        <v>"name":"A Madonna Di A Sierra #14",_x000D_
"symbol":"COR22B14",_x000D_
"description":"A Madonna Di A Sierra, 3 ans - Pass NFT 5 jours pour 2 personnes, valable pour 3 éditions Calvi On The Rocks de votre choix.",_x000D_
"seller_fee_basis_points":1000,_x000D_
"image":"https://bafybeifqwz6z2w5t76ozxnde33boh4jjcjl4qsx44bpminukf6gqbpiafy.ipfs.nftstorage.link?visual4.png",_x000D_
"Issuer":"NfluenT for Calvi On The rocks",_x000D_
"external_url":""</v>
      </c>
      <c r="W17" s="1" t="str">
        <f>formatRow(Tokens!J$2:AV$2,Tokens!J17:AV17,2,"attributes")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7" s="1" t="str">
        <f>formatRow(Tokens!AX$2:BC$2,Tokens!AX17:BC17,2,"creators")</f>
        <v>"creators":[{"address":"paul",_x000D_
"share":10},{"address":"sophie",_x000D_
"share":90}]</v>
      </c>
      <c r="Y17" s="1" t="str">
        <f>formatRow(Tokens!BD$2:BI$2,Tokens!BD17:BI17,2,"files")</f>
        <v>"files":[{"files":"https://bafybeicgtrhjweckx2vfwtyokcngfyecfczyi234bo576emk7czddpc2du.ipfs.nftstorage.link?CALVI_12.mp4",_x000D_
"type":"mp4"}]</v>
      </c>
      <c r="Z17" s="1"/>
      <c r="AA17" s="1"/>
      <c r="AB17" s="1"/>
      <c r="AC17" s="1" t="str">
        <f>formatRow(Tokens!BJ$2:BK$2,Tokens!BJ17:BK17,0,"collection")</f>
        <v>"collection":{"name":"A Madonna Di A Sierra",_x000D_
"family":"Calvi On The Rocks"}</v>
      </c>
      <c r="AD17" s="1"/>
      <c r="AE17" s="1"/>
    </row>
    <row r="18" spans="1:31" ht="14.25" customHeight="1" x14ac:dyDescent="0.25">
      <c r="A18" s="64" t="s">
        <v>367</v>
      </c>
      <c r="B18" t="s">
        <v>370</v>
      </c>
      <c r="D18" s="1">
        <f>Tokens!B18</f>
        <v>15</v>
      </c>
      <c r="E18" s="17" t="str">
        <f>IF(Tokens!C18="","",Tokens!C18)</f>
        <v>A Madonna Di A Sierra #15</v>
      </c>
      <c r="F18"/>
      <c r="G18"/>
      <c r="H18"/>
      <c r="I18"/>
      <c r="J18"/>
      <c r="M18"/>
      <c r="N18"/>
      <c r="O18" s="15" t="str">
        <f t="shared" si="0"/>
        <v>_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Q18" s="2"/>
      <c r="R18" s="2"/>
      <c r="S18" s="11"/>
      <c r="T18" s="1" t="str">
        <f>"owner=" &amp; Tokens!BS18 &amp; "&amp;filename_for_metadata=" &amp; Tokens!BT18 &amp; "&amp;offchaindata_platform=" &amp; $B$17 &amp; "&amp;keyfile=" &amp; $B$5 &amp; "&amp;network=" &amp; LOWER($B$8) &amp; "&amp;repository=" &amp; $B$18</f>
        <v>owner=herve&amp;filename_for_metadata=AMadonnaDiASierra_COR22B15&amp;offchaindata_platform=MongoDB&amp;keyfile=Paul&amp;network=jsonfiles&amp;repository=test</v>
      </c>
      <c r="U18" s="1" t="str">
        <f t="shared" si="1"/>
        <v>{"name":"A Madonna Di A Sierra #15",_x000D_
"symbol":"COR22B15",_x000D_
"description":"A Madonna Di A Sierra, 3 ans - Pass NFT 5 jours pour 2 personnes, valable pour 3 éditions Calvi On The Rocks de votre choix.",_x000D_
"seller_fee_basis_points":1000,_x000D_
"image":"https://bafybeihquo7xmb5y3apdxfw3wfboct2z3bnyavotl3gt5vtpi5vsrebuby.ipfs.nftstorage.link?visual5.png",_x000D_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8" s="1" t="str">
        <f>formatRow(Tokens!C$2:I$2,Tokens!C18:I18)</f>
        <v>"name":"A Madonna Di A Sierra #15",_x000D_
"symbol":"COR22B15",_x000D_
"description":"A Madonna Di A Sierra, 3 ans - Pass NFT 5 jours pour 2 personnes, valable pour 3 éditions Calvi On The Rocks de votre choix.",_x000D_
"seller_fee_basis_points":1000,_x000D_
"image":"https://bafybeihquo7xmb5y3apdxfw3wfboct2z3bnyavotl3gt5vtpi5vsrebuby.ipfs.nftstorage.link?visual5.png",_x000D_
"Issuer":"NfluenT for Calvi On The rocks",_x000D_
"external_url":""</v>
      </c>
      <c r="W18" s="1" t="str">
        <f>formatRow(Tokens!J$2:AV$2,Tokens!J18:AV18,2,"attributes")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8" s="1" t="str">
        <f>formatRow(Tokens!AX$2:BC$2,Tokens!AX18:BC18,2,"creators")</f>
        <v>"creators":[{"address":"paul",_x000D_
"share":10},{"address":"sophie",_x000D_
"share":90}]</v>
      </c>
      <c r="Y18" s="1" t="str">
        <f>formatRow(Tokens!BD$2:BI$2,Tokens!BD18:BI18,2,"files")</f>
        <v>"files":[{"files":"https://bafybeicgtrhjweckx2vfwtyokcngfyecfczyi234bo576emk7czddpc2du.ipfs.nftstorage.link?CALVI_12.mp4",_x000D_
"type":"mp4"}]</v>
      </c>
      <c r="Z18" s="1"/>
      <c r="AA18" s="1"/>
      <c r="AB18" s="1"/>
      <c r="AC18" s="1" t="str">
        <f>formatRow(Tokens!BJ$2:BK$2,Tokens!BJ18:BK18,0,"collection")</f>
        <v>"collection":{"name":"A Madonna Di A Sierra",_x000D_
"family":"Calvi On The Rocks"}</v>
      </c>
      <c r="AD18" s="1"/>
      <c r="AE18" s="1"/>
    </row>
    <row r="19" spans="1:31" ht="14.25" customHeight="1" x14ac:dyDescent="0.25">
      <c r="B19" s="2" t="str">
        <f>HYPERLINK("https://github.com/nfluentdev/" &amp; B18,"Voir le Repository")</f>
        <v>Voir le Repository</v>
      </c>
      <c r="D19" s="1">
        <f>Tokens!B19</f>
        <v>16</v>
      </c>
      <c r="E19" s="17" t="str">
        <f>IF(Tokens!C19="","",Tokens!C19)</f>
        <v>A Madonna Di A Sierra #16</v>
      </c>
      <c r="F19"/>
      <c r="G19"/>
      <c r="H19"/>
      <c r="I19"/>
      <c r="J19"/>
      <c r="M19"/>
      <c r="N19"/>
      <c r="O19" s="15" t="str">
        <f t="shared" si="0"/>
        <v>_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Q19" s="2"/>
      <c r="R19" s="2"/>
      <c r="S19" s="11"/>
      <c r="T19" s="1" t="str">
        <f>"owner=" &amp; Tokens!BS19 &amp; "&amp;filename_for_metadata=" &amp; Tokens!BT19 &amp; "&amp;offchaindata_platform=" &amp; $B$17 &amp; "&amp;keyfile=" &amp; $B$5 &amp; "&amp;network=" &amp; LOWER($B$8) &amp; "&amp;repository=" &amp; $B$18</f>
        <v>owner=herve&amp;filename_for_metadata=AMadonnaDiASierra_COR22B16&amp;offchaindata_platform=MongoDB&amp;keyfile=Paul&amp;network=jsonfiles&amp;repository=test</v>
      </c>
      <c r="U19" s="1" t="str">
        <f t="shared" si="1"/>
        <v>{"name":"A Madonna Di A Sierra #16",_x000D_
"symbol":"COR22B16",_x000D_
"description":"A Madonna Di A Sierra, 3 ans - Pass NFT 5 jours pour 2 personnes, valable pour 3 éditions Calvi On The Rocks de votre choix.",_x000D_
"seller_fee_basis_points":1000,_x000D_
"image":"https://bafybeiewmb5atvf6zvl324kkph6rcuijkprir3uynsop6cgllpb6hwy6eu.ipfs.nftstorage.link?visual6.png",_x000D_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19" s="1" t="str">
        <f>formatRow(Tokens!C$2:I$2,Tokens!C19:I19)</f>
        <v>"name":"A Madonna Di A Sierra #16",_x000D_
"symbol":"COR22B16",_x000D_
"description":"A Madonna Di A Sierra, 3 ans - Pass NFT 5 jours pour 2 personnes, valable pour 3 éditions Calvi On The Rocks de votre choix.",_x000D_
"seller_fee_basis_points":1000,_x000D_
"image":"https://bafybeiewmb5atvf6zvl324kkph6rcuijkprir3uynsop6cgllpb6hwy6eu.ipfs.nftstorage.link?visual6.png",_x000D_
"Issuer":"NfluenT for Calvi On The rocks",_x000D_
"external_url":""</v>
      </c>
      <c r="W19" s="1" t="str">
        <f>formatRow(Tokens!J$2:AV$2,Tokens!J19:AV19,2,"attributes")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19" s="1" t="str">
        <f>formatRow(Tokens!AX$2:BC$2,Tokens!AX19:BC19,2,"creators")</f>
        <v>"creators":[{"address":"paul",_x000D_
"share":10},{"address":"sophie",_x000D_
"share":90}]</v>
      </c>
      <c r="Y19" s="1" t="str">
        <f>formatRow(Tokens!BD$2:BI$2,Tokens!BD19:BI19,2,"files")</f>
        <v>"files":[{"files":"https://bafybeicgtrhjweckx2vfwtyokcngfyecfczyi234bo576emk7czddpc2du.ipfs.nftstorage.link?CALVI_12.mp4",_x000D_
"type":"mp4"}]</v>
      </c>
      <c r="Z19" s="1"/>
      <c r="AA19" s="1"/>
      <c r="AB19" s="1"/>
      <c r="AC19" s="1" t="str">
        <f>formatRow(Tokens!BJ$2:BK$2,Tokens!BJ19:BK19,0,"collection")</f>
        <v>"collection":{"name":"A Madonna Di A Sierra",_x000D_
"family":"Calvi On The Rocks"}</v>
      </c>
      <c r="AD19" s="1"/>
      <c r="AE19" s="1"/>
    </row>
    <row r="20" spans="1:31" ht="14.25" customHeight="1" x14ac:dyDescent="0.25">
      <c r="D20" s="1">
        <f>Tokens!B20</f>
        <v>17</v>
      </c>
      <c r="E20" s="17" t="str">
        <f>IF(Tokens!C20="","",Tokens!C20)</f>
        <v>A Madonna Di A Sierra #17</v>
      </c>
      <c r="F20"/>
      <c r="G20"/>
      <c r="H20"/>
      <c r="I20"/>
      <c r="J20"/>
      <c r="M20"/>
      <c r="N20"/>
      <c r="O20" s="15" t="str">
        <f t="shared" si="0"/>
        <v>_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Q20" s="2"/>
      <c r="R20" s="2"/>
      <c r="S20" s="11"/>
      <c r="T20" s="1" t="str">
        <f>"owner=" &amp; Tokens!BS20 &amp; "&amp;filename_for_metadata=" &amp; Tokens!BT20 &amp; "&amp;offchaindata_platform=" &amp; $B$17 &amp; "&amp;keyfile=" &amp; $B$5 &amp; "&amp;network=" &amp; LOWER($B$8) &amp; "&amp;repository=" &amp; $B$18</f>
        <v>owner=herve&amp;filename_for_metadata=AMadonnaDiASierra_COR22B17&amp;offchaindata_platform=MongoDB&amp;keyfile=Paul&amp;network=jsonfiles&amp;repository=test</v>
      </c>
      <c r="U20" s="1" t="str">
        <f t="shared" si="1"/>
        <v>{"name":"A Madonna Di A Sierra #17",_x000D_
"symbol":"COR22B17",_x000D_
"description":"A Madonna Di A Sierra, 3 ans - Pass NFT 5 jours pour 2 personnes, valable pour 3 éditions Calvi On The Rocks de votre choix.",_x000D_
"seller_fee_basis_points":1000,_x000D_
"image":"https://bafybeig3tvhw4itgclr2le52crere763ke7lfnxypvmz5crwl5cajysb4m.ipfs.nftstorage.link?visual7.png",_x000D_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0" s="1" t="str">
        <f>formatRow(Tokens!C$2:I$2,Tokens!C20:I20)</f>
        <v>"name":"A Madonna Di A Sierra #17",_x000D_
"symbol":"COR22B17",_x000D_
"description":"A Madonna Di A Sierra, 3 ans - Pass NFT 5 jours pour 2 personnes, valable pour 3 éditions Calvi On The Rocks de votre choix.",_x000D_
"seller_fee_basis_points":1000,_x000D_
"image":"https://bafybeig3tvhw4itgclr2le52crere763ke7lfnxypvmz5crwl5cajysb4m.ipfs.nftstorage.link?visual7.png",_x000D_
"Issuer":"NfluenT for Calvi On The rocks",_x000D_
"external_url":""</v>
      </c>
      <c r="W20" s="1" t="str">
        <f>formatRow(Tokens!J$2:AV$2,Tokens!J20:AV20,2,"attributes")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0" s="1" t="str">
        <f>formatRow(Tokens!AX$2:BC$2,Tokens!AX20:BC20,2,"creators")</f>
        <v>"creators":[{"address":"paul",_x000D_
"share":10},{"address":"sophie",_x000D_
"share":90}]</v>
      </c>
      <c r="Y20" s="1" t="str">
        <f>formatRow(Tokens!BD$2:BI$2,Tokens!BD20:BI20,2,"files")</f>
        <v>"files":[{"files":"https://bafybeicgtrhjweckx2vfwtyokcngfyecfczyi234bo576emk7czddpc2du.ipfs.nftstorage.link?CALVI_12.mp4",_x000D_
"type":"mp4"}]</v>
      </c>
      <c r="Z20" s="1"/>
      <c r="AA20" s="1"/>
      <c r="AB20" s="1"/>
      <c r="AC20" s="1" t="str">
        <f>formatRow(Tokens!BJ$2:BK$2,Tokens!BJ20:BK20,0,"collection")</f>
        <v>"collection":{"name":"A Madonna Di A Sierra",_x000D_
"family":"Calvi On The Rocks"}</v>
      </c>
      <c r="AD20" s="1"/>
      <c r="AE20" s="1"/>
    </row>
    <row r="21" spans="1:31" ht="14.25" customHeight="1" x14ac:dyDescent="0.25">
      <c r="D21" s="1">
        <f>Tokens!B21</f>
        <v>18</v>
      </c>
      <c r="E21" s="17" t="str">
        <f>IF(Tokens!C21="","",Tokens!C21)</f>
        <v>A Madonna Di A Sierra #18</v>
      </c>
      <c r="F21"/>
      <c r="G21"/>
      <c r="H21"/>
      <c r="I21"/>
      <c r="J21"/>
      <c r="M21"/>
      <c r="N21"/>
      <c r="O21" s="15" t="str">
        <f t="shared" si="0"/>
        <v>_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Q21" s="2"/>
      <c r="R21" s="2"/>
      <c r="S21" s="11"/>
      <c r="T21" s="1" t="str">
        <f>"owner=" &amp; Tokens!BS21 &amp; "&amp;filename_for_metadata=" &amp; Tokens!BT21 &amp; "&amp;offchaindata_platform=" &amp; $B$17 &amp; "&amp;keyfile=" &amp; $B$5 &amp; "&amp;network=" &amp; LOWER($B$8) &amp; "&amp;repository=" &amp; $B$18</f>
        <v>owner=herve&amp;filename_for_metadata=AMadonnaDiASierra_COR22B18&amp;offchaindata_platform=MongoDB&amp;keyfile=Paul&amp;network=jsonfiles&amp;repository=test</v>
      </c>
      <c r="U21" s="1" t="str">
        <f t="shared" si="1"/>
        <v>{"name":"A Madonna Di A Sierra #18",_x000D_
"symbol":"COR22B18",_x000D_
"description":"A Madonna Di A Sierra, 3 ans - Pass NFT 5 jours pour 2 personnes, valable pour 3 éditions Calvi On The Rocks de votre choix.",_x000D_
"seller_fee_basis_points":1000,_x000D_
"image":"https://bafybeic5znowrptwkhveqscavyfxeac2esdyoinoz7b55zupkxz7upz7fm.ipfs.nftstorage.link?visual8.png",_x000D_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1" s="1" t="str">
        <f>formatRow(Tokens!C$2:I$2,Tokens!C21:I21)</f>
        <v>"name":"A Madonna Di A Sierra #18",_x000D_
"symbol":"COR22B18",_x000D_
"description":"A Madonna Di A Sierra, 3 ans - Pass NFT 5 jours pour 2 personnes, valable pour 3 éditions Calvi On The Rocks de votre choix.",_x000D_
"seller_fee_basis_points":1000,_x000D_
"image":"https://bafybeic5znowrptwkhveqscavyfxeac2esdyoinoz7b55zupkxz7upz7fm.ipfs.nftstorage.link?visual8.png",_x000D_
"Issuer":"NfluenT for Calvi On The rocks",_x000D_
"external_url":""</v>
      </c>
      <c r="W21" s="1" t="str">
        <f>formatRow(Tokens!J$2:AV$2,Tokens!J21:AV21,2,"attributes")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1" s="1" t="str">
        <f>formatRow(Tokens!AX$2:BC$2,Tokens!AX21:BC21,2,"creators")</f>
        <v>"creators":[{"address":"paul",_x000D_
"share":10},{"address":"sophie",_x000D_
"share":90}]</v>
      </c>
      <c r="Y21" s="1" t="str">
        <f>formatRow(Tokens!BD$2:BI$2,Tokens!BD21:BI21,2,"files")</f>
        <v>"files":[{"files":"https://bafybeicgtrhjweckx2vfwtyokcngfyecfczyi234bo576emk7czddpc2du.ipfs.nftstorage.link?CALVI_12.mp4",_x000D_
"type":"mp4"}]</v>
      </c>
      <c r="Z21" s="1"/>
      <c r="AA21" s="1"/>
      <c r="AB21" s="1"/>
      <c r="AC21" s="1" t="str">
        <f>formatRow(Tokens!BJ$2:BK$2,Tokens!BJ21:BK21,0,"collection")</f>
        <v>"collection":{"name":"A Madonna Di A Sierra",_x000D_
"family":"Calvi On The Rocks"}</v>
      </c>
      <c r="AD21" s="1"/>
      <c r="AE21" s="1"/>
    </row>
    <row r="22" spans="1:31" ht="14.25" customHeight="1" x14ac:dyDescent="0.25">
      <c r="D22" s="1">
        <f>Tokens!B22</f>
        <v>19</v>
      </c>
      <c r="E22" s="17" t="str">
        <f>IF(Tokens!C22="","",Tokens!C22)</f>
        <v>A Madonna Di A Sierra #19</v>
      </c>
      <c r="F22"/>
      <c r="G22"/>
      <c r="H22"/>
      <c r="I22"/>
      <c r="J22"/>
      <c r="M22"/>
      <c r="N22"/>
      <c r="O22" s="15" t="str">
        <f t="shared" si="0"/>
        <v>_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Q22" s="2"/>
      <c r="R22" s="2"/>
      <c r="S22" s="11"/>
      <c r="T22" s="1" t="str">
        <f>"owner=" &amp; Tokens!BS22 &amp; "&amp;filename_for_metadata=" &amp; Tokens!BT22 &amp; "&amp;offchaindata_platform=" &amp; $B$17 &amp; "&amp;keyfile=" &amp; $B$5 &amp; "&amp;network=" &amp; LOWER($B$8) &amp; "&amp;repository=" &amp; $B$18</f>
        <v>owner=herve&amp;filename_for_metadata=AMadonnaDiASierra_COR22B19&amp;offchaindata_platform=MongoDB&amp;keyfile=Paul&amp;network=jsonfiles&amp;repository=test</v>
      </c>
      <c r="U22" s="1" t="str">
        <f t="shared" si="1"/>
        <v>{"name":"A Madonna Di A Sierra #19",_x000D_
"symbol":"COR22B19",_x000D_
"description":"A Madonna Di A Sierra, 3 ans - Pass NFT 5 jours pour 2 personnes, valable pour 3 éditions Calvi On The Rocks de votre choix.",_x000D_
"seller_fee_basis_points":1000,_x000D_
"image":"https://bafybeiejo4yxjzn4db52kudg4f44q5pagvrtmc2bzmryonrevo4ygfaeem.ipfs.nftstorage.link?visual9.png",_x000D_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2" s="1" t="str">
        <f>formatRow(Tokens!C$2:I$2,Tokens!C22:I22)</f>
        <v>"name":"A Madonna Di A Sierra #19",_x000D_
"symbol":"COR22B19",_x000D_
"description":"A Madonna Di A Sierra, 3 ans - Pass NFT 5 jours pour 2 personnes, valable pour 3 éditions Calvi On The Rocks de votre choix.",_x000D_
"seller_fee_basis_points":1000,_x000D_
"image":"https://bafybeiejo4yxjzn4db52kudg4f44q5pagvrtmc2bzmryonrevo4ygfaeem.ipfs.nftstorage.link?visual9.png",_x000D_
"Issuer":"NfluenT for Calvi On The rocks",_x000D_
"external_url":""</v>
      </c>
      <c r="W22" s="1" t="str">
        <f>formatRow(Tokens!J$2:AV$2,Tokens!J22:AV22,2,"attributes")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2" s="1" t="str">
        <f>formatRow(Tokens!AX$2:BC$2,Tokens!AX22:BC22,2,"creators")</f>
        <v>"creators":[{"address":"paul",_x000D_
"share":10},{"address":"sophie",_x000D_
"share":90}]</v>
      </c>
      <c r="Y22" s="1" t="str">
        <f>formatRow(Tokens!BD$2:BI$2,Tokens!BD22:BI22,2,"files")</f>
        <v>"files":[{"files":"https://bafybeicgtrhjweckx2vfwtyokcngfyecfczyi234bo576emk7czddpc2du.ipfs.nftstorage.link?CALVI_12.mp4",_x000D_
"type":"mp4"}]</v>
      </c>
      <c r="Z22" s="1"/>
      <c r="AA22" s="1"/>
      <c r="AB22" s="1"/>
      <c r="AC22" s="1" t="str">
        <f>formatRow(Tokens!BJ$2:BK$2,Tokens!BJ22:BK22,0,"collection")</f>
        <v>"collection":{"name":"A Madonna Di A Sierra",_x000D_
"family":"Calvi On The Rocks"}</v>
      </c>
      <c r="AD22" s="1"/>
      <c r="AE22" s="1"/>
    </row>
    <row r="23" spans="1:31" ht="14.25" customHeight="1" x14ac:dyDescent="0.25">
      <c r="D23" s="1">
        <f>Tokens!B23</f>
        <v>20</v>
      </c>
      <c r="E23" s="17" t="str">
        <f>IF(Tokens!C23="","",Tokens!C23)</f>
        <v>A Madonna Di A Sierra #20</v>
      </c>
      <c r="F23"/>
      <c r="G23"/>
      <c r="H23"/>
      <c r="I23"/>
      <c r="J23"/>
      <c r="M23"/>
      <c r="N23"/>
      <c r="O23" s="15" t="str">
        <f t="shared" si="0"/>
        <v>_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Q23" s="2"/>
      <c r="R23" s="2"/>
      <c r="S23" s="11"/>
      <c r="T23" s="1" t="str">
        <f>"owner=" &amp; Tokens!BS23 &amp; "&amp;filename_for_metadata=" &amp; Tokens!BT23 &amp; "&amp;offchaindata_platform=" &amp; $B$17 &amp; "&amp;keyfile=" &amp; $B$5 &amp; "&amp;network=" &amp; LOWER($B$8) &amp; "&amp;repository=" &amp; $B$18</f>
        <v>owner=thomas&amp;filename_for_metadata=AMadonnaDiASierra_COR22B20&amp;offchaindata_platform=MongoDB&amp;keyfile=Paul&amp;network=jsonfiles&amp;repository=test</v>
      </c>
      <c r="U23" s="1" t="str">
        <f t="shared" si="1"/>
        <v>{"name":"A Madonna Di A Sierra #20",_x000D_
"symbol":"COR22B20",_x000D_
"description":"A Madonna Di A Sierra, 3 ans - Pass NFT 5 jours pour 2 personnes, valable pour 3 éditions Calvi On The Rocks de votre choix.",_x000D_
"seller_fee_basis_points":1000,_x000D_
"image":"https://bafybeiecfa65amihuxka6bclllcpegnh6mb7kunzokzui4z2lcyu7jr5ky.ipfs.nftstorage.link?visual10.png",_x000D_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3" s="1" t="str">
        <f>formatRow(Tokens!C$2:I$2,Tokens!C23:I23)</f>
        <v>"name":"A Madonna Di A Sierra #20",_x000D_
"symbol":"COR22B20",_x000D_
"description":"A Madonna Di A Sierra, 3 ans - Pass NFT 5 jours pour 2 personnes, valable pour 3 éditions Calvi On The Rocks de votre choix.",_x000D_
"seller_fee_basis_points":1000,_x000D_
"image":"https://bafybeiecfa65amihuxka6bclllcpegnh6mb7kunzokzui4z2lcyu7jr5ky.ipfs.nftstorage.link?visual10.png",_x000D_
"Issuer":"NfluenT for Calvi On The rocks",_x000D_
"external_url":""</v>
      </c>
      <c r="W23" s="1" t="str">
        <f>formatRow(Tokens!J$2:AV$2,Tokens!J23:AV23,2,"attributes")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3" s="1" t="str">
        <f>formatRow(Tokens!AX$2:BC$2,Tokens!AX23:BC23,2,"creators")</f>
        <v>"creators":[{"address":"paul",_x000D_
"share":10},{"address":"sophie",_x000D_
"share":90}]</v>
      </c>
      <c r="Y23" s="1" t="str">
        <f>formatRow(Tokens!BD$2:BI$2,Tokens!BD23:BI23,2,"files")</f>
        <v>"files":[{"files":"https://bafybeicgtrhjweckx2vfwtyokcngfyecfczyi234bo576emk7czddpc2du.ipfs.nftstorage.link?CALVI_12.mp4",_x000D_
"type":"mp4"}]</v>
      </c>
      <c r="Z23" s="1"/>
      <c r="AA23" s="1"/>
      <c r="AB23" s="1"/>
      <c r="AC23" s="1" t="str">
        <f>formatRow(Tokens!BJ$2:BK$2,Tokens!BJ23:BK23,0,"collection")</f>
        <v>"collection":{"name":"A Madonna Di A Sierra",_x000D_
"family":"Calvi On The Rocks"}</v>
      </c>
      <c r="AD23" s="1"/>
      <c r="AE23" s="1"/>
    </row>
    <row r="24" spans="1:31" ht="14.25" customHeight="1" x14ac:dyDescent="0.25">
      <c r="D24" s="1">
        <f>Tokens!B24</f>
        <v>21</v>
      </c>
      <c r="E24" s="17" t="str">
        <f>IF(Tokens!C24="","",Tokens!C24)</f>
        <v>A Madonna Di A Sierra #21</v>
      </c>
      <c r="F24"/>
      <c r="G24"/>
      <c r="H24"/>
      <c r="I24"/>
      <c r="J24"/>
      <c r="M24"/>
      <c r="N24"/>
      <c r="O24" s="15" t="str">
        <f t="shared" si="0"/>
        <v>_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Q24" s="2"/>
      <c r="R24" s="2"/>
      <c r="S24" s="11"/>
      <c r="T24" s="1" t="str">
        <f>"owner=" &amp; Tokens!BS24 &amp; "&amp;filename_for_metadata=" &amp; Tokens!BT24 &amp; "&amp;offchaindata_platform=" &amp; $B$17 &amp; "&amp;keyfile=" &amp; $B$5 &amp; "&amp;network=" &amp; LOWER($B$8) &amp; "&amp;repository=" &amp; $B$18</f>
        <v>owner=thomas&amp;filename_for_metadata=AMadonnaDiASierra_COR22B21&amp;offchaindata_platform=MongoDB&amp;keyfile=Paul&amp;network=jsonfiles&amp;repository=test</v>
      </c>
      <c r="U24" s="1" t="str">
        <f t="shared" si="1"/>
        <v>{"name":"A Madonna Di A Sierra #21",_x000D_
"symbol":"COR22B21",_x000D_
"description":"A Madonna Di A Sierra, 3 ans - Pass NFT 5 jours pour 2 personnes, valable pour 3 éditions Calvi On The Rocks de votre choix.",_x000D_
"seller_fee_basis_points":1000,_x000D_
"image":"https://bafybeiff5rn3wrz536fog5x2ve4xht7ocfzbkwptaxmerlncrw745d4pny.ipfs.nftstorage.link?visual11.png",_x000D_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4" s="1" t="str">
        <f>formatRow(Tokens!C$2:I$2,Tokens!C24:I24)</f>
        <v>"name":"A Madonna Di A Sierra #21",_x000D_
"symbol":"COR22B21",_x000D_
"description":"A Madonna Di A Sierra, 3 ans - Pass NFT 5 jours pour 2 personnes, valable pour 3 éditions Calvi On The Rocks de votre choix.",_x000D_
"seller_fee_basis_points":1000,_x000D_
"image":"https://bafybeiff5rn3wrz536fog5x2ve4xht7ocfzbkwptaxmerlncrw745d4pny.ipfs.nftstorage.link?visual11.png",_x000D_
"Issuer":"NfluenT for Calvi On The rocks",_x000D_
"external_url":""</v>
      </c>
      <c r="W24" s="1" t="str">
        <f>formatRow(Tokens!J$2:AV$2,Tokens!J24:AV24,2,"attributes")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4" s="1" t="str">
        <f>formatRow(Tokens!AX$2:BC$2,Tokens!AX24:BC24,2,"creators")</f>
        <v>"creators":[{"address":"paul",_x000D_
"share":10},{"address":"sophie",_x000D_
"share":90}]</v>
      </c>
      <c r="Y24" s="1" t="str">
        <f>formatRow(Tokens!BD$2:BI$2,Tokens!BD24:BI24,2,"files")</f>
        <v>"files":[{"files":"https://bafybeicgtrhjweckx2vfwtyokcngfyecfczyi234bo576emk7czddpc2du.ipfs.nftstorage.link?CALVI_12.mp4",_x000D_
"type":"mp4"}]</v>
      </c>
      <c r="Z24" s="1"/>
      <c r="AA24" s="1"/>
      <c r="AB24" s="1"/>
      <c r="AC24" s="1" t="str">
        <f>formatRow(Tokens!BJ$2:BK$2,Tokens!BJ24:BK24,0,"collection")</f>
        <v>"collection":{"name":"A Madonna Di A Sierra",_x000D_
"family":"Calvi On The Rocks"}</v>
      </c>
      <c r="AD24" s="1"/>
      <c r="AE24" s="1"/>
    </row>
    <row r="25" spans="1:31" ht="14.25" customHeight="1" x14ac:dyDescent="0.25">
      <c r="D25" s="1">
        <f>Tokens!B25</f>
        <v>22</v>
      </c>
      <c r="E25" s="17" t="str">
        <f>IF(Tokens!C25="","",Tokens!C25)</f>
        <v>A Madonna Di A Sierra #22</v>
      </c>
      <c r="F25"/>
      <c r="G25"/>
      <c r="H25"/>
      <c r="I25"/>
      <c r="J25"/>
      <c r="M25"/>
      <c r="N25"/>
      <c r="O25" s="15" t="str">
        <f t="shared" si="0"/>
        <v>_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Q25" s="2"/>
      <c r="R25" s="2"/>
      <c r="S25" s="11"/>
      <c r="T25" s="1" t="str">
        <f>"owner=" &amp; Tokens!BS25 &amp; "&amp;filename_for_metadata=" &amp; Tokens!BT25 &amp; "&amp;offchaindata_platform=" &amp; $B$17 &amp; "&amp;keyfile=" &amp; $B$5 &amp; "&amp;network=" &amp; LOWER($B$8) &amp; "&amp;repository=" &amp; $B$18</f>
        <v>owner=thomas&amp;filename_for_metadata=AMadonnaDiASierra_COR22B22&amp;offchaindata_platform=MongoDB&amp;keyfile=Paul&amp;network=jsonfiles&amp;repository=test</v>
      </c>
      <c r="U25" s="1" t="str">
        <f t="shared" si="1"/>
        <v>{"name":"A Madonna Di A Sierra #22",_x000D_
"symbol":"COR22B22",_x000D_
"description":"A Madonna Di A Sierra, 3 ans - Pass NFT 5 jours pour 2 personnes, valable pour 3 éditions Calvi On The Rocks de votre choix.",_x000D_
"seller_fee_basis_points":1000,_x000D_
"image":"https://bafybeifelqehdyotoskirczuxehogaghk52dacdq6lpkddo3qlsoppc7ci.ipfs.nftstorage.link?visual12.png",_x000D_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5" s="1" t="str">
        <f>formatRow(Tokens!C$2:I$2,Tokens!C25:I25)</f>
        <v>"name":"A Madonna Di A Sierra #22",_x000D_
"symbol":"COR22B22",_x000D_
"description":"A Madonna Di A Sierra, 3 ans - Pass NFT 5 jours pour 2 personnes, valable pour 3 éditions Calvi On The Rocks de votre choix.",_x000D_
"seller_fee_basis_points":1000,_x000D_
"image":"https://bafybeifelqehdyotoskirczuxehogaghk52dacdq6lpkddo3qlsoppc7ci.ipfs.nftstorage.link?visual12.png",_x000D_
"Issuer":"NfluenT for Calvi On The rocks",_x000D_
"external_url":""</v>
      </c>
      <c r="W25" s="1" t="str">
        <f>formatRow(Tokens!J$2:AV$2,Tokens!J25:AV25,2,"attributes")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5" s="1" t="str">
        <f>formatRow(Tokens!AX$2:BC$2,Tokens!AX25:BC25,2,"creators")</f>
        <v>"creators":[{"address":"paul",_x000D_
"share":10},{"address":"sophie",_x000D_
"share":90}]</v>
      </c>
      <c r="Y25" s="1" t="str">
        <f>formatRow(Tokens!BD$2:BI$2,Tokens!BD25:BI25,2,"files")</f>
        <v>"files":[{"files":"https://bafybeicgtrhjweckx2vfwtyokcngfyecfczyi234bo576emk7czddpc2du.ipfs.nftstorage.link?CALVI_12.mp4",_x000D_
"type":"mp4"}]</v>
      </c>
      <c r="Z25" s="1"/>
      <c r="AA25" s="1"/>
      <c r="AB25" s="1"/>
      <c r="AC25" s="1" t="str">
        <f>formatRow(Tokens!BJ$2:BK$2,Tokens!BJ25:BK25,0,"collection")</f>
        <v>"collection":{"name":"A Madonna Di A Sierra",_x000D_
"family":"Calvi On The Rocks"}</v>
      </c>
      <c r="AD25" s="1"/>
      <c r="AE25" s="1"/>
    </row>
    <row r="26" spans="1:31" ht="14.25" customHeight="1" x14ac:dyDescent="0.25">
      <c r="D26" s="1">
        <f>Tokens!B26</f>
        <v>23</v>
      </c>
      <c r="E26" s="17" t="str">
        <f>IF(Tokens!C26="","",Tokens!C26)</f>
        <v>A Madonna Di A Sierra #23</v>
      </c>
      <c r="F26"/>
      <c r="G26"/>
      <c r="H26"/>
      <c r="I26"/>
      <c r="J26"/>
      <c r="M26"/>
      <c r="N26"/>
      <c r="O26" s="15" t="str">
        <f t="shared" si="0"/>
        <v>_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Q26" s="2"/>
      <c r="R26" s="2"/>
      <c r="S26" s="11"/>
      <c r="T26" s="1" t="str">
        <f>"owner=" &amp; Tokens!BS26 &amp; "&amp;filename_for_metadata=" &amp; Tokens!BT26 &amp; "&amp;offchaindata_platform=" &amp; $B$17 &amp; "&amp;keyfile=" &amp; $B$5 &amp; "&amp;network=" &amp; LOWER($B$8) &amp; "&amp;repository=" &amp; $B$18</f>
        <v>owner=thomas&amp;filename_for_metadata=AMadonnaDiASierra_COR22B23&amp;offchaindata_platform=MongoDB&amp;keyfile=Paul&amp;network=jsonfiles&amp;repository=test</v>
      </c>
      <c r="U26" s="1" t="str">
        <f t="shared" si="1"/>
        <v>{"name":"A Madonna Di A Sierra #23",_x000D_
"symbol":"COR22B23",_x000D_
"description":"A Madonna Di A Sierra, 3 ans - Pass NFT 5 jours pour 2 personnes, valable pour 3 éditions Calvi On The Rocks de votre choix.",_x000D_
"seller_fee_basis_points":1000,_x000D_
"image":"https://bafybeiahor5orbsur34n7cu72ldcx4e3zkiz7voo3unxul6q3k7neylofq.ipfs.nftstorage.link?visual13.png",_x000D_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6" s="1" t="str">
        <f>formatRow(Tokens!C$2:I$2,Tokens!C26:I26)</f>
        <v>"name":"A Madonna Di A Sierra #23",_x000D_
"symbol":"COR22B23",_x000D_
"description":"A Madonna Di A Sierra, 3 ans - Pass NFT 5 jours pour 2 personnes, valable pour 3 éditions Calvi On The Rocks de votre choix.",_x000D_
"seller_fee_basis_points":1000,_x000D_
"image":"https://bafybeiahor5orbsur34n7cu72ldcx4e3zkiz7voo3unxul6q3k7neylofq.ipfs.nftstorage.link?visual13.png",_x000D_
"Issuer":"NfluenT for Calvi On The rocks",_x000D_
"external_url":""</v>
      </c>
      <c r="W26" s="1" t="str">
        <f>formatRow(Tokens!J$2:AV$2,Tokens!J26:AV26,2,"attributes")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6" s="1" t="str">
        <f>formatRow(Tokens!AX$2:BC$2,Tokens!AX26:BC26,2,"creators")</f>
        <v>"creators":[{"address":"paul",_x000D_
"share":10},{"address":"sophie",_x000D_
"share":90}]</v>
      </c>
      <c r="Y26" s="1" t="str">
        <f>formatRow(Tokens!BD$2:BI$2,Tokens!BD26:BI26,2,"files")</f>
        <v>"files":[{"files":"https://bafybeicgtrhjweckx2vfwtyokcngfyecfczyi234bo576emk7czddpc2du.ipfs.nftstorage.link?CALVI_12.mp4",_x000D_
"type":"mp4"}]</v>
      </c>
      <c r="Z26" s="1"/>
      <c r="AA26" s="1"/>
      <c r="AB26" s="1"/>
      <c r="AC26" s="1" t="str">
        <f>formatRow(Tokens!BJ$2:BK$2,Tokens!BJ26:BK26,0,"collection")</f>
        <v>"collection":{"name":"A Madonna Di A Sierra",_x000D_
"family":"Calvi On The Rocks"}</v>
      </c>
      <c r="AD26" s="1"/>
      <c r="AE26" s="1"/>
    </row>
    <row r="27" spans="1:31" ht="14.25" customHeight="1" x14ac:dyDescent="0.25">
      <c r="D27" s="1">
        <f>Tokens!B27</f>
        <v>24</v>
      </c>
      <c r="E27" s="17" t="str">
        <f>IF(Tokens!C27="","",Tokens!C27)</f>
        <v>A Madonna Di A Sierra #24</v>
      </c>
      <c r="F27"/>
      <c r="G27"/>
      <c r="H27"/>
      <c r="I27"/>
      <c r="J27"/>
      <c r="M27"/>
      <c r="N27"/>
      <c r="O27" s="15" t="str">
        <f t="shared" si="0"/>
        <v>_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Q27" s="2"/>
      <c r="R27" s="2"/>
      <c r="S27" s="11"/>
      <c r="T27" s="1" t="str">
        <f>"owner=" &amp; Tokens!BS27 &amp; "&amp;filename_for_metadata=" &amp; Tokens!BT27 &amp; "&amp;offchaindata_platform=" &amp; $B$17 &amp; "&amp;keyfile=" &amp; $B$5 &amp; "&amp;network=" &amp; LOWER($B$8) &amp; "&amp;repository=" &amp; $B$18</f>
        <v>owner=thomas&amp;filename_for_metadata=AMadonnaDiASierra_COR22B24&amp;offchaindata_platform=MongoDB&amp;keyfile=Paul&amp;network=jsonfiles&amp;repository=test</v>
      </c>
      <c r="U27" s="1" t="str">
        <f t="shared" si="1"/>
        <v>{"name":"A Madonna Di A Sierra #24",_x000D_
"symbol":"COR22B24",_x000D_
"description":"A Madonna Di A Sierra, 3 ans - Pass NFT 5 jours pour 2 personnes, valable pour 3 éditions Calvi On The Rocks de votre choix.",_x000D_
"seller_fee_basis_points":1000,_x000D_
"image":"https://bafybeig5co2ksjm24xzyuqsiwzky45axgb4cwlksishtilt5l3cwufqley.ipfs.nftstorage.link?visual14.png",_x000D_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7" s="1" t="str">
        <f>formatRow(Tokens!C$2:I$2,Tokens!C27:I27)</f>
        <v>"name":"A Madonna Di A Sierra #24",_x000D_
"symbol":"COR22B24",_x000D_
"description":"A Madonna Di A Sierra, 3 ans - Pass NFT 5 jours pour 2 personnes, valable pour 3 éditions Calvi On The Rocks de votre choix.",_x000D_
"seller_fee_basis_points":1000,_x000D_
"image":"https://bafybeig5co2ksjm24xzyuqsiwzky45axgb4cwlksishtilt5l3cwufqley.ipfs.nftstorage.link?visual14.png",_x000D_
"Issuer":"NfluenT for Calvi On The rocks",_x000D_
"external_url":""</v>
      </c>
      <c r="W27" s="1" t="str">
        <f>formatRow(Tokens!J$2:AV$2,Tokens!J27:AV27,2,"attributes")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7" s="1" t="str">
        <f>formatRow(Tokens!AX$2:BC$2,Tokens!AX27:BC27,2,"creators")</f>
        <v>"creators":[{"address":"paul",_x000D_
"share":10},{"address":"sophie",_x000D_
"share":90}]</v>
      </c>
      <c r="Y27" s="1" t="str">
        <f>formatRow(Tokens!BD$2:BI$2,Tokens!BD27:BI27,2,"files")</f>
        <v>"files":[{"files":"https://bafybeicgtrhjweckx2vfwtyokcngfyecfczyi234bo576emk7czddpc2du.ipfs.nftstorage.link?CALVI_12.mp4",_x000D_
"type":"mp4"}]</v>
      </c>
      <c r="Z27" s="1"/>
      <c r="AA27" s="1"/>
      <c r="AB27" s="1"/>
      <c r="AC27" s="1" t="str">
        <f>formatRow(Tokens!BJ$2:BK$2,Tokens!BJ27:BK27,0,"collection")</f>
        <v>"collection":{"name":"A Madonna Di A Sierra",_x000D_
"family":"Calvi On The Rocks"}</v>
      </c>
      <c r="AD27" s="1"/>
      <c r="AE27" s="1"/>
    </row>
    <row r="28" spans="1:31" ht="14.25" customHeight="1" x14ac:dyDescent="0.25">
      <c r="D28" s="1">
        <f>Tokens!B28</f>
        <v>25</v>
      </c>
      <c r="E28" s="17" t="str">
        <f>IF(Tokens!C28="","",Tokens!C28)</f>
        <v>A Madonna Di A Sierra #25</v>
      </c>
      <c r="F28"/>
      <c r="G28"/>
      <c r="H28"/>
      <c r="I28"/>
      <c r="J28"/>
      <c r="M28"/>
      <c r="N28"/>
      <c r="O28" s="15" t="str">
        <f t="shared" si="0"/>
        <v>_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Q28" s="2"/>
      <c r="R28" s="2"/>
      <c r="S28" s="11"/>
      <c r="T28" s="1" t="str">
        <f>"owner=" &amp; Tokens!BS28 &amp; "&amp;filename_for_metadata=" &amp; Tokens!BT28 &amp; "&amp;offchaindata_platform=" &amp; $B$17 &amp; "&amp;keyfile=" &amp; $B$5 &amp; "&amp;network=" &amp; LOWER($B$8) &amp; "&amp;repository=" &amp; $B$18</f>
        <v>owner=thomas&amp;filename_for_metadata=AMadonnaDiASierra_COR22B25&amp;offchaindata_platform=MongoDB&amp;keyfile=Paul&amp;network=jsonfiles&amp;repository=test</v>
      </c>
      <c r="U28" s="1" t="str">
        <f t="shared" si="1"/>
        <v>{"name":"A Madonna Di A Sierra #25",_x000D_
"symbol":"COR22B25",_x000D_
"description":"A Madonna Di A Sierra, 3 ans - Pass NFT 5 jours pour 2 personnes, valable pour 3 éditions Calvi On The Rocks de votre choix.",_x000D_
"seller_fee_basis_points":1000,_x000D_
"image":"https://bafybeig6rm4c3qtknb645ayntpxvdgg7ralbozibaqjo7cbfc7zcs33ceq.ipfs.nftstorage.link?visual15.png",_x000D_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8" s="1" t="str">
        <f>formatRow(Tokens!C$2:I$2,Tokens!C28:I28)</f>
        <v>"name":"A Madonna Di A Sierra #25",_x000D_
"symbol":"COR22B25",_x000D_
"description":"A Madonna Di A Sierra, 3 ans - Pass NFT 5 jours pour 2 personnes, valable pour 3 éditions Calvi On The Rocks de votre choix.",_x000D_
"seller_fee_basis_points":1000,_x000D_
"image":"https://bafybeig6rm4c3qtknb645ayntpxvdgg7ralbozibaqjo7cbfc7zcs33ceq.ipfs.nftstorage.link?visual15.png",_x000D_
"Issuer":"NfluenT for Calvi On The rocks",_x000D_
"external_url":""</v>
      </c>
      <c r="W28" s="1" t="str">
        <f>formatRow(Tokens!J$2:AV$2,Tokens!J28:AV28,2,"attributes")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8" s="1" t="str">
        <f>formatRow(Tokens!AX$2:BC$2,Tokens!AX28:BC28,2,"creators")</f>
        <v>"creators":[{"address":"paul",_x000D_
"share":10},{"address":"sophie",_x000D_
"share":90}]</v>
      </c>
      <c r="Y28" s="1" t="str">
        <f>formatRow(Tokens!BD$2:BI$2,Tokens!BD28:BI28,2,"files")</f>
        <v>"files":[{"files":"https://bafybeicgtrhjweckx2vfwtyokcngfyecfczyi234bo576emk7czddpc2du.ipfs.nftstorage.link?CALVI_12.mp4",_x000D_
"type":"mp4"}]</v>
      </c>
      <c r="Z28" s="1"/>
      <c r="AA28" s="1"/>
      <c r="AB28" s="1"/>
      <c r="AC28" s="1" t="str">
        <f>formatRow(Tokens!BJ$2:BK$2,Tokens!BJ28:BK28,0,"collection")</f>
        <v>"collection":{"name":"A Madonna Di A Sierra",_x000D_
"family":"Calvi On The Rocks"}</v>
      </c>
      <c r="AD28" s="1"/>
      <c r="AE28" s="1"/>
    </row>
    <row r="29" spans="1:31" ht="14.25" customHeight="1" x14ac:dyDescent="0.25">
      <c r="D29" s="1">
        <f>Tokens!B29</f>
        <v>26</v>
      </c>
      <c r="E29" s="17" t="str">
        <f>IF(Tokens!C29="","",Tokens!C29)</f>
        <v>A Madonna Di A Sierra #26</v>
      </c>
      <c r="F29"/>
      <c r="G29"/>
      <c r="H29"/>
      <c r="I29"/>
      <c r="J29"/>
      <c r="M29"/>
      <c r="N29"/>
      <c r="O29" s="15" t="str">
        <f t="shared" si="0"/>
        <v>_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Q29" s="2"/>
      <c r="R29" s="2"/>
      <c r="S29" s="11"/>
      <c r="T29" s="1" t="str">
        <f>"owner=" &amp; Tokens!BS29 &amp; "&amp;filename_for_metadata=" &amp; Tokens!BT29 &amp; "&amp;offchaindata_platform=" &amp; $B$17 &amp; "&amp;keyfile=" &amp; $B$5 &amp; "&amp;network=" &amp; LOWER($B$8) &amp; "&amp;repository=" &amp; $B$18</f>
        <v>owner=thomas&amp;filename_for_metadata=AMadonnaDiASierra_COR22B26&amp;offchaindata_platform=MongoDB&amp;keyfile=Paul&amp;network=jsonfiles&amp;repository=test</v>
      </c>
      <c r="U29" s="1" t="str">
        <f t="shared" si="1"/>
        <v>{"name":"A Madonna Di A Sierra #26",_x000D_
"symbol":"COR22B26",_x000D_
"description":"A Madonna Di A Sierra, 3 ans - Pass NFT 5 jours pour 2 personnes, valable pour 3 éditions Calvi On The Rocks de votre choix.",_x000D_
"seller_fee_basis_points":1000,_x000D_
"image":"https://bafybeiekadpjhblridjsgpvk4rpz7gsdntuuckvkhosr2jyrdvju6huppe.ipfs.nftstorage.link?visual16.png",_x000D_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29" s="1" t="str">
        <f>formatRow(Tokens!C$2:I$2,Tokens!C29:I29)</f>
        <v>"name":"A Madonna Di A Sierra #26",_x000D_
"symbol":"COR22B26",_x000D_
"description":"A Madonna Di A Sierra, 3 ans - Pass NFT 5 jours pour 2 personnes, valable pour 3 éditions Calvi On The Rocks de votre choix.",_x000D_
"seller_fee_basis_points":1000,_x000D_
"image":"https://bafybeiekadpjhblridjsgpvk4rpz7gsdntuuckvkhosr2jyrdvju6huppe.ipfs.nftstorage.link?visual16.png",_x000D_
"Issuer":"NfluenT for Calvi On The rocks",_x000D_
"external_url":""</v>
      </c>
      <c r="W29" s="1" t="str">
        <f>formatRow(Tokens!J$2:AV$2,Tokens!J29:AV29,2,"attributes")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29" s="1" t="str">
        <f>formatRow(Tokens!AX$2:BC$2,Tokens!AX29:BC29,2,"creators")</f>
        <v>"creators":[{"address":"paul",_x000D_
"share":10},{"address":"sophie",_x000D_
"share":90}]</v>
      </c>
      <c r="Y29" s="1" t="str">
        <f>formatRow(Tokens!BD$2:BI$2,Tokens!BD29:BI29,2,"files")</f>
        <v>"files":[{"files":"https://bafybeicgtrhjweckx2vfwtyokcngfyecfczyi234bo576emk7czddpc2du.ipfs.nftstorage.link?CALVI_12.mp4",_x000D_
"type":"mp4"}]</v>
      </c>
      <c r="Z29" s="1"/>
      <c r="AA29" s="1"/>
      <c r="AB29" s="1"/>
      <c r="AC29" s="1" t="str">
        <f>formatRow(Tokens!BJ$2:BK$2,Tokens!BJ29:BK29,0,"collection")</f>
        <v>"collection":{"name":"A Madonna Di A Sierra",_x000D_
"family":"Calvi On The Rocks"}</v>
      </c>
      <c r="AD29" s="1"/>
      <c r="AE29" s="1"/>
    </row>
    <row r="30" spans="1:31" ht="14.25" customHeight="1" x14ac:dyDescent="0.25">
      <c r="D30" s="1">
        <f>Tokens!B30</f>
        <v>27</v>
      </c>
      <c r="E30" s="17" t="str">
        <f>IF(Tokens!C30="","",Tokens!C30)</f>
        <v>A Madonna Di A Sierra #27</v>
      </c>
      <c r="F30"/>
      <c r="G30"/>
      <c r="H30"/>
      <c r="I30"/>
      <c r="J30"/>
      <c r="M30"/>
      <c r="N30"/>
      <c r="O30" s="15" t="str">
        <f t="shared" si="0"/>
        <v>_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Q30" s="2"/>
      <c r="R30" s="2"/>
      <c r="S30" s="11"/>
      <c r="T30" s="1" t="str">
        <f>"owner=" &amp; Tokens!BS30 &amp; "&amp;filename_for_metadata=" &amp; Tokens!BT30 &amp; "&amp;offchaindata_platform=" &amp; $B$17 &amp; "&amp;keyfile=" &amp; $B$5 &amp; "&amp;network=" &amp; LOWER($B$8) &amp; "&amp;repository=" &amp; $B$18</f>
        <v>owner=thomas&amp;filename_for_metadata=AMadonnaDiASierra_COR22B27&amp;offchaindata_platform=MongoDB&amp;keyfile=Paul&amp;network=jsonfiles&amp;repository=test</v>
      </c>
      <c r="U30" s="1" t="str">
        <f t="shared" si="1"/>
        <v>{"name":"A Madonna Di A Sierra #27",_x000D_
"symbol":"COR22B27",_x000D_
"description":"A Madonna Di A Sierra, 3 ans - Pass NFT 5 jours pour 2 personnes, valable pour 3 éditions Calvi On The Rocks de votre choix.",_x000D_
"seller_fee_basis_points":1000,_x000D_
"image":"https://bafybeiev4sdbllxvju2ynilxn4srrybina6kci2vsauuc3fjq653q6wx6q.ipfs.nftstorage.link?visual17.png",_x000D_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0" s="1" t="str">
        <f>formatRow(Tokens!C$2:I$2,Tokens!C30:I30)</f>
        <v>"name":"A Madonna Di A Sierra #27",_x000D_
"symbol":"COR22B27",_x000D_
"description":"A Madonna Di A Sierra, 3 ans - Pass NFT 5 jours pour 2 personnes, valable pour 3 éditions Calvi On The Rocks de votre choix.",_x000D_
"seller_fee_basis_points":1000,_x000D_
"image":"https://bafybeiev4sdbllxvju2ynilxn4srrybina6kci2vsauuc3fjq653q6wx6q.ipfs.nftstorage.link?visual17.png",_x000D_
"Issuer":"NfluenT for Calvi On The rocks",_x000D_
"external_url":""</v>
      </c>
      <c r="W30" s="1" t="str">
        <f>formatRow(Tokens!J$2:AV$2,Tokens!J30:AV30,2,"attributes")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0" s="1" t="str">
        <f>formatRow(Tokens!AX$2:BC$2,Tokens!AX30:BC30,2,"creators")</f>
        <v>"creators":[{"address":"paul",_x000D_
"share":10},{"address":"sophie",_x000D_
"share":90}]</v>
      </c>
      <c r="Y30" s="1" t="str">
        <f>formatRow(Tokens!BD$2:BI$2,Tokens!BD30:BI30,2,"files")</f>
        <v>"files":[{"files":"https://bafybeicgtrhjweckx2vfwtyokcngfyecfczyi234bo576emk7czddpc2du.ipfs.nftstorage.link?CALVI_12.mp4",_x000D_
"type":"mp4"}]</v>
      </c>
      <c r="Z30" s="1"/>
      <c r="AA30" s="1"/>
      <c r="AB30" s="1"/>
      <c r="AC30" s="1" t="str">
        <f>formatRow(Tokens!BJ$2:BK$2,Tokens!BJ30:BK30,0,"collection")</f>
        <v>"collection":{"name":"A Madonna Di A Sierra",_x000D_
"family":"Calvi On The Rocks"}</v>
      </c>
      <c r="AD30" s="1"/>
      <c r="AE30" s="1"/>
    </row>
    <row r="31" spans="1:31" ht="14.25" customHeight="1" x14ac:dyDescent="0.25">
      <c r="D31" s="1">
        <f>Tokens!B31</f>
        <v>28</v>
      </c>
      <c r="E31" s="17" t="str">
        <f>IF(Tokens!C31="","",Tokens!C31)</f>
        <v>A Madonna Di A Sierra #28</v>
      </c>
      <c r="F31"/>
      <c r="G31"/>
      <c r="H31"/>
      <c r="I31"/>
      <c r="J31"/>
      <c r="M31"/>
      <c r="N31"/>
      <c r="O31" s="15" t="str">
        <f t="shared" si="0"/>
        <v>_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Q31" s="2"/>
      <c r="R31" s="2"/>
      <c r="S31" s="11"/>
      <c r="T31" s="1" t="str">
        <f>"owner=" &amp; Tokens!BS31 &amp; "&amp;filename_for_metadata=" &amp; Tokens!BT31 &amp; "&amp;offchaindata_platform=" &amp; $B$17 &amp; "&amp;keyfile=" &amp; $B$5 &amp; "&amp;network=" &amp; LOWER($B$8) &amp; "&amp;repository=" &amp; $B$18</f>
        <v>owner=thomas&amp;filename_for_metadata=AMadonnaDiASierra_COR22B28&amp;offchaindata_platform=MongoDB&amp;keyfile=Paul&amp;network=jsonfiles&amp;repository=test</v>
      </c>
      <c r="U31" s="1" t="str">
        <f t="shared" si="1"/>
        <v>{"name":"A Madonna Di A Sierra #28",_x000D_
"symbol":"COR22B28",_x000D_
"description":"A Madonna Di A Sierra, 3 ans - Pass NFT 5 jours pour 2 personnes, valable pour 3 éditions Calvi On The Rocks de votre choix.",_x000D_
"seller_fee_basis_points":1000,_x000D_
"image":"https://bafybeih6xaonjhifyopkw2kpt4dq443ufg2jafrlzlh33iqcsptp4zlxvu.ipfs.nftstorage.link?visual18.png",_x000D_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1" s="1" t="str">
        <f>formatRow(Tokens!C$2:I$2,Tokens!C31:I31)</f>
        <v>"name":"A Madonna Di A Sierra #28",_x000D_
"symbol":"COR22B28",_x000D_
"description":"A Madonna Di A Sierra, 3 ans - Pass NFT 5 jours pour 2 personnes, valable pour 3 éditions Calvi On The Rocks de votre choix.",_x000D_
"seller_fee_basis_points":1000,_x000D_
"image":"https://bafybeih6xaonjhifyopkw2kpt4dq443ufg2jafrlzlh33iqcsptp4zlxvu.ipfs.nftstorage.link?visual18.png",_x000D_
"Issuer":"NfluenT for Calvi On The rocks",_x000D_
"external_url":""</v>
      </c>
      <c r="W31" s="1" t="str">
        <f>formatRow(Tokens!J$2:AV$2,Tokens!J31:AV31,2,"attributes")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1" s="1" t="str">
        <f>formatRow(Tokens!AX$2:BC$2,Tokens!AX31:BC31,2,"creators")</f>
        <v>"creators":[{"address":"paul",_x000D_
"share":10},{"address":"sophie",_x000D_
"share":90}]</v>
      </c>
      <c r="Y31" s="1" t="str">
        <f>formatRow(Tokens!BD$2:BI$2,Tokens!BD31:BI31,2,"files")</f>
        <v>"files":[{"files":"https://bafybeicgtrhjweckx2vfwtyokcngfyecfczyi234bo576emk7czddpc2du.ipfs.nftstorage.link?CALVI_12.mp4",_x000D_
"type":"mp4"}]</v>
      </c>
      <c r="Z31" s="1"/>
      <c r="AA31" s="1"/>
      <c r="AB31" s="1"/>
      <c r="AC31" s="1" t="str">
        <f>formatRow(Tokens!BJ$2:BK$2,Tokens!BJ31:BK31,0,"collection")</f>
        <v>"collection":{"name":"A Madonna Di A Sierra",_x000D_
"family":"Calvi On The Rocks"}</v>
      </c>
      <c r="AD31" s="1"/>
      <c r="AE31" s="1"/>
    </row>
    <row r="32" spans="1:31" ht="14.25" customHeight="1" x14ac:dyDescent="0.25">
      <c r="D32" s="1">
        <f>Tokens!B32</f>
        <v>29</v>
      </c>
      <c r="E32" s="17" t="str">
        <f>IF(Tokens!C32="","",Tokens!C32)</f>
        <v>A Madonna Di A Sierra #29</v>
      </c>
      <c r="F32"/>
      <c r="G32"/>
      <c r="H32"/>
      <c r="I32"/>
      <c r="J32"/>
      <c r="M32"/>
      <c r="N32"/>
      <c r="O32" s="15" t="str">
        <f t="shared" si="0"/>
        <v>_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Q32" s="2"/>
      <c r="R32" s="2"/>
      <c r="S32" s="11"/>
      <c r="T32" s="1" t="str">
        <f>"owner=" &amp; Tokens!BS32 &amp; "&amp;filename_for_metadata=" &amp; Tokens!BT32 &amp; "&amp;offchaindata_platform=" &amp; $B$17 &amp; "&amp;keyfile=" &amp; $B$5 &amp; "&amp;network=" &amp; LOWER($B$8) &amp; "&amp;repository=" &amp; $B$18</f>
        <v>owner=thomas&amp;filename_for_metadata=AMadonnaDiASierra_COR22B29&amp;offchaindata_platform=MongoDB&amp;keyfile=Paul&amp;network=jsonfiles&amp;repository=test</v>
      </c>
      <c r="U32" s="1" t="str">
        <f t="shared" si="1"/>
        <v>{"name":"A Madonna Di A Sierra #29",_x000D_
"symbol":"COR22B29",_x000D_
"description":"A Madonna Di A Sierra, 3 ans - Pass NFT 5 jours pour 2 personnes, valable pour 3 éditions Calvi On The Rocks de votre choix.",_x000D_
"seller_fee_basis_points":1000,_x000D_
"image":"https://bafybeidwc3drcmnw2zbmtcdbl73jxp6xbmmpvmjkjz5nrrpgkxbqflh7ea.ipfs.nftstorage.link?visual19.png",_x000D_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2" s="1" t="str">
        <f>formatRow(Tokens!C$2:I$2,Tokens!C32:I32)</f>
        <v>"name":"A Madonna Di A Sierra #29",_x000D_
"symbol":"COR22B29",_x000D_
"description":"A Madonna Di A Sierra, 3 ans - Pass NFT 5 jours pour 2 personnes, valable pour 3 éditions Calvi On The Rocks de votre choix.",_x000D_
"seller_fee_basis_points":1000,_x000D_
"image":"https://bafybeidwc3drcmnw2zbmtcdbl73jxp6xbmmpvmjkjz5nrrpgkxbqflh7ea.ipfs.nftstorage.link?visual19.png",_x000D_
"Issuer":"NfluenT for Calvi On The rocks",_x000D_
"external_url":""</v>
      </c>
      <c r="W32" s="1" t="str">
        <f>formatRow(Tokens!J$2:AV$2,Tokens!J32:AV32,2,"attributes")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2" s="1" t="str">
        <f>formatRow(Tokens!AX$2:BC$2,Tokens!AX32:BC32,2,"creators")</f>
        <v>"creators":[{"address":"paul",_x000D_
"share":10},{"address":"sophie",_x000D_
"share":90}]</v>
      </c>
      <c r="Y32" s="1" t="str">
        <f>formatRow(Tokens!BD$2:BI$2,Tokens!BD32:BI32,2,"files")</f>
        <v>"files":[{"files":"https://bafybeicgtrhjweckx2vfwtyokcngfyecfczyi234bo576emk7czddpc2du.ipfs.nftstorage.link?CALVI_12.mp4",_x000D_
"type":"mp4"}]</v>
      </c>
      <c r="Z32" s="1"/>
      <c r="AA32" s="1"/>
      <c r="AB32" s="1"/>
      <c r="AC32" s="1" t="str">
        <f>formatRow(Tokens!BJ$2:BK$2,Tokens!BJ32:BK32,0,"collection")</f>
        <v>"collection":{"name":"A Madonna Di A Sierra",_x000D_
"family":"Calvi On The Rocks"}</v>
      </c>
      <c r="AD32" s="1"/>
      <c r="AE32" s="1"/>
    </row>
    <row r="33" spans="4:31" ht="14.25" customHeight="1" x14ac:dyDescent="0.25">
      <c r="D33" s="1">
        <f>Tokens!B33</f>
        <v>30</v>
      </c>
      <c r="E33" s="17" t="str">
        <f>IF(Tokens!C33="","",Tokens!C33)</f>
        <v>A Madonna Di A Sierra #30</v>
      </c>
      <c r="F33"/>
      <c r="G33"/>
      <c r="H33"/>
      <c r="I33"/>
      <c r="J33"/>
      <c r="M33"/>
      <c r="N33"/>
      <c r="O33" s="15" t="str">
        <f t="shared" si="0"/>
        <v>_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Q33" s="2"/>
      <c r="R33" s="2"/>
      <c r="S33" s="11"/>
      <c r="T33" s="1" t="str">
        <f>"owner=" &amp; Tokens!BS33 &amp; "&amp;filename_for_metadata=" &amp; Tokens!BT33 &amp; "&amp;offchaindata_platform=" &amp; $B$17 &amp; "&amp;keyfile=" &amp; $B$5 &amp; "&amp;network=" &amp; LOWER($B$8) &amp; "&amp;repository=" &amp; $B$18</f>
        <v>owner=thomas&amp;filename_for_metadata=AMadonnaDiASierra_COR22B30&amp;offchaindata_platform=MongoDB&amp;keyfile=Paul&amp;network=jsonfiles&amp;repository=test</v>
      </c>
      <c r="U33" s="1" t="str">
        <f t="shared" si="1"/>
        <v>{"name":"A Madonna Di A Sierra #30",_x000D_
"symbol":"COR22B30",_x000D_
"description":"A Madonna Di A Sierra, 3 ans - Pass NFT 5 jours pour 2 personnes, valable pour 3 éditions Calvi On The Rocks de votre choix.",_x000D_
"seller_fee_basis_points":1000,_x000D_
"image":"https://bafybeieyouuqoro7c4ndkf6mj6ux5ly7avm6iyiuadejzzqcqt2qxunjzm.ipfs.nftstorage.link?visual20.png",_x000D_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3" s="1" t="str">
        <f>formatRow(Tokens!C$2:I$2,Tokens!C33:I33)</f>
        <v>"name":"A Madonna Di A Sierra #30",_x000D_
"symbol":"COR22B30",_x000D_
"description":"A Madonna Di A Sierra, 3 ans - Pass NFT 5 jours pour 2 personnes, valable pour 3 éditions Calvi On The Rocks de votre choix.",_x000D_
"seller_fee_basis_points":1000,_x000D_
"image":"https://bafybeieyouuqoro7c4ndkf6mj6ux5ly7avm6iyiuadejzzqcqt2qxunjzm.ipfs.nftstorage.link?visual20.png",_x000D_
"Issuer":"NfluenT for Calvi On The rocks",_x000D_
"external_url":""</v>
      </c>
      <c r="W33" s="1" t="str">
        <f>formatRow(Tokens!J$2:AV$2,Tokens!J33:AV33,2,"attributes")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3" s="1" t="str">
        <f>formatRow(Tokens!AX$2:BC$2,Tokens!AX33:BC33,2,"creators")</f>
        <v>"creators":[{"address":"paul",_x000D_
"share":10},{"address":"sophie",_x000D_
"share":90}]</v>
      </c>
      <c r="Y33" s="1" t="str">
        <f>formatRow(Tokens!BD$2:BI$2,Tokens!BD33:BI33,2,"files")</f>
        <v>"files":[{"files":"https://bafybeicgtrhjweckx2vfwtyokcngfyecfczyi234bo576emk7czddpc2du.ipfs.nftstorage.link?CALVI_12.mp4",_x000D_
"type":"mp4"}]</v>
      </c>
      <c r="Z33" s="1"/>
      <c r="AA33" s="1"/>
      <c r="AB33" s="1"/>
      <c r="AC33" s="1" t="str">
        <f>formatRow(Tokens!BJ$2:BK$2,Tokens!BJ33:BK33,0,"collection")</f>
        <v>"collection":{"name":"A Madonna Di A Sierra",_x000D_
"family":"Calvi On The Rocks"}</v>
      </c>
      <c r="AD33" s="1"/>
      <c r="AE33" s="1"/>
    </row>
    <row r="34" spans="4:31" ht="14.25" customHeight="1" x14ac:dyDescent="0.25">
      <c r="D34" s="1">
        <f>Tokens!B34</f>
        <v>31</v>
      </c>
      <c r="E34" s="17" t="str">
        <f>IF(Tokens!C34="","",Tokens!C34)</f>
        <v>A Madonna Di A Sierra #31</v>
      </c>
      <c r="F34"/>
      <c r="G34"/>
      <c r="H34"/>
      <c r="I34"/>
      <c r="J34"/>
      <c r="M34"/>
      <c r="N34"/>
      <c r="O34" s="15" t="str">
        <f t="shared" si="0"/>
        <v>_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Q34" s="2"/>
      <c r="R34" s="2"/>
      <c r="S34" s="11"/>
      <c r="T34" s="1" t="str">
        <f>"owner=" &amp; Tokens!BS34 &amp; "&amp;filename_for_metadata=" &amp; Tokens!BT34 &amp; "&amp;offchaindata_platform=" &amp; $B$17 &amp; "&amp;keyfile=" &amp; $B$5 &amp; "&amp;network=" &amp; LOWER($B$8) &amp; "&amp;repository=" &amp; $B$18</f>
        <v>owner=thomas&amp;filename_for_metadata=AMadonnaDiASierra_COR22B31&amp;offchaindata_platform=MongoDB&amp;keyfile=Paul&amp;network=jsonfiles&amp;repository=test</v>
      </c>
      <c r="U34" s="1" t="str">
        <f t="shared" si="1"/>
        <v>{"name":"A Madonna Di A Sierra #31",_x000D_
"symbol":"COR22B31",_x000D_
"description":"A Madonna Di A Sierra, 3 ans - Pass NFT 5 jours pour 2 personnes, valable pour 3 éditions Calvi On The Rocks de votre choix.",_x000D_
"seller_fee_basis_points":1000,_x000D_
"image":"https://bafybeiem3354uikctj7pbnsjytjitjyl547yjwklfvzmbyybj2fdoeq2em.ipfs.nftstorage.link?visual21.png",_x000D_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4" s="1" t="str">
        <f>formatRow(Tokens!C$2:I$2,Tokens!C34:I34)</f>
        <v>"name":"A Madonna Di A Sierra #31",_x000D_
"symbol":"COR22B31",_x000D_
"description":"A Madonna Di A Sierra, 3 ans - Pass NFT 5 jours pour 2 personnes, valable pour 3 éditions Calvi On The Rocks de votre choix.",_x000D_
"seller_fee_basis_points":1000,_x000D_
"image":"https://bafybeiem3354uikctj7pbnsjytjitjyl547yjwklfvzmbyybj2fdoeq2em.ipfs.nftstorage.link?visual21.png",_x000D_
"Issuer":"NfluenT for Calvi On The rocks",_x000D_
"external_url":""</v>
      </c>
      <c r="W34" s="1" t="str">
        <f>formatRow(Tokens!J$2:AV$2,Tokens!J34:AV34,2,"attributes")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4" s="1" t="str">
        <f>formatRow(Tokens!AX$2:BC$2,Tokens!AX34:BC34,2,"creators")</f>
        <v>"creators":[{"address":"paul",_x000D_
"share":10},{"address":"sophie",_x000D_
"share":90}]</v>
      </c>
      <c r="Y34" s="1" t="str">
        <f>formatRow(Tokens!BD$2:BI$2,Tokens!BD34:BI34,2,"files")</f>
        <v>"files":[{"files":"https://bafybeicgtrhjweckx2vfwtyokcngfyecfczyi234bo576emk7czddpc2du.ipfs.nftstorage.link?CALVI_12.mp4",_x000D_
"type":"mp4"}]</v>
      </c>
      <c r="Z34" s="1"/>
      <c r="AA34" s="1"/>
      <c r="AB34" s="1"/>
      <c r="AC34" s="1" t="str">
        <f>formatRow(Tokens!BJ$2:BK$2,Tokens!BJ34:BK34,0,"collection")</f>
        <v>"collection":{"name":"A Madonna Di A Sierra",_x000D_
"family":"Calvi On The Rocks"}</v>
      </c>
      <c r="AD34" s="1"/>
      <c r="AE34" s="1"/>
    </row>
    <row r="35" spans="4:31" ht="14.25" customHeight="1" x14ac:dyDescent="0.25">
      <c r="D35" s="1">
        <f>Tokens!B35</f>
        <v>32</v>
      </c>
      <c r="E35" s="17" t="str">
        <f>IF(Tokens!C35="","",Tokens!C35)</f>
        <v>A Madonna Di A Sierra #32</v>
      </c>
      <c r="F35"/>
      <c r="G35"/>
      <c r="H35"/>
      <c r="I35"/>
      <c r="J35"/>
      <c r="M35"/>
      <c r="N35"/>
      <c r="O35" s="15" t="str">
        <f t="shared" si="0"/>
        <v>_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Q35" s="2"/>
      <c r="R35" s="2"/>
      <c r="S35" s="11"/>
      <c r="T35" s="1" t="str">
        <f>"owner=" &amp; Tokens!BS35 &amp; "&amp;filename_for_metadata=" &amp; Tokens!BT35 &amp; "&amp;offchaindata_platform=" &amp; $B$17 &amp; "&amp;keyfile=" &amp; $B$5 &amp; "&amp;network=" &amp; LOWER($B$8) &amp; "&amp;repository=" &amp; $B$18</f>
        <v>owner=thomas&amp;filename_for_metadata=AMadonnaDiASierra_COR22B32&amp;offchaindata_platform=MongoDB&amp;keyfile=Paul&amp;network=jsonfiles&amp;repository=test</v>
      </c>
      <c r="U35" s="1" t="str">
        <f t="shared" si="1"/>
        <v>{"name":"A Madonna Di A Sierra #32",_x000D_
"symbol":"COR22B32",_x000D_
"description":"A Madonna Di A Sierra, 3 ans - Pass NFT 5 jours pour 2 personnes, valable pour 3 éditions Calvi On The Rocks de votre choix.",_x000D_
"seller_fee_basis_points":1000,_x000D_
"image":"https://bafybeifn66nejxx7rt6jn4suhgwmlyq7e4r6aridiqmyu7v4hqky7hmls4.ipfs.nftstorage.link?visual22.png",_x000D_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5" s="1" t="str">
        <f>formatRow(Tokens!C$2:I$2,Tokens!C35:I35)</f>
        <v>"name":"A Madonna Di A Sierra #32",_x000D_
"symbol":"COR22B32",_x000D_
"description":"A Madonna Di A Sierra, 3 ans - Pass NFT 5 jours pour 2 personnes, valable pour 3 éditions Calvi On The Rocks de votre choix.",_x000D_
"seller_fee_basis_points":1000,_x000D_
"image":"https://bafybeifn66nejxx7rt6jn4suhgwmlyq7e4r6aridiqmyu7v4hqky7hmls4.ipfs.nftstorage.link?visual22.png",_x000D_
"Issuer":"NfluenT for Calvi On The rocks",_x000D_
"external_url":""</v>
      </c>
      <c r="W35" s="1" t="str">
        <f>formatRow(Tokens!J$2:AV$2,Tokens!J35:AV35,2,"attributes")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5" s="1" t="str">
        <f>formatRow(Tokens!AX$2:BC$2,Tokens!AX35:BC35,2,"creators")</f>
        <v>"creators":[{"address":"paul",_x000D_
"share":10},{"address":"sophie",_x000D_
"share":90}]</v>
      </c>
      <c r="Y35" s="1" t="str">
        <f>formatRow(Tokens!BD$2:BI$2,Tokens!BD35:BI35,2,"files")</f>
        <v>"files":[{"files":"https://bafybeicgtrhjweckx2vfwtyokcngfyecfczyi234bo576emk7czddpc2du.ipfs.nftstorage.link?CALVI_12.mp4",_x000D_
"type":"mp4"}]</v>
      </c>
      <c r="Z35" s="1"/>
      <c r="AA35" s="1"/>
      <c r="AB35" s="1"/>
      <c r="AC35" s="1" t="str">
        <f>formatRow(Tokens!BJ$2:BK$2,Tokens!BJ35:BK35,0,"collection")</f>
        <v>"collection":{"name":"A Madonna Di A Sierra",_x000D_
"family":"Calvi On The Rocks"}</v>
      </c>
      <c r="AD35" s="1"/>
      <c r="AE35" s="1"/>
    </row>
    <row r="36" spans="4:31" ht="14.25" customHeight="1" x14ac:dyDescent="0.25">
      <c r="D36" s="1">
        <f>Tokens!B36</f>
        <v>33</v>
      </c>
      <c r="E36" s="17" t="str">
        <f>IF(Tokens!C36="","",Tokens!C36)</f>
        <v>A Madonna Di A Sierra #33</v>
      </c>
      <c r="F36"/>
      <c r="G36"/>
      <c r="H36"/>
      <c r="I36"/>
      <c r="J36"/>
      <c r="M36"/>
      <c r="N36"/>
      <c r="O36" s="15" t="str">
        <f t="shared" si="0"/>
        <v>_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Q36" s="2"/>
      <c r="R36" s="2"/>
      <c r="S36" s="11"/>
      <c r="T36" s="1" t="str">
        <f>"owner=" &amp; Tokens!BS36 &amp; "&amp;filename_for_metadata=" &amp; Tokens!BT36 &amp; "&amp;offchaindata_platform=" &amp; $B$17 &amp; "&amp;keyfile=" &amp; $B$5 &amp; "&amp;network=" &amp; LOWER($B$8) &amp; "&amp;repository=" &amp; $B$18</f>
        <v>owner=thomas&amp;filename_for_metadata=AMadonnaDiASierra_COR22B33&amp;offchaindata_platform=MongoDB&amp;keyfile=Paul&amp;network=jsonfiles&amp;repository=test</v>
      </c>
      <c r="U36" s="1" t="str">
        <f t="shared" si="1"/>
        <v>{"name":"A Madonna Di A Sierra #33",_x000D_
"symbol":"COR22B33",_x000D_
"description":"A Madonna Di A Sierra, 3 ans - Pass NFT 5 jours pour 2 personnes, valable pour 3 éditions Calvi On The Rocks de votre choix.",_x000D_
"seller_fee_basis_points":1000,_x000D_
"image":"https://bafybeidtqtromxhkelayphkjm24j45h2hagt2lsptrsoudykjpa2e7crcm.ipfs.nftstorage.link?visual23.png",_x000D_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6" s="1" t="str">
        <f>formatRow(Tokens!C$2:I$2,Tokens!C36:I36)</f>
        <v>"name":"A Madonna Di A Sierra #33",_x000D_
"symbol":"COR22B33",_x000D_
"description":"A Madonna Di A Sierra, 3 ans - Pass NFT 5 jours pour 2 personnes, valable pour 3 éditions Calvi On The Rocks de votre choix.",_x000D_
"seller_fee_basis_points":1000,_x000D_
"image":"https://bafybeidtqtromxhkelayphkjm24j45h2hagt2lsptrsoudykjpa2e7crcm.ipfs.nftstorage.link?visual23.png",_x000D_
"Issuer":"NfluenT for Calvi On The rocks",_x000D_
"external_url":""</v>
      </c>
      <c r="W36" s="1" t="str">
        <f>formatRow(Tokens!J$2:AV$2,Tokens!J36:AV36,2,"attributes")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6" s="1" t="str">
        <f>formatRow(Tokens!AX$2:BC$2,Tokens!AX36:BC36,2,"creators")</f>
        <v>"creators":[{"address":"paul",_x000D_
"share":10},{"address":"sophie",_x000D_
"share":90}]</v>
      </c>
      <c r="Y36" s="1" t="str">
        <f>formatRow(Tokens!BD$2:BI$2,Tokens!BD36:BI36,2,"files")</f>
        <v>"files":[{"files":"https://bafybeicgtrhjweckx2vfwtyokcngfyecfczyi234bo576emk7czddpc2du.ipfs.nftstorage.link?CALVI_12.mp4",_x000D_
"type":"mp4"}]</v>
      </c>
      <c r="Z36" s="1"/>
      <c r="AA36" s="1"/>
      <c r="AB36" s="1"/>
      <c r="AC36" s="1" t="str">
        <f>formatRow(Tokens!BJ$2:BK$2,Tokens!BJ36:BK36,0,"collection")</f>
        <v>"collection":{"name":"A Madonna Di A Sierra",_x000D_
"family":"Calvi On The Rocks"}</v>
      </c>
      <c r="AD36" s="1"/>
      <c r="AE36" s="1"/>
    </row>
    <row r="37" spans="4:31" ht="14.25" customHeight="1" x14ac:dyDescent="0.25">
      <c r="D37" s="1">
        <f>Tokens!B37</f>
        <v>34</v>
      </c>
      <c r="E37" s="17" t="str">
        <f>IF(Tokens!C37="","",Tokens!C37)</f>
        <v>A Madonna Di A Sierra #34</v>
      </c>
      <c r="F37"/>
      <c r="G37"/>
      <c r="H37"/>
      <c r="I37"/>
      <c r="J37"/>
      <c r="M37"/>
      <c r="N37"/>
      <c r="O37" s="15" t="str">
        <f t="shared" si="0"/>
        <v>_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Q37" s="2"/>
      <c r="R37" s="2"/>
      <c r="S37" s="11"/>
      <c r="T37" s="1" t="str">
        <f>"owner=" &amp; Tokens!BS37 &amp; "&amp;filename_for_metadata=" &amp; Tokens!BT37 &amp; "&amp;offchaindata_platform=" &amp; $B$17 &amp; "&amp;keyfile=" &amp; $B$5 &amp; "&amp;network=" &amp; LOWER($B$8) &amp; "&amp;repository=" &amp; $B$18</f>
        <v>owner=thomas&amp;filename_for_metadata=AMadonnaDiASierra_COR22B34&amp;offchaindata_platform=MongoDB&amp;keyfile=Paul&amp;network=jsonfiles&amp;repository=test</v>
      </c>
      <c r="U37" s="1" t="str">
        <f t="shared" si="1"/>
        <v>{"name":"A Madonna Di A Sierra #34",_x000D_
"symbol":"COR22B34",_x000D_
"description":"A Madonna Di A Sierra, 3 ans - Pass NFT 5 jours pour 2 personnes, valable pour 3 éditions Calvi On The Rocks de votre choix.",_x000D_
"seller_fee_basis_points":1000,_x000D_
"image":"https://bafybeif2bhwpejyg4gu5cyerssze743mqqesjyduwqbvfqlwycyjlc4bra.ipfs.nftstorage.link?visual24.png",_x000D_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7" s="1" t="str">
        <f>formatRow(Tokens!C$2:I$2,Tokens!C37:I37)</f>
        <v>"name":"A Madonna Di A Sierra #34",_x000D_
"symbol":"COR22B34",_x000D_
"description":"A Madonna Di A Sierra, 3 ans - Pass NFT 5 jours pour 2 personnes, valable pour 3 éditions Calvi On The Rocks de votre choix.",_x000D_
"seller_fee_basis_points":1000,_x000D_
"image":"https://bafybeif2bhwpejyg4gu5cyerssze743mqqesjyduwqbvfqlwycyjlc4bra.ipfs.nftstorage.link?visual24.png",_x000D_
"Issuer":"NfluenT for Calvi On The rocks",_x000D_
"external_url":""</v>
      </c>
      <c r="W37" s="1" t="str">
        <f>formatRow(Tokens!J$2:AV$2,Tokens!J37:AV37,2,"attributes")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7" s="1" t="str">
        <f>formatRow(Tokens!AX$2:BC$2,Tokens!AX37:BC37,2,"creators")</f>
        <v>"creators":[{"address":"paul",_x000D_
"share":10},{"address":"sophie",_x000D_
"share":90}]</v>
      </c>
      <c r="Y37" s="1" t="str">
        <f>formatRow(Tokens!BD$2:BI$2,Tokens!BD37:BI37,2,"files")</f>
        <v>"files":[{"files":"https://bafybeicgtrhjweckx2vfwtyokcngfyecfczyi234bo576emk7czddpc2du.ipfs.nftstorage.link?CALVI_12.mp4",_x000D_
"type":"mp4"}]</v>
      </c>
      <c r="Z37" s="1"/>
      <c r="AA37" s="1"/>
      <c r="AB37" s="1"/>
      <c r="AC37" s="1" t="str">
        <f>formatRow(Tokens!BJ$2:BK$2,Tokens!BJ37:BK37,0,"collection")</f>
        <v>"collection":{"name":"A Madonna Di A Sierra",_x000D_
"family":"Calvi On The Rocks"}</v>
      </c>
      <c r="AD37" s="1"/>
      <c r="AE37" s="1"/>
    </row>
    <row r="38" spans="4:31" ht="14.25" customHeight="1" x14ac:dyDescent="0.25">
      <c r="D38" s="1">
        <f>Tokens!B38</f>
        <v>35</v>
      </c>
      <c r="E38" s="17" t="str">
        <f>IF(Tokens!C38="","",Tokens!C38)</f>
        <v>A Madonna Di A Sierra #35</v>
      </c>
      <c r="F38"/>
      <c r="G38"/>
      <c r="H38"/>
      <c r="I38"/>
      <c r="J38"/>
      <c r="M38"/>
      <c r="N38"/>
      <c r="O38" s="15" t="str">
        <f t="shared" si="0"/>
        <v>_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Q38" s="2"/>
      <c r="R38" s="2"/>
      <c r="S38" s="11"/>
      <c r="T38" s="1" t="str">
        <f>"owner=" &amp; Tokens!BS38 &amp; "&amp;filename_for_metadata=" &amp; Tokens!BT38 &amp; "&amp;offchaindata_platform=" &amp; $B$17 &amp; "&amp;keyfile=" &amp; $B$5 &amp; "&amp;network=" &amp; LOWER($B$8) &amp; "&amp;repository=" &amp; $B$18</f>
        <v>owner=thomas&amp;filename_for_metadata=AMadonnaDiASierra_COR22B35&amp;offchaindata_platform=MongoDB&amp;keyfile=Paul&amp;network=jsonfiles&amp;repository=test</v>
      </c>
      <c r="U38" s="1" t="str">
        <f t="shared" si="1"/>
        <v>{"name":"A Madonna Di A Sierra #35",_x000D_
"symbol":"COR22B35",_x000D_
"description":"A Madonna Di A Sierra, 3 ans - Pass NFT 5 jours pour 2 personnes, valable pour 3 éditions Calvi On The Rocks de votre choix.",_x000D_
"seller_fee_basis_points":1000,_x000D_
"image":"https://bafybeig7xmla2v3w5c7lngdb43dmzjwtyvicdskanjtpay4wc26dqey35y.ipfs.nftstorage.link?visual25.png",_x000D_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8" s="1" t="str">
        <f>formatRow(Tokens!C$2:I$2,Tokens!C38:I38)</f>
        <v>"name":"A Madonna Di A Sierra #35",_x000D_
"symbol":"COR22B35",_x000D_
"description":"A Madonna Di A Sierra, 3 ans - Pass NFT 5 jours pour 2 personnes, valable pour 3 éditions Calvi On The Rocks de votre choix.",_x000D_
"seller_fee_basis_points":1000,_x000D_
"image":"https://bafybeig7xmla2v3w5c7lngdb43dmzjwtyvicdskanjtpay4wc26dqey35y.ipfs.nftstorage.link?visual25.png",_x000D_
"Issuer":"NfluenT for Calvi On The rocks",_x000D_
"external_url":""</v>
      </c>
      <c r="W38" s="1" t="str">
        <f>formatRow(Tokens!J$2:AV$2,Tokens!J38:AV38,2,"attributes")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8" s="1" t="str">
        <f>formatRow(Tokens!AX$2:BC$2,Tokens!AX38:BC38,2,"creators")</f>
        <v>"creators":[{"address":"paul",_x000D_
"share":10},{"address":"sophie",_x000D_
"share":90}]</v>
      </c>
      <c r="Y38" s="1" t="str">
        <f>formatRow(Tokens!BD$2:BI$2,Tokens!BD38:BI38,2,"files")</f>
        <v>"files":[{"files":"https://bafybeicgtrhjweckx2vfwtyokcngfyecfczyi234bo576emk7czddpc2du.ipfs.nftstorage.link?CALVI_12.mp4",_x000D_
"type":"mp4"}]</v>
      </c>
      <c r="Z38" s="1"/>
      <c r="AA38" s="1"/>
      <c r="AB38" s="1"/>
      <c r="AC38" s="1" t="str">
        <f>formatRow(Tokens!BJ$2:BK$2,Tokens!BJ38:BK38,0,"collection")</f>
        <v>"collection":{"name":"A Madonna Di A Sierra",_x000D_
"family":"Calvi On The Rocks"}</v>
      </c>
      <c r="AD38" s="1"/>
      <c r="AE38" s="1"/>
    </row>
    <row r="39" spans="4:31" ht="14.25" customHeight="1" x14ac:dyDescent="0.25">
      <c r="D39" s="1">
        <f>Tokens!B39</f>
        <v>36</v>
      </c>
      <c r="E39" s="17" t="str">
        <f>IF(Tokens!C39="","",Tokens!C39)</f>
        <v>A Madonna Di A Sierra #36</v>
      </c>
      <c r="F39"/>
      <c r="G39"/>
      <c r="H39"/>
      <c r="I39"/>
      <c r="J39"/>
      <c r="M39"/>
      <c r="N39"/>
      <c r="O39" s="15" t="str">
        <f t="shared" si="0"/>
        <v>_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Q39" s="2"/>
      <c r="R39" s="2"/>
      <c r="S39" s="11"/>
      <c r="T39" s="1" t="str">
        <f>"owner=" &amp; Tokens!BS39 &amp; "&amp;filename_for_metadata=" &amp; Tokens!BT39 &amp; "&amp;offchaindata_platform=" &amp; $B$17 &amp; "&amp;keyfile=" &amp; $B$5 &amp; "&amp;network=" &amp; LOWER($B$8) &amp; "&amp;repository=" &amp; $B$18</f>
        <v>owner=thomas&amp;filename_for_metadata=AMadonnaDiASierra_COR22B36&amp;offchaindata_platform=MongoDB&amp;keyfile=Paul&amp;network=jsonfiles&amp;repository=test</v>
      </c>
      <c r="U39" s="1" t="str">
        <f t="shared" si="1"/>
        <v>{"name":"A Madonna Di A Sierra #36",_x000D_
"symbol":"COR22B36",_x000D_
"description":"A Madonna Di A Sierra, 3 ans - Pass NFT 5 jours pour 2 personnes, valable pour 3 éditions Calvi On The Rocks de votre choix.",_x000D_
"seller_fee_basis_points":1000,_x000D_
"image":"https://bafybeiaylo3bttjf2e3az7rnxpjc752jhuvsgyw634cnxxfhsl4ce2owiq.ipfs.nftstorage.link?visual26.png",_x000D_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39" s="1" t="str">
        <f>formatRow(Tokens!C$2:I$2,Tokens!C39:I39)</f>
        <v>"name":"A Madonna Di A Sierra #36",_x000D_
"symbol":"COR22B36",_x000D_
"description":"A Madonna Di A Sierra, 3 ans - Pass NFT 5 jours pour 2 personnes, valable pour 3 éditions Calvi On The Rocks de votre choix.",_x000D_
"seller_fee_basis_points":1000,_x000D_
"image":"https://bafybeiaylo3bttjf2e3az7rnxpjc752jhuvsgyw634cnxxfhsl4ce2owiq.ipfs.nftstorage.link?visual26.png",_x000D_
"Issuer":"NfluenT for Calvi On The rocks",_x000D_
"external_url":""</v>
      </c>
      <c r="W39" s="1" t="str">
        <f>formatRow(Tokens!J$2:AV$2,Tokens!J39:AV39,2,"attributes")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39" s="1" t="str">
        <f>formatRow(Tokens!AX$2:BC$2,Tokens!AX39:BC39,2,"creators")</f>
        <v>"creators":[{"address":"paul",_x000D_
"share":10},{"address":"sophie",_x000D_
"share":90}]</v>
      </c>
      <c r="Y39" s="1" t="str">
        <f>formatRow(Tokens!BD$2:BI$2,Tokens!BD39:BI39,2,"files")</f>
        <v>"files":[{"files":"https://bafybeicgtrhjweckx2vfwtyokcngfyecfczyi234bo576emk7czddpc2du.ipfs.nftstorage.link?CALVI_12.mp4",_x000D_
"type":"mp4"}]</v>
      </c>
      <c r="Z39" s="1"/>
      <c r="AA39" s="1"/>
      <c r="AB39" s="1"/>
      <c r="AC39" s="1" t="str">
        <f>formatRow(Tokens!BJ$2:BK$2,Tokens!BJ39:BK39,0,"collection")</f>
        <v>"collection":{"name":"A Madonna Di A Sierra",_x000D_
"family":"Calvi On The Rocks"}</v>
      </c>
      <c r="AD39" s="1"/>
      <c r="AE39" s="1"/>
    </row>
    <row r="40" spans="4:31" ht="14.25" customHeight="1" x14ac:dyDescent="0.25">
      <c r="D40" s="1">
        <f>Tokens!B40</f>
        <v>37</v>
      </c>
      <c r="E40" s="17" t="str">
        <f>IF(Tokens!C40="","",Tokens!C40)</f>
        <v>A Madonna Di A Sierra #37</v>
      </c>
      <c r="F40"/>
      <c r="G40"/>
      <c r="H40"/>
      <c r="I40"/>
      <c r="J40"/>
      <c r="M40"/>
      <c r="N40"/>
      <c r="O40" s="15" t="str">
        <f t="shared" si="0"/>
        <v>_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Q40" s="2"/>
      <c r="R40" s="2"/>
      <c r="S40" s="11"/>
      <c r="T40" s="1" t="str">
        <f>"owner=" &amp; Tokens!BS40 &amp; "&amp;filename_for_metadata=" &amp; Tokens!BT40 &amp; "&amp;offchaindata_platform=" &amp; $B$17 &amp; "&amp;keyfile=" &amp; $B$5 &amp; "&amp;network=" &amp; LOWER($B$8) &amp; "&amp;repository=" &amp; $B$18</f>
        <v>owner=thomas&amp;filename_for_metadata=AMadonnaDiASierra_COR22B37&amp;offchaindata_platform=MongoDB&amp;keyfile=Paul&amp;network=jsonfiles&amp;repository=test</v>
      </c>
      <c r="U40" s="1" t="str">
        <f t="shared" si="1"/>
        <v>{"name":"A Madonna Di A Sierra #37",_x000D_
"symbol":"COR22B37",_x000D_
"description":"A Madonna Di A Sierra, 3 ans - Pass NFT 5 jours pour 2 personnes, valable pour 3 éditions Calvi On The Rocks de votre choix.",_x000D_
"seller_fee_basis_points":1000,_x000D_
"image":"https://bafybeibz3hkeupsgmscgttlzdt6iin5zcgigqkge245xc6bglqgguqcgda.ipfs.nftstorage.link?visual27.png",_x000D_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0" s="1" t="str">
        <f>formatRow(Tokens!C$2:I$2,Tokens!C40:I40)</f>
        <v>"name":"A Madonna Di A Sierra #37",_x000D_
"symbol":"COR22B37",_x000D_
"description":"A Madonna Di A Sierra, 3 ans - Pass NFT 5 jours pour 2 personnes, valable pour 3 éditions Calvi On The Rocks de votre choix.",_x000D_
"seller_fee_basis_points":1000,_x000D_
"image":"https://bafybeibz3hkeupsgmscgttlzdt6iin5zcgigqkge245xc6bglqgguqcgda.ipfs.nftstorage.link?visual27.png",_x000D_
"Issuer":"NfluenT for Calvi On The rocks",_x000D_
"external_url":""</v>
      </c>
      <c r="W40" s="1" t="str">
        <f>formatRow(Tokens!J$2:AV$2,Tokens!J40:AV40,2,"attributes")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0" s="1" t="str">
        <f>formatRow(Tokens!AX$2:BC$2,Tokens!AX40:BC40,2,"creators")</f>
        <v>"creators":[{"address":"paul",_x000D_
"share":10},{"address":"sophie",_x000D_
"share":90}]</v>
      </c>
      <c r="Y40" s="1" t="str">
        <f>formatRow(Tokens!BD$2:BI$2,Tokens!BD40:BI40,2,"files")</f>
        <v>"files":[{"files":"https://bafybeicgtrhjweckx2vfwtyokcngfyecfczyi234bo576emk7czddpc2du.ipfs.nftstorage.link?CALVI_12.mp4",_x000D_
"type":"mp4"}]</v>
      </c>
      <c r="Z40" s="1"/>
      <c r="AA40" s="1"/>
      <c r="AB40" s="1"/>
      <c r="AC40" s="1" t="str">
        <f>formatRow(Tokens!BJ$2:BK$2,Tokens!BJ40:BK40,0,"collection")</f>
        <v>"collection":{"name":"A Madonna Di A Sierra",_x000D_
"family":"Calvi On The Rocks"}</v>
      </c>
      <c r="AD40" s="1"/>
      <c r="AE40" s="1"/>
    </row>
    <row r="41" spans="4:31" ht="14.25" customHeight="1" x14ac:dyDescent="0.25">
      <c r="D41" s="1">
        <f>Tokens!B41</f>
        <v>38</v>
      </c>
      <c r="E41" s="17" t="str">
        <f>IF(Tokens!C41="","",Tokens!C41)</f>
        <v>A Madonna Di A Sierra #38</v>
      </c>
      <c r="F41"/>
      <c r="G41"/>
      <c r="H41"/>
      <c r="I41"/>
      <c r="J41"/>
      <c r="M41"/>
      <c r="N41"/>
      <c r="O41" s="15" t="str">
        <f t="shared" si="0"/>
        <v>_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Q41" s="2"/>
      <c r="R41" s="2"/>
      <c r="S41" s="11"/>
      <c r="T41" s="1" t="str">
        <f>"owner=" &amp; Tokens!BS41 &amp; "&amp;filename_for_metadata=" &amp; Tokens!BT41 &amp; "&amp;offchaindata_platform=" &amp; $B$17 &amp; "&amp;keyfile=" &amp; $B$5 &amp; "&amp;network=" &amp; LOWER($B$8) &amp; "&amp;repository=" &amp; $B$18</f>
        <v>owner=thomas&amp;filename_for_metadata=AMadonnaDiASierra_COR22B38&amp;offchaindata_platform=MongoDB&amp;keyfile=Paul&amp;network=jsonfiles&amp;repository=test</v>
      </c>
      <c r="U41" s="1" t="str">
        <f t="shared" si="1"/>
        <v>{"name":"A Madonna Di A Sierra #38",_x000D_
"symbol":"COR22B38",_x000D_
"description":"A Madonna Di A Sierra, 3 ans - Pass NFT 5 jours pour 2 personnes, valable pour 3 éditions Calvi On The Rocks de votre choix.",_x000D_
"seller_fee_basis_points":1000,_x000D_
"image":"https://bafybeiftbctvtrbh5jvq5y4ci3nh6poyczei3fkajqcnbvtxrbfaf32xum.ipfs.nftstorage.link?visual28.png",_x000D_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1" s="1" t="str">
        <f>formatRow(Tokens!C$2:I$2,Tokens!C41:I41)</f>
        <v>"name":"A Madonna Di A Sierra #38",_x000D_
"symbol":"COR22B38",_x000D_
"description":"A Madonna Di A Sierra, 3 ans - Pass NFT 5 jours pour 2 personnes, valable pour 3 éditions Calvi On The Rocks de votre choix.",_x000D_
"seller_fee_basis_points":1000,_x000D_
"image":"https://bafybeiftbctvtrbh5jvq5y4ci3nh6poyczei3fkajqcnbvtxrbfaf32xum.ipfs.nftstorage.link?visual28.png",_x000D_
"Issuer":"NfluenT for Calvi On The rocks",_x000D_
"external_url":""</v>
      </c>
      <c r="W41" s="1" t="str">
        <f>formatRow(Tokens!J$2:AV$2,Tokens!J41:AV41,2,"attributes")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1" s="1" t="str">
        <f>formatRow(Tokens!AX$2:BC$2,Tokens!AX41:BC41,2,"creators")</f>
        <v>"creators":[{"address":"paul",_x000D_
"share":10},{"address":"sophie",_x000D_
"share":90}]</v>
      </c>
      <c r="Y41" s="1" t="str">
        <f>formatRow(Tokens!BD$2:BI$2,Tokens!BD41:BI41,2,"files")</f>
        <v>"files":[{"files":"https://bafybeicgtrhjweckx2vfwtyokcngfyecfczyi234bo576emk7czddpc2du.ipfs.nftstorage.link?CALVI_12.mp4",_x000D_
"type":"mp4"}]</v>
      </c>
      <c r="Z41" s="1"/>
      <c r="AA41" s="1"/>
      <c r="AB41" s="1"/>
      <c r="AC41" s="1" t="str">
        <f>formatRow(Tokens!BJ$2:BK$2,Tokens!BJ41:BK41,0,"collection")</f>
        <v>"collection":{"name":"A Madonna Di A Sierra",_x000D_
"family":"Calvi On The Rocks"}</v>
      </c>
      <c r="AD41" s="1"/>
      <c r="AE41" s="1"/>
    </row>
    <row r="42" spans="4:31" ht="14.25" customHeight="1" x14ac:dyDescent="0.25">
      <c r="D42" s="1">
        <f>Tokens!B42</f>
        <v>39</v>
      </c>
      <c r="E42" s="17" t="str">
        <f>IF(Tokens!C42="","",Tokens!C42)</f>
        <v>A Madonna Di A Sierra #39</v>
      </c>
      <c r="F42"/>
      <c r="G42"/>
      <c r="H42"/>
      <c r="I42"/>
      <c r="J42"/>
      <c r="M42"/>
      <c r="N42"/>
      <c r="O42" s="15" t="str">
        <f t="shared" si="0"/>
        <v>_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Q42" s="2"/>
      <c r="R42" s="2"/>
      <c r="S42" s="11"/>
      <c r="T42" s="1" t="str">
        <f>"owner=" &amp; Tokens!BS42 &amp; "&amp;filename_for_metadata=" &amp; Tokens!BT42 &amp; "&amp;offchaindata_platform=" &amp; $B$17 &amp; "&amp;keyfile=" &amp; $B$5 &amp; "&amp;network=" &amp; LOWER($B$8) &amp; "&amp;repository=" &amp; $B$18</f>
        <v>owner=thomas&amp;filename_for_metadata=AMadonnaDiASierra_COR22B39&amp;offchaindata_platform=MongoDB&amp;keyfile=Paul&amp;network=jsonfiles&amp;repository=test</v>
      </c>
      <c r="U42" s="1" t="str">
        <f t="shared" si="1"/>
        <v>{"name":"A Madonna Di A Sierra #39",_x000D_
"symbol":"COR22B39",_x000D_
"description":"A Madonna Di A Sierra, 3 ans - Pass NFT 5 jours pour 2 personnes, valable pour 3 éditions Calvi On The Rocks de votre choix.",_x000D_
"seller_fee_basis_points":1000,_x000D_
"image":"https://bafybeigwilgv2i5u5numqngwbfwc7wbrwlxjfz5oijbko36epe4tdtn4pe.ipfs.nftstorage.link?visual29.png",_x000D_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2" s="1" t="str">
        <f>formatRow(Tokens!C$2:I$2,Tokens!C42:I42)</f>
        <v>"name":"A Madonna Di A Sierra #39",_x000D_
"symbol":"COR22B39",_x000D_
"description":"A Madonna Di A Sierra, 3 ans - Pass NFT 5 jours pour 2 personnes, valable pour 3 éditions Calvi On The Rocks de votre choix.",_x000D_
"seller_fee_basis_points":1000,_x000D_
"image":"https://bafybeigwilgv2i5u5numqngwbfwc7wbrwlxjfz5oijbko36epe4tdtn4pe.ipfs.nftstorage.link?visual29.png",_x000D_
"Issuer":"NfluenT for Calvi On The rocks",_x000D_
"external_url":""</v>
      </c>
      <c r="W42" s="1" t="str">
        <f>formatRow(Tokens!J$2:AV$2,Tokens!J42:AV42,2,"attributes")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2" s="1" t="str">
        <f>formatRow(Tokens!AX$2:BC$2,Tokens!AX42:BC42,2,"creators")</f>
        <v>"creators":[{"address":"paul",_x000D_
"share":10},{"address":"sophie",_x000D_
"share":90}]</v>
      </c>
      <c r="Y42" s="1" t="str">
        <f>formatRow(Tokens!BD$2:BI$2,Tokens!BD42:BI42,2,"files")</f>
        <v>"files":[{"files":"https://bafybeicgtrhjweckx2vfwtyokcngfyecfczyi234bo576emk7czddpc2du.ipfs.nftstorage.link?CALVI_12.mp4",_x000D_
"type":"mp4"}]</v>
      </c>
      <c r="Z42" s="1"/>
      <c r="AA42" s="1"/>
      <c r="AB42" s="1"/>
      <c r="AC42" s="1" t="str">
        <f>formatRow(Tokens!BJ$2:BK$2,Tokens!BJ42:BK42,0,"collection")</f>
        <v>"collection":{"name":"A Madonna Di A Sierra",_x000D_
"family":"Calvi On The Rocks"}</v>
      </c>
      <c r="AD42" s="1"/>
      <c r="AE42" s="1"/>
    </row>
    <row r="43" spans="4:31" ht="14.25" customHeight="1" x14ac:dyDescent="0.25">
      <c r="E43" s="17" t="str">
        <f>IF(Tokens!C43="","",Tokens!C43)</f>
        <v>A Madonna Di A Sierra #40</v>
      </c>
      <c r="F43"/>
      <c r="G43"/>
      <c r="H43"/>
      <c r="I43"/>
      <c r="J43"/>
      <c r="M43"/>
      <c r="N43"/>
      <c r="O43" s="15" t="str">
        <f t="shared" si="0"/>
        <v>_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Q43" s="2"/>
      <c r="R43" s="2"/>
      <c r="S43" s="11"/>
      <c r="T43" s="1" t="str">
        <f>"owner=" &amp; Tokens!BS43 &amp; "&amp;filename_for_metadata=" &amp; Tokens!BT43 &amp; "&amp;offchaindata_platform=" &amp; $B$17 &amp; "&amp;keyfile=" &amp; $B$5 &amp; "&amp;network=" &amp; LOWER($B$8) &amp; "&amp;repository=" &amp; $B$18</f>
        <v>owner=thomas&amp;filename_for_metadata=AMadonnaDiASierra_COR22B40&amp;offchaindata_platform=MongoDB&amp;keyfile=Paul&amp;network=jsonfiles&amp;repository=test</v>
      </c>
      <c r="U43" s="1" t="str">
        <f t="shared" si="1"/>
        <v>{"name":"A Madonna Di A Sierra #40",_x000D_
"symbol":"COR22B40",_x000D_
"description":"A Madonna Di A Sierra, 3 ans - Pass NFT 5 jours pour 2 personnes, valable pour 3 éditions Calvi On The Rocks de votre choix.",_x000D_
"seller_fee_basis_points":1000,_x000D_
"image":"https://bafybeiaqsm5jtxm2xzqesrbuwjw7hg6evn6sntwtahomckn7wmkfg6xsci.ipfs.nftstorage.link?visual30.png",_x000D_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3" s="1" t="str">
        <f>formatRow(Tokens!C$2:I$2,Tokens!C43:I43)</f>
        <v>"name":"A Madonna Di A Sierra #40",_x000D_
"symbol":"COR22B40",_x000D_
"description":"A Madonna Di A Sierra, 3 ans - Pass NFT 5 jours pour 2 personnes, valable pour 3 éditions Calvi On The Rocks de votre choix.",_x000D_
"seller_fee_basis_points":1000,_x000D_
"image":"https://bafybeiaqsm5jtxm2xzqesrbuwjw7hg6evn6sntwtahomckn7wmkfg6xsci.ipfs.nftstorage.link?visual30.png",_x000D_
"Issuer":"NfluenT for Calvi On The rocks",_x000D_
"external_url":""</v>
      </c>
      <c r="W43" s="1" t="str">
        <f>formatRow(Tokens!J$2:AV$2,Tokens!J43:AV43,2,"attributes")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3" s="1" t="str">
        <f>formatRow(Tokens!AX$2:BC$2,Tokens!AX43:BC43,2,"creators")</f>
        <v>"creators":[{"address":"paul",_x000D_
"share":10},{"address":"sophie",_x000D_
"share":90}]</v>
      </c>
      <c r="Y43" s="1" t="str">
        <f>formatRow(Tokens!BD$2:BI$2,Tokens!BD43:BI43,2,"files")</f>
        <v>"files":[{"files":"https://bafybeicgtrhjweckx2vfwtyokcngfyecfczyi234bo576emk7czddpc2du.ipfs.nftstorage.link?CALVI_12.mp4",_x000D_
"type":"mp4"}]</v>
      </c>
      <c r="Z43" s="1"/>
      <c r="AA43" s="1"/>
      <c r="AB43" s="1"/>
      <c r="AC43" s="1" t="str">
        <f>formatRow(Tokens!BJ$2:BK$2,Tokens!BJ43:BK43,0,"collection")</f>
        <v>"collection":{"name":"A Madonna Di A Sierra",_x000D_
"family":"Calvi On The Rocks"}</v>
      </c>
      <c r="AD43" s="1"/>
      <c r="AE43" s="1"/>
    </row>
    <row r="44" spans="4:31" ht="14.25" customHeight="1" x14ac:dyDescent="0.25">
      <c r="E44" s="17" t="str">
        <f>IF(Tokens!C44="","",Tokens!C44)</f>
        <v>A Madonna Di A Sierra #41</v>
      </c>
      <c r="F44"/>
      <c r="G44"/>
      <c r="H44"/>
      <c r="I44"/>
      <c r="J44"/>
      <c r="M44"/>
      <c r="N44"/>
      <c r="O44" s="15" t="str">
        <f t="shared" si="0"/>
        <v>_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Q44" s="2"/>
      <c r="R44" s="2"/>
      <c r="S44" s="11"/>
      <c r="T44" s="1" t="str">
        <f>"owner=" &amp; Tokens!BS44 &amp; "&amp;filename_for_metadata=" &amp; Tokens!BT44 &amp; "&amp;offchaindata_platform=" &amp; $B$17 &amp; "&amp;keyfile=" &amp; $B$5 &amp; "&amp;network=" &amp; LOWER($B$8) &amp; "&amp;repository=" &amp; $B$18</f>
        <v>owner=thomas&amp;filename_for_metadata=AMadonnaDiASierra_COR22B41&amp;offchaindata_platform=MongoDB&amp;keyfile=Paul&amp;network=jsonfiles&amp;repository=test</v>
      </c>
      <c r="U44" s="1" t="str">
        <f t="shared" si="1"/>
        <v>{"name":"A Madonna Di A Sierra #41",_x000D_
"symbol":"COR22B41",_x000D_
"description":"A Madonna Di A Sierra, 3 ans - Pass NFT 5 jours pour 2 personnes, valable pour 3 éditions Calvi On The Rocks de votre choix.",_x000D_
"seller_fee_basis_points":1000,_x000D_
"image":"https://bafybeicfi5p5wry5tnu3xqqi3yjvvgicf6f2yg4ehs7xt2y7fckdofflk4.ipfs.nftstorage.link?visual31.png",_x000D_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4" s="1" t="str">
        <f>formatRow(Tokens!C$2:I$2,Tokens!C44:I44)</f>
        <v>"name":"A Madonna Di A Sierra #41",_x000D_
"symbol":"COR22B41",_x000D_
"description":"A Madonna Di A Sierra, 3 ans - Pass NFT 5 jours pour 2 personnes, valable pour 3 éditions Calvi On The Rocks de votre choix.",_x000D_
"seller_fee_basis_points":1000,_x000D_
"image":"https://bafybeicfi5p5wry5tnu3xqqi3yjvvgicf6f2yg4ehs7xt2y7fckdofflk4.ipfs.nftstorage.link?visual31.png",_x000D_
"Issuer":"NfluenT for Calvi On The rocks",_x000D_
"external_url":""</v>
      </c>
      <c r="W44" s="1" t="str">
        <f>formatRow(Tokens!J$2:AV$2,Tokens!J44:AV44,2,"attributes")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4" s="1" t="str">
        <f>formatRow(Tokens!AX$2:BC$2,Tokens!AX44:BC44,2,"creators")</f>
        <v>"creators":[{"address":"paul",_x000D_
"share":10},{"address":"sophie",_x000D_
"share":90}]</v>
      </c>
      <c r="Y44" s="1" t="str">
        <f>formatRow(Tokens!BD$2:BI$2,Tokens!BD44:BI44,2,"files")</f>
        <v>"files":[{"files":"https://bafybeicgtrhjweckx2vfwtyokcngfyecfczyi234bo576emk7czddpc2du.ipfs.nftstorage.link?CALVI_12.mp4",_x000D_
"type":"mp4"}]</v>
      </c>
      <c r="Z44" s="1"/>
      <c r="AA44" s="1"/>
      <c r="AB44" s="1"/>
      <c r="AC44" s="1" t="str">
        <f>formatRow(Tokens!BJ$2:BK$2,Tokens!BJ44:BK44,0,"collection")</f>
        <v>"collection":{"name":"A Madonna Di A Sierra",_x000D_
"family":"Calvi On The Rocks"}</v>
      </c>
      <c r="AD44" s="1"/>
      <c r="AE44" s="1"/>
    </row>
    <row r="45" spans="4:31" ht="14.25" customHeight="1" x14ac:dyDescent="0.25">
      <c r="E45" s="17" t="str">
        <f>IF(Tokens!C45="","",Tokens!C45)</f>
        <v>A Madonna Di A Sierra #42</v>
      </c>
      <c r="F45"/>
      <c r="G45"/>
      <c r="H45"/>
      <c r="I45"/>
      <c r="J45"/>
      <c r="M45"/>
      <c r="N45"/>
      <c r="O45" s="15" t="str">
        <f t="shared" si="0"/>
        <v>_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Q45" s="2"/>
      <c r="R45" s="2"/>
      <c r="S45" s="11"/>
      <c r="T45" s="1" t="str">
        <f>"owner=" &amp; Tokens!BS45 &amp; "&amp;filename_for_metadata=" &amp; Tokens!BT45 &amp; "&amp;offchaindata_platform=" &amp; $B$17 &amp; "&amp;keyfile=" &amp; $B$5 &amp; "&amp;network=" &amp; LOWER($B$8) &amp; "&amp;repository=" &amp; $B$18</f>
        <v>owner=thomas&amp;filename_for_metadata=AMadonnaDiASierra_COR22B42&amp;offchaindata_platform=MongoDB&amp;keyfile=Paul&amp;network=jsonfiles&amp;repository=test</v>
      </c>
      <c r="U45" s="1" t="str">
        <f t="shared" si="1"/>
        <v>{"name":"A Madonna Di A Sierra #42",_x000D_
"symbol":"COR22B42",_x000D_
"description":"A Madonna Di A Sierra, 3 ans - Pass NFT 5 jours pour 2 personnes, valable pour 3 éditions Calvi On The Rocks de votre choix.",_x000D_
"seller_fee_basis_points":1000,_x000D_
"image":"https://bafybeih6ebsj4kh2je66d74zt45kguwojpfw5abt3vz634qedwppeeax64.ipfs.nftstorage.link?visual32.png",_x000D_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5" s="1" t="str">
        <f>formatRow(Tokens!C$2:I$2,Tokens!C45:I45)</f>
        <v>"name":"A Madonna Di A Sierra #42",_x000D_
"symbol":"COR22B42",_x000D_
"description":"A Madonna Di A Sierra, 3 ans - Pass NFT 5 jours pour 2 personnes, valable pour 3 éditions Calvi On The Rocks de votre choix.",_x000D_
"seller_fee_basis_points":1000,_x000D_
"image":"https://bafybeih6ebsj4kh2je66d74zt45kguwojpfw5abt3vz634qedwppeeax64.ipfs.nftstorage.link?visual32.png",_x000D_
"Issuer":"NfluenT for Calvi On The rocks",_x000D_
"external_url":""</v>
      </c>
      <c r="W45" s="1" t="str">
        <f>formatRow(Tokens!J$2:AV$2,Tokens!J45:AV45,2,"attributes")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5" s="1" t="str">
        <f>formatRow(Tokens!AX$2:BC$2,Tokens!AX45:BC45,2,"creators")</f>
        <v>"creators":[{"address":"paul",_x000D_
"share":10},{"address":"sophie",_x000D_
"share":90}]</v>
      </c>
      <c r="Y45" s="1" t="str">
        <f>formatRow(Tokens!BD$2:BI$2,Tokens!BD45:BI45,2,"files")</f>
        <v>"files":[{"files":"https://bafybeicgtrhjweckx2vfwtyokcngfyecfczyi234bo576emk7czddpc2du.ipfs.nftstorage.link?CALVI_12.mp4",_x000D_
"type":"mp4"}]</v>
      </c>
      <c r="Z45" s="1"/>
      <c r="AA45" s="1"/>
      <c r="AB45" s="1"/>
      <c r="AC45" s="1" t="str">
        <f>formatRow(Tokens!BJ$2:BK$2,Tokens!BJ45:BK45,0,"collection")</f>
        <v>"collection":{"name":"A Madonna Di A Sierra",_x000D_
"family":"Calvi On The Rocks"}</v>
      </c>
      <c r="AD45" s="1"/>
      <c r="AE45" s="1"/>
    </row>
    <row r="46" spans="4:31" ht="14.25" customHeight="1" x14ac:dyDescent="0.25">
      <c r="E46" s="17" t="str">
        <f>IF(Tokens!C46="","",Tokens!C46)</f>
        <v>A Madonna Di A Sierra #43</v>
      </c>
      <c r="F46"/>
      <c r="G46"/>
      <c r="H46"/>
      <c r="I46"/>
      <c r="J46"/>
      <c r="M46"/>
      <c r="N46"/>
      <c r="O46" s="15" t="str">
        <f t="shared" si="0"/>
        <v>_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Q46" s="2"/>
      <c r="R46" s="2"/>
      <c r="S46" s="11"/>
      <c r="T46" s="1" t="str">
        <f>"owner=" &amp; Tokens!BS46 &amp; "&amp;filename_for_metadata=" &amp; Tokens!BT46 &amp; "&amp;offchaindata_platform=" &amp; $B$17 &amp; "&amp;keyfile=" &amp; $B$5 &amp; "&amp;network=" &amp; LOWER($B$8) &amp; "&amp;repository=" &amp; $B$18</f>
        <v>owner=thomas&amp;filename_for_metadata=AMadonnaDiASierra_COR22B43&amp;offchaindata_platform=MongoDB&amp;keyfile=Paul&amp;network=jsonfiles&amp;repository=test</v>
      </c>
      <c r="U46" s="1" t="str">
        <f t="shared" si="1"/>
        <v>{"name":"A Madonna Di A Sierra #43",_x000D_
"symbol":"COR22B43",_x000D_
"description":"A Madonna Di A Sierra, 3 ans - Pass NFT 5 jours pour 2 personnes, valable pour 3 éditions Calvi On The Rocks de votre choix.",_x000D_
"seller_fee_basis_points":1000,_x000D_
"image":"https://bafybeic4iywdosthoae7sx7naxozvooy5qjxugmisd6n3qpjdfssx2z5q4.ipfs.nftstorage.link?visual33.png",_x000D_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6" s="1" t="str">
        <f>formatRow(Tokens!C$2:I$2,Tokens!C46:I46)</f>
        <v>"name":"A Madonna Di A Sierra #43",_x000D_
"symbol":"COR22B43",_x000D_
"description":"A Madonna Di A Sierra, 3 ans - Pass NFT 5 jours pour 2 personnes, valable pour 3 éditions Calvi On The Rocks de votre choix.",_x000D_
"seller_fee_basis_points":1000,_x000D_
"image":"https://bafybeic4iywdosthoae7sx7naxozvooy5qjxugmisd6n3qpjdfssx2z5q4.ipfs.nftstorage.link?visual33.png",_x000D_
"Issuer":"NfluenT for Calvi On The rocks",_x000D_
"external_url":""</v>
      </c>
      <c r="W46" s="1" t="str">
        <f>formatRow(Tokens!J$2:AV$2,Tokens!J46:AV46,2,"attributes")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6" s="1" t="str">
        <f>formatRow(Tokens!AX$2:BC$2,Tokens!AX46:BC46,2,"creators")</f>
        <v>"creators":[{"address":"paul",_x000D_
"share":10},{"address":"sophie",_x000D_
"share":90}]</v>
      </c>
      <c r="Y46" s="1" t="str">
        <f>formatRow(Tokens!BD$2:BI$2,Tokens!BD46:BI46,2,"files")</f>
        <v>"files":[{"files":"https://bafybeicgtrhjweckx2vfwtyokcngfyecfczyi234bo576emk7czddpc2du.ipfs.nftstorage.link?CALVI_12.mp4",_x000D_
"type":"mp4"}]</v>
      </c>
      <c r="Z46" s="1"/>
      <c r="AA46" s="1"/>
      <c r="AB46" s="1"/>
      <c r="AC46" s="1" t="str">
        <f>formatRow(Tokens!BJ$2:BK$2,Tokens!BJ46:BK46,0,"collection")</f>
        <v>"collection":{"name":"A Madonna Di A Sierra",_x000D_
"family":"Calvi On The Rocks"}</v>
      </c>
      <c r="AD46" s="1"/>
      <c r="AE46" s="1"/>
    </row>
    <row r="47" spans="4:31" ht="14.25" customHeight="1" x14ac:dyDescent="0.25">
      <c r="E47" s="17" t="str">
        <f>IF(Tokens!C47="","",Tokens!C47)</f>
        <v>A Madonna Di A Sierra #44</v>
      </c>
      <c r="F47"/>
      <c r="G47"/>
      <c r="H47"/>
      <c r="I47"/>
      <c r="J47"/>
      <c r="M47"/>
      <c r="N47"/>
      <c r="O47" s="15" t="str">
        <f t="shared" si="0"/>
        <v>_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Q47" s="2"/>
      <c r="R47" s="2"/>
      <c r="S47" s="11"/>
      <c r="T47" s="1" t="str">
        <f>"owner=" &amp; Tokens!BS47 &amp; "&amp;filename_for_metadata=" &amp; Tokens!BT47 &amp; "&amp;offchaindata_platform=" &amp; $B$17 &amp; "&amp;keyfile=" &amp; $B$5 &amp; "&amp;network=" &amp; LOWER($B$8) &amp; "&amp;repository=" &amp; $B$18</f>
        <v>owner=thomas&amp;filename_for_metadata=AMadonnaDiASierra_COR22B44&amp;offchaindata_platform=MongoDB&amp;keyfile=Paul&amp;network=jsonfiles&amp;repository=test</v>
      </c>
      <c r="U47" s="1" t="str">
        <f t="shared" si="1"/>
        <v>{"name":"A Madonna Di A Sierra #44",_x000D_
"symbol":"COR22B44",_x000D_
"description":"A Madonna Di A Sierra, 3 ans - Pass NFT 5 jours pour 2 personnes, valable pour 3 éditions Calvi On The Rocks de votre choix.",_x000D_
"seller_fee_basis_points":1000,_x000D_
"image":"https://bafybeibwhe3eb2raspitclkahb4n5feuiatafg4z4rhlvg3mn3lvd6t3qe.ipfs.nftstorage.link?visual34.png",_x000D_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7" s="1" t="str">
        <f>formatRow(Tokens!C$2:I$2,Tokens!C47:I47)</f>
        <v>"name":"A Madonna Di A Sierra #44",_x000D_
"symbol":"COR22B44",_x000D_
"description":"A Madonna Di A Sierra, 3 ans - Pass NFT 5 jours pour 2 personnes, valable pour 3 éditions Calvi On The Rocks de votre choix.",_x000D_
"seller_fee_basis_points":1000,_x000D_
"image":"https://bafybeibwhe3eb2raspitclkahb4n5feuiatafg4z4rhlvg3mn3lvd6t3qe.ipfs.nftstorage.link?visual34.png",_x000D_
"Issuer":"NfluenT for Calvi On The rocks",_x000D_
"external_url":""</v>
      </c>
      <c r="W47" s="1" t="str">
        <f>formatRow(Tokens!J$2:AV$2,Tokens!J47:AV47,2,"attributes")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7" s="1" t="str">
        <f>formatRow(Tokens!AX$2:BC$2,Tokens!AX47:BC47,2,"creators")</f>
        <v>"creators":[{"address":"paul",_x000D_
"share":10},{"address":"sophie",_x000D_
"share":90}]</v>
      </c>
      <c r="Y47" s="1" t="str">
        <f>formatRow(Tokens!BD$2:BI$2,Tokens!BD47:BI47,2,"files")</f>
        <v>"files":[{"files":"https://bafybeicgtrhjweckx2vfwtyokcngfyecfczyi234bo576emk7czddpc2du.ipfs.nftstorage.link?CALVI_12.mp4",_x000D_
"type":"mp4"}]</v>
      </c>
      <c r="Z47" s="1"/>
      <c r="AA47" s="1"/>
      <c r="AB47" s="1"/>
      <c r="AC47" s="1" t="str">
        <f>formatRow(Tokens!BJ$2:BK$2,Tokens!BJ47:BK47,0,"collection")</f>
        <v>"collection":{"name":"A Madonna Di A Sierra",_x000D_
"family":"Calvi On The Rocks"}</v>
      </c>
      <c r="AD47" s="1"/>
      <c r="AE47" s="1"/>
    </row>
    <row r="48" spans="4:31" ht="14.25" customHeight="1" x14ac:dyDescent="0.25">
      <c r="E48" s="17" t="str">
        <f>IF(Tokens!C48="","",Tokens!C48)</f>
        <v>A Madonna Di A Sierra #45</v>
      </c>
      <c r="F48"/>
      <c r="G48"/>
      <c r="H48"/>
      <c r="I48"/>
      <c r="J48"/>
      <c r="M48"/>
      <c r="N48"/>
      <c r="O48" s="15" t="str">
        <f t="shared" si="0"/>
        <v>_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Q48" s="2"/>
      <c r="R48" s="2"/>
      <c r="S48" s="11"/>
      <c r="T48" s="1" t="str">
        <f>"owner=" &amp; Tokens!BS48 &amp; "&amp;filename_for_metadata=" &amp; Tokens!BT48 &amp; "&amp;offchaindata_platform=" &amp; $B$17 &amp; "&amp;keyfile=" &amp; $B$5 &amp; "&amp;network=" &amp; LOWER($B$8) &amp; "&amp;repository=" &amp; $B$18</f>
        <v>owner=thomas&amp;filename_for_metadata=AMadonnaDiASierra_COR22B45&amp;offchaindata_platform=MongoDB&amp;keyfile=Paul&amp;network=jsonfiles&amp;repository=test</v>
      </c>
      <c r="U48" s="1" t="str">
        <f t="shared" si="1"/>
        <v>{"name":"A Madonna Di A Sierra #45",_x000D_
"symbol":"COR22B45",_x000D_
"description":"A Madonna Di A Sierra, 3 ans - Pass NFT 5 jours pour 2 personnes, valable pour 3 éditions Calvi On The Rocks de votre choix.",_x000D_
"seller_fee_basis_points":1000,_x000D_
"image":"https://bafybeigyzokddccwnjtwtruf5cfzlyactcbrnr2acdcroosijeadgwx2am.ipfs.nftstorage.link?visual35.png",_x000D_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8" s="1" t="str">
        <f>formatRow(Tokens!C$2:I$2,Tokens!C48:I48)</f>
        <v>"name":"A Madonna Di A Sierra #45",_x000D_
"symbol":"COR22B45",_x000D_
"description":"A Madonna Di A Sierra, 3 ans - Pass NFT 5 jours pour 2 personnes, valable pour 3 éditions Calvi On The Rocks de votre choix.",_x000D_
"seller_fee_basis_points":1000,_x000D_
"image":"https://bafybeigyzokddccwnjtwtruf5cfzlyactcbrnr2acdcroosijeadgwx2am.ipfs.nftstorage.link?visual35.png",_x000D_
"Issuer":"NfluenT for Calvi On The rocks",_x000D_
"external_url":""</v>
      </c>
      <c r="W48" s="1" t="str">
        <f>formatRow(Tokens!J$2:AV$2,Tokens!J48:AV48,2,"attributes")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8" s="1" t="str">
        <f>formatRow(Tokens!AX$2:BC$2,Tokens!AX48:BC48,2,"creators")</f>
        <v>"creators":[{"address":"paul",_x000D_
"share":10},{"address":"sophie",_x000D_
"share":90}]</v>
      </c>
      <c r="Y48" s="1" t="str">
        <f>formatRow(Tokens!BD$2:BI$2,Tokens!BD48:BI48,2,"files")</f>
        <v>"files":[{"files":"https://bafybeicgtrhjweckx2vfwtyokcngfyecfczyi234bo576emk7czddpc2du.ipfs.nftstorage.link?CALVI_12.mp4",_x000D_
"type":"mp4"}]</v>
      </c>
      <c r="Z48" s="1"/>
      <c r="AA48" s="1"/>
      <c r="AB48" s="1"/>
      <c r="AC48" s="1" t="str">
        <f>formatRow(Tokens!BJ$2:BK$2,Tokens!BJ48:BK48,0,"collection")</f>
        <v>"collection":{"name":"A Madonna Di A Sierra",_x000D_
"family":"Calvi On The Rocks"}</v>
      </c>
      <c r="AD48" s="1"/>
      <c r="AE48" s="1"/>
    </row>
    <row r="49" spans="5:31" ht="14.25" customHeight="1" x14ac:dyDescent="0.25">
      <c r="E49" s="17" t="str">
        <f>IF(Tokens!C49="","",Tokens!C49)</f>
        <v>A Madonna Di A Sierra #46</v>
      </c>
      <c r="F49"/>
      <c r="G49"/>
      <c r="H49"/>
      <c r="I49"/>
      <c r="J49"/>
      <c r="M49"/>
      <c r="N49"/>
      <c r="O49" s="15" t="str">
        <f t="shared" si="0"/>
        <v>_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Q49" s="2"/>
      <c r="R49" s="2"/>
      <c r="S49" s="11"/>
      <c r="T49" s="1" t="str">
        <f>"owner=" &amp; Tokens!BS49 &amp; "&amp;filename_for_metadata=" &amp; Tokens!BT49 &amp; "&amp;offchaindata_platform=" &amp; $B$17 &amp; "&amp;keyfile=" &amp; $B$5 &amp; "&amp;network=" &amp; LOWER($B$8) &amp; "&amp;repository=" &amp; $B$18</f>
        <v>owner=thomas&amp;filename_for_metadata=AMadonnaDiASierra_COR22B46&amp;offchaindata_platform=MongoDB&amp;keyfile=Paul&amp;network=jsonfiles&amp;repository=test</v>
      </c>
      <c r="U49" s="1" t="str">
        <f t="shared" si="1"/>
        <v>{"name":"A Madonna Di A Sierra #46",_x000D_
"symbol":"COR22B46",_x000D_
"description":"A Madonna Di A Sierra, 3 ans - Pass NFT 5 jours pour 2 personnes, valable pour 3 éditions Calvi On The Rocks de votre choix.",_x000D_
"seller_fee_basis_points":1000,_x000D_
"image":"https://bafybeiatxdt5maa6nsgffztw27ftrvby7pzdjrip3j4pyn7ukvxtho2p5y.ipfs.nftstorage.link?visual36.png",_x000D_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49" s="1" t="str">
        <f>formatRow(Tokens!C$2:I$2,Tokens!C49:I49)</f>
        <v>"name":"A Madonna Di A Sierra #46",_x000D_
"symbol":"COR22B46",_x000D_
"description":"A Madonna Di A Sierra, 3 ans - Pass NFT 5 jours pour 2 personnes, valable pour 3 éditions Calvi On The Rocks de votre choix.",_x000D_
"seller_fee_basis_points":1000,_x000D_
"image":"https://bafybeiatxdt5maa6nsgffztw27ftrvby7pzdjrip3j4pyn7ukvxtho2p5y.ipfs.nftstorage.link?visual36.png",_x000D_
"Issuer":"NfluenT for Calvi On The rocks",_x000D_
"external_url":""</v>
      </c>
      <c r="W49" s="1" t="str">
        <f>formatRow(Tokens!J$2:AV$2,Tokens!J49:AV49,2,"attributes")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49" s="1" t="str">
        <f>formatRow(Tokens!AX$2:BC$2,Tokens!AX49:BC49,2,"creators")</f>
        <v>"creators":[{"address":"paul",_x000D_
"share":10},{"address":"sophie",_x000D_
"share":90}]</v>
      </c>
      <c r="Y49" s="1" t="str">
        <f>formatRow(Tokens!BD$2:BI$2,Tokens!BD49:BI49,2,"files")</f>
        <v>"files":[{"files":"https://bafybeicgtrhjweckx2vfwtyokcngfyecfczyi234bo576emk7czddpc2du.ipfs.nftstorage.link?CALVI_12.mp4",_x000D_
"type":"mp4"}]</v>
      </c>
      <c r="Z49" s="1"/>
      <c r="AA49" s="1"/>
      <c r="AB49" s="1"/>
      <c r="AC49" s="1" t="str">
        <f>formatRow(Tokens!BJ$2:BK$2,Tokens!BJ49:BK49,0,"collection")</f>
        <v>"collection":{"name":"A Madonna Di A Sierra",_x000D_
"family":"Calvi On The Rocks"}</v>
      </c>
      <c r="AD49" s="1"/>
      <c r="AE49" s="1"/>
    </row>
    <row r="50" spans="5:31" ht="14.25" customHeight="1" x14ac:dyDescent="0.25">
      <c r="E50" s="17" t="str">
        <f>IF(Tokens!C50="","",Tokens!C50)</f>
        <v>A Madonna Di A Sierra #47</v>
      </c>
      <c r="F50"/>
      <c r="G50"/>
      <c r="H50"/>
      <c r="I50"/>
      <c r="J50"/>
      <c r="M50"/>
      <c r="N50"/>
      <c r="O50" s="15" t="str">
        <f t="shared" si="0"/>
        <v>_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Q50" s="2"/>
      <c r="R50" s="2"/>
      <c r="S50" s="11"/>
      <c r="T50" s="1" t="str">
        <f>"owner=" &amp; Tokens!BS50 &amp; "&amp;filename_for_metadata=" &amp; Tokens!BT50 &amp; "&amp;offchaindata_platform=" &amp; $B$17 &amp; "&amp;keyfile=" &amp; $B$5 &amp; "&amp;network=" &amp; LOWER($B$8) &amp; "&amp;repository=" &amp; $B$18</f>
        <v>owner=thomas&amp;filename_for_metadata=AMadonnaDiASierra_COR22B47&amp;offchaindata_platform=MongoDB&amp;keyfile=Paul&amp;network=jsonfiles&amp;repository=test</v>
      </c>
      <c r="U50" s="1" t="str">
        <f t="shared" si="1"/>
        <v>{"name":"A Madonna Di A Sierra #47",_x000D_
"symbol":"COR22B47",_x000D_
"description":"A Madonna Di A Sierra, 3 ans - Pass NFT 5 jours pour 2 personnes, valable pour 3 éditions Calvi On The Rocks de votre choix.",_x000D_
"seller_fee_basis_points":1000,_x000D_
"image":"https://bafybeih5d5lxzyizan6hd5aenhjbu4ugsdm3kqv5us53utf7dqo46b4xqy.ipfs.nftstorage.link?visual37.png",_x000D_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0" s="1" t="str">
        <f>formatRow(Tokens!C$2:I$2,Tokens!C50:I50)</f>
        <v>"name":"A Madonna Di A Sierra #47",_x000D_
"symbol":"COR22B47",_x000D_
"description":"A Madonna Di A Sierra, 3 ans - Pass NFT 5 jours pour 2 personnes, valable pour 3 éditions Calvi On The Rocks de votre choix.",_x000D_
"seller_fee_basis_points":1000,_x000D_
"image":"https://bafybeih5d5lxzyizan6hd5aenhjbu4ugsdm3kqv5us53utf7dqo46b4xqy.ipfs.nftstorage.link?visual37.png",_x000D_
"Issuer":"NfluenT for Calvi On The rocks",_x000D_
"external_url":""</v>
      </c>
      <c r="W50" s="1" t="str">
        <f>formatRow(Tokens!J$2:AV$2,Tokens!J50:AV50,2,"attributes")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0" s="1" t="str">
        <f>formatRow(Tokens!AX$2:BC$2,Tokens!AX50:BC50,2,"creators")</f>
        <v>"creators":[{"address":"paul",_x000D_
"share":10},{"address":"sophie",_x000D_
"share":90}]</v>
      </c>
      <c r="Y50" s="1" t="str">
        <f>formatRow(Tokens!BD$2:BI$2,Tokens!BD50:BI50,2,"files")</f>
        <v>"files":[{"files":"https://bafybeicgtrhjweckx2vfwtyokcngfyecfczyi234bo576emk7czddpc2du.ipfs.nftstorage.link?CALVI_12.mp4",_x000D_
"type":"mp4"}]</v>
      </c>
      <c r="Z50" s="1"/>
      <c r="AA50" s="1"/>
      <c r="AB50" s="1"/>
      <c r="AC50" s="1" t="str">
        <f>formatRow(Tokens!BJ$2:BK$2,Tokens!BJ50:BK50,0,"collection")</f>
        <v>"collection":{"name":"A Madonna Di A Sierra",_x000D_
"family":"Calvi On The Rocks"}</v>
      </c>
      <c r="AD50" s="1"/>
      <c r="AE50" s="1"/>
    </row>
    <row r="51" spans="5:31" ht="14.25" customHeight="1" x14ac:dyDescent="0.25">
      <c r="E51" s="17" t="str">
        <f>IF(Tokens!C51="","",Tokens!C51)</f>
        <v>A Madonna Di A Sierra #48</v>
      </c>
      <c r="F51"/>
      <c r="G51"/>
      <c r="H51"/>
      <c r="I51"/>
      <c r="J51"/>
      <c r="M51"/>
      <c r="N51"/>
      <c r="O51" s="15" t="str">
        <f t="shared" si="0"/>
        <v>_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Q51" s="2"/>
      <c r="R51" s="2"/>
      <c r="S51" s="11"/>
      <c r="T51" s="1" t="str">
        <f>"owner=" &amp; Tokens!BS51 &amp; "&amp;filename_for_metadata=" &amp; Tokens!BT51 &amp; "&amp;offchaindata_platform=" &amp; $B$17 &amp; "&amp;keyfile=" &amp; $B$5 &amp; "&amp;network=" &amp; LOWER($B$8) &amp; "&amp;repository=" &amp; $B$18</f>
        <v>owner=thomas&amp;filename_for_metadata=AMadonnaDiASierra_COR22B48&amp;offchaindata_platform=MongoDB&amp;keyfile=Paul&amp;network=jsonfiles&amp;repository=test</v>
      </c>
      <c r="U51" s="1" t="str">
        <f t="shared" si="1"/>
        <v>{"name":"A Madonna Di A Sierra #48",_x000D_
"symbol":"COR22B48",_x000D_
"description":"A Madonna Di A Sierra, 3 ans - Pass NFT 5 jours pour 2 personnes, valable pour 3 éditions Calvi On The Rocks de votre choix.",_x000D_
"seller_fee_basis_points":1000,_x000D_
"image":"https://bafybeigsnb3a6tbwcp6c64yxiqgelzelrv7tvuvm37mmc34u2nlfmdmag4.ipfs.nftstorage.link?visual38.png",_x000D_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1" s="1" t="str">
        <f>formatRow(Tokens!C$2:I$2,Tokens!C51:I51)</f>
        <v>"name":"A Madonna Di A Sierra #48",_x000D_
"symbol":"COR22B48",_x000D_
"description":"A Madonna Di A Sierra, 3 ans - Pass NFT 5 jours pour 2 personnes, valable pour 3 éditions Calvi On The Rocks de votre choix.",_x000D_
"seller_fee_basis_points":1000,_x000D_
"image":"https://bafybeigsnb3a6tbwcp6c64yxiqgelzelrv7tvuvm37mmc34u2nlfmdmag4.ipfs.nftstorage.link?visual38.png",_x000D_
"Issuer":"NfluenT for Calvi On The rocks",_x000D_
"external_url":""</v>
      </c>
      <c r="W51" s="1" t="str">
        <f>formatRow(Tokens!J$2:AV$2,Tokens!J51:AV51,2,"attributes")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1" s="1" t="str">
        <f>formatRow(Tokens!AX$2:BC$2,Tokens!AX51:BC51,2,"creators")</f>
        <v>"creators":[{"address":"paul",_x000D_
"share":10},{"address":"sophie",_x000D_
"share":90}]</v>
      </c>
      <c r="Y51" s="1" t="str">
        <f>formatRow(Tokens!BD$2:BI$2,Tokens!BD51:BI51,2,"files")</f>
        <v>"files":[{"files":"https://bafybeicgtrhjweckx2vfwtyokcngfyecfczyi234bo576emk7czddpc2du.ipfs.nftstorage.link?CALVI_12.mp4",_x000D_
"type":"mp4"}]</v>
      </c>
      <c r="Z51" s="1"/>
      <c r="AA51" s="1"/>
      <c r="AB51" s="1"/>
      <c r="AC51" s="1" t="str">
        <f>formatRow(Tokens!BJ$2:BK$2,Tokens!BJ51:BK51,0,"collection")</f>
        <v>"collection":{"name":"A Madonna Di A Sierra",_x000D_
"family":"Calvi On The Rocks"}</v>
      </c>
    </row>
    <row r="52" spans="5:31" ht="14.25" customHeight="1" x14ac:dyDescent="0.25">
      <c r="E52" s="17" t="str">
        <f>IF(Tokens!C52="","",Tokens!C52)</f>
        <v>A Madonna Di A Sierra #49</v>
      </c>
      <c r="F52"/>
      <c r="G52"/>
      <c r="H52"/>
      <c r="I52"/>
      <c r="J52"/>
      <c r="M52"/>
      <c r="N52"/>
      <c r="O52" s="15" t="str">
        <f t="shared" si="0"/>
        <v>_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Q52" s="2"/>
      <c r="R52" s="2"/>
      <c r="S52" s="11"/>
      <c r="T52" s="1" t="str">
        <f>"owner=" &amp; Tokens!BS52 &amp; "&amp;filename_for_metadata=" &amp; Tokens!BT52 &amp; "&amp;offchaindata_platform=" &amp; $B$17 &amp; "&amp;keyfile=" &amp; $B$5 &amp; "&amp;network=" &amp; LOWER($B$8) &amp; "&amp;repository=" &amp; $B$18</f>
        <v>owner=thomas&amp;filename_for_metadata=AMadonnaDiASierra_COR22B49&amp;offchaindata_platform=MongoDB&amp;keyfile=Paul&amp;network=jsonfiles&amp;repository=test</v>
      </c>
      <c r="U52" s="1" t="str">
        <f t="shared" si="1"/>
        <v>{"name":"A Madonna Di A Sierra #49",_x000D_
"symbol":"COR22B49",_x000D_
"description":"A Madonna Di A Sierra, 3 ans - Pass NFT 5 jours pour 2 personnes, valable pour 3 éditions Calvi On The Rocks de votre choix.",_x000D_
"seller_fee_basis_points":1000,_x000D_
"image":"https://bafybeifmiplpldsy3xtzhkosfpxeg42wjf4uulx7c4qyne7grducpjoxiq.ipfs.nftstorage.link?visual39.png",_x000D_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2" s="1" t="str">
        <f>formatRow(Tokens!C$2:I$2,Tokens!C52:I52)</f>
        <v>"name":"A Madonna Di A Sierra #49",_x000D_
"symbol":"COR22B49",_x000D_
"description":"A Madonna Di A Sierra, 3 ans - Pass NFT 5 jours pour 2 personnes, valable pour 3 éditions Calvi On The Rocks de votre choix.",_x000D_
"seller_fee_basis_points":1000,_x000D_
"image":"https://bafybeifmiplpldsy3xtzhkosfpxeg42wjf4uulx7c4qyne7grducpjoxiq.ipfs.nftstorage.link?visual39.png",_x000D_
"Issuer":"NfluenT for Calvi On The rocks",_x000D_
"external_url":""</v>
      </c>
      <c r="W52" s="1" t="str">
        <f>formatRow(Tokens!J$2:AV$2,Tokens!J52:AV52,2,"attributes")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2" s="1" t="str">
        <f>formatRow(Tokens!AX$2:BC$2,Tokens!AX52:BC52,2,"creators")</f>
        <v>"creators":[{"address":"paul",_x000D_
"share":10},{"address":"sophie",_x000D_
"share":90}]</v>
      </c>
      <c r="Y52" s="1" t="str">
        <f>formatRow(Tokens!BD$2:BI$2,Tokens!BD52:BI52,2,"files")</f>
        <v>"files":[{"files":"https://bafybeicgtrhjweckx2vfwtyokcngfyecfczyi234bo576emk7czddpc2du.ipfs.nftstorage.link?CALVI_12.mp4",_x000D_
"type":"mp4"}]</v>
      </c>
      <c r="Z52" s="1"/>
      <c r="AA52" s="1"/>
      <c r="AB52" s="1"/>
      <c r="AC52" s="1" t="str">
        <f>formatRow(Tokens!BJ$2:BK$2,Tokens!BJ52:BK52,0,"collection")</f>
        <v>"collection":{"name":"A Madonna Di A Sierra",_x000D_
"family":"Calvi On The Rocks"}</v>
      </c>
    </row>
    <row r="53" spans="5:31" ht="14.25" customHeight="1" x14ac:dyDescent="0.25">
      <c r="E53" s="17" t="str">
        <f>IF(Tokens!C53="","",Tokens!C53)</f>
        <v>A Madonna Di A Sierra #50</v>
      </c>
      <c r="F53"/>
      <c r="G53"/>
      <c r="H53"/>
      <c r="I53"/>
      <c r="J53"/>
      <c r="M53"/>
      <c r="N53"/>
      <c r="O53" s="15" t="str">
        <f t="shared" si="0"/>
        <v>_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Q53" s="2"/>
      <c r="R53" s="2"/>
      <c r="S53" s="11"/>
      <c r="T53" s="1" t="str">
        <f>"owner=" &amp; Tokens!BS53 &amp; "&amp;filename_for_metadata=" &amp; Tokens!BT53 &amp; "&amp;offchaindata_platform=" &amp; $B$17 &amp; "&amp;keyfile=" &amp; $B$5 &amp; "&amp;network=" &amp; LOWER($B$8) &amp; "&amp;repository=" &amp; $B$18</f>
        <v>owner=thomas&amp;filename_for_metadata=AMadonnaDiASierra_COR22B50&amp;offchaindata_platform=MongoDB&amp;keyfile=Paul&amp;network=jsonfiles&amp;repository=test</v>
      </c>
      <c r="U53" s="1" t="str">
        <f t="shared" si="1"/>
        <v>{"name":"A Madonna Di A Sierra #50",_x000D_
"symbol":"COR22B50",_x000D_
"description":"A Madonna Di A Sierra, 3 ans - Pass NFT 5 jours pour 2 personnes, valable pour 3 éditions Calvi On The Rocks de votre choix.",_x000D_
"seller_fee_basis_points":1000,_x000D_
"image":"https://bafybeietli3eifgr6vuurorpuvguqiyfgw5ykaxwvmy7clltao55uibl2y.ipfs.nftstorage.link?visual40.png",_x000D_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3" s="1" t="str">
        <f>formatRow(Tokens!C$2:I$2,Tokens!C53:I53)</f>
        <v>"name":"A Madonna Di A Sierra #50",_x000D_
"symbol":"COR22B50",_x000D_
"description":"A Madonna Di A Sierra, 3 ans - Pass NFT 5 jours pour 2 personnes, valable pour 3 éditions Calvi On The Rocks de votre choix.",_x000D_
"seller_fee_basis_points":1000,_x000D_
"image":"https://bafybeietli3eifgr6vuurorpuvguqiyfgw5ykaxwvmy7clltao55uibl2y.ipfs.nftstorage.link?visual40.png",_x000D_
"Issuer":"NfluenT for Calvi On The rocks",_x000D_
"external_url":""</v>
      </c>
      <c r="W53" s="1" t="str">
        <f>formatRow(Tokens!J$2:AV$2,Tokens!J53:AV53,2,"attributes")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3" s="1" t="str">
        <f>formatRow(Tokens!AX$2:BC$2,Tokens!AX53:BC53,2,"creators")</f>
        <v>"creators":[{"address":"paul",_x000D_
"share":10},{"address":"sophie",_x000D_
"share":90}]</v>
      </c>
      <c r="Y53" s="1" t="str">
        <f>formatRow(Tokens!BD$2:BI$2,Tokens!BD53:BI53,2,"files")</f>
        <v>"files":[{"files":"https://bafybeicgtrhjweckx2vfwtyokcngfyecfczyi234bo576emk7czddpc2du.ipfs.nftstorage.link?CALVI_12.mp4",_x000D_
"type":"mp4"}]</v>
      </c>
      <c r="Z53" s="1"/>
      <c r="AA53" s="1"/>
      <c r="AB53" s="1"/>
      <c r="AC53" s="1" t="str">
        <f>formatRow(Tokens!BJ$2:BK$2,Tokens!BJ53:BK53,0,"collection")</f>
        <v>"collection":{"name":"A Madonna Di A Sierra",_x000D_
"family":"Calvi On The Rocks"}</v>
      </c>
    </row>
    <row r="54" spans="5:31" ht="14.25" customHeight="1" x14ac:dyDescent="0.25">
      <c r="E54" s="17" t="str">
        <f>IF(Tokens!C54="","",Tokens!C54)</f>
        <v>A Madonna Di A Sierra #51</v>
      </c>
      <c r="F54"/>
      <c r="G54"/>
      <c r="H54"/>
      <c r="I54"/>
      <c r="J54"/>
      <c r="M54"/>
      <c r="N54"/>
      <c r="O54" s="15" t="str">
        <f t="shared" si="0"/>
        <v>_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Q54" s="2"/>
      <c r="R54" s="2"/>
      <c r="S54" s="11"/>
      <c r="T54" s="1" t="str">
        <f>"owner=" &amp; Tokens!BS54 &amp; "&amp;filename_for_metadata=" &amp; Tokens!BT54 &amp; "&amp;offchaindata_platform=" &amp; $B$17 &amp; "&amp;keyfile=" &amp; $B$5 &amp; "&amp;network=" &amp; LOWER($B$8) &amp; "&amp;repository=" &amp; $B$18</f>
        <v>owner=thomas&amp;filename_for_metadata=AMadonnaDiASierra_COR22B51&amp;offchaindata_platform=MongoDB&amp;keyfile=Paul&amp;network=jsonfiles&amp;repository=test</v>
      </c>
      <c r="U54" s="1" t="str">
        <f t="shared" si="1"/>
        <v>{"name":"A Madonna Di A Sierra #51",_x000D_
"symbol":"COR22B51",_x000D_
"description":"A Madonna Di A Sierra, 3 ans - Pass NFT 5 jours pour 2 personnes, valable pour 3 éditions Calvi On The Rocks de votre choix.",_x000D_
"seller_fee_basis_points":1000,_x000D_
"image":"https://bafybeig6ruma6tnldwg5bqwsumflogz2ibt76xajjhebpfojbubz4g6viq.ipfs.nftstorage.link?visual41.png",_x000D_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4" s="1" t="str">
        <f>formatRow(Tokens!C$2:I$2,Tokens!C54:I54)</f>
        <v>"name":"A Madonna Di A Sierra #51",_x000D_
"symbol":"COR22B51",_x000D_
"description":"A Madonna Di A Sierra, 3 ans - Pass NFT 5 jours pour 2 personnes, valable pour 3 éditions Calvi On The Rocks de votre choix.",_x000D_
"seller_fee_basis_points":1000,_x000D_
"image":"https://bafybeig6ruma6tnldwg5bqwsumflogz2ibt76xajjhebpfojbubz4g6viq.ipfs.nftstorage.link?visual41.png",_x000D_
"Issuer":"NfluenT for Calvi On The rocks",_x000D_
"external_url":""</v>
      </c>
      <c r="W54" s="1" t="str">
        <f>formatRow(Tokens!J$2:AV$2,Tokens!J54:AV54,2,"attributes")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4" s="1" t="str">
        <f>formatRow(Tokens!AX$2:BC$2,Tokens!AX54:BC54,2,"creators")</f>
        <v>"creators":[{"address":"paul",_x000D_
"share":10},{"address":"sophie",_x000D_
"share":90}]</v>
      </c>
      <c r="Y54" s="1" t="str">
        <f>formatRow(Tokens!BD$2:BI$2,Tokens!BD54:BI54,2,"files")</f>
        <v>"files":[{"files":"https://bafybeicgtrhjweckx2vfwtyokcngfyecfczyi234bo576emk7czddpc2du.ipfs.nftstorage.link?CALVI_12.mp4",_x000D_
"type":"mp4"}]</v>
      </c>
      <c r="Z54" s="1"/>
      <c r="AA54" s="1"/>
      <c r="AB54" s="1"/>
      <c r="AC54" s="1" t="str">
        <f>formatRow(Tokens!BJ$2:BK$2,Tokens!BJ54:BK54,0,"collection")</f>
        <v>"collection":{"name":"A Madonna Di A Sierra",_x000D_
"family":"Calvi On The Rocks"}</v>
      </c>
    </row>
    <row r="55" spans="5:31" ht="14.25" customHeight="1" x14ac:dyDescent="0.25">
      <c r="E55" s="17" t="str">
        <f>IF(Tokens!C55="","",Tokens!C55)</f>
        <v>A Madonna Di A Sierra #52</v>
      </c>
      <c r="F55"/>
      <c r="G55"/>
      <c r="H55"/>
      <c r="I55"/>
      <c r="J55"/>
      <c r="M55"/>
      <c r="N55"/>
      <c r="O55" s="15" t="str">
        <f t="shared" si="0"/>
        <v>_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Q55" s="2"/>
      <c r="R55" s="2"/>
      <c r="S55" s="11"/>
      <c r="T55" s="1" t="str">
        <f>"owner=" &amp; Tokens!BS55 &amp; "&amp;filename_for_metadata=" &amp; Tokens!BT55 &amp; "&amp;offchaindata_platform=" &amp; $B$17 &amp; "&amp;keyfile=" &amp; $B$5 &amp; "&amp;network=" &amp; LOWER($B$8) &amp; "&amp;repository=" &amp; $B$18</f>
        <v>owner=thomas&amp;filename_for_metadata=AMadonnaDiASierra_COR22B52&amp;offchaindata_platform=MongoDB&amp;keyfile=Paul&amp;network=jsonfiles&amp;repository=test</v>
      </c>
      <c r="U55" s="1" t="str">
        <f t="shared" si="1"/>
        <v>{"name":"A Madonna Di A Sierra #52",_x000D_
"symbol":"COR22B52",_x000D_
"description":"A Madonna Di A Sierra, 3 ans - Pass NFT 5 jours pour 2 personnes, valable pour 3 éditions Calvi On The Rocks de votre choix.",_x000D_
"seller_fee_basis_points":1000,_x000D_
"image":"https://bafybeiana5rpqqiwijtdafkrzsxnnzcat33qww2vbkj327el6usj2taw5e.ipfs.nftstorage.link?visual42.png",_x000D_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5" s="1" t="str">
        <f>formatRow(Tokens!C$2:I$2,Tokens!C55:I55)</f>
        <v>"name":"A Madonna Di A Sierra #52",_x000D_
"symbol":"COR22B52",_x000D_
"description":"A Madonna Di A Sierra, 3 ans - Pass NFT 5 jours pour 2 personnes, valable pour 3 éditions Calvi On The Rocks de votre choix.",_x000D_
"seller_fee_basis_points":1000,_x000D_
"image":"https://bafybeiana5rpqqiwijtdafkrzsxnnzcat33qww2vbkj327el6usj2taw5e.ipfs.nftstorage.link?visual42.png",_x000D_
"Issuer":"NfluenT for Calvi On The rocks",_x000D_
"external_url":""</v>
      </c>
      <c r="W55" s="1" t="str">
        <f>formatRow(Tokens!J$2:AV$2,Tokens!J55:AV55,2,"attributes")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5" s="1" t="str">
        <f>formatRow(Tokens!AX$2:BC$2,Tokens!AX55:BC55,2,"creators")</f>
        <v>"creators":[{"address":"paul",_x000D_
"share":10},{"address":"sophie",_x000D_
"share":90}]</v>
      </c>
      <c r="Y55" s="1" t="str">
        <f>formatRow(Tokens!BD$2:BI$2,Tokens!BD55:BI55,2,"files")</f>
        <v>"files":[{"files":"https://bafybeicgtrhjweckx2vfwtyokcngfyecfczyi234bo576emk7czddpc2du.ipfs.nftstorage.link?CALVI_12.mp4",_x000D_
"type":"mp4"}]</v>
      </c>
      <c r="Z55" s="1"/>
      <c r="AA55" s="1"/>
      <c r="AB55" s="1"/>
      <c r="AC55" s="1" t="str">
        <f>formatRow(Tokens!BJ$2:BK$2,Tokens!BJ55:BK55,0,"collection")</f>
        <v>"collection":{"name":"A Madonna Di A Sierra",_x000D_
"family":"Calvi On The Rocks"}</v>
      </c>
    </row>
    <row r="56" spans="5:31" ht="14.25" customHeight="1" x14ac:dyDescent="0.25">
      <c r="E56" s="17" t="str">
        <f>IF(Tokens!C56="","",Tokens!C56)</f>
        <v>A Madonna Di A Sierra #53</v>
      </c>
      <c r="F56"/>
      <c r="G56"/>
      <c r="H56"/>
      <c r="I56"/>
      <c r="J56"/>
      <c r="M56"/>
      <c r="N56"/>
      <c r="O56" s="15" t="str">
        <f t="shared" si="0"/>
        <v>_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/>
      </c>
      <c r="Q56" s="2"/>
      <c r="R56" s="2"/>
      <c r="S56" s="11"/>
      <c r="T56" s="1" t="str">
        <f>"owner=" &amp; Tokens!BS56 &amp; "&amp;filename_for_metadata=" &amp; Tokens!BT56 &amp; "&amp;offchaindata_platform=" &amp; $B$17 &amp; "&amp;keyfile=" &amp; $B$5 &amp; "&amp;network=" &amp; LOWER($B$8) &amp; "&amp;repository=" &amp; $B$18</f>
        <v>owner=thomas&amp;filename_for_metadata=AMadonnaDiASierra_COR22B53&amp;offchaindata_platform=MongoDB&amp;keyfile=Paul&amp;network=jsonfiles&amp;repository=test</v>
      </c>
      <c r="U56" s="1" t="str">
        <f t="shared" si="1"/>
        <v>{"name":"A Madonna Di A Sierra #53",_x000D_
"symbol":"COR22B53",_x000D_
"description":"A Madonna Di A Sierra, 3 ans - Pass NFT 5 jours pour 2 personnes, valable pour 3 éditions Calvi On The Rocks de votre choix.",_x000D_
"seller_fee_basis_points":1000,_x000D_
"image":"https://bafybeigk264uuwwhrt2nywulo42k4ylfjbz3fmpyszrazeopvneaejzoi4.ipfs.nftstorage.link?visual43.png",_x000D_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6" s="1" t="str">
        <f>formatRow(Tokens!C$2:I$2,Tokens!C56:I56)</f>
        <v>"name":"A Madonna Di A Sierra #53",_x000D_
"symbol":"COR22B53",_x000D_
"description":"A Madonna Di A Sierra, 3 ans - Pass NFT 5 jours pour 2 personnes, valable pour 3 éditions Calvi On The Rocks de votre choix.",_x000D_
"seller_fee_basis_points":1000,_x000D_
"image":"https://bafybeigk264uuwwhrt2nywulo42k4ylfjbz3fmpyszrazeopvneaejzoi4.ipfs.nftstorage.link?visual43.png",_x000D_
"Issuer":"NfluenT for Calvi On The rocks",_x000D_
"external_url":""</v>
      </c>
      <c r="W56" s="1" t="str">
        <f>formatRow(Tokens!J$2:AV$2,Tokens!J56:AV56,2,"attributes")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6" s="1" t="str">
        <f>formatRow(Tokens!AX$2:BC$2,Tokens!AX56:BC56,2,"creators")</f>
        <v>"creators":[{"address":"paul",_x000D_
"share":10},{"address":"sophie",_x000D_
"share":90}]</v>
      </c>
      <c r="Y56" s="1" t="str">
        <f>formatRow(Tokens!BD$2:BI$2,Tokens!BD56:BI56,2,"files")</f>
        <v>"files":[{"files":"https://bafybeicgtrhjweckx2vfwtyokcngfyecfczyi234bo576emk7czddpc2du.ipfs.nftstorage.link?CALVI_12.mp4",_x000D_
"type":"mp4"}]</v>
      </c>
      <c r="Z56" s="1"/>
      <c r="AA56" s="1"/>
      <c r="AB56" s="1"/>
      <c r="AC56" s="1" t="str">
        <f>formatRow(Tokens!BJ$2:BK$2,Tokens!BJ56:BK56,0,"collection")</f>
        <v>"collection":{"name":"A Madonna Di A Sierra",_x000D_
"family":"Calvi On The Rocks"}</v>
      </c>
    </row>
    <row r="57" spans="5:31" ht="14.25" customHeight="1" x14ac:dyDescent="0.25">
      <c r="E57" s="17" t="str">
        <f>IF(Tokens!C57="","",Tokens!C57)</f>
        <v>A Madonna Di A Sierra #54</v>
      </c>
      <c r="F57"/>
      <c r="G57"/>
      <c r="H57"/>
      <c r="I57"/>
      <c r="J57"/>
      <c r="M57"/>
      <c r="N57"/>
      <c r="O57" s="15" t="str">
        <f t="shared" si="0"/>
        <v>_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/>
      </c>
      <c r="Q57" s="2"/>
      <c r="R57" s="2"/>
      <c r="S57" s="11"/>
      <c r="T57" s="1" t="str">
        <f>"owner=" &amp; Tokens!BS57 &amp; "&amp;filename_for_metadata=" &amp; Tokens!BT57 &amp; "&amp;offchaindata_platform=" &amp; $B$17 &amp; "&amp;keyfile=" &amp; $B$5 &amp; "&amp;network=" &amp; LOWER($B$8) &amp; "&amp;repository=" &amp; $B$18</f>
        <v>owner=thomas&amp;filename_for_metadata=AMadonnaDiASierra_COR22B54&amp;offchaindata_platform=MongoDB&amp;keyfile=Paul&amp;network=jsonfiles&amp;repository=test</v>
      </c>
      <c r="U57" s="1" t="str">
        <f t="shared" si="1"/>
        <v>{"name":"A Madonna Di A Sierra #54",_x000D_
"symbol":"COR22B54",_x000D_
"description":"A Madonna Di A Sierra, 3 ans - Pass NFT 5 jours pour 2 personnes, valable pour 3 éditions Calvi On The Rocks de votre choix.",_x000D_
"seller_fee_basis_points":1000,_x000D_
"image":"https://bafybeigace26227x272omuzp2chpnhx6vv2rnglyou4o5sridutcztuk5y.ipfs.nftstorage.link?visual44.png",_x000D_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7" s="1" t="str">
        <f>formatRow(Tokens!C$2:I$2,Tokens!C57:I57)</f>
        <v>"name":"A Madonna Di A Sierra #54",_x000D_
"symbol":"COR22B54",_x000D_
"description":"A Madonna Di A Sierra, 3 ans - Pass NFT 5 jours pour 2 personnes, valable pour 3 éditions Calvi On The Rocks de votre choix.",_x000D_
"seller_fee_basis_points":1000,_x000D_
"image":"https://bafybeigace26227x272omuzp2chpnhx6vv2rnglyou4o5sridutcztuk5y.ipfs.nftstorage.link?visual44.png",_x000D_
"Issuer":"NfluenT for Calvi On The rocks",_x000D_
"external_url":""</v>
      </c>
      <c r="W57" s="1" t="str">
        <f>formatRow(Tokens!J$2:AV$2,Tokens!J57:AV57,2,"attributes")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7" s="1" t="str">
        <f>formatRow(Tokens!AX$2:BC$2,Tokens!AX57:BC57,2,"creators")</f>
        <v>"creators":[{"address":"paul",_x000D_
"share":10},{"address":"sophie",_x000D_
"share":90}]</v>
      </c>
      <c r="Y57" s="1" t="str">
        <f>formatRow(Tokens!BD$2:BI$2,Tokens!BD57:BI57,2,"files")</f>
        <v>"files":[{"files":"https://bafybeicgtrhjweckx2vfwtyokcngfyecfczyi234bo576emk7czddpc2du.ipfs.nftstorage.link?CALVI_12.mp4",_x000D_
"type":"mp4"}]</v>
      </c>
      <c r="Z57" s="1"/>
      <c r="AA57" s="1"/>
      <c r="AB57" s="1"/>
      <c r="AC57" s="1" t="str">
        <f>formatRow(Tokens!BJ$2:BK$2,Tokens!BJ57:BK57,0,"collection")</f>
        <v>"collection":{"name":"A Madonna Di A Sierra",_x000D_
"family":"Calvi On The Rocks"}</v>
      </c>
    </row>
    <row r="58" spans="5:31" ht="14.25" customHeight="1" x14ac:dyDescent="0.25">
      <c r="E58" s="17" t="str">
        <f>IF(Tokens!C58="","",Tokens!C58)</f>
        <v>A Madonna Di A Sierra #55</v>
      </c>
      <c r="F58"/>
      <c r="G58"/>
      <c r="H58"/>
      <c r="I58"/>
      <c r="J58"/>
      <c r="M58"/>
      <c r="N58"/>
      <c r="O58" s="15" t="str">
        <f t="shared" si="0"/>
        <v>_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/>
      </c>
      <c r="Q58" s="2"/>
      <c r="R58" s="2"/>
      <c r="S58" s="11"/>
      <c r="T58" s="1" t="str">
        <f>"owner=" &amp; Tokens!BS58 &amp; "&amp;filename_for_metadata=" &amp; Tokens!BT58 &amp; "&amp;offchaindata_platform=" &amp; $B$17 &amp; "&amp;keyfile=" &amp; $B$5 &amp; "&amp;network=" &amp; LOWER($B$8) &amp; "&amp;repository=" &amp; $B$18</f>
        <v>owner=thomas&amp;filename_for_metadata=AMadonnaDiASierra_COR22B55&amp;offchaindata_platform=MongoDB&amp;keyfile=Paul&amp;network=jsonfiles&amp;repository=test</v>
      </c>
      <c r="U58" s="1" t="str">
        <f t="shared" si="1"/>
        <v>{"name":"A Madonna Di A Sierra #55",_x000D_
"symbol":"COR22B55",_x000D_
"description":"A Madonna Di A Sierra, 3 ans - Pass NFT 5 jours pour 2 personnes, valable pour 3 éditions Calvi On The Rocks de votre choix.",_x000D_
"seller_fee_basis_points":1000,_x000D_
"image":"https://bafybeihkyer3vcqybfdywfpfogd6hf7lguhoozaaw52ynglxdhstqwkxtm.ipfs.nftstorage.link?visual45.png",_x000D_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8" s="1" t="str">
        <f>formatRow(Tokens!C$2:I$2,Tokens!C58:I58)</f>
        <v>"name":"A Madonna Di A Sierra #55",_x000D_
"symbol":"COR22B55",_x000D_
"description":"A Madonna Di A Sierra, 3 ans - Pass NFT 5 jours pour 2 personnes, valable pour 3 éditions Calvi On The Rocks de votre choix.",_x000D_
"seller_fee_basis_points":1000,_x000D_
"image":"https://bafybeihkyer3vcqybfdywfpfogd6hf7lguhoozaaw52ynglxdhstqwkxtm.ipfs.nftstorage.link?visual45.png",_x000D_
"Issuer":"NfluenT for Calvi On The rocks",_x000D_
"external_url":""</v>
      </c>
      <c r="W58" s="1" t="str">
        <f>formatRow(Tokens!J$2:AV$2,Tokens!J58:AV58,2,"attributes")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8" s="1" t="str">
        <f>formatRow(Tokens!AX$2:BC$2,Tokens!AX58:BC58,2,"creators")</f>
        <v>"creators":[{"address":"paul",_x000D_
"share":10},{"address":"sophie",_x000D_
"share":90}]</v>
      </c>
      <c r="Y58" s="1" t="str">
        <f>formatRow(Tokens!BD$2:BI$2,Tokens!BD58:BI58,2,"files")</f>
        <v>"files":[{"files":"https://bafybeicgtrhjweckx2vfwtyokcngfyecfczyi234bo576emk7czddpc2du.ipfs.nftstorage.link?CALVI_12.mp4",_x000D_
"type":"mp4"}]</v>
      </c>
      <c r="Z58" s="1"/>
      <c r="AA58" s="1"/>
      <c r="AB58" s="1"/>
      <c r="AC58" s="1" t="str">
        <f>formatRow(Tokens!BJ$2:BK$2,Tokens!BJ58:BK58,0,"collection")</f>
        <v>"collection":{"name":"A Madonna Di A Sierra",_x000D_
"family":"Calvi On The Rocks"}</v>
      </c>
    </row>
    <row r="59" spans="5:31" ht="14.25" customHeight="1" x14ac:dyDescent="0.25">
      <c r="E59" s="17" t="str">
        <f>IF(Tokens!C59="","",Tokens!C59)</f>
        <v>A Madonna Di A Sierra #56</v>
      </c>
      <c r="F59"/>
      <c r="G59"/>
      <c r="H59"/>
      <c r="I59"/>
      <c r="J59"/>
      <c r="M59"/>
      <c r="N59"/>
      <c r="O59" s="15" t="str">
        <f t="shared" si="0"/>
        <v>_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/>
      </c>
      <c r="Q59" s="2"/>
      <c r="R59" s="2"/>
      <c r="S59" s="11"/>
      <c r="T59" s="1" t="str">
        <f>"owner=" &amp; Tokens!BS59 &amp; "&amp;filename_for_metadata=" &amp; Tokens!BT59 &amp; "&amp;offchaindata_platform=" &amp; $B$17 &amp; "&amp;keyfile=" &amp; $B$5 &amp; "&amp;network=" &amp; LOWER($B$8) &amp; "&amp;repository=" &amp; $B$18</f>
        <v>owner=thomas&amp;filename_for_metadata=AMadonnaDiASierra_COR22B56&amp;offchaindata_platform=MongoDB&amp;keyfile=Paul&amp;network=jsonfiles&amp;repository=test</v>
      </c>
      <c r="U59" s="1" t="str">
        <f t="shared" si="1"/>
        <v>{"name":"A Madonna Di A Sierra #56",_x000D_
"symbol":"COR22B56",_x000D_
"description":"A Madonna Di A Sierra, 3 ans - Pass NFT 5 jours pour 2 personnes, valable pour 3 éditions Calvi On The Rocks de votre choix.",_x000D_
"seller_fee_basis_points":1000,_x000D_
"image":"https://bafybeibzd4s6wk3sznjmxogcnpxbkkhgonuawwmpc65fqe3fg2in3skgxm.ipfs.nftstorage.link?visual46.png",_x000D_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59" s="1" t="str">
        <f>formatRow(Tokens!C$2:I$2,Tokens!C59:I59)</f>
        <v>"name":"A Madonna Di A Sierra #56",_x000D_
"symbol":"COR22B56",_x000D_
"description":"A Madonna Di A Sierra, 3 ans - Pass NFT 5 jours pour 2 personnes, valable pour 3 éditions Calvi On The Rocks de votre choix.",_x000D_
"seller_fee_basis_points":1000,_x000D_
"image":"https://bafybeibzd4s6wk3sznjmxogcnpxbkkhgonuawwmpc65fqe3fg2in3skgxm.ipfs.nftstorage.link?visual46.png",_x000D_
"Issuer":"NfluenT for Calvi On The rocks",_x000D_
"external_url":""</v>
      </c>
      <c r="W59" s="1" t="str">
        <f>formatRow(Tokens!J$2:AV$2,Tokens!J59:AV59,2,"attributes")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59" s="1" t="str">
        <f>formatRow(Tokens!AX$2:BC$2,Tokens!AX59:BC59,2,"creators")</f>
        <v>"creators":[{"address":"paul",_x000D_
"share":10},{"address":"sophie",_x000D_
"share":90}]</v>
      </c>
      <c r="Y59" s="1" t="str">
        <f>formatRow(Tokens!BD$2:BI$2,Tokens!BD59:BI59,2,"files")</f>
        <v>"files":[{"files":"https://bafybeicgtrhjweckx2vfwtyokcngfyecfczyi234bo576emk7czddpc2du.ipfs.nftstorage.link?CALVI_12.mp4",_x000D_
"type":"mp4"}]</v>
      </c>
      <c r="Z59" s="1"/>
      <c r="AA59" s="1"/>
      <c r="AB59" s="1"/>
      <c r="AC59" s="1" t="str">
        <f>formatRow(Tokens!BJ$2:BK$2,Tokens!BJ59:BK59,0,"collection")</f>
        <v>"collection":{"name":"A Madonna Di A Sierra",_x000D_
"family":"Calvi On The Rocks"}</v>
      </c>
    </row>
    <row r="60" spans="5:31" ht="14.25" customHeight="1" x14ac:dyDescent="0.25">
      <c r="E60" s="17" t="str">
        <f>IF(Tokens!C60="","",Tokens!C60)</f>
        <v>A Madonna Di A Sierra #57</v>
      </c>
      <c r="F60"/>
      <c r="G60"/>
      <c r="H60"/>
      <c r="I60"/>
      <c r="J60"/>
      <c r="M60"/>
      <c r="N60"/>
      <c r="O60" s="15" t="str">
        <f t="shared" si="0"/>
        <v>_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/>
      </c>
      <c r="Q60" s="2"/>
      <c r="R60" s="2"/>
      <c r="S60" s="11"/>
      <c r="T60" s="1" t="str">
        <f>"owner=" &amp; Tokens!BS60 &amp; "&amp;filename_for_metadata=" &amp; Tokens!BT60 &amp; "&amp;offchaindata_platform=" &amp; $B$17 &amp; "&amp;keyfile=" &amp; $B$5 &amp; "&amp;network=" &amp; LOWER($B$8) &amp; "&amp;repository=" &amp; $B$18</f>
        <v>owner=thomas&amp;filename_for_metadata=AMadonnaDiASierra_COR22B57&amp;offchaindata_platform=MongoDB&amp;keyfile=Paul&amp;network=jsonfiles&amp;repository=test</v>
      </c>
      <c r="U60" s="1" t="str">
        <f t="shared" si="1"/>
        <v>{"name":"A Madonna Di A Sierra #57",_x000D_
"symbol":"COR22B57",_x000D_
"description":"A Madonna Di A Sierra, 3 ans - Pass NFT 5 jours pour 2 personnes, valable pour 3 éditions Calvi On The Rocks de votre choix.",_x000D_
"seller_fee_basis_points":1000,_x000D_
"image":"https://bafybeiezlp3zpfsrt5kt436tupnmuzn2irqppxw2opitvbter2ijuw5oqu.ipfs.nftstorage.link?visual47.png",_x000D_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0" s="1" t="str">
        <f>formatRow(Tokens!C$2:I$2,Tokens!C60:I60)</f>
        <v>"name":"A Madonna Di A Sierra #57",_x000D_
"symbol":"COR22B57",_x000D_
"description":"A Madonna Di A Sierra, 3 ans - Pass NFT 5 jours pour 2 personnes, valable pour 3 éditions Calvi On The Rocks de votre choix.",_x000D_
"seller_fee_basis_points":1000,_x000D_
"image":"https://bafybeiezlp3zpfsrt5kt436tupnmuzn2irqppxw2opitvbter2ijuw5oqu.ipfs.nftstorage.link?visual47.png",_x000D_
"Issuer":"NfluenT for Calvi On The rocks",_x000D_
"external_url":""</v>
      </c>
      <c r="W60" s="1" t="str">
        <f>formatRow(Tokens!J$2:AV$2,Tokens!J60:AV60,2,"attributes")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0" s="1" t="str">
        <f>formatRow(Tokens!AX$2:BC$2,Tokens!AX60:BC60,2,"creators")</f>
        <v>"creators":[{"address":"paul",_x000D_
"share":10},{"address":"sophie",_x000D_
"share":90}]</v>
      </c>
      <c r="Y60" s="1" t="str">
        <f>formatRow(Tokens!BD$2:BI$2,Tokens!BD60:BI60,2,"files")</f>
        <v>"files":[{"files":"https://bafybeicgtrhjweckx2vfwtyokcngfyecfczyi234bo576emk7czddpc2du.ipfs.nftstorage.link?CALVI_12.mp4",_x000D_
"type":"mp4"}]</v>
      </c>
      <c r="Z60" s="1"/>
      <c r="AA60" s="1"/>
      <c r="AB60" s="1"/>
      <c r="AC60" s="1" t="str">
        <f>formatRow(Tokens!BJ$2:BK$2,Tokens!BJ60:BK60,0,"collection")</f>
        <v>"collection":{"name":"A Madonna Di A Sierra",_x000D_
"family":"Calvi On The Rocks"}</v>
      </c>
    </row>
    <row r="61" spans="5:31" ht="14.25" customHeight="1" x14ac:dyDescent="0.25">
      <c r="E61" s="17" t="str">
        <f>IF(Tokens!C61="","",Tokens!C61)</f>
        <v>A Madonna Di A Sierra #58</v>
      </c>
      <c r="F61"/>
      <c r="G61"/>
      <c r="H61"/>
      <c r="I61"/>
      <c r="J61"/>
      <c r="M61"/>
      <c r="N61"/>
      <c r="O61" s="15" t="str">
        <f t="shared" si="0"/>
        <v>_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/>
      </c>
      <c r="Q61" s="2"/>
      <c r="R61" s="2"/>
      <c r="S61" s="11"/>
      <c r="T61" s="1" t="str">
        <f>"owner=" &amp; Tokens!BS61 &amp; "&amp;filename_for_metadata=" &amp; Tokens!BT61 &amp; "&amp;offchaindata_platform=" &amp; $B$17 &amp; "&amp;keyfile=" &amp; $B$5 &amp; "&amp;network=" &amp; LOWER($B$8) &amp; "&amp;repository=" &amp; $B$18</f>
        <v>owner=thomas&amp;filename_for_metadata=AMadonnaDiASierra_COR22B58&amp;offchaindata_platform=MongoDB&amp;keyfile=Paul&amp;network=jsonfiles&amp;repository=test</v>
      </c>
      <c r="U61" s="1" t="str">
        <f t="shared" si="1"/>
        <v>{"name":"A Madonna Di A Sierra #58",_x000D_
"symbol":"COR22B58",_x000D_
"description":"A Madonna Di A Sierra, 3 ans - Pass NFT 5 jours pour 2 personnes, valable pour 3 éditions Calvi On The Rocks de votre choix.",_x000D_
"seller_fee_basis_points":1000,_x000D_
"image":"https://bafybeib4mquntuhfbwno52olfavbnvvmefymhncv33nma3b7ok3j5n72oe.ipfs.nftstorage.link?visual48.png",_x000D_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1" s="1" t="str">
        <f>formatRow(Tokens!C$2:I$2,Tokens!C61:I61)</f>
        <v>"name":"A Madonna Di A Sierra #58",_x000D_
"symbol":"COR22B58",_x000D_
"description":"A Madonna Di A Sierra, 3 ans - Pass NFT 5 jours pour 2 personnes, valable pour 3 éditions Calvi On The Rocks de votre choix.",_x000D_
"seller_fee_basis_points":1000,_x000D_
"image":"https://bafybeib4mquntuhfbwno52olfavbnvvmefymhncv33nma3b7ok3j5n72oe.ipfs.nftstorage.link?visual48.png",_x000D_
"Issuer":"NfluenT for Calvi On The rocks",_x000D_
"external_url":""</v>
      </c>
      <c r="W61" s="1" t="str">
        <f>formatRow(Tokens!J$2:AV$2,Tokens!J61:AV61,2,"attributes")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1" s="1" t="str">
        <f>formatRow(Tokens!AX$2:BC$2,Tokens!AX61:BC61,2,"creators")</f>
        <v>"creators":[{"address":"paul",_x000D_
"share":10},{"address":"sophie",_x000D_
"share":90}]</v>
      </c>
      <c r="Y61" s="1" t="str">
        <f>formatRow(Tokens!BD$2:BI$2,Tokens!BD61:BI61,2,"files")</f>
        <v>"files":[{"files":"https://bafybeicgtrhjweckx2vfwtyokcngfyecfczyi234bo576emk7czddpc2du.ipfs.nftstorage.link?CALVI_12.mp4",_x000D_
"type":"mp4"}]</v>
      </c>
      <c r="Z61" s="1"/>
      <c r="AA61" s="1"/>
      <c r="AB61" s="1"/>
      <c r="AC61" s="1" t="str">
        <f>formatRow(Tokens!BJ$2:BK$2,Tokens!BJ61:BK61,0,"collection")</f>
        <v>"collection":{"name":"A Madonna Di A Sierra",_x000D_
"family":"Calvi On The Rocks"}</v>
      </c>
    </row>
    <row r="62" spans="5:31" ht="14.25" customHeight="1" x14ac:dyDescent="0.25">
      <c r="E62" s="17" t="str">
        <f>IF(Tokens!C62="","",Tokens!C62)</f>
        <v>A Madonna Di A Sierra #59</v>
      </c>
      <c r="F62"/>
      <c r="G62"/>
      <c r="H62"/>
      <c r="I62"/>
      <c r="J62"/>
      <c r="M62"/>
      <c r="N62"/>
      <c r="O62" s="15" t="str">
        <f t="shared" si="0"/>
        <v>_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/>
      </c>
      <c r="Q62" s="2"/>
      <c r="R62" s="2"/>
      <c r="S62" s="11"/>
      <c r="T62" s="1" t="str">
        <f>"owner=" &amp; Tokens!BS62 &amp; "&amp;filename_for_metadata=" &amp; Tokens!BT62 &amp; "&amp;offchaindata_platform=" &amp; $B$17 &amp; "&amp;keyfile=" &amp; $B$5 &amp; "&amp;network=" &amp; LOWER($B$8) &amp; "&amp;repository=" &amp; $B$18</f>
        <v>owner=thomas&amp;filename_for_metadata=AMadonnaDiASierra_COR22B59&amp;offchaindata_platform=MongoDB&amp;keyfile=Paul&amp;network=jsonfiles&amp;repository=test</v>
      </c>
      <c r="U62" s="1" t="str">
        <f t="shared" si="1"/>
        <v>{"name":"A Madonna Di A Sierra #59",_x000D_
"symbol":"COR22B59",_x000D_
"description":"A Madonna Di A Sierra, 3 ans - Pass NFT 5 jours pour 2 personnes, valable pour 3 éditions Calvi On The Rocks de votre choix.",_x000D_
"seller_fee_basis_points":1000,_x000D_
"image":"https://bafybeiasesgf5y334k6inn3jnbgushcdzw7txtlhylhduxtmqvfuxosyhu.ipfs.nftstorage.link?visual49.png",_x000D_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2" s="1" t="str">
        <f>formatRow(Tokens!C$2:I$2,Tokens!C62:I62)</f>
        <v>"name":"A Madonna Di A Sierra #59",_x000D_
"symbol":"COR22B59",_x000D_
"description":"A Madonna Di A Sierra, 3 ans - Pass NFT 5 jours pour 2 personnes, valable pour 3 éditions Calvi On The Rocks de votre choix.",_x000D_
"seller_fee_basis_points":1000,_x000D_
"image":"https://bafybeiasesgf5y334k6inn3jnbgushcdzw7txtlhylhduxtmqvfuxosyhu.ipfs.nftstorage.link?visual49.png",_x000D_
"Issuer":"NfluenT for Calvi On The rocks",_x000D_
"external_url":""</v>
      </c>
      <c r="W62" s="1" t="str">
        <f>formatRow(Tokens!J$2:AV$2,Tokens!J62:AV62,2,"attributes")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2" s="1" t="str">
        <f>formatRow(Tokens!AX$2:BC$2,Tokens!AX62:BC62,2,"creators")</f>
        <v>"creators":[{"address":"paul",_x000D_
"share":10},{"address":"sophie",_x000D_
"share":90}]</v>
      </c>
      <c r="Y62" s="1" t="str">
        <f>formatRow(Tokens!BD$2:BI$2,Tokens!BD62:BI62,2,"files")</f>
        <v>"files":[{"files":"https://bafybeicgtrhjweckx2vfwtyokcngfyecfczyi234bo576emk7czddpc2du.ipfs.nftstorage.link?CALVI_12.mp4",_x000D_
"type":"mp4"}]</v>
      </c>
      <c r="Z62" s="1"/>
      <c r="AA62" s="1"/>
      <c r="AB62" s="1"/>
      <c r="AC62" s="1" t="str">
        <f>formatRow(Tokens!BJ$2:BK$2,Tokens!BJ62:BK62,0,"collection")</f>
        <v>"collection":{"name":"A Madonna Di A Sierra",_x000D_
"family":"Calvi On The Rocks"}</v>
      </c>
    </row>
    <row r="63" spans="5:31" ht="14.25" customHeight="1" x14ac:dyDescent="0.25">
      <c r="E63" s="17" t="str">
        <f>IF(Tokens!C63="","",Tokens!C63)</f>
        <v>A Madonna Di A Sierra #60</v>
      </c>
      <c r="F63"/>
      <c r="G63"/>
      <c r="H63"/>
      <c r="I63"/>
      <c r="J63"/>
      <c r="M63"/>
      <c r="N63"/>
      <c r="O63" s="15" t="str">
        <f t="shared" si="0"/>
        <v>_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/>
      </c>
      <c r="Q63" s="2"/>
      <c r="R63" s="2"/>
      <c r="S63" s="11"/>
      <c r="T63" s="1" t="str">
        <f>"owner=" &amp; Tokens!BS63 &amp; "&amp;filename_for_metadata=" &amp; Tokens!BT63 &amp; "&amp;offchaindata_platform=" &amp; $B$17 &amp; "&amp;keyfile=" &amp; $B$5 &amp; "&amp;network=" &amp; LOWER($B$8) &amp; "&amp;repository=" &amp; $B$18</f>
        <v>owner=thomas&amp;filename_for_metadata=AMadonnaDiASierra_COR22B60&amp;offchaindata_platform=MongoDB&amp;keyfile=Paul&amp;network=jsonfiles&amp;repository=test</v>
      </c>
      <c r="U63" s="1" t="str">
        <f t="shared" si="1"/>
        <v>{"name":"A Madonna Di A Sierra #60",_x000D_
"symbol":"COR22B60",_x000D_
"description":"A Madonna Di A Sierra, 3 ans - Pass NFT 5 jours pour 2 personnes, valable pour 3 éditions Calvi On The Rocks de votre choix.",_x000D_
"seller_fee_basis_points":1000,_x000D_
"image":"https://bafybeie35uhrqt3p7ja6nksn7mwwum3odfpzm3wblulph6rvi26tdt6uyi.ipfs.nftstorage.link?visual50.png",_x000D_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hasard)"},{"trait_type":"Validation"}],"properties":{"creators":[{"address":"paul",_x000D_
"share":10},{"address":"sophie",_x000D_
"share":90}],"files":[{"files":"https://bafybeicgtrhjweckx2vfwtyokcngfyecfczyi234bo576emk7czddpc2du.ipfs.nftstorage.link?CALVI_12.mp4",_x000D_
"type":"mp4"}]},"collection":{"name":"A Madonna Di A Sierra",_x000D_
"family":"Calvi On The Rocks"}}</v>
      </c>
      <c r="V63" s="1" t="str">
        <f>formatRow(Tokens!C$2:I$2,Tokens!C63:I63)</f>
        <v>"name":"A Madonna Di A Sierra #60",_x000D_
"symbol":"COR22B60",_x000D_
"description":"A Madonna Di A Sierra, 3 ans - Pass NFT 5 jours pour 2 personnes, valable pour 3 éditions Calvi On The Rocks de votre choix.",_x000D_
"seller_fee_basis_points":1000,_x000D_
"image":"https://bafybeie35uhrqt3p7ja6nksn7mwwum3odfpzm3wblulph6rvi26tdt6uyi.ipfs.nftstorage.link?visual50.png",_x000D_
"Issuer":"NfluenT for Calvi On The rocks",_x000D_
"external_url":""</v>
      </c>
      <c r="W63" s="1" t="str">
        <f>formatRow(Tokens!J$2:AV$2,Tokens!J63:AV63,2,"attributes")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numérotée (quelques unes seront signées au hasard)"},{"trait_type":"Validation"}]</v>
      </c>
      <c r="X63" s="1" t="str">
        <f>formatRow(Tokens!AX$2:BC$2,Tokens!AX63:BC63,2,"creators")</f>
        <v>"creators":[{"address":"paul",_x000D_
"share":10},{"address":"sophie",_x000D_
"share":90}]</v>
      </c>
      <c r="Y63" s="1" t="str">
        <f>formatRow(Tokens!BD$2:BI$2,Tokens!BD63:BI63,2,"files")</f>
        <v>"files":[{"files":"https://bafybeicgtrhjweckx2vfwtyokcngfyecfczyi234bo576emk7czddpc2du.ipfs.nftstorage.link?CALVI_12.mp4",_x000D_
"type":"mp4"}]</v>
      </c>
      <c r="Z63" s="1"/>
      <c r="AA63" s="1"/>
      <c r="AB63" s="1"/>
      <c r="AC63" s="1" t="str">
        <f>formatRow(Tokens!BJ$2:BK$2,Tokens!BJ63:BK63,0,"collection")</f>
        <v>"collection":{"name":"A Madonna Di A Sierra",_x000D_
"family":"Calvi On The Rocks"}</v>
      </c>
    </row>
    <row r="64" spans="5:31" ht="14.25" customHeight="1" x14ac:dyDescent="0.25">
      <c r="E64" s="17" t="str">
        <f>IF(Tokens!C64="","",Tokens!C64)</f>
        <v>La Porteuse D'Eau #1</v>
      </c>
      <c r="F64"/>
      <c r="G64"/>
      <c r="H64"/>
      <c r="I64"/>
      <c r="J64"/>
      <c r="M64"/>
      <c r="N64"/>
      <c r="O64" s="15" t="str">
        <f t="shared" si="0"/>
        <v>_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/>
      </c>
      <c r="Q64" s="2"/>
      <c r="R64" s="2"/>
      <c r="S64" s="11"/>
      <c r="T64" s="1" t="str">
        <f>"owner=" &amp; Tokens!BS64 &amp; "&amp;filename_for_metadata=" &amp; Tokens!BT64 &amp; "&amp;offchaindata_platform=" &amp; $B$17 &amp; "&amp;keyfile=" &amp; $B$5 &amp; "&amp;network=" &amp; LOWER($B$8) &amp; "&amp;repository=" &amp; $B$18</f>
        <v>owner=thomas&amp;filename_for_metadata=LaPorteuseD'Eau_COR22C1&amp;offchaindata_platform=MongoDB&amp;keyfile=Paul&amp;network=jsonfiles&amp;repository=test</v>
      </c>
      <c r="U64" s="1" t="str">
        <f t="shared" si="1"/>
        <v>{"name":"La Porteuse D'Eau #1",_x000D_
"symbol":"COR22C1",_x000D_
"description":"La Porteuse D'Eau, 3 ans - Pass NFT 5 jours pour 2 personnes, valable pour 3 éditions Calvi On The Rocks de votre choix.",_x000D_
"seller_fee_basis_points":1000,_x000D_
"image":"https://bafybeihq2d6zehgllk742aq7jsiyi5cehhnwllg7n4wkydyqvxzvognahq.ipfs.nftstorage.link?image_1.png",_x000D_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4" s="1" t="str">
        <f>formatRow(Tokens!C$2:I$2,Tokens!C64:I64)</f>
        <v>"name":"La Porteuse D'Eau #1",_x000D_
"symbol":"COR22C1",_x000D_
"description":"La Porteuse D'Eau, 3 ans - Pass NFT 5 jours pour 2 personnes, valable pour 3 éditions Calvi On The Rocks de votre choix.",_x000D_
"seller_fee_basis_points":1000,_x000D_
"image":"https://bafybeihq2d6zehgllk742aq7jsiyi5cehhnwllg7n4wkydyqvxzvognahq.ipfs.nftstorage.link?image_1.png",_x000D_
"Issuer":"NfluenT for Calvi On The rocks",_x000D_
"external_url":""</v>
      </c>
      <c r="W64" s="1" t="str">
        <f>formatRow(Tokens!J$2:AV$2,Tokens!J64:AV64,2,"attributes")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4" s="1" t="str">
        <f>formatRow(Tokens!AX$2:BC$2,Tokens!AX64:BC64,2,"creators")</f>
        <v>"creators":[{"address":"paul",_x000D_
"share":10},{"address":"sophie",_x000D_
"share":90}]</v>
      </c>
      <c r="Y64" s="1" t="str">
        <f>formatRow(Tokens!BD$2:BI$2,Tokens!BD64:BI64,2,"files")</f>
        <v>"files":[]</v>
      </c>
      <c r="Z64" s="1"/>
      <c r="AA64" s="1"/>
      <c r="AB64" s="1"/>
      <c r="AC64" s="1" t="str">
        <f>formatRow(Tokens!BJ$2:BK$2,Tokens!BJ64:BK64,0,"collection")</f>
        <v>"collection":{"name":"La Porteuse D'Eau",_x000D_
"family":"Calvi On The Rocks"}</v>
      </c>
    </row>
    <row r="65" spans="5:29" ht="14.25" customHeight="1" x14ac:dyDescent="0.25">
      <c r="E65" s="17" t="str">
        <f>IF(Tokens!C65="","",Tokens!C65)</f>
        <v>La Porteuse D'Eau #2</v>
      </c>
      <c r="F65"/>
      <c r="G65"/>
      <c r="H65"/>
      <c r="I65"/>
      <c r="J65"/>
      <c r="M65"/>
      <c r="N65"/>
      <c r="O65" s="15" t="str">
        <f t="shared" si="0"/>
        <v>_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/>
      </c>
      <c r="Q65" s="2"/>
      <c r="R65" s="2"/>
      <c r="S65" s="11"/>
      <c r="T65" s="1" t="str">
        <f>"owner=" &amp; Tokens!BS65 &amp; "&amp;filename_for_metadata=" &amp; Tokens!BT65 &amp; "&amp;offchaindata_platform=" &amp; $B$17 &amp; "&amp;keyfile=" &amp; $B$5 &amp; "&amp;network=" &amp; LOWER($B$8) &amp; "&amp;repository=" &amp; $B$18</f>
        <v>owner=thomas&amp;filename_for_metadata=LaPorteuseD'Eau_COR22C2&amp;offchaindata_platform=MongoDB&amp;keyfile=Paul&amp;network=jsonfiles&amp;repository=test</v>
      </c>
      <c r="U65" s="1" t="str">
        <f t="shared" si="1"/>
        <v>{"name":"La Porteuse D'Eau #2",_x000D_
"symbol":"COR22C2",_x000D_
"description":"La Porteuse D'Eau, 3 ans - Pass NFT 5 jours pour 2 personnes, valable pour 3 éditions Calvi On The Rocks de votre choix.",_x000D_
"seller_fee_basis_points":1000,_x000D_
"image":"https://bafybeidizcobgccpx2mmgwhml4ohnz3szvapcdhnfcastwrkwgsimhrla4.ipfs.nftstorage.link?image_2.png",_x000D_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5" s="1" t="str">
        <f>formatRow(Tokens!C$2:I$2,Tokens!C65:I65)</f>
        <v>"name":"La Porteuse D'Eau #2",_x000D_
"symbol":"COR22C2",_x000D_
"description":"La Porteuse D'Eau, 3 ans - Pass NFT 5 jours pour 2 personnes, valable pour 3 éditions Calvi On The Rocks de votre choix.",_x000D_
"seller_fee_basis_points":1000,_x000D_
"image":"https://bafybeidizcobgccpx2mmgwhml4ohnz3szvapcdhnfcastwrkwgsimhrla4.ipfs.nftstorage.link?image_2.png",_x000D_
"Issuer":"NfluenT for Calvi On The rocks",_x000D_
"external_url":""</v>
      </c>
      <c r="W65" s="1" t="str">
        <f>formatRow(Tokens!J$2:AV$2,Tokens!J65:AV65,2,"attributes")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5" s="1" t="str">
        <f>formatRow(Tokens!AX$2:BC$2,Tokens!AX65:BC65,2,"creators")</f>
        <v>"creators":[{"address":"paul",_x000D_
"share":10},{"address":"sophie",_x000D_
"share":90}]</v>
      </c>
      <c r="Y65" s="1" t="str">
        <f>formatRow(Tokens!BD$2:BI$2,Tokens!BD65:BI65,2,"files")</f>
        <v>"files":[]</v>
      </c>
      <c r="Z65" s="1"/>
      <c r="AA65" s="1"/>
      <c r="AB65" s="1"/>
      <c r="AC65" s="1" t="str">
        <f>formatRow(Tokens!BJ$2:BK$2,Tokens!BJ65:BK65,0,"collection")</f>
        <v>"collection":{"name":"La Porteuse D'Eau",_x000D_
"family":"Calvi On The Rocks"}</v>
      </c>
    </row>
    <row r="66" spans="5:29" ht="14.25" customHeight="1" x14ac:dyDescent="0.25">
      <c r="E66" s="17" t="str">
        <f>IF(Tokens!C66="","",Tokens!C66)</f>
        <v>La Porteuse D'Eau #3</v>
      </c>
      <c r="F66"/>
      <c r="G66"/>
      <c r="H66"/>
      <c r="I66"/>
      <c r="J66"/>
      <c r="M66"/>
      <c r="N66"/>
      <c r="O66" s="15" t="str">
        <f t="shared" si="0"/>
        <v>_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/>
      </c>
      <c r="Q66" s="2"/>
      <c r="R66" s="2"/>
      <c r="S66" s="11"/>
      <c r="T66" s="1" t="str">
        <f>"owner=" &amp; Tokens!BS66 &amp; "&amp;filename_for_metadata=" &amp; Tokens!BT66 &amp; "&amp;offchaindata_platform=" &amp; $B$17 &amp; "&amp;keyfile=" &amp; $B$5 &amp; "&amp;network=" &amp; LOWER($B$8) &amp; "&amp;repository=" &amp; $B$18</f>
        <v>owner=thomas&amp;filename_for_metadata=LaPorteuseD'Eau_COR22C3&amp;offchaindata_platform=MongoDB&amp;keyfile=Paul&amp;network=jsonfiles&amp;repository=test</v>
      </c>
      <c r="U66" s="1" t="str">
        <f t="shared" si="1"/>
        <v>{"name":"La Porteuse D'Eau #3",_x000D_
"symbol":"COR22C3",_x000D_
"description":"La Porteuse D'Eau, 3 ans - Pass NFT 5 jours pour 2 personnes, valable pour 3 éditions Calvi On The Rocks de votre choix.",_x000D_
"seller_fee_basis_points":1000,_x000D_
"image":"https://bafybeifqocdtyiqames7ku7scinuwroubstxypwiiroecqckcehhl6fopu.ipfs.nftstorage.link?image_3.png",_x000D_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6" s="1" t="str">
        <f>formatRow(Tokens!C$2:I$2,Tokens!C66:I66)</f>
        <v>"name":"La Porteuse D'Eau #3",_x000D_
"symbol":"COR22C3",_x000D_
"description":"La Porteuse D'Eau, 3 ans - Pass NFT 5 jours pour 2 personnes, valable pour 3 éditions Calvi On The Rocks de votre choix.",_x000D_
"seller_fee_basis_points":1000,_x000D_
"image":"https://bafybeifqocdtyiqames7ku7scinuwroubstxypwiiroecqckcehhl6fopu.ipfs.nftstorage.link?image_3.png",_x000D_
"Issuer":"NfluenT for Calvi On The rocks",_x000D_
"external_url":""</v>
      </c>
      <c r="W66" s="1" t="str">
        <f>formatRow(Tokens!J$2:AV$2,Tokens!J66:AV66,2,"attributes")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6" s="1" t="str">
        <f>formatRow(Tokens!AX$2:BC$2,Tokens!AX66:BC66,2,"creators")</f>
        <v>"creators":[{"address":"paul",_x000D_
"share":10},{"address":"sophie",_x000D_
"share":90}]</v>
      </c>
      <c r="Y66" s="1" t="str">
        <f>formatRow(Tokens!BD$2:BI$2,Tokens!BD66:BI66,2,"files")</f>
        <v>"files":[]</v>
      </c>
      <c r="Z66" s="1"/>
      <c r="AA66" s="1"/>
      <c r="AB66" s="1"/>
      <c r="AC66" s="1" t="str">
        <f>formatRow(Tokens!BJ$2:BK$2,Tokens!BJ66:BK66,0,"collection")</f>
        <v>"collection":{"name":"La Porteuse D'Eau",_x000D_
"family":"Calvi On The Rocks"}</v>
      </c>
    </row>
    <row r="67" spans="5:29" ht="14.25" customHeight="1" x14ac:dyDescent="0.25">
      <c r="E67" s="17" t="str">
        <f>IF(Tokens!C67="","",Tokens!C67)</f>
        <v>La Porteuse D'Eau #4</v>
      </c>
      <c r="F67"/>
      <c r="G67"/>
      <c r="H67"/>
      <c r="I67"/>
      <c r="J67"/>
      <c r="M67"/>
      <c r="N67"/>
      <c r="O67" s="15" t="str">
        <f t="shared" si="0"/>
        <v>_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/>
      </c>
      <c r="Q67" s="2"/>
      <c r="R67" s="2"/>
      <c r="S67" s="11"/>
      <c r="T67" s="1" t="str">
        <f>"owner=" &amp; Tokens!BS67 &amp; "&amp;filename_for_metadata=" &amp; Tokens!BT67 &amp; "&amp;offchaindata_platform=" &amp; $B$17 &amp; "&amp;keyfile=" &amp; $B$5 &amp; "&amp;network=" &amp; LOWER($B$8) &amp; "&amp;repository=" &amp; $B$18</f>
        <v>owner=thomas&amp;filename_for_metadata=LaPorteuseD'Eau_COR22C4&amp;offchaindata_platform=MongoDB&amp;keyfile=Paul&amp;network=jsonfiles&amp;repository=test</v>
      </c>
      <c r="U67" s="1" t="str">
        <f t="shared" si="1"/>
        <v>{"name":"La Porteuse D'Eau #4",_x000D_
"symbol":"COR22C4",_x000D_
"description":"La Porteuse D'Eau, 3 ans - Pass NFT 5 jours pour 2 personnes, valable pour 3 éditions Calvi On The Rocks de votre choix.",_x000D_
"seller_fee_basis_points":1000,_x000D_
"image":"https://bafybeif7vly34br6njb36rqvtbdl63pfnuuhnagank33mdlr7p5gctq4xy.ipfs.nftstorage.link?image_4.png",_x000D_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7" s="1" t="str">
        <f>formatRow(Tokens!C$2:I$2,Tokens!C67:I67)</f>
        <v>"name":"La Porteuse D'Eau #4",_x000D_
"symbol":"COR22C4",_x000D_
"description":"La Porteuse D'Eau, 3 ans - Pass NFT 5 jours pour 2 personnes, valable pour 3 éditions Calvi On The Rocks de votre choix.",_x000D_
"seller_fee_basis_points":1000,_x000D_
"image":"https://bafybeif7vly34br6njb36rqvtbdl63pfnuuhnagank33mdlr7p5gctq4xy.ipfs.nftstorage.link?image_4.png",_x000D_
"Issuer":"NfluenT for Calvi On The rocks",_x000D_
"external_url":""</v>
      </c>
      <c r="W67" s="1" t="str">
        <f>formatRow(Tokens!J$2:AV$2,Tokens!J67:AV67,2,"attributes")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7" s="1" t="str">
        <f>formatRow(Tokens!AX$2:BC$2,Tokens!AX67:BC67,2,"creators")</f>
        <v>"creators":[{"address":"paul",_x000D_
"share":10},{"address":"sophie",_x000D_
"share":90}]</v>
      </c>
      <c r="Y67" s="1" t="str">
        <f>formatRow(Tokens!BD$2:BI$2,Tokens!BD67:BI67,2,"files")</f>
        <v>"files":[]</v>
      </c>
      <c r="Z67" s="1"/>
      <c r="AA67" s="1"/>
      <c r="AB67" s="1"/>
      <c r="AC67" s="1" t="str">
        <f>formatRow(Tokens!BJ$2:BK$2,Tokens!BJ67:BK67,0,"collection")</f>
        <v>"collection":{"name":"La Porteuse D'Eau",_x000D_
"family":"Calvi On The Rocks"}</v>
      </c>
    </row>
    <row r="68" spans="5:29" ht="14.25" customHeight="1" x14ac:dyDescent="0.25">
      <c r="E68" s="17" t="str">
        <f>IF(Tokens!C68="","",Tokens!C68)</f>
        <v>La Porteuse D'Eau #5</v>
      </c>
      <c r="F68"/>
      <c r="G68"/>
      <c r="H68"/>
      <c r="I68"/>
      <c r="J68"/>
      <c r="M68"/>
      <c r="N68"/>
      <c r="O68" s="15" t="str">
        <f t="shared" ref="O68:O131" si="2">IF(AND(ISNUMBER(N67),ISNUMBER(N68)),(N68-N67)*$O$1,"_")</f>
        <v>_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/>
      </c>
      <c r="Q68" s="2"/>
      <c r="R68" s="2"/>
      <c r="S68" s="11"/>
      <c r="T68" s="1" t="str">
        <f>"owner=" &amp; Tokens!BS68 &amp; "&amp;filename_for_metadata=" &amp; Tokens!BT68 &amp; "&amp;offchaindata_platform=" &amp; $B$17 &amp; "&amp;keyfile=" &amp; $B$5 &amp; "&amp;network=" &amp; LOWER($B$8) &amp; "&amp;repository=" &amp; $B$18</f>
        <v>owner=thomas&amp;filename_for_metadata=LaPorteuseD'Eau_COR22C5&amp;offchaindata_platform=MongoDB&amp;keyfile=Paul&amp;network=jsonfiles&amp;repository=test</v>
      </c>
      <c r="U68" s="1" t="str">
        <f t="shared" si="1"/>
        <v>{"name":"La Porteuse D'Eau #5",_x000D_
"symbol":"COR22C5",_x000D_
"description":"La Porteuse D'Eau, 3 ans - Pass NFT 5 jours pour 2 personnes, valable pour 3 éditions Calvi On The Rocks de votre choix.",_x000D_
"seller_fee_basis_points":1000,_x000D_
"image":"https://bafybeiabysnvrxai6c3v4t6mg6dh6lvegid7s52666vvsrqsmlhlct7udq.ipfs.nftstorage.link?image_5.png",_x000D_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8" s="1" t="str">
        <f>formatRow(Tokens!C$2:I$2,Tokens!C68:I68)</f>
        <v>"name":"La Porteuse D'Eau #5",_x000D_
"symbol":"COR22C5",_x000D_
"description":"La Porteuse D'Eau, 3 ans - Pass NFT 5 jours pour 2 personnes, valable pour 3 éditions Calvi On The Rocks de votre choix.",_x000D_
"seller_fee_basis_points":1000,_x000D_
"image":"https://bafybeiabysnvrxai6c3v4t6mg6dh6lvegid7s52666vvsrqsmlhlct7udq.ipfs.nftstorage.link?image_5.png",_x000D_
"Issuer":"NfluenT for Calvi On The rocks",_x000D_
"external_url":""</v>
      </c>
      <c r="W68" s="1" t="str">
        <f>formatRow(Tokens!J$2:AV$2,Tokens!J68:AV68,2,"attributes")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8" s="1" t="str">
        <f>formatRow(Tokens!AX$2:BC$2,Tokens!AX68:BC68,2,"creators")</f>
        <v>"creators":[{"address":"paul",_x000D_
"share":10},{"address":"sophie",_x000D_
"share":90}]</v>
      </c>
      <c r="Y68" s="1" t="str">
        <f>formatRow(Tokens!BD$2:BI$2,Tokens!BD68:BI68,2,"files")</f>
        <v>"files":[]</v>
      </c>
      <c r="Z68" s="1"/>
      <c r="AA68" s="1"/>
      <c r="AB68" s="1"/>
      <c r="AC68" s="1" t="str">
        <f>formatRow(Tokens!BJ$2:BK$2,Tokens!BJ68:BK68,0,"collection")</f>
        <v>"collection":{"name":"La Porteuse D'Eau",_x000D_
"family":"Calvi On The Rocks"}</v>
      </c>
    </row>
    <row r="69" spans="5:29" ht="14.25" customHeight="1" x14ac:dyDescent="0.25">
      <c r="E69" s="17" t="str">
        <f>IF(Tokens!C69="","",Tokens!C69)</f>
        <v>La Porteuse D'Eau #6</v>
      </c>
      <c r="F69"/>
      <c r="G69"/>
      <c r="H69"/>
      <c r="I69"/>
      <c r="J69"/>
      <c r="M69"/>
      <c r="N69"/>
      <c r="O69" s="15" t="str">
        <f t="shared" si="2"/>
        <v>_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/>
      </c>
      <c r="Q69" s="2"/>
      <c r="R69" s="2"/>
      <c r="S69" s="11"/>
      <c r="T69" s="1" t="str">
        <f>"owner=" &amp; Tokens!BS69 &amp; "&amp;filename_for_metadata=" &amp; Tokens!BT69 &amp; "&amp;offchaindata_platform=" &amp; $B$17 &amp; "&amp;keyfile=" &amp; $B$5 &amp; "&amp;network=" &amp; LOWER($B$8) &amp; "&amp;repository=" &amp; $B$18</f>
        <v>owner=thomas&amp;filename_for_metadata=LaPorteuseD'Eau_COR22C6&amp;offchaindata_platform=MongoDB&amp;keyfile=Paul&amp;network=jsonfiles&amp;repository=test</v>
      </c>
      <c r="U69" s="1" t="str">
        <f t="shared" ref="U69:U132" si="3">"{" &amp; V69 &amp; "," &amp; W69 &amp; "," &amp; """properties"":{" &amp; X69 &amp; "," &amp; Y69 &amp; "}," &amp; AC69 &amp; "}"</f>
        <v>{"name":"La Porteuse D'Eau #6",_x000D_
"symbol":"COR22C6",_x000D_
"description":"La Porteuse D'Eau, 3 ans - Pass NFT 5 jours pour 2 personnes, valable pour 3 éditions Calvi On The Rocks de votre choix.",_x000D_
"seller_fee_basis_points":1000,_x000D_
"image":"https://bafybeihzut5ckldqoj3cu7f6plgftzytovtxf5dmz6cl5wl63p5tczvqge.ipfs.nftstorage.link?image_6.png",_x000D_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69" s="1" t="str">
        <f>formatRow(Tokens!C$2:I$2,Tokens!C69:I69)</f>
        <v>"name":"La Porteuse D'Eau #6",_x000D_
"symbol":"COR22C6",_x000D_
"description":"La Porteuse D'Eau, 3 ans - Pass NFT 5 jours pour 2 personnes, valable pour 3 éditions Calvi On The Rocks de votre choix.",_x000D_
"seller_fee_basis_points":1000,_x000D_
"image":"https://bafybeihzut5ckldqoj3cu7f6plgftzytovtxf5dmz6cl5wl63p5tczvqge.ipfs.nftstorage.link?image_6.png",_x000D_
"Issuer":"NfluenT for Calvi On The rocks",_x000D_
"external_url":""</v>
      </c>
      <c r="W69" s="1" t="str">
        <f>formatRow(Tokens!J$2:AV$2,Tokens!J69:AV69,2,"attributes")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69" s="1" t="str">
        <f>formatRow(Tokens!AX$2:BC$2,Tokens!AX69:BC69,2,"creators")</f>
        <v>"creators":[{"address":"paul",_x000D_
"share":10},{"address":"sophie",_x000D_
"share":90}]</v>
      </c>
      <c r="Y69" s="1" t="str">
        <f>formatRow(Tokens!BD$2:BI$2,Tokens!BD69:BI69,2,"files")</f>
        <v>"files":[]</v>
      </c>
      <c r="Z69" s="1"/>
      <c r="AA69" s="1"/>
      <c r="AB69" s="1"/>
      <c r="AC69" s="1" t="str">
        <f>formatRow(Tokens!BJ$2:BK$2,Tokens!BJ69:BK69,0,"collection")</f>
        <v>"collection":{"name":"La Porteuse D'Eau",_x000D_
"family":"Calvi On The Rocks"}</v>
      </c>
    </row>
    <row r="70" spans="5:29" ht="14.25" customHeight="1" x14ac:dyDescent="0.25">
      <c r="E70" s="17" t="str">
        <f>IF(Tokens!C70="","",Tokens!C70)</f>
        <v>La Porteuse D'Eau #7</v>
      </c>
      <c r="F70"/>
      <c r="G70"/>
      <c r="H70"/>
      <c r="I70"/>
      <c r="J70"/>
      <c r="M70"/>
      <c r="N70"/>
      <c r="O70" s="15" t="str">
        <f t="shared" si="2"/>
        <v>_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/>
      </c>
      <c r="Q70" s="2"/>
      <c r="R70" s="2"/>
      <c r="S70" s="11"/>
      <c r="T70" s="1" t="str">
        <f>"owner=" &amp; Tokens!BS70 &amp; "&amp;filename_for_metadata=" &amp; Tokens!BT70 &amp; "&amp;offchaindata_platform=" &amp; $B$17 &amp; "&amp;keyfile=" &amp; $B$5 &amp; "&amp;network=" &amp; LOWER($B$8) &amp; "&amp;repository=" &amp; $B$18</f>
        <v>owner=thomas&amp;filename_for_metadata=LaPorteuseD'Eau_COR22C7&amp;offchaindata_platform=MongoDB&amp;keyfile=Paul&amp;network=jsonfiles&amp;repository=test</v>
      </c>
      <c r="U70" s="1" t="str">
        <f t="shared" si="3"/>
        <v>{"name":"La Porteuse D'Eau #7",_x000D_
"symbol":"COR22C7",_x000D_
"description":"La Porteuse D'Eau, 3 ans - Pass NFT 5 jours pour 2 personnes, valable pour 3 éditions Calvi On The Rocks de votre choix.",_x000D_
"seller_fee_basis_points":1000,_x000D_
"image":"https://bafybeiabpy2xwqhikhavpzxzyc6mhrqbkwea4iy6hi6vgxmvujq43buvn4.ipfs.nftstorage.link?image_7.png",_x000D_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0" s="1" t="str">
        <f>formatRow(Tokens!C$2:I$2,Tokens!C70:I70)</f>
        <v>"name":"La Porteuse D'Eau #7",_x000D_
"symbol":"COR22C7",_x000D_
"description":"La Porteuse D'Eau, 3 ans - Pass NFT 5 jours pour 2 personnes, valable pour 3 éditions Calvi On The Rocks de votre choix.",_x000D_
"seller_fee_basis_points":1000,_x000D_
"image":"https://bafybeiabpy2xwqhikhavpzxzyc6mhrqbkwea4iy6hi6vgxmvujq43buvn4.ipfs.nftstorage.link?image_7.png",_x000D_
"Issuer":"NfluenT for Calvi On The rocks",_x000D_
"external_url":""</v>
      </c>
      <c r="W70" s="1" t="str">
        <f>formatRow(Tokens!J$2:AV$2,Tokens!J70:AV70,2,"attributes")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0" s="1" t="str">
        <f>formatRow(Tokens!AX$2:BC$2,Tokens!AX70:BC70,2,"creators")</f>
        <v>"creators":[{"address":"paul",_x000D_
"share":10},{"address":"sophie",_x000D_
"share":90}]</v>
      </c>
      <c r="Y70" s="1" t="str">
        <f>formatRow(Tokens!BD$2:BI$2,Tokens!BD70:BI70,2,"files")</f>
        <v>"files":[]</v>
      </c>
      <c r="Z70" s="1"/>
      <c r="AA70" s="1"/>
      <c r="AB70" s="1"/>
      <c r="AC70" s="1" t="str">
        <f>formatRow(Tokens!BJ$2:BK$2,Tokens!BJ70:BK70,0,"collection")</f>
        <v>"collection":{"name":"La Porteuse D'Eau",_x000D_
"family":"Calvi On The Rocks"}</v>
      </c>
    </row>
    <row r="71" spans="5:29" ht="14.25" customHeight="1" x14ac:dyDescent="0.25">
      <c r="E71" s="17" t="str">
        <f>IF(Tokens!C71="","",Tokens!C71)</f>
        <v>La Porteuse D'Eau #8</v>
      </c>
      <c r="F71"/>
      <c r="G71"/>
      <c r="H71"/>
      <c r="I71"/>
      <c r="J71"/>
      <c r="M71"/>
      <c r="N71"/>
      <c r="O71" s="15" t="str">
        <f t="shared" si="2"/>
        <v>_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/>
      </c>
      <c r="Q71" s="2"/>
      <c r="R71" s="2"/>
      <c r="S71" s="11"/>
      <c r="T71" s="1" t="str">
        <f>"owner=" &amp; Tokens!BS71 &amp; "&amp;filename_for_metadata=" &amp; Tokens!BT71 &amp; "&amp;offchaindata_platform=" &amp; $B$17 &amp; "&amp;keyfile=" &amp; $B$5 &amp; "&amp;network=" &amp; LOWER($B$8) &amp; "&amp;repository=" &amp; $B$18</f>
        <v>owner=thomas&amp;filename_for_metadata=LaPorteuseD'Eau_COR22C8&amp;offchaindata_platform=MongoDB&amp;keyfile=Paul&amp;network=jsonfiles&amp;repository=test</v>
      </c>
      <c r="U71" s="1" t="str">
        <f t="shared" si="3"/>
        <v>{"name":"La Porteuse D'Eau #8",_x000D_
"symbol":"COR22C8",_x000D_
"description":"La Porteuse D'Eau, 3 ans - Pass NFT 5 jours pour 2 personnes, valable pour 3 éditions Calvi On The Rocks de votre choix.",_x000D_
"seller_fee_basis_points":1000,_x000D_
"image":"https://bafybeids7h5zro26e4shilrdvqj7i7tjyty2oqx652xwgafguce7vjbbem.ipfs.nftstorage.link?image_8.png",_x000D_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1" s="1" t="str">
        <f>formatRow(Tokens!C$2:I$2,Tokens!C71:I71)</f>
        <v>"name":"La Porteuse D'Eau #8",_x000D_
"symbol":"COR22C8",_x000D_
"description":"La Porteuse D'Eau, 3 ans - Pass NFT 5 jours pour 2 personnes, valable pour 3 éditions Calvi On The Rocks de votre choix.",_x000D_
"seller_fee_basis_points":1000,_x000D_
"image":"https://bafybeids7h5zro26e4shilrdvqj7i7tjyty2oqx652xwgafguce7vjbbem.ipfs.nftstorage.link?image_8.png",_x000D_
"Issuer":"NfluenT for Calvi On The rocks",_x000D_
"external_url":""</v>
      </c>
      <c r="W71" s="1" t="str">
        <f>formatRow(Tokens!J$2:AV$2,Tokens!J71:AV71,2,"attributes")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1" s="1" t="str">
        <f>formatRow(Tokens!AX$2:BC$2,Tokens!AX71:BC71,2,"creators")</f>
        <v>"creators":[{"address":"paul",_x000D_
"share":10},{"address":"sophie",_x000D_
"share":90}]</v>
      </c>
      <c r="Y71" s="1" t="str">
        <f>formatRow(Tokens!BD$2:BI$2,Tokens!BD71:BI71,2,"files")</f>
        <v>"files":[]</v>
      </c>
      <c r="Z71" s="1"/>
      <c r="AA71" s="1"/>
      <c r="AB71" s="1"/>
      <c r="AC71" s="1" t="str">
        <f>formatRow(Tokens!BJ$2:BK$2,Tokens!BJ71:BK71,0,"collection")</f>
        <v>"collection":{"name":"La Porteuse D'Eau",_x000D_
"family":"Calvi On The Rocks"}</v>
      </c>
    </row>
    <row r="72" spans="5:29" ht="14.25" customHeight="1" x14ac:dyDescent="0.25">
      <c r="E72" s="17" t="str">
        <f>IF(Tokens!C72="","",Tokens!C72)</f>
        <v>La Porteuse D'Eau #9</v>
      </c>
      <c r="F72"/>
      <c r="G72"/>
      <c r="H72"/>
      <c r="I72"/>
      <c r="J72"/>
      <c r="M72"/>
      <c r="N72"/>
      <c r="O72" s="15" t="str">
        <f t="shared" si="2"/>
        <v>_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/>
      </c>
      <c r="Q72" s="2"/>
      <c r="R72" s="2"/>
      <c r="S72" s="11"/>
      <c r="T72" s="1" t="str">
        <f>"owner=" &amp; Tokens!BS72 &amp; "&amp;filename_for_metadata=" &amp; Tokens!BT72 &amp; "&amp;offchaindata_platform=" &amp; $B$17 &amp; "&amp;keyfile=" &amp; $B$5 &amp; "&amp;network=" &amp; LOWER($B$8) &amp; "&amp;repository=" &amp; $B$18</f>
        <v>owner=thomas&amp;filename_for_metadata=LaPorteuseD'Eau_COR22C9&amp;offchaindata_platform=MongoDB&amp;keyfile=Paul&amp;network=jsonfiles&amp;repository=test</v>
      </c>
      <c r="U72" s="1" t="str">
        <f t="shared" si="3"/>
        <v>{"name":"La Porteuse D'Eau #9",_x000D_
"symbol":"COR22C9",_x000D_
"description":"La Porteuse D'Eau, 3 ans - Pass NFT 5 jours pour 2 personnes, valable pour 3 éditions Calvi On The Rocks de votre choix.",_x000D_
"seller_fee_basis_points":1000,_x000D_
"image":"https://bafybeidomhheaoacgwju3gav5lzdyg6bplai6hngzkt3utgdfcjwrv3bna.ipfs.nftstorage.link?image_9.png",_x000D_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2" s="1" t="str">
        <f>formatRow(Tokens!C$2:I$2,Tokens!C72:I72)</f>
        <v>"name":"La Porteuse D'Eau #9",_x000D_
"symbol":"COR22C9",_x000D_
"description":"La Porteuse D'Eau, 3 ans - Pass NFT 5 jours pour 2 personnes, valable pour 3 éditions Calvi On The Rocks de votre choix.",_x000D_
"seller_fee_basis_points":1000,_x000D_
"image":"https://bafybeidomhheaoacgwju3gav5lzdyg6bplai6hngzkt3utgdfcjwrv3bna.ipfs.nftstorage.link?image_9.png",_x000D_
"Issuer":"NfluenT for Calvi On The rocks",_x000D_
"external_url":""</v>
      </c>
      <c r="W72" s="1" t="str">
        <f>formatRow(Tokens!J$2:AV$2,Tokens!J72:AV72,2,"attributes")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2" s="1" t="str">
        <f>formatRow(Tokens!AX$2:BC$2,Tokens!AX72:BC72,2,"creators")</f>
        <v>"creators":[{"address":"paul",_x000D_
"share":10},{"address":"sophie",_x000D_
"share":90}]</v>
      </c>
      <c r="Y72" s="1" t="str">
        <f>formatRow(Tokens!BD$2:BI$2,Tokens!BD72:BI72,2,"files")</f>
        <v>"files":[]</v>
      </c>
      <c r="Z72" s="1"/>
      <c r="AA72" s="1"/>
      <c r="AB72" s="1"/>
      <c r="AC72" s="1" t="str">
        <f>formatRow(Tokens!BJ$2:BK$2,Tokens!BJ72:BK72,0,"collection")</f>
        <v>"collection":{"name":"La Porteuse D'Eau",_x000D_
"family":"Calvi On The Rocks"}</v>
      </c>
    </row>
    <row r="73" spans="5:29" ht="14.25" customHeight="1" x14ac:dyDescent="0.25">
      <c r="E73" s="17" t="str">
        <f>IF(Tokens!C73="","",Tokens!C73)</f>
        <v>La Porteuse D'Eau #10</v>
      </c>
      <c r="F73"/>
      <c r="G73"/>
      <c r="H73"/>
      <c r="I73"/>
      <c r="J73"/>
      <c r="M73"/>
      <c r="N73"/>
      <c r="O73" s="15" t="str">
        <f t="shared" si="2"/>
        <v>_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/>
      </c>
      <c r="Q73" s="2"/>
      <c r="R73" s="2"/>
      <c r="S73" s="11"/>
      <c r="T73" s="1" t="str">
        <f>"owner=" &amp; Tokens!BS73 &amp; "&amp;filename_for_metadata=" &amp; Tokens!BT73 &amp; "&amp;offchaindata_platform=" &amp; $B$17 &amp; "&amp;keyfile=" &amp; $B$5 &amp; "&amp;network=" &amp; LOWER($B$8) &amp; "&amp;repository=" &amp; $B$18</f>
        <v>owner=thomas&amp;filename_for_metadata=LaPorteuseD'Eau_COR22C10&amp;offchaindata_platform=MongoDB&amp;keyfile=Paul&amp;network=jsonfiles&amp;repository=test</v>
      </c>
      <c r="U73" s="1" t="str">
        <f t="shared" si="3"/>
        <v>{"name":"La Porteuse D'Eau #10",_x000D_
"symbol":"COR22C10",_x000D_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3" s="1" t="str">
        <f>formatRow(Tokens!C$2:I$2,Tokens!C73:I73)</f>
        <v>"name":"La Porteuse D'Eau #10",_x000D_
"symbol":"COR22C10",_x000D_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3" s="1" t="str">
        <f>formatRow(Tokens!J$2:AV$2,Tokens!J73:AV73,2,"attributes")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3" s="1" t="str">
        <f>formatRow(Tokens!AX$2:BC$2,Tokens!AX73:BC73,2,"creators")</f>
        <v>"creators":[{"address":"paul",_x000D_
"share":10},{"address":"sophie",_x000D_
"share":90}]</v>
      </c>
      <c r="Y73" s="1" t="str">
        <f>formatRow(Tokens!BD$2:BI$2,Tokens!BD73:BI73,2,"files")</f>
        <v>"files":[]</v>
      </c>
      <c r="Z73" s="1"/>
      <c r="AA73" s="1"/>
      <c r="AB73" s="1"/>
      <c r="AC73" s="1" t="str">
        <f>formatRow(Tokens!BJ$2:BK$2,Tokens!BJ73:BK73,0,"collection")</f>
        <v>"collection":{"name":"La Porteuse D'Eau",_x000D_
"family":"Calvi On The Rocks"}</v>
      </c>
    </row>
    <row r="74" spans="5:29" ht="14.25" customHeight="1" x14ac:dyDescent="0.25">
      <c r="E74" s="17" t="str">
        <f>IF(Tokens!C74="","",Tokens!C74)</f>
        <v>La Porteuse D'Eau #11</v>
      </c>
      <c r="F74"/>
      <c r="G74"/>
      <c r="H74"/>
      <c r="I74"/>
      <c r="J74"/>
      <c r="M74"/>
      <c r="N74"/>
      <c r="O74" s="15" t="str">
        <f t="shared" si="2"/>
        <v>_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/>
      </c>
      <c r="Q74" s="2"/>
      <c r="R74" s="2"/>
      <c r="S74" s="11"/>
      <c r="T74" s="1" t="str">
        <f>"owner=" &amp; Tokens!BS74 &amp; "&amp;filename_for_metadata=" &amp; Tokens!BT74 &amp; "&amp;offchaindata_platform=" &amp; $B$17 &amp; "&amp;keyfile=" &amp; $B$5 &amp; "&amp;network=" &amp; LOWER($B$8) &amp; "&amp;repository=" &amp; $B$18</f>
        <v>owner=thomas&amp;filename_for_metadata=LaPorteuseD'Eau_COR22C11&amp;offchaindata_platform=MongoDB&amp;keyfile=Paul&amp;network=jsonfiles&amp;repository=test</v>
      </c>
      <c r="U74" s="1" t="str">
        <f t="shared" si="3"/>
        <v>{"name":"La Porteuse D'Eau #11",_x000D_
"symbol":"COR22C11",_x000D_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4" s="1" t="str">
        <f>formatRow(Tokens!C$2:I$2,Tokens!C74:I74)</f>
        <v>"name":"La Porteuse D'Eau #11",_x000D_
"symbol":"COR22C11",_x000D_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4" s="1" t="str">
        <f>formatRow(Tokens!J$2:AV$2,Tokens!J74:AV74,2,"attributes")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4" s="1" t="str">
        <f>formatRow(Tokens!AX$2:BC$2,Tokens!AX74:BC74,2,"creators")</f>
        <v>"creators":[{"address":"paul",_x000D_
"share":10},{"address":"sophie",_x000D_
"share":90}]</v>
      </c>
      <c r="Y74" s="1" t="str">
        <f>formatRow(Tokens!BD$2:BI$2,Tokens!BD74:BI74,2,"files")</f>
        <v>"files":[]</v>
      </c>
      <c r="Z74" s="1"/>
      <c r="AA74" s="1"/>
      <c r="AB74" s="1"/>
      <c r="AC74" s="1" t="str">
        <f>formatRow(Tokens!BJ$2:BK$2,Tokens!BJ74:BK74,0,"collection")</f>
        <v>"collection":{"name":"La Porteuse D'Eau",_x000D_
"family":"Calvi On The Rocks"}</v>
      </c>
    </row>
    <row r="75" spans="5:29" ht="14.25" customHeight="1" x14ac:dyDescent="0.25">
      <c r="E75" s="17" t="str">
        <f>IF(Tokens!C75="","",Tokens!C75)</f>
        <v>La Porteuse D'Eau #12</v>
      </c>
      <c r="F75"/>
      <c r="G75"/>
      <c r="H75"/>
      <c r="I75"/>
      <c r="J75"/>
      <c r="M75"/>
      <c r="N75"/>
      <c r="O75" s="15" t="str">
        <f t="shared" si="2"/>
        <v>_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/>
      </c>
      <c r="Q75" s="2"/>
      <c r="R75" s="2"/>
      <c r="S75" s="11"/>
      <c r="T75" s="1" t="str">
        <f>"owner=" &amp; Tokens!BS75 &amp; "&amp;filename_for_metadata=" &amp; Tokens!BT75 &amp; "&amp;offchaindata_platform=" &amp; $B$17 &amp; "&amp;keyfile=" &amp; $B$5 &amp; "&amp;network=" &amp; LOWER($B$8) &amp; "&amp;repository=" &amp; $B$18</f>
        <v>owner=thomas&amp;filename_for_metadata=LaPorteuseD'Eau_COR22C12&amp;offchaindata_platform=MongoDB&amp;keyfile=Paul&amp;network=jsonfiles&amp;repository=test</v>
      </c>
      <c r="U75" s="1" t="str">
        <f t="shared" si="3"/>
        <v>{"name":"La Porteuse D'Eau #12",_x000D_
"symbol":"COR22C12",_x000D_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5" s="1" t="str">
        <f>formatRow(Tokens!C$2:I$2,Tokens!C75:I75)</f>
        <v>"name":"La Porteuse D'Eau #12",_x000D_
"symbol":"COR22C12",_x000D_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5" s="1" t="str">
        <f>formatRow(Tokens!J$2:AV$2,Tokens!J75:AV75,2,"attributes")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5" s="1" t="str">
        <f>formatRow(Tokens!AX$2:BC$2,Tokens!AX75:BC75,2,"creators")</f>
        <v>"creators":[{"address":"paul",_x000D_
"share":10},{"address":"sophie",_x000D_
"share":90}]</v>
      </c>
      <c r="Y75" s="1" t="str">
        <f>formatRow(Tokens!BD$2:BI$2,Tokens!BD75:BI75,2,"files")</f>
        <v>"files":[]</v>
      </c>
      <c r="Z75" s="1"/>
      <c r="AA75" s="1"/>
      <c r="AB75" s="1"/>
      <c r="AC75" s="1" t="str">
        <f>formatRow(Tokens!BJ$2:BK$2,Tokens!BJ75:BK75,0,"collection")</f>
        <v>"collection":{"name":"La Porteuse D'Eau",_x000D_
"family":"Calvi On The Rocks"}</v>
      </c>
    </row>
    <row r="76" spans="5:29" ht="14.25" customHeight="1" x14ac:dyDescent="0.25">
      <c r="E76" s="17" t="str">
        <f>IF(Tokens!C76="","",Tokens!C76)</f>
        <v>La Porteuse D'Eau #13</v>
      </c>
      <c r="F76"/>
      <c r="G76"/>
      <c r="H76"/>
      <c r="I76"/>
      <c r="J76"/>
      <c r="M76"/>
      <c r="N76"/>
      <c r="O76" s="15" t="str">
        <f t="shared" si="2"/>
        <v>_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/>
      </c>
      <c r="Q76" s="2"/>
      <c r="R76" s="2"/>
      <c r="S76" s="11"/>
      <c r="T76" s="1" t="str">
        <f>"owner=" &amp; Tokens!BS76 &amp; "&amp;filename_for_metadata=" &amp; Tokens!BT76 &amp; "&amp;offchaindata_platform=" &amp; $B$17 &amp; "&amp;keyfile=" &amp; $B$5 &amp; "&amp;network=" &amp; LOWER($B$8) &amp; "&amp;repository=" &amp; $B$18</f>
        <v>owner=thomas&amp;filename_for_metadata=LaPorteuseD'Eau_COR22C13&amp;offchaindata_platform=MongoDB&amp;keyfile=Paul&amp;network=jsonfiles&amp;repository=test</v>
      </c>
      <c r="U76" s="1" t="str">
        <f t="shared" si="3"/>
        <v>{"name":"La Porteuse D'Eau #13",_x000D_
"symbol":"COR22C13",_x000D_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6" s="1" t="str">
        <f>formatRow(Tokens!C$2:I$2,Tokens!C76:I76)</f>
        <v>"name":"La Porteuse D'Eau #13",_x000D_
"symbol":"COR22C13",_x000D_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6" s="1" t="str">
        <f>formatRow(Tokens!J$2:AV$2,Tokens!J76:AV76,2,"attributes")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6" s="1" t="str">
        <f>formatRow(Tokens!AX$2:BC$2,Tokens!AX76:BC76,2,"creators")</f>
        <v>"creators":[{"address":"paul",_x000D_
"share":10},{"address":"sophie",_x000D_
"share":90}]</v>
      </c>
      <c r="Y76" s="1" t="str">
        <f>formatRow(Tokens!BD$2:BI$2,Tokens!BD76:BI76,2,"files")</f>
        <v>"files":[]</v>
      </c>
      <c r="Z76" s="1"/>
      <c r="AA76" s="1"/>
      <c r="AB76" s="1"/>
      <c r="AC76" s="1" t="str">
        <f>formatRow(Tokens!BJ$2:BK$2,Tokens!BJ76:BK76,0,"collection")</f>
        <v>"collection":{"name":"La Porteuse D'Eau",_x000D_
"family":"Calvi On The Rocks"}</v>
      </c>
    </row>
    <row r="77" spans="5:29" ht="14.25" customHeight="1" x14ac:dyDescent="0.25">
      <c r="E77" s="17" t="str">
        <f>IF(Tokens!C77="","",Tokens!C77)</f>
        <v>La Porteuse D'Eau #14</v>
      </c>
      <c r="F77"/>
      <c r="G77"/>
      <c r="H77"/>
      <c r="I77"/>
      <c r="J77"/>
      <c r="M77"/>
      <c r="N77"/>
      <c r="O77" s="15" t="str">
        <f t="shared" si="2"/>
        <v>_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/>
      </c>
      <c r="Q77" s="2"/>
      <c r="R77" s="2"/>
      <c r="S77" s="11"/>
      <c r="T77" s="1" t="str">
        <f>"owner=" &amp; Tokens!BS77 &amp; "&amp;filename_for_metadata=" &amp; Tokens!BT77 &amp; "&amp;offchaindata_platform=" &amp; $B$17 &amp; "&amp;keyfile=" &amp; $B$5 &amp; "&amp;network=" &amp; LOWER($B$8) &amp; "&amp;repository=" &amp; $B$18</f>
        <v>owner=thomas&amp;filename_for_metadata=LaPorteuseD'Eau_COR22C14&amp;offchaindata_platform=MongoDB&amp;keyfile=Paul&amp;network=jsonfiles&amp;repository=test</v>
      </c>
      <c r="U77" s="1" t="str">
        <f t="shared" si="3"/>
        <v>{"name":"La Porteuse D'Eau #14",_x000D_
"symbol":"COR22C14",_x000D_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7" s="1" t="str">
        <f>formatRow(Tokens!C$2:I$2,Tokens!C77:I77)</f>
        <v>"name":"La Porteuse D'Eau #14",_x000D_
"symbol":"COR22C14",_x000D_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7" s="1" t="str">
        <f>formatRow(Tokens!J$2:AV$2,Tokens!J77:AV77,2,"attributes")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7" s="1" t="str">
        <f>formatRow(Tokens!AX$2:BC$2,Tokens!AX77:BC77,2,"creators")</f>
        <v>"creators":[{"address":"paul",_x000D_
"share":10},{"address":"sophie",_x000D_
"share":90}]</v>
      </c>
      <c r="Y77" s="1" t="str">
        <f>formatRow(Tokens!BD$2:BI$2,Tokens!BD77:BI77,2,"files")</f>
        <v>"files":[]</v>
      </c>
      <c r="Z77" s="1"/>
      <c r="AA77" s="1"/>
      <c r="AB77" s="1"/>
      <c r="AC77" s="1" t="str">
        <f>formatRow(Tokens!BJ$2:BK$2,Tokens!BJ77:BK77,0,"collection")</f>
        <v>"collection":{"name":"La Porteuse D'Eau",_x000D_
"family":"Calvi On The Rocks"}</v>
      </c>
    </row>
    <row r="78" spans="5:29" ht="14.25" customHeight="1" x14ac:dyDescent="0.25">
      <c r="E78" s="17" t="str">
        <f>IF(Tokens!C78="","",Tokens!C78)</f>
        <v>La Porteuse D'Eau #15</v>
      </c>
      <c r="F78"/>
      <c r="G78"/>
      <c r="H78"/>
      <c r="I78"/>
      <c r="J78"/>
      <c r="M78"/>
      <c r="N78"/>
      <c r="O78" s="15" t="str">
        <f t="shared" si="2"/>
        <v>_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/>
      </c>
      <c r="Q78" s="2"/>
      <c r="R78" s="2"/>
      <c r="S78" s="11"/>
      <c r="T78" s="1" t="str">
        <f>"owner=" &amp; Tokens!BS78 &amp; "&amp;filename_for_metadata=" &amp; Tokens!BT78 &amp; "&amp;offchaindata_platform=" &amp; $B$17 &amp; "&amp;keyfile=" &amp; $B$5 &amp; "&amp;network=" &amp; LOWER($B$8) &amp; "&amp;repository=" &amp; $B$18</f>
        <v>owner=thomas&amp;filename_for_metadata=LaPorteuseD'Eau_COR22C15&amp;offchaindata_platform=MongoDB&amp;keyfile=Paul&amp;network=jsonfiles&amp;repository=test</v>
      </c>
      <c r="U78" s="1" t="str">
        <f t="shared" si="3"/>
        <v>{"name":"La Porteuse D'Eau #15",_x000D_
"symbol":"COR22C15",_x000D_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8" s="1" t="str">
        <f>formatRow(Tokens!C$2:I$2,Tokens!C78:I78)</f>
        <v>"name":"La Porteuse D'Eau #15",_x000D_
"symbol":"COR22C15",_x000D_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8" s="1" t="str">
        <f>formatRow(Tokens!J$2:AV$2,Tokens!J78:AV78,2,"attributes")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8" s="1" t="str">
        <f>formatRow(Tokens!AX$2:BC$2,Tokens!AX78:BC78,2,"creators")</f>
        <v>"creators":[{"address":"paul",_x000D_
"share":10},{"address":"sophie",_x000D_
"share":90}]</v>
      </c>
      <c r="Y78" s="1" t="str">
        <f>formatRow(Tokens!BD$2:BI$2,Tokens!BD78:BI78,2,"files")</f>
        <v>"files":[]</v>
      </c>
      <c r="Z78" s="1"/>
      <c r="AA78" s="1"/>
      <c r="AB78" s="1"/>
      <c r="AC78" s="1" t="str">
        <f>formatRow(Tokens!BJ$2:BK$2,Tokens!BJ78:BK78,0,"collection")</f>
        <v>"collection":{"name":"La Porteuse D'Eau",_x000D_
"family":"Calvi On The Rocks"}</v>
      </c>
    </row>
    <row r="79" spans="5:29" ht="14.25" customHeight="1" x14ac:dyDescent="0.25">
      <c r="E79" s="17" t="str">
        <f>IF(Tokens!C79="","",Tokens!C79)</f>
        <v>La Porteuse D'Eau #16</v>
      </c>
      <c r="F79"/>
      <c r="G79"/>
      <c r="H79"/>
      <c r="I79"/>
      <c r="J79"/>
      <c r="M79"/>
      <c r="N79"/>
      <c r="O79" s="15" t="str">
        <f t="shared" si="2"/>
        <v>_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/>
      </c>
      <c r="Q79" s="2"/>
      <c r="R79" s="2"/>
      <c r="S79" s="11"/>
      <c r="T79" s="1" t="str">
        <f>"owner=" &amp; Tokens!BS79 &amp; "&amp;filename_for_metadata=" &amp; Tokens!BT79 &amp; "&amp;offchaindata_platform=" &amp; $B$17 &amp; "&amp;keyfile=" &amp; $B$5 &amp; "&amp;network=" &amp; LOWER($B$8) &amp; "&amp;repository=" &amp; $B$18</f>
        <v>owner=thomas&amp;filename_for_metadata=LaPorteuseD'Eau_COR22C16&amp;offchaindata_platform=MongoDB&amp;keyfile=Paul&amp;network=jsonfiles&amp;repository=test</v>
      </c>
      <c r="U79" s="1" t="str">
        <f t="shared" si="3"/>
        <v>{"name":"La Porteuse D'Eau #16",_x000D_
"symbol":"COR22C16",_x000D_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79" s="1" t="str">
        <f>formatRow(Tokens!C$2:I$2,Tokens!C79:I79)</f>
        <v>"name":"La Porteuse D'Eau #16",_x000D_
"symbol":"COR22C16",_x000D_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79" s="1" t="str">
        <f>formatRow(Tokens!J$2:AV$2,Tokens!J79:AV79,2,"attributes")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79" s="1" t="str">
        <f>formatRow(Tokens!AX$2:BC$2,Tokens!AX79:BC79,2,"creators")</f>
        <v>"creators":[{"address":"paul",_x000D_
"share":10},{"address":"sophie",_x000D_
"share":90}]</v>
      </c>
      <c r="Y79" s="1" t="str">
        <f>formatRow(Tokens!BD$2:BI$2,Tokens!BD79:BI79,2,"files")</f>
        <v>"files":[]</v>
      </c>
      <c r="Z79" s="1"/>
      <c r="AA79" s="1"/>
      <c r="AB79" s="1"/>
      <c r="AC79" s="1" t="str">
        <f>formatRow(Tokens!BJ$2:BK$2,Tokens!BJ79:BK79,0,"collection")</f>
        <v>"collection":{"name":"La Porteuse D'Eau",_x000D_
"family":"Calvi On The Rocks"}</v>
      </c>
    </row>
    <row r="80" spans="5:29" ht="14.25" customHeight="1" x14ac:dyDescent="0.25">
      <c r="E80" s="17" t="str">
        <f>IF(Tokens!C80="","",Tokens!C80)</f>
        <v>La Porteuse D'Eau #17</v>
      </c>
      <c r="F80"/>
      <c r="G80"/>
      <c r="H80"/>
      <c r="I80"/>
      <c r="J80"/>
      <c r="M80"/>
      <c r="N80"/>
      <c r="O80" s="15" t="str">
        <f t="shared" si="2"/>
        <v>_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/>
      </c>
      <c r="Q80" s="2"/>
      <c r="R80" s="2"/>
      <c r="S80" s="11"/>
      <c r="T80" s="1" t="str">
        <f>"owner=" &amp; Tokens!BS80 &amp; "&amp;filename_for_metadata=" &amp; Tokens!BT80 &amp; "&amp;offchaindata_platform=" &amp; $B$17 &amp; "&amp;keyfile=" &amp; $B$5 &amp; "&amp;network=" &amp; LOWER($B$8) &amp; "&amp;repository=" &amp; $B$18</f>
        <v>owner=thomas&amp;filename_for_metadata=LaPorteuseD'Eau_COR22C17&amp;offchaindata_platform=MongoDB&amp;keyfile=Paul&amp;network=jsonfiles&amp;repository=test</v>
      </c>
      <c r="U80" s="1" t="str">
        <f t="shared" si="3"/>
        <v>{"name":"La Porteuse D'Eau #17",_x000D_
"symbol":"COR22C17",_x000D_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0" s="1" t="str">
        <f>formatRow(Tokens!C$2:I$2,Tokens!C80:I80)</f>
        <v>"name":"La Porteuse D'Eau #17",_x000D_
"symbol":"COR22C17",_x000D_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0" s="1" t="str">
        <f>formatRow(Tokens!J$2:AV$2,Tokens!J80:AV80,2,"attributes")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0" s="1" t="str">
        <f>formatRow(Tokens!AX$2:BC$2,Tokens!AX80:BC80,2,"creators")</f>
        <v>"creators":[{"address":"paul",_x000D_
"share":10},{"address":"sophie",_x000D_
"share":90}]</v>
      </c>
      <c r="Y80" s="1" t="str">
        <f>formatRow(Tokens!BD$2:BI$2,Tokens!BD80:BI80,2,"files")</f>
        <v>"files":[]</v>
      </c>
      <c r="Z80" s="1"/>
      <c r="AA80" s="1"/>
      <c r="AB80" s="1"/>
      <c r="AC80" s="1" t="str">
        <f>formatRow(Tokens!BJ$2:BK$2,Tokens!BJ80:BK80,0,"collection")</f>
        <v>"collection":{"name":"La Porteuse D'Eau",_x000D_
"family":"Calvi On The Rocks"}</v>
      </c>
    </row>
    <row r="81" spans="5:29" ht="14.25" customHeight="1" x14ac:dyDescent="0.25">
      <c r="E81" s="17" t="str">
        <f>IF(Tokens!C81="","",Tokens!C81)</f>
        <v>La Porteuse D'Eau #18</v>
      </c>
      <c r="F81"/>
      <c r="G81"/>
      <c r="H81"/>
      <c r="I81"/>
      <c r="J81"/>
      <c r="M81"/>
      <c r="N81"/>
      <c r="O81" s="15" t="str">
        <f t="shared" si="2"/>
        <v>_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/>
      </c>
      <c r="Q81" s="2"/>
      <c r="R81" s="2"/>
      <c r="S81" s="11"/>
      <c r="T81" s="1" t="str">
        <f>"owner=" &amp; Tokens!BS81 &amp; "&amp;filename_for_metadata=" &amp; Tokens!BT81 &amp; "&amp;offchaindata_platform=" &amp; $B$17 &amp; "&amp;keyfile=" &amp; $B$5 &amp; "&amp;network=" &amp; LOWER($B$8) &amp; "&amp;repository=" &amp; $B$18</f>
        <v>owner=thomas&amp;filename_for_metadata=LaPorteuseD'Eau_COR22C18&amp;offchaindata_platform=MongoDB&amp;keyfile=Paul&amp;network=jsonfiles&amp;repository=test</v>
      </c>
      <c r="U81" s="1" t="str">
        <f t="shared" si="3"/>
        <v>{"name":"La Porteuse D'Eau #18",_x000D_
"symbol":"COR22C18",_x000D_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1" s="1" t="str">
        <f>formatRow(Tokens!C$2:I$2,Tokens!C81:I81)</f>
        <v>"name":"La Porteuse D'Eau #18",_x000D_
"symbol":"COR22C18",_x000D_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1" s="1" t="str">
        <f>formatRow(Tokens!J$2:AV$2,Tokens!J81:AV81,2,"attributes")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1" s="1" t="str">
        <f>formatRow(Tokens!AX$2:BC$2,Tokens!AX81:BC81,2,"creators")</f>
        <v>"creators":[{"address":"paul",_x000D_
"share":10},{"address":"sophie",_x000D_
"share":90}]</v>
      </c>
      <c r="Y81" s="1" t="str">
        <f>formatRow(Tokens!BD$2:BI$2,Tokens!BD81:BI81,2,"files")</f>
        <v>"files":[]</v>
      </c>
      <c r="Z81" s="1"/>
      <c r="AA81" s="1"/>
      <c r="AB81" s="1"/>
      <c r="AC81" s="1" t="str">
        <f>formatRow(Tokens!BJ$2:BK$2,Tokens!BJ81:BK81,0,"collection")</f>
        <v>"collection":{"name":"La Porteuse D'Eau",_x000D_
"family":"Calvi On The Rocks"}</v>
      </c>
    </row>
    <row r="82" spans="5:29" ht="14.25" customHeight="1" x14ac:dyDescent="0.25">
      <c r="E82" s="17" t="str">
        <f>IF(Tokens!C82="","",Tokens!C82)</f>
        <v>La Porteuse D'Eau #19</v>
      </c>
      <c r="F82"/>
      <c r="G82"/>
      <c r="H82"/>
      <c r="I82"/>
      <c r="J82"/>
      <c r="M82"/>
      <c r="N82"/>
      <c r="O82" s="15" t="str">
        <f t="shared" si="2"/>
        <v>_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/>
      </c>
      <c r="Q82" s="2"/>
      <c r="R82" s="2"/>
      <c r="S82" s="11"/>
      <c r="T82" s="1" t="str">
        <f>"owner=" &amp; Tokens!BS82 &amp; "&amp;filename_for_metadata=" &amp; Tokens!BT82 &amp; "&amp;offchaindata_platform=" &amp; $B$17 &amp; "&amp;keyfile=" &amp; $B$5 &amp; "&amp;network=" &amp; LOWER($B$8) &amp; "&amp;repository=" &amp; $B$18</f>
        <v>owner=thomas&amp;filename_for_metadata=LaPorteuseD'Eau_COR22C19&amp;offchaindata_platform=MongoDB&amp;keyfile=Paul&amp;network=jsonfiles&amp;repository=test</v>
      </c>
      <c r="U82" s="1" t="str">
        <f t="shared" si="3"/>
        <v>{"name":"La Porteuse D'Eau #19",_x000D_
"symbol":"COR22C19",_x000D_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2" s="1" t="str">
        <f>formatRow(Tokens!C$2:I$2,Tokens!C82:I82)</f>
        <v>"name":"La Porteuse D'Eau #19",_x000D_
"symbol":"COR22C19",_x000D_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2" s="1" t="str">
        <f>formatRow(Tokens!J$2:AV$2,Tokens!J82:AV82,2,"attributes")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2" s="1" t="str">
        <f>formatRow(Tokens!AX$2:BC$2,Tokens!AX82:BC82,2,"creators")</f>
        <v>"creators":[{"address":"paul",_x000D_
"share":10},{"address":"sophie",_x000D_
"share":90}]</v>
      </c>
      <c r="Y82" s="1" t="str">
        <f>formatRow(Tokens!BD$2:BI$2,Tokens!BD82:BI82,2,"files")</f>
        <v>"files":[]</v>
      </c>
      <c r="Z82" s="1"/>
      <c r="AA82" s="1"/>
      <c r="AB82" s="1"/>
      <c r="AC82" s="1" t="str">
        <f>formatRow(Tokens!BJ$2:BK$2,Tokens!BJ82:BK82,0,"collection")</f>
        <v>"collection":{"name":"La Porteuse D'Eau",_x000D_
"family":"Calvi On The Rocks"}</v>
      </c>
    </row>
    <row r="83" spans="5:29" ht="14.25" customHeight="1" x14ac:dyDescent="0.25">
      <c r="E83" s="17" t="str">
        <f>IF(Tokens!C83="","",Tokens!C83)</f>
        <v>La Porteuse D'Eau #20</v>
      </c>
      <c r="F83"/>
      <c r="G83"/>
      <c r="H83"/>
      <c r="I83"/>
      <c r="J83"/>
      <c r="M83"/>
      <c r="N83"/>
      <c r="O83" s="15" t="str">
        <f t="shared" si="2"/>
        <v>_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/>
      </c>
      <c r="Q83" s="2"/>
      <c r="R83" s="2"/>
      <c r="S83" s="11"/>
      <c r="T83" s="1" t="str">
        <f>"owner=" &amp; Tokens!BS83 &amp; "&amp;filename_for_metadata=" &amp; Tokens!BT83 &amp; "&amp;offchaindata_platform=" &amp; $B$17 &amp; "&amp;keyfile=" &amp; $B$5 &amp; "&amp;network=" &amp; LOWER($B$8) &amp; "&amp;repository=" &amp; $B$18</f>
        <v>owner=thomas&amp;filename_for_metadata=LaPorteuseD'Eau_COR22C20&amp;offchaindata_platform=MongoDB&amp;keyfile=Paul&amp;network=jsonfiles&amp;repository=test</v>
      </c>
      <c r="U83" s="1" t="str">
        <f t="shared" si="3"/>
        <v>{"name":"La Porteuse D'Eau #20",_x000D_
"symbol":"COR22C20",_x000D_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3" s="1" t="str">
        <f>formatRow(Tokens!C$2:I$2,Tokens!C83:I83)</f>
        <v>"name":"La Porteuse D'Eau #20",_x000D_
"symbol":"COR22C20",_x000D_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3" s="1" t="str">
        <f>formatRow(Tokens!J$2:AV$2,Tokens!J83:AV83,2,"attributes")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3" s="1" t="str">
        <f>formatRow(Tokens!AX$2:BC$2,Tokens!AX83:BC83,2,"creators")</f>
        <v>"creators":[{"address":"paul",_x000D_
"share":10},{"address":"sophie",_x000D_
"share":90}]</v>
      </c>
      <c r="Y83" s="1" t="str">
        <f>formatRow(Tokens!BD$2:BI$2,Tokens!BD83:BI83,2,"files")</f>
        <v>"files":[]</v>
      </c>
      <c r="Z83" s="1"/>
      <c r="AA83" s="1"/>
      <c r="AB83" s="1"/>
      <c r="AC83" s="1" t="str">
        <f>formatRow(Tokens!BJ$2:BK$2,Tokens!BJ83:BK83,0,"collection")</f>
        <v>"collection":{"name":"La Porteuse D'Eau",_x000D_
"family":"Calvi On The Rocks"}</v>
      </c>
    </row>
    <row r="84" spans="5:29" ht="14.25" customHeight="1" x14ac:dyDescent="0.25">
      <c r="E84" s="17" t="str">
        <f>IF(Tokens!C84="","",Tokens!C84)</f>
        <v>La Porteuse D'Eau #21</v>
      </c>
      <c r="F84"/>
      <c r="G84"/>
      <c r="H84"/>
      <c r="I84"/>
      <c r="J84"/>
      <c r="M84"/>
      <c r="N84"/>
      <c r="O84" s="15" t="str">
        <f t="shared" si="2"/>
        <v>_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/>
      </c>
      <c r="Q84" s="2"/>
      <c r="R84" s="2"/>
      <c r="S84" s="11"/>
      <c r="T84" s="1" t="str">
        <f>"owner=" &amp; Tokens!BS84 &amp; "&amp;filename_for_metadata=" &amp; Tokens!BT84 &amp; "&amp;offchaindata_platform=" &amp; $B$17 &amp; "&amp;keyfile=" &amp; $B$5 &amp; "&amp;network=" &amp; LOWER($B$8) &amp; "&amp;repository=" &amp; $B$18</f>
        <v>owner=thomas&amp;filename_for_metadata=LaPorteuseD'Eau_COR22C21&amp;offchaindata_platform=MongoDB&amp;keyfile=Paul&amp;network=jsonfiles&amp;repository=test</v>
      </c>
      <c r="U84" s="1" t="str">
        <f t="shared" si="3"/>
        <v>{"name":"La Porteuse D'Eau #21",_x000D_
"symbol":"COR22C21",_x000D_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4" s="1" t="str">
        <f>formatRow(Tokens!C$2:I$2,Tokens!C84:I84)</f>
        <v>"name":"La Porteuse D'Eau #21",_x000D_
"symbol":"COR22C21",_x000D_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4" s="1" t="str">
        <f>formatRow(Tokens!J$2:AV$2,Tokens!J84:AV84,2,"attributes")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4" s="1" t="str">
        <f>formatRow(Tokens!AX$2:BC$2,Tokens!AX84:BC84,2,"creators")</f>
        <v>"creators":[{"address":"paul",_x000D_
"share":10},{"address":"sophie",_x000D_
"share":90}]</v>
      </c>
      <c r="Y84" s="1" t="str">
        <f>formatRow(Tokens!BD$2:BI$2,Tokens!BD84:BI84,2,"files")</f>
        <v>"files":[]</v>
      </c>
      <c r="Z84" s="1"/>
      <c r="AA84" s="1"/>
      <c r="AB84" s="1"/>
      <c r="AC84" s="1" t="str">
        <f>formatRow(Tokens!BJ$2:BK$2,Tokens!BJ84:BK84,0,"collection")</f>
        <v>"collection":{"name":"La Porteuse D'Eau",_x000D_
"family":"Calvi On The Rocks"}</v>
      </c>
    </row>
    <row r="85" spans="5:29" ht="14.25" customHeight="1" x14ac:dyDescent="0.25">
      <c r="E85" s="17" t="str">
        <f>IF(Tokens!C85="","",Tokens!C85)</f>
        <v>La Porteuse D'Eau #22</v>
      </c>
      <c r="F85"/>
      <c r="G85"/>
      <c r="H85"/>
      <c r="I85"/>
      <c r="J85"/>
      <c r="M85"/>
      <c r="N85"/>
      <c r="O85" s="15" t="str">
        <f t="shared" si="2"/>
        <v>_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/>
      </c>
      <c r="Q85" s="2"/>
      <c r="R85" s="2"/>
      <c r="S85" s="11"/>
      <c r="T85" s="1" t="str">
        <f>"owner=" &amp; Tokens!BS85 &amp; "&amp;filename_for_metadata=" &amp; Tokens!BT85 &amp; "&amp;offchaindata_platform=" &amp; $B$17 &amp; "&amp;keyfile=" &amp; $B$5 &amp; "&amp;network=" &amp; LOWER($B$8) &amp; "&amp;repository=" &amp; $B$18</f>
        <v>owner=thomas&amp;filename_for_metadata=LaPorteuseD'Eau_COR22C22&amp;offchaindata_platform=MongoDB&amp;keyfile=Paul&amp;network=jsonfiles&amp;repository=test</v>
      </c>
      <c r="U85" s="1" t="str">
        <f t="shared" si="3"/>
        <v>{"name":"La Porteuse D'Eau #22",_x000D_
"symbol":"COR22C22",_x000D_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5" s="1" t="str">
        <f>formatRow(Tokens!C$2:I$2,Tokens!C85:I85)</f>
        <v>"name":"La Porteuse D'Eau #22",_x000D_
"symbol":"COR22C22",_x000D_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5" s="1" t="str">
        <f>formatRow(Tokens!J$2:AV$2,Tokens!J85:AV85,2,"attributes")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5" s="1" t="str">
        <f>formatRow(Tokens!AX$2:BC$2,Tokens!AX85:BC85,2,"creators")</f>
        <v>"creators":[{"address":"paul",_x000D_
"share":10},{"address":"sophie",_x000D_
"share":90}]</v>
      </c>
      <c r="Y85" s="1" t="str">
        <f>formatRow(Tokens!BD$2:BI$2,Tokens!BD85:BI85,2,"files")</f>
        <v>"files":[]</v>
      </c>
      <c r="Z85" s="1"/>
      <c r="AA85" s="1"/>
      <c r="AB85" s="1"/>
      <c r="AC85" s="1" t="str">
        <f>formatRow(Tokens!BJ$2:BK$2,Tokens!BJ85:BK85,0,"collection")</f>
        <v>"collection":{"name":"La Porteuse D'Eau",_x000D_
"family":"Calvi On The Rocks"}</v>
      </c>
    </row>
    <row r="86" spans="5:29" ht="14.25" customHeight="1" x14ac:dyDescent="0.25">
      <c r="E86" s="17" t="str">
        <f>IF(Tokens!C86="","",Tokens!C86)</f>
        <v>La Porteuse D'Eau #23</v>
      </c>
      <c r="F86"/>
      <c r="G86"/>
      <c r="H86"/>
      <c r="I86"/>
      <c r="J86"/>
      <c r="M86"/>
      <c r="N86"/>
      <c r="O86" s="15" t="str">
        <f t="shared" si="2"/>
        <v>_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/>
      </c>
      <c r="Q86" s="2"/>
      <c r="R86" s="2"/>
      <c r="S86" s="11"/>
      <c r="T86" s="1" t="str">
        <f>"owner=" &amp; Tokens!BS86 &amp; "&amp;filename_for_metadata=" &amp; Tokens!BT86 &amp; "&amp;offchaindata_platform=" &amp; $B$17 &amp; "&amp;keyfile=" &amp; $B$5 &amp; "&amp;network=" &amp; LOWER($B$8) &amp; "&amp;repository=" &amp; $B$18</f>
        <v>owner=thomas&amp;filename_for_metadata=LaPorteuseD'Eau_COR22C23&amp;offchaindata_platform=MongoDB&amp;keyfile=Paul&amp;network=jsonfiles&amp;repository=test</v>
      </c>
      <c r="U86" s="1" t="str">
        <f t="shared" si="3"/>
        <v>{"name":"La Porteuse D'Eau #23",_x000D_
"symbol":"COR22C23",_x000D_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6" s="1" t="str">
        <f>formatRow(Tokens!C$2:I$2,Tokens!C86:I86)</f>
        <v>"name":"La Porteuse D'Eau #23",_x000D_
"symbol":"COR22C23",_x000D_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6" s="1" t="str">
        <f>formatRow(Tokens!J$2:AV$2,Tokens!J86:AV86,2,"attributes")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6" s="1" t="str">
        <f>formatRow(Tokens!AX$2:BC$2,Tokens!AX86:BC86,2,"creators")</f>
        <v>"creators":[{"address":"paul",_x000D_
"share":10},{"address":"sophie",_x000D_
"share":90}]</v>
      </c>
      <c r="Y86" s="1" t="str">
        <f>formatRow(Tokens!BD$2:BI$2,Tokens!BD86:BI86,2,"files")</f>
        <v>"files":[]</v>
      </c>
      <c r="Z86" s="1"/>
      <c r="AA86" s="1"/>
      <c r="AB86" s="1"/>
      <c r="AC86" s="1" t="str">
        <f>formatRow(Tokens!BJ$2:BK$2,Tokens!BJ86:BK86,0,"collection")</f>
        <v>"collection":{"name":"La Porteuse D'Eau",_x000D_
"family":"Calvi On The Rocks"}</v>
      </c>
    </row>
    <row r="87" spans="5:29" ht="14.25" customHeight="1" x14ac:dyDescent="0.25">
      <c r="E87" s="17" t="str">
        <f>IF(Tokens!C87="","",Tokens!C87)</f>
        <v>La Porteuse D'Eau #24</v>
      </c>
      <c r="F87"/>
      <c r="G87"/>
      <c r="H87"/>
      <c r="I87"/>
      <c r="J87"/>
      <c r="M87"/>
      <c r="N87"/>
      <c r="O87" s="15" t="str">
        <f t="shared" si="2"/>
        <v>_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/>
      </c>
      <c r="Q87" s="2"/>
      <c r="R87" s="2"/>
      <c r="S87" s="11"/>
      <c r="T87" s="1" t="str">
        <f>"owner=" &amp; Tokens!BS87 &amp; "&amp;filename_for_metadata=" &amp; Tokens!BT87 &amp; "&amp;offchaindata_platform=" &amp; $B$17 &amp; "&amp;keyfile=" &amp; $B$5 &amp; "&amp;network=" &amp; LOWER($B$8) &amp; "&amp;repository=" &amp; $B$18</f>
        <v>owner=thomas&amp;filename_for_metadata=LaPorteuseD'Eau_COR22C24&amp;offchaindata_platform=MongoDB&amp;keyfile=Paul&amp;network=jsonfiles&amp;repository=test</v>
      </c>
      <c r="U87" s="1" t="str">
        <f t="shared" si="3"/>
        <v>{"name":"La Porteuse D'Eau #24",_x000D_
"symbol":"COR22C24",_x000D_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7" s="1" t="str">
        <f>formatRow(Tokens!C$2:I$2,Tokens!C87:I87)</f>
        <v>"name":"La Porteuse D'Eau #24",_x000D_
"symbol":"COR22C24",_x000D_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7" s="1" t="str">
        <f>formatRow(Tokens!J$2:AV$2,Tokens!J87:AV87,2,"attributes")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7" s="1" t="str">
        <f>formatRow(Tokens!AX$2:BC$2,Tokens!AX87:BC87,2,"creators")</f>
        <v>"creators":[{"address":"paul",_x000D_
"share":10},{"address":"sophie",_x000D_
"share":90}]</v>
      </c>
      <c r="Y87" s="1" t="str">
        <f>formatRow(Tokens!BD$2:BI$2,Tokens!BD87:BI87,2,"files")</f>
        <v>"files":[]</v>
      </c>
      <c r="Z87" s="1"/>
      <c r="AA87" s="1"/>
      <c r="AB87" s="1"/>
      <c r="AC87" s="1" t="str">
        <f>formatRow(Tokens!BJ$2:BK$2,Tokens!BJ87:BK87,0,"collection")</f>
        <v>"collection":{"name":"La Porteuse D'Eau",_x000D_
"family":"Calvi On The Rocks"}</v>
      </c>
    </row>
    <row r="88" spans="5:29" ht="14.25" customHeight="1" x14ac:dyDescent="0.25">
      <c r="E88" s="17" t="str">
        <f>IF(Tokens!C88="","",Tokens!C88)</f>
        <v>La Porteuse D'Eau #25</v>
      </c>
      <c r="F88"/>
      <c r="G88"/>
      <c r="H88"/>
      <c r="I88"/>
      <c r="J88"/>
      <c r="M88"/>
      <c r="N88"/>
      <c r="O88" s="15" t="str">
        <f t="shared" si="2"/>
        <v>_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/>
      </c>
      <c r="Q88" s="2"/>
      <c r="R88" s="2"/>
      <c r="S88" s="11"/>
      <c r="T88" s="1" t="str">
        <f>"owner=" &amp; Tokens!BS88 &amp; "&amp;filename_for_metadata=" &amp; Tokens!BT88 &amp; "&amp;offchaindata_platform=" &amp; $B$17 &amp; "&amp;keyfile=" &amp; $B$5 &amp; "&amp;network=" &amp; LOWER($B$8) &amp; "&amp;repository=" &amp; $B$18</f>
        <v>owner=thomas&amp;filename_for_metadata=LaPorteuseD'Eau_COR22C25&amp;offchaindata_platform=MongoDB&amp;keyfile=Paul&amp;network=jsonfiles&amp;repository=test</v>
      </c>
      <c r="U88" s="1" t="str">
        <f t="shared" si="3"/>
        <v>{"name":"La Porteuse D'Eau #25",_x000D_
"symbol":"COR22C25",_x000D_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8" s="1" t="str">
        <f>formatRow(Tokens!C$2:I$2,Tokens!C88:I88)</f>
        <v>"name":"La Porteuse D'Eau #25",_x000D_
"symbol":"COR22C25",_x000D_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8" s="1" t="str">
        <f>formatRow(Tokens!J$2:AV$2,Tokens!J88:AV88,2,"attributes")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8" s="1" t="str">
        <f>formatRow(Tokens!AX$2:BC$2,Tokens!AX88:BC88,2,"creators")</f>
        <v>"creators":[{"address":"paul",_x000D_
"share":10},{"address":"sophie",_x000D_
"share":90}]</v>
      </c>
      <c r="Y88" s="1" t="str">
        <f>formatRow(Tokens!BD$2:BI$2,Tokens!BD88:BI88,2,"files")</f>
        <v>"files":[]</v>
      </c>
      <c r="Z88" s="1"/>
      <c r="AA88" s="1"/>
      <c r="AB88" s="1"/>
      <c r="AC88" s="1" t="str">
        <f>formatRow(Tokens!BJ$2:BK$2,Tokens!BJ88:BK88,0,"collection")</f>
        <v>"collection":{"name":"La Porteuse D'Eau",_x000D_
"family":"Calvi On The Rocks"}</v>
      </c>
    </row>
    <row r="89" spans="5:29" ht="14.25" customHeight="1" x14ac:dyDescent="0.25">
      <c r="E89" s="17" t="str">
        <f>IF(Tokens!C89="","",Tokens!C89)</f>
        <v>La Porteuse D'Eau #26</v>
      </c>
      <c r="F89"/>
      <c r="G89"/>
      <c r="H89"/>
      <c r="I89"/>
      <c r="J89"/>
      <c r="M89"/>
      <c r="N89"/>
      <c r="O89" s="15" t="str">
        <f t="shared" si="2"/>
        <v>_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/>
      </c>
      <c r="Q89" s="2"/>
      <c r="R89" s="2"/>
      <c r="S89" s="11"/>
      <c r="T89" s="1" t="str">
        <f>"owner=" &amp; Tokens!BS89 &amp; "&amp;filename_for_metadata=" &amp; Tokens!BT89 &amp; "&amp;offchaindata_platform=" &amp; $B$17 &amp; "&amp;keyfile=" &amp; $B$5 &amp; "&amp;network=" &amp; LOWER($B$8) &amp; "&amp;repository=" &amp; $B$18</f>
        <v>owner=thomas&amp;filename_for_metadata=LaPorteuseD'Eau_COR22C26&amp;offchaindata_platform=MongoDB&amp;keyfile=Paul&amp;network=jsonfiles&amp;repository=test</v>
      </c>
      <c r="U89" s="1" t="str">
        <f t="shared" si="3"/>
        <v>{"name":"La Porteuse D'Eau #26",_x000D_
"symbol":"COR22C26",_x000D_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89" s="1" t="str">
        <f>formatRow(Tokens!C$2:I$2,Tokens!C89:I89)</f>
        <v>"name":"La Porteuse D'Eau #26",_x000D_
"symbol":"COR22C26",_x000D_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89" s="1" t="str">
        <f>formatRow(Tokens!J$2:AV$2,Tokens!J89:AV89,2,"attributes")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89" s="1" t="str">
        <f>formatRow(Tokens!AX$2:BC$2,Tokens!AX89:BC89,2,"creators")</f>
        <v>"creators":[{"address":"paul",_x000D_
"share":10},{"address":"sophie",_x000D_
"share":90}]</v>
      </c>
      <c r="Y89" s="1" t="str">
        <f>formatRow(Tokens!BD$2:BI$2,Tokens!BD89:BI89,2,"files")</f>
        <v>"files":[]</v>
      </c>
      <c r="Z89" s="1"/>
      <c r="AA89" s="1"/>
      <c r="AB89" s="1"/>
      <c r="AC89" s="1" t="str">
        <f>formatRow(Tokens!BJ$2:BK$2,Tokens!BJ89:BK89,0,"collection")</f>
        <v>"collection":{"name":"La Porteuse D'Eau",_x000D_
"family":"Calvi On The Rocks"}</v>
      </c>
    </row>
    <row r="90" spans="5:29" ht="14.25" customHeight="1" x14ac:dyDescent="0.25">
      <c r="E90" s="17" t="str">
        <f>IF(Tokens!C90="","",Tokens!C90)</f>
        <v>La Porteuse D'Eau #27</v>
      </c>
      <c r="F90"/>
      <c r="G90"/>
      <c r="H90"/>
      <c r="I90"/>
      <c r="J90"/>
      <c r="M90"/>
      <c r="N90"/>
      <c r="O90" s="15" t="str">
        <f t="shared" si="2"/>
        <v>_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/>
      </c>
      <c r="Q90" s="2"/>
      <c r="R90" s="2"/>
      <c r="S90" s="11"/>
      <c r="T90" s="1" t="str">
        <f>"owner=" &amp; Tokens!BS90 &amp; "&amp;filename_for_metadata=" &amp; Tokens!BT90 &amp; "&amp;offchaindata_platform=" &amp; $B$17 &amp; "&amp;keyfile=" &amp; $B$5 &amp; "&amp;network=" &amp; LOWER($B$8) &amp; "&amp;repository=" &amp; $B$18</f>
        <v>owner=thomas&amp;filename_for_metadata=LaPorteuseD'Eau_COR22C27&amp;offchaindata_platform=MongoDB&amp;keyfile=Paul&amp;network=jsonfiles&amp;repository=test</v>
      </c>
      <c r="U90" s="1" t="str">
        <f t="shared" si="3"/>
        <v>{"name":"La Porteuse D'Eau #27",_x000D_
"symbol":"COR22C27",_x000D_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0" s="1" t="str">
        <f>formatRow(Tokens!C$2:I$2,Tokens!C90:I90)</f>
        <v>"name":"La Porteuse D'Eau #27",_x000D_
"symbol":"COR22C27",_x000D_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0" s="1" t="str">
        <f>formatRow(Tokens!J$2:AV$2,Tokens!J90:AV90,2,"attributes")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0" s="1" t="str">
        <f>formatRow(Tokens!AX$2:BC$2,Tokens!AX90:BC90,2,"creators")</f>
        <v>"creators":[{"address":"paul",_x000D_
"share":10},{"address":"sophie",_x000D_
"share":90}]</v>
      </c>
      <c r="Y90" s="1" t="str">
        <f>formatRow(Tokens!BD$2:BI$2,Tokens!BD90:BI90,2,"files")</f>
        <v>"files":[]</v>
      </c>
      <c r="Z90" s="1"/>
      <c r="AA90" s="1"/>
      <c r="AB90" s="1"/>
      <c r="AC90" s="1" t="str">
        <f>formatRow(Tokens!BJ$2:BK$2,Tokens!BJ90:BK90,0,"collection")</f>
        <v>"collection":{"name":"La Porteuse D'Eau",_x000D_
"family":"Calvi On The Rocks"}</v>
      </c>
    </row>
    <row r="91" spans="5:29" ht="14.25" customHeight="1" x14ac:dyDescent="0.25">
      <c r="E91" s="17" t="str">
        <f>IF(Tokens!C91="","",Tokens!C91)</f>
        <v>La Porteuse D'Eau #28</v>
      </c>
      <c r="F91"/>
      <c r="G91"/>
      <c r="H91"/>
      <c r="I91"/>
      <c r="J91"/>
      <c r="M91"/>
      <c r="N91"/>
      <c r="O91" s="15" t="str">
        <f t="shared" si="2"/>
        <v>_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/>
      </c>
      <c r="Q91" s="2"/>
      <c r="R91" s="2"/>
      <c r="S91" s="11"/>
      <c r="T91" s="1" t="str">
        <f>"owner=" &amp; Tokens!BS91 &amp; "&amp;filename_for_metadata=" &amp; Tokens!BT91 &amp; "&amp;offchaindata_platform=" &amp; $B$17 &amp; "&amp;keyfile=" &amp; $B$5 &amp; "&amp;network=" &amp; LOWER($B$8) &amp; "&amp;repository=" &amp; $B$18</f>
        <v>owner=thomas&amp;filename_for_metadata=LaPorteuseD'Eau_COR22C28&amp;offchaindata_platform=MongoDB&amp;keyfile=Paul&amp;network=jsonfiles&amp;repository=test</v>
      </c>
      <c r="U91" s="1" t="str">
        <f t="shared" si="3"/>
        <v>{"name":"La Porteuse D'Eau #28",_x000D_
"symbol":"COR22C28",_x000D_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1" s="1" t="str">
        <f>formatRow(Tokens!C$2:I$2,Tokens!C91:I91)</f>
        <v>"name":"La Porteuse D'Eau #28",_x000D_
"symbol":"COR22C28",_x000D_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1" s="1" t="str">
        <f>formatRow(Tokens!J$2:AV$2,Tokens!J91:AV91,2,"attributes")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1" s="1" t="str">
        <f>formatRow(Tokens!AX$2:BC$2,Tokens!AX91:BC91,2,"creators")</f>
        <v>"creators":[{"address":"paul",_x000D_
"share":10},{"address":"sophie",_x000D_
"share":90}]</v>
      </c>
      <c r="Y91" s="1" t="str">
        <f>formatRow(Tokens!BD$2:BI$2,Tokens!BD91:BI91,2,"files")</f>
        <v>"files":[]</v>
      </c>
      <c r="Z91" s="1"/>
      <c r="AA91" s="1"/>
      <c r="AB91" s="1"/>
      <c r="AC91" s="1" t="str">
        <f>formatRow(Tokens!BJ$2:BK$2,Tokens!BJ91:BK91,0,"collection")</f>
        <v>"collection":{"name":"La Porteuse D'Eau",_x000D_
"family":"Calvi On The Rocks"}</v>
      </c>
    </row>
    <row r="92" spans="5:29" ht="14.25" customHeight="1" x14ac:dyDescent="0.25">
      <c r="E92" s="17" t="str">
        <f>IF(Tokens!C92="","",Tokens!C92)</f>
        <v>La Porteuse D'Eau #29</v>
      </c>
      <c r="F92"/>
      <c r="G92"/>
      <c r="H92"/>
      <c r="I92"/>
      <c r="J92"/>
      <c r="M92"/>
      <c r="N92"/>
      <c r="O92" s="15" t="str">
        <f t="shared" si="2"/>
        <v>_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/>
      </c>
      <c r="Q92" s="2"/>
      <c r="R92" s="2"/>
      <c r="S92" s="11"/>
      <c r="T92" s="1" t="str">
        <f>"owner=" &amp; Tokens!BS92 &amp; "&amp;filename_for_metadata=" &amp; Tokens!BT92 &amp; "&amp;offchaindata_platform=" &amp; $B$17 &amp; "&amp;keyfile=" &amp; $B$5 &amp; "&amp;network=" &amp; LOWER($B$8) &amp; "&amp;repository=" &amp; $B$18</f>
        <v>owner=thomas&amp;filename_for_metadata=LaPorteuseD'Eau_COR22C29&amp;offchaindata_platform=MongoDB&amp;keyfile=Paul&amp;network=jsonfiles&amp;repository=test</v>
      </c>
      <c r="U92" s="1" t="str">
        <f t="shared" si="3"/>
        <v>{"name":"La Porteuse D'Eau #29",_x000D_
"symbol":"COR22C29",_x000D_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2" s="1" t="str">
        <f>formatRow(Tokens!C$2:I$2,Tokens!C92:I92)</f>
        <v>"name":"La Porteuse D'Eau #29",_x000D_
"symbol":"COR22C29",_x000D_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2" s="1" t="str">
        <f>formatRow(Tokens!J$2:AV$2,Tokens!J92:AV92,2,"attributes")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2" s="1" t="str">
        <f>formatRow(Tokens!AX$2:BC$2,Tokens!AX92:BC92,2,"creators")</f>
        <v>"creators":[{"address":"paul",_x000D_
"share":10},{"address":"sophie",_x000D_
"share":90}]</v>
      </c>
      <c r="Y92" s="1" t="str">
        <f>formatRow(Tokens!BD$2:BI$2,Tokens!BD92:BI92,2,"files")</f>
        <v>"files":[]</v>
      </c>
      <c r="Z92" s="1"/>
      <c r="AA92" s="1"/>
      <c r="AB92" s="1"/>
      <c r="AC92" s="1" t="str">
        <f>formatRow(Tokens!BJ$2:BK$2,Tokens!BJ92:BK92,0,"collection")</f>
        <v>"collection":{"name":"La Porteuse D'Eau",_x000D_
"family":"Calvi On The Rocks"}</v>
      </c>
    </row>
    <row r="93" spans="5:29" ht="14.25" customHeight="1" x14ac:dyDescent="0.25">
      <c r="E93" s="17" t="str">
        <f>IF(Tokens!C93="","",Tokens!C93)</f>
        <v>La Porteuse D'Eau #30</v>
      </c>
      <c r="F93"/>
      <c r="G93"/>
      <c r="H93"/>
      <c r="I93"/>
      <c r="J93"/>
      <c r="M93"/>
      <c r="N93"/>
      <c r="O93" s="15" t="str">
        <f t="shared" si="2"/>
        <v>_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/>
      </c>
      <c r="Q93" s="2"/>
      <c r="R93" s="2"/>
      <c r="S93" s="11"/>
      <c r="T93" s="1" t="str">
        <f>"owner=" &amp; Tokens!BS93 &amp; "&amp;filename_for_metadata=" &amp; Tokens!BT93 &amp; "&amp;offchaindata_platform=" &amp; $B$17 &amp; "&amp;keyfile=" &amp; $B$5 &amp; "&amp;network=" &amp; LOWER($B$8) &amp; "&amp;repository=" &amp; $B$18</f>
        <v>owner=thomas&amp;filename_for_metadata=LaPorteuseD'Eau_COR22C30&amp;offchaindata_platform=MongoDB&amp;keyfile=Paul&amp;network=jsonfiles&amp;repository=test</v>
      </c>
      <c r="U93" s="1" t="str">
        <f t="shared" si="3"/>
        <v>{"name":"La Porteuse D'Eau #30",_x000D_
"symbol":"COR22C30",_x000D_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3" s="1" t="str">
        <f>formatRow(Tokens!C$2:I$2,Tokens!C93:I93)</f>
        <v>"name":"La Porteuse D'Eau #30",_x000D_
"symbol":"COR22C30",_x000D_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3" s="1" t="str">
        <f>formatRow(Tokens!J$2:AV$2,Tokens!J93:AV93,2,"attributes")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3" s="1" t="str">
        <f>formatRow(Tokens!AX$2:BC$2,Tokens!AX93:BC93,2,"creators")</f>
        <v>"creators":[{"address":"paul",_x000D_
"share":10},{"address":"sophie",_x000D_
"share":90}]</v>
      </c>
      <c r="Y93" s="1" t="str">
        <f>formatRow(Tokens!BD$2:BI$2,Tokens!BD93:BI93,2,"files")</f>
        <v>"files":[]</v>
      </c>
      <c r="Z93" s="1"/>
      <c r="AA93" s="1"/>
      <c r="AB93" s="1"/>
      <c r="AC93" s="1" t="str">
        <f>formatRow(Tokens!BJ$2:BK$2,Tokens!BJ93:BK93,0,"collection")</f>
        <v>"collection":{"name":"La Porteuse D'Eau",_x000D_
"family":"Calvi On The Rocks"}</v>
      </c>
    </row>
    <row r="94" spans="5:29" ht="14.25" customHeight="1" x14ac:dyDescent="0.25">
      <c r="E94" s="17" t="str">
        <f>IF(Tokens!C94="","",Tokens!C94)</f>
        <v>La Porteuse D'Eau #31</v>
      </c>
      <c r="F94"/>
      <c r="G94"/>
      <c r="H94"/>
      <c r="I94"/>
      <c r="J94"/>
      <c r="M94"/>
      <c r="N94"/>
      <c r="O94" s="15" t="str">
        <f t="shared" si="2"/>
        <v>_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/>
      </c>
      <c r="Q94" s="2"/>
      <c r="R94" s="2"/>
      <c r="S94" s="11"/>
      <c r="T94" s="1" t="str">
        <f>"owner=" &amp; Tokens!BS94 &amp; "&amp;filename_for_metadata=" &amp; Tokens!BT94 &amp; "&amp;offchaindata_platform=" &amp; $B$17 &amp; "&amp;keyfile=" &amp; $B$5 &amp; "&amp;network=" &amp; LOWER($B$8) &amp; "&amp;repository=" &amp; $B$18</f>
        <v>owner=thomas&amp;filename_for_metadata=LaPorteuseD'Eau_COR22C31&amp;offchaindata_platform=MongoDB&amp;keyfile=Paul&amp;network=jsonfiles&amp;repository=test</v>
      </c>
      <c r="U94" s="1" t="str">
        <f t="shared" si="3"/>
        <v>{"name":"La Porteuse D'Eau #31",_x000D_
"symbol":"COR22C31",_x000D_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4" s="1" t="str">
        <f>formatRow(Tokens!C$2:I$2,Tokens!C94:I94)</f>
        <v>"name":"La Porteuse D'Eau #31",_x000D_
"symbol":"COR22C31",_x000D_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4" s="1" t="str">
        <f>formatRow(Tokens!J$2:AV$2,Tokens!J94:AV94,2,"attributes")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4" s="1" t="str">
        <f>formatRow(Tokens!AX$2:BC$2,Tokens!AX94:BC94,2,"creators")</f>
        <v>"creators":[{"address":"paul",_x000D_
"share":10},{"address":"sophie",_x000D_
"share":90}]</v>
      </c>
      <c r="Y94" s="1" t="str">
        <f>formatRow(Tokens!BD$2:BI$2,Tokens!BD94:BI94,2,"files")</f>
        <v>"files":[]</v>
      </c>
      <c r="Z94" s="1"/>
      <c r="AA94" s="1"/>
      <c r="AB94" s="1"/>
      <c r="AC94" s="1" t="str">
        <f>formatRow(Tokens!BJ$2:BK$2,Tokens!BJ94:BK94,0,"collection")</f>
        <v>"collection":{"name":"La Porteuse D'Eau",_x000D_
"family":"Calvi On The Rocks"}</v>
      </c>
    </row>
    <row r="95" spans="5:29" ht="14.25" customHeight="1" x14ac:dyDescent="0.25">
      <c r="E95" s="17" t="str">
        <f>IF(Tokens!C95="","",Tokens!C95)</f>
        <v>La Porteuse D'Eau #32</v>
      </c>
      <c r="F95"/>
      <c r="G95"/>
      <c r="H95"/>
      <c r="I95"/>
      <c r="J95"/>
      <c r="M95"/>
      <c r="N95"/>
      <c r="O95" s="15" t="str">
        <f t="shared" si="2"/>
        <v>_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/>
      </c>
      <c r="Q95" s="2"/>
      <c r="R95" s="2"/>
      <c r="S95" s="11"/>
      <c r="T95" s="1" t="str">
        <f>"owner=" &amp; Tokens!BS95 &amp; "&amp;filename_for_metadata=" &amp; Tokens!BT95 &amp; "&amp;offchaindata_platform=" &amp; $B$17 &amp; "&amp;keyfile=" &amp; $B$5 &amp; "&amp;network=" &amp; LOWER($B$8) &amp; "&amp;repository=" &amp; $B$18</f>
        <v>owner=thomas&amp;filename_for_metadata=LaPorteuseD'Eau_COR22C32&amp;offchaindata_platform=MongoDB&amp;keyfile=Paul&amp;network=jsonfiles&amp;repository=test</v>
      </c>
      <c r="U95" s="1" t="str">
        <f t="shared" si="3"/>
        <v>{"name":"La Porteuse D'Eau #32",_x000D_
"symbol":"COR22C32",_x000D_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5" s="1" t="str">
        <f>formatRow(Tokens!C$2:I$2,Tokens!C95:I95)</f>
        <v>"name":"La Porteuse D'Eau #32",_x000D_
"symbol":"COR22C32",_x000D_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5" s="1" t="str">
        <f>formatRow(Tokens!J$2:AV$2,Tokens!J95:AV95,2,"attributes")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5" s="1" t="str">
        <f>formatRow(Tokens!AX$2:BC$2,Tokens!AX95:BC95,2,"creators")</f>
        <v>"creators":[{"address":"paul",_x000D_
"share":10},{"address":"sophie",_x000D_
"share":90}]</v>
      </c>
      <c r="Y95" s="1" t="str">
        <f>formatRow(Tokens!BD$2:BI$2,Tokens!BD95:BI95,2,"files")</f>
        <v>"files":[]</v>
      </c>
      <c r="Z95" s="1"/>
      <c r="AA95" s="1"/>
      <c r="AB95" s="1"/>
      <c r="AC95" s="1" t="str">
        <f>formatRow(Tokens!BJ$2:BK$2,Tokens!BJ95:BK95,0,"collection")</f>
        <v>"collection":{"name":"La Porteuse D'Eau",_x000D_
"family":"Calvi On The Rocks"}</v>
      </c>
    </row>
    <row r="96" spans="5:29" ht="14.25" customHeight="1" x14ac:dyDescent="0.25">
      <c r="E96" s="17" t="str">
        <f>IF(Tokens!C96="","",Tokens!C96)</f>
        <v>La Porteuse D'Eau #33</v>
      </c>
      <c r="F96"/>
      <c r="G96"/>
      <c r="H96"/>
      <c r="I96"/>
      <c r="J96"/>
      <c r="M96"/>
      <c r="N96"/>
      <c r="O96" s="15" t="str">
        <f t="shared" si="2"/>
        <v>_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/>
      </c>
      <c r="Q96" s="2"/>
      <c r="R96" s="2"/>
      <c r="S96" s="11"/>
      <c r="T96" s="1" t="str">
        <f>"owner=" &amp; Tokens!BS96 &amp; "&amp;filename_for_metadata=" &amp; Tokens!BT96 &amp; "&amp;offchaindata_platform=" &amp; $B$17 &amp; "&amp;keyfile=" &amp; $B$5 &amp; "&amp;network=" &amp; LOWER($B$8) &amp; "&amp;repository=" &amp; $B$18</f>
        <v>owner=thomas&amp;filename_for_metadata=LaPorteuseD'Eau_COR22C33&amp;offchaindata_platform=MongoDB&amp;keyfile=Paul&amp;network=jsonfiles&amp;repository=test</v>
      </c>
      <c r="U96" s="1" t="str">
        <f t="shared" si="3"/>
        <v>{"name":"La Porteuse D'Eau #33",_x000D_
"symbol":"COR22C33",_x000D_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6" s="1" t="str">
        <f>formatRow(Tokens!C$2:I$2,Tokens!C96:I96)</f>
        <v>"name":"La Porteuse D'Eau #33",_x000D_
"symbol":"COR22C33",_x000D_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6" s="1" t="str">
        <f>formatRow(Tokens!J$2:AV$2,Tokens!J96:AV96,2,"attributes")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6" s="1" t="str">
        <f>formatRow(Tokens!AX$2:BC$2,Tokens!AX96:BC96,2,"creators")</f>
        <v>"creators":[{"address":"paul",_x000D_
"share":10},{"address":"sophie",_x000D_
"share":90}]</v>
      </c>
      <c r="Y96" s="1" t="str">
        <f>formatRow(Tokens!BD$2:BI$2,Tokens!BD96:BI96,2,"files")</f>
        <v>"files":[]</v>
      </c>
      <c r="Z96" s="1"/>
      <c r="AA96" s="1"/>
      <c r="AB96" s="1"/>
      <c r="AC96" s="1" t="str">
        <f>formatRow(Tokens!BJ$2:BK$2,Tokens!BJ96:BK96,0,"collection")</f>
        <v>"collection":{"name":"La Porteuse D'Eau",_x000D_
"family":"Calvi On The Rocks"}</v>
      </c>
    </row>
    <row r="97" spans="5:29" ht="14.25" customHeight="1" x14ac:dyDescent="0.25">
      <c r="E97" s="17" t="str">
        <f>IF(Tokens!C97="","",Tokens!C97)</f>
        <v>La Porteuse D'Eau #34</v>
      </c>
      <c r="F97"/>
      <c r="G97"/>
      <c r="H97"/>
      <c r="I97"/>
      <c r="J97"/>
      <c r="M97"/>
      <c r="N97"/>
      <c r="O97" s="15" t="str">
        <f t="shared" si="2"/>
        <v>_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/>
      </c>
      <c r="Q97" s="2"/>
      <c r="R97" s="2"/>
      <c r="S97" s="11"/>
      <c r="T97" s="1" t="str">
        <f>"owner=" &amp; Tokens!BS97 &amp; "&amp;filename_for_metadata=" &amp; Tokens!BT97 &amp; "&amp;offchaindata_platform=" &amp; $B$17 &amp; "&amp;keyfile=" &amp; $B$5 &amp; "&amp;network=" &amp; LOWER($B$8) &amp; "&amp;repository=" &amp; $B$18</f>
        <v>owner=thomas&amp;filename_for_metadata=LaPorteuseD'Eau_COR22C34&amp;offchaindata_platform=MongoDB&amp;keyfile=Paul&amp;network=jsonfiles&amp;repository=test</v>
      </c>
      <c r="U97" s="1" t="str">
        <f t="shared" si="3"/>
        <v>{"name":"La Porteuse D'Eau #34",_x000D_
"symbol":"COR22C34",_x000D_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7" s="1" t="str">
        <f>formatRow(Tokens!C$2:I$2,Tokens!C97:I97)</f>
        <v>"name":"La Porteuse D'Eau #34",_x000D_
"symbol":"COR22C34",_x000D_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7" s="1" t="str">
        <f>formatRow(Tokens!J$2:AV$2,Tokens!J97:AV97,2,"attributes")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7" s="1" t="str">
        <f>formatRow(Tokens!AX$2:BC$2,Tokens!AX97:BC97,2,"creators")</f>
        <v>"creators":[{"address":"paul",_x000D_
"share":10},{"address":"sophie",_x000D_
"share":90}]</v>
      </c>
      <c r="Y97" s="1" t="str">
        <f>formatRow(Tokens!BD$2:BI$2,Tokens!BD97:BI97,2,"files")</f>
        <v>"files":[]</v>
      </c>
      <c r="Z97" s="1"/>
      <c r="AA97" s="1"/>
      <c r="AB97" s="1"/>
      <c r="AC97" s="1" t="str">
        <f>formatRow(Tokens!BJ$2:BK$2,Tokens!BJ97:BK97,0,"collection")</f>
        <v>"collection":{"name":"La Porteuse D'Eau",_x000D_
"family":"Calvi On The Rocks"}</v>
      </c>
    </row>
    <row r="98" spans="5:29" ht="14.25" customHeight="1" x14ac:dyDescent="0.25">
      <c r="E98" s="17" t="str">
        <f>IF(Tokens!C98="","",Tokens!C98)</f>
        <v>La Porteuse D'Eau #35</v>
      </c>
      <c r="F98"/>
      <c r="G98"/>
      <c r="H98"/>
      <c r="I98"/>
      <c r="J98"/>
      <c r="M98"/>
      <c r="N98"/>
      <c r="O98" s="15" t="str">
        <f t="shared" si="2"/>
        <v>_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/>
      </c>
      <c r="Q98" s="2"/>
      <c r="R98" s="2"/>
      <c r="S98" s="11"/>
      <c r="T98" s="1" t="str">
        <f>"owner=" &amp; Tokens!BS98 &amp; "&amp;filename_for_metadata=" &amp; Tokens!BT98 &amp; "&amp;offchaindata_platform=" &amp; $B$17 &amp; "&amp;keyfile=" &amp; $B$5 &amp; "&amp;network=" &amp; LOWER($B$8) &amp; "&amp;repository=" &amp; $B$18</f>
        <v>owner=thomas&amp;filename_for_metadata=LaPorteuseD'Eau_COR22C35&amp;offchaindata_platform=MongoDB&amp;keyfile=Paul&amp;network=jsonfiles&amp;repository=test</v>
      </c>
      <c r="U98" s="1" t="str">
        <f t="shared" si="3"/>
        <v>{"name":"La Porteuse D'Eau #35",_x000D_
"symbol":"COR22C35",_x000D_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8" s="1" t="str">
        <f>formatRow(Tokens!C$2:I$2,Tokens!C98:I98)</f>
        <v>"name":"La Porteuse D'Eau #35",_x000D_
"symbol":"COR22C35",_x000D_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8" s="1" t="str">
        <f>formatRow(Tokens!J$2:AV$2,Tokens!J98:AV98,2,"attributes")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8" s="1" t="str">
        <f>formatRow(Tokens!AX$2:BC$2,Tokens!AX98:BC98,2,"creators")</f>
        <v>"creators":[{"address":"paul",_x000D_
"share":10},{"address":"sophie",_x000D_
"share":90}]</v>
      </c>
      <c r="Y98" s="1" t="str">
        <f>formatRow(Tokens!BD$2:BI$2,Tokens!BD98:BI98,2,"files")</f>
        <v>"files":[]</v>
      </c>
      <c r="Z98" s="1"/>
      <c r="AA98" s="1"/>
      <c r="AB98" s="1"/>
      <c r="AC98" s="1" t="str">
        <f>formatRow(Tokens!BJ$2:BK$2,Tokens!BJ98:BK98,0,"collection")</f>
        <v>"collection":{"name":"La Porteuse D'Eau",_x000D_
"family":"Calvi On The Rocks"}</v>
      </c>
    </row>
    <row r="99" spans="5:29" ht="14.25" customHeight="1" x14ac:dyDescent="0.25">
      <c r="E99" s="17" t="str">
        <f>IF(Tokens!C99="","",Tokens!C99)</f>
        <v>La Porteuse D'Eau #36</v>
      </c>
      <c r="F99"/>
      <c r="G99"/>
      <c r="H99"/>
      <c r="I99"/>
      <c r="J99"/>
      <c r="M99"/>
      <c r="N99"/>
      <c r="O99" s="15" t="str">
        <f t="shared" si="2"/>
        <v>_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/>
      </c>
      <c r="Q99" s="2"/>
      <c r="R99" s="2"/>
      <c r="S99" s="11"/>
      <c r="T99" s="1" t="str">
        <f>"owner=" &amp; Tokens!BS99 &amp; "&amp;filename_for_metadata=" &amp; Tokens!BT99 &amp; "&amp;offchaindata_platform=" &amp; $B$17 &amp; "&amp;keyfile=" &amp; $B$5 &amp; "&amp;network=" &amp; LOWER($B$8) &amp; "&amp;repository=" &amp; $B$18</f>
        <v>owner=thomas&amp;filename_for_metadata=LaPorteuseD'Eau_COR22C36&amp;offchaindata_platform=MongoDB&amp;keyfile=Paul&amp;network=jsonfiles&amp;repository=test</v>
      </c>
      <c r="U99" s="1" t="str">
        <f t="shared" si="3"/>
        <v>{"name":"La Porteuse D'Eau #36",_x000D_
"symbol":"COR22C36",_x000D_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99" s="1" t="str">
        <f>formatRow(Tokens!C$2:I$2,Tokens!C99:I99)</f>
        <v>"name":"La Porteuse D'Eau #36",_x000D_
"symbol":"COR22C36",_x000D_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99" s="1" t="str">
        <f>formatRow(Tokens!J$2:AV$2,Tokens!J99:AV99,2,"attributes")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99" s="1" t="str">
        <f>formatRow(Tokens!AX$2:BC$2,Tokens!AX99:BC99,2,"creators")</f>
        <v>"creators":[{"address":"paul",_x000D_
"share":10},{"address":"sophie",_x000D_
"share":90}]</v>
      </c>
      <c r="Y99" s="1" t="str">
        <f>formatRow(Tokens!BD$2:BI$2,Tokens!BD99:BI99,2,"files")</f>
        <v>"files":[]</v>
      </c>
      <c r="Z99" s="1"/>
      <c r="AA99" s="1"/>
      <c r="AB99" s="1"/>
      <c r="AC99" s="1" t="str">
        <f>formatRow(Tokens!BJ$2:BK$2,Tokens!BJ99:BK99,0,"collection")</f>
        <v>"collection":{"name":"La Porteuse D'Eau",_x000D_
"family":"Calvi On The Rocks"}</v>
      </c>
    </row>
    <row r="100" spans="5:29" ht="14.25" customHeight="1" x14ac:dyDescent="0.25">
      <c r="E100" s="17" t="str">
        <f>IF(Tokens!C100="","",Tokens!C100)</f>
        <v>La Porteuse D'Eau #37</v>
      </c>
      <c r="F100"/>
      <c r="G100"/>
      <c r="H100"/>
      <c r="I100"/>
      <c r="J100"/>
      <c r="M100"/>
      <c r="N100"/>
      <c r="O100" s="15" t="str">
        <f t="shared" si="2"/>
        <v>_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/>
      </c>
      <c r="Q100" s="2"/>
      <c r="R100" s="2"/>
      <c r="S100" s="11"/>
      <c r="T100" s="1" t="str">
        <f>"owner=" &amp; Tokens!BS100 &amp; "&amp;filename_for_metadata=" &amp; Tokens!BT100 &amp; "&amp;offchaindata_platform=" &amp; $B$17 &amp; "&amp;keyfile=" &amp; $B$5 &amp; "&amp;network=" &amp; LOWER($B$8) &amp; "&amp;repository=" &amp; $B$18</f>
        <v>owner=thomas&amp;filename_for_metadata=LaPorteuseD'Eau_COR22C37&amp;offchaindata_platform=MongoDB&amp;keyfile=Paul&amp;network=jsonfiles&amp;repository=test</v>
      </c>
      <c r="U100" s="1" t="str">
        <f t="shared" si="3"/>
        <v>{"name":"La Porteuse D'Eau #37",_x000D_
"symbol":"COR22C37",_x000D_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0" s="1" t="str">
        <f>formatRow(Tokens!C$2:I$2,Tokens!C100:I100)</f>
        <v>"name":"La Porteuse D'Eau #37",_x000D_
"symbol":"COR22C37",_x000D_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0" s="1" t="str">
        <f>formatRow(Tokens!J$2:AV$2,Tokens!J100:AV100,2,"attributes")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0" s="1" t="str">
        <f>formatRow(Tokens!AX$2:BC$2,Tokens!AX100:BC100,2,"creators")</f>
        <v>"creators":[{"address":"paul",_x000D_
"share":10},{"address":"sophie",_x000D_
"share":90}]</v>
      </c>
      <c r="Y100" s="1" t="str">
        <f>formatRow(Tokens!BD$2:BI$2,Tokens!BD100:BI100,2,"files")</f>
        <v>"files":[]</v>
      </c>
      <c r="Z100" s="1"/>
      <c r="AA100" s="1"/>
      <c r="AB100" s="1"/>
      <c r="AC100" s="1" t="str">
        <f>formatRow(Tokens!BJ$2:BK$2,Tokens!BJ100:BK100,0,"collection")</f>
        <v>"collection":{"name":"La Porteuse D'Eau",_x000D_
"family":"Calvi On The Rocks"}</v>
      </c>
    </row>
    <row r="101" spans="5:29" ht="14.25" customHeight="1" x14ac:dyDescent="0.25">
      <c r="E101" s="17" t="str">
        <f>IF(Tokens!C101="","",Tokens!C101)</f>
        <v>La Porteuse D'Eau #38</v>
      </c>
      <c r="F101"/>
      <c r="G101"/>
      <c r="H101"/>
      <c r="I101"/>
      <c r="J101"/>
      <c r="M101"/>
      <c r="N101"/>
      <c r="O101" s="15" t="str">
        <f t="shared" si="2"/>
        <v>_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/>
      </c>
      <c r="Q101" s="2"/>
      <c r="R101" s="2"/>
      <c r="S101" s="11"/>
      <c r="T101" s="1" t="str">
        <f>"owner=" &amp; Tokens!BS101 &amp; "&amp;filename_for_metadata=" &amp; Tokens!BT101 &amp; "&amp;offchaindata_platform=" &amp; $B$17 &amp; "&amp;keyfile=" &amp; $B$5 &amp; "&amp;network=" &amp; LOWER($B$8) &amp; "&amp;repository=" &amp; $B$18</f>
        <v>owner=thomas&amp;filename_for_metadata=LaPorteuseD'Eau_COR22C38&amp;offchaindata_platform=MongoDB&amp;keyfile=Paul&amp;network=jsonfiles&amp;repository=test</v>
      </c>
      <c r="U101" s="1" t="str">
        <f t="shared" si="3"/>
        <v>{"name":"La Porteuse D'Eau #38",_x000D_
"symbol":"COR22C38",_x000D_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1" s="1" t="str">
        <f>formatRow(Tokens!C$2:I$2,Tokens!C101:I101)</f>
        <v>"name":"La Porteuse D'Eau #38",_x000D_
"symbol":"COR22C38",_x000D_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1" s="1" t="str">
        <f>formatRow(Tokens!J$2:AV$2,Tokens!J101:AV101,2,"attributes")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1" s="1" t="str">
        <f>formatRow(Tokens!AX$2:BC$2,Tokens!AX101:BC101,2,"creators")</f>
        <v>"creators":[{"address":"paul",_x000D_
"share":10},{"address":"sophie",_x000D_
"share":90}]</v>
      </c>
      <c r="Y101" s="1" t="str">
        <f>formatRow(Tokens!BD$2:BI$2,Tokens!BD101:BI101,2,"files")</f>
        <v>"files":[]</v>
      </c>
      <c r="Z101" s="1"/>
      <c r="AA101" s="1"/>
      <c r="AB101" s="1"/>
      <c r="AC101" s="1" t="str">
        <f>formatRow(Tokens!BJ$2:BK$2,Tokens!BJ101:BK101,0,"collection")</f>
        <v>"collection":{"name":"La Porteuse D'Eau",_x000D_
"family":"Calvi On The Rocks"}</v>
      </c>
    </row>
    <row r="102" spans="5:29" ht="14.25" customHeight="1" x14ac:dyDescent="0.25">
      <c r="E102" s="17" t="str">
        <f>IF(Tokens!C102="","",Tokens!C102)</f>
        <v>La Porteuse D'Eau #39</v>
      </c>
      <c r="F102"/>
      <c r="G102"/>
      <c r="H102"/>
      <c r="I102"/>
      <c r="J102"/>
      <c r="M102"/>
      <c r="N102"/>
      <c r="O102" s="15" t="str">
        <f t="shared" si="2"/>
        <v>_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/>
      </c>
      <c r="Q102" s="2"/>
      <c r="R102" s="2"/>
      <c r="S102" s="11"/>
      <c r="T102" s="1" t="str">
        <f>"owner=" &amp; Tokens!BS102 &amp; "&amp;filename_for_metadata=" &amp; Tokens!BT102 &amp; "&amp;offchaindata_platform=" &amp; $B$17 &amp; "&amp;keyfile=" &amp; $B$5 &amp; "&amp;network=" &amp; LOWER($B$8) &amp; "&amp;repository=" &amp; $B$18</f>
        <v>owner=thomas&amp;filename_for_metadata=LaPorteuseD'Eau_COR22C39&amp;offchaindata_platform=MongoDB&amp;keyfile=Paul&amp;network=jsonfiles&amp;repository=test</v>
      </c>
      <c r="U102" s="1" t="str">
        <f t="shared" si="3"/>
        <v>{"name":"La Porteuse D'Eau #39",_x000D_
"symbol":"COR22C39",_x000D_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2" s="1" t="str">
        <f>formatRow(Tokens!C$2:I$2,Tokens!C102:I102)</f>
        <v>"name":"La Porteuse D'Eau #39",_x000D_
"symbol":"COR22C39",_x000D_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2" s="1" t="str">
        <f>formatRow(Tokens!J$2:AV$2,Tokens!J102:AV102,2,"attributes")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2" s="1" t="str">
        <f>formatRow(Tokens!AX$2:BC$2,Tokens!AX102:BC102,2,"creators")</f>
        <v>"creators":[{"address":"paul",_x000D_
"share":10},{"address":"sophie",_x000D_
"share":90}]</v>
      </c>
      <c r="Y102" s="1" t="str">
        <f>formatRow(Tokens!BD$2:BI$2,Tokens!BD102:BI102,2,"files")</f>
        <v>"files":[]</v>
      </c>
      <c r="Z102" s="1"/>
      <c r="AA102" s="1"/>
      <c r="AB102" s="1"/>
      <c r="AC102" s="1" t="str">
        <f>formatRow(Tokens!BJ$2:BK$2,Tokens!BJ102:BK102,0,"collection")</f>
        <v>"collection":{"name":"La Porteuse D'Eau",_x000D_
"family":"Calvi On The Rocks"}</v>
      </c>
    </row>
    <row r="103" spans="5:29" ht="14.25" customHeight="1" x14ac:dyDescent="0.25">
      <c r="E103" s="17" t="str">
        <f>IF(Tokens!C103="","",Tokens!C103)</f>
        <v>La Porteuse D'Eau #40</v>
      </c>
      <c r="F103"/>
      <c r="G103"/>
      <c r="H103"/>
      <c r="I103"/>
      <c r="J103"/>
      <c r="M103"/>
      <c r="N103"/>
      <c r="O103" s="15" t="str">
        <f t="shared" si="2"/>
        <v>_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/>
      </c>
      <c r="Q103" s="2"/>
      <c r="R103" s="2"/>
      <c r="S103" s="11"/>
      <c r="T103" s="1" t="str">
        <f>"owner=" &amp; Tokens!BS103 &amp; "&amp;filename_for_metadata=" &amp; Tokens!BT103 &amp; "&amp;offchaindata_platform=" &amp; $B$17 &amp; "&amp;keyfile=" &amp; $B$5 &amp; "&amp;network=" &amp; LOWER($B$8) &amp; "&amp;repository=" &amp; $B$18</f>
        <v>owner=thomas&amp;filename_for_metadata=LaPorteuseD'Eau_COR22C40&amp;offchaindata_platform=MongoDB&amp;keyfile=Paul&amp;network=jsonfiles&amp;repository=test</v>
      </c>
      <c r="U103" s="1" t="str">
        <f t="shared" si="3"/>
        <v>{"name":"La Porteuse D'Eau #40",_x000D_
"symbol":"COR22C40",_x000D_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3" s="1" t="str">
        <f>formatRow(Tokens!C$2:I$2,Tokens!C103:I103)</f>
        <v>"name":"La Porteuse D'Eau #40",_x000D_
"symbol":"COR22C40",_x000D_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3" s="1" t="str">
        <f>formatRow(Tokens!J$2:AV$2,Tokens!J103:AV103,2,"attributes")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3" s="1" t="str">
        <f>formatRow(Tokens!AX$2:BC$2,Tokens!AX103:BC103,2,"creators")</f>
        <v>"creators":[{"address":"paul",_x000D_
"share":10},{"address":"sophie",_x000D_
"share":90}]</v>
      </c>
      <c r="Y103" s="1" t="str">
        <f>formatRow(Tokens!BD$2:BI$2,Tokens!BD103:BI103,2,"files")</f>
        <v>"files":[]</v>
      </c>
      <c r="Z103" s="1"/>
      <c r="AA103" s="1"/>
      <c r="AB103" s="1"/>
      <c r="AC103" s="1" t="str">
        <f>formatRow(Tokens!BJ$2:BK$2,Tokens!BJ103:BK103,0,"collection")</f>
        <v>"collection":{"name":"La Porteuse D'Eau",_x000D_
"family":"Calvi On The Rocks"}</v>
      </c>
    </row>
    <row r="104" spans="5:29" ht="14.25" customHeight="1" x14ac:dyDescent="0.25">
      <c r="E104" s="17" t="str">
        <f>IF(Tokens!C104="","",Tokens!C104)</f>
        <v>La Porteuse D'Eau #41</v>
      </c>
      <c r="F104"/>
      <c r="G104"/>
      <c r="H104"/>
      <c r="I104"/>
      <c r="J104"/>
      <c r="M104"/>
      <c r="N104"/>
      <c r="O104" s="15" t="str">
        <f t="shared" si="2"/>
        <v>_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/>
      </c>
      <c r="Q104" s="2"/>
      <c r="R104" s="2"/>
      <c r="S104" s="11"/>
      <c r="T104" s="1" t="str">
        <f>"owner=" &amp; Tokens!BS104 &amp; "&amp;filename_for_metadata=" &amp; Tokens!BT104 &amp; "&amp;offchaindata_platform=" &amp; $B$17 &amp; "&amp;keyfile=" &amp; $B$5 &amp; "&amp;network=" &amp; LOWER($B$8) &amp; "&amp;repository=" &amp; $B$18</f>
        <v>owner=thomas&amp;filename_for_metadata=LaPorteuseD'Eau_COR22C41&amp;offchaindata_platform=MongoDB&amp;keyfile=Paul&amp;network=jsonfiles&amp;repository=test</v>
      </c>
      <c r="U104" s="1" t="str">
        <f t="shared" si="3"/>
        <v>{"name":"La Porteuse D'Eau #41",_x000D_
"symbol":"COR22C41",_x000D_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4" s="1" t="str">
        <f>formatRow(Tokens!C$2:I$2,Tokens!C104:I104)</f>
        <v>"name":"La Porteuse D'Eau #41",_x000D_
"symbol":"COR22C41",_x000D_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4" s="1" t="str">
        <f>formatRow(Tokens!J$2:AV$2,Tokens!J104:AV104,2,"attributes")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4" s="1" t="str">
        <f>formatRow(Tokens!AX$2:BC$2,Tokens!AX104:BC104,2,"creators")</f>
        <v>"creators":[{"address":"paul",_x000D_
"share":10},{"address":"sophie",_x000D_
"share":90}]</v>
      </c>
      <c r="Y104" s="1" t="str">
        <f>formatRow(Tokens!BD$2:BI$2,Tokens!BD104:BI104,2,"files")</f>
        <v>"files":[]</v>
      </c>
      <c r="Z104" s="1"/>
      <c r="AA104" s="1"/>
      <c r="AB104" s="1"/>
      <c r="AC104" s="1" t="str">
        <f>formatRow(Tokens!BJ$2:BK$2,Tokens!BJ104:BK104,0,"collection")</f>
        <v>"collection":{"name":"La Porteuse D'Eau",_x000D_
"family":"Calvi On The Rocks"}</v>
      </c>
    </row>
    <row r="105" spans="5:29" ht="14.25" customHeight="1" x14ac:dyDescent="0.25">
      <c r="E105" s="17" t="str">
        <f>IF(Tokens!C105="","",Tokens!C105)</f>
        <v>La Porteuse D'Eau #42</v>
      </c>
      <c r="F105"/>
      <c r="G105"/>
      <c r="H105"/>
      <c r="I105"/>
      <c r="J105"/>
      <c r="M105"/>
      <c r="N105"/>
      <c r="O105" s="15" t="str">
        <f t="shared" si="2"/>
        <v>_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/>
      </c>
      <c r="Q105" s="2"/>
      <c r="R105" s="2"/>
      <c r="S105" s="11"/>
      <c r="T105" s="1" t="str">
        <f>"owner=" &amp; Tokens!BS105 &amp; "&amp;filename_for_metadata=" &amp; Tokens!BT105 &amp; "&amp;offchaindata_platform=" &amp; $B$17 &amp; "&amp;keyfile=" &amp; $B$5 &amp; "&amp;network=" &amp; LOWER($B$8) &amp; "&amp;repository=" &amp; $B$18</f>
        <v>owner=thomas&amp;filename_for_metadata=LaPorteuseD'Eau_COR22C42&amp;offchaindata_platform=MongoDB&amp;keyfile=Paul&amp;network=jsonfiles&amp;repository=test</v>
      </c>
      <c r="U105" s="1" t="str">
        <f t="shared" si="3"/>
        <v>{"name":"La Porteuse D'Eau #42",_x000D_
"symbol":"COR22C42",_x000D_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5" s="1" t="str">
        <f>formatRow(Tokens!C$2:I$2,Tokens!C105:I105)</f>
        <v>"name":"La Porteuse D'Eau #42",_x000D_
"symbol":"COR22C42",_x000D_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5" s="1" t="str">
        <f>formatRow(Tokens!J$2:AV$2,Tokens!J105:AV105,2,"attributes")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5" s="1" t="str">
        <f>formatRow(Tokens!AX$2:BC$2,Tokens!AX105:BC105,2,"creators")</f>
        <v>"creators":[{"address":"paul",_x000D_
"share":10},{"address":"sophie",_x000D_
"share":90}]</v>
      </c>
      <c r="Y105" s="1" t="str">
        <f>formatRow(Tokens!BD$2:BI$2,Tokens!BD105:BI105,2,"files")</f>
        <v>"files":[]</v>
      </c>
      <c r="Z105" s="1"/>
      <c r="AA105" s="1"/>
      <c r="AB105" s="1"/>
      <c r="AC105" s="1" t="str">
        <f>formatRow(Tokens!BJ$2:BK$2,Tokens!BJ105:BK105,0,"collection")</f>
        <v>"collection":{"name":"La Porteuse D'Eau",_x000D_
"family":"Calvi On The Rocks"}</v>
      </c>
    </row>
    <row r="106" spans="5:29" ht="14.25" customHeight="1" x14ac:dyDescent="0.25">
      <c r="E106" s="17" t="str">
        <f>IF(Tokens!C106="","",Tokens!C106)</f>
        <v>La Porteuse D'Eau #43</v>
      </c>
      <c r="F106"/>
      <c r="G106"/>
      <c r="H106"/>
      <c r="I106"/>
      <c r="J106"/>
      <c r="M106"/>
      <c r="N106"/>
      <c r="O106" s="15" t="str">
        <f t="shared" si="2"/>
        <v>_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/>
      </c>
      <c r="Q106" s="2"/>
      <c r="R106" s="2"/>
      <c r="S106" s="11"/>
      <c r="T106" s="1" t="str">
        <f>"owner=" &amp; Tokens!BS106 &amp; "&amp;filename_for_metadata=" &amp; Tokens!BT106 &amp; "&amp;offchaindata_platform=" &amp; $B$17 &amp; "&amp;keyfile=" &amp; $B$5 &amp; "&amp;network=" &amp; LOWER($B$8) &amp; "&amp;repository=" &amp; $B$18</f>
        <v>owner=thomas&amp;filename_for_metadata=LaPorteuseD'Eau_COR22C43&amp;offchaindata_platform=MongoDB&amp;keyfile=Paul&amp;network=jsonfiles&amp;repository=test</v>
      </c>
      <c r="U106" s="1" t="str">
        <f t="shared" si="3"/>
        <v>{"name":"La Porteuse D'Eau #43",_x000D_
"symbol":"COR22C43",_x000D_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6" s="1" t="str">
        <f>formatRow(Tokens!C$2:I$2,Tokens!C106:I106)</f>
        <v>"name":"La Porteuse D'Eau #43",_x000D_
"symbol":"COR22C43",_x000D_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6" s="1" t="str">
        <f>formatRow(Tokens!J$2:AV$2,Tokens!J106:AV106,2,"attributes")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6" s="1" t="str">
        <f>formatRow(Tokens!AX$2:BC$2,Tokens!AX106:BC106,2,"creators")</f>
        <v>"creators":[{"address":"paul",_x000D_
"share":10},{"address":"sophie",_x000D_
"share":90}]</v>
      </c>
      <c r="Y106" s="1" t="str">
        <f>formatRow(Tokens!BD$2:BI$2,Tokens!BD106:BI106,2,"files")</f>
        <v>"files":[]</v>
      </c>
      <c r="Z106" s="1"/>
      <c r="AA106" s="1"/>
      <c r="AB106" s="1"/>
      <c r="AC106" s="1" t="str">
        <f>formatRow(Tokens!BJ$2:BK$2,Tokens!BJ106:BK106,0,"collection")</f>
        <v>"collection":{"name":"La Porteuse D'Eau",_x000D_
"family":"Calvi On The Rocks"}</v>
      </c>
    </row>
    <row r="107" spans="5:29" ht="14.25" customHeight="1" x14ac:dyDescent="0.25">
      <c r="E107" s="17" t="str">
        <f>IF(Tokens!C107="","",Tokens!C107)</f>
        <v>La Porteuse D'Eau #44</v>
      </c>
      <c r="F107"/>
      <c r="G107"/>
      <c r="H107"/>
      <c r="I107"/>
      <c r="J107"/>
      <c r="M107"/>
      <c r="N107"/>
      <c r="O107" s="15" t="str">
        <f t="shared" si="2"/>
        <v>_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/>
      </c>
      <c r="Q107" s="2"/>
      <c r="R107" s="2"/>
      <c r="S107" s="11"/>
      <c r="T107" s="1" t="str">
        <f>"owner=" &amp; Tokens!BS107 &amp; "&amp;filename_for_metadata=" &amp; Tokens!BT107 &amp; "&amp;offchaindata_platform=" &amp; $B$17 &amp; "&amp;keyfile=" &amp; $B$5 &amp; "&amp;network=" &amp; LOWER($B$8) &amp; "&amp;repository=" &amp; $B$18</f>
        <v>owner=thomas&amp;filename_for_metadata=LaPorteuseD'Eau_COR22C44&amp;offchaindata_platform=MongoDB&amp;keyfile=Paul&amp;network=jsonfiles&amp;repository=test</v>
      </c>
      <c r="U107" s="1" t="str">
        <f t="shared" si="3"/>
        <v>{"name":"La Porteuse D'Eau #44",_x000D_
"symbol":"COR22C44",_x000D_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7" s="1" t="str">
        <f>formatRow(Tokens!C$2:I$2,Tokens!C107:I107)</f>
        <v>"name":"La Porteuse D'Eau #44",_x000D_
"symbol":"COR22C44",_x000D_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7" s="1" t="str">
        <f>formatRow(Tokens!J$2:AV$2,Tokens!J107:AV107,2,"attributes")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7" s="1" t="str">
        <f>formatRow(Tokens!AX$2:BC$2,Tokens!AX107:BC107,2,"creators")</f>
        <v>"creators":[{"address":"paul",_x000D_
"share":10},{"address":"sophie",_x000D_
"share":90}]</v>
      </c>
      <c r="Y107" s="1" t="str">
        <f>formatRow(Tokens!BD$2:BI$2,Tokens!BD107:BI107,2,"files")</f>
        <v>"files":[]</v>
      </c>
      <c r="Z107" s="1"/>
      <c r="AA107" s="1"/>
      <c r="AB107" s="1"/>
      <c r="AC107" s="1" t="str">
        <f>formatRow(Tokens!BJ$2:BK$2,Tokens!BJ107:BK107,0,"collection")</f>
        <v>"collection":{"name":"La Porteuse D'Eau",_x000D_
"family":"Calvi On The Rocks"}</v>
      </c>
    </row>
    <row r="108" spans="5:29" ht="14.25" customHeight="1" x14ac:dyDescent="0.25">
      <c r="E108" s="17" t="str">
        <f>IF(Tokens!C108="","",Tokens!C108)</f>
        <v>La Porteuse D'Eau #45</v>
      </c>
      <c r="F108"/>
      <c r="G108"/>
      <c r="H108"/>
      <c r="I108"/>
      <c r="J108"/>
      <c r="M108"/>
      <c r="N108"/>
      <c r="O108" s="15" t="str">
        <f t="shared" si="2"/>
        <v>_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/>
      </c>
      <c r="Q108" s="2"/>
      <c r="R108" s="2"/>
      <c r="S108" s="11"/>
      <c r="T108" s="1" t="str">
        <f>"owner=" &amp; Tokens!BS108 &amp; "&amp;filename_for_metadata=" &amp; Tokens!BT108 &amp; "&amp;offchaindata_platform=" &amp; $B$17 &amp; "&amp;keyfile=" &amp; $B$5 &amp; "&amp;network=" &amp; LOWER($B$8) &amp; "&amp;repository=" &amp; $B$18</f>
        <v>owner=thomas&amp;filename_for_metadata=LaPorteuseD'Eau_COR22C45&amp;offchaindata_platform=MongoDB&amp;keyfile=Paul&amp;network=jsonfiles&amp;repository=test</v>
      </c>
      <c r="U108" s="1" t="str">
        <f t="shared" si="3"/>
        <v>{"name":"La Porteuse D'Eau #45",_x000D_
"symbol":"COR22C45",_x000D_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8" s="1" t="str">
        <f>formatRow(Tokens!C$2:I$2,Tokens!C108:I108)</f>
        <v>"name":"La Porteuse D'Eau #45",_x000D_
"symbol":"COR22C45",_x000D_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8" s="1" t="str">
        <f>formatRow(Tokens!J$2:AV$2,Tokens!J108:AV108,2,"attributes")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8" s="1" t="str">
        <f>formatRow(Tokens!AX$2:BC$2,Tokens!AX108:BC108,2,"creators")</f>
        <v>"creators":[{"address":"paul",_x000D_
"share":10},{"address":"sophie",_x000D_
"share":90}]</v>
      </c>
      <c r="Y108" s="1" t="str">
        <f>formatRow(Tokens!BD$2:BI$2,Tokens!BD108:BI108,2,"files")</f>
        <v>"files":[]</v>
      </c>
      <c r="Z108" s="1"/>
      <c r="AA108" s="1"/>
      <c r="AB108" s="1"/>
      <c r="AC108" s="1" t="str">
        <f>formatRow(Tokens!BJ$2:BK$2,Tokens!BJ108:BK108,0,"collection")</f>
        <v>"collection":{"name":"La Porteuse D'Eau",_x000D_
"family":"Calvi On The Rocks"}</v>
      </c>
    </row>
    <row r="109" spans="5:29" ht="14.25" customHeight="1" x14ac:dyDescent="0.25">
      <c r="E109" s="17" t="str">
        <f>IF(Tokens!C109="","",Tokens!C109)</f>
        <v>La Porteuse D'Eau #46</v>
      </c>
      <c r="F109"/>
      <c r="G109"/>
      <c r="H109"/>
      <c r="I109"/>
      <c r="J109"/>
      <c r="M109"/>
      <c r="N109"/>
      <c r="O109" s="15" t="str">
        <f t="shared" si="2"/>
        <v>_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/>
      </c>
      <c r="Q109" s="2"/>
      <c r="R109" s="2"/>
      <c r="S109" s="11"/>
      <c r="T109" s="1" t="str">
        <f>"owner=" &amp; Tokens!BS109 &amp; "&amp;filename_for_metadata=" &amp; Tokens!BT109 &amp; "&amp;offchaindata_platform=" &amp; $B$17 &amp; "&amp;keyfile=" &amp; $B$5 &amp; "&amp;network=" &amp; LOWER($B$8) &amp; "&amp;repository=" &amp; $B$18</f>
        <v>owner=thomas&amp;filename_for_metadata=LaPorteuseD'Eau_COR22C46&amp;offchaindata_platform=MongoDB&amp;keyfile=Paul&amp;network=jsonfiles&amp;repository=test</v>
      </c>
      <c r="U109" s="1" t="str">
        <f t="shared" si="3"/>
        <v>{"name":"La Porteuse D'Eau #46",_x000D_
"symbol":"COR22C46",_x000D_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09" s="1" t="str">
        <f>formatRow(Tokens!C$2:I$2,Tokens!C109:I109)</f>
        <v>"name":"La Porteuse D'Eau #46",_x000D_
"symbol":"COR22C46",_x000D_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09" s="1" t="str">
        <f>formatRow(Tokens!J$2:AV$2,Tokens!J109:AV109,2,"attributes")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09" s="1" t="str">
        <f>formatRow(Tokens!AX$2:BC$2,Tokens!AX109:BC109,2,"creators")</f>
        <v>"creators":[{"address":"paul",_x000D_
"share":10},{"address":"sophie",_x000D_
"share":90}]</v>
      </c>
      <c r="Y109" s="1" t="str">
        <f>formatRow(Tokens!BD$2:BI$2,Tokens!BD109:BI109,2,"files")</f>
        <v>"files":[]</v>
      </c>
      <c r="Z109" s="1"/>
      <c r="AA109" s="1"/>
      <c r="AB109" s="1"/>
      <c r="AC109" s="1" t="str">
        <f>formatRow(Tokens!BJ$2:BK$2,Tokens!BJ109:BK109,0,"collection")</f>
        <v>"collection":{"name":"La Porteuse D'Eau",_x000D_
"family":"Calvi On The Rocks"}</v>
      </c>
    </row>
    <row r="110" spans="5:29" ht="14.25" customHeight="1" x14ac:dyDescent="0.25">
      <c r="E110" s="17" t="str">
        <f>IF(Tokens!C110="","",Tokens!C110)</f>
        <v>La Porteuse D'Eau #47</v>
      </c>
      <c r="F110"/>
      <c r="G110"/>
      <c r="H110"/>
      <c r="I110"/>
      <c r="J110"/>
      <c r="M110"/>
      <c r="N110"/>
      <c r="O110" s="15" t="str">
        <f t="shared" si="2"/>
        <v>_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/>
      </c>
      <c r="Q110" s="2"/>
      <c r="R110" s="2"/>
      <c r="S110" s="11"/>
      <c r="T110" s="1" t="str">
        <f>"owner=" &amp; Tokens!BS110 &amp; "&amp;filename_for_metadata=" &amp; Tokens!BT110 &amp; "&amp;offchaindata_platform=" &amp; $B$17 &amp; "&amp;keyfile=" &amp; $B$5 &amp; "&amp;network=" &amp; LOWER($B$8) &amp; "&amp;repository=" &amp; $B$18</f>
        <v>owner=thomas&amp;filename_for_metadata=LaPorteuseD'Eau_COR22C47&amp;offchaindata_platform=MongoDB&amp;keyfile=Paul&amp;network=jsonfiles&amp;repository=test</v>
      </c>
      <c r="U110" s="1" t="str">
        <f t="shared" si="3"/>
        <v>{"name":"La Porteuse D'Eau #47",_x000D_
"symbol":"COR22C47",_x000D_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0" s="1" t="str">
        <f>formatRow(Tokens!C$2:I$2,Tokens!C110:I110)</f>
        <v>"name":"La Porteuse D'Eau #47",_x000D_
"symbol":"COR22C47",_x000D_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0" s="1" t="str">
        <f>formatRow(Tokens!J$2:AV$2,Tokens!J110:AV110,2,"attributes")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0" s="1" t="str">
        <f>formatRow(Tokens!AX$2:BC$2,Tokens!AX110:BC110,2,"creators")</f>
        <v>"creators":[{"address":"paul",_x000D_
"share":10},{"address":"sophie",_x000D_
"share":90}]</v>
      </c>
      <c r="Y110" s="1" t="str">
        <f>formatRow(Tokens!BD$2:BI$2,Tokens!BD110:BI110,2,"files")</f>
        <v>"files":[]</v>
      </c>
      <c r="Z110" s="1"/>
      <c r="AA110" s="1"/>
      <c r="AB110" s="1"/>
      <c r="AC110" s="1" t="str">
        <f>formatRow(Tokens!BJ$2:BK$2,Tokens!BJ110:BK110,0,"collection")</f>
        <v>"collection":{"name":"La Porteuse D'Eau",_x000D_
"family":"Calvi On The Rocks"}</v>
      </c>
    </row>
    <row r="111" spans="5:29" ht="14.25" customHeight="1" x14ac:dyDescent="0.25">
      <c r="E111" s="17" t="str">
        <f>IF(Tokens!C111="","",Tokens!C111)</f>
        <v>La Porteuse D'Eau #48</v>
      </c>
      <c r="F111"/>
      <c r="G111"/>
      <c r="H111"/>
      <c r="I111"/>
      <c r="J111"/>
      <c r="M111"/>
      <c r="N111"/>
      <c r="O111" s="15" t="str">
        <f t="shared" si="2"/>
        <v>_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/>
      </c>
      <c r="Q111" s="2"/>
      <c r="R111" s="2"/>
      <c r="S111" s="11"/>
      <c r="T111" s="1" t="str">
        <f>"owner=" &amp; Tokens!BS111 &amp; "&amp;filename_for_metadata=" &amp; Tokens!BT111 &amp; "&amp;offchaindata_platform=" &amp; $B$17 &amp; "&amp;keyfile=" &amp; $B$5 &amp; "&amp;network=" &amp; LOWER($B$8) &amp; "&amp;repository=" &amp; $B$18</f>
        <v>owner=thomas&amp;filename_for_metadata=LaPorteuseD'Eau_COR22C48&amp;offchaindata_platform=MongoDB&amp;keyfile=Paul&amp;network=jsonfiles&amp;repository=test</v>
      </c>
      <c r="U111" s="1" t="str">
        <f t="shared" si="3"/>
        <v>{"name":"La Porteuse D'Eau #48",_x000D_
"symbol":"COR22C48",_x000D_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1" s="1" t="str">
        <f>formatRow(Tokens!C$2:I$2,Tokens!C111:I111)</f>
        <v>"name":"La Porteuse D'Eau #48",_x000D_
"symbol":"COR22C48",_x000D_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1" s="1" t="str">
        <f>formatRow(Tokens!J$2:AV$2,Tokens!J111:AV111,2,"attributes")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1" s="1" t="str">
        <f>formatRow(Tokens!AX$2:BC$2,Tokens!AX111:BC111,2,"creators")</f>
        <v>"creators":[{"address":"paul",_x000D_
"share":10},{"address":"sophie",_x000D_
"share":90}]</v>
      </c>
      <c r="Y111" s="1" t="str">
        <f>formatRow(Tokens!BD$2:BI$2,Tokens!BD111:BI111,2,"files")</f>
        <v>"files":[]</v>
      </c>
      <c r="Z111" s="1"/>
      <c r="AA111" s="1"/>
      <c r="AB111" s="1"/>
      <c r="AC111" s="1" t="str">
        <f>formatRow(Tokens!BJ$2:BK$2,Tokens!BJ111:BK111,0,"collection")</f>
        <v>"collection":{"name":"La Porteuse D'Eau",_x000D_
"family":"Calvi On The Rocks"}</v>
      </c>
    </row>
    <row r="112" spans="5:29" ht="14.25" customHeight="1" x14ac:dyDescent="0.25">
      <c r="E112" s="17" t="str">
        <f>IF(Tokens!C112="","",Tokens!C112)</f>
        <v>La Porteuse D'Eau #49</v>
      </c>
      <c r="F112"/>
      <c r="G112"/>
      <c r="H112"/>
      <c r="I112"/>
      <c r="J112"/>
      <c r="M112"/>
      <c r="N112"/>
      <c r="O112" s="15" t="str">
        <f t="shared" si="2"/>
        <v>_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/>
      </c>
      <c r="Q112" s="2"/>
      <c r="R112" s="2"/>
      <c r="S112" s="11"/>
      <c r="T112" s="1" t="str">
        <f>"owner=" &amp; Tokens!BS112 &amp; "&amp;filename_for_metadata=" &amp; Tokens!BT112 &amp; "&amp;offchaindata_platform=" &amp; $B$17 &amp; "&amp;keyfile=" &amp; $B$5 &amp; "&amp;network=" &amp; LOWER($B$8) &amp; "&amp;repository=" &amp; $B$18</f>
        <v>owner=thomas&amp;filename_for_metadata=LaPorteuseD'Eau_COR22C49&amp;offchaindata_platform=MongoDB&amp;keyfile=Paul&amp;network=jsonfiles&amp;repository=test</v>
      </c>
      <c r="U112" s="1" t="str">
        <f t="shared" si="3"/>
        <v>{"name":"La Porteuse D'Eau #49",_x000D_
"symbol":"COR22C49",_x000D_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2" s="1" t="str">
        <f>formatRow(Tokens!C$2:I$2,Tokens!C112:I112)</f>
        <v>"name":"La Porteuse D'Eau #49",_x000D_
"symbol":"COR22C49",_x000D_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2" s="1" t="str">
        <f>formatRow(Tokens!J$2:AV$2,Tokens!J112:AV112,2,"attributes")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2" s="1" t="str">
        <f>formatRow(Tokens!AX$2:BC$2,Tokens!AX112:BC112,2,"creators")</f>
        <v>"creators":[{"address":"paul",_x000D_
"share":10},{"address":"sophie",_x000D_
"share":90}]</v>
      </c>
      <c r="Y112" s="1" t="str">
        <f>formatRow(Tokens!BD$2:BI$2,Tokens!BD112:BI112,2,"files")</f>
        <v>"files":[]</v>
      </c>
      <c r="Z112" s="1"/>
      <c r="AA112" s="1"/>
      <c r="AB112" s="1"/>
      <c r="AC112" s="1" t="str">
        <f>formatRow(Tokens!BJ$2:BK$2,Tokens!BJ112:BK112,0,"collection")</f>
        <v>"collection":{"name":"La Porteuse D'Eau",_x000D_
"family":"Calvi On The Rocks"}</v>
      </c>
    </row>
    <row r="113" spans="5:29" ht="14.25" customHeight="1" x14ac:dyDescent="0.25">
      <c r="E113" s="17" t="str">
        <f>IF(Tokens!C113="","",Tokens!C113)</f>
        <v>La Porteuse D'Eau #50</v>
      </c>
      <c r="F113"/>
      <c r="G113"/>
      <c r="H113"/>
      <c r="I113"/>
      <c r="J113"/>
      <c r="M113"/>
      <c r="N113"/>
      <c r="O113" s="15" t="str">
        <f t="shared" si="2"/>
        <v>_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/>
      </c>
      <c r="Q113" s="2"/>
      <c r="R113" s="2"/>
      <c r="S113" s="11"/>
      <c r="T113" s="1" t="str">
        <f>"owner=" &amp; Tokens!BS113 &amp; "&amp;filename_for_metadata=" &amp; Tokens!BT113 &amp; "&amp;offchaindata_platform=" &amp; $B$17 &amp; "&amp;keyfile=" &amp; $B$5 &amp; "&amp;network=" &amp; LOWER($B$8) &amp; "&amp;repository=" &amp; $B$18</f>
        <v>owner=thomas&amp;filename_for_metadata=LaPorteuseD'Eau_COR22C50&amp;offchaindata_platform=MongoDB&amp;keyfile=Paul&amp;network=jsonfiles&amp;repository=test</v>
      </c>
      <c r="U113" s="1" t="str">
        <f t="shared" si="3"/>
        <v>{"name":"La Porteuse D'Eau #50",_x000D_
"symbol":"COR22C50",_x000D_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3" s="1" t="str">
        <f>formatRow(Tokens!C$2:I$2,Tokens!C113:I113)</f>
        <v>"name":"La Porteuse D'Eau #50",_x000D_
"symbol":"COR22C50",_x000D_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3" s="1" t="str">
        <f>formatRow(Tokens!J$2:AV$2,Tokens!J113:AV113,2,"attributes")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3" s="1" t="str">
        <f>formatRow(Tokens!AX$2:BC$2,Tokens!AX113:BC113,2,"creators")</f>
        <v>"creators":[{"address":"paul",_x000D_
"share":10},{"address":"sophie",_x000D_
"share":90}]</v>
      </c>
      <c r="Y113" s="1" t="str">
        <f>formatRow(Tokens!BD$2:BI$2,Tokens!BD113:BI113,2,"files")</f>
        <v>"files":[]</v>
      </c>
      <c r="Z113" s="1"/>
      <c r="AA113" s="1"/>
      <c r="AB113" s="1"/>
      <c r="AC113" s="1" t="str">
        <f>formatRow(Tokens!BJ$2:BK$2,Tokens!BJ113:BK113,0,"collection")</f>
        <v>"collection":{"name":"La Porteuse D'Eau",_x000D_
"family":"Calvi On The Rocks"}</v>
      </c>
    </row>
    <row r="114" spans="5:29" ht="14.25" customHeight="1" x14ac:dyDescent="0.25">
      <c r="E114" s="17" t="str">
        <f>IF(Tokens!C114="","",Tokens!C114)</f>
        <v>La Porteuse D'Eau #51</v>
      </c>
      <c r="F114"/>
      <c r="G114"/>
      <c r="H114"/>
      <c r="I114"/>
      <c r="J114"/>
      <c r="M114"/>
      <c r="N114"/>
      <c r="O114" s="15" t="str">
        <f t="shared" si="2"/>
        <v>_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/>
      </c>
      <c r="Q114" s="2"/>
      <c r="R114" s="2"/>
      <c r="S114" s="11"/>
      <c r="T114" s="1" t="str">
        <f>"owner=" &amp; Tokens!BS114 &amp; "&amp;filename_for_metadata=" &amp; Tokens!BT114 &amp; "&amp;offchaindata_platform=" &amp; $B$17 &amp; "&amp;keyfile=" &amp; $B$5 &amp; "&amp;network=" &amp; LOWER($B$8) &amp; "&amp;repository=" &amp; $B$18</f>
        <v>owner=thomas&amp;filename_for_metadata=LaPorteuseD'Eau_COR22C51&amp;offchaindata_platform=MongoDB&amp;keyfile=Paul&amp;network=jsonfiles&amp;repository=test</v>
      </c>
      <c r="U114" s="1" t="str">
        <f t="shared" si="3"/>
        <v>{"name":"La Porteuse D'Eau #51",_x000D_
"symbol":"COR22C51",_x000D_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4" s="1" t="str">
        <f>formatRow(Tokens!C$2:I$2,Tokens!C114:I114)</f>
        <v>"name":"La Porteuse D'Eau #51",_x000D_
"symbol":"COR22C51",_x000D_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4" s="1" t="str">
        <f>formatRow(Tokens!J$2:AV$2,Tokens!J114:AV114,2,"attributes")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4" s="1" t="str">
        <f>formatRow(Tokens!AX$2:BC$2,Tokens!AX114:BC114,2,"creators")</f>
        <v>"creators":[{"address":"paul",_x000D_
"share":10},{"address":"sophie",_x000D_
"share":90}]</v>
      </c>
      <c r="Y114" s="1" t="str">
        <f>formatRow(Tokens!BD$2:BI$2,Tokens!BD114:BI114,2,"files")</f>
        <v>"files":[]</v>
      </c>
      <c r="Z114" s="1"/>
      <c r="AA114" s="1"/>
      <c r="AB114" s="1"/>
      <c r="AC114" s="1" t="str">
        <f>formatRow(Tokens!BJ$2:BK$2,Tokens!BJ114:BK114,0,"collection")</f>
        <v>"collection":{"name":"La Porteuse D'Eau",_x000D_
"family":"Calvi On The Rocks"}</v>
      </c>
    </row>
    <row r="115" spans="5:29" ht="14.25" customHeight="1" x14ac:dyDescent="0.25">
      <c r="E115" s="17" t="str">
        <f>IF(Tokens!C115="","",Tokens!C115)</f>
        <v>La Porteuse D'Eau #52</v>
      </c>
      <c r="F115"/>
      <c r="G115"/>
      <c r="H115"/>
      <c r="I115"/>
      <c r="J115"/>
      <c r="M115"/>
      <c r="N115"/>
      <c r="O115" s="15" t="str">
        <f t="shared" si="2"/>
        <v>_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/>
      </c>
      <c r="Q115" s="2"/>
      <c r="R115" s="2"/>
      <c r="S115" s="11"/>
      <c r="T115" s="1" t="str">
        <f>"owner=" &amp; Tokens!BS115 &amp; "&amp;filename_for_metadata=" &amp; Tokens!BT115 &amp; "&amp;offchaindata_platform=" &amp; $B$17 &amp; "&amp;keyfile=" &amp; $B$5 &amp; "&amp;network=" &amp; LOWER($B$8) &amp; "&amp;repository=" &amp; $B$18</f>
        <v>owner=thomas&amp;filename_for_metadata=LaPorteuseD'Eau_COR22C52&amp;offchaindata_platform=MongoDB&amp;keyfile=Paul&amp;network=jsonfiles&amp;repository=test</v>
      </c>
      <c r="U115" s="1" t="str">
        <f t="shared" si="3"/>
        <v>{"name":"La Porteuse D'Eau #52",_x000D_
"symbol":"COR22C52",_x000D_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5" s="1" t="str">
        <f>formatRow(Tokens!C$2:I$2,Tokens!C115:I115)</f>
        <v>"name":"La Porteuse D'Eau #52",_x000D_
"symbol":"COR22C52",_x000D_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5" s="1" t="str">
        <f>formatRow(Tokens!J$2:AV$2,Tokens!J115:AV115,2,"attributes")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5" s="1" t="str">
        <f>formatRow(Tokens!AX$2:BC$2,Tokens!AX115:BC115,2,"creators")</f>
        <v>"creators":[{"address":"paul",_x000D_
"share":10},{"address":"sophie",_x000D_
"share":90}]</v>
      </c>
      <c r="Y115" s="1" t="str">
        <f>formatRow(Tokens!BD$2:BI$2,Tokens!BD115:BI115,2,"files")</f>
        <v>"files":[]</v>
      </c>
      <c r="Z115" s="1"/>
      <c r="AA115" s="1"/>
      <c r="AB115" s="1"/>
      <c r="AC115" s="1" t="str">
        <f>formatRow(Tokens!BJ$2:BK$2,Tokens!BJ115:BK115,0,"collection")</f>
        <v>"collection":{"name":"La Porteuse D'Eau",_x000D_
"family":"Calvi On The Rocks"}</v>
      </c>
    </row>
    <row r="116" spans="5:29" ht="14.25" customHeight="1" x14ac:dyDescent="0.25">
      <c r="E116" s="17" t="str">
        <f>IF(Tokens!C116="","",Tokens!C116)</f>
        <v>La Porteuse D'Eau #53</v>
      </c>
      <c r="F116"/>
      <c r="G116"/>
      <c r="H116"/>
      <c r="I116"/>
      <c r="J116"/>
      <c r="M116"/>
      <c r="N116"/>
      <c r="O116" s="15" t="str">
        <f t="shared" si="2"/>
        <v>_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/>
      </c>
      <c r="Q116" s="2"/>
      <c r="R116" s="2"/>
      <c r="S116" s="11"/>
      <c r="T116" s="1" t="str">
        <f>"owner=" &amp; Tokens!BS116 &amp; "&amp;filename_for_metadata=" &amp; Tokens!BT116 &amp; "&amp;offchaindata_platform=" &amp; $B$17 &amp; "&amp;keyfile=" &amp; $B$5 &amp; "&amp;network=" &amp; LOWER($B$8) &amp; "&amp;repository=" &amp; $B$18</f>
        <v>owner=thomas&amp;filename_for_metadata=LaPorteuseD'Eau_COR22C53&amp;offchaindata_platform=MongoDB&amp;keyfile=Paul&amp;network=jsonfiles&amp;repository=test</v>
      </c>
      <c r="U116" s="1" t="str">
        <f t="shared" si="3"/>
        <v>{"name":"La Porteuse D'Eau #53",_x000D_
"symbol":"COR22C53",_x000D_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6" s="1" t="str">
        <f>formatRow(Tokens!C$2:I$2,Tokens!C116:I116)</f>
        <v>"name":"La Porteuse D'Eau #53",_x000D_
"symbol":"COR22C53",_x000D_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6" s="1" t="str">
        <f>formatRow(Tokens!J$2:AV$2,Tokens!J116:AV116,2,"attributes")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6" s="1" t="str">
        <f>formatRow(Tokens!AX$2:BC$2,Tokens!AX116:BC116,2,"creators")</f>
        <v>"creators":[{"address":"paul",_x000D_
"share":10},{"address":"sophie",_x000D_
"share":90}]</v>
      </c>
      <c r="Y116" s="1" t="str">
        <f>formatRow(Tokens!BD$2:BI$2,Tokens!BD116:BI116,2,"files")</f>
        <v>"files":[]</v>
      </c>
      <c r="Z116" s="1"/>
      <c r="AA116" s="1"/>
      <c r="AB116" s="1"/>
      <c r="AC116" s="1" t="str">
        <f>formatRow(Tokens!BJ$2:BK$2,Tokens!BJ116:BK116,0,"collection")</f>
        <v>"collection":{"name":"La Porteuse D'Eau",_x000D_
"family":"Calvi On The Rocks"}</v>
      </c>
    </row>
    <row r="117" spans="5:29" ht="14.25" customHeight="1" x14ac:dyDescent="0.25">
      <c r="E117" s="17" t="str">
        <f>IF(Tokens!C117="","",Tokens!C117)</f>
        <v>La Porteuse D'Eau #54</v>
      </c>
      <c r="F117"/>
      <c r="G117"/>
      <c r="H117"/>
      <c r="I117"/>
      <c r="J117"/>
      <c r="M117"/>
      <c r="N117"/>
      <c r="O117" s="15" t="str">
        <f t="shared" si="2"/>
        <v>_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/>
      </c>
      <c r="Q117" s="2"/>
      <c r="R117" s="2"/>
      <c r="S117" s="11"/>
      <c r="T117" s="1" t="str">
        <f>"owner=" &amp; Tokens!BS117 &amp; "&amp;filename_for_metadata=" &amp; Tokens!BT117 &amp; "&amp;offchaindata_platform=" &amp; $B$17 &amp; "&amp;keyfile=" &amp; $B$5 &amp; "&amp;network=" &amp; LOWER($B$8) &amp; "&amp;repository=" &amp; $B$18</f>
        <v>owner=thomas&amp;filename_for_metadata=LaPorteuseD'Eau_COR22C54&amp;offchaindata_platform=MongoDB&amp;keyfile=Paul&amp;network=jsonfiles&amp;repository=test</v>
      </c>
      <c r="U117" s="1" t="str">
        <f t="shared" si="3"/>
        <v>{"name":"La Porteuse D'Eau #54",_x000D_
"symbol":"COR22C54",_x000D_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7" s="1" t="str">
        <f>formatRow(Tokens!C$2:I$2,Tokens!C117:I117)</f>
        <v>"name":"La Porteuse D'Eau #54",_x000D_
"symbol":"COR22C54",_x000D_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7" s="1" t="str">
        <f>formatRow(Tokens!J$2:AV$2,Tokens!J117:AV117,2,"attributes")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7" s="1" t="str">
        <f>formatRow(Tokens!AX$2:BC$2,Tokens!AX117:BC117,2,"creators")</f>
        <v>"creators":[{"address":"paul",_x000D_
"share":10},{"address":"sophie",_x000D_
"share":90}]</v>
      </c>
      <c r="Y117" s="1" t="str">
        <f>formatRow(Tokens!BD$2:BI$2,Tokens!BD117:BI117,2,"files")</f>
        <v>"files":[]</v>
      </c>
      <c r="Z117" s="1"/>
      <c r="AA117" s="1"/>
      <c r="AB117" s="1"/>
      <c r="AC117" s="1" t="str">
        <f>formatRow(Tokens!BJ$2:BK$2,Tokens!BJ117:BK117,0,"collection")</f>
        <v>"collection":{"name":"La Porteuse D'Eau",_x000D_
"family":"Calvi On The Rocks"}</v>
      </c>
    </row>
    <row r="118" spans="5:29" ht="14.25" customHeight="1" x14ac:dyDescent="0.25">
      <c r="E118" s="17" t="str">
        <f>IF(Tokens!C118="","",Tokens!C118)</f>
        <v>La Porteuse D'Eau #55</v>
      </c>
      <c r="F118"/>
      <c r="G118"/>
      <c r="H118"/>
      <c r="I118"/>
      <c r="J118"/>
      <c r="M118"/>
      <c r="N118"/>
      <c r="O118" s="15" t="str">
        <f t="shared" si="2"/>
        <v>_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/>
      </c>
      <c r="Q118" s="2"/>
      <c r="R118" s="2"/>
      <c r="S118" s="11"/>
      <c r="T118" s="1" t="str">
        <f>"owner=" &amp; Tokens!BS118 &amp; "&amp;filename_for_metadata=" &amp; Tokens!BT118 &amp; "&amp;offchaindata_platform=" &amp; $B$17 &amp; "&amp;keyfile=" &amp; $B$5 &amp; "&amp;network=" &amp; LOWER($B$8) &amp; "&amp;repository=" &amp; $B$18</f>
        <v>owner=thomas&amp;filename_for_metadata=LaPorteuseD'Eau_COR22C55&amp;offchaindata_platform=MongoDB&amp;keyfile=Paul&amp;network=jsonfiles&amp;repository=test</v>
      </c>
      <c r="U118" s="1" t="str">
        <f t="shared" si="3"/>
        <v>{"name":"La Porteuse D'Eau #55",_x000D_
"symbol":"COR22C55",_x000D_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8" s="1" t="str">
        <f>formatRow(Tokens!C$2:I$2,Tokens!C118:I118)</f>
        <v>"name":"La Porteuse D'Eau #55",_x000D_
"symbol":"COR22C55",_x000D_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8" s="1" t="str">
        <f>formatRow(Tokens!J$2:AV$2,Tokens!J118:AV118,2,"attributes")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8" s="1" t="str">
        <f>formatRow(Tokens!AX$2:BC$2,Tokens!AX118:BC118,2,"creators")</f>
        <v>"creators":[{"address":"paul",_x000D_
"share":10},{"address":"sophie",_x000D_
"share":90}]</v>
      </c>
      <c r="Y118" s="1" t="str">
        <f>formatRow(Tokens!BD$2:BI$2,Tokens!BD118:BI118,2,"files")</f>
        <v>"files":[]</v>
      </c>
      <c r="Z118" s="1"/>
      <c r="AA118" s="1"/>
      <c r="AB118" s="1"/>
      <c r="AC118" s="1" t="str">
        <f>formatRow(Tokens!BJ$2:BK$2,Tokens!BJ118:BK118,0,"collection")</f>
        <v>"collection":{"name":"La Porteuse D'Eau",_x000D_
"family":"Calvi On The Rocks"}</v>
      </c>
    </row>
    <row r="119" spans="5:29" ht="14.25" customHeight="1" x14ac:dyDescent="0.25">
      <c r="E119" s="17" t="str">
        <f>IF(Tokens!C119="","",Tokens!C119)</f>
        <v>La Porteuse D'Eau #56</v>
      </c>
      <c r="F119"/>
      <c r="G119"/>
      <c r="H119"/>
      <c r="I119"/>
      <c r="J119"/>
      <c r="M119"/>
      <c r="N119"/>
      <c r="O119" s="15" t="str">
        <f t="shared" si="2"/>
        <v>_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/>
      </c>
      <c r="Q119" s="2"/>
      <c r="R119" s="2"/>
      <c r="S119" s="11"/>
      <c r="T119" s="1" t="str">
        <f>"owner=" &amp; Tokens!BS119 &amp; "&amp;filename_for_metadata=" &amp; Tokens!BT119 &amp; "&amp;offchaindata_platform=" &amp; $B$17 &amp; "&amp;keyfile=" &amp; $B$5 &amp; "&amp;network=" &amp; LOWER($B$8) &amp; "&amp;repository=" &amp; $B$18</f>
        <v>owner=thomas&amp;filename_for_metadata=LaPorteuseD'Eau_COR22C56&amp;offchaindata_platform=MongoDB&amp;keyfile=Paul&amp;network=jsonfiles&amp;repository=test</v>
      </c>
      <c r="U119" s="1" t="str">
        <f t="shared" si="3"/>
        <v>{"name":"La Porteuse D'Eau #56",_x000D_
"symbol":"COR22C56",_x000D_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19" s="1" t="str">
        <f>formatRow(Tokens!C$2:I$2,Tokens!C119:I119)</f>
        <v>"name":"La Porteuse D'Eau #56",_x000D_
"symbol":"COR22C56",_x000D_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19" s="1" t="str">
        <f>formatRow(Tokens!J$2:AV$2,Tokens!J119:AV119,2,"attributes")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19" s="1" t="str">
        <f>formatRow(Tokens!AX$2:BC$2,Tokens!AX119:BC119,2,"creators")</f>
        <v>"creators":[{"address":"paul",_x000D_
"share":10},{"address":"sophie",_x000D_
"share":90}]</v>
      </c>
      <c r="Y119" s="1" t="str">
        <f>formatRow(Tokens!BD$2:BI$2,Tokens!BD119:BI119,2,"files")</f>
        <v>"files":[]</v>
      </c>
      <c r="Z119" s="1"/>
      <c r="AA119" s="1"/>
      <c r="AB119" s="1"/>
      <c r="AC119" s="1" t="str">
        <f>formatRow(Tokens!BJ$2:BK$2,Tokens!BJ119:BK119,0,"collection")</f>
        <v>"collection":{"name":"La Porteuse D'Eau",_x000D_
"family":"Calvi On The Rocks"}</v>
      </c>
    </row>
    <row r="120" spans="5:29" ht="14.25" customHeight="1" x14ac:dyDescent="0.25">
      <c r="E120" s="17" t="str">
        <f>IF(Tokens!C120="","",Tokens!C120)</f>
        <v>La Porteuse D'Eau #57</v>
      </c>
      <c r="F120"/>
      <c r="G120"/>
      <c r="H120"/>
      <c r="I120"/>
      <c r="J120"/>
      <c r="M120"/>
      <c r="N120"/>
      <c r="O120" s="15" t="str">
        <f t="shared" si="2"/>
        <v>_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/>
      </c>
      <c r="Q120" s="2"/>
      <c r="R120" s="2"/>
      <c r="S120" s="11"/>
      <c r="T120" s="1" t="str">
        <f>"owner=" &amp; Tokens!BS120 &amp; "&amp;filename_for_metadata=" &amp; Tokens!BT120 &amp; "&amp;offchaindata_platform=" &amp; $B$17 &amp; "&amp;keyfile=" &amp; $B$5 &amp; "&amp;network=" &amp; LOWER($B$8) &amp; "&amp;repository=" &amp; $B$18</f>
        <v>owner=thomas&amp;filename_for_metadata=LaPorteuseD'Eau_COR22C57&amp;offchaindata_platform=MongoDB&amp;keyfile=Paul&amp;network=jsonfiles&amp;repository=test</v>
      </c>
      <c r="U120" s="1" t="str">
        <f t="shared" si="3"/>
        <v>{"name":"La Porteuse D'Eau #57",_x000D_
"symbol":"COR22C57",_x000D_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0" s="1" t="str">
        <f>formatRow(Tokens!C$2:I$2,Tokens!C120:I120)</f>
        <v>"name":"La Porteuse D'Eau #57",_x000D_
"symbol":"COR22C57",_x000D_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0" s="1" t="str">
        <f>formatRow(Tokens!J$2:AV$2,Tokens!J120:AV120,2,"attributes")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0" s="1" t="str">
        <f>formatRow(Tokens!AX$2:BC$2,Tokens!AX120:BC120,2,"creators")</f>
        <v>"creators":[{"address":"paul",_x000D_
"share":10},{"address":"sophie",_x000D_
"share":90}]</v>
      </c>
      <c r="Y120" s="1" t="str">
        <f>formatRow(Tokens!BD$2:BI$2,Tokens!BD120:BI120,2,"files")</f>
        <v>"files":[]</v>
      </c>
      <c r="Z120" s="1"/>
      <c r="AA120" s="1"/>
      <c r="AB120" s="1"/>
      <c r="AC120" s="1" t="str">
        <f>formatRow(Tokens!BJ$2:BK$2,Tokens!BJ120:BK120,0,"collection")</f>
        <v>"collection":{"name":"La Porteuse D'Eau",_x000D_
"family":"Calvi On The Rocks"}</v>
      </c>
    </row>
    <row r="121" spans="5:29" ht="14.25" customHeight="1" x14ac:dyDescent="0.25">
      <c r="E121" s="17" t="str">
        <f>IF(Tokens!C121="","",Tokens!C121)</f>
        <v>La Porteuse D'Eau #58</v>
      </c>
      <c r="F121"/>
      <c r="G121"/>
      <c r="H121"/>
      <c r="I121"/>
      <c r="J121"/>
      <c r="M121"/>
      <c r="N121"/>
      <c r="O121" s="15" t="str">
        <f t="shared" si="2"/>
        <v>_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/>
      </c>
      <c r="Q121" s="2"/>
      <c r="R121" s="2"/>
      <c r="S121" s="11"/>
      <c r="T121" s="1" t="str">
        <f>"owner=" &amp; Tokens!BS121 &amp; "&amp;filename_for_metadata=" &amp; Tokens!BT121 &amp; "&amp;offchaindata_platform=" &amp; $B$17 &amp; "&amp;keyfile=" &amp; $B$5 &amp; "&amp;network=" &amp; LOWER($B$8) &amp; "&amp;repository=" &amp; $B$18</f>
        <v>owner=thomas&amp;filename_for_metadata=LaPorteuseD'Eau_COR22C58&amp;offchaindata_platform=MongoDB&amp;keyfile=Paul&amp;network=jsonfiles&amp;repository=test</v>
      </c>
      <c r="U121" s="1" t="str">
        <f t="shared" si="3"/>
        <v>{"name":"La Porteuse D'Eau #58",_x000D_
"symbol":"COR22C58",_x000D_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1" s="1" t="str">
        <f>formatRow(Tokens!C$2:I$2,Tokens!C121:I121)</f>
        <v>"name":"La Porteuse D'Eau #58",_x000D_
"symbol":"COR22C58",_x000D_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1" s="1" t="str">
        <f>formatRow(Tokens!J$2:AV$2,Tokens!J121:AV121,2,"attributes")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1" s="1" t="str">
        <f>formatRow(Tokens!AX$2:BC$2,Tokens!AX121:BC121,2,"creators")</f>
        <v>"creators":[{"address":"paul",_x000D_
"share":10},{"address":"sophie",_x000D_
"share":90}]</v>
      </c>
      <c r="Y121" s="1" t="str">
        <f>formatRow(Tokens!BD$2:BI$2,Tokens!BD121:BI121,2,"files")</f>
        <v>"files":[]</v>
      </c>
      <c r="Z121" s="1"/>
      <c r="AA121" s="1"/>
      <c r="AB121" s="1"/>
      <c r="AC121" s="1" t="str">
        <f>formatRow(Tokens!BJ$2:BK$2,Tokens!BJ121:BK121,0,"collection")</f>
        <v>"collection":{"name":"La Porteuse D'Eau",_x000D_
"family":"Calvi On The Rocks"}</v>
      </c>
    </row>
    <row r="122" spans="5:29" ht="14.25" customHeight="1" x14ac:dyDescent="0.25">
      <c r="E122" s="17" t="str">
        <f>IF(Tokens!C122="","",Tokens!C122)</f>
        <v>La Porteuse D'Eau #59</v>
      </c>
      <c r="F122"/>
      <c r="G122"/>
      <c r="H122"/>
      <c r="I122"/>
      <c r="J122"/>
      <c r="M122"/>
      <c r="N122"/>
      <c r="O122" s="15" t="str">
        <f t="shared" si="2"/>
        <v>_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/>
      </c>
      <c r="Q122" s="2"/>
      <c r="R122" s="2"/>
      <c r="S122" s="11"/>
      <c r="T122" s="1" t="str">
        <f>"owner=" &amp; Tokens!BS122 &amp; "&amp;filename_for_metadata=" &amp; Tokens!BT122 &amp; "&amp;offchaindata_platform=" &amp; $B$17 &amp; "&amp;keyfile=" &amp; $B$5 &amp; "&amp;network=" &amp; LOWER($B$8) &amp; "&amp;repository=" &amp; $B$18</f>
        <v>owner=thomas&amp;filename_for_metadata=LaPorteuseD'Eau_COR22C59&amp;offchaindata_platform=MongoDB&amp;keyfile=Paul&amp;network=jsonfiles&amp;repository=test</v>
      </c>
      <c r="U122" s="1" t="str">
        <f t="shared" si="3"/>
        <v>{"name":"La Porteuse D'Eau #59",_x000D_
"symbol":"COR22C59",_x000D_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2" s="1" t="str">
        <f>formatRow(Tokens!C$2:I$2,Tokens!C122:I122)</f>
        <v>"name":"La Porteuse D'Eau #59",_x000D_
"symbol":"COR22C59",_x000D_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2" s="1" t="str">
        <f>formatRow(Tokens!J$2:AV$2,Tokens!J122:AV122,2,"attributes")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2" s="1" t="str">
        <f>formatRow(Tokens!AX$2:BC$2,Tokens!AX122:BC122,2,"creators")</f>
        <v>"creators":[{"address":"paul",_x000D_
"share":10},{"address":"sophie",_x000D_
"share":90}]</v>
      </c>
      <c r="Y122" s="1" t="str">
        <f>formatRow(Tokens!BD$2:BI$2,Tokens!BD122:BI122,2,"files")</f>
        <v>"files":[]</v>
      </c>
      <c r="Z122" s="1"/>
      <c r="AA122" s="1"/>
      <c r="AB122" s="1"/>
      <c r="AC122" s="1" t="str">
        <f>formatRow(Tokens!BJ$2:BK$2,Tokens!BJ122:BK122,0,"collection")</f>
        <v>"collection":{"name":"La Porteuse D'Eau",_x000D_
"family":"Calvi On The Rocks"}</v>
      </c>
    </row>
    <row r="123" spans="5:29" ht="14.25" customHeight="1" x14ac:dyDescent="0.25">
      <c r="E123" s="17" t="str">
        <f>IF(Tokens!C123="","",Tokens!C123)</f>
        <v>La Porteuse D'Eau #60</v>
      </c>
      <c r="F123"/>
      <c r="G123"/>
      <c r="H123"/>
      <c r="I123"/>
      <c r="J123"/>
      <c r="M123"/>
      <c r="N123"/>
      <c r="O123" s="15" t="str">
        <f t="shared" si="2"/>
        <v>_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/>
      </c>
      <c r="Q123" s="2"/>
      <c r="R123" s="2"/>
      <c r="S123" s="11"/>
      <c r="T123" s="1" t="str">
        <f>"owner=" &amp; Tokens!BS123 &amp; "&amp;filename_for_metadata=" &amp; Tokens!BT123 &amp; "&amp;offchaindata_platform=" &amp; $B$17 &amp; "&amp;keyfile=" &amp; $B$5 &amp; "&amp;network=" &amp; LOWER($B$8) &amp; "&amp;repository=" &amp; $B$18</f>
        <v>owner=thomas&amp;filename_for_metadata=LaPorteuseD'Eau_COR22C60&amp;offchaindata_platform=MongoDB&amp;keyfile=Paul&amp;network=jsonfiles&amp;repository=test</v>
      </c>
      <c r="U123" s="1" t="str">
        <f t="shared" si="3"/>
        <v>{"name":"La Porteuse D'Eau #60",_x000D_
"symbol":"COR22C60",_x000D_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3" s="1" t="str">
        <f>formatRow(Tokens!C$2:I$2,Tokens!C123:I123)</f>
        <v>"name":"La Porteuse D'Eau #60",_x000D_
"symbol":"COR22C60",_x000D_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3" s="1" t="str">
        <f>formatRow(Tokens!J$2:AV$2,Tokens!J123:AV123,2,"attributes")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3" s="1" t="str">
        <f>formatRow(Tokens!AX$2:BC$2,Tokens!AX123:BC123,2,"creators")</f>
        <v>"creators":[{"address":"paul",_x000D_
"share":10},{"address":"sophie",_x000D_
"share":90}]</v>
      </c>
      <c r="Y123" s="1" t="str">
        <f>formatRow(Tokens!BD$2:BI$2,Tokens!BD123:BI123,2,"files")</f>
        <v>"files":[]</v>
      </c>
      <c r="Z123" s="1"/>
      <c r="AA123" s="1"/>
      <c r="AB123" s="1"/>
      <c r="AC123" s="1" t="str">
        <f>formatRow(Tokens!BJ$2:BK$2,Tokens!BJ123:BK123,0,"collection")</f>
        <v>"collection":{"name":"La Porteuse D'Eau",_x000D_
"family":"Calvi On The Rocks"}</v>
      </c>
    </row>
    <row r="124" spans="5:29" ht="14.25" customHeight="1" x14ac:dyDescent="0.25">
      <c r="E124" s="17" t="str">
        <f>IF(Tokens!C124="","",Tokens!C124)</f>
        <v>La Porteuse D'Eau #61</v>
      </c>
      <c r="F124"/>
      <c r="G124"/>
      <c r="H124"/>
      <c r="I124"/>
      <c r="J124"/>
      <c r="M124"/>
      <c r="N124"/>
      <c r="O124" s="15" t="str">
        <f t="shared" si="2"/>
        <v>_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/>
      </c>
      <c r="Q124" s="2"/>
      <c r="R124" s="2"/>
      <c r="S124" s="11"/>
      <c r="T124" s="1" t="str">
        <f>"owner=" &amp; Tokens!BS124 &amp; "&amp;filename_for_metadata=" &amp; Tokens!BT124 &amp; "&amp;offchaindata_platform=" &amp; $B$17 &amp; "&amp;keyfile=" &amp; $B$5 &amp; "&amp;network=" &amp; LOWER($B$8) &amp; "&amp;repository=" &amp; $B$18</f>
        <v>owner=thomas&amp;filename_for_metadata=LaPorteuseD'Eau_COR22C61&amp;offchaindata_platform=MongoDB&amp;keyfile=Paul&amp;network=jsonfiles&amp;repository=test</v>
      </c>
      <c r="U124" s="1" t="str">
        <f t="shared" si="3"/>
        <v>{"name":"La Porteuse D'Eau #61",_x000D_
"symbol":"COR22C61",_x000D_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4" s="1" t="str">
        <f>formatRow(Tokens!C$2:I$2,Tokens!C124:I124)</f>
        <v>"name":"La Porteuse D'Eau #61",_x000D_
"symbol":"COR22C61",_x000D_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4" s="1" t="str">
        <f>formatRow(Tokens!J$2:AV$2,Tokens!J124:AV124,2,"attributes")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4" s="1" t="str">
        <f>formatRow(Tokens!AX$2:BC$2,Tokens!AX124:BC124,2,"creators")</f>
        <v>"creators":[{"address":"paul",_x000D_
"share":10},{"address":"sophie",_x000D_
"share":90}]</v>
      </c>
      <c r="Y124" s="1" t="str">
        <f>formatRow(Tokens!BD$2:BI$2,Tokens!BD124:BI124,2,"files")</f>
        <v>"files":[]</v>
      </c>
      <c r="Z124" s="1"/>
      <c r="AA124" s="1"/>
      <c r="AB124" s="1"/>
      <c r="AC124" s="1" t="str">
        <f>formatRow(Tokens!BJ$2:BK$2,Tokens!BJ124:BK124,0,"collection")</f>
        <v>"collection":{"name":"La Porteuse D'Eau",_x000D_
"family":"Calvi On The Rocks"}</v>
      </c>
    </row>
    <row r="125" spans="5:29" ht="14.25" customHeight="1" x14ac:dyDescent="0.25">
      <c r="E125" s="17" t="str">
        <f>IF(Tokens!C125="","",Tokens!C125)</f>
        <v>La Porteuse D'Eau #62</v>
      </c>
      <c r="F125"/>
      <c r="G125"/>
      <c r="H125"/>
      <c r="I125"/>
      <c r="J125"/>
      <c r="M125"/>
      <c r="N125"/>
      <c r="O125" s="15" t="str">
        <f t="shared" si="2"/>
        <v>_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/>
      </c>
      <c r="Q125" s="2"/>
      <c r="R125" s="2"/>
      <c r="S125" s="11"/>
      <c r="T125" s="1" t="str">
        <f>"owner=" &amp; Tokens!BS125 &amp; "&amp;filename_for_metadata=" &amp; Tokens!BT125 &amp; "&amp;offchaindata_platform=" &amp; $B$17 &amp; "&amp;keyfile=" &amp; $B$5 &amp; "&amp;network=" &amp; LOWER($B$8) &amp; "&amp;repository=" &amp; $B$18</f>
        <v>owner=thomas&amp;filename_for_metadata=LaPorteuseD'Eau_COR22C62&amp;offchaindata_platform=MongoDB&amp;keyfile=Paul&amp;network=jsonfiles&amp;repository=test</v>
      </c>
      <c r="U125" s="1" t="str">
        <f t="shared" si="3"/>
        <v>{"name":"La Porteuse D'Eau #62",_x000D_
"symbol":"COR22C62",_x000D_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5" s="1" t="str">
        <f>formatRow(Tokens!C$2:I$2,Tokens!C125:I125)</f>
        <v>"name":"La Porteuse D'Eau #62",_x000D_
"symbol":"COR22C62",_x000D_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5" s="1" t="str">
        <f>formatRow(Tokens!J$2:AV$2,Tokens!J125:AV125,2,"attributes")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5" s="1" t="str">
        <f>formatRow(Tokens!AX$2:BC$2,Tokens!AX125:BC125,2,"creators")</f>
        <v>"creators":[{"address":"paul",_x000D_
"share":10},{"address":"sophie",_x000D_
"share":90}]</v>
      </c>
      <c r="Y125" s="1" t="str">
        <f>formatRow(Tokens!BD$2:BI$2,Tokens!BD125:BI125,2,"files")</f>
        <v>"files":[]</v>
      </c>
      <c r="Z125" s="1"/>
      <c r="AA125" s="1"/>
      <c r="AB125" s="1"/>
      <c r="AC125" s="1" t="str">
        <f>formatRow(Tokens!BJ$2:BK$2,Tokens!BJ125:BK125,0,"collection")</f>
        <v>"collection":{"name":"La Porteuse D'Eau",_x000D_
"family":"Calvi On The Rocks"}</v>
      </c>
    </row>
    <row r="126" spans="5:29" ht="14.25" customHeight="1" x14ac:dyDescent="0.25">
      <c r="E126" s="17" t="str">
        <f>IF(Tokens!C126="","",Tokens!C126)</f>
        <v>La Porteuse D'Eau #63</v>
      </c>
      <c r="F126"/>
      <c r="G126"/>
      <c r="H126"/>
      <c r="I126"/>
      <c r="J126"/>
      <c r="M126"/>
      <c r="N126"/>
      <c r="O126" s="15" t="str">
        <f t="shared" si="2"/>
        <v>_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/>
      </c>
      <c r="Q126" s="2"/>
      <c r="R126" s="2"/>
      <c r="S126" s="11"/>
      <c r="T126" s="1" t="str">
        <f>"owner=" &amp; Tokens!BS126 &amp; "&amp;filename_for_metadata=" &amp; Tokens!BT126 &amp; "&amp;offchaindata_platform=" &amp; $B$17 &amp; "&amp;keyfile=" &amp; $B$5 &amp; "&amp;network=" &amp; LOWER($B$8) &amp; "&amp;repository=" &amp; $B$18</f>
        <v>owner=thomas&amp;filename_for_metadata=LaPorteuseD'Eau_COR22C63&amp;offchaindata_platform=MongoDB&amp;keyfile=Paul&amp;network=jsonfiles&amp;repository=test</v>
      </c>
      <c r="U126" s="1" t="str">
        <f t="shared" si="3"/>
        <v>{"name":"La Porteuse D'Eau #63",_x000D_
"symbol":"COR22C63",_x000D_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6" s="1" t="str">
        <f>formatRow(Tokens!C$2:I$2,Tokens!C126:I126)</f>
        <v>"name":"La Porteuse D'Eau #63",_x000D_
"symbol":"COR22C63",_x000D_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6" s="1" t="str">
        <f>formatRow(Tokens!J$2:AV$2,Tokens!J126:AV126,2,"attributes")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6" s="1" t="str">
        <f>formatRow(Tokens!AX$2:BC$2,Tokens!AX126:BC126,2,"creators")</f>
        <v>"creators":[{"address":"paul",_x000D_
"share":10},{"address":"sophie",_x000D_
"share":90}]</v>
      </c>
      <c r="Y126" s="1" t="str">
        <f>formatRow(Tokens!BD$2:BI$2,Tokens!BD126:BI126,2,"files")</f>
        <v>"files":[]</v>
      </c>
      <c r="Z126" s="1"/>
      <c r="AA126" s="1"/>
      <c r="AB126" s="1"/>
      <c r="AC126" s="1" t="str">
        <f>formatRow(Tokens!BJ$2:BK$2,Tokens!BJ126:BK126,0,"collection")</f>
        <v>"collection":{"name":"La Porteuse D'Eau",_x000D_
"family":"Calvi On The Rocks"}</v>
      </c>
    </row>
    <row r="127" spans="5:29" ht="14.25" customHeight="1" x14ac:dyDescent="0.25">
      <c r="E127" s="17" t="str">
        <f>IF(Tokens!C127="","",Tokens!C127)</f>
        <v>La Porteuse D'Eau #64</v>
      </c>
      <c r="F127"/>
      <c r="G127"/>
      <c r="H127"/>
      <c r="I127"/>
      <c r="J127"/>
      <c r="M127"/>
      <c r="N127"/>
      <c r="O127" s="15" t="str">
        <f t="shared" si="2"/>
        <v>_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/>
      </c>
      <c r="Q127" s="2"/>
      <c r="R127" s="2"/>
      <c r="S127" s="11"/>
      <c r="T127" s="1" t="str">
        <f>"owner=" &amp; Tokens!BS127 &amp; "&amp;filename_for_metadata=" &amp; Tokens!BT127 &amp; "&amp;offchaindata_platform=" &amp; $B$17 &amp; "&amp;keyfile=" &amp; $B$5 &amp; "&amp;network=" &amp; LOWER($B$8) &amp; "&amp;repository=" &amp; $B$18</f>
        <v>owner=thomas&amp;filename_for_metadata=LaPorteuseD'Eau_COR22C64&amp;offchaindata_platform=MongoDB&amp;keyfile=Paul&amp;network=jsonfiles&amp;repository=test</v>
      </c>
      <c r="U127" s="1" t="str">
        <f t="shared" si="3"/>
        <v>{"name":"La Porteuse D'Eau #64",_x000D_
"symbol":"COR22C64",_x000D_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7" s="1" t="str">
        <f>formatRow(Tokens!C$2:I$2,Tokens!C127:I127)</f>
        <v>"name":"La Porteuse D'Eau #64",_x000D_
"symbol":"COR22C64",_x000D_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7" s="1" t="str">
        <f>formatRow(Tokens!J$2:AV$2,Tokens!J127:AV127,2,"attributes")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7" s="1" t="str">
        <f>formatRow(Tokens!AX$2:BC$2,Tokens!AX127:BC127,2,"creators")</f>
        <v>"creators":[{"address":"paul",_x000D_
"share":10},{"address":"sophie",_x000D_
"share":90}]</v>
      </c>
      <c r="Y127" s="1" t="str">
        <f>formatRow(Tokens!BD$2:BI$2,Tokens!BD127:BI127,2,"files")</f>
        <v>"files":[]</v>
      </c>
      <c r="Z127" s="1"/>
      <c r="AA127" s="1"/>
      <c r="AB127" s="1"/>
      <c r="AC127" s="1" t="str">
        <f>formatRow(Tokens!BJ$2:BK$2,Tokens!BJ127:BK127,0,"collection")</f>
        <v>"collection":{"name":"La Porteuse D'Eau",_x000D_
"family":"Calvi On The Rocks"}</v>
      </c>
    </row>
    <row r="128" spans="5:29" ht="14.25" customHeight="1" x14ac:dyDescent="0.25">
      <c r="E128" s="17" t="str">
        <f>IF(Tokens!C128="","",Tokens!C128)</f>
        <v>La Porteuse D'Eau #65</v>
      </c>
      <c r="F128"/>
      <c r="G128"/>
      <c r="H128"/>
      <c r="I128"/>
      <c r="J128"/>
      <c r="M128"/>
      <c r="N128"/>
      <c r="O128" s="15" t="str">
        <f t="shared" si="2"/>
        <v>_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/>
      </c>
      <c r="Q128" s="2"/>
      <c r="R128" s="2"/>
      <c r="S128" s="11"/>
      <c r="T128" s="1" t="str">
        <f>"owner=" &amp; Tokens!BS128 &amp; "&amp;filename_for_metadata=" &amp; Tokens!BT128 &amp; "&amp;offchaindata_platform=" &amp; $B$17 &amp; "&amp;keyfile=" &amp; $B$5 &amp; "&amp;network=" &amp; LOWER($B$8) &amp; "&amp;repository=" &amp; $B$18</f>
        <v>owner=thomas&amp;filename_for_metadata=LaPorteuseD'Eau_COR22C65&amp;offchaindata_platform=MongoDB&amp;keyfile=Paul&amp;network=jsonfiles&amp;repository=test</v>
      </c>
      <c r="U128" s="1" t="str">
        <f t="shared" si="3"/>
        <v>{"name":"La Porteuse D'Eau #65",_x000D_
"symbol":"COR22C65",_x000D_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8" s="1" t="str">
        <f>formatRow(Tokens!C$2:I$2,Tokens!C128:I128)</f>
        <v>"name":"La Porteuse D'Eau #65",_x000D_
"symbol":"COR22C65",_x000D_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8" s="1" t="str">
        <f>formatRow(Tokens!J$2:AV$2,Tokens!J128:AV128,2,"attributes")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8" s="1" t="str">
        <f>formatRow(Tokens!AX$2:BC$2,Tokens!AX128:BC128,2,"creators")</f>
        <v>"creators":[{"address":"paul",_x000D_
"share":10},{"address":"sophie",_x000D_
"share":90}]</v>
      </c>
      <c r="Y128" s="1" t="str">
        <f>formatRow(Tokens!BD$2:BI$2,Tokens!BD128:BI128,2,"files")</f>
        <v>"files":[]</v>
      </c>
      <c r="Z128" s="1"/>
      <c r="AA128" s="1"/>
      <c r="AB128" s="1"/>
      <c r="AC128" s="1" t="str">
        <f>formatRow(Tokens!BJ$2:BK$2,Tokens!BJ128:BK128,0,"collection")</f>
        <v>"collection":{"name":"La Porteuse D'Eau",_x000D_
"family":"Calvi On The Rocks"}</v>
      </c>
    </row>
    <row r="129" spans="5:29" ht="14.25" customHeight="1" x14ac:dyDescent="0.25">
      <c r="E129" s="17" t="str">
        <f>IF(Tokens!C129="","",Tokens!C129)</f>
        <v>La Porteuse D'Eau #66</v>
      </c>
      <c r="F129"/>
      <c r="G129"/>
      <c r="H129"/>
      <c r="I129"/>
      <c r="J129"/>
      <c r="M129"/>
      <c r="N129"/>
      <c r="O129" s="15" t="str">
        <f t="shared" si="2"/>
        <v>_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/>
      </c>
      <c r="Q129" s="2"/>
      <c r="R129" s="2"/>
      <c r="S129" s="11"/>
      <c r="T129" s="1" t="str">
        <f>"owner=" &amp; Tokens!BS129 &amp; "&amp;filename_for_metadata=" &amp; Tokens!BT129 &amp; "&amp;offchaindata_platform=" &amp; $B$17 &amp; "&amp;keyfile=" &amp; $B$5 &amp; "&amp;network=" &amp; LOWER($B$8) &amp; "&amp;repository=" &amp; $B$18</f>
        <v>owner=thomas&amp;filename_for_metadata=LaPorteuseD'Eau_COR22C66&amp;offchaindata_platform=MongoDB&amp;keyfile=Paul&amp;network=jsonfiles&amp;repository=test</v>
      </c>
      <c r="U129" s="1" t="str">
        <f t="shared" si="3"/>
        <v>{"name":"La Porteuse D'Eau #66",_x000D_
"symbol":"COR22C66",_x000D_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29" s="1" t="str">
        <f>formatRow(Tokens!C$2:I$2,Tokens!C129:I129)</f>
        <v>"name":"La Porteuse D'Eau #66",_x000D_
"symbol":"COR22C66",_x000D_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29" s="1" t="str">
        <f>formatRow(Tokens!J$2:AV$2,Tokens!J129:AV129,2,"attributes")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29" s="1" t="str">
        <f>formatRow(Tokens!AX$2:BC$2,Tokens!AX129:BC129,2,"creators")</f>
        <v>"creators":[{"address":"paul",_x000D_
"share":10},{"address":"sophie",_x000D_
"share":90}]</v>
      </c>
      <c r="Y129" s="1" t="str">
        <f>formatRow(Tokens!BD$2:BI$2,Tokens!BD129:BI129,2,"files")</f>
        <v>"files":[]</v>
      </c>
      <c r="Z129" s="1"/>
      <c r="AA129" s="1"/>
      <c r="AB129" s="1"/>
      <c r="AC129" s="1" t="str">
        <f>formatRow(Tokens!BJ$2:BK$2,Tokens!BJ129:BK129,0,"collection")</f>
        <v>"collection":{"name":"La Porteuse D'Eau",_x000D_
"family":"Calvi On The Rocks"}</v>
      </c>
    </row>
    <row r="130" spans="5:29" ht="14.25" customHeight="1" x14ac:dyDescent="0.25">
      <c r="E130" s="17" t="str">
        <f>IF(Tokens!C130="","",Tokens!C130)</f>
        <v>La Porteuse D'Eau #67</v>
      </c>
      <c r="F130"/>
      <c r="G130"/>
      <c r="H130"/>
      <c r="I130"/>
      <c r="J130"/>
      <c r="M130"/>
      <c r="N130"/>
      <c r="O130" s="15" t="str">
        <f t="shared" si="2"/>
        <v>_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/>
      </c>
      <c r="Q130" s="2"/>
      <c r="R130" s="2"/>
      <c r="S130" s="11"/>
      <c r="T130" s="1" t="str">
        <f>"owner=" &amp; Tokens!BS130 &amp; "&amp;filename_for_metadata=" &amp; Tokens!BT130 &amp; "&amp;offchaindata_platform=" &amp; $B$17 &amp; "&amp;keyfile=" &amp; $B$5 &amp; "&amp;network=" &amp; LOWER($B$8) &amp; "&amp;repository=" &amp; $B$18</f>
        <v>owner=thomas&amp;filename_for_metadata=LaPorteuseD'Eau_COR22C67&amp;offchaindata_platform=MongoDB&amp;keyfile=Paul&amp;network=jsonfiles&amp;repository=test</v>
      </c>
      <c r="U130" s="1" t="str">
        <f t="shared" si="3"/>
        <v>{"name":"La Porteuse D'Eau #67",_x000D_
"symbol":"COR22C67",_x000D_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0" s="1" t="str">
        <f>formatRow(Tokens!C$2:I$2,Tokens!C130:I130)</f>
        <v>"name":"La Porteuse D'Eau #67",_x000D_
"symbol":"COR22C67",_x000D_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0" s="1" t="str">
        <f>formatRow(Tokens!J$2:AV$2,Tokens!J130:AV130,2,"attributes")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0" s="1" t="str">
        <f>formatRow(Tokens!AX$2:BC$2,Tokens!AX130:BC130,2,"creators")</f>
        <v>"creators":[{"address":"paul",_x000D_
"share":10},{"address":"sophie",_x000D_
"share":90}]</v>
      </c>
      <c r="Y130" s="1" t="str">
        <f>formatRow(Tokens!BD$2:BI$2,Tokens!BD130:BI130,2,"files")</f>
        <v>"files":[]</v>
      </c>
      <c r="Z130" s="1"/>
      <c r="AA130" s="1"/>
      <c r="AB130" s="1"/>
      <c r="AC130" s="1" t="str">
        <f>formatRow(Tokens!BJ$2:BK$2,Tokens!BJ130:BK130,0,"collection")</f>
        <v>"collection":{"name":"La Porteuse D'Eau",_x000D_
"family":"Calvi On The Rocks"}</v>
      </c>
    </row>
    <row r="131" spans="5:29" ht="14.25" customHeight="1" x14ac:dyDescent="0.25">
      <c r="E131" s="17" t="str">
        <f>IF(Tokens!C131="","",Tokens!C131)</f>
        <v>La Porteuse D'Eau #68</v>
      </c>
      <c r="F131"/>
      <c r="G131"/>
      <c r="H131"/>
      <c r="I131"/>
      <c r="J131"/>
      <c r="M131"/>
      <c r="N131"/>
      <c r="O131" s="15" t="str">
        <f t="shared" si="2"/>
        <v>_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/>
      </c>
      <c r="Q131" s="2"/>
      <c r="R131" s="2"/>
      <c r="S131" s="11"/>
      <c r="T131" s="1" t="str">
        <f>"owner=" &amp; Tokens!BS131 &amp; "&amp;filename_for_metadata=" &amp; Tokens!BT131 &amp; "&amp;offchaindata_platform=" &amp; $B$17 &amp; "&amp;keyfile=" &amp; $B$5 &amp; "&amp;network=" &amp; LOWER($B$8) &amp; "&amp;repository=" &amp; $B$18</f>
        <v>owner=thomas&amp;filename_for_metadata=LaPorteuseD'Eau_COR22C68&amp;offchaindata_platform=MongoDB&amp;keyfile=Paul&amp;network=jsonfiles&amp;repository=test</v>
      </c>
      <c r="U131" s="1" t="str">
        <f t="shared" si="3"/>
        <v>{"name":"La Porteuse D'Eau #68",_x000D_
"symbol":"COR22C68",_x000D_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1" s="1" t="str">
        <f>formatRow(Tokens!C$2:I$2,Tokens!C131:I131)</f>
        <v>"name":"La Porteuse D'Eau #68",_x000D_
"symbol":"COR22C68",_x000D_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1" s="1" t="str">
        <f>formatRow(Tokens!J$2:AV$2,Tokens!J131:AV131,2,"attributes")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1" s="1" t="str">
        <f>formatRow(Tokens!AX$2:BC$2,Tokens!AX131:BC131,2,"creators")</f>
        <v>"creators":[{"address":"paul",_x000D_
"share":10},{"address":"sophie",_x000D_
"share":90}]</v>
      </c>
      <c r="Y131" s="1" t="str">
        <f>formatRow(Tokens!BD$2:BI$2,Tokens!BD131:BI131,2,"files")</f>
        <v>"files":[]</v>
      </c>
      <c r="Z131" s="1"/>
      <c r="AA131" s="1"/>
      <c r="AB131" s="1"/>
      <c r="AC131" s="1" t="str">
        <f>formatRow(Tokens!BJ$2:BK$2,Tokens!BJ131:BK131,0,"collection")</f>
        <v>"collection":{"name":"La Porteuse D'Eau",_x000D_
"family":"Calvi On The Rocks"}</v>
      </c>
    </row>
    <row r="132" spans="5:29" ht="14.25" customHeight="1" x14ac:dyDescent="0.25">
      <c r="E132" s="17" t="str">
        <f>IF(Tokens!C132="","",Tokens!C132)</f>
        <v>La Porteuse D'Eau #69</v>
      </c>
      <c r="F132"/>
      <c r="G132"/>
      <c r="H132"/>
      <c r="I132"/>
      <c r="J132"/>
      <c r="M132"/>
      <c r="N132"/>
      <c r="O132" s="15" t="str">
        <f t="shared" ref="O132:O195" si="4">IF(AND(ISNUMBER(N131),ISNUMBER(N132)),(N132-N131)*$O$1,"_")</f>
        <v>_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/>
      </c>
      <c r="Q132" s="2"/>
      <c r="R132" s="2"/>
      <c r="S132" s="11"/>
      <c r="T132" s="1" t="str">
        <f>"owner=" &amp; Tokens!BS132 &amp; "&amp;filename_for_metadata=" &amp; Tokens!BT132 &amp; "&amp;offchaindata_platform=" &amp; $B$17 &amp; "&amp;keyfile=" &amp; $B$5 &amp; "&amp;network=" &amp; LOWER($B$8) &amp; "&amp;repository=" &amp; $B$18</f>
        <v>owner=thomas&amp;filename_for_metadata=LaPorteuseD'Eau_COR22C69&amp;offchaindata_platform=MongoDB&amp;keyfile=Paul&amp;network=jsonfiles&amp;repository=test</v>
      </c>
      <c r="U132" s="1" t="str">
        <f t="shared" si="3"/>
        <v>{"name":"La Porteuse D'Eau #69",_x000D_
"symbol":"COR22C69",_x000D_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2" s="1" t="str">
        <f>formatRow(Tokens!C$2:I$2,Tokens!C132:I132)</f>
        <v>"name":"La Porteuse D'Eau #69",_x000D_
"symbol":"COR22C69",_x000D_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2" s="1" t="str">
        <f>formatRow(Tokens!J$2:AV$2,Tokens!J132:AV132,2,"attributes")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2" s="1" t="str">
        <f>formatRow(Tokens!AX$2:BC$2,Tokens!AX132:BC132,2,"creators")</f>
        <v>"creators":[{"address":"paul",_x000D_
"share":10},{"address":"sophie",_x000D_
"share":90}]</v>
      </c>
      <c r="Y132" s="1" t="str">
        <f>formatRow(Tokens!BD$2:BI$2,Tokens!BD132:BI132,2,"files")</f>
        <v>"files":[]</v>
      </c>
      <c r="Z132" s="1"/>
      <c r="AA132" s="1"/>
      <c r="AB132" s="1"/>
      <c r="AC132" s="1" t="str">
        <f>formatRow(Tokens!BJ$2:BK$2,Tokens!BJ132:BK132,0,"collection")</f>
        <v>"collection":{"name":"La Porteuse D'Eau",_x000D_
"family":"Calvi On The Rocks"}</v>
      </c>
    </row>
    <row r="133" spans="5:29" ht="14.25" customHeight="1" x14ac:dyDescent="0.25">
      <c r="E133" s="17" t="str">
        <f>IF(Tokens!C133="","",Tokens!C133)</f>
        <v>La Porteuse D'Eau #70</v>
      </c>
      <c r="F133"/>
      <c r="G133"/>
      <c r="H133"/>
      <c r="I133"/>
      <c r="J133"/>
      <c r="M133"/>
      <c r="N133"/>
      <c r="O133" s="15" t="str">
        <f t="shared" si="4"/>
        <v>_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/>
      </c>
      <c r="Q133" s="2"/>
      <c r="R133" s="2"/>
      <c r="S133" s="11"/>
      <c r="T133" s="1" t="str">
        <f>"owner=" &amp; Tokens!BS133 &amp; "&amp;filename_for_metadata=" &amp; Tokens!BT133 &amp; "&amp;offchaindata_platform=" &amp; $B$17 &amp; "&amp;keyfile=" &amp; $B$5 &amp; "&amp;network=" &amp; LOWER($B$8) &amp; "&amp;repository=" &amp; $B$18</f>
        <v>owner=thomas&amp;filename_for_metadata=LaPorteuseD'Eau_COR22C70&amp;offchaindata_platform=MongoDB&amp;keyfile=Paul&amp;network=jsonfiles&amp;repository=test</v>
      </c>
      <c r="U133" s="1" t="str">
        <f t="shared" ref="U133:U196" si="5">"{" &amp; V133 &amp; "," &amp; W133 &amp; "," &amp; """properties"":{" &amp; X133 &amp; "," &amp; Y133 &amp; "}," &amp; AC133 &amp; "}"</f>
        <v>{"name":"La Porteuse D'Eau #70",_x000D_
"symbol":"COR22C70",_x000D_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3" s="1" t="str">
        <f>formatRow(Tokens!C$2:I$2,Tokens!C133:I133)</f>
        <v>"name":"La Porteuse D'Eau #70",_x000D_
"symbol":"COR22C70",_x000D_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3" s="1" t="str">
        <f>formatRow(Tokens!J$2:AV$2,Tokens!J133:AV133,2,"attributes")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3" s="1" t="str">
        <f>formatRow(Tokens!AX$2:BC$2,Tokens!AX133:BC133,2,"creators")</f>
        <v>"creators":[{"address":"paul",_x000D_
"share":10},{"address":"sophie",_x000D_
"share":90}]</v>
      </c>
      <c r="Y133" s="1" t="str">
        <f>formatRow(Tokens!BD$2:BI$2,Tokens!BD133:BI133,2,"files")</f>
        <v>"files":[]</v>
      </c>
      <c r="Z133" s="1"/>
      <c r="AA133" s="1"/>
      <c r="AB133" s="1"/>
      <c r="AC133" s="1" t="str">
        <f>formatRow(Tokens!BJ$2:BK$2,Tokens!BJ133:BK133,0,"collection")</f>
        <v>"collection":{"name":"La Porteuse D'Eau",_x000D_
"family":"Calvi On The Rocks"}</v>
      </c>
    </row>
    <row r="134" spans="5:29" ht="14.25" customHeight="1" x14ac:dyDescent="0.25">
      <c r="E134" s="17" t="str">
        <f>IF(Tokens!C134="","",Tokens!C134)</f>
        <v>La Porteuse D'Eau #71</v>
      </c>
      <c r="F134"/>
      <c r="G134"/>
      <c r="H134"/>
      <c r="I134"/>
      <c r="J134"/>
      <c r="M134"/>
      <c r="N134"/>
      <c r="O134" s="15" t="str">
        <f t="shared" si="4"/>
        <v>_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/>
      </c>
      <c r="Q134" s="2"/>
      <c r="R134" s="2"/>
      <c r="S134" s="11"/>
      <c r="T134" s="1" t="str">
        <f>"owner=" &amp; Tokens!BS134 &amp; "&amp;filename_for_metadata=" &amp; Tokens!BT134 &amp; "&amp;offchaindata_platform=" &amp; $B$17 &amp; "&amp;keyfile=" &amp; $B$5 &amp; "&amp;network=" &amp; LOWER($B$8) &amp; "&amp;repository=" &amp; $B$18</f>
        <v>owner=thomas&amp;filename_for_metadata=LaPorteuseD'Eau_COR22C71&amp;offchaindata_platform=MongoDB&amp;keyfile=Paul&amp;network=jsonfiles&amp;repository=test</v>
      </c>
      <c r="U134" s="1" t="str">
        <f t="shared" si="5"/>
        <v>{"name":"La Porteuse D'Eau #71",_x000D_
"symbol":"COR22C71",_x000D_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4" s="1" t="str">
        <f>formatRow(Tokens!C$2:I$2,Tokens!C134:I134)</f>
        <v>"name":"La Porteuse D'Eau #71",_x000D_
"symbol":"COR22C71",_x000D_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4" s="1" t="str">
        <f>formatRow(Tokens!J$2:AV$2,Tokens!J134:AV134,2,"attributes")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4" s="1" t="str">
        <f>formatRow(Tokens!AX$2:BC$2,Tokens!AX134:BC134,2,"creators")</f>
        <v>"creators":[{"address":"paul",_x000D_
"share":10},{"address":"sophie",_x000D_
"share":90}]</v>
      </c>
      <c r="Y134" s="1" t="str">
        <f>formatRow(Tokens!BD$2:BI$2,Tokens!BD134:BI134,2,"files")</f>
        <v>"files":[]</v>
      </c>
      <c r="Z134" s="1"/>
      <c r="AA134" s="1"/>
      <c r="AB134" s="1"/>
      <c r="AC134" s="1" t="str">
        <f>formatRow(Tokens!BJ$2:BK$2,Tokens!BJ134:BK134,0,"collection")</f>
        <v>"collection":{"name":"La Porteuse D'Eau",_x000D_
"family":"Calvi On The Rocks"}</v>
      </c>
    </row>
    <row r="135" spans="5:29" ht="14.25" customHeight="1" x14ac:dyDescent="0.25">
      <c r="E135" s="17" t="str">
        <f>IF(Tokens!C135="","",Tokens!C135)</f>
        <v>La Porteuse D'Eau #72</v>
      </c>
      <c r="F135"/>
      <c r="G135"/>
      <c r="H135"/>
      <c r="I135"/>
      <c r="J135"/>
      <c r="M135"/>
      <c r="N135"/>
      <c r="O135" s="15" t="str">
        <f t="shared" si="4"/>
        <v>_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/>
      </c>
      <c r="Q135" s="2"/>
      <c r="R135" s="2"/>
      <c r="S135" s="11"/>
      <c r="T135" s="1" t="str">
        <f>"owner=" &amp; Tokens!BS135 &amp; "&amp;filename_for_metadata=" &amp; Tokens!BT135 &amp; "&amp;offchaindata_platform=" &amp; $B$17 &amp; "&amp;keyfile=" &amp; $B$5 &amp; "&amp;network=" &amp; LOWER($B$8) &amp; "&amp;repository=" &amp; $B$18</f>
        <v>owner=thomas&amp;filename_for_metadata=LaPorteuseD'Eau_COR22C72&amp;offchaindata_platform=MongoDB&amp;keyfile=Paul&amp;network=jsonfiles&amp;repository=test</v>
      </c>
      <c r="U135" s="1" t="str">
        <f t="shared" si="5"/>
        <v>{"name":"La Porteuse D'Eau #72",_x000D_
"symbol":"COR22C72",_x000D_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5" s="1" t="str">
        <f>formatRow(Tokens!C$2:I$2,Tokens!C135:I135)</f>
        <v>"name":"La Porteuse D'Eau #72",_x000D_
"symbol":"COR22C72",_x000D_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5" s="1" t="str">
        <f>formatRow(Tokens!J$2:AV$2,Tokens!J135:AV135,2,"attributes")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5" s="1" t="str">
        <f>formatRow(Tokens!AX$2:BC$2,Tokens!AX135:BC135,2,"creators")</f>
        <v>"creators":[{"address":"paul",_x000D_
"share":10},{"address":"sophie",_x000D_
"share":90}]</v>
      </c>
      <c r="Y135" s="1" t="str">
        <f>formatRow(Tokens!BD$2:BI$2,Tokens!BD135:BI135,2,"files")</f>
        <v>"files":[]</v>
      </c>
      <c r="Z135" s="1"/>
      <c r="AA135" s="1"/>
      <c r="AB135" s="1"/>
      <c r="AC135" s="1" t="str">
        <f>formatRow(Tokens!BJ$2:BK$2,Tokens!BJ135:BK135,0,"collection")</f>
        <v>"collection":{"name":"La Porteuse D'Eau",_x000D_
"family":"Calvi On The Rocks"}</v>
      </c>
    </row>
    <row r="136" spans="5:29" ht="14.25" customHeight="1" x14ac:dyDescent="0.25">
      <c r="E136" s="17" t="str">
        <f>IF(Tokens!C136="","",Tokens!C136)</f>
        <v>La Porteuse D'Eau #73</v>
      </c>
      <c r="F136"/>
      <c r="G136"/>
      <c r="H136"/>
      <c r="I136"/>
      <c r="J136"/>
      <c r="M136"/>
      <c r="N136"/>
      <c r="O136" s="15" t="str">
        <f t="shared" si="4"/>
        <v>_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/>
      </c>
      <c r="Q136" s="2"/>
      <c r="R136" s="2"/>
      <c r="S136" s="11"/>
      <c r="T136" s="1" t="str">
        <f>"owner=" &amp; Tokens!BS136 &amp; "&amp;filename_for_metadata=" &amp; Tokens!BT136 &amp; "&amp;offchaindata_platform=" &amp; $B$17 &amp; "&amp;keyfile=" &amp; $B$5 &amp; "&amp;network=" &amp; LOWER($B$8) &amp; "&amp;repository=" &amp; $B$18</f>
        <v>owner=thomas&amp;filename_for_metadata=LaPorteuseD'Eau_COR22C73&amp;offchaindata_platform=MongoDB&amp;keyfile=Paul&amp;network=jsonfiles&amp;repository=test</v>
      </c>
      <c r="U136" s="1" t="str">
        <f t="shared" si="5"/>
        <v>{"name":"La Porteuse D'Eau #73",_x000D_
"symbol":"COR22C73",_x000D_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6" s="1" t="str">
        <f>formatRow(Tokens!C$2:I$2,Tokens!C136:I136)</f>
        <v>"name":"La Porteuse D'Eau #73",_x000D_
"symbol":"COR22C73",_x000D_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6" s="1" t="str">
        <f>formatRow(Tokens!J$2:AV$2,Tokens!J136:AV136,2,"attributes")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6" s="1" t="str">
        <f>formatRow(Tokens!AX$2:BC$2,Tokens!AX136:BC136,2,"creators")</f>
        <v>"creators":[{"address":"paul",_x000D_
"share":10},{"address":"sophie",_x000D_
"share":90}]</v>
      </c>
      <c r="Y136" s="1" t="str">
        <f>formatRow(Tokens!BD$2:BI$2,Tokens!BD136:BI136,2,"files")</f>
        <v>"files":[]</v>
      </c>
      <c r="Z136" s="1"/>
      <c r="AA136" s="1"/>
      <c r="AB136" s="1"/>
      <c r="AC136" s="1" t="str">
        <f>formatRow(Tokens!BJ$2:BK$2,Tokens!BJ136:BK136,0,"collection")</f>
        <v>"collection":{"name":"La Porteuse D'Eau",_x000D_
"family":"Calvi On The Rocks"}</v>
      </c>
    </row>
    <row r="137" spans="5:29" ht="14.25" customHeight="1" x14ac:dyDescent="0.25">
      <c r="E137" s="17" t="str">
        <f>IF(Tokens!C137="","",Tokens!C137)</f>
        <v>La Porteuse D'Eau #74</v>
      </c>
      <c r="F137"/>
      <c r="G137"/>
      <c r="H137"/>
      <c r="I137"/>
      <c r="J137"/>
      <c r="M137"/>
      <c r="N137"/>
      <c r="O137" s="15" t="str">
        <f t="shared" si="4"/>
        <v>_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/>
      </c>
      <c r="Q137" s="2"/>
      <c r="R137" s="2"/>
      <c r="S137" s="11"/>
      <c r="T137" s="1" t="str">
        <f>"owner=" &amp; Tokens!BS137 &amp; "&amp;filename_for_metadata=" &amp; Tokens!BT137 &amp; "&amp;offchaindata_platform=" &amp; $B$17 &amp; "&amp;keyfile=" &amp; $B$5 &amp; "&amp;network=" &amp; LOWER($B$8) &amp; "&amp;repository=" &amp; $B$18</f>
        <v>owner=thomas&amp;filename_for_metadata=LaPorteuseD'Eau_COR22C74&amp;offchaindata_platform=MongoDB&amp;keyfile=Paul&amp;network=jsonfiles&amp;repository=test</v>
      </c>
      <c r="U137" s="1" t="str">
        <f t="shared" si="5"/>
        <v>{"name":"La Porteuse D'Eau #74",_x000D_
"symbol":"COR22C74",_x000D_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7" s="1" t="str">
        <f>formatRow(Tokens!C$2:I$2,Tokens!C137:I137)</f>
        <v>"name":"La Porteuse D'Eau #74",_x000D_
"symbol":"COR22C74",_x000D_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7" s="1" t="str">
        <f>formatRow(Tokens!J$2:AV$2,Tokens!J137:AV137,2,"attributes")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7" s="1" t="str">
        <f>formatRow(Tokens!AX$2:BC$2,Tokens!AX137:BC137,2,"creators")</f>
        <v>"creators":[{"address":"paul",_x000D_
"share":10},{"address":"sophie",_x000D_
"share":90}]</v>
      </c>
      <c r="Y137" s="1" t="str">
        <f>formatRow(Tokens!BD$2:BI$2,Tokens!BD137:BI137,2,"files")</f>
        <v>"files":[]</v>
      </c>
      <c r="Z137" s="1"/>
      <c r="AA137" s="1"/>
      <c r="AB137" s="1"/>
      <c r="AC137" s="1" t="str">
        <f>formatRow(Tokens!BJ$2:BK$2,Tokens!BJ137:BK137,0,"collection")</f>
        <v>"collection":{"name":"La Porteuse D'Eau",_x000D_
"family":"Calvi On The Rocks"}</v>
      </c>
    </row>
    <row r="138" spans="5:29" ht="14.25" customHeight="1" x14ac:dyDescent="0.25">
      <c r="E138" s="17" t="str">
        <f>IF(Tokens!C138="","",Tokens!C138)</f>
        <v>La Porteuse D'Eau #75</v>
      </c>
      <c r="F138"/>
      <c r="G138"/>
      <c r="H138"/>
      <c r="I138"/>
      <c r="J138"/>
      <c r="M138"/>
      <c r="N138"/>
      <c r="O138" s="15" t="str">
        <f t="shared" si="4"/>
        <v>_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/>
      </c>
      <c r="Q138" s="2"/>
      <c r="R138" s="2"/>
      <c r="S138" s="11"/>
      <c r="T138" s="1" t="str">
        <f>"owner=" &amp; Tokens!BS138 &amp; "&amp;filename_for_metadata=" &amp; Tokens!BT138 &amp; "&amp;offchaindata_platform=" &amp; $B$17 &amp; "&amp;keyfile=" &amp; $B$5 &amp; "&amp;network=" &amp; LOWER($B$8) &amp; "&amp;repository=" &amp; $B$18</f>
        <v>owner=thomas&amp;filename_for_metadata=LaPorteuseD'Eau_COR22C75&amp;offchaindata_platform=MongoDB&amp;keyfile=Paul&amp;network=jsonfiles&amp;repository=test</v>
      </c>
      <c r="U138" s="1" t="str">
        <f t="shared" si="5"/>
        <v>{"name":"La Porteuse D'Eau #75",_x000D_
"symbol":"COR22C75",_x000D_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8" s="1" t="str">
        <f>formatRow(Tokens!C$2:I$2,Tokens!C138:I138)</f>
        <v>"name":"La Porteuse D'Eau #75",_x000D_
"symbol":"COR22C75",_x000D_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8" s="1" t="str">
        <f>formatRow(Tokens!J$2:AV$2,Tokens!J138:AV138,2,"attributes")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8" s="1" t="str">
        <f>formatRow(Tokens!AX$2:BC$2,Tokens!AX138:BC138,2,"creators")</f>
        <v>"creators":[{"address":"paul",_x000D_
"share":10},{"address":"sophie",_x000D_
"share":90}]</v>
      </c>
      <c r="Y138" s="1" t="str">
        <f>formatRow(Tokens!BD$2:BI$2,Tokens!BD138:BI138,2,"files")</f>
        <v>"files":[]</v>
      </c>
      <c r="Z138" s="1"/>
      <c r="AA138" s="1"/>
      <c r="AB138" s="1"/>
      <c r="AC138" s="1" t="str">
        <f>formatRow(Tokens!BJ$2:BK$2,Tokens!BJ138:BK138,0,"collection")</f>
        <v>"collection":{"name":"La Porteuse D'Eau",_x000D_
"family":"Calvi On The Rocks"}</v>
      </c>
    </row>
    <row r="139" spans="5:29" ht="14.25" customHeight="1" x14ac:dyDescent="0.25">
      <c r="E139" s="17" t="str">
        <f>IF(Tokens!C139="","",Tokens!C139)</f>
        <v>La Porteuse D'Eau #76</v>
      </c>
      <c r="F139"/>
      <c r="G139"/>
      <c r="H139"/>
      <c r="I139"/>
      <c r="J139"/>
      <c r="M139"/>
      <c r="N139"/>
      <c r="O139" s="15" t="str">
        <f t="shared" si="4"/>
        <v>_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/>
      </c>
      <c r="Q139" s="2"/>
      <c r="R139" s="2"/>
      <c r="S139" s="11"/>
      <c r="T139" s="1" t="str">
        <f>"owner=" &amp; Tokens!BS139 &amp; "&amp;filename_for_metadata=" &amp; Tokens!BT139 &amp; "&amp;offchaindata_platform=" &amp; $B$17 &amp; "&amp;keyfile=" &amp; $B$5 &amp; "&amp;network=" &amp; LOWER($B$8) &amp; "&amp;repository=" &amp; $B$18</f>
        <v>owner=thomas&amp;filename_for_metadata=LaPorteuseD'Eau_COR22C76&amp;offchaindata_platform=MongoDB&amp;keyfile=Paul&amp;network=jsonfiles&amp;repository=test</v>
      </c>
      <c r="U139" s="1" t="str">
        <f t="shared" si="5"/>
        <v>{"name":"La Porteuse D'Eau #76",_x000D_
"symbol":"COR22C76",_x000D_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39" s="1" t="str">
        <f>formatRow(Tokens!C$2:I$2,Tokens!C139:I139)</f>
        <v>"name":"La Porteuse D'Eau #76",_x000D_
"symbol":"COR22C76",_x000D_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39" s="1" t="str">
        <f>formatRow(Tokens!J$2:AV$2,Tokens!J139:AV139,2,"attributes")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39" s="1" t="str">
        <f>formatRow(Tokens!AX$2:BC$2,Tokens!AX139:BC139,2,"creators")</f>
        <v>"creators":[{"address":"paul",_x000D_
"share":10},{"address":"sophie",_x000D_
"share":90}]</v>
      </c>
      <c r="Y139" s="1" t="str">
        <f>formatRow(Tokens!BD$2:BI$2,Tokens!BD139:BI139,2,"files")</f>
        <v>"files":[]</v>
      </c>
      <c r="Z139" s="1"/>
      <c r="AA139" s="1"/>
      <c r="AB139" s="1"/>
      <c r="AC139" s="1" t="str">
        <f>formatRow(Tokens!BJ$2:BK$2,Tokens!BJ139:BK139,0,"collection")</f>
        <v>"collection":{"name":"La Porteuse D'Eau",_x000D_
"family":"Calvi On The Rocks"}</v>
      </c>
    </row>
    <row r="140" spans="5:29" ht="14.25" customHeight="1" x14ac:dyDescent="0.25">
      <c r="E140" s="17" t="str">
        <f>IF(Tokens!C140="","",Tokens!C140)</f>
        <v>La Porteuse D'Eau #77</v>
      </c>
      <c r="F140"/>
      <c r="G140"/>
      <c r="H140"/>
      <c r="I140"/>
      <c r="J140"/>
      <c r="M140"/>
      <c r="N140"/>
      <c r="O140" s="15" t="str">
        <f t="shared" si="4"/>
        <v>_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/>
      </c>
      <c r="Q140" s="2"/>
      <c r="R140" s="2"/>
      <c r="S140" s="11"/>
      <c r="T140" s="1" t="str">
        <f>"owner=" &amp; Tokens!BS140 &amp; "&amp;filename_for_metadata=" &amp; Tokens!BT140 &amp; "&amp;offchaindata_platform=" &amp; $B$17 &amp; "&amp;keyfile=" &amp; $B$5 &amp; "&amp;network=" &amp; LOWER($B$8) &amp; "&amp;repository=" &amp; $B$18</f>
        <v>owner=thomas&amp;filename_for_metadata=LaPorteuseD'Eau_COR22C77&amp;offchaindata_platform=MongoDB&amp;keyfile=Paul&amp;network=jsonfiles&amp;repository=test</v>
      </c>
      <c r="U140" s="1" t="str">
        <f t="shared" si="5"/>
        <v>{"name":"La Porteuse D'Eau #77",_x000D_
"symbol":"COR22C77",_x000D_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0" s="1" t="str">
        <f>formatRow(Tokens!C$2:I$2,Tokens!C140:I140)</f>
        <v>"name":"La Porteuse D'Eau #77",_x000D_
"symbol":"COR22C77",_x000D_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0" s="1" t="str">
        <f>formatRow(Tokens!J$2:AV$2,Tokens!J140:AV140,2,"attributes")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0" s="1" t="str">
        <f>formatRow(Tokens!AX$2:BC$2,Tokens!AX140:BC140,2,"creators")</f>
        <v>"creators":[{"address":"paul",_x000D_
"share":10},{"address":"sophie",_x000D_
"share":90}]</v>
      </c>
      <c r="Y140" s="1" t="str">
        <f>formatRow(Tokens!BD$2:BI$2,Tokens!BD140:BI140,2,"files")</f>
        <v>"files":[]</v>
      </c>
      <c r="Z140" s="1"/>
      <c r="AA140" s="1"/>
      <c r="AB140" s="1"/>
      <c r="AC140" s="1" t="str">
        <f>formatRow(Tokens!BJ$2:BK$2,Tokens!BJ140:BK140,0,"collection")</f>
        <v>"collection":{"name":"La Porteuse D'Eau",_x000D_
"family":"Calvi On The Rocks"}</v>
      </c>
    </row>
    <row r="141" spans="5:29" ht="14.25" customHeight="1" x14ac:dyDescent="0.25">
      <c r="E141" s="17" t="str">
        <f>IF(Tokens!C141="","",Tokens!C141)</f>
        <v>La Porteuse D'Eau #78</v>
      </c>
      <c r="F141"/>
      <c r="G141"/>
      <c r="H141"/>
      <c r="I141"/>
      <c r="J141"/>
      <c r="M141"/>
      <c r="N141"/>
      <c r="O141" s="15" t="str">
        <f t="shared" si="4"/>
        <v>_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/>
      </c>
      <c r="Q141" s="2"/>
      <c r="R141" s="2"/>
      <c r="S141" s="11"/>
      <c r="T141" s="1" t="str">
        <f>"owner=" &amp; Tokens!BS141 &amp; "&amp;filename_for_metadata=" &amp; Tokens!BT141 &amp; "&amp;offchaindata_platform=" &amp; $B$17 &amp; "&amp;keyfile=" &amp; $B$5 &amp; "&amp;network=" &amp; LOWER($B$8) &amp; "&amp;repository=" &amp; $B$18</f>
        <v>owner=thomas&amp;filename_for_metadata=LaPorteuseD'Eau_COR22C78&amp;offchaindata_platform=MongoDB&amp;keyfile=Paul&amp;network=jsonfiles&amp;repository=test</v>
      </c>
      <c r="U141" s="1" t="str">
        <f t="shared" si="5"/>
        <v>{"name":"La Porteuse D'Eau #78",_x000D_
"symbol":"COR22C78",_x000D_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1" s="1" t="str">
        <f>formatRow(Tokens!C$2:I$2,Tokens!C141:I141)</f>
        <v>"name":"La Porteuse D'Eau #78",_x000D_
"symbol":"COR22C78",_x000D_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1" s="1" t="str">
        <f>formatRow(Tokens!J$2:AV$2,Tokens!J141:AV141,2,"attributes")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1" s="1" t="str">
        <f>formatRow(Tokens!AX$2:BC$2,Tokens!AX141:BC141,2,"creators")</f>
        <v>"creators":[{"address":"paul",_x000D_
"share":10},{"address":"sophie",_x000D_
"share":90}]</v>
      </c>
      <c r="Y141" s="1" t="str">
        <f>formatRow(Tokens!BD$2:BI$2,Tokens!BD141:BI141,2,"files")</f>
        <v>"files":[]</v>
      </c>
      <c r="Z141" s="1"/>
      <c r="AA141" s="1"/>
      <c r="AB141" s="1"/>
      <c r="AC141" s="1" t="str">
        <f>formatRow(Tokens!BJ$2:BK$2,Tokens!BJ141:BK141,0,"collection")</f>
        <v>"collection":{"name":"La Porteuse D'Eau",_x000D_
"family":"Calvi On The Rocks"}</v>
      </c>
    </row>
    <row r="142" spans="5:29" ht="14.25" customHeight="1" x14ac:dyDescent="0.25">
      <c r="E142" s="17" t="str">
        <f>IF(Tokens!C142="","",Tokens!C142)</f>
        <v>La Porteuse D'Eau #79</v>
      </c>
      <c r="F142"/>
      <c r="G142"/>
      <c r="H142"/>
      <c r="I142"/>
      <c r="J142"/>
      <c r="M142"/>
      <c r="N142"/>
      <c r="O142" s="15" t="str">
        <f t="shared" si="4"/>
        <v>_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/>
      </c>
      <c r="Q142" s="2"/>
      <c r="R142" s="2"/>
      <c r="S142" s="11"/>
      <c r="T142" s="1" t="str">
        <f>"owner=" &amp; Tokens!BS142 &amp; "&amp;filename_for_metadata=" &amp; Tokens!BT142 &amp; "&amp;offchaindata_platform=" &amp; $B$17 &amp; "&amp;keyfile=" &amp; $B$5 &amp; "&amp;network=" &amp; LOWER($B$8) &amp; "&amp;repository=" &amp; $B$18</f>
        <v>owner=thomas&amp;filename_for_metadata=LaPorteuseD'Eau_COR22C79&amp;offchaindata_platform=MongoDB&amp;keyfile=Paul&amp;network=jsonfiles&amp;repository=test</v>
      </c>
      <c r="U142" s="1" t="str">
        <f t="shared" si="5"/>
        <v>{"name":"La Porteuse D'Eau #79",_x000D_
"symbol":"COR22C79",_x000D_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2" s="1" t="str">
        <f>formatRow(Tokens!C$2:I$2,Tokens!C142:I142)</f>
        <v>"name":"La Porteuse D'Eau #79",_x000D_
"symbol":"COR22C79",_x000D_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2" s="1" t="str">
        <f>formatRow(Tokens!J$2:AV$2,Tokens!J142:AV142,2,"attributes")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2" s="1" t="str">
        <f>formatRow(Tokens!AX$2:BC$2,Tokens!AX142:BC142,2,"creators")</f>
        <v>"creators":[{"address":"paul",_x000D_
"share":10},{"address":"sophie",_x000D_
"share":90}]</v>
      </c>
      <c r="Y142" s="1" t="str">
        <f>formatRow(Tokens!BD$2:BI$2,Tokens!BD142:BI142,2,"files")</f>
        <v>"files":[]</v>
      </c>
      <c r="Z142" s="1"/>
      <c r="AA142" s="1"/>
      <c r="AB142" s="1"/>
      <c r="AC142" s="1" t="str">
        <f>formatRow(Tokens!BJ$2:BK$2,Tokens!BJ142:BK142,0,"collection")</f>
        <v>"collection":{"name":"La Porteuse D'Eau",_x000D_
"family":"Calvi On The Rocks"}</v>
      </c>
    </row>
    <row r="143" spans="5:29" ht="14.25" customHeight="1" x14ac:dyDescent="0.25">
      <c r="E143" s="17" t="str">
        <f>IF(Tokens!C143="","",Tokens!C143)</f>
        <v>La Porteuse D'Eau #80</v>
      </c>
      <c r="F143"/>
      <c r="G143"/>
      <c r="H143"/>
      <c r="I143"/>
      <c r="J143"/>
      <c r="M143"/>
      <c r="N143"/>
      <c r="O143" s="15" t="str">
        <f t="shared" si="4"/>
        <v>_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/>
      </c>
      <c r="Q143" s="2"/>
      <c r="R143" s="2"/>
      <c r="S143" s="11"/>
      <c r="T143" s="1" t="str">
        <f>"owner=" &amp; Tokens!BS143 &amp; "&amp;filename_for_metadata=" &amp; Tokens!BT143 &amp; "&amp;offchaindata_platform=" &amp; $B$17 &amp; "&amp;keyfile=" &amp; $B$5 &amp; "&amp;network=" &amp; LOWER($B$8) &amp; "&amp;repository=" &amp; $B$18</f>
        <v>owner=thomas&amp;filename_for_metadata=LaPorteuseD'Eau_COR22C80&amp;offchaindata_platform=MongoDB&amp;keyfile=Paul&amp;network=jsonfiles&amp;repository=test</v>
      </c>
      <c r="U143" s="1" t="str">
        <f t="shared" si="5"/>
        <v>{"name":"La Porteuse D'Eau #80",_x000D_
"symbol":"COR22C80",_x000D_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3" s="1" t="str">
        <f>formatRow(Tokens!C$2:I$2,Tokens!C143:I143)</f>
        <v>"name":"La Porteuse D'Eau #80",_x000D_
"symbol":"COR22C80",_x000D_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3" s="1" t="str">
        <f>formatRow(Tokens!J$2:AV$2,Tokens!J143:AV143,2,"attributes")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3" s="1" t="str">
        <f>formatRow(Tokens!AX$2:BC$2,Tokens!AX143:BC143,2,"creators")</f>
        <v>"creators":[{"address":"paul",_x000D_
"share":10},{"address":"sophie",_x000D_
"share":90}]</v>
      </c>
      <c r="Y143" s="1" t="str">
        <f>formatRow(Tokens!BD$2:BI$2,Tokens!BD143:BI143,2,"files")</f>
        <v>"files":[]</v>
      </c>
      <c r="Z143" s="1"/>
      <c r="AA143" s="1"/>
      <c r="AB143" s="1"/>
      <c r="AC143" s="1" t="str">
        <f>formatRow(Tokens!BJ$2:BK$2,Tokens!BJ143:BK143,0,"collection")</f>
        <v>"collection":{"name":"La Porteuse D'Eau",_x000D_
"family":"Calvi On The Rocks"}</v>
      </c>
    </row>
    <row r="144" spans="5:29" ht="14.25" customHeight="1" x14ac:dyDescent="0.25">
      <c r="E144" s="17" t="str">
        <f>IF(Tokens!C144="","",Tokens!C144)</f>
        <v>La Porteuse D'Eau #81</v>
      </c>
      <c r="F144"/>
      <c r="G144"/>
      <c r="H144"/>
      <c r="I144"/>
      <c r="J144"/>
      <c r="M144"/>
      <c r="N144"/>
      <c r="O144" s="15" t="str">
        <f t="shared" si="4"/>
        <v>_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/>
      </c>
      <c r="Q144" s="2"/>
      <c r="R144" s="2"/>
      <c r="S144" s="11"/>
      <c r="T144" s="1" t="str">
        <f>"owner=" &amp; Tokens!BS144 &amp; "&amp;filename_for_metadata=" &amp; Tokens!BT144 &amp; "&amp;offchaindata_platform=" &amp; $B$17 &amp; "&amp;keyfile=" &amp; $B$5 &amp; "&amp;network=" &amp; LOWER($B$8) &amp; "&amp;repository=" &amp; $B$18</f>
        <v>owner=thomas&amp;filename_for_metadata=LaPorteuseD'Eau_COR22C81&amp;offchaindata_platform=MongoDB&amp;keyfile=Paul&amp;network=jsonfiles&amp;repository=test</v>
      </c>
      <c r="U144" s="1" t="str">
        <f t="shared" si="5"/>
        <v>{"name":"La Porteuse D'Eau #81",_x000D_
"symbol":"COR22C81",_x000D_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4" s="1" t="str">
        <f>formatRow(Tokens!C$2:I$2,Tokens!C144:I144)</f>
        <v>"name":"La Porteuse D'Eau #81",_x000D_
"symbol":"COR22C81",_x000D_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4" s="1" t="str">
        <f>formatRow(Tokens!J$2:AV$2,Tokens!J144:AV144,2,"attributes")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4" s="1" t="str">
        <f>formatRow(Tokens!AX$2:BC$2,Tokens!AX144:BC144,2,"creators")</f>
        <v>"creators":[{"address":"paul",_x000D_
"share":10},{"address":"sophie",_x000D_
"share":90}]</v>
      </c>
      <c r="Y144" s="1" t="str">
        <f>formatRow(Tokens!BD$2:BI$2,Tokens!BD144:BI144,2,"files")</f>
        <v>"files":[]</v>
      </c>
      <c r="Z144" s="1"/>
      <c r="AA144" s="1"/>
      <c r="AB144" s="1"/>
      <c r="AC144" s="1" t="str">
        <f>formatRow(Tokens!BJ$2:BK$2,Tokens!BJ144:BK144,0,"collection")</f>
        <v>"collection":{"name":"La Porteuse D'Eau",_x000D_
"family":"Calvi On The Rocks"}</v>
      </c>
    </row>
    <row r="145" spans="5:29" ht="14.25" customHeight="1" x14ac:dyDescent="0.25">
      <c r="E145" s="17" t="str">
        <f>IF(Tokens!C145="","",Tokens!C145)</f>
        <v>La Porteuse D'Eau #82</v>
      </c>
      <c r="F145"/>
      <c r="G145"/>
      <c r="H145"/>
      <c r="I145"/>
      <c r="J145"/>
      <c r="M145"/>
      <c r="N145"/>
      <c r="O145" s="15" t="str">
        <f t="shared" si="4"/>
        <v>_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/>
      </c>
      <c r="Q145" s="2"/>
      <c r="R145" s="2"/>
      <c r="S145" s="11"/>
      <c r="T145" s="1" t="str">
        <f>"owner=" &amp; Tokens!BS145 &amp; "&amp;filename_for_metadata=" &amp; Tokens!BT145 &amp; "&amp;offchaindata_platform=" &amp; $B$17 &amp; "&amp;keyfile=" &amp; $B$5 &amp; "&amp;network=" &amp; LOWER($B$8) &amp; "&amp;repository=" &amp; $B$18</f>
        <v>owner=thomas&amp;filename_for_metadata=LaPorteuseD'Eau_COR22C82&amp;offchaindata_platform=MongoDB&amp;keyfile=Paul&amp;network=jsonfiles&amp;repository=test</v>
      </c>
      <c r="U145" s="1" t="str">
        <f t="shared" si="5"/>
        <v>{"name":"La Porteuse D'Eau #82",_x000D_
"symbol":"COR22C82",_x000D_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5" s="1" t="str">
        <f>formatRow(Tokens!C$2:I$2,Tokens!C145:I145)</f>
        <v>"name":"La Porteuse D'Eau #82",_x000D_
"symbol":"COR22C82",_x000D_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5" s="1" t="str">
        <f>formatRow(Tokens!J$2:AV$2,Tokens!J145:AV145,2,"attributes")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5" s="1" t="str">
        <f>formatRow(Tokens!AX$2:BC$2,Tokens!AX145:BC145,2,"creators")</f>
        <v>"creators":[{"address":"paul",_x000D_
"share":10},{"address":"sophie",_x000D_
"share":90}]</v>
      </c>
      <c r="Y145" s="1" t="str">
        <f>formatRow(Tokens!BD$2:BI$2,Tokens!BD145:BI145,2,"files")</f>
        <v>"files":[]</v>
      </c>
      <c r="Z145" s="1"/>
      <c r="AA145" s="1"/>
      <c r="AB145" s="1"/>
      <c r="AC145" s="1" t="str">
        <f>formatRow(Tokens!BJ$2:BK$2,Tokens!BJ145:BK145,0,"collection")</f>
        <v>"collection":{"name":"La Porteuse D'Eau",_x000D_
"family":"Calvi On The Rocks"}</v>
      </c>
    </row>
    <row r="146" spans="5:29" ht="14.25" customHeight="1" x14ac:dyDescent="0.25">
      <c r="E146" s="17" t="str">
        <f>IF(Tokens!C146="","",Tokens!C146)</f>
        <v>La Porteuse D'Eau #83</v>
      </c>
      <c r="F146"/>
      <c r="G146"/>
      <c r="H146"/>
      <c r="I146"/>
      <c r="J146"/>
      <c r="M146"/>
      <c r="N146"/>
      <c r="O146" s="15" t="str">
        <f t="shared" si="4"/>
        <v>_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/>
      </c>
      <c r="Q146" s="2"/>
      <c r="R146" s="2"/>
      <c r="S146" s="11"/>
      <c r="T146" s="1" t="str">
        <f>"owner=" &amp; Tokens!BS146 &amp; "&amp;filename_for_metadata=" &amp; Tokens!BT146 &amp; "&amp;offchaindata_platform=" &amp; $B$17 &amp; "&amp;keyfile=" &amp; $B$5 &amp; "&amp;network=" &amp; LOWER($B$8) &amp; "&amp;repository=" &amp; $B$18</f>
        <v>owner=thomas&amp;filename_for_metadata=LaPorteuseD'Eau_COR22C83&amp;offchaindata_platform=MongoDB&amp;keyfile=Paul&amp;network=jsonfiles&amp;repository=test</v>
      </c>
      <c r="U146" s="1" t="str">
        <f t="shared" si="5"/>
        <v>{"name":"La Porteuse D'Eau #83",_x000D_
"symbol":"COR22C83",_x000D_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6" s="1" t="str">
        <f>formatRow(Tokens!C$2:I$2,Tokens!C146:I146)</f>
        <v>"name":"La Porteuse D'Eau #83",_x000D_
"symbol":"COR22C83",_x000D_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6" s="1" t="str">
        <f>formatRow(Tokens!J$2:AV$2,Tokens!J146:AV146,2,"attributes")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6" s="1" t="str">
        <f>formatRow(Tokens!AX$2:BC$2,Tokens!AX146:BC146,2,"creators")</f>
        <v>"creators":[{"address":"paul",_x000D_
"share":10},{"address":"sophie",_x000D_
"share":90}]</v>
      </c>
      <c r="Y146" s="1" t="str">
        <f>formatRow(Tokens!BD$2:BI$2,Tokens!BD146:BI146,2,"files")</f>
        <v>"files":[]</v>
      </c>
      <c r="Z146" s="1"/>
      <c r="AA146" s="1"/>
      <c r="AB146" s="1"/>
      <c r="AC146" s="1" t="str">
        <f>formatRow(Tokens!BJ$2:BK$2,Tokens!BJ146:BK146,0,"collection")</f>
        <v>"collection":{"name":"La Porteuse D'Eau",_x000D_
"family":"Calvi On The Rocks"}</v>
      </c>
    </row>
    <row r="147" spans="5:29" ht="14.25" customHeight="1" x14ac:dyDescent="0.25">
      <c r="E147" s="17" t="str">
        <f>IF(Tokens!C147="","",Tokens!C147)</f>
        <v>La Porteuse D'Eau #84</v>
      </c>
      <c r="F147"/>
      <c r="G147"/>
      <c r="H147"/>
      <c r="I147"/>
      <c r="J147"/>
      <c r="M147"/>
      <c r="N147"/>
      <c r="O147" s="15" t="str">
        <f t="shared" si="4"/>
        <v>_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/>
      </c>
      <c r="Q147" s="2"/>
      <c r="R147" s="2"/>
      <c r="S147" s="11"/>
      <c r="T147" s="1" t="str">
        <f>"owner=" &amp; Tokens!BS147 &amp; "&amp;filename_for_metadata=" &amp; Tokens!BT147 &amp; "&amp;offchaindata_platform=" &amp; $B$17 &amp; "&amp;keyfile=" &amp; $B$5 &amp; "&amp;network=" &amp; LOWER($B$8) &amp; "&amp;repository=" &amp; $B$18</f>
        <v>owner=thomas&amp;filename_for_metadata=LaPorteuseD'Eau_COR22C84&amp;offchaindata_platform=MongoDB&amp;keyfile=Paul&amp;network=jsonfiles&amp;repository=test</v>
      </c>
      <c r="U147" s="1" t="str">
        <f t="shared" si="5"/>
        <v>{"name":"La Porteuse D'Eau #84",_x000D_
"symbol":"COR22C84",_x000D_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7" s="1" t="str">
        <f>formatRow(Tokens!C$2:I$2,Tokens!C147:I147)</f>
        <v>"name":"La Porteuse D'Eau #84",_x000D_
"symbol":"COR22C84",_x000D_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7" s="1" t="str">
        <f>formatRow(Tokens!J$2:AV$2,Tokens!J147:AV147,2,"attributes")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7" s="1" t="str">
        <f>formatRow(Tokens!AX$2:BC$2,Tokens!AX147:BC147,2,"creators")</f>
        <v>"creators":[{"address":"paul",_x000D_
"share":10},{"address":"sophie",_x000D_
"share":90}]</v>
      </c>
      <c r="Y147" s="1" t="str">
        <f>formatRow(Tokens!BD$2:BI$2,Tokens!BD147:BI147,2,"files")</f>
        <v>"files":[]</v>
      </c>
      <c r="Z147" s="1"/>
      <c r="AA147" s="1"/>
      <c r="AB147" s="1"/>
      <c r="AC147" s="1" t="str">
        <f>formatRow(Tokens!BJ$2:BK$2,Tokens!BJ147:BK147,0,"collection")</f>
        <v>"collection":{"name":"La Porteuse D'Eau",_x000D_
"family":"Calvi On The Rocks"}</v>
      </c>
    </row>
    <row r="148" spans="5:29" ht="14.25" customHeight="1" x14ac:dyDescent="0.25">
      <c r="E148" s="17" t="str">
        <f>IF(Tokens!C148="","",Tokens!C148)</f>
        <v>La Porteuse D'Eau #85</v>
      </c>
      <c r="F148"/>
      <c r="G148"/>
      <c r="H148"/>
      <c r="I148"/>
      <c r="J148"/>
      <c r="M148"/>
      <c r="N148"/>
      <c r="O148" s="15" t="str">
        <f t="shared" si="4"/>
        <v>_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/>
      </c>
      <c r="Q148" s="2"/>
      <c r="R148" s="2"/>
      <c r="S148" s="11"/>
      <c r="T148" s="1" t="str">
        <f>"owner=" &amp; Tokens!BS148 &amp; "&amp;filename_for_metadata=" &amp; Tokens!BT148 &amp; "&amp;offchaindata_platform=" &amp; $B$17 &amp; "&amp;keyfile=" &amp; $B$5 &amp; "&amp;network=" &amp; LOWER($B$8) &amp; "&amp;repository=" &amp; $B$18</f>
        <v>owner=thomas&amp;filename_for_metadata=LaPorteuseD'Eau_COR22C85&amp;offchaindata_platform=MongoDB&amp;keyfile=Paul&amp;network=jsonfiles&amp;repository=test</v>
      </c>
      <c r="U148" s="1" t="str">
        <f t="shared" si="5"/>
        <v>{"name":"La Porteuse D'Eau #85",_x000D_
"symbol":"COR22C85",_x000D_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8" s="1" t="str">
        <f>formatRow(Tokens!C$2:I$2,Tokens!C148:I148)</f>
        <v>"name":"La Porteuse D'Eau #85",_x000D_
"symbol":"COR22C85",_x000D_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8" s="1" t="str">
        <f>formatRow(Tokens!J$2:AV$2,Tokens!J148:AV148,2,"attributes")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8" s="1" t="str">
        <f>formatRow(Tokens!AX$2:BC$2,Tokens!AX148:BC148,2,"creators")</f>
        <v>"creators":[{"address":"paul",_x000D_
"share":10},{"address":"sophie",_x000D_
"share":90}]</v>
      </c>
      <c r="Y148" s="1" t="str">
        <f>formatRow(Tokens!BD$2:BI$2,Tokens!BD148:BI148,2,"files")</f>
        <v>"files":[]</v>
      </c>
      <c r="Z148" s="1"/>
      <c r="AA148" s="1"/>
      <c r="AB148" s="1"/>
      <c r="AC148" s="1" t="str">
        <f>formatRow(Tokens!BJ$2:BK$2,Tokens!BJ148:BK148,0,"collection")</f>
        <v>"collection":{"name":"La Porteuse D'Eau",_x000D_
"family":"Calvi On The Rocks"}</v>
      </c>
    </row>
    <row r="149" spans="5:29" ht="14.25" customHeight="1" x14ac:dyDescent="0.25">
      <c r="E149" s="17" t="str">
        <f>IF(Tokens!C149="","",Tokens!C149)</f>
        <v>La Porteuse D'Eau #86</v>
      </c>
      <c r="F149"/>
      <c r="G149"/>
      <c r="H149"/>
      <c r="I149"/>
      <c r="J149"/>
      <c r="M149"/>
      <c r="N149"/>
      <c r="O149" s="15" t="str">
        <f t="shared" si="4"/>
        <v>_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/>
      </c>
      <c r="Q149" s="2"/>
      <c r="R149" s="2"/>
      <c r="S149" s="11"/>
      <c r="T149" s="1" t="str">
        <f>"owner=" &amp; Tokens!BS149 &amp; "&amp;filename_for_metadata=" &amp; Tokens!BT149 &amp; "&amp;offchaindata_platform=" &amp; $B$17 &amp; "&amp;keyfile=" &amp; $B$5 &amp; "&amp;network=" &amp; LOWER($B$8) &amp; "&amp;repository=" &amp; $B$18</f>
        <v>owner=thomas&amp;filename_for_metadata=LaPorteuseD'Eau_COR22C86&amp;offchaindata_platform=MongoDB&amp;keyfile=Paul&amp;network=jsonfiles&amp;repository=test</v>
      </c>
      <c r="U149" s="1" t="str">
        <f t="shared" si="5"/>
        <v>{"name":"La Porteuse D'Eau #86",_x000D_
"symbol":"COR22C86",_x000D_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49" s="1" t="str">
        <f>formatRow(Tokens!C$2:I$2,Tokens!C149:I149)</f>
        <v>"name":"La Porteuse D'Eau #86",_x000D_
"symbol":"COR22C86",_x000D_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49" s="1" t="str">
        <f>formatRow(Tokens!J$2:AV$2,Tokens!J149:AV149,2,"attributes")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49" s="1" t="str">
        <f>formatRow(Tokens!AX$2:BC$2,Tokens!AX149:BC149,2,"creators")</f>
        <v>"creators":[{"address":"paul",_x000D_
"share":10},{"address":"sophie",_x000D_
"share":90}]</v>
      </c>
      <c r="Y149" s="1" t="str">
        <f>formatRow(Tokens!BD$2:BI$2,Tokens!BD149:BI149,2,"files")</f>
        <v>"files":[]</v>
      </c>
      <c r="Z149" s="1"/>
      <c r="AA149" s="1"/>
      <c r="AB149" s="1"/>
      <c r="AC149" s="1" t="str">
        <f>formatRow(Tokens!BJ$2:BK$2,Tokens!BJ149:BK149,0,"collection")</f>
        <v>"collection":{"name":"La Porteuse D'Eau",_x000D_
"family":"Calvi On The Rocks"}</v>
      </c>
    </row>
    <row r="150" spans="5:29" ht="14.25" customHeight="1" x14ac:dyDescent="0.25">
      <c r="E150" s="17" t="str">
        <f>IF(Tokens!C150="","",Tokens!C150)</f>
        <v>La Porteuse D'Eau #87</v>
      </c>
      <c r="F150"/>
      <c r="G150"/>
      <c r="H150"/>
      <c r="I150"/>
      <c r="J150"/>
      <c r="M150"/>
      <c r="N150"/>
      <c r="O150" s="15" t="str">
        <f t="shared" si="4"/>
        <v>_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/>
      </c>
      <c r="Q150" s="2"/>
      <c r="R150" s="2"/>
      <c r="S150" s="11"/>
      <c r="T150" s="1" t="str">
        <f>"owner=" &amp; Tokens!BS150 &amp; "&amp;filename_for_metadata=" &amp; Tokens!BT150 &amp; "&amp;offchaindata_platform=" &amp; $B$17 &amp; "&amp;keyfile=" &amp; $B$5 &amp; "&amp;network=" &amp; LOWER($B$8) &amp; "&amp;repository=" &amp; $B$18</f>
        <v>owner=thomas&amp;filename_for_metadata=LaPorteuseD'Eau_COR22C87&amp;offchaindata_platform=MongoDB&amp;keyfile=Paul&amp;network=jsonfiles&amp;repository=test</v>
      </c>
      <c r="U150" s="1" t="str">
        <f t="shared" si="5"/>
        <v>{"name":"La Porteuse D'Eau #87",_x000D_
"symbol":"COR22C87",_x000D_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0" s="1" t="str">
        <f>formatRow(Tokens!C$2:I$2,Tokens!C150:I150)</f>
        <v>"name":"La Porteuse D'Eau #87",_x000D_
"symbol":"COR22C87",_x000D_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0" s="1" t="str">
        <f>formatRow(Tokens!J$2:AV$2,Tokens!J150:AV150,2,"attributes")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0" s="1" t="str">
        <f>formatRow(Tokens!AX$2:BC$2,Tokens!AX150:BC150,2,"creators")</f>
        <v>"creators":[{"address":"paul",_x000D_
"share":10},{"address":"sophie",_x000D_
"share":90}]</v>
      </c>
      <c r="Y150" s="1" t="str">
        <f>formatRow(Tokens!BD$2:BI$2,Tokens!BD150:BI150,2,"files")</f>
        <v>"files":[]</v>
      </c>
      <c r="Z150" s="1"/>
      <c r="AA150" s="1"/>
      <c r="AB150" s="1"/>
      <c r="AC150" s="1" t="str">
        <f>formatRow(Tokens!BJ$2:BK$2,Tokens!BJ150:BK150,0,"collection")</f>
        <v>"collection":{"name":"La Porteuse D'Eau",_x000D_
"family":"Calvi On The Rocks"}</v>
      </c>
    </row>
    <row r="151" spans="5:29" ht="14.25" customHeight="1" x14ac:dyDescent="0.25">
      <c r="E151" s="17" t="str">
        <f>IF(Tokens!C151="","",Tokens!C151)</f>
        <v>La Porteuse D'Eau #88</v>
      </c>
      <c r="F151"/>
      <c r="G151"/>
      <c r="H151"/>
      <c r="I151"/>
      <c r="J151"/>
      <c r="M151"/>
      <c r="N151"/>
      <c r="O151" s="15" t="str">
        <f t="shared" si="4"/>
        <v>_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/>
      </c>
      <c r="Q151" s="2"/>
      <c r="R151" s="2"/>
      <c r="S151" s="11"/>
      <c r="T151" s="1" t="str">
        <f>"owner=" &amp; Tokens!BS151 &amp; "&amp;filename_for_metadata=" &amp; Tokens!BT151 &amp; "&amp;offchaindata_platform=" &amp; $B$17 &amp; "&amp;keyfile=" &amp; $B$5 &amp; "&amp;network=" &amp; LOWER($B$8) &amp; "&amp;repository=" &amp; $B$18</f>
        <v>owner=thomas&amp;filename_for_metadata=LaPorteuseD'Eau_COR22C88&amp;offchaindata_platform=MongoDB&amp;keyfile=Paul&amp;network=jsonfiles&amp;repository=test</v>
      </c>
      <c r="U151" s="1" t="str">
        <f t="shared" si="5"/>
        <v>{"name":"La Porteuse D'Eau #88",_x000D_
"symbol":"COR22C88",_x000D_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1" s="1" t="str">
        <f>formatRow(Tokens!C$2:I$2,Tokens!C151:I151)</f>
        <v>"name":"La Porteuse D'Eau #88",_x000D_
"symbol":"COR22C88",_x000D_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1" s="1" t="str">
        <f>formatRow(Tokens!J$2:AV$2,Tokens!J151:AV151,2,"attributes")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1" s="1" t="str">
        <f>formatRow(Tokens!AX$2:BC$2,Tokens!AX151:BC151,2,"creators")</f>
        <v>"creators":[{"address":"paul",_x000D_
"share":10},{"address":"sophie",_x000D_
"share":90}]</v>
      </c>
      <c r="Y151" s="1" t="str">
        <f>formatRow(Tokens!BD$2:BI$2,Tokens!BD151:BI151,2,"files")</f>
        <v>"files":[]</v>
      </c>
      <c r="Z151" s="1"/>
      <c r="AA151" s="1"/>
      <c r="AB151" s="1"/>
      <c r="AC151" s="1" t="str">
        <f>formatRow(Tokens!BJ$2:BK$2,Tokens!BJ151:BK151,0,"collection")</f>
        <v>"collection":{"name":"La Porteuse D'Eau",_x000D_
"family":"Calvi On The Rocks"}</v>
      </c>
    </row>
    <row r="152" spans="5:29" ht="14.25" customHeight="1" x14ac:dyDescent="0.25">
      <c r="E152" s="17" t="str">
        <f>IF(Tokens!C152="","",Tokens!C152)</f>
        <v>La Porteuse D'Eau #89</v>
      </c>
      <c r="F152"/>
      <c r="G152"/>
      <c r="H152"/>
      <c r="I152"/>
      <c r="J152"/>
      <c r="M152"/>
      <c r="N152"/>
      <c r="O152" s="15" t="str">
        <f t="shared" si="4"/>
        <v>_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/>
      </c>
      <c r="Q152" s="2"/>
      <c r="R152" s="2"/>
      <c r="S152" s="11"/>
      <c r="T152" s="1" t="str">
        <f>"owner=" &amp; Tokens!BS152 &amp; "&amp;filename_for_metadata=" &amp; Tokens!BT152 &amp; "&amp;offchaindata_platform=" &amp; $B$17 &amp; "&amp;keyfile=" &amp; $B$5 &amp; "&amp;network=" &amp; LOWER($B$8) &amp; "&amp;repository=" &amp; $B$18</f>
        <v>owner=thomas&amp;filename_for_metadata=LaPorteuseD'Eau_COR22C89&amp;offchaindata_platform=MongoDB&amp;keyfile=Paul&amp;network=jsonfiles&amp;repository=test</v>
      </c>
      <c r="U152" s="1" t="str">
        <f t="shared" si="5"/>
        <v>{"name":"La Porteuse D'Eau #89",_x000D_
"symbol":"COR22C89",_x000D_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2" s="1" t="str">
        <f>formatRow(Tokens!C$2:I$2,Tokens!C152:I152)</f>
        <v>"name":"La Porteuse D'Eau #89",_x000D_
"symbol":"COR22C89",_x000D_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2" s="1" t="str">
        <f>formatRow(Tokens!J$2:AV$2,Tokens!J152:AV152,2,"attributes")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2" s="1" t="str">
        <f>formatRow(Tokens!AX$2:BC$2,Tokens!AX152:BC152,2,"creators")</f>
        <v>"creators":[{"address":"paul",_x000D_
"share":10},{"address":"sophie",_x000D_
"share":90}]</v>
      </c>
      <c r="Y152" s="1" t="str">
        <f>formatRow(Tokens!BD$2:BI$2,Tokens!BD152:BI152,2,"files")</f>
        <v>"files":[]</v>
      </c>
      <c r="Z152" s="1"/>
      <c r="AA152" s="1"/>
      <c r="AB152" s="1"/>
      <c r="AC152" s="1" t="str">
        <f>formatRow(Tokens!BJ$2:BK$2,Tokens!BJ152:BK152,0,"collection")</f>
        <v>"collection":{"name":"La Porteuse D'Eau",_x000D_
"family":"Calvi On The Rocks"}</v>
      </c>
    </row>
    <row r="153" spans="5:29" ht="14.25" customHeight="1" x14ac:dyDescent="0.25">
      <c r="E153" s="17" t="str">
        <f>IF(Tokens!C153="","",Tokens!C153)</f>
        <v>La Porteuse D'Eau #90</v>
      </c>
      <c r="F153"/>
      <c r="G153"/>
      <c r="H153"/>
      <c r="I153"/>
      <c r="J153"/>
      <c r="M153"/>
      <c r="N153"/>
      <c r="O153" s="15" t="str">
        <f t="shared" si="4"/>
        <v>_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/>
      </c>
      <c r="Q153" s="2"/>
      <c r="R153" s="2"/>
      <c r="S153" s="11"/>
      <c r="T153" s="1" t="str">
        <f>"owner=" &amp; Tokens!BS153 &amp; "&amp;filename_for_metadata=" &amp; Tokens!BT153 &amp; "&amp;offchaindata_platform=" &amp; $B$17 &amp; "&amp;keyfile=" &amp; $B$5 &amp; "&amp;network=" &amp; LOWER($B$8) &amp; "&amp;repository=" &amp; $B$18</f>
        <v>owner=thomas&amp;filename_for_metadata=LaPorteuseD'Eau_COR22C90&amp;offchaindata_platform=MongoDB&amp;keyfile=Paul&amp;network=jsonfiles&amp;repository=test</v>
      </c>
      <c r="U153" s="1" t="str">
        <f t="shared" si="5"/>
        <v>{"name":"La Porteuse D'Eau #90",_x000D_
"symbol":"COR22C90",_x000D_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3" s="1" t="str">
        <f>formatRow(Tokens!C$2:I$2,Tokens!C153:I153)</f>
        <v>"name":"La Porteuse D'Eau #90",_x000D_
"symbol":"COR22C90",_x000D_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3" s="1" t="str">
        <f>formatRow(Tokens!J$2:AV$2,Tokens!J153:AV153,2,"attributes")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3" s="1" t="str">
        <f>formatRow(Tokens!AX$2:BC$2,Tokens!AX153:BC153,2,"creators")</f>
        <v>"creators":[{"address":"paul",_x000D_
"share":10},{"address":"sophie",_x000D_
"share":90}]</v>
      </c>
      <c r="Y153" s="1" t="str">
        <f>formatRow(Tokens!BD$2:BI$2,Tokens!BD153:BI153,2,"files")</f>
        <v>"files":[]</v>
      </c>
      <c r="Z153" s="1"/>
      <c r="AA153" s="1"/>
      <c r="AB153" s="1"/>
      <c r="AC153" s="1" t="str">
        <f>formatRow(Tokens!BJ$2:BK$2,Tokens!BJ153:BK153,0,"collection")</f>
        <v>"collection":{"name":"La Porteuse D'Eau",_x000D_
"family":"Calvi On The Rocks"}</v>
      </c>
    </row>
    <row r="154" spans="5:29" ht="14.25" customHeight="1" x14ac:dyDescent="0.25">
      <c r="E154" s="17" t="str">
        <f>IF(Tokens!C154="","",Tokens!C154)</f>
        <v>La Porteuse D'Eau #91</v>
      </c>
      <c r="F154"/>
      <c r="G154"/>
      <c r="H154"/>
      <c r="I154"/>
      <c r="J154"/>
      <c r="M154"/>
      <c r="N154"/>
      <c r="O154" s="15" t="str">
        <f t="shared" si="4"/>
        <v>_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/>
      </c>
      <c r="Q154" s="2"/>
      <c r="R154" s="2"/>
      <c r="S154" s="11"/>
      <c r="T154" s="1" t="str">
        <f>"owner=" &amp; Tokens!BS154 &amp; "&amp;filename_for_metadata=" &amp; Tokens!BT154 &amp; "&amp;offchaindata_platform=" &amp; $B$17 &amp; "&amp;keyfile=" &amp; $B$5 &amp; "&amp;network=" &amp; LOWER($B$8) &amp; "&amp;repository=" &amp; $B$18</f>
        <v>owner=thomas&amp;filename_for_metadata=LaPorteuseD'Eau_COR22C91&amp;offchaindata_platform=MongoDB&amp;keyfile=Paul&amp;network=jsonfiles&amp;repository=test</v>
      </c>
      <c r="U154" s="1" t="str">
        <f t="shared" si="5"/>
        <v>{"name":"La Porteuse D'Eau #91",_x000D_
"symbol":"COR22C91",_x000D_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4" s="1" t="str">
        <f>formatRow(Tokens!C$2:I$2,Tokens!C154:I154)</f>
        <v>"name":"La Porteuse D'Eau #91",_x000D_
"symbol":"COR22C91",_x000D_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4" s="1" t="str">
        <f>formatRow(Tokens!J$2:AV$2,Tokens!J154:AV154,2,"attributes")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4" s="1" t="str">
        <f>formatRow(Tokens!AX$2:BC$2,Tokens!AX154:BC154,2,"creators")</f>
        <v>"creators":[{"address":"paul",_x000D_
"share":10},{"address":"sophie",_x000D_
"share":90}]</v>
      </c>
      <c r="Y154" s="1" t="str">
        <f>formatRow(Tokens!BD$2:BI$2,Tokens!BD154:BI154,2,"files")</f>
        <v>"files":[]</v>
      </c>
      <c r="Z154" s="1"/>
      <c r="AA154" s="1"/>
      <c r="AB154" s="1"/>
      <c r="AC154" s="1" t="str">
        <f>formatRow(Tokens!BJ$2:BK$2,Tokens!BJ154:BK154,0,"collection")</f>
        <v>"collection":{"name":"La Porteuse D'Eau",_x000D_
"family":"Calvi On The Rocks"}</v>
      </c>
    </row>
    <row r="155" spans="5:29" ht="14.25" customHeight="1" x14ac:dyDescent="0.25">
      <c r="E155" s="17" t="str">
        <f>IF(Tokens!C155="","",Tokens!C155)</f>
        <v>La Porteuse D'Eau #92</v>
      </c>
      <c r="F155"/>
      <c r="G155"/>
      <c r="H155"/>
      <c r="I155"/>
      <c r="J155"/>
      <c r="M155"/>
      <c r="N155"/>
      <c r="O155" s="15" t="str">
        <f t="shared" si="4"/>
        <v>_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/>
      </c>
      <c r="Q155" s="2"/>
      <c r="R155" s="2"/>
      <c r="S155" s="11"/>
      <c r="T155" s="1" t="str">
        <f>"owner=" &amp; Tokens!BS155 &amp; "&amp;filename_for_metadata=" &amp; Tokens!BT155 &amp; "&amp;offchaindata_platform=" &amp; $B$17 &amp; "&amp;keyfile=" &amp; $B$5 &amp; "&amp;network=" &amp; LOWER($B$8) &amp; "&amp;repository=" &amp; $B$18</f>
        <v>owner=thomas&amp;filename_for_metadata=LaPorteuseD'Eau_COR22C92&amp;offchaindata_platform=MongoDB&amp;keyfile=Paul&amp;network=jsonfiles&amp;repository=test</v>
      </c>
      <c r="U155" s="1" t="str">
        <f t="shared" si="5"/>
        <v>{"name":"La Porteuse D'Eau #92",_x000D_
"symbol":"COR22C92",_x000D_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5" s="1" t="str">
        <f>formatRow(Tokens!C$2:I$2,Tokens!C155:I155)</f>
        <v>"name":"La Porteuse D'Eau #92",_x000D_
"symbol":"COR22C92",_x000D_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5" s="1" t="str">
        <f>formatRow(Tokens!J$2:AV$2,Tokens!J155:AV155,2,"attributes")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5" s="1" t="str">
        <f>formatRow(Tokens!AX$2:BC$2,Tokens!AX155:BC155,2,"creators")</f>
        <v>"creators":[{"address":"paul",_x000D_
"share":10},{"address":"sophie",_x000D_
"share":90}]</v>
      </c>
      <c r="Y155" s="1" t="str">
        <f>formatRow(Tokens!BD$2:BI$2,Tokens!BD155:BI155,2,"files")</f>
        <v>"files":[]</v>
      </c>
      <c r="Z155" s="1"/>
      <c r="AA155" s="1"/>
      <c r="AB155" s="1"/>
      <c r="AC155" s="1" t="str">
        <f>formatRow(Tokens!BJ$2:BK$2,Tokens!BJ155:BK155,0,"collection")</f>
        <v>"collection":{"name":"La Porteuse D'Eau",_x000D_
"family":"Calvi On The Rocks"}</v>
      </c>
    </row>
    <row r="156" spans="5:29" ht="14.25" customHeight="1" x14ac:dyDescent="0.25">
      <c r="E156" s="17" t="str">
        <f>IF(Tokens!C156="","",Tokens!C156)</f>
        <v>La Porteuse D'Eau #93</v>
      </c>
      <c r="F156"/>
      <c r="G156"/>
      <c r="H156"/>
      <c r="I156"/>
      <c r="J156"/>
      <c r="M156"/>
      <c r="N156"/>
      <c r="O156" s="15" t="str">
        <f t="shared" si="4"/>
        <v>_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/>
      </c>
      <c r="Q156" s="2"/>
      <c r="R156" s="2"/>
      <c r="S156" s="11"/>
      <c r="T156" s="1" t="str">
        <f>"owner=" &amp; Tokens!BS156 &amp; "&amp;filename_for_metadata=" &amp; Tokens!BT156 &amp; "&amp;offchaindata_platform=" &amp; $B$17 &amp; "&amp;keyfile=" &amp; $B$5 &amp; "&amp;network=" &amp; LOWER($B$8) &amp; "&amp;repository=" &amp; $B$18</f>
        <v>owner=thomas&amp;filename_for_metadata=LaPorteuseD'Eau_COR22C93&amp;offchaindata_platform=MongoDB&amp;keyfile=Paul&amp;network=jsonfiles&amp;repository=test</v>
      </c>
      <c r="U156" s="1" t="str">
        <f t="shared" si="5"/>
        <v>{"name":"La Porteuse D'Eau #93",_x000D_
"symbol":"COR22C93",_x000D_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6" s="1" t="str">
        <f>formatRow(Tokens!C$2:I$2,Tokens!C156:I156)</f>
        <v>"name":"La Porteuse D'Eau #93",_x000D_
"symbol":"COR22C93",_x000D_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6" s="1" t="str">
        <f>formatRow(Tokens!J$2:AV$2,Tokens!J156:AV156,2,"attributes")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6" s="1" t="str">
        <f>formatRow(Tokens!AX$2:BC$2,Tokens!AX156:BC156,2,"creators")</f>
        <v>"creators":[{"address":"paul",_x000D_
"share":10},{"address":"sophie",_x000D_
"share":90}]</v>
      </c>
      <c r="Y156" s="1" t="str">
        <f>formatRow(Tokens!BD$2:BI$2,Tokens!BD156:BI156,2,"files")</f>
        <v>"files":[]</v>
      </c>
      <c r="Z156" s="1"/>
      <c r="AA156" s="1"/>
      <c r="AB156" s="1"/>
      <c r="AC156" s="1" t="str">
        <f>formatRow(Tokens!BJ$2:BK$2,Tokens!BJ156:BK156,0,"collection")</f>
        <v>"collection":{"name":"La Porteuse D'Eau",_x000D_
"family":"Calvi On The Rocks"}</v>
      </c>
    </row>
    <row r="157" spans="5:29" ht="14.25" customHeight="1" x14ac:dyDescent="0.25">
      <c r="E157" s="17" t="str">
        <f>IF(Tokens!C157="","",Tokens!C157)</f>
        <v>La Porteuse D'Eau #94</v>
      </c>
      <c r="F157"/>
      <c r="G157"/>
      <c r="H157"/>
      <c r="I157"/>
      <c r="J157"/>
      <c r="M157"/>
      <c r="N157"/>
      <c r="O157" s="15" t="str">
        <f t="shared" si="4"/>
        <v>_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/>
      </c>
      <c r="Q157" s="2"/>
      <c r="R157" s="2"/>
      <c r="S157" s="11"/>
      <c r="T157" s="1" t="str">
        <f>"owner=" &amp; Tokens!BS157 &amp; "&amp;filename_for_metadata=" &amp; Tokens!BT157 &amp; "&amp;offchaindata_platform=" &amp; $B$17 &amp; "&amp;keyfile=" &amp; $B$5 &amp; "&amp;network=" &amp; LOWER($B$8) &amp; "&amp;repository=" &amp; $B$18</f>
        <v>owner=thomas&amp;filename_for_metadata=LaPorteuseD'Eau_COR22C94&amp;offchaindata_platform=MongoDB&amp;keyfile=Paul&amp;network=jsonfiles&amp;repository=test</v>
      </c>
      <c r="U157" s="1" t="str">
        <f t="shared" si="5"/>
        <v>{"name":"La Porteuse D'Eau #94",_x000D_
"symbol":"COR22C94",_x000D_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7" s="1" t="str">
        <f>formatRow(Tokens!C$2:I$2,Tokens!C157:I157)</f>
        <v>"name":"La Porteuse D'Eau #94",_x000D_
"symbol":"COR22C94",_x000D_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7" s="1" t="str">
        <f>formatRow(Tokens!J$2:AV$2,Tokens!J157:AV157,2,"attributes")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7" s="1" t="str">
        <f>formatRow(Tokens!AX$2:BC$2,Tokens!AX157:BC157,2,"creators")</f>
        <v>"creators":[{"address":"paul",_x000D_
"share":10},{"address":"sophie",_x000D_
"share":90}]</v>
      </c>
      <c r="Y157" s="1" t="str">
        <f>formatRow(Tokens!BD$2:BI$2,Tokens!BD157:BI157,2,"files")</f>
        <v>"files":[]</v>
      </c>
      <c r="Z157" s="1"/>
      <c r="AA157" s="1"/>
      <c r="AB157" s="1"/>
      <c r="AC157" s="1" t="str">
        <f>formatRow(Tokens!BJ$2:BK$2,Tokens!BJ157:BK157,0,"collection")</f>
        <v>"collection":{"name":"La Porteuse D'Eau",_x000D_
"family":"Calvi On The Rocks"}</v>
      </c>
    </row>
    <row r="158" spans="5:29" ht="14.25" customHeight="1" x14ac:dyDescent="0.25">
      <c r="E158" s="17" t="str">
        <f>IF(Tokens!C158="","",Tokens!C158)</f>
        <v>La Porteuse D'Eau #95</v>
      </c>
      <c r="F158"/>
      <c r="G158"/>
      <c r="H158"/>
      <c r="I158"/>
      <c r="J158"/>
      <c r="M158"/>
      <c r="N158"/>
      <c r="O158" s="15" t="str">
        <f t="shared" si="4"/>
        <v>_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/>
      </c>
      <c r="Q158" s="2"/>
      <c r="R158" s="2"/>
      <c r="S158" s="11"/>
      <c r="T158" s="1" t="str">
        <f>"owner=" &amp; Tokens!BS158 &amp; "&amp;filename_for_metadata=" &amp; Tokens!BT158 &amp; "&amp;offchaindata_platform=" &amp; $B$17 &amp; "&amp;keyfile=" &amp; $B$5 &amp; "&amp;network=" &amp; LOWER($B$8) &amp; "&amp;repository=" &amp; $B$18</f>
        <v>owner=thomas&amp;filename_for_metadata=LaPorteuseD'Eau_COR22C95&amp;offchaindata_platform=MongoDB&amp;keyfile=Paul&amp;network=jsonfiles&amp;repository=test</v>
      </c>
      <c r="U158" s="1" t="str">
        <f t="shared" si="5"/>
        <v>{"name":"La Porteuse D'Eau #95",_x000D_
"symbol":"COR22C95",_x000D_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8" s="1" t="str">
        <f>formatRow(Tokens!C$2:I$2,Tokens!C158:I158)</f>
        <v>"name":"La Porteuse D'Eau #95",_x000D_
"symbol":"COR22C95",_x000D_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8" s="1" t="str">
        <f>formatRow(Tokens!J$2:AV$2,Tokens!J158:AV158,2,"attributes")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8" s="1" t="str">
        <f>formatRow(Tokens!AX$2:BC$2,Tokens!AX158:BC158,2,"creators")</f>
        <v>"creators":[{"address":"paul",_x000D_
"share":10},{"address":"sophie",_x000D_
"share":90}]</v>
      </c>
      <c r="Y158" s="1" t="str">
        <f>formatRow(Tokens!BD$2:BI$2,Tokens!BD158:BI158,2,"files")</f>
        <v>"files":[]</v>
      </c>
      <c r="Z158" s="1"/>
      <c r="AA158" s="1"/>
      <c r="AB158" s="1"/>
      <c r="AC158" s="1" t="str">
        <f>formatRow(Tokens!BJ$2:BK$2,Tokens!BJ158:BK158,0,"collection")</f>
        <v>"collection":{"name":"La Porteuse D'Eau",_x000D_
"family":"Calvi On The Rocks"}</v>
      </c>
    </row>
    <row r="159" spans="5:29" ht="14.25" customHeight="1" x14ac:dyDescent="0.25">
      <c r="E159" s="17" t="str">
        <f>IF(Tokens!C159="","",Tokens!C159)</f>
        <v>La Porteuse D'Eau #96</v>
      </c>
      <c r="F159"/>
      <c r="G159"/>
      <c r="H159"/>
      <c r="I159"/>
      <c r="J159"/>
      <c r="M159"/>
      <c r="N159"/>
      <c r="O159" s="15" t="str">
        <f t="shared" si="4"/>
        <v>_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/>
      </c>
      <c r="Q159" s="2"/>
      <c r="R159" s="2"/>
      <c r="S159" s="11"/>
      <c r="T159" s="1" t="str">
        <f>"owner=" &amp; Tokens!BS159 &amp; "&amp;filename_for_metadata=" &amp; Tokens!BT159 &amp; "&amp;offchaindata_platform=" &amp; $B$17 &amp; "&amp;keyfile=" &amp; $B$5 &amp; "&amp;network=" &amp; LOWER($B$8) &amp; "&amp;repository=" &amp; $B$18</f>
        <v>owner=thomas&amp;filename_for_metadata=LaPorteuseD'Eau_COR22C96&amp;offchaindata_platform=MongoDB&amp;keyfile=Paul&amp;network=jsonfiles&amp;repository=test</v>
      </c>
      <c r="U159" s="1" t="str">
        <f t="shared" si="5"/>
        <v>{"name":"La Porteuse D'Eau #96",_x000D_
"symbol":"COR22C96",_x000D_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59" s="1" t="str">
        <f>formatRow(Tokens!C$2:I$2,Tokens!C159:I159)</f>
        <v>"name":"La Porteuse D'Eau #96",_x000D_
"symbol":"COR22C96",_x000D_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59" s="1" t="str">
        <f>formatRow(Tokens!J$2:AV$2,Tokens!J159:AV159,2,"attributes")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59" s="1" t="str">
        <f>formatRow(Tokens!AX$2:BC$2,Tokens!AX159:BC159,2,"creators")</f>
        <v>"creators":[{"address":"paul",_x000D_
"share":10},{"address":"sophie",_x000D_
"share":90}]</v>
      </c>
      <c r="Y159" s="1" t="str">
        <f>formatRow(Tokens!BD$2:BI$2,Tokens!BD159:BI159,2,"files")</f>
        <v>"files":[]</v>
      </c>
      <c r="Z159" s="1"/>
      <c r="AA159" s="1"/>
      <c r="AB159" s="1"/>
      <c r="AC159" s="1" t="str">
        <f>formatRow(Tokens!BJ$2:BK$2,Tokens!BJ159:BK159,0,"collection")</f>
        <v>"collection":{"name":"La Porteuse D'Eau",_x000D_
"family":"Calvi On The Rocks"}</v>
      </c>
    </row>
    <row r="160" spans="5:29" ht="14.25" customHeight="1" x14ac:dyDescent="0.25">
      <c r="E160" s="17" t="str">
        <f>IF(Tokens!C160="","",Tokens!C160)</f>
        <v>La Porteuse D'Eau #97</v>
      </c>
      <c r="F160"/>
      <c r="G160"/>
      <c r="H160"/>
      <c r="I160"/>
      <c r="J160"/>
      <c r="M160"/>
      <c r="N160"/>
      <c r="O160" s="15" t="str">
        <f t="shared" si="4"/>
        <v>_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/>
      </c>
      <c r="Q160" s="2"/>
      <c r="R160" s="2"/>
      <c r="S160" s="11"/>
      <c r="T160" s="1" t="str">
        <f>"owner=" &amp; Tokens!BS160 &amp; "&amp;filename_for_metadata=" &amp; Tokens!BT160 &amp; "&amp;offchaindata_platform=" &amp; $B$17 &amp; "&amp;keyfile=" &amp; $B$5 &amp; "&amp;network=" &amp; LOWER($B$8) &amp; "&amp;repository=" &amp; $B$18</f>
        <v>owner=thomas&amp;filename_for_metadata=LaPorteuseD'Eau_COR22C97&amp;offchaindata_platform=MongoDB&amp;keyfile=Paul&amp;network=jsonfiles&amp;repository=test</v>
      </c>
      <c r="U160" s="1" t="str">
        <f t="shared" si="5"/>
        <v>{"name":"La Porteuse D'Eau #97",_x000D_
"symbol":"COR22C97",_x000D_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0" s="1" t="str">
        <f>formatRow(Tokens!C$2:I$2,Tokens!C160:I160)</f>
        <v>"name":"La Porteuse D'Eau #97",_x000D_
"symbol":"COR22C97",_x000D_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0" s="1" t="str">
        <f>formatRow(Tokens!J$2:AV$2,Tokens!J160:AV160,2,"attributes")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0" s="1" t="str">
        <f>formatRow(Tokens!AX$2:BC$2,Tokens!AX160:BC160,2,"creators")</f>
        <v>"creators":[{"address":"paul",_x000D_
"share":10},{"address":"sophie",_x000D_
"share":90}]</v>
      </c>
      <c r="Y160" s="1" t="str">
        <f>formatRow(Tokens!BD$2:BI$2,Tokens!BD160:BI160,2,"files")</f>
        <v>"files":[]</v>
      </c>
      <c r="Z160" s="1"/>
      <c r="AA160" s="1"/>
      <c r="AB160" s="1"/>
      <c r="AC160" s="1" t="str">
        <f>formatRow(Tokens!BJ$2:BK$2,Tokens!BJ160:BK160,0,"collection")</f>
        <v>"collection":{"name":"La Porteuse D'Eau",_x000D_
"family":"Calvi On The Rocks"}</v>
      </c>
    </row>
    <row r="161" spans="5:29" ht="14.25" customHeight="1" x14ac:dyDescent="0.25">
      <c r="E161" s="17" t="str">
        <f>IF(Tokens!C161="","",Tokens!C161)</f>
        <v>La Porteuse D'Eau #98</v>
      </c>
      <c r="F161"/>
      <c r="G161"/>
      <c r="H161"/>
      <c r="I161"/>
      <c r="J161"/>
      <c r="M161"/>
      <c r="N161"/>
      <c r="O161" s="15" t="str">
        <f t="shared" si="4"/>
        <v>_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/>
      </c>
      <c r="Q161" s="2"/>
      <c r="R161" s="2"/>
      <c r="S161" s="11"/>
      <c r="T161" s="1" t="str">
        <f>"owner=" &amp; Tokens!BS161 &amp; "&amp;filename_for_metadata=" &amp; Tokens!BT161 &amp; "&amp;offchaindata_platform=" &amp; $B$17 &amp; "&amp;keyfile=" &amp; $B$5 &amp; "&amp;network=" &amp; LOWER($B$8) &amp; "&amp;repository=" &amp; $B$18</f>
        <v>owner=thomas&amp;filename_for_metadata=LaPorteuseD'Eau_COR22C98&amp;offchaindata_platform=MongoDB&amp;keyfile=Paul&amp;network=jsonfiles&amp;repository=test</v>
      </c>
      <c r="U161" s="1" t="str">
        <f t="shared" si="5"/>
        <v>{"name":"La Porteuse D'Eau #98",_x000D_
"symbol":"COR22C98",_x000D_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1" s="1" t="str">
        <f>formatRow(Tokens!C$2:I$2,Tokens!C161:I161)</f>
        <v>"name":"La Porteuse D'Eau #98",_x000D_
"symbol":"COR22C98",_x000D_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1" s="1" t="str">
        <f>formatRow(Tokens!J$2:AV$2,Tokens!J161:AV161,2,"attributes")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1" s="1" t="str">
        <f>formatRow(Tokens!AX$2:BC$2,Tokens!AX161:BC161,2,"creators")</f>
        <v>"creators":[{"address":"paul",_x000D_
"share":10},{"address":"sophie",_x000D_
"share":90}]</v>
      </c>
      <c r="Y161" s="1" t="str">
        <f>formatRow(Tokens!BD$2:BI$2,Tokens!BD161:BI161,2,"files")</f>
        <v>"files":[]</v>
      </c>
      <c r="Z161" s="1"/>
      <c r="AA161" s="1"/>
      <c r="AB161" s="1"/>
      <c r="AC161" s="1" t="str">
        <f>formatRow(Tokens!BJ$2:BK$2,Tokens!BJ161:BK161,0,"collection")</f>
        <v>"collection":{"name":"La Porteuse D'Eau",_x000D_
"family":"Calvi On The Rocks"}</v>
      </c>
    </row>
    <row r="162" spans="5:29" ht="14.25" customHeight="1" x14ac:dyDescent="0.25">
      <c r="E162" s="17" t="str">
        <f>IF(Tokens!C162="","",Tokens!C162)</f>
        <v>La Porteuse D'Eau #99</v>
      </c>
      <c r="F162"/>
      <c r="G162"/>
      <c r="H162"/>
      <c r="I162"/>
      <c r="J162"/>
      <c r="M162"/>
      <c r="N162"/>
      <c r="O162" s="15" t="str">
        <f t="shared" si="4"/>
        <v>_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/>
      </c>
      <c r="Q162" s="2"/>
      <c r="R162" s="2"/>
      <c r="S162" s="11"/>
      <c r="T162" s="1" t="str">
        <f>"owner=" &amp; Tokens!BS162 &amp; "&amp;filename_for_metadata=" &amp; Tokens!BT162 &amp; "&amp;offchaindata_platform=" &amp; $B$17 &amp; "&amp;keyfile=" &amp; $B$5 &amp; "&amp;network=" &amp; LOWER($B$8) &amp; "&amp;repository=" &amp; $B$18</f>
        <v>owner=thomas&amp;filename_for_metadata=LaPorteuseD'Eau_COR22C99&amp;offchaindata_platform=MongoDB&amp;keyfile=Paul&amp;network=jsonfiles&amp;repository=test</v>
      </c>
      <c r="U162" s="1" t="str">
        <f t="shared" si="5"/>
        <v>{"name":"La Porteuse D'Eau #99",_x000D_
"symbol":"COR22C99",_x000D_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2" s="1" t="str">
        <f>formatRow(Tokens!C$2:I$2,Tokens!C162:I162)</f>
        <v>"name":"La Porteuse D'Eau #99",_x000D_
"symbol":"COR22C99",_x000D_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2" s="1" t="str">
        <f>formatRow(Tokens!J$2:AV$2,Tokens!J162:AV162,2,"attributes")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2" s="1" t="str">
        <f>formatRow(Tokens!AX$2:BC$2,Tokens!AX162:BC162,2,"creators")</f>
        <v>"creators":[{"address":"paul",_x000D_
"share":10},{"address":"sophie",_x000D_
"share":90}]</v>
      </c>
      <c r="Y162" s="1" t="str">
        <f>formatRow(Tokens!BD$2:BI$2,Tokens!BD162:BI162,2,"files")</f>
        <v>"files":[]</v>
      </c>
      <c r="Z162" s="1"/>
      <c r="AA162" s="1"/>
      <c r="AB162" s="1"/>
      <c r="AC162" s="1" t="str">
        <f>formatRow(Tokens!BJ$2:BK$2,Tokens!BJ162:BK162,0,"collection")</f>
        <v>"collection":{"name":"La Porteuse D'Eau",_x000D_
"family":"Calvi On The Rocks"}</v>
      </c>
    </row>
    <row r="163" spans="5:29" ht="14.25" customHeight="1" x14ac:dyDescent="0.25">
      <c r="E163" s="17" t="str">
        <f>IF(Tokens!C163="","",Tokens!C163)</f>
        <v>La Porteuse D'Eau #100</v>
      </c>
      <c r="F163"/>
      <c r="G163"/>
      <c r="H163"/>
      <c r="I163"/>
      <c r="J163"/>
      <c r="M163"/>
      <c r="N163"/>
      <c r="O163" s="15" t="str">
        <f t="shared" si="4"/>
        <v>_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/>
      </c>
      <c r="Q163" s="2"/>
      <c r="R163" s="2"/>
      <c r="S163" s="11"/>
      <c r="T163" s="1" t="str">
        <f>"owner=" &amp; Tokens!BS163 &amp; "&amp;filename_for_metadata=" &amp; Tokens!BT163 &amp; "&amp;offchaindata_platform=" &amp; $B$17 &amp; "&amp;keyfile=" &amp; $B$5 &amp; "&amp;network=" &amp; LOWER($B$8) &amp; "&amp;repository=" &amp; $B$18</f>
        <v>owner=thomas&amp;filename_for_metadata=LaPorteuseD'Eau_COR22C100&amp;offchaindata_platform=MongoDB&amp;keyfile=Paul&amp;network=jsonfiles&amp;repository=test</v>
      </c>
      <c r="U163" s="1" t="str">
        <f t="shared" si="5"/>
        <v>{"name":"La Porteuse D'Eau #100",_x000D_
"symbol":"COR22C100",_x000D_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"external_url":"","attributes":[{"trait_type":"Pass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numérotée"},{"trait_type":"Validation"}],"properties":{"creators":[{"address":"paul",_x000D_
"share":10},{"address":"sophie",_x000D_
"share":90}],"files":[]},"collection":{"name":"La Porteuse D'Eau",_x000D_
"family":"Calvi On The Rocks"}}</v>
      </c>
      <c r="V163" s="1" t="str">
        <f>formatRow(Tokens!C$2:I$2,Tokens!C163:I163)</f>
        <v>"name":"La Porteuse D'Eau #100",_x000D_
"symbol":"COR22C100",_x000D_
"description":"La Porteuse D'Eau, 3 ans - Pass NFT 5 jours pour 2 personnes, valable pour 3 éditions Calvi On The Rocks de votre choix.",_x000D_
"seller_fee_basis_points":1000,_x000D_
"image":"https://bafybeicordeza5gk2bza3mvxlpkuixf2rl7wnnuldoo222om2i4bxv2oqa.ipfs.nftstorage.link?image_10.png",_x000D_
"Issuer":"NfluenT for Calvi On The rocks",_x000D_
"external_url":""</v>
      </c>
      <c r="W163" s="1" t="str">
        <f>formatRow(Tokens!J$2:AV$2,Tokens!J163:AV163,2,"attributes")</f>
        <v>"attributes":[{"trait_type":"Pass festival",_x000D_
"value":"pour deux(2) personnes"},{"trait_type":"Edition1",_x000D_
"value":2},{"trait_type":"Edition2",_x000D_
"value":2},{"trait_type":"Edition3",_x000D_
"value":2},{"trait_type":"Dernière utilisation"},{"trait_type":"avantage1",_x000D_
"value":"accès pour deux (2) personnes à un (1) événement partenaire officiel de Calvi on the Rocks"},{"trait_type":"avantage2",_x000D_
"value":"accès membre pour les after party officielles pour deux (2) personnes"},{"trait_type":"avantage3",_x000D_
"value":"accès prioritaire et bar dédié (consommation à la charge du festivalier) - tables réservées à l'avance pour les « NFT member » pour deux (2) personnes"},{"trait_type":"avantage4",_x000D_
"value":"1 affiche dédicacée et numérotée"},{"trait_type":"Validation"}]</v>
      </c>
      <c r="X163" s="1" t="str">
        <f>formatRow(Tokens!AX$2:BC$2,Tokens!AX163:BC163,2,"creators")</f>
        <v>"creators":[{"address":"paul",_x000D_
"share":10},{"address":"sophie",_x000D_
"share":90}]</v>
      </c>
      <c r="Y163" s="1" t="str">
        <f>formatRow(Tokens!BD$2:BI$2,Tokens!BD163:BI163,2,"files")</f>
        <v>"files":[]</v>
      </c>
      <c r="Z163" s="1"/>
      <c r="AA163" s="1"/>
      <c r="AB163" s="1"/>
      <c r="AC163" s="1" t="str">
        <f>formatRow(Tokens!BJ$2:BK$2,Tokens!BJ163:BK163,0,"collection")</f>
        <v>"collection":{"name":"La Porteuse D'Eau",_x000D_
"family":"Calvi On The Rocks"}</v>
      </c>
    </row>
    <row r="164" spans="5:29" ht="14.25" customHeight="1" x14ac:dyDescent="0.25">
      <c r="E164" s="17" t="str">
        <f>IF(Tokens!C164="","",Tokens!C164)</f>
        <v>In Casa #1</v>
      </c>
      <c r="F164"/>
      <c r="G164"/>
      <c r="H164"/>
      <c r="I164"/>
      <c r="J164"/>
      <c r="M164"/>
      <c r="N164"/>
      <c r="O164" s="15" t="str">
        <f t="shared" si="4"/>
        <v>_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/>
      </c>
      <c r="Q164" s="2"/>
      <c r="R164" s="2"/>
      <c r="S164" s="11"/>
      <c r="T164" s="1" t="str">
        <f>"owner=" &amp; Tokens!BS164 &amp; "&amp;filename_for_metadata=" &amp; Tokens!BT164 &amp; "&amp;offchaindata_platform=" &amp; $B$17 &amp; "&amp;keyfile=" &amp; $B$5 &amp; "&amp;network=" &amp; LOWER($B$8) &amp; "&amp;repository=" &amp; $B$18</f>
        <v>owner=thomas&amp;filename_for_metadata=InCasa_COR22D1&amp;offchaindata_platform=MongoDB&amp;keyfile=Paul&amp;network=jsonfiles&amp;repository=test</v>
      </c>
      <c r="U164" s="1" t="str">
        <f t="shared" si="5"/>
        <v>{"name":"In Casa #1",_x000D_
"symbol":"COR22D1",_x000D_
"description":"In Casa, 1 an - Pass NFT 1 jour pour 1 personne, valable pour 1 édition Calvi On The Rocks de votre choix.",_x000D_
"seller_fee_basis_points":1000,_x000D_
"image":"https://bafybeicoll5hta7svtdoafktcinhd425jp2rrb23igyngrt6gxvz5d5t4m.ipfs.nftstorage.link?image_1.png",_x000D_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4" s="1" t="str">
        <f>formatRow(Tokens!C$2:I$2,Tokens!C164:I164)</f>
        <v>"name":"In Casa #1",_x000D_
"symbol":"COR22D1",_x000D_
"description":"In Casa, 1 an - Pass NFT 1 jour pour 1 personne, valable pour 1 édition Calvi On The Rocks de votre choix.",_x000D_
"seller_fee_basis_points":1000,_x000D_
"image":"https://bafybeicoll5hta7svtdoafktcinhd425jp2rrb23igyngrt6gxvz5d5t4m.ipfs.nftstorage.link?image_1.png",_x000D_
"Issuer":"NfluenT for Calvi On The rocks",_x000D_
"external_url":""</v>
      </c>
      <c r="W164" s="1" t="str">
        <f>formatRow(Tokens!J$2:AV$2,Tokens!J164:AV164,2,"attributes")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4" s="1" t="str">
        <f>formatRow(Tokens!AX$2:BC$2,Tokens!AX164:BC164,2,"creators")</f>
        <v>"creators":[{"address":"paul",_x000D_
"share":10},{"address":"sophie",_x000D_
"share":90}]</v>
      </c>
      <c r="Y164" s="1" t="str">
        <f>formatRow(Tokens!BD$2:BI$2,Tokens!BD164:BI164,2,"files")</f>
        <v>"files":[]</v>
      </c>
      <c r="Z164" s="1"/>
      <c r="AA164" s="1"/>
      <c r="AB164" s="1"/>
      <c r="AC164" s="1" t="str">
        <f>formatRow(Tokens!BJ$2:BK$2,Tokens!BJ164:BK164,0,"collection")</f>
        <v>"collection":{"name":"In Casa",_x000D_
"family":"Calvi On The Rocks"}</v>
      </c>
    </row>
    <row r="165" spans="5:29" ht="14.25" customHeight="1" x14ac:dyDescent="0.25">
      <c r="E165" s="17" t="str">
        <f>IF(Tokens!C165="","",Tokens!C165)</f>
        <v>In Casa #2</v>
      </c>
      <c r="F165"/>
      <c r="G165"/>
      <c r="H165"/>
      <c r="I165"/>
      <c r="J165"/>
      <c r="M165"/>
      <c r="N165"/>
      <c r="O165" s="15" t="str">
        <f t="shared" si="4"/>
        <v>_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/>
      </c>
      <c r="Q165" s="2"/>
      <c r="R165" s="2"/>
      <c r="S165" s="11"/>
      <c r="T165" s="1" t="str">
        <f>"owner=" &amp; Tokens!BS165 &amp; "&amp;filename_for_metadata=" &amp; Tokens!BT165 &amp; "&amp;offchaindata_platform=" &amp; $B$17 &amp; "&amp;keyfile=" &amp; $B$5 &amp; "&amp;network=" &amp; LOWER($B$8) &amp; "&amp;repository=" &amp; $B$18</f>
        <v>owner=thomas&amp;filename_for_metadata=InCasa_COR22D2&amp;offchaindata_platform=MongoDB&amp;keyfile=Paul&amp;network=jsonfiles&amp;repository=test</v>
      </c>
      <c r="U165" s="1" t="str">
        <f t="shared" si="5"/>
        <v>{"name":"In Casa #2",_x000D_
"symbol":"COR22D2",_x000D_
"description":"In Casa, 1 an - Pass NFT 1 jour pour 1 personne, valable pour 1 édition Calvi On The Rocks de votre choix.",_x000D_
"seller_fee_basis_points":1000,_x000D_
"image":"https://bafybeihs2mwol76ke7lxzkt42426xyyp3pifid6e4xfriqcgefem4z42ca.ipfs.nftstorage.link?image_2.png",_x000D_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5" s="1" t="str">
        <f>formatRow(Tokens!C$2:I$2,Tokens!C165:I165)</f>
        <v>"name":"In Casa #2",_x000D_
"symbol":"COR22D2",_x000D_
"description":"In Casa, 1 an - Pass NFT 1 jour pour 1 personne, valable pour 1 édition Calvi On The Rocks de votre choix.",_x000D_
"seller_fee_basis_points":1000,_x000D_
"image":"https://bafybeihs2mwol76ke7lxzkt42426xyyp3pifid6e4xfriqcgefem4z42ca.ipfs.nftstorage.link?image_2.png",_x000D_
"Issuer":"NfluenT for Calvi On The rocks",_x000D_
"external_url":""</v>
      </c>
      <c r="W165" s="1" t="str">
        <f>formatRow(Tokens!J$2:AV$2,Tokens!J165:AV165,2,"attributes")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5" s="1" t="str">
        <f>formatRow(Tokens!AX$2:BC$2,Tokens!AX165:BC165,2,"creators")</f>
        <v>"creators":[{"address":"paul",_x000D_
"share":10},{"address":"sophie",_x000D_
"share":90}]</v>
      </c>
      <c r="Y165" s="1" t="str">
        <f>formatRow(Tokens!BD$2:BI$2,Tokens!BD165:BI165,2,"files")</f>
        <v>"files":[]</v>
      </c>
      <c r="Z165" s="1"/>
      <c r="AA165" s="1"/>
      <c r="AB165" s="1"/>
      <c r="AC165" s="1" t="str">
        <f>formatRow(Tokens!BJ$2:BK$2,Tokens!BJ165:BK165,0,"collection")</f>
        <v>"collection":{"name":"In Casa",_x000D_
"family":"Calvi On The Rocks"}</v>
      </c>
    </row>
    <row r="166" spans="5:29" ht="14.25" customHeight="1" x14ac:dyDescent="0.25">
      <c r="E166" s="17" t="str">
        <f>IF(Tokens!C166="","",Tokens!C166)</f>
        <v>In Casa #3</v>
      </c>
      <c r="F166"/>
      <c r="G166"/>
      <c r="H166"/>
      <c r="I166"/>
      <c r="J166"/>
      <c r="M166"/>
      <c r="N166"/>
      <c r="O166" s="15" t="str">
        <f t="shared" si="4"/>
        <v>_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/>
      </c>
      <c r="Q166" s="2"/>
      <c r="R166" s="2"/>
      <c r="S166" s="11"/>
      <c r="T166" s="1" t="str">
        <f>"owner=" &amp; Tokens!BS166 &amp; "&amp;filename_for_metadata=" &amp; Tokens!BT166 &amp; "&amp;offchaindata_platform=" &amp; $B$17 &amp; "&amp;keyfile=" &amp; $B$5 &amp; "&amp;network=" &amp; LOWER($B$8) &amp; "&amp;repository=" &amp; $B$18</f>
        <v>owner=thomas&amp;filename_for_metadata=InCasa_COR22D3&amp;offchaindata_platform=MongoDB&amp;keyfile=Paul&amp;network=jsonfiles&amp;repository=test</v>
      </c>
      <c r="U166" s="1" t="str">
        <f t="shared" si="5"/>
        <v>{"name":"In Casa #3",_x000D_
"symbol":"COR22D3",_x000D_
"description":"In Casa, 1 an - Pass NFT 1 jour pour 1 personne, valable pour 1 édition Calvi On The Rocks de votre choix.",_x000D_
"seller_fee_basis_points":1000,_x000D_
"image":"https://bafybeihg7br2nyp3bwduvcmw343g647l5yazn4lqifsrpmiju4ib4or3ca.ipfs.nftstorage.link?image_3.png",_x000D_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6" s="1" t="str">
        <f>formatRow(Tokens!C$2:I$2,Tokens!C166:I166)</f>
        <v>"name":"In Casa #3",_x000D_
"symbol":"COR22D3",_x000D_
"description":"In Casa, 1 an - Pass NFT 1 jour pour 1 personne, valable pour 1 édition Calvi On The Rocks de votre choix.",_x000D_
"seller_fee_basis_points":1000,_x000D_
"image":"https://bafybeihg7br2nyp3bwduvcmw343g647l5yazn4lqifsrpmiju4ib4or3ca.ipfs.nftstorage.link?image_3.png",_x000D_
"Issuer":"NfluenT for Calvi On The rocks",_x000D_
"external_url":""</v>
      </c>
      <c r="W166" s="1" t="str">
        <f>formatRow(Tokens!J$2:AV$2,Tokens!J166:AV166,2,"attributes")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6" s="1" t="str">
        <f>formatRow(Tokens!AX$2:BC$2,Tokens!AX166:BC166,2,"creators")</f>
        <v>"creators":[{"address":"paul",_x000D_
"share":10},{"address":"sophie",_x000D_
"share":90}]</v>
      </c>
      <c r="Y166" s="1" t="str">
        <f>formatRow(Tokens!BD$2:BI$2,Tokens!BD166:BI166,2,"files")</f>
        <v>"files":[]</v>
      </c>
      <c r="Z166" s="1"/>
      <c r="AA166" s="1"/>
      <c r="AB166" s="1"/>
      <c r="AC166" s="1" t="str">
        <f>formatRow(Tokens!BJ$2:BK$2,Tokens!BJ166:BK166,0,"collection")</f>
        <v>"collection":{"name":"In Casa",_x000D_
"family":"Calvi On The Rocks"}</v>
      </c>
    </row>
    <row r="167" spans="5:29" ht="14.25" customHeight="1" x14ac:dyDescent="0.25">
      <c r="E167" s="17" t="str">
        <f>IF(Tokens!C167="","",Tokens!C167)</f>
        <v>In Casa #4</v>
      </c>
      <c r="F167"/>
      <c r="G167"/>
      <c r="H167"/>
      <c r="I167"/>
      <c r="J167"/>
      <c r="M167"/>
      <c r="N167"/>
      <c r="O167" s="15" t="str">
        <f t="shared" si="4"/>
        <v>_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/>
      </c>
      <c r="Q167" s="2"/>
      <c r="R167" s="2"/>
      <c r="S167" s="11"/>
      <c r="T167" s="1" t="str">
        <f>"owner=" &amp; Tokens!BS167 &amp; "&amp;filename_for_metadata=" &amp; Tokens!BT167 &amp; "&amp;offchaindata_platform=" &amp; $B$17 &amp; "&amp;keyfile=" &amp; $B$5 &amp; "&amp;network=" &amp; LOWER($B$8) &amp; "&amp;repository=" &amp; $B$18</f>
        <v>owner=thomas&amp;filename_for_metadata=InCasa_COR22D4&amp;offchaindata_platform=MongoDB&amp;keyfile=Paul&amp;network=jsonfiles&amp;repository=test</v>
      </c>
      <c r="U167" s="1" t="str">
        <f t="shared" si="5"/>
        <v>{"name":"In Casa #4",_x000D_
"symbol":"COR22D4",_x000D_
"description":"In Casa, 1 an - Pass NFT 1 jour pour 1 personne, valable pour 1 édition Calvi On The Rocks de votre choix.",_x000D_
"seller_fee_basis_points":1000,_x000D_
"image":"https://bafybeifkznmi34p3yr7jyh3vxs5p4ixs2l6iyu7w5gfujhagnv6bvyqsoa.ipfs.nftstorage.link?image_4.png",_x000D_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7" s="1" t="str">
        <f>formatRow(Tokens!C$2:I$2,Tokens!C167:I167)</f>
        <v>"name":"In Casa #4",_x000D_
"symbol":"COR22D4",_x000D_
"description":"In Casa, 1 an - Pass NFT 1 jour pour 1 personne, valable pour 1 édition Calvi On The Rocks de votre choix.",_x000D_
"seller_fee_basis_points":1000,_x000D_
"image":"https://bafybeifkznmi34p3yr7jyh3vxs5p4ixs2l6iyu7w5gfujhagnv6bvyqsoa.ipfs.nftstorage.link?image_4.png",_x000D_
"Issuer":"NfluenT for Calvi On The rocks",_x000D_
"external_url":""</v>
      </c>
      <c r="W167" s="1" t="str">
        <f>formatRow(Tokens!J$2:AV$2,Tokens!J167:AV167,2,"attributes")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7" s="1" t="str">
        <f>formatRow(Tokens!AX$2:BC$2,Tokens!AX167:BC167,2,"creators")</f>
        <v>"creators":[{"address":"paul",_x000D_
"share":10},{"address":"sophie",_x000D_
"share":90}]</v>
      </c>
      <c r="Y167" s="1" t="str">
        <f>formatRow(Tokens!BD$2:BI$2,Tokens!BD167:BI167,2,"files")</f>
        <v>"files":[]</v>
      </c>
      <c r="Z167" s="1"/>
      <c r="AA167" s="1"/>
      <c r="AB167" s="1"/>
      <c r="AC167" s="1" t="str">
        <f>formatRow(Tokens!BJ$2:BK$2,Tokens!BJ167:BK167,0,"collection")</f>
        <v>"collection":{"name":"In Casa",_x000D_
"family":"Calvi On The Rocks"}</v>
      </c>
    </row>
    <row r="168" spans="5:29" ht="14.25" customHeight="1" x14ac:dyDescent="0.25">
      <c r="E168" s="17" t="str">
        <f>IF(Tokens!C168="","",Tokens!C168)</f>
        <v>In Casa #5</v>
      </c>
      <c r="F168"/>
      <c r="G168"/>
      <c r="H168"/>
      <c r="I168"/>
      <c r="J168"/>
      <c r="M168"/>
      <c r="N168"/>
      <c r="O168" s="15" t="str">
        <f t="shared" si="4"/>
        <v>_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/>
      </c>
      <c r="Q168" s="2"/>
      <c r="R168" s="2"/>
      <c r="S168" s="11"/>
      <c r="T168" s="1" t="str">
        <f>"owner=" &amp; Tokens!BS168 &amp; "&amp;filename_for_metadata=" &amp; Tokens!BT168 &amp; "&amp;offchaindata_platform=" &amp; $B$17 &amp; "&amp;keyfile=" &amp; $B$5 &amp; "&amp;network=" &amp; LOWER($B$8) &amp; "&amp;repository=" &amp; $B$18</f>
        <v>owner=thomas&amp;filename_for_metadata=InCasa_COR22D5&amp;offchaindata_platform=MongoDB&amp;keyfile=Paul&amp;network=jsonfiles&amp;repository=test</v>
      </c>
      <c r="U168" s="1" t="str">
        <f t="shared" si="5"/>
        <v>{"name":"In Casa #5",_x000D_
"symbol":"COR22D5",_x000D_
"description":"In Casa, 1 an - Pass NFT 1 jour pour 1 personne, valable pour 1 édition Calvi On The Rocks de votre choix.",_x000D_
"seller_fee_basis_points":1000,_x000D_
"image":"https://bafybeidcjat5b4fkmpuarowpxptwbdyhaqewb3hcf4k3k3jb4ci4tpdvdy.ipfs.nftstorage.link?image_5.png",_x000D_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8" s="1" t="str">
        <f>formatRow(Tokens!C$2:I$2,Tokens!C168:I168)</f>
        <v>"name":"In Casa #5",_x000D_
"symbol":"COR22D5",_x000D_
"description":"In Casa, 1 an - Pass NFT 1 jour pour 1 personne, valable pour 1 édition Calvi On The Rocks de votre choix.",_x000D_
"seller_fee_basis_points":1000,_x000D_
"image":"https://bafybeidcjat5b4fkmpuarowpxptwbdyhaqewb3hcf4k3k3jb4ci4tpdvdy.ipfs.nftstorage.link?image_5.png",_x000D_
"Issuer":"NfluenT for Calvi On The rocks",_x000D_
"external_url":""</v>
      </c>
      <c r="W168" s="1" t="str">
        <f>formatRow(Tokens!J$2:AV$2,Tokens!J168:AV168,2,"attributes")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8" s="1" t="str">
        <f>formatRow(Tokens!AX$2:BC$2,Tokens!AX168:BC168,2,"creators")</f>
        <v>"creators":[{"address":"paul",_x000D_
"share":10},{"address":"sophie",_x000D_
"share":90}]</v>
      </c>
      <c r="Y168" s="1" t="str">
        <f>formatRow(Tokens!BD$2:BI$2,Tokens!BD168:BI168,2,"files")</f>
        <v>"files":[]</v>
      </c>
      <c r="Z168" s="1"/>
      <c r="AA168" s="1"/>
      <c r="AB168" s="1"/>
      <c r="AC168" s="1" t="str">
        <f>formatRow(Tokens!BJ$2:BK$2,Tokens!BJ168:BK168,0,"collection")</f>
        <v>"collection":{"name":"In Casa",_x000D_
"family":"Calvi On The Rocks"}</v>
      </c>
    </row>
    <row r="169" spans="5:29" ht="14.25" customHeight="1" x14ac:dyDescent="0.25">
      <c r="E169" s="17" t="str">
        <f>IF(Tokens!C169="","",Tokens!C169)</f>
        <v>In Casa #6</v>
      </c>
      <c r="F169"/>
      <c r="G169"/>
      <c r="H169"/>
      <c r="I169"/>
      <c r="J169"/>
      <c r="M169"/>
      <c r="N169"/>
      <c r="O169" s="15" t="str">
        <f t="shared" si="4"/>
        <v>_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/>
      </c>
      <c r="Q169" s="2"/>
      <c r="R169" s="2"/>
      <c r="S169" s="11"/>
      <c r="T169" s="1" t="str">
        <f>"owner=" &amp; Tokens!BS169 &amp; "&amp;filename_for_metadata=" &amp; Tokens!BT169 &amp; "&amp;offchaindata_platform=" &amp; $B$17 &amp; "&amp;keyfile=" &amp; $B$5 &amp; "&amp;network=" &amp; LOWER($B$8) &amp; "&amp;repository=" &amp; $B$18</f>
        <v>owner=thomas&amp;filename_for_metadata=InCasa_COR22D6&amp;offchaindata_platform=MongoDB&amp;keyfile=Paul&amp;network=jsonfiles&amp;repository=test</v>
      </c>
      <c r="U169" s="1" t="str">
        <f t="shared" si="5"/>
        <v>{"name":"In Casa #6",_x000D_
"symbol":"COR22D6",_x000D_
"description":"In Casa, 1 an - Pass NFT 1 jour pour 1 personne, valable pour 1 édition Calvi On The Rocks de votre choix.",_x000D_
"seller_fee_basis_points":1000,_x000D_
"image":"https://bafybeic5ibk7q6uy4axzy45eiwz7ixs2cbe4tp5qbbysdxnqlyjrekog5q.ipfs.nftstorage.link?image_6.png",_x000D_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69" s="1" t="str">
        <f>formatRow(Tokens!C$2:I$2,Tokens!C169:I169)</f>
        <v>"name":"In Casa #6",_x000D_
"symbol":"COR22D6",_x000D_
"description":"In Casa, 1 an - Pass NFT 1 jour pour 1 personne, valable pour 1 édition Calvi On The Rocks de votre choix.",_x000D_
"seller_fee_basis_points":1000,_x000D_
"image":"https://bafybeic5ibk7q6uy4axzy45eiwz7ixs2cbe4tp5qbbysdxnqlyjrekog5q.ipfs.nftstorage.link?image_6.png",_x000D_
"Issuer":"NfluenT for Calvi On The rocks",_x000D_
"external_url":""</v>
      </c>
      <c r="W169" s="1" t="str">
        <f>formatRow(Tokens!J$2:AV$2,Tokens!J169:AV169,2,"attributes")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69" s="1" t="str">
        <f>formatRow(Tokens!AX$2:BC$2,Tokens!AX169:BC169,2,"creators")</f>
        <v>"creators":[{"address":"paul",_x000D_
"share":10},{"address":"sophie",_x000D_
"share":90}]</v>
      </c>
      <c r="Y169" s="1" t="str">
        <f>formatRow(Tokens!BD$2:BI$2,Tokens!BD169:BI169,2,"files")</f>
        <v>"files":[]</v>
      </c>
      <c r="Z169" s="1"/>
      <c r="AA169" s="1"/>
      <c r="AB169" s="1"/>
      <c r="AC169" s="1" t="str">
        <f>formatRow(Tokens!BJ$2:BK$2,Tokens!BJ169:BK169,0,"collection")</f>
        <v>"collection":{"name":"In Casa",_x000D_
"family":"Calvi On The Rocks"}</v>
      </c>
    </row>
    <row r="170" spans="5:29" ht="14.25" customHeight="1" x14ac:dyDescent="0.25">
      <c r="E170" s="17" t="str">
        <f>IF(Tokens!C170="","",Tokens!C170)</f>
        <v>In Casa #7</v>
      </c>
      <c r="F170"/>
      <c r="G170"/>
      <c r="H170"/>
      <c r="I170"/>
      <c r="J170"/>
      <c r="M170"/>
      <c r="N170"/>
      <c r="O170" s="15" t="str">
        <f t="shared" si="4"/>
        <v>_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/>
      </c>
      <c r="Q170" s="2"/>
      <c r="R170" s="2"/>
      <c r="S170" s="11"/>
      <c r="T170" s="1" t="str">
        <f>"owner=" &amp; Tokens!BS170 &amp; "&amp;filename_for_metadata=" &amp; Tokens!BT170 &amp; "&amp;offchaindata_platform=" &amp; $B$17 &amp; "&amp;keyfile=" &amp; $B$5 &amp; "&amp;network=" &amp; LOWER($B$8) &amp; "&amp;repository=" &amp; $B$18</f>
        <v>owner=thomas&amp;filename_for_metadata=InCasa_COR22D7&amp;offchaindata_platform=MongoDB&amp;keyfile=Paul&amp;network=jsonfiles&amp;repository=test</v>
      </c>
      <c r="U170" s="1" t="str">
        <f t="shared" si="5"/>
        <v>{"name":"In Casa #7",_x000D_
"symbol":"COR22D7",_x000D_
"description":"In Casa, 1 an - Pass NFT 1 jour pour 1 personne, valable pour 1 édition Calvi On The Rocks de votre choix.",_x000D_
"seller_fee_basis_points":1000,_x000D_
"image":"https://bafybeihfirwumpeac537ohp7j5iy5kasj5lhuoddx6duoqhj22ew7lrkba.ipfs.nftstorage.link?image_7.png",_x000D_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0" s="1" t="str">
        <f>formatRow(Tokens!C$2:I$2,Tokens!C170:I170)</f>
        <v>"name":"In Casa #7",_x000D_
"symbol":"COR22D7",_x000D_
"description":"In Casa, 1 an - Pass NFT 1 jour pour 1 personne, valable pour 1 édition Calvi On The Rocks de votre choix.",_x000D_
"seller_fee_basis_points":1000,_x000D_
"image":"https://bafybeihfirwumpeac537ohp7j5iy5kasj5lhuoddx6duoqhj22ew7lrkba.ipfs.nftstorage.link?image_7.png",_x000D_
"Issuer":"NfluenT for Calvi On The rocks",_x000D_
"external_url":""</v>
      </c>
      <c r="W170" s="1" t="str">
        <f>formatRow(Tokens!J$2:AV$2,Tokens!J170:AV170,2,"attributes")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0" s="1" t="str">
        <f>formatRow(Tokens!AX$2:BC$2,Tokens!AX170:BC170,2,"creators")</f>
        <v>"creators":[{"address":"paul",_x000D_
"share":10},{"address":"sophie",_x000D_
"share":90}]</v>
      </c>
      <c r="Y170" s="1" t="str">
        <f>formatRow(Tokens!BD$2:BI$2,Tokens!BD170:BI170,2,"files")</f>
        <v>"files":[]</v>
      </c>
      <c r="Z170" s="1"/>
      <c r="AA170" s="1"/>
      <c r="AB170" s="1"/>
      <c r="AC170" s="1" t="str">
        <f>formatRow(Tokens!BJ$2:BK$2,Tokens!BJ170:BK170,0,"collection")</f>
        <v>"collection":{"name":"In Casa",_x000D_
"family":"Calvi On The Rocks"}</v>
      </c>
    </row>
    <row r="171" spans="5:29" ht="14.25" customHeight="1" x14ac:dyDescent="0.25">
      <c r="E171" s="17" t="str">
        <f>IF(Tokens!C171="","",Tokens!C171)</f>
        <v>In Casa #8</v>
      </c>
      <c r="F171"/>
      <c r="G171"/>
      <c r="H171"/>
      <c r="I171"/>
      <c r="J171"/>
      <c r="M171"/>
      <c r="N171"/>
      <c r="O171" s="15" t="str">
        <f t="shared" si="4"/>
        <v>_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/>
      </c>
      <c r="Q171" s="2"/>
      <c r="R171" s="2"/>
      <c r="S171" s="11"/>
      <c r="T171" s="1" t="str">
        <f>"owner=" &amp; Tokens!BS171 &amp; "&amp;filename_for_metadata=" &amp; Tokens!BT171 &amp; "&amp;offchaindata_platform=" &amp; $B$17 &amp; "&amp;keyfile=" &amp; $B$5 &amp; "&amp;network=" &amp; LOWER($B$8) &amp; "&amp;repository=" &amp; $B$18</f>
        <v>owner=thomas&amp;filename_for_metadata=InCasa_COR22D8&amp;offchaindata_platform=MongoDB&amp;keyfile=Paul&amp;network=jsonfiles&amp;repository=test</v>
      </c>
      <c r="U171" s="1" t="str">
        <f t="shared" si="5"/>
        <v>{"name":"In Casa #8",_x000D_
"symbol":"COR22D8",_x000D_
"description":"In Casa, 1 an - Pass NFT 1 jour pour 1 personne, valable pour 1 édition Calvi On The Rocks de votre choix.",_x000D_
"seller_fee_basis_points":1000,_x000D_
"image":"https://bafybeibjbgbk63q42lrcdhtli2iqhp5efemuo3q5z4fgqleb2sjrjfoaya.ipfs.nftstorage.link?image_8.png",_x000D_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1" s="1" t="str">
        <f>formatRow(Tokens!C$2:I$2,Tokens!C171:I171)</f>
        <v>"name":"In Casa #8",_x000D_
"symbol":"COR22D8",_x000D_
"description":"In Casa, 1 an - Pass NFT 1 jour pour 1 personne, valable pour 1 édition Calvi On The Rocks de votre choix.",_x000D_
"seller_fee_basis_points":1000,_x000D_
"image":"https://bafybeibjbgbk63q42lrcdhtli2iqhp5efemuo3q5z4fgqleb2sjrjfoaya.ipfs.nftstorage.link?image_8.png",_x000D_
"Issuer":"NfluenT for Calvi On The rocks",_x000D_
"external_url":""</v>
      </c>
      <c r="W171" s="1" t="str">
        <f>formatRow(Tokens!J$2:AV$2,Tokens!J171:AV171,2,"attributes")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1" s="1" t="str">
        <f>formatRow(Tokens!AX$2:BC$2,Tokens!AX171:BC171,2,"creators")</f>
        <v>"creators":[{"address":"paul",_x000D_
"share":10},{"address":"sophie",_x000D_
"share":90}]</v>
      </c>
      <c r="Y171" s="1" t="str">
        <f>formatRow(Tokens!BD$2:BI$2,Tokens!BD171:BI171,2,"files")</f>
        <v>"files":[]</v>
      </c>
      <c r="Z171" s="1"/>
      <c r="AA171" s="1"/>
      <c r="AB171" s="1"/>
      <c r="AC171" s="1" t="str">
        <f>formatRow(Tokens!BJ$2:BK$2,Tokens!BJ171:BK171,0,"collection")</f>
        <v>"collection":{"name":"In Casa",_x000D_
"family":"Calvi On The Rocks"}</v>
      </c>
    </row>
    <row r="172" spans="5:29" ht="14.25" customHeight="1" x14ac:dyDescent="0.25">
      <c r="E172" s="17" t="str">
        <f>IF(Tokens!C172="","",Tokens!C172)</f>
        <v>In Casa #9</v>
      </c>
      <c r="F172"/>
      <c r="G172"/>
      <c r="H172"/>
      <c r="I172"/>
      <c r="J172"/>
      <c r="M172"/>
      <c r="N172"/>
      <c r="O172" s="15" t="str">
        <f t="shared" si="4"/>
        <v>_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/>
      </c>
      <c r="Q172" s="2"/>
      <c r="R172" s="2"/>
      <c r="S172" s="11"/>
      <c r="T172" s="1" t="str">
        <f>"owner=" &amp; Tokens!BS172 &amp; "&amp;filename_for_metadata=" &amp; Tokens!BT172 &amp; "&amp;offchaindata_platform=" &amp; $B$17 &amp; "&amp;keyfile=" &amp; $B$5 &amp; "&amp;network=" &amp; LOWER($B$8) &amp; "&amp;repository=" &amp; $B$18</f>
        <v>owner=thomas&amp;filename_for_metadata=InCasa_COR22D9&amp;offchaindata_platform=MongoDB&amp;keyfile=Paul&amp;network=jsonfiles&amp;repository=test</v>
      </c>
      <c r="U172" s="1" t="str">
        <f t="shared" si="5"/>
        <v>{"name":"In Casa #9",_x000D_
"symbol":"COR22D9",_x000D_
"description":"In Casa, 1 an - Pass NFT 1 jour pour 1 personne, valable pour 1 édition Calvi On The Rocks de votre choix.",_x000D_
"seller_fee_basis_points":1000,_x000D_
"image":"https://bafybeiei46pxxotcdgfs5lg2osoxqs4jorf4lkezrt2i6qom776ygtoa6u.ipfs.nftstorage.link?image_9.png",_x000D_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2" s="1" t="str">
        <f>formatRow(Tokens!C$2:I$2,Tokens!C172:I172)</f>
        <v>"name":"In Casa #9",_x000D_
"symbol":"COR22D9",_x000D_
"description":"In Casa, 1 an - Pass NFT 1 jour pour 1 personne, valable pour 1 édition Calvi On The Rocks de votre choix.",_x000D_
"seller_fee_basis_points":1000,_x000D_
"image":"https://bafybeiei46pxxotcdgfs5lg2osoxqs4jorf4lkezrt2i6qom776ygtoa6u.ipfs.nftstorage.link?image_9.png",_x000D_
"Issuer":"NfluenT for Calvi On The rocks",_x000D_
"external_url":""</v>
      </c>
      <c r="W172" s="1" t="str">
        <f>formatRow(Tokens!J$2:AV$2,Tokens!J172:AV172,2,"attributes")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2" s="1" t="str">
        <f>formatRow(Tokens!AX$2:BC$2,Tokens!AX172:BC172,2,"creators")</f>
        <v>"creators":[{"address":"paul",_x000D_
"share":10},{"address":"sophie",_x000D_
"share":90}]</v>
      </c>
      <c r="Y172" s="1" t="str">
        <f>formatRow(Tokens!BD$2:BI$2,Tokens!BD172:BI172,2,"files")</f>
        <v>"files":[]</v>
      </c>
      <c r="Z172" s="1"/>
      <c r="AA172" s="1"/>
      <c r="AB172" s="1"/>
      <c r="AC172" s="1" t="str">
        <f>formatRow(Tokens!BJ$2:BK$2,Tokens!BJ172:BK172,0,"collection")</f>
        <v>"collection":{"name":"In Casa",_x000D_
"family":"Calvi On The Rocks"}</v>
      </c>
    </row>
    <row r="173" spans="5:29" ht="14.25" customHeight="1" x14ac:dyDescent="0.25">
      <c r="E173" s="17" t="str">
        <f>IF(Tokens!C173="","",Tokens!C173)</f>
        <v>In Casa #10</v>
      </c>
      <c r="F173"/>
      <c r="G173"/>
      <c r="H173"/>
      <c r="I173"/>
      <c r="J173"/>
      <c r="M173"/>
      <c r="N173"/>
      <c r="O173" s="15" t="str">
        <f t="shared" si="4"/>
        <v>_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/>
      </c>
      <c r="Q173" s="2"/>
      <c r="R173" s="2"/>
      <c r="S173" s="11"/>
      <c r="T173" s="1" t="str">
        <f>"owner=" &amp; Tokens!BS173 &amp; "&amp;filename_for_metadata=" &amp; Tokens!BT173 &amp; "&amp;offchaindata_platform=" &amp; $B$17 &amp; "&amp;keyfile=" &amp; $B$5 &amp; "&amp;network=" &amp; LOWER($B$8) &amp; "&amp;repository=" &amp; $B$18</f>
        <v>owner=thomas&amp;filename_for_metadata=InCasa_COR22D10&amp;offchaindata_platform=MongoDB&amp;keyfile=Paul&amp;network=jsonfiles&amp;repository=test</v>
      </c>
      <c r="U173" s="1" t="str">
        <f t="shared" si="5"/>
        <v>{"name":"In Casa #10",_x000D_
"symbol":"COR22D10",_x000D_
"description":"In Casa, 1 an - Pass NFT 1 jour pour 1 personne, valable pour 1 édition Calvi On The Rocks de votre choix.",_x000D_
"seller_fee_basis_points":1000,_x000D_
"image":"https://bafybeib64zppo6dfiejtgz67dh2uuff5mexka2747ogpkjabirujbpudh4.ipfs.nftstorage.link?image_10.png",_x000D_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3" s="1" t="str">
        <f>formatRow(Tokens!C$2:I$2,Tokens!C173:I173)</f>
        <v>"name":"In Casa #10",_x000D_
"symbol":"COR22D10",_x000D_
"description":"In Casa, 1 an - Pass NFT 1 jour pour 1 personne, valable pour 1 édition Calvi On The Rocks de votre choix.",_x000D_
"seller_fee_basis_points":1000,_x000D_
"image":"https://bafybeib64zppo6dfiejtgz67dh2uuff5mexka2747ogpkjabirujbpudh4.ipfs.nftstorage.link?image_10.png",_x000D_
"Issuer":"NfluenT for Calvi On The rocks",_x000D_
"external_url":""</v>
      </c>
      <c r="W173" s="1" t="str">
        <f>formatRow(Tokens!J$2:AV$2,Tokens!J173:AV173,2,"attributes")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3" s="1" t="str">
        <f>formatRow(Tokens!AX$2:BC$2,Tokens!AX173:BC173,2,"creators")</f>
        <v>"creators":[{"address":"paul",_x000D_
"share":10},{"address":"sophie",_x000D_
"share":90}]</v>
      </c>
      <c r="Y173" s="1" t="str">
        <f>formatRow(Tokens!BD$2:BI$2,Tokens!BD173:BI173,2,"files")</f>
        <v>"files":[]</v>
      </c>
      <c r="Z173" s="1"/>
      <c r="AA173" s="1"/>
      <c r="AB173" s="1"/>
      <c r="AC173" s="1" t="str">
        <f>formatRow(Tokens!BJ$2:BK$2,Tokens!BJ173:BK173,0,"collection")</f>
        <v>"collection":{"name":"In Casa",_x000D_
"family":"Calvi On The Rocks"}</v>
      </c>
    </row>
    <row r="174" spans="5:29" ht="14.25" customHeight="1" x14ac:dyDescent="0.25">
      <c r="E174" s="17" t="str">
        <f>IF(Tokens!C174="","",Tokens!C174)</f>
        <v>In Casa #11</v>
      </c>
      <c r="F174"/>
      <c r="G174"/>
      <c r="H174"/>
      <c r="I174"/>
      <c r="J174"/>
      <c r="M174"/>
      <c r="N174"/>
      <c r="O174" s="15" t="str">
        <f t="shared" si="4"/>
        <v>_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/>
      </c>
      <c r="Q174" s="2"/>
      <c r="R174" s="2"/>
      <c r="S174" s="11"/>
      <c r="T174" s="1" t="str">
        <f>"owner=" &amp; Tokens!BS174 &amp; "&amp;filename_for_metadata=" &amp; Tokens!BT174 &amp; "&amp;offchaindata_platform=" &amp; $B$17 &amp; "&amp;keyfile=" &amp; $B$5 &amp; "&amp;network=" &amp; LOWER($B$8) &amp; "&amp;repository=" &amp; $B$18</f>
        <v>owner=thomas&amp;filename_for_metadata=InCasa_COR22D11&amp;offchaindata_platform=MongoDB&amp;keyfile=Paul&amp;network=jsonfiles&amp;repository=test</v>
      </c>
      <c r="U174" s="1" t="str">
        <f t="shared" si="5"/>
        <v>{"name":"In Casa #11",_x000D_
"symbol":"COR22D11",_x000D_
"description":"In Casa, 1 an - Pass NFT 1 jour pour 1 personne, valable pour 1 édition Calvi On The Rocks de votre choix.",_x000D_
"seller_fee_basis_points":1000,_x000D_
"image":"https://bafybeihm6o2khv7leb4kz2lgvo2vmt3bwcewrjv4a5xvqed4ol322u6nv4.ipfs.nftstorage.link?image_11.png",_x000D_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4" s="1" t="str">
        <f>formatRow(Tokens!C$2:I$2,Tokens!C174:I174)</f>
        <v>"name":"In Casa #11",_x000D_
"symbol":"COR22D11",_x000D_
"description":"In Casa, 1 an - Pass NFT 1 jour pour 1 personne, valable pour 1 édition Calvi On The Rocks de votre choix.",_x000D_
"seller_fee_basis_points":1000,_x000D_
"image":"https://bafybeihm6o2khv7leb4kz2lgvo2vmt3bwcewrjv4a5xvqed4ol322u6nv4.ipfs.nftstorage.link?image_11.png",_x000D_
"Issuer":"NfluenT for Calvi On The rocks",_x000D_
"external_url":""</v>
      </c>
      <c r="W174" s="1" t="str">
        <f>formatRow(Tokens!J$2:AV$2,Tokens!J174:AV174,2,"attributes")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4" s="1" t="str">
        <f>formatRow(Tokens!AX$2:BC$2,Tokens!AX174:BC174,2,"creators")</f>
        <v>"creators":[{"address":"paul",_x000D_
"share":10},{"address":"sophie",_x000D_
"share":90}]</v>
      </c>
      <c r="Y174" s="1" t="str">
        <f>formatRow(Tokens!BD$2:BI$2,Tokens!BD174:BI174,2,"files")</f>
        <v>"files":[]</v>
      </c>
      <c r="Z174" s="1"/>
      <c r="AA174" s="1"/>
      <c r="AB174" s="1"/>
      <c r="AC174" s="1" t="str">
        <f>formatRow(Tokens!BJ$2:BK$2,Tokens!BJ174:BK174,0,"collection")</f>
        <v>"collection":{"name":"In Casa",_x000D_
"family":"Calvi On The Rocks"}</v>
      </c>
    </row>
    <row r="175" spans="5:29" ht="14.25" customHeight="1" x14ac:dyDescent="0.25">
      <c r="E175" s="17" t="str">
        <f>IF(Tokens!C175="","",Tokens!C175)</f>
        <v>In Casa #12</v>
      </c>
      <c r="F175"/>
      <c r="G175"/>
      <c r="H175"/>
      <c r="I175"/>
      <c r="J175"/>
      <c r="M175"/>
      <c r="N175"/>
      <c r="O175" s="15" t="str">
        <f t="shared" si="4"/>
        <v>_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/>
      </c>
      <c r="Q175" s="2"/>
      <c r="R175" s="2"/>
      <c r="S175" s="11"/>
      <c r="T175" s="1" t="str">
        <f>"owner=" &amp; Tokens!BS175 &amp; "&amp;filename_for_metadata=" &amp; Tokens!BT175 &amp; "&amp;offchaindata_platform=" &amp; $B$17 &amp; "&amp;keyfile=" &amp; $B$5 &amp; "&amp;network=" &amp; LOWER($B$8) &amp; "&amp;repository=" &amp; $B$18</f>
        <v>owner=thomas&amp;filename_for_metadata=InCasa_COR22D12&amp;offchaindata_platform=MongoDB&amp;keyfile=Paul&amp;network=jsonfiles&amp;repository=test</v>
      </c>
      <c r="U175" s="1" t="str">
        <f t="shared" si="5"/>
        <v>{"name":"In Casa #12",_x000D_
"symbol":"COR22D12",_x000D_
"description":"In Casa, 1 an - Pass NFT 1 jour pour 1 personne, valable pour 1 édition Calvi On The Rocks de votre choix.",_x000D_
"seller_fee_basis_points":1000,_x000D_
"image":"https://bafybeibbiju5k463xbdqdmcqbqhcsrbym6lt4wdhybqzklvhzqpnvltvom.ipfs.nftstorage.link?image_12.png",_x000D_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5" s="1" t="str">
        <f>formatRow(Tokens!C$2:I$2,Tokens!C175:I175)</f>
        <v>"name":"In Casa #12",_x000D_
"symbol":"COR22D12",_x000D_
"description":"In Casa, 1 an - Pass NFT 1 jour pour 1 personne, valable pour 1 édition Calvi On The Rocks de votre choix.",_x000D_
"seller_fee_basis_points":1000,_x000D_
"image":"https://bafybeibbiju5k463xbdqdmcqbqhcsrbym6lt4wdhybqzklvhzqpnvltvom.ipfs.nftstorage.link?image_12.png",_x000D_
"Issuer":"NfluenT for Calvi On The rocks",_x000D_
"external_url":""</v>
      </c>
      <c r="W175" s="1" t="str">
        <f>formatRow(Tokens!J$2:AV$2,Tokens!J175:AV175,2,"attributes")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5" s="1" t="str">
        <f>formatRow(Tokens!AX$2:BC$2,Tokens!AX175:BC175,2,"creators")</f>
        <v>"creators":[{"address":"paul",_x000D_
"share":10},{"address":"sophie",_x000D_
"share":90}]</v>
      </c>
      <c r="Y175" s="1" t="str">
        <f>formatRow(Tokens!BD$2:BI$2,Tokens!BD175:BI175,2,"files")</f>
        <v>"files":[]</v>
      </c>
      <c r="Z175" s="1"/>
      <c r="AA175" s="1"/>
      <c r="AB175" s="1"/>
      <c r="AC175" s="1" t="str">
        <f>formatRow(Tokens!BJ$2:BK$2,Tokens!BJ175:BK175,0,"collection")</f>
        <v>"collection":{"name":"In Casa",_x000D_
"family":"Calvi On The Rocks"}</v>
      </c>
    </row>
    <row r="176" spans="5:29" ht="14.25" customHeight="1" x14ac:dyDescent="0.25">
      <c r="E176" s="17" t="str">
        <f>IF(Tokens!C176="","",Tokens!C176)</f>
        <v>In Casa #13</v>
      </c>
      <c r="F176"/>
      <c r="G176"/>
      <c r="H176"/>
      <c r="I176"/>
      <c r="J176"/>
      <c r="M176"/>
      <c r="N176"/>
      <c r="O176" s="15" t="str">
        <f t="shared" si="4"/>
        <v>_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/>
      </c>
      <c r="Q176" s="2"/>
      <c r="R176" s="2"/>
      <c r="S176" s="11"/>
      <c r="T176" s="1" t="str">
        <f>"owner=" &amp; Tokens!BS176 &amp; "&amp;filename_for_metadata=" &amp; Tokens!BT176 &amp; "&amp;offchaindata_platform=" &amp; $B$17 &amp; "&amp;keyfile=" &amp; $B$5 &amp; "&amp;network=" &amp; LOWER($B$8) &amp; "&amp;repository=" &amp; $B$18</f>
        <v>owner=thomas&amp;filename_for_metadata=InCasa_COR22D13&amp;offchaindata_platform=MongoDB&amp;keyfile=Paul&amp;network=jsonfiles&amp;repository=test</v>
      </c>
      <c r="U176" s="1" t="str">
        <f t="shared" si="5"/>
        <v>{"name":"In Casa #13",_x000D_
"symbol":"COR22D13",_x000D_
"description":"In Casa, 1 an - Pass NFT 1 jour pour 1 personne, valable pour 1 édition Calvi On The Rocks de votre choix.",_x000D_
"seller_fee_basis_points":1000,_x000D_
"image":"https://bafybeid7i4akooxuejxq2zmtsajshchkg2stmsst5pq5krk2bwvq46zwcy.ipfs.nftstorage.link?image_13.png",_x000D_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6" s="1" t="str">
        <f>formatRow(Tokens!C$2:I$2,Tokens!C176:I176)</f>
        <v>"name":"In Casa #13",_x000D_
"symbol":"COR22D13",_x000D_
"description":"In Casa, 1 an - Pass NFT 1 jour pour 1 personne, valable pour 1 édition Calvi On The Rocks de votre choix.",_x000D_
"seller_fee_basis_points":1000,_x000D_
"image":"https://bafybeid7i4akooxuejxq2zmtsajshchkg2stmsst5pq5krk2bwvq46zwcy.ipfs.nftstorage.link?image_13.png",_x000D_
"Issuer":"NfluenT for Calvi On The rocks",_x000D_
"external_url":""</v>
      </c>
      <c r="W176" s="1" t="str">
        <f>formatRow(Tokens!J$2:AV$2,Tokens!J176:AV176,2,"attributes")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6" s="1" t="str">
        <f>formatRow(Tokens!AX$2:BC$2,Tokens!AX176:BC176,2,"creators")</f>
        <v>"creators":[{"address":"paul",_x000D_
"share":10},{"address":"sophie",_x000D_
"share":90}]</v>
      </c>
      <c r="Y176" s="1" t="str">
        <f>formatRow(Tokens!BD$2:BI$2,Tokens!BD176:BI176,2,"files")</f>
        <v>"files":[]</v>
      </c>
      <c r="Z176" s="1"/>
      <c r="AA176" s="1"/>
      <c r="AB176" s="1"/>
      <c r="AC176" s="1" t="str">
        <f>formatRow(Tokens!BJ$2:BK$2,Tokens!BJ176:BK176,0,"collection")</f>
        <v>"collection":{"name":"In Casa",_x000D_
"family":"Calvi On The Rocks"}</v>
      </c>
    </row>
    <row r="177" spans="5:29" ht="14.25" customHeight="1" x14ac:dyDescent="0.25">
      <c r="E177" s="17" t="str">
        <f>IF(Tokens!C177="","",Tokens!C177)</f>
        <v>In Casa #14</v>
      </c>
      <c r="F177"/>
      <c r="G177"/>
      <c r="H177"/>
      <c r="I177"/>
      <c r="J177"/>
      <c r="M177"/>
      <c r="N177"/>
      <c r="O177" s="15" t="str">
        <f t="shared" si="4"/>
        <v>_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/>
      </c>
      <c r="Q177" s="2"/>
      <c r="R177" s="2"/>
      <c r="S177" s="11"/>
      <c r="T177" s="1" t="str">
        <f>"owner=" &amp; Tokens!BS177 &amp; "&amp;filename_for_metadata=" &amp; Tokens!BT177 &amp; "&amp;offchaindata_platform=" &amp; $B$17 &amp; "&amp;keyfile=" &amp; $B$5 &amp; "&amp;network=" &amp; LOWER($B$8) &amp; "&amp;repository=" &amp; $B$18</f>
        <v>owner=thomas&amp;filename_for_metadata=InCasa_COR22D14&amp;offchaindata_platform=MongoDB&amp;keyfile=Paul&amp;network=jsonfiles&amp;repository=test</v>
      </c>
      <c r="U177" s="1" t="str">
        <f t="shared" si="5"/>
        <v>{"name":"In Casa #14",_x000D_
"symbol":"COR22D14",_x000D_
"description":"In Casa, 1 an - Pass NFT 1 jour pour 1 personne, valable pour 1 édition Calvi On The Rocks de votre choix.",_x000D_
"seller_fee_basis_points":1000,_x000D_
"image":"https://bafybeig35i4gj4ijaps5itng2d7ivagpjp2qz6v7qdhxxkxkcnyhqrc7ma.ipfs.nftstorage.link?image_14.png",_x000D_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7" s="1" t="str">
        <f>formatRow(Tokens!C$2:I$2,Tokens!C177:I177)</f>
        <v>"name":"In Casa #14",_x000D_
"symbol":"COR22D14",_x000D_
"description":"In Casa, 1 an - Pass NFT 1 jour pour 1 personne, valable pour 1 édition Calvi On The Rocks de votre choix.",_x000D_
"seller_fee_basis_points":1000,_x000D_
"image":"https://bafybeig35i4gj4ijaps5itng2d7ivagpjp2qz6v7qdhxxkxkcnyhqrc7ma.ipfs.nftstorage.link?image_14.png",_x000D_
"Issuer":"NfluenT for Calvi On The rocks",_x000D_
"external_url":""</v>
      </c>
      <c r="W177" s="1" t="str">
        <f>formatRow(Tokens!J$2:AV$2,Tokens!J177:AV177,2,"attributes")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7" s="1" t="str">
        <f>formatRow(Tokens!AX$2:BC$2,Tokens!AX177:BC177,2,"creators")</f>
        <v>"creators":[{"address":"paul",_x000D_
"share":10},{"address":"sophie",_x000D_
"share":90}]</v>
      </c>
      <c r="Y177" s="1" t="str">
        <f>formatRow(Tokens!BD$2:BI$2,Tokens!BD177:BI177,2,"files")</f>
        <v>"files":[]</v>
      </c>
      <c r="Z177" s="1"/>
      <c r="AA177" s="1"/>
      <c r="AB177" s="1"/>
      <c r="AC177" s="1" t="str">
        <f>formatRow(Tokens!BJ$2:BK$2,Tokens!BJ177:BK177,0,"collection")</f>
        <v>"collection":{"name":"In Casa",_x000D_
"family":"Calvi On The Rocks"}</v>
      </c>
    </row>
    <row r="178" spans="5:29" ht="14.25" customHeight="1" x14ac:dyDescent="0.25">
      <c r="E178" s="17" t="str">
        <f>IF(Tokens!C178="","",Tokens!C178)</f>
        <v>In Casa #15</v>
      </c>
      <c r="F178"/>
      <c r="G178"/>
      <c r="H178"/>
      <c r="I178"/>
      <c r="J178"/>
      <c r="M178"/>
      <c r="N178"/>
      <c r="O178" s="15" t="str">
        <f t="shared" si="4"/>
        <v>_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/>
      </c>
      <c r="Q178" s="2"/>
      <c r="R178" s="2"/>
      <c r="S178" s="11"/>
      <c r="T178" s="1" t="str">
        <f>"owner=" &amp; Tokens!BS178 &amp; "&amp;filename_for_metadata=" &amp; Tokens!BT178 &amp; "&amp;offchaindata_platform=" &amp; $B$17 &amp; "&amp;keyfile=" &amp; $B$5 &amp; "&amp;network=" &amp; LOWER($B$8) &amp; "&amp;repository=" &amp; $B$18</f>
        <v>owner=thomas&amp;filename_for_metadata=InCasa_COR22D15&amp;offchaindata_platform=MongoDB&amp;keyfile=Paul&amp;network=jsonfiles&amp;repository=test</v>
      </c>
      <c r="U178" s="1" t="str">
        <f t="shared" si="5"/>
        <v>{"name":"In Casa #15",_x000D_
"symbol":"COR22D15",_x000D_
"description":"In Casa, 1 an - Pass NFT 1 jour pour 1 personne, valable pour 1 édition Calvi On The Rocks de votre choix.",_x000D_
"seller_fee_basis_points":1000,_x000D_
"image":"https://bafybeiemmtdjejkk3fxg5dt7rosxaxwap2twqmw5ckvpbczukoq3hbp5by.ipfs.nftstorage.link?image_15.png",_x000D_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8" s="1" t="str">
        <f>formatRow(Tokens!C$2:I$2,Tokens!C178:I178)</f>
        <v>"name":"In Casa #15",_x000D_
"symbol":"COR22D15",_x000D_
"description":"In Casa, 1 an - Pass NFT 1 jour pour 1 personne, valable pour 1 édition Calvi On The Rocks de votre choix.",_x000D_
"seller_fee_basis_points":1000,_x000D_
"image":"https://bafybeiemmtdjejkk3fxg5dt7rosxaxwap2twqmw5ckvpbczukoq3hbp5by.ipfs.nftstorage.link?image_15.png",_x000D_
"Issuer":"NfluenT for Calvi On The rocks",_x000D_
"external_url":""</v>
      </c>
      <c r="W178" s="1" t="str">
        <f>formatRow(Tokens!J$2:AV$2,Tokens!J178:AV178,2,"attributes")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8" s="1" t="str">
        <f>formatRow(Tokens!AX$2:BC$2,Tokens!AX178:BC178,2,"creators")</f>
        <v>"creators":[{"address":"paul",_x000D_
"share":10},{"address":"sophie",_x000D_
"share":90}]</v>
      </c>
      <c r="Y178" s="1" t="str">
        <f>formatRow(Tokens!BD$2:BI$2,Tokens!BD178:BI178,2,"files")</f>
        <v>"files":[]</v>
      </c>
      <c r="Z178" s="1"/>
      <c r="AA178" s="1"/>
      <c r="AB178" s="1"/>
      <c r="AC178" s="1" t="str">
        <f>formatRow(Tokens!BJ$2:BK$2,Tokens!BJ178:BK178,0,"collection")</f>
        <v>"collection":{"name":"In Casa",_x000D_
"family":"Calvi On The Rocks"}</v>
      </c>
    </row>
    <row r="179" spans="5:29" ht="14.25" customHeight="1" x14ac:dyDescent="0.25">
      <c r="E179" s="17" t="str">
        <f>IF(Tokens!C179="","",Tokens!C179)</f>
        <v>In Casa #16</v>
      </c>
      <c r="F179"/>
      <c r="G179"/>
      <c r="H179"/>
      <c r="I179"/>
      <c r="J179"/>
      <c r="M179"/>
      <c r="N179"/>
      <c r="O179" s="15" t="str">
        <f t="shared" si="4"/>
        <v>_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/>
      </c>
      <c r="Q179" s="2"/>
      <c r="R179" s="2"/>
      <c r="S179" s="11"/>
      <c r="T179" s="1" t="str">
        <f>"owner=" &amp; Tokens!BS179 &amp; "&amp;filename_for_metadata=" &amp; Tokens!BT179 &amp; "&amp;offchaindata_platform=" &amp; $B$17 &amp; "&amp;keyfile=" &amp; $B$5 &amp; "&amp;network=" &amp; LOWER($B$8) &amp; "&amp;repository=" &amp; $B$18</f>
        <v>owner=thomas&amp;filename_for_metadata=InCasa_COR22D16&amp;offchaindata_platform=MongoDB&amp;keyfile=Paul&amp;network=jsonfiles&amp;repository=test</v>
      </c>
      <c r="U179" s="1" t="str">
        <f t="shared" si="5"/>
        <v>{"name":"In Casa #16",_x000D_
"symbol":"COR22D16",_x000D_
"description":"In Casa, 1 an - Pass NFT 1 jour pour 1 personne, valable pour 1 édition Calvi On The Rocks de votre choix.",_x000D_
"seller_fee_basis_points":1000,_x000D_
"image":"https://bafybeifuk4acnivjp4r4ki3r5pfp726fldgbk3vfcoamjm73t2ycj5tg3m.ipfs.nftstorage.link?image_16.png",_x000D_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79" s="1" t="str">
        <f>formatRow(Tokens!C$2:I$2,Tokens!C179:I179)</f>
        <v>"name":"In Casa #16",_x000D_
"symbol":"COR22D16",_x000D_
"description":"In Casa, 1 an - Pass NFT 1 jour pour 1 personne, valable pour 1 édition Calvi On The Rocks de votre choix.",_x000D_
"seller_fee_basis_points":1000,_x000D_
"image":"https://bafybeifuk4acnivjp4r4ki3r5pfp726fldgbk3vfcoamjm73t2ycj5tg3m.ipfs.nftstorage.link?image_16.png",_x000D_
"Issuer":"NfluenT for Calvi On The rocks",_x000D_
"external_url":""</v>
      </c>
      <c r="W179" s="1" t="str">
        <f>formatRow(Tokens!J$2:AV$2,Tokens!J179:AV179,2,"attributes")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79" s="1" t="str">
        <f>formatRow(Tokens!AX$2:BC$2,Tokens!AX179:BC179,2,"creators")</f>
        <v>"creators":[{"address":"paul",_x000D_
"share":10},{"address":"sophie",_x000D_
"share":90}]</v>
      </c>
      <c r="Y179" s="1" t="str">
        <f>formatRow(Tokens!BD$2:BI$2,Tokens!BD179:BI179,2,"files")</f>
        <v>"files":[]</v>
      </c>
      <c r="Z179" s="1"/>
      <c r="AA179" s="1"/>
      <c r="AB179" s="1"/>
      <c r="AC179" s="1" t="str">
        <f>formatRow(Tokens!BJ$2:BK$2,Tokens!BJ179:BK179,0,"collection")</f>
        <v>"collection":{"name":"In Casa",_x000D_
"family":"Calvi On The Rocks"}</v>
      </c>
    </row>
    <row r="180" spans="5:29" ht="14.25" customHeight="1" x14ac:dyDescent="0.25">
      <c r="E180" s="17" t="str">
        <f>IF(Tokens!C180="","",Tokens!C180)</f>
        <v>In Casa #17</v>
      </c>
      <c r="F180"/>
      <c r="G180"/>
      <c r="H180"/>
      <c r="I180"/>
      <c r="J180"/>
      <c r="M180"/>
      <c r="N180"/>
      <c r="O180" s="15" t="str">
        <f t="shared" si="4"/>
        <v>_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/>
      </c>
      <c r="Q180" s="2"/>
      <c r="R180" s="2"/>
      <c r="S180" s="11"/>
      <c r="T180" s="1" t="str">
        <f>"owner=" &amp; Tokens!BS180 &amp; "&amp;filename_for_metadata=" &amp; Tokens!BT180 &amp; "&amp;offchaindata_platform=" &amp; $B$17 &amp; "&amp;keyfile=" &amp; $B$5 &amp; "&amp;network=" &amp; LOWER($B$8) &amp; "&amp;repository=" &amp; $B$18</f>
        <v>owner=thomas&amp;filename_for_metadata=InCasa_COR22D17&amp;offchaindata_platform=MongoDB&amp;keyfile=Paul&amp;network=jsonfiles&amp;repository=test</v>
      </c>
      <c r="U180" s="1" t="str">
        <f t="shared" si="5"/>
        <v>{"name":"In Casa #17",_x000D_
"symbol":"COR22D17",_x000D_
"description":"In Casa, 1 an - Pass NFT 1 jour pour 1 personne, valable pour 1 édition Calvi On The Rocks de votre choix.",_x000D_
"seller_fee_basis_points":1000,_x000D_
"image":"https://bafybeia5c7daemckellktqrle4zsf5zxxgydguzb2t4jhwizwa2ddfhklu.ipfs.nftstorage.link?image_17.png",_x000D_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0" s="1" t="str">
        <f>formatRow(Tokens!C$2:I$2,Tokens!C180:I180)</f>
        <v>"name":"In Casa #17",_x000D_
"symbol":"COR22D17",_x000D_
"description":"In Casa, 1 an - Pass NFT 1 jour pour 1 personne, valable pour 1 édition Calvi On The Rocks de votre choix.",_x000D_
"seller_fee_basis_points":1000,_x000D_
"image":"https://bafybeia5c7daemckellktqrle4zsf5zxxgydguzb2t4jhwizwa2ddfhklu.ipfs.nftstorage.link?image_17.png",_x000D_
"Issuer":"NfluenT for Calvi On The rocks",_x000D_
"external_url":""</v>
      </c>
      <c r="W180" s="1" t="str">
        <f>formatRow(Tokens!J$2:AV$2,Tokens!J180:AV180,2,"attributes")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0" s="1" t="str">
        <f>formatRow(Tokens!AX$2:BC$2,Tokens!AX180:BC180,2,"creators")</f>
        <v>"creators":[{"address":"paul",_x000D_
"share":10},{"address":"sophie",_x000D_
"share":90}]</v>
      </c>
      <c r="Y180" s="1" t="str">
        <f>formatRow(Tokens!BD$2:BI$2,Tokens!BD180:BI180,2,"files")</f>
        <v>"files":[]</v>
      </c>
      <c r="Z180" s="1"/>
      <c r="AA180" s="1"/>
      <c r="AB180" s="1"/>
      <c r="AC180" s="1" t="str">
        <f>formatRow(Tokens!BJ$2:BK$2,Tokens!BJ180:BK180,0,"collection")</f>
        <v>"collection":{"name":"In Casa",_x000D_
"family":"Calvi On The Rocks"}</v>
      </c>
    </row>
    <row r="181" spans="5:29" ht="14.25" customHeight="1" x14ac:dyDescent="0.25">
      <c r="E181" s="17" t="str">
        <f>IF(Tokens!C181="","",Tokens!C181)</f>
        <v>In Casa #18</v>
      </c>
      <c r="F181"/>
      <c r="G181"/>
      <c r="H181"/>
      <c r="I181"/>
      <c r="J181"/>
      <c r="M181"/>
      <c r="N181"/>
      <c r="O181" s="15" t="str">
        <f t="shared" si="4"/>
        <v>_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/>
      </c>
      <c r="Q181" s="2"/>
      <c r="R181" s="2"/>
      <c r="S181" s="11"/>
      <c r="T181" s="1" t="str">
        <f>"owner=" &amp; Tokens!BS181 &amp; "&amp;filename_for_metadata=" &amp; Tokens!BT181 &amp; "&amp;offchaindata_platform=" &amp; $B$17 &amp; "&amp;keyfile=" &amp; $B$5 &amp; "&amp;network=" &amp; LOWER($B$8) &amp; "&amp;repository=" &amp; $B$18</f>
        <v>owner=thomas&amp;filename_for_metadata=InCasa_COR22D18&amp;offchaindata_platform=MongoDB&amp;keyfile=Paul&amp;network=jsonfiles&amp;repository=test</v>
      </c>
      <c r="U181" s="1" t="str">
        <f t="shared" si="5"/>
        <v>{"name":"In Casa #18",_x000D_
"symbol":"COR22D18",_x000D_
"description":"In Casa, 1 an - Pass NFT 1 jour pour 1 personne, valable pour 1 édition Calvi On The Rocks de votre choix.",_x000D_
"seller_fee_basis_points":1000,_x000D_
"image":"https://bafybeicphs3qcir5ie2jo553gjupbxfwy2eh44oriqasmydazl757dss3i.ipfs.nftstorage.link?image_18.png",_x000D_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1" s="1" t="str">
        <f>formatRow(Tokens!C$2:I$2,Tokens!C181:I181)</f>
        <v>"name":"In Casa #18",_x000D_
"symbol":"COR22D18",_x000D_
"description":"In Casa, 1 an - Pass NFT 1 jour pour 1 personne, valable pour 1 édition Calvi On The Rocks de votre choix.",_x000D_
"seller_fee_basis_points":1000,_x000D_
"image":"https://bafybeicphs3qcir5ie2jo553gjupbxfwy2eh44oriqasmydazl757dss3i.ipfs.nftstorage.link?image_18.png",_x000D_
"Issuer":"NfluenT for Calvi On The rocks",_x000D_
"external_url":""</v>
      </c>
      <c r="W181" s="1" t="str">
        <f>formatRow(Tokens!J$2:AV$2,Tokens!J181:AV181,2,"attributes")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1" s="1" t="str">
        <f>formatRow(Tokens!AX$2:BC$2,Tokens!AX181:BC181,2,"creators")</f>
        <v>"creators":[{"address":"paul",_x000D_
"share":10},{"address":"sophie",_x000D_
"share":90}]</v>
      </c>
      <c r="Y181" s="1" t="str">
        <f>formatRow(Tokens!BD$2:BI$2,Tokens!BD181:BI181,2,"files")</f>
        <v>"files":[]</v>
      </c>
      <c r="Z181" s="1"/>
      <c r="AA181" s="1"/>
      <c r="AB181" s="1"/>
      <c r="AC181" s="1" t="str">
        <f>formatRow(Tokens!BJ$2:BK$2,Tokens!BJ181:BK181,0,"collection")</f>
        <v>"collection":{"name":"In Casa",_x000D_
"family":"Calvi On The Rocks"}</v>
      </c>
    </row>
    <row r="182" spans="5:29" ht="14.25" customHeight="1" x14ac:dyDescent="0.25">
      <c r="E182" s="17" t="str">
        <f>IF(Tokens!C182="","",Tokens!C182)</f>
        <v>In Casa #19</v>
      </c>
      <c r="F182"/>
      <c r="G182"/>
      <c r="H182"/>
      <c r="I182"/>
      <c r="J182"/>
      <c r="M182"/>
      <c r="N182"/>
      <c r="O182" s="15" t="str">
        <f t="shared" si="4"/>
        <v>_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/>
      </c>
      <c r="Q182" s="2"/>
      <c r="R182" s="2"/>
      <c r="S182" s="11"/>
      <c r="T182" s="1" t="str">
        <f>"owner=" &amp; Tokens!BS182 &amp; "&amp;filename_for_metadata=" &amp; Tokens!BT182 &amp; "&amp;offchaindata_platform=" &amp; $B$17 &amp; "&amp;keyfile=" &amp; $B$5 &amp; "&amp;network=" &amp; LOWER($B$8) &amp; "&amp;repository=" &amp; $B$18</f>
        <v>owner=thomas&amp;filename_for_metadata=InCasa_COR22D19&amp;offchaindata_platform=MongoDB&amp;keyfile=Paul&amp;network=jsonfiles&amp;repository=test</v>
      </c>
      <c r="U182" s="1" t="str">
        <f t="shared" si="5"/>
        <v>{"name":"In Casa #19",_x000D_
"symbol":"COR22D19",_x000D_
"description":"In Casa, 1 an - Pass NFT 1 jour pour 1 personne, valable pour 1 édition Calvi On The Rocks de votre choix.",_x000D_
"seller_fee_basis_points":1000,_x000D_
"image":"https://bafybeif6ttfc74lqsdn45lhp6xug3cbz4sa64ykwq2cbozljqxb7dvg2om.ipfs.nftstorage.link?image_19.png",_x000D_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2" s="1" t="str">
        <f>formatRow(Tokens!C$2:I$2,Tokens!C182:I182)</f>
        <v>"name":"In Casa #19",_x000D_
"symbol":"COR22D19",_x000D_
"description":"In Casa, 1 an - Pass NFT 1 jour pour 1 personne, valable pour 1 édition Calvi On The Rocks de votre choix.",_x000D_
"seller_fee_basis_points":1000,_x000D_
"image":"https://bafybeif6ttfc74lqsdn45lhp6xug3cbz4sa64ykwq2cbozljqxb7dvg2om.ipfs.nftstorage.link?image_19.png",_x000D_
"Issuer":"NfluenT for Calvi On The rocks",_x000D_
"external_url":""</v>
      </c>
      <c r="W182" s="1" t="str">
        <f>formatRow(Tokens!J$2:AV$2,Tokens!J182:AV182,2,"attributes")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2" s="1" t="str">
        <f>formatRow(Tokens!AX$2:BC$2,Tokens!AX182:BC182,2,"creators")</f>
        <v>"creators":[{"address":"paul",_x000D_
"share":10},{"address":"sophie",_x000D_
"share":90}]</v>
      </c>
      <c r="Y182" s="1" t="str">
        <f>formatRow(Tokens!BD$2:BI$2,Tokens!BD182:BI182,2,"files")</f>
        <v>"files":[]</v>
      </c>
      <c r="Z182" s="1"/>
      <c r="AA182" s="1"/>
      <c r="AB182" s="1"/>
      <c r="AC182" s="1" t="str">
        <f>formatRow(Tokens!BJ$2:BK$2,Tokens!BJ182:BK182,0,"collection")</f>
        <v>"collection":{"name":"In Casa",_x000D_
"family":"Calvi On The Rocks"}</v>
      </c>
    </row>
    <row r="183" spans="5:29" ht="14.25" customHeight="1" x14ac:dyDescent="0.25">
      <c r="E183" s="17" t="str">
        <f>IF(Tokens!C183="","",Tokens!C183)</f>
        <v>In Casa #20</v>
      </c>
      <c r="F183"/>
      <c r="G183"/>
      <c r="H183"/>
      <c r="I183"/>
      <c r="J183"/>
      <c r="M183"/>
      <c r="N183"/>
      <c r="O183" s="15" t="str">
        <f t="shared" si="4"/>
        <v>_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/>
      </c>
      <c r="Q183" s="2"/>
      <c r="R183" s="2"/>
      <c r="S183" s="11"/>
      <c r="T183" s="1" t="str">
        <f>"owner=" &amp; Tokens!BS183 &amp; "&amp;filename_for_metadata=" &amp; Tokens!BT183 &amp; "&amp;offchaindata_platform=" &amp; $B$17 &amp; "&amp;keyfile=" &amp; $B$5 &amp; "&amp;network=" &amp; LOWER($B$8) &amp; "&amp;repository=" &amp; $B$18</f>
        <v>owner=thomas&amp;filename_for_metadata=InCasa_COR22D20&amp;offchaindata_platform=MongoDB&amp;keyfile=Paul&amp;network=jsonfiles&amp;repository=test</v>
      </c>
      <c r="U183" s="1" t="str">
        <f t="shared" si="5"/>
        <v>{"name":"In Casa #20",_x000D_
"symbol":"COR22D20",_x000D_
"description":"In Casa, 1 an - Pass NFT 1 jour pour 1 personne, valable pour 1 édition Calvi On The Rocks de votre choix.",_x000D_
"seller_fee_basis_points":1000,_x000D_
"image":"https://bafybeiefaatdybxqagxi4cl36vbei75ne6hv4cew6otogtv6whnph6gdqu.ipfs.nftstorage.link?image_20.png",_x000D_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3" s="1" t="str">
        <f>formatRow(Tokens!C$2:I$2,Tokens!C183:I183)</f>
        <v>"name":"In Casa #20",_x000D_
"symbol":"COR22D20",_x000D_
"description":"In Casa, 1 an - Pass NFT 1 jour pour 1 personne, valable pour 1 édition Calvi On The Rocks de votre choix.",_x000D_
"seller_fee_basis_points":1000,_x000D_
"image":"https://bafybeiefaatdybxqagxi4cl36vbei75ne6hv4cew6otogtv6whnph6gdqu.ipfs.nftstorage.link?image_20.png",_x000D_
"Issuer":"NfluenT for Calvi On The rocks",_x000D_
"external_url":""</v>
      </c>
      <c r="W183" s="1" t="str">
        <f>formatRow(Tokens!J$2:AV$2,Tokens!J183:AV183,2,"attributes")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3" s="1" t="str">
        <f>formatRow(Tokens!AX$2:BC$2,Tokens!AX183:BC183,2,"creators")</f>
        <v>"creators":[{"address":"paul",_x000D_
"share":10},{"address":"sophie",_x000D_
"share":90}]</v>
      </c>
      <c r="Y183" s="1" t="str">
        <f>formatRow(Tokens!BD$2:BI$2,Tokens!BD183:BI183,2,"files")</f>
        <v>"files":[]</v>
      </c>
      <c r="Z183" s="1"/>
      <c r="AA183" s="1"/>
      <c r="AB183" s="1"/>
      <c r="AC183" s="1" t="str">
        <f>formatRow(Tokens!BJ$2:BK$2,Tokens!BJ183:BK183,0,"collection")</f>
        <v>"collection":{"name":"In Casa",_x000D_
"family":"Calvi On The Rocks"}</v>
      </c>
    </row>
    <row r="184" spans="5:29" ht="14.25" customHeight="1" x14ac:dyDescent="0.25">
      <c r="E184" s="17" t="str">
        <f>IF(Tokens!C184="","",Tokens!C184)</f>
        <v>In Casa #21</v>
      </c>
      <c r="F184"/>
      <c r="G184"/>
      <c r="H184"/>
      <c r="I184"/>
      <c r="J184"/>
      <c r="M184"/>
      <c r="N184"/>
      <c r="O184" s="15" t="str">
        <f t="shared" si="4"/>
        <v>_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/>
      </c>
      <c r="Q184" s="2"/>
      <c r="R184" s="2"/>
      <c r="S184" s="11"/>
      <c r="T184" s="1" t="str">
        <f>"owner=" &amp; Tokens!BS184 &amp; "&amp;filename_for_metadata=" &amp; Tokens!BT184 &amp; "&amp;offchaindata_platform=" &amp; $B$17 &amp; "&amp;keyfile=" &amp; $B$5 &amp; "&amp;network=" &amp; LOWER($B$8) &amp; "&amp;repository=" &amp; $B$18</f>
        <v>owner=thomas&amp;filename_for_metadata=InCasa_COR22D21&amp;offchaindata_platform=MongoDB&amp;keyfile=Paul&amp;network=jsonfiles&amp;repository=test</v>
      </c>
      <c r="U184" s="1" t="str">
        <f t="shared" si="5"/>
        <v>{"name":"In Casa #21",_x000D_
"symbol":"COR22D21",_x000D_
"description":"In Casa, 1 an - Pass NFT 1 jour pour 1 personne, valable pour 1 édition Calvi On The Rocks de votre choix.",_x000D_
"seller_fee_basis_points":1000,_x000D_
"image":"https://bafybeicwojcjvg34jy4djfoe2ppagku65qqg3uj3xbwvvcn25be63xhbpu.ipfs.nftstorage.link?image_21.png",_x000D_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4" s="1" t="str">
        <f>formatRow(Tokens!C$2:I$2,Tokens!C184:I184)</f>
        <v>"name":"In Casa #21",_x000D_
"symbol":"COR22D21",_x000D_
"description":"In Casa, 1 an - Pass NFT 1 jour pour 1 personne, valable pour 1 édition Calvi On The Rocks de votre choix.",_x000D_
"seller_fee_basis_points":1000,_x000D_
"image":"https://bafybeicwojcjvg34jy4djfoe2ppagku65qqg3uj3xbwvvcn25be63xhbpu.ipfs.nftstorage.link?image_21.png",_x000D_
"Issuer":"NfluenT for Calvi On The rocks",_x000D_
"external_url":""</v>
      </c>
      <c r="W184" s="1" t="str">
        <f>formatRow(Tokens!J$2:AV$2,Tokens!J184:AV184,2,"attributes")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4" s="1" t="str">
        <f>formatRow(Tokens!AX$2:BC$2,Tokens!AX184:BC184,2,"creators")</f>
        <v>"creators":[{"address":"paul",_x000D_
"share":10},{"address":"sophie",_x000D_
"share":90}]</v>
      </c>
      <c r="Y184" s="1" t="str">
        <f>formatRow(Tokens!BD$2:BI$2,Tokens!BD184:BI184,2,"files")</f>
        <v>"files":[]</v>
      </c>
      <c r="Z184" s="1"/>
      <c r="AA184" s="1"/>
      <c r="AB184" s="1"/>
      <c r="AC184" s="1" t="str">
        <f>formatRow(Tokens!BJ$2:BK$2,Tokens!BJ184:BK184,0,"collection")</f>
        <v>"collection":{"name":"In Casa",_x000D_
"family":"Calvi On The Rocks"}</v>
      </c>
    </row>
    <row r="185" spans="5:29" ht="14.25" customHeight="1" x14ac:dyDescent="0.25">
      <c r="E185" s="17" t="str">
        <f>IF(Tokens!C185="","",Tokens!C185)</f>
        <v>In Casa #22</v>
      </c>
      <c r="F185"/>
      <c r="G185"/>
      <c r="H185"/>
      <c r="I185"/>
      <c r="J185"/>
      <c r="M185"/>
      <c r="N185"/>
      <c r="O185" s="15" t="str">
        <f t="shared" si="4"/>
        <v>_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/>
      </c>
      <c r="Q185" s="2"/>
      <c r="R185" s="2"/>
      <c r="S185" s="11"/>
      <c r="T185" s="1" t="str">
        <f>"owner=" &amp; Tokens!BS185 &amp; "&amp;filename_for_metadata=" &amp; Tokens!BT185 &amp; "&amp;offchaindata_platform=" &amp; $B$17 &amp; "&amp;keyfile=" &amp; $B$5 &amp; "&amp;network=" &amp; LOWER($B$8) &amp; "&amp;repository=" &amp; $B$18</f>
        <v>owner=thomas&amp;filename_for_metadata=InCasa_COR22D22&amp;offchaindata_platform=MongoDB&amp;keyfile=Paul&amp;network=jsonfiles&amp;repository=test</v>
      </c>
      <c r="U185" s="1" t="str">
        <f t="shared" si="5"/>
        <v>{"name":"In Casa #22",_x000D_
"symbol":"COR22D22",_x000D_
"description":"In Casa, 1 an - Pass NFT 1 jour pour 1 personne, valable pour 1 édition Calvi On The Rocks de votre choix.",_x000D_
"seller_fee_basis_points":1000,_x000D_
"image":"https://bafybeidae6olwr27uutzzehvfowdhxjunmtjc3fypwxumyxxoa7ql5xtly.ipfs.nftstorage.link?image_22.png",_x000D_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5" s="1" t="str">
        <f>formatRow(Tokens!C$2:I$2,Tokens!C185:I185)</f>
        <v>"name":"In Casa #22",_x000D_
"symbol":"COR22D22",_x000D_
"description":"In Casa, 1 an - Pass NFT 1 jour pour 1 personne, valable pour 1 édition Calvi On The Rocks de votre choix.",_x000D_
"seller_fee_basis_points":1000,_x000D_
"image":"https://bafybeidae6olwr27uutzzehvfowdhxjunmtjc3fypwxumyxxoa7ql5xtly.ipfs.nftstorage.link?image_22.png",_x000D_
"Issuer":"NfluenT for Calvi On The rocks",_x000D_
"external_url":""</v>
      </c>
      <c r="W185" s="1" t="str">
        <f>formatRow(Tokens!J$2:AV$2,Tokens!J185:AV185,2,"attributes")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5" s="1" t="str">
        <f>formatRow(Tokens!AX$2:BC$2,Tokens!AX185:BC185,2,"creators")</f>
        <v>"creators":[{"address":"paul",_x000D_
"share":10},{"address":"sophie",_x000D_
"share":90}]</v>
      </c>
      <c r="Y185" s="1" t="str">
        <f>formatRow(Tokens!BD$2:BI$2,Tokens!BD185:BI185,2,"files")</f>
        <v>"files":[]</v>
      </c>
      <c r="Z185" s="1"/>
      <c r="AA185" s="1"/>
      <c r="AB185" s="1"/>
      <c r="AC185" s="1" t="str">
        <f>formatRow(Tokens!BJ$2:BK$2,Tokens!BJ185:BK185,0,"collection")</f>
        <v>"collection":{"name":"In Casa",_x000D_
"family":"Calvi On The Rocks"}</v>
      </c>
    </row>
    <row r="186" spans="5:29" ht="14.25" customHeight="1" x14ac:dyDescent="0.25">
      <c r="E186" s="17" t="str">
        <f>IF(Tokens!C186="","",Tokens!C186)</f>
        <v>In Casa #23</v>
      </c>
      <c r="F186"/>
      <c r="G186"/>
      <c r="H186"/>
      <c r="I186"/>
      <c r="J186"/>
      <c r="M186"/>
      <c r="N186"/>
      <c r="O186" s="15" t="str">
        <f t="shared" si="4"/>
        <v>_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/>
      </c>
      <c r="Q186" s="2"/>
      <c r="R186" s="2"/>
      <c r="S186" s="11"/>
      <c r="T186" s="1" t="str">
        <f>"owner=" &amp; Tokens!BS186 &amp; "&amp;filename_for_metadata=" &amp; Tokens!BT186 &amp; "&amp;offchaindata_platform=" &amp; $B$17 &amp; "&amp;keyfile=" &amp; $B$5 &amp; "&amp;network=" &amp; LOWER($B$8) &amp; "&amp;repository=" &amp; $B$18</f>
        <v>owner=thomas&amp;filename_for_metadata=InCasa_COR22D23&amp;offchaindata_platform=MongoDB&amp;keyfile=Paul&amp;network=jsonfiles&amp;repository=test</v>
      </c>
      <c r="U186" s="1" t="str">
        <f t="shared" si="5"/>
        <v>{"name":"In Casa #23",_x000D_
"symbol":"COR22D23",_x000D_
"description":"In Casa, 1 an - Pass NFT 1 jour pour 1 personne, valable pour 1 édition Calvi On The Rocks de votre choix.",_x000D_
"seller_fee_basis_points":1000,_x000D_
"image":"https://bafybeia64adrly342xzve6xqp2xu2xdr6mvwtftkz7c5kadx4ydecinqrq.ipfs.nftstorage.link?image_23.png",_x000D_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6" s="1" t="str">
        <f>formatRow(Tokens!C$2:I$2,Tokens!C186:I186)</f>
        <v>"name":"In Casa #23",_x000D_
"symbol":"COR22D23",_x000D_
"description":"In Casa, 1 an - Pass NFT 1 jour pour 1 personne, valable pour 1 édition Calvi On The Rocks de votre choix.",_x000D_
"seller_fee_basis_points":1000,_x000D_
"image":"https://bafybeia64adrly342xzve6xqp2xu2xdr6mvwtftkz7c5kadx4ydecinqrq.ipfs.nftstorage.link?image_23.png",_x000D_
"Issuer":"NfluenT for Calvi On The rocks",_x000D_
"external_url":""</v>
      </c>
      <c r="W186" s="1" t="str">
        <f>formatRow(Tokens!J$2:AV$2,Tokens!J186:AV186,2,"attributes")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6" s="1" t="str">
        <f>formatRow(Tokens!AX$2:BC$2,Tokens!AX186:BC186,2,"creators")</f>
        <v>"creators":[{"address":"paul",_x000D_
"share":10},{"address":"sophie",_x000D_
"share":90}]</v>
      </c>
      <c r="Y186" s="1" t="str">
        <f>formatRow(Tokens!BD$2:BI$2,Tokens!BD186:BI186,2,"files")</f>
        <v>"files":[]</v>
      </c>
      <c r="Z186" s="1"/>
      <c r="AA186" s="1"/>
      <c r="AB186" s="1"/>
      <c r="AC186" s="1" t="str">
        <f>formatRow(Tokens!BJ$2:BK$2,Tokens!BJ186:BK186,0,"collection")</f>
        <v>"collection":{"name":"In Casa",_x000D_
"family":"Calvi On The Rocks"}</v>
      </c>
    </row>
    <row r="187" spans="5:29" ht="14.25" customHeight="1" x14ac:dyDescent="0.25">
      <c r="E187" s="17" t="str">
        <f>IF(Tokens!C187="","",Tokens!C187)</f>
        <v>In Casa #24</v>
      </c>
      <c r="F187"/>
      <c r="G187"/>
      <c r="H187"/>
      <c r="I187"/>
      <c r="J187"/>
      <c r="M187"/>
      <c r="N187"/>
      <c r="O187" s="15" t="str">
        <f t="shared" si="4"/>
        <v>_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/>
      </c>
      <c r="Q187" s="2"/>
      <c r="R187" s="2"/>
      <c r="S187" s="11"/>
      <c r="T187" s="1" t="str">
        <f>"owner=" &amp; Tokens!BS187 &amp; "&amp;filename_for_metadata=" &amp; Tokens!BT187 &amp; "&amp;offchaindata_platform=" &amp; $B$17 &amp; "&amp;keyfile=" &amp; $B$5 &amp; "&amp;network=" &amp; LOWER($B$8) &amp; "&amp;repository=" &amp; $B$18</f>
        <v>owner=thomas&amp;filename_for_metadata=InCasa_COR22D24&amp;offchaindata_platform=MongoDB&amp;keyfile=Paul&amp;network=jsonfiles&amp;repository=test</v>
      </c>
      <c r="U187" s="1" t="str">
        <f t="shared" si="5"/>
        <v>{"name":"In Casa #24",_x000D_
"symbol":"COR22D24",_x000D_
"description":"In Casa, 1 an - Pass NFT 1 jour pour 1 personne, valable pour 1 édition Calvi On The Rocks de votre choix.",_x000D_
"seller_fee_basis_points":1000,_x000D_
"image":"https://bafybeichgctk7hfgrp3srhcfyyj3jhwphzucf5fssjjv3j4klilvryoapu.ipfs.nftstorage.link?image_24.png",_x000D_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7" s="1" t="str">
        <f>formatRow(Tokens!C$2:I$2,Tokens!C187:I187)</f>
        <v>"name":"In Casa #24",_x000D_
"symbol":"COR22D24",_x000D_
"description":"In Casa, 1 an - Pass NFT 1 jour pour 1 personne, valable pour 1 édition Calvi On The Rocks de votre choix.",_x000D_
"seller_fee_basis_points":1000,_x000D_
"image":"https://bafybeichgctk7hfgrp3srhcfyyj3jhwphzucf5fssjjv3j4klilvryoapu.ipfs.nftstorage.link?image_24.png",_x000D_
"Issuer":"NfluenT for Calvi On The rocks",_x000D_
"external_url":""</v>
      </c>
      <c r="W187" s="1" t="str">
        <f>formatRow(Tokens!J$2:AV$2,Tokens!J187:AV187,2,"attributes")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7" s="1" t="str">
        <f>formatRow(Tokens!AX$2:BC$2,Tokens!AX187:BC187,2,"creators")</f>
        <v>"creators":[{"address":"paul",_x000D_
"share":10},{"address":"sophie",_x000D_
"share":90}]</v>
      </c>
      <c r="Y187" s="1" t="str">
        <f>formatRow(Tokens!BD$2:BI$2,Tokens!BD187:BI187,2,"files")</f>
        <v>"files":[]</v>
      </c>
      <c r="Z187" s="1"/>
      <c r="AA187" s="1"/>
      <c r="AB187" s="1"/>
      <c r="AC187" s="1" t="str">
        <f>formatRow(Tokens!BJ$2:BK$2,Tokens!BJ187:BK187,0,"collection")</f>
        <v>"collection":{"name":"In Casa",_x000D_
"family":"Calvi On The Rocks"}</v>
      </c>
    </row>
    <row r="188" spans="5:29" ht="14.25" customHeight="1" x14ac:dyDescent="0.25">
      <c r="E188" s="17" t="str">
        <f>IF(Tokens!C188="","",Tokens!C188)</f>
        <v>In Casa #25</v>
      </c>
      <c r="F188"/>
      <c r="G188"/>
      <c r="H188"/>
      <c r="I188"/>
      <c r="J188"/>
      <c r="M188"/>
      <c r="N188"/>
      <c r="O188" s="15" t="str">
        <f t="shared" si="4"/>
        <v>_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/>
      </c>
      <c r="Q188" s="2"/>
      <c r="R188" s="2"/>
      <c r="S188" s="11"/>
      <c r="T188" s="1" t="str">
        <f>"owner=" &amp; Tokens!BS188 &amp; "&amp;filename_for_metadata=" &amp; Tokens!BT188 &amp; "&amp;offchaindata_platform=" &amp; $B$17 &amp; "&amp;keyfile=" &amp; $B$5 &amp; "&amp;network=" &amp; LOWER($B$8) &amp; "&amp;repository=" &amp; $B$18</f>
        <v>owner=thomas&amp;filename_for_metadata=InCasa_COR22D25&amp;offchaindata_platform=MongoDB&amp;keyfile=Paul&amp;network=jsonfiles&amp;repository=test</v>
      </c>
      <c r="U188" s="1" t="str">
        <f t="shared" si="5"/>
        <v>{"name":"In Casa #25",_x000D_
"symbol":"COR22D25",_x000D_
"description":"In Casa, 1 an - Pass NFT 1 jour pour 1 personne, valable pour 1 édition Calvi On The Rocks de votre choix.",_x000D_
"seller_fee_basis_points":1000,_x000D_
"image":"https://bafybeigo3ea2sztxcjn3hl72ebv6rubtgbaz3b3ztfhvabk47byxepaiby.ipfs.nftstorage.link?image_25.png",_x000D_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8" s="1" t="str">
        <f>formatRow(Tokens!C$2:I$2,Tokens!C188:I188)</f>
        <v>"name":"In Casa #25",_x000D_
"symbol":"COR22D25",_x000D_
"description":"In Casa, 1 an - Pass NFT 1 jour pour 1 personne, valable pour 1 édition Calvi On The Rocks de votre choix.",_x000D_
"seller_fee_basis_points":1000,_x000D_
"image":"https://bafybeigo3ea2sztxcjn3hl72ebv6rubtgbaz3b3ztfhvabk47byxepaiby.ipfs.nftstorage.link?image_25.png",_x000D_
"Issuer":"NfluenT for Calvi On The rocks",_x000D_
"external_url":""</v>
      </c>
      <c r="W188" s="1" t="str">
        <f>formatRow(Tokens!J$2:AV$2,Tokens!J188:AV188,2,"attributes")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8" s="1" t="str">
        <f>formatRow(Tokens!AX$2:BC$2,Tokens!AX188:BC188,2,"creators")</f>
        <v>"creators":[{"address":"paul",_x000D_
"share":10},{"address":"sophie",_x000D_
"share":90}]</v>
      </c>
      <c r="Y188" s="1" t="str">
        <f>formatRow(Tokens!BD$2:BI$2,Tokens!BD188:BI188,2,"files")</f>
        <v>"files":[]</v>
      </c>
      <c r="Z188" s="1"/>
      <c r="AA188" s="1"/>
      <c r="AB188" s="1"/>
      <c r="AC188" s="1" t="str">
        <f>formatRow(Tokens!BJ$2:BK$2,Tokens!BJ188:BK188,0,"collection")</f>
        <v>"collection":{"name":"In Casa",_x000D_
"family":"Calvi On The Rocks"}</v>
      </c>
    </row>
    <row r="189" spans="5:29" ht="14.25" customHeight="1" x14ac:dyDescent="0.25">
      <c r="E189" s="17" t="str">
        <f>IF(Tokens!C189="","",Tokens!C189)</f>
        <v>In Casa #26</v>
      </c>
      <c r="F189"/>
      <c r="G189"/>
      <c r="H189"/>
      <c r="I189"/>
      <c r="J189"/>
      <c r="M189"/>
      <c r="N189"/>
      <c r="O189" s="15" t="str">
        <f t="shared" si="4"/>
        <v>_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/>
      </c>
      <c r="Q189" s="2"/>
      <c r="R189" s="2"/>
      <c r="S189" s="11"/>
      <c r="T189" s="1" t="str">
        <f>"owner=" &amp; Tokens!BS189 &amp; "&amp;filename_for_metadata=" &amp; Tokens!BT189 &amp; "&amp;offchaindata_platform=" &amp; $B$17 &amp; "&amp;keyfile=" &amp; $B$5 &amp; "&amp;network=" &amp; LOWER($B$8) &amp; "&amp;repository=" &amp; $B$18</f>
        <v>owner=thomas&amp;filename_for_metadata=InCasa_COR22D26&amp;offchaindata_platform=MongoDB&amp;keyfile=Paul&amp;network=jsonfiles&amp;repository=test</v>
      </c>
      <c r="U189" s="1" t="str">
        <f t="shared" si="5"/>
        <v>{"name":"In Casa #26",_x000D_
"symbol":"COR22D26",_x000D_
"description":"In Casa, 1 an - Pass NFT 1 jour pour 1 personne, valable pour 1 édition Calvi On The Rocks de votre choix.",_x000D_
"seller_fee_basis_points":1000,_x000D_
"image":"https://bafybeig42qrpsu6iyhbhhy7q7kfpkopiibv6ili52fbnfh5vzmapfdhxlq.ipfs.nftstorage.link?image_26.png",_x000D_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89" s="1" t="str">
        <f>formatRow(Tokens!C$2:I$2,Tokens!C189:I189)</f>
        <v>"name":"In Casa #26",_x000D_
"symbol":"COR22D26",_x000D_
"description":"In Casa, 1 an - Pass NFT 1 jour pour 1 personne, valable pour 1 édition Calvi On The Rocks de votre choix.",_x000D_
"seller_fee_basis_points":1000,_x000D_
"image":"https://bafybeig42qrpsu6iyhbhhy7q7kfpkopiibv6ili52fbnfh5vzmapfdhxlq.ipfs.nftstorage.link?image_26.png",_x000D_
"Issuer":"NfluenT for Calvi On The rocks",_x000D_
"external_url":""</v>
      </c>
      <c r="W189" s="1" t="str">
        <f>formatRow(Tokens!J$2:AV$2,Tokens!J189:AV189,2,"attributes")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89" s="1" t="str">
        <f>formatRow(Tokens!AX$2:BC$2,Tokens!AX189:BC189,2,"creators")</f>
        <v>"creators":[{"address":"paul",_x000D_
"share":10},{"address":"sophie",_x000D_
"share":90}]</v>
      </c>
      <c r="Y189" s="1" t="str">
        <f>formatRow(Tokens!BD$2:BI$2,Tokens!BD189:BI189,2,"files")</f>
        <v>"files":[]</v>
      </c>
      <c r="Z189" s="1"/>
      <c r="AA189" s="1"/>
      <c r="AB189" s="1"/>
      <c r="AC189" s="1" t="str">
        <f>formatRow(Tokens!BJ$2:BK$2,Tokens!BJ189:BK189,0,"collection")</f>
        <v>"collection":{"name":"In Casa",_x000D_
"family":"Calvi On The Rocks"}</v>
      </c>
    </row>
    <row r="190" spans="5:29" ht="14.25" customHeight="1" x14ac:dyDescent="0.25">
      <c r="E190" s="17" t="str">
        <f>IF(Tokens!C190="","",Tokens!C190)</f>
        <v>In Casa #27</v>
      </c>
      <c r="F190"/>
      <c r="G190"/>
      <c r="H190"/>
      <c r="I190"/>
      <c r="J190"/>
      <c r="M190"/>
      <c r="N190"/>
      <c r="O190" s="15" t="str">
        <f t="shared" si="4"/>
        <v>_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/>
      </c>
      <c r="Q190" s="2"/>
      <c r="R190" s="2"/>
      <c r="S190" s="11"/>
      <c r="T190" s="1" t="str">
        <f>"owner=" &amp; Tokens!BS190 &amp; "&amp;filename_for_metadata=" &amp; Tokens!BT190 &amp; "&amp;offchaindata_platform=" &amp; $B$17 &amp; "&amp;keyfile=" &amp; $B$5 &amp; "&amp;network=" &amp; LOWER($B$8) &amp; "&amp;repository=" &amp; $B$18</f>
        <v>owner=thomas&amp;filename_for_metadata=InCasa_COR22D27&amp;offchaindata_platform=MongoDB&amp;keyfile=Paul&amp;network=jsonfiles&amp;repository=test</v>
      </c>
      <c r="U190" s="1" t="str">
        <f t="shared" si="5"/>
        <v>{"name":"In Casa #27",_x000D_
"symbol":"COR22D27",_x000D_
"description":"In Casa, 1 an - Pass NFT 1 jour pour 1 personne, valable pour 1 édition Calvi On The Rocks de votre choix.",_x000D_
"seller_fee_basis_points":1000,_x000D_
"image":"https://bafybeiezluznifxxxvzlgaz7upaz5t3ydvmyofmcdl75e3ofoccp44mhfe.ipfs.nftstorage.link?image_27.png",_x000D_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0" s="1" t="str">
        <f>formatRow(Tokens!C$2:I$2,Tokens!C190:I190)</f>
        <v>"name":"In Casa #27",_x000D_
"symbol":"COR22D27",_x000D_
"description":"In Casa, 1 an - Pass NFT 1 jour pour 1 personne, valable pour 1 édition Calvi On The Rocks de votre choix.",_x000D_
"seller_fee_basis_points":1000,_x000D_
"image":"https://bafybeiezluznifxxxvzlgaz7upaz5t3ydvmyofmcdl75e3ofoccp44mhfe.ipfs.nftstorage.link?image_27.png",_x000D_
"Issuer":"NfluenT for Calvi On The rocks",_x000D_
"external_url":""</v>
      </c>
      <c r="W190" s="1" t="str">
        <f>formatRow(Tokens!J$2:AV$2,Tokens!J190:AV190,2,"attributes")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0" s="1" t="str">
        <f>formatRow(Tokens!AX$2:BC$2,Tokens!AX190:BC190,2,"creators")</f>
        <v>"creators":[{"address":"paul",_x000D_
"share":10},{"address":"sophie",_x000D_
"share":90}]</v>
      </c>
      <c r="Y190" s="1" t="str">
        <f>formatRow(Tokens!BD$2:BI$2,Tokens!BD190:BI190,2,"files")</f>
        <v>"files":[]</v>
      </c>
      <c r="Z190" s="1"/>
      <c r="AA190" s="1"/>
      <c r="AB190" s="1"/>
      <c r="AC190" s="1" t="str">
        <f>formatRow(Tokens!BJ$2:BK$2,Tokens!BJ190:BK190,0,"collection")</f>
        <v>"collection":{"name":"In Casa",_x000D_
"family":"Calvi On The Rocks"}</v>
      </c>
    </row>
    <row r="191" spans="5:29" ht="14.25" customHeight="1" x14ac:dyDescent="0.25">
      <c r="E191" s="17" t="str">
        <f>IF(Tokens!C191="","",Tokens!C191)</f>
        <v>In Casa #28</v>
      </c>
      <c r="F191"/>
      <c r="G191"/>
      <c r="H191"/>
      <c r="I191"/>
      <c r="J191"/>
      <c r="M191"/>
      <c r="N191"/>
      <c r="O191" s="15" t="str">
        <f t="shared" si="4"/>
        <v>_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/>
      </c>
      <c r="Q191" s="2"/>
      <c r="R191" s="2"/>
      <c r="S191" s="11"/>
      <c r="T191" s="1" t="str">
        <f>"owner=" &amp; Tokens!BS191 &amp; "&amp;filename_for_metadata=" &amp; Tokens!BT191 &amp; "&amp;offchaindata_platform=" &amp; $B$17 &amp; "&amp;keyfile=" &amp; $B$5 &amp; "&amp;network=" &amp; LOWER($B$8) &amp; "&amp;repository=" &amp; $B$18</f>
        <v>owner=thomas&amp;filename_for_metadata=InCasa_COR22D28&amp;offchaindata_platform=MongoDB&amp;keyfile=Paul&amp;network=jsonfiles&amp;repository=test</v>
      </c>
      <c r="U191" s="1" t="str">
        <f t="shared" si="5"/>
        <v>{"name":"In Casa #28",_x000D_
"symbol":"COR22D28",_x000D_
"description":"In Casa, 1 an - Pass NFT 1 jour pour 1 personne, valable pour 1 édition Calvi On The Rocks de votre choix.",_x000D_
"seller_fee_basis_points":1000,_x000D_
"image":"https://bafybeic4wl5bjbkynw2cj5jmz5k6y4nxqbbojtodtf6vepr7xnl6an5yn4.ipfs.nftstorage.link?image_28.png",_x000D_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1" s="1" t="str">
        <f>formatRow(Tokens!C$2:I$2,Tokens!C191:I191)</f>
        <v>"name":"In Casa #28",_x000D_
"symbol":"COR22D28",_x000D_
"description":"In Casa, 1 an - Pass NFT 1 jour pour 1 personne, valable pour 1 édition Calvi On The Rocks de votre choix.",_x000D_
"seller_fee_basis_points":1000,_x000D_
"image":"https://bafybeic4wl5bjbkynw2cj5jmz5k6y4nxqbbojtodtf6vepr7xnl6an5yn4.ipfs.nftstorage.link?image_28.png",_x000D_
"Issuer":"NfluenT for Calvi On The rocks",_x000D_
"external_url":""</v>
      </c>
      <c r="W191" s="1" t="str">
        <f>formatRow(Tokens!J$2:AV$2,Tokens!J191:AV191,2,"attributes")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1" s="1" t="str">
        <f>formatRow(Tokens!AX$2:BC$2,Tokens!AX191:BC191,2,"creators")</f>
        <v>"creators":[{"address":"paul",_x000D_
"share":10},{"address":"sophie",_x000D_
"share":90}]</v>
      </c>
      <c r="Y191" s="1" t="str">
        <f>formatRow(Tokens!BD$2:BI$2,Tokens!BD191:BI191,2,"files")</f>
        <v>"files":[]</v>
      </c>
      <c r="Z191" s="1"/>
      <c r="AA191" s="1"/>
      <c r="AB191" s="1"/>
      <c r="AC191" s="1" t="str">
        <f>formatRow(Tokens!BJ$2:BK$2,Tokens!BJ191:BK191,0,"collection")</f>
        <v>"collection":{"name":"In Casa",_x000D_
"family":"Calvi On The Rocks"}</v>
      </c>
    </row>
    <row r="192" spans="5:29" ht="14.25" customHeight="1" x14ac:dyDescent="0.25">
      <c r="E192" s="17" t="str">
        <f>IF(Tokens!C192="","",Tokens!C192)</f>
        <v>In Casa #29</v>
      </c>
      <c r="F192"/>
      <c r="G192"/>
      <c r="H192"/>
      <c r="I192"/>
      <c r="J192"/>
      <c r="M192"/>
      <c r="N192"/>
      <c r="O192" s="15" t="str">
        <f t="shared" si="4"/>
        <v>_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/>
      </c>
      <c r="Q192" s="2"/>
      <c r="R192" s="2"/>
      <c r="S192" s="11"/>
      <c r="T192" s="1" t="str">
        <f>"owner=" &amp; Tokens!BS192 &amp; "&amp;filename_for_metadata=" &amp; Tokens!BT192 &amp; "&amp;offchaindata_platform=" &amp; $B$17 &amp; "&amp;keyfile=" &amp; $B$5 &amp; "&amp;network=" &amp; LOWER($B$8) &amp; "&amp;repository=" &amp; $B$18</f>
        <v>owner=thomas&amp;filename_for_metadata=InCasa_COR22D29&amp;offchaindata_platform=MongoDB&amp;keyfile=Paul&amp;network=jsonfiles&amp;repository=test</v>
      </c>
      <c r="U192" s="1" t="str">
        <f t="shared" si="5"/>
        <v>{"name":"In Casa #29",_x000D_
"symbol":"COR22D29",_x000D_
"description":"In Casa, 1 an - Pass NFT 1 jour pour 1 personne, valable pour 1 édition Calvi On The Rocks de votre choix.",_x000D_
"seller_fee_basis_points":1000,_x000D_
"image":"https://bafybeihmq7nv7du37jtpkltzyizblm6v7iregzmbcsugxw4ugwa7bvkm6m.ipfs.nftstorage.link?image_29.png",_x000D_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2" s="1" t="str">
        <f>formatRow(Tokens!C$2:I$2,Tokens!C192:I192)</f>
        <v>"name":"In Casa #29",_x000D_
"symbol":"COR22D29",_x000D_
"description":"In Casa, 1 an - Pass NFT 1 jour pour 1 personne, valable pour 1 édition Calvi On The Rocks de votre choix.",_x000D_
"seller_fee_basis_points":1000,_x000D_
"image":"https://bafybeihmq7nv7du37jtpkltzyizblm6v7iregzmbcsugxw4ugwa7bvkm6m.ipfs.nftstorage.link?image_29.png",_x000D_
"Issuer":"NfluenT for Calvi On The rocks",_x000D_
"external_url":""</v>
      </c>
      <c r="W192" s="1" t="str">
        <f>formatRow(Tokens!J$2:AV$2,Tokens!J192:AV192,2,"attributes")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2" s="1" t="str">
        <f>formatRow(Tokens!AX$2:BC$2,Tokens!AX192:BC192,2,"creators")</f>
        <v>"creators":[{"address":"paul",_x000D_
"share":10},{"address":"sophie",_x000D_
"share":90}]</v>
      </c>
      <c r="Y192" s="1" t="str">
        <f>formatRow(Tokens!BD$2:BI$2,Tokens!BD192:BI192,2,"files")</f>
        <v>"files":[]</v>
      </c>
      <c r="Z192" s="1"/>
      <c r="AA192" s="1"/>
      <c r="AB192" s="1"/>
      <c r="AC192" s="1" t="str">
        <f>formatRow(Tokens!BJ$2:BK$2,Tokens!BJ192:BK192,0,"collection")</f>
        <v>"collection":{"name":"In Casa",_x000D_
"family":"Calvi On The Rocks"}</v>
      </c>
    </row>
    <row r="193" spans="5:29" ht="14.25" customHeight="1" x14ac:dyDescent="0.25">
      <c r="E193" s="17" t="str">
        <f>IF(Tokens!C193="","",Tokens!C193)</f>
        <v>In Casa #30</v>
      </c>
      <c r="F193"/>
      <c r="G193"/>
      <c r="H193"/>
      <c r="I193"/>
      <c r="J193"/>
      <c r="M193"/>
      <c r="N193"/>
      <c r="O193" s="15" t="str">
        <f t="shared" si="4"/>
        <v>_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/>
      </c>
      <c r="Q193" s="2"/>
      <c r="R193" s="2"/>
      <c r="S193" s="11"/>
      <c r="T193" s="1" t="str">
        <f>"owner=" &amp; Tokens!BS193 &amp; "&amp;filename_for_metadata=" &amp; Tokens!BT193 &amp; "&amp;offchaindata_platform=" &amp; $B$17 &amp; "&amp;keyfile=" &amp; $B$5 &amp; "&amp;network=" &amp; LOWER($B$8) &amp; "&amp;repository=" &amp; $B$18</f>
        <v>owner=thomas&amp;filename_for_metadata=InCasa_COR22D30&amp;offchaindata_platform=MongoDB&amp;keyfile=Paul&amp;network=jsonfiles&amp;repository=test</v>
      </c>
      <c r="U193" s="1" t="str">
        <f t="shared" si="5"/>
        <v>{"name":"In Casa #30",_x000D_
"symbol":"COR22D30",_x000D_
"description":"In Casa, 1 an - Pass NFT 1 jour pour 1 personne, valable pour 1 édition Calvi On The Rocks de votre choix.",_x000D_
"seller_fee_basis_points":1000,_x000D_
"image":"https://bafybeifpiy6ump2nkdalfsiiwafwgncmcp3bpq4fs6rsoaz77hisswzhlm.ipfs.nftstorage.link?image_30.png",_x000D_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3" s="1" t="str">
        <f>formatRow(Tokens!C$2:I$2,Tokens!C193:I193)</f>
        <v>"name":"In Casa #30",_x000D_
"symbol":"COR22D30",_x000D_
"description":"In Casa, 1 an - Pass NFT 1 jour pour 1 personne, valable pour 1 édition Calvi On The Rocks de votre choix.",_x000D_
"seller_fee_basis_points":1000,_x000D_
"image":"https://bafybeifpiy6ump2nkdalfsiiwafwgncmcp3bpq4fs6rsoaz77hisswzhlm.ipfs.nftstorage.link?image_30.png",_x000D_
"Issuer":"NfluenT for Calvi On The rocks",_x000D_
"external_url":""</v>
      </c>
      <c r="W193" s="1" t="str">
        <f>formatRow(Tokens!J$2:AV$2,Tokens!J193:AV193,2,"attributes")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3" s="1" t="str">
        <f>formatRow(Tokens!AX$2:BC$2,Tokens!AX193:BC193,2,"creators")</f>
        <v>"creators":[{"address":"paul",_x000D_
"share":10},{"address":"sophie",_x000D_
"share":90}]</v>
      </c>
      <c r="Y193" s="1" t="str">
        <f>formatRow(Tokens!BD$2:BI$2,Tokens!BD193:BI193,2,"files")</f>
        <v>"files":[]</v>
      </c>
      <c r="Z193" s="1"/>
      <c r="AA193" s="1"/>
      <c r="AB193" s="1"/>
      <c r="AC193" s="1" t="str">
        <f>formatRow(Tokens!BJ$2:BK$2,Tokens!BJ193:BK193,0,"collection")</f>
        <v>"collection":{"name":"In Casa",_x000D_
"family":"Calvi On The Rocks"}</v>
      </c>
    </row>
    <row r="194" spans="5:29" ht="14.25" customHeight="1" x14ac:dyDescent="0.25">
      <c r="E194" s="17" t="str">
        <f>IF(Tokens!C194="","",Tokens!C194)</f>
        <v>In Casa #31</v>
      </c>
      <c r="F194"/>
      <c r="G194"/>
      <c r="H194"/>
      <c r="I194"/>
      <c r="J194"/>
      <c r="M194"/>
      <c r="N194"/>
      <c r="O194" s="15" t="str">
        <f t="shared" si="4"/>
        <v>_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/>
      </c>
      <c r="Q194" s="2"/>
      <c r="R194" s="2"/>
      <c r="S194" s="11"/>
      <c r="T194" s="1" t="str">
        <f>"owner=" &amp; Tokens!BS194 &amp; "&amp;filename_for_metadata=" &amp; Tokens!BT194 &amp; "&amp;offchaindata_platform=" &amp; $B$17 &amp; "&amp;keyfile=" &amp; $B$5 &amp; "&amp;network=" &amp; LOWER($B$8) &amp; "&amp;repository=" &amp; $B$18</f>
        <v>owner=thomas&amp;filename_for_metadata=InCasa_COR22D31&amp;offchaindata_platform=MongoDB&amp;keyfile=Paul&amp;network=jsonfiles&amp;repository=test</v>
      </c>
      <c r="U194" s="1" t="str">
        <f t="shared" si="5"/>
        <v>{"name":"In Casa #31",_x000D_
"symbol":"COR22D31",_x000D_
"description":"In Casa, 1 an - Pass NFT 1 jour pour 1 personne, valable pour 1 édition Calvi On The Rocks de votre choix.",_x000D_
"seller_fee_basis_points":1000,_x000D_
"image":"https://bafybeicrjz3acuufqoq4njhjrkjcw4tgqiwrj4vduosds2ukq7ws5m5oq4.ipfs.nftstorage.link?image_31.png",_x000D_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4" s="1" t="str">
        <f>formatRow(Tokens!C$2:I$2,Tokens!C194:I194)</f>
        <v>"name":"In Casa #31",_x000D_
"symbol":"COR22D31",_x000D_
"description":"In Casa, 1 an - Pass NFT 1 jour pour 1 personne, valable pour 1 édition Calvi On The Rocks de votre choix.",_x000D_
"seller_fee_basis_points":1000,_x000D_
"image":"https://bafybeicrjz3acuufqoq4njhjrkjcw4tgqiwrj4vduosds2ukq7ws5m5oq4.ipfs.nftstorage.link?image_31.png",_x000D_
"Issuer":"NfluenT for Calvi On The rocks",_x000D_
"external_url":""</v>
      </c>
      <c r="W194" s="1" t="str">
        <f>formatRow(Tokens!J$2:AV$2,Tokens!J194:AV194,2,"attributes")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4" s="1" t="str">
        <f>formatRow(Tokens!AX$2:BC$2,Tokens!AX194:BC194,2,"creators")</f>
        <v>"creators":[{"address":"paul",_x000D_
"share":10},{"address":"sophie",_x000D_
"share":90}]</v>
      </c>
      <c r="Y194" s="1" t="str">
        <f>formatRow(Tokens!BD$2:BI$2,Tokens!BD194:BI194,2,"files")</f>
        <v>"files":[]</v>
      </c>
      <c r="Z194" s="1"/>
      <c r="AA194" s="1"/>
      <c r="AB194" s="1"/>
      <c r="AC194" s="1" t="str">
        <f>formatRow(Tokens!BJ$2:BK$2,Tokens!BJ194:BK194,0,"collection")</f>
        <v>"collection":{"name":"In Casa",_x000D_
"family":"Calvi On The Rocks"}</v>
      </c>
    </row>
    <row r="195" spans="5:29" ht="14.25" customHeight="1" x14ac:dyDescent="0.25">
      <c r="E195" s="17" t="str">
        <f>IF(Tokens!C195="","",Tokens!C195)</f>
        <v>In Casa #32</v>
      </c>
      <c r="F195"/>
      <c r="G195"/>
      <c r="H195"/>
      <c r="I195"/>
      <c r="J195"/>
      <c r="M195"/>
      <c r="N195"/>
      <c r="O195" s="15" t="str">
        <f t="shared" si="4"/>
        <v>_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/>
      </c>
      <c r="Q195" s="2"/>
      <c r="R195" s="2"/>
      <c r="S195" s="11"/>
      <c r="T195" s="1" t="str">
        <f>"owner=" &amp; Tokens!BS195 &amp; "&amp;filename_for_metadata=" &amp; Tokens!BT195 &amp; "&amp;offchaindata_platform=" &amp; $B$17 &amp; "&amp;keyfile=" &amp; $B$5 &amp; "&amp;network=" &amp; LOWER($B$8) &amp; "&amp;repository=" &amp; $B$18</f>
        <v>owner=thomas&amp;filename_for_metadata=InCasa_COR22D32&amp;offchaindata_platform=MongoDB&amp;keyfile=Paul&amp;network=jsonfiles&amp;repository=test</v>
      </c>
      <c r="U195" s="1" t="str">
        <f t="shared" si="5"/>
        <v>{"name":"In Casa #32",_x000D_
"symbol":"COR22D32",_x000D_
"description":"In Casa, 1 an - Pass NFT 1 jour pour 1 personne, valable pour 1 édition Calvi On The Rocks de votre choix.",_x000D_
"seller_fee_basis_points":1000,_x000D_
"image":"https://bafybeia3kdwhk5sypyly7lcr7f5sum3mh5335i7rjcwrwbvnschpyy6w74.ipfs.nftstorage.link?image_32.png",_x000D_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5" s="1" t="str">
        <f>formatRow(Tokens!C$2:I$2,Tokens!C195:I195)</f>
        <v>"name":"In Casa #32",_x000D_
"symbol":"COR22D32",_x000D_
"description":"In Casa, 1 an - Pass NFT 1 jour pour 1 personne, valable pour 1 édition Calvi On The Rocks de votre choix.",_x000D_
"seller_fee_basis_points":1000,_x000D_
"image":"https://bafybeia3kdwhk5sypyly7lcr7f5sum3mh5335i7rjcwrwbvnschpyy6w74.ipfs.nftstorage.link?image_32.png",_x000D_
"Issuer":"NfluenT for Calvi On The rocks",_x000D_
"external_url":""</v>
      </c>
      <c r="W195" s="1" t="str">
        <f>formatRow(Tokens!J$2:AV$2,Tokens!J195:AV195,2,"attributes")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5" s="1" t="str">
        <f>formatRow(Tokens!AX$2:BC$2,Tokens!AX195:BC195,2,"creators")</f>
        <v>"creators":[{"address":"paul",_x000D_
"share":10},{"address":"sophie",_x000D_
"share":90}]</v>
      </c>
      <c r="Y195" s="1" t="str">
        <f>formatRow(Tokens!BD$2:BI$2,Tokens!BD195:BI195,2,"files")</f>
        <v>"files":[]</v>
      </c>
      <c r="Z195" s="1"/>
      <c r="AA195" s="1"/>
      <c r="AB195" s="1"/>
      <c r="AC195" s="1" t="str">
        <f>formatRow(Tokens!BJ$2:BK$2,Tokens!BJ195:BK195,0,"collection")</f>
        <v>"collection":{"name":"In Casa",_x000D_
"family":"Calvi On The Rocks"}</v>
      </c>
    </row>
    <row r="196" spans="5:29" ht="14.25" customHeight="1" x14ac:dyDescent="0.25">
      <c r="E196" s="17" t="str">
        <f>IF(Tokens!C196="","",Tokens!C196)</f>
        <v>In Casa #33</v>
      </c>
      <c r="F196"/>
      <c r="G196"/>
      <c r="H196"/>
      <c r="I196"/>
      <c r="J196"/>
      <c r="M196"/>
      <c r="N196"/>
      <c r="O196" s="15" t="str">
        <f t="shared" ref="O196:O259" si="6">IF(AND(ISNUMBER(N195),ISNUMBER(N196)),(N196-N195)*$O$1,"_")</f>
        <v>_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/>
      </c>
      <c r="Q196" s="2"/>
      <c r="R196" s="2"/>
      <c r="S196" s="11"/>
      <c r="T196" s="1" t="str">
        <f>"owner=" &amp; Tokens!BS196 &amp; "&amp;filename_for_metadata=" &amp; Tokens!BT196 &amp; "&amp;offchaindata_platform=" &amp; $B$17 &amp; "&amp;keyfile=" &amp; $B$5 &amp; "&amp;network=" &amp; LOWER($B$8) &amp; "&amp;repository=" &amp; $B$18</f>
        <v>owner=thomas&amp;filename_for_metadata=InCasa_COR22D33&amp;offchaindata_platform=MongoDB&amp;keyfile=Paul&amp;network=jsonfiles&amp;repository=test</v>
      </c>
      <c r="U196" s="1" t="str">
        <f t="shared" si="5"/>
        <v>{"name":"In Casa #33",_x000D_
"symbol":"COR22D33",_x000D_
"description":"In Casa, 1 an - Pass NFT 1 jour pour 1 personne, valable pour 1 édition Calvi On The Rocks de votre choix.",_x000D_
"seller_fee_basis_points":1000,_x000D_
"image":"https://bafybeibwgz4pz23nc7q64hrankwlgww22p33ezrszvk6med5ddkssytqha.ipfs.nftstorage.link?image_33.png",_x000D_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6" s="1" t="str">
        <f>formatRow(Tokens!C$2:I$2,Tokens!C196:I196)</f>
        <v>"name":"In Casa #33",_x000D_
"symbol":"COR22D33",_x000D_
"description":"In Casa, 1 an - Pass NFT 1 jour pour 1 personne, valable pour 1 édition Calvi On The Rocks de votre choix.",_x000D_
"seller_fee_basis_points":1000,_x000D_
"image":"https://bafybeibwgz4pz23nc7q64hrankwlgww22p33ezrszvk6med5ddkssytqha.ipfs.nftstorage.link?image_33.png",_x000D_
"Issuer":"NfluenT for Calvi On The rocks",_x000D_
"external_url":""</v>
      </c>
      <c r="W196" s="1" t="str">
        <f>formatRow(Tokens!J$2:AV$2,Tokens!J196:AV196,2,"attributes")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6" s="1" t="str">
        <f>formatRow(Tokens!AX$2:BC$2,Tokens!AX196:BC196,2,"creators")</f>
        <v>"creators":[{"address":"paul",_x000D_
"share":10},{"address":"sophie",_x000D_
"share":90}]</v>
      </c>
      <c r="Y196" s="1" t="str">
        <f>formatRow(Tokens!BD$2:BI$2,Tokens!BD196:BI196,2,"files")</f>
        <v>"files":[]</v>
      </c>
      <c r="Z196" s="1"/>
      <c r="AA196" s="1"/>
      <c r="AB196" s="1"/>
      <c r="AC196" s="1" t="str">
        <f>formatRow(Tokens!BJ$2:BK$2,Tokens!BJ196:BK196,0,"collection")</f>
        <v>"collection":{"name":"In Casa",_x000D_
"family":"Calvi On The Rocks"}</v>
      </c>
    </row>
    <row r="197" spans="5:29" ht="14.25" customHeight="1" x14ac:dyDescent="0.25">
      <c r="E197" s="17" t="str">
        <f>IF(Tokens!C197="","",Tokens!C197)</f>
        <v>In Casa #34</v>
      </c>
      <c r="F197"/>
      <c r="G197"/>
      <c r="H197"/>
      <c r="I197"/>
      <c r="J197"/>
      <c r="M197"/>
      <c r="N197"/>
      <c r="O197" s="15" t="str">
        <f t="shared" si="6"/>
        <v>_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/>
      </c>
      <c r="Q197" s="2"/>
      <c r="R197" s="2"/>
      <c r="S197" s="11"/>
      <c r="T197" s="1" t="str">
        <f>"owner=" &amp; Tokens!BS197 &amp; "&amp;filename_for_metadata=" &amp; Tokens!BT197 &amp; "&amp;offchaindata_platform=" &amp; $B$17 &amp; "&amp;keyfile=" &amp; $B$5 &amp; "&amp;network=" &amp; LOWER($B$8) &amp; "&amp;repository=" &amp; $B$18</f>
        <v>owner=thomas&amp;filename_for_metadata=InCasa_COR22D34&amp;offchaindata_platform=MongoDB&amp;keyfile=Paul&amp;network=jsonfiles&amp;repository=test</v>
      </c>
      <c r="U197" s="1" t="str">
        <f t="shared" ref="U197:U260" si="7">"{" &amp; V197 &amp; "," &amp; W197 &amp; "," &amp; """properties"":{" &amp; X197 &amp; "," &amp; Y197 &amp; "}," &amp; AC197 &amp; "}"</f>
        <v>{"name":"In Casa #34",_x000D_
"symbol":"COR22D34",_x000D_
"description":"In Casa, 1 an - Pass NFT 1 jour pour 1 personne, valable pour 1 édition Calvi On The Rocks de votre choix.",_x000D_
"seller_fee_basis_points":1000,_x000D_
"image":"https://bafybeieevecaczohl2w5hcqqhou2dqkkgraa22kl6hovbt4mcshzj5uzze.ipfs.nftstorage.link?image_34.png",_x000D_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7" s="1" t="str">
        <f>formatRow(Tokens!C$2:I$2,Tokens!C197:I197)</f>
        <v>"name":"In Casa #34",_x000D_
"symbol":"COR22D34",_x000D_
"description":"In Casa, 1 an - Pass NFT 1 jour pour 1 personne, valable pour 1 édition Calvi On The Rocks de votre choix.",_x000D_
"seller_fee_basis_points":1000,_x000D_
"image":"https://bafybeieevecaczohl2w5hcqqhou2dqkkgraa22kl6hovbt4mcshzj5uzze.ipfs.nftstorage.link?image_34.png",_x000D_
"Issuer":"NfluenT for Calvi On The rocks",_x000D_
"external_url":""</v>
      </c>
      <c r="W197" s="1" t="str">
        <f>formatRow(Tokens!J$2:AV$2,Tokens!J197:AV197,2,"attributes")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7" s="1" t="str">
        <f>formatRow(Tokens!AX$2:BC$2,Tokens!AX197:BC197,2,"creators")</f>
        <v>"creators":[{"address":"paul",_x000D_
"share":10},{"address":"sophie",_x000D_
"share":90}]</v>
      </c>
      <c r="Y197" s="1" t="str">
        <f>formatRow(Tokens!BD$2:BI$2,Tokens!BD197:BI197,2,"files")</f>
        <v>"files":[]</v>
      </c>
      <c r="Z197" s="1"/>
      <c r="AA197" s="1"/>
      <c r="AB197" s="1"/>
      <c r="AC197" s="1" t="str">
        <f>formatRow(Tokens!BJ$2:BK$2,Tokens!BJ197:BK197,0,"collection")</f>
        <v>"collection":{"name":"In Casa",_x000D_
"family":"Calvi On The Rocks"}</v>
      </c>
    </row>
    <row r="198" spans="5:29" ht="14.25" customHeight="1" x14ac:dyDescent="0.25">
      <c r="E198" s="17" t="str">
        <f>IF(Tokens!C198="","",Tokens!C198)</f>
        <v>In Casa #35</v>
      </c>
      <c r="F198"/>
      <c r="G198"/>
      <c r="H198"/>
      <c r="I198"/>
      <c r="J198"/>
      <c r="M198"/>
      <c r="N198"/>
      <c r="O198" s="15" t="str">
        <f t="shared" si="6"/>
        <v>_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/>
      </c>
      <c r="Q198" s="2"/>
      <c r="R198" s="2"/>
      <c r="S198" s="11"/>
      <c r="T198" s="1" t="str">
        <f>"owner=" &amp; Tokens!BS198 &amp; "&amp;filename_for_metadata=" &amp; Tokens!BT198 &amp; "&amp;offchaindata_platform=" &amp; $B$17 &amp; "&amp;keyfile=" &amp; $B$5 &amp; "&amp;network=" &amp; LOWER($B$8) &amp; "&amp;repository=" &amp; $B$18</f>
        <v>owner=thomas&amp;filename_for_metadata=InCasa_COR22D35&amp;offchaindata_platform=MongoDB&amp;keyfile=Paul&amp;network=jsonfiles&amp;repository=test</v>
      </c>
      <c r="U198" s="1" t="str">
        <f t="shared" si="7"/>
        <v>{"name":"In Casa #35",_x000D_
"symbol":"COR22D35",_x000D_
"description":"In Casa, 1 an - Pass NFT 1 jour pour 1 personne, valable pour 1 édition Calvi On The Rocks de votre choix.",_x000D_
"seller_fee_basis_points":1000,_x000D_
"image":"https://bafybeid3hztvsplz5wwfh74vix3ycytlttcuc63g55727q5ub4n5hwybnm.ipfs.nftstorage.link?image_35.png",_x000D_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8" s="1" t="str">
        <f>formatRow(Tokens!C$2:I$2,Tokens!C198:I198)</f>
        <v>"name":"In Casa #35",_x000D_
"symbol":"COR22D35",_x000D_
"description":"In Casa, 1 an - Pass NFT 1 jour pour 1 personne, valable pour 1 édition Calvi On The Rocks de votre choix.",_x000D_
"seller_fee_basis_points":1000,_x000D_
"image":"https://bafybeid3hztvsplz5wwfh74vix3ycytlttcuc63g55727q5ub4n5hwybnm.ipfs.nftstorage.link?image_35.png",_x000D_
"Issuer":"NfluenT for Calvi On The rocks",_x000D_
"external_url":""</v>
      </c>
      <c r="W198" s="1" t="str">
        <f>formatRow(Tokens!J$2:AV$2,Tokens!J198:AV198,2,"attributes")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8" s="1" t="str">
        <f>formatRow(Tokens!AX$2:BC$2,Tokens!AX198:BC198,2,"creators")</f>
        <v>"creators":[{"address":"paul",_x000D_
"share":10},{"address":"sophie",_x000D_
"share":90}]</v>
      </c>
      <c r="Y198" s="1" t="str">
        <f>formatRow(Tokens!BD$2:BI$2,Tokens!BD198:BI198,2,"files")</f>
        <v>"files":[]</v>
      </c>
      <c r="Z198" s="1"/>
      <c r="AA198" s="1"/>
      <c r="AB198" s="1"/>
      <c r="AC198" s="1" t="str">
        <f>formatRow(Tokens!BJ$2:BK$2,Tokens!BJ198:BK198,0,"collection")</f>
        <v>"collection":{"name":"In Casa",_x000D_
"family":"Calvi On The Rocks"}</v>
      </c>
    </row>
    <row r="199" spans="5:29" ht="14.25" customHeight="1" x14ac:dyDescent="0.25">
      <c r="E199" s="17" t="str">
        <f>IF(Tokens!C199="","",Tokens!C199)</f>
        <v>In Casa #36</v>
      </c>
      <c r="F199"/>
      <c r="G199"/>
      <c r="H199"/>
      <c r="I199"/>
      <c r="J199"/>
      <c r="M199"/>
      <c r="N199"/>
      <c r="O199" s="15" t="str">
        <f t="shared" si="6"/>
        <v>_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/>
      </c>
      <c r="Q199" s="2"/>
      <c r="R199" s="2"/>
      <c r="S199" s="11"/>
      <c r="T199" s="1" t="str">
        <f>"owner=" &amp; Tokens!BS199 &amp; "&amp;filename_for_metadata=" &amp; Tokens!BT199 &amp; "&amp;offchaindata_platform=" &amp; $B$17 &amp; "&amp;keyfile=" &amp; $B$5 &amp; "&amp;network=" &amp; LOWER($B$8) &amp; "&amp;repository=" &amp; $B$18</f>
        <v>owner=thomas&amp;filename_for_metadata=InCasa_COR22D36&amp;offchaindata_platform=MongoDB&amp;keyfile=Paul&amp;network=jsonfiles&amp;repository=test</v>
      </c>
      <c r="U199" s="1" t="str">
        <f t="shared" si="7"/>
        <v>{"name":"In Casa #36",_x000D_
"symbol":"COR22D36",_x000D_
"description":"In Casa, 1 an - Pass NFT 1 jour pour 1 personne, valable pour 1 édition Calvi On The Rocks de votre choix.",_x000D_
"seller_fee_basis_points":1000,_x000D_
"image":"https://bafybeiejafkg5hnvxhsd56gkkugnw62jlgfglp6m7aquw5gfye2f2lelzy.ipfs.nftstorage.link?image_36.png",_x000D_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99" s="1" t="str">
        <f>formatRow(Tokens!C$2:I$2,Tokens!C199:I199)</f>
        <v>"name":"In Casa #36",_x000D_
"symbol":"COR22D36",_x000D_
"description":"In Casa, 1 an - Pass NFT 1 jour pour 1 personne, valable pour 1 édition Calvi On The Rocks de votre choix.",_x000D_
"seller_fee_basis_points":1000,_x000D_
"image":"https://bafybeiejafkg5hnvxhsd56gkkugnw62jlgfglp6m7aquw5gfye2f2lelzy.ipfs.nftstorage.link?image_36.png",_x000D_
"Issuer":"NfluenT for Calvi On The rocks",_x000D_
"external_url":""</v>
      </c>
      <c r="W199" s="1" t="str">
        <f>formatRow(Tokens!J$2:AV$2,Tokens!J199:AV199,2,"attributes")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99" s="1" t="str">
        <f>formatRow(Tokens!AX$2:BC$2,Tokens!AX199:BC199,2,"creators")</f>
        <v>"creators":[{"address":"paul",_x000D_
"share":10},{"address":"sophie",_x000D_
"share":90}]</v>
      </c>
      <c r="Y199" s="1" t="str">
        <f>formatRow(Tokens!BD$2:BI$2,Tokens!BD199:BI199,2,"files")</f>
        <v>"files":[]</v>
      </c>
      <c r="Z199" s="1"/>
      <c r="AA199" s="1"/>
      <c r="AB199" s="1"/>
      <c r="AC199" s="1" t="str">
        <f>formatRow(Tokens!BJ$2:BK$2,Tokens!BJ199:BK199,0,"collection")</f>
        <v>"collection":{"name":"In Casa",_x000D_
"family":"Calvi On The Rocks"}</v>
      </c>
    </row>
    <row r="200" spans="5:29" ht="14.25" customHeight="1" x14ac:dyDescent="0.25">
      <c r="E200" s="17" t="str">
        <f>IF(Tokens!C200="","",Tokens!C200)</f>
        <v>In Casa #37</v>
      </c>
      <c r="F200"/>
      <c r="G200"/>
      <c r="H200"/>
      <c r="I200"/>
      <c r="J200"/>
      <c r="M200"/>
      <c r="N200"/>
      <c r="O200" s="15" t="str">
        <f t="shared" si="6"/>
        <v>_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/>
      </c>
      <c r="Q200" s="2"/>
      <c r="R200" s="2"/>
      <c r="S200" s="11"/>
      <c r="T200" s="1" t="str">
        <f>"owner=" &amp; Tokens!BS200 &amp; "&amp;filename_for_metadata=" &amp; Tokens!BT200 &amp; "&amp;offchaindata_platform=" &amp; $B$17 &amp; "&amp;keyfile=" &amp; $B$5 &amp; "&amp;network=" &amp; LOWER($B$8) &amp; "&amp;repository=" &amp; $B$18</f>
        <v>owner=thomas&amp;filename_for_metadata=InCasa_COR22D37&amp;offchaindata_platform=MongoDB&amp;keyfile=Paul&amp;network=jsonfiles&amp;repository=test</v>
      </c>
      <c r="U200" s="1" t="str">
        <f t="shared" si="7"/>
        <v>{"name":"In Casa #37",_x000D_
"symbol":"COR22D37",_x000D_
"description":"In Casa, 1 an - Pass NFT 1 jour pour 1 personne, valable pour 1 édition Calvi On The Rocks de votre choix.",_x000D_
"seller_fee_basis_points":1000,_x000D_
"image":"https://bafybeigwbo45aq4og73atyonjzvqjtvu47wlqgsn7x2akxxghw5uokzxna.ipfs.nftstorage.link?image_37.png",_x000D_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0" s="1" t="str">
        <f>formatRow(Tokens!C$2:I$2,Tokens!C200:I200)</f>
        <v>"name":"In Casa #37",_x000D_
"symbol":"COR22D37",_x000D_
"description":"In Casa, 1 an - Pass NFT 1 jour pour 1 personne, valable pour 1 édition Calvi On The Rocks de votre choix.",_x000D_
"seller_fee_basis_points":1000,_x000D_
"image":"https://bafybeigwbo45aq4og73atyonjzvqjtvu47wlqgsn7x2akxxghw5uokzxna.ipfs.nftstorage.link?image_37.png",_x000D_
"Issuer":"NfluenT for Calvi On The rocks",_x000D_
"external_url":""</v>
      </c>
      <c r="W200" s="1" t="str">
        <f>formatRow(Tokens!J$2:AV$2,Tokens!J200:AV200,2,"attributes")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0" s="1" t="str">
        <f>formatRow(Tokens!AX$2:BC$2,Tokens!AX200:BC200,2,"creators")</f>
        <v>"creators":[{"address":"paul",_x000D_
"share":10},{"address":"sophie",_x000D_
"share":90}]</v>
      </c>
      <c r="Y200" s="1" t="str">
        <f>formatRow(Tokens!BD$2:BI$2,Tokens!BD200:BI200,2,"files")</f>
        <v>"files":[]</v>
      </c>
      <c r="Z200" s="1"/>
      <c r="AA200" s="1"/>
      <c r="AB200" s="1"/>
      <c r="AC200" s="1" t="str">
        <f>formatRow(Tokens!BJ$2:BK$2,Tokens!BJ200:BK200,0,"collection")</f>
        <v>"collection":{"name":"In Casa",_x000D_
"family":"Calvi On The Rocks"}</v>
      </c>
    </row>
    <row r="201" spans="5:29" ht="14.25" customHeight="1" x14ac:dyDescent="0.25">
      <c r="E201" s="17" t="str">
        <f>IF(Tokens!C201="","",Tokens!C201)</f>
        <v>In Casa #38</v>
      </c>
      <c r="F201"/>
      <c r="G201"/>
      <c r="H201"/>
      <c r="I201"/>
      <c r="J201"/>
      <c r="M201"/>
      <c r="N201"/>
      <c r="O201" s="15" t="str">
        <f t="shared" si="6"/>
        <v>_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/>
      </c>
      <c r="Q201" s="2"/>
      <c r="R201" s="2"/>
      <c r="S201" s="11"/>
      <c r="T201" s="1" t="str">
        <f>"owner=" &amp; Tokens!BS201 &amp; "&amp;filename_for_metadata=" &amp; Tokens!BT201 &amp; "&amp;offchaindata_platform=" &amp; $B$17 &amp; "&amp;keyfile=" &amp; $B$5 &amp; "&amp;network=" &amp; LOWER($B$8) &amp; "&amp;repository=" &amp; $B$18</f>
        <v>owner=thomas&amp;filename_for_metadata=InCasa_COR22D38&amp;offchaindata_platform=MongoDB&amp;keyfile=Paul&amp;network=jsonfiles&amp;repository=test</v>
      </c>
      <c r="U201" s="1" t="str">
        <f t="shared" si="7"/>
        <v>{"name":"In Casa #38",_x000D_
"symbol":"COR22D38",_x000D_
"description":"In Casa, 1 an - Pass NFT 1 jour pour 1 personne, valable pour 1 édition Calvi On The Rocks de votre choix.",_x000D_
"seller_fee_basis_points":1000,_x000D_
"image":"https://bafybeigorzrkc5lugigqbl52x2zuu65jrrrufkpjqxjxp47tgvatc6wnem.ipfs.nftstorage.link?image_38.png",_x000D_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1" s="1" t="str">
        <f>formatRow(Tokens!C$2:I$2,Tokens!C201:I201)</f>
        <v>"name":"In Casa #38",_x000D_
"symbol":"COR22D38",_x000D_
"description":"In Casa, 1 an - Pass NFT 1 jour pour 1 personne, valable pour 1 édition Calvi On The Rocks de votre choix.",_x000D_
"seller_fee_basis_points":1000,_x000D_
"image":"https://bafybeigorzrkc5lugigqbl52x2zuu65jrrrufkpjqxjxp47tgvatc6wnem.ipfs.nftstorage.link?image_38.png",_x000D_
"Issuer":"NfluenT for Calvi On The rocks",_x000D_
"external_url":""</v>
      </c>
      <c r="W201" s="1" t="str">
        <f>formatRow(Tokens!J$2:AV$2,Tokens!J201:AV201,2,"attributes")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1" s="1" t="str">
        <f>formatRow(Tokens!AX$2:BC$2,Tokens!AX201:BC201,2,"creators")</f>
        <v>"creators":[{"address":"paul",_x000D_
"share":10},{"address":"sophie",_x000D_
"share":90}]</v>
      </c>
      <c r="Y201" s="1" t="str">
        <f>formatRow(Tokens!BD$2:BI$2,Tokens!BD201:BI201,2,"files")</f>
        <v>"files":[]</v>
      </c>
      <c r="Z201" s="1"/>
      <c r="AA201" s="1"/>
      <c r="AB201" s="1"/>
      <c r="AC201" s="1" t="str">
        <f>formatRow(Tokens!BJ$2:BK$2,Tokens!BJ201:BK201,0,"collection")</f>
        <v>"collection":{"name":"In Casa",_x000D_
"family":"Calvi On The Rocks"}</v>
      </c>
    </row>
    <row r="202" spans="5:29" ht="14.25" customHeight="1" x14ac:dyDescent="0.25">
      <c r="E202" s="17" t="str">
        <f>IF(Tokens!C202="","",Tokens!C202)</f>
        <v>In Casa #39</v>
      </c>
      <c r="F202"/>
      <c r="G202"/>
      <c r="H202"/>
      <c r="I202"/>
      <c r="J202"/>
      <c r="M202"/>
      <c r="N202"/>
      <c r="O202" s="15" t="str">
        <f t="shared" si="6"/>
        <v>_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/>
      </c>
      <c r="Q202" s="2"/>
      <c r="R202" s="2"/>
      <c r="S202" s="11"/>
      <c r="T202" s="1" t="str">
        <f>"owner=" &amp; Tokens!BS202 &amp; "&amp;filename_for_metadata=" &amp; Tokens!BT202 &amp; "&amp;offchaindata_platform=" &amp; $B$17 &amp; "&amp;keyfile=" &amp; $B$5 &amp; "&amp;network=" &amp; LOWER($B$8) &amp; "&amp;repository=" &amp; $B$18</f>
        <v>owner=thomas&amp;filename_for_metadata=InCasa_COR22D39&amp;offchaindata_platform=MongoDB&amp;keyfile=Paul&amp;network=jsonfiles&amp;repository=test</v>
      </c>
      <c r="U202" s="1" t="str">
        <f t="shared" si="7"/>
        <v>{"name":"In Casa #39",_x000D_
"symbol":"COR22D39",_x000D_
"description":"In Casa, 1 an - Pass NFT 1 jour pour 1 personne, valable pour 1 édition Calvi On The Rocks de votre choix.",_x000D_
"seller_fee_basis_points":1000,_x000D_
"image":"https://bafybeibhthjppitimnt5moqnj5i44i7gqsts3n5tqc77pec2xtfz7dsvna.ipfs.nftstorage.link?image_39.png",_x000D_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2" s="1" t="str">
        <f>formatRow(Tokens!C$2:I$2,Tokens!C202:I202)</f>
        <v>"name":"In Casa #39",_x000D_
"symbol":"COR22D39",_x000D_
"description":"In Casa, 1 an - Pass NFT 1 jour pour 1 personne, valable pour 1 édition Calvi On The Rocks de votre choix.",_x000D_
"seller_fee_basis_points":1000,_x000D_
"image":"https://bafybeibhthjppitimnt5moqnj5i44i7gqsts3n5tqc77pec2xtfz7dsvna.ipfs.nftstorage.link?image_39.png",_x000D_
"Issuer":"NfluenT for Calvi On The rocks",_x000D_
"external_url":""</v>
      </c>
      <c r="W202" s="1" t="str">
        <f>formatRow(Tokens!J$2:AV$2,Tokens!J202:AV202,2,"attributes")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2" s="1" t="str">
        <f>formatRow(Tokens!AX$2:BC$2,Tokens!AX202:BC202,2,"creators")</f>
        <v>"creators":[{"address":"paul",_x000D_
"share":10},{"address":"sophie",_x000D_
"share":90}]</v>
      </c>
      <c r="Y202" s="1" t="str">
        <f>formatRow(Tokens!BD$2:BI$2,Tokens!BD202:BI202,2,"files")</f>
        <v>"files":[]</v>
      </c>
      <c r="Z202" s="1"/>
      <c r="AA202" s="1"/>
      <c r="AB202" s="1"/>
      <c r="AC202" s="1" t="str">
        <f>formatRow(Tokens!BJ$2:BK$2,Tokens!BJ202:BK202,0,"collection")</f>
        <v>"collection":{"name":"In Casa",_x000D_
"family":"Calvi On The Rocks"}</v>
      </c>
    </row>
    <row r="203" spans="5:29" ht="14.25" customHeight="1" x14ac:dyDescent="0.25">
      <c r="E203" s="17" t="str">
        <f>IF(Tokens!C203="","",Tokens!C203)</f>
        <v>In Casa #40</v>
      </c>
      <c r="F203"/>
      <c r="G203"/>
      <c r="H203"/>
      <c r="I203"/>
      <c r="J203"/>
      <c r="M203"/>
      <c r="N203"/>
      <c r="O203" s="15" t="str">
        <f t="shared" si="6"/>
        <v>_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/>
      </c>
      <c r="Q203" s="2"/>
      <c r="R203" s="2"/>
      <c r="S203" s="11"/>
      <c r="T203" s="1" t="str">
        <f>"owner=" &amp; Tokens!BS203 &amp; "&amp;filename_for_metadata=" &amp; Tokens!BT203 &amp; "&amp;offchaindata_platform=" &amp; $B$17 &amp; "&amp;keyfile=" &amp; $B$5 &amp; "&amp;network=" &amp; LOWER($B$8) &amp; "&amp;repository=" &amp; $B$18</f>
        <v>owner=thomas&amp;filename_for_metadata=InCasa_COR22D40&amp;offchaindata_platform=MongoDB&amp;keyfile=Paul&amp;network=jsonfiles&amp;repository=test</v>
      </c>
      <c r="U203" s="1" t="str">
        <f t="shared" si="7"/>
        <v>{"name":"In Casa #40",_x000D_
"symbol":"COR22D40",_x000D_
"description":"In Casa, 1 an - Pass NFT 1 jour pour 1 personne, valable pour 1 édition Calvi On The Rocks de votre choix.",_x000D_
"seller_fee_basis_points":1000,_x000D_
"image":"https://bafybeigi5bngpglrcvvtv2afmlky65g7c3tl2fnav754bb455phu7cxqry.ipfs.nftstorage.link?image_40.png",_x000D_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3" s="1" t="str">
        <f>formatRow(Tokens!C$2:I$2,Tokens!C203:I203)</f>
        <v>"name":"In Casa #40",_x000D_
"symbol":"COR22D40",_x000D_
"description":"In Casa, 1 an - Pass NFT 1 jour pour 1 personne, valable pour 1 édition Calvi On The Rocks de votre choix.",_x000D_
"seller_fee_basis_points":1000,_x000D_
"image":"https://bafybeigi5bngpglrcvvtv2afmlky65g7c3tl2fnav754bb455phu7cxqry.ipfs.nftstorage.link?image_40.png",_x000D_
"Issuer":"NfluenT for Calvi On The rocks",_x000D_
"external_url":""</v>
      </c>
      <c r="W203" s="1" t="str">
        <f>formatRow(Tokens!J$2:AV$2,Tokens!J203:AV203,2,"attributes")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3" s="1" t="str">
        <f>formatRow(Tokens!AX$2:BC$2,Tokens!AX203:BC203,2,"creators")</f>
        <v>"creators":[{"address":"paul",_x000D_
"share":10},{"address":"sophie",_x000D_
"share":90}]</v>
      </c>
      <c r="Y203" s="1" t="str">
        <f>formatRow(Tokens!BD$2:BI$2,Tokens!BD203:BI203,2,"files")</f>
        <v>"files":[]</v>
      </c>
      <c r="Z203" s="1"/>
      <c r="AA203" s="1"/>
      <c r="AB203" s="1"/>
      <c r="AC203" s="1" t="str">
        <f>formatRow(Tokens!BJ$2:BK$2,Tokens!BJ203:BK203,0,"collection")</f>
        <v>"collection":{"name":"In Casa",_x000D_
"family":"Calvi On The Rocks"}</v>
      </c>
    </row>
    <row r="204" spans="5:29" ht="14.25" customHeight="1" x14ac:dyDescent="0.25">
      <c r="E204" s="17" t="str">
        <f>IF(Tokens!C204="","",Tokens!C204)</f>
        <v>In Casa #41</v>
      </c>
      <c r="F204"/>
      <c r="G204"/>
      <c r="H204"/>
      <c r="I204"/>
      <c r="J204"/>
      <c r="M204"/>
      <c r="N204"/>
      <c r="O204" s="15" t="str">
        <f t="shared" si="6"/>
        <v>_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/>
      </c>
      <c r="Q204" s="2"/>
      <c r="R204" s="2"/>
      <c r="S204" s="11"/>
      <c r="T204" s="1" t="str">
        <f>"owner=" &amp; Tokens!BS204 &amp; "&amp;filename_for_metadata=" &amp; Tokens!BT204 &amp; "&amp;offchaindata_platform=" &amp; $B$17 &amp; "&amp;keyfile=" &amp; $B$5 &amp; "&amp;network=" &amp; LOWER($B$8) &amp; "&amp;repository=" &amp; $B$18</f>
        <v>owner=thomas&amp;filename_for_metadata=InCasa_COR22D41&amp;offchaindata_platform=MongoDB&amp;keyfile=Paul&amp;network=jsonfiles&amp;repository=test</v>
      </c>
      <c r="U204" s="1" t="str">
        <f t="shared" si="7"/>
        <v>{"name":"In Casa #41",_x000D_
"symbol":"COR22D41",_x000D_
"description":"In Casa, 1 an - Pass NFT 1 jour pour 1 personne, valable pour 1 édition Calvi On The Rocks de votre choix.",_x000D_
"seller_fee_basis_points":1000,_x000D_
"image":"https://bafybeigh7ljpuvn7skmx4anpow5rm5z5e6phywkvm6zjhdk7svgwtp32bi.ipfs.nftstorage.link?image_41.png",_x000D_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4" s="1" t="str">
        <f>formatRow(Tokens!C$2:I$2,Tokens!C204:I204)</f>
        <v>"name":"In Casa #41",_x000D_
"symbol":"COR22D41",_x000D_
"description":"In Casa, 1 an - Pass NFT 1 jour pour 1 personne, valable pour 1 édition Calvi On The Rocks de votre choix.",_x000D_
"seller_fee_basis_points":1000,_x000D_
"image":"https://bafybeigh7ljpuvn7skmx4anpow5rm5z5e6phywkvm6zjhdk7svgwtp32bi.ipfs.nftstorage.link?image_41.png",_x000D_
"Issuer":"NfluenT for Calvi On The rocks",_x000D_
"external_url":""</v>
      </c>
      <c r="W204" s="1" t="str">
        <f>formatRow(Tokens!J$2:AV$2,Tokens!J204:AV204,2,"attributes")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4" s="1" t="str">
        <f>formatRow(Tokens!AX$2:BC$2,Tokens!AX204:BC204,2,"creators")</f>
        <v>"creators":[{"address":"paul",_x000D_
"share":10},{"address":"sophie",_x000D_
"share":90}]</v>
      </c>
      <c r="Y204" s="1" t="str">
        <f>formatRow(Tokens!BD$2:BI$2,Tokens!BD204:BI204,2,"files")</f>
        <v>"files":[]</v>
      </c>
      <c r="Z204" s="1"/>
      <c r="AA204" s="1"/>
      <c r="AB204" s="1"/>
      <c r="AC204" s="1" t="str">
        <f>formatRow(Tokens!BJ$2:BK$2,Tokens!BJ204:BK204,0,"collection")</f>
        <v>"collection":{"name":"In Casa",_x000D_
"family":"Calvi On The Rocks"}</v>
      </c>
    </row>
    <row r="205" spans="5:29" ht="14.25" customHeight="1" x14ac:dyDescent="0.25">
      <c r="E205" s="17" t="str">
        <f>IF(Tokens!C205="","",Tokens!C205)</f>
        <v>In Casa #42</v>
      </c>
      <c r="F205"/>
      <c r="G205"/>
      <c r="H205"/>
      <c r="I205"/>
      <c r="J205"/>
      <c r="M205"/>
      <c r="N205"/>
      <c r="O205" s="15" t="str">
        <f t="shared" si="6"/>
        <v>_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/>
      </c>
      <c r="Q205" s="2"/>
      <c r="R205" s="2"/>
      <c r="S205" s="11"/>
      <c r="T205" s="1" t="str">
        <f>"owner=" &amp; Tokens!BS205 &amp; "&amp;filename_for_metadata=" &amp; Tokens!BT205 &amp; "&amp;offchaindata_platform=" &amp; $B$17 &amp; "&amp;keyfile=" &amp; $B$5 &amp; "&amp;network=" &amp; LOWER($B$8) &amp; "&amp;repository=" &amp; $B$18</f>
        <v>owner=thomas&amp;filename_for_metadata=InCasa_COR22D42&amp;offchaindata_platform=MongoDB&amp;keyfile=Paul&amp;network=jsonfiles&amp;repository=test</v>
      </c>
      <c r="U205" s="1" t="str">
        <f t="shared" si="7"/>
        <v>{"name":"In Casa #42",_x000D_
"symbol":"COR22D42",_x000D_
"description":"In Casa, 1 an - Pass NFT 1 jour pour 1 personne, valable pour 1 édition Calvi On The Rocks de votre choix.",_x000D_
"seller_fee_basis_points":1000,_x000D_
"image":"https://bafybeih36fkexscaix2fi4ezikm4agozizkci5atvn4tlfwqlzk6jqyale.ipfs.nftstorage.link?image_42.png",_x000D_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5" s="1" t="str">
        <f>formatRow(Tokens!C$2:I$2,Tokens!C205:I205)</f>
        <v>"name":"In Casa #42",_x000D_
"symbol":"COR22D42",_x000D_
"description":"In Casa, 1 an - Pass NFT 1 jour pour 1 personne, valable pour 1 édition Calvi On The Rocks de votre choix.",_x000D_
"seller_fee_basis_points":1000,_x000D_
"image":"https://bafybeih36fkexscaix2fi4ezikm4agozizkci5atvn4tlfwqlzk6jqyale.ipfs.nftstorage.link?image_42.png",_x000D_
"Issuer":"NfluenT for Calvi On The rocks",_x000D_
"external_url":""</v>
      </c>
      <c r="W205" s="1" t="str">
        <f>formatRow(Tokens!J$2:AV$2,Tokens!J205:AV205,2,"attributes")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5" s="1" t="str">
        <f>formatRow(Tokens!AX$2:BC$2,Tokens!AX205:BC205,2,"creators")</f>
        <v>"creators":[{"address":"paul",_x000D_
"share":10},{"address":"sophie",_x000D_
"share":90}]</v>
      </c>
      <c r="Y205" s="1" t="str">
        <f>formatRow(Tokens!BD$2:BI$2,Tokens!BD205:BI205,2,"files")</f>
        <v>"files":[]</v>
      </c>
      <c r="Z205" s="1"/>
      <c r="AA205" s="1"/>
      <c r="AB205" s="1"/>
      <c r="AC205" s="1" t="str">
        <f>formatRow(Tokens!BJ$2:BK$2,Tokens!BJ205:BK205,0,"collection")</f>
        <v>"collection":{"name":"In Casa",_x000D_
"family":"Calvi On The Rocks"}</v>
      </c>
    </row>
    <row r="206" spans="5:29" ht="14.25" customHeight="1" x14ac:dyDescent="0.25">
      <c r="E206" s="17" t="str">
        <f>IF(Tokens!C206="","",Tokens!C206)</f>
        <v>In Casa #43</v>
      </c>
      <c r="F206"/>
      <c r="G206"/>
      <c r="H206"/>
      <c r="I206"/>
      <c r="J206"/>
      <c r="M206"/>
      <c r="N206"/>
      <c r="O206" s="15" t="str">
        <f t="shared" si="6"/>
        <v>_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/>
      </c>
      <c r="Q206" s="2"/>
      <c r="R206" s="2"/>
      <c r="S206" s="11"/>
      <c r="T206" s="1" t="str">
        <f>"owner=" &amp; Tokens!BS206 &amp; "&amp;filename_for_metadata=" &amp; Tokens!BT206 &amp; "&amp;offchaindata_platform=" &amp; $B$17 &amp; "&amp;keyfile=" &amp; $B$5 &amp; "&amp;network=" &amp; LOWER($B$8) &amp; "&amp;repository=" &amp; $B$18</f>
        <v>owner=thomas&amp;filename_for_metadata=InCasa_COR22D43&amp;offchaindata_platform=MongoDB&amp;keyfile=Paul&amp;network=jsonfiles&amp;repository=test</v>
      </c>
      <c r="U206" s="1" t="str">
        <f t="shared" si="7"/>
        <v>{"name":"In Casa #43",_x000D_
"symbol":"COR22D43",_x000D_
"description":"In Casa, 1 an - Pass NFT 1 jour pour 1 personne, valable pour 1 édition Calvi On The Rocks de votre choix.",_x000D_
"seller_fee_basis_points":1000,_x000D_
"image":"https://bafybeiepf2mmfhwxy2yfgiyakf4sr3c3lozzc72bkpy4c3wpujbpngapba.ipfs.nftstorage.link?image_43.png",_x000D_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6" s="1" t="str">
        <f>formatRow(Tokens!C$2:I$2,Tokens!C206:I206)</f>
        <v>"name":"In Casa #43",_x000D_
"symbol":"COR22D43",_x000D_
"description":"In Casa, 1 an - Pass NFT 1 jour pour 1 personne, valable pour 1 édition Calvi On The Rocks de votre choix.",_x000D_
"seller_fee_basis_points":1000,_x000D_
"image":"https://bafybeiepf2mmfhwxy2yfgiyakf4sr3c3lozzc72bkpy4c3wpujbpngapba.ipfs.nftstorage.link?image_43.png",_x000D_
"Issuer":"NfluenT for Calvi On The rocks",_x000D_
"external_url":""</v>
      </c>
      <c r="W206" s="1" t="str">
        <f>formatRow(Tokens!J$2:AV$2,Tokens!J206:AV206,2,"attributes")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6" s="1" t="str">
        <f>formatRow(Tokens!AX$2:BC$2,Tokens!AX206:BC206,2,"creators")</f>
        <v>"creators":[{"address":"paul",_x000D_
"share":10},{"address":"sophie",_x000D_
"share":90}]</v>
      </c>
      <c r="Y206" s="1" t="str">
        <f>formatRow(Tokens!BD$2:BI$2,Tokens!BD206:BI206,2,"files")</f>
        <v>"files":[]</v>
      </c>
      <c r="Z206" s="1"/>
      <c r="AA206" s="1"/>
      <c r="AB206" s="1"/>
      <c r="AC206" s="1" t="str">
        <f>formatRow(Tokens!BJ$2:BK$2,Tokens!BJ206:BK206,0,"collection")</f>
        <v>"collection":{"name":"In Casa",_x000D_
"family":"Calvi On The Rocks"}</v>
      </c>
    </row>
    <row r="207" spans="5:29" ht="14.25" customHeight="1" x14ac:dyDescent="0.25">
      <c r="E207" s="17" t="str">
        <f>IF(Tokens!C207="","",Tokens!C207)</f>
        <v>In Casa #44</v>
      </c>
      <c r="F207"/>
      <c r="G207"/>
      <c r="H207"/>
      <c r="I207"/>
      <c r="J207"/>
      <c r="M207"/>
      <c r="N207"/>
      <c r="O207" s="15" t="str">
        <f t="shared" si="6"/>
        <v>_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/>
      </c>
      <c r="Q207" s="2"/>
      <c r="R207" s="2"/>
      <c r="S207" s="11"/>
      <c r="T207" s="1" t="str">
        <f>"owner=" &amp; Tokens!BS207 &amp; "&amp;filename_for_metadata=" &amp; Tokens!BT207 &amp; "&amp;offchaindata_platform=" &amp; $B$17 &amp; "&amp;keyfile=" &amp; $B$5 &amp; "&amp;network=" &amp; LOWER($B$8) &amp; "&amp;repository=" &amp; $B$18</f>
        <v>owner=thomas&amp;filename_for_metadata=InCasa_COR22D44&amp;offchaindata_platform=MongoDB&amp;keyfile=Paul&amp;network=jsonfiles&amp;repository=test</v>
      </c>
      <c r="U207" s="1" t="str">
        <f t="shared" si="7"/>
        <v>{"name":"In Casa #44",_x000D_
"symbol":"COR22D44",_x000D_
"description":"In Casa, 1 an - Pass NFT 1 jour pour 1 personne, valable pour 1 édition Calvi On The Rocks de votre choix.",_x000D_
"seller_fee_basis_points":1000,_x000D_
"image":"https://bafybeicbkrimta6u63lu37xvyys6gr7nftj4xzmwd4tw5ixvusqbwrpkhy.ipfs.nftstorage.link?image_44.png",_x000D_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7" s="1" t="str">
        <f>formatRow(Tokens!C$2:I$2,Tokens!C207:I207)</f>
        <v>"name":"In Casa #44",_x000D_
"symbol":"COR22D44",_x000D_
"description":"In Casa, 1 an - Pass NFT 1 jour pour 1 personne, valable pour 1 édition Calvi On The Rocks de votre choix.",_x000D_
"seller_fee_basis_points":1000,_x000D_
"image":"https://bafybeicbkrimta6u63lu37xvyys6gr7nftj4xzmwd4tw5ixvusqbwrpkhy.ipfs.nftstorage.link?image_44.png",_x000D_
"Issuer":"NfluenT for Calvi On The rocks",_x000D_
"external_url":""</v>
      </c>
      <c r="W207" s="1" t="str">
        <f>formatRow(Tokens!J$2:AV$2,Tokens!J207:AV207,2,"attributes")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7" s="1" t="str">
        <f>formatRow(Tokens!AX$2:BC$2,Tokens!AX207:BC207,2,"creators")</f>
        <v>"creators":[{"address":"paul",_x000D_
"share":10},{"address":"sophie",_x000D_
"share":90}]</v>
      </c>
      <c r="Y207" s="1" t="str">
        <f>formatRow(Tokens!BD$2:BI$2,Tokens!BD207:BI207,2,"files")</f>
        <v>"files":[]</v>
      </c>
      <c r="Z207" s="1"/>
      <c r="AA207" s="1"/>
      <c r="AB207" s="1"/>
      <c r="AC207" s="1" t="str">
        <f>formatRow(Tokens!BJ$2:BK$2,Tokens!BJ207:BK207,0,"collection")</f>
        <v>"collection":{"name":"In Casa",_x000D_
"family":"Calvi On The Rocks"}</v>
      </c>
    </row>
    <row r="208" spans="5:29" ht="14.25" customHeight="1" x14ac:dyDescent="0.25">
      <c r="E208" s="17" t="str">
        <f>IF(Tokens!C208="","",Tokens!C208)</f>
        <v>In Casa #45</v>
      </c>
      <c r="F208"/>
      <c r="G208"/>
      <c r="H208"/>
      <c r="I208"/>
      <c r="J208"/>
      <c r="M208"/>
      <c r="N208"/>
      <c r="O208" s="15" t="str">
        <f t="shared" si="6"/>
        <v>_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/>
      </c>
      <c r="Q208" s="2"/>
      <c r="R208" s="2"/>
      <c r="S208" s="11"/>
      <c r="T208" s="1" t="str">
        <f>"owner=" &amp; Tokens!BS208 &amp; "&amp;filename_for_metadata=" &amp; Tokens!BT208 &amp; "&amp;offchaindata_platform=" &amp; $B$17 &amp; "&amp;keyfile=" &amp; $B$5 &amp; "&amp;network=" &amp; LOWER($B$8) &amp; "&amp;repository=" &amp; $B$18</f>
        <v>owner=thomas&amp;filename_for_metadata=InCasa_COR22D45&amp;offchaindata_platform=MongoDB&amp;keyfile=Paul&amp;network=jsonfiles&amp;repository=test</v>
      </c>
      <c r="U208" s="1" t="str">
        <f t="shared" si="7"/>
        <v>{"name":"In Casa #45",_x000D_
"symbol":"COR22D45",_x000D_
"description":"In Casa, 1 an - Pass NFT 1 jour pour 1 personne, valable pour 1 édition Calvi On The Rocks de votre choix.",_x000D_
"seller_fee_basis_points":1000,_x000D_
"image":"https://bafybeici7jwt5rdbrkdenuizedchyvnwqbeix2ny44c5pkoon3xowwxouu.ipfs.nftstorage.link?image_45.png",_x000D_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8" s="1" t="str">
        <f>formatRow(Tokens!C$2:I$2,Tokens!C208:I208)</f>
        <v>"name":"In Casa #45",_x000D_
"symbol":"COR22D45",_x000D_
"description":"In Casa, 1 an - Pass NFT 1 jour pour 1 personne, valable pour 1 édition Calvi On The Rocks de votre choix.",_x000D_
"seller_fee_basis_points":1000,_x000D_
"image":"https://bafybeici7jwt5rdbrkdenuizedchyvnwqbeix2ny44c5pkoon3xowwxouu.ipfs.nftstorage.link?image_45.png",_x000D_
"Issuer":"NfluenT for Calvi On The rocks",_x000D_
"external_url":""</v>
      </c>
      <c r="W208" s="1" t="str">
        <f>formatRow(Tokens!J$2:AV$2,Tokens!J208:AV208,2,"attributes")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8" s="1" t="str">
        <f>formatRow(Tokens!AX$2:BC$2,Tokens!AX208:BC208,2,"creators")</f>
        <v>"creators":[{"address":"paul",_x000D_
"share":10},{"address":"sophie",_x000D_
"share":90}]</v>
      </c>
      <c r="Y208" s="1" t="str">
        <f>formatRow(Tokens!BD$2:BI$2,Tokens!BD208:BI208,2,"files")</f>
        <v>"files":[]</v>
      </c>
      <c r="Z208" s="1"/>
      <c r="AA208" s="1"/>
      <c r="AB208" s="1"/>
      <c r="AC208" s="1" t="str">
        <f>formatRow(Tokens!BJ$2:BK$2,Tokens!BJ208:BK208,0,"collection")</f>
        <v>"collection":{"name":"In Casa",_x000D_
"family":"Calvi On The Rocks"}</v>
      </c>
    </row>
    <row r="209" spans="5:29" ht="14.25" customHeight="1" x14ac:dyDescent="0.25">
      <c r="E209" s="17" t="str">
        <f>IF(Tokens!C209="","",Tokens!C209)</f>
        <v>In Casa #46</v>
      </c>
      <c r="F209"/>
      <c r="G209"/>
      <c r="H209"/>
      <c r="I209"/>
      <c r="J209"/>
      <c r="M209"/>
      <c r="N209"/>
      <c r="O209" s="15" t="str">
        <f t="shared" si="6"/>
        <v>_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/>
      </c>
      <c r="Q209" s="2"/>
      <c r="R209" s="2"/>
      <c r="S209" s="11"/>
      <c r="T209" s="1" t="str">
        <f>"owner=" &amp; Tokens!BS209 &amp; "&amp;filename_for_metadata=" &amp; Tokens!BT209 &amp; "&amp;offchaindata_platform=" &amp; $B$17 &amp; "&amp;keyfile=" &amp; $B$5 &amp; "&amp;network=" &amp; LOWER($B$8) &amp; "&amp;repository=" &amp; $B$18</f>
        <v>owner=thomas&amp;filename_for_metadata=InCasa_COR22D46&amp;offchaindata_platform=MongoDB&amp;keyfile=Paul&amp;network=jsonfiles&amp;repository=test</v>
      </c>
      <c r="U209" s="1" t="str">
        <f t="shared" si="7"/>
        <v>{"name":"In Casa #46",_x000D_
"symbol":"COR22D46",_x000D_
"description":"In Casa, 1 an - Pass NFT 1 jour pour 1 personne, valable pour 1 édition Calvi On The Rocks de votre choix.",_x000D_
"seller_fee_basis_points":1000,_x000D_
"image":"https://bafybeidfbqo4nmxp2h46wujnl5fd7clgrj3rduhgcku475fnpf4hzhm6ui.ipfs.nftstorage.link?image_46.png",_x000D_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09" s="1" t="str">
        <f>formatRow(Tokens!C$2:I$2,Tokens!C209:I209)</f>
        <v>"name":"In Casa #46",_x000D_
"symbol":"COR22D46",_x000D_
"description":"In Casa, 1 an - Pass NFT 1 jour pour 1 personne, valable pour 1 édition Calvi On The Rocks de votre choix.",_x000D_
"seller_fee_basis_points":1000,_x000D_
"image":"https://bafybeidfbqo4nmxp2h46wujnl5fd7clgrj3rduhgcku475fnpf4hzhm6ui.ipfs.nftstorage.link?image_46.png",_x000D_
"Issuer":"NfluenT for Calvi On The rocks",_x000D_
"external_url":""</v>
      </c>
      <c r="W209" s="1" t="str">
        <f>formatRow(Tokens!J$2:AV$2,Tokens!J209:AV209,2,"attributes")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09" s="1" t="str">
        <f>formatRow(Tokens!AX$2:BC$2,Tokens!AX209:BC209,2,"creators")</f>
        <v>"creators":[{"address":"paul",_x000D_
"share":10},{"address":"sophie",_x000D_
"share":90}]</v>
      </c>
      <c r="Y209" s="1" t="str">
        <f>formatRow(Tokens!BD$2:BI$2,Tokens!BD209:BI209,2,"files")</f>
        <v>"files":[]</v>
      </c>
      <c r="Z209" s="1"/>
      <c r="AA209" s="1"/>
      <c r="AB209" s="1"/>
      <c r="AC209" s="1" t="str">
        <f>formatRow(Tokens!BJ$2:BK$2,Tokens!BJ209:BK209,0,"collection")</f>
        <v>"collection":{"name":"In Casa",_x000D_
"family":"Calvi On The Rocks"}</v>
      </c>
    </row>
    <row r="210" spans="5:29" ht="14.25" customHeight="1" x14ac:dyDescent="0.25">
      <c r="E210" s="17" t="str">
        <f>IF(Tokens!C210="","",Tokens!C210)</f>
        <v>In Casa #47</v>
      </c>
      <c r="F210"/>
      <c r="G210"/>
      <c r="H210"/>
      <c r="I210"/>
      <c r="J210"/>
      <c r="M210"/>
      <c r="N210"/>
      <c r="O210" s="15" t="str">
        <f t="shared" si="6"/>
        <v>_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/>
      </c>
      <c r="Q210" s="2"/>
      <c r="R210" s="2"/>
      <c r="S210" s="11"/>
      <c r="T210" s="1" t="str">
        <f>"owner=" &amp; Tokens!BS210 &amp; "&amp;filename_for_metadata=" &amp; Tokens!BT210 &amp; "&amp;offchaindata_platform=" &amp; $B$17 &amp; "&amp;keyfile=" &amp; $B$5 &amp; "&amp;network=" &amp; LOWER($B$8) &amp; "&amp;repository=" &amp; $B$18</f>
        <v>owner=thomas&amp;filename_for_metadata=InCasa_COR22D47&amp;offchaindata_platform=MongoDB&amp;keyfile=Paul&amp;network=jsonfiles&amp;repository=test</v>
      </c>
      <c r="U210" s="1" t="str">
        <f t="shared" si="7"/>
        <v>{"name":"In Casa #47",_x000D_
"symbol":"COR22D47",_x000D_
"description":"In Casa, 1 an - Pass NFT 1 jour pour 1 personne, valable pour 1 édition Calvi On The Rocks de votre choix.",_x000D_
"seller_fee_basis_points":1000,_x000D_
"image":"https://bafybeicce3jue6k2jfz4u2cltz7rkznp6cnawbkyzeldbb56oifn76tkmm.ipfs.nftstorage.link?image_47.png",_x000D_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0" s="1" t="str">
        <f>formatRow(Tokens!C$2:I$2,Tokens!C210:I210)</f>
        <v>"name":"In Casa #47",_x000D_
"symbol":"COR22D47",_x000D_
"description":"In Casa, 1 an - Pass NFT 1 jour pour 1 personne, valable pour 1 édition Calvi On The Rocks de votre choix.",_x000D_
"seller_fee_basis_points":1000,_x000D_
"image":"https://bafybeicce3jue6k2jfz4u2cltz7rkznp6cnawbkyzeldbb56oifn76tkmm.ipfs.nftstorage.link?image_47.png",_x000D_
"Issuer":"NfluenT for Calvi On The rocks",_x000D_
"external_url":""</v>
      </c>
      <c r="W210" s="1" t="str">
        <f>formatRow(Tokens!J$2:AV$2,Tokens!J210:AV210,2,"attributes")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0" s="1" t="str">
        <f>formatRow(Tokens!AX$2:BC$2,Tokens!AX210:BC210,2,"creators")</f>
        <v>"creators":[{"address":"paul",_x000D_
"share":10},{"address":"sophie",_x000D_
"share":90}]</v>
      </c>
      <c r="Y210" s="1" t="str">
        <f>formatRow(Tokens!BD$2:BI$2,Tokens!BD210:BI210,2,"files")</f>
        <v>"files":[]</v>
      </c>
      <c r="Z210" s="1"/>
      <c r="AA210" s="1"/>
      <c r="AB210" s="1"/>
      <c r="AC210" s="1" t="str">
        <f>formatRow(Tokens!BJ$2:BK$2,Tokens!BJ210:BK210,0,"collection")</f>
        <v>"collection":{"name":"In Casa",_x000D_
"family":"Calvi On The Rocks"}</v>
      </c>
    </row>
    <row r="211" spans="5:29" ht="14.25" customHeight="1" x14ac:dyDescent="0.25">
      <c r="E211" s="17" t="str">
        <f>IF(Tokens!C211="","",Tokens!C211)</f>
        <v>In Casa #48</v>
      </c>
      <c r="F211"/>
      <c r="G211"/>
      <c r="H211"/>
      <c r="I211"/>
      <c r="J211"/>
      <c r="M211"/>
      <c r="N211"/>
      <c r="O211" s="15" t="str">
        <f t="shared" si="6"/>
        <v>_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/>
      </c>
      <c r="Q211" s="2"/>
      <c r="R211" s="2"/>
      <c r="S211" s="11"/>
      <c r="T211" s="1" t="str">
        <f>"owner=" &amp; Tokens!BS211 &amp; "&amp;filename_for_metadata=" &amp; Tokens!BT211 &amp; "&amp;offchaindata_platform=" &amp; $B$17 &amp; "&amp;keyfile=" &amp; $B$5 &amp; "&amp;network=" &amp; LOWER($B$8) &amp; "&amp;repository=" &amp; $B$18</f>
        <v>owner=thomas&amp;filename_for_metadata=InCasa_COR22D48&amp;offchaindata_platform=MongoDB&amp;keyfile=Paul&amp;network=jsonfiles&amp;repository=test</v>
      </c>
      <c r="U211" s="1" t="str">
        <f t="shared" si="7"/>
        <v>{"name":"In Casa #48",_x000D_
"symbol":"COR22D48",_x000D_
"description":"In Casa, 1 an - Pass NFT 1 jour pour 1 personne, valable pour 1 édition Calvi On The Rocks de votre choix.",_x000D_
"seller_fee_basis_points":1000,_x000D_
"image":"https://bafybeifk3s3urdgsqmogbxnfdaxhkvqeojb34bn6qdtouby63d6vxwlb5u.ipfs.nftstorage.link?image_48.png",_x000D_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1" s="1" t="str">
        <f>formatRow(Tokens!C$2:I$2,Tokens!C211:I211)</f>
        <v>"name":"In Casa #48",_x000D_
"symbol":"COR22D48",_x000D_
"description":"In Casa, 1 an - Pass NFT 1 jour pour 1 personne, valable pour 1 édition Calvi On The Rocks de votre choix.",_x000D_
"seller_fee_basis_points":1000,_x000D_
"image":"https://bafybeifk3s3urdgsqmogbxnfdaxhkvqeojb34bn6qdtouby63d6vxwlb5u.ipfs.nftstorage.link?image_48.png",_x000D_
"Issuer":"NfluenT for Calvi On The rocks",_x000D_
"external_url":""</v>
      </c>
      <c r="W211" s="1" t="str">
        <f>formatRow(Tokens!J$2:AV$2,Tokens!J211:AV211,2,"attributes")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1" s="1" t="str">
        <f>formatRow(Tokens!AX$2:BC$2,Tokens!AX211:BC211,2,"creators")</f>
        <v>"creators":[{"address":"paul",_x000D_
"share":10},{"address":"sophie",_x000D_
"share":90}]</v>
      </c>
      <c r="Y211" s="1" t="str">
        <f>formatRow(Tokens!BD$2:BI$2,Tokens!BD211:BI211,2,"files")</f>
        <v>"files":[]</v>
      </c>
      <c r="Z211" s="1"/>
      <c r="AA211" s="1"/>
      <c r="AB211" s="1"/>
      <c r="AC211" s="1" t="str">
        <f>formatRow(Tokens!BJ$2:BK$2,Tokens!BJ211:BK211,0,"collection")</f>
        <v>"collection":{"name":"In Casa",_x000D_
"family":"Calvi On The Rocks"}</v>
      </c>
    </row>
    <row r="212" spans="5:29" ht="14.25" customHeight="1" x14ac:dyDescent="0.25">
      <c r="E212" s="17" t="str">
        <f>IF(Tokens!C212="","",Tokens!C212)</f>
        <v>In Casa #49</v>
      </c>
      <c r="F212"/>
      <c r="G212"/>
      <c r="H212"/>
      <c r="I212"/>
      <c r="J212"/>
      <c r="M212"/>
      <c r="N212"/>
      <c r="O212" s="15" t="str">
        <f t="shared" si="6"/>
        <v>_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/>
      </c>
      <c r="Q212" s="2"/>
      <c r="R212" s="2"/>
      <c r="S212" s="11"/>
      <c r="T212" s="1" t="str">
        <f>"owner=" &amp; Tokens!BS212 &amp; "&amp;filename_for_metadata=" &amp; Tokens!BT212 &amp; "&amp;offchaindata_platform=" &amp; $B$17 &amp; "&amp;keyfile=" &amp; $B$5 &amp; "&amp;network=" &amp; LOWER($B$8) &amp; "&amp;repository=" &amp; $B$18</f>
        <v>owner=thomas&amp;filename_for_metadata=InCasa_COR22D49&amp;offchaindata_platform=MongoDB&amp;keyfile=Paul&amp;network=jsonfiles&amp;repository=test</v>
      </c>
      <c r="U212" s="1" t="str">
        <f t="shared" si="7"/>
        <v>{"name":"In Casa #49",_x000D_
"symbol":"COR22D49",_x000D_
"description":"In Casa, 1 an - Pass NFT 1 jour pour 1 personne, valable pour 1 édition Calvi On The Rocks de votre choix.",_x000D_
"seller_fee_basis_points":1000,_x000D_
"image":"https://bafybeidefyk2zvf7ylfslxbgjm7pdc4w5b4szrpgxh62t3srewbahcimwe.ipfs.nftstorage.link?image_49.png",_x000D_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2" s="1" t="str">
        <f>formatRow(Tokens!C$2:I$2,Tokens!C212:I212)</f>
        <v>"name":"In Casa #49",_x000D_
"symbol":"COR22D49",_x000D_
"description":"In Casa, 1 an - Pass NFT 1 jour pour 1 personne, valable pour 1 édition Calvi On The Rocks de votre choix.",_x000D_
"seller_fee_basis_points":1000,_x000D_
"image":"https://bafybeidefyk2zvf7ylfslxbgjm7pdc4w5b4szrpgxh62t3srewbahcimwe.ipfs.nftstorage.link?image_49.png",_x000D_
"Issuer":"NfluenT for Calvi On The rocks",_x000D_
"external_url":""</v>
      </c>
      <c r="W212" s="1" t="str">
        <f>formatRow(Tokens!J$2:AV$2,Tokens!J212:AV212,2,"attributes")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2" s="1" t="str">
        <f>formatRow(Tokens!AX$2:BC$2,Tokens!AX212:BC212,2,"creators")</f>
        <v>"creators":[{"address":"paul",_x000D_
"share":10},{"address":"sophie",_x000D_
"share":90}]</v>
      </c>
      <c r="Y212" s="1" t="str">
        <f>formatRow(Tokens!BD$2:BI$2,Tokens!BD212:BI212,2,"files")</f>
        <v>"files":[]</v>
      </c>
      <c r="Z212" s="1"/>
      <c r="AA212" s="1"/>
      <c r="AB212" s="1"/>
      <c r="AC212" s="1" t="str">
        <f>formatRow(Tokens!BJ$2:BK$2,Tokens!BJ212:BK212,0,"collection")</f>
        <v>"collection":{"name":"In Casa",_x000D_
"family":"Calvi On The Rocks"}</v>
      </c>
    </row>
    <row r="213" spans="5:29" ht="14.25" customHeight="1" x14ac:dyDescent="0.25">
      <c r="E213" s="17" t="str">
        <f>IF(Tokens!C213="","",Tokens!C213)</f>
        <v>In Casa #50</v>
      </c>
      <c r="F213"/>
      <c r="G213"/>
      <c r="H213"/>
      <c r="I213"/>
      <c r="J213"/>
      <c r="M213"/>
      <c r="N213"/>
      <c r="O213" s="15" t="str">
        <f t="shared" si="6"/>
        <v>_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/>
      </c>
      <c r="Q213" s="2"/>
      <c r="R213" s="2"/>
      <c r="S213" s="11"/>
      <c r="T213" s="1" t="str">
        <f>"owner=" &amp; Tokens!BS213 &amp; "&amp;filename_for_metadata=" &amp; Tokens!BT213 &amp; "&amp;offchaindata_platform=" &amp; $B$17 &amp; "&amp;keyfile=" &amp; $B$5 &amp; "&amp;network=" &amp; LOWER($B$8) &amp; "&amp;repository=" &amp; $B$18</f>
        <v>owner=thomas&amp;filename_for_metadata=InCasa_COR22D50&amp;offchaindata_platform=MongoDB&amp;keyfile=Paul&amp;network=jsonfiles&amp;repository=test</v>
      </c>
      <c r="U213" s="1" t="str">
        <f t="shared" si="7"/>
        <v>{"name":"In Casa #50",_x000D_
"symbol":"COR22D50",_x000D_
"description":"In Casa, 1 an - Pass NFT 1 jour pour 1 personne, valable pour 1 édition Calvi On The Rocks de votre choix.",_x000D_
"seller_fee_basis_points":1000,_x000D_
"image":"https://bafybeidakxptxt4ieutqjmqpupszvnao3uiiud7uhg5suqmtbcuuq4xvh4.ipfs.nftstorage.link?image_50.png",_x000D_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3" s="1" t="str">
        <f>formatRow(Tokens!C$2:I$2,Tokens!C213:I213)</f>
        <v>"name":"In Casa #50",_x000D_
"symbol":"COR22D50",_x000D_
"description":"In Casa, 1 an - Pass NFT 1 jour pour 1 personne, valable pour 1 édition Calvi On The Rocks de votre choix.",_x000D_
"seller_fee_basis_points":1000,_x000D_
"image":"https://bafybeidakxptxt4ieutqjmqpupszvnao3uiiud7uhg5suqmtbcuuq4xvh4.ipfs.nftstorage.link?image_50.png",_x000D_
"Issuer":"NfluenT for Calvi On The rocks",_x000D_
"external_url":""</v>
      </c>
      <c r="W213" s="1" t="str">
        <f>formatRow(Tokens!J$2:AV$2,Tokens!J213:AV213,2,"attributes")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3" s="1" t="str">
        <f>formatRow(Tokens!AX$2:BC$2,Tokens!AX213:BC213,2,"creators")</f>
        <v>"creators":[{"address":"paul",_x000D_
"share":10},{"address":"sophie",_x000D_
"share":90}]</v>
      </c>
      <c r="Y213" s="1" t="str">
        <f>formatRow(Tokens!BD$2:BI$2,Tokens!BD213:BI213,2,"files")</f>
        <v>"files":[]</v>
      </c>
      <c r="Z213" s="1"/>
      <c r="AA213" s="1"/>
      <c r="AB213" s="1"/>
      <c r="AC213" s="1" t="str">
        <f>formatRow(Tokens!BJ$2:BK$2,Tokens!BJ213:BK213,0,"collection")</f>
        <v>"collection":{"name":"In Casa",_x000D_
"family":"Calvi On The Rocks"}</v>
      </c>
    </row>
    <row r="214" spans="5:29" ht="14.25" customHeight="1" x14ac:dyDescent="0.25">
      <c r="E214" s="17" t="str">
        <f>IF(Tokens!C214="","",Tokens!C214)</f>
        <v>In Casa #51</v>
      </c>
      <c r="F214"/>
      <c r="G214"/>
      <c r="H214"/>
      <c r="I214"/>
      <c r="J214"/>
      <c r="M214"/>
      <c r="N214"/>
      <c r="O214" s="15" t="str">
        <f t="shared" si="6"/>
        <v>_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/>
      </c>
      <c r="Q214" s="2"/>
      <c r="R214" s="2"/>
      <c r="S214" s="11"/>
      <c r="T214" s="1" t="str">
        <f>"owner=" &amp; Tokens!BS214 &amp; "&amp;filename_for_metadata=" &amp; Tokens!BT214 &amp; "&amp;offchaindata_platform=" &amp; $B$17 &amp; "&amp;keyfile=" &amp; $B$5 &amp; "&amp;network=" &amp; LOWER($B$8) &amp; "&amp;repository=" &amp; $B$18</f>
        <v>owner=thomas&amp;filename_for_metadata=InCasa_COR22D51&amp;offchaindata_platform=MongoDB&amp;keyfile=Paul&amp;network=jsonfiles&amp;repository=test</v>
      </c>
      <c r="U214" s="1" t="str">
        <f t="shared" si="7"/>
        <v>{"name":"In Casa #51",_x000D_
"symbol":"COR22D51",_x000D_
"description":"In Casa, 1 an - Pass NFT 1 jour pour 1 personne, valable pour 1 édition Calvi On The Rocks de votre choix.",_x000D_
"seller_fee_basis_points":1000,_x000D_
"image":"https://bafybeiff4ejrpnavetojtg3f2alkvrnbgnbpquhv2xruyeuqk57yvkg2gq.ipfs.nftstorage.link?image_51.png",_x000D_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4" s="1" t="str">
        <f>formatRow(Tokens!C$2:I$2,Tokens!C214:I214)</f>
        <v>"name":"In Casa #51",_x000D_
"symbol":"COR22D51",_x000D_
"description":"In Casa, 1 an - Pass NFT 1 jour pour 1 personne, valable pour 1 édition Calvi On The Rocks de votre choix.",_x000D_
"seller_fee_basis_points":1000,_x000D_
"image":"https://bafybeiff4ejrpnavetojtg3f2alkvrnbgnbpquhv2xruyeuqk57yvkg2gq.ipfs.nftstorage.link?image_51.png",_x000D_
"Issuer":"NfluenT for Calvi On The rocks",_x000D_
"external_url":""</v>
      </c>
      <c r="W214" s="1" t="str">
        <f>formatRow(Tokens!J$2:AV$2,Tokens!J214:AV214,2,"attributes")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4" s="1" t="str">
        <f>formatRow(Tokens!AX$2:BC$2,Tokens!AX214:BC214,2,"creators")</f>
        <v>"creators":[{"address":"paul",_x000D_
"share":10},{"address":"sophie",_x000D_
"share":90}]</v>
      </c>
      <c r="Y214" s="1" t="str">
        <f>formatRow(Tokens!BD$2:BI$2,Tokens!BD214:BI214,2,"files")</f>
        <v>"files":[]</v>
      </c>
      <c r="Z214" s="1"/>
      <c r="AA214" s="1"/>
      <c r="AB214" s="1"/>
      <c r="AC214" s="1" t="str">
        <f>formatRow(Tokens!BJ$2:BK$2,Tokens!BJ214:BK214,0,"collection")</f>
        <v>"collection":{"name":"In Casa",_x000D_
"family":"Calvi On The Rocks"}</v>
      </c>
    </row>
    <row r="215" spans="5:29" ht="14.25" customHeight="1" x14ac:dyDescent="0.25">
      <c r="E215" s="17" t="str">
        <f>IF(Tokens!C215="","",Tokens!C215)</f>
        <v>In Casa #52</v>
      </c>
      <c r="F215"/>
      <c r="G215"/>
      <c r="H215"/>
      <c r="I215"/>
      <c r="J215"/>
      <c r="M215"/>
      <c r="N215"/>
      <c r="O215" s="15" t="str">
        <f t="shared" si="6"/>
        <v>_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/>
      </c>
      <c r="Q215" s="2"/>
      <c r="R215" s="2"/>
      <c r="S215" s="11"/>
      <c r="T215" s="1" t="str">
        <f>"owner=" &amp; Tokens!BS215 &amp; "&amp;filename_for_metadata=" &amp; Tokens!BT215 &amp; "&amp;offchaindata_platform=" &amp; $B$17 &amp; "&amp;keyfile=" &amp; $B$5 &amp; "&amp;network=" &amp; LOWER($B$8) &amp; "&amp;repository=" &amp; $B$18</f>
        <v>owner=thomas&amp;filename_for_metadata=InCasa_COR22D52&amp;offchaindata_platform=MongoDB&amp;keyfile=Paul&amp;network=jsonfiles&amp;repository=test</v>
      </c>
      <c r="U215" s="1" t="str">
        <f t="shared" si="7"/>
        <v>{"name":"In Casa #52",_x000D_
"symbol":"COR22D52",_x000D_
"description":"In Casa, 1 an - Pass NFT 1 jour pour 1 personne, valable pour 1 édition Calvi On The Rocks de votre choix.",_x000D_
"seller_fee_basis_points":1000,_x000D_
"image":"https://bafybeidhsul6v627ocw23to3wvcoazwiuvxanxk5vakgoc3rnbapsspvh4.ipfs.nftstorage.link?image_52.png",_x000D_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5" s="1" t="str">
        <f>formatRow(Tokens!C$2:I$2,Tokens!C215:I215)</f>
        <v>"name":"In Casa #52",_x000D_
"symbol":"COR22D52",_x000D_
"description":"In Casa, 1 an - Pass NFT 1 jour pour 1 personne, valable pour 1 édition Calvi On The Rocks de votre choix.",_x000D_
"seller_fee_basis_points":1000,_x000D_
"image":"https://bafybeidhsul6v627ocw23to3wvcoazwiuvxanxk5vakgoc3rnbapsspvh4.ipfs.nftstorage.link?image_52.png",_x000D_
"Issuer":"NfluenT for Calvi On The rocks",_x000D_
"external_url":""</v>
      </c>
      <c r="W215" s="1" t="str">
        <f>formatRow(Tokens!J$2:AV$2,Tokens!J215:AV215,2,"attributes")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5" s="1" t="str">
        <f>formatRow(Tokens!AX$2:BC$2,Tokens!AX215:BC215,2,"creators")</f>
        <v>"creators":[{"address":"paul",_x000D_
"share":10},{"address":"sophie",_x000D_
"share":90}]</v>
      </c>
      <c r="Y215" s="1" t="str">
        <f>formatRow(Tokens!BD$2:BI$2,Tokens!BD215:BI215,2,"files")</f>
        <v>"files":[]</v>
      </c>
      <c r="Z215" s="1"/>
      <c r="AA215" s="1"/>
      <c r="AB215" s="1"/>
      <c r="AC215" s="1" t="str">
        <f>formatRow(Tokens!BJ$2:BK$2,Tokens!BJ215:BK215,0,"collection")</f>
        <v>"collection":{"name":"In Casa",_x000D_
"family":"Calvi On The Rocks"}</v>
      </c>
    </row>
    <row r="216" spans="5:29" ht="14.25" customHeight="1" x14ac:dyDescent="0.25">
      <c r="E216" s="17" t="str">
        <f>IF(Tokens!C216="","",Tokens!C216)</f>
        <v>In Casa #53</v>
      </c>
      <c r="F216"/>
      <c r="G216"/>
      <c r="H216"/>
      <c r="I216"/>
      <c r="J216"/>
      <c r="M216"/>
      <c r="N216"/>
      <c r="O216" s="15" t="str">
        <f t="shared" si="6"/>
        <v>_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/>
      </c>
      <c r="Q216" s="2"/>
      <c r="R216" s="2"/>
      <c r="S216" s="11"/>
      <c r="T216" s="1" t="str">
        <f>"owner=" &amp; Tokens!BS216 &amp; "&amp;filename_for_metadata=" &amp; Tokens!BT216 &amp; "&amp;offchaindata_platform=" &amp; $B$17 &amp; "&amp;keyfile=" &amp; $B$5 &amp; "&amp;network=" &amp; LOWER($B$8) &amp; "&amp;repository=" &amp; $B$18</f>
        <v>owner=thomas&amp;filename_for_metadata=InCasa_COR22D53&amp;offchaindata_platform=MongoDB&amp;keyfile=Paul&amp;network=jsonfiles&amp;repository=test</v>
      </c>
      <c r="U216" s="1" t="str">
        <f t="shared" si="7"/>
        <v>{"name":"In Casa #53",_x000D_
"symbol":"COR22D53",_x000D_
"description":"In Casa, 1 an - Pass NFT 1 jour pour 1 personne, valable pour 1 édition Calvi On The Rocks de votre choix.",_x000D_
"seller_fee_basis_points":1000,_x000D_
"image":"https://bafybeibbjjvf7nmfutg6oiokbkcebjvx545bqcqdkopzdzf2q4zfnvaqxi.ipfs.nftstorage.link?image_53.png",_x000D_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6" s="1" t="str">
        <f>formatRow(Tokens!C$2:I$2,Tokens!C216:I216)</f>
        <v>"name":"In Casa #53",_x000D_
"symbol":"COR22D53",_x000D_
"description":"In Casa, 1 an - Pass NFT 1 jour pour 1 personne, valable pour 1 édition Calvi On The Rocks de votre choix.",_x000D_
"seller_fee_basis_points":1000,_x000D_
"image":"https://bafybeibbjjvf7nmfutg6oiokbkcebjvx545bqcqdkopzdzf2q4zfnvaqxi.ipfs.nftstorage.link?image_53.png",_x000D_
"Issuer":"NfluenT for Calvi On The rocks",_x000D_
"external_url":""</v>
      </c>
      <c r="W216" s="1" t="str">
        <f>formatRow(Tokens!J$2:AV$2,Tokens!J216:AV216,2,"attributes")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6" s="1" t="str">
        <f>formatRow(Tokens!AX$2:BC$2,Tokens!AX216:BC216,2,"creators")</f>
        <v>"creators":[{"address":"paul",_x000D_
"share":10},{"address":"sophie",_x000D_
"share":90}]</v>
      </c>
      <c r="Y216" s="1" t="str">
        <f>formatRow(Tokens!BD$2:BI$2,Tokens!BD216:BI216,2,"files")</f>
        <v>"files":[]</v>
      </c>
      <c r="Z216" s="1"/>
      <c r="AA216" s="1"/>
      <c r="AB216" s="1"/>
      <c r="AC216" s="1" t="str">
        <f>formatRow(Tokens!BJ$2:BK$2,Tokens!BJ216:BK216,0,"collection")</f>
        <v>"collection":{"name":"In Casa",_x000D_
"family":"Calvi On The Rocks"}</v>
      </c>
    </row>
    <row r="217" spans="5:29" ht="14.25" customHeight="1" x14ac:dyDescent="0.25">
      <c r="E217" s="17" t="str">
        <f>IF(Tokens!C217="","",Tokens!C217)</f>
        <v>In Casa #54</v>
      </c>
      <c r="F217"/>
      <c r="G217"/>
      <c r="H217"/>
      <c r="I217"/>
      <c r="J217"/>
      <c r="M217"/>
      <c r="N217"/>
      <c r="O217" s="15" t="str">
        <f t="shared" si="6"/>
        <v>_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/>
      </c>
      <c r="Q217" s="2"/>
      <c r="R217" s="2"/>
      <c r="S217" s="11"/>
      <c r="T217" s="1" t="str">
        <f>"owner=" &amp; Tokens!BS217 &amp; "&amp;filename_for_metadata=" &amp; Tokens!BT217 &amp; "&amp;offchaindata_platform=" &amp; $B$17 &amp; "&amp;keyfile=" &amp; $B$5 &amp; "&amp;network=" &amp; LOWER($B$8) &amp; "&amp;repository=" &amp; $B$18</f>
        <v>owner=thomas&amp;filename_for_metadata=InCasa_COR22D54&amp;offchaindata_platform=MongoDB&amp;keyfile=Paul&amp;network=jsonfiles&amp;repository=test</v>
      </c>
      <c r="U217" s="1" t="str">
        <f t="shared" si="7"/>
        <v>{"name":"In Casa #54",_x000D_
"symbol":"COR22D54",_x000D_
"description":"In Casa, 1 an - Pass NFT 1 jour pour 1 personne, valable pour 1 édition Calvi On The Rocks de votre choix.",_x000D_
"seller_fee_basis_points":1000,_x000D_
"image":"https://bafybeig6dajub3zsvreyeynuwge3sdpolvsmhhnpporhsu6uurplucdowe.ipfs.nftstorage.link?image_54.png",_x000D_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7" s="1" t="str">
        <f>formatRow(Tokens!C$2:I$2,Tokens!C217:I217)</f>
        <v>"name":"In Casa #54",_x000D_
"symbol":"COR22D54",_x000D_
"description":"In Casa, 1 an - Pass NFT 1 jour pour 1 personne, valable pour 1 édition Calvi On The Rocks de votre choix.",_x000D_
"seller_fee_basis_points":1000,_x000D_
"image":"https://bafybeig6dajub3zsvreyeynuwge3sdpolvsmhhnpporhsu6uurplucdowe.ipfs.nftstorage.link?image_54.png",_x000D_
"Issuer":"NfluenT for Calvi On The rocks",_x000D_
"external_url":""</v>
      </c>
      <c r="W217" s="1" t="str">
        <f>formatRow(Tokens!J$2:AV$2,Tokens!J217:AV217,2,"attributes")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7" s="1" t="str">
        <f>formatRow(Tokens!AX$2:BC$2,Tokens!AX217:BC217,2,"creators")</f>
        <v>"creators":[{"address":"paul",_x000D_
"share":10},{"address":"sophie",_x000D_
"share":90}]</v>
      </c>
      <c r="Y217" s="1" t="str">
        <f>formatRow(Tokens!BD$2:BI$2,Tokens!BD217:BI217,2,"files")</f>
        <v>"files":[]</v>
      </c>
      <c r="Z217" s="1"/>
      <c r="AA217" s="1"/>
      <c r="AB217" s="1"/>
      <c r="AC217" s="1" t="str">
        <f>formatRow(Tokens!BJ$2:BK$2,Tokens!BJ217:BK217,0,"collection")</f>
        <v>"collection":{"name":"In Casa",_x000D_
"family":"Calvi On The Rocks"}</v>
      </c>
    </row>
    <row r="218" spans="5:29" ht="14.25" customHeight="1" x14ac:dyDescent="0.25">
      <c r="E218" s="17" t="str">
        <f>IF(Tokens!C218="","",Tokens!C218)</f>
        <v>In Casa #55</v>
      </c>
      <c r="F218"/>
      <c r="G218"/>
      <c r="H218"/>
      <c r="I218"/>
      <c r="J218"/>
      <c r="M218"/>
      <c r="N218"/>
      <c r="O218" s="15" t="str">
        <f t="shared" si="6"/>
        <v>_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/>
      </c>
      <c r="Q218" s="2"/>
      <c r="R218" s="2"/>
      <c r="S218" s="11"/>
      <c r="T218" s="1" t="str">
        <f>"owner=" &amp; Tokens!BS218 &amp; "&amp;filename_for_metadata=" &amp; Tokens!BT218 &amp; "&amp;offchaindata_platform=" &amp; $B$17 &amp; "&amp;keyfile=" &amp; $B$5 &amp; "&amp;network=" &amp; LOWER($B$8) &amp; "&amp;repository=" &amp; $B$18</f>
        <v>owner=thomas&amp;filename_for_metadata=InCasa_COR22D55&amp;offchaindata_platform=MongoDB&amp;keyfile=Paul&amp;network=jsonfiles&amp;repository=test</v>
      </c>
      <c r="U218" s="1" t="str">
        <f t="shared" si="7"/>
        <v>{"name":"In Casa #55",_x000D_
"symbol":"COR22D55",_x000D_
"description":"In Casa, 1 an - Pass NFT 1 jour pour 1 personne, valable pour 1 édition Calvi On The Rocks de votre choix.",_x000D_
"seller_fee_basis_points":1000,_x000D_
"image":"https://bafybeicse6agygkylqmn6q5ufcf52s2wa7wd5asvl2rqzo4k2dfh32ufsu.ipfs.nftstorage.link?image_55.png",_x000D_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8" s="1" t="str">
        <f>formatRow(Tokens!C$2:I$2,Tokens!C218:I218)</f>
        <v>"name":"In Casa #55",_x000D_
"symbol":"COR22D55",_x000D_
"description":"In Casa, 1 an - Pass NFT 1 jour pour 1 personne, valable pour 1 édition Calvi On The Rocks de votre choix.",_x000D_
"seller_fee_basis_points":1000,_x000D_
"image":"https://bafybeicse6agygkylqmn6q5ufcf52s2wa7wd5asvl2rqzo4k2dfh32ufsu.ipfs.nftstorage.link?image_55.png",_x000D_
"Issuer":"NfluenT for Calvi On The rocks",_x000D_
"external_url":""</v>
      </c>
      <c r="W218" s="1" t="str">
        <f>formatRow(Tokens!J$2:AV$2,Tokens!J218:AV218,2,"attributes")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8" s="1" t="str">
        <f>formatRow(Tokens!AX$2:BC$2,Tokens!AX218:BC218,2,"creators")</f>
        <v>"creators":[{"address":"paul",_x000D_
"share":10},{"address":"sophie",_x000D_
"share":90}]</v>
      </c>
      <c r="Y218" s="1" t="str">
        <f>formatRow(Tokens!BD$2:BI$2,Tokens!BD218:BI218,2,"files")</f>
        <v>"files":[]</v>
      </c>
      <c r="Z218" s="1"/>
      <c r="AA218" s="1"/>
      <c r="AB218" s="1"/>
      <c r="AC218" s="1" t="str">
        <f>formatRow(Tokens!BJ$2:BK$2,Tokens!BJ218:BK218,0,"collection")</f>
        <v>"collection":{"name":"In Casa",_x000D_
"family":"Calvi On The Rocks"}</v>
      </c>
    </row>
    <row r="219" spans="5:29" ht="14.25" customHeight="1" x14ac:dyDescent="0.25">
      <c r="E219" s="17" t="str">
        <f>IF(Tokens!C219="","",Tokens!C219)</f>
        <v>In Casa #56</v>
      </c>
      <c r="F219"/>
      <c r="G219"/>
      <c r="H219"/>
      <c r="I219"/>
      <c r="J219"/>
      <c r="M219"/>
      <c r="N219"/>
      <c r="O219" s="15" t="str">
        <f t="shared" si="6"/>
        <v>_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/>
      </c>
      <c r="Q219" s="2"/>
      <c r="R219" s="2"/>
      <c r="S219" s="11"/>
      <c r="T219" s="1" t="str">
        <f>"owner=" &amp; Tokens!BS219 &amp; "&amp;filename_for_metadata=" &amp; Tokens!BT219 &amp; "&amp;offchaindata_platform=" &amp; $B$17 &amp; "&amp;keyfile=" &amp; $B$5 &amp; "&amp;network=" &amp; LOWER($B$8) &amp; "&amp;repository=" &amp; $B$18</f>
        <v>owner=thomas&amp;filename_for_metadata=InCasa_COR22D56&amp;offchaindata_platform=MongoDB&amp;keyfile=Paul&amp;network=jsonfiles&amp;repository=test</v>
      </c>
      <c r="U219" s="1" t="str">
        <f t="shared" si="7"/>
        <v>{"name":"In Casa #56",_x000D_
"symbol":"COR22D56",_x000D_
"description":"In Casa, 1 an - Pass NFT 1 jour pour 1 personne, valable pour 1 édition Calvi On The Rocks de votre choix.",_x000D_
"seller_fee_basis_points":1000,_x000D_
"image":"https://bafybeiblax7oq76vnezc62rqt3pzah6eym7ayffikv5zobzdawrzwpj32u.ipfs.nftstorage.link?image_56.png",_x000D_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19" s="1" t="str">
        <f>formatRow(Tokens!C$2:I$2,Tokens!C219:I219)</f>
        <v>"name":"In Casa #56",_x000D_
"symbol":"COR22D56",_x000D_
"description":"In Casa, 1 an - Pass NFT 1 jour pour 1 personne, valable pour 1 édition Calvi On The Rocks de votre choix.",_x000D_
"seller_fee_basis_points":1000,_x000D_
"image":"https://bafybeiblax7oq76vnezc62rqt3pzah6eym7ayffikv5zobzdawrzwpj32u.ipfs.nftstorage.link?image_56.png",_x000D_
"Issuer":"NfluenT for Calvi On The rocks",_x000D_
"external_url":""</v>
      </c>
      <c r="W219" s="1" t="str">
        <f>formatRow(Tokens!J$2:AV$2,Tokens!J219:AV219,2,"attributes")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19" s="1" t="str">
        <f>formatRow(Tokens!AX$2:BC$2,Tokens!AX219:BC219,2,"creators")</f>
        <v>"creators":[{"address":"paul",_x000D_
"share":10},{"address":"sophie",_x000D_
"share":90}]</v>
      </c>
      <c r="Y219" s="1" t="str">
        <f>formatRow(Tokens!BD$2:BI$2,Tokens!BD219:BI219,2,"files")</f>
        <v>"files":[]</v>
      </c>
      <c r="Z219" s="1"/>
      <c r="AA219" s="1"/>
      <c r="AB219" s="1"/>
      <c r="AC219" s="1" t="str">
        <f>formatRow(Tokens!BJ$2:BK$2,Tokens!BJ219:BK219,0,"collection")</f>
        <v>"collection":{"name":"In Casa",_x000D_
"family":"Calvi On The Rocks"}</v>
      </c>
    </row>
    <row r="220" spans="5:29" ht="14.25" customHeight="1" x14ac:dyDescent="0.25">
      <c r="E220" s="17" t="str">
        <f>IF(Tokens!C220="","",Tokens!C220)</f>
        <v>In Casa #57</v>
      </c>
      <c r="F220"/>
      <c r="G220"/>
      <c r="H220"/>
      <c r="I220"/>
      <c r="J220"/>
      <c r="M220"/>
      <c r="N220"/>
      <c r="O220" s="15" t="str">
        <f t="shared" si="6"/>
        <v>_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/>
      </c>
      <c r="Q220" s="2"/>
      <c r="R220" s="2"/>
      <c r="S220" s="11"/>
      <c r="T220" s="1" t="str">
        <f>"owner=" &amp; Tokens!BS220 &amp; "&amp;filename_for_metadata=" &amp; Tokens!BT220 &amp; "&amp;offchaindata_platform=" &amp; $B$17 &amp; "&amp;keyfile=" &amp; $B$5 &amp; "&amp;network=" &amp; LOWER($B$8) &amp; "&amp;repository=" &amp; $B$18</f>
        <v>owner=thomas&amp;filename_for_metadata=InCasa_COR22D57&amp;offchaindata_platform=MongoDB&amp;keyfile=Paul&amp;network=jsonfiles&amp;repository=test</v>
      </c>
      <c r="U220" s="1" t="str">
        <f t="shared" si="7"/>
        <v>{"name":"In Casa #57",_x000D_
"symbol":"COR22D57",_x000D_
"description":"In Casa, 1 an - Pass NFT 1 jour pour 1 personne, valable pour 1 édition Calvi On The Rocks de votre choix.",_x000D_
"seller_fee_basis_points":1000,_x000D_
"image":"https://bafybeiaim7n4nom2mkvuuqjzjmblkx6v2bcvbyrfps7wpotgp5ufgi7ld4.ipfs.nftstorage.link?image_57.png",_x000D_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0" s="1" t="str">
        <f>formatRow(Tokens!C$2:I$2,Tokens!C220:I220)</f>
        <v>"name":"In Casa #57",_x000D_
"symbol":"COR22D57",_x000D_
"description":"In Casa, 1 an - Pass NFT 1 jour pour 1 personne, valable pour 1 édition Calvi On The Rocks de votre choix.",_x000D_
"seller_fee_basis_points":1000,_x000D_
"image":"https://bafybeiaim7n4nom2mkvuuqjzjmblkx6v2bcvbyrfps7wpotgp5ufgi7ld4.ipfs.nftstorage.link?image_57.png",_x000D_
"Issuer":"NfluenT for Calvi On The rocks",_x000D_
"external_url":""</v>
      </c>
      <c r="W220" s="1" t="str">
        <f>formatRow(Tokens!J$2:AV$2,Tokens!J220:AV220,2,"attributes")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0" s="1" t="str">
        <f>formatRow(Tokens!AX$2:BC$2,Tokens!AX220:BC220,2,"creators")</f>
        <v>"creators":[{"address":"paul",_x000D_
"share":10},{"address":"sophie",_x000D_
"share":90}]</v>
      </c>
      <c r="Y220" s="1" t="str">
        <f>formatRow(Tokens!BD$2:BI$2,Tokens!BD220:BI220,2,"files")</f>
        <v>"files":[]</v>
      </c>
      <c r="Z220" s="1"/>
      <c r="AA220" s="1"/>
      <c r="AB220" s="1"/>
      <c r="AC220" s="1" t="str">
        <f>formatRow(Tokens!BJ$2:BK$2,Tokens!BJ220:BK220,0,"collection")</f>
        <v>"collection":{"name":"In Casa",_x000D_
"family":"Calvi On The Rocks"}</v>
      </c>
    </row>
    <row r="221" spans="5:29" ht="14.25" customHeight="1" x14ac:dyDescent="0.25">
      <c r="E221" s="17" t="str">
        <f>IF(Tokens!C221="","",Tokens!C221)</f>
        <v>In Casa #58</v>
      </c>
      <c r="F221"/>
      <c r="G221"/>
      <c r="H221"/>
      <c r="I221"/>
      <c r="J221"/>
      <c r="M221"/>
      <c r="N221"/>
      <c r="O221" s="15" t="str">
        <f t="shared" si="6"/>
        <v>_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/>
      </c>
      <c r="Q221" s="2"/>
      <c r="R221" s="2"/>
      <c r="S221" s="11"/>
      <c r="T221" s="1" t="str">
        <f>"owner=" &amp; Tokens!BS221 &amp; "&amp;filename_for_metadata=" &amp; Tokens!BT221 &amp; "&amp;offchaindata_platform=" &amp; $B$17 &amp; "&amp;keyfile=" &amp; $B$5 &amp; "&amp;network=" &amp; LOWER($B$8) &amp; "&amp;repository=" &amp; $B$18</f>
        <v>owner=thomas&amp;filename_for_metadata=InCasa_COR22D58&amp;offchaindata_platform=MongoDB&amp;keyfile=Paul&amp;network=jsonfiles&amp;repository=test</v>
      </c>
      <c r="U221" s="1" t="str">
        <f t="shared" si="7"/>
        <v>{"name":"In Casa #58",_x000D_
"symbol":"COR22D58",_x000D_
"description":"In Casa, 1 an - Pass NFT 1 jour pour 1 personne, valable pour 1 édition Calvi On The Rocks de votre choix.",_x000D_
"seller_fee_basis_points":1000,_x000D_
"image":"https://bafybeihqbjbboop6ztdcv2bz2kz6thbtj3gdzt3rvz2lwaoxzsuskooqhi.ipfs.nftstorage.link?image_58.png",_x000D_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1" s="1" t="str">
        <f>formatRow(Tokens!C$2:I$2,Tokens!C221:I221)</f>
        <v>"name":"In Casa #58",_x000D_
"symbol":"COR22D58",_x000D_
"description":"In Casa, 1 an - Pass NFT 1 jour pour 1 personne, valable pour 1 édition Calvi On The Rocks de votre choix.",_x000D_
"seller_fee_basis_points":1000,_x000D_
"image":"https://bafybeihqbjbboop6ztdcv2bz2kz6thbtj3gdzt3rvz2lwaoxzsuskooqhi.ipfs.nftstorage.link?image_58.png",_x000D_
"Issuer":"NfluenT for Calvi On The rocks",_x000D_
"external_url":""</v>
      </c>
      <c r="W221" s="1" t="str">
        <f>formatRow(Tokens!J$2:AV$2,Tokens!J221:AV221,2,"attributes")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1" s="1" t="str">
        <f>formatRow(Tokens!AX$2:BC$2,Tokens!AX221:BC221,2,"creators")</f>
        <v>"creators":[{"address":"paul",_x000D_
"share":10},{"address":"sophie",_x000D_
"share":90}]</v>
      </c>
      <c r="Y221" s="1" t="str">
        <f>formatRow(Tokens!BD$2:BI$2,Tokens!BD221:BI221,2,"files")</f>
        <v>"files":[]</v>
      </c>
      <c r="Z221" s="1"/>
      <c r="AA221" s="1"/>
      <c r="AB221" s="1"/>
      <c r="AC221" s="1" t="str">
        <f>formatRow(Tokens!BJ$2:BK$2,Tokens!BJ221:BK221,0,"collection")</f>
        <v>"collection":{"name":"In Casa",_x000D_
"family":"Calvi On The Rocks"}</v>
      </c>
    </row>
    <row r="222" spans="5:29" ht="14.25" customHeight="1" x14ac:dyDescent="0.25">
      <c r="E222" s="17" t="str">
        <f>IF(Tokens!C222="","",Tokens!C222)</f>
        <v>In Casa #59</v>
      </c>
      <c r="F222"/>
      <c r="G222"/>
      <c r="H222"/>
      <c r="I222"/>
      <c r="J222"/>
      <c r="M222"/>
      <c r="N222"/>
      <c r="O222" s="15" t="str">
        <f t="shared" si="6"/>
        <v>_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/>
      </c>
      <c r="Q222" s="2"/>
      <c r="R222" s="2"/>
      <c r="S222" s="11"/>
      <c r="T222" s="1" t="str">
        <f>"owner=" &amp; Tokens!BS222 &amp; "&amp;filename_for_metadata=" &amp; Tokens!BT222 &amp; "&amp;offchaindata_platform=" &amp; $B$17 &amp; "&amp;keyfile=" &amp; $B$5 &amp; "&amp;network=" &amp; LOWER($B$8) &amp; "&amp;repository=" &amp; $B$18</f>
        <v>owner=thomas&amp;filename_for_metadata=InCasa_COR22D59&amp;offchaindata_platform=MongoDB&amp;keyfile=Paul&amp;network=jsonfiles&amp;repository=test</v>
      </c>
      <c r="U222" s="1" t="str">
        <f t="shared" si="7"/>
        <v>{"name":"In Casa #59",_x000D_
"symbol":"COR22D59",_x000D_
"description":"In Casa, 1 an - Pass NFT 1 jour pour 1 personne, valable pour 1 édition Calvi On The Rocks de votre choix.",_x000D_
"seller_fee_basis_points":1000,_x000D_
"image":"https://bafybeihqtfqsyhidsal7p62q3rsme4wtym2xh4aru3lt7vlwpm76m2e2o4.ipfs.nftstorage.link?image_59.png",_x000D_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2" s="1" t="str">
        <f>formatRow(Tokens!C$2:I$2,Tokens!C222:I222)</f>
        <v>"name":"In Casa #59",_x000D_
"symbol":"COR22D59",_x000D_
"description":"In Casa, 1 an - Pass NFT 1 jour pour 1 personne, valable pour 1 édition Calvi On The Rocks de votre choix.",_x000D_
"seller_fee_basis_points":1000,_x000D_
"image":"https://bafybeihqtfqsyhidsal7p62q3rsme4wtym2xh4aru3lt7vlwpm76m2e2o4.ipfs.nftstorage.link?image_59.png",_x000D_
"Issuer":"NfluenT for Calvi On The rocks",_x000D_
"external_url":""</v>
      </c>
      <c r="W222" s="1" t="str">
        <f>formatRow(Tokens!J$2:AV$2,Tokens!J222:AV222,2,"attributes")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2" s="1" t="str">
        <f>formatRow(Tokens!AX$2:BC$2,Tokens!AX222:BC222,2,"creators")</f>
        <v>"creators":[{"address":"paul",_x000D_
"share":10},{"address":"sophie",_x000D_
"share":90}]</v>
      </c>
      <c r="Y222" s="1" t="str">
        <f>formatRow(Tokens!BD$2:BI$2,Tokens!BD222:BI222,2,"files")</f>
        <v>"files":[]</v>
      </c>
      <c r="Z222" s="1"/>
      <c r="AA222" s="1"/>
      <c r="AB222" s="1"/>
      <c r="AC222" s="1" t="str">
        <f>formatRow(Tokens!BJ$2:BK$2,Tokens!BJ222:BK222,0,"collection")</f>
        <v>"collection":{"name":"In Casa",_x000D_
"family":"Calvi On The Rocks"}</v>
      </c>
    </row>
    <row r="223" spans="5:29" ht="14.25" customHeight="1" x14ac:dyDescent="0.25">
      <c r="E223" s="17" t="str">
        <f>IF(Tokens!C223="","",Tokens!C223)</f>
        <v>In Casa #60</v>
      </c>
      <c r="F223"/>
      <c r="G223"/>
      <c r="H223"/>
      <c r="I223"/>
      <c r="J223"/>
      <c r="M223"/>
      <c r="N223"/>
      <c r="O223" s="15" t="str">
        <f t="shared" si="6"/>
        <v>_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/>
      </c>
      <c r="Q223" s="2"/>
      <c r="R223" s="2"/>
      <c r="S223" s="11"/>
      <c r="T223" s="1" t="str">
        <f>"owner=" &amp; Tokens!BS223 &amp; "&amp;filename_for_metadata=" &amp; Tokens!BT223 &amp; "&amp;offchaindata_platform=" &amp; $B$17 &amp; "&amp;keyfile=" &amp; $B$5 &amp; "&amp;network=" &amp; LOWER($B$8) &amp; "&amp;repository=" &amp; $B$18</f>
        <v>owner=thomas&amp;filename_for_metadata=InCasa_COR22D60&amp;offchaindata_platform=MongoDB&amp;keyfile=Paul&amp;network=jsonfiles&amp;repository=test</v>
      </c>
      <c r="U223" s="1" t="str">
        <f t="shared" si="7"/>
        <v>{"name":"In Casa #60",_x000D_
"symbol":"COR22D60",_x000D_
"description":"In Casa, 1 an - Pass NFT 1 jour pour 1 personne, valable pour 1 édition Calvi On The Rocks de votre choix.",_x000D_
"seller_fee_basis_points":1000,_x000D_
"image":"https://bafybeidfiaiopx3m4oilu54xqz5el3hzrb6vmdez3signmas77h5uhjkry.ipfs.nftstorage.link?image_60.png",_x000D_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3" s="1" t="str">
        <f>formatRow(Tokens!C$2:I$2,Tokens!C223:I223)</f>
        <v>"name":"In Casa #60",_x000D_
"symbol":"COR22D60",_x000D_
"description":"In Casa, 1 an - Pass NFT 1 jour pour 1 personne, valable pour 1 édition Calvi On The Rocks de votre choix.",_x000D_
"seller_fee_basis_points":1000,_x000D_
"image":"https://bafybeidfiaiopx3m4oilu54xqz5el3hzrb6vmdez3signmas77h5uhjkry.ipfs.nftstorage.link?image_60.png",_x000D_
"Issuer":"NfluenT for Calvi On The rocks",_x000D_
"external_url":""</v>
      </c>
      <c r="W223" s="1" t="str">
        <f>formatRow(Tokens!J$2:AV$2,Tokens!J223:AV223,2,"attributes")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3" s="1" t="str">
        <f>formatRow(Tokens!AX$2:BC$2,Tokens!AX223:BC223,2,"creators")</f>
        <v>"creators":[{"address":"paul",_x000D_
"share":10},{"address":"sophie",_x000D_
"share":90}]</v>
      </c>
      <c r="Y223" s="1" t="str">
        <f>formatRow(Tokens!BD$2:BI$2,Tokens!BD223:BI223,2,"files")</f>
        <v>"files":[]</v>
      </c>
      <c r="Z223" s="1"/>
      <c r="AA223" s="1"/>
      <c r="AB223" s="1"/>
      <c r="AC223" s="1" t="str">
        <f>formatRow(Tokens!BJ$2:BK$2,Tokens!BJ223:BK223,0,"collection")</f>
        <v>"collection":{"name":"In Casa",_x000D_
"family":"Calvi On The Rocks"}</v>
      </c>
    </row>
    <row r="224" spans="5:29" ht="14.25" customHeight="1" x14ac:dyDescent="0.25">
      <c r="E224" s="17" t="str">
        <f>IF(Tokens!C224="","",Tokens!C224)</f>
        <v>In Casa #61</v>
      </c>
      <c r="F224"/>
      <c r="G224"/>
      <c r="H224"/>
      <c r="I224"/>
      <c r="J224"/>
      <c r="M224"/>
      <c r="N224"/>
      <c r="O224" s="15" t="str">
        <f t="shared" si="6"/>
        <v>_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/>
      </c>
      <c r="Q224" s="2"/>
      <c r="R224" s="2"/>
      <c r="S224" s="11"/>
      <c r="T224" s="1" t="str">
        <f>"owner=" &amp; Tokens!BS224 &amp; "&amp;filename_for_metadata=" &amp; Tokens!BT224 &amp; "&amp;offchaindata_platform=" &amp; $B$17 &amp; "&amp;keyfile=" &amp; $B$5 &amp; "&amp;network=" &amp; LOWER($B$8) &amp; "&amp;repository=" &amp; $B$18</f>
        <v>owner=thomas&amp;filename_for_metadata=InCasa_COR22D61&amp;offchaindata_platform=MongoDB&amp;keyfile=Paul&amp;network=jsonfiles&amp;repository=test</v>
      </c>
      <c r="U224" s="1" t="str">
        <f t="shared" si="7"/>
        <v>{"name":"In Casa #61",_x000D_
"symbol":"COR22D61",_x000D_
"description":"In Casa, 1 an - Pass NFT 1 jour pour 1 personne, valable pour 1 édition Calvi On The Rocks de votre choix.",_x000D_
"seller_fee_basis_points":1000,_x000D_
"image":"https://bafybeicc536mtc3vwxymhzev4omj3lbpknbct4gu74yc2gt6amguarmk4a.ipfs.nftstorage.link?image_61.png",_x000D_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4" s="1" t="str">
        <f>formatRow(Tokens!C$2:I$2,Tokens!C224:I224)</f>
        <v>"name":"In Casa #61",_x000D_
"symbol":"COR22D61",_x000D_
"description":"In Casa, 1 an - Pass NFT 1 jour pour 1 personne, valable pour 1 édition Calvi On The Rocks de votre choix.",_x000D_
"seller_fee_basis_points":1000,_x000D_
"image":"https://bafybeicc536mtc3vwxymhzev4omj3lbpknbct4gu74yc2gt6amguarmk4a.ipfs.nftstorage.link?image_61.png",_x000D_
"Issuer":"NfluenT for Calvi On The rocks",_x000D_
"external_url":""</v>
      </c>
      <c r="W224" s="1" t="str">
        <f>formatRow(Tokens!J$2:AV$2,Tokens!J224:AV224,2,"attributes")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4" s="1" t="str">
        <f>formatRow(Tokens!AX$2:BC$2,Tokens!AX224:BC224,2,"creators")</f>
        <v>"creators":[{"address":"paul",_x000D_
"share":10},{"address":"sophie",_x000D_
"share":90}]</v>
      </c>
      <c r="Y224" s="1" t="str">
        <f>formatRow(Tokens!BD$2:BI$2,Tokens!BD224:BI224,2,"files")</f>
        <v>"files":[]</v>
      </c>
      <c r="Z224" s="1"/>
      <c r="AA224" s="1"/>
      <c r="AB224" s="1"/>
      <c r="AC224" s="1" t="str">
        <f>formatRow(Tokens!BJ$2:BK$2,Tokens!BJ224:BK224,0,"collection")</f>
        <v>"collection":{"name":"In Casa",_x000D_
"family":"Calvi On The Rocks"}</v>
      </c>
    </row>
    <row r="225" spans="5:29" ht="14.25" customHeight="1" x14ac:dyDescent="0.25">
      <c r="E225" s="17" t="str">
        <f>IF(Tokens!C225="","",Tokens!C225)</f>
        <v>In Casa #62</v>
      </c>
      <c r="F225"/>
      <c r="G225"/>
      <c r="H225"/>
      <c r="I225"/>
      <c r="J225"/>
      <c r="M225"/>
      <c r="N225"/>
      <c r="O225" s="15" t="str">
        <f t="shared" si="6"/>
        <v>_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/>
      </c>
      <c r="Q225" s="2"/>
      <c r="R225" s="2"/>
      <c r="S225" s="11"/>
      <c r="T225" s="1" t="str">
        <f>"owner=" &amp; Tokens!BS225 &amp; "&amp;filename_for_metadata=" &amp; Tokens!BT225 &amp; "&amp;offchaindata_platform=" &amp; $B$17 &amp; "&amp;keyfile=" &amp; $B$5 &amp; "&amp;network=" &amp; LOWER($B$8) &amp; "&amp;repository=" &amp; $B$18</f>
        <v>owner=thomas&amp;filename_for_metadata=InCasa_COR22D62&amp;offchaindata_platform=MongoDB&amp;keyfile=Paul&amp;network=jsonfiles&amp;repository=test</v>
      </c>
      <c r="U225" s="1" t="str">
        <f t="shared" si="7"/>
        <v>{"name":"In Casa #62",_x000D_
"symbol":"COR22D62",_x000D_
"description":"In Casa, 1 an - Pass NFT 1 jour pour 1 personne, valable pour 1 édition Calvi On The Rocks de votre choix.",_x000D_
"seller_fee_basis_points":1000,_x000D_
"image":"https://bafybeigemaed5e4w5uesi5vrxfbxgbd73rm6bmoljgjc5w4x6e6mboe3sy.ipfs.nftstorage.link?image_62.png",_x000D_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5" s="1" t="str">
        <f>formatRow(Tokens!C$2:I$2,Tokens!C225:I225)</f>
        <v>"name":"In Casa #62",_x000D_
"symbol":"COR22D62",_x000D_
"description":"In Casa, 1 an - Pass NFT 1 jour pour 1 personne, valable pour 1 édition Calvi On The Rocks de votre choix.",_x000D_
"seller_fee_basis_points":1000,_x000D_
"image":"https://bafybeigemaed5e4w5uesi5vrxfbxgbd73rm6bmoljgjc5w4x6e6mboe3sy.ipfs.nftstorage.link?image_62.png",_x000D_
"Issuer":"NfluenT for Calvi On The rocks",_x000D_
"external_url":""</v>
      </c>
      <c r="W225" s="1" t="str">
        <f>formatRow(Tokens!J$2:AV$2,Tokens!J225:AV225,2,"attributes")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5" s="1" t="str">
        <f>formatRow(Tokens!AX$2:BC$2,Tokens!AX225:BC225,2,"creators")</f>
        <v>"creators":[{"address":"paul",_x000D_
"share":10},{"address":"sophie",_x000D_
"share":90}]</v>
      </c>
      <c r="Y225" s="1" t="str">
        <f>formatRow(Tokens!BD$2:BI$2,Tokens!BD225:BI225,2,"files")</f>
        <v>"files":[]</v>
      </c>
      <c r="Z225" s="1"/>
      <c r="AA225" s="1"/>
      <c r="AB225" s="1"/>
      <c r="AC225" s="1" t="str">
        <f>formatRow(Tokens!BJ$2:BK$2,Tokens!BJ225:BK225,0,"collection")</f>
        <v>"collection":{"name":"In Casa",_x000D_
"family":"Calvi On The Rocks"}</v>
      </c>
    </row>
    <row r="226" spans="5:29" ht="14.25" customHeight="1" x14ac:dyDescent="0.25">
      <c r="E226" s="17" t="str">
        <f>IF(Tokens!C226="","",Tokens!C226)</f>
        <v>In Casa #63</v>
      </c>
      <c r="F226"/>
      <c r="G226"/>
      <c r="H226"/>
      <c r="I226"/>
      <c r="J226"/>
      <c r="M226"/>
      <c r="N226"/>
      <c r="O226" s="15" t="str">
        <f t="shared" si="6"/>
        <v>_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/>
      </c>
      <c r="Q226" s="2"/>
      <c r="R226" s="2"/>
      <c r="S226" s="11"/>
      <c r="T226" s="1" t="str">
        <f>"owner=" &amp; Tokens!BS226 &amp; "&amp;filename_for_metadata=" &amp; Tokens!BT226 &amp; "&amp;offchaindata_platform=" &amp; $B$17 &amp; "&amp;keyfile=" &amp; $B$5 &amp; "&amp;network=" &amp; LOWER($B$8) &amp; "&amp;repository=" &amp; $B$18</f>
        <v>owner=thomas&amp;filename_for_metadata=InCasa_COR22D63&amp;offchaindata_platform=MongoDB&amp;keyfile=Paul&amp;network=jsonfiles&amp;repository=test</v>
      </c>
      <c r="U226" s="1" t="str">
        <f t="shared" si="7"/>
        <v>{"name":"In Casa #63",_x000D_
"symbol":"COR22D63",_x000D_
"description":"In Casa, 1 an - Pass NFT 1 jour pour 1 personne, valable pour 1 édition Calvi On The Rocks de votre choix.",_x000D_
"seller_fee_basis_points":1000,_x000D_
"image":"https://bafybeihfphislu5xsogrp55efv27xipghwjv5eyjrvzjkugcdbhskfakfq.ipfs.nftstorage.link?image_63.png",_x000D_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6" s="1" t="str">
        <f>formatRow(Tokens!C$2:I$2,Tokens!C226:I226)</f>
        <v>"name":"In Casa #63",_x000D_
"symbol":"COR22D63",_x000D_
"description":"In Casa, 1 an - Pass NFT 1 jour pour 1 personne, valable pour 1 édition Calvi On The Rocks de votre choix.",_x000D_
"seller_fee_basis_points":1000,_x000D_
"image":"https://bafybeihfphislu5xsogrp55efv27xipghwjv5eyjrvzjkugcdbhskfakfq.ipfs.nftstorage.link?image_63.png",_x000D_
"Issuer":"NfluenT for Calvi On The rocks",_x000D_
"external_url":""</v>
      </c>
      <c r="W226" s="1" t="str">
        <f>formatRow(Tokens!J$2:AV$2,Tokens!J226:AV226,2,"attributes")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6" s="1" t="str">
        <f>formatRow(Tokens!AX$2:BC$2,Tokens!AX226:BC226,2,"creators")</f>
        <v>"creators":[{"address":"paul",_x000D_
"share":10},{"address":"sophie",_x000D_
"share":90}]</v>
      </c>
      <c r="Y226" s="1" t="str">
        <f>formatRow(Tokens!BD$2:BI$2,Tokens!BD226:BI226,2,"files")</f>
        <v>"files":[]</v>
      </c>
      <c r="Z226" s="1"/>
      <c r="AA226" s="1"/>
      <c r="AB226" s="1"/>
      <c r="AC226" s="1" t="str">
        <f>formatRow(Tokens!BJ$2:BK$2,Tokens!BJ226:BK226,0,"collection")</f>
        <v>"collection":{"name":"In Casa",_x000D_
"family":"Calvi On The Rocks"}</v>
      </c>
    </row>
    <row r="227" spans="5:29" ht="14.25" customHeight="1" x14ac:dyDescent="0.25">
      <c r="E227" s="17" t="str">
        <f>IF(Tokens!C227="","",Tokens!C227)</f>
        <v>In Casa #64</v>
      </c>
      <c r="F227"/>
      <c r="G227"/>
      <c r="H227"/>
      <c r="I227"/>
      <c r="J227"/>
      <c r="M227"/>
      <c r="N227"/>
      <c r="O227" s="15" t="str">
        <f t="shared" si="6"/>
        <v>_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/>
      </c>
      <c r="Q227" s="2"/>
      <c r="R227" s="2"/>
      <c r="S227" s="11"/>
      <c r="T227" s="1" t="str">
        <f>"owner=" &amp; Tokens!BS227 &amp; "&amp;filename_for_metadata=" &amp; Tokens!BT227 &amp; "&amp;offchaindata_platform=" &amp; $B$17 &amp; "&amp;keyfile=" &amp; $B$5 &amp; "&amp;network=" &amp; LOWER($B$8) &amp; "&amp;repository=" &amp; $B$18</f>
        <v>owner=thomas&amp;filename_for_metadata=InCasa_COR22D64&amp;offchaindata_platform=MongoDB&amp;keyfile=Paul&amp;network=jsonfiles&amp;repository=test</v>
      </c>
      <c r="U227" s="1" t="str">
        <f t="shared" si="7"/>
        <v>{"name":"In Casa #64",_x000D_
"symbol":"COR22D64",_x000D_
"description":"In Casa, 1 an - Pass NFT 1 jour pour 1 personne, valable pour 1 édition Calvi On The Rocks de votre choix.",_x000D_
"seller_fee_basis_points":1000,_x000D_
"image":"https://bafybeih6pllty7u5bllrkhybu3ud5nkdjrfz6mj4fkgweykft2lin4cp74.ipfs.nftstorage.link?image_64.png",_x000D_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7" s="1" t="str">
        <f>formatRow(Tokens!C$2:I$2,Tokens!C227:I227)</f>
        <v>"name":"In Casa #64",_x000D_
"symbol":"COR22D64",_x000D_
"description":"In Casa, 1 an - Pass NFT 1 jour pour 1 personne, valable pour 1 édition Calvi On The Rocks de votre choix.",_x000D_
"seller_fee_basis_points":1000,_x000D_
"image":"https://bafybeih6pllty7u5bllrkhybu3ud5nkdjrfz6mj4fkgweykft2lin4cp74.ipfs.nftstorage.link?image_64.png",_x000D_
"Issuer":"NfluenT for Calvi On The rocks",_x000D_
"external_url":""</v>
      </c>
      <c r="W227" s="1" t="str">
        <f>formatRow(Tokens!J$2:AV$2,Tokens!J227:AV227,2,"attributes")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7" s="1" t="str">
        <f>formatRow(Tokens!AX$2:BC$2,Tokens!AX227:BC227,2,"creators")</f>
        <v>"creators":[{"address":"paul",_x000D_
"share":10},{"address":"sophie",_x000D_
"share":90}]</v>
      </c>
      <c r="Y227" s="1" t="str">
        <f>formatRow(Tokens!BD$2:BI$2,Tokens!BD227:BI227,2,"files")</f>
        <v>"files":[]</v>
      </c>
      <c r="Z227" s="1"/>
      <c r="AA227" s="1"/>
      <c r="AB227" s="1"/>
      <c r="AC227" s="1" t="str">
        <f>formatRow(Tokens!BJ$2:BK$2,Tokens!BJ227:BK227,0,"collection")</f>
        <v>"collection":{"name":"In Casa",_x000D_
"family":"Calvi On The Rocks"}</v>
      </c>
    </row>
    <row r="228" spans="5:29" ht="14.25" customHeight="1" x14ac:dyDescent="0.25">
      <c r="E228" s="17" t="str">
        <f>IF(Tokens!C228="","",Tokens!C228)</f>
        <v>In Casa #65</v>
      </c>
      <c r="F228"/>
      <c r="G228"/>
      <c r="H228"/>
      <c r="I228"/>
      <c r="J228"/>
      <c r="M228"/>
      <c r="N228"/>
      <c r="O228" s="15" t="str">
        <f t="shared" si="6"/>
        <v>_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/>
      </c>
      <c r="Q228" s="2"/>
      <c r="R228" s="2"/>
      <c r="S228" s="11"/>
      <c r="T228" s="1" t="str">
        <f>"owner=" &amp; Tokens!BS228 &amp; "&amp;filename_for_metadata=" &amp; Tokens!BT228 &amp; "&amp;offchaindata_platform=" &amp; $B$17 &amp; "&amp;keyfile=" &amp; $B$5 &amp; "&amp;network=" &amp; LOWER($B$8) &amp; "&amp;repository=" &amp; $B$18</f>
        <v>owner=thomas&amp;filename_for_metadata=InCasa_COR22D65&amp;offchaindata_platform=MongoDB&amp;keyfile=Paul&amp;network=jsonfiles&amp;repository=test</v>
      </c>
      <c r="U228" s="1" t="str">
        <f t="shared" si="7"/>
        <v>{"name":"In Casa #65",_x000D_
"symbol":"COR22D65",_x000D_
"description":"In Casa, 1 an - Pass NFT 1 jour pour 1 personne, valable pour 1 édition Calvi On The Rocks de votre choix.",_x000D_
"seller_fee_basis_points":1000,_x000D_
"image":"https://bafybeigoncorcz4py43j3b2ynrvpjali2mmb5shx4bo4oij72absfsvrvu.ipfs.nftstorage.link?image_65.png",_x000D_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8" s="1" t="str">
        <f>formatRow(Tokens!C$2:I$2,Tokens!C228:I228)</f>
        <v>"name":"In Casa #65",_x000D_
"symbol":"COR22D65",_x000D_
"description":"In Casa, 1 an - Pass NFT 1 jour pour 1 personne, valable pour 1 édition Calvi On The Rocks de votre choix.",_x000D_
"seller_fee_basis_points":1000,_x000D_
"image":"https://bafybeigoncorcz4py43j3b2ynrvpjali2mmb5shx4bo4oij72absfsvrvu.ipfs.nftstorage.link?image_65.png",_x000D_
"Issuer":"NfluenT for Calvi On The rocks",_x000D_
"external_url":""</v>
      </c>
      <c r="W228" s="1" t="str">
        <f>formatRow(Tokens!J$2:AV$2,Tokens!J228:AV228,2,"attributes")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8" s="1" t="str">
        <f>formatRow(Tokens!AX$2:BC$2,Tokens!AX228:BC228,2,"creators")</f>
        <v>"creators":[{"address":"paul",_x000D_
"share":10},{"address":"sophie",_x000D_
"share":90}]</v>
      </c>
      <c r="Y228" s="1" t="str">
        <f>formatRow(Tokens!BD$2:BI$2,Tokens!BD228:BI228,2,"files")</f>
        <v>"files":[]</v>
      </c>
      <c r="Z228" s="1"/>
      <c r="AA228" s="1"/>
      <c r="AB228" s="1"/>
      <c r="AC228" s="1" t="str">
        <f>formatRow(Tokens!BJ$2:BK$2,Tokens!BJ228:BK228,0,"collection")</f>
        <v>"collection":{"name":"In Casa",_x000D_
"family":"Calvi On The Rocks"}</v>
      </c>
    </row>
    <row r="229" spans="5:29" ht="14.25" customHeight="1" x14ac:dyDescent="0.25">
      <c r="E229" s="17" t="str">
        <f>IF(Tokens!C229="","",Tokens!C229)</f>
        <v>In Casa #66</v>
      </c>
      <c r="F229"/>
      <c r="G229"/>
      <c r="H229"/>
      <c r="I229"/>
      <c r="J229"/>
      <c r="M229"/>
      <c r="N229"/>
      <c r="O229" s="15" t="str">
        <f t="shared" si="6"/>
        <v>_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/>
      </c>
      <c r="Q229" s="2"/>
      <c r="R229" s="2"/>
      <c r="S229" s="11"/>
      <c r="T229" s="1" t="str">
        <f>"owner=" &amp; Tokens!BS229 &amp; "&amp;filename_for_metadata=" &amp; Tokens!BT229 &amp; "&amp;offchaindata_platform=" &amp; $B$17 &amp; "&amp;keyfile=" &amp; $B$5 &amp; "&amp;network=" &amp; LOWER($B$8) &amp; "&amp;repository=" &amp; $B$18</f>
        <v>owner=thomas&amp;filename_for_metadata=InCasa_COR22D66&amp;offchaindata_platform=MongoDB&amp;keyfile=Paul&amp;network=jsonfiles&amp;repository=test</v>
      </c>
      <c r="U229" s="1" t="str">
        <f t="shared" si="7"/>
        <v>{"name":"In Casa #66",_x000D_
"symbol":"COR22D66",_x000D_
"description":"In Casa, 1 an - Pass NFT 1 jour pour 1 personne, valable pour 1 édition Calvi On The Rocks de votre choix.",_x000D_
"seller_fee_basis_points":1000,_x000D_
"image":"https://bafybeia6mbkyuwxagggmfdx22smpexoyvpkemu3ovex2jfveyp3p3tzily.ipfs.nftstorage.link?image_66.png",_x000D_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29" s="1" t="str">
        <f>formatRow(Tokens!C$2:I$2,Tokens!C229:I229)</f>
        <v>"name":"In Casa #66",_x000D_
"symbol":"COR22D66",_x000D_
"description":"In Casa, 1 an - Pass NFT 1 jour pour 1 personne, valable pour 1 édition Calvi On The Rocks de votre choix.",_x000D_
"seller_fee_basis_points":1000,_x000D_
"image":"https://bafybeia6mbkyuwxagggmfdx22smpexoyvpkemu3ovex2jfveyp3p3tzily.ipfs.nftstorage.link?image_66.png",_x000D_
"Issuer":"NfluenT for Calvi On The rocks",_x000D_
"external_url":""</v>
      </c>
      <c r="W229" s="1" t="str">
        <f>formatRow(Tokens!J$2:AV$2,Tokens!J229:AV229,2,"attributes")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29" s="1" t="str">
        <f>formatRow(Tokens!AX$2:BC$2,Tokens!AX229:BC229,2,"creators")</f>
        <v>"creators":[{"address":"paul",_x000D_
"share":10},{"address":"sophie",_x000D_
"share":90}]</v>
      </c>
      <c r="Y229" s="1" t="str">
        <f>formatRow(Tokens!BD$2:BI$2,Tokens!BD229:BI229,2,"files")</f>
        <v>"files":[]</v>
      </c>
      <c r="Z229" s="1"/>
      <c r="AA229" s="1"/>
      <c r="AB229" s="1"/>
      <c r="AC229" s="1" t="str">
        <f>formatRow(Tokens!BJ$2:BK$2,Tokens!BJ229:BK229,0,"collection")</f>
        <v>"collection":{"name":"In Casa",_x000D_
"family":"Calvi On The Rocks"}</v>
      </c>
    </row>
    <row r="230" spans="5:29" ht="14.25" customHeight="1" x14ac:dyDescent="0.25">
      <c r="E230" s="17" t="str">
        <f>IF(Tokens!C230="","",Tokens!C230)</f>
        <v>In Casa #67</v>
      </c>
      <c r="F230"/>
      <c r="G230"/>
      <c r="H230"/>
      <c r="I230"/>
      <c r="J230"/>
      <c r="M230"/>
      <c r="N230"/>
      <c r="O230" s="15" t="str">
        <f t="shared" si="6"/>
        <v>_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/>
      </c>
      <c r="Q230" s="2"/>
      <c r="R230" s="2"/>
      <c r="S230" s="11"/>
      <c r="T230" s="1" t="str">
        <f>"owner=" &amp; Tokens!BS230 &amp; "&amp;filename_for_metadata=" &amp; Tokens!BT230 &amp; "&amp;offchaindata_platform=" &amp; $B$17 &amp; "&amp;keyfile=" &amp; $B$5 &amp; "&amp;network=" &amp; LOWER($B$8) &amp; "&amp;repository=" &amp; $B$18</f>
        <v>owner=thomas&amp;filename_for_metadata=InCasa_COR22D67&amp;offchaindata_platform=MongoDB&amp;keyfile=Paul&amp;network=jsonfiles&amp;repository=test</v>
      </c>
      <c r="U230" s="1" t="str">
        <f t="shared" si="7"/>
        <v>{"name":"In Casa #67",_x000D_
"symbol":"COR22D67",_x000D_
"description":"In Casa, 1 an - Pass NFT 1 jour pour 1 personne, valable pour 1 édition Calvi On The Rocks de votre choix.",_x000D_
"seller_fee_basis_points":1000,_x000D_
"image":"https://bafybeicfky5x2athgrdfowla7x5m6gm4guhv4dbzlgxcm5662fugdrhd6u.ipfs.nftstorage.link?image_67.png",_x000D_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0" s="1" t="str">
        <f>formatRow(Tokens!C$2:I$2,Tokens!C230:I230)</f>
        <v>"name":"In Casa #67",_x000D_
"symbol":"COR22D67",_x000D_
"description":"In Casa, 1 an - Pass NFT 1 jour pour 1 personne, valable pour 1 édition Calvi On The Rocks de votre choix.",_x000D_
"seller_fee_basis_points":1000,_x000D_
"image":"https://bafybeicfky5x2athgrdfowla7x5m6gm4guhv4dbzlgxcm5662fugdrhd6u.ipfs.nftstorage.link?image_67.png",_x000D_
"Issuer":"NfluenT for Calvi On The rocks",_x000D_
"external_url":""</v>
      </c>
      <c r="W230" s="1" t="str">
        <f>formatRow(Tokens!J$2:AV$2,Tokens!J230:AV230,2,"attributes")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0" s="1" t="str">
        <f>formatRow(Tokens!AX$2:BC$2,Tokens!AX230:BC230,2,"creators")</f>
        <v>"creators":[{"address":"paul",_x000D_
"share":10},{"address":"sophie",_x000D_
"share":90}]</v>
      </c>
      <c r="Y230" s="1" t="str">
        <f>formatRow(Tokens!BD$2:BI$2,Tokens!BD230:BI230,2,"files")</f>
        <v>"files":[]</v>
      </c>
      <c r="Z230" s="1"/>
      <c r="AA230" s="1"/>
      <c r="AB230" s="1"/>
      <c r="AC230" s="1" t="str">
        <f>formatRow(Tokens!BJ$2:BK$2,Tokens!BJ230:BK230,0,"collection")</f>
        <v>"collection":{"name":"In Casa",_x000D_
"family":"Calvi On The Rocks"}</v>
      </c>
    </row>
    <row r="231" spans="5:29" ht="14.25" customHeight="1" x14ac:dyDescent="0.25">
      <c r="E231" s="17" t="str">
        <f>IF(Tokens!C231="","",Tokens!C231)</f>
        <v>In Casa #68</v>
      </c>
      <c r="F231"/>
      <c r="G231"/>
      <c r="H231"/>
      <c r="I231"/>
      <c r="J231"/>
      <c r="M231"/>
      <c r="N231"/>
      <c r="O231" s="15" t="str">
        <f t="shared" si="6"/>
        <v>_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/>
      </c>
      <c r="Q231" s="2"/>
      <c r="R231" s="2"/>
      <c r="S231" s="11"/>
      <c r="T231" s="1" t="str">
        <f>"owner=" &amp; Tokens!BS231 &amp; "&amp;filename_for_metadata=" &amp; Tokens!BT231 &amp; "&amp;offchaindata_platform=" &amp; $B$17 &amp; "&amp;keyfile=" &amp; $B$5 &amp; "&amp;network=" &amp; LOWER($B$8) &amp; "&amp;repository=" &amp; $B$18</f>
        <v>owner=thomas&amp;filename_for_metadata=InCasa_COR22D68&amp;offchaindata_platform=MongoDB&amp;keyfile=Paul&amp;network=jsonfiles&amp;repository=test</v>
      </c>
      <c r="U231" s="1" t="str">
        <f t="shared" si="7"/>
        <v>{"name":"In Casa #68",_x000D_
"symbol":"COR22D68",_x000D_
"description":"In Casa, 1 an - Pass NFT 1 jour pour 1 personne, valable pour 1 édition Calvi On The Rocks de votre choix.",_x000D_
"seller_fee_basis_points":1000,_x000D_
"image":"https://bafybeib2rwwtj5jbexgznjiwu2j6j6c2pb7oo6x6ehqifdsayneqjj6zai.ipfs.nftstorage.link?image_68.png",_x000D_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1" s="1" t="str">
        <f>formatRow(Tokens!C$2:I$2,Tokens!C231:I231)</f>
        <v>"name":"In Casa #68",_x000D_
"symbol":"COR22D68",_x000D_
"description":"In Casa, 1 an - Pass NFT 1 jour pour 1 personne, valable pour 1 édition Calvi On The Rocks de votre choix.",_x000D_
"seller_fee_basis_points":1000,_x000D_
"image":"https://bafybeib2rwwtj5jbexgznjiwu2j6j6c2pb7oo6x6ehqifdsayneqjj6zai.ipfs.nftstorage.link?image_68.png",_x000D_
"Issuer":"NfluenT for Calvi On The rocks",_x000D_
"external_url":""</v>
      </c>
      <c r="W231" s="1" t="str">
        <f>formatRow(Tokens!J$2:AV$2,Tokens!J231:AV231,2,"attributes")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1" s="1" t="str">
        <f>formatRow(Tokens!AX$2:BC$2,Tokens!AX231:BC231,2,"creators")</f>
        <v>"creators":[{"address":"paul",_x000D_
"share":10},{"address":"sophie",_x000D_
"share":90}]</v>
      </c>
      <c r="Y231" s="1" t="str">
        <f>formatRow(Tokens!BD$2:BI$2,Tokens!BD231:BI231,2,"files")</f>
        <v>"files":[]</v>
      </c>
      <c r="Z231" s="1"/>
      <c r="AA231" s="1"/>
      <c r="AB231" s="1"/>
      <c r="AC231" s="1" t="str">
        <f>formatRow(Tokens!BJ$2:BK$2,Tokens!BJ231:BK231,0,"collection")</f>
        <v>"collection":{"name":"In Casa",_x000D_
"family":"Calvi On The Rocks"}</v>
      </c>
    </row>
    <row r="232" spans="5:29" ht="14.25" customHeight="1" x14ac:dyDescent="0.25">
      <c r="E232" s="17" t="str">
        <f>IF(Tokens!C232="","",Tokens!C232)</f>
        <v>In Casa #69</v>
      </c>
      <c r="F232"/>
      <c r="G232"/>
      <c r="H232"/>
      <c r="I232"/>
      <c r="J232"/>
      <c r="M232"/>
      <c r="N232"/>
      <c r="O232" s="15" t="str">
        <f t="shared" si="6"/>
        <v>_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/>
      </c>
      <c r="Q232" s="2"/>
      <c r="R232" s="2"/>
      <c r="S232" s="11"/>
      <c r="T232" s="1" t="str">
        <f>"owner=" &amp; Tokens!BS232 &amp; "&amp;filename_for_metadata=" &amp; Tokens!BT232 &amp; "&amp;offchaindata_platform=" &amp; $B$17 &amp; "&amp;keyfile=" &amp; $B$5 &amp; "&amp;network=" &amp; LOWER($B$8) &amp; "&amp;repository=" &amp; $B$18</f>
        <v>owner=thomas&amp;filename_for_metadata=InCasa_COR22D69&amp;offchaindata_platform=MongoDB&amp;keyfile=Paul&amp;network=jsonfiles&amp;repository=test</v>
      </c>
      <c r="U232" s="1" t="str">
        <f t="shared" si="7"/>
        <v>{"name":"In Casa #69",_x000D_
"symbol":"COR22D69",_x000D_
"description":"In Casa, 1 an - Pass NFT 1 jour pour 1 personne, valable pour 1 édition Calvi On The Rocks de votre choix.",_x000D_
"seller_fee_basis_points":1000,_x000D_
"image":"https://bafybeigewp4od5qnefq4462vzpdmzvhhz3gepbmzdb2bdtyzzd3zwhij6m.ipfs.nftstorage.link?image_69.png",_x000D_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2" s="1" t="str">
        <f>formatRow(Tokens!C$2:I$2,Tokens!C232:I232)</f>
        <v>"name":"In Casa #69",_x000D_
"symbol":"COR22D69",_x000D_
"description":"In Casa, 1 an - Pass NFT 1 jour pour 1 personne, valable pour 1 édition Calvi On The Rocks de votre choix.",_x000D_
"seller_fee_basis_points":1000,_x000D_
"image":"https://bafybeigewp4od5qnefq4462vzpdmzvhhz3gepbmzdb2bdtyzzd3zwhij6m.ipfs.nftstorage.link?image_69.png",_x000D_
"Issuer":"NfluenT for Calvi On The rocks",_x000D_
"external_url":""</v>
      </c>
      <c r="W232" s="1" t="str">
        <f>formatRow(Tokens!J$2:AV$2,Tokens!J232:AV232,2,"attributes")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2" s="1" t="str">
        <f>formatRow(Tokens!AX$2:BC$2,Tokens!AX232:BC232,2,"creators")</f>
        <v>"creators":[{"address":"paul",_x000D_
"share":10},{"address":"sophie",_x000D_
"share":90}]</v>
      </c>
      <c r="Y232" s="1" t="str">
        <f>formatRow(Tokens!BD$2:BI$2,Tokens!BD232:BI232,2,"files")</f>
        <v>"files":[]</v>
      </c>
      <c r="Z232" s="1"/>
      <c r="AA232" s="1"/>
      <c r="AB232" s="1"/>
      <c r="AC232" s="1" t="str">
        <f>formatRow(Tokens!BJ$2:BK$2,Tokens!BJ232:BK232,0,"collection")</f>
        <v>"collection":{"name":"In Casa",_x000D_
"family":"Calvi On The Rocks"}</v>
      </c>
    </row>
    <row r="233" spans="5:29" ht="14.25" customHeight="1" x14ac:dyDescent="0.25">
      <c r="E233" s="17" t="str">
        <f>IF(Tokens!C233="","",Tokens!C233)</f>
        <v>In Casa #70</v>
      </c>
      <c r="F233"/>
      <c r="G233"/>
      <c r="H233"/>
      <c r="I233"/>
      <c r="J233"/>
      <c r="M233"/>
      <c r="N233"/>
      <c r="O233" s="15" t="str">
        <f t="shared" si="6"/>
        <v>_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/>
      </c>
      <c r="Q233" s="2"/>
      <c r="R233" s="2"/>
      <c r="S233" s="11"/>
      <c r="T233" s="1" t="str">
        <f>"owner=" &amp; Tokens!BS233 &amp; "&amp;filename_for_metadata=" &amp; Tokens!BT233 &amp; "&amp;offchaindata_platform=" &amp; $B$17 &amp; "&amp;keyfile=" &amp; $B$5 &amp; "&amp;network=" &amp; LOWER($B$8) &amp; "&amp;repository=" &amp; $B$18</f>
        <v>owner=thomas&amp;filename_for_metadata=InCasa_COR22D70&amp;offchaindata_platform=MongoDB&amp;keyfile=Paul&amp;network=jsonfiles&amp;repository=test</v>
      </c>
      <c r="U233" s="1" t="str">
        <f t="shared" si="7"/>
        <v>{"name":"In Casa #70",_x000D_
"symbol":"COR22D70",_x000D_
"description":"In Casa, 1 an - Pass NFT 1 jour pour 1 personne, valable pour 1 édition Calvi On The Rocks de votre choix.",_x000D_
"seller_fee_basis_points":1000,_x000D_
"image":"https://bafybeig6c7tbs3rc3ubakaivbs3to6yxnsy2riwpcfl7xcfmapk3oray2e.ipfs.nftstorage.link?image_70.png",_x000D_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3" s="1" t="str">
        <f>formatRow(Tokens!C$2:I$2,Tokens!C233:I233)</f>
        <v>"name":"In Casa #70",_x000D_
"symbol":"COR22D70",_x000D_
"description":"In Casa, 1 an - Pass NFT 1 jour pour 1 personne, valable pour 1 édition Calvi On The Rocks de votre choix.",_x000D_
"seller_fee_basis_points":1000,_x000D_
"image":"https://bafybeig6c7tbs3rc3ubakaivbs3to6yxnsy2riwpcfl7xcfmapk3oray2e.ipfs.nftstorage.link?image_70.png",_x000D_
"Issuer":"NfluenT for Calvi On The rocks",_x000D_
"external_url":""</v>
      </c>
      <c r="W233" s="1" t="str">
        <f>formatRow(Tokens!J$2:AV$2,Tokens!J233:AV233,2,"attributes")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3" s="1" t="str">
        <f>formatRow(Tokens!AX$2:BC$2,Tokens!AX233:BC233,2,"creators")</f>
        <v>"creators":[{"address":"paul",_x000D_
"share":10},{"address":"sophie",_x000D_
"share":90}]</v>
      </c>
      <c r="Y233" s="1" t="str">
        <f>formatRow(Tokens!BD$2:BI$2,Tokens!BD233:BI233,2,"files")</f>
        <v>"files":[]</v>
      </c>
      <c r="Z233" s="1"/>
      <c r="AA233" s="1"/>
      <c r="AB233" s="1"/>
      <c r="AC233" s="1" t="str">
        <f>formatRow(Tokens!BJ$2:BK$2,Tokens!BJ233:BK233,0,"collection")</f>
        <v>"collection":{"name":"In Casa",_x000D_
"family":"Calvi On The Rocks"}</v>
      </c>
    </row>
    <row r="234" spans="5:29" ht="14.25" customHeight="1" x14ac:dyDescent="0.25">
      <c r="E234" s="17" t="str">
        <f>IF(Tokens!C234="","",Tokens!C234)</f>
        <v>In Casa #71</v>
      </c>
      <c r="F234"/>
      <c r="G234"/>
      <c r="H234"/>
      <c r="I234"/>
      <c r="J234"/>
      <c r="M234"/>
      <c r="N234"/>
      <c r="O234" s="15" t="str">
        <f t="shared" si="6"/>
        <v>_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/>
      </c>
      <c r="Q234" s="2"/>
      <c r="R234" s="2"/>
      <c r="S234" s="11"/>
      <c r="T234" s="1" t="str">
        <f>"owner=" &amp; Tokens!BS234 &amp; "&amp;filename_for_metadata=" &amp; Tokens!BT234 &amp; "&amp;offchaindata_platform=" &amp; $B$17 &amp; "&amp;keyfile=" &amp; $B$5 &amp; "&amp;network=" &amp; LOWER($B$8) &amp; "&amp;repository=" &amp; $B$18</f>
        <v>owner=thomas&amp;filename_for_metadata=InCasa_COR22D71&amp;offchaindata_platform=MongoDB&amp;keyfile=Paul&amp;network=jsonfiles&amp;repository=test</v>
      </c>
      <c r="U234" s="1" t="str">
        <f t="shared" si="7"/>
        <v>{"name":"In Casa #71",_x000D_
"symbol":"COR22D71",_x000D_
"description":"In Casa, 1 an - Pass NFT 1 jour pour 1 personne, valable pour 1 édition Calvi On The Rocks de votre choix.",_x000D_
"seller_fee_basis_points":1000,_x000D_
"image":"https://bafybeidsmk456mdisgcz4el34yj7efuv5bjrzql67qp2ke7ymeg5hdqmom.ipfs.nftstorage.link?image_71.png",_x000D_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4" s="1" t="str">
        <f>formatRow(Tokens!C$2:I$2,Tokens!C234:I234)</f>
        <v>"name":"In Casa #71",_x000D_
"symbol":"COR22D71",_x000D_
"description":"In Casa, 1 an - Pass NFT 1 jour pour 1 personne, valable pour 1 édition Calvi On The Rocks de votre choix.",_x000D_
"seller_fee_basis_points":1000,_x000D_
"image":"https://bafybeidsmk456mdisgcz4el34yj7efuv5bjrzql67qp2ke7ymeg5hdqmom.ipfs.nftstorage.link?image_71.png",_x000D_
"Issuer":"NfluenT for Calvi On The rocks",_x000D_
"external_url":""</v>
      </c>
      <c r="W234" s="1" t="str">
        <f>formatRow(Tokens!J$2:AV$2,Tokens!J234:AV234,2,"attributes")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4" s="1" t="str">
        <f>formatRow(Tokens!AX$2:BC$2,Tokens!AX234:BC234,2,"creators")</f>
        <v>"creators":[{"address":"paul",_x000D_
"share":10},{"address":"sophie",_x000D_
"share":90}]</v>
      </c>
      <c r="Y234" s="1" t="str">
        <f>formatRow(Tokens!BD$2:BI$2,Tokens!BD234:BI234,2,"files")</f>
        <v>"files":[]</v>
      </c>
      <c r="Z234" s="1"/>
      <c r="AA234" s="1"/>
      <c r="AB234" s="1"/>
      <c r="AC234" s="1" t="str">
        <f>formatRow(Tokens!BJ$2:BK$2,Tokens!BJ234:BK234,0,"collection")</f>
        <v>"collection":{"name":"In Casa",_x000D_
"family":"Calvi On The Rocks"}</v>
      </c>
    </row>
    <row r="235" spans="5:29" ht="14.25" customHeight="1" x14ac:dyDescent="0.25">
      <c r="E235" s="17" t="str">
        <f>IF(Tokens!C235="","",Tokens!C235)</f>
        <v>In Casa #72</v>
      </c>
      <c r="F235"/>
      <c r="G235"/>
      <c r="H235"/>
      <c r="I235"/>
      <c r="J235"/>
      <c r="M235"/>
      <c r="N235"/>
      <c r="O235" s="15" t="str">
        <f t="shared" si="6"/>
        <v>_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/>
      </c>
      <c r="Q235" s="2"/>
      <c r="R235" s="2"/>
      <c r="S235" s="11"/>
      <c r="T235" s="1" t="str">
        <f>"owner=" &amp; Tokens!BS235 &amp; "&amp;filename_for_metadata=" &amp; Tokens!BT235 &amp; "&amp;offchaindata_platform=" &amp; $B$17 &amp; "&amp;keyfile=" &amp; $B$5 &amp; "&amp;network=" &amp; LOWER($B$8) &amp; "&amp;repository=" &amp; $B$18</f>
        <v>owner=thomas&amp;filename_for_metadata=InCasa_COR22D72&amp;offchaindata_platform=MongoDB&amp;keyfile=Paul&amp;network=jsonfiles&amp;repository=test</v>
      </c>
      <c r="U235" s="1" t="str">
        <f t="shared" si="7"/>
        <v>{"name":"In Casa #72",_x000D_
"symbol":"COR22D72",_x000D_
"description":"In Casa, 1 an - Pass NFT 1 jour pour 1 personne, valable pour 1 édition Calvi On The Rocks de votre choix.",_x000D_
"seller_fee_basis_points":1000,_x000D_
"image":"https://bafybeicz7nes64p5aingffswz4vjcompsbn5ewcvtlopgdkxd4dmfvpqai.ipfs.nftstorage.link?image_72.png",_x000D_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5" s="1" t="str">
        <f>formatRow(Tokens!C$2:I$2,Tokens!C235:I235)</f>
        <v>"name":"In Casa #72",_x000D_
"symbol":"COR22D72",_x000D_
"description":"In Casa, 1 an - Pass NFT 1 jour pour 1 personne, valable pour 1 édition Calvi On The Rocks de votre choix.",_x000D_
"seller_fee_basis_points":1000,_x000D_
"image":"https://bafybeicz7nes64p5aingffswz4vjcompsbn5ewcvtlopgdkxd4dmfvpqai.ipfs.nftstorage.link?image_72.png",_x000D_
"Issuer":"NfluenT for Calvi On The rocks",_x000D_
"external_url":""</v>
      </c>
      <c r="W235" s="1" t="str">
        <f>formatRow(Tokens!J$2:AV$2,Tokens!J235:AV235,2,"attributes")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5" s="1" t="str">
        <f>formatRow(Tokens!AX$2:BC$2,Tokens!AX235:BC235,2,"creators")</f>
        <v>"creators":[{"address":"paul",_x000D_
"share":10},{"address":"sophie",_x000D_
"share":90}]</v>
      </c>
      <c r="Y235" s="1" t="str">
        <f>formatRow(Tokens!BD$2:BI$2,Tokens!BD235:BI235,2,"files")</f>
        <v>"files":[]</v>
      </c>
      <c r="Z235" s="1"/>
      <c r="AA235" s="1"/>
      <c r="AB235" s="1"/>
      <c r="AC235" s="1" t="str">
        <f>formatRow(Tokens!BJ$2:BK$2,Tokens!BJ235:BK235,0,"collection")</f>
        <v>"collection":{"name":"In Casa",_x000D_
"family":"Calvi On The Rocks"}</v>
      </c>
    </row>
    <row r="236" spans="5:29" ht="14.25" customHeight="1" x14ac:dyDescent="0.25">
      <c r="E236" s="17" t="str">
        <f>IF(Tokens!C236="","",Tokens!C236)</f>
        <v>In Casa #73</v>
      </c>
      <c r="F236"/>
      <c r="G236"/>
      <c r="H236"/>
      <c r="I236"/>
      <c r="J236"/>
      <c r="M236"/>
      <c r="N236"/>
      <c r="O236" s="15" t="str">
        <f t="shared" si="6"/>
        <v>_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/>
      </c>
      <c r="Q236" s="2"/>
      <c r="R236" s="2"/>
      <c r="S236" s="11"/>
      <c r="T236" s="1" t="str">
        <f>"owner=" &amp; Tokens!BS236 &amp; "&amp;filename_for_metadata=" &amp; Tokens!BT236 &amp; "&amp;offchaindata_platform=" &amp; $B$17 &amp; "&amp;keyfile=" &amp; $B$5 &amp; "&amp;network=" &amp; LOWER($B$8) &amp; "&amp;repository=" &amp; $B$18</f>
        <v>owner=thomas&amp;filename_for_metadata=InCasa_COR22D73&amp;offchaindata_platform=MongoDB&amp;keyfile=Paul&amp;network=jsonfiles&amp;repository=test</v>
      </c>
      <c r="U236" s="1" t="str">
        <f t="shared" si="7"/>
        <v>{"name":"In Casa #73",_x000D_
"symbol":"COR22D73",_x000D_
"description":"In Casa, 1 an - Pass NFT 1 jour pour 1 personne, valable pour 1 édition Calvi On The Rocks de votre choix.",_x000D_
"seller_fee_basis_points":1000,_x000D_
"image":"https://bafybeic5askllijlftb274ulyoehqra3l26m7vrhcyzg5srrzgkcjfkqtm.ipfs.nftstorage.link?image_73.png",_x000D_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6" s="1" t="str">
        <f>formatRow(Tokens!C$2:I$2,Tokens!C236:I236)</f>
        <v>"name":"In Casa #73",_x000D_
"symbol":"COR22D73",_x000D_
"description":"In Casa, 1 an - Pass NFT 1 jour pour 1 personne, valable pour 1 édition Calvi On The Rocks de votre choix.",_x000D_
"seller_fee_basis_points":1000,_x000D_
"image":"https://bafybeic5askllijlftb274ulyoehqra3l26m7vrhcyzg5srrzgkcjfkqtm.ipfs.nftstorage.link?image_73.png",_x000D_
"Issuer":"NfluenT for Calvi On The rocks",_x000D_
"external_url":""</v>
      </c>
      <c r="W236" s="1" t="str">
        <f>formatRow(Tokens!J$2:AV$2,Tokens!J236:AV236,2,"attributes")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6" s="1" t="str">
        <f>formatRow(Tokens!AX$2:BC$2,Tokens!AX236:BC236,2,"creators")</f>
        <v>"creators":[{"address":"paul",_x000D_
"share":10},{"address":"sophie",_x000D_
"share":90}]</v>
      </c>
      <c r="Y236" s="1" t="str">
        <f>formatRow(Tokens!BD$2:BI$2,Tokens!BD236:BI236,2,"files")</f>
        <v>"files":[]</v>
      </c>
      <c r="Z236" s="1"/>
      <c r="AA236" s="1"/>
      <c r="AB236" s="1"/>
      <c r="AC236" s="1" t="str">
        <f>formatRow(Tokens!BJ$2:BK$2,Tokens!BJ236:BK236,0,"collection")</f>
        <v>"collection":{"name":"In Casa",_x000D_
"family":"Calvi On The Rocks"}</v>
      </c>
    </row>
    <row r="237" spans="5:29" ht="14.25" customHeight="1" x14ac:dyDescent="0.25">
      <c r="E237" s="17" t="str">
        <f>IF(Tokens!C237="","",Tokens!C237)</f>
        <v>In Casa #74</v>
      </c>
      <c r="F237"/>
      <c r="G237"/>
      <c r="H237"/>
      <c r="I237"/>
      <c r="J237"/>
      <c r="M237"/>
      <c r="N237"/>
      <c r="O237" s="15" t="str">
        <f t="shared" si="6"/>
        <v>_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/>
      </c>
      <c r="Q237" s="2"/>
      <c r="R237" s="2"/>
      <c r="S237" s="11"/>
      <c r="T237" s="1" t="str">
        <f>"owner=" &amp; Tokens!BS237 &amp; "&amp;filename_for_metadata=" &amp; Tokens!BT237 &amp; "&amp;offchaindata_platform=" &amp; $B$17 &amp; "&amp;keyfile=" &amp; $B$5 &amp; "&amp;network=" &amp; LOWER($B$8) &amp; "&amp;repository=" &amp; $B$18</f>
        <v>owner=thomas&amp;filename_for_metadata=InCasa_COR22D74&amp;offchaindata_platform=MongoDB&amp;keyfile=Paul&amp;network=jsonfiles&amp;repository=test</v>
      </c>
      <c r="U237" s="1" t="str">
        <f t="shared" si="7"/>
        <v>{"name":"In Casa #74",_x000D_
"symbol":"COR22D74",_x000D_
"description":"In Casa, 1 an - Pass NFT 1 jour pour 1 personne, valable pour 1 édition Calvi On The Rocks de votre choix.",_x000D_
"seller_fee_basis_points":1000,_x000D_
"image":"https://bafybeihulh3vzw5c3tfkqv5nin7qwq4om5ayt7ecaixldmoz6i5twx3rpy.ipfs.nftstorage.link?image_74.png",_x000D_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7" s="1" t="str">
        <f>formatRow(Tokens!C$2:I$2,Tokens!C237:I237)</f>
        <v>"name":"In Casa #74",_x000D_
"symbol":"COR22D74",_x000D_
"description":"In Casa, 1 an - Pass NFT 1 jour pour 1 personne, valable pour 1 édition Calvi On The Rocks de votre choix.",_x000D_
"seller_fee_basis_points":1000,_x000D_
"image":"https://bafybeihulh3vzw5c3tfkqv5nin7qwq4om5ayt7ecaixldmoz6i5twx3rpy.ipfs.nftstorage.link?image_74.png",_x000D_
"Issuer":"NfluenT for Calvi On The rocks",_x000D_
"external_url":""</v>
      </c>
      <c r="W237" s="1" t="str">
        <f>formatRow(Tokens!J$2:AV$2,Tokens!J237:AV237,2,"attributes")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7" s="1" t="str">
        <f>formatRow(Tokens!AX$2:BC$2,Tokens!AX237:BC237,2,"creators")</f>
        <v>"creators":[{"address":"paul",_x000D_
"share":10},{"address":"sophie",_x000D_
"share":90}]</v>
      </c>
      <c r="Y237" s="1" t="str">
        <f>formatRow(Tokens!BD$2:BI$2,Tokens!BD237:BI237,2,"files")</f>
        <v>"files":[]</v>
      </c>
      <c r="Z237" s="1"/>
      <c r="AA237" s="1"/>
      <c r="AB237" s="1"/>
      <c r="AC237" s="1" t="str">
        <f>formatRow(Tokens!BJ$2:BK$2,Tokens!BJ237:BK237,0,"collection")</f>
        <v>"collection":{"name":"In Casa",_x000D_
"family":"Calvi On The Rocks"}</v>
      </c>
    </row>
    <row r="238" spans="5:29" ht="14.25" customHeight="1" x14ac:dyDescent="0.25">
      <c r="E238" s="17" t="str">
        <f>IF(Tokens!C238="","",Tokens!C238)</f>
        <v>In Casa #75</v>
      </c>
      <c r="F238"/>
      <c r="G238"/>
      <c r="H238"/>
      <c r="I238"/>
      <c r="J238"/>
      <c r="M238"/>
      <c r="N238"/>
      <c r="O238" s="15" t="str">
        <f t="shared" si="6"/>
        <v>_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/>
      </c>
      <c r="Q238" s="2"/>
      <c r="R238" s="2"/>
      <c r="S238" s="11"/>
      <c r="T238" s="1" t="str">
        <f>"owner=" &amp; Tokens!BS238 &amp; "&amp;filename_for_metadata=" &amp; Tokens!BT238 &amp; "&amp;offchaindata_platform=" &amp; $B$17 &amp; "&amp;keyfile=" &amp; $B$5 &amp; "&amp;network=" &amp; LOWER($B$8) &amp; "&amp;repository=" &amp; $B$18</f>
        <v>owner=thomas&amp;filename_for_metadata=InCasa_COR22D75&amp;offchaindata_platform=MongoDB&amp;keyfile=Paul&amp;network=jsonfiles&amp;repository=test</v>
      </c>
      <c r="U238" s="1" t="str">
        <f t="shared" si="7"/>
        <v>{"name":"In Casa #75",_x000D_
"symbol":"COR22D75",_x000D_
"description":"In Casa, 1 an - Pass NFT 1 jour pour 1 personne, valable pour 1 édition Calvi On The Rocks de votre choix.",_x000D_
"seller_fee_basis_points":1000,_x000D_
"image":"https://bafybeiaetgdhdsx4us7e7lvqmtoajgmibyxlzbjzwn4py4x3iby76xdvii.ipfs.nftstorage.link?image_75.png",_x000D_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8" s="1" t="str">
        <f>formatRow(Tokens!C$2:I$2,Tokens!C238:I238)</f>
        <v>"name":"In Casa #75",_x000D_
"symbol":"COR22D75",_x000D_
"description":"In Casa, 1 an - Pass NFT 1 jour pour 1 personne, valable pour 1 édition Calvi On The Rocks de votre choix.",_x000D_
"seller_fee_basis_points":1000,_x000D_
"image":"https://bafybeiaetgdhdsx4us7e7lvqmtoajgmibyxlzbjzwn4py4x3iby76xdvii.ipfs.nftstorage.link?image_75.png",_x000D_
"Issuer":"NfluenT for Calvi On The rocks",_x000D_
"external_url":""</v>
      </c>
      <c r="W238" s="1" t="str">
        <f>formatRow(Tokens!J$2:AV$2,Tokens!J238:AV238,2,"attributes")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8" s="1" t="str">
        <f>formatRow(Tokens!AX$2:BC$2,Tokens!AX238:BC238,2,"creators")</f>
        <v>"creators":[{"address":"paul",_x000D_
"share":10},{"address":"sophie",_x000D_
"share":90}]</v>
      </c>
      <c r="Y238" s="1" t="str">
        <f>formatRow(Tokens!BD$2:BI$2,Tokens!BD238:BI238,2,"files")</f>
        <v>"files":[]</v>
      </c>
      <c r="Z238" s="1"/>
      <c r="AA238" s="1"/>
      <c r="AB238" s="1"/>
      <c r="AC238" s="1" t="str">
        <f>formatRow(Tokens!BJ$2:BK$2,Tokens!BJ238:BK238,0,"collection")</f>
        <v>"collection":{"name":"In Casa",_x000D_
"family":"Calvi On The Rocks"}</v>
      </c>
    </row>
    <row r="239" spans="5:29" ht="14.25" customHeight="1" x14ac:dyDescent="0.25">
      <c r="E239" s="17" t="str">
        <f>IF(Tokens!C239="","",Tokens!C239)</f>
        <v>In Casa #76</v>
      </c>
      <c r="F239"/>
      <c r="G239"/>
      <c r="H239"/>
      <c r="I239"/>
      <c r="J239"/>
      <c r="M239"/>
      <c r="N239"/>
      <c r="O239" s="15" t="str">
        <f t="shared" si="6"/>
        <v>_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/>
      </c>
      <c r="Q239" s="2"/>
      <c r="R239" s="2"/>
      <c r="S239" s="11"/>
      <c r="T239" s="1" t="str">
        <f>"owner=" &amp; Tokens!BS239 &amp; "&amp;filename_for_metadata=" &amp; Tokens!BT239 &amp; "&amp;offchaindata_platform=" &amp; $B$17 &amp; "&amp;keyfile=" &amp; $B$5 &amp; "&amp;network=" &amp; LOWER($B$8) &amp; "&amp;repository=" &amp; $B$18</f>
        <v>owner=thomas&amp;filename_for_metadata=InCasa_COR22D76&amp;offchaindata_platform=MongoDB&amp;keyfile=Paul&amp;network=jsonfiles&amp;repository=test</v>
      </c>
      <c r="U239" s="1" t="str">
        <f t="shared" si="7"/>
        <v>{"name":"In Casa #76",_x000D_
"symbol":"COR22D76",_x000D_
"description":"In Casa, 1 an - Pass NFT 1 jour pour 1 personne, valable pour 1 édition Calvi On The Rocks de votre choix.",_x000D_
"seller_fee_basis_points":1000,_x000D_
"image":"https://bafybeihc3gzczmbdbrdlovituohd2niiqhqaeon3q73st7wmbxtntfcrm4.ipfs.nftstorage.link?image_76.png",_x000D_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39" s="1" t="str">
        <f>formatRow(Tokens!C$2:I$2,Tokens!C239:I239)</f>
        <v>"name":"In Casa #76",_x000D_
"symbol":"COR22D76",_x000D_
"description":"In Casa, 1 an - Pass NFT 1 jour pour 1 personne, valable pour 1 édition Calvi On The Rocks de votre choix.",_x000D_
"seller_fee_basis_points":1000,_x000D_
"image":"https://bafybeihc3gzczmbdbrdlovituohd2niiqhqaeon3q73st7wmbxtntfcrm4.ipfs.nftstorage.link?image_76.png",_x000D_
"Issuer":"NfluenT for Calvi On The rocks",_x000D_
"external_url":""</v>
      </c>
      <c r="W239" s="1" t="str">
        <f>formatRow(Tokens!J$2:AV$2,Tokens!J239:AV239,2,"attributes")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39" s="1" t="str">
        <f>formatRow(Tokens!AX$2:BC$2,Tokens!AX239:BC239,2,"creators")</f>
        <v>"creators":[{"address":"paul",_x000D_
"share":10},{"address":"sophie",_x000D_
"share":90}]</v>
      </c>
      <c r="Y239" s="1" t="str">
        <f>formatRow(Tokens!BD$2:BI$2,Tokens!BD239:BI239,2,"files")</f>
        <v>"files":[]</v>
      </c>
      <c r="Z239" s="1"/>
      <c r="AA239" s="1"/>
      <c r="AB239" s="1"/>
      <c r="AC239" s="1" t="str">
        <f>formatRow(Tokens!BJ$2:BK$2,Tokens!BJ239:BK239,0,"collection")</f>
        <v>"collection":{"name":"In Casa",_x000D_
"family":"Calvi On The Rocks"}</v>
      </c>
    </row>
    <row r="240" spans="5:29" ht="14.25" customHeight="1" x14ac:dyDescent="0.25">
      <c r="E240" s="17" t="str">
        <f>IF(Tokens!C240="","",Tokens!C240)</f>
        <v>In Casa #77</v>
      </c>
      <c r="F240"/>
      <c r="G240"/>
      <c r="H240"/>
      <c r="I240"/>
      <c r="J240"/>
      <c r="M240"/>
      <c r="N240"/>
      <c r="O240" s="15" t="str">
        <f t="shared" si="6"/>
        <v>_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/>
      </c>
      <c r="Q240" s="2"/>
      <c r="R240" s="2"/>
      <c r="S240" s="11"/>
      <c r="T240" s="1" t="str">
        <f>"owner=" &amp; Tokens!BS240 &amp; "&amp;filename_for_metadata=" &amp; Tokens!BT240 &amp; "&amp;offchaindata_platform=" &amp; $B$17 &amp; "&amp;keyfile=" &amp; $B$5 &amp; "&amp;network=" &amp; LOWER($B$8) &amp; "&amp;repository=" &amp; $B$18</f>
        <v>owner=thomas&amp;filename_for_metadata=InCasa_COR22D77&amp;offchaindata_platform=MongoDB&amp;keyfile=Paul&amp;network=jsonfiles&amp;repository=test</v>
      </c>
      <c r="U240" s="1" t="str">
        <f t="shared" si="7"/>
        <v>{"name":"In Casa #77",_x000D_
"symbol":"COR22D77",_x000D_
"description":"In Casa, 1 an - Pass NFT 1 jour pour 1 personne, valable pour 1 édition Calvi On The Rocks de votre choix.",_x000D_
"seller_fee_basis_points":1000,_x000D_
"image":"https://bafybeia4wzgbvxtlccvthcr36r65toigobijuu3trfgk6naoj7w67nnqsu.ipfs.nftstorage.link?image_77.png",_x000D_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0" s="1" t="str">
        <f>formatRow(Tokens!C$2:I$2,Tokens!C240:I240)</f>
        <v>"name":"In Casa #77",_x000D_
"symbol":"COR22D77",_x000D_
"description":"In Casa, 1 an - Pass NFT 1 jour pour 1 personne, valable pour 1 édition Calvi On The Rocks de votre choix.",_x000D_
"seller_fee_basis_points":1000,_x000D_
"image":"https://bafybeia4wzgbvxtlccvthcr36r65toigobijuu3trfgk6naoj7w67nnqsu.ipfs.nftstorage.link?image_77.png",_x000D_
"Issuer":"NfluenT for Calvi On The rocks",_x000D_
"external_url":""</v>
      </c>
      <c r="W240" s="1" t="str">
        <f>formatRow(Tokens!J$2:AV$2,Tokens!J240:AV240,2,"attributes")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0" s="1" t="str">
        <f>formatRow(Tokens!AX$2:BC$2,Tokens!AX240:BC240,2,"creators")</f>
        <v>"creators":[{"address":"paul",_x000D_
"share":10},{"address":"sophie",_x000D_
"share":90}]</v>
      </c>
      <c r="Y240" s="1" t="str">
        <f>formatRow(Tokens!BD$2:BI$2,Tokens!BD240:BI240,2,"files")</f>
        <v>"files":[]</v>
      </c>
      <c r="Z240" s="1"/>
      <c r="AA240" s="1"/>
      <c r="AB240" s="1"/>
      <c r="AC240" s="1" t="str">
        <f>formatRow(Tokens!BJ$2:BK$2,Tokens!BJ240:BK240,0,"collection")</f>
        <v>"collection":{"name":"In Casa",_x000D_
"family":"Calvi On The Rocks"}</v>
      </c>
    </row>
    <row r="241" spans="5:29" ht="14.25" customHeight="1" x14ac:dyDescent="0.25">
      <c r="E241" s="17" t="str">
        <f>IF(Tokens!C241="","",Tokens!C241)</f>
        <v>In Casa #78</v>
      </c>
      <c r="F241"/>
      <c r="G241"/>
      <c r="H241"/>
      <c r="I241"/>
      <c r="J241"/>
      <c r="M241"/>
      <c r="N241"/>
      <c r="O241" s="15" t="str">
        <f t="shared" si="6"/>
        <v>_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/>
      </c>
      <c r="Q241" s="2"/>
      <c r="R241" s="2"/>
      <c r="S241" s="11"/>
      <c r="T241" s="1" t="str">
        <f>"owner=" &amp; Tokens!BS241 &amp; "&amp;filename_for_metadata=" &amp; Tokens!BT241 &amp; "&amp;offchaindata_platform=" &amp; $B$17 &amp; "&amp;keyfile=" &amp; $B$5 &amp; "&amp;network=" &amp; LOWER($B$8) &amp; "&amp;repository=" &amp; $B$18</f>
        <v>owner=thomas&amp;filename_for_metadata=InCasa_COR22D78&amp;offchaindata_platform=MongoDB&amp;keyfile=Paul&amp;network=jsonfiles&amp;repository=test</v>
      </c>
      <c r="U241" s="1" t="str">
        <f t="shared" si="7"/>
        <v>{"name":"In Casa #78",_x000D_
"symbol":"COR22D78",_x000D_
"description":"In Casa, 1 an - Pass NFT 1 jour pour 1 personne, valable pour 1 édition Calvi On The Rocks de votre choix.",_x000D_
"seller_fee_basis_points":1000,_x000D_
"image":"https://bafybeie6kamdjfnis4rjxukx47egoykgjyrrt4njmkeqxpvxfbsgkulgne.ipfs.nftstorage.link?image_78.png",_x000D_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1" s="1" t="str">
        <f>formatRow(Tokens!C$2:I$2,Tokens!C241:I241)</f>
        <v>"name":"In Casa #78",_x000D_
"symbol":"COR22D78",_x000D_
"description":"In Casa, 1 an - Pass NFT 1 jour pour 1 personne, valable pour 1 édition Calvi On The Rocks de votre choix.",_x000D_
"seller_fee_basis_points":1000,_x000D_
"image":"https://bafybeie6kamdjfnis4rjxukx47egoykgjyrrt4njmkeqxpvxfbsgkulgne.ipfs.nftstorage.link?image_78.png",_x000D_
"Issuer":"NfluenT for Calvi On The rocks",_x000D_
"external_url":""</v>
      </c>
      <c r="W241" s="1" t="str">
        <f>formatRow(Tokens!J$2:AV$2,Tokens!J241:AV241,2,"attributes")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1" s="1" t="str">
        <f>formatRow(Tokens!AX$2:BC$2,Tokens!AX241:BC241,2,"creators")</f>
        <v>"creators":[{"address":"paul",_x000D_
"share":10},{"address":"sophie",_x000D_
"share":90}]</v>
      </c>
      <c r="Y241" s="1" t="str">
        <f>formatRow(Tokens!BD$2:BI$2,Tokens!BD241:BI241,2,"files")</f>
        <v>"files":[]</v>
      </c>
      <c r="Z241" s="1"/>
      <c r="AA241" s="1"/>
      <c r="AB241" s="1"/>
      <c r="AC241" s="1" t="str">
        <f>formatRow(Tokens!BJ$2:BK$2,Tokens!BJ241:BK241,0,"collection")</f>
        <v>"collection":{"name":"In Casa",_x000D_
"family":"Calvi On The Rocks"}</v>
      </c>
    </row>
    <row r="242" spans="5:29" ht="14.25" customHeight="1" x14ac:dyDescent="0.25">
      <c r="E242" s="17" t="str">
        <f>IF(Tokens!C242="","",Tokens!C242)</f>
        <v>In Casa #79</v>
      </c>
      <c r="F242"/>
      <c r="G242"/>
      <c r="H242"/>
      <c r="I242"/>
      <c r="J242"/>
      <c r="M242"/>
      <c r="N242"/>
      <c r="O242" s="15" t="str">
        <f t="shared" si="6"/>
        <v>_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/>
      </c>
      <c r="Q242" s="2"/>
      <c r="R242" s="2"/>
      <c r="S242" s="11"/>
      <c r="T242" s="1" t="str">
        <f>"owner=" &amp; Tokens!BS242 &amp; "&amp;filename_for_metadata=" &amp; Tokens!BT242 &amp; "&amp;offchaindata_platform=" &amp; $B$17 &amp; "&amp;keyfile=" &amp; $B$5 &amp; "&amp;network=" &amp; LOWER($B$8) &amp; "&amp;repository=" &amp; $B$18</f>
        <v>owner=thomas&amp;filename_for_metadata=InCasa_COR22D79&amp;offchaindata_platform=MongoDB&amp;keyfile=Paul&amp;network=jsonfiles&amp;repository=test</v>
      </c>
      <c r="U242" s="1" t="str">
        <f t="shared" si="7"/>
        <v>{"name":"In Casa #79",_x000D_
"symbol":"COR22D79",_x000D_
"description":"In Casa, 1 an - Pass NFT 1 jour pour 1 personne, valable pour 1 édition Calvi On The Rocks de votre choix.",_x000D_
"seller_fee_basis_points":1000,_x000D_
"image":"https://bafybeihtn2do4skkxhfl2wao7pxpkny6katwurabnxq4apfwh5yaktxt4m.ipfs.nftstorage.link?image_79.png",_x000D_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2" s="1" t="str">
        <f>formatRow(Tokens!C$2:I$2,Tokens!C242:I242)</f>
        <v>"name":"In Casa #79",_x000D_
"symbol":"COR22D79",_x000D_
"description":"In Casa, 1 an - Pass NFT 1 jour pour 1 personne, valable pour 1 édition Calvi On The Rocks de votre choix.",_x000D_
"seller_fee_basis_points":1000,_x000D_
"image":"https://bafybeihtn2do4skkxhfl2wao7pxpkny6katwurabnxq4apfwh5yaktxt4m.ipfs.nftstorage.link?image_79.png",_x000D_
"Issuer":"NfluenT for Calvi On The rocks",_x000D_
"external_url":""</v>
      </c>
      <c r="W242" s="1" t="str">
        <f>formatRow(Tokens!J$2:AV$2,Tokens!J242:AV242,2,"attributes")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2" s="1" t="str">
        <f>formatRow(Tokens!AX$2:BC$2,Tokens!AX242:BC242,2,"creators")</f>
        <v>"creators":[{"address":"paul",_x000D_
"share":10},{"address":"sophie",_x000D_
"share":90}]</v>
      </c>
      <c r="Y242" s="1" t="str">
        <f>formatRow(Tokens!BD$2:BI$2,Tokens!BD242:BI242,2,"files")</f>
        <v>"files":[]</v>
      </c>
      <c r="Z242" s="1"/>
      <c r="AA242" s="1"/>
      <c r="AB242" s="1"/>
      <c r="AC242" s="1" t="str">
        <f>formatRow(Tokens!BJ$2:BK$2,Tokens!BJ242:BK242,0,"collection")</f>
        <v>"collection":{"name":"In Casa",_x000D_
"family":"Calvi On The Rocks"}</v>
      </c>
    </row>
    <row r="243" spans="5:29" ht="14.25" customHeight="1" x14ac:dyDescent="0.25">
      <c r="E243" s="17" t="str">
        <f>IF(Tokens!C243="","",Tokens!C243)</f>
        <v>In Casa #80</v>
      </c>
      <c r="F243"/>
      <c r="G243"/>
      <c r="H243"/>
      <c r="I243"/>
      <c r="J243"/>
      <c r="M243"/>
      <c r="N243"/>
      <c r="O243" s="15" t="str">
        <f t="shared" si="6"/>
        <v>_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/>
      </c>
      <c r="Q243" s="2"/>
      <c r="R243" s="2"/>
      <c r="S243" s="11"/>
      <c r="T243" s="1" t="str">
        <f>"owner=" &amp; Tokens!BS243 &amp; "&amp;filename_for_metadata=" &amp; Tokens!BT243 &amp; "&amp;offchaindata_platform=" &amp; $B$17 &amp; "&amp;keyfile=" &amp; $B$5 &amp; "&amp;network=" &amp; LOWER($B$8) &amp; "&amp;repository=" &amp; $B$18</f>
        <v>owner=thomas&amp;filename_for_metadata=InCasa_COR22D80&amp;offchaindata_platform=MongoDB&amp;keyfile=Paul&amp;network=jsonfiles&amp;repository=test</v>
      </c>
      <c r="U243" s="1" t="str">
        <f t="shared" si="7"/>
        <v>{"name":"In Casa #80",_x000D_
"symbol":"COR22D80",_x000D_
"description":"In Casa, 1 an - Pass NFT 1 jour pour 1 personne, valable pour 1 édition Calvi On The Rocks de votre choix.",_x000D_
"seller_fee_basis_points":1000,_x000D_
"image":"https://bafybeibx4upif7v4uhk7dr2pizvncy7gywodsd3g4htbtawkdilvt3nfg4.ipfs.nftstorage.link?image_80.png",_x000D_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3" s="1" t="str">
        <f>formatRow(Tokens!C$2:I$2,Tokens!C243:I243)</f>
        <v>"name":"In Casa #80",_x000D_
"symbol":"COR22D80",_x000D_
"description":"In Casa, 1 an - Pass NFT 1 jour pour 1 personne, valable pour 1 édition Calvi On The Rocks de votre choix.",_x000D_
"seller_fee_basis_points":1000,_x000D_
"image":"https://bafybeibx4upif7v4uhk7dr2pizvncy7gywodsd3g4htbtawkdilvt3nfg4.ipfs.nftstorage.link?image_80.png",_x000D_
"Issuer":"NfluenT for Calvi On The rocks",_x000D_
"external_url":""</v>
      </c>
      <c r="W243" s="1" t="str">
        <f>formatRow(Tokens!J$2:AV$2,Tokens!J243:AV243,2,"attributes")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3" s="1" t="str">
        <f>formatRow(Tokens!AX$2:BC$2,Tokens!AX243:BC243,2,"creators")</f>
        <v>"creators":[{"address":"paul",_x000D_
"share":10},{"address":"sophie",_x000D_
"share":90}]</v>
      </c>
      <c r="Y243" s="1" t="str">
        <f>formatRow(Tokens!BD$2:BI$2,Tokens!BD243:BI243,2,"files")</f>
        <v>"files":[]</v>
      </c>
      <c r="Z243" s="1"/>
      <c r="AA243" s="1"/>
      <c r="AB243" s="1"/>
      <c r="AC243" s="1" t="str">
        <f>formatRow(Tokens!BJ$2:BK$2,Tokens!BJ243:BK243,0,"collection")</f>
        <v>"collection":{"name":"In Casa",_x000D_
"family":"Calvi On The Rocks"}</v>
      </c>
    </row>
    <row r="244" spans="5:29" ht="14.25" customHeight="1" x14ac:dyDescent="0.25">
      <c r="E244" s="17" t="str">
        <f>IF(Tokens!C244="","",Tokens!C244)</f>
        <v>In Casa #81</v>
      </c>
      <c r="F244"/>
      <c r="G244"/>
      <c r="H244"/>
      <c r="I244"/>
      <c r="J244"/>
      <c r="M244"/>
      <c r="N244"/>
      <c r="O244" s="15" t="str">
        <f t="shared" si="6"/>
        <v>_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/>
      </c>
      <c r="Q244" s="2"/>
      <c r="R244" s="2"/>
      <c r="S244" s="11"/>
      <c r="T244" s="1" t="str">
        <f>"owner=" &amp; Tokens!BS244 &amp; "&amp;filename_for_metadata=" &amp; Tokens!BT244 &amp; "&amp;offchaindata_platform=" &amp; $B$17 &amp; "&amp;keyfile=" &amp; $B$5 &amp; "&amp;network=" &amp; LOWER($B$8) &amp; "&amp;repository=" &amp; $B$18</f>
        <v>owner=thomas&amp;filename_for_metadata=InCasa_COR22D81&amp;offchaindata_platform=MongoDB&amp;keyfile=Paul&amp;network=jsonfiles&amp;repository=test</v>
      </c>
      <c r="U244" s="1" t="str">
        <f t="shared" si="7"/>
        <v>{"name":"In Casa #81",_x000D_
"symbol":"COR22D81",_x000D_
"description":"In Casa, 1 an - Pass NFT 1 jour pour 1 personne, valable pour 1 édition Calvi On The Rocks de votre choix.",_x000D_
"seller_fee_basis_points":1000,_x000D_
"image":"https://bafybeiecpjkszjfihyajik3dbaqmwhgs4754pwlsyfupc7xzt5ltnm56oe.ipfs.nftstorage.link?image_81.png",_x000D_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4" s="1" t="str">
        <f>formatRow(Tokens!C$2:I$2,Tokens!C244:I244)</f>
        <v>"name":"In Casa #81",_x000D_
"symbol":"COR22D81",_x000D_
"description":"In Casa, 1 an - Pass NFT 1 jour pour 1 personne, valable pour 1 édition Calvi On The Rocks de votre choix.",_x000D_
"seller_fee_basis_points":1000,_x000D_
"image":"https://bafybeiecpjkszjfihyajik3dbaqmwhgs4754pwlsyfupc7xzt5ltnm56oe.ipfs.nftstorage.link?image_81.png",_x000D_
"Issuer":"NfluenT for Calvi On The rocks",_x000D_
"external_url":""</v>
      </c>
      <c r="W244" s="1" t="str">
        <f>formatRow(Tokens!J$2:AV$2,Tokens!J244:AV244,2,"attributes")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4" s="1" t="str">
        <f>formatRow(Tokens!AX$2:BC$2,Tokens!AX244:BC244,2,"creators")</f>
        <v>"creators":[{"address":"paul",_x000D_
"share":10},{"address":"sophie",_x000D_
"share":90}]</v>
      </c>
      <c r="Y244" s="1" t="str">
        <f>formatRow(Tokens!BD$2:BI$2,Tokens!BD244:BI244,2,"files")</f>
        <v>"files":[]</v>
      </c>
      <c r="Z244" s="1"/>
      <c r="AA244" s="1"/>
      <c r="AB244" s="1"/>
      <c r="AC244" s="1" t="str">
        <f>formatRow(Tokens!BJ$2:BK$2,Tokens!BJ244:BK244,0,"collection")</f>
        <v>"collection":{"name":"In Casa",_x000D_
"family":"Calvi On The Rocks"}</v>
      </c>
    </row>
    <row r="245" spans="5:29" ht="14.25" customHeight="1" x14ac:dyDescent="0.25">
      <c r="E245" s="17" t="str">
        <f>IF(Tokens!C245="","",Tokens!C245)</f>
        <v>In Casa #82</v>
      </c>
      <c r="F245"/>
      <c r="G245"/>
      <c r="H245"/>
      <c r="I245"/>
      <c r="J245"/>
      <c r="M245"/>
      <c r="N245"/>
      <c r="O245" s="15" t="str">
        <f t="shared" si="6"/>
        <v>_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/>
      </c>
      <c r="Q245" s="2"/>
      <c r="R245" s="2"/>
      <c r="S245" s="11"/>
      <c r="T245" s="1" t="str">
        <f>"owner=" &amp; Tokens!BS245 &amp; "&amp;filename_for_metadata=" &amp; Tokens!BT245 &amp; "&amp;offchaindata_platform=" &amp; $B$17 &amp; "&amp;keyfile=" &amp; $B$5 &amp; "&amp;network=" &amp; LOWER($B$8) &amp; "&amp;repository=" &amp; $B$18</f>
        <v>owner=thomas&amp;filename_for_metadata=InCasa_COR22D82&amp;offchaindata_platform=MongoDB&amp;keyfile=Paul&amp;network=jsonfiles&amp;repository=test</v>
      </c>
      <c r="U245" s="1" t="str">
        <f t="shared" si="7"/>
        <v>{"name":"In Casa #82",_x000D_
"symbol":"COR22D82",_x000D_
"description":"In Casa, 1 an - Pass NFT 1 jour pour 1 personne, valable pour 1 édition Calvi On The Rocks de votre choix.",_x000D_
"seller_fee_basis_points":1000,_x000D_
"image":"https://bafybeibbxzqmzm7fyve3n2izcihgq5iqpshf2pwrw7sphttybio2z2bdim.ipfs.nftstorage.link?image_82.png",_x000D_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5" s="1" t="str">
        <f>formatRow(Tokens!C$2:I$2,Tokens!C245:I245)</f>
        <v>"name":"In Casa #82",_x000D_
"symbol":"COR22D82",_x000D_
"description":"In Casa, 1 an - Pass NFT 1 jour pour 1 personne, valable pour 1 édition Calvi On The Rocks de votre choix.",_x000D_
"seller_fee_basis_points":1000,_x000D_
"image":"https://bafybeibbxzqmzm7fyve3n2izcihgq5iqpshf2pwrw7sphttybio2z2bdim.ipfs.nftstorage.link?image_82.png",_x000D_
"Issuer":"NfluenT for Calvi On The rocks",_x000D_
"external_url":""</v>
      </c>
      <c r="W245" s="1" t="str">
        <f>formatRow(Tokens!J$2:AV$2,Tokens!J245:AV245,2,"attributes")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5" s="1" t="str">
        <f>formatRow(Tokens!AX$2:BC$2,Tokens!AX245:BC245,2,"creators")</f>
        <v>"creators":[{"address":"paul",_x000D_
"share":10},{"address":"sophie",_x000D_
"share":90}]</v>
      </c>
      <c r="Y245" s="1" t="str">
        <f>formatRow(Tokens!BD$2:BI$2,Tokens!BD245:BI245,2,"files")</f>
        <v>"files":[]</v>
      </c>
      <c r="Z245" s="1"/>
      <c r="AA245" s="1"/>
      <c r="AB245" s="1"/>
      <c r="AC245" s="1" t="str">
        <f>formatRow(Tokens!BJ$2:BK$2,Tokens!BJ245:BK245,0,"collection")</f>
        <v>"collection":{"name":"In Casa",_x000D_
"family":"Calvi On The Rocks"}</v>
      </c>
    </row>
    <row r="246" spans="5:29" ht="14.25" customHeight="1" x14ac:dyDescent="0.25">
      <c r="E246" s="17" t="str">
        <f>IF(Tokens!C246="","",Tokens!C246)</f>
        <v>In Casa #83</v>
      </c>
      <c r="F246"/>
      <c r="G246"/>
      <c r="H246"/>
      <c r="I246"/>
      <c r="J246"/>
      <c r="M246"/>
      <c r="N246"/>
      <c r="O246" s="15" t="str">
        <f t="shared" si="6"/>
        <v>_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/>
      </c>
      <c r="Q246" s="2"/>
      <c r="R246" s="2"/>
      <c r="S246" s="11"/>
      <c r="T246" s="1" t="str">
        <f>"owner=" &amp; Tokens!BS246 &amp; "&amp;filename_for_metadata=" &amp; Tokens!BT246 &amp; "&amp;offchaindata_platform=" &amp; $B$17 &amp; "&amp;keyfile=" &amp; $B$5 &amp; "&amp;network=" &amp; LOWER($B$8) &amp; "&amp;repository=" &amp; $B$18</f>
        <v>owner=thomas&amp;filename_for_metadata=InCasa_COR22D83&amp;offchaindata_platform=MongoDB&amp;keyfile=Paul&amp;network=jsonfiles&amp;repository=test</v>
      </c>
      <c r="U246" s="1" t="str">
        <f t="shared" si="7"/>
        <v>{"name":"In Casa #83",_x000D_
"symbol":"COR22D83",_x000D_
"description":"In Casa, 1 an - Pass NFT 1 jour pour 1 personne, valable pour 1 édition Calvi On The Rocks de votre choix.",_x000D_
"seller_fee_basis_points":1000,_x000D_
"image":"https://bafybeidear7246gqz3rg6btquloaayqfsa6bbwxwncw2hm6md4k5ue64oi.ipfs.nftstorage.link?image_83.png",_x000D_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6" s="1" t="str">
        <f>formatRow(Tokens!C$2:I$2,Tokens!C246:I246)</f>
        <v>"name":"In Casa #83",_x000D_
"symbol":"COR22D83",_x000D_
"description":"In Casa, 1 an - Pass NFT 1 jour pour 1 personne, valable pour 1 édition Calvi On The Rocks de votre choix.",_x000D_
"seller_fee_basis_points":1000,_x000D_
"image":"https://bafybeidear7246gqz3rg6btquloaayqfsa6bbwxwncw2hm6md4k5ue64oi.ipfs.nftstorage.link?image_83.png",_x000D_
"Issuer":"NfluenT for Calvi On The rocks",_x000D_
"external_url":""</v>
      </c>
      <c r="W246" s="1" t="str">
        <f>formatRow(Tokens!J$2:AV$2,Tokens!J246:AV246,2,"attributes")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6" s="1" t="str">
        <f>formatRow(Tokens!AX$2:BC$2,Tokens!AX246:BC246,2,"creators")</f>
        <v>"creators":[{"address":"paul",_x000D_
"share":10},{"address":"sophie",_x000D_
"share":90}]</v>
      </c>
      <c r="Y246" s="1" t="str">
        <f>formatRow(Tokens!BD$2:BI$2,Tokens!BD246:BI246,2,"files")</f>
        <v>"files":[]</v>
      </c>
      <c r="Z246" s="1"/>
      <c r="AA246" s="1"/>
      <c r="AB246" s="1"/>
      <c r="AC246" s="1" t="str">
        <f>formatRow(Tokens!BJ$2:BK$2,Tokens!BJ246:BK246,0,"collection")</f>
        <v>"collection":{"name":"In Casa",_x000D_
"family":"Calvi On The Rocks"}</v>
      </c>
    </row>
    <row r="247" spans="5:29" ht="14.25" customHeight="1" x14ac:dyDescent="0.25">
      <c r="E247" s="17" t="str">
        <f>IF(Tokens!C247="","",Tokens!C247)</f>
        <v>In Casa #84</v>
      </c>
      <c r="F247"/>
      <c r="G247"/>
      <c r="H247"/>
      <c r="I247"/>
      <c r="J247"/>
      <c r="M247"/>
      <c r="N247"/>
      <c r="O247" s="15" t="str">
        <f t="shared" si="6"/>
        <v>_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/>
      </c>
      <c r="Q247" s="2"/>
      <c r="R247" s="2"/>
      <c r="S247" s="11"/>
      <c r="T247" s="1" t="str">
        <f>"owner=" &amp; Tokens!BS247 &amp; "&amp;filename_for_metadata=" &amp; Tokens!BT247 &amp; "&amp;offchaindata_platform=" &amp; $B$17 &amp; "&amp;keyfile=" &amp; $B$5 &amp; "&amp;network=" &amp; LOWER($B$8) &amp; "&amp;repository=" &amp; $B$18</f>
        <v>owner=thomas&amp;filename_for_metadata=InCasa_COR22D84&amp;offchaindata_platform=MongoDB&amp;keyfile=Paul&amp;network=jsonfiles&amp;repository=test</v>
      </c>
      <c r="U247" s="1" t="str">
        <f t="shared" si="7"/>
        <v>{"name":"In Casa #84",_x000D_
"symbol":"COR22D84",_x000D_
"description":"In Casa, 1 an - Pass NFT 1 jour pour 1 personne, valable pour 1 édition Calvi On The Rocks de votre choix.",_x000D_
"seller_fee_basis_points":1000,_x000D_
"image":"https://bafybeibmm4lre4uvodncdugwhzyn2pmdmexwabvwbmr5h2h74xxn7m7ale.ipfs.nftstorage.link?image_84.png",_x000D_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7" s="1" t="str">
        <f>formatRow(Tokens!C$2:I$2,Tokens!C247:I247)</f>
        <v>"name":"In Casa #84",_x000D_
"symbol":"COR22D84",_x000D_
"description":"In Casa, 1 an - Pass NFT 1 jour pour 1 personne, valable pour 1 édition Calvi On The Rocks de votre choix.",_x000D_
"seller_fee_basis_points":1000,_x000D_
"image":"https://bafybeibmm4lre4uvodncdugwhzyn2pmdmexwabvwbmr5h2h74xxn7m7ale.ipfs.nftstorage.link?image_84.png",_x000D_
"Issuer":"NfluenT for Calvi On The rocks",_x000D_
"external_url":""</v>
      </c>
      <c r="W247" s="1" t="str">
        <f>formatRow(Tokens!J$2:AV$2,Tokens!J247:AV247,2,"attributes")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7" s="1" t="str">
        <f>formatRow(Tokens!AX$2:BC$2,Tokens!AX247:BC247,2,"creators")</f>
        <v>"creators":[{"address":"paul",_x000D_
"share":10},{"address":"sophie",_x000D_
"share":90}]</v>
      </c>
      <c r="Y247" s="1" t="str">
        <f>formatRow(Tokens!BD$2:BI$2,Tokens!BD247:BI247,2,"files")</f>
        <v>"files":[]</v>
      </c>
      <c r="Z247" s="1"/>
      <c r="AA247" s="1"/>
      <c r="AB247" s="1"/>
      <c r="AC247" s="1" t="str">
        <f>formatRow(Tokens!BJ$2:BK$2,Tokens!BJ247:BK247,0,"collection")</f>
        <v>"collection":{"name":"In Casa",_x000D_
"family":"Calvi On The Rocks"}</v>
      </c>
    </row>
    <row r="248" spans="5:29" ht="14.25" customHeight="1" x14ac:dyDescent="0.25">
      <c r="E248" s="17" t="str">
        <f>IF(Tokens!C248="","",Tokens!C248)</f>
        <v>In Casa #85</v>
      </c>
      <c r="F248"/>
      <c r="G248"/>
      <c r="H248"/>
      <c r="I248"/>
      <c r="J248"/>
      <c r="M248"/>
      <c r="N248"/>
      <c r="O248" s="15" t="str">
        <f t="shared" si="6"/>
        <v>_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/>
      </c>
      <c r="Q248" s="2"/>
      <c r="R248" s="2"/>
      <c r="S248" s="11"/>
      <c r="T248" s="1" t="str">
        <f>"owner=" &amp; Tokens!BS248 &amp; "&amp;filename_for_metadata=" &amp; Tokens!BT248 &amp; "&amp;offchaindata_platform=" &amp; $B$17 &amp; "&amp;keyfile=" &amp; $B$5 &amp; "&amp;network=" &amp; LOWER($B$8) &amp; "&amp;repository=" &amp; $B$18</f>
        <v>owner=thomas&amp;filename_for_metadata=InCasa_COR22D85&amp;offchaindata_platform=MongoDB&amp;keyfile=Paul&amp;network=jsonfiles&amp;repository=test</v>
      </c>
      <c r="U248" s="1" t="str">
        <f t="shared" si="7"/>
        <v>{"name":"In Casa #85",_x000D_
"symbol":"COR22D85",_x000D_
"description":"In Casa, 1 an - Pass NFT 1 jour pour 1 personne, valable pour 1 édition Calvi On The Rocks de votre choix.",_x000D_
"seller_fee_basis_points":1000,_x000D_
"image":"https://bafybeical6wey46qjyce2itnrkn75cm4qvjnewuynsqcotimqwk7nccxxq.ipfs.nftstorage.link?image_85.png",_x000D_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8" s="1" t="str">
        <f>formatRow(Tokens!C$2:I$2,Tokens!C248:I248)</f>
        <v>"name":"In Casa #85",_x000D_
"symbol":"COR22D85",_x000D_
"description":"In Casa, 1 an - Pass NFT 1 jour pour 1 personne, valable pour 1 édition Calvi On The Rocks de votre choix.",_x000D_
"seller_fee_basis_points":1000,_x000D_
"image":"https://bafybeical6wey46qjyce2itnrkn75cm4qvjnewuynsqcotimqwk7nccxxq.ipfs.nftstorage.link?image_85.png",_x000D_
"Issuer":"NfluenT for Calvi On The rocks",_x000D_
"external_url":""</v>
      </c>
      <c r="W248" s="1" t="str">
        <f>formatRow(Tokens!J$2:AV$2,Tokens!J248:AV248,2,"attributes")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8" s="1" t="str">
        <f>formatRow(Tokens!AX$2:BC$2,Tokens!AX248:BC248,2,"creators")</f>
        <v>"creators":[{"address":"paul",_x000D_
"share":10},{"address":"sophie",_x000D_
"share":90}]</v>
      </c>
      <c r="Y248" s="1" t="str">
        <f>formatRow(Tokens!BD$2:BI$2,Tokens!BD248:BI248,2,"files")</f>
        <v>"files":[]</v>
      </c>
      <c r="Z248" s="1"/>
      <c r="AA248" s="1"/>
      <c r="AB248" s="1"/>
      <c r="AC248" s="1" t="str">
        <f>formatRow(Tokens!BJ$2:BK$2,Tokens!BJ248:BK248,0,"collection")</f>
        <v>"collection":{"name":"In Casa",_x000D_
"family":"Calvi On The Rocks"}</v>
      </c>
    </row>
    <row r="249" spans="5:29" ht="14.25" customHeight="1" x14ac:dyDescent="0.25">
      <c r="E249" s="17" t="str">
        <f>IF(Tokens!C249="","",Tokens!C249)</f>
        <v>In Casa #86</v>
      </c>
      <c r="F249"/>
      <c r="G249"/>
      <c r="H249"/>
      <c r="I249"/>
      <c r="J249"/>
      <c r="M249"/>
      <c r="N249"/>
      <c r="O249" s="15" t="str">
        <f t="shared" si="6"/>
        <v>_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/>
      </c>
      <c r="Q249" s="2"/>
      <c r="R249" s="2"/>
      <c r="S249" s="11"/>
      <c r="T249" s="1" t="str">
        <f>"owner=" &amp; Tokens!BS249 &amp; "&amp;filename_for_metadata=" &amp; Tokens!BT249 &amp; "&amp;offchaindata_platform=" &amp; $B$17 &amp; "&amp;keyfile=" &amp; $B$5 &amp; "&amp;network=" &amp; LOWER($B$8) &amp; "&amp;repository=" &amp; $B$18</f>
        <v>owner=thomas&amp;filename_for_metadata=InCasa_COR22D86&amp;offchaindata_platform=MongoDB&amp;keyfile=Paul&amp;network=jsonfiles&amp;repository=test</v>
      </c>
      <c r="U249" s="1" t="str">
        <f t="shared" si="7"/>
        <v>{"name":"In Casa #86",_x000D_
"symbol":"COR22D86",_x000D_
"description":"In Casa, 1 an - Pass NFT 1 jour pour 1 personne, valable pour 1 édition Calvi On The Rocks de votre choix.",_x000D_
"seller_fee_basis_points":1000,_x000D_
"image":"https://bafybeih5nog6yobsul5poc5m6qw6y4in63asdpt2l7a67aqhwt2xyra3oi.ipfs.nftstorage.link?image_86.png",_x000D_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49" s="1" t="str">
        <f>formatRow(Tokens!C$2:I$2,Tokens!C249:I249)</f>
        <v>"name":"In Casa #86",_x000D_
"symbol":"COR22D86",_x000D_
"description":"In Casa, 1 an - Pass NFT 1 jour pour 1 personne, valable pour 1 édition Calvi On The Rocks de votre choix.",_x000D_
"seller_fee_basis_points":1000,_x000D_
"image":"https://bafybeih5nog6yobsul5poc5m6qw6y4in63asdpt2l7a67aqhwt2xyra3oi.ipfs.nftstorage.link?image_86.png",_x000D_
"Issuer":"NfluenT for Calvi On The rocks",_x000D_
"external_url":""</v>
      </c>
      <c r="W249" s="1" t="str">
        <f>formatRow(Tokens!J$2:AV$2,Tokens!J249:AV249,2,"attributes")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49" s="1" t="str">
        <f>formatRow(Tokens!AX$2:BC$2,Tokens!AX249:BC249,2,"creators")</f>
        <v>"creators":[{"address":"paul",_x000D_
"share":10},{"address":"sophie",_x000D_
"share":90}]</v>
      </c>
      <c r="Y249" s="1" t="str">
        <f>formatRow(Tokens!BD$2:BI$2,Tokens!BD249:BI249,2,"files")</f>
        <v>"files":[]</v>
      </c>
      <c r="Z249" s="1"/>
      <c r="AA249" s="1"/>
      <c r="AB249" s="1"/>
      <c r="AC249" s="1" t="str">
        <f>formatRow(Tokens!BJ$2:BK$2,Tokens!BJ249:BK249,0,"collection")</f>
        <v>"collection":{"name":"In Casa",_x000D_
"family":"Calvi On The Rocks"}</v>
      </c>
    </row>
    <row r="250" spans="5:29" ht="14.25" customHeight="1" x14ac:dyDescent="0.25">
      <c r="E250" s="17" t="str">
        <f>IF(Tokens!C250="","",Tokens!C250)</f>
        <v>In Casa #87</v>
      </c>
      <c r="F250"/>
      <c r="G250"/>
      <c r="H250"/>
      <c r="I250"/>
      <c r="J250"/>
      <c r="M250"/>
      <c r="N250"/>
      <c r="O250" s="15" t="str">
        <f t="shared" si="6"/>
        <v>_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/>
      </c>
      <c r="Q250" s="2"/>
      <c r="R250" s="2"/>
      <c r="S250" s="11"/>
      <c r="T250" s="1" t="str">
        <f>"owner=" &amp; Tokens!BS250 &amp; "&amp;filename_for_metadata=" &amp; Tokens!BT250 &amp; "&amp;offchaindata_platform=" &amp; $B$17 &amp; "&amp;keyfile=" &amp; $B$5 &amp; "&amp;network=" &amp; LOWER($B$8) &amp; "&amp;repository=" &amp; $B$18</f>
        <v>owner=thomas&amp;filename_for_metadata=InCasa_COR22D87&amp;offchaindata_platform=MongoDB&amp;keyfile=Paul&amp;network=jsonfiles&amp;repository=test</v>
      </c>
      <c r="U250" s="1" t="str">
        <f t="shared" si="7"/>
        <v>{"name":"In Casa #87",_x000D_
"symbol":"COR22D87",_x000D_
"description":"In Casa, 1 an - Pass NFT 1 jour pour 1 personne, valable pour 1 édition Calvi On The Rocks de votre choix.",_x000D_
"seller_fee_basis_points":1000,_x000D_
"image":"https://bafybeics7mek374va3phezzlmlng46jhs5ztwalr66sqxmmkgnyit62ini.ipfs.nftstorage.link?image_87.png",_x000D_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0" s="1" t="str">
        <f>formatRow(Tokens!C$2:I$2,Tokens!C250:I250)</f>
        <v>"name":"In Casa #87",_x000D_
"symbol":"COR22D87",_x000D_
"description":"In Casa, 1 an - Pass NFT 1 jour pour 1 personne, valable pour 1 édition Calvi On The Rocks de votre choix.",_x000D_
"seller_fee_basis_points":1000,_x000D_
"image":"https://bafybeics7mek374va3phezzlmlng46jhs5ztwalr66sqxmmkgnyit62ini.ipfs.nftstorage.link?image_87.png",_x000D_
"Issuer":"NfluenT for Calvi On The rocks",_x000D_
"external_url":""</v>
      </c>
      <c r="W250" s="1" t="str">
        <f>formatRow(Tokens!J$2:AV$2,Tokens!J250:AV250,2,"attributes")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0" s="1" t="str">
        <f>formatRow(Tokens!AX$2:BC$2,Tokens!AX250:BC250,2,"creators")</f>
        <v>"creators":[{"address":"paul",_x000D_
"share":10},{"address":"sophie",_x000D_
"share":90}]</v>
      </c>
      <c r="Y250" s="1" t="str">
        <f>formatRow(Tokens!BD$2:BI$2,Tokens!BD250:BI250,2,"files")</f>
        <v>"files":[]</v>
      </c>
      <c r="Z250" s="1"/>
      <c r="AA250" s="1"/>
      <c r="AB250" s="1"/>
      <c r="AC250" s="1" t="str">
        <f>formatRow(Tokens!BJ$2:BK$2,Tokens!BJ250:BK250,0,"collection")</f>
        <v>"collection":{"name":"In Casa",_x000D_
"family":"Calvi On The Rocks"}</v>
      </c>
    </row>
    <row r="251" spans="5:29" ht="14.25" customHeight="1" x14ac:dyDescent="0.25">
      <c r="E251" s="17" t="str">
        <f>IF(Tokens!C251="","",Tokens!C251)</f>
        <v>In Casa #88</v>
      </c>
      <c r="F251"/>
      <c r="G251"/>
      <c r="H251"/>
      <c r="I251"/>
      <c r="J251"/>
      <c r="M251"/>
      <c r="N251"/>
      <c r="O251" s="15" t="str">
        <f t="shared" si="6"/>
        <v>_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/>
      </c>
      <c r="Q251" s="2"/>
      <c r="R251" s="2"/>
      <c r="S251" s="11"/>
      <c r="T251" s="1" t="str">
        <f>"owner=" &amp; Tokens!BS251 &amp; "&amp;filename_for_metadata=" &amp; Tokens!BT251 &amp; "&amp;offchaindata_platform=" &amp; $B$17 &amp; "&amp;keyfile=" &amp; $B$5 &amp; "&amp;network=" &amp; LOWER($B$8) &amp; "&amp;repository=" &amp; $B$18</f>
        <v>owner=thomas&amp;filename_for_metadata=InCasa_COR22D88&amp;offchaindata_platform=MongoDB&amp;keyfile=Paul&amp;network=jsonfiles&amp;repository=test</v>
      </c>
      <c r="U251" s="1" t="str">
        <f t="shared" si="7"/>
        <v>{"name":"In Casa #88",_x000D_
"symbol":"COR22D88",_x000D_
"description":"In Casa, 1 an - Pass NFT 1 jour pour 1 personne, valable pour 1 édition Calvi On The Rocks de votre choix.",_x000D_
"seller_fee_basis_points":1000,_x000D_
"image":"https://bafybeidbbrpjvnvqxyiekdivbin62ibhywfzvpwwh66vvky7qmbepov2tq.ipfs.nftstorage.link?image_88.png",_x000D_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1" s="1" t="str">
        <f>formatRow(Tokens!C$2:I$2,Tokens!C251:I251)</f>
        <v>"name":"In Casa #88",_x000D_
"symbol":"COR22D88",_x000D_
"description":"In Casa, 1 an - Pass NFT 1 jour pour 1 personne, valable pour 1 édition Calvi On The Rocks de votre choix.",_x000D_
"seller_fee_basis_points":1000,_x000D_
"image":"https://bafybeidbbrpjvnvqxyiekdivbin62ibhywfzvpwwh66vvky7qmbepov2tq.ipfs.nftstorage.link?image_88.png",_x000D_
"Issuer":"NfluenT for Calvi On The rocks",_x000D_
"external_url":""</v>
      </c>
      <c r="W251" s="1" t="str">
        <f>formatRow(Tokens!J$2:AV$2,Tokens!J251:AV251,2,"attributes")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1" s="1" t="str">
        <f>formatRow(Tokens!AX$2:BC$2,Tokens!AX251:BC251,2,"creators")</f>
        <v>"creators":[{"address":"paul",_x000D_
"share":10},{"address":"sophie",_x000D_
"share":90}]</v>
      </c>
      <c r="Y251" s="1" t="str">
        <f>formatRow(Tokens!BD$2:BI$2,Tokens!BD251:BI251,2,"files")</f>
        <v>"files":[]</v>
      </c>
      <c r="Z251" s="1"/>
      <c r="AA251" s="1"/>
      <c r="AB251" s="1"/>
      <c r="AC251" s="1" t="str">
        <f>formatRow(Tokens!BJ$2:BK$2,Tokens!BJ251:BK251,0,"collection")</f>
        <v>"collection":{"name":"In Casa",_x000D_
"family":"Calvi On The Rocks"}</v>
      </c>
    </row>
    <row r="252" spans="5:29" ht="14.25" customHeight="1" x14ac:dyDescent="0.25">
      <c r="E252" s="17" t="str">
        <f>IF(Tokens!C252="","",Tokens!C252)</f>
        <v>In Casa #89</v>
      </c>
      <c r="F252"/>
      <c r="G252"/>
      <c r="H252"/>
      <c r="I252"/>
      <c r="J252"/>
      <c r="M252"/>
      <c r="N252"/>
      <c r="O252" s="15" t="str">
        <f t="shared" si="6"/>
        <v>_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/>
      </c>
      <c r="Q252" s="2"/>
      <c r="R252" s="2"/>
      <c r="S252" s="11"/>
      <c r="T252" s="1" t="str">
        <f>"owner=" &amp; Tokens!BS252 &amp; "&amp;filename_for_metadata=" &amp; Tokens!BT252 &amp; "&amp;offchaindata_platform=" &amp; $B$17 &amp; "&amp;keyfile=" &amp; $B$5 &amp; "&amp;network=" &amp; LOWER($B$8) &amp; "&amp;repository=" &amp; $B$18</f>
        <v>owner=thomas&amp;filename_for_metadata=InCasa_COR22D89&amp;offchaindata_platform=MongoDB&amp;keyfile=Paul&amp;network=jsonfiles&amp;repository=test</v>
      </c>
      <c r="U252" s="1" t="str">
        <f t="shared" si="7"/>
        <v>{"name":"In Casa #89",_x000D_
"symbol":"COR22D89",_x000D_
"description":"In Casa, 1 an - Pass NFT 1 jour pour 1 personne, valable pour 1 édition Calvi On The Rocks de votre choix.",_x000D_
"seller_fee_basis_points":1000,_x000D_
"image":"https://bafybeiahqzwtgb2okltotmi3jmjkk4b3axiwduexzufe73pjvyoycevhoy.ipfs.nftstorage.link?image_89.png",_x000D_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2" s="1" t="str">
        <f>formatRow(Tokens!C$2:I$2,Tokens!C252:I252)</f>
        <v>"name":"In Casa #89",_x000D_
"symbol":"COR22D89",_x000D_
"description":"In Casa, 1 an - Pass NFT 1 jour pour 1 personne, valable pour 1 édition Calvi On The Rocks de votre choix.",_x000D_
"seller_fee_basis_points":1000,_x000D_
"image":"https://bafybeiahqzwtgb2okltotmi3jmjkk4b3axiwduexzufe73pjvyoycevhoy.ipfs.nftstorage.link?image_89.png",_x000D_
"Issuer":"NfluenT for Calvi On The rocks",_x000D_
"external_url":""</v>
      </c>
      <c r="W252" s="1" t="str">
        <f>formatRow(Tokens!J$2:AV$2,Tokens!J252:AV252,2,"attributes")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2" s="1" t="str">
        <f>formatRow(Tokens!AX$2:BC$2,Tokens!AX252:BC252,2,"creators")</f>
        <v>"creators":[{"address":"paul",_x000D_
"share":10},{"address":"sophie",_x000D_
"share":90}]</v>
      </c>
      <c r="Y252" s="1" t="str">
        <f>formatRow(Tokens!BD$2:BI$2,Tokens!BD252:BI252,2,"files")</f>
        <v>"files":[]</v>
      </c>
      <c r="Z252" s="1"/>
      <c r="AA252" s="1"/>
      <c r="AB252" s="1"/>
      <c r="AC252" s="1" t="str">
        <f>formatRow(Tokens!BJ$2:BK$2,Tokens!BJ252:BK252,0,"collection")</f>
        <v>"collection":{"name":"In Casa",_x000D_
"family":"Calvi On The Rocks"}</v>
      </c>
    </row>
    <row r="253" spans="5:29" ht="14.25" customHeight="1" x14ac:dyDescent="0.25">
      <c r="E253" s="17" t="str">
        <f>IF(Tokens!C253="","",Tokens!C253)</f>
        <v>In Casa #90</v>
      </c>
      <c r="F253"/>
      <c r="G253"/>
      <c r="H253"/>
      <c r="I253"/>
      <c r="J253"/>
      <c r="M253"/>
      <c r="N253"/>
      <c r="O253" s="15" t="str">
        <f t="shared" si="6"/>
        <v>_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/>
      </c>
      <c r="Q253" s="2"/>
      <c r="R253" s="2"/>
      <c r="S253" s="11"/>
      <c r="T253" s="1" t="str">
        <f>"owner=" &amp; Tokens!BS253 &amp; "&amp;filename_for_metadata=" &amp; Tokens!BT253 &amp; "&amp;offchaindata_platform=" &amp; $B$17 &amp; "&amp;keyfile=" &amp; $B$5 &amp; "&amp;network=" &amp; LOWER($B$8) &amp; "&amp;repository=" &amp; $B$18</f>
        <v>owner=thomas&amp;filename_for_metadata=InCasa_COR22D90&amp;offchaindata_platform=MongoDB&amp;keyfile=Paul&amp;network=jsonfiles&amp;repository=test</v>
      </c>
      <c r="U253" s="1" t="str">
        <f t="shared" si="7"/>
        <v>{"name":"In Casa #90",_x000D_
"symbol":"COR22D90",_x000D_
"description":"In Casa, 1 an - Pass NFT 1 jour pour 1 personne, valable pour 1 édition Calvi On The Rocks de votre choix.",_x000D_
"seller_fee_basis_points":1000,_x000D_
"image":"https://bafybeibaslkt7x4pfbxs26dsa4hvdu2l3i3ez3z3fgw5mb62xezghin5za.ipfs.nftstorage.link?image_90.png",_x000D_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3" s="1" t="str">
        <f>formatRow(Tokens!C$2:I$2,Tokens!C253:I253)</f>
        <v>"name":"In Casa #90",_x000D_
"symbol":"COR22D90",_x000D_
"description":"In Casa, 1 an - Pass NFT 1 jour pour 1 personne, valable pour 1 édition Calvi On The Rocks de votre choix.",_x000D_
"seller_fee_basis_points":1000,_x000D_
"image":"https://bafybeibaslkt7x4pfbxs26dsa4hvdu2l3i3ez3z3fgw5mb62xezghin5za.ipfs.nftstorage.link?image_90.png",_x000D_
"Issuer":"NfluenT for Calvi On The rocks",_x000D_
"external_url":""</v>
      </c>
      <c r="W253" s="1" t="str">
        <f>formatRow(Tokens!J$2:AV$2,Tokens!J253:AV253,2,"attributes")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3" s="1" t="str">
        <f>formatRow(Tokens!AX$2:BC$2,Tokens!AX253:BC253,2,"creators")</f>
        <v>"creators":[{"address":"paul",_x000D_
"share":10},{"address":"sophie",_x000D_
"share":90}]</v>
      </c>
      <c r="Y253" s="1" t="str">
        <f>formatRow(Tokens!BD$2:BI$2,Tokens!BD253:BI253,2,"files")</f>
        <v>"files":[]</v>
      </c>
      <c r="Z253" s="1"/>
      <c r="AA253" s="1"/>
      <c r="AB253" s="1"/>
      <c r="AC253" s="1" t="str">
        <f>formatRow(Tokens!BJ$2:BK$2,Tokens!BJ253:BK253,0,"collection")</f>
        <v>"collection":{"name":"In Casa",_x000D_
"family":"Calvi On The Rocks"}</v>
      </c>
    </row>
    <row r="254" spans="5:29" ht="14.25" customHeight="1" x14ac:dyDescent="0.25">
      <c r="E254" s="17" t="str">
        <f>IF(Tokens!C254="","",Tokens!C254)</f>
        <v>In Casa #91</v>
      </c>
      <c r="F254"/>
      <c r="G254"/>
      <c r="H254"/>
      <c r="I254"/>
      <c r="J254"/>
      <c r="M254"/>
      <c r="N254"/>
      <c r="O254" s="15" t="str">
        <f t="shared" si="6"/>
        <v>_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/>
      </c>
      <c r="Q254" s="2"/>
      <c r="R254" s="2"/>
      <c r="S254" s="11"/>
      <c r="T254" s="1" t="str">
        <f>"owner=" &amp; Tokens!BS254 &amp; "&amp;filename_for_metadata=" &amp; Tokens!BT254 &amp; "&amp;offchaindata_platform=" &amp; $B$17 &amp; "&amp;keyfile=" &amp; $B$5 &amp; "&amp;network=" &amp; LOWER($B$8) &amp; "&amp;repository=" &amp; $B$18</f>
        <v>owner=thomas&amp;filename_for_metadata=InCasa_COR22D91&amp;offchaindata_platform=MongoDB&amp;keyfile=Paul&amp;network=jsonfiles&amp;repository=test</v>
      </c>
      <c r="U254" s="1" t="str">
        <f t="shared" si="7"/>
        <v>{"name":"In Casa #91",_x000D_
"symbol":"COR22D91",_x000D_
"description":"In Casa, 1 an - Pass NFT 1 jour pour 1 personne, valable pour 1 édition Calvi On The Rocks de votre choix.",_x000D_
"seller_fee_basis_points":1000,_x000D_
"image":"https://bafybeihgitfj2pbednpgkn4lbie4rjsxcon6je6f6vcbbfoakbkteopyki.ipfs.nftstorage.link?image_91.png",_x000D_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4" s="1" t="str">
        <f>formatRow(Tokens!C$2:I$2,Tokens!C254:I254)</f>
        <v>"name":"In Casa #91",_x000D_
"symbol":"COR22D91",_x000D_
"description":"In Casa, 1 an - Pass NFT 1 jour pour 1 personne, valable pour 1 édition Calvi On The Rocks de votre choix.",_x000D_
"seller_fee_basis_points":1000,_x000D_
"image":"https://bafybeihgitfj2pbednpgkn4lbie4rjsxcon6je6f6vcbbfoakbkteopyki.ipfs.nftstorage.link?image_91.png",_x000D_
"Issuer":"NfluenT for Calvi On The rocks",_x000D_
"external_url":""</v>
      </c>
      <c r="W254" s="1" t="str">
        <f>formatRow(Tokens!J$2:AV$2,Tokens!J254:AV254,2,"attributes")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4" s="1" t="str">
        <f>formatRow(Tokens!AX$2:BC$2,Tokens!AX254:BC254,2,"creators")</f>
        <v>"creators":[{"address":"paul",_x000D_
"share":10},{"address":"sophie",_x000D_
"share":90}]</v>
      </c>
      <c r="Y254" s="1" t="str">
        <f>formatRow(Tokens!BD$2:BI$2,Tokens!BD254:BI254,2,"files")</f>
        <v>"files":[]</v>
      </c>
      <c r="Z254" s="1"/>
      <c r="AA254" s="1"/>
      <c r="AB254" s="1"/>
      <c r="AC254" s="1" t="str">
        <f>formatRow(Tokens!BJ$2:BK$2,Tokens!BJ254:BK254,0,"collection")</f>
        <v>"collection":{"name":"In Casa",_x000D_
"family":"Calvi On The Rocks"}</v>
      </c>
    </row>
    <row r="255" spans="5:29" ht="14.25" customHeight="1" x14ac:dyDescent="0.25">
      <c r="E255" s="17" t="str">
        <f>IF(Tokens!C255="","",Tokens!C255)</f>
        <v>In Casa #92</v>
      </c>
      <c r="F255"/>
      <c r="G255"/>
      <c r="H255"/>
      <c r="I255"/>
      <c r="J255"/>
      <c r="M255"/>
      <c r="N255"/>
      <c r="O255" s="15" t="str">
        <f t="shared" si="6"/>
        <v>_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/>
      </c>
      <c r="Q255" s="2"/>
      <c r="R255" s="2"/>
      <c r="S255" s="11"/>
      <c r="T255" s="1" t="str">
        <f>"owner=" &amp; Tokens!BS255 &amp; "&amp;filename_for_metadata=" &amp; Tokens!BT255 &amp; "&amp;offchaindata_platform=" &amp; $B$17 &amp; "&amp;keyfile=" &amp; $B$5 &amp; "&amp;network=" &amp; LOWER($B$8) &amp; "&amp;repository=" &amp; $B$18</f>
        <v>owner=thomas&amp;filename_for_metadata=InCasa_COR22D92&amp;offchaindata_platform=MongoDB&amp;keyfile=Paul&amp;network=jsonfiles&amp;repository=test</v>
      </c>
      <c r="U255" s="1" t="str">
        <f t="shared" si="7"/>
        <v>{"name":"In Casa #92",_x000D_
"symbol":"COR22D92",_x000D_
"description":"In Casa, 1 an - Pass NFT 1 jour pour 1 personne, valable pour 1 édition Calvi On The Rocks de votre choix.",_x000D_
"seller_fee_basis_points":1000,_x000D_
"image":"https://bafybeib3yk7k4nmmqagnpltmikqtuusi2qd3urgn2tgap4a3tobk7fpaoa.ipfs.nftstorage.link?image_92.png",_x000D_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5" s="1" t="str">
        <f>formatRow(Tokens!C$2:I$2,Tokens!C255:I255)</f>
        <v>"name":"In Casa #92",_x000D_
"symbol":"COR22D92",_x000D_
"description":"In Casa, 1 an - Pass NFT 1 jour pour 1 personne, valable pour 1 édition Calvi On The Rocks de votre choix.",_x000D_
"seller_fee_basis_points":1000,_x000D_
"image":"https://bafybeib3yk7k4nmmqagnpltmikqtuusi2qd3urgn2tgap4a3tobk7fpaoa.ipfs.nftstorage.link?image_92.png",_x000D_
"Issuer":"NfluenT for Calvi On The rocks",_x000D_
"external_url":""</v>
      </c>
      <c r="W255" s="1" t="str">
        <f>formatRow(Tokens!J$2:AV$2,Tokens!J255:AV255,2,"attributes")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5" s="1" t="str">
        <f>formatRow(Tokens!AX$2:BC$2,Tokens!AX255:BC255,2,"creators")</f>
        <v>"creators":[{"address":"paul",_x000D_
"share":10},{"address":"sophie",_x000D_
"share":90}]</v>
      </c>
      <c r="Y255" s="1" t="str">
        <f>formatRow(Tokens!BD$2:BI$2,Tokens!BD255:BI255,2,"files")</f>
        <v>"files":[]</v>
      </c>
      <c r="Z255" s="1"/>
      <c r="AA255" s="1"/>
      <c r="AB255" s="1"/>
      <c r="AC255" s="1" t="str">
        <f>formatRow(Tokens!BJ$2:BK$2,Tokens!BJ255:BK255,0,"collection")</f>
        <v>"collection":{"name":"In Casa",_x000D_
"family":"Calvi On The Rocks"}</v>
      </c>
    </row>
    <row r="256" spans="5:29" ht="14.25" customHeight="1" x14ac:dyDescent="0.25">
      <c r="E256" s="17" t="str">
        <f>IF(Tokens!C256="","",Tokens!C256)</f>
        <v>In Casa #93</v>
      </c>
      <c r="F256"/>
      <c r="G256"/>
      <c r="H256"/>
      <c r="I256"/>
      <c r="J256"/>
      <c r="M256"/>
      <c r="N256"/>
      <c r="O256" s="15" t="str">
        <f t="shared" si="6"/>
        <v>_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/>
      </c>
      <c r="Q256" s="2"/>
      <c r="R256" s="2"/>
      <c r="S256" s="11"/>
      <c r="T256" s="1" t="str">
        <f>"owner=" &amp; Tokens!BS256 &amp; "&amp;filename_for_metadata=" &amp; Tokens!BT256 &amp; "&amp;offchaindata_platform=" &amp; $B$17 &amp; "&amp;keyfile=" &amp; $B$5 &amp; "&amp;network=" &amp; LOWER($B$8) &amp; "&amp;repository=" &amp; $B$18</f>
        <v>owner=thomas&amp;filename_for_metadata=InCasa_COR22D93&amp;offchaindata_platform=MongoDB&amp;keyfile=Paul&amp;network=jsonfiles&amp;repository=test</v>
      </c>
      <c r="U256" s="1" t="str">
        <f t="shared" si="7"/>
        <v>{"name":"In Casa #93",_x000D_
"symbol":"COR22D93",_x000D_
"description":"In Casa, 1 an - Pass NFT 1 jour pour 1 personne, valable pour 1 édition Calvi On The Rocks de votre choix.",_x000D_
"seller_fee_basis_points":1000,_x000D_
"image":"https://bafybeidrphcekjbzwhnmjronjgbbsfwirtqb5eafoc3kfbeuilzat6m6ve.ipfs.nftstorage.link?image_93.png",_x000D_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6" s="1" t="str">
        <f>formatRow(Tokens!C$2:I$2,Tokens!C256:I256)</f>
        <v>"name":"In Casa #93",_x000D_
"symbol":"COR22D93",_x000D_
"description":"In Casa, 1 an - Pass NFT 1 jour pour 1 personne, valable pour 1 édition Calvi On The Rocks de votre choix.",_x000D_
"seller_fee_basis_points":1000,_x000D_
"image":"https://bafybeidrphcekjbzwhnmjronjgbbsfwirtqb5eafoc3kfbeuilzat6m6ve.ipfs.nftstorage.link?image_93.png",_x000D_
"Issuer":"NfluenT for Calvi On The rocks",_x000D_
"external_url":""</v>
      </c>
      <c r="W256" s="1" t="str">
        <f>formatRow(Tokens!J$2:AV$2,Tokens!J256:AV256,2,"attributes")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6" s="1" t="str">
        <f>formatRow(Tokens!AX$2:BC$2,Tokens!AX256:BC256,2,"creators")</f>
        <v>"creators":[{"address":"paul",_x000D_
"share":10},{"address":"sophie",_x000D_
"share":90}]</v>
      </c>
      <c r="Y256" s="1" t="str">
        <f>formatRow(Tokens!BD$2:BI$2,Tokens!BD256:BI256,2,"files")</f>
        <v>"files":[]</v>
      </c>
      <c r="Z256" s="1"/>
      <c r="AA256" s="1"/>
      <c r="AB256" s="1"/>
      <c r="AC256" s="1" t="str">
        <f>formatRow(Tokens!BJ$2:BK$2,Tokens!BJ256:BK256,0,"collection")</f>
        <v>"collection":{"name":"In Casa",_x000D_
"family":"Calvi On The Rocks"}</v>
      </c>
    </row>
    <row r="257" spans="5:29" ht="14.25" customHeight="1" x14ac:dyDescent="0.25">
      <c r="E257" s="17" t="str">
        <f>IF(Tokens!C257="","",Tokens!C257)</f>
        <v>In Casa #94</v>
      </c>
      <c r="F257"/>
      <c r="G257"/>
      <c r="H257"/>
      <c r="I257"/>
      <c r="J257"/>
      <c r="M257"/>
      <c r="N257"/>
      <c r="O257" s="15" t="str">
        <f t="shared" si="6"/>
        <v>_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/>
      </c>
      <c r="Q257" s="2"/>
      <c r="R257" s="2"/>
      <c r="S257" s="11"/>
      <c r="T257" s="1" t="str">
        <f>"owner=" &amp; Tokens!BS257 &amp; "&amp;filename_for_metadata=" &amp; Tokens!BT257 &amp; "&amp;offchaindata_platform=" &amp; $B$17 &amp; "&amp;keyfile=" &amp; $B$5 &amp; "&amp;network=" &amp; LOWER($B$8) &amp; "&amp;repository=" &amp; $B$18</f>
        <v>owner=thomas&amp;filename_for_metadata=InCasa_COR22D94&amp;offchaindata_platform=MongoDB&amp;keyfile=Paul&amp;network=jsonfiles&amp;repository=test</v>
      </c>
      <c r="U257" s="1" t="str">
        <f t="shared" si="7"/>
        <v>{"name":"In Casa #94",_x000D_
"symbol":"COR22D94",_x000D_
"description":"In Casa, 1 an - Pass NFT 1 jour pour 1 personne, valable pour 1 édition Calvi On The Rocks de votre choix.",_x000D_
"seller_fee_basis_points":1000,_x000D_
"image":"https://bafybeie6ba24c6vzctb37ouhx4y7ul27moxdxis3gw67it6pd7uhgtnfw4.ipfs.nftstorage.link?image_94.png",_x000D_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7" s="1" t="str">
        <f>formatRow(Tokens!C$2:I$2,Tokens!C257:I257)</f>
        <v>"name":"In Casa #94",_x000D_
"symbol":"COR22D94",_x000D_
"description":"In Casa, 1 an - Pass NFT 1 jour pour 1 personne, valable pour 1 édition Calvi On The Rocks de votre choix.",_x000D_
"seller_fee_basis_points":1000,_x000D_
"image":"https://bafybeie6ba24c6vzctb37ouhx4y7ul27moxdxis3gw67it6pd7uhgtnfw4.ipfs.nftstorage.link?image_94.png",_x000D_
"Issuer":"NfluenT for Calvi On The rocks",_x000D_
"external_url":""</v>
      </c>
      <c r="W257" s="1" t="str">
        <f>formatRow(Tokens!J$2:AV$2,Tokens!J257:AV257,2,"attributes")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7" s="1" t="str">
        <f>formatRow(Tokens!AX$2:BC$2,Tokens!AX257:BC257,2,"creators")</f>
        <v>"creators":[{"address":"paul",_x000D_
"share":10},{"address":"sophie",_x000D_
"share":90}]</v>
      </c>
      <c r="Y257" s="1" t="str">
        <f>formatRow(Tokens!BD$2:BI$2,Tokens!BD257:BI257,2,"files")</f>
        <v>"files":[]</v>
      </c>
      <c r="Z257" s="1"/>
      <c r="AA257" s="1"/>
      <c r="AB257" s="1"/>
      <c r="AC257" s="1" t="str">
        <f>formatRow(Tokens!BJ$2:BK$2,Tokens!BJ257:BK257,0,"collection")</f>
        <v>"collection":{"name":"In Casa",_x000D_
"family":"Calvi On The Rocks"}</v>
      </c>
    </row>
    <row r="258" spans="5:29" ht="14.25" customHeight="1" x14ac:dyDescent="0.25">
      <c r="E258" s="17" t="str">
        <f>IF(Tokens!C258="","",Tokens!C258)</f>
        <v>In Casa #95</v>
      </c>
      <c r="F258"/>
      <c r="G258"/>
      <c r="H258"/>
      <c r="I258"/>
      <c r="J258"/>
      <c r="M258"/>
      <c r="N258"/>
      <c r="O258" s="15" t="str">
        <f t="shared" si="6"/>
        <v>_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/>
      </c>
      <c r="Q258" s="2"/>
      <c r="R258" s="2"/>
      <c r="S258" s="11"/>
      <c r="T258" s="1" t="str">
        <f>"owner=" &amp; Tokens!BS258 &amp; "&amp;filename_for_metadata=" &amp; Tokens!BT258 &amp; "&amp;offchaindata_platform=" &amp; $B$17 &amp; "&amp;keyfile=" &amp; $B$5 &amp; "&amp;network=" &amp; LOWER($B$8) &amp; "&amp;repository=" &amp; $B$18</f>
        <v>owner=thomas&amp;filename_for_metadata=InCasa_COR22D95&amp;offchaindata_platform=MongoDB&amp;keyfile=Paul&amp;network=jsonfiles&amp;repository=test</v>
      </c>
      <c r="U258" s="1" t="str">
        <f t="shared" si="7"/>
        <v>{"name":"In Casa #95",_x000D_
"symbol":"COR22D95",_x000D_
"description":"In Casa, 1 an - Pass NFT 1 jour pour 1 personne, valable pour 1 édition Calvi On The Rocks de votre choix.",_x000D_
"seller_fee_basis_points":1000,_x000D_
"image":"https://bafybeicieu5ys3qn36pbqfirxbvzinnho5fhofexdfuyhnsjroj7w45xka.ipfs.nftstorage.link?image_95.png",_x000D_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8" s="1" t="str">
        <f>formatRow(Tokens!C$2:I$2,Tokens!C258:I258)</f>
        <v>"name":"In Casa #95",_x000D_
"symbol":"COR22D95",_x000D_
"description":"In Casa, 1 an - Pass NFT 1 jour pour 1 personne, valable pour 1 édition Calvi On The Rocks de votre choix.",_x000D_
"seller_fee_basis_points":1000,_x000D_
"image":"https://bafybeicieu5ys3qn36pbqfirxbvzinnho5fhofexdfuyhnsjroj7w45xka.ipfs.nftstorage.link?image_95.png",_x000D_
"Issuer":"NfluenT for Calvi On The rocks",_x000D_
"external_url":""</v>
      </c>
      <c r="W258" s="1" t="str">
        <f>formatRow(Tokens!J$2:AV$2,Tokens!J258:AV258,2,"attributes")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8" s="1" t="str">
        <f>formatRow(Tokens!AX$2:BC$2,Tokens!AX258:BC258,2,"creators")</f>
        <v>"creators":[{"address":"paul",_x000D_
"share":10},{"address":"sophie",_x000D_
"share":90}]</v>
      </c>
      <c r="Y258" s="1" t="str">
        <f>formatRow(Tokens!BD$2:BI$2,Tokens!BD258:BI258,2,"files")</f>
        <v>"files":[]</v>
      </c>
      <c r="Z258" s="1"/>
      <c r="AA258" s="1"/>
      <c r="AB258" s="1"/>
      <c r="AC258" s="1" t="str">
        <f>formatRow(Tokens!BJ$2:BK$2,Tokens!BJ258:BK258,0,"collection")</f>
        <v>"collection":{"name":"In Casa",_x000D_
"family":"Calvi On The Rocks"}</v>
      </c>
    </row>
    <row r="259" spans="5:29" ht="14.25" customHeight="1" x14ac:dyDescent="0.25">
      <c r="E259" s="17" t="str">
        <f>IF(Tokens!C259="","",Tokens!C259)</f>
        <v>In Casa #96</v>
      </c>
      <c r="F259"/>
      <c r="G259"/>
      <c r="H259"/>
      <c r="I259"/>
      <c r="J259"/>
      <c r="M259"/>
      <c r="N259"/>
      <c r="O259" s="15" t="str">
        <f t="shared" si="6"/>
        <v>_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/>
      </c>
      <c r="Q259" s="2"/>
      <c r="R259" s="2"/>
      <c r="S259" s="11"/>
      <c r="T259" s="1" t="str">
        <f>"owner=" &amp; Tokens!BS259 &amp; "&amp;filename_for_metadata=" &amp; Tokens!BT259 &amp; "&amp;offchaindata_platform=" &amp; $B$17 &amp; "&amp;keyfile=" &amp; $B$5 &amp; "&amp;network=" &amp; LOWER($B$8) &amp; "&amp;repository=" &amp; $B$18</f>
        <v>owner=thomas&amp;filename_for_metadata=InCasa_COR22D96&amp;offchaindata_platform=MongoDB&amp;keyfile=Paul&amp;network=jsonfiles&amp;repository=test</v>
      </c>
      <c r="U259" s="1" t="str">
        <f t="shared" si="7"/>
        <v>{"name":"In Casa #96",_x000D_
"symbol":"COR22D96",_x000D_
"description":"In Casa, 1 an - Pass NFT 1 jour pour 1 personne, valable pour 1 édition Calvi On The Rocks de votre choix.",_x000D_
"seller_fee_basis_points":1000,_x000D_
"image":"https://bafybeig2dfdhb44cf7irckvjmik2y2a2f3ucw7mcwc4zfpbibt437magiy.ipfs.nftstorage.link?image_96.png",_x000D_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59" s="1" t="str">
        <f>formatRow(Tokens!C$2:I$2,Tokens!C259:I259)</f>
        <v>"name":"In Casa #96",_x000D_
"symbol":"COR22D96",_x000D_
"description":"In Casa, 1 an - Pass NFT 1 jour pour 1 personne, valable pour 1 édition Calvi On The Rocks de votre choix.",_x000D_
"seller_fee_basis_points":1000,_x000D_
"image":"https://bafybeig2dfdhb44cf7irckvjmik2y2a2f3ucw7mcwc4zfpbibt437magiy.ipfs.nftstorage.link?image_96.png",_x000D_
"Issuer":"NfluenT for Calvi On The rocks",_x000D_
"external_url":""</v>
      </c>
      <c r="W259" s="1" t="str">
        <f>formatRow(Tokens!J$2:AV$2,Tokens!J259:AV259,2,"attributes")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59" s="1" t="str">
        <f>formatRow(Tokens!AX$2:BC$2,Tokens!AX259:BC259,2,"creators")</f>
        <v>"creators":[{"address":"paul",_x000D_
"share":10},{"address":"sophie",_x000D_
"share":90}]</v>
      </c>
      <c r="Y259" s="1" t="str">
        <f>formatRow(Tokens!BD$2:BI$2,Tokens!BD259:BI259,2,"files")</f>
        <v>"files":[]</v>
      </c>
      <c r="Z259" s="1"/>
      <c r="AA259" s="1"/>
      <c r="AB259" s="1"/>
      <c r="AC259" s="1" t="str">
        <f>formatRow(Tokens!BJ$2:BK$2,Tokens!BJ259:BK259,0,"collection")</f>
        <v>"collection":{"name":"In Casa",_x000D_
"family":"Calvi On The Rocks"}</v>
      </c>
    </row>
    <row r="260" spans="5:29" ht="14.25" customHeight="1" x14ac:dyDescent="0.25">
      <c r="E260" s="17" t="str">
        <f>IF(Tokens!C260="","",Tokens!C260)</f>
        <v>In Casa #97</v>
      </c>
      <c r="F260"/>
      <c r="G260"/>
      <c r="H260"/>
      <c r="I260"/>
      <c r="J260"/>
      <c r="M260"/>
      <c r="N260"/>
      <c r="O260" s="15" t="str">
        <f t="shared" ref="O260:O323" si="8">IF(AND(ISNUMBER(N259),ISNUMBER(N260)),(N260-N259)*$O$1,"_")</f>
        <v>_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/>
      </c>
      <c r="Q260" s="2"/>
      <c r="R260" s="2"/>
      <c r="S260" s="11"/>
      <c r="T260" s="1" t="str">
        <f>"owner=" &amp; Tokens!BS260 &amp; "&amp;filename_for_metadata=" &amp; Tokens!BT260 &amp; "&amp;offchaindata_platform=" &amp; $B$17 &amp; "&amp;keyfile=" &amp; $B$5 &amp; "&amp;network=" &amp; LOWER($B$8) &amp; "&amp;repository=" &amp; $B$18</f>
        <v>owner=thomas&amp;filename_for_metadata=InCasa_COR22D97&amp;offchaindata_platform=MongoDB&amp;keyfile=Paul&amp;network=jsonfiles&amp;repository=test</v>
      </c>
      <c r="U260" s="1" t="str">
        <f t="shared" si="7"/>
        <v>{"name":"In Casa #97",_x000D_
"symbol":"COR22D97",_x000D_
"description":"In Casa, 1 an - Pass NFT 1 jour pour 1 personne, valable pour 1 édition Calvi On The Rocks de votre choix.",_x000D_
"seller_fee_basis_points":1000,_x000D_
"image":"https://bafybeidlrvuybaok3od7ttzpiwmpv6qraizvrqt4m4nugbp3fiv26intm4.ipfs.nftstorage.link?image_97.png",_x000D_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0" s="1" t="str">
        <f>formatRow(Tokens!C$2:I$2,Tokens!C260:I260)</f>
        <v>"name":"In Casa #97",_x000D_
"symbol":"COR22D97",_x000D_
"description":"In Casa, 1 an - Pass NFT 1 jour pour 1 personne, valable pour 1 édition Calvi On The Rocks de votre choix.",_x000D_
"seller_fee_basis_points":1000,_x000D_
"image":"https://bafybeidlrvuybaok3od7ttzpiwmpv6qraizvrqt4m4nugbp3fiv26intm4.ipfs.nftstorage.link?image_97.png",_x000D_
"Issuer":"NfluenT for Calvi On The rocks",_x000D_
"external_url":""</v>
      </c>
      <c r="W260" s="1" t="str">
        <f>formatRow(Tokens!J$2:AV$2,Tokens!J260:AV260,2,"attributes")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0" s="1" t="str">
        <f>formatRow(Tokens!AX$2:BC$2,Tokens!AX260:BC260,2,"creators")</f>
        <v>"creators":[{"address":"paul",_x000D_
"share":10},{"address":"sophie",_x000D_
"share":90}]</v>
      </c>
      <c r="Y260" s="1" t="str">
        <f>formatRow(Tokens!BD$2:BI$2,Tokens!BD260:BI260,2,"files")</f>
        <v>"files":[]</v>
      </c>
      <c r="Z260" s="1"/>
      <c r="AA260" s="1"/>
      <c r="AB260" s="1"/>
      <c r="AC260" s="1" t="str">
        <f>formatRow(Tokens!BJ$2:BK$2,Tokens!BJ260:BK260,0,"collection")</f>
        <v>"collection":{"name":"In Casa",_x000D_
"family":"Calvi On The Rocks"}</v>
      </c>
    </row>
    <row r="261" spans="5:29" ht="14.25" customHeight="1" x14ac:dyDescent="0.25">
      <c r="E261" s="17" t="str">
        <f>IF(Tokens!C261="","",Tokens!C261)</f>
        <v>In Casa #98</v>
      </c>
      <c r="F261"/>
      <c r="G261"/>
      <c r="H261"/>
      <c r="I261"/>
      <c r="J261"/>
      <c r="M261"/>
      <c r="N261"/>
      <c r="O261" s="15" t="str">
        <f t="shared" si="8"/>
        <v>_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/>
      </c>
      <c r="Q261" s="2"/>
      <c r="R261" s="2"/>
      <c r="S261" s="11"/>
      <c r="T261" s="1" t="str">
        <f>"owner=" &amp; Tokens!BS261 &amp; "&amp;filename_for_metadata=" &amp; Tokens!BT261 &amp; "&amp;offchaindata_platform=" &amp; $B$17 &amp; "&amp;keyfile=" &amp; $B$5 &amp; "&amp;network=" &amp; LOWER($B$8) &amp; "&amp;repository=" &amp; $B$18</f>
        <v>owner=thomas&amp;filename_for_metadata=InCasa_COR22D98&amp;offchaindata_platform=MongoDB&amp;keyfile=Paul&amp;network=jsonfiles&amp;repository=test</v>
      </c>
      <c r="U261" s="1" t="str">
        <f t="shared" ref="U261:U324" si="9">"{" &amp; V261 &amp; "," &amp; W261 &amp; "," &amp; """properties"":{" &amp; X261 &amp; "," &amp; Y261 &amp; "}," &amp; AC261 &amp; "}"</f>
        <v>{"name":"In Casa #98",_x000D_
"symbol":"COR22D98",_x000D_
"description":"In Casa, 1 an - Pass NFT 1 jour pour 1 personne, valable pour 1 édition Calvi On The Rocks de votre choix.",_x000D_
"seller_fee_basis_points":1000,_x000D_
"image":"https://bafybeiaccmlitxktr65fxgpwcr27bt3xgwwc24kxk4eslkumvebekdpu2e.ipfs.nftstorage.link?image_98.png",_x000D_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1" s="1" t="str">
        <f>formatRow(Tokens!C$2:I$2,Tokens!C261:I261)</f>
        <v>"name":"In Casa #98",_x000D_
"symbol":"COR22D98",_x000D_
"description":"In Casa, 1 an - Pass NFT 1 jour pour 1 personne, valable pour 1 édition Calvi On The Rocks de votre choix.",_x000D_
"seller_fee_basis_points":1000,_x000D_
"image":"https://bafybeiaccmlitxktr65fxgpwcr27bt3xgwwc24kxk4eslkumvebekdpu2e.ipfs.nftstorage.link?image_98.png",_x000D_
"Issuer":"NfluenT for Calvi On The rocks",_x000D_
"external_url":""</v>
      </c>
      <c r="W261" s="1" t="str">
        <f>formatRow(Tokens!J$2:AV$2,Tokens!J261:AV261,2,"attributes")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1" s="1" t="str">
        <f>formatRow(Tokens!AX$2:BC$2,Tokens!AX261:BC261,2,"creators")</f>
        <v>"creators":[{"address":"paul",_x000D_
"share":10},{"address":"sophie",_x000D_
"share":90}]</v>
      </c>
      <c r="Y261" s="1" t="str">
        <f>formatRow(Tokens!BD$2:BI$2,Tokens!BD261:BI261,2,"files")</f>
        <v>"files":[]</v>
      </c>
      <c r="Z261" s="1"/>
      <c r="AA261" s="1"/>
      <c r="AB261" s="1"/>
      <c r="AC261" s="1" t="str">
        <f>formatRow(Tokens!BJ$2:BK$2,Tokens!BJ261:BK261,0,"collection")</f>
        <v>"collection":{"name":"In Casa",_x000D_
"family":"Calvi On The Rocks"}</v>
      </c>
    </row>
    <row r="262" spans="5:29" ht="14.25" customHeight="1" x14ac:dyDescent="0.25">
      <c r="E262" s="17" t="str">
        <f>IF(Tokens!C262="","",Tokens!C262)</f>
        <v>In Casa #99</v>
      </c>
      <c r="F262"/>
      <c r="G262"/>
      <c r="H262"/>
      <c r="I262"/>
      <c r="J262"/>
      <c r="M262"/>
      <c r="N262"/>
      <c r="O262" s="15" t="str">
        <f t="shared" si="8"/>
        <v>_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/>
      </c>
      <c r="Q262" s="2"/>
      <c r="R262" s="2"/>
      <c r="S262" s="11"/>
      <c r="T262" s="1" t="str">
        <f>"owner=" &amp; Tokens!BS262 &amp; "&amp;filename_for_metadata=" &amp; Tokens!BT262 &amp; "&amp;offchaindata_platform=" &amp; $B$17 &amp; "&amp;keyfile=" &amp; $B$5 &amp; "&amp;network=" &amp; LOWER($B$8) &amp; "&amp;repository=" &amp; $B$18</f>
        <v>owner=thomas&amp;filename_for_metadata=InCasa_COR22D99&amp;offchaindata_platform=MongoDB&amp;keyfile=Paul&amp;network=jsonfiles&amp;repository=test</v>
      </c>
      <c r="U262" s="1" t="str">
        <f t="shared" si="9"/>
        <v>{"name":"In Casa #99",_x000D_
"symbol":"COR22D99",_x000D_
"description":"In Casa, 1 an - Pass NFT 1 jour pour 1 personne, valable pour 1 édition Calvi On The Rocks de votre choix.",_x000D_
"seller_fee_basis_points":1000,_x000D_
"image":"https://bafybeifiidlk54poeldkls7wll343w4nzapat536xyygxxghenv7q4c5wq.ipfs.nftstorage.link?image_99.png",_x000D_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2" s="1" t="str">
        <f>formatRow(Tokens!C$2:I$2,Tokens!C262:I262)</f>
        <v>"name":"In Casa #99",_x000D_
"symbol":"COR22D99",_x000D_
"description":"In Casa, 1 an - Pass NFT 1 jour pour 1 personne, valable pour 1 édition Calvi On The Rocks de votre choix.",_x000D_
"seller_fee_basis_points":1000,_x000D_
"image":"https://bafybeifiidlk54poeldkls7wll343w4nzapat536xyygxxghenv7q4c5wq.ipfs.nftstorage.link?image_99.png",_x000D_
"Issuer":"NfluenT for Calvi On The rocks",_x000D_
"external_url":""</v>
      </c>
      <c r="W262" s="1" t="str">
        <f>formatRow(Tokens!J$2:AV$2,Tokens!J262:AV262,2,"attributes")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2" s="1" t="str">
        <f>formatRow(Tokens!AX$2:BC$2,Tokens!AX262:BC262,2,"creators")</f>
        <v>"creators":[{"address":"paul",_x000D_
"share":10},{"address":"sophie",_x000D_
"share":90}]</v>
      </c>
      <c r="Y262" s="1" t="str">
        <f>formatRow(Tokens!BD$2:BI$2,Tokens!BD262:BI262,2,"files")</f>
        <v>"files":[]</v>
      </c>
      <c r="Z262" s="1"/>
      <c r="AA262" s="1"/>
      <c r="AB262" s="1"/>
      <c r="AC262" s="1" t="str">
        <f>formatRow(Tokens!BJ$2:BK$2,Tokens!BJ262:BK262,0,"collection")</f>
        <v>"collection":{"name":"In Casa",_x000D_
"family":"Calvi On The Rocks"}</v>
      </c>
    </row>
    <row r="263" spans="5:29" ht="14.25" customHeight="1" x14ac:dyDescent="0.25">
      <c r="E263" s="17" t="str">
        <f>IF(Tokens!C263="","",Tokens!C263)</f>
        <v>In Casa #100</v>
      </c>
      <c r="F263"/>
      <c r="G263"/>
      <c r="H263"/>
      <c r="I263"/>
      <c r="J263"/>
      <c r="M263"/>
      <c r="N263"/>
      <c r="O263" s="15" t="str">
        <f t="shared" si="8"/>
        <v>_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/>
      </c>
      <c r="Q263" s="2"/>
      <c r="R263" s="2"/>
      <c r="S263" s="11"/>
      <c r="T263" s="1" t="str">
        <f>"owner=" &amp; Tokens!BS263 &amp; "&amp;filename_for_metadata=" &amp; Tokens!BT263 &amp; "&amp;offchaindata_platform=" &amp; $B$17 &amp; "&amp;keyfile=" &amp; $B$5 &amp; "&amp;network=" &amp; LOWER($B$8) &amp; "&amp;repository=" &amp; $B$18</f>
        <v>owner=thomas&amp;filename_for_metadata=InCasa_COR22D100&amp;offchaindata_platform=MongoDB&amp;keyfile=Paul&amp;network=jsonfiles&amp;repository=test</v>
      </c>
      <c r="U263" s="1" t="str">
        <f t="shared" si="9"/>
        <v>{"name":"In Casa #100",_x000D_
"symbol":"COR22D100",_x000D_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3" s="1" t="str">
        <f>formatRow(Tokens!C$2:I$2,Tokens!C263:I263)</f>
        <v>"name":"In Casa #100",_x000D_
"symbol":"COR22D100",_x000D_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3" s="1" t="str">
        <f>formatRow(Tokens!J$2:AV$2,Tokens!J263:AV263,2,"attributes")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3" s="1" t="str">
        <f>formatRow(Tokens!AX$2:BC$2,Tokens!AX263:BC263,2,"creators")</f>
        <v>"creators":[{"address":"paul",_x000D_
"share":10},{"address":"sophie",_x000D_
"share":90}]</v>
      </c>
      <c r="Y263" s="1" t="str">
        <f>formatRow(Tokens!BD$2:BI$2,Tokens!BD263:BI263,2,"files")</f>
        <v>"files":[]</v>
      </c>
      <c r="Z263" s="1"/>
      <c r="AA263" s="1"/>
      <c r="AB263" s="1"/>
      <c r="AC263" s="1" t="str">
        <f>formatRow(Tokens!BJ$2:BK$2,Tokens!BJ263:BK263,0,"collection")</f>
        <v>"collection":{"name":"In Casa",_x000D_
"family":"Calvi On The Rocks"}</v>
      </c>
    </row>
    <row r="264" spans="5:29" ht="14.25" customHeight="1" x14ac:dyDescent="0.25">
      <c r="E264" s="17" t="str">
        <f>IF(Tokens!C264="","",Tokens!C264)</f>
        <v>In Casa #101</v>
      </c>
      <c r="F264"/>
      <c r="G264"/>
      <c r="H264"/>
      <c r="I264"/>
      <c r="J264"/>
      <c r="M264"/>
      <c r="N264"/>
      <c r="O264" s="15" t="str">
        <f t="shared" si="8"/>
        <v>_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/>
      </c>
      <c r="Q264" s="2"/>
      <c r="R264" s="2"/>
      <c r="S264" s="11"/>
      <c r="T264" s="1" t="str">
        <f>"owner=" &amp; Tokens!BS264 &amp; "&amp;filename_for_metadata=" &amp; Tokens!BT264 &amp; "&amp;offchaindata_platform=" &amp; $B$17 &amp; "&amp;keyfile=" &amp; $B$5 &amp; "&amp;network=" &amp; LOWER($B$8) &amp; "&amp;repository=" &amp; $B$18</f>
        <v>owner=thomas&amp;filename_for_metadata=InCasa_COR22D101&amp;offchaindata_platform=MongoDB&amp;keyfile=Paul&amp;network=jsonfiles&amp;repository=test</v>
      </c>
      <c r="U264" s="1" t="str">
        <f t="shared" si="9"/>
        <v>{"name":"In Casa #101",_x000D_
"symbol":"COR22D101",_x000D_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4" s="1" t="str">
        <f>formatRow(Tokens!C$2:I$2,Tokens!C264:I264)</f>
        <v>"name":"In Casa #101",_x000D_
"symbol":"COR22D101",_x000D_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4" s="1" t="str">
        <f>formatRow(Tokens!J$2:AV$2,Tokens!J264:AV264,2,"attributes")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4" s="1" t="str">
        <f>formatRow(Tokens!AX$2:BC$2,Tokens!AX264:BC264,2,"creators")</f>
        <v>"creators":[{"address":"paul",_x000D_
"share":10},{"address":"sophie",_x000D_
"share":90}]</v>
      </c>
      <c r="Y264" s="1" t="str">
        <f>formatRow(Tokens!BD$2:BI$2,Tokens!BD264:BI264,2,"files")</f>
        <v>"files":[]</v>
      </c>
      <c r="Z264" s="1"/>
      <c r="AA264" s="1"/>
      <c r="AB264" s="1"/>
      <c r="AC264" s="1" t="str">
        <f>formatRow(Tokens!BJ$2:BK$2,Tokens!BJ264:BK264,0,"collection")</f>
        <v>"collection":{"name":"In Casa",_x000D_
"family":"Calvi On The Rocks"}</v>
      </c>
    </row>
    <row r="265" spans="5:29" ht="14.25" customHeight="1" x14ac:dyDescent="0.25">
      <c r="E265" s="17" t="str">
        <f>IF(Tokens!C265="","",Tokens!C265)</f>
        <v>In Casa #102</v>
      </c>
      <c r="F265"/>
      <c r="G265"/>
      <c r="H265"/>
      <c r="I265"/>
      <c r="J265"/>
      <c r="M265"/>
      <c r="N265"/>
      <c r="O265" s="15" t="str">
        <f t="shared" si="8"/>
        <v>_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/>
      </c>
      <c r="Q265" s="2"/>
      <c r="R265" s="2"/>
      <c r="S265" s="11"/>
      <c r="T265" s="1" t="str">
        <f>"owner=" &amp; Tokens!BS265 &amp; "&amp;filename_for_metadata=" &amp; Tokens!BT265 &amp; "&amp;offchaindata_platform=" &amp; $B$17 &amp; "&amp;keyfile=" &amp; $B$5 &amp; "&amp;network=" &amp; LOWER($B$8) &amp; "&amp;repository=" &amp; $B$18</f>
        <v>owner=thomas&amp;filename_for_metadata=InCasa_COR22D102&amp;offchaindata_platform=MongoDB&amp;keyfile=Paul&amp;network=jsonfiles&amp;repository=test</v>
      </c>
      <c r="U265" s="1" t="str">
        <f t="shared" si="9"/>
        <v>{"name":"In Casa #102",_x000D_
"symbol":"COR22D102",_x000D_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5" s="1" t="str">
        <f>formatRow(Tokens!C$2:I$2,Tokens!C265:I265)</f>
        <v>"name":"In Casa #102",_x000D_
"symbol":"COR22D102",_x000D_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5" s="1" t="str">
        <f>formatRow(Tokens!J$2:AV$2,Tokens!J265:AV265,2,"attributes")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5" s="1" t="str">
        <f>formatRow(Tokens!AX$2:BC$2,Tokens!AX265:BC265,2,"creators")</f>
        <v>"creators":[{"address":"paul",_x000D_
"share":10},{"address":"sophie",_x000D_
"share":90}]</v>
      </c>
      <c r="Y265" s="1" t="str">
        <f>formatRow(Tokens!BD$2:BI$2,Tokens!BD265:BI265,2,"files")</f>
        <v>"files":[]</v>
      </c>
      <c r="Z265" s="1"/>
      <c r="AA265" s="1"/>
      <c r="AB265" s="1"/>
      <c r="AC265" s="1" t="str">
        <f>formatRow(Tokens!BJ$2:BK$2,Tokens!BJ265:BK265,0,"collection")</f>
        <v>"collection":{"name":"In Casa",_x000D_
"family":"Calvi On The Rocks"}</v>
      </c>
    </row>
    <row r="266" spans="5:29" ht="14.25" customHeight="1" x14ac:dyDescent="0.25">
      <c r="E266" s="17" t="str">
        <f>IF(Tokens!C266="","",Tokens!C266)</f>
        <v>In Casa #103</v>
      </c>
      <c r="F266"/>
      <c r="G266"/>
      <c r="H266"/>
      <c r="I266"/>
      <c r="J266"/>
      <c r="M266"/>
      <c r="N266"/>
      <c r="O266" s="15" t="str">
        <f t="shared" si="8"/>
        <v>_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/>
      </c>
      <c r="Q266" s="2"/>
      <c r="R266" s="2"/>
      <c r="S266" s="11"/>
      <c r="T266" s="1" t="str">
        <f>"owner=" &amp; Tokens!BS266 &amp; "&amp;filename_for_metadata=" &amp; Tokens!BT266 &amp; "&amp;offchaindata_platform=" &amp; $B$17 &amp; "&amp;keyfile=" &amp; $B$5 &amp; "&amp;network=" &amp; LOWER($B$8) &amp; "&amp;repository=" &amp; $B$18</f>
        <v>owner=thomas&amp;filename_for_metadata=InCasa_COR22D103&amp;offchaindata_platform=MongoDB&amp;keyfile=Paul&amp;network=jsonfiles&amp;repository=test</v>
      </c>
      <c r="U266" s="1" t="str">
        <f t="shared" si="9"/>
        <v>{"name":"In Casa #103",_x000D_
"symbol":"COR22D103",_x000D_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6" s="1" t="str">
        <f>formatRow(Tokens!C$2:I$2,Tokens!C266:I266)</f>
        <v>"name":"In Casa #103",_x000D_
"symbol":"COR22D103",_x000D_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6" s="1" t="str">
        <f>formatRow(Tokens!J$2:AV$2,Tokens!J266:AV266,2,"attributes")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6" s="1" t="str">
        <f>formatRow(Tokens!AX$2:BC$2,Tokens!AX266:BC266,2,"creators")</f>
        <v>"creators":[{"address":"paul",_x000D_
"share":10},{"address":"sophie",_x000D_
"share":90}]</v>
      </c>
      <c r="Y266" s="1" t="str">
        <f>formatRow(Tokens!BD$2:BI$2,Tokens!BD266:BI266,2,"files")</f>
        <v>"files":[]</v>
      </c>
      <c r="Z266" s="1"/>
      <c r="AA266" s="1"/>
      <c r="AB266" s="1"/>
      <c r="AC266" s="1" t="str">
        <f>formatRow(Tokens!BJ$2:BK$2,Tokens!BJ266:BK266,0,"collection")</f>
        <v>"collection":{"name":"In Casa",_x000D_
"family":"Calvi On The Rocks"}</v>
      </c>
    </row>
    <row r="267" spans="5:29" ht="14.25" customHeight="1" x14ac:dyDescent="0.25">
      <c r="E267" s="17" t="str">
        <f>IF(Tokens!C267="","",Tokens!C267)</f>
        <v>In Casa #104</v>
      </c>
      <c r="F267"/>
      <c r="G267"/>
      <c r="H267"/>
      <c r="I267"/>
      <c r="J267"/>
      <c r="M267"/>
      <c r="N267"/>
      <c r="O267" s="15" t="str">
        <f t="shared" si="8"/>
        <v>_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/>
      </c>
      <c r="Q267" s="2"/>
      <c r="R267" s="2"/>
      <c r="S267" s="11"/>
      <c r="T267" s="1" t="str">
        <f>"owner=" &amp; Tokens!BS267 &amp; "&amp;filename_for_metadata=" &amp; Tokens!BT267 &amp; "&amp;offchaindata_platform=" &amp; $B$17 &amp; "&amp;keyfile=" &amp; $B$5 &amp; "&amp;network=" &amp; LOWER($B$8) &amp; "&amp;repository=" &amp; $B$18</f>
        <v>owner=thomas&amp;filename_for_metadata=InCasa_COR22D104&amp;offchaindata_platform=MongoDB&amp;keyfile=Paul&amp;network=jsonfiles&amp;repository=test</v>
      </c>
      <c r="U267" s="1" t="str">
        <f t="shared" si="9"/>
        <v>{"name":"In Casa #104",_x000D_
"symbol":"COR22D104",_x000D_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7" s="1" t="str">
        <f>formatRow(Tokens!C$2:I$2,Tokens!C267:I267)</f>
        <v>"name":"In Casa #104",_x000D_
"symbol":"COR22D104",_x000D_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7" s="1" t="str">
        <f>formatRow(Tokens!J$2:AV$2,Tokens!J267:AV267,2,"attributes")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7" s="1" t="str">
        <f>formatRow(Tokens!AX$2:BC$2,Tokens!AX267:BC267,2,"creators")</f>
        <v>"creators":[{"address":"paul",_x000D_
"share":10},{"address":"sophie",_x000D_
"share":90}]</v>
      </c>
      <c r="Y267" s="1" t="str">
        <f>formatRow(Tokens!BD$2:BI$2,Tokens!BD267:BI267,2,"files")</f>
        <v>"files":[]</v>
      </c>
      <c r="Z267" s="1"/>
      <c r="AA267" s="1"/>
      <c r="AB267" s="1"/>
      <c r="AC267" s="1" t="str">
        <f>formatRow(Tokens!BJ$2:BK$2,Tokens!BJ267:BK267,0,"collection")</f>
        <v>"collection":{"name":"In Casa",_x000D_
"family":"Calvi On The Rocks"}</v>
      </c>
    </row>
    <row r="268" spans="5:29" ht="14.25" customHeight="1" x14ac:dyDescent="0.25">
      <c r="E268" s="17" t="str">
        <f>IF(Tokens!C268="","",Tokens!C268)</f>
        <v>In Casa #105</v>
      </c>
      <c r="F268"/>
      <c r="G268"/>
      <c r="H268"/>
      <c r="I268"/>
      <c r="J268"/>
      <c r="M268"/>
      <c r="N268"/>
      <c r="O268" s="15" t="str">
        <f t="shared" si="8"/>
        <v>_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/>
      </c>
      <c r="Q268" s="2"/>
      <c r="R268" s="2"/>
      <c r="S268" s="11"/>
      <c r="T268" s="1" t="str">
        <f>"owner=" &amp; Tokens!BS268 &amp; "&amp;filename_for_metadata=" &amp; Tokens!BT268 &amp; "&amp;offchaindata_platform=" &amp; $B$17 &amp; "&amp;keyfile=" &amp; $B$5 &amp; "&amp;network=" &amp; LOWER($B$8) &amp; "&amp;repository=" &amp; $B$18</f>
        <v>owner=thomas&amp;filename_for_metadata=InCasa_COR22D105&amp;offchaindata_platform=MongoDB&amp;keyfile=Paul&amp;network=jsonfiles&amp;repository=test</v>
      </c>
      <c r="U268" s="1" t="str">
        <f t="shared" si="9"/>
        <v>{"name":"In Casa #105",_x000D_
"symbol":"COR22D105",_x000D_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8" s="1" t="str">
        <f>formatRow(Tokens!C$2:I$2,Tokens!C268:I268)</f>
        <v>"name":"In Casa #105",_x000D_
"symbol":"COR22D105",_x000D_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8" s="1" t="str">
        <f>formatRow(Tokens!J$2:AV$2,Tokens!J268:AV268,2,"attributes")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8" s="1" t="str">
        <f>formatRow(Tokens!AX$2:BC$2,Tokens!AX268:BC268,2,"creators")</f>
        <v>"creators":[{"address":"paul",_x000D_
"share":10},{"address":"sophie",_x000D_
"share":90}]</v>
      </c>
      <c r="Y268" s="1" t="str">
        <f>formatRow(Tokens!BD$2:BI$2,Tokens!BD268:BI268,2,"files")</f>
        <v>"files":[]</v>
      </c>
      <c r="Z268" s="1"/>
      <c r="AA268" s="1"/>
      <c r="AB268" s="1"/>
      <c r="AC268" s="1" t="str">
        <f>formatRow(Tokens!BJ$2:BK$2,Tokens!BJ268:BK268,0,"collection")</f>
        <v>"collection":{"name":"In Casa",_x000D_
"family":"Calvi On The Rocks"}</v>
      </c>
    </row>
    <row r="269" spans="5:29" ht="14.25" customHeight="1" x14ac:dyDescent="0.25">
      <c r="E269" s="17" t="str">
        <f>IF(Tokens!C269="","",Tokens!C269)</f>
        <v>In Casa #106</v>
      </c>
      <c r="F269"/>
      <c r="G269"/>
      <c r="H269"/>
      <c r="I269"/>
      <c r="J269"/>
      <c r="M269"/>
      <c r="N269"/>
      <c r="O269" s="15" t="str">
        <f t="shared" si="8"/>
        <v>_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/>
      </c>
      <c r="Q269" s="2"/>
      <c r="R269" s="2"/>
      <c r="S269" s="11"/>
      <c r="T269" s="1" t="str">
        <f>"owner=" &amp; Tokens!BS269 &amp; "&amp;filename_for_metadata=" &amp; Tokens!BT269 &amp; "&amp;offchaindata_platform=" &amp; $B$17 &amp; "&amp;keyfile=" &amp; $B$5 &amp; "&amp;network=" &amp; LOWER($B$8) &amp; "&amp;repository=" &amp; $B$18</f>
        <v>owner=thomas&amp;filename_for_metadata=InCasa_COR22D106&amp;offchaindata_platform=MongoDB&amp;keyfile=Paul&amp;network=jsonfiles&amp;repository=test</v>
      </c>
      <c r="U269" s="1" t="str">
        <f t="shared" si="9"/>
        <v>{"name":"In Casa #106",_x000D_
"symbol":"COR22D106",_x000D_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69" s="1" t="str">
        <f>formatRow(Tokens!C$2:I$2,Tokens!C269:I269)</f>
        <v>"name":"In Casa #106",_x000D_
"symbol":"COR22D106",_x000D_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69" s="1" t="str">
        <f>formatRow(Tokens!J$2:AV$2,Tokens!J269:AV269,2,"attributes")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69" s="1" t="str">
        <f>formatRow(Tokens!AX$2:BC$2,Tokens!AX269:BC269,2,"creators")</f>
        <v>"creators":[{"address":"paul",_x000D_
"share":10},{"address":"sophie",_x000D_
"share":90}]</v>
      </c>
      <c r="Y269" s="1" t="str">
        <f>formatRow(Tokens!BD$2:BI$2,Tokens!BD269:BI269,2,"files")</f>
        <v>"files":[]</v>
      </c>
      <c r="Z269" s="1"/>
      <c r="AA269" s="1"/>
      <c r="AB269" s="1"/>
      <c r="AC269" s="1" t="str">
        <f>formatRow(Tokens!BJ$2:BK$2,Tokens!BJ269:BK269,0,"collection")</f>
        <v>"collection":{"name":"In Casa",_x000D_
"family":"Calvi On The Rocks"}</v>
      </c>
    </row>
    <row r="270" spans="5:29" ht="14.25" customHeight="1" x14ac:dyDescent="0.25">
      <c r="E270" s="17" t="str">
        <f>IF(Tokens!C270="","",Tokens!C270)</f>
        <v>In Casa #107</v>
      </c>
      <c r="F270"/>
      <c r="G270"/>
      <c r="H270"/>
      <c r="I270"/>
      <c r="J270"/>
      <c r="M270"/>
      <c r="N270"/>
      <c r="O270" s="15" t="str">
        <f t="shared" si="8"/>
        <v>_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/>
      </c>
      <c r="Q270" s="2"/>
      <c r="R270" s="2"/>
      <c r="S270" s="11"/>
      <c r="T270" s="1" t="str">
        <f>"owner=" &amp; Tokens!BS270 &amp; "&amp;filename_for_metadata=" &amp; Tokens!BT270 &amp; "&amp;offchaindata_platform=" &amp; $B$17 &amp; "&amp;keyfile=" &amp; $B$5 &amp; "&amp;network=" &amp; LOWER($B$8) &amp; "&amp;repository=" &amp; $B$18</f>
        <v>owner=thomas&amp;filename_for_metadata=InCasa_COR22D107&amp;offchaindata_platform=MongoDB&amp;keyfile=Paul&amp;network=jsonfiles&amp;repository=test</v>
      </c>
      <c r="U270" s="1" t="str">
        <f t="shared" si="9"/>
        <v>{"name":"In Casa #107",_x000D_
"symbol":"COR22D107",_x000D_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0" s="1" t="str">
        <f>formatRow(Tokens!C$2:I$2,Tokens!C270:I270)</f>
        <v>"name":"In Casa #107",_x000D_
"symbol":"COR22D107",_x000D_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0" s="1" t="str">
        <f>formatRow(Tokens!J$2:AV$2,Tokens!J270:AV270,2,"attributes")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0" s="1" t="str">
        <f>formatRow(Tokens!AX$2:BC$2,Tokens!AX270:BC270,2,"creators")</f>
        <v>"creators":[{"address":"paul",_x000D_
"share":10},{"address":"sophie",_x000D_
"share":90}]</v>
      </c>
      <c r="Y270" s="1" t="str">
        <f>formatRow(Tokens!BD$2:BI$2,Tokens!BD270:BI270,2,"files")</f>
        <v>"files":[]</v>
      </c>
      <c r="Z270" s="1"/>
      <c r="AA270" s="1"/>
      <c r="AB270" s="1"/>
      <c r="AC270" s="1" t="str">
        <f>formatRow(Tokens!BJ$2:BK$2,Tokens!BJ270:BK270,0,"collection")</f>
        <v>"collection":{"name":"In Casa",_x000D_
"family":"Calvi On The Rocks"}</v>
      </c>
    </row>
    <row r="271" spans="5:29" ht="14.25" customHeight="1" x14ac:dyDescent="0.25">
      <c r="E271" s="17" t="str">
        <f>IF(Tokens!C271="","",Tokens!C271)</f>
        <v>In Casa #108</v>
      </c>
      <c r="F271"/>
      <c r="G271"/>
      <c r="H271"/>
      <c r="I271"/>
      <c r="J271"/>
      <c r="M271"/>
      <c r="N271"/>
      <c r="O271" s="15" t="str">
        <f t="shared" si="8"/>
        <v>_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/>
      </c>
      <c r="Q271" s="2"/>
      <c r="R271" s="2"/>
      <c r="S271" s="11"/>
      <c r="T271" s="1" t="str">
        <f>"owner=" &amp; Tokens!BS271 &amp; "&amp;filename_for_metadata=" &amp; Tokens!BT271 &amp; "&amp;offchaindata_platform=" &amp; $B$17 &amp; "&amp;keyfile=" &amp; $B$5 &amp; "&amp;network=" &amp; LOWER($B$8) &amp; "&amp;repository=" &amp; $B$18</f>
        <v>owner=thomas&amp;filename_for_metadata=InCasa_COR22D108&amp;offchaindata_platform=MongoDB&amp;keyfile=Paul&amp;network=jsonfiles&amp;repository=test</v>
      </c>
      <c r="U271" s="1" t="str">
        <f t="shared" si="9"/>
        <v>{"name":"In Casa #108",_x000D_
"symbol":"COR22D108",_x000D_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1" s="1" t="str">
        <f>formatRow(Tokens!C$2:I$2,Tokens!C271:I271)</f>
        <v>"name":"In Casa #108",_x000D_
"symbol":"COR22D108",_x000D_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1" s="1" t="str">
        <f>formatRow(Tokens!J$2:AV$2,Tokens!J271:AV271,2,"attributes")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1" s="1" t="str">
        <f>formatRow(Tokens!AX$2:BC$2,Tokens!AX271:BC271,2,"creators")</f>
        <v>"creators":[{"address":"paul",_x000D_
"share":10},{"address":"sophie",_x000D_
"share":90}]</v>
      </c>
      <c r="Y271" s="1" t="str">
        <f>formatRow(Tokens!BD$2:BI$2,Tokens!BD271:BI271,2,"files")</f>
        <v>"files":[]</v>
      </c>
      <c r="Z271" s="1"/>
      <c r="AA271" s="1"/>
      <c r="AB271" s="1"/>
      <c r="AC271" s="1" t="str">
        <f>formatRow(Tokens!BJ$2:BK$2,Tokens!BJ271:BK271,0,"collection")</f>
        <v>"collection":{"name":"In Casa",_x000D_
"family":"Calvi On The Rocks"}</v>
      </c>
    </row>
    <row r="272" spans="5:29" ht="14.25" customHeight="1" x14ac:dyDescent="0.25">
      <c r="E272" s="17" t="str">
        <f>IF(Tokens!C272="","",Tokens!C272)</f>
        <v>In Casa #109</v>
      </c>
      <c r="F272"/>
      <c r="G272"/>
      <c r="H272"/>
      <c r="I272"/>
      <c r="J272"/>
      <c r="M272"/>
      <c r="N272"/>
      <c r="O272" s="15" t="str">
        <f t="shared" si="8"/>
        <v>_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/>
      </c>
      <c r="Q272" s="2"/>
      <c r="R272" s="2"/>
      <c r="S272" s="11"/>
      <c r="T272" s="1" t="str">
        <f>"owner=" &amp; Tokens!BS272 &amp; "&amp;filename_for_metadata=" &amp; Tokens!BT272 &amp; "&amp;offchaindata_platform=" &amp; $B$17 &amp; "&amp;keyfile=" &amp; $B$5 &amp; "&amp;network=" &amp; LOWER($B$8) &amp; "&amp;repository=" &amp; $B$18</f>
        <v>owner=thomas&amp;filename_for_metadata=InCasa_COR22D109&amp;offchaindata_platform=MongoDB&amp;keyfile=Paul&amp;network=jsonfiles&amp;repository=test</v>
      </c>
      <c r="U272" s="1" t="str">
        <f t="shared" si="9"/>
        <v>{"name":"In Casa #109",_x000D_
"symbol":"COR22D109",_x000D_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2" s="1" t="str">
        <f>formatRow(Tokens!C$2:I$2,Tokens!C272:I272)</f>
        <v>"name":"In Casa #109",_x000D_
"symbol":"COR22D109",_x000D_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2" s="1" t="str">
        <f>formatRow(Tokens!J$2:AV$2,Tokens!J272:AV272,2,"attributes")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2" s="1" t="str">
        <f>formatRow(Tokens!AX$2:BC$2,Tokens!AX272:BC272,2,"creators")</f>
        <v>"creators":[{"address":"paul",_x000D_
"share":10},{"address":"sophie",_x000D_
"share":90}]</v>
      </c>
      <c r="Y272" s="1" t="str">
        <f>formatRow(Tokens!BD$2:BI$2,Tokens!BD272:BI272,2,"files")</f>
        <v>"files":[]</v>
      </c>
      <c r="Z272" s="1"/>
      <c r="AA272" s="1"/>
      <c r="AB272" s="1"/>
      <c r="AC272" s="1" t="str">
        <f>formatRow(Tokens!BJ$2:BK$2,Tokens!BJ272:BK272,0,"collection")</f>
        <v>"collection":{"name":"In Casa",_x000D_
"family":"Calvi On The Rocks"}</v>
      </c>
    </row>
    <row r="273" spans="5:29" ht="14.25" customHeight="1" x14ac:dyDescent="0.25">
      <c r="E273" s="17" t="str">
        <f>IF(Tokens!C273="","",Tokens!C273)</f>
        <v>In Casa #110</v>
      </c>
      <c r="F273"/>
      <c r="G273"/>
      <c r="H273"/>
      <c r="I273"/>
      <c r="J273"/>
      <c r="M273"/>
      <c r="N273"/>
      <c r="O273" s="15" t="str">
        <f t="shared" si="8"/>
        <v>_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/>
      </c>
      <c r="Q273" s="2"/>
      <c r="R273" s="2"/>
      <c r="S273" s="11"/>
      <c r="T273" s="1" t="str">
        <f>"owner=" &amp; Tokens!BS273 &amp; "&amp;filename_for_metadata=" &amp; Tokens!BT273 &amp; "&amp;offchaindata_platform=" &amp; $B$17 &amp; "&amp;keyfile=" &amp; $B$5 &amp; "&amp;network=" &amp; LOWER($B$8) &amp; "&amp;repository=" &amp; $B$18</f>
        <v>owner=thomas&amp;filename_for_metadata=InCasa_COR22D110&amp;offchaindata_platform=MongoDB&amp;keyfile=Paul&amp;network=jsonfiles&amp;repository=test</v>
      </c>
      <c r="U273" s="1" t="str">
        <f t="shared" si="9"/>
        <v>{"name":"In Casa #110",_x000D_
"symbol":"COR22D110",_x000D_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3" s="1" t="str">
        <f>formatRow(Tokens!C$2:I$2,Tokens!C273:I273)</f>
        <v>"name":"In Casa #110",_x000D_
"symbol":"COR22D110",_x000D_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3" s="1" t="str">
        <f>formatRow(Tokens!J$2:AV$2,Tokens!J273:AV273,2,"attributes")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3" s="1" t="str">
        <f>formatRow(Tokens!AX$2:BC$2,Tokens!AX273:BC273,2,"creators")</f>
        <v>"creators":[{"address":"paul",_x000D_
"share":10},{"address":"sophie",_x000D_
"share":90}]</v>
      </c>
      <c r="Y273" s="1" t="str">
        <f>formatRow(Tokens!BD$2:BI$2,Tokens!BD273:BI273,2,"files")</f>
        <v>"files":[]</v>
      </c>
      <c r="Z273" s="1"/>
      <c r="AA273" s="1"/>
      <c r="AB273" s="1"/>
      <c r="AC273" s="1" t="str">
        <f>formatRow(Tokens!BJ$2:BK$2,Tokens!BJ273:BK273,0,"collection")</f>
        <v>"collection":{"name":"In Casa",_x000D_
"family":"Calvi On The Rocks"}</v>
      </c>
    </row>
    <row r="274" spans="5:29" ht="14.25" customHeight="1" x14ac:dyDescent="0.25">
      <c r="E274" s="17" t="str">
        <f>IF(Tokens!C274="","",Tokens!C274)</f>
        <v>In Casa #111</v>
      </c>
      <c r="F274"/>
      <c r="G274"/>
      <c r="H274"/>
      <c r="I274"/>
      <c r="J274"/>
      <c r="M274"/>
      <c r="N274"/>
      <c r="O274" s="15" t="str">
        <f t="shared" si="8"/>
        <v>_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/>
      </c>
      <c r="Q274" s="2"/>
      <c r="R274" s="2"/>
      <c r="S274" s="11"/>
      <c r="T274" s="1" t="str">
        <f>"owner=" &amp; Tokens!BS274 &amp; "&amp;filename_for_metadata=" &amp; Tokens!BT274 &amp; "&amp;offchaindata_platform=" &amp; $B$17 &amp; "&amp;keyfile=" &amp; $B$5 &amp; "&amp;network=" &amp; LOWER($B$8) &amp; "&amp;repository=" &amp; $B$18</f>
        <v>owner=thomas&amp;filename_for_metadata=InCasa_COR22D111&amp;offchaindata_platform=MongoDB&amp;keyfile=Paul&amp;network=jsonfiles&amp;repository=test</v>
      </c>
      <c r="U274" s="1" t="str">
        <f t="shared" si="9"/>
        <v>{"name":"In Casa #111",_x000D_
"symbol":"COR22D111",_x000D_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4" s="1" t="str">
        <f>formatRow(Tokens!C$2:I$2,Tokens!C274:I274)</f>
        <v>"name":"In Casa #111",_x000D_
"symbol":"COR22D111",_x000D_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4" s="1" t="str">
        <f>formatRow(Tokens!J$2:AV$2,Tokens!J274:AV274,2,"attributes")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4" s="1" t="str">
        <f>formatRow(Tokens!AX$2:BC$2,Tokens!AX274:BC274,2,"creators")</f>
        <v>"creators":[{"address":"paul",_x000D_
"share":10},{"address":"sophie",_x000D_
"share":90}]</v>
      </c>
      <c r="Y274" s="1" t="str">
        <f>formatRow(Tokens!BD$2:BI$2,Tokens!BD274:BI274,2,"files")</f>
        <v>"files":[]</v>
      </c>
      <c r="Z274" s="1"/>
      <c r="AA274" s="1"/>
      <c r="AB274" s="1"/>
      <c r="AC274" s="1" t="str">
        <f>formatRow(Tokens!BJ$2:BK$2,Tokens!BJ274:BK274,0,"collection")</f>
        <v>"collection":{"name":"In Casa",_x000D_
"family":"Calvi On The Rocks"}</v>
      </c>
    </row>
    <row r="275" spans="5:29" ht="14.25" customHeight="1" x14ac:dyDescent="0.25">
      <c r="E275" s="17" t="str">
        <f>IF(Tokens!C275="","",Tokens!C275)</f>
        <v>In Casa #112</v>
      </c>
      <c r="F275"/>
      <c r="G275"/>
      <c r="H275"/>
      <c r="I275"/>
      <c r="J275"/>
      <c r="M275"/>
      <c r="N275"/>
      <c r="O275" s="15" t="str">
        <f t="shared" si="8"/>
        <v>_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/>
      </c>
      <c r="Q275" s="2"/>
      <c r="R275" s="2"/>
      <c r="S275" s="11"/>
      <c r="T275" s="1" t="str">
        <f>"owner=" &amp; Tokens!BS275 &amp; "&amp;filename_for_metadata=" &amp; Tokens!BT275 &amp; "&amp;offchaindata_platform=" &amp; $B$17 &amp; "&amp;keyfile=" &amp; $B$5 &amp; "&amp;network=" &amp; LOWER($B$8) &amp; "&amp;repository=" &amp; $B$18</f>
        <v>owner=thomas&amp;filename_for_metadata=InCasa_COR22D112&amp;offchaindata_platform=MongoDB&amp;keyfile=Paul&amp;network=jsonfiles&amp;repository=test</v>
      </c>
      <c r="U275" s="1" t="str">
        <f t="shared" si="9"/>
        <v>{"name":"In Casa #112",_x000D_
"symbol":"COR22D112",_x000D_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5" s="1" t="str">
        <f>formatRow(Tokens!C$2:I$2,Tokens!C275:I275)</f>
        <v>"name":"In Casa #112",_x000D_
"symbol":"COR22D112",_x000D_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5" s="1" t="str">
        <f>formatRow(Tokens!J$2:AV$2,Tokens!J275:AV275,2,"attributes")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5" s="1" t="str">
        <f>formatRow(Tokens!AX$2:BC$2,Tokens!AX275:BC275,2,"creators")</f>
        <v>"creators":[{"address":"paul",_x000D_
"share":10},{"address":"sophie",_x000D_
"share":90}]</v>
      </c>
      <c r="Y275" s="1" t="str">
        <f>formatRow(Tokens!BD$2:BI$2,Tokens!BD275:BI275,2,"files")</f>
        <v>"files":[]</v>
      </c>
      <c r="Z275" s="1"/>
      <c r="AA275" s="1"/>
      <c r="AB275" s="1"/>
      <c r="AC275" s="1" t="str">
        <f>formatRow(Tokens!BJ$2:BK$2,Tokens!BJ275:BK275,0,"collection")</f>
        <v>"collection":{"name":"In Casa",_x000D_
"family":"Calvi On The Rocks"}</v>
      </c>
    </row>
    <row r="276" spans="5:29" ht="14.25" customHeight="1" x14ac:dyDescent="0.25">
      <c r="E276" s="17" t="str">
        <f>IF(Tokens!C276="","",Tokens!C276)</f>
        <v>In Casa #113</v>
      </c>
      <c r="F276"/>
      <c r="G276"/>
      <c r="H276"/>
      <c r="I276"/>
      <c r="J276"/>
      <c r="M276"/>
      <c r="N276"/>
      <c r="O276" s="15" t="str">
        <f t="shared" si="8"/>
        <v>_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/>
      </c>
      <c r="Q276" s="2"/>
      <c r="R276" s="2"/>
      <c r="S276" s="11"/>
      <c r="T276" s="1" t="str">
        <f>"owner=" &amp; Tokens!BS276 &amp; "&amp;filename_for_metadata=" &amp; Tokens!BT276 &amp; "&amp;offchaindata_platform=" &amp; $B$17 &amp; "&amp;keyfile=" &amp; $B$5 &amp; "&amp;network=" &amp; LOWER($B$8) &amp; "&amp;repository=" &amp; $B$18</f>
        <v>owner=thomas&amp;filename_for_metadata=InCasa_COR22D113&amp;offchaindata_platform=MongoDB&amp;keyfile=Paul&amp;network=jsonfiles&amp;repository=test</v>
      </c>
      <c r="U276" s="1" t="str">
        <f t="shared" si="9"/>
        <v>{"name":"In Casa #113",_x000D_
"symbol":"COR22D113",_x000D_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6" s="1" t="str">
        <f>formatRow(Tokens!C$2:I$2,Tokens!C276:I276)</f>
        <v>"name":"In Casa #113",_x000D_
"symbol":"COR22D113",_x000D_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6" s="1" t="str">
        <f>formatRow(Tokens!J$2:AV$2,Tokens!J276:AV276,2,"attributes")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6" s="1" t="str">
        <f>formatRow(Tokens!AX$2:BC$2,Tokens!AX276:BC276,2,"creators")</f>
        <v>"creators":[{"address":"paul",_x000D_
"share":10},{"address":"sophie",_x000D_
"share":90}]</v>
      </c>
      <c r="Y276" s="1" t="str">
        <f>formatRow(Tokens!BD$2:BI$2,Tokens!BD276:BI276,2,"files")</f>
        <v>"files":[]</v>
      </c>
      <c r="Z276" s="1"/>
      <c r="AA276" s="1"/>
      <c r="AB276" s="1"/>
      <c r="AC276" s="1" t="str">
        <f>formatRow(Tokens!BJ$2:BK$2,Tokens!BJ276:BK276,0,"collection")</f>
        <v>"collection":{"name":"In Casa",_x000D_
"family":"Calvi On The Rocks"}</v>
      </c>
    </row>
    <row r="277" spans="5:29" ht="14.25" customHeight="1" x14ac:dyDescent="0.25">
      <c r="E277" s="17" t="str">
        <f>IF(Tokens!C277="","",Tokens!C277)</f>
        <v>In Casa #114</v>
      </c>
      <c r="F277"/>
      <c r="G277"/>
      <c r="H277"/>
      <c r="I277"/>
      <c r="J277"/>
      <c r="M277"/>
      <c r="N277"/>
      <c r="O277" s="15" t="str">
        <f t="shared" si="8"/>
        <v>_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/>
      </c>
      <c r="Q277" s="2"/>
      <c r="R277" s="2"/>
      <c r="S277" s="11"/>
      <c r="T277" s="1" t="str">
        <f>"owner=" &amp; Tokens!BS277 &amp; "&amp;filename_for_metadata=" &amp; Tokens!BT277 &amp; "&amp;offchaindata_platform=" &amp; $B$17 &amp; "&amp;keyfile=" &amp; $B$5 &amp; "&amp;network=" &amp; LOWER($B$8) &amp; "&amp;repository=" &amp; $B$18</f>
        <v>owner=thomas&amp;filename_for_metadata=InCasa_COR22D114&amp;offchaindata_platform=MongoDB&amp;keyfile=Paul&amp;network=jsonfiles&amp;repository=test</v>
      </c>
      <c r="U277" s="1" t="str">
        <f t="shared" si="9"/>
        <v>{"name":"In Casa #114",_x000D_
"symbol":"COR22D114",_x000D_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7" s="1" t="str">
        <f>formatRow(Tokens!C$2:I$2,Tokens!C277:I277)</f>
        <v>"name":"In Casa #114",_x000D_
"symbol":"COR22D114",_x000D_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7" s="1" t="str">
        <f>formatRow(Tokens!J$2:AV$2,Tokens!J277:AV277,2,"attributes")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7" s="1" t="str">
        <f>formatRow(Tokens!AX$2:BC$2,Tokens!AX277:BC277,2,"creators")</f>
        <v>"creators":[{"address":"paul",_x000D_
"share":10},{"address":"sophie",_x000D_
"share":90}]</v>
      </c>
      <c r="Y277" s="1" t="str">
        <f>formatRow(Tokens!BD$2:BI$2,Tokens!BD277:BI277,2,"files")</f>
        <v>"files":[]</v>
      </c>
      <c r="Z277" s="1"/>
      <c r="AA277" s="1"/>
      <c r="AB277" s="1"/>
      <c r="AC277" s="1" t="str">
        <f>formatRow(Tokens!BJ$2:BK$2,Tokens!BJ277:BK277,0,"collection")</f>
        <v>"collection":{"name":"In Casa",_x000D_
"family":"Calvi On The Rocks"}</v>
      </c>
    </row>
    <row r="278" spans="5:29" ht="14.25" customHeight="1" x14ac:dyDescent="0.25">
      <c r="E278" s="17" t="str">
        <f>IF(Tokens!C278="","",Tokens!C278)</f>
        <v>In Casa #115</v>
      </c>
      <c r="F278"/>
      <c r="G278"/>
      <c r="H278"/>
      <c r="I278"/>
      <c r="J278"/>
      <c r="M278"/>
      <c r="N278"/>
      <c r="O278" s="15" t="str">
        <f t="shared" si="8"/>
        <v>_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/>
      </c>
      <c r="Q278" s="2"/>
      <c r="R278" s="2"/>
      <c r="S278" s="11"/>
      <c r="T278" s="1" t="str">
        <f>"owner=" &amp; Tokens!BS278 &amp; "&amp;filename_for_metadata=" &amp; Tokens!BT278 &amp; "&amp;offchaindata_platform=" &amp; $B$17 &amp; "&amp;keyfile=" &amp; $B$5 &amp; "&amp;network=" &amp; LOWER($B$8) &amp; "&amp;repository=" &amp; $B$18</f>
        <v>owner=thomas&amp;filename_for_metadata=InCasa_COR22D115&amp;offchaindata_platform=MongoDB&amp;keyfile=Paul&amp;network=jsonfiles&amp;repository=test</v>
      </c>
      <c r="U278" s="1" t="str">
        <f t="shared" si="9"/>
        <v>{"name":"In Casa #115",_x000D_
"symbol":"COR22D115",_x000D_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8" s="1" t="str">
        <f>formatRow(Tokens!C$2:I$2,Tokens!C278:I278)</f>
        <v>"name":"In Casa #115",_x000D_
"symbol":"COR22D115",_x000D_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8" s="1" t="str">
        <f>formatRow(Tokens!J$2:AV$2,Tokens!J278:AV278,2,"attributes")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8" s="1" t="str">
        <f>formatRow(Tokens!AX$2:BC$2,Tokens!AX278:BC278,2,"creators")</f>
        <v>"creators":[{"address":"paul",_x000D_
"share":10},{"address":"sophie",_x000D_
"share":90}]</v>
      </c>
      <c r="Y278" s="1" t="str">
        <f>formatRow(Tokens!BD$2:BI$2,Tokens!BD278:BI278,2,"files")</f>
        <v>"files":[]</v>
      </c>
      <c r="Z278" s="1"/>
      <c r="AA278" s="1"/>
      <c r="AB278" s="1"/>
      <c r="AC278" s="1" t="str">
        <f>formatRow(Tokens!BJ$2:BK$2,Tokens!BJ278:BK278,0,"collection")</f>
        <v>"collection":{"name":"In Casa",_x000D_
"family":"Calvi On The Rocks"}</v>
      </c>
    </row>
    <row r="279" spans="5:29" ht="14.25" customHeight="1" x14ac:dyDescent="0.25">
      <c r="E279" s="17" t="str">
        <f>IF(Tokens!C279="","",Tokens!C279)</f>
        <v>In Casa #116</v>
      </c>
      <c r="F279"/>
      <c r="G279"/>
      <c r="H279"/>
      <c r="I279"/>
      <c r="J279"/>
      <c r="M279"/>
      <c r="N279"/>
      <c r="O279" s="15" t="str">
        <f t="shared" si="8"/>
        <v>_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/>
      </c>
      <c r="Q279" s="2"/>
      <c r="R279" s="2"/>
      <c r="S279" s="11"/>
      <c r="T279" s="1" t="str">
        <f>"owner=" &amp; Tokens!BS279 &amp; "&amp;filename_for_metadata=" &amp; Tokens!BT279 &amp; "&amp;offchaindata_platform=" &amp; $B$17 &amp; "&amp;keyfile=" &amp; $B$5 &amp; "&amp;network=" &amp; LOWER($B$8) &amp; "&amp;repository=" &amp; $B$18</f>
        <v>owner=thomas&amp;filename_for_metadata=InCasa_COR22D116&amp;offchaindata_platform=MongoDB&amp;keyfile=Paul&amp;network=jsonfiles&amp;repository=test</v>
      </c>
      <c r="U279" s="1" t="str">
        <f t="shared" si="9"/>
        <v>{"name":"In Casa #116",_x000D_
"symbol":"COR22D116",_x000D_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79" s="1" t="str">
        <f>formatRow(Tokens!C$2:I$2,Tokens!C279:I279)</f>
        <v>"name":"In Casa #116",_x000D_
"symbol":"COR22D116",_x000D_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79" s="1" t="str">
        <f>formatRow(Tokens!J$2:AV$2,Tokens!J279:AV279,2,"attributes")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79" s="1" t="str">
        <f>formatRow(Tokens!AX$2:BC$2,Tokens!AX279:BC279,2,"creators")</f>
        <v>"creators":[{"address":"paul",_x000D_
"share":10},{"address":"sophie",_x000D_
"share":90}]</v>
      </c>
      <c r="Y279" s="1" t="str">
        <f>formatRow(Tokens!BD$2:BI$2,Tokens!BD279:BI279,2,"files")</f>
        <v>"files":[]</v>
      </c>
      <c r="Z279" s="1"/>
      <c r="AA279" s="1"/>
      <c r="AB279" s="1"/>
      <c r="AC279" s="1" t="str">
        <f>formatRow(Tokens!BJ$2:BK$2,Tokens!BJ279:BK279,0,"collection")</f>
        <v>"collection":{"name":"In Casa",_x000D_
"family":"Calvi On The Rocks"}</v>
      </c>
    </row>
    <row r="280" spans="5:29" ht="14.25" customHeight="1" x14ac:dyDescent="0.25">
      <c r="E280" s="17" t="str">
        <f>IF(Tokens!C280="","",Tokens!C280)</f>
        <v>In Casa #117</v>
      </c>
      <c r="F280"/>
      <c r="G280"/>
      <c r="H280"/>
      <c r="I280"/>
      <c r="J280"/>
      <c r="M280"/>
      <c r="N280"/>
      <c r="O280" s="15" t="str">
        <f t="shared" si="8"/>
        <v>_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/>
      </c>
      <c r="Q280" s="2"/>
      <c r="R280" s="2"/>
      <c r="S280" s="11"/>
      <c r="T280" s="1" t="str">
        <f>"owner=" &amp; Tokens!BS280 &amp; "&amp;filename_for_metadata=" &amp; Tokens!BT280 &amp; "&amp;offchaindata_platform=" &amp; $B$17 &amp; "&amp;keyfile=" &amp; $B$5 &amp; "&amp;network=" &amp; LOWER($B$8) &amp; "&amp;repository=" &amp; $B$18</f>
        <v>owner=thomas&amp;filename_for_metadata=InCasa_COR22D117&amp;offchaindata_platform=MongoDB&amp;keyfile=Paul&amp;network=jsonfiles&amp;repository=test</v>
      </c>
      <c r="U280" s="1" t="str">
        <f t="shared" si="9"/>
        <v>{"name":"In Casa #117",_x000D_
"symbol":"COR22D117",_x000D_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0" s="1" t="str">
        <f>formatRow(Tokens!C$2:I$2,Tokens!C280:I280)</f>
        <v>"name":"In Casa #117",_x000D_
"symbol":"COR22D117",_x000D_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0" s="1" t="str">
        <f>formatRow(Tokens!J$2:AV$2,Tokens!J280:AV280,2,"attributes")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0" s="1" t="str">
        <f>formatRow(Tokens!AX$2:BC$2,Tokens!AX280:BC280,2,"creators")</f>
        <v>"creators":[{"address":"paul",_x000D_
"share":10},{"address":"sophie",_x000D_
"share":90}]</v>
      </c>
      <c r="Y280" s="1" t="str">
        <f>formatRow(Tokens!BD$2:BI$2,Tokens!BD280:BI280,2,"files")</f>
        <v>"files":[]</v>
      </c>
      <c r="Z280" s="1"/>
      <c r="AA280" s="1"/>
      <c r="AB280" s="1"/>
      <c r="AC280" s="1" t="str">
        <f>formatRow(Tokens!BJ$2:BK$2,Tokens!BJ280:BK280,0,"collection")</f>
        <v>"collection":{"name":"In Casa",_x000D_
"family":"Calvi On The Rocks"}</v>
      </c>
    </row>
    <row r="281" spans="5:29" ht="14.25" customHeight="1" x14ac:dyDescent="0.25">
      <c r="E281" s="17" t="str">
        <f>IF(Tokens!C281="","",Tokens!C281)</f>
        <v>In Casa #118</v>
      </c>
      <c r="F281"/>
      <c r="G281"/>
      <c r="H281"/>
      <c r="I281"/>
      <c r="J281"/>
      <c r="M281"/>
      <c r="N281"/>
      <c r="O281" s="15" t="str">
        <f t="shared" si="8"/>
        <v>_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/>
      </c>
      <c r="Q281" s="2"/>
      <c r="R281" s="2"/>
      <c r="S281" s="11"/>
      <c r="T281" s="1" t="str">
        <f>"owner=" &amp; Tokens!BS281 &amp; "&amp;filename_for_metadata=" &amp; Tokens!BT281 &amp; "&amp;offchaindata_platform=" &amp; $B$17 &amp; "&amp;keyfile=" &amp; $B$5 &amp; "&amp;network=" &amp; LOWER($B$8) &amp; "&amp;repository=" &amp; $B$18</f>
        <v>owner=thomas&amp;filename_for_metadata=InCasa_COR22D118&amp;offchaindata_platform=MongoDB&amp;keyfile=Paul&amp;network=jsonfiles&amp;repository=test</v>
      </c>
      <c r="U281" s="1" t="str">
        <f t="shared" si="9"/>
        <v>{"name":"In Casa #118",_x000D_
"symbol":"COR22D118",_x000D_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1" s="1" t="str">
        <f>formatRow(Tokens!C$2:I$2,Tokens!C281:I281)</f>
        <v>"name":"In Casa #118",_x000D_
"symbol":"COR22D118",_x000D_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1" s="1" t="str">
        <f>formatRow(Tokens!J$2:AV$2,Tokens!J281:AV281,2,"attributes")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1" s="1" t="str">
        <f>formatRow(Tokens!AX$2:BC$2,Tokens!AX281:BC281,2,"creators")</f>
        <v>"creators":[{"address":"paul",_x000D_
"share":10},{"address":"sophie",_x000D_
"share":90}]</v>
      </c>
      <c r="Y281" s="1" t="str">
        <f>formatRow(Tokens!BD$2:BI$2,Tokens!BD281:BI281,2,"files")</f>
        <v>"files":[]</v>
      </c>
      <c r="Z281" s="1"/>
      <c r="AA281" s="1"/>
      <c r="AB281" s="1"/>
      <c r="AC281" s="1" t="str">
        <f>formatRow(Tokens!BJ$2:BK$2,Tokens!BJ281:BK281,0,"collection")</f>
        <v>"collection":{"name":"In Casa",_x000D_
"family":"Calvi On The Rocks"}</v>
      </c>
    </row>
    <row r="282" spans="5:29" ht="14.25" customHeight="1" x14ac:dyDescent="0.25">
      <c r="E282" s="17" t="str">
        <f>IF(Tokens!C282="","",Tokens!C282)</f>
        <v>In Casa #119</v>
      </c>
      <c r="F282"/>
      <c r="G282"/>
      <c r="H282"/>
      <c r="I282"/>
      <c r="J282"/>
      <c r="M282"/>
      <c r="N282"/>
      <c r="O282" s="15" t="str">
        <f t="shared" si="8"/>
        <v>_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/>
      </c>
      <c r="Q282" s="2"/>
      <c r="R282" s="2"/>
      <c r="S282" s="11"/>
      <c r="T282" s="1" t="str">
        <f>"owner=" &amp; Tokens!BS282 &amp; "&amp;filename_for_metadata=" &amp; Tokens!BT282 &amp; "&amp;offchaindata_platform=" &amp; $B$17 &amp; "&amp;keyfile=" &amp; $B$5 &amp; "&amp;network=" &amp; LOWER($B$8) &amp; "&amp;repository=" &amp; $B$18</f>
        <v>owner=thomas&amp;filename_for_metadata=InCasa_COR22D119&amp;offchaindata_platform=MongoDB&amp;keyfile=Paul&amp;network=jsonfiles&amp;repository=test</v>
      </c>
      <c r="U282" s="1" t="str">
        <f t="shared" si="9"/>
        <v>{"name":"In Casa #119",_x000D_
"symbol":"COR22D119",_x000D_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2" s="1" t="str">
        <f>formatRow(Tokens!C$2:I$2,Tokens!C282:I282)</f>
        <v>"name":"In Casa #119",_x000D_
"symbol":"COR22D119",_x000D_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2" s="1" t="str">
        <f>formatRow(Tokens!J$2:AV$2,Tokens!J282:AV282,2,"attributes")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2" s="1" t="str">
        <f>formatRow(Tokens!AX$2:BC$2,Tokens!AX282:BC282,2,"creators")</f>
        <v>"creators":[{"address":"paul",_x000D_
"share":10},{"address":"sophie",_x000D_
"share":90}]</v>
      </c>
      <c r="Y282" s="1" t="str">
        <f>formatRow(Tokens!BD$2:BI$2,Tokens!BD282:BI282,2,"files")</f>
        <v>"files":[]</v>
      </c>
      <c r="Z282" s="1"/>
      <c r="AA282" s="1"/>
      <c r="AB282" s="1"/>
      <c r="AC282" s="1" t="str">
        <f>formatRow(Tokens!BJ$2:BK$2,Tokens!BJ282:BK282,0,"collection")</f>
        <v>"collection":{"name":"In Casa",_x000D_
"family":"Calvi On The Rocks"}</v>
      </c>
    </row>
    <row r="283" spans="5:29" ht="14.25" customHeight="1" x14ac:dyDescent="0.25">
      <c r="E283" s="17" t="str">
        <f>IF(Tokens!C283="","",Tokens!C283)</f>
        <v>In Casa #120</v>
      </c>
      <c r="F283"/>
      <c r="G283"/>
      <c r="H283"/>
      <c r="I283"/>
      <c r="J283"/>
      <c r="M283"/>
      <c r="N283"/>
      <c r="O283" s="15" t="str">
        <f t="shared" si="8"/>
        <v>_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/>
      </c>
      <c r="Q283" s="2"/>
      <c r="R283" s="2"/>
      <c r="S283" s="11"/>
      <c r="T283" s="1" t="str">
        <f>"owner=" &amp; Tokens!BS283 &amp; "&amp;filename_for_metadata=" &amp; Tokens!BT283 &amp; "&amp;offchaindata_platform=" &amp; $B$17 &amp; "&amp;keyfile=" &amp; $B$5 &amp; "&amp;network=" &amp; LOWER($B$8) &amp; "&amp;repository=" &amp; $B$18</f>
        <v>owner=thomas&amp;filename_for_metadata=InCasa_COR22D120&amp;offchaindata_platform=MongoDB&amp;keyfile=Paul&amp;network=jsonfiles&amp;repository=test</v>
      </c>
      <c r="U283" s="1" t="str">
        <f t="shared" si="9"/>
        <v>{"name":"In Casa #120",_x000D_
"symbol":"COR22D120",_x000D_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3" s="1" t="str">
        <f>formatRow(Tokens!C$2:I$2,Tokens!C283:I283)</f>
        <v>"name":"In Casa #120",_x000D_
"symbol":"COR22D120",_x000D_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3" s="1" t="str">
        <f>formatRow(Tokens!J$2:AV$2,Tokens!J283:AV283,2,"attributes")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3" s="1" t="str">
        <f>formatRow(Tokens!AX$2:BC$2,Tokens!AX283:BC283,2,"creators")</f>
        <v>"creators":[{"address":"paul",_x000D_
"share":10},{"address":"sophie",_x000D_
"share":90}]</v>
      </c>
      <c r="Y283" s="1" t="str">
        <f>formatRow(Tokens!BD$2:BI$2,Tokens!BD283:BI283,2,"files")</f>
        <v>"files":[]</v>
      </c>
      <c r="Z283" s="1"/>
      <c r="AA283" s="1"/>
      <c r="AB283" s="1"/>
      <c r="AC283" s="1" t="str">
        <f>formatRow(Tokens!BJ$2:BK$2,Tokens!BJ283:BK283,0,"collection")</f>
        <v>"collection":{"name":"In Casa",_x000D_
"family":"Calvi On The Rocks"}</v>
      </c>
    </row>
    <row r="284" spans="5:29" ht="14.25" customHeight="1" x14ac:dyDescent="0.25">
      <c r="E284" s="17" t="str">
        <f>IF(Tokens!C284="","",Tokens!C284)</f>
        <v>In Casa #121</v>
      </c>
      <c r="F284"/>
      <c r="G284"/>
      <c r="H284"/>
      <c r="I284"/>
      <c r="J284"/>
      <c r="M284"/>
      <c r="N284"/>
      <c r="O284" s="15" t="str">
        <f t="shared" si="8"/>
        <v>_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/>
      </c>
      <c r="Q284" s="2"/>
      <c r="R284" s="2"/>
      <c r="S284" s="11"/>
      <c r="T284" s="1" t="str">
        <f>"owner=" &amp; Tokens!BS284 &amp; "&amp;filename_for_metadata=" &amp; Tokens!BT284 &amp; "&amp;offchaindata_platform=" &amp; $B$17 &amp; "&amp;keyfile=" &amp; $B$5 &amp; "&amp;network=" &amp; LOWER($B$8) &amp; "&amp;repository=" &amp; $B$18</f>
        <v>owner=thomas&amp;filename_for_metadata=InCasa_COR22D121&amp;offchaindata_platform=MongoDB&amp;keyfile=Paul&amp;network=jsonfiles&amp;repository=test</v>
      </c>
      <c r="U284" s="1" t="str">
        <f t="shared" si="9"/>
        <v>{"name":"In Casa #121",_x000D_
"symbol":"COR22D121",_x000D_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4" s="1" t="str">
        <f>formatRow(Tokens!C$2:I$2,Tokens!C284:I284)</f>
        <v>"name":"In Casa #121",_x000D_
"symbol":"COR22D121",_x000D_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4" s="1" t="str">
        <f>formatRow(Tokens!J$2:AV$2,Tokens!J284:AV284,2,"attributes")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4" s="1" t="str">
        <f>formatRow(Tokens!AX$2:BC$2,Tokens!AX284:BC284,2,"creators")</f>
        <v>"creators":[{"address":"paul",_x000D_
"share":10},{"address":"sophie",_x000D_
"share":90}]</v>
      </c>
      <c r="Y284" s="1" t="str">
        <f>formatRow(Tokens!BD$2:BI$2,Tokens!BD284:BI284,2,"files")</f>
        <v>"files":[]</v>
      </c>
      <c r="Z284" s="1"/>
      <c r="AA284" s="1"/>
      <c r="AB284" s="1"/>
      <c r="AC284" s="1" t="str">
        <f>formatRow(Tokens!BJ$2:BK$2,Tokens!BJ284:BK284,0,"collection")</f>
        <v>"collection":{"name":"In Casa",_x000D_
"family":"Calvi On The Rocks"}</v>
      </c>
    </row>
    <row r="285" spans="5:29" ht="14.25" customHeight="1" x14ac:dyDescent="0.25">
      <c r="E285" s="17" t="str">
        <f>IF(Tokens!C285="","",Tokens!C285)</f>
        <v>In Casa #122</v>
      </c>
      <c r="F285"/>
      <c r="G285"/>
      <c r="H285"/>
      <c r="I285"/>
      <c r="J285"/>
      <c r="M285"/>
      <c r="N285"/>
      <c r="O285" s="15" t="str">
        <f t="shared" si="8"/>
        <v>_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/>
      </c>
      <c r="Q285" s="2"/>
      <c r="R285" s="2"/>
      <c r="S285" s="11"/>
      <c r="T285" s="1" t="str">
        <f>"owner=" &amp; Tokens!BS285 &amp; "&amp;filename_for_metadata=" &amp; Tokens!BT285 &amp; "&amp;offchaindata_platform=" &amp; $B$17 &amp; "&amp;keyfile=" &amp; $B$5 &amp; "&amp;network=" &amp; LOWER($B$8) &amp; "&amp;repository=" &amp; $B$18</f>
        <v>owner=thomas&amp;filename_for_metadata=InCasa_COR22D122&amp;offchaindata_platform=MongoDB&amp;keyfile=Paul&amp;network=jsonfiles&amp;repository=test</v>
      </c>
      <c r="U285" s="1" t="str">
        <f t="shared" si="9"/>
        <v>{"name":"In Casa #122",_x000D_
"symbol":"COR22D122",_x000D_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5" s="1" t="str">
        <f>formatRow(Tokens!C$2:I$2,Tokens!C285:I285)</f>
        <v>"name":"In Casa #122",_x000D_
"symbol":"COR22D122",_x000D_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5" s="1" t="str">
        <f>formatRow(Tokens!J$2:AV$2,Tokens!J285:AV285,2,"attributes")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5" s="1" t="str">
        <f>formatRow(Tokens!AX$2:BC$2,Tokens!AX285:BC285,2,"creators")</f>
        <v>"creators":[{"address":"paul",_x000D_
"share":10},{"address":"sophie",_x000D_
"share":90}]</v>
      </c>
      <c r="Y285" s="1" t="str">
        <f>formatRow(Tokens!BD$2:BI$2,Tokens!BD285:BI285,2,"files")</f>
        <v>"files":[]</v>
      </c>
      <c r="Z285" s="1"/>
      <c r="AA285" s="1"/>
      <c r="AB285" s="1"/>
      <c r="AC285" s="1" t="str">
        <f>formatRow(Tokens!BJ$2:BK$2,Tokens!BJ285:BK285,0,"collection")</f>
        <v>"collection":{"name":"In Casa",_x000D_
"family":"Calvi On The Rocks"}</v>
      </c>
    </row>
    <row r="286" spans="5:29" ht="14.25" customHeight="1" x14ac:dyDescent="0.25">
      <c r="E286" s="17" t="str">
        <f>IF(Tokens!C286="","",Tokens!C286)</f>
        <v>In Casa #123</v>
      </c>
      <c r="F286"/>
      <c r="G286"/>
      <c r="H286"/>
      <c r="I286"/>
      <c r="J286"/>
      <c r="M286"/>
      <c r="N286"/>
      <c r="O286" s="15" t="str">
        <f t="shared" si="8"/>
        <v>_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/>
      </c>
      <c r="Q286" s="2"/>
      <c r="R286" s="2"/>
      <c r="S286" s="11"/>
      <c r="T286" s="1" t="str">
        <f>"owner=" &amp; Tokens!BS286 &amp; "&amp;filename_for_metadata=" &amp; Tokens!BT286 &amp; "&amp;offchaindata_platform=" &amp; $B$17 &amp; "&amp;keyfile=" &amp; $B$5 &amp; "&amp;network=" &amp; LOWER($B$8) &amp; "&amp;repository=" &amp; $B$18</f>
        <v>owner=thomas&amp;filename_for_metadata=InCasa_COR22D123&amp;offchaindata_platform=MongoDB&amp;keyfile=Paul&amp;network=jsonfiles&amp;repository=test</v>
      </c>
      <c r="U286" s="1" t="str">
        <f t="shared" si="9"/>
        <v>{"name":"In Casa #123",_x000D_
"symbol":"COR22D123",_x000D_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6" s="1" t="str">
        <f>formatRow(Tokens!C$2:I$2,Tokens!C286:I286)</f>
        <v>"name":"In Casa #123",_x000D_
"symbol":"COR22D123",_x000D_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6" s="1" t="str">
        <f>formatRow(Tokens!J$2:AV$2,Tokens!J286:AV286,2,"attributes")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6" s="1" t="str">
        <f>formatRow(Tokens!AX$2:BC$2,Tokens!AX286:BC286,2,"creators")</f>
        <v>"creators":[{"address":"paul",_x000D_
"share":10},{"address":"sophie",_x000D_
"share":90}]</v>
      </c>
      <c r="Y286" s="1" t="str">
        <f>formatRow(Tokens!BD$2:BI$2,Tokens!BD286:BI286,2,"files")</f>
        <v>"files":[]</v>
      </c>
      <c r="Z286" s="1"/>
      <c r="AA286" s="1"/>
      <c r="AB286" s="1"/>
      <c r="AC286" s="1" t="str">
        <f>formatRow(Tokens!BJ$2:BK$2,Tokens!BJ286:BK286,0,"collection")</f>
        <v>"collection":{"name":"In Casa",_x000D_
"family":"Calvi On The Rocks"}</v>
      </c>
    </row>
    <row r="287" spans="5:29" ht="14.25" customHeight="1" x14ac:dyDescent="0.25">
      <c r="E287" s="17" t="str">
        <f>IF(Tokens!C287="","",Tokens!C287)</f>
        <v>In Casa #124</v>
      </c>
      <c r="F287"/>
      <c r="G287"/>
      <c r="H287"/>
      <c r="I287"/>
      <c r="J287"/>
      <c r="M287"/>
      <c r="N287"/>
      <c r="O287" s="15" t="str">
        <f t="shared" si="8"/>
        <v>_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/>
      </c>
      <c r="Q287" s="2"/>
      <c r="R287" s="2"/>
      <c r="S287" s="11"/>
      <c r="T287" s="1" t="str">
        <f>"owner=" &amp; Tokens!BS287 &amp; "&amp;filename_for_metadata=" &amp; Tokens!BT287 &amp; "&amp;offchaindata_platform=" &amp; $B$17 &amp; "&amp;keyfile=" &amp; $B$5 &amp; "&amp;network=" &amp; LOWER($B$8) &amp; "&amp;repository=" &amp; $B$18</f>
        <v>owner=thomas&amp;filename_for_metadata=InCasa_COR22D124&amp;offchaindata_platform=MongoDB&amp;keyfile=Paul&amp;network=jsonfiles&amp;repository=test</v>
      </c>
      <c r="U287" s="1" t="str">
        <f t="shared" si="9"/>
        <v>{"name":"In Casa #124",_x000D_
"symbol":"COR22D124",_x000D_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7" s="1" t="str">
        <f>formatRow(Tokens!C$2:I$2,Tokens!C287:I287)</f>
        <v>"name":"In Casa #124",_x000D_
"symbol":"COR22D124",_x000D_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7" s="1" t="str">
        <f>formatRow(Tokens!J$2:AV$2,Tokens!J287:AV287,2,"attributes")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7" s="1" t="str">
        <f>formatRow(Tokens!AX$2:BC$2,Tokens!AX287:BC287,2,"creators")</f>
        <v>"creators":[{"address":"paul",_x000D_
"share":10},{"address":"sophie",_x000D_
"share":90}]</v>
      </c>
      <c r="Y287" s="1" t="str">
        <f>formatRow(Tokens!BD$2:BI$2,Tokens!BD287:BI287,2,"files")</f>
        <v>"files":[]</v>
      </c>
      <c r="Z287" s="1"/>
      <c r="AA287" s="1"/>
      <c r="AB287" s="1"/>
      <c r="AC287" s="1" t="str">
        <f>formatRow(Tokens!BJ$2:BK$2,Tokens!BJ287:BK287,0,"collection")</f>
        <v>"collection":{"name":"In Casa",_x000D_
"family":"Calvi On The Rocks"}</v>
      </c>
    </row>
    <row r="288" spans="5:29" ht="14.25" customHeight="1" x14ac:dyDescent="0.25">
      <c r="E288" s="17" t="str">
        <f>IF(Tokens!C288="","",Tokens!C288)</f>
        <v>In Casa #125</v>
      </c>
      <c r="F288"/>
      <c r="G288"/>
      <c r="H288"/>
      <c r="I288"/>
      <c r="J288"/>
      <c r="M288"/>
      <c r="N288"/>
      <c r="O288" s="15" t="str">
        <f t="shared" si="8"/>
        <v>_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/>
      </c>
      <c r="Q288" s="2"/>
      <c r="R288" s="2"/>
      <c r="S288" s="11"/>
      <c r="T288" s="1" t="str">
        <f>"owner=" &amp; Tokens!BS288 &amp; "&amp;filename_for_metadata=" &amp; Tokens!BT288 &amp; "&amp;offchaindata_platform=" &amp; $B$17 &amp; "&amp;keyfile=" &amp; $B$5 &amp; "&amp;network=" &amp; LOWER($B$8) &amp; "&amp;repository=" &amp; $B$18</f>
        <v>owner=thomas&amp;filename_for_metadata=InCasa_COR22D125&amp;offchaindata_platform=MongoDB&amp;keyfile=Paul&amp;network=jsonfiles&amp;repository=test</v>
      </c>
      <c r="U288" s="1" t="str">
        <f t="shared" si="9"/>
        <v>{"name":"In Casa #125",_x000D_
"symbol":"COR22D125",_x000D_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8" s="1" t="str">
        <f>formatRow(Tokens!C$2:I$2,Tokens!C288:I288)</f>
        <v>"name":"In Casa #125",_x000D_
"symbol":"COR22D125",_x000D_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8" s="1" t="str">
        <f>formatRow(Tokens!J$2:AV$2,Tokens!J288:AV288,2,"attributes")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8" s="1" t="str">
        <f>formatRow(Tokens!AX$2:BC$2,Tokens!AX288:BC288,2,"creators")</f>
        <v>"creators":[{"address":"paul",_x000D_
"share":10},{"address":"sophie",_x000D_
"share":90}]</v>
      </c>
      <c r="Y288" s="1" t="str">
        <f>formatRow(Tokens!BD$2:BI$2,Tokens!BD288:BI288,2,"files")</f>
        <v>"files":[]</v>
      </c>
      <c r="Z288" s="1"/>
      <c r="AA288" s="1"/>
      <c r="AB288" s="1"/>
      <c r="AC288" s="1" t="str">
        <f>formatRow(Tokens!BJ$2:BK$2,Tokens!BJ288:BK288,0,"collection")</f>
        <v>"collection":{"name":"In Casa",_x000D_
"family":"Calvi On The Rocks"}</v>
      </c>
    </row>
    <row r="289" spans="5:29" ht="14.25" customHeight="1" x14ac:dyDescent="0.25">
      <c r="E289" s="17" t="str">
        <f>IF(Tokens!C289="","",Tokens!C289)</f>
        <v>In Casa #126</v>
      </c>
      <c r="F289"/>
      <c r="G289"/>
      <c r="H289"/>
      <c r="I289"/>
      <c r="J289"/>
      <c r="M289"/>
      <c r="N289"/>
      <c r="O289" s="15" t="str">
        <f t="shared" si="8"/>
        <v>_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/>
      </c>
      <c r="Q289" s="2"/>
      <c r="R289" s="2"/>
      <c r="S289" s="11"/>
      <c r="T289" s="1" t="str">
        <f>"owner=" &amp; Tokens!BS289 &amp; "&amp;filename_for_metadata=" &amp; Tokens!BT289 &amp; "&amp;offchaindata_platform=" &amp; $B$17 &amp; "&amp;keyfile=" &amp; $B$5 &amp; "&amp;network=" &amp; LOWER($B$8) &amp; "&amp;repository=" &amp; $B$18</f>
        <v>owner=thomas&amp;filename_for_metadata=InCasa_COR22D126&amp;offchaindata_platform=MongoDB&amp;keyfile=Paul&amp;network=jsonfiles&amp;repository=test</v>
      </c>
      <c r="U289" s="1" t="str">
        <f t="shared" si="9"/>
        <v>{"name":"In Casa #126",_x000D_
"symbol":"COR22D126",_x000D_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89" s="1" t="str">
        <f>formatRow(Tokens!C$2:I$2,Tokens!C289:I289)</f>
        <v>"name":"In Casa #126",_x000D_
"symbol":"COR22D126",_x000D_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89" s="1" t="str">
        <f>formatRow(Tokens!J$2:AV$2,Tokens!J289:AV289,2,"attributes")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89" s="1" t="str">
        <f>formatRow(Tokens!AX$2:BC$2,Tokens!AX289:BC289,2,"creators")</f>
        <v>"creators":[{"address":"paul",_x000D_
"share":10},{"address":"sophie",_x000D_
"share":90}]</v>
      </c>
      <c r="Y289" s="1" t="str">
        <f>formatRow(Tokens!BD$2:BI$2,Tokens!BD289:BI289,2,"files")</f>
        <v>"files":[]</v>
      </c>
      <c r="Z289" s="1"/>
      <c r="AA289" s="1"/>
      <c r="AB289" s="1"/>
      <c r="AC289" s="1" t="str">
        <f>formatRow(Tokens!BJ$2:BK$2,Tokens!BJ289:BK289,0,"collection")</f>
        <v>"collection":{"name":"In Casa",_x000D_
"family":"Calvi On The Rocks"}</v>
      </c>
    </row>
    <row r="290" spans="5:29" ht="14.25" customHeight="1" x14ac:dyDescent="0.25">
      <c r="E290" s="17" t="str">
        <f>IF(Tokens!C290="","",Tokens!C290)</f>
        <v>In Casa #127</v>
      </c>
      <c r="F290"/>
      <c r="G290"/>
      <c r="H290"/>
      <c r="I290"/>
      <c r="J290"/>
      <c r="M290"/>
      <c r="N290"/>
      <c r="O290" s="15" t="str">
        <f t="shared" si="8"/>
        <v>_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/>
      </c>
      <c r="Q290" s="2"/>
      <c r="R290" s="2"/>
      <c r="S290" s="11"/>
      <c r="T290" s="1" t="str">
        <f>"owner=" &amp; Tokens!BS290 &amp; "&amp;filename_for_metadata=" &amp; Tokens!BT290 &amp; "&amp;offchaindata_platform=" &amp; $B$17 &amp; "&amp;keyfile=" &amp; $B$5 &amp; "&amp;network=" &amp; LOWER($B$8) &amp; "&amp;repository=" &amp; $B$18</f>
        <v>owner=thomas&amp;filename_for_metadata=InCasa_COR22D127&amp;offchaindata_platform=MongoDB&amp;keyfile=Paul&amp;network=jsonfiles&amp;repository=test</v>
      </c>
      <c r="U290" s="1" t="str">
        <f t="shared" si="9"/>
        <v>{"name":"In Casa #127",_x000D_
"symbol":"COR22D127",_x000D_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0" s="1" t="str">
        <f>formatRow(Tokens!C$2:I$2,Tokens!C290:I290)</f>
        <v>"name":"In Casa #127",_x000D_
"symbol":"COR22D127",_x000D_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0" s="1" t="str">
        <f>formatRow(Tokens!J$2:AV$2,Tokens!J290:AV290,2,"attributes")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0" s="1" t="str">
        <f>formatRow(Tokens!AX$2:BC$2,Tokens!AX290:BC290,2,"creators")</f>
        <v>"creators":[{"address":"paul",_x000D_
"share":10},{"address":"sophie",_x000D_
"share":90}]</v>
      </c>
      <c r="Y290" s="1" t="str">
        <f>formatRow(Tokens!BD$2:BI$2,Tokens!BD290:BI290,2,"files")</f>
        <v>"files":[]</v>
      </c>
      <c r="Z290" s="1"/>
      <c r="AA290" s="1"/>
      <c r="AB290" s="1"/>
      <c r="AC290" s="1" t="str">
        <f>formatRow(Tokens!BJ$2:BK$2,Tokens!BJ290:BK290,0,"collection")</f>
        <v>"collection":{"name":"In Casa",_x000D_
"family":"Calvi On The Rocks"}</v>
      </c>
    </row>
    <row r="291" spans="5:29" ht="14.25" customHeight="1" x14ac:dyDescent="0.25">
      <c r="E291" s="17" t="str">
        <f>IF(Tokens!C291="","",Tokens!C291)</f>
        <v>In Casa #128</v>
      </c>
      <c r="F291"/>
      <c r="G291"/>
      <c r="H291"/>
      <c r="I291"/>
      <c r="J291"/>
      <c r="M291"/>
      <c r="N291"/>
      <c r="O291" s="15" t="str">
        <f t="shared" si="8"/>
        <v>_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/>
      </c>
      <c r="Q291" s="2"/>
      <c r="R291" s="2"/>
      <c r="S291" s="11"/>
      <c r="T291" s="1" t="str">
        <f>"owner=" &amp; Tokens!BS291 &amp; "&amp;filename_for_metadata=" &amp; Tokens!BT291 &amp; "&amp;offchaindata_platform=" &amp; $B$17 &amp; "&amp;keyfile=" &amp; $B$5 &amp; "&amp;network=" &amp; LOWER($B$8) &amp; "&amp;repository=" &amp; $B$18</f>
        <v>owner=thomas&amp;filename_for_metadata=InCasa_COR22D128&amp;offchaindata_platform=MongoDB&amp;keyfile=Paul&amp;network=jsonfiles&amp;repository=test</v>
      </c>
      <c r="U291" s="1" t="str">
        <f t="shared" si="9"/>
        <v>{"name":"In Casa #128",_x000D_
"symbol":"COR22D128",_x000D_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1" s="1" t="str">
        <f>formatRow(Tokens!C$2:I$2,Tokens!C291:I291)</f>
        <v>"name":"In Casa #128",_x000D_
"symbol":"COR22D128",_x000D_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1" s="1" t="str">
        <f>formatRow(Tokens!J$2:AV$2,Tokens!J291:AV291,2,"attributes")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1" s="1" t="str">
        <f>formatRow(Tokens!AX$2:BC$2,Tokens!AX291:BC291,2,"creators")</f>
        <v>"creators":[{"address":"paul",_x000D_
"share":10},{"address":"sophie",_x000D_
"share":90}]</v>
      </c>
      <c r="Y291" s="1" t="str">
        <f>formatRow(Tokens!BD$2:BI$2,Tokens!BD291:BI291,2,"files")</f>
        <v>"files":[]</v>
      </c>
      <c r="Z291" s="1"/>
      <c r="AA291" s="1"/>
      <c r="AB291" s="1"/>
      <c r="AC291" s="1" t="str">
        <f>formatRow(Tokens!BJ$2:BK$2,Tokens!BJ291:BK291,0,"collection")</f>
        <v>"collection":{"name":"In Casa",_x000D_
"family":"Calvi On The Rocks"}</v>
      </c>
    </row>
    <row r="292" spans="5:29" ht="14.25" customHeight="1" x14ac:dyDescent="0.25">
      <c r="E292" s="17" t="str">
        <f>IF(Tokens!C292="","",Tokens!C292)</f>
        <v>In Casa #129</v>
      </c>
      <c r="F292"/>
      <c r="G292"/>
      <c r="H292"/>
      <c r="I292"/>
      <c r="J292"/>
      <c r="M292"/>
      <c r="N292"/>
      <c r="O292" s="15" t="str">
        <f t="shared" si="8"/>
        <v>_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/>
      </c>
      <c r="Q292" s="2"/>
      <c r="R292" s="2"/>
      <c r="S292" s="11"/>
      <c r="T292" s="1" t="str">
        <f>"owner=" &amp; Tokens!BS292 &amp; "&amp;filename_for_metadata=" &amp; Tokens!BT292 &amp; "&amp;offchaindata_platform=" &amp; $B$17 &amp; "&amp;keyfile=" &amp; $B$5 &amp; "&amp;network=" &amp; LOWER($B$8) &amp; "&amp;repository=" &amp; $B$18</f>
        <v>owner=thomas&amp;filename_for_metadata=InCasa_COR22D129&amp;offchaindata_platform=MongoDB&amp;keyfile=Paul&amp;network=jsonfiles&amp;repository=test</v>
      </c>
      <c r="U292" s="1" t="str">
        <f t="shared" si="9"/>
        <v>{"name":"In Casa #129",_x000D_
"symbol":"COR22D129",_x000D_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2" s="1" t="str">
        <f>formatRow(Tokens!C$2:I$2,Tokens!C292:I292)</f>
        <v>"name":"In Casa #129",_x000D_
"symbol":"COR22D129",_x000D_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2" s="1" t="str">
        <f>formatRow(Tokens!J$2:AV$2,Tokens!J292:AV292,2,"attributes")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2" s="1" t="str">
        <f>formatRow(Tokens!AX$2:BC$2,Tokens!AX292:BC292,2,"creators")</f>
        <v>"creators":[{"address":"paul",_x000D_
"share":10},{"address":"sophie",_x000D_
"share":90}]</v>
      </c>
      <c r="Y292" s="1" t="str">
        <f>formatRow(Tokens!BD$2:BI$2,Tokens!BD292:BI292,2,"files")</f>
        <v>"files":[]</v>
      </c>
      <c r="Z292" s="1"/>
      <c r="AA292" s="1"/>
      <c r="AB292" s="1"/>
      <c r="AC292" s="1" t="str">
        <f>formatRow(Tokens!BJ$2:BK$2,Tokens!BJ292:BK292,0,"collection")</f>
        <v>"collection":{"name":"In Casa",_x000D_
"family":"Calvi On The Rocks"}</v>
      </c>
    </row>
    <row r="293" spans="5:29" ht="14.25" customHeight="1" x14ac:dyDescent="0.25">
      <c r="E293" s="17" t="str">
        <f>IF(Tokens!C293="","",Tokens!C293)</f>
        <v>In Casa #130</v>
      </c>
      <c r="F293"/>
      <c r="G293"/>
      <c r="H293"/>
      <c r="I293"/>
      <c r="J293"/>
      <c r="M293"/>
      <c r="N293"/>
      <c r="O293" s="15" t="str">
        <f t="shared" si="8"/>
        <v>_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/>
      </c>
      <c r="Q293" s="2"/>
      <c r="R293" s="2"/>
      <c r="S293" s="11"/>
      <c r="T293" s="1" t="str">
        <f>"owner=" &amp; Tokens!BS293 &amp; "&amp;filename_for_metadata=" &amp; Tokens!BT293 &amp; "&amp;offchaindata_platform=" &amp; $B$17 &amp; "&amp;keyfile=" &amp; $B$5 &amp; "&amp;network=" &amp; LOWER($B$8) &amp; "&amp;repository=" &amp; $B$18</f>
        <v>owner=thomas&amp;filename_for_metadata=InCasa_COR22D130&amp;offchaindata_platform=MongoDB&amp;keyfile=Paul&amp;network=jsonfiles&amp;repository=test</v>
      </c>
      <c r="U293" s="1" t="str">
        <f t="shared" si="9"/>
        <v>{"name":"In Casa #130",_x000D_
"symbol":"COR22D130",_x000D_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3" s="1" t="str">
        <f>formatRow(Tokens!C$2:I$2,Tokens!C293:I293)</f>
        <v>"name":"In Casa #130",_x000D_
"symbol":"COR22D130",_x000D_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3" s="1" t="str">
        <f>formatRow(Tokens!J$2:AV$2,Tokens!J293:AV293,2,"attributes")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3" s="1" t="str">
        <f>formatRow(Tokens!AX$2:BC$2,Tokens!AX293:BC293,2,"creators")</f>
        <v>"creators":[{"address":"paul",_x000D_
"share":10},{"address":"sophie",_x000D_
"share":90}]</v>
      </c>
      <c r="Y293" s="1" t="str">
        <f>formatRow(Tokens!BD$2:BI$2,Tokens!BD293:BI293,2,"files")</f>
        <v>"files":[]</v>
      </c>
      <c r="Z293" s="1"/>
      <c r="AA293" s="1"/>
      <c r="AB293" s="1"/>
      <c r="AC293" s="1" t="str">
        <f>formatRow(Tokens!BJ$2:BK$2,Tokens!BJ293:BK293,0,"collection")</f>
        <v>"collection":{"name":"In Casa",_x000D_
"family":"Calvi On The Rocks"}</v>
      </c>
    </row>
    <row r="294" spans="5:29" ht="14.25" customHeight="1" x14ac:dyDescent="0.25">
      <c r="E294" s="17" t="str">
        <f>IF(Tokens!C294="","",Tokens!C294)</f>
        <v>In Casa #131</v>
      </c>
      <c r="F294"/>
      <c r="G294"/>
      <c r="H294"/>
      <c r="I294"/>
      <c r="J294"/>
      <c r="M294"/>
      <c r="N294"/>
      <c r="O294" s="15" t="str">
        <f t="shared" si="8"/>
        <v>_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/>
      </c>
      <c r="Q294" s="2"/>
      <c r="R294" s="2"/>
      <c r="S294" s="11"/>
      <c r="T294" s="1" t="str">
        <f>"owner=" &amp; Tokens!BS294 &amp; "&amp;filename_for_metadata=" &amp; Tokens!BT294 &amp; "&amp;offchaindata_platform=" &amp; $B$17 &amp; "&amp;keyfile=" &amp; $B$5 &amp; "&amp;network=" &amp; LOWER($B$8) &amp; "&amp;repository=" &amp; $B$18</f>
        <v>owner=thomas&amp;filename_for_metadata=InCasa_COR22D131&amp;offchaindata_platform=MongoDB&amp;keyfile=Paul&amp;network=jsonfiles&amp;repository=test</v>
      </c>
      <c r="U294" s="1" t="str">
        <f t="shared" si="9"/>
        <v>{"name":"In Casa #131",_x000D_
"symbol":"COR22D131",_x000D_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4" s="1" t="str">
        <f>formatRow(Tokens!C$2:I$2,Tokens!C294:I294)</f>
        <v>"name":"In Casa #131",_x000D_
"symbol":"COR22D131",_x000D_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4" s="1" t="str">
        <f>formatRow(Tokens!J$2:AV$2,Tokens!J294:AV294,2,"attributes")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4" s="1" t="str">
        <f>formatRow(Tokens!AX$2:BC$2,Tokens!AX294:BC294,2,"creators")</f>
        <v>"creators":[{"address":"paul",_x000D_
"share":10},{"address":"sophie",_x000D_
"share":90}]</v>
      </c>
      <c r="Y294" s="1" t="str">
        <f>formatRow(Tokens!BD$2:BI$2,Tokens!BD294:BI294,2,"files")</f>
        <v>"files":[]</v>
      </c>
      <c r="Z294" s="1"/>
      <c r="AA294" s="1"/>
      <c r="AB294" s="1"/>
      <c r="AC294" s="1" t="str">
        <f>formatRow(Tokens!BJ$2:BK$2,Tokens!BJ294:BK294,0,"collection")</f>
        <v>"collection":{"name":"In Casa",_x000D_
"family":"Calvi On The Rocks"}</v>
      </c>
    </row>
    <row r="295" spans="5:29" ht="14.25" customHeight="1" x14ac:dyDescent="0.25">
      <c r="E295" s="17" t="str">
        <f>IF(Tokens!C295="","",Tokens!C295)</f>
        <v>In Casa #132</v>
      </c>
      <c r="F295"/>
      <c r="G295"/>
      <c r="H295"/>
      <c r="I295"/>
      <c r="J295"/>
      <c r="M295"/>
      <c r="N295"/>
      <c r="O295" s="15" t="str">
        <f t="shared" si="8"/>
        <v>_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/>
      </c>
      <c r="Q295" s="2"/>
      <c r="R295" s="2"/>
      <c r="S295" s="11"/>
      <c r="T295" s="1" t="str">
        <f>"owner=" &amp; Tokens!BS295 &amp; "&amp;filename_for_metadata=" &amp; Tokens!BT295 &amp; "&amp;offchaindata_platform=" &amp; $B$17 &amp; "&amp;keyfile=" &amp; $B$5 &amp; "&amp;network=" &amp; LOWER($B$8) &amp; "&amp;repository=" &amp; $B$18</f>
        <v>owner=thomas&amp;filename_for_metadata=InCasa_COR22D132&amp;offchaindata_platform=MongoDB&amp;keyfile=Paul&amp;network=jsonfiles&amp;repository=test</v>
      </c>
      <c r="U295" s="1" t="str">
        <f t="shared" si="9"/>
        <v>{"name":"In Casa #132",_x000D_
"symbol":"COR22D132",_x000D_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5" s="1" t="str">
        <f>formatRow(Tokens!C$2:I$2,Tokens!C295:I295)</f>
        <v>"name":"In Casa #132",_x000D_
"symbol":"COR22D132",_x000D_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5" s="1" t="str">
        <f>formatRow(Tokens!J$2:AV$2,Tokens!J295:AV295,2,"attributes")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5" s="1" t="str">
        <f>formatRow(Tokens!AX$2:BC$2,Tokens!AX295:BC295,2,"creators")</f>
        <v>"creators":[{"address":"paul",_x000D_
"share":10},{"address":"sophie",_x000D_
"share":90}]</v>
      </c>
      <c r="Y295" s="1" t="str">
        <f>formatRow(Tokens!BD$2:BI$2,Tokens!BD295:BI295,2,"files")</f>
        <v>"files":[]</v>
      </c>
      <c r="Z295" s="1"/>
      <c r="AA295" s="1"/>
      <c r="AB295" s="1"/>
      <c r="AC295" s="1" t="str">
        <f>formatRow(Tokens!BJ$2:BK$2,Tokens!BJ295:BK295,0,"collection")</f>
        <v>"collection":{"name":"In Casa",_x000D_
"family":"Calvi On The Rocks"}</v>
      </c>
    </row>
    <row r="296" spans="5:29" ht="14.25" customHeight="1" x14ac:dyDescent="0.25">
      <c r="E296" s="17" t="str">
        <f>IF(Tokens!C296="","",Tokens!C296)</f>
        <v>In Casa #133</v>
      </c>
      <c r="F296"/>
      <c r="G296"/>
      <c r="H296"/>
      <c r="I296"/>
      <c r="J296"/>
      <c r="M296"/>
      <c r="N296"/>
      <c r="O296" s="15" t="str">
        <f t="shared" si="8"/>
        <v>_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/>
      </c>
      <c r="Q296" s="2"/>
      <c r="R296" s="2"/>
      <c r="S296" s="11"/>
      <c r="T296" s="1" t="str">
        <f>"owner=" &amp; Tokens!BS296 &amp; "&amp;filename_for_metadata=" &amp; Tokens!BT296 &amp; "&amp;offchaindata_platform=" &amp; $B$17 &amp; "&amp;keyfile=" &amp; $B$5 &amp; "&amp;network=" &amp; LOWER($B$8) &amp; "&amp;repository=" &amp; $B$18</f>
        <v>owner=thomas&amp;filename_for_metadata=InCasa_COR22D133&amp;offchaindata_platform=MongoDB&amp;keyfile=Paul&amp;network=jsonfiles&amp;repository=test</v>
      </c>
      <c r="U296" s="1" t="str">
        <f t="shared" si="9"/>
        <v>{"name":"In Casa #133",_x000D_
"symbol":"COR22D133",_x000D_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6" s="1" t="str">
        <f>formatRow(Tokens!C$2:I$2,Tokens!C296:I296)</f>
        <v>"name":"In Casa #133",_x000D_
"symbol":"COR22D133",_x000D_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6" s="1" t="str">
        <f>formatRow(Tokens!J$2:AV$2,Tokens!J296:AV296,2,"attributes")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6" s="1" t="str">
        <f>formatRow(Tokens!AX$2:BC$2,Tokens!AX296:BC296,2,"creators")</f>
        <v>"creators":[{"address":"paul",_x000D_
"share":10},{"address":"sophie",_x000D_
"share":90}]</v>
      </c>
      <c r="Y296" s="1" t="str">
        <f>formatRow(Tokens!BD$2:BI$2,Tokens!BD296:BI296,2,"files")</f>
        <v>"files":[]</v>
      </c>
      <c r="Z296" s="1"/>
      <c r="AA296" s="1"/>
      <c r="AB296" s="1"/>
      <c r="AC296" s="1" t="str">
        <f>formatRow(Tokens!BJ$2:BK$2,Tokens!BJ296:BK296,0,"collection")</f>
        <v>"collection":{"name":"In Casa",_x000D_
"family":"Calvi On The Rocks"}</v>
      </c>
    </row>
    <row r="297" spans="5:29" ht="14.25" customHeight="1" x14ac:dyDescent="0.25">
      <c r="E297" s="17" t="str">
        <f>IF(Tokens!C297="","",Tokens!C297)</f>
        <v>In Casa #134</v>
      </c>
      <c r="F297"/>
      <c r="G297"/>
      <c r="H297"/>
      <c r="I297"/>
      <c r="J297"/>
      <c r="M297"/>
      <c r="N297"/>
      <c r="O297" s="15" t="str">
        <f t="shared" si="8"/>
        <v>_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/>
      </c>
      <c r="Q297" s="2"/>
      <c r="R297" s="2"/>
      <c r="S297" s="11"/>
      <c r="T297" s="1" t="str">
        <f>"owner=" &amp; Tokens!BS297 &amp; "&amp;filename_for_metadata=" &amp; Tokens!BT297 &amp; "&amp;offchaindata_platform=" &amp; $B$17 &amp; "&amp;keyfile=" &amp; $B$5 &amp; "&amp;network=" &amp; LOWER($B$8) &amp; "&amp;repository=" &amp; $B$18</f>
        <v>owner=thomas&amp;filename_for_metadata=InCasa_COR22D134&amp;offchaindata_platform=MongoDB&amp;keyfile=Paul&amp;network=jsonfiles&amp;repository=test</v>
      </c>
      <c r="U297" s="1" t="str">
        <f t="shared" si="9"/>
        <v>{"name":"In Casa #134",_x000D_
"symbol":"COR22D134",_x000D_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7" s="1" t="str">
        <f>formatRow(Tokens!C$2:I$2,Tokens!C297:I297)</f>
        <v>"name":"In Casa #134",_x000D_
"symbol":"COR22D134",_x000D_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7" s="1" t="str">
        <f>formatRow(Tokens!J$2:AV$2,Tokens!J297:AV297,2,"attributes")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7" s="1" t="str">
        <f>formatRow(Tokens!AX$2:BC$2,Tokens!AX297:BC297,2,"creators")</f>
        <v>"creators":[{"address":"paul",_x000D_
"share":10},{"address":"sophie",_x000D_
"share":90}]</v>
      </c>
      <c r="Y297" s="1" t="str">
        <f>formatRow(Tokens!BD$2:BI$2,Tokens!BD297:BI297,2,"files")</f>
        <v>"files":[]</v>
      </c>
      <c r="Z297" s="1"/>
      <c r="AA297" s="1"/>
      <c r="AB297" s="1"/>
      <c r="AC297" s="1" t="str">
        <f>formatRow(Tokens!BJ$2:BK$2,Tokens!BJ297:BK297,0,"collection")</f>
        <v>"collection":{"name":"In Casa",_x000D_
"family":"Calvi On The Rocks"}</v>
      </c>
    </row>
    <row r="298" spans="5:29" ht="14.25" customHeight="1" x14ac:dyDescent="0.25">
      <c r="E298" s="17" t="str">
        <f>IF(Tokens!C298="","",Tokens!C298)</f>
        <v>In Casa #135</v>
      </c>
      <c r="F298"/>
      <c r="G298"/>
      <c r="H298"/>
      <c r="I298"/>
      <c r="J298"/>
      <c r="M298"/>
      <c r="N298"/>
      <c r="O298" s="15" t="str">
        <f t="shared" si="8"/>
        <v>_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/>
      </c>
      <c r="Q298" s="2"/>
      <c r="R298" s="2"/>
      <c r="S298" s="11"/>
      <c r="T298" s="1" t="str">
        <f>"owner=" &amp; Tokens!BS298 &amp; "&amp;filename_for_metadata=" &amp; Tokens!BT298 &amp; "&amp;offchaindata_platform=" &amp; $B$17 &amp; "&amp;keyfile=" &amp; $B$5 &amp; "&amp;network=" &amp; LOWER($B$8) &amp; "&amp;repository=" &amp; $B$18</f>
        <v>owner=thomas&amp;filename_for_metadata=InCasa_COR22D135&amp;offchaindata_platform=MongoDB&amp;keyfile=Paul&amp;network=jsonfiles&amp;repository=test</v>
      </c>
      <c r="U298" s="1" t="str">
        <f t="shared" si="9"/>
        <v>{"name":"In Casa #135",_x000D_
"symbol":"COR22D135",_x000D_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8" s="1" t="str">
        <f>formatRow(Tokens!C$2:I$2,Tokens!C298:I298)</f>
        <v>"name":"In Casa #135",_x000D_
"symbol":"COR22D135",_x000D_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8" s="1" t="str">
        <f>formatRow(Tokens!J$2:AV$2,Tokens!J298:AV298,2,"attributes")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8" s="1" t="str">
        <f>formatRow(Tokens!AX$2:BC$2,Tokens!AX298:BC298,2,"creators")</f>
        <v>"creators":[{"address":"paul",_x000D_
"share":10},{"address":"sophie",_x000D_
"share":90}]</v>
      </c>
      <c r="Y298" s="1" t="str">
        <f>formatRow(Tokens!BD$2:BI$2,Tokens!BD298:BI298,2,"files")</f>
        <v>"files":[]</v>
      </c>
      <c r="Z298" s="1"/>
      <c r="AA298" s="1"/>
      <c r="AB298" s="1"/>
      <c r="AC298" s="1" t="str">
        <f>formatRow(Tokens!BJ$2:BK$2,Tokens!BJ298:BK298,0,"collection")</f>
        <v>"collection":{"name":"In Casa",_x000D_
"family":"Calvi On The Rocks"}</v>
      </c>
    </row>
    <row r="299" spans="5:29" ht="14.25" customHeight="1" x14ac:dyDescent="0.25">
      <c r="E299" s="17" t="str">
        <f>IF(Tokens!C299="","",Tokens!C299)</f>
        <v>In Casa #136</v>
      </c>
      <c r="F299"/>
      <c r="G299"/>
      <c r="H299"/>
      <c r="I299"/>
      <c r="J299"/>
      <c r="M299"/>
      <c r="N299"/>
      <c r="O299" s="15" t="str">
        <f t="shared" si="8"/>
        <v>_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/>
      </c>
      <c r="Q299" s="2"/>
      <c r="R299" s="2"/>
      <c r="S299" s="11"/>
      <c r="T299" s="1" t="str">
        <f>"owner=" &amp; Tokens!BS299 &amp; "&amp;filename_for_metadata=" &amp; Tokens!BT299 &amp; "&amp;offchaindata_platform=" &amp; $B$17 &amp; "&amp;keyfile=" &amp; $B$5 &amp; "&amp;network=" &amp; LOWER($B$8) &amp; "&amp;repository=" &amp; $B$18</f>
        <v>owner=thomas&amp;filename_for_metadata=InCasa_COR22D136&amp;offchaindata_platform=MongoDB&amp;keyfile=Paul&amp;network=jsonfiles&amp;repository=test</v>
      </c>
      <c r="U299" s="1" t="str">
        <f t="shared" si="9"/>
        <v>{"name":"In Casa #136",_x000D_
"symbol":"COR22D136",_x000D_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299" s="1" t="str">
        <f>formatRow(Tokens!C$2:I$2,Tokens!C299:I299)</f>
        <v>"name":"In Casa #136",_x000D_
"symbol":"COR22D136",_x000D_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299" s="1" t="str">
        <f>formatRow(Tokens!J$2:AV$2,Tokens!J299:AV299,2,"attributes")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299" s="1" t="str">
        <f>formatRow(Tokens!AX$2:BC$2,Tokens!AX299:BC299,2,"creators")</f>
        <v>"creators":[{"address":"paul",_x000D_
"share":10},{"address":"sophie",_x000D_
"share":90}]</v>
      </c>
      <c r="Y299" s="1" t="str">
        <f>formatRow(Tokens!BD$2:BI$2,Tokens!BD299:BI299,2,"files")</f>
        <v>"files":[]</v>
      </c>
      <c r="Z299" s="1"/>
      <c r="AA299" s="1"/>
      <c r="AB299" s="1"/>
      <c r="AC299" s="1" t="str">
        <f>formatRow(Tokens!BJ$2:BK$2,Tokens!BJ299:BK299,0,"collection")</f>
        <v>"collection":{"name":"In Casa",_x000D_
"family":"Calvi On The Rocks"}</v>
      </c>
    </row>
    <row r="300" spans="5:29" ht="14.25" customHeight="1" x14ac:dyDescent="0.25">
      <c r="E300" s="17" t="str">
        <f>IF(Tokens!C300="","",Tokens!C300)</f>
        <v>In Casa #137</v>
      </c>
      <c r="F300"/>
      <c r="G300"/>
      <c r="H300"/>
      <c r="I300"/>
      <c r="J300"/>
      <c r="M300"/>
      <c r="N300"/>
      <c r="O300" s="15" t="str">
        <f t="shared" si="8"/>
        <v>_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/>
      </c>
      <c r="Q300" s="2"/>
      <c r="R300" s="2"/>
      <c r="S300" s="11"/>
      <c r="T300" s="1" t="str">
        <f>"owner=" &amp; Tokens!BS300 &amp; "&amp;filename_for_metadata=" &amp; Tokens!BT300 &amp; "&amp;offchaindata_platform=" &amp; $B$17 &amp; "&amp;keyfile=" &amp; $B$5 &amp; "&amp;network=" &amp; LOWER($B$8) &amp; "&amp;repository=" &amp; $B$18</f>
        <v>owner=thomas&amp;filename_for_metadata=InCasa_COR22D137&amp;offchaindata_platform=MongoDB&amp;keyfile=Paul&amp;network=jsonfiles&amp;repository=test</v>
      </c>
      <c r="U300" s="1" t="str">
        <f t="shared" si="9"/>
        <v>{"name":"In Casa #137",_x000D_
"symbol":"COR22D137",_x000D_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0" s="1" t="str">
        <f>formatRow(Tokens!C$2:I$2,Tokens!C300:I300)</f>
        <v>"name":"In Casa #137",_x000D_
"symbol":"COR22D137",_x000D_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0" s="1" t="str">
        <f>formatRow(Tokens!J$2:AV$2,Tokens!J300:AV300,2,"attributes")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0" s="1" t="str">
        <f>formatRow(Tokens!AX$2:BC$2,Tokens!AX300:BC300,2,"creators")</f>
        <v>"creators":[{"address":"paul",_x000D_
"share":10},{"address":"sophie",_x000D_
"share":90}]</v>
      </c>
      <c r="Y300" s="1" t="str">
        <f>formatRow(Tokens!BD$2:BI$2,Tokens!BD300:BI300,2,"files")</f>
        <v>"files":[]</v>
      </c>
      <c r="Z300" s="1"/>
      <c r="AA300" s="1"/>
      <c r="AB300" s="1"/>
      <c r="AC300" s="1" t="str">
        <f>formatRow(Tokens!BJ$2:BK$2,Tokens!BJ300:BK300,0,"collection")</f>
        <v>"collection":{"name":"In Casa",_x000D_
"family":"Calvi On The Rocks"}</v>
      </c>
    </row>
    <row r="301" spans="5:29" ht="14.25" customHeight="1" x14ac:dyDescent="0.25">
      <c r="E301" s="17" t="str">
        <f>IF(Tokens!C301="","",Tokens!C301)</f>
        <v>In Casa #138</v>
      </c>
      <c r="F301"/>
      <c r="G301"/>
      <c r="H301"/>
      <c r="I301"/>
      <c r="J301"/>
      <c r="M301"/>
      <c r="N301"/>
      <c r="O301" s="15" t="str">
        <f t="shared" si="8"/>
        <v>_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/>
      </c>
      <c r="Q301" s="2"/>
      <c r="R301" s="2"/>
      <c r="S301" s="11"/>
      <c r="T301" s="1" t="str">
        <f>"owner=" &amp; Tokens!BS301 &amp; "&amp;filename_for_metadata=" &amp; Tokens!BT301 &amp; "&amp;offchaindata_platform=" &amp; $B$17 &amp; "&amp;keyfile=" &amp; $B$5 &amp; "&amp;network=" &amp; LOWER($B$8) &amp; "&amp;repository=" &amp; $B$18</f>
        <v>owner=thomas&amp;filename_for_metadata=InCasa_COR22D138&amp;offchaindata_platform=MongoDB&amp;keyfile=Paul&amp;network=jsonfiles&amp;repository=test</v>
      </c>
      <c r="U301" s="1" t="str">
        <f t="shared" si="9"/>
        <v>{"name":"In Casa #138",_x000D_
"symbol":"COR22D138",_x000D_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1" s="1" t="str">
        <f>formatRow(Tokens!C$2:I$2,Tokens!C301:I301)</f>
        <v>"name":"In Casa #138",_x000D_
"symbol":"COR22D138",_x000D_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1" s="1" t="str">
        <f>formatRow(Tokens!J$2:AV$2,Tokens!J301:AV301,2,"attributes")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1" s="1" t="str">
        <f>formatRow(Tokens!AX$2:BC$2,Tokens!AX301:BC301,2,"creators")</f>
        <v>"creators":[{"address":"paul",_x000D_
"share":10},{"address":"sophie",_x000D_
"share":90}]</v>
      </c>
      <c r="Y301" s="1" t="str">
        <f>formatRow(Tokens!BD$2:BI$2,Tokens!BD301:BI301,2,"files")</f>
        <v>"files":[]</v>
      </c>
      <c r="Z301" s="1"/>
      <c r="AA301" s="1"/>
      <c r="AB301" s="1"/>
      <c r="AC301" s="1" t="str">
        <f>formatRow(Tokens!BJ$2:BK$2,Tokens!BJ301:BK301,0,"collection")</f>
        <v>"collection":{"name":"In Casa",_x000D_
"family":"Calvi On The Rocks"}</v>
      </c>
    </row>
    <row r="302" spans="5:29" ht="14.25" customHeight="1" x14ac:dyDescent="0.25">
      <c r="E302" s="17" t="str">
        <f>IF(Tokens!C302="","",Tokens!C302)</f>
        <v>In Casa #139</v>
      </c>
      <c r="F302"/>
      <c r="G302"/>
      <c r="H302"/>
      <c r="I302"/>
      <c r="J302"/>
      <c r="M302"/>
      <c r="N302"/>
      <c r="O302" s="15" t="str">
        <f t="shared" si="8"/>
        <v>_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/>
      </c>
      <c r="Q302" s="2"/>
      <c r="R302" s="2"/>
      <c r="S302" s="11"/>
      <c r="T302" s="1" t="str">
        <f>"owner=" &amp; Tokens!BS302 &amp; "&amp;filename_for_metadata=" &amp; Tokens!BT302 &amp; "&amp;offchaindata_platform=" &amp; $B$17 &amp; "&amp;keyfile=" &amp; $B$5 &amp; "&amp;network=" &amp; LOWER($B$8) &amp; "&amp;repository=" &amp; $B$18</f>
        <v>owner=thomas&amp;filename_for_metadata=InCasa_COR22D139&amp;offchaindata_platform=MongoDB&amp;keyfile=Paul&amp;network=jsonfiles&amp;repository=test</v>
      </c>
      <c r="U302" s="1" t="str">
        <f t="shared" si="9"/>
        <v>{"name":"In Casa #139",_x000D_
"symbol":"COR22D139",_x000D_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2" s="1" t="str">
        <f>formatRow(Tokens!C$2:I$2,Tokens!C302:I302)</f>
        <v>"name":"In Casa #139",_x000D_
"symbol":"COR22D139",_x000D_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2" s="1" t="str">
        <f>formatRow(Tokens!J$2:AV$2,Tokens!J302:AV302,2,"attributes")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2" s="1" t="str">
        <f>formatRow(Tokens!AX$2:BC$2,Tokens!AX302:BC302,2,"creators")</f>
        <v>"creators":[{"address":"paul",_x000D_
"share":10},{"address":"sophie",_x000D_
"share":90}]</v>
      </c>
      <c r="Y302" s="1" t="str">
        <f>formatRow(Tokens!BD$2:BI$2,Tokens!BD302:BI302,2,"files")</f>
        <v>"files":[]</v>
      </c>
      <c r="Z302" s="1"/>
      <c r="AA302" s="1"/>
      <c r="AB302" s="1"/>
      <c r="AC302" s="1" t="str">
        <f>formatRow(Tokens!BJ$2:BK$2,Tokens!BJ302:BK302,0,"collection")</f>
        <v>"collection":{"name":"In Casa",_x000D_
"family":"Calvi On The Rocks"}</v>
      </c>
    </row>
    <row r="303" spans="5:29" ht="14.25" customHeight="1" x14ac:dyDescent="0.25">
      <c r="E303" s="17" t="str">
        <f>IF(Tokens!C303="","",Tokens!C303)</f>
        <v>In Casa #140</v>
      </c>
      <c r="F303"/>
      <c r="G303"/>
      <c r="H303"/>
      <c r="I303"/>
      <c r="J303"/>
      <c r="M303"/>
      <c r="N303"/>
      <c r="O303" s="15" t="str">
        <f t="shared" si="8"/>
        <v>_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/>
      </c>
      <c r="Q303" s="2"/>
      <c r="R303" s="2"/>
      <c r="S303" s="11"/>
      <c r="T303" s="1" t="str">
        <f>"owner=" &amp; Tokens!BS303 &amp; "&amp;filename_for_metadata=" &amp; Tokens!BT303 &amp; "&amp;offchaindata_platform=" &amp; $B$17 &amp; "&amp;keyfile=" &amp; $B$5 &amp; "&amp;network=" &amp; LOWER($B$8) &amp; "&amp;repository=" &amp; $B$18</f>
        <v>owner=thomas&amp;filename_for_metadata=InCasa_COR22D140&amp;offchaindata_platform=MongoDB&amp;keyfile=Paul&amp;network=jsonfiles&amp;repository=test</v>
      </c>
      <c r="U303" s="1" t="str">
        <f t="shared" si="9"/>
        <v>{"name":"In Casa #140",_x000D_
"symbol":"COR22D140",_x000D_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3" s="1" t="str">
        <f>formatRow(Tokens!C$2:I$2,Tokens!C303:I303)</f>
        <v>"name":"In Casa #140",_x000D_
"symbol":"COR22D140",_x000D_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3" s="1" t="str">
        <f>formatRow(Tokens!J$2:AV$2,Tokens!J303:AV303,2,"attributes")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3" s="1" t="str">
        <f>formatRow(Tokens!AX$2:BC$2,Tokens!AX303:BC303,2,"creators")</f>
        <v>"creators":[{"address":"paul",_x000D_
"share":10},{"address":"sophie",_x000D_
"share":90}]</v>
      </c>
      <c r="Y303" s="1" t="str">
        <f>formatRow(Tokens!BD$2:BI$2,Tokens!BD303:BI303,2,"files")</f>
        <v>"files":[]</v>
      </c>
      <c r="Z303" s="1"/>
      <c r="AA303" s="1"/>
      <c r="AB303" s="1"/>
      <c r="AC303" s="1" t="str">
        <f>formatRow(Tokens!BJ$2:BK$2,Tokens!BJ303:BK303,0,"collection")</f>
        <v>"collection":{"name":"In Casa",_x000D_
"family":"Calvi On The Rocks"}</v>
      </c>
    </row>
    <row r="304" spans="5:29" ht="14.25" customHeight="1" x14ac:dyDescent="0.25">
      <c r="E304" s="17" t="str">
        <f>IF(Tokens!C304="","",Tokens!C304)</f>
        <v>In Casa #141</v>
      </c>
      <c r="F304"/>
      <c r="G304"/>
      <c r="H304"/>
      <c r="I304"/>
      <c r="J304"/>
      <c r="M304"/>
      <c r="N304"/>
      <c r="O304" s="15" t="str">
        <f t="shared" si="8"/>
        <v>_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/>
      </c>
      <c r="Q304" s="2"/>
      <c r="R304" s="2"/>
      <c r="S304" s="11"/>
      <c r="T304" s="1" t="str">
        <f>"owner=" &amp; Tokens!BS304 &amp; "&amp;filename_for_metadata=" &amp; Tokens!BT304 &amp; "&amp;offchaindata_platform=" &amp; $B$17 &amp; "&amp;keyfile=" &amp; $B$5 &amp; "&amp;network=" &amp; LOWER($B$8) &amp; "&amp;repository=" &amp; $B$18</f>
        <v>owner=thomas&amp;filename_for_metadata=InCasa_COR22D141&amp;offchaindata_platform=MongoDB&amp;keyfile=Paul&amp;network=jsonfiles&amp;repository=test</v>
      </c>
      <c r="U304" s="1" t="str">
        <f t="shared" si="9"/>
        <v>{"name":"In Casa #141",_x000D_
"symbol":"COR22D141",_x000D_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4" s="1" t="str">
        <f>formatRow(Tokens!C$2:I$2,Tokens!C304:I304)</f>
        <v>"name":"In Casa #141",_x000D_
"symbol":"COR22D141",_x000D_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4" s="1" t="str">
        <f>formatRow(Tokens!J$2:AV$2,Tokens!J304:AV304,2,"attributes")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4" s="1" t="str">
        <f>formatRow(Tokens!AX$2:BC$2,Tokens!AX304:BC304,2,"creators")</f>
        <v>"creators":[{"address":"paul",_x000D_
"share":10},{"address":"sophie",_x000D_
"share":90}]</v>
      </c>
      <c r="Y304" s="1" t="str">
        <f>formatRow(Tokens!BD$2:BI$2,Tokens!BD304:BI304,2,"files")</f>
        <v>"files":[]</v>
      </c>
      <c r="Z304" s="1"/>
      <c r="AA304" s="1"/>
      <c r="AB304" s="1"/>
      <c r="AC304" s="1" t="str">
        <f>formatRow(Tokens!BJ$2:BK$2,Tokens!BJ304:BK304,0,"collection")</f>
        <v>"collection":{"name":"In Casa",_x000D_
"family":"Calvi On The Rocks"}</v>
      </c>
    </row>
    <row r="305" spans="5:29" ht="14.25" customHeight="1" x14ac:dyDescent="0.25">
      <c r="E305" s="17" t="str">
        <f>IF(Tokens!C305="","",Tokens!C305)</f>
        <v>In Casa #142</v>
      </c>
      <c r="F305"/>
      <c r="G305"/>
      <c r="H305"/>
      <c r="I305"/>
      <c r="J305"/>
      <c r="M305"/>
      <c r="N305"/>
      <c r="O305" s="15" t="str">
        <f t="shared" si="8"/>
        <v>_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/>
      </c>
      <c r="Q305" s="2"/>
      <c r="R305" s="2"/>
      <c r="S305" s="11"/>
      <c r="T305" s="1" t="str">
        <f>"owner=" &amp; Tokens!BS305 &amp; "&amp;filename_for_metadata=" &amp; Tokens!BT305 &amp; "&amp;offchaindata_platform=" &amp; $B$17 &amp; "&amp;keyfile=" &amp; $B$5 &amp; "&amp;network=" &amp; LOWER($B$8) &amp; "&amp;repository=" &amp; $B$18</f>
        <v>owner=thomas&amp;filename_for_metadata=InCasa_COR22D142&amp;offchaindata_platform=MongoDB&amp;keyfile=Paul&amp;network=jsonfiles&amp;repository=test</v>
      </c>
      <c r="U305" s="1" t="str">
        <f t="shared" si="9"/>
        <v>{"name":"In Casa #142",_x000D_
"symbol":"COR22D142",_x000D_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5" s="1" t="str">
        <f>formatRow(Tokens!C$2:I$2,Tokens!C305:I305)</f>
        <v>"name":"In Casa #142",_x000D_
"symbol":"COR22D142",_x000D_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5" s="1" t="str">
        <f>formatRow(Tokens!J$2:AV$2,Tokens!J305:AV305,2,"attributes")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5" s="1" t="str">
        <f>formatRow(Tokens!AX$2:BC$2,Tokens!AX305:BC305,2,"creators")</f>
        <v>"creators":[{"address":"paul",_x000D_
"share":10},{"address":"sophie",_x000D_
"share":90}]</v>
      </c>
      <c r="Y305" s="1" t="str">
        <f>formatRow(Tokens!BD$2:BI$2,Tokens!BD305:BI305,2,"files")</f>
        <v>"files":[]</v>
      </c>
      <c r="Z305" s="1"/>
      <c r="AA305" s="1"/>
      <c r="AB305" s="1"/>
      <c r="AC305" s="1" t="str">
        <f>formatRow(Tokens!BJ$2:BK$2,Tokens!BJ305:BK305,0,"collection")</f>
        <v>"collection":{"name":"In Casa",_x000D_
"family":"Calvi On The Rocks"}</v>
      </c>
    </row>
    <row r="306" spans="5:29" ht="14.25" customHeight="1" x14ac:dyDescent="0.25">
      <c r="E306" s="17" t="str">
        <f>IF(Tokens!C306="","",Tokens!C306)</f>
        <v>In Casa #143</v>
      </c>
      <c r="F306"/>
      <c r="G306"/>
      <c r="H306"/>
      <c r="I306"/>
      <c r="J306"/>
      <c r="M306"/>
      <c r="N306"/>
      <c r="O306" s="15" t="str">
        <f t="shared" si="8"/>
        <v>_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/>
      </c>
      <c r="Q306" s="2"/>
      <c r="R306" s="2"/>
      <c r="S306" s="11"/>
      <c r="T306" s="1" t="str">
        <f>"owner=" &amp; Tokens!BS306 &amp; "&amp;filename_for_metadata=" &amp; Tokens!BT306 &amp; "&amp;offchaindata_platform=" &amp; $B$17 &amp; "&amp;keyfile=" &amp; $B$5 &amp; "&amp;network=" &amp; LOWER($B$8) &amp; "&amp;repository=" &amp; $B$18</f>
        <v>owner=thomas&amp;filename_for_metadata=InCasa_COR22D143&amp;offchaindata_platform=MongoDB&amp;keyfile=Paul&amp;network=jsonfiles&amp;repository=test</v>
      </c>
      <c r="U306" s="1" t="str">
        <f t="shared" si="9"/>
        <v>{"name":"In Casa #143",_x000D_
"symbol":"COR22D143",_x000D_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6" s="1" t="str">
        <f>formatRow(Tokens!C$2:I$2,Tokens!C306:I306)</f>
        <v>"name":"In Casa #143",_x000D_
"symbol":"COR22D143",_x000D_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6" s="1" t="str">
        <f>formatRow(Tokens!J$2:AV$2,Tokens!J306:AV306,2,"attributes")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6" s="1" t="str">
        <f>formatRow(Tokens!AX$2:BC$2,Tokens!AX306:BC306,2,"creators")</f>
        <v>"creators":[{"address":"paul",_x000D_
"share":10},{"address":"sophie",_x000D_
"share":90}]</v>
      </c>
      <c r="Y306" s="1" t="str">
        <f>formatRow(Tokens!BD$2:BI$2,Tokens!BD306:BI306,2,"files")</f>
        <v>"files":[]</v>
      </c>
      <c r="Z306" s="1"/>
      <c r="AA306" s="1"/>
      <c r="AB306" s="1"/>
      <c r="AC306" s="1" t="str">
        <f>formatRow(Tokens!BJ$2:BK$2,Tokens!BJ306:BK306,0,"collection")</f>
        <v>"collection":{"name":"In Casa",_x000D_
"family":"Calvi On The Rocks"}</v>
      </c>
    </row>
    <row r="307" spans="5:29" ht="14.25" customHeight="1" x14ac:dyDescent="0.25">
      <c r="E307" s="17" t="str">
        <f>IF(Tokens!C307="","",Tokens!C307)</f>
        <v>In Casa #144</v>
      </c>
      <c r="F307"/>
      <c r="G307"/>
      <c r="H307"/>
      <c r="I307"/>
      <c r="J307"/>
      <c r="M307"/>
      <c r="N307"/>
      <c r="O307" s="15" t="str">
        <f t="shared" si="8"/>
        <v>_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/>
      </c>
      <c r="Q307" s="2"/>
      <c r="R307" s="2"/>
      <c r="S307" s="11"/>
      <c r="T307" s="1" t="str">
        <f>"owner=" &amp; Tokens!BS307 &amp; "&amp;filename_for_metadata=" &amp; Tokens!BT307 &amp; "&amp;offchaindata_platform=" &amp; $B$17 &amp; "&amp;keyfile=" &amp; $B$5 &amp; "&amp;network=" &amp; LOWER($B$8) &amp; "&amp;repository=" &amp; $B$18</f>
        <v>owner=thomas&amp;filename_for_metadata=InCasa_COR22D144&amp;offchaindata_platform=MongoDB&amp;keyfile=Paul&amp;network=jsonfiles&amp;repository=test</v>
      </c>
      <c r="U307" s="1" t="str">
        <f t="shared" si="9"/>
        <v>{"name":"In Casa #144",_x000D_
"symbol":"COR22D144",_x000D_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7" s="1" t="str">
        <f>formatRow(Tokens!C$2:I$2,Tokens!C307:I307)</f>
        <v>"name":"In Casa #144",_x000D_
"symbol":"COR22D144",_x000D_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7" s="1" t="str">
        <f>formatRow(Tokens!J$2:AV$2,Tokens!J307:AV307,2,"attributes")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7" s="1" t="str">
        <f>formatRow(Tokens!AX$2:BC$2,Tokens!AX307:BC307,2,"creators")</f>
        <v>"creators":[{"address":"paul",_x000D_
"share":10},{"address":"sophie",_x000D_
"share":90}]</v>
      </c>
      <c r="Y307" s="1" t="str">
        <f>formatRow(Tokens!BD$2:BI$2,Tokens!BD307:BI307,2,"files")</f>
        <v>"files":[]</v>
      </c>
      <c r="Z307" s="1"/>
      <c r="AA307" s="1"/>
      <c r="AB307" s="1"/>
      <c r="AC307" s="1" t="str">
        <f>formatRow(Tokens!BJ$2:BK$2,Tokens!BJ307:BK307,0,"collection")</f>
        <v>"collection":{"name":"In Casa",_x000D_
"family":"Calvi On The Rocks"}</v>
      </c>
    </row>
    <row r="308" spans="5:29" ht="14.25" customHeight="1" x14ac:dyDescent="0.25">
      <c r="E308" s="17" t="str">
        <f>IF(Tokens!C308="","",Tokens!C308)</f>
        <v>In Casa #145</v>
      </c>
      <c r="F308"/>
      <c r="G308"/>
      <c r="H308"/>
      <c r="I308"/>
      <c r="J308"/>
      <c r="M308"/>
      <c r="N308"/>
      <c r="O308" s="15" t="str">
        <f t="shared" si="8"/>
        <v>_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/>
      </c>
      <c r="Q308" s="2"/>
      <c r="R308" s="2"/>
      <c r="S308" s="11"/>
      <c r="T308" s="1" t="str">
        <f>"owner=" &amp; Tokens!BS308 &amp; "&amp;filename_for_metadata=" &amp; Tokens!BT308 &amp; "&amp;offchaindata_platform=" &amp; $B$17 &amp; "&amp;keyfile=" &amp; $B$5 &amp; "&amp;network=" &amp; LOWER($B$8) &amp; "&amp;repository=" &amp; $B$18</f>
        <v>owner=thomas&amp;filename_for_metadata=InCasa_COR22D145&amp;offchaindata_platform=MongoDB&amp;keyfile=Paul&amp;network=jsonfiles&amp;repository=test</v>
      </c>
      <c r="U308" s="1" t="str">
        <f t="shared" si="9"/>
        <v>{"name":"In Casa #145",_x000D_
"symbol":"COR22D145",_x000D_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8" s="1" t="str">
        <f>formatRow(Tokens!C$2:I$2,Tokens!C308:I308)</f>
        <v>"name":"In Casa #145",_x000D_
"symbol":"COR22D145",_x000D_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8" s="1" t="str">
        <f>formatRow(Tokens!J$2:AV$2,Tokens!J308:AV308,2,"attributes")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8" s="1" t="str">
        <f>formatRow(Tokens!AX$2:BC$2,Tokens!AX308:BC308,2,"creators")</f>
        <v>"creators":[{"address":"paul",_x000D_
"share":10},{"address":"sophie",_x000D_
"share":90}]</v>
      </c>
      <c r="Y308" s="1" t="str">
        <f>formatRow(Tokens!BD$2:BI$2,Tokens!BD308:BI308,2,"files")</f>
        <v>"files":[]</v>
      </c>
      <c r="Z308" s="1"/>
      <c r="AA308" s="1"/>
      <c r="AB308" s="1"/>
      <c r="AC308" s="1" t="str">
        <f>formatRow(Tokens!BJ$2:BK$2,Tokens!BJ308:BK308,0,"collection")</f>
        <v>"collection":{"name":"In Casa",_x000D_
"family":"Calvi On The Rocks"}</v>
      </c>
    </row>
    <row r="309" spans="5:29" ht="14.25" customHeight="1" x14ac:dyDescent="0.25">
      <c r="E309" s="17" t="str">
        <f>IF(Tokens!C309="","",Tokens!C309)</f>
        <v>In Casa #146</v>
      </c>
      <c r="F309"/>
      <c r="G309"/>
      <c r="H309"/>
      <c r="I309"/>
      <c r="J309"/>
      <c r="M309"/>
      <c r="N309"/>
      <c r="O309" s="15" t="str">
        <f t="shared" si="8"/>
        <v>_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/>
      </c>
      <c r="Q309" s="2"/>
      <c r="R309" s="2"/>
      <c r="S309" s="11"/>
      <c r="T309" s="1" t="str">
        <f>"owner=" &amp; Tokens!BS309 &amp; "&amp;filename_for_metadata=" &amp; Tokens!BT309 &amp; "&amp;offchaindata_platform=" &amp; $B$17 &amp; "&amp;keyfile=" &amp; $B$5 &amp; "&amp;network=" &amp; LOWER($B$8) &amp; "&amp;repository=" &amp; $B$18</f>
        <v>owner=thomas&amp;filename_for_metadata=InCasa_COR22D146&amp;offchaindata_platform=MongoDB&amp;keyfile=Paul&amp;network=jsonfiles&amp;repository=test</v>
      </c>
      <c r="U309" s="1" t="str">
        <f t="shared" si="9"/>
        <v>{"name":"In Casa #146",_x000D_
"symbol":"COR22D146",_x000D_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09" s="1" t="str">
        <f>formatRow(Tokens!C$2:I$2,Tokens!C309:I309)</f>
        <v>"name":"In Casa #146",_x000D_
"symbol":"COR22D146",_x000D_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09" s="1" t="str">
        <f>formatRow(Tokens!J$2:AV$2,Tokens!J309:AV309,2,"attributes")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09" s="1" t="str">
        <f>formatRow(Tokens!AX$2:BC$2,Tokens!AX309:BC309,2,"creators")</f>
        <v>"creators":[{"address":"paul",_x000D_
"share":10},{"address":"sophie",_x000D_
"share":90}]</v>
      </c>
      <c r="Y309" s="1" t="str">
        <f>formatRow(Tokens!BD$2:BI$2,Tokens!BD309:BI309,2,"files")</f>
        <v>"files":[]</v>
      </c>
      <c r="Z309" s="1"/>
      <c r="AA309" s="1"/>
      <c r="AB309" s="1"/>
      <c r="AC309" s="1" t="str">
        <f>formatRow(Tokens!BJ$2:BK$2,Tokens!BJ309:BK309,0,"collection")</f>
        <v>"collection":{"name":"In Casa",_x000D_
"family":"Calvi On The Rocks"}</v>
      </c>
    </row>
    <row r="310" spans="5:29" ht="14.25" customHeight="1" x14ac:dyDescent="0.25">
      <c r="E310" s="17" t="str">
        <f>IF(Tokens!C310="","",Tokens!C310)</f>
        <v>In Casa #147</v>
      </c>
      <c r="F310"/>
      <c r="G310"/>
      <c r="H310"/>
      <c r="I310"/>
      <c r="J310"/>
      <c r="M310"/>
      <c r="N310"/>
      <c r="O310" s="15" t="str">
        <f t="shared" si="8"/>
        <v>_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/>
      </c>
      <c r="Q310" s="2"/>
      <c r="R310" s="2"/>
      <c r="S310" s="11"/>
      <c r="T310" s="1" t="str">
        <f>"owner=" &amp; Tokens!BS310 &amp; "&amp;filename_for_metadata=" &amp; Tokens!BT310 &amp; "&amp;offchaindata_platform=" &amp; $B$17 &amp; "&amp;keyfile=" &amp; $B$5 &amp; "&amp;network=" &amp; LOWER($B$8) &amp; "&amp;repository=" &amp; $B$18</f>
        <v>owner=thomas&amp;filename_for_metadata=InCasa_COR22D147&amp;offchaindata_platform=MongoDB&amp;keyfile=Paul&amp;network=jsonfiles&amp;repository=test</v>
      </c>
      <c r="U310" s="1" t="str">
        <f t="shared" si="9"/>
        <v>{"name":"In Casa #147",_x000D_
"symbol":"COR22D147",_x000D_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0" s="1" t="str">
        <f>formatRow(Tokens!C$2:I$2,Tokens!C310:I310)</f>
        <v>"name":"In Casa #147",_x000D_
"symbol":"COR22D147",_x000D_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0" s="1" t="str">
        <f>formatRow(Tokens!J$2:AV$2,Tokens!J310:AV310,2,"attributes")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0" s="1" t="str">
        <f>formatRow(Tokens!AX$2:BC$2,Tokens!AX310:BC310,2,"creators")</f>
        <v>"creators":[{"address":"paul",_x000D_
"share":10},{"address":"sophie",_x000D_
"share":90}]</v>
      </c>
      <c r="Y310" s="1" t="str">
        <f>formatRow(Tokens!BD$2:BI$2,Tokens!BD310:BI310,2,"files")</f>
        <v>"files":[]</v>
      </c>
      <c r="Z310" s="1"/>
      <c r="AA310" s="1"/>
      <c r="AB310" s="1"/>
      <c r="AC310" s="1" t="str">
        <f>formatRow(Tokens!BJ$2:BK$2,Tokens!BJ310:BK310,0,"collection")</f>
        <v>"collection":{"name":"In Casa",_x000D_
"family":"Calvi On The Rocks"}</v>
      </c>
    </row>
    <row r="311" spans="5:29" ht="14.25" customHeight="1" x14ac:dyDescent="0.25">
      <c r="E311" s="17" t="str">
        <f>IF(Tokens!C311="","",Tokens!C311)</f>
        <v>In Casa #148</v>
      </c>
      <c r="F311"/>
      <c r="G311"/>
      <c r="H311"/>
      <c r="I311"/>
      <c r="J311"/>
      <c r="M311"/>
      <c r="N311"/>
      <c r="O311" s="15" t="str">
        <f t="shared" si="8"/>
        <v>_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/>
      </c>
      <c r="Q311" s="2"/>
      <c r="R311" s="2"/>
      <c r="S311" s="11"/>
      <c r="T311" s="1" t="str">
        <f>"owner=" &amp; Tokens!BS311 &amp; "&amp;filename_for_metadata=" &amp; Tokens!BT311 &amp; "&amp;offchaindata_platform=" &amp; $B$17 &amp; "&amp;keyfile=" &amp; $B$5 &amp; "&amp;network=" &amp; LOWER($B$8) &amp; "&amp;repository=" &amp; $B$18</f>
        <v>owner=thomas&amp;filename_for_metadata=InCasa_COR22D148&amp;offchaindata_platform=MongoDB&amp;keyfile=Paul&amp;network=jsonfiles&amp;repository=test</v>
      </c>
      <c r="U311" s="1" t="str">
        <f t="shared" si="9"/>
        <v>{"name":"In Casa #148",_x000D_
"symbol":"COR22D148",_x000D_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1" s="1" t="str">
        <f>formatRow(Tokens!C$2:I$2,Tokens!C311:I311)</f>
        <v>"name":"In Casa #148",_x000D_
"symbol":"COR22D148",_x000D_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1" s="1" t="str">
        <f>formatRow(Tokens!J$2:AV$2,Tokens!J311:AV311,2,"attributes")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1" s="1" t="str">
        <f>formatRow(Tokens!AX$2:BC$2,Tokens!AX311:BC311,2,"creators")</f>
        <v>"creators":[{"address":"paul",_x000D_
"share":10},{"address":"sophie",_x000D_
"share":90}]</v>
      </c>
      <c r="Y311" s="1" t="str">
        <f>formatRow(Tokens!BD$2:BI$2,Tokens!BD311:BI311,2,"files")</f>
        <v>"files":[]</v>
      </c>
      <c r="Z311" s="1"/>
      <c r="AA311" s="1"/>
      <c r="AB311" s="1"/>
      <c r="AC311" s="1" t="str">
        <f>formatRow(Tokens!BJ$2:BK$2,Tokens!BJ311:BK311,0,"collection")</f>
        <v>"collection":{"name":"In Casa",_x000D_
"family":"Calvi On The Rocks"}</v>
      </c>
    </row>
    <row r="312" spans="5:29" ht="14.25" customHeight="1" x14ac:dyDescent="0.25">
      <c r="E312" s="17" t="str">
        <f>IF(Tokens!C312="","",Tokens!C312)</f>
        <v>In Casa #149</v>
      </c>
      <c r="F312"/>
      <c r="G312"/>
      <c r="H312"/>
      <c r="I312"/>
      <c r="J312"/>
      <c r="M312"/>
      <c r="N312"/>
      <c r="O312" s="15" t="str">
        <f t="shared" si="8"/>
        <v>_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/>
      </c>
      <c r="Q312" s="2"/>
      <c r="R312" s="2"/>
      <c r="S312" s="11"/>
      <c r="T312" s="1" t="str">
        <f>"owner=" &amp; Tokens!BS312 &amp; "&amp;filename_for_metadata=" &amp; Tokens!BT312 &amp; "&amp;offchaindata_platform=" &amp; $B$17 &amp; "&amp;keyfile=" &amp; $B$5 &amp; "&amp;network=" &amp; LOWER($B$8) &amp; "&amp;repository=" &amp; $B$18</f>
        <v>owner=thomas&amp;filename_for_metadata=InCasa_COR22D149&amp;offchaindata_platform=MongoDB&amp;keyfile=Paul&amp;network=jsonfiles&amp;repository=test</v>
      </c>
      <c r="U312" s="1" t="str">
        <f t="shared" si="9"/>
        <v>{"name":"In Casa #149",_x000D_
"symbol":"COR22D149",_x000D_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2" s="1" t="str">
        <f>formatRow(Tokens!C$2:I$2,Tokens!C312:I312)</f>
        <v>"name":"In Casa #149",_x000D_
"symbol":"COR22D149",_x000D_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2" s="1" t="str">
        <f>formatRow(Tokens!J$2:AV$2,Tokens!J312:AV312,2,"attributes")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2" s="1" t="str">
        <f>formatRow(Tokens!AX$2:BC$2,Tokens!AX312:BC312,2,"creators")</f>
        <v>"creators":[{"address":"paul",_x000D_
"share":10},{"address":"sophie",_x000D_
"share":90}]</v>
      </c>
      <c r="Y312" s="1" t="str">
        <f>formatRow(Tokens!BD$2:BI$2,Tokens!BD312:BI312,2,"files")</f>
        <v>"files":[]</v>
      </c>
      <c r="Z312" s="1"/>
      <c r="AA312" s="1"/>
      <c r="AB312" s="1"/>
      <c r="AC312" s="1" t="str">
        <f>formatRow(Tokens!BJ$2:BK$2,Tokens!BJ312:BK312,0,"collection")</f>
        <v>"collection":{"name":"In Casa",_x000D_
"family":"Calvi On The Rocks"}</v>
      </c>
    </row>
    <row r="313" spans="5:29" ht="14.25" customHeight="1" x14ac:dyDescent="0.25">
      <c r="E313" s="17" t="str">
        <f>IF(Tokens!C313="","",Tokens!C313)</f>
        <v>In Casa #150</v>
      </c>
      <c r="F313"/>
      <c r="G313"/>
      <c r="H313"/>
      <c r="I313"/>
      <c r="J313"/>
      <c r="M313"/>
      <c r="N313"/>
      <c r="O313" s="15" t="str">
        <f t="shared" si="8"/>
        <v>_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/>
      </c>
      <c r="Q313" s="2"/>
      <c r="R313" s="2"/>
      <c r="S313" s="11"/>
      <c r="T313" s="1" t="str">
        <f>"owner=" &amp; Tokens!BS313 &amp; "&amp;filename_for_metadata=" &amp; Tokens!BT313 &amp; "&amp;offchaindata_platform=" &amp; $B$17 &amp; "&amp;keyfile=" &amp; $B$5 &amp; "&amp;network=" &amp; LOWER($B$8) &amp; "&amp;repository=" &amp; $B$18</f>
        <v>owner=thomas&amp;filename_for_metadata=InCasa_COR22D150&amp;offchaindata_platform=MongoDB&amp;keyfile=Paul&amp;network=jsonfiles&amp;repository=test</v>
      </c>
      <c r="U313" s="1" t="str">
        <f t="shared" si="9"/>
        <v>{"name":"In Casa #150",_x000D_
"symbol":"COR22D150",_x000D_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3" s="1" t="str">
        <f>formatRow(Tokens!C$2:I$2,Tokens!C313:I313)</f>
        <v>"name":"In Casa #150",_x000D_
"symbol":"COR22D150",_x000D_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3" s="1" t="str">
        <f>formatRow(Tokens!J$2:AV$2,Tokens!J313:AV313,2,"attributes")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3" s="1" t="str">
        <f>formatRow(Tokens!AX$2:BC$2,Tokens!AX313:BC313,2,"creators")</f>
        <v>"creators":[{"address":"paul",_x000D_
"share":10},{"address":"sophie",_x000D_
"share":90}]</v>
      </c>
      <c r="Y313" s="1" t="str">
        <f>formatRow(Tokens!BD$2:BI$2,Tokens!BD313:BI313,2,"files")</f>
        <v>"files":[]</v>
      </c>
      <c r="Z313" s="1"/>
      <c r="AA313" s="1"/>
      <c r="AB313" s="1"/>
      <c r="AC313" s="1" t="str">
        <f>formatRow(Tokens!BJ$2:BK$2,Tokens!BJ313:BK313,0,"collection")</f>
        <v>"collection":{"name":"In Casa",_x000D_
"family":"Calvi On The Rocks"}</v>
      </c>
    </row>
    <row r="314" spans="5:29" ht="14.25" customHeight="1" x14ac:dyDescent="0.25">
      <c r="E314" s="17" t="str">
        <f>IF(Tokens!C314="","",Tokens!C314)</f>
        <v>In Casa #151</v>
      </c>
      <c r="F314"/>
      <c r="G314"/>
      <c r="H314"/>
      <c r="I314"/>
      <c r="J314"/>
      <c r="M314"/>
      <c r="N314"/>
      <c r="O314" s="15" t="str">
        <f t="shared" si="8"/>
        <v>_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/>
      </c>
      <c r="Q314" s="2"/>
      <c r="R314" s="2"/>
      <c r="S314" s="11"/>
      <c r="T314" s="1" t="str">
        <f>"owner=" &amp; Tokens!BS314 &amp; "&amp;filename_for_metadata=" &amp; Tokens!BT314 &amp; "&amp;offchaindata_platform=" &amp; $B$17 &amp; "&amp;keyfile=" &amp; $B$5 &amp; "&amp;network=" &amp; LOWER($B$8) &amp; "&amp;repository=" &amp; $B$18</f>
        <v>owner=thomas&amp;filename_for_metadata=InCasa_COR22D151&amp;offchaindata_platform=MongoDB&amp;keyfile=Paul&amp;network=jsonfiles&amp;repository=test</v>
      </c>
      <c r="U314" s="1" t="str">
        <f t="shared" si="9"/>
        <v>{"name":"In Casa #151",_x000D_
"symbol":"COR22D151",_x000D_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4" s="1" t="str">
        <f>formatRow(Tokens!C$2:I$2,Tokens!C314:I314)</f>
        <v>"name":"In Casa #151",_x000D_
"symbol":"COR22D151",_x000D_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4" s="1" t="str">
        <f>formatRow(Tokens!J$2:AV$2,Tokens!J314:AV314,2,"attributes")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4" s="1" t="str">
        <f>formatRow(Tokens!AX$2:BC$2,Tokens!AX314:BC314,2,"creators")</f>
        <v>"creators":[{"address":"paul",_x000D_
"share":10},{"address":"sophie",_x000D_
"share":90}]</v>
      </c>
      <c r="Y314" s="1" t="str">
        <f>formatRow(Tokens!BD$2:BI$2,Tokens!BD314:BI314,2,"files")</f>
        <v>"files":[]</v>
      </c>
      <c r="Z314" s="1"/>
      <c r="AA314" s="1"/>
      <c r="AB314" s="1"/>
      <c r="AC314" s="1" t="str">
        <f>formatRow(Tokens!BJ$2:BK$2,Tokens!BJ314:BK314,0,"collection")</f>
        <v>"collection":{"name":"In Casa",_x000D_
"family":"Calvi On The Rocks"}</v>
      </c>
    </row>
    <row r="315" spans="5:29" ht="14.25" customHeight="1" x14ac:dyDescent="0.25">
      <c r="E315" s="17" t="str">
        <f>IF(Tokens!C315="","",Tokens!C315)</f>
        <v>In Casa #152</v>
      </c>
      <c r="F315"/>
      <c r="G315"/>
      <c r="H315"/>
      <c r="I315"/>
      <c r="J315"/>
      <c r="M315"/>
      <c r="N315"/>
      <c r="O315" s="15" t="str">
        <f t="shared" si="8"/>
        <v>_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/>
      </c>
      <c r="Q315" s="2"/>
      <c r="R315" s="2"/>
      <c r="S315" s="11"/>
      <c r="T315" s="1" t="str">
        <f>"owner=" &amp; Tokens!BS315 &amp; "&amp;filename_for_metadata=" &amp; Tokens!BT315 &amp; "&amp;offchaindata_platform=" &amp; $B$17 &amp; "&amp;keyfile=" &amp; $B$5 &amp; "&amp;network=" &amp; LOWER($B$8) &amp; "&amp;repository=" &amp; $B$18</f>
        <v>owner=thomas&amp;filename_for_metadata=InCasa_COR22D152&amp;offchaindata_platform=MongoDB&amp;keyfile=Paul&amp;network=jsonfiles&amp;repository=test</v>
      </c>
      <c r="U315" s="1" t="str">
        <f t="shared" si="9"/>
        <v>{"name":"In Casa #152",_x000D_
"symbol":"COR22D152",_x000D_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5" s="1" t="str">
        <f>formatRow(Tokens!C$2:I$2,Tokens!C315:I315)</f>
        <v>"name":"In Casa #152",_x000D_
"symbol":"COR22D152",_x000D_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5" s="1" t="str">
        <f>formatRow(Tokens!J$2:AV$2,Tokens!J315:AV315,2,"attributes")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5" s="1" t="str">
        <f>formatRow(Tokens!AX$2:BC$2,Tokens!AX315:BC315,2,"creators")</f>
        <v>"creators":[{"address":"paul",_x000D_
"share":10},{"address":"sophie",_x000D_
"share":90}]</v>
      </c>
      <c r="Y315" s="1" t="str">
        <f>formatRow(Tokens!BD$2:BI$2,Tokens!BD315:BI315,2,"files")</f>
        <v>"files":[]</v>
      </c>
      <c r="Z315" s="1"/>
      <c r="AA315" s="1"/>
      <c r="AB315" s="1"/>
      <c r="AC315" s="1" t="str">
        <f>formatRow(Tokens!BJ$2:BK$2,Tokens!BJ315:BK315,0,"collection")</f>
        <v>"collection":{"name":"In Casa",_x000D_
"family":"Calvi On The Rocks"}</v>
      </c>
    </row>
    <row r="316" spans="5:29" ht="14.25" customHeight="1" x14ac:dyDescent="0.25">
      <c r="E316" s="17" t="str">
        <f>IF(Tokens!C316="","",Tokens!C316)</f>
        <v>In Casa #153</v>
      </c>
      <c r="F316"/>
      <c r="G316"/>
      <c r="H316"/>
      <c r="I316"/>
      <c r="J316"/>
      <c r="M316"/>
      <c r="N316"/>
      <c r="O316" s="15" t="str">
        <f t="shared" si="8"/>
        <v>_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/>
      </c>
      <c r="Q316" s="2"/>
      <c r="R316" s="2"/>
      <c r="S316" s="11"/>
      <c r="T316" s="1" t="str">
        <f>"owner=" &amp; Tokens!BS316 &amp; "&amp;filename_for_metadata=" &amp; Tokens!BT316 &amp; "&amp;offchaindata_platform=" &amp; $B$17 &amp; "&amp;keyfile=" &amp; $B$5 &amp; "&amp;network=" &amp; LOWER($B$8) &amp; "&amp;repository=" &amp; $B$18</f>
        <v>owner=thomas&amp;filename_for_metadata=InCasa_COR22D153&amp;offchaindata_platform=MongoDB&amp;keyfile=Paul&amp;network=jsonfiles&amp;repository=test</v>
      </c>
      <c r="U316" s="1" t="str">
        <f t="shared" si="9"/>
        <v>{"name":"In Casa #153",_x000D_
"symbol":"COR22D153",_x000D_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6" s="1" t="str">
        <f>formatRow(Tokens!C$2:I$2,Tokens!C316:I316)</f>
        <v>"name":"In Casa #153",_x000D_
"symbol":"COR22D153",_x000D_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6" s="1" t="str">
        <f>formatRow(Tokens!J$2:AV$2,Tokens!J316:AV316,2,"attributes")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6" s="1" t="str">
        <f>formatRow(Tokens!AX$2:BC$2,Tokens!AX316:BC316,2,"creators")</f>
        <v>"creators":[{"address":"paul",_x000D_
"share":10},{"address":"sophie",_x000D_
"share":90}]</v>
      </c>
      <c r="Y316" s="1" t="str">
        <f>formatRow(Tokens!BD$2:BI$2,Tokens!BD316:BI316,2,"files")</f>
        <v>"files":[]</v>
      </c>
      <c r="Z316" s="1"/>
      <c r="AA316" s="1"/>
      <c r="AB316" s="1"/>
      <c r="AC316" s="1" t="str">
        <f>formatRow(Tokens!BJ$2:BK$2,Tokens!BJ316:BK316,0,"collection")</f>
        <v>"collection":{"name":"In Casa",_x000D_
"family":"Calvi On The Rocks"}</v>
      </c>
    </row>
    <row r="317" spans="5:29" ht="14.25" customHeight="1" x14ac:dyDescent="0.25">
      <c r="E317" s="17" t="str">
        <f>IF(Tokens!C317="","",Tokens!C317)</f>
        <v>In Casa #154</v>
      </c>
      <c r="F317"/>
      <c r="G317"/>
      <c r="H317"/>
      <c r="I317"/>
      <c r="J317"/>
      <c r="M317"/>
      <c r="N317"/>
      <c r="O317" s="15" t="str">
        <f t="shared" si="8"/>
        <v>_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/>
      </c>
      <c r="Q317" s="2"/>
      <c r="R317" s="2"/>
      <c r="S317" s="11"/>
      <c r="T317" s="1" t="str">
        <f>"owner=" &amp; Tokens!BS317 &amp; "&amp;filename_for_metadata=" &amp; Tokens!BT317 &amp; "&amp;offchaindata_platform=" &amp; $B$17 &amp; "&amp;keyfile=" &amp; $B$5 &amp; "&amp;network=" &amp; LOWER($B$8) &amp; "&amp;repository=" &amp; $B$18</f>
        <v>owner=thomas&amp;filename_for_metadata=InCasa_COR22D154&amp;offchaindata_platform=MongoDB&amp;keyfile=Paul&amp;network=jsonfiles&amp;repository=test</v>
      </c>
      <c r="U317" s="1" t="str">
        <f t="shared" si="9"/>
        <v>{"name":"In Casa #154",_x000D_
"symbol":"COR22D154",_x000D_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7" s="1" t="str">
        <f>formatRow(Tokens!C$2:I$2,Tokens!C317:I317)</f>
        <v>"name":"In Casa #154",_x000D_
"symbol":"COR22D154",_x000D_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7" s="1" t="str">
        <f>formatRow(Tokens!J$2:AV$2,Tokens!J317:AV317,2,"attributes")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7" s="1" t="str">
        <f>formatRow(Tokens!AX$2:BC$2,Tokens!AX317:BC317,2,"creators")</f>
        <v>"creators":[{"address":"paul",_x000D_
"share":10},{"address":"sophie",_x000D_
"share":90}]</v>
      </c>
      <c r="Y317" s="1" t="str">
        <f>formatRow(Tokens!BD$2:BI$2,Tokens!BD317:BI317,2,"files")</f>
        <v>"files":[]</v>
      </c>
      <c r="Z317" s="1"/>
      <c r="AA317" s="1"/>
      <c r="AB317" s="1"/>
      <c r="AC317" s="1" t="str">
        <f>formatRow(Tokens!BJ$2:BK$2,Tokens!BJ317:BK317,0,"collection")</f>
        <v>"collection":{"name":"In Casa",_x000D_
"family":"Calvi On The Rocks"}</v>
      </c>
    </row>
    <row r="318" spans="5:29" ht="14.25" customHeight="1" x14ac:dyDescent="0.25">
      <c r="E318" s="17" t="str">
        <f>IF(Tokens!C318="","",Tokens!C318)</f>
        <v>In Casa #155</v>
      </c>
      <c r="F318"/>
      <c r="G318"/>
      <c r="H318"/>
      <c r="I318"/>
      <c r="J318"/>
      <c r="M318"/>
      <c r="N318"/>
      <c r="O318" s="15" t="str">
        <f t="shared" si="8"/>
        <v>_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/>
      </c>
      <c r="Q318" s="2"/>
      <c r="R318" s="2"/>
      <c r="S318" s="11"/>
      <c r="T318" s="1" t="str">
        <f>"owner=" &amp; Tokens!BS318 &amp; "&amp;filename_for_metadata=" &amp; Tokens!BT318 &amp; "&amp;offchaindata_platform=" &amp; $B$17 &amp; "&amp;keyfile=" &amp; $B$5 &amp; "&amp;network=" &amp; LOWER($B$8) &amp; "&amp;repository=" &amp; $B$18</f>
        <v>owner=thomas&amp;filename_for_metadata=InCasa_COR22D155&amp;offchaindata_platform=MongoDB&amp;keyfile=Paul&amp;network=jsonfiles&amp;repository=test</v>
      </c>
      <c r="U318" s="1" t="str">
        <f t="shared" si="9"/>
        <v>{"name":"In Casa #155",_x000D_
"symbol":"COR22D155",_x000D_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8" s="1" t="str">
        <f>formatRow(Tokens!C$2:I$2,Tokens!C318:I318)</f>
        <v>"name":"In Casa #155",_x000D_
"symbol":"COR22D155",_x000D_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8" s="1" t="str">
        <f>formatRow(Tokens!J$2:AV$2,Tokens!J318:AV318,2,"attributes")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8" s="1" t="str">
        <f>formatRow(Tokens!AX$2:BC$2,Tokens!AX318:BC318,2,"creators")</f>
        <v>"creators":[{"address":"paul",_x000D_
"share":10},{"address":"sophie",_x000D_
"share":90}]</v>
      </c>
      <c r="Y318" s="1" t="str">
        <f>formatRow(Tokens!BD$2:BI$2,Tokens!BD318:BI318,2,"files")</f>
        <v>"files":[]</v>
      </c>
      <c r="Z318" s="1"/>
      <c r="AA318" s="1"/>
      <c r="AB318" s="1"/>
      <c r="AC318" s="1" t="str">
        <f>formatRow(Tokens!BJ$2:BK$2,Tokens!BJ318:BK318,0,"collection")</f>
        <v>"collection":{"name":"In Casa",_x000D_
"family":"Calvi On The Rocks"}</v>
      </c>
    </row>
    <row r="319" spans="5:29" ht="14.25" customHeight="1" x14ac:dyDescent="0.25">
      <c r="E319" s="17" t="str">
        <f>IF(Tokens!C319="","",Tokens!C319)</f>
        <v>In Casa #156</v>
      </c>
      <c r="F319"/>
      <c r="G319"/>
      <c r="H319"/>
      <c r="I319"/>
      <c r="J319"/>
      <c r="M319"/>
      <c r="N319"/>
      <c r="O319" s="15" t="str">
        <f t="shared" si="8"/>
        <v>_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/>
      </c>
      <c r="Q319" s="2"/>
      <c r="R319" s="2"/>
      <c r="S319" s="11"/>
      <c r="T319" s="1" t="str">
        <f>"owner=" &amp; Tokens!BS319 &amp; "&amp;filename_for_metadata=" &amp; Tokens!BT319 &amp; "&amp;offchaindata_platform=" &amp; $B$17 &amp; "&amp;keyfile=" &amp; $B$5 &amp; "&amp;network=" &amp; LOWER($B$8) &amp; "&amp;repository=" &amp; $B$18</f>
        <v>owner=thomas&amp;filename_for_metadata=InCasa_COR22D156&amp;offchaindata_platform=MongoDB&amp;keyfile=Paul&amp;network=jsonfiles&amp;repository=test</v>
      </c>
      <c r="U319" s="1" t="str">
        <f t="shared" si="9"/>
        <v>{"name":"In Casa #156",_x000D_
"symbol":"COR22D156",_x000D_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19" s="1" t="str">
        <f>formatRow(Tokens!C$2:I$2,Tokens!C319:I319)</f>
        <v>"name":"In Casa #156",_x000D_
"symbol":"COR22D156",_x000D_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19" s="1" t="str">
        <f>formatRow(Tokens!J$2:AV$2,Tokens!J319:AV319,2,"attributes")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19" s="1" t="str">
        <f>formatRow(Tokens!AX$2:BC$2,Tokens!AX319:BC319,2,"creators")</f>
        <v>"creators":[{"address":"paul",_x000D_
"share":10},{"address":"sophie",_x000D_
"share":90}]</v>
      </c>
      <c r="Y319" s="1" t="str">
        <f>formatRow(Tokens!BD$2:BI$2,Tokens!BD319:BI319,2,"files")</f>
        <v>"files":[]</v>
      </c>
      <c r="Z319" s="1"/>
      <c r="AA319" s="1"/>
      <c r="AB319" s="1"/>
      <c r="AC319" s="1" t="str">
        <f>formatRow(Tokens!BJ$2:BK$2,Tokens!BJ319:BK319,0,"collection")</f>
        <v>"collection":{"name":"In Casa",_x000D_
"family":"Calvi On The Rocks"}</v>
      </c>
    </row>
    <row r="320" spans="5:29" ht="14.25" customHeight="1" x14ac:dyDescent="0.25">
      <c r="E320" s="17" t="str">
        <f>IF(Tokens!C320="","",Tokens!C320)</f>
        <v>In Casa #157</v>
      </c>
      <c r="F320"/>
      <c r="G320"/>
      <c r="H320"/>
      <c r="I320"/>
      <c r="J320"/>
      <c r="M320"/>
      <c r="N320"/>
      <c r="O320" s="15" t="str">
        <f t="shared" si="8"/>
        <v>_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/>
      </c>
      <c r="Q320" s="2"/>
      <c r="R320" s="2"/>
      <c r="S320" s="11"/>
      <c r="T320" s="1" t="str">
        <f>"owner=" &amp; Tokens!BS320 &amp; "&amp;filename_for_metadata=" &amp; Tokens!BT320 &amp; "&amp;offchaindata_platform=" &amp; $B$17 &amp; "&amp;keyfile=" &amp; $B$5 &amp; "&amp;network=" &amp; LOWER($B$8) &amp; "&amp;repository=" &amp; $B$18</f>
        <v>owner=thomas&amp;filename_for_metadata=InCasa_COR22D157&amp;offchaindata_platform=MongoDB&amp;keyfile=Paul&amp;network=jsonfiles&amp;repository=test</v>
      </c>
      <c r="U320" s="1" t="str">
        <f t="shared" si="9"/>
        <v>{"name":"In Casa #157",_x000D_
"symbol":"COR22D157",_x000D_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0" s="1" t="str">
        <f>formatRow(Tokens!C$2:I$2,Tokens!C320:I320)</f>
        <v>"name":"In Casa #157",_x000D_
"symbol":"COR22D157",_x000D_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0" s="1" t="str">
        <f>formatRow(Tokens!J$2:AV$2,Tokens!J320:AV320,2,"attributes")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0" s="1" t="str">
        <f>formatRow(Tokens!AX$2:BC$2,Tokens!AX320:BC320,2,"creators")</f>
        <v>"creators":[{"address":"paul",_x000D_
"share":10},{"address":"sophie",_x000D_
"share":90}]</v>
      </c>
      <c r="Y320" s="1" t="str">
        <f>formatRow(Tokens!BD$2:BI$2,Tokens!BD320:BI320,2,"files")</f>
        <v>"files":[]</v>
      </c>
      <c r="Z320" s="1"/>
      <c r="AA320" s="1"/>
      <c r="AB320" s="1"/>
      <c r="AC320" s="1" t="str">
        <f>formatRow(Tokens!BJ$2:BK$2,Tokens!BJ320:BK320,0,"collection")</f>
        <v>"collection":{"name":"In Casa",_x000D_
"family":"Calvi On The Rocks"}</v>
      </c>
    </row>
    <row r="321" spans="5:29" ht="14.25" customHeight="1" x14ac:dyDescent="0.25">
      <c r="E321" s="17" t="str">
        <f>IF(Tokens!C321="","",Tokens!C321)</f>
        <v>In Casa #158</v>
      </c>
      <c r="F321"/>
      <c r="G321"/>
      <c r="H321"/>
      <c r="I321"/>
      <c r="J321"/>
      <c r="M321"/>
      <c r="N321"/>
      <c r="O321" s="15" t="str">
        <f t="shared" si="8"/>
        <v>_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/>
      </c>
      <c r="Q321" s="2"/>
      <c r="R321" s="2"/>
      <c r="S321" s="11"/>
      <c r="T321" s="1" t="str">
        <f>"owner=" &amp; Tokens!BS321 &amp; "&amp;filename_for_metadata=" &amp; Tokens!BT321 &amp; "&amp;offchaindata_platform=" &amp; $B$17 &amp; "&amp;keyfile=" &amp; $B$5 &amp; "&amp;network=" &amp; LOWER($B$8) &amp; "&amp;repository=" &amp; $B$18</f>
        <v>owner=thomas&amp;filename_for_metadata=InCasa_COR22D158&amp;offchaindata_platform=MongoDB&amp;keyfile=Paul&amp;network=jsonfiles&amp;repository=test</v>
      </c>
      <c r="U321" s="1" t="str">
        <f t="shared" si="9"/>
        <v>{"name":"In Casa #158",_x000D_
"symbol":"COR22D158",_x000D_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1" s="1" t="str">
        <f>formatRow(Tokens!C$2:I$2,Tokens!C321:I321)</f>
        <v>"name":"In Casa #158",_x000D_
"symbol":"COR22D158",_x000D_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1" s="1" t="str">
        <f>formatRow(Tokens!J$2:AV$2,Tokens!J321:AV321,2,"attributes")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1" s="1" t="str">
        <f>formatRow(Tokens!AX$2:BC$2,Tokens!AX321:BC321,2,"creators")</f>
        <v>"creators":[{"address":"paul",_x000D_
"share":10},{"address":"sophie",_x000D_
"share":90}]</v>
      </c>
      <c r="Y321" s="1" t="str">
        <f>formatRow(Tokens!BD$2:BI$2,Tokens!BD321:BI321,2,"files")</f>
        <v>"files":[]</v>
      </c>
      <c r="Z321" s="1"/>
      <c r="AA321" s="1"/>
      <c r="AB321" s="1"/>
      <c r="AC321" s="1" t="str">
        <f>formatRow(Tokens!BJ$2:BK$2,Tokens!BJ321:BK321,0,"collection")</f>
        <v>"collection":{"name":"In Casa",_x000D_
"family":"Calvi On The Rocks"}</v>
      </c>
    </row>
    <row r="322" spans="5:29" ht="14.25" customHeight="1" x14ac:dyDescent="0.25">
      <c r="E322" s="17" t="str">
        <f>IF(Tokens!C322="","",Tokens!C322)</f>
        <v>In Casa #159</v>
      </c>
      <c r="F322"/>
      <c r="G322"/>
      <c r="H322"/>
      <c r="I322"/>
      <c r="J322"/>
      <c r="M322"/>
      <c r="N322"/>
      <c r="O322" s="15" t="str">
        <f t="shared" si="8"/>
        <v>_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/>
      </c>
      <c r="Q322" s="2"/>
      <c r="R322" s="2"/>
      <c r="S322" s="11"/>
      <c r="T322" s="1" t="str">
        <f>"owner=" &amp; Tokens!BS322 &amp; "&amp;filename_for_metadata=" &amp; Tokens!BT322 &amp; "&amp;offchaindata_platform=" &amp; $B$17 &amp; "&amp;keyfile=" &amp; $B$5 &amp; "&amp;network=" &amp; LOWER($B$8) &amp; "&amp;repository=" &amp; $B$18</f>
        <v>owner=thomas&amp;filename_for_metadata=InCasa_COR22D159&amp;offchaindata_platform=MongoDB&amp;keyfile=Paul&amp;network=jsonfiles&amp;repository=test</v>
      </c>
      <c r="U322" s="1" t="str">
        <f t="shared" si="9"/>
        <v>{"name":"In Casa #159",_x000D_
"symbol":"COR22D159",_x000D_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2" s="1" t="str">
        <f>formatRow(Tokens!C$2:I$2,Tokens!C322:I322)</f>
        <v>"name":"In Casa #159",_x000D_
"symbol":"COR22D159",_x000D_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2" s="1" t="str">
        <f>formatRow(Tokens!J$2:AV$2,Tokens!J322:AV322,2,"attributes")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2" s="1" t="str">
        <f>formatRow(Tokens!AX$2:BC$2,Tokens!AX322:BC322,2,"creators")</f>
        <v>"creators":[{"address":"paul",_x000D_
"share":10},{"address":"sophie",_x000D_
"share":90}]</v>
      </c>
      <c r="Y322" s="1" t="str">
        <f>formatRow(Tokens!BD$2:BI$2,Tokens!BD322:BI322,2,"files")</f>
        <v>"files":[]</v>
      </c>
      <c r="Z322" s="1"/>
      <c r="AA322" s="1"/>
      <c r="AB322" s="1"/>
      <c r="AC322" s="1" t="str">
        <f>formatRow(Tokens!BJ$2:BK$2,Tokens!BJ322:BK322,0,"collection")</f>
        <v>"collection":{"name":"In Casa",_x000D_
"family":"Calvi On The Rocks"}</v>
      </c>
    </row>
    <row r="323" spans="5:29" ht="14.25" customHeight="1" x14ac:dyDescent="0.25">
      <c r="E323" s="17" t="str">
        <f>IF(Tokens!C323="","",Tokens!C323)</f>
        <v>In Casa #160</v>
      </c>
      <c r="F323"/>
      <c r="G323"/>
      <c r="H323"/>
      <c r="I323"/>
      <c r="J323"/>
      <c r="M323"/>
      <c r="N323"/>
      <c r="O323" s="15" t="str">
        <f t="shared" si="8"/>
        <v>_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/>
      </c>
      <c r="Q323" s="2"/>
      <c r="R323" s="2"/>
      <c r="S323" s="11"/>
      <c r="T323" s="1" t="str">
        <f>"owner=" &amp; Tokens!BS323 &amp; "&amp;filename_for_metadata=" &amp; Tokens!BT323 &amp; "&amp;offchaindata_platform=" &amp; $B$17 &amp; "&amp;keyfile=" &amp; $B$5 &amp; "&amp;network=" &amp; LOWER($B$8) &amp; "&amp;repository=" &amp; $B$18</f>
        <v>owner=thomas&amp;filename_for_metadata=InCasa_COR22D160&amp;offchaindata_platform=MongoDB&amp;keyfile=Paul&amp;network=jsonfiles&amp;repository=test</v>
      </c>
      <c r="U323" s="1" t="str">
        <f t="shared" si="9"/>
        <v>{"name":"In Casa #160",_x000D_
"symbol":"COR22D160",_x000D_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3" s="1" t="str">
        <f>formatRow(Tokens!C$2:I$2,Tokens!C323:I323)</f>
        <v>"name":"In Casa #160",_x000D_
"symbol":"COR22D160",_x000D_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3" s="1" t="str">
        <f>formatRow(Tokens!J$2:AV$2,Tokens!J323:AV323,2,"attributes")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3" s="1" t="str">
        <f>formatRow(Tokens!AX$2:BC$2,Tokens!AX323:BC323,2,"creators")</f>
        <v>"creators":[{"address":"paul",_x000D_
"share":10},{"address":"sophie",_x000D_
"share":90}]</v>
      </c>
      <c r="Y323" s="1" t="str">
        <f>formatRow(Tokens!BD$2:BI$2,Tokens!BD323:BI323,2,"files")</f>
        <v>"files":[]</v>
      </c>
      <c r="Z323" s="1"/>
      <c r="AA323" s="1"/>
      <c r="AB323" s="1"/>
      <c r="AC323" s="1" t="str">
        <f>formatRow(Tokens!BJ$2:BK$2,Tokens!BJ323:BK323,0,"collection")</f>
        <v>"collection":{"name":"In Casa",_x000D_
"family":"Calvi On The Rocks"}</v>
      </c>
    </row>
    <row r="324" spans="5:29" ht="14.25" customHeight="1" x14ac:dyDescent="0.25">
      <c r="E324" s="17" t="str">
        <f>IF(Tokens!C324="","",Tokens!C324)</f>
        <v>In Casa #161</v>
      </c>
      <c r="F324"/>
      <c r="G324"/>
      <c r="H324"/>
      <c r="I324"/>
      <c r="J324"/>
      <c r="M324"/>
      <c r="N324"/>
      <c r="O324" s="15" t="str">
        <f t="shared" ref="O324:O387" si="10">IF(AND(ISNUMBER(N323),ISNUMBER(N324)),(N324-N323)*$O$1,"_")</f>
        <v>_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/>
      </c>
      <c r="Q324" s="2"/>
      <c r="R324" s="2"/>
      <c r="S324" s="11"/>
      <c r="T324" s="1" t="str">
        <f>"owner=" &amp; Tokens!BS324 &amp; "&amp;filename_for_metadata=" &amp; Tokens!BT324 &amp; "&amp;offchaindata_platform=" &amp; $B$17 &amp; "&amp;keyfile=" &amp; $B$5 &amp; "&amp;network=" &amp; LOWER($B$8) &amp; "&amp;repository=" &amp; $B$18</f>
        <v>owner=thomas&amp;filename_for_metadata=InCasa_COR22D161&amp;offchaindata_platform=MongoDB&amp;keyfile=Paul&amp;network=jsonfiles&amp;repository=test</v>
      </c>
      <c r="U324" s="1" t="str">
        <f t="shared" si="9"/>
        <v>{"name":"In Casa #161",_x000D_
"symbol":"COR22D161",_x000D_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4" s="1" t="str">
        <f>formatRow(Tokens!C$2:I$2,Tokens!C324:I324)</f>
        <v>"name":"In Casa #161",_x000D_
"symbol":"COR22D161",_x000D_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4" s="1" t="str">
        <f>formatRow(Tokens!J$2:AV$2,Tokens!J324:AV324,2,"attributes")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4" s="1" t="str">
        <f>formatRow(Tokens!AX$2:BC$2,Tokens!AX324:BC324,2,"creators")</f>
        <v>"creators":[{"address":"paul",_x000D_
"share":10},{"address":"sophie",_x000D_
"share":90}]</v>
      </c>
      <c r="Y324" s="1" t="str">
        <f>formatRow(Tokens!BD$2:BI$2,Tokens!BD324:BI324,2,"files")</f>
        <v>"files":[]</v>
      </c>
      <c r="Z324" s="1"/>
      <c r="AA324" s="1"/>
      <c r="AB324" s="1"/>
      <c r="AC324" s="1" t="str">
        <f>formatRow(Tokens!BJ$2:BK$2,Tokens!BJ324:BK324,0,"collection")</f>
        <v>"collection":{"name":"In Casa",_x000D_
"family":"Calvi On The Rocks"}</v>
      </c>
    </row>
    <row r="325" spans="5:29" ht="14.25" customHeight="1" x14ac:dyDescent="0.25">
      <c r="E325" s="17" t="str">
        <f>IF(Tokens!C325="","",Tokens!C325)</f>
        <v>In Casa #162</v>
      </c>
      <c r="F325"/>
      <c r="G325"/>
      <c r="H325"/>
      <c r="I325"/>
      <c r="J325"/>
      <c r="M325"/>
      <c r="N325"/>
      <c r="O325" s="15" t="str">
        <f t="shared" si="10"/>
        <v>_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/>
      </c>
      <c r="Q325" s="2"/>
      <c r="R325" s="2"/>
      <c r="S325" s="11"/>
      <c r="T325" s="1" t="str">
        <f>"owner=" &amp; Tokens!BS325 &amp; "&amp;filename_for_metadata=" &amp; Tokens!BT325 &amp; "&amp;offchaindata_platform=" &amp; $B$17 &amp; "&amp;keyfile=" &amp; $B$5 &amp; "&amp;network=" &amp; LOWER($B$8) &amp; "&amp;repository=" &amp; $B$18</f>
        <v>owner=thomas&amp;filename_for_metadata=InCasa_COR22D162&amp;offchaindata_platform=MongoDB&amp;keyfile=Paul&amp;network=jsonfiles&amp;repository=test</v>
      </c>
      <c r="U325" s="1" t="str">
        <f t="shared" ref="U325:U388" si="11">"{" &amp; V325 &amp; "," &amp; W325 &amp; "," &amp; """properties"":{" &amp; X325 &amp; "," &amp; Y325 &amp; "}," &amp; AC325 &amp; "}"</f>
        <v>{"name":"In Casa #162",_x000D_
"symbol":"COR22D162",_x000D_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5" s="1" t="str">
        <f>formatRow(Tokens!C$2:I$2,Tokens!C325:I325)</f>
        <v>"name":"In Casa #162",_x000D_
"symbol":"COR22D162",_x000D_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5" s="1" t="str">
        <f>formatRow(Tokens!J$2:AV$2,Tokens!J325:AV325,2,"attributes")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5" s="1" t="str">
        <f>formatRow(Tokens!AX$2:BC$2,Tokens!AX325:BC325,2,"creators")</f>
        <v>"creators":[{"address":"paul",_x000D_
"share":10},{"address":"sophie",_x000D_
"share":90}]</v>
      </c>
      <c r="Y325" s="1" t="str">
        <f>formatRow(Tokens!BD$2:BI$2,Tokens!BD325:BI325,2,"files")</f>
        <v>"files":[]</v>
      </c>
      <c r="Z325" s="1"/>
      <c r="AA325" s="1"/>
      <c r="AB325" s="1"/>
      <c r="AC325" s="1" t="str">
        <f>formatRow(Tokens!BJ$2:BK$2,Tokens!BJ325:BK325,0,"collection")</f>
        <v>"collection":{"name":"In Casa",_x000D_
"family":"Calvi On The Rocks"}</v>
      </c>
    </row>
    <row r="326" spans="5:29" ht="14.25" customHeight="1" x14ac:dyDescent="0.25">
      <c r="E326" s="17" t="str">
        <f>IF(Tokens!C326="","",Tokens!C326)</f>
        <v>In Casa #163</v>
      </c>
      <c r="F326"/>
      <c r="G326"/>
      <c r="H326"/>
      <c r="I326"/>
      <c r="J326"/>
      <c r="M326"/>
      <c r="N326"/>
      <c r="O326" s="15" t="str">
        <f t="shared" si="10"/>
        <v>_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/>
      </c>
      <c r="Q326" s="2"/>
      <c r="R326" s="2"/>
      <c r="S326" s="11"/>
      <c r="T326" s="1" t="str">
        <f>"owner=" &amp; Tokens!BS326 &amp; "&amp;filename_for_metadata=" &amp; Tokens!BT326 &amp; "&amp;offchaindata_platform=" &amp; $B$17 &amp; "&amp;keyfile=" &amp; $B$5 &amp; "&amp;network=" &amp; LOWER($B$8) &amp; "&amp;repository=" &amp; $B$18</f>
        <v>owner=thomas&amp;filename_for_metadata=InCasa_COR22D163&amp;offchaindata_platform=MongoDB&amp;keyfile=Paul&amp;network=jsonfiles&amp;repository=test</v>
      </c>
      <c r="U326" s="1" t="str">
        <f t="shared" si="11"/>
        <v>{"name":"In Casa #163",_x000D_
"symbol":"COR22D163",_x000D_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6" s="1" t="str">
        <f>formatRow(Tokens!C$2:I$2,Tokens!C326:I326)</f>
        <v>"name":"In Casa #163",_x000D_
"symbol":"COR22D163",_x000D_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6" s="1" t="str">
        <f>formatRow(Tokens!J$2:AV$2,Tokens!J326:AV326,2,"attributes")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6" s="1" t="str">
        <f>formatRow(Tokens!AX$2:BC$2,Tokens!AX326:BC326,2,"creators")</f>
        <v>"creators":[{"address":"paul",_x000D_
"share":10},{"address":"sophie",_x000D_
"share":90}]</v>
      </c>
      <c r="Y326" s="1" t="str">
        <f>formatRow(Tokens!BD$2:BI$2,Tokens!BD326:BI326,2,"files")</f>
        <v>"files":[]</v>
      </c>
      <c r="Z326" s="1"/>
      <c r="AA326" s="1"/>
      <c r="AB326" s="1"/>
      <c r="AC326" s="1" t="str">
        <f>formatRow(Tokens!BJ$2:BK$2,Tokens!BJ326:BK326,0,"collection")</f>
        <v>"collection":{"name":"In Casa",_x000D_
"family":"Calvi On The Rocks"}</v>
      </c>
    </row>
    <row r="327" spans="5:29" ht="14.25" customHeight="1" x14ac:dyDescent="0.25">
      <c r="E327" s="17" t="str">
        <f>IF(Tokens!C327="","",Tokens!C327)</f>
        <v>In Casa #164</v>
      </c>
      <c r="F327"/>
      <c r="G327"/>
      <c r="H327"/>
      <c r="I327"/>
      <c r="J327"/>
      <c r="M327"/>
      <c r="N327"/>
      <c r="O327" s="15" t="str">
        <f t="shared" si="10"/>
        <v>_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/>
      </c>
      <c r="Q327" s="2"/>
      <c r="R327" s="2"/>
      <c r="S327" s="11"/>
      <c r="T327" s="1" t="str">
        <f>"owner=" &amp; Tokens!BS327 &amp; "&amp;filename_for_metadata=" &amp; Tokens!BT327 &amp; "&amp;offchaindata_platform=" &amp; $B$17 &amp; "&amp;keyfile=" &amp; $B$5 &amp; "&amp;network=" &amp; LOWER($B$8) &amp; "&amp;repository=" &amp; $B$18</f>
        <v>owner=thomas&amp;filename_for_metadata=InCasa_COR22D164&amp;offchaindata_platform=MongoDB&amp;keyfile=Paul&amp;network=jsonfiles&amp;repository=test</v>
      </c>
      <c r="U327" s="1" t="str">
        <f t="shared" si="11"/>
        <v>{"name":"In Casa #164",_x000D_
"symbol":"COR22D164",_x000D_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7" s="1" t="str">
        <f>formatRow(Tokens!C$2:I$2,Tokens!C327:I327)</f>
        <v>"name":"In Casa #164",_x000D_
"symbol":"COR22D164",_x000D_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7" s="1" t="str">
        <f>formatRow(Tokens!J$2:AV$2,Tokens!J327:AV327,2,"attributes")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7" s="1" t="str">
        <f>formatRow(Tokens!AX$2:BC$2,Tokens!AX327:BC327,2,"creators")</f>
        <v>"creators":[{"address":"paul",_x000D_
"share":10},{"address":"sophie",_x000D_
"share":90}]</v>
      </c>
      <c r="Y327" s="1" t="str">
        <f>formatRow(Tokens!BD$2:BI$2,Tokens!BD327:BI327,2,"files")</f>
        <v>"files":[]</v>
      </c>
      <c r="Z327" s="1"/>
      <c r="AA327" s="1"/>
      <c r="AB327" s="1"/>
      <c r="AC327" s="1" t="str">
        <f>formatRow(Tokens!BJ$2:BK$2,Tokens!BJ327:BK327,0,"collection")</f>
        <v>"collection":{"name":"In Casa",_x000D_
"family":"Calvi On The Rocks"}</v>
      </c>
    </row>
    <row r="328" spans="5:29" ht="14.25" customHeight="1" x14ac:dyDescent="0.25">
      <c r="E328" s="17" t="str">
        <f>IF(Tokens!C328="","",Tokens!C328)</f>
        <v>In Casa #165</v>
      </c>
      <c r="F328"/>
      <c r="G328"/>
      <c r="H328"/>
      <c r="I328"/>
      <c r="J328"/>
      <c r="M328"/>
      <c r="N328"/>
      <c r="O328" s="15" t="str">
        <f t="shared" si="10"/>
        <v>_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/>
      </c>
      <c r="Q328" s="2"/>
      <c r="R328" s="2"/>
      <c r="S328" s="11"/>
      <c r="T328" s="1" t="str">
        <f>"owner=" &amp; Tokens!BS328 &amp; "&amp;filename_for_metadata=" &amp; Tokens!BT328 &amp; "&amp;offchaindata_platform=" &amp; $B$17 &amp; "&amp;keyfile=" &amp; $B$5 &amp; "&amp;network=" &amp; LOWER($B$8) &amp; "&amp;repository=" &amp; $B$18</f>
        <v>owner=thomas&amp;filename_for_metadata=InCasa_COR22D165&amp;offchaindata_platform=MongoDB&amp;keyfile=Paul&amp;network=jsonfiles&amp;repository=test</v>
      </c>
      <c r="U328" s="1" t="str">
        <f t="shared" si="11"/>
        <v>{"name":"In Casa #165",_x000D_
"symbol":"COR22D165",_x000D_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8" s="1" t="str">
        <f>formatRow(Tokens!C$2:I$2,Tokens!C328:I328)</f>
        <v>"name":"In Casa #165",_x000D_
"symbol":"COR22D165",_x000D_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8" s="1" t="str">
        <f>formatRow(Tokens!J$2:AV$2,Tokens!J328:AV328,2,"attributes")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8" s="1" t="str">
        <f>formatRow(Tokens!AX$2:BC$2,Tokens!AX328:BC328,2,"creators")</f>
        <v>"creators":[{"address":"paul",_x000D_
"share":10},{"address":"sophie",_x000D_
"share":90}]</v>
      </c>
      <c r="Y328" s="1" t="str">
        <f>formatRow(Tokens!BD$2:BI$2,Tokens!BD328:BI328,2,"files")</f>
        <v>"files":[]</v>
      </c>
      <c r="Z328" s="1"/>
      <c r="AA328" s="1"/>
      <c r="AB328" s="1"/>
      <c r="AC328" s="1" t="str">
        <f>formatRow(Tokens!BJ$2:BK$2,Tokens!BJ328:BK328,0,"collection")</f>
        <v>"collection":{"name":"In Casa",_x000D_
"family":"Calvi On The Rocks"}</v>
      </c>
    </row>
    <row r="329" spans="5:29" ht="14.25" customHeight="1" x14ac:dyDescent="0.25">
      <c r="E329" s="17" t="str">
        <f>IF(Tokens!C329="","",Tokens!C329)</f>
        <v>In Casa #166</v>
      </c>
      <c r="F329"/>
      <c r="G329"/>
      <c r="H329"/>
      <c r="I329"/>
      <c r="J329"/>
      <c r="M329"/>
      <c r="N329"/>
      <c r="O329" s="15" t="str">
        <f t="shared" si="10"/>
        <v>_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/>
      </c>
      <c r="Q329" s="2"/>
      <c r="R329" s="2"/>
      <c r="S329" s="11"/>
      <c r="T329" s="1" t="str">
        <f>"owner=" &amp; Tokens!BS329 &amp; "&amp;filename_for_metadata=" &amp; Tokens!BT329 &amp; "&amp;offchaindata_platform=" &amp; $B$17 &amp; "&amp;keyfile=" &amp; $B$5 &amp; "&amp;network=" &amp; LOWER($B$8) &amp; "&amp;repository=" &amp; $B$18</f>
        <v>owner=thomas&amp;filename_for_metadata=InCasa_COR22D166&amp;offchaindata_platform=MongoDB&amp;keyfile=Paul&amp;network=jsonfiles&amp;repository=test</v>
      </c>
      <c r="U329" s="1" t="str">
        <f t="shared" si="11"/>
        <v>{"name":"In Casa #166",_x000D_
"symbol":"COR22D166",_x000D_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29" s="1" t="str">
        <f>formatRow(Tokens!C$2:I$2,Tokens!C329:I329)</f>
        <v>"name":"In Casa #166",_x000D_
"symbol":"COR22D166",_x000D_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29" s="1" t="str">
        <f>formatRow(Tokens!J$2:AV$2,Tokens!J329:AV329,2,"attributes")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29" s="1" t="str">
        <f>formatRow(Tokens!AX$2:BC$2,Tokens!AX329:BC329,2,"creators")</f>
        <v>"creators":[{"address":"paul",_x000D_
"share":10},{"address":"sophie",_x000D_
"share":90}]</v>
      </c>
      <c r="Y329" s="1" t="str">
        <f>formatRow(Tokens!BD$2:BI$2,Tokens!BD329:BI329,2,"files")</f>
        <v>"files":[]</v>
      </c>
      <c r="Z329" s="1"/>
      <c r="AA329" s="1"/>
      <c r="AB329" s="1"/>
      <c r="AC329" s="1" t="str">
        <f>formatRow(Tokens!BJ$2:BK$2,Tokens!BJ329:BK329,0,"collection")</f>
        <v>"collection":{"name":"In Casa",_x000D_
"family":"Calvi On The Rocks"}</v>
      </c>
    </row>
    <row r="330" spans="5:29" ht="14.25" customHeight="1" x14ac:dyDescent="0.25">
      <c r="E330" s="17" t="str">
        <f>IF(Tokens!C330="","",Tokens!C330)</f>
        <v>In Casa #167</v>
      </c>
      <c r="F330"/>
      <c r="G330"/>
      <c r="H330"/>
      <c r="I330"/>
      <c r="J330"/>
      <c r="M330"/>
      <c r="N330"/>
      <c r="O330" s="15" t="str">
        <f t="shared" si="10"/>
        <v>_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/>
      </c>
      <c r="Q330" s="2"/>
      <c r="R330" s="2"/>
      <c r="S330" s="11"/>
      <c r="T330" s="1" t="str">
        <f>"owner=" &amp; Tokens!BS330 &amp; "&amp;filename_for_metadata=" &amp; Tokens!BT330 &amp; "&amp;offchaindata_platform=" &amp; $B$17 &amp; "&amp;keyfile=" &amp; $B$5 &amp; "&amp;network=" &amp; LOWER($B$8) &amp; "&amp;repository=" &amp; $B$18</f>
        <v>owner=thomas&amp;filename_for_metadata=InCasa_COR22D167&amp;offchaindata_platform=MongoDB&amp;keyfile=Paul&amp;network=jsonfiles&amp;repository=test</v>
      </c>
      <c r="U330" s="1" t="str">
        <f t="shared" si="11"/>
        <v>{"name":"In Casa #167",_x000D_
"symbol":"COR22D167",_x000D_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0" s="1" t="str">
        <f>formatRow(Tokens!C$2:I$2,Tokens!C330:I330)</f>
        <v>"name":"In Casa #167",_x000D_
"symbol":"COR22D167",_x000D_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0" s="1" t="str">
        <f>formatRow(Tokens!J$2:AV$2,Tokens!J330:AV330,2,"attributes")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0" s="1" t="str">
        <f>formatRow(Tokens!AX$2:BC$2,Tokens!AX330:BC330,2,"creators")</f>
        <v>"creators":[{"address":"paul",_x000D_
"share":10},{"address":"sophie",_x000D_
"share":90}]</v>
      </c>
      <c r="Y330" s="1" t="str">
        <f>formatRow(Tokens!BD$2:BI$2,Tokens!BD330:BI330,2,"files")</f>
        <v>"files":[]</v>
      </c>
      <c r="Z330" s="1"/>
      <c r="AA330" s="1"/>
      <c r="AB330" s="1"/>
      <c r="AC330" s="1" t="str">
        <f>formatRow(Tokens!BJ$2:BK$2,Tokens!BJ330:BK330,0,"collection")</f>
        <v>"collection":{"name":"In Casa",_x000D_
"family":"Calvi On The Rocks"}</v>
      </c>
    </row>
    <row r="331" spans="5:29" ht="14.25" customHeight="1" x14ac:dyDescent="0.25">
      <c r="E331" s="17" t="str">
        <f>IF(Tokens!C331="","",Tokens!C331)</f>
        <v>In Casa #168</v>
      </c>
      <c r="F331"/>
      <c r="G331"/>
      <c r="H331"/>
      <c r="I331"/>
      <c r="J331"/>
      <c r="M331"/>
      <c r="N331"/>
      <c r="O331" s="15" t="str">
        <f t="shared" si="10"/>
        <v>_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/>
      </c>
      <c r="Q331" s="2"/>
      <c r="R331" s="2"/>
      <c r="S331" s="11"/>
      <c r="T331" s="1" t="str">
        <f>"owner=" &amp; Tokens!BS331 &amp; "&amp;filename_for_metadata=" &amp; Tokens!BT331 &amp; "&amp;offchaindata_platform=" &amp; $B$17 &amp; "&amp;keyfile=" &amp; $B$5 &amp; "&amp;network=" &amp; LOWER($B$8) &amp; "&amp;repository=" &amp; $B$18</f>
        <v>owner=thomas&amp;filename_for_metadata=InCasa_COR22D168&amp;offchaindata_platform=MongoDB&amp;keyfile=Paul&amp;network=jsonfiles&amp;repository=test</v>
      </c>
      <c r="U331" s="1" t="str">
        <f t="shared" si="11"/>
        <v>{"name":"In Casa #168",_x000D_
"symbol":"COR22D168",_x000D_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1" s="1" t="str">
        <f>formatRow(Tokens!C$2:I$2,Tokens!C331:I331)</f>
        <v>"name":"In Casa #168",_x000D_
"symbol":"COR22D168",_x000D_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1" s="1" t="str">
        <f>formatRow(Tokens!J$2:AV$2,Tokens!J331:AV331,2,"attributes")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1" s="1" t="str">
        <f>formatRow(Tokens!AX$2:BC$2,Tokens!AX331:BC331,2,"creators")</f>
        <v>"creators":[{"address":"paul",_x000D_
"share":10},{"address":"sophie",_x000D_
"share":90}]</v>
      </c>
      <c r="Y331" s="1" t="str">
        <f>formatRow(Tokens!BD$2:BI$2,Tokens!BD331:BI331,2,"files")</f>
        <v>"files":[]</v>
      </c>
      <c r="Z331" s="1"/>
      <c r="AA331" s="1"/>
      <c r="AB331" s="1"/>
      <c r="AC331" s="1" t="str">
        <f>formatRow(Tokens!BJ$2:BK$2,Tokens!BJ331:BK331,0,"collection")</f>
        <v>"collection":{"name":"In Casa",_x000D_
"family":"Calvi On The Rocks"}</v>
      </c>
    </row>
    <row r="332" spans="5:29" ht="14.25" customHeight="1" x14ac:dyDescent="0.25">
      <c r="E332" s="17" t="str">
        <f>IF(Tokens!C332="","",Tokens!C332)</f>
        <v>In Casa #169</v>
      </c>
      <c r="F332"/>
      <c r="G332"/>
      <c r="H332"/>
      <c r="I332"/>
      <c r="J332"/>
      <c r="M332"/>
      <c r="N332"/>
      <c r="O332" s="15" t="str">
        <f t="shared" si="10"/>
        <v>_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/>
      </c>
      <c r="Q332" s="2"/>
      <c r="R332" s="2"/>
      <c r="S332" s="11"/>
      <c r="T332" s="1" t="str">
        <f>"owner=" &amp; Tokens!BS332 &amp; "&amp;filename_for_metadata=" &amp; Tokens!BT332 &amp; "&amp;offchaindata_platform=" &amp; $B$17 &amp; "&amp;keyfile=" &amp; $B$5 &amp; "&amp;network=" &amp; LOWER($B$8) &amp; "&amp;repository=" &amp; $B$18</f>
        <v>owner=thomas&amp;filename_for_metadata=InCasa_COR22D169&amp;offchaindata_platform=MongoDB&amp;keyfile=Paul&amp;network=jsonfiles&amp;repository=test</v>
      </c>
      <c r="U332" s="1" t="str">
        <f t="shared" si="11"/>
        <v>{"name":"In Casa #169",_x000D_
"symbol":"COR22D169",_x000D_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2" s="1" t="str">
        <f>formatRow(Tokens!C$2:I$2,Tokens!C332:I332)</f>
        <v>"name":"In Casa #169",_x000D_
"symbol":"COR22D169",_x000D_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2" s="1" t="str">
        <f>formatRow(Tokens!J$2:AV$2,Tokens!J332:AV332,2,"attributes")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2" s="1" t="str">
        <f>formatRow(Tokens!AX$2:BC$2,Tokens!AX332:BC332,2,"creators")</f>
        <v>"creators":[{"address":"paul",_x000D_
"share":10},{"address":"sophie",_x000D_
"share":90}]</v>
      </c>
      <c r="Y332" s="1" t="str">
        <f>formatRow(Tokens!BD$2:BI$2,Tokens!BD332:BI332,2,"files")</f>
        <v>"files":[]</v>
      </c>
      <c r="Z332" s="1"/>
      <c r="AA332" s="1"/>
      <c r="AB332" s="1"/>
      <c r="AC332" s="1" t="str">
        <f>formatRow(Tokens!BJ$2:BK$2,Tokens!BJ332:BK332,0,"collection")</f>
        <v>"collection":{"name":"In Casa",_x000D_
"family":"Calvi On The Rocks"}</v>
      </c>
    </row>
    <row r="333" spans="5:29" ht="14.25" customHeight="1" x14ac:dyDescent="0.25">
      <c r="E333" s="17" t="str">
        <f>IF(Tokens!C333="","",Tokens!C333)</f>
        <v>In Casa #170</v>
      </c>
      <c r="F333"/>
      <c r="G333"/>
      <c r="H333"/>
      <c r="I333"/>
      <c r="J333"/>
      <c r="M333"/>
      <c r="N333"/>
      <c r="O333" s="15" t="str">
        <f t="shared" si="10"/>
        <v>_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/>
      </c>
      <c r="Q333" s="2"/>
      <c r="R333" s="2"/>
      <c r="S333" s="11"/>
      <c r="T333" s="1" t="str">
        <f>"owner=" &amp; Tokens!BS333 &amp; "&amp;filename_for_metadata=" &amp; Tokens!BT333 &amp; "&amp;offchaindata_platform=" &amp; $B$17 &amp; "&amp;keyfile=" &amp; $B$5 &amp; "&amp;network=" &amp; LOWER($B$8) &amp; "&amp;repository=" &amp; $B$18</f>
        <v>owner=thomas&amp;filename_for_metadata=InCasa_COR22D170&amp;offchaindata_platform=MongoDB&amp;keyfile=Paul&amp;network=jsonfiles&amp;repository=test</v>
      </c>
      <c r="U333" s="1" t="str">
        <f t="shared" si="11"/>
        <v>{"name":"In Casa #170",_x000D_
"symbol":"COR22D170",_x000D_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3" s="1" t="str">
        <f>formatRow(Tokens!C$2:I$2,Tokens!C333:I333)</f>
        <v>"name":"In Casa #170",_x000D_
"symbol":"COR22D170",_x000D_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3" s="1" t="str">
        <f>formatRow(Tokens!J$2:AV$2,Tokens!J333:AV333,2,"attributes")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3" s="1" t="str">
        <f>formatRow(Tokens!AX$2:BC$2,Tokens!AX333:BC333,2,"creators")</f>
        <v>"creators":[{"address":"paul",_x000D_
"share":10},{"address":"sophie",_x000D_
"share":90}]</v>
      </c>
      <c r="Y333" s="1" t="str">
        <f>formatRow(Tokens!BD$2:BI$2,Tokens!BD333:BI333,2,"files")</f>
        <v>"files":[]</v>
      </c>
      <c r="Z333" s="1"/>
      <c r="AA333" s="1"/>
      <c r="AB333" s="1"/>
      <c r="AC333" s="1" t="str">
        <f>formatRow(Tokens!BJ$2:BK$2,Tokens!BJ333:BK333,0,"collection")</f>
        <v>"collection":{"name":"In Casa",_x000D_
"family":"Calvi On The Rocks"}</v>
      </c>
    </row>
    <row r="334" spans="5:29" ht="14.25" customHeight="1" x14ac:dyDescent="0.25">
      <c r="E334" s="17" t="str">
        <f>IF(Tokens!C334="","",Tokens!C334)</f>
        <v>In Casa #171</v>
      </c>
      <c r="F334"/>
      <c r="G334"/>
      <c r="H334"/>
      <c r="I334"/>
      <c r="J334"/>
      <c r="M334"/>
      <c r="N334"/>
      <c r="O334" s="15" t="str">
        <f t="shared" si="10"/>
        <v>_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/>
      </c>
      <c r="Q334" s="2"/>
      <c r="R334" s="2"/>
      <c r="S334" s="11"/>
      <c r="T334" s="1" t="str">
        <f>"owner=" &amp; Tokens!BS334 &amp; "&amp;filename_for_metadata=" &amp; Tokens!BT334 &amp; "&amp;offchaindata_platform=" &amp; $B$17 &amp; "&amp;keyfile=" &amp; $B$5 &amp; "&amp;network=" &amp; LOWER($B$8) &amp; "&amp;repository=" &amp; $B$18</f>
        <v>owner=thomas&amp;filename_for_metadata=InCasa_COR22D171&amp;offchaindata_platform=MongoDB&amp;keyfile=Paul&amp;network=jsonfiles&amp;repository=test</v>
      </c>
      <c r="U334" s="1" t="str">
        <f t="shared" si="11"/>
        <v>{"name":"In Casa #171",_x000D_
"symbol":"COR22D171",_x000D_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4" s="1" t="str">
        <f>formatRow(Tokens!C$2:I$2,Tokens!C334:I334)</f>
        <v>"name":"In Casa #171",_x000D_
"symbol":"COR22D171",_x000D_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4" s="1" t="str">
        <f>formatRow(Tokens!J$2:AV$2,Tokens!J334:AV334,2,"attributes")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4" s="1" t="str">
        <f>formatRow(Tokens!AX$2:BC$2,Tokens!AX334:BC334,2,"creators")</f>
        <v>"creators":[{"address":"paul",_x000D_
"share":10},{"address":"sophie",_x000D_
"share":90}]</v>
      </c>
      <c r="Y334" s="1" t="str">
        <f>formatRow(Tokens!BD$2:BI$2,Tokens!BD334:BI334,2,"files")</f>
        <v>"files":[]</v>
      </c>
      <c r="Z334" s="1"/>
      <c r="AA334" s="1"/>
      <c r="AB334" s="1"/>
      <c r="AC334" s="1" t="str">
        <f>formatRow(Tokens!BJ$2:BK$2,Tokens!BJ334:BK334,0,"collection")</f>
        <v>"collection":{"name":"In Casa",_x000D_
"family":"Calvi On The Rocks"}</v>
      </c>
    </row>
    <row r="335" spans="5:29" ht="14.25" customHeight="1" x14ac:dyDescent="0.25">
      <c r="E335" s="17" t="str">
        <f>IF(Tokens!C335="","",Tokens!C335)</f>
        <v>In Casa #172</v>
      </c>
      <c r="F335"/>
      <c r="G335"/>
      <c r="H335"/>
      <c r="I335"/>
      <c r="J335"/>
      <c r="M335"/>
      <c r="N335"/>
      <c r="O335" s="15" t="str">
        <f t="shared" si="10"/>
        <v>_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/>
      </c>
      <c r="Q335" s="2"/>
      <c r="R335" s="2"/>
      <c r="S335" s="11"/>
      <c r="T335" s="1" t="str">
        <f>"owner=" &amp; Tokens!BS335 &amp; "&amp;filename_for_metadata=" &amp; Tokens!BT335 &amp; "&amp;offchaindata_platform=" &amp; $B$17 &amp; "&amp;keyfile=" &amp; $B$5 &amp; "&amp;network=" &amp; LOWER($B$8) &amp; "&amp;repository=" &amp; $B$18</f>
        <v>owner=thomas&amp;filename_for_metadata=InCasa_COR22D172&amp;offchaindata_platform=MongoDB&amp;keyfile=Paul&amp;network=jsonfiles&amp;repository=test</v>
      </c>
      <c r="U335" s="1" t="str">
        <f t="shared" si="11"/>
        <v>{"name":"In Casa #172",_x000D_
"symbol":"COR22D172",_x000D_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5" s="1" t="str">
        <f>formatRow(Tokens!C$2:I$2,Tokens!C335:I335)</f>
        <v>"name":"In Casa #172",_x000D_
"symbol":"COR22D172",_x000D_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5" s="1" t="str">
        <f>formatRow(Tokens!J$2:AV$2,Tokens!J335:AV335,2,"attributes")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5" s="1" t="str">
        <f>formatRow(Tokens!AX$2:BC$2,Tokens!AX335:BC335,2,"creators")</f>
        <v>"creators":[{"address":"paul",_x000D_
"share":10},{"address":"sophie",_x000D_
"share":90}]</v>
      </c>
      <c r="Y335" s="1" t="str">
        <f>formatRow(Tokens!BD$2:BI$2,Tokens!BD335:BI335,2,"files")</f>
        <v>"files":[]</v>
      </c>
      <c r="Z335" s="1"/>
      <c r="AA335" s="1"/>
      <c r="AB335" s="1"/>
      <c r="AC335" s="1" t="str">
        <f>formatRow(Tokens!BJ$2:BK$2,Tokens!BJ335:BK335,0,"collection")</f>
        <v>"collection":{"name":"In Casa",_x000D_
"family":"Calvi On The Rocks"}</v>
      </c>
    </row>
    <row r="336" spans="5:29" ht="14.25" customHeight="1" x14ac:dyDescent="0.25">
      <c r="E336" s="17" t="str">
        <f>IF(Tokens!C336="","",Tokens!C336)</f>
        <v>In Casa #173</v>
      </c>
      <c r="F336"/>
      <c r="G336"/>
      <c r="H336"/>
      <c r="I336"/>
      <c r="J336"/>
      <c r="M336"/>
      <c r="N336"/>
      <c r="O336" s="15" t="str">
        <f t="shared" si="10"/>
        <v>_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/>
      </c>
      <c r="Q336" s="2"/>
      <c r="R336" s="2"/>
      <c r="S336" s="11"/>
      <c r="T336" s="1" t="str">
        <f>"owner=" &amp; Tokens!BS336 &amp; "&amp;filename_for_metadata=" &amp; Tokens!BT336 &amp; "&amp;offchaindata_platform=" &amp; $B$17 &amp; "&amp;keyfile=" &amp; $B$5 &amp; "&amp;network=" &amp; LOWER($B$8) &amp; "&amp;repository=" &amp; $B$18</f>
        <v>owner=thomas&amp;filename_for_metadata=InCasa_COR22D173&amp;offchaindata_platform=MongoDB&amp;keyfile=Paul&amp;network=jsonfiles&amp;repository=test</v>
      </c>
      <c r="U336" s="1" t="str">
        <f t="shared" si="11"/>
        <v>{"name":"In Casa #173",_x000D_
"symbol":"COR22D173",_x000D_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6" s="1" t="str">
        <f>formatRow(Tokens!C$2:I$2,Tokens!C336:I336)</f>
        <v>"name":"In Casa #173",_x000D_
"symbol":"COR22D173",_x000D_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6" s="1" t="str">
        <f>formatRow(Tokens!J$2:AV$2,Tokens!J336:AV336,2,"attributes")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6" s="1" t="str">
        <f>formatRow(Tokens!AX$2:BC$2,Tokens!AX336:BC336,2,"creators")</f>
        <v>"creators":[{"address":"paul",_x000D_
"share":10},{"address":"sophie",_x000D_
"share":90}]</v>
      </c>
      <c r="Y336" s="1" t="str">
        <f>formatRow(Tokens!BD$2:BI$2,Tokens!BD336:BI336,2,"files")</f>
        <v>"files":[]</v>
      </c>
      <c r="Z336" s="1"/>
      <c r="AA336" s="1"/>
      <c r="AB336" s="1"/>
      <c r="AC336" s="1" t="str">
        <f>formatRow(Tokens!BJ$2:BK$2,Tokens!BJ336:BK336,0,"collection")</f>
        <v>"collection":{"name":"In Casa",_x000D_
"family":"Calvi On The Rocks"}</v>
      </c>
    </row>
    <row r="337" spans="5:29" ht="14.25" customHeight="1" x14ac:dyDescent="0.25">
      <c r="E337" s="17" t="str">
        <f>IF(Tokens!C337="","",Tokens!C337)</f>
        <v>In Casa #174</v>
      </c>
      <c r="F337"/>
      <c r="G337"/>
      <c r="H337"/>
      <c r="I337"/>
      <c r="J337"/>
      <c r="M337"/>
      <c r="N337"/>
      <c r="O337" s="15" t="str">
        <f t="shared" si="10"/>
        <v>_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/>
      </c>
      <c r="Q337" s="2"/>
      <c r="R337" s="2"/>
      <c r="S337" s="11"/>
      <c r="T337" s="1" t="str">
        <f>"owner=" &amp; Tokens!BS337 &amp; "&amp;filename_for_metadata=" &amp; Tokens!BT337 &amp; "&amp;offchaindata_platform=" &amp; $B$17 &amp; "&amp;keyfile=" &amp; $B$5 &amp; "&amp;network=" &amp; LOWER($B$8) &amp; "&amp;repository=" &amp; $B$18</f>
        <v>owner=thomas&amp;filename_for_metadata=InCasa_COR22D174&amp;offchaindata_platform=MongoDB&amp;keyfile=Paul&amp;network=jsonfiles&amp;repository=test</v>
      </c>
      <c r="U337" s="1" t="str">
        <f t="shared" si="11"/>
        <v>{"name":"In Casa #174",_x000D_
"symbol":"COR22D174",_x000D_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7" s="1" t="str">
        <f>formatRow(Tokens!C$2:I$2,Tokens!C337:I337)</f>
        <v>"name":"In Casa #174",_x000D_
"symbol":"COR22D174",_x000D_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7" s="1" t="str">
        <f>formatRow(Tokens!J$2:AV$2,Tokens!J337:AV337,2,"attributes")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7" s="1" t="str">
        <f>formatRow(Tokens!AX$2:BC$2,Tokens!AX337:BC337,2,"creators")</f>
        <v>"creators":[{"address":"paul",_x000D_
"share":10},{"address":"sophie",_x000D_
"share":90}]</v>
      </c>
      <c r="Y337" s="1" t="str">
        <f>formatRow(Tokens!BD$2:BI$2,Tokens!BD337:BI337,2,"files")</f>
        <v>"files":[]</v>
      </c>
      <c r="Z337" s="1"/>
      <c r="AA337" s="1"/>
      <c r="AB337" s="1"/>
      <c r="AC337" s="1" t="str">
        <f>formatRow(Tokens!BJ$2:BK$2,Tokens!BJ337:BK337,0,"collection")</f>
        <v>"collection":{"name":"In Casa",_x000D_
"family":"Calvi On The Rocks"}</v>
      </c>
    </row>
    <row r="338" spans="5:29" ht="14.25" customHeight="1" x14ac:dyDescent="0.25">
      <c r="E338" s="17" t="str">
        <f>IF(Tokens!C338="","",Tokens!C338)</f>
        <v>In Casa #175</v>
      </c>
      <c r="F338"/>
      <c r="G338"/>
      <c r="H338"/>
      <c r="I338"/>
      <c r="J338"/>
      <c r="M338"/>
      <c r="N338"/>
      <c r="O338" s="15" t="str">
        <f t="shared" si="10"/>
        <v>_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/>
      </c>
      <c r="Q338" s="2"/>
      <c r="R338" s="2"/>
      <c r="S338" s="11"/>
      <c r="T338" s="1" t="str">
        <f>"owner=" &amp; Tokens!BS338 &amp; "&amp;filename_for_metadata=" &amp; Tokens!BT338 &amp; "&amp;offchaindata_platform=" &amp; $B$17 &amp; "&amp;keyfile=" &amp; $B$5 &amp; "&amp;network=" &amp; LOWER($B$8) &amp; "&amp;repository=" &amp; $B$18</f>
        <v>owner=thomas&amp;filename_for_metadata=InCasa_COR22D175&amp;offchaindata_platform=MongoDB&amp;keyfile=Paul&amp;network=jsonfiles&amp;repository=test</v>
      </c>
      <c r="U338" s="1" t="str">
        <f t="shared" si="11"/>
        <v>{"name":"In Casa #175",_x000D_
"symbol":"COR22D175",_x000D_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8" s="1" t="str">
        <f>formatRow(Tokens!C$2:I$2,Tokens!C338:I338)</f>
        <v>"name":"In Casa #175",_x000D_
"symbol":"COR22D175",_x000D_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8" s="1" t="str">
        <f>formatRow(Tokens!J$2:AV$2,Tokens!J338:AV338,2,"attributes")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8" s="1" t="str">
        <f>formatRow(Tokens!AX$2:BC$2,Tokens!AX338:BC338,2,"creators")</f>
        <v>"creators":[{"address":"paul",_x000D_
"share":10},{"address":"sophie",_x000D_
"share":90}]</v>
      </c>
      <c r="Y338" s="1" t="str">
        <f>formatRow(Tokens!BD$2:BI$2,Tokens!BD338:BI338,2,"files")</f>
        <v>"files":[]</v>
      </c>
      <c r="Z338" s="1"/>
      <c r="AA338" s="1"/>
      <c r="AB338" s="1"/>
      <c r="AC338" s="1" t="str">
        <f>formatRow(Tokens!BJ$2:BK$2,Tokens!BJ338:BK338,0,"collection")</f>
        <v>"collection":{"name":"In Casa",_x000D_
"family":"Calvi On The Rocks"}</v>
      </c>
    </row>
    <row r="339" spans="5:29" ht="14.25" customHeight="1" x14ac:dyDescent="0.25">
      <c r="E339" s="17" t="str">
        <f>IF(Tokens!C339="","",Tokens!C339)</f>
        <v>In Casa #176</v>
      </c>
      <c r="F339"/>
      <c r="G339"/>
      <c r="H339"/>
      <c r="I339"/>
      <c r="J339"/>
      <c r="M339"/>
      <c r="N339"/>
      <c r="O339" s="15" t="str">
        <f t="shared" si="10"/>
        <v>_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/>
      </c>
      <c r="Q339" s="2"/>
      <c r="R339" s="2"/>
      <c r="S339" s="11"/>
      <c r="T339" s="1" t="str">
        <f>"owner=" &amp; Tokens!BS339 &amp; "&amp;filename_for_metadata=" &amp; Tokens!BT339 &amp; "&amp;offchaindata_platform=" &amp; $B$17 &amp; "&amp;keyfile=" &amp; $B$5 &amp; "&amp;network=" &amp; LOWER($B$8) &amp; "&amp;repository=" &amp; $B$18</f>
        <v>owner=thomas&amp;filename_for_metadata=InCasa_COR22D176&amp;offchaindata_platform=MongoDB&amp;keyfile=Paul&amp;network=jsonfiles&amp;repository=test</v>
      </c>
      <c r="U339" s="1" t="str">
        <f t="shared" si="11"/>
        <v>{"name":"In Casa #176",_x000D_
"symbol":"COR22D176",_x000D_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39" s="1" t="str">
        <f>formatRow(Tokens!C$2:I$2,Tokens!C339:I339)</f>
        <v>"name":"In Casa #176",_x000D_
"symbol":"COR22D176",_x000D_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39" s="1" t="str">
        <f>formatRow(Tokens!J$2:AV$2,Tokens!J339:AV339,2,"attributes")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39" s="1" t="str">
        <f>formatRow(Tokens!AX$2:BC$2,Tokens!AX339:BC339,2,"creators")</f>
        <v>"creators":[{"address":"paul",_x000D_
"share":10},{"address":"sophie",_x000D_
"share":90}]</v>
      </c>
      <c r="Y339" s="1" t="str">
        <f>formatRow(Tokens!BD$2:BI$2,Tokens!BD339:BI339,2,"files")</f>
        <v>"files":[]</v>
      </c>
      <c r="Z339" s="1"/>
      <c r="AA339" s="1"/>
      <c r="AB339" s="1"/>
      <c r="AC339" s="1" t="str">
        <f>formatRow(Tokens!BJ$2:BK$2,Tokens!BJ339:BK339,0,"collection")</f>
        <v>"collection":{"name":"In Casa",_x000D_
"family":"Calvi On The Rocks"}</v>
      </c>
    </row>
    <row r="340" spans="5:29" ht="14.25" customHeight="1" x14ac:dyDescent="0.25">
      <c r="E340" s="17" t="str">
        <f>IF(Tokens!C340="","",Tokens!C340)</f>
        <v>In Casa #177</v>
      </c>
      <c r="F340"/>
      <c r="G340"/>
      <c r="H340"/>
      <c r="I340"/>
      <c r="J340"/>
      <c r="M340"/>
      <c r="N340"/>
      <c r="O340" s="15" t="str">
        <f t="shared" si="10"/>
        <v>_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/>
      </c>
      <c r="Q340" s="2"/>
      <c r="R340" s="2"/>
      <c r="S340" s="11"/>
      <c r="T340" s="1" t="str">
        <f>"owner=" &amp; Tokens!BS340 &amp; "&amp;filename_for_metadata=" &amp; Tokens!BT340 &amp; "&amp;offchaindata_platform=" &amp; $B$17 &amp; "&amp;keyfile=" &amp; $B$5 &amp; "&amp;network=" &amp; LOWER($B$8) &amp; "&amp;repository=" &amp; $B$18</f>
        <v>owner=thomas&amp;filename_for_metadata=InCasa_COR22D177&amp;offchaindata_platform=MongoDB&amp;keyfile=Paul&amp;network=jsonfiles&amp;repository=test</v>
      </c>
      <c r="U340" s="1" t="str">
        <f t="shared" si="11"/>
        <v>{"name":"In Casa #177",_x000D_
"symbol":"COR22D177",_x000D_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0" s="1" t="str">
        <f>formatRow(Tokens!C$2:I$2,Tokens!C340:I340)</f>
        <v>"name":"In Casa #177",_x000D_
"symbol":"COR22D177",_x000D_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0" s="1" t="str">
        <f>formatRow(Tokens!J$2:AV$2,Tokens!J340:AV340,2,"attributes")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0" s="1" t="str">
        <f>formatRow(Tokens!AX$2:BC$2,Tokens!AX340:BC340,2,"creators")</f>
        <v>"creators":[{"address":"paul",_x000D_
"share":10},{"address":"sophie",_x000D_
"share":90}]</v>
      </c>
      <c r="Y340" s="1" t="str">
        <f>formatRow(Tokens!BD$2:BI$2,Tokens!BD340:BI340,2,"files")</f>
        <v>"files":[]</v>
      </c>
      <c r="Z340" s="1"/>
      <c r="AA340" s="1"/>
      <c r="AB340" s="1"/>
      <c r="AC340" s="1" t="str">
        <f>formatRow(Tokens!BJ$2:BK$2,Tokens!BJ340:BK340,0,"collection")</f>
        <v>"collection":{"name":"In Casa",_x000D_
"family":"Calvi On The Rocks"}</v>
      </c>
    </row>
    <row r="341" spans="5:29" ht="14.25" customHeight="1" x14ac:dyDescent="0.25">
      <c r="E341" s="17" t="str">
        <f>IF(Tokens!C341="","",Tokens!C341)</f>
        <v>In Casa #178</v>
      </c>
      <c r="F341"/>
      <c r="G341"/>
      <c r="H341"/>
      <c r="I341"/>
      <c r="J341"/>
      <c r="M341"/>
      <c r="N341"/>
      <c r="O341" s="15" t="str">
        <f t="shared" si="10"/>
        <v>_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/>
      </c>
      <c r="Q341" s="2"/>
      <c r="R341" s="2"/>
      <c r="S341" s="11"/>
      <c r="T341" s="1" t="str">
        <f>"owner=" &amp; Tokens!BS341 &amp; "&amp;filename_for_metadata=" &amp; Tokens!BT341 &amp; "&amp;offchaindata_platform=" &amp; $B$17 &amp; "&amp;keyfile=" &amp; $B$5 &amp; "&amp;network=" &amp; LOWER($B$8) &amp; "&amp;repository=" &amp; $B$18</f>
        <v>owner=thomas&amp;filename_for_metadata=InCasa_COR22D178&amp;offchaindata_platform=MongoDB&amp;keyfile=Paul&amp;network=jsonfiles&amp;repository=test</v>
      </c>
      <c r="U341" s="1" t="str">
        <f t="shared" si="11"/>
        <v>{"name":"In Casa #178",_x000D_
"symbol":"COR22D178",_x000D_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1" s="1" t="str">
        <f>formatRow(Tokens!C$2:I$2,Tokens!C341:I341)</f>
        <v>"name":"In Casa #178",_x000D_
"symbol":"COR22D178",_x000D_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1" s="1" t="str">
        <f>formatRow(Tokens!J$2:AV$2,Tokens!J341:AV341,2,"attributes")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1" s="1" t="str">
        <f>formatRow(Tokens!AX$2:BC$2,Tokens!AX341:BC341,2,"creators")</f>
        <v>"creators":[{"address":"paul",_x000D_
"share":10},{"address":"sophie",_x000D_
"share":90}]</v>
      </c>
      <c r="Y341" s="1" t="str">
        <f>formatRow(Tokens!BD$2:BI$2,Tokens!BD341:BI341,2,"files")</f>
        <v>"files":[]</v>
      </c>
      <c r="Z341" s="1"/>
      <c r="AA341" s="1"/>
      <c r="AB341" s="1"/>
      <c r="AC341" s="1" t="str">
        <f>formatRow(Tokens!BJ$2:BK$2,Tokens!BJ341:BK341,0,"collection")</f>
        <v>"collection":{"name":"In Casa",_x000D_
"family":"Calvi On The Rocks"}</v>
      </c>
    </row>
    <row r="342" spans="5:29" ht="14.25" customHeight="1" x14ac:dyDescent="0.25">
      <c r="E342" s="17" t="str">
        <f>IF(Tokens!C342="","",Tokens!C342)</f>
        <v>In Casa #179</v>
      </c>
      <c r="F342"/>
      <c r="G342"/>
      <c r="H342"/>
      <c r="I342"/>
      <c r="J342"/>
      <c r="M342"/>
      <c r="N342"/>
      <c r="O342" s="15" t="str">
        <f t="shared" si="10"/>
        <v>_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/>
      </c>
      <c r="Q342" s="2"/>
      <c r="R342" s="2"/>
      <c r="S342" s="11"/>
      <c r="T342" s="1" t="str">
        <f>"owner=" &amp; Tokens!BS342 &amp; "&amp;filename_for_metadata=" &amp; Tokens!BT342 &amp; "&amp;offchaindata_platform=" &amp; $B$17 &amp; "&amp;keyfile=" &amp; $B$5 &amp; "&amp;network=" &amp; LOWER($B$8) &amp; "&amp;repository=" &amp; $B$18</f>
        <v>owner=thomas&amp;filename_for_metadata=InCasa_COR22D179&amp;offchaindata_platform=MongoDB&amp;keyfile=Paul&amp;network=jsonfiles&amp;repository=test</v>
      </c>
      <c r="U342" s="1" t="str">
        <f t="shared" si="11"/>
        <v>{"name":"In Casa #179",_x000D_
"symbol":"COR22D179",_x000D_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2" s="1" t="str">
        <f>formatRow(Tokens!C$2:I$2,Tokens!C342:I342)</f>
        <v>"name":"In Casa #179",_x000D_
"symbol":"COR22D179",_x000D_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2" s="1" t="str">
        <f>formatRow(Tokens!J$2:AV$2,Tokens!J342:AV342,2,"attributes")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2" s="1" t="str">
        <f>formatRow(Tokens!AX$2:BC$2,Tokens!AX342:BC342,2,"creators")</f>
        <v>"creators":[{"address":"paul",_x000D_
"share":10},{"address":"sophie",_x000D_
"share":90}]</v>
      </c>
      <c r="Y342" s="1" t="str">
        <f>formatRow(Tokens!BD$2:BI$2,Tokens!BD342:BI342,2,"files")</f>
        <v>"files":[]</v>
      </c>
      <c r="Z342" s="1"/>
      <c r="AA342" s="1"/>
      <c r="AB342" s="1"/>
      <c r="AC342" s="1" t="str">
        <f>formatRow(Tokens!BJ$2:BK$2,Tokens!BJ342:BK342,0,"collection")</f>
        <v>"collection":{"name":"In Casa",_x000D_
"family":"Calvi On The Rocks"}</v>
      </c>
    </row>
    <row r="343" spans="5:29" ht="14.25" customHeight="1" x14ac:dyDescent="0.25">
      <c r="E343" s="17" t="str">
        <f>IF(Tokens!C343="","",Tokens!C343)</f>
        <v>In Casa #180</v>
      </c>
      <c r="F343"/>
      <c r="G343"/>
      <c r="H343"/>
      <c r="I343"/>
      <c r="J343"/>
      <c r="M343"/>
      <c r="N343"/>
      <c r="O343" s="15" t="str">
        <f t="shared" si="10"/>
        <v>_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/>
      </c>
      <c r="Q343" s="2"/>
      <c r="R343" s="2"/>
      <c r="S343" s="11"/>
      <c r="T343" s="1" t="str">
        <f>"owner=" &amp; Tokens!BS343 &amp; "&amp;filename_for_metadata=" &amp; Tokens!BT343 &amp; "&amp;offchaindata_platform=" &amp; $B$17 &amp; "&amp;keyfile=" &amp; $B$5 &amp; "&amp;network=" &amp; LOWER($B$8) &amp; "&amp;repository=" &amp; $B$18</f>
        <v>owner=thomas&amp;filename_for_metadata=InCasa_COR22D180&amp;offchaindata_platform=MongoDB&amp;keyfile=Paul&amp;network=jsonfiles&amp;repository=test</v>
      </c>
      <c r="U343" s="1" t="str">
        <f t="shared" si="11"/>
        <v>{"name":"In Casa #180",_x000D_
"symbol":"COR22D180",_x000D_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3" s="1" t="str">
        <f>formatRow(Tokens!C$2:I$2,Tokens!C343:I343)</f>
        <v>"name":"In Casa #180",_x000D_
"symbol":"COR22D180",_x000D_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3" s="1" t="str">
        <f>formatRow(Tokens!J$2:AV$2,Tokens!J343:AV343,2,"attributes")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3" s="1" t="str">
        <f>formatRow(Tokens!AX$2:BC$2,Tokens!AX343:BC343,2,"creators")</f>
        <v>"creators":[{"address":"paul",_x000D_
"share":10},{"address":"sophie",_x000D_
"share":90}]</v>
      </c>
      <c r="Y343" s="1" t="str">
        <f>formatRow(Tokens!BD$2:BI$2,Tokens!BD343:BI343,2,"files")</f>
        <v>"files":[]</v>
      </c>
      <c r="Z343" s="1"/>
      <c r="AA343" s="1"/>
      <c r="AB343" s="1"/>
      <c r="AC343" s="1" t="str">
        <f>formatRow(Tokens!BJ$2:BK$2,Tokens!BJ343:BK343,0,"collection")</f>
        <v>"collection":{"name":"In Casa",_x000D_
"family":"Calvi On The Rocks"}</v>
      </c>
    </row>
    <row r="344" spans="5:29" ht="14.25" customHeight="1" x14ac:dyDescent="0.25">
      <c r="E344" s="17" t="str">
        <f>IF(Tokens!C344="","",Tokens!C344)</f>
        <v>In Casa #181</v>
      </c>
      <c r="F344"/>
      <c r="G344"/>
      <c r="H344"/>
      <c r="I344"/>
      <c r="J344"/>
      <c r="M344"/>
      <c r="N344"/>
      <c r="O344" s="15" t="str">
        <f t="shared" si="10"/>
        <v>_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/>
      </c>
      <c r="Q344" s="2"/>
      <c r="R344" s="2"/>
      <c r="S344" s="11"/>
      <c r="T344" s="1" t="str">
        <f>"owner=" &amp; Tokens!BS344 &amp; "&amp;filename_for_metadata=" &amp; Tokens!BT344 &amp; "&amp;offchaindata_platform=" &amp; $B$17 &amp; "&amp;keyfile=" &amp; $B$5 &amp; "&amp;network=" &amp; LOWER($B$8) &amp; "&amp;repository=" &amp; $B$18</f>
        <v>owner=thomas&amp;filename_for_metadata=InCasa_COR22D181&amp;offchaindata_platform=MongoDB&amp;keyfile=Paul&amp;network=jsonfiles&amp;repository=test</v>
      </c>
      <c r="U344" s="1" t="str">
        <f t="shared" si="11"/>
        <v>{"name":"In Casa #181",_x000D_
"symbol":"COR22D181",_x000D_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4" s="1" t="str">
        <f>formatRow(Tokens!C$2:I$2,Tokens!C344:I344)</f>
        <v>"name":"In Casa #181",_x000D_
"symbol":"COR22D181",_x000D_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4" s="1" t="str">
        <f>formatRow(Tokens!J$2:AV$2,Tokens!J344:AV344,2,"attributes")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4" s="1" t="str">
        <f>formatRow(Tokens!AX$2:BC$2,Tokens!AX344:BC344,2,"creators")</f>
        <v>"creators":[{"address":"paul",_x000D_
"share":10},{"address":"sophie",_x000D_
"share":90}]</v>
      </c>
      <c r="Y344" s="1" t="str">
        <f>formatRow(Tokens!BD$2:BI$2,Tokens!BD344:BI344,2,"files")</f>
        <v>"files":[]</v>
      </c>
      <c r="Z344" s="1"/>
      <c r="AA344" s="1"/>
      <c r="AB344" s="1"/>
      <c r="AC344" s="1" t="str">
        <f>formatRow(Tokens!BJ$2:BK$2,Tokens!BJ344:BK344,0,"collection")</f>
        <v>"collection":{"name":"In Casa",_x000D_
"family":"Calvi On The Rocks"}</v>
      </c>
    </row>
    <row r="345" spans="5:29" ht="14.25" customHeight="1" x14ac:dyDescent="0.25">
      <c r="E345" s="17" t="str">
        <f>IF(Tokens!C345="","",Tokens!C345)</f>
        <v>In Casa #182</v>
      </c>
      <c r="F345"/>
      <c r="G345"/>
      <c r="H345"/>
      <c r="I345"/>
      <c r="J345"/>
      <c r="M345"/>
      <c r="N345"/>
      <c r="O345" s="15" t="str">
        <f t="shared" si="10"/>
        <v>_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/>
      </c>
      <c r="Q345" s="2"/>
      <c r="R345" s="2"/>
      <c r="S345" s="11"/>
      <c r="T345" s="1" t="str">
        <f>"owner=" &amp; Tokens!BS345 &amp; "&amp;filename_for_metadata=" &amp; Tokens!BT345 &amp; "&amp;offchaindata_platform=" &amp; $B$17 &amp; "&amp;keyfile=" &amp; $B$5 &amp; "&amp;network=" &amp; LOWER($B$8) &amp; "&amp;repository=" &amp; $B$18</f>
        <v>owner=thomas&amp;filename_for_metadata=InCasa_COR22D182&amp;offchaindata_platform=MongoDB&amp;keyfile=Paul&amp;network=jsonfiles&amp;repository=test</v>
      </c>
      <c r="U345" s="1" t="str">
        <f t="shared" si="11"/>
        <v>{"name":"In Casa #182",_x000D_
"symbol":"COR22D182",_x000D_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5" s="1" t="str">
        <f>formatRow(Tokens!C$2:I$2,Tokens!C345:I345)</f>
        <v>"name":"In Casa #182",_x000D_
"symbol":"COR22D182",_x000D_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5" s="1" t="str">
        <f>formatRow(Tokens!J$2:AV$2,Tokens!J345:AV345,2,"attributes")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5" s="1" t="str">
        <f>formatRow(Tokens!AX$2:BC$2,Tokens!AX345:BC345,2,"creators")</f>
        <v>"creators":[{"address":"paul",_x000D_
"share":10},{"address":"sophie",_x000D_
"share":90}]</v>
      </c>
      <c r="Y345" s="1" t="str">
        <f>formatRow(Tokens!BD$2:BI$2,Tokens!BD345:BI345,2,"files")</f>
        <v>"files":[]</v>
      </c>
      <c r="Z345" s="1"/>
      <c r="AA345" s="1"/>
      <c r="AB345" s="1"/>
      <c r="AC345" s="1" t="str">
        <f>formatRow(Tokens!BJ$2:BK$2,Tokens!BJ345:BK345,0,"collection")</f>
        <v>"collection":{"name":"In Casa",_x000D_
"family":"Calvi On The Rocks"}</v>
      </c>
    </row>
    <row r="346" spans="5:29" ht="14.25" customHeight="1" x14ac:dyDescent="0.25">
      <c r="E346" s="17" t="str">
        <f>IF(Tokens!C346="","",Tokens!C346)</f>
        <v>In Casa #183</v>
      </c>
      <c r="F346"/>
      <c r="G346"/>
      <c r="H346"/>
      <c r="I346"/>
      <c r="J346"/>
      <c r="M346"/>
      <c r="N346"/>
      <c r="O346" s="15" t="str">
        <f t="shared" si="10"/>
        <v>_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/>
      </c>
      <c r="Q346" s="2"/>
      <c r="R346" s="2"/>
      <c r="S346" s="11"/>
      <c r="T346" s="1" t="str">
        <f>"owner=" &amp; Tokens!BS346 &amp; "&amp;filename_for_metadata=" &amp; Tokens!BT346 &amp; "&amp;offchaindata_platform=" &amp; $B$17 &amp; "&amp;keyfile=" &amp; $B$5 &amp; "&amp;network=" &amp; LOWER($B$8) &amp; "&amp;repository=" &amp; $B$18</f>
        <v>owner=thomas&amp;filename_for_metadata=InCasa_COR22D183&amp;offchaindata_platform=MongoDB&amp;keyfile=Paul&amp;network=jsonfiles&amp;repository=test</v>
      </c>
      <c r="U346" s="1" t="str">
        <f t="shared" si="11"/>
        <v>{"name":"In Casa #183",_x000D_
"symbol":"COR22D183",_x000D_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6" s="1" t="str">
        <f>formatRow(Tokens!C$2:I$2,Tokens!C346:I346)</f>
        <v>"name":"In Casa #183",_x000D_
"symbol":"COR22D183",_x000D_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6" s="1" t="str">
        <f>formatRow(Tokens!J$2:AV$2,Tokens!J346:AV346,2,"attributes")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6" s="1" t="str">
        <f>formatRow(Tokens!AX$2:BC$2,Tokens!AX346:BC346,2,"creators")</f>
        <v>"creators":[{"address":"paul",_x000D_
"share":10},{"address":"sophie",_x000D_
"share":90}]</v>
      </c>
      <c r="Y346" s="1" t="str">
        <f>formatRow(Tokens!BD$2:BI$2,Tokens!BD346:BI346,2,"files")</f>
        <v>"files":[]</v>
      </c>
      <c r="Z346" s="1"/>
      <c r="AA346" s="1"/>
      <c r="AB346" s="1"/>
      <c r="AC346" s="1" t="str">
        <f>formatRow(Tokens!BJ$2:BK$2,Tokens!BJ346:BK346,0,"collection")</f>
        <v>"collection":{"name":"In Casa",_x000D_
"family":"Calvi On The Rocks"}</v>
      </c>
    </row>
    <row r="347" spans="5:29" ht="14.25" customHeight="1" x14ac:dyDescent="0.25">
      <c r="E347" s="17" t="str">
        <f>IF(Tokens!C347="","",Tokens!C347)</f>
        <v>In Casa #184</v>
      </c>
      <c r="F347"/>
      <c r="G347"/>
      <c r="H347"/>
      <c r="I347"/>
      <c r="J347"/>
      <c r="M347"/>
      <c r="N347"/>
      <c r="O347" s="15" t="str">
        <f t="shared" si="10"/>
        <v>_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/>
      </c>
      <c r="Q347" s="2"/>
      <c r="R347" s="2"/>
      <c r="S347" s="11"/>
      <c r="T347" s="1" t="str">
        <f>"owner=" &amp; Tokens!BS347 &amp; "&amp;filename_for_metadata=" &amp; Tokens!BT347 &amp; "&amp;offchaindata_platform=" &amp; $B$17 &amp; "&amp;keyfile=" &amp; $B$5 &amp; "&amp;network=" &amp; LOWER($B$8) &amp; "&amp;repository=" &amp; $B$18</f>
        <v>owner=thomas&amp;filename_for_metadata=InCasa_COR22D184&amp;offchaindata_platform=MongoDB&amp;keyfile=Paul&amp;network=jsonfiles&amp;repository=test</v>
      </c>
      <c r="U347" s="1" t="str">
        <f t="shared" si="11"/>
        <v>{"name":"In Casa #184",_x000D_
"symbol":"COR22D184",_x000D_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7" s="1" t="str">
        <f>formatRow(Tokens!C$2:I$2,Tokens!C347:I347)</f>
        <v>"name":"In Casa #184",_x000D_
"symbol":"COR22D184",_x000D_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7" s="1" t="str">
        <f>formatRow(Tokens!J$2:AV$2,Tokens!J347:AV347,2,"attributes")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7" s="1" t="str">
        <f>formatRow(Tokens!AX$2:BC$2,Tokens!AX347:BC347,2,"creators")</f>
        <v>"creators":[{"address":"paul",_x000D_
"share":10},{"address":"sophie",_x000D_
"share":90}]</v>
      </c>
      <c r="Y347" s="1" t="str">
        <f>formatRow(Tokens!BD$2:BI$2,Tokens!BD347:BI347,2,"files")</f>
        <v>"files":[]</v>
      </c>
      <c r="Z347" s="1"/>
      <c r="AA347" s="1"/>
      <c r="AB347" s="1"/>
      <c r="AC347" s="1" t="str">
        <f>formatRow(Tokens!BJ$2:BK$2,Tokens!BJ347:BK347,0,"collection")</f>
        <v>"collection":{"name":"In Casa",_x000D_
"family":"Calvi On The Rocks"}</v>
      </c>
    </row>
    <row r="348" spans="5:29" ht="14.25" customHeight="1" x14ac:dyDescent="0.25">
      <c r="E348" s="17" t="str">
        <f>IF(Tokens!C348="","",Tokens!C348)</f>
        <v>In Casa #185</v>
      </c>
      <c r="F348"/>
      <c r="G348"/>
      <c r="H348"/>
      <c r="I348"/>
      <c r="J348"/>
      <c r="M348"/>
      <c r="N348"/>
      <c r="O348" s="15" t="str">
        <f t="shared" si="10"/>
        <v>_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/>
      </c>
      <c r="Q348" s="2"/>
      <c r="R348" s="2"/>
      <c r="S348" s="11"/>
      <c r="T348" s="1" t="str">
        <f>"owner=" &amp; Tokens!BS348 &amp; "&amp;filename_for_metadata=" &amp; Tokens!BT348 &amp; "&amp;offchaindata_platform=" &amp; $B$17 &amp; "&amp;keyfile=" &amp; $B$5 &amp; "&amp;network=" &amp; LOWER($B$8) &amp; "&amp;repository=" &amp; $B$18</f>
        <v>owner=thomas&amp;filename_for_metadata=InCasa_COR22D185&amp;offchaindata_platform=MongoDB&amp;keyfile=Paul&amp;network=jsonfiles&amp;repository=test</v>
      </c>
      <c r="U348" s="1" t="str">
        <f t="shared" si="11"/>
        <v>{"name":"In Casa #185",_x000D_
"symbol":"COR22D185",_x000D_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8" s="1" t="str">
        <f>formatRow(Tokens!C$2:I$2,Tokens!C348:I348)</f>
        <v>"name":"In Casa #185",_x000D_
"symbol":"COR22D185",_x000D_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8" s="1" t="str">
        <f>formatRow(Tokens!J$2:AV$2,Tokens!J348:AV348,2,"attributes")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8" s="1" t="str">
        <f>formatRow(Tokens!AX$2:BC$2,Tokens!AX348:BC348,2,"creators")</f>
        <v>"creators":[{"address":"paul",_x000D_
"share":10},{"address":"sophie",_x000D_
"share":90}]</v>
      </c>
      <c r="Y348" s="1" t="str">
        <f>formatRow(Tokens!BD$2:BI$2,Tokens!BD348:BI348,2,"files")</f>
        <v>"files":[]</v>
      </c>
      <c r="Z348" s="1"/>
      <c r="AA348" s="1"/>
      <c r="AB348" s="1"/>
      <c r="AC348" s="1" t="str">
        <f>formatRow(Tokens!BJ$2:BK$2,Tokens!BJ348:BK348,0,"collection")</f>
        <v>"collection":{"name":"In Casa",_x000D_
"family":"Calvi On The Rocks"}</v>
      </c>
    </row>
    <row r="349" spans="5:29" ht="14.25" customHeight="1" x14ac:dyDescent="0.25">
      <c r="E349" s="17" t="str">
        <f>IF(Tokens!C349="","",Tokens!C349)</f>
        <v>In Casa #186</v>
      </c>
      <c r="F349"/>
      <c r="G349"/>
      <c r="H349"/>
      <c r="I349"/>
      <c r="J349"/>
      <c r="M349"/>
      <c r="N349"/>
      <c r="O349" s="15" t="str">
        <f t="shared" si="10"/>
        <v>_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/>
      </c>
      <c r="Q349" s="2"/>
      <c r="R349" s="2"/>
      <c r="S349" s="11"/>
      <c r="T349" s="1" t="str">
        <f>"owner=" &amp; Tokens!BS349 &amp; "&amp;filename_for_metadata=" &amp; Tokens!BT349 &amp; "&amp;offchaindata_platform=" &amp; $B$17 &amp; "&amp;keyfile=" &amp; $B$5 &amp; "&amp;network=" &amp; LOWER($B$8) &amp; "&amp;repository=" &amp; $B$18</f>
        <v>owner=thomas&amp;filename_for_metadata=InCasa_COR22D186&amp;offchaindata_platform=MongoDB&amp;keyfile=Paul&amp;network=jsonfiles&amp;repository=test</v>
      </c>
      <c r="U349" s="1" t="str">
        <f t="shared" si="11"/>
        <v>{"name":"In Casa #186",_x000D_
"symbol":"COR22D186",_x000D_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49" s="1" t="str">
        <f>formatRow(Tokens!C$2:I$2,Tokens!C349:I349)</f>
        <v>"name":"In Casa #186",_x000D_
"symbol":"COR22D186",_x000D_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49" s="1" t="str">
        <f>formatRow(Tokens!J$2:AV$2,Tokens!J349:AV349,2,"attributes")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49" s="1" t="str">
        <f>formatRow(Tokens!AX$2:BC$2,Tokens!AX349:BC349,2,"creators")</f>
        <v>"creators":[{"address":"paul",_x000D_
"share":10},{"address":"sophie",_x000D_
"share":90}]</v>
      </c>
      <c r="Y349" s="1" t="str">
        <f>formatRow(Tokens!BD$2:BI$2,Tokens!BD349:BI349,2,"files")</f>
        <v>"files":[]</v>
      </c>
      <c r="Z349" s="1"/>
      <c r="AA349" s="1"/>
      <c r="AB349" s="1"/>
      <c r="AC349" s="1" t="str">
        <f>formatRow(Tokens!BJ$2:BK$2,Tokens!BJ349:BK349,0,"collection")</f>
        <v>"collection":{"name":"In Casa",_x000D_
"family":"Calvi On The Rocks"}</v>
      </c>
    </row>
    <row r="350" spans="5:29" ht="14.25" customHeight="1" x14ac:dyDescent="0.25">
      <c r="E350" s="17" t="str">
        <f>IF(Tokens!C350="","",Tokens!C350)</f>
        <v>In Casa #187</v>
      </c>
      <c r="F350"/>
      <c r="G350"/>
      <c r="H350"/>
      <c r="I350"/>
      <c r="J350"/>
      <c r="M350"/>
      <c r="N350"/>
      <c r="O350" s="15" t="str">
        <f t="shared" si="10"/>
        <v>_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/>
      </c>
      <c r="Q350" s="2"/>
      <c r="R350" s="2"/>
      <c r="S350" s="11"/>
      <c r="T350" s="1" t="str">
        <f>"owner=" &amp; Tokens!BS350 &amp; "&amp;filename_for_metadata=" &amp; Tokens!BT350 &amp; "&amp;offchaindata_platform=" &amp; $B$17 &amp; "&amp;keyfile=" &amp; $B$5 &amp; "&amp;network=" &amp; LOWER($B$8) &amp; "&amp;repository=" &amp; $B$18</f>
        <v>owner=thomas&amp;filename_for_metadata=InCasa_COR22D187&amp;offchaindata_platform=MongoDB&amp;keyfile=Paul&amp;network=jsonfiles&amp;repository=test</v>
      </c>
      <c r="U350" s="1" t="str">
        <f t="shared" si="11"/>
        <v>{"name":"In Casa #187",_x000D_
"symbol":"COR22D187",_x000D_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0" s="1" t="str">
        <f>formatRow(Tokens!C$2:I$2,Tokens!C350:I350)</f>
        <v>"name":"In Casa #187",_x000D_
"symbol":"COR22D187",_x000D_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0" s="1" t="str">
        <f>formatRow(Tokens!J$2:AV$2,Tokens!J350:AV350,2,"attributes")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0" s="1" t="str">
        <f>formatRow(Tokens!AX$2:BC$2,Tokens!AX350:BC350,2,"creators")</f>
        <v>"creators":[{"address":"paul",_x000D_
"share":10},{"address":"sophie",_x000D_
"share":90}]</v>
      </c>
      <c r="Y350" s="1" t="str">
        <f>formatRow(Tokens!BD$2:BI$2,Tokens!BD350:BI350,2,"files")</f>
        <v>"files":[]</v>
      </c>
      <c r="Z350" s="1"/>
      <c r="AA350" s="1"/>
      <c r="AB350" s="1"/>
      <c r="AC350" s="1" t="str">
        <f>formatRow(Tokens!BJ$2:BK$2,Tokens!BJ350:BK350,0,"collection")</f>
        <v>"collection":{"name":"In Casa",_x000D_
"family":"Calvi On The Rocks"}</v>
      </c>
    </row>
    <row r="351" spans="5:29" ht="14.25" customHeight="1" x14ac:dyDescent="0.25">
      <c r="E351" s="17" t="str">
        <f>IF(Tokens!C351="","",Tokens!C351)</f>
        <v>In Casa #188</v>
      </c>
      <c r="F351"/>
      <c r="G351"/>
      <c r="H351"/>
      <c r="I351"/>
      <c r="J351"/>
      <c r="M351"/>
      <c r="N351"/>
      <c r="O351" s="15" t="str">
        <f t="shared" si="10"/>
        <v>_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/>
      </c>
      <c r="Q351" s="2"/>
      <c r="R351" s="2"/>
      <c r="S351" s="11"/>
      <c r="T351" s="1" t="str">
        <f>"owner=" &amp; Tokens!BS351 &amp; "&amp;filename_for_metadata=" &amp; Tokens!BT351 &amp; "&amp;offchaindata_platform=" &amp; $B$17 &amp; "&amp;keyfile=" &amp; $B$5 &amp; "&amp;network=" &amp; LOWER($B$8) &amp; "&amp;repository=" &amp; $B$18</f>
        <v>owner=thomas&amp;filename_for_metadata=InCasa_COR22D188&amp;offchaindata_platform=MongoDB&amp;keyfile=Paul&amp;network=jsonfiles&amp;repository=test</v>
      </c>
      <c r="U351" s="1" t="str">
        <f t="shared" si="11"/>
        <v>{"name":"In Casa #188",_x000D_
"symbol":"COR22D188",_x000D_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1" s="1" t="str">
        <f>formatRow(Tokens!C$2:I$2,Tokens!C351:I351)</f>
        <v>"name":"In Casa #188",_x000D_
"symbol":"COR22D188",_x000D_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1" s="1" t="str">
        <f>formatRow(Tokens!J$2:AV$2,Tokens!J351:AV351,2,"attributes")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1" s="1" t="str">
        <f>formatRow(Tokens!AX$2:BC$2,Tokens!AX351:BC351,2,"creators")</f>
        <v>"creators":[{"address":"paul",_x000D_
"share":10},{"address":"sophie",_x000D_
"share":90}]</v>
      </c>
      <c r="Y351" s="1" t="str">
        <f>formatRow(Tokens!BD$2:BI$2,Tokens!BD351:BI351,2,"files")</f>
        <v>"files":[]</v>
      </c>
      <c r="Z351" s="1"/>
      <c r="AA351" s="1"/>
      <c r="AB351" s="1"/>
      <c r="AC351" s="1" t="str">
        <f>formatRow(Tokens!BJ$2:BK$2,Tokens!BJ351:BK351,0,"collection")</f>
        <v>"collection":{"name":"In Casa",_x000D_
"family":"Calvi On The Rocks"}</v>
      </c>
    </row>
    <row r="352" spans="5:29" ht="14.25" customHeight="1" x14ac:dyDescent="0.25">
      <c r="E352" s="17" t="str">
        <f>IF(Tokens!C352="","",Tokens!C352)</f>
        <v>In Casa #189</v>
      </c>
      <c r="F352"/>
      <c r="G352"/>
      <c r="H352"/>
      <c r="I352"/>
      <c r="J352"/>
      <c r="M352"/>
      <c r="N352"/>
      <c r="O352" s="15" t="str">
        <f t="shared" si="10"/>
        <v>_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/>
      </c>
      <c r="Q352" s="2"/>
      <c r="R352" s="2"/>
      <c r="S352" s="11"/>
      <c r="T352" s="1" t="str">
        <f>"owner=" &amp; Tokens!BS352 &amp; "&amp;filename_for_metadata=" &amp; Tokens!BT352 &amp; "&amp;offchaindata_platform=" &amp; $B$17 &amp; "&amp;keyfile=" &amp; $B$5 &amp; "&amp;network=" &amp; LOWER($B$8) &amp; "&amp;repository=" &amp; $B$18</f>
        <v>owner=thomas&amp;filename_for_metadata=InCasa_COR22D189&amp;offchaindata_platform=MongoDB&amp;keyfile=Paul&amp;network=jsonfiles&amp;repository=test</v>
      </c>
      <c r="U352" s="1" t="str">
        <f t="shared" si="11"/>
        <v>{"name":"In Casa #189",_x000D_
"symbol":"COR22D189",_x000D_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2" s="1" t="str">
        <f>formatRow(Tokens!C$2:I$2,Tokens!C352:I352)</f>
        <v>"name":"In Casa #189",_x000D_
"symbol":"COR22D189",_x000D_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2" s="1" t="str">
        <f>formatRow(Tokens!J$2:AV$2,Tokens!J352:AV352,2,"attributes")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2" s="1" t="str">
        <f>formatRow(Tokens!AX$2:BC$2,Tokens!AX352:BC352,2,"creators")</f>
        <v>"creators":[{"address":"paul",_x000D_
"share":10},{"address":"sophie",_x000D_
"share":90}]</v>
      </c>
      <c r="Y352" s="1" t="str">
        <f>formatRow(Tokens!BD$2:BI$2,Tokens!BD352:BI352,2,"files")</f>
        <v>"files":[]</v>
      </c>
      <c r="Z352" s="1"/>
      <c r="AA352" s="1"/>
      <c r="AB352" s="1"/>
      <c r="AC352" s="1" t="str">
        <f>formatRow(Tokens!BJ$2:BK$2,Tokens!BJ352:BK352,0,"collection")</f>
        <v>"collection":{"name":"In Casa",_x000D_
"family":"Calvi On The Rocks"}</v>
      </c>
    </row>
    <row r="353" spans="5:29" ht="14.25" customHeight="1" x14ac:dyDescent="0.25">
      <c r="E353" s="17" t="str">
        <f>IF(Tokens!C353="","",Tokens!C353)</f>
        <v>In Casa #190</v>
      </c>
      <c r="F353"/>
      <c r="G353"/>
      <c r="H353"/>
      <c r="I353"/>
      <c r="J353"/>
      <c r="M353"/>
      <c r="N353"/>
      <c r="O353" s="15" t="str">
        <f t="shared" si="10"/>
        <v>_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/>
      </c>
      <c r="Q353" s="2"/>
      <c r="R353" s="2"/>
      <c r="S353" s="11"/>
      <c r="T353" s="1" t="str">
        <f>"owner=" &amp; Tokens!BS353 &amp; "&amp;filename_for_metadata=" &amp; Tokens!BT353 &amp; "&amp;offchaindata_platform=" &amp; $B$17 &amp; "&amp;keyfile=" &amp; $B$5 &amp; "&amp;network=" &amp; LOWER($B$8) &amp; "&amp;repository=" &amp; $B$18</f>
        <v>owner=thomas&amp;filename_for_metadata=InCasa_COR22D190&amp;offchaindata_platform=MongoDB&amp;keyfile=Paul&amp;network=jsonfiles&amp;repository=test</v>
      </c>
      <c r="U353" s="1" t="str">
        <f t="shared" si="11"/>
        <v>{"name":"In Casa #190",_x000D_
"symbol":"COR22D190",_x000D_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3" s="1" t="str">
        <f>formatRow(Tokens!C$2:I$2,Tokens!C353:I353)</f>
        <v>"name":"In Casa #190",_x000D_
"symbol":"COR22D190",_x000D_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3" s="1" t="str">
        <f>formatRow(Tokens!J$2:AV$2,Tokens!J353:AV353,2,"attributes")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3" s="1" t="str">
        <f>formatRow(Tokens!AX$2:BC$2,Tokens!AX353:BC353,2,"creators")</f>
        <v>"creators":[{"address":"paul",_x000D_
"share":10},{"address":"sophie",_x000D_
"share":90}]</v>
      </c>
      <c r="Y353" s="1" t="str">
        <f>formatRow(Tokens!BD$2:BI$2,Tokens!BD353:BI353,2,"files")</f>
        <v>"files":[]</v>
      </c>
      <c r="Z353" s="1"/>
      <c r="AA353" s="1"/>
      <c r="AB353" s="1"/>
      <c r="AC353" s="1" t="str">
        <f>formatRow(Tokens!BJ$2:BK$2,Tokens!BJ353:BK353,0,"collection")</f>
        <v>"collection":{"name":"In Casa",_x000D_
"family":"Calvi On The Rocks"}</v>
      </c>
    </row>
    <row r="354" spans="5:29" ht="14.25" customHeight="1" x14ac:dyDescent="0.25">
      <c r="E354" s="17" t="str">
        <f>IF(Tokens!C354="","",Tokens!C354)</f>
        <v>In Casa #191</v>
      </c>
      <c r="F354"/>
      <c r="G354"/>
      <c r="H354"/>
      <c r="I354"/>
      <c r="J354"/>
      <c r="M354"/>
      <c r="N354"/>
      <c r="O354" s="15" t="str">
        <f t="shared" si="10"/>
        <v>_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/>
      </c>
      <c r="Q354" s="2"/>
      <c r="R354" s="2"/>
      <c r="S354" s="11"/>
      <c r="T354" s="1" t="str">
        <f>"owner=" &amp; Tokens!BS354 &amp; "&amp;filename_for_metadata=" &amp; Tokens!BT354 &amp; "&amp;offchaindata_platform=" &amp; $B$17 &amp; "&amp;keyfile=" &amp; $B$5 &amp; "&amp;network=" &amp; LOWER($B$8) &amp; "&amp;repository=" &amp; $B$18</f>
        <v>owner=thomas&amp;filename_for_metadata=InCasa_COR22D191&amp;offchaindata_platform=MongoDB&amp;keyfile=Paul&amp;network=jsonfiles&amp;repository=test</v>
      </c>
      <c r="U354" s="1" t="str">
        <f t="shared" si="11"/>
        <v>{"name":"In Casa #191",_x000D_
"symbol":"COR22D191",_x000D_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4" s="1" t="str">
        <f>formatRow(Tokens!C$2:I$2,Tokens!C354:I354)</f>
        <v>"name":"In Casa #191",_x000D_
"symbol":"COR22D191",_x000D_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4" s="1" t="str">
        <f>formatRow(Tokens!J$2:AV$2,Tokens!J354:AV354,2,"attributes")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4" s="1" t="str">
        <f>formatRow(Tokens!AX$2:BC$2,Tokens!AX354:BC354,2,"creators")</f>
        <v>"creators":[{"address":"paul",_x000D_
"share":10},{"address":"sophie",_x000D_
"share":90}]</v>
      </c>
      <c r="Y354" s="1" t="str">
        <f>formatRow(Tokens!BD$2:BI$2,Tokens!BD354:BI354,2,"files")</f>
        <v>"files":[]</v>
      </c>
      <c r="Z354" s="1"/>
      <c r="AA354" s="1"/>
      <c r="AB354" s="1"/>
      <c r="AC354" s="1" t="str">
        <f>formatRow(Tokens!BJ$2:BK$2,Tokens!BJ354:BK354,0,"collection")</f>
        <v>"collection":{"name":"In Casa",_x000D_
"family":"Calvi On The Rocks"}</v>
      </c>
    </row>
    <row r="355" spans="5:29" ht="14.25" customHeight="1" x14ac:dyDescent="0.25">
      <c r="E355" s="17" t="str">
        <f>IF(Tokens!C355="","",Tokens!C355)</f>
        <v>In Casa #192</v>
      </c>
      <c r="F355"/>
      <c r="G355"/>
      <c r="H355"/>
      <c r="I355"/>
      <c r="J355"/>
      <c r="M355"/>
      <c r="N355"/>
      <c r="O355" s="15" t="str">
        <f t="shared" si="10"/>
        <v>_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/>
      </c>
      <c r="Q355" s="2"/>
      <c r="R355" s="2"/>
      <c r="S355" s="11"/>
      <c r="T355" s="1" t="str">
        <f>"owner=" &amp; Tokens!BS355 &amp; "&amp;filename_for_metadata=" &amp; Tokens!BT355 &amp; "&amp;offchaindata_platform=" &amp; $B$17 &amp; "&amp;keyfile=" &amp; $B$5 &amp; "&amp;network=" &amp; LOWER($B$8) &amp; "&amp;repository=" &amp; $B$18</f>
        <v>owner=thomas&amp;filename_for_metadata=InCasa_COR22D192&amp;offchaindata_platform=MongoDB&amp;keyfile=Paul&amp;network=jsonfiles&amp;repository=test</v>
      </c>
      <c r="U355" s="1" t="str">
        <f t="shared" si="11"/>
        <v>{"name":"In Casa #192",_x000D_
"symbol":"COR22D192",_x000D_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5" s="1" t="str">
        <f>formatRow(Tokens!C$2:I$2,Tokens!C355:I355)</f>
        <v>"name":"In Casa #192",_x000D_
"symbol":"COR22D192",_x000D_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5" s="1" t="str">
        <f>formatRow(Tokens!J$2:AV$2,Tokens!J355:AV355,2,"attributes")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5" s="1" t="str">
        <f>formatRow(Tokens!AX$2:BC$2,Tokens!AX355:BC355,2,"creators")</f>
        <v>"creators":[{"address":"paul",_x000D_
"share":10},{"address":"sophie",_x000D_
"share":90}]</v>
      </c>
      <c r="Y355" s="1" t="str">
        <f>formatRow(Tokens!BD$2:BI$2,Tokens!BD355:BI355,2,"files")</f>
        <v>"files":[]</v>
      </c>
      <c r="Z355" s="1"/>
      <c r="AA355" s="1"/>
      <c r="AB355" s="1"/>
      <c r="AC355" s="1" t="str">
        <f>formatRow(Tokens!BJ$2:BK$2,Tokens!BJ355:BK355,0,"collection")</f>
        <v>"collection":{"name":"In Casa",_x000D_
"family":"Calvi On The Rocks"}</v>
      </c>
    </row>
    <row r="356" spans="5:29" ht="14.25" customHeight="1" x14ac:dyDescent="0.25">
      <c r="E356" s="17" t="str">
        <f>IF(Tokens!C356="","",Tokens!C356)</f>
        <v>In Casa #193</v>
      </c>
      <c r="F356"/>
      <c r="G356"/>
      <c r="H356"/>
      <c r="I356"/>
      <c r="J356"/>
      <c r="M356"/>
      <c r="N356"/>
      <c r="O356" s="15" t="str">
        <f t="shared" si="10"/>
        <v>_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/>
      </c>
      <c r="Q356" s="2"/>
      <c r="R356" s="2"/>
      <c r="S356" s="11"/>
      <c r="T356" s="1" t="str">
        <f>"owner=" &amp; Tokens!BS356 &amp; "&amp;filename_for_metadata=" &amp; Tokens!BT356 &amp; "&amp;offchaindata_platform=" &amp; $B$17 &amp; "&amp;keyfile=" &amp; $B$5 &amp; "&amp;network=" &amp; LOWER($B$8) &amp; "&amp;repository=" &amp; $B$18</f>
        <v>owner=thomas&amp;filename_for_metadata=InCasa_COR22D193&amp;offchaindata_platform=MongoDB&amp;keyfile=Paul&amp;network=jsonfiles&amp;repository=test</v>
      </c>
      <c r="U356" s="1" t="str">
        <f t="shared" si="11"/>
        <v>{"name":"In Casa #193",_x000D_
"symbol":"COR22D193",_x000D_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6" s="1" t="str">
        <f>formatRow(Tokens!C$2:I$2,Tokens!C356:I356)</f>
        <v>"name":"In Casa #193",_x000D_
"symbol":"COR22D193",_x000D_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6" s="1" t="str">
        <f>formatRow(Tokens!J$2:AV$2,Tokens!J356:AV356,2,"attributes")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6" s="1" t="str">
        <f>formatRow(Tokens!AX$2:BC$2,Tokens!AX356:BC356,2,"creators")</f>
        <v>"creators":[{"address":"paul",_x000D_
"share":10},{"address":"sophie",_x000D_
"share":90}]</v>
      </c>
      <c r="Y356" s="1" t="str">
        <f>formatRow(Tokens!BD$2:BI$2,Tokens!BD356:BI356,2,"files")</f>
        <v>"files":[]</v>
      </c>
      <c r="Z356" s="1"/>
      <c r="AA356" s="1"/>
      <c r="AB356" s="1"/>
      <c r="AC356" s="1" t="str">
        <f>formatRow(Tokens!BJ$2:BK$2,Tokens!BJ356:BK356,0,"collection")</f>
        <v>"collection":{"name":"In Casa",_x000D_
"family":"Calvi On The Rocks"}</v>
      </c>
    </row>
    <row r="357" spans="5:29" ht="14.25" customHeight="1" x14ac:dyDescent="0.25">
      <c r="E357" s="17" t="str">
        <f>IF(Tokens!C357="","",Tokens!C357)</f>
        <v>In Casa #194</v>
      </c>
      <c r="F357"/>
      <c r="G357"/>
      <c r="H357"/>
      <c r="I357"/>
      <c r="J357"/>
      <c r="M357"/>
      <c r="N357"/>
      <c r="O357" s="15" t="str">
        <f t="shared" si="10"/>
        <v>_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/>
      </c>
      <c r="Q357" s="2"/>
      <c r="R357" s="2"/>
      <c r="S357" s="11"/>
      <c r="T357" s="1" t="str">
        <f>"owner=" &amp; Tokens!BS357 &amp; "&amp;filename_for_metadata=" &amp; Tokens!BT357 &amp; "&amp;offchaindata_platform=" &amp; $B$17 &amp; "&amp;keyfile=" &amp; $B$5 &amp; "&amp;network=" &amp; LOWER($B$8) &amp; "&amp;repository=" &amp; $B$18</f>
        <v>owner=thomas&amp;filename_for_metadata=InCasa_COR22D194&amp;offchaindata_platform=MongoDB&amp;keyfile=Paul&amp;network=jsonfiles&amp;repository=test</v>
      </c>
      <c r="U357" s="1" t="str">
        <f t="shared" si="11"/>
        <v>{"name":"In Casa #194",_x000D_
"symbol":"COR22D194",_x000D_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7" s="1" t="str">
        <f>formatRow(Tokens!C$2:I$2,Tokens!C357:I357)</f>
        <v>"name":"In Casa #194",_x000D_
"symbol":"COR22D194",_x000D_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7" s="1" t="str">
        <f>formatRow(Tokens!J$2:AV$2,Tokens!J357:AV357,2,"attributes")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7" s="1" t="str">
        <f>formatRow(Tokens!AX$2:BC$2,Tokens!AX357:BC357,2,"creators")</f>
        <v>"creators":[{"address":"paul",_x000D_
"share":10},{"address":"sophie",_x000D_
"share":90}]</v>
      </c>
      <c r="Y357" s="1" t="str">
        <f>formatRow(Tokens!BD$2:BI$2,Tokens!BD357:BI357,2,"files")</f>
        <v>"files":[]</v>
      </c>
      <c r="Z357" s="1"/>
      <c r="AA357" s="1"/>
      <c r="AB357" s="1"/>
      <c r="AC357" s="1" t="str">
        <f>formatRow(Tokens!BJ$2:BK$2,Tokens!BJ357:BK357,0,"collection")</f>
        <v>"collection":{"name":"In Casa",_x000D_
"family":"Calvi On The Rocks"}</v>
      </c>
    </row>
    <row r="358" spans="5:29" ht="14.25" customHeight="1" x14ac:dyDescent="0.25">
      <c r="E358" s="17" t="str">
        <f>IF(Tokens!C358="","",Tokens!C358)</f>
        <v>In Casa #195</v>
      </c>
      <c r="F358"/>
      <c r="G358"/>
      <c r="H358"/>
      <c r="I358"/>
      <c r="J358"/>
      <c r="M358"/>
      <c r="N358"/>
      <c r="O358" s="15" t="str">
        <f t="shared" si="10"/>
        <v>_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/>
      </c>
      <c r="Q358" s="2"/>
      <c r="R358" s="2"/>
      <c r="S358" s="11"/>
      <c r="T358" s="1" t="str">
        <f>"owner=" &amp; Tokens!BS358 &amp; "&amp;filename_for_metadata=" &amp; Tokens!BT358 &amp; "&amp;offchaindata_platform=" &amp; $B$17 &amp; "&amp;keyfile=" &amp; $B$5 &amp; "&amp;network=" &amp; LOWER($B$8) &amp; "&amp;repository=" &amp; $B$18</f>
        <v>owner=thomas&amp;filename_for_metadata=InCasa_COR22D195&amp;offchaindata_platform=MongoDB&amp;keyfile=Paul&amp;network=jsonfiles&amp;repository=test</v>
      </c>
      <c r="U358" s="1" t="str">
        <f t="shared" si="11"/>
        <v>{"name":"In Casa #195",_x000D_
"symbol":"COR22D195",_x000D_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8" s="1" t="str">
        <f>formatRow(Tokens!C$2:I$2,Tokens!C358:I358)</f>
        <v>"name":"In Casa #195",_x000D_
"symbol":"COR22D195",_x000D_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8" s="1" t="str">
        <f>formatRow(Tokens!J$2:AV$2,Tokens!J358:AV358,2,"attributes")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8" s="1" t="str">
        <f>formatRow(Tokens!AX$2:BC$2,Tokens!AX358:BC358,2,"creators")</f>
        <v>"creators":[{"address":"paul",_x000D_
"share":10},{"address":"sophie",_x000D_
"share":90}]</v>
      </c>
      <c r="Y358" s="1" t="str">
        <f>formatRow(Tokens!BD$2:BI$2,Tokens!BD358:BI358,2,"files")</f>
        <v>"files":[]</v>
      </c>
      <c r="Z358" s="1"/>
      <c r="AA358" s="1"/>
      <c r="AB358" s="1"/>
      <c r="AC358" s="1" t="str">
        <f>formatRow(Tokens!BJ$2:BK$2,Tokens!BJ358:BK358,0,"collection")</f>
        <v>"collection":{"name":"In Casa",_x000D_
"family":"Calvi On The Rocks"}</v>
      </c>
    </row>
    <row r="359" spans="5:29" ht="14.25" customHeight="1" x14ac:dyDescent="0.25">
      <c r="E359" s="17" t="str">
        <f>IF(Tokens!C359="","",Tokens!C359)</f>
        <v>In Casa #196</v>
      </c>
      <c r="F359"/>
      <c r="G359"/>
      <c r="H359"/>
      <c r="I359"/>
      <c r="J359"/>
      <c r="M359"/>
      <c r="N359"/>
      <c r="O359" s="15" t="str">
        <f t="shared" si="10"/>
        <v>_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/>
      </c>
      <c r="Q359" s="2"/>
      <c r="R359" s="2"/>
      <c r="S359" s="11"/>
      <c r="T359" s="1" t="str">
        <f>"owner=" &amp; Tokens!BS359 &amp; "&amp;filename_for_metadata=" &amp; Tokens!BT359 &amp; "&amp;offchaindata_platform=" &amp; $B$17 &amp; "&amp;keyfile=" &amp; $B$5 &amp; "&amp;network=" &amp; LOWER($B$8) &amp; "&amp;repository=" &amp; $B$18</f>
        <v>owner=thomas&amp;filename_for_metadata=InCasa_COR22D196&amp;offchaindata_platform=MongoDB&amp;keyfile=Paul&amp;network=jsonfiles&amp;repository=test</v>
      </c>
      <c r="U359" s="1" t="str">
        <f t="shared" si="11"/>
        <v>{"name":"In Casa #196",_x000D_
"symbol":"COR22D196",_x000D_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59" s="1" t="str">
        <f>formatRow(Tokens!C$2:I$2,Tokens!C359:I359)</f>
        <v>"name":"In Casa #196",_x000D_
"symbol":"COR22D196",_x000D_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59" s="1" t="str">
        <f>formatRow(Tokens!J$2:AV$2,Tokens!J359:AV359,2,"attributes")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59" s="1" t="str">
        <f>formatRow(Tokens!AX$2:BC$2,Tokens!AX359:BC359,2,"creators")</f>
        <v>"creators":[{"address":"paul",_x000D_
"share":10},{"address":"sophie",_x000D_
"share":90}]</v>
      </c>
      <c r="Y359" s="1" t="str">
        <f>formatRow(Tokens!BD$2:BI$2,Tokens!BD359:BI359,2,"files")</f>
        <v>"files":[]</v>
      </c>
      <c r="Z359" s="1"/>
      <c r="AA359" s="1"/>
      <c r="AB359" s="1"/>
      <c r="AC359" s="1" t="str">
        <f>formatRow(Tokens!BJ$2:BK$2,Tokens!BJ359:BK359,0,"collection")</f>
        <v>"collection":{"name":"In Casa",_x000D_
"family":"Calvi On The Rocks"}</v>
      </c>
    </row>
    <row r="360" spans="5:29" ht="14.25" customHeight="1" x14ac:dyDescent="0.25">
      <c r="E360" s="17" t="str">
        <f>IF(Tokens!C360="","",Tokens!C360)</f>
        <v>In Casa #197</v>
      </c>
      <c r="F360"/>
      <c r="G360"/>
      <c r="H360"/>
      <c r="I360"/>
      <c r="J360"/>
      <c r="M360"/>
      <c r="N360"/>
      <c r="O360" s="15" t="str">
        <f t="shared" si="10"/>
        <v>_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/>
      </c>
      <c r="Q360" s="2"/>
      <c r="R360" s="2"/>
      <c r="S360" s="11"/>
      <c r="T360" s="1" t="str">
        <f>"owner=" &amp; Tokens!BS360 &amp; "&amp;filename_for_metadata=" &amp; Tokens!BT360 &amp; "&amp;offchaindata_platform=" &amp; $B$17 &amp; "&amp;keyfile=" &amp; $B$5 &amp; "&amp;network=" &amp; LOWER($B$8) &amp; "&amp;repository=" &amp; $B$18</f>
        <v>owner=thomas&amp;filename_for_metadata=InCasa_COR22D197&amp;offchaindata_platform=MongoDB&amp;keyfile=Paul&amp;network=jsonfiles&amp;repository=test</v>
      </c>
      <c r="U360" s="1" t="str">
        <f t="shared" si="11"/>
        <v>{"name":"In Casa #197",_x000D_
"symbol":"COR22D197",_x000D_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0" s="1" t="str">
        <f>formatRow(Tokens!C$2:I$2,Tokens!C360:I360)</f>
        <v>"name":"In Casa #197",_x000D_
"symbol":"COR22D197",_x000D_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0" s="1" t="str">
        <f>formatRow(Tokens!J$2:AV$2,Tokens!J360:AV360,2,"attributes")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0" s="1" t="str">
        <f>formatRow(Tokens!AX$2:BC$2,Tokens!AX360:BC360,2,"creators")</f>
        <v>"creators":[{"address":"paul",_x000D_
"share":10},{"address":"sophie",_x000D_
"share":90}]</v>
      </c>
      <c r="Y360" s="1" t="str">
        <f>formatRow(Tokens!BD$2:BI$2,Tokens!BD360:BI360,2,"files")</f>
        <v>"files":[]</v>
      </c>
      <c r="Z360" s="1"/>
      <c r="AA360" s="1"/>
      <c r="AB360" s="1"/>
      <c r="AC360" s="1" t="str">
        <f>formatRow(Tokens!BJ$2:BK$2,Tokens!BJ360:BK360,0,"collection")</f>
        <v>"collection":{"name":"In Casa",_x000D_
"family":"Calvi On The Rocks"}</v>
      </c>
    </row>
    <row r="361" spans="5:29" ht="14.25" customHeight="1" x14ac:dyDescent="0.25">
      <c r="E361" s="17" t="str">
        <f>IF(Tokens!C361="","",Tokens!C361)</f>
        <v>In Casa #198</v>
      </c>
      <c r="F361"/>
      <c r="G361"/>
      <c r="H361"/>
      <c r="I361"/>
      <c r="J361"/>
      <c r="M361"/>
      <c r="N361"/>
      <c r="O361" s="15" t="str">
        <f t="shared" si="10"/>
        <v>_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/>
      </c>
      <c r="Q361" s="2"/>
      <c r="R361" s="2"/>
      <c r="S361" s="11"/>
      <c r="T361" s="1" t="str">
        <f>"owner=" &amp; Tokens!BS361 &amp; "&amp;filename_for_metadata=" &amp; Tokens!BT361 &amp; "&amp;offchaindata_platform=" &amp; $B$17 &amp; "&amp;keyfile=" &amp; $B$5 &amp; "&amp;network=" &amp; LOWER($B$8) &amp; "&amp;repository=" &amp; $B$18</f>
        <v>owner=thomas&amp;filename_for_metadata=InCasa_COR22D198&amp;offchaindata_platform=MongoDB&amp;keyfile=Paul&amp;network=jsonfiles&amp;repository=test</v>
      </c>
      <c r="U361" s="1" t="str">
        <f t="shared" si="11"/>
        <v>{"name":"In Casa #198",_x000D_
"symbol":"COR22D198",_x000D_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1" s="1" t="str">
        <f>formatRow(Tokens!C$2:I$2,Tokens!C361:I361)</f>
        <v>"name":"In Casa #198",_x000D_
"symbol":"COR22D198",_x000D_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1" s="1" t="str">
        <f>formatRow(Tokens!J$2:AV$2,Tokens!J361:AV361,2,"attributes")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1" s="1" t="str">
        <f>formatRow(Tokens!AX$2:BC$2,Tokens!AX361:BC361,2,"creators")</f>
        <v>"creators":[{"address":"paul",_x000D_
"share":10},{"address":"sophie",_x000D_
"share":90}]</v>
      </c>
      <c r="Y361" s="1" t="str">
        <f>formatRow(Tokens!BD$2:BI$2,Tokens!BD361:BI361,2,"files")</f>
        <v>"files":[]</v>
      </c>
      <c r="Z361" s="1"/>
      <c r="AA361" s="1"/>
      <c r="AB361" s="1"/>
      <c r="AC361" s="1" t="str">
        <f>formatRow(Tokens!BJ$2:BK$2,Tokens!BJ361:BK361,0,"collection")</f>
        <v>"collection":{"name":"In Casa",_x000D_
"family":"Calvi On The Rocks"}</v>
      </c>
    </row>
    <row r="362" spans="5:29" ht="14.25" customHeight="1" x14ac:dyDescent="0.25">
      <c r="E362" s="17" t="str">
        <f>IF(Tokens!C362="","",Tokens!C362)</f>
        <v>In Casa #199</v>
      </c>
      <c r="F362"/>
      <c r="G362"/>
      <c r="H362"/>
      <c r="I362"/>
      <c r="J362"/>
      <c r="M362"/>
      <c r="N362"/>
      <c r="O362" s="15" t="str">
        <f t="shared" si="10"/>
        <v>_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/>
      </c>
      <c r="Q362" s="2"/>
      <c r="R362" s="2"/>
      <c r="S362" s="11"/>
      <c r="T362" s="1" t="str">
        <f>"owner=" &amp; Tokens!BS362 &amp; "&amp;filename_for_metadata=" &amp; Tokens!BT362 &amp; "&amp;offchaindata_platform=" &amp; $B$17 &amp; "&amp;keyfile=" &amp; $B$5 &amp; "&amp;network=" &amp; LOWER($B$8) &amp; "&amp;repository=" &amp; $B$18</f>
        <v>owner=thomas&amp;filename_for_metadata=InCasa_COR22D199&amp;offchaindata_platform=MongoDB&amp;keyfile=Paul&amp;network=jsonfiles&amp;repository=test</v>
      </c>
      <c r="U362" s="1" t="str">
        <f t="shared" si="11"/>
        <v>{"name":"In Casa #199",_x000D_
"symbol":"COR22D199",_x000D_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2" s="1" t="str">
        <f>formatRow(Tokens!C$2:I$2,Tokens!C362:I362)</f>
        <v>"name":"In Casa #199",_x000D_
"symbol":"COR22D199",_x000D_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2" s="1" t="str">
        <f>formatRow(Tokens!J$2:AV$2,Tokens!J362:AV362,2,"attributes")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2" s="1" t="str">
        <f>formatRow(Tokens!AX$2:BC$2,Tokens!AX362:BC362,2,"creators")</f>
        <v>"creators":[{"address":"paul",_x000D_
"share":10},{"address":"sophie",_x000D_
"share":90}]</v>
      </c>
      <c r="Y362" s="1" t="str">
        <f>formatRow(Tokens!BD$2:BI$2,Tokens!BD362:BI362,2,"files")</f>
        <v>"files":[]</v>
      </c>
      <c r="Z362" s="1"/>
      <c r="AA362" s="1"/>
      <c r="AB362" s="1"/>
      <c r="AC362" s="1" t="str">
        <f>formatRow(Tokens!BJ$2:BK$2,Tokens!BJ362:BK362,0,"collection")</f>
        <v>"collection":{"name":"In Casa",_x000D_
"family":"Calvi On The Rocks"}</v>
      </c>
    </row>
    <row r="363" spans="5:29" ht="14.25" customHeight="1" x14ac:dyDescent="0.25">
      <c r="E363" s="17" t="str">
        <f>IF(Tokens!C363="","",Tokens!C363)</f>
        <v>In Casa #200</v>
      </c>
      <c r="F363"/>
      <c r="G363"/>
      <c r="H363"/>
      <c r="I363"/>
      <c r="J363"/>
      <c r="M363"/>
      <c r="N363"/>
      <c r="O363" s="15" t="str">
        <f t="shared" si="10"/>
        <v>_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/>
      </c>
      <c r="Q363" s="2"/>
      <c r="R363" s="2"/>
      <c r="S363" s="11"/>
      <c r="T363" s="1" t="str">
        <f>"owner=" &amp; Tokens!BS363 &amp; "&amp;filename_for_metadata=" &amp; Tokens!BT363 &amp; "&amp;offchaindata_platform=" &amp; $B$17 &amp; "&amp;keyfile=" &amp; $B$5 &amp; "&amp;network=" &amp; LOWER($B$8) &amp; "&amp;repository=" &amp; $B$18</f>
        <v>owner=thomas&amp;filename_for_metadata=InCasa_COR22D200&amp;offchaindata_platform=MongoDB&amp;keyfile=Paul&amp;network=jsonfiles&amp;repository=test</v>
      </c>
      <c r="U363" s="1" t="str">
        <f t="shared" si="11"/>
        <v>{"name":"In Casa #200",_x000D_
"symbol":"COR22D200",_x000D_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3" s="1" t="str">
        <f>formatRow(Tokens!C$2:I$2,Tokens!C363:I363)</f>
        <v>"name":"In Casa #200",_x000D_
"symbol":"COR22D200",_x000D_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3" s="1" t="str">
        <f>formatRow(Tokens!J$2:AV$2,Tokens!J363:AV363,2,"attributes")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3" s="1" t="str">
        <f>formatRow(Tokens!AX$2:BC$2,Tokens!AX363:BC363,2,"creators")</f>
        <v>"creators":[{"address":"paul",_x000D_
"share":10},{"address":"sophie",_x000D_
"share":90}]</v>
      </c>
      <c r="Y363" s="1" t="str">
        <f>formatRow(Tokens!BD$2:BI$2,Tokens!BD363:BI363,2,"files")</f>
        <v>"files":[]</v>
      </c>
      <c r="Z363" s="1"/>
      <c r="AA363" s="1"/>
      <c r="AB363" s="1"/>
      <c r="AC363" s="1" t="str">
        <f>formatRow(Tokens!BJ$2:BK$2,Tokens!BJ363:BK363,0,"collection")</f>
        <v>"collection":{"name":"In Casa",_x000D_
"family":"Calvi On The Rocks"}</v>
      </c>
    </row>
    <row r="364" spans="5:29" ht="14.25" customHeight="1" x14ac:dyDescent="0.25">
      <c r="E364" s="17" t="str">
        <f>IF(Tokens!C364="","",Tokens!C364)</f>
        <v>In Casa #201</v>
      </c>
      <c r="F364"/>
      <c r="G364"/>
      <c r="H364"/>
      <c r="I364"/>
      <c r="J364"/>
      <c r="M364"/>
      <c r="N364"/>
      <c r="O364" s="15" t="str">
        <f t="shared" si="10"/>
        <v>_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/>
      </c>
      <c r="Q364" s="2"/>
      <c r="R364" s="2"/>
      <c r="S364" s="11"/>
      <c r="T364" s="1" t="str">
        <f>"owner=" &amp; Tokens!BS364 &amp; "&amp;filename_for_metadata=" &amp; Tokens!BT364 &amp; "&amp;offchaindata_platform=" &amp; $B$17 &amp; "&amp;keyfile=" &amp; $B$5 &amp; "&amp;network=" &amp; LOWER($B$8) &amp; "&amp;repository=" &amp; $B$18</f>
        <v>owner=thomas&amp;filename_for_metadata=InCasa_COR22D201&amp;offchaindata_platform=MongoDB&amp;keyfile=Paul&amp;network=jsonfiles&amp;repository=test</v>
      </c>
      <c r="U364" s="1" t="str">
        <f t="shared" si="11"/>
        <v>{"name":"In Casa #201",_x000D_
"symbol":"COR22D201",_x000D_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4" s="1" t="str">
        <f>formatRow(Tokens!C$2:I$2,Tokens!C364:I364)</f>
        <v>"name":"In Casa #201",_x000D_
"symbol":"COR22D201",_x000D_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4" s="1" t="str">
        <f>formatRow(Tokens!J$2:AV$2,Tokens!J364:AV364,2,"attributes")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4" s="1" t="str">
        <f>formatRow(Tokens!AX$2:BC$2,Tokens!AX364:BC364,2,"creators")</f>
        <v>"creators":[{"address":"paul",_x000D_
"share":10},{"address":"sophie",_x000D_
"share":90}]</v>
      </c>
      <c r="Y364" s="1" t="str">
        <f>formatRow(Tokens!BD$2:BI$2,Tokens!BD364:BI364,2,"files")</f>
        <v>"files":[]</v>
      </c>
      <c r="Z364" s="1"/>
      <c r="AA364" s="1"/>
      <c r="AB364" s="1"/>
      <c r="AC364" s="1" t="str">
        <f>formatRow(Tokens!BJ$2:BK$2,Tokens!BJ364:BK364,0,"collection")</f>
        <v>"collection":{"name":"In Casa",_x000D_
"family":"Calvi On The Rocks"}</v>
      </c>
    </row>
    <row r="365" spans="5:29" ht="14.25" customHeight="1" x14ac:dyDescent="0.25">
      <c r="E365" s="17" t="str">
        <f>IF(Tokens!C365="","",Tokens!C365)</f>
        <v>In Casa #202</v>
      </c>
      <c r="F365"/>
      <c r="G365"/>
      <c r="H365"/>
      <c r="I365"/>
      <c r="J365"/>
      <c r="M365"/>
      <c r="N365"/>
      <c r="O365" s="15" t="str">
        <f t="shared" si="10"/>
        <v>_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/>
      </c>
      <c r="Q365" s="2"/>
      <c r="R365" s="2"/>
      <c r="S365" s="11"/>
      <c r="T365" s="1" t="str">
        <f>"owner=" &amp; Tokens!BS365 &amp; "&amp;filename_for_metadata=" &amp; Tokens!BT365 &amp; "&amp;offchaindata_platform=" &amp; $B$17 &amp; "&amp;keyfile=" &amp; $B$5 &amp; "&amp;network=" &amp; LOWER($B$8) &amp; "&amp;repository=" &amp; $B$18</f>
        <v>owner=thomas&amp;filename_for_metadata=InCasa_COR22D202&amp;offchaindata_platform=MongoDB&amp;keyfile=Paul&amp;network=jsonfiles&amp;repository=test</v>
      </c>
      <c r="U365" s="1" t="str">
        <f t="shared" si="11"/>
        <v>{"name":"In Casa #202",_x000D_
"symbol":"COR22D202",_x000D_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5" s="1" t="str">
        <f>formatRow(Tokens!C$2:I$2,Tokens!C365:I365)</f>
        <v>"name":"In Casa #202",_x000D_
"symbol":"COR22D202",_x000D_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5" s="1" t="str">
        <f>formatRow(Tokens!J$2:AV$2,Tokens!J365:AV365,2,"attributes")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5" s="1" t="str">
        <f>formatRow(Tokens!AX$2:BC$2,Tokens!AX365:BC365,2,"creators")</f>
        <v>"creators":[{"address":"paul",_x000D_
"share":10},{"address":"sophie",_x000D_
"share":90}]</v>
      </c>
      <c r="Y365" s="1" t="str">
        <f>formatRow(Tokens!BD$2:BI$2,Tokens!BD365:BI365,2,"files")</f>
        <v>"files":[]</v>
      </c>
      <c r="Z365" s="1"/>
      <c r="AA365" s="1"/>
      <c r="AB365" s="1"/>
      <c r="AC365" s="1" t="str">
        <f>formatRow(Tokens!BJ$2:BK$2,Tokens!BJ365:BK365,0,"collection")</f>
        <v>"collection":{"name":"In Casa",_x000D_
"family":"Calvi On The Rocks"}</v>
      </c>
    </row>
    <row r="366" spans="5:29" ht="14.25" customHeight="1" x14ac:dyDescent="0.25">
      <c r="E366" s="17" t="str">
        <f>IF(Tokens!C366="","",Tokens!C366)</f>
        <v>In Casa #203</v>
      </c>
      <c r="F366"/>
      <c r="G366"/>
      <c r="H366"/>
      <c r="I366"/>
      <c r="J366"/>
      <c r="M366"/>
      <c r="N366"/>
      <c r="O366" s="15" t="str">
        <f t="shared" si="10"/>
        <v>_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/>
      </c>
      <c r="Q366" s="2"/>
      <c r="R366" s="2"/>
      <c r="S366" s="11"/>
      <c r="T366" s="1" t="str">
        <f>"owner=" &amp; Tokens!BS366 &amp; "&amp;filename_for_metadata=" &amp; Tokens!BT366 &amp; "&amp;offchaindata_platform=" &amp; $B$17 &amp; "&amp;keyfile=" &amp; $B$5 &amp; "&amp;network=" &amp; LOWER($B$8) &amp; "&amp;repository=" &amp; $B$18</f>
        <v>owner=thomas&amp;filename_for_metadata=InCasa_COR22D203&amp;offchaindata_platform=MongoDB&amp;keyfile=Paul&amp;network=jsonfiles&amp;repository=test</v>
      </c>
      <c r="U366" s="1" t="str">
        <f t="shared" si="11"/>
        <v>{"name":"In Casa #203",_x000D_
"symbol":"COR22D203",_x000D_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6" s="1" t="str">
        <f>formatRow(Tokens!C$2:I$2,Tokens!C366:I366)</f>
        <v>"name":"In Casa #203",_x000D_
"symbol":"COR22D203",_x000D_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6" s="1" t="str">
        <f>formatRow(Tokens!J$2:AV$2,Tokens!J366:AV366,2,"attributes")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6" s="1" t="str">
        <f>formatRow(Tokens!AX$2:BC$2,Tokens!AX366:BC366,2,"creators")</f>
        <v>"creators":[{"address":"paul",_x000D_
"share":10},{"address":"sophie",_x000D_
"share":90}]</v>
      </c>
      <c r="Y366" s="1" t="str">
        <f>formatRow(Tokens!BD$2:BI$2,Tokens!BD366:BI366,2,"files")</f>
        <v>"files":[]</v>
      </c>
      <c r="Z366" s="1"/>
      <c r="AA366" s="1"/>
      <c r="AB366" s="1"/>
      <c r="AC366" s="1" t="str">
        <f>formatRow(Tokens!BJ$2:BK$2,Tokens!BJ366:BK366,0,"collection")</f>
        <v>"collection":{"name":"In Casa",_x000D_
"family":"Calvi On The Rocks"}</v>
      </c>
    </row>
    <row r="367" spans="5:29" ht="14.25" customHeight="1" x14ac:dyDescent="0.25">
      <c r="E367" s="17" t="str">
        <f>IF(Tokens!C367="","",Tokens!C367)</f>
        <v>In Casa #204</v>
      </c>
      <c r="F367"/>
      <c r="G367"/>
      <c r="H367"/>
      <c r="I367"/>
      <c r="J367"/>
      <c r="M367"/>
      <c r="N367"/>
      <c r="O367" s="15" t="str">
        <f t="shared" si="10"/>
        <v>_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/>
      </c>
      <c r="Q367" s="2"/>
      <c r="R367" s="2"/>
      <c r="S367" s="11"/>
      <c r="T367" s="1" t="str">
        <f>"owner=" &amp; Tokens!BS367 &amp; "&amp;filename_for_metadata=" &amp; Tokens!BT367 &amp; "&amp;offchaindata_platform=" &amp; $B$17 &amp; "&amp;keyfile=" &amp; $B$5 &amp; "&amp;network=" &amp; LOWER($B$8) &amp; "&amp;repository=" &amp; $B$18</f>
        <v>owner=thomas&amp;filename_for_metadata=InCasa_COR22D204&amp;offchaindata_platform=MongoDB&amp;keyfile=Paul&amp;network=jsonfiles&amp;repository=test</v>
      </c>
      <c r="U367" s="1" t="str">
        <f t="shared" si="11"/>
        <v>{"name":"In Casa #204",_x000D_
"symbol":"COR22D204",_x000D_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7" s="1" t="str">
        <f>formatRow(Tokens!C$2:I$2,Tokens!C367:I367)</f>
        <v>"name":"In Casa #204",_x000D_
"symbol":"COR22D204",_x000D_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7" s="1" t="str">
        <f>formatRow(Tokens!J$2:AV$2,Tokens!J367:AV367,2,"attributes")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7" s="1" t="str">
        <f>formatRow(Tokens!AX$2:BC$2,Tokens!AX367:BC367,2,"creators")</f>
        <v>"creators":[{"address":"paul",_x000D_
"share":10},{"address":"sophie",_x000D_
"share":90}]</v>
      </c>
      <c r="Y367" s="1" t="str">
        <f>formatRow(Tokens!BD$2:BI$2,Tokens!BD367:BI367,2,"files")</f>
        <v>"files":[]</v>
      </c>
      <c r="Z367" s="1"/>
      <c r="AA367" s="1"/>
      <c r="AB367" s="1"/>
      <c r="AC367" s="1" t="str">
        <f>formatRow(Tokens!BJ$2:BK$2,Tokens!BJ367:BK367,0,"collection")</f>
        <v>"collection":{"name":"In Casa",_x000D_
"family":"Calvi On The Rocks"}</v>
      </c>
    </row>
    <row r="368" spans="5:29" ht="14.25" customHeight="1" x14ac:dyDescent="0.25">
      <c r="E368" s="17" t="str">
        <f>IF(Tokens!C368="","",Tokens!C368)</f>
        <v>In Casa #205</v>
      </c>
      <c r="F368"/>
      <c r="G368"/>
      <c r="H368"/>
      <c r="I368"/>
      <c r="J368"/>
      <c r="M368"/>
      <c r="N368"/>
      <c r="O368" s="15" t="str">
        <f t="shared" si="10"/>
        <v>_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/>
      </c>
      <c r="Q368" s="2"/>
      <c r="R368" s="2"/>
      <c r="S368" s="11"/>
      <c r="T368" s="1" t="str">
        <f>"owner=" &amp; Tokens!BS368 &amp; "&amp;filename_for_metadata=" &amp; Tokens!BT368 &amp; "&amp;offchaindata_platform=" &amp; $B$17 &amp; "&amp;keyfile=" &amp; $B$5 &amp; "&amp;network=" &amp; LOWER($B$8) &amp; "&amp;repository=" &amp; $B$18</f>
        <v>owner=thomas&amp;filename_for_metadata=InCasa_COR22D205&amp;offchaindata_platform=MongoDB&amp;keyfile=Paul&amp;network=jsonfiles&amp;repository=test</v>
      </c>
      <c r="U368" s="1" t="str">
        <f t="shared" si="11"/>
        <v>{"name":"In Casa #205",_x000D_
"symbol":"COR22D205",_x000D_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8" s="1" t="str">
        <f>formatRow(Tokens!C$2:I$2,Tokens!C368:I368)</f>
        <v>"name":"In Casa #205",_x000D_
"symbol":"COR22D205",_x000D_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8" s="1" t="str">
        <f>formatRow(Tokens!J$2:AV$2,Tokens!J368:AV368,2,"attributes")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8" s="1" t="str">
        <f>formatRow(Tokens!AX$2:BC$2,Tokens!AX368:BC368,2,"creators")</f>
        <v>"creators":[{"address":"paul",_x000D_
"share":10},{"address":"sophie",_x000D_
"share":90}]</v>
      </c>
      <c r="Y368" s="1" t="str">
        <f>formatRow(Tokens!BD$2:BI$2,Tokens!BD368:BI368,2,"files")</f>
        <v>"files":[]</v>
      </c>
      <c r="Z368" s="1"/>
      <c r="AA368" s="1"/>
      <c r="AB368" s="1"/>
      <c r="AC368" s="1" t="str">
        <f>formatRow(Tokens!BJ$2:BK$2,Tokens!BJ368:BK368,0,"collection")</f>
        <v>"collection":{"name":"In Casa",_x000D_
"family":"Calvi On The Rocks"}</v>
      </c>
    </row>
    <row r="369" spans="5:29" ht="14.25" customHeight="1" x14ac:dyDescent="0.25">
      <c r="E369" s="17" t="str">
        <f>IF(Tokens!C369="","",Tokens!C369)</f>
        <v>In Casa #206</v>
      </c>
      <c r="F369"/>
      <c r="G369"/>
      <c r="H369"/>
      <c r="I369"/>
      <c r="J369"/>
      <c r="M369"/>
      <c r="N369"/>
      <c r="O369" s="15" t="str">
        <f t="shared" si="10"/>
        <v>_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/>
      </c>
      <c r="Q369" s="2"/>
      <c r="R369" s="2"/>
      <c r="S369" s="11"/>
      <c r="T369" s="1" t="str">
        <f>"owner=" &amp; Tokens!BS369 &amp; "&amp;filename_for_metadata=" &amp; Tokens!BT369 &amp; "&amp;offchaindata_platform=" &amp; $B$17 &amp; "&amp;keyfile=" &amp; $B$5 &amp; "&amp;network=" &amp; LOWER($B$8) &amp; "&amp;repository=" &amp; $B$18</f>
        <v>owner=thomas&amp;filename_for_metadata=InCasa_COR22D206&amp;offchaindata_platform=MongoDB&amp;keyfile=Paul&amp;network=jsonfiles&amp;repository=test</v>
      </c>
      <c r="U369" s="1" t="str">
        <f t="shared" si="11"/>
        <v>{"name":"In Casa #206",_x000D_
"symbol":"COR22D206",_x000D_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69" s="1" t="str">
        <f>formatRow(Tokens!C$2:I$2,Tokens!C369:I369)</f>
        <v>"name":"In Casa #206",_x000D_
"symbol":"COR22D206",_x000D_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69" s="1" t="str">
        <f>formatRow(Tokens!J$2:AV$2,Tokens!J369:AV369,2,"attributes")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69" s="1" t="str">
        <f>formatRow(Tokens!AX$2:BC$2,Tokens!AX369:BC369,2,"creators")</f>
        <v>"creators":[{"address":"paul",_x000D_
"share":10},{"address":"sophie",_x000D_
"share":90}]</v>
      </c>
      <c r="Y369" s="1" t="str">
        <f>formatRow(Tokens!BD$2:BI$2,Tokens!BD369:BI369,2,"files")</f>
        <v>"files":[]</v>
      </c>
      <c r="Z369" s="1"/>
      <c r="AA369" s="1"/>
      <c r="AB369" s="1"/>
      <c r="AC369" s="1" t="str">
        <f>formatRow(Tokens!BJ$2:BK$2,Tokens!BJ369:BK369,0,"collection")</f>
        <v>"collection":{"name":"In Casa",_x000D_
"family":"Calvi On The Rocks"}</v>
      </c>
    </row>
    <row r="370" spans="5:29" ht="14.25" customHeight="1" x14ac:dyDescent="0.25">
      <c r="E370" s="17" t="str">
        <f>IF(Tokens!C370="","",Tokens!C370)</f>
        <v>In Casa #207</v>
      </c>
      <c r="F370"/>
      <c r="G370"/>
      <c r="H370"/>
      <c r="I370"/>
      <c r="J370"/>
      <c r="M370"/>
      <c r="N370"/>
      <c r="O370" s="15" t="str">
        <f t="shared" si="10"/>
        <v>_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/>
      </c>
      <c r="Q370" s="2"/>
      <c r="R370" s="2"/>
      <c r="S370" s="11"/>
      <c r="T370" s="1" t="str">
        <f>"owner=" &amp; Tokens!BS370 &amp; "&amp;filename_for_metadata=" &amp; Tokens!BT370 &amp; "&amp;offchaindata_platform=" &amp; $B$17 &amp; "&amp;keyfile=" &amp; $B$5 &amp; "&amp;network=" &amp; LOWER($B$8) &amp; "&amp;repository=" &amp; $B$18</f>
        <v>owner=thomas&amp;filename_for_metadata=InCasa_COR22D207&amp;offchaindata_platform=MongoDB&amp;keyfile=Paul&amp;network=jsonfiles&amp;repository=test</v>
      </c>
      <c r="U370" s="1" t="str">
        <f t="shared" si="11"/>
        <v>{"name":"In Casa #207",_x000D_
"symbol":"COR22D207",_x000D_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0" s="1" t="str">
        <f>formatRow(Tokens!C$2:I$2,Tokens!C370:I370)</f>
        <v>"name":"In Casa #207",_x000D_
"symbol":"COR22D207",_x000D_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0" s="1" t="str">
        <f>formatRow(Tokens!J$2:AV$2,Tokens!J370:AV370,2,"attributes")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0" s="1" t="str">
        <f>formatRow(Tokens!AX$2:BC$2,Tokens!AX370:BC370,2,"creators")</f>
        <v>"creators":[{"address":"paul",_x000D_
"share":10},{"address":"sophie",_x000D_
"share":90}]</v>
      </c>
      <c r="Y370" s="1" t="str">
        <f>formatRow(Tokens!BD$2:BI$2,Tokens!BD370:BI370,2,"files")</f>
        <v>"files":[]</v>
      </c>
      <c r="Z370" s="1"/>
      <c r="AA370" s="1"/>
      <c r="AB370" s="1"/>
      <c r="AC370" s="1" t="str">
        <f>formatRow(Tokens!BJ$2:BK$2,Tokens!BJ370:BK370,0,"collection")</f>
        <v>"collection":{"name":"In Casa",_x000D_
"family":"Calvi On The Rocks"}</v>
      </c>
    </row>
    <row r="371" spans="5:29" ht="14.25" customHeight="1" x14ac:dyDescent="0.25">
      <c r="E371" s="17" t="str">
        <f>IF(Tokens!C371="","",Tokens!C371)</f>
        <v>In Casa #208</v>
      </c>
      <c r="F371"/>
      <c r="G371"/>
      <c r="H371"/>
      <c r="I371"/>
      <c r="J371"/>
      <c r="M371"/>
      <c r="N371"/>
      <c r="O371" s="15" t="str">
        <f t="shared" si="10"/>
        <v>_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/>
      </c>
      <c r="Q371" s="2"/>
      <c r="R371" s="2"/>
      <c r="S371" s="11"/>
      <c r="T371" s="1" t="str">
        <f>"owner=" &amp; Tokens!BS371 &amp; "&amp;filename_for_metadata=" &amp; Tokens!BT371 &amp; "&amp;offchaindata_platform=" &amp; $B$17 &amp; "&amp;keyfile=" &amp; $B$5 &amp; "&amp;network=" &amp; LOWER($B$8) &amp; "&amp;repository=" &amp; $B$18</f>
        <v>owner=thomas&amp;filename_for_metadata=InCasa_COR22D208&amp;offchaindata_platform=MongoDB&amp;keyfile=Paul&amp;network=jsonfiles&amp;repository=test</v>
      </c>
      <c r="U371" s="1" t="str">
        <f t="shared" si="11"/>
        <v>{"name":"In Casa #208",_x000D_
"symbol":"COR22D208",_x000D_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1" s="1" t="str">
        <f>formatRow(Tokens!C$2:I$2,Tokens!C371:I371)</f>
        <v>"name":"In Casa #208",_x000D_
"symbol":"COR22D208",_x000D_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1" s="1" t="str">
        <f>formatRow(Tokens!J$2:AV$2,Tokens!J371:AV371,2,"attributes")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1" s="1" t="str">
        <f>formatRow(Tokens!AX$2:BC$2,Tokens!AX371:BC371,2,"creators")</f>
        <v>"creators":[{"address":"paul",_x000D_
"share":10},{"address":"sophie",_x000D_
"share":90}]</v>
      </c>
      <c r="Y371" s="1" t="str">
        <f>formatRow(Tokens!BD$2:BI$2,Tokens!BD371:BI371,2,"files")</f>
        <v>"files":[]</v>
      </c>
      <c r="Z371" s="1"/>
      <c r="AA371" s="1"/>
      <c r="AB371" s="1"/>
      <c r="AC371" s="1" t="str">
        <f>formatRow(Tokens!BJ$2:BK$2,Tokens!BJ371:BK371,0,"collection")</f>
        <v>"collection":{"name":"In Casa",_x000D_
"family":"Calvi On The Rocks"}</v>
      </c>
    </row>
    <row r="372" spans="5:29" ht="14.25" customHeight="1" x14ac:dyDescent="0.25">
      <c r="E372" s="17" t="str">
        <f>IF(Tokens!C372="","",Tokens!C372)</f>
        <v>In Casa #209</v>
      </c>
      <c r="F372"/>
      <c r="G372"/>
      <c r="H372"/>
      <c r="I372"/>
      <c r="J372"/>
      <c r="M372"/>
      <c r="N372"/>
      <c r="O372" s="15" t="str">
        <f t="shared" si="10"/>
        <v>_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/>
      </c>
      <c r="Q372" s="2"/>
      <c r="R372" s="2"/>
      <c r="S372" s="11"/>
      <c r="T372" s="1" t="str">
        <f>"owner=" &amp; Tokens!BS372 &amp; "&amp;filename_for_metadata=" &amp; Tokens!BT372 &amp; "&amp;offchaindata_platform=" &amp; $B$17 &amp; "&amp;keyfile=" &amp; $B$5 &amp; "&amp;network=" &amp; LOWER($B$8) &amp; "&amp;repository=" &amp; $B$18</f>
        <v>owner=thomas&amp;filename_for_metadata=InCasa_COR22D209&amp;offchaindata_platform=MongoDB&amp;keyfile=Paul&amp;network=jsonfiles&amp;repository=test</v>
      </c>
      <c r="U372" s="1" t="str">
        <f t="shared" si="11"/>
        <v>{"name":"In Casa #209",_x000D_
"symbol":"COR22D209",_x000D_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2" s="1" t="str">
        <f>formatRow(Tokens!C$2:I$2,Tokens!C372:I372)</f>
        <v>"name":"In Casa #209",_x000D_
"symbol":"COR22D209",_x000D_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2" s="1" t="str">
        <f>formatRow(Tokens!J$2:AV$2,Tokens!J372:AV372,2,"attributes")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2" s="1" t="str">
        <f>formatRow(Tokens!AX$2:BC$2,Tokens!AX372:BC372,2,"creators")</f>
        <v>"creators":[{"address":"paul",_x000D_
"share":10},{"address":"sophie",_x000D_
"share":90}]</v>
      </c>
      <c r="Y372" s="1" t="str">
        <f>formatRow(Tokens!BD$2:BI$2,Tokens!BD372:BI372,2,"files")</f>
        <v>"files":[]</v>
      </c>
      <c r="Z372" s="1"/>
      <c r="AA372" s="1"/>
      <c r="AB372" s="1"/>
      <c r="AC372" s="1" t="str">
        <f>formatRow(Tokens!BJ$2:BK$2,Tokens!BJ372:BK372,0,"collection")</f>
        <v>"collection":{"name":"In Casa",_x000D_
"family":"Calvi On The Rocks"}</v>
      </c>
    </row>
    <row r="373" spans="5:29" ht="14.25" customHeight="1" x14ac:dyDescent="0.25">
      <c r="E373" s="17" t="str">
        <f>IF(Tokens!C373="","",Tokens!C373)</f>
        <v>In Casa #210</v>
      </c>
      <c r="F373"/>
      <c r="G373"/>
      <c r="H373"/>
      <c r="I373"/>
      <c r="J373"/>
      <c r="M373"/>
      <c r="N373"/>
      <c r="O373" s="15" t="str">
        <f t="shared" si="10"/>
        <v>_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/>
      </c>
      <c r="Q373" s="2"/>
      <c r="R373" s="2"/>
      <c r="S373" s="11"/>
      <c r="T373" s="1" t="str">
        <f>"owner=" &amp; Tokens!BS373 &amp; "&amp;filename_for_metadata=" &amp; Tokens!BT373 &amp; "&amp;offchaindata_platform=" &amp; $B$17 &amp; "&amp;keyfile=" &amp; $B$5 &amp; "&amp;network=" &amp; LOWER($B$8) &amp; "&amp;repository=" &amp; $B$18</f>
        <v>owner=thomas&amp;filename_for_metadata=InCasa_COR22D210&amp;offchaindata_platform=MongoDB&amp;keyfile=Paul&amp;network=jsonfiles&amp;repository=test</v>
      </c>
      <c r="U373" s="1" t="str">
        <f t="shared" si="11"/>
        <v>{"name":"In Casa #210",_x000D_
"symbol":"COR22D210",_x000D_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3" s="1" t="str">
        <f>formatRow(Tokens!C$2:I$2,Tokens!C373:I373)</f>
        <v>"name":"In Casa #210",_x000D_
"symbol":"COR22D210",_x000D_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3" s="1" t="str">
        <f>formatRow(Tokens!J$2:AV$2,Tokens!J373:AV373,2,"attributes")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3" s="1" t="str">
        <f>formatRow(Tokens!AX$2:BC$2,Tokens!AX373:BC373,2,"creators")</f>
        <v>"creators":[{"address":"paul",_x000D_
"share":10},{"address":"sophie",_x000D_
"share":90}]</v>
      </c>
      <c r="Y373" s="1" t="str">
        <f>formatRow(Tokens!BD$2:BI$2,Tokens!BD373:BI373,2,"files")</f>
        <v>"files":[]</v>
      </c>
      <c r="Z373" s="1"/>
      <c r="AA373" s="1"/>
      <c r="AB373" s="1"/>
      <c r="AC373" s="1" t="str">
        <f>formatRow(Tokens!BJ$2:BK$2,Tokens!BJ373:BK373,0,"collection")</f>
        <v>"collection":{"name":"In Casa",_x000D_
"family":"Calvi On The Rocks"}</v>
      </c>
    </row>
    <row r="374" spans="5:29" ht="14.25" customHeight="1" x14ac:dyDescent="0.25">
      <c r="E374" s="17" t="str">
        <f>IF(Tokens!C374="","",Tokens!C374)</f>
        <v>In Casa #211</v>
      </c>
      <c r="F374"/>
      <c r="G374"/>
      <c r="H374"/>
      <c r="I374"/>
      <c r="J374"/>
      <c r="M374"/>
      <c r="N374"/>
      <c r="O374" s="15" t="str">
        <f t="shared" si="10"/>
        <v>_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/>
      </c>
      <c r="Q374" s="2"/>
      <c r="R374" s="2"/>
      <c r="S374" s="11"/>
      <c r="T374" s="1" t="str">
        <f>"owner=" &amp; Tokens!BS374 &amp; "&amp;filename_for_metadata=" &amp; Tokens!BT374 &amp; "&amp;offchaindata_platform=" &amp; $B$17 &amp; "&amp;keyfile=" &amp; $B$5 &amp; "&amp;network=" &amp; LOWER($B$8) &amp; "&amp;repository=" &amp; $B$18</f>
        <v>owner=thomas&amp;filename_for_metadata=InCasa_COR22D211&amp;offchaindata_platform=MongoDB&amp;keyfile=Paul&amp;network=jsonfiles&amp;repository=test</v>
      </c>
      <c r="U374" s="1" t="str">
        <f t="shared" si="11"/>
        <v>{"name":"In Casa #211",_x000D_
"symbol":"COR22D211",_x000D_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4" s="1" t="str">
        <f>formatRow(Tokens!C$2:I$2,Tokens!C374:I374)</f>
        <v>"name":"In Casa #211",_x000D_
"symbol":"COR22D211",_x000D_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4" s="1" t="str">
        <f>formatRow(Tokens!J$2:AV$2,Tokens!J374:AV374,2,"attributes")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4" s="1" t="str">
        <f>formatRow(Tokens!AX$2:BC$2,Tokens!AX374:BC374,2,"creators")</f>
        <v>"creators":[{"address":"paul",_x000D_
"share":10},{"address":"sophie",_x000D_
"share":90}]</v>
      </c>
      <c r="Y374" s="1" t="str">
        <f>formatRow(Tokens!BD$2:BI$2,Tokens!BD374:BI374,2,"files")</f>
        <v>"files":[]</v>
      </c>
      <c r="Z374" s="1"/>
      <c r="AA374" s="1"/>
      <c r="AB374" s="1"/>
      <c r="AC374" s="1" t="str">
        <f>formatRow(Tokens!BJ$2:BK$2,Tokens!BJ374:BK374,0,"collection")</f>
        <v>"collection":{"name":"In Casa",_x000D_
"family":"Calvi On The Rocks"}</v>
      </c>
    </row>
    <row r="375" spans="5:29" ht="14.25" customHeight="1" x14ac:dyDescent="0.25">
      <c r="E375" s="17" t="str">
        <f>IF(Tokens!C375="","",Tokens!C375)</f>
        <v>In Casa #212</v>
      </c>
      <c r="F375"/>
      <c r="G375"/>
      <c r="H375"/>
      <c r="I375"/>
      <c r="J375"/>
      <c r="M375"/>
      <c r="N375"/>
      <c r="O375" s="15" t="str">
        <f t="shared" si="10"/>
        <v>_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/>
      </c>
      <c r="Q375" s="2"/>
      <c r="R375" s="2"/>
      <c r="S375" s="11"/>
      <c r="T375" s="1" t="str">
        <f>"owner=" &amp; Tokens!BS375 &amp; "&amp;filename_for_metadata=" &amp; Tokens!BT375 &amp; "&amp;offchaindata_platform=" &amp; $B$17 &amp; "&amp;keyfile=" &amp; $B$5 &amp; "&amp;network=" &amp; LOWER($B$8) &amp; "&amp;repository=" &amp; $B$18</f>
        <v>owner=thomas&amp;filename_for_metadata=InCasa_COR22D212&amp;offchaindata_platform=MongoDB&amp;keyfile=Paul&amp;network=jsonfiles&amp;repository=test</v>
      </c>
      <c r="U375" s="1" t="str">
        <f t="shared" si="11"/>
        <v>{"name":"In Casa #212",_x000D_
"symbol":"COR22D212",_x000D_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5" s="1" t="str">
        <f>formatRow(Tokens!C$2:I$2,Tokens!C375:I375)</f>
        <v>"name":"In Casa #212",_x000D_
"symbol":"COR22D212",_x000D_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5" s="1" t="str">
        <f>formatRow(Tokens!J$2:AV$2,Tokens!J375:AV375,2,"attributes")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5" s="1" t="str">
        <f>formatRow(Tokens!AX$2:BC$2,Tokens!AX375:BC375,2,"creators")</f>
        <v>"creators":[{"address":"paul",_x000D_
"share":10},{"address":"sophie",_x000D_
"share":90}]</v>
      </c>
      <c r="Y375" s="1" t="str">
        <f>formatRow(Tokens!BD$2:BI$2,Tokens!BD375:BI375,2,"files")</f>
        <v>"files":[]</v>
      </c>
      <c r="Z375" s="1"/>
      <c r="AA375" s="1"/>
      <c r="AB375" s="1"/>
      <c r="AC375" s="1" t="str">
        <f>formatRow(Tokens!BJ$2:BK$2,Tokens!BJ375:BK375,0,"collection")</f>
        <v>"collection":{"name":"In Casa",_x000D_
"family":"Calvi On The Rocks"}</v>
      </c>
    </row>
    <row r="376" spans="5:29" ht="14.25" customHeight="1" x14ac:dyDescent="0.25">
      <c r="E376" s="17" t="str">
        <f>IF(Tokens!C376="","",Tokens!C376)</f>
        <v>In Casa #213</v>
      </c>
      <c r="F376"/>
      <c r="G376"/>
      <c r="H376"/>
      <c r="I376"/>
      <c r="J376"/>
      <c r="M376"/>
      <c r="N376"/>
      <c r="O376" s="15" t="str">
        <f t="shared" si="10"/>
        <v>_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/>
      </c>
      <c r="Q376" s="2"/>
      <c r="R376" s="2"/>
      <c r="S376" s="11"/>
      <c r="T376" s="1" t="str">
        <f>"owner=" &amp; Tokens!BS376 &amp; "&amp;filename_for_metadata=" &amp; Tokens!BT376 &amp; "&amp;offchaindata_platform=" &amp; $B$17 &amp; "&amp;keyfile=" &amp; $B$5 &amp; "&amp;network=" &amp; LOWER($B$8) &amp; "&amp;repository=" &amp; $B$18</f>
        <v>owner=thomas&amp;filename_for_metadata=InCasa_COR22D213&amp;offchaindata_platform=MongoDB&amp;keyfile=Paul&amp;network=jsonfiles&amp;repository=test</v>
      </c>
      <c r="U376" s="1" t="str">
        <f t="shared" si="11"/>
        <v>{"name":"In Casa #213",_x000D_
"symbol":"COR22D213",_x000D_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6" s="1" t="str">
        <f>formatRow(Tokens!C$2:I$2,Tokens!C376:I376)</f>
        <v>"name":"In Casa #213",_x000D_
"symbol":"COR22D213",_x000D_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6" s="1" t="str">
        <f>formatRow(Tokens!J$2:AV$2,Tokens!J376:AV376,2,"attributes")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6" s="1" t="str">
        <f>formatRow(Tokens!AX$2:BC$2,Tokens!AX376:BC376,2,"creators")</f>
        <v>"creators":[{"address":"paul",_x000D_
"share":10},{"address":"sophie",_x000D_
"share":90}]</v>
      </c>
      <c r="Y376" s="1" t="str">
        <f>formatRow(Tokens!BD$2:BI$2,Tokens!BD376:BI376,2,"files")</f>
        <v>"files":[]</v>
      </c>
      <c r="Z376" s="1"/>
      <c r="AA376" s="1"/>
      <c r="AB376" s="1"/>
      <c r="AC376" s="1" t="str">
        <f>formatRow(Tokens!BJ$2:BK$2,Tokens!BJ376:BK376,0,"collection")</f>
        <v>"collection":{"name":"In Casa",_x000D_
"family":"Calvi On The Rocks"}</v>
      </c>
    </row>
    <row r="377" spans="5:29" ht="14.25" customHeight="1" x14ac:dyDescent="0.25">
      <c r="E377" s="17" t="str">
        <f>IF(Tokens!C377="","",Tokens!C377)</f>
        <v>In Casa #214</v>
      </c>
      <c r="F377"/>
      <c r="G377"/>
      <c r="H377"/>
      <c r="I377"/>
      <c r="J377"/>
      <c r="M377"/>
      <c r="N377"/>
      <c r="O377" s="15" t="str">
        <f t="shared" si="10"/>
        <v>_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/>
      </c>
      <c r="Q377" s="2"/>
      <c r="R377" s="2"/>
      <c r="S377" s="11"/>
      <c r="T377" s="1" t="str">
        <f>"owner=" &amp; Tokens!BS377 &amp; "&amp;filename_for_metadata=" &amp; Tokens!BT377 &amp; "&amp;offchaindata_platform=" &amp; $B$17 &amp; "&amp;keyfile=" &amp; $B$5 &amp; "&amp;network=" &amp; LOWER($B$8) &amp; "&amp;repository=" &amp; $B$18</f>
        <v>owner=thomas&amp;filename_for_metadata=InCasa_COR22D214&amp;offchaindata_platform=MongoDB&amp;keyfile=Paul&amp;network=jsonfiles&amp;repository=test</v>
      </c>
      <c r="U377" s="1" t="str">
        <f t="shared" si="11"/>
        <v>{"name":"In Casa #214",_x000D_
"symbol":"COR22D214",_x000D_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7" s="1" t="str">
        <f>formatRow(Tokens!C$2:I$2,Tokens!C377:I377)</f>
        <v>"name":"In Casa #214",_x000D_
"symbol":"COR22D214",_x000D_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7" s="1" t="str">
        <f>formatRow(Tokens!J$2:AV$2,Tokens!J377:AV377,2,"attributes")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7" s="1" t="str">
        <f>formatRow(Tokens!AX$2:BC$2,Tokens!AX377:BC377,2,"creators")</f>
        <v>"creators":[{"address":"paul",_x000D_
"share":10},{"address":"sophie",_x000D_
"share":90}]</v>
      </c>
      <c r="Y377" s="1" t="str">
        <f>formatRow(Tokens!BD$2:BI$2,Tokens!BD377:BI377,2,"files")</f>
        <v>"files":[]</v>
      </c>
      <c r="Z377" s="1"/>
      <c r="AA377" s="1"/>
      <c r="AB377" s="1"/>
      <c r="AC377" s="1" t="str">
        <f>formatRow(Tokens!BJ$2:BK$2,Tokens!BJ377:BK377,0,"collection")</f>
        <v>"collection":{"name":"In Casa",_x000D_
"family":"Calvi On The Rocks"}</v>
      </c>
    </row>
    <row r="378" spans="5:29" ht="14.25" customHeight="1" x14ac:dyDescent="0.25">
      <c r="E378" s="17" t="str">
        <f>IF(Tokens!C378="","",Tokens!C378)</f>
        <v>In Casa #215</v>
      </c>
      <c r="F378"/>
      <c r="G378"/>
      <c r="H378"/>
      <c r="I378"/>
      <c r="J378"/>
      <c r="M378"/>
      <c r="N378"/>
      <c r="O378" s="15" t="str">
        <f t="shared" si="10"/>
        <v>_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/>
      </c>
      <c r="Q378" s="2"/>
      <c r="R378" s="2"/>
      <c r="S378" s="11"/>
      <c r="T378" s="1" t="str">
        <f>"owner=" &amp; Tokens!BS378 &amp; "&amp;filename_for_metadata=" &amp; Tokens!BT378 &amp; "&amp;offchaindata_platform=" &amp; $B$17 &amp; "&amp;keyfile=" &amp; $B$5 &amp; "&amp;network=" &amp; LOWER($B$8) &amp; "&amp;repository=" &amp; $B$18</f>
        <v>owner=thomas&amp;filename_for_metadata=InCasa_COR22D215&amp;offchaindata_platform=MongoDB&amp;keyfile=Paul&amp;network=jsonfiles&amp;repository=test</v>
      </c>
      <c r="U378" s="1" t="str">
        <f t="shared" si="11"/>
        <v>{"name":"In Casa #215",_x000D_
"symbol":"COR22D215",_x000D_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8" s="1" t="str">
        <f>formatRow(Tokens!C$2:I$2,Tokens!C378:I378)</f>
        <v>"name":"In Casa #215",_x000D_
"symbol":"COR22D215",_x000D_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8" s="1" t="str">
        <f>formatRow(Tokens!J$2:AV$2,Tokens!J378:AV378,2,"attributes")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8" s="1" t="str">
        <f>formatRow(Tokens!AX$2:BC$2,Tokens!AX378:BC378,2,"creators")</f>
        <v>"creators":[{"address":"paul",_x000D_
"share":10},{"address":"sophie",_x000D_
"share":90}]</v>
      </c>
      <c r="Y378" s="1" t="str">
        <f>formatRow(Tokens!BD$2:BI$2,Tokens!BD378:BI378,2,"files")</f>
        <v>"files":[]</v>
      </c>
      <c r="Z378" s="1"/>
      <c r="AA378" s="1"/>
      <c r="AB378" s="1"/>
      <c r="AC378" s="1" t="str">
        <f>formatRow(Tokens!BJ$2:BK$2,Tokens!BJ378:BK378,0,"collection")</f>
        <v>"collection":{"name":"In Casa",_x000D_
"family":"Calvi On The Rocks"}</v>
      </c>
    </row>
    <row r="379" spans="5:29" ht="14.25" customHeight="1" x14ac:dyDescent="0.25">
      <c r="E379" s="17" t="str">
        <f>IF(Tokens!C379="","",Tokens!C379)</f>
        <v>In Casa #216</v>
      </c>
      <c r="F379"/>
      <c r="G379"/>
      <c r="H379"/>
      <c r="I379"/>
      <c r="J379"/>
      <c r="M379"/>
      <c r="N379"/>
      <c r="O379" s="15" t="str">
        <f t="shared" si="10"/>
        <v>_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/>
      </c>
      <c r="Q379" s="2"/>
      <c r="R379" s="2"/>
      <c r="S379" s="11"/>
      <c r="T379" s="1" t="str">
        <f>"owner=" &amp; Tokens!BS379 &amp; "&amp;filename_for_metadata=" &amp; Tokens!BT379 &amp; "&amp;offchaindata_platform=" &amp; $B$17 &amp; "&amp;keyfile=" &amp; $B$5 &amp; "&amp;network=" &amp; LOWER($B$8) &amp; "&amp;repository=" &amp; $B$18</f>
        <v>owner=thomas&amp;filename_for_metadata=InCasa_COR22D216&amp;offchaindata_platform=MongoDB&amp;keyfile=Paul&amp;network=jsonfiles&amp;repository=test</v>
      </c>
      <c r="U379" s="1" t="str">
        <f t="shared" si="11"/>
        <v>{"name":"In Casa #216",_x000D_
"symbol":"COR22D216",_x000D_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79" s="1" t="str">
        <f>formatRow(Tokens!C$2:I$2,Tokens!C379:I379)</f>
        <v>"name":"In Casa #216",_x000D_
"symbol":"COR22D216",_x000D_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79" s="1" t="str">
        <f>formatRow(Tokens!J$2:AV$2,Tokens!J379:AV379,2,"attributes")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79" s="1" t="str">
        <f>formatRow(Tokens!AX$2:BC$2,Tokens!AX379:BC379,2,"creators")</f>
        <v>"creators":[{"address":"paul",_x000D_
"share":10},{"address":"sophie",_x000D_
"share":90}]</v>
      </c>
      <c r="Y379" s="1" t="str">
        <f>formatRow(Tokens!BD$2:BI$2,Tokens!BD379:BI379,2,"files")</f>
        <v>"files":[]</v>
      </c>
      <c r="Z379" s="1"/>
      <c r="AA379" s="1"/>
      <c r="AB379" s="1"/>
      <c r="AC379" s="1" t="str">
        <f>formatRow(Tokens!BJ$2:BK$2,Tokens!BJ379:BK379,0,"collection")</f>
        <v>"collection":{"name":"In Casa",_x000D_
"family":"Calvi On The Rocks"}</v>
      </c>
    </row>
    <row r="380" spans="5:29" ht="14.25" customHeight="1" x14ac:dyDescent="0.25">
      <c r="E380" s="17" t="str">
        <f>IF(Tokens!C380="","",Tokens!C380)</f>
        <v>In Casa #217</v>
      </c>
      <c r="F380"/>
      <c r="G380"/>
      <c r="H380"/>
      <c r="I380"/>
      <c r="J380"/>
      <c r="M380"/>
      <c r="N380"/>
      <c r="O380" s="15" t="str">
        <f t="shared" si="10"/>
        <v>_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/>
      </c>
      <c r="Q380" s="2"/>
      <c r="R380" s="2"/>
      <c r="S380" s="11"/>
      <c r="T380" s="1" t="str">
        <f>"owner=" &amp; Tokens!BS380 &amp; "&amp;filename_for_metadata=" &amp; Tokens!BT380 &amp; "&amp;offchaindata_platform=" &amp; $B$17 &amp; "&amp;keyfile=" &amp; $B$5 &amp; "&amp;network=" &amp; LOWER($B$8) &amp; "&amp;repository=" &amp; $B$18</f>
        <v>owner=thomas&amp;filename_for_metadata=InCasa_COR22D217&amp;offchaindata_platform=MongoDB&amp;keyfile=Paul&amp;network=jsonfiles&amp;repository=test</v>
      </c>
      <c r="U380" s="1" t="str">
        <f t="shared" si="11"/>
        <v>{"name":"In Casa #217",_x000D_
"symbol":"COR22D217",_x000D_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0" s="1" t="str">
        <f>formatRow(Tokens!C$2:I$2,Tokens!C380:I380)</f>
        <v>"name":"In Casa #217",_x000D_
"symbol":"COR22D217",_x000D_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0" s="1" t="str">
        <f>formatRow(Tokens!J$2:AV$2,Tokens!J380:AV380,2,"attributes")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0" s="1" t="str">
        <f>formatRow(Tokens!AX$2:BC$2,Tokens!AX380:BC380,2,"creators")</f>
        <v>"creators":[{"address":"paul",_x000D_
"share":10},{"address":"sophie",_x000D_
"share":90}]</v>
      </c>
      <c r="Y380" s="1" t="str">
        <f>formatRow(Tokens!BD$2:BI$2,Tokens!BD380:BI380,2,"files")</f>
        <v>"files":[]</v>
      </c>
      <c r="Z380" s="1"/>
      <c r="AA380" s="1"/>
      <c r="AB380" s="1"/>
      <c r="AC380" s="1" t="str">
        <f>formatRow(Tokens!BJ$2:BK$2,Tokens!BJ380:BK380,0,"collection")</f>
        <v>"collection":{"name":"In Casa",_x000D_
"family":"Calvi On The Rocks"}</v>
      </c>
    </row>
    <row r="381" spans="5:29" ht="14.25" customHeight="1" x14ac:dyDescent="0.25">
      <c r="E381" s="17" t="str">
        <f>IF(Tokens!C381="","",Tokens!C381)</f>
        <v>In Casa #218</v>
      </c>
      <c r="F381"/>
      <c r="G381"/>
      <c r="H381"/>
      <c r="I381"/>
      <c r="J381"/>
      <c r="M381"/>
      <c r="N381"/>
      <c r="O381" s="15" t="str">
        <f t="shared" si="10"/>
        <v>_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/>
      </c>
      <c r="Q381" s="2"/>
      <c r="R381" s="2"/>
      <c r="S381" s="11"/>
      <c r="T381" s="1" t="str">
        <f>"owner=" &amp; Tokens!BS381 &amp; "&amp;filename_for_metadata=" &amp; Tokens!BT381 &amp; "&amp;offchaindata_platform=" &amp; $B$17 &amp; "&amp;keyfile=" &amp; $B$5 &amp; "&amp;network=" &amp; LOWER($B$8) &amp; "&amp;repository=" &amp; $B$18</f>
        <v>owner=thomas&amp;filename_for_metadata=InCasa_COR22D218&amp;offchaindata_platform=MongoDB&amp;keyfile=Paul&amp;network=jsonfiles&amp;repository=test</v>
      </c>
      <c r="U381" s="1" t="str">
        <f t="shared" si="11"/>
        <v>{"name":"In Casa #218",_x000D_
"symbol":"COR22D218",_x000D_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1" s="1" t="str">
        <f>formatRow(Tokens!C$2:I$2,Tokens!C381:I381)</f>
        <v>"name":"In Casa #218",_x000D_
"symbol":"COR22D218",_x000D_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1" s="1" t="str">
        <f>formatRow(Tokens!J$2:AV$2,Tokens!J381:AV381,2,"attributes")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1" s="1" t="str">
        <f>formatRow(Tokens!AX$2:BC$2,Tokens!AX381:BC381,2,"creators")</f>
        <v>"creators":[{"address":"paul",_x000D_
"share":10},{"address":"sophie",_x000D_
"share":90}]</v>
      </c>
      <c r="Y381" s="1" t="str">
        <f>formatRow(Tokens!BD$2:BI$2,Tokens!BD381:BI381,2,"files")</f>
        <v>"files":[]</v>
      </c>
      <c r="Z381" s="1"/>
      <c r="AA381" s="1"/>
      <c r="AB381" s="1"/>
      <c r="AC381" s="1" t="str">
        <f>formatRow(Tokens!BJ$2:BK$2,Tokens!BJ381:BK381,0,"collection")</f>
        <v>"collection":{"name":"In Casa",_x000D_
"family":"Calvi On The Rocks"}</v>
      </c>
    </row>
    <row r="382" spans="5:29" ht="14.25" customHeight="1" x14ac:dyDescent="0.25">
      <c r="E382" s="17" t="str">
        <f>IF(Tokens!C382="","",Tokens!C382)</f>
        <v>In Casa #219</v>
      </c>
      <c r="F382"/>
      <c r="G382"/>
      <c r="H382"/>
      <c r="I382"/>
      <c r="J382"/>
      <c r="M382"/>
      <c r="N382"/>
      <c r="O382" s="15" t="str">
        <f t="shared" si="10"/>
        <v>_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/>
      </c>
      <c r="Q382" s="2"/>
      <c r="R382" s="2"/>
      <c r="S382" s="11"/>
      <c r="T382" s="1" t="str">
        <f>"owner=" &amp; Tokens!BS382 &amp; "&amp;filename_for_metadata=" &amp; Tokens!BT382 &amp; "&amp;offchaindata_platform=" &amp; $B$17 &amp; "&amp;keyfile=" &amp; $B$5 &amp; "&amp;network=" &amp; LOWER($B$8) &amp; "&amp;repository=" &amp; $B$18</f>
        <v>owner=thomas&amp;filename_for_metadata=InCasa_COR22D219&amp;offchaindata_platform=MongoDB&amp;keyfile=Paul&amp;network=jsonfiles&amp;repository=test</v>
      </c>
      <c r="U382" s="1" t="str">
        <f t="shared" si="11"/>
        <v>{"name":"In Casa #219",_x000D_
"symbol":"COR22D219",_x000D_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2" s="1" t="str">
        <f>formatRow(Tokens!C$2:I$2,Tokens!C382:I382)</f>
        <v>"name":"In Casa #219",_x000D_
"symbol":"COR22D219",_x000D_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2" s="1" t="str">
        <f>formatRow(Tokens!J$2:AV$2,Tokens!J382:AV382,2,"attributes")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2" s="1" t="str">
        <f>formatRow(Tokens!AX$2:BC$2,Tokens!AX382:BC382,2,"creators")</f>
        <v>"creators":[{"address":"paul",_x000D_
"share":10},{"address":"sophie",_x000D_
"share":90}]</v>
      </c>
      <c r="Y382" s="1" t="str">
        <f>formatRow(Tokens!BD$2:BI$2,Tokens!BD382:BI382,2,"files")</f>
        <v>"files":[]</v>
      </c>
      <c r="Z382" s="1"/>
      <c r="AA382" s="1"/>
      <c r="AB382" s="1"/>
      <c r="AC382" s="1" t="str">
        <f>formatRow(Tokens!BJ$2:BK$2,Tokens!BJ382:BK382,0,"collection")</f>
        <v>"collection":{"name":"In Casa",_x000D_
"family":"Calvi On The Rocks"}</v>
      </c>
    </row>
    <row r="383" spans="5:29" ht="14.25" customHeight="1" x14ac:dyDescent="0.25">
      <c r="E383" s="17" t="str">
        <f>IF(Tokens!C383="","",Tokens!C383)</f>
        <v>In Casa #220</v>
      </c>
      <c r="F383"/>
      <c r="G383"/>
      <c r="H383"/>
      <c r="I383"/>
      <c r="J383"/>
      <c r="M383"/>
      <c r="N383"/>
      <c r="O383" s="15" t="str">
        <f t="shared" si="10"/>
        <v>_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/>
      </c>
      <c r="Q383" s="2"/>
      <c r="R383" s="2"/>
      <c r="S383" s="11"/>
      <c r="T383" s="1" t="str">
        <f>"owner=" &amp; Tokens!BS383 &amp; "&amp;filename_for_metadata=" &amp; Tokens!BT383 &amp; "&amp;offchaindata_platform=" &amp; $B$17 &amp; "&amp;keyfile=" &amp; $B$5 &amp; "&amp;network=" &amp; LOWER($B$8) &amp; "&amp;repository=" &amp; $B$18</f>
        <v>owner=thomas&amp;filename_for_metadata=InCasa_COR22D220&amp;offchaindata_platform=MongoDB&amp;keyfile=Paul&amp;network=jsonfiles&amp;repository=test</v>
      </c>
      <c r="U383" s="1" t="str">
        <f t="shared" si="11"/>
        <v>{"name":"In Casa #220",_x000D_
"symbol":"COR22D220",_x000D_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3" s="1" t="str">
        <f>formatRow(Tokens!C$2:I$2,Tokens!C383:I383)</f>
        <v>"name":"In Casa #220",_x000D_
"symbol":"COR22D220",_x000D_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3" s="1" t="str">
        <f>formatRow(Tokens!J$2:AV$2,Tokens!J383:AV383,2,"attributes")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3" s="1" t="str">
        <f>formatRow(Tokens!AX$2:BC$2,Tokens!AX383:BC383,2,"creators")</f>
        <v>"creators":[{"address":"paul",_x000D_
"share":10},{"address":"sophie",_x000D_
"share":90}]</v>
      </c>
      <c r="Y383" s="1" t="str">
        <f>formatRow(Tokens!BD$2:BI$2,Tokens!BD383:BI383,2,"files")</f>
        <v>"files":[]</v>
      </c>
      <c r="Z383" s="1"/>
      <c r="AA383" s="1"/>
      <c r="AB383" s="1"/>
      <c r="AC383" s="1" t="str">
        <f>formatRow(Tokens!BJ$2:BK$2,Tokens!BJ383:BK383,0,"collection")</f>
        <v>"collection":{"name":"In Casa",_x000D_
"family":"Calvi On The Rocks"}</v>
      </c>
    </row>
    <row r="384" spans="5:29" ht="14.25" customHeight="1" x14ac:dyDescent="0.25">
      <c r="E384" s="17" t="str">
        <f>IF(Tokens!C384="","",Tokens!C384)</f>
        <v>In Casa #221</v>
      </c>
      <c r="F384"/>
      <c r="G384"/>
      <c r="H384"/>
      <c r="I384"/>
      <c r="J384"/>
      <c r="M384"/>
      <c r="N384"/>
      <c r="O384" s="15" t="str">
        <f t="shared" si="10"/>
        <v>_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/>
      </c>
      <c r="Q384" s="2"/>
      <c r="R384" s="2"/>
      <c r="S384" s="11"/>
      <c r="T384" s="1" t="str">
        <f>"owner=" &amp; Tokens!BS384 &amp; "&amp;filename_for_metadata=" &amp; Tokens!BT384 &amp; "&amp;offchaindata_platform=" &amp; $B$17 &amp; "&amp;keyfile=" &amp; $B$5 &amp; "&amp;network=" &amp; LOWER($B$8) &amp; "&amp;repository=" &amp; $B$18</f>
        <v>owner=thomas&amp;filename_for_metadata=InCasa_COR22D221&amp;offchaindata_platform=MongoDB&amp;keyfile=Paul&amp;network=jsonfiles&amp;repository=test</v>
      </c>
      <c r="U384" s="1" t="str">
        <f t="shared" si="11"/>
        <v>{"name":"In Casa #221",_x000D_
"symbol":"COR22D221",_x000D_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4" s="1" t="str">
        <f>formatRow(Tokens!C$2:I$2,Tokens!C384:I384)</f>
        <v>"name":"In Casa #221",_x000D_
"symbol":"COR22D221",_x000D_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4" s="1" t="str">
        <f>formatRow(Tokens!J$2:AV$2,Tokens!J384:AV384,2,"attributes")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4" s="1" t="str">
        <f>formatRow(Tokens!AX$2:BC$2,Tokens!AX384:BC384,2,"creators")</f>
        <v>"creators":[{"address":"paul",_x000D_
"share":10},{"address":"sophie",_x000D_
"share":90}]</v>
      </c>
      <c r="Y384" s="1" t="str">
        <f>formatRow(Tokens!BD$2:BI$2,Tokens!BD384:BI384,2,"files")</f>
        <v>"files":[]</v>
      </c>
      <c r="Z384" s="1"/>
      <c r="AA384" s="1"/>
      <c r="AB384" s="1"/>
      <c r="AC384" s="1" t="str">
        <f>formatRow(Tokens!BJ$2:BK$2,Tokens!BJ384:BK384,0,"collection")</f>
        <v>"collection":{"name":"In Casa",_x000D_
"family":"Calvi On The Rocks"}</v>
      </c>
    </row>
    <row r="385" spans="5:29" ht="14.25" customHeight="1" x14ac:dyDescent="0.25">
      <c r="E385" s="17" t="str">
        <f>IF(Tokens!C385="","",Tokens!C385)</f>
        <v>In Casa #222</v>
      </c>
      <c r="F385"/>
      <c r="G385"/>
      <c r="H385"/>
      <c r="I385"/>
      <c r="J385"/>
      <c r="M385"/>
      <c r="N385"/>
      <c r="O385" s="15" t="str">
        <f t="shared" si="10"/>
        <v>_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/>
      </c>
      <c r="Q385" s="2"/>
      <c r="R385" s="2"/>
      <c r="S385" s="11"/>
      <c r="T385" s="1" t="str">
        <f>"owner=" &amp; Tokens!BS385 &amp; "&amp;filename_for_metadata=" &amp; Tokens!BT385 &amp; "&amp;offchaindata_platform=" &amp; $B$17 &amp; "&amp;keyfile=" &amp; $B$5 &amp; "&amp;network=" &amp; LOWER($B$8) &amp; "&amp;repository=" &amp; $B$18</f>
        <v>owner=thomas&amp;filename_for_metadata=InCasa_COR22D222&amp;offchaindata_platform=MongoDB&amp;keyfile=Paul&amp;network=jsonfiles&amp;repository=test</v>
      </c>
      <c r="U385" s="1" t="str">
        <f t="shared" si="11"/>
        <v>{"name":"In Casa #222",_x000D_
"symbol":"COR22D222",_x000D_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5" s="1" t="str">
        <f>formatRow(Tokens!C$2:I$2,Tokens!C385:I385)</f>
        <v>"name":"In Casa #222",_x000D_
"symbol":"COR22D222",_x000D_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5" s="1" t="str">
        <f>formatRow(Tokens!J$2:AV$2,Tokens!J385:AV385,2,"attributes")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5" s="1" t="str">
        <f>formatRow(Tokens!AX$2:BC$2,Tokens!AX385:BC385,2,"creators")</f>
        <v>"creators":[{"address":"paul",_x000D_
"share":10},{"address":"sophie",_x000D_
"share":90}]</v>
      </c>
      <c r="Y385" s="1" t="str">
        <f>formatRow(Tokens!BD$2:BI$2,Tokens!BD385:BI385,2,"files")</f>
        <v>"files":[]</v>
      </c>
      <c r="Z385" s="1"/>
      <c r="AA385" s="1"/>
      <c r="AB385" s="1"/>
      <c r="AC385" s="1" t="str">
        <f>formatRow(Tokens!BJ$2:BK$2,Tokens!BJ385:BK385,0,"collection")</f>
        <v>"collection":{"name":"In Casa",_x000D_
"family":"Calvi On The Rocks"}</v>
      </c>
    </row>
    <row r="386" spans="5:29" ht="14.25" customHeight="1" x14ac:dyDescent="0.25">
      <c r="E386" s="17" t="str">
        <f>IF(Tokens!C386="","",Tokens!C386)</f>
        <v>In Casa #223</v>
      </c>
      <c r="F386"/>
      <c r="G386"/>
      <c r="H386"/>
      <c r="I386"/>
      <c r="J386"/>
      <c r="M386"/>
      <c r="N386"/>
      <c r="O386" s="15" t="str">
        <f t="shared" si="10"/>
        <v>_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/>
      </c>
      <c r="Q386" s="2"/>
      <c r="R386" s="2"/>
      <c r="S386" s="11"/>
      <c r="T386" s="1" t="str">
        <f>"owner=" &amp; Tokens!BS386 &amp; "&amp;filename_for_metadata=" &amp; Tokens!BT386 &amp; "&amp;offchaindata_platform=" &amp; $B$17 &amp; "&amp;keyfile=" &amp; $B$5 &amp; "&amp;network=" &amp; LOWER($B$8) &amp; "&amp;repository=" &amp; $B$18</f>
        <v>owner=thomas&amp;filename_for_metadata=InCasa_COR22D223&amp;offchaindata_platform=MongoDB&amp;keyfile=Paul&amp;network=jsonfiles&amp;repository=test</v>
      </c>
      <c r="U386" s="1" t="str">
        <f t="shared" si="11"/>
        <v>{"name":"In Casa #223",_x000D_
"symbol":"COR22D223",_x000D_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6" s="1" t="str">
        <f>formatRow(Tokens!C$2:I$2,Tokens!C386:I386)</f>
        <v>"name":"In Casa #223",_x000D_
"symbol":"COR22D223",_x000D_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6" s="1" t="str">
        <f>formatRow(Tokens!J$2:AV$2,Tokens!J386:AV386,2,"attributes")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6" s="1" t="str">
        <f>formatRow(Tokens!AX$2:BC$2,Tokens!AX386:BC386,2,"creators")</f>
        <v>"creators":[{"address":"paul",_x000D_
"share":10},{"address":"sophie",_x000D_
"share":90}]</v>
      </c>
      <c r="Y386" s="1" t="str">
        <f>formatRow(Tokens!BD$2:BI$2,Tokens!BD386:BI386,2,"files")</f>
        <v>"files":[]</v>
      </c>
      <c r="Z386" s="1"/>
      <c r="AA386" s="1"/>
      <c r="AB386" s="1"/>
      <c r="AC386" s="1" t="str">
        <f>formatRow(Tokens!BJ$2:BK$2,Tokens!BJ386:BK386,0,"collection")</f>
        <v>"collection":{"name":"In Casa",_x000D_
"family":"Calvi On The Rocks"}</v>
      </c>
    </row>
    <row r="387" spans="5:29" ht="14.25" customHeight="1" x14ac:dyDescent="0.25">
      <c r="E387" s="17" t="str">
        <f>IF(Tokens!C387="","",Tokens!C387)</f>
        <v>In Casa #224</v>
      </c>
      <c r="F387"/>
      <c r="G387"/>
      <c r="H387"/>
      <c r="I387"/>
      <c r="J387"/>
      <c r="M387"/>
      <c r="N387"/>
      <c r="O387" s="15" t="str">
        <f t="shared" si="10"/>
        <v>_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/>
      </c>
      <c r="Q387" s="2"/>
      <c r="R387" s="2"/>
      <c r="S387" s="11"/>
      <c r="T387" s="1" t="str">
        <f>"owner=" &amp; Tokens!BS387 &amp; "&amp;filename_for_metadata=" &amp; Tokens!BT387 &amp; "&amp;offchaindata_platform=" &amp; $B$17 &amp; "&amp;keyfile=" &amp; $B$5 &amp; "&amp;network=" &amp; LOWER($B$8) &amp; "&amp;repository=" &amp; $B$18</f>
        <v>owner=thomas&amp;filename_for_metadata=InCasa_COR22D224&amp;offchaindata_platform=MongoDB&amp;keyfile=Paul&amp;network=jsonfiles&amp;repository=test</v>
      </c>
      <c r="U387" s="1" t="str">
        <f t="shared" si="11"/>
        <v>{"name":"In Casa #224",_x000D_
"symbol":"COR22D224",_x000D_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7" s="1" t="str">
        <f>formatRow(Tokens!C$2:I$2,Tokens!C387:I387)</f>
        <v>"name":"In Casa #224",_x000D_
"symbol":"COR22D224",_x000D_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7" s="1" t="str">
        <f>formatRow(Tokens!J$2:AV$2,Tokens!J387:AV387,2,"attributes")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7" s="1" t="str">
        <f>formatRow(Tokens!AX$2:BC$2,Tokens!AX387:BC387,2,"creators")</f>
        <v>"creators":[{"address":"paul",_x000D_
"share":10},{"address":"sophie",_x000D_
"share":90}]</v>
      </c>
      <c r="Y387" s="1" t="str">
        <f>formatRow(Tokens!BD$2:BI$2,Tokens!BD387:BI387,2,"files")</f>
        <v>"files":[]</v>
      </c>
      <c r="Z387" s="1"/>
      <c r="AA387" s="1"/>
      <c r="AB387" s="1"/>
      <c r="AC387" s="1" t="str">
        <f>formatRow(Tokens!BJ$2:BK$2,Tokens!BJ387:BK387,0,"collection")</f>
        <v>"collection":{"name":"In Casa",_x000D_
"family":"Calvi On The Rocks"}</v>
      </c>
    </row>
    <row r="388" spans="5:29" ht="14.25" customHeight="1" x14ac:dyDescent="0.25">
      <c r="E388" s="17" t="str">
        <f>IF(Tokens!C388="","",Tokens!C388)</f>
        <v>In Casa #225</v>
      </c>
      <c r="F388"/>
      <c r="G388"/>
      <c r="H388"/>
      <c r="I388"/>
      <c r="J388"/>
      <c r="M388"/>
      <c r="N388"/>
      <c r="O388" s="15" t="str">
        <f t="shared" ref="O388:O451" si="12">IF(AND(ISNUMBER(N387),ISNUMBER(N388)),(N388-N387)*$O$1,"_")</f>
        <v>_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/>
      </c>
      <c r="Q388" s="2"/>
      <c r="R388" s="2"/>
      <c r="S388" s="11"/>
      <c r="T388" s="1" t="str">
        <f>"owner=" &amp; Tokens!BS388 &amp; "&amp;filename_for_metadata=" &amp; Tokens!BT388 &amp; "&amp;offchaindata_platform=" &amp; $B$17 &amp; "&amp;keyfile=" &amp; $B$5 &amp; "&amp;network=" &amp; LOWER($B$8) &amp; "&amp;repository=" &amp; $B$18</f>
        <v>owner=thomas&amp;filename_for_metadata=InCasa_COR22D225&amp;offchaindata_platform=MongoDB&amp;keyfile=Paul&amp;network=jsonfiles&amp;repository=test</v>
      </c>
      <c r="U388" s="1" t="str">
        <f t="shared" si="11"/>
        <v>{"name":"In Casa #225",_x000D_
"symbol":"COR22D225",_x000D_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8" s="1" t="str">
        <f>formatRow(Tokens!C$2:I$2,Tokens!C388:I388)</f>
        <v>"name":"In Casa #225",_x000D_
"symbol":"COR22D225",_x000D_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8" s="1" t="str">
        <f>formatRow(Tokens!J$2:AV$2,Tokens!J388:AV388,2,"attributes")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8" s="1" t="str">
        <f>formatRow(Tokens!AX$2:BC$2,Tokens!AX388:BC388,2,"creators")</f>
        <v>"creators":[{"address":"paul",_x000D_
"share":10},{"address":"sophie",_x000D_
"share":90}]</v>
      </c>
      <c r="Y388" s="1" t="str">
        <f>formatRow(Tokens!BD$2:BI$2,Tokens!BD388:BI388,2,"files")</f>
        <v>"files":[]</v>
      </c>
      <c r="Z388" s="1"/>
      <c r="AA388" s="1"/>
      <c r="AB388" s="1"/>
      <c r="AC388" s="1" t="str">
        <f>formatRow(Tokens!BJ$2:BK$2,Tokens!BJ388:BK388,0,"collection")</f>
        <v>"collection":{"name":"In Casa",_x000D_
"family":"Calvi On The Rocks"}</v>
      </c>
    </row>
    <row r="389" spans="5:29" ht="14.25" customHeight="1" x14ac:dyDescent="0.25">
      <c r="E389" s="17" t="str">
        <f>IF(Tokens!C389="","",Tokens!C389)</f>
        <v>In Casa #226</v>
      </c>
      <c r="F389"/>
      <c r="G389"/>
      <c r="H389"/>
      <c r="I389"/>
      <c r="J389"/>
      <c r="M389"/>
      <c r="N389"/>
      <c r="O389" s="15" t="str">
        <f t="shared" si="12"/>
        <v>_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/>
      </c>
      <c r="Q389" s="2"/>
      <c r="R389" s="2"/>
      <c r="S389" s="11"/>
      <c r="T389" s="1" t="str">
        <f>"owner=" &amp; Tokens!BS389 &amp; "&amp;filename_for_metadata=" &amp; Tokens!BT389 &amp; "&amp;offchaindata_platform=" &amp; $B$17 &amp; "&amp;keyfile=" &amp; $B$5 &amp; "&amp;network=" &amp; LOWER($B$8) &amp; "&amp;repository=" &amp; $B$18</f>
        <v>owner=thomas&amp;filename_for_metadata=InCasa_COR22D226&amp;offchaindata_platform=MongoDB&amp;keyfile=Paul&amp;network=jsonfiles&amp;repository=test</v>
      </c>
      <c r="U389" s="1" t="str">
        <f t="shared" ref="U389:U452" si="13">"{" &amp; V389 &amp; "," &amp; W389 &amp; "," &amp; """properties"":{" &amp; X389 &amp; "," &amp; Y389 &amp; "}," &amp; AC389 &amp; "}"</f>
        <v>{"name":"In Casa #226",_x000D_
"symbol":"COR22D226",_x000D_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89" s="1" t="str">
        <f>formatRow(Tokens!C$2:I$2,Tokens!C389:I389)</f>
        <v>"name":"In Casa #226",_x000D_
"symbol":"COR22D226",_x000D_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89" s="1" t="str">
        <f>formatRow(Tokens!J$2:AV$2,Tokens!J389:AV389,2,"attributes")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89" s="1" t="str">
        <f>formatRow(Tokens!AX$2:BC$2,Tokens!AX389:BC389,2,"creators")</f>
        <v>"creators":[{"address":"paul",_x000D_
"share":10},{"address":"sophie",_x000D_
"share":90}]</v>
      </c>
      <c r="Y389" s="1" t="str">
        <f>formatRow(Tokens!BD$2:BI$2,Tokens!BD389:BI389,2,"files")</f>
        <v>"files":[]</v>
      </c>
      <c r="Z389" s="1"/>
      <c r="AA389" s="1"/>
      <c r="AB389" s="1"/>
      <c r="AC389" s="1" t="str">
        <f>formatRow(Tokens!BJ$2:BK$2,Tokens!BJ389:BK389,0,"collection")</f>
        <v>"collection":{"name":"In Casa",_x000D_
"family":"Calvi On The Rocks"}</v>
      </c>
    </row>
    <row r="390" spans="5:29" ht="14.25" customHeight="1" x14ac:dyDescent="0.25">
      <c r="E390" s="17" t="str">
        <f>IF(Tokens!C390="","",Tokens!C390)</f>
        <v>In Casa #227</v>
      </c>
      <c r="F390"/>
      <c r="G390"/>
      <c r="H390"/>
      <c r="I390"/>
      <c r="J390"/>
      <c r="M390"/>
      <c r="N390"/>
      <c r="O390" s="15" t="str">
        <f t="shared" si="12"/>
        <v>_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/>
      </c>
      <c r="Q390" s="2"/>
      <c r="R390" s="2"/>
      <c r="S390" s="11"/>
      <c r="T390" s="1" t="str">
        <f>"owner=" &amp; Tokens!BS390 &amp; "&amp;filename_for_metadata=" &amp; Tokens!BT390 &amp; "&amp;offchaindata_platform=" &amp; $B$17 &amp; "&amp;keyfile=" &amp; $B$5 &amp; "&amp;network=" &amp; LOWER($B$8) &amp; "&amp;repository=" &amp; $B$18</f>
        <v>owner=thomas&amp;filename_for_metadata=InCasa_COR22D227&amp;offchaindata_platform=MongoDB&amp;keyfile=Paul&amp;network=jsonfiles&amp;repository=test</v>
      </c>
      <c r="U390" s="1" t="str">
        <f t="shared" si="13"/>
        <v>{"name":"In Casa #227",_x000D_
"symbol":"COR22D227",_x000D_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0" s="1" t="str">
        <f>formatRow(Tokens!C$2:I$2,Tokens!C390:I390)</f>
        <v>"name":"In Casa #227",_x000D_
"symbol":"COR22D227",_x000D_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0" s="1" t="str">
        <f>formatRow(Tokens!J$2:AV$2,Tokens!J390:AV390,2,"attributes")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0" s="1" t="str">
        <f>formatRow(Tokens!AX$2:BC$2,Tokens!AX390:BC390,2,"creators")</f>
        <v>"creators":[{"address":"paul",_x000D_
"share":10},{"address":"sophie",_x000D_
"share":90}]</v>
      </c>
      <c r="Y390" s="1" t="str">
        <f>formatRow(Tokens!BD$2:BI$2,Tokens!BD390:BI390,2,"files")</f>
        <v>"files":[]</v>
      </c>
      <c r="Z390" s="1"/>
      <c r="AA390" s="1"/>
      <c r="AB390" s="1"/>
      <c r="AC390" s="1" t="str">
        <f>formatRow(Tokens!BJ$2:BK$2,Tokens!BJ390:BK390,0,"collection")</f>
        <v>"collection":{"name":"In Casa",_x000D_
"family":"Calvi On The Rocks"}</v>
      </c>
    </row>
    <row r="391" spans="5:29" ht="14.25" customHeight="1" x14ac:dyDescent="0.25">
      <c r="E391" s="17" t="str">
        <f>IF(Tokens!C391="","",Tokens!C391)</f>
        <v>In Casa #228</v>
      </c>
      <c r="F391"/>
      <c r="G391"/>
      <c r="H391"/>
      <c r="I391"/>
      <c r="J391"/>
      <c r="M391"/>
      <c r="N391"/>
      <c r="O391" s="15" t="str">
        <f t="shared" si="12"/>
        <v>_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/>
      </c>
      <c r="Q391" s="2"/>
      <c r="R391" s="2"/>
      <c r="S391" s="11"/>
      <c r="T391" s="1" t="str">
        <f>"owner=" &amp; Tokens!BS391 &amp; "&amp;filename_for_metadata=" &amp; Tokens!BT391 &amp; "&amp;offchaindata_platform=" &amp; $B$17 &amp; "&amp;keyfile=" &amp; $B$5 &amp; "&amp;network=" &amp; LOWER($B$8) &amp; "&amp;repository=" &amp; $B$18</f>
        <v>owner=thomas&amp;filename_for_metadata=InCasa_COR22D228&amp;offchaindata_platform=MongoDB&amp;keyfile=Paul&amp;network=jsonfiles&amp;repository=test</v>
      </c>
      <c r="U391" s="1" t="str">
        <f t="shared" si="13"/>
        <v>{"name":"In Casa #228",_x000D_
"symbol":"COR22D228",_x000D_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1" s="1" t="str">
        <f>formatRow(Tokens!C$2:I$2,Tokens!C391:I391)</f>
        <v>"name":"In Casa #228",_x000D_
"symbol":"COR22D228",_x000D_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1" s="1" t="str">
        <f>formatRow(Tokens!J$2:AV$2,Tokens!J391:AV391,2,"attributes")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1" s="1" t="str">
        <f>formatRow(Tokens!AX$2:BC$2,Tokens!AX391:BC391,2,"creators")</f>
        <v>"creators":[{"address":"paul",_x000D_
"share":10},{"address":"sophie",_x000D_
"share":90}]</v>
      </c>
      <c r="Y391" s="1" t="str">
        <f>formatRow(Tokens!BD$2:BI$2,Tokens!BD391:BI391,2,"files")</f>
        <v>"files":[]</v>
      </c>
      <c r="Z391" s="1"/>
      <c r="AA391" s="1"/>
      <c r="AB391" s="1"/>
      <c r="AC391" s="1" t="str">
        <f>formatRow(Tokens!BJ$2:BK$2,Tokens!BJ391:BK391,0,"collection")</f>
        <v>"collection":{"name":"In Casa",_x000D_
"family":"Calvi On The Rocks"}</v>
      </c>
    </row>
    <row r="392" spans="5:29" ht="14.25" customHeight="1" x14ac:dyDescent="0.25">
      <c r="E392" s="17" t="str">
        <f>IF(Tokens!C392="","",Tokens!C392)</f>
        <v>In Casa #229</v>
      </c>
      <c r="F392"/>
      <c r="G392"/>
      <c r="H392"/>
      <c r="I392"/>
      <c r="J392"/>
      <c r="M392"/>
      <c r="N392"/>
      <c r="O392" s="15" t="str">
        <f t="shared" si="12"/>
        <v>_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/>
      </c>
      <c r="Q392" s="2"/>
      <c r="R392" s="2"/>
      <c r="S392" s="11"/>
      <c r="T392" s="1" t="str">
        <f>"owner=" &amp; Tokens!BS392 &amp; "&amp;filename_for_metadata=" &amp; Tokens!BT392 &amp; "&amp;offchaindata_platform=" &amp; $B$17 &amp; "&amp;keyfile=" &amp; $B$5 &amp; "&amp;network=" &amp; LOWER($B$8) &amp; "&amp;repository=" &amp; $B$18</f>
        <v>owner=thomas&amp;filename_for_metadata=InCasa_COR22D229&amp;offchaindata_platform=MongoDB&amp;keyfile=Paul&amp;network=jsonfiles&amp;repository=test</v>
      </c>
      <c r="U392" s="1" t="str">
        <f t="shared" si="13"/>
        <v>{"name":"In Casa #229",_x000D_
"symbol":"COR22D229",_x000D_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2" s="1" t="str">
        <f>formatRow(Tokens!C$2:I$2,Tokens!C392:I392)</f>
        <v>"name":"In Casa #229",_x000D_
"symbol":"COR22D229",_x000D_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2" s="1" t="str">
        <f>formatRow(Tokens!J$2:AV$2,Tokens!J392:AV392,2,"attributes")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2" s="1" t="str">
        <f>formatRow(Tokens!AX$2:BC$2,Tokens!AX392:BC392,2,"creators")</f>
        <v>"creators":[{"address":"paul",_x000D_
"share":10},{"address":"sophie",_x000D_
"share":90}]</v>
      </c>
      <c r="Y392" s="1" t="str">
        <f>formatRow(Tokens!BD$2:BI$2,Tokens!BD392:BI392,2,"files")</f>
        <v>"files":[]</v>
      </c>
      <c r="Z392" s="1"/>
      <c r="AA392" s="1"/>
      <c r="AB392" s="1"/>
      <c r="AC392" s="1" t="str">
        <f>formatRow(Tokens!BJ$2:BK$2,Tokens!BJ392:BK392,0,"collection")</f>
        <v>"collection":{"name":"In Casa",_x000D_
"family":"Calvi On The Rocks"}</v>
      </c>
    </row>
    <row r="393" spans="5:29" ht="14.25" customHeight="1" x14ac:dyDescent="0.25">
      <c r="E393" s="17" t="str">
        <f>IF(Tokens!C393="","",Tokens!C393)</f>
        <v>In Casa #230</v>
      </c>
      <c r="F393"/>
      <c r="G393"/>
      <c r="H393"/>
      <c r="I393"/>
      <c r="J393"/>
      <c r="M393"/>
      <c r="N393"/>
      <c r="O393" s="15" t="str">
        <f t="shared" si="12"/>
        <v>_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/>
      </c>
      <c r="Q393" s="2"/>
      <c r="R393" s="2"/>
      <c r="S393" s="11"/>
      <c r="T393" s="1" t="str">
        <f>"owner=" &amp; Tokens!BS393 &amp; "&amp;filename_for_metadata=" &amp; Tokens!BT393 &amp; "&amp;offchaindata_platform=" &amp; $B$17 &amp; "&amp;keyfile=" &amp; $B$5 &amp; "&amp;network=" &amp; LOWER($B$8) &amp; "&amp;repository=" &amp; $B$18</f>
        <v>owner=thomas&amp;filename_for_metadata=InCasa_COR22D230&amp;offchaindata_platform=MongoDB&amp;keyfile=Paul&amp;network=jsonfiles&amp;repository=test</v>
      </c>
      <c r="U393" s="1" t="str">
        <f t="shared" si="13"/>
        <v>{"name":"In Casa #230",_x000D_
"symbol":"COR22D230",_x000D_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3" s="1" t="str">
        <f>formatRow(Tokens!C$2:I$2,Tokens!C393:I393)</f>
        <v>"name":"In Casa #230",_x000D_
"symbol":"COR22D230",_x000D_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3" s="1" t="str">
        <f>formatRow(Tokens!J$2:AV$2,Tokens!J393:AV393,2,"attributes")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3" s="1" t="str">
        <f>formatRow(Tokens!AX$2:BC$2,Tokens!AX393:BC393,2,"creators")</f>
        <v>"creators":[{"address":"paul",_x000D_
"share":10},{"address":"sophie",_x000D_
"share":90}]</v>
      </c>
      <c r="Y393" s="1" t="str">
        <f>formatRow(Tokens!BD$2:BI$2,Tokens!BD393:BI393,2,"files")</f>
        <v>"files":[]</v>
      </c>
      <c r="Z393" s="1"/>
      <c r="AA393" s="1"/>
      <c r="AB393" s="1"/>
      <c r="AC393" s="1" t="str">
        <f>formatRow(Tokens!BJ$2:BK$2,Tokens!BJ393:BK393,0,"collection")</f>
        <v>"collection":{"name":"In Casa",_x000D_
"family":"Calvi On The Rocks"}</v>
      </c>
    </row>
    <row r="394" spans="5:29" ht="14.25" customHeight="1" x14ac:dyDescent="0.25">
      <c r="E394" s="17" t="str">
        <f>IF(Tokens!C394="","",Tokens!C394)</f>
        <v>In Casa #231</v>
      </c>
      <c r="F394"/>
      <c r="G394"/>
      <c r="H394"/>
      <c r="I394"/>
      <c r="J394"/>
      <c r="M394"/>
      <c r="N394"/>
      <c r="O394" s="15" t="str">
        <f t="shared" si="12"/>
        <v>_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/>
      </c>
      <c r="Q394" s="2"/>
      <c r="R394" s="2"/>
      <c r="S394" s="11"/>
      <c r="T394" s="1" t="str">
        <f>"owner=" &amp; Tokens!BS394 &amp; "&amp;filename_for_metadata=" &amp; Tokens!BT394 &amp; "&amp;offchaindata_platform=" &amp; $B$17 &amp; "&amp;keyfile=" &amp; $B$5 &amp; "&amp;network=" &amp; LOWER($B$8) &amp; "&amp;repository=" &amp; $B$18</f>
        <v>owner=thomas&amp;filename_for_metadata=InCasa_COR22D231&amp;offchaindata_platform=MongoDB&amp;keyfile=Paul&amp;network=jsonfiles&amp;repository=test</v>
      </c>
      <c r="U394" s="1" t="str">
        <f t="shared" si="13"/>
        <v>{"name":"In Casa #231",_x000D_
"symbol":"COR22D231",_x000D_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4" s="1" t="str">
        <f>formatRow(Tokens!C$2:I$2,Tokens!C394:I394)</f>
        <v>"name":"In Casa #231",_x000D_
"symbol":"COR22D231",_x000D_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4" s="1" t="str">
        <f>formatRow(Tokens!J$2:AV$2,Tokens!J394:AV394,2,"attributes")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4" s="1" t="str">
        <f>formatRow(Tokens!AX$2:BC$2,Tokens!AX394:BC394,2,"creators")</f>
        <v>"creators":[{"address":"paul",_x000D_
"share":10},{"address":"sophie",_x000D_
"share":90}]</v>
      </c>
      <c r="Y394" s="1" t="str">
        <f>formatRow(Tokens!BD$2:BI$2,Tokens!BD394:BI394,2,"files")</f>
        <v>"files":[]</v>
      </c>
      <c r="Z394" s="1"/>
      <c r="AA394" s="1"/>
      <c r="AB394" s="1"/>
      <c r="AC394" s="1" t="str">
        <f>formatRow(Tokens!BJ$2:BK$2,Tokens!BJ394:BK394,0,"collection")</f>
        <v>"collection":{"name":"In Casa",_x000D_
"family":"Calvi On The Rocks"}</v>
      </c>
    </row>
    <row r="395" spans="5:29" ht="14.25" customHeight="1" x14ac:dyDescent="0.25">
      <c r="E395" s="17" t="str">
        <f>IF(Tokens!C395="","",Tokens!C395)</f>
        <v>In Casa #232</v>
      </c>
      <c r="F395"/>
      <c r="G395"/>
      <c r="H395"/>
      <c r="I395"/>
      <c r="J395"/>
      <c r="M395"/>
      <c r="N395"/>
      <c r="O395" s="15" t="str">
        <f t="shared" si="12"/>
        <v>_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/>
      </c>
      <c r="Q395" s="2"/>
      <c r="R395" s="2"/>
      <c r="S395" s="11"/>
      <c r="T395" s="1" t="str">
        <f>"owner=" &amp; Tokens!BS395 &amp; "&amp;filename_for_metadata=" &amp; Tokens!BT395 &amp; "&amp;offchaindata_platform=" &amp; $B$17 &amp; "&amp;keyfile=" &amp; $B$5 &amp; "&amp;network=" &amp; LOWER($B$8) &amp; "&amp;repository=" &amp; $B$18</f>
        <v>owner=thomas&amp;filename_for_metadata=InCasa_COR22D232&amp;offchaindata_platform=MongoDB&amp;keyfile=Paul&amp;network=jsonfiles&amp;repository=test</v>
      </c>
      <c r="U395" s="1" t="str">
        <f t="shared" si="13"/>
        <v>{"name":"In Casa #232",_x000D_
"symbol":"COR22D232",_x000D_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5" s="1" t="str">
        <f>formatRow(Tokens!C$2:I$2,Tokens!C395:I395)</f>
        <v>"name":"In Casa #232",_x000D_
"symbol":"COR22D232",_x000D_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5" s="1" t="str">
        <f>formatRow(Tokens!J$2:AV$2,Tokens!J395:AV395,2,"attributes")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5" s="1" t="str">
        <f>formatRow(Tokens!AX$2:BC$2,Tokens!AX395:BC395,2,"creators")</f>
        <v>"creators":[{"address":"paul",_x000D_
"share":10},{"address":"sophie",_x000D_
"share":90}]</v>
      </c>
      <c r="Y395" s="1" t="str">
        <f>formatRow(Tokens!BD$2:BI$2,Tokens!BD395:BI395,2,"files")</f>
        <v>"files":[]</v>
      </c>
      <c r="Z395" s="1"/>
      <c r="AA395" s="1"/>
      <c r="AB395" s="1"/>
      <c r="AC395" s="1" t="str">
        <f>formatRow(Tokens!BJ$2:BK$2,Tokens!BJ395:BK395,0,"collection")</f>
        <v>"collection":{"name":"In Casa",_x000D_
"family":"Calvi On The Rocks"}</v>
      </c>
    </row>
    <row r="396" spans="5:29" ht="14.25" customHeight="1" x14ac:dyDescent="0.25">
      <c r="E396" s="17" t="str">
        <f>IF(Tokens!C396="","",Tokens!C396)</f>
        <v>In Casa #233</v>
      </c>
      <c r="F396"/>
      <c r="G396"/>
      <c r="H396"/>
      <c r="I396"/>
      <c r="J396"/>
      <c r="M396"/>
      <c r="N396"/>
      <c r="O396" s="15" t="str">
        <f t="shared" si="12"/>
        <v>_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/>
      </c>
      <c r="Q396" s="2"/>
      <c r="R396" s="2"/>
      <c r="S396" s="11"/>
      <c r="T396" s="1" t="str">
        <f>"owner=" &amp; Tokens!BS396 &amp; "&amp;filename_for_metadata=" &amp; Tokens!BT396 &amp; "&amp;offchaindata_platform=" &amp; $B$17 &amp; "&amp;keyfile=" &amp; $B$5 &amp; "&amp;network=" &amp; LOWER($B$8) &amp; "&amp;repository=" &amp; $B$18</f>
        <v>owner=thomas&amp;filename_for_metadata=InCasa_COR22D233&amp;offchaindata_platform=MongoDB&amp;keyfile=Paul&amp;network=jsonfiles&amp;repository=test</v>
      </c>
      <c r="U396" s="1" t="str">
        <f t="shared" si="13"/>
        <v>{"name":"In Casa #233",_x000D_
"symbol":"COR22D233",_x000D_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6" s="1" t="str">
        <f>formatRow(Tokens!C$2:I$2,Tokens!C396:I396)</f>
        <v>"name":"In Casa #233",_x000D_
"symbol":"COR22D233",_x000D_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6" s="1" t="str">
        <f>formatRow(Tokens!J$2:AV$2,Tokens!J396:AV396,2,"attributes")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6" s="1" t="str">
        <f>formatRow(Tokens!AX$2:BC$2,Tokens!AX396:BC396,2,"creators")</f>
        <v>"creators":[{"address":"paul",_x000D_
"share":10},{"address":"sophie",_x000D_
"share":90}]</v>
      </c>
      <c r="Y396" s="1" t="str">
        <f>formatRow(Tokens!BD$2:BI$2,Tokens!BD396:BI396,2,"files")</f>
        <v>"files":[]</v>
      </c>
      <c r="Z396" s="1"/>
      <c r="AA396" s="1"/>
      <c r="AB396" s="1"/>
      <c r="AC396" s="1" t="str">
        <f>formatRow(Tokens!BJ$2:BK$2,Tokens!BJ396:BK396,0,"collection")</f>
        <v>"collection":{"name":"In Casa",_x000D_
"family":"Calvi On The Rocks"}</v>
      </c>
    </row>
    <row r="397" spans="5:29" ht="14.25" customHeight="1" x14ac:dyDescent="0.25">
      <c r="E397" s="17" t="str">
        <f>IF(Tokens!C397="","",Tokens!C397)</f>
        <v>In Casa #234</v>
      </c>
      <c r="F397"/>
      <c r="G397"/>
      <c r="H397"/>
      <c r="I397"/>
      <c r="J397"/>
      <c r="M397"/>
      <c r="N397"/>
      <c r="O397" s="15" t="str">
        <f t="shared" si="12"/>
        <v>_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/>
      </c>
      <c r="Q397" s="2"/>
      <c r="R397" s="2"/>
      <c r="S397" s="11"/>
      <c r="T397" s="1" t="str">
        <f>"owner=" &amp; Tokens!BS397 &amp; "&amp;filename_for_metadata=" &amp; Tokens!BT397 &amp; "&amp;offchaindata_platform=" &amp; $B$17 &amp; "&amp;keyfile=" &amp; $B$5 &amp; "&amp;network=" &amp; LOWER($B$8) &amp; "&amp;repository=" &amp; $B$18</f>
        <v>owner=thomas&amp;filename_for_metadata=InCasa_COR22D234&amp;offchaindata_platform=MongoDB&amp;keyfile=Paul&amp;network=jsonfiles&amp;repository=test</v>
      </c>
      <c r="U397" s="1" t="str">
        <f t="shared" si="13"/>
        <v>{"name":"In Casa #234",_x000D_
"symbol":"COR22D234",_x000D_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7" s="1" t="str">
        <f>formatRow(Tokens!C$2:I$2,Tokens!C397:I397)</f>
        <v>"name":"In Casa #234",_x000D_
"symbol":"COR22D234",_x000D_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7" s="1" t="str">
        <f>formatRow(Tokens!J$2:AV$2,Tokens!J397:AV397,2,"attributes")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7" s="1" t="str">
        <f>formatRow(Tokens!AX$2:BC$2,Tokens!AX397:BC397,2,"creators")</f>
        <v>"creators":[{"address":"paul",_x000D_
"share":10},{"address":"sophie",_x000D_
"share":90}]</v>
      </c>
      <c r="Y397" s="1" t="str">
        <f>formatRow(Tokens!BD$2:BI$2,Tokens!BD397:BI397,2,"files")</f>
        <v>"files":[]</v>
      </c>
      <c r="Z397" s="1"/>
      <c r="AA397" s="1"/>
      <c r="AB397" s="1"/>
      <c r="AC397" s="1" t="str">
        <f>formatRow(Tokens!BJ$2:BK$2,Tokens!BJ397:BK397,0,"collection")</f>
        <v>"collection":{"name":"In Casa",_x000D_
"family":"Calvi On The Rocks"}</v>
      </c>
    </row>
    <row r="398" spans="5:29" ht="14.25" customHeight="1" x14ac:dyDescent="0.25">
      <c r="E398" s="17" t="str">
        <f>IF(Tokens!C398="","",Tokens!C398)</f>
        <v>In Casa #235</v>
      </c>
      <c r="F398"/>
      <c r="G398"/>
      <c r="H398"/>
      <c r="I398"/>
      <c r="J398"/>
      <c r="M398"/>
      <c r="N398"/>
      <c r="O398" s="15" t="str">
        <f t="shared" si="12"/>
        <v>_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/>
      </c>
      <c r="Q398" s="2"/>
      <c r="R398" s="2"/>
      <c r="S398" s="11"/>
      <c r="T398" s="1" t="str">
        <f>"owner=" &amp; Tokens!BS398 &amp; "&amp;filename_for_metadata=" &amp; Tokens!BT398 &amp; "&amp;offchaindata_platform=" &amp; $B$17 &amp; "&amp;keyfile=" &amp; $B$5 &amp; "&amp;network=" &amp; LOWER($B$8) &amp; "&amp;repository=" &amp; $B$18</f>
        <v>owner=thomas&amp;filename_for_metadata=InCasa_COR22D235&amp;offchaindata_platform=MongoDB&amp;keyfile=Paul&amp;network=jsonfiles&amp;repository=test</v>
      </c>
      <c r="U398" s="1" t="str">
        <f t="shared" si="13"/>
        <v>{"name":"In Casa #235",_x000D_
"symbol":"COR22D235",_x000D_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8" s="1" t="str">
        <f>formatRow(Tokens!C$2:I$2,Tokens!C398:I398)</f>
        <v>"name":"In Casa #235",_x000D_
"symbol":"COR22D235",_x000D_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8" s="1" t="str">
        <f>formatRow(Tokens!J$2:AV$2,Tokens!J398:AV398,2,"attributes")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8" s="1" t="str">
        <f>formatRow(Tokens!AX$2:BC$2,Tokens!AX398:BC398,2,"creators")</f>
        <v>"creators":[{"address":"paul",_x000D_
"share":10},{"address":"sophie",_x000D_
"share":90}]</v>
      </c>
      <c r="Y398" s="1" t="str">
        <f>formatRow(Tokens!BD$2:BI$2,Tokens!BD398:BI398,2,"files")</f>
        <v>"files":[]</v>
      </c>
      <c r="Z398" s="1"/>
      <c r="AA398" s="1"/>
      <c r="AB398" s="1"/>
      <c r="AC398" s="1" t="str">
        <f>formatRow(Tokens!BJ$2:BK$2,Tokens!BJ398:BK398,0,"collection")</f>
        <v>"collection":{"name":"In Casa",_x000D_
"family":"Calvi On The Rocks"}</v>
      </c>
    </row>
    <row r="399" spans="5:29" ht="14.25" customHeight="1" x14ac:dyDescent="0.25">
      <c r="E399" s="17" t="str">
        <f>IF(Tokens!C399="","",Tokens!C399)</f>
        <v>In Casa #236</v>
      </c>
      <c r="F399"/>
      <c r="G399"/>
      <c r="H399"/>
      <c r="I399"/>
      <c r="J399"/>
      <c r="M399"/>
      <c r="N399"/>
      <c r="O399" s="15" t="str">
        <f t="shared" si="12"/>
        <v>_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/>
      </c>
      <c r="Q399" s="2"/>
      <c r="R399" s="2"/>
      <c r="S399" s="11"/>
      <c r="T399" s="1" t="str">
        <f>"owner=" &amp; Tokens!BS399 &amp; "&amp;filename_for_metadata=" &amp; Tokens!BT399 &amp; "&amp;offchaindata_platform=" &amp; $B$17 &amp; "&amp;keyfile=" &amp; $B$5 &amp; "&amp;network=" &amp; LOWER($B$8) &amp; "&amp;repository=" &amp; $B$18</f>
        <v>owner=thomas&amp;filename_for_metadata=InCasa_COR22D236&amp;offchaindata_platform=MongoDB&amp;keyfile=Paul&amp;network=jsonfiles&amp;repository=test</v>
      </c>
      <c r="U399" s="1" t="str">
        <f t="shared" si="13"/>
        <v>{"name":"In Casa #236",_x000D_
"symbol":"COR22D236",_x000D_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399" s="1" t="str">
        <f>formatRow(Tokens!C$2:I$2,Tokens!C399:I399)</f>
        <v>"name":"In Casa #236",_x000D_
"symbol":"COR22D236",_x000D_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399" s="1" t="str">
        <f>formatRow(Tokens!J$2:AV$2,Tokens!J399:AV399,2,"attributes")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399" s="1" t="str">
        <f>formatRow(Tokens!AX$2:BC$2,Tokens!AX399:BC399,2,"creators")</f>
        <v>"creators":[{"address":"paul",_x000D_
"share":10},{"address":"sophie",_x000D_
"share":90}]</v>
      </c>
      <c r="Y399" s="1" t="str">
        <f>formatRow(Tokens!BD$2:BI$2,Tokens!BD399:BI399,2,"files")</f>
        <v>"files":[]</v>
      </c>
      <c r="Z399" s="1"/>
      <c r="AA399" s="1"/>
      <c r="AB399" s="1"/>
      <c r="AC399" s="1" t="str">
        <f>formatRow(Tokens!BJ$2:BK$2,Tokens!BJ399:BK399,0,"collection")</f>
        <v>"collection":{"name":"In Casa",_x000D_
"family":"Calvi On The Rocks"}</v>
      </c>
    </row>
    <row r="400" spans="5:29" ht="14.25" customHeight="1" x14ac:dyDescent="0.25">
      <c r="E400" s="17" t="str">
        <f>IF(Tokens!C400="","",Tokens!C400)</f>
        <v>In Casa #237</v>
      </c>
      <c r="F400"/>
      <c r="G400"/>
      <c r="H400"/>
      <c r="I400"/>
      <c r="J400"/>
      <c r="M400"/>
      <c r="N400"/>
      <c r="O400" s="15" t="str">
        <f t="shared" si="12"/>
        <v>_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/>
      </c>
      <c r="Q400" s="2"/>
      <c r="R400" s="2"/>
      <c r="S400" s="11"/>
      <c r="T400" s="1" t="str">
        <f>"owner=" &amp; Tokens!BS400 &amp; "&amp;filename_for_metadata=" &amp; Tokens!BT400 &amp; "&amp;offchaindata_platform=" &amp; $B$17 &amp; "&amp;keyfile=" &amp; $B$5 &amp; "&amp;network=" &amp; LOWER($B$8) &amp; "&amp;repository=" &amp; $B$18</f>
        <v>owner=thomas&amp;filename_for_metadata=InCasa_COR22D237&amp;offchaindata_platform=MongoDB&amp;keyfile=Paul&amp;network=jsonfiles&amp;repository=test</v>
      </c>
      <c r="U400" s="1" t="str">
        <f t="shared" si="13"/>
        <v>{"name":"In Casa #237",_x000D_
"symbol":"COR22D237",_x000D_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0" s="1" t="str">
        <f>formatRow(Tokens!C$2:I$2,Tokens!C400:I400)</f>
        <v>"name":"In Casa #237",_x000D_
"symbol":"COR22D237",_x000D_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0" s="1" t="str">
        <f>formatRow(Tokens!J$2:AV$2,Tokens!J400:AV400,2,"attributes")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0" s="1" t="str">
        <f>formatRow(Tokens!AX$2:BC$2,Tokens!AX400:BC400,2,"creators")</f>
        <v>"creators":[{"address":"paul",_x000D_
"share":10},{"address":"sophie",_x000D_
"share":90}]</v>
      </c>
      <c r="Y400" s="1" t="str">
        <f>formatRow(Tokens!BD$2:BI$2,Tokens!BD400:BI400,2,"files")</f>
        <v>"files":[]</v>
      </c>
      <c r="Z400" s="1"/>
      <c r="AA400" s="1"/>
      <c r="AB400" s="1"/>
      <c r="AC400" s="1" t="str">
        <f>formatRow(Tokens!BJ$2:BK$2,Tokens!BJ400:BK400,0,"collection")</f>
        <v>"collection":{"name":"In Casa",_x000D_
"family":"Calvi On The Rocks"}</v>
      </c>
    </row>
    <row r="401" spans="5:29" ht="14.25" customHeight="1" x14ac:dyDescent="0.25">
      <c r="E401" s="17" t="str">
        <f>IF(Tokens!C401="","",Tokens!C401)</f>
        <v>In Casa #238</v>
      </c>
      <c r="F401"/>
      <c r="G401"/>
      <c r="H401"/>
      <c r="I401"/>
      <c r="J401"/>
      <c r="M401"/>
      <c r="N401"/>
      <c r="O401" s="15" t="str">
        <f t="shared" si="12"/>
        <v>_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/>
      </c>
      <c r="Q401" s="2"/>
      <c r="R401" s="2"/>
      <c r="S401" s="11"/>
      <c r="T401" s="1" t="str">
        <f>"owner=" &amp; Tokens!BS401 &amp; "&amp;filename_for_metadata=" &amp; Tokens!BT401 &amp; "&amp;offchaindata_platform=" &amp; $B$17 &amp; "&amp;keyfile=" &amp; $B$5 &amp; "&amp;network=" &amp; LOWER($B$8) &amp; "&amp;repository=" &amp; $B$18</f>
        <v>owner=thomas&amp;filename_for_metadata=InCasa_COR22D238&amp;offchaindata_platform=MongoDB&amp;keyfile=Paul&amp;network=jsonfiles&amp;repository=test</v>
      </c>
      <c r="U401" s="1" t="str">
        <f t="shared" si="13"/>
        <v>{"name":"In Casa #238",_x000D_
"symbol":"COR22D238",_x000D_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1" s="1" t="str">
        <f>formatRow(Tokens!C$2:I$2,Tokens!C401:I401)</f>
        <v>"name":"In Casa #238",_x000D_
"symbol":"COR22D238",_x000D_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1" s="1" t="str">
        <f>formatRow(Tokens!J$2:AV$2,Tokens!J401:AV401,2,"attributes")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1" s="1" t="str">
        <f>formatRow(Tokens!AX$2:BC$2,Tokens!AX401:BC401,2,"creators")</f>
        <v>"creators":[{"address":"paul",_x000D_
"share":10},{"address":"sophie",_x000D_
"share":90}]</v>
      </c>
      <c r="Y401" s="1" t="str">
        <f>formatRow(Tokens!BD$2:BI$2,Tokens!BD401:BI401,2,"files")</f>
        <v>"files":[]</v>
      </c>
      <c r="Z401" s="1"/>
      <c r="AA401" s="1"/>
      <c r="AB401" s="1"/>
      <c r="AC401" s="1" t="str">
        <f>formatRow(Tokens!BJ$2:BK$2,Tokens!BJ401:BK401,0,"collection")</f>
        <v>"collection":{"name":"In Casa",_x000D_
"family":"Calvi On The Rocks"}</v>
      </c>
    </row>
    <row r="402" spans="5:29" ht="14.25" customHeight="1" x14ac:dyDescent="0.25">
      <c r="E402" s="17" t="str">
        <f>IF(Tokens!C402="","",Tokens!C402)</f>
        <v>In Casa #239</v>
      </c>
      <c r="F402"/>
      <c r="G402"/>
      <c r="H402"/>
      <c r="I402"/>
      <c r="J402"/>
      <c r="M402"/>
      <c r="N402"/>
      <c r="O402" s="15" t="str">
        <f t="shared" si="12"/>
        <v>_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/>
      </c>
      <c r="Q402" s="2"/>
      <c r="R402" s="2"/>
      <c r="S402" s="11"/>
      <c r="T402" s="1" t="str">
        <f>"owner=" &amp; Tokens!BS402 &amp; "&amp;filename_for_metadata=" &amp; Tokens!BT402 &amp; "&amp;offchaindata_platform=" &amp; $B$17 &amp; "&amp;keyfile=" &amp; $B$5 &amp; "&amp;network=" &amp; LOWER($B$8) &amp; "&amp;repository=" &amp; $B$18</f>
        <v>owner=thomas&amp;filename_for_metadata=InCasa_COR22D239&amp;offchaindata_platform=MongoDB&amp;keyfile=Paul&amp;network=jsonfiles&amp;repository=test</v>
      </c>
      <c r="U402" s="1" t="str">
        <f t="shared" si="13"/>
        <v>{"name":"In Casa #239",_x000D_
"symbol":"COR22D239",_x000D_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2" s="1" t="str">
        <f>formatRow(Tokens!C$2:I$2,Tokens!C402:I402)</f>
        <v>"name":"In Casa #239",_x000D_
"symbol":"COR22D239",_x000D_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2" s="1" t="str">
        <f>formatRow(Tokens!J$2:AV$2,Tokens!J402:AV402,2,"attributes")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2" s="1" t="str">
        <f>formatRow(Tokens!AX$2:BC$2,Tokens!AX402:BC402,2,"creators")</f>
        <v>"creators":[{"address":"paul",_x000D_
"share":10},{"address":"sophie",_x000D_
"share":90}]</v>
      </c>
      <c r="Y402" s="1" t="str">
        <f>formatRow(Tokens!BD$2:BI$2,Tokens!BD402:BI402,2,"files")</f>
        <v>"files":[]</v>
      </c>
      <c r="Z402" s="1"/>
      <c r="AA402" s="1"/>
      <c r="AB402" s="1"/>
      <c r="AC402" s="1" t="str">
        <f>formatRow(Tokens!BJ$2:BK$2,Tokens!BJ402:BK402,0,"collection")</f>
        <v>"collection":{"name":"In Casa",_x000D_
"family":"Calvi On The Rocks"}</v>
      </c>
    </row>
    <row r="403" spans="5:29" ht="14.25" customHeight="1" x14ac:dyDescent="0.25">
      <c r="E403" s="17" t="str">
        <f>IF(Tokens!C403="","",Tokens!C403)</f>
        <v>In Casa #240</v>
      </c>
      <c r="F403"/>
      <c r="G403"/>
      <c r="H403"/>
      <c r="I403"/>
      <c r="J403"/>
      <c r="M403"/>
      <c r="N403"/>
      <c r="O403" s="15" t="str">
        <f t="shared" si="12"/>
        <v>_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/>
      </c>
      <c r="Q403" s="2"/>
      <c r="R403" s="2"/>
      <c r="S403" s="11"/>
      <c r="T403" s="1" t="str">
        <f>"owner=" &amp; Tokens!BS403 &amp; "&amp;filename_for_metadata=" &amp; Tokens!BT403 &amp; "&amp;offchaindata_platform=" &amp; $B$17 &amp; "&amp;keyfile=" &amp; $B$5 &amp; "&amp;network=" &amp; LOWER($B$8) &amp; "&amp;repository=" &amp; $B$18</f>
        <v>owner=thomas&amp;filename_for_metadata=InCasa_COR22D240&amp;offchaindata_platform=MongoDB&amp;keyfile=Paul&amp;network=jsonfiles&amp;repository=test</v>
      </c>
      <c r="U403" s="1" t="str">
        <f t="shared" si="13"/>
        <v>{"name":"In Casa #240",_x000D_
"symbol":"COR22D240",_x000D_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3" s="1" t="str">
        <f>formatRow(Tokens!C$2:I$2,Tokens!C403:I403)</f>
        <v>"name":"In Casa #240",_x000D_
"symbol":"COR22D240",_x000D_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3" s="1" t="str">
        <f>formatRow(Tokens!J$2:AV$2,Tokens!J403:AV403,2,"attributes")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3" s="1" t="str">
        <f>formatRow(Tokens!AX$2:BC$2,Tokens!AX403:BC403,2,"creators")</f>
        <v>"creators":[{"address":"paul",_x000D_
"share":10},{"address":"sophie",_x000D_
"share":90}]</v>
      </c>
      <c r="Y403" s="1" t="str">
        <f>formatRow(Tokens!BD$2:BI$2,Tokens!BD403:BI403,2,"files")</f>
        <v>"files":[]</v>
      </c>
      <c r="Z403" s="1"/>
      <c r="AA403" s="1"/>
      <c r="AB403" s="1"/>
      <c r="AC403" s="1" t="str">
        <f>formatRow(Tokens!BJ$2:BK$2,Tokens!BJ403:BK403,0,"collection")</f>
        <v>"collection":{"name":"In Casa",_x000D_
"family":"Calvi On The Rocks"}</v>
      </c>
    </row>
    <row r="404" spans="5:29" ht="14.25" customHeight="1" x14ac:dyDescent="0.25">
      <c r="E404" s="17" t="str">
        <f>IF(Tokens!C404="","",Tokens!C404)</f>
        <v>In Casa #241</v>
      </c>
      <c r="F404"/>
      <c r="G404"/>
      <c r="H404"/>
      <c r="I404"/>
      <c r="J404"/>
      <c r="M404"/>
      <c r="N404"/>
      <c r="O404" s="15" t="str">
        <f t="shared" si="12"/>
        <v>_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/>
      </c>
      <c r="Q404" s="2"/>
      <c r="R404" s="2"/>
      <c r="S404" s="11"/>
      <c r="T404" s="1" t="str">
        <f>"owner=" &amp; Tokens!BS404 &amp; "&amp;filename_for_metadata=" &amp; Tokens!BT404 &amp; "&amp;offchaindata_platform=" &amp; $B$17 &amp; "&amp;keyfile=" &amp; $B$5 &amp; "&amp;network=" &amp; LOWER($B$8) &amp; "&amp;repository=" &amp; $B$18</f>
        <v>owner=thomas&amp;filename_for_metadata=InCasa_COR22D241&amp;offchaindata_platform=MongoDB&amp;keyfile=Paul&amp;network=jsonfiles&amp;repository=test</v>
      </c>
      <c r="U404" s="1" t="str">
        <f t="shared" si="13"/>
        <v>{"name":"In Casa #241",_x000D_
"symbol":"COR22D241",_x000D_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4" s="1" t="str">
        <f>formatRow(Tokens!C$2:I$2,Tokens!C404:I404)</f>
        <v>"name":"In Casa #241",_x000D_
"symbol":"COR22D241",_x000D_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4" s="1" t="str">
        <f>formatRow(Tokens!J$2:AV$2,Tokens!J404:AV404,2,"attributes")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4" s="1" t="str">
        <f>formatRow(Tokens!AX$2:BC$2,Tokens!AX404:BC404,2,"creators")</f>
        <v>"creators":[{"address":"paul",_x000D_
"share":10},{"address":"sophie",_x000D_
"share":90}]</v>
      </c>
      <c r="Y404" s="1" t="str">
        <f>formatRow(Tokens!BD$2:BI$2,Tokens!BD404:BI404,2,"files")</f>
        <v>"files":[]</v>
      </c>
      <c r="Z404" s="1"/>
      <c r="AA404" s="1"/>
      <c r="AB404" s="1"/>
      <c r="AC404" s="1" t="str">
        <f>formatRow(Tokens!BJ$2:BK$2,Tokens!BJ404:BK404,0,"collection")</f>
        <v>"collection":{"name":"In Casa",_x000D_
"family":"Calvi On The Rocks"}</v>
      </c>
    </row>
    <row r="405" spans="5:29" ht="14.25" customHeight="1" x14ac:dyDescent="0.25">
      <c r="E405" s="17" t="str">
        <f>IF(Tokens!C405="","",Tokens!C405)</f>
        <v>In Casa #242</v>
      </c>
      <c r="F405"/>
      <c r="G405"/>
      <c r="H405"/>
      <c r="I405"/>
      <c r="J405"/>
      <c r="M405"/>
      <c r="N405"/>
      <c r="O405" s="15" t="str">
        <f t="shared" si="12"/>
        <v>_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/>
      </c>
      <c r="Q405" s="2"/>
      <c r="R405" s="2"/>
      <c r="S405" s="11"/>
      <c r="T405" s="1" t="str">
        <f>"owner=" &amp; Tokens!BS405 &amp; "&amp;filename_for_metadata=" &amp; Tokens!BT405 &amp; "&amp;offchaindata_platform=" &amp; $B$17 &amp; "&amp;keyfile=" &amp; $B$5 &amp; "&amp;network=" &amp; LOWER($B$8) &amp; "&amp;repository=" &amp; $B$18</f>
        <v>owner=thomas&amp;filename_for_metadata=InCasa_COR22D242&amp;offchaindata_platform=MongoDB&amp;keyfile=Paul&amp;network=jsonfiles&amp;repository=test</v>
      </c>
      <c r="U405" s="1" t="str">
        <f t="shared" si="13"/>
        <v>{"name":"In Casa #242",_x000D_
"symbol":"COR22D242",_x000D_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5" s="1" t="str">
        <f>formatRow(Tokens!C$2:I$2,Tokens!C405:I405)</f>
        <v>"name":"In Casa #242",_x000D_
"symbol":"COR22D242",_x000D_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5" s="1" t="str">
        <f>formatRow(Tokens!J$2:AV$2,Tokens!J405:AV405,2,"attributes")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5" s="1" t="str">
        <f>formatRow(Tokens!AX$2:BC$2,Tokens!AX405:BC405,2,"creators")</f>
        <v>"creators":[{"address":"paul",_x000D_
"share":10},{"address":"sophie",_x000D_
"share":90}]</v>
      </c>
      <c r="Y405" s="1" t="str">
        <f>formatRow(Tokens!BD$2:BI$2,Tokens!BD405:BI405,2,"files")</f>
        <v>"files":[]</v>
      </c>
      <c r="Z405" s="1"/>
      <c r="AA405" s="1"/>
      <c r="AB405" s="1"/>
      <c r="AC405" s="1" t="str">
        <f>formatRow(Tokens!BJ$2:BK$2,Tokens!BJ405:BK405,0,"collection")</f>
        <v>"collection":{"name":"In Casa",_x000D_
"family":"Calvi On The Rocks"}</v>
      </c>
    </row>
    <row r="406" spans="5:29" ht="14.25" customHeight="1" x14ac:dyDescent="0.25">
      <c r="E406" s="17" t="str">
        <f>IF(Tokens!C406="","",Tokens!C406)</f>
        <v>In Casa #243</v>
      </c>
      <c r="F406"/>
      <c r="G406"/>
      <c r="H406"/>
      <c r="I406"/>
      <c r="J406"/>
      <c r="M406"/>
      <c r="N406"/>
      <c r="O406" s="15" t="str">
        <f t="shared" si="12"/>
        <v>_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/>
      </c>
      <c r="Q406" s="2"/>
      <c r="R406" s="2"/>
      <c r="S406" s="11"/>
      <c r="T406" s="1" t="str">
        <f>"owner=" &amp; Tokens!BS406 &amp; "&amp;filename_for_metadata=" &amp; Tokens!BT406 &amp; "&amp;offchaindata_platform=" &amp; $B$17 &amp; "&amp;keyfile=" &amp; $B$5 &amp; "&amp;network=" &amp; LOWER($B$8) &amp; "&amp;repository=" &amp; $B$18</f>
        <v>owner=thomas&amp;filename_for_metadata=InCasa_COR22D243&amp;offchaindata_platform=MongoDB&amp;keyfile=Paul&amp;network=jsonfiles&amp;repository=test</v>
      </c>
      <c r="U406" s="1" t="str">
        <f t="shared" si="13"/>
        <v>{"name":"In Casa #243",_x000D_
"symbol":"COR22D243",_x000D_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6" s="1" t="str">
        <f>formatRow(Tokens!C$2:I$2,Tokens!C406:I406)</f>
        <v>"name":"In Casa #243",_x000D_
"symbol":"COR22D243",_x000D_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6" s="1" t="str">
        <f>formatRow(Tokens!J$2:AV$2,Tokens!J406:AV406,2,"attributes")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6" s="1" t="str">
        <f>formatRow(Tokens!AX$2:BC$2,Tokens!AX406:BC406,2,"creators")</f>
        <v>"creators":[{"address":"paul",_x000D_
"share":10},{"address":"sophie",_x000D_
"share":90}]</v>
      </c>
      <c r="Y406" s="1" t="str">
        <f>formatRow(Tokens!BD$2:BI$2,Tokens!BD406:BI406,2,"files")</f>
        <v>"files":[]</v>
      </c>
      <c r="Z406" s="1"/>
      <c r="AA406" s="1"/>
      <c r="AB406" s="1"/>
      <c r="AC406" s="1" t="str">
        <f>formatRow(Tokens!BJ$2:BK$2,Tokens!BJ406:BK406,0,"collection")</f>
        <v>"collection":{"name":"In Casa",_x000D_
"family":"Calvi On The Rocks"}</v>
      </c>
    </row>
    <row r="407" spans="5:29" ht="14.25" customHeight="1" x14ac:dyDescent="0.25">
      <c r="E407" s="17" t="str">
        <f>IF(Tokens!C407="","",Tokens!C407)</f>
        <v>In Casa #244</v>
      </c>
      <c r="F407"/>
      <c r="G407"/>
      <c r="H407"/>
      <c r="I407"/>
      <c r="J407"/>
      <c r="M407"/>
      <c r="N407"/>
      <c r="O407" s="15" t="str">
        <f t="shared" si="12"/>
        <v>_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/>
      </c>
      <c r="Q407" s="2"/>
      <c r="R407" s="2"/>
      <c r="S407" s="11"/>
      <c r="T407" s="1" t="str">
        <f>"owner=" &amp; Tokens!BS407 &amp; "&amp;filename_for_metadata=" &amp; Tokens!BT407 &amp; "&amp;offchaindata_platform=" &amp; $B$17 &amp; "&amp;keyfile=" &amp; $B$5 &amp; "&amp;network=" &amp; LOWER($B$8) &amp; "&amp;repository=" &amp; $B$18</f>
        <v>owner=thomas&amp;filename_for_metadata=InCasa_COR22D244&amp;offchaindata_platform=MongoDB&amp;keyfile=Paul&amp;network=jsonfiles&amp;repository=test</v>
      </c>
      <c r="U407" s="1" t="str">
        <f t="shared" si="13"/>
        <v>{"name":"In Casa #244",_x000D_
"symbol":"COR22D244",_x000D_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7" s="1" t="str">
        <f>formatRow(Tokens!C$2:I$2,Tokens!C407:I407)</f>
        <v>"name":"In Casa #244",_x000D_
"symbol":"COR22D244",_x000D_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7" s="1" t="str">
        <f>formatRow(Tokens!J$2:AV$2,Tokens!J407:AV407,2,"attributes")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7" s="1" t="str">
        <f>formatRow(Tokens!AX$2:BC$2,Tokens!AX407:BC407,2,"creators")</f>
        <v>"creators":[{"address":"paul",_x000D_
"share":10},{"address":"sophie",_x000D_
"share":90}]</v>
      </c>
      <c r="Y407" s="1" t="str">
        <f>formatRow(Tokens!BD$2:BI$2,Tokens!BD407:BI407,2,"files")</f>
        <v>"files":[]</v>
      </c>
      <c r="Z407" s="1"/>
      <c r="AA407" s="1"/>
      <c r="AB407" s="1"/>
      <c r="AC407" s="1" t="str">
        <f>formatRow(Tokens!BJ$2:BK$2,Tokens!BJ407:BK407,0,"collection")</f>
        <v>"collection":{"name":"In Casa",_x000D_
"family":"Calvi On The Rocks"}</v>
      </c>
    </row>
    <row r="408" spans="5:29" ht="14.25" customHeight="1" x14ac:dyDescent="0.25">
      <c r="E408" s="17" t="str">
        <f>IF(Tokens!C408="","",Tokens!C408)</f>
        <v>In Casa #245</v>
      </c>
      <c r="F408"/>
      <c r="G408"/>
      <c r="H408"/>
      <c r="I408"/>
      <c r="J408"/>
      <c r="M408"/>
      <c r="N408"/>
      <c r="O408" s="15" t="str">
        <f t="shared" si="12"/>
        <v>_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/>
      </c>
      <c r="Q408" s="2"/>
      <c r="R408" s="2"/>
      <c r="S408" s="11"/>
      <c r="T408" s="1" t="str">
        <f>"owner=" &amp; Tokens!BS408 &amp; "&amp;filename_for_metadata=" &amp; Tokens!BT408 &amp; "&amp;offchaindata_platform=" &amp; $B$17 &amp; "&amp;keyfile=" &amp; $B$5 &amp; "&amp;network=" &amp; LOWER($B$8) &amp; "&amp;repository=" &amp; $B$18</f>
        <v>owner=thomas&amp;filename_for_metadata=InCasa_COR22D245&amp;offchaindata_platform=MongoDB&amp;keyfile=Paul&amp;network=jsonfiles&amp;repository=test</v>
      </c>
      <c r="U408" s="1" t="str">
        <f t="shared" si="13"/>
        <v>{"name":"In Casa #245",_x000D_
"symbol":"COR22D245",_x000D_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8" s="1" t="str">
        <f>formatRow(Tokens!C$2:I$2,Tokens!C408:I408)</f>
        <v>"name":"In Casa #245",_x000D_
"symbol":"COR22D245",_x000D_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8" s="1" t="str">
        <f>formatRow(Tokens!J$2:AV$2,Tokens!J408:AV408,2,"attributes")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8" s="1" t="str">
        <f>formatRow(Tokens!AX$2:BC$2,Tokens!AX408:BC408,2,"creators")</f>
        <v>"creators":[{"address":"paul",_x000D_
"share":10},{"address":"sophie",_x000D_
"share":90}]</v>
      </c>
      <c r="Y408" s="1" t="str">
        <f>formatRow(Tokens!BD$2:BI$2,Tokens!BD408:BI408,2,"files")</f>
        <v>"files":[]</v>
      </c>
      <c r="Z408" s="1"/>
      <c r="AA408" s="1"/>
      <c r="AB408" s="1"/>
      <c r="AC408" s="1" t="str">
        <f>formatRow(Tokens!BJ$2:BK$2,Tokens!BJ408:BK408,0,"collection")</f>
        <v>"collection":{"name":"In Casa",_x000D_
"family":"Calvi On The Rocks"}</v>
      </c>
    </row>
    <row r="409" spans="5:29" ht="14.25" customHeight="1" x14ac:dyDescent="0.25">
      <c r="E409" s="17" t="str">
        <f>IF(Tokens!C409="","",Tokens!C409)</f>
        <v>In Casa #246</v>
      </c>
      <c r="F409"/>
      <c r="G409"/>
      <c r="H409"/>
      <c r="I409"/>
      <c r="J409"/>
      <c r="M409"/>
      <c r="N409"/>
      <c r="O409" s="15" t="str">
        <f t="shared" si="12"/>
        <v>_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/>
      </c>
      <c r="Q409" s="2"/>
      <c r="R409" s="2"/>
      <c r="S409" s="11"/>
      <c r="T409" s="1" t="str">
        <f>"owner=" &amp; Tokens!BS409 &amp; "&amp;filename_for_metadata=" &amp; Tokens!BT409 &amp; "&amp;offchaindata_platform=" &amp; $B$17 &amp; "&amp;keyfile=" &amp; $B$5 &amp; "&amp;network=" &amp; LOWER($B$8) &amp; "&amp;repository=" &amp; $B$18</f>
        <v>owner=thomas&amp;filename_for_metadata=InCasa_COR22D246&amp;offchaindata_platform=MongoDB&amp;keyfile=Paul&amp;network=jsonfiles&amp;repository=test</v>
      </c>
      <c r="U409" s="1" t="str">
        <f t="shared" si="13"/>
        <v>{"name":"In Casa #246",_x000D_
"symbol":"COR22D246",_x000D_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09" s="1" t="str">
        <f>formatRow(Tokens!C$2:I$2,Tokens!C409:I409)</f>
        <v>"name":"In Casa #246",_x000D_
"symbol":"COR22D246",_x000D_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09" s="1" t="str">
        <f>formatRow(Tokens!J$2:AV$2,Tokens!J409:AV409,2,"attributes")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09" s="1" t="str">
        <f>formatRow(Tokens!AX$2:BC$2,Tokens!AX409:BC409,2,"creators")</f>
        <v>"creators":[{"address":"paul",_x000D_
"share":10},{"address":"sophie",_x000D_
"share":90}]</v>
      </c>
      <c r="Y409" s="1" t="str">
        <f>formatRow(Tokens!BD$2:BI$2,Tokens!BD409:BI409,2,"files")</f>
        <v>"files":[]</v>
      </c>
      <c r="Z409" s="1"/>
      <c r="AA409" s="1"/>
      <c r="AB409" s="1"/>
      <c r="AC409" s="1" t="str">
        <f>formatRow(Tokens!BJ$2:BK$2,Tokens!BJ409:BK409,0,"collection")</f>
        <v>"collection":{"name":"In Casa",_x000D_
"family":"Calvi On The Rocks"}</v>
      </c>
    </row>
    <row r="410" spans="5:29" ht="14.25" customHeight="1" x14ac:dyDescent="0.25">
      <c r="E410" s="17" t="str">
        <f>IF(Tokens!C410="","",Tokens!C410)</f>
        <v>In Casa #247</v>
      </c>
      <c r="F410"/>
      <c r="G410"/>
      <c r="H410"/>
      <c r="I410"/>
      <c r="J410"/>
      <c r="M410"/>
      <c r="N410"/>
      <c r="O410" s="15" t="str">
        <f t="shared" si="12"/>
        <v>_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/>
      </c>
      <c r="Q410" s="2"/>
      <c r="R410" s="2"/>
      <c r="S410" s="11"/>
      <c r="T410" s="1" t="str">
        <f>"owner=" &amp; Tokens!BS410 &amp; "&amp;filename_for_metadata=" &amp; Tokens!BT410 &amp; "&amp;offchaindata_platform=" &amp; $B$17 &amp; "&amp;keyfile=" &amp; $B$5 &amp; "&amp;network=" &amp; LOWER($B$8) &amp; "&amp;repository=" &amp; $B$18</f>
        <v>owner=thomas&amp;filename_for_metadata=InCasa_COR22D247&amp;offchaindata_platform=MongoDB&amp;keyfile=Paul&amp;network=jsonfiles&amp;repository=test</v>
      </c>
      <c r="U410" s="1" t="str">
        <f t="shared" si="13"/>
        <v>{"name":"In Casa #247",_x000D_
"symbol":"COR22D247",_x000D_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0" s="1" t="str">
        <f>formatRow(Tokens!C$2:I$2,Tokens!C410:I410)</f>
        <v>"name":"In Casa #247",_x000D_
"symbol":"COR22D247",_x000D_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0" s="1" t="str">
        <f>formatRow(Tokens!J$2:AV$2,Tokens!J410:AV410,2,"attributes")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0" s="1" t="str">
        <f>formatRow(Tokens!AX$2:BC$2,Tokens!AX410:BC410,2,"creators")</f>
        <v>"creators":[{"address":"paul",_x000D_
"share":10},{"address":"sophie",_x000D_
"share":90}]</v>
      </c>
      <c r="Y410" s="1" t="str">
        <f>formatRow(Tokens!BD$2:BI$2,Tokens!BD410:BI410,2,"files")</f>
        <v>"files":[]</v>
      </c>
      <c r="Z410" s="1"/>
      <c r="AA410" s="1"/>
      <c r="AB410" s="1"/>
      <c r="AC410" s="1" t="str">
        <f>formatRow(Tokens!BJ$2:BK$2,Tokens!BJ410:BK410,0,"collection")</f>
        <v>"collection":{"name":"In Casa",_x000D_
"family":"Calvi On The Rocks"}</v>
      </c>
    </row>
    <row r="411" spans="5:29" ht="14.25" customHeight="1" x14ac:dyDescent="0.25">
      <c r="E411" s="17" t="str">
        <f>IF(Tokens!C411="","",Tokens!C411)</f>
        <v>In Casa #248</v>
      </c>
      <c r="F411"/>
      <c r="G411"/>
      <c r="H411"/>
      <c r="I411"/>
      <c r="J411"/>
      <c r="M411"/>
      <c r="N411"/>
      <c r="O411" s="15" t="str">
        <f t="shared" si="12"/>
        <v>_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/>
      </c>
      <c r="Q411" s="2"/>
      <c r="R411" s="2"/>
      <c r="S411" s="11"/>
      <c r="T411" s="1" t="str">
        <f>"owner=" &amp; Tokens!BS411 &amp; "&amp;filename_for_metadata=" &amp; Tokens!BT411 &amp; "&amp;offchaindata_platform=" &amp; $B$17 &amp; "&amp;keyfile=" &amp; $B$5 &amp; "&amp;network=" &amp; LOWER($B$8) &amp; "&amp;repository=" &amp; $B$18</f>
        <v>owner=thomas&amp;filename_for_metadata=InCasa_COR22D248&amp;offchaindata_platform=MongoDB&amp;keyfile=Paul&amp;network=jsonfiles&amp;repository=test</v>
      </c>
      <c r="U411" s="1" t="str">
        <f t="shared" si="13"/>
        <v>{"name":"In Casa #248",_x000D_
"symbol":"COR22D248",_x000D_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1" s="1" t="str">
        <f>formatRow(Tokens!C$2:I$2,Tokens!C411:I411)</f>
        <v>"name":"In Casa #248",_x000D_
"symbol":"COR22D248",_x000D_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1" s="1" t="str">
        <f>formatRow(Tokens!J$2:AV$2,Tokens!J411:AV411,2,"attributes")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1" s="1" t="str">
        <f>formatRow(Tokens!AX$2:BC$2,Tokens!AX411:BC411,2,"creators")</f>
        <v>"creators":[{"address":"paul",_x000D_
"share":10},{"address":"sophie",_x000D_
"share":90}]</v>
      </c>
      <c r="Y411" s="1" t="str">
        <f>formatRow(Tokens!BD$2:BI$2,Tokens!BD411:BI411,2,"files")</f>
        <v>"files":[]</v>
      </c>
      <c r="Z411" s="1"/>
      <c r="AA411" s="1"/>
      <c r="AB411" s="1"/>
      <c r="AC411" s="1" t="str">
        <f>formatRow(Tokens!BJ$2:BK$2,Tokens!BJ411:BK411,0,"collection")</f>
        <v>"collection":{"name":"In Casa",_x000D_
"family":"Calvi On The Rocks"}</v>
      </c>
    </row>
    <row r="412" spans="5:29" ht="14.25" customHeight="1" x14ac:dyDescent="0.25">
      <c r="E412" s="17" t="str">
        <f>IF(Tokens!C412="","",Tokens!C412)</f>
        <v>In Casa #249</v>
      </c>
      <c r="F412"/>
      <c r="G412"/>
      <c r="H412"/>
      <c r="I412"/>
      <c r="J412"/>
      <c r="M412"/>
      <c r="N412"/>
      <c r="O412" s="15" t="str">
        <f t="shared" si="12"/>
        <v>_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/>
      </c>
      <c r="Q412" s="2"/>
      <c r="R412" s="2"/>
      <c r="S412" s="11"/>
      <c r="T412" s="1" t="str">
        <f>"owner=" &amp; Tokens!BS412 &amp; "&amp;filename_for_metadata=" &amp; Tokens!BT412 &amp; "&amp;offchaindata_platform=" &amp; $B$17 &amp; "&amp;keyfile=" &amp; $B$5 &amp; "&amp;network=" &amp; LOWER($B$8) &amp; "&amp;repository=" &amp; $B$18</f>
        <v>owner=thomas&amp;filename_for_metadata=InCasa_COR22D249&amp;offchaindata_platform=MongoDB&amp;keyfile=Paul&amp;network=jsonfiles&amp;repository=test</v>
      </c>
      <c r="U412" s="1" t="str">
        <f t="shared" si="13"/>
        <v>{"name":"In Casa #249",_x000D_
"symbol":"COR22D249",_x000D_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2" s="1" t="str">
        <f>formatRow(Tokens!C$2:I$2,Tokens!C412:I412)</f>
        <v>"name":"In Casa #249",_x000D_
"symbol":"COR22D249",_x000D_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2" s="1" t="str">
        <f>formatRow(Tokens!J$2:AV$2,Tokens!J412:AV412,2,"attributes")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2" s="1" t="str">
        <f>formatRow(Tokens!AX$2:BC$2,Tokens!AX412:BC412,2,"creators")</f>
        <v>"creators":[{"address":"paul",_x000D_
"share":10},{"address":"sophie",_x000D_
"share":90}]</v>
      </c>
      <c r="Y412" s="1" t="str">
        <f>formatRow(Tokens!BD$2:BI$2,Tokens!BD412:BI412,2,"files")</f>
        <v>"files":[]</v>
      </c>
      <c r="Z412" s="1"/>
      <c r="AA412" s="1"/>
      <c r="AB412" s="1"/>
      <c r="AC412" s="1" t="str">
        <f>formatRow(Tokens!BJ$2:BK$2,Tokens!BJ412:BK412,0,"collection")</f>
        <v>"collection":{"name":"In Casa",_x000D_
"family":"Calvi On The Rocks"}</v>
      </c>
    </row>
    <row r="413" spans="5:29" ht="14.25" customHeight="1" x14ac:dyDescent="0.25">
      <c r="E413" s="17" t="str">
        <f>IF(Tokens!C413="","",Tokens!C413)</f>
        <v>In Casa #250</v>
      </c>
      <c r="F413"/>
      <c r="G413"/>
      <c r="H413"/>
      <c r="I413"/>
      <c r="J413"/>
      <c r="M413"/>
      <c r="N413"/>
      <c r="O413" s="15" t="str">
        <f t="shared" si="12"/>
        <v>_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/>
      </c>
      <c r="Q413" s="2"/>
      <c r="R413" s="2"/>
      <c r="S413" s="11"/>
      <c r="T413" s="1" t="str">
        <f>"owner=" &amp; Tokens!BS413 &amp; "&amp;filename_for_metadata=" &amp; Tokens!BT413 &amp; "&amp;offchaindata_platform=" &amp; $B$17 &amp; "&amp;keyfile=" &amp; $B$5 &amp; "&amp;network=" &amp; LOWER($B$8) &amp; "&amp;repository=" &amp; $B$18</f>
        <v>owner=thomas&amp;filename_for_metadata=InCasa_COR22D250&amp;offchaindata_platform=MongoDB&amp;keyfile=Paul&amp;network=jsonfiles&amp;repository=test</v>
      </c>
      <c r="U413" s="1" t="str">
        <f t="shared" si="13"/>
        <v>{"name":"In Casa #250",_x000D_
"symbol":"COR22D250",_x000D_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3" s="1" t="str">
        <f>formatRow(Tokens!C$2:I$2,Tokens!C413:I413)</f>
        <v>"name":"In Casa #250",_x000D_
"symbol":"COR22D250",_x000D_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3" s="1" t="str">
        <f>formatRow(Tokens!J$2:AV$2,Tokens!J413:AV413,2,"attributes")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3" s="1" t="str">
        <f>formatRow(Tokens!AX$2:BC$2,Tokens!AX413:BC413,2,"creators")</f>
        <v>"creators":[{"address":"paul",_x000D_
"share":10},{"address":"sophie",_x000D_
"share":90}]</v>
      </c>
      <c r="Y413" s="1" t="str">
        <f>formatRow(Tokens!BD$2:BI$2,Tokens!BD413:BI413,2,"files")</f>
        <v>"files":[]</v>
      </c>
      <c r="Z413" s="1"/>
      <c r="AA413" s="1"/>
      <c r="AB413" s="1"/>
      <c r="AC413" s="1" t="str">
        <f>formatRow(Tokens!BJ$2:BK$2,Tokens!BJ413:BK413,0,"collection")</f>
        <v>"collection":{"name":"In Casa",_x000D_
"family":"Calvi On The Rocks"}</v>
      </c>
    </row>
    <row r="414" spans="5:29" ht="14.25" customHeight="1" x14ac:dyDescent="0.25">
      <c r="E414" s="17" t="str">
        <f>IF(Tokens!C414="","",Tokens!C414)</f>
        <v>In Casa #251</v>
      </c>
      <c r="F414"/>
      <c r="G414"/>
      <c r="H414"/>
      <c r="I414"/>
      <c r="J414"/>
      <c r="M414"/>
      <c r="N414"/>
      <c r="O414" s="15" t="str">
        <f t="shared" si="12"/>
        <v>_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/>
      </c>
      <c r="Q414" s="2"/>
      <c r="R414" s="2"/>
      <c r="S414" s="11"/>
      <c r="T414" s="1" t="str">
        <f>"owner=" &amp; Tokens!BS414 &amp; "&amp;filename_for_metadata=" &amp; Tokens!BT414 &amp; "&amp;offchaindata_platform=" &amp; $B$17 &amp; "&amp;keyfile=" &amp; $B$5 &amp; "&amp;network=" &amp; LOWER($B$8) &amp; "&amp;repository=" &amp; $B$18</f>
        <v>owner=thomas&amp;filename_for_metadata=InCasa_COR22D251&amp;offchaindata_platform=MongoDB&amp;keyfile=Paul&amp;network=jsonfiles&amp;repository=test</v>
      </c>
      <c r="U414" s="1" t="str">
        <f t="shared" si="13"/>
        <v>{"name":"In Casa #251",_x000D_
"symbol":"COR22D251",_x000D_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4" s="1" t="str">
        <f>formatRow(Tokens!C$2:I$2,Tokens!C414:I414)</f>
        <v>"name":"In Casa #251",_x000D_
"symbol":"COR22D251",_x000D_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4" s="1" t="str">
        <f>formatRow(Tokens!J$2:AV$2,Tokens!J414:AV414,2,"attributes")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4" s="1" t="str">
        <f>formatRow(Tokens!AX$2:BC$2,Tokens!AX414:BC414,2,"creators")</f>
        <v>"creators":[{"address":"paul",_x000D_
"share":10},{"address":"sophie",_x000D_
"share":90}]</v>
      </c>
      <c r="Y414" s="1" t="str">
        <f>formatRow(Tokens!BD$2:BI$2,Tokens!BD414:BI414,2,"files")</f>
        <v>"files":[]</v>
      </c>
      <c r="Z414" s="1"/>
      <c r="AA414" s="1"/>
      <c r="AB414" s="1"/>
      <c r="AC414" s="1" t="str">
        <f>formatRow(Tokens!BJ$2:BK$2,Tokens!BJ414:BK414,0,"collection")</f>
        <v>"collection":{"name":"In Casa",_x000D_
"family":"Calvi On The Rocks"}</v>
      </c>
    </row>
    <row r="415" spans="5:29" ht="14.25" customHeight="1" x14ac:dyDescent="0.25">
      <c r="E415" s="17" t="str">
        <f>IF(Tokens!C415="","",Tokens!C415)</f>
        <v>In Casa #252</v>
      </c>
      <c r="F415"/>
      <c r="G415"/>
      <c r="H415"/>
      <c r="I415"/>
      <c r="J415"/>
      <c r="M415"/>
      <c r="N415"/>
      <c r="O415" s="15" t="str">
        <f t="shared" si="12"/>
        <v>_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/>
      </c>
      <c r="Q415" s="2"/>
      <c r="R415" s="2"/>
      <c r="S415" s="11"/>
      <c r="T415" s="1" t="str">
        <f>"owner=" &amp; Tokens!BS415 &amp; "&amp;filename_for_metadata=" &amp; Tokens!BT415 &amp; "&amp;offchaindata_platform=" &amp; $B$17 &amp; "&amp;keyfile=" &amp; $B$5 &amp; "&amp;network=" &amp; LOWER($B$8) &amp; "&amp;repository=" &amp; $B$18</f>
        <v>owner=thomas&amp;filename_for_metadata=InCasa_COR22D252&amp;offchaindata_platform=MongoDB&amp;keyfile=Paul&amp;network=jsonfiles&amp;repository=test</v>
      </c>
      <c r="U415" s="1" t="str">
        <f t="shared" si="13"/>
        <v>{"name":"In Casa #252",_x000D_
"symbol":"COR22D252",_x000D_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5" s="1" t="str">
        <f>formatRow(Tokens!C$2:I$2,Tokens!C415:I415)</f>
        <v>"name":"In Casa #252",_x000D_
"symbol":"COR22D252",_x000D_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5" s="1" t="str">
        <f>formatRow(Tokens!J$2:AV$2,Tokens!J415:AV415,2,"attributes")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5" s="1" t="str">
        <f>formatRow(Tokens!AX$2:BC$2,Tokens!AX415:BC415,2,"creators")</f>
        <v>"creators":[{"address":"paul",_x000D_
"share":10},{"address":"sophie",_x000D_
"share":90}]</v>
      </c>
      <c r="Y415" s="1" t="str">
        <f>formatRow(Tokens!BD$2:BI$2,Tokens!BD415:BI415,2,"files")</f>
        <v>"files":[]</v>
      </c>
      <c r="Z415" s="1"/>
      <c r="AA415" s="1"/>
      <c r="AB415" s="1"/>
      <c r="AC415" s="1" t="str">
        <f>formatRow(Tokens!BJ$2:BK$2,Tokens!BJ415:BK415,0,"collection")</f>
        <v>"collection":{"name":"In Casa",_x000D_
"family":"Calvi On The Rocks"}</v>
      </c>
    </row>
    <row r="416" spans="5:29" ht="14.25" customHeight="1" x14ac:dyDescent="0.25">
      <c r="E416" s="17" t="str">
        <f>IF(Tokens!C416="","",Tokens!C416)</f>
        <v>In Casa #253</v>
      </c>
      <c r="F416"/>
      <c r="G416"/>
      <c r="H416"/>
      <c r="I416"/>
      <c r="J416"/>
      <c r="M416"/>
      <c r="N416"/>
      <c r="O416" s="15" t="str">
        <f t="shared" si="12"/>
        <v>_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/>
      </c>
      <c r="Q416" s="2"/>
      <c r="R416" s="2"/>
      <c r="S416" s="11"/>
      <c r="T416" s="1" t="str">
        <f>"owner=" &amp; Tokens!BS416 &amp; "&amp;filename_for_metadata=" &amp; Tokens!BT416 &amp; "&amp;offchaindata_platform=" &amp; $B$17 &amp; "&amp;keyfile=" &amp; $B$5 &amp; "&amp;network=" &amp; LOWER($B$8) &amp; "&amp;repository=" &amp; $B$18</f>
        <v>owner=thomas&amp;filename_for_metadata=InCasa_COR22D253&amp;offchaindata_platform=MongoDB&amp;keyfile=Paul&amp;network=jsonfiles&amp;repository=test</v>
      </c>
      <c r="U416" s="1" t="str">
        <f t="shared" si="13"/>
        <v>{"name":"In Casa #253",_x000D_
"symbol":"COR22D253",_x000D_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6" s="1" t="str">
        <f>formatRow(Tokens!C$2:I$2,Tokens!C416:I416)</f>
        <v>"name":"In Casa #253",_x000D_
"symbol":"COR22D253",_x000D_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6" s="1" t="str">
        <f>formatRow(Tokens!J$2:AV$2,Tokens!J416:AV416,2,"attributes")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6" s="1" t="str">
        <f>formatRow(Tokens!AX$2:BC$2,Tokens!AX416:BC416,2,"creators")</f>
        <v>"creators":[{"address":"paul",_x000D_
"share":10},{"address":"sophie",_x000D_
"share":90}]</v>
      </c>
      <c r="Y416" s="1" t="str">
        <f>formatRow(Tokens!BD$2:BI$2,Tokens!BD416:BI416,2,"files")</f>
        <v>"files":[]</v>
      </c>
      <c r="Z416" s="1"/>
      <c r="AA416" s="1"/>
      <c r="AB416" s="1"/>
      <c r="AC416" s="1" t="str">
        <f>formatRow(Tokens!BJ$2:BK$2,Tokens!BJ416:BK416,0,"collection")</f>
        <v>"collection":{"name":"In Casa",_x000D_
"family":"Calvi On The Rocks"}</v>
      </c>
    </row>
    <row r="417" spans="5:29" ht="14.25" customHeight="1" x14ac:dyDescent="0.25">
      <c r="E417" s="17" t="str">
        <f>IF(Tokens!C417="","",Tokens!C417)</f>
        <v>In Casa #254</v>
      </c>
      <c r="F417"/>
      <c r="G417"/>
      <c r="H417"/>
      <c r="I417"/>
      <c r="J417"/>
      <c r="M417"/>
      <c r="N417"/>
      <c r="O417" s="15" t="str">
        <f t="shared" si="12"/>
        <v>_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/>
      </c>
      <c r="Q417" s="2"/>
      <c r="R417" s="2"/>
      <c r="S417" s="11"/>
      <c r="T417" s="1" t="str">
        <f>"owner=" &amp; Tokens!BS417 &amp; "&amp;filename_for_metadata=" &amp; Tokens!BT417 &amp; "&amp;offchaindata_platform=" &amp; $B$17 &amp; "&amp;keyfile=" &amp; $B$5 &amp; "&amp;network=" &amp; LOWER($B$8) &amp; "&amp;repository=" &amp; $B$18</f>
        <v>owner=thomas&amp;filename_for_metadata=InCasa_COR22D254&amp;offchaindata_platform=MongoDB&amp;keyfile=Paul&amp;network=jsonfiles&amp;repository=test</v>
      </c>
      <c r="U417" s="1" t="str">
        <f t="shared" si="13"/>
        <v>{"name":"In Casa #254",_x000D_
"symbol":"COR22D254",_x000D_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7" s="1" t="str">
        <f>formatRow(Tokens!C$2:I$2,Tokens!C417:I417)</f>
        <v>"name":"In Casa #254",_x000D_
"symbol":"COR22D254",_x000D_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7" s="1" t="str">
        <f>formatRow(Tokens!J$2:AV$2,Tokens!J417:AV417,2,"attributes")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7" s="1" t="str">
        <f>formatRow(Tokens!AX$2:BC$2,Tokens!AX417:BC417,2,"creators")</f>
        <v>"creators":[{"address":"paul",_x000D_
"share":10},{"address":"sophie",_x000D_
"share":90}]</v>
      </c>
      <c r="Y417" s="1" t="str">
        <f>formatRow(Tokens!BD$2:BI$2,Tokens!BD417:BI417,2,"files")</f>
        <v>"files":[]</v>
      </c>
      <c r="Z417" s="1"/>
      <c r="AA417" s="1"/>
      <c r="AB417" s="1"/>
      <c r="AC417" s="1" t="str">
        <f>formatRow(Tokens!BJ$2:BK$2,Tokens!BJ417:BK417,0,"collection")</f>
        <v>"collection":{"name":"In Casa",_x000D_
"family":"Calvi On The Rocks"}</v>
      </c>
    </row>
    <row r="418" spans="5:29" ht="14.25" customHeight="1" x14ac:dyDescent="0.25">
      <c r="E418" s="17" t="str">
        <f>IF(Tokens!C418="","",Tokens!C418)</f>
        <v>In Casa #255</v>
      </c>
      <c r="F418"/>
      <c r="G418"/>
      <c r="H418"/>
      <c r="I418"/>
      <c r="J418"/>
      <c r="M418"/>
      <c r="N418"/>
      <c r="O418" s="15" t="str">
        <f t="shared" si="12"/>
        <v>_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/>
      </c>
      <c r="Q418" s="2"/>
      <c r="R418" s="2"/>
      <c r="S418" s="11"/>
      <c r="T418" s="1" t="str">
        <f>"owner=" &amp; Tokens!BS418 &amp; "&amp;filename_for_metadata=" &amp; Tokens!BT418 &amp; "&amp;offchaindata_platform=" &amp; $B$17 &amp; "&amp;keyfile=" &amp; $B$5 &amp; "&amp;network=" &amp; LOWER($B$8) &amp; "&amp;repository=" &amp; $B$18</f>
        <v>owner=thomas&amp;filename_for_metadata=InCasa_COR22D255&amp;offchaindata_platform=MongoDB&amp;keyfile=Paul&amp;network=jsonfiles&amp;repository=test</v>
      </c>
      <c r="U418" s="1" t="str">
        <f t="shared" si="13"/>
        <v>{"name":"In Casa #255",_x000D_
"symbol":"COR22D255",_x000D_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8" s="1" t="str">
        <f>formatRow(Tokens!C$2:I$2,Tokens!C418:I418)</f>
        <v>"name":"In Casa #255",_x000D_
"symbol":"COR22D255",_x000D_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8" s="1" t="str">
        <f>formatRow(Tokens!J$2:AV$2,Tokens!J418:AV418,2,"attributes")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8" s="1" t="str">
        <f>formatRow(Tokens!AX$2:BC$2,Tokens!AX418:BC418,2,"creators")</f>
        <v>"creators":[{"address":"paul",_x000D_
"share":10},{"address":"sophie",_x000D_
"share":90}]</v>
      </c>
      <c r="Y418" s="1" t="str">
        <f>formatRow(Tokens!BD$2:BI$2,Tokens!BD418:BI418,2,"files")</f>
        <v>"files":[]</v>
      </c>
      <c r="Z418" s="1"/>
      <c r="AA418" s="1"/>
      <c r="AB418" s="1"/>
      <c r="AC418" s="1" t="str">
        <f>formatRow(Tokens!BJ$2:BK$2,Tokens!BJ418:BK418,0,"collection")</f>
        <v>"collection":{"name":"In Casa",_x000D_
"family":"Calvi On The Rocks"}</v>
      </c>
    </row>
    <row r="419" spans="5:29" ht="14.25" customHeight="1" x14ac:dyDescent="0.25">
      <c r="E419" s="17" t="str">
        <f>IF(Tokens!C419="","",Tokens!C419)</f>
        <v>In Casa #256</v>
      </c>
      <c r="F419"/>
      <c r="G419"/>
      <c r="H419"/>
      <c r="I419"/>
      <c r="J419"/>
      <c r="M419"/>
      <c r="N419"/>
      <c r="O419" s="15" t="str">
        <f t="shared" si="12"/>
        <v>_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/>
      </c>
      <c r="Q419" s="2"/>
      <c r="R419" s="2"/>
      <c r="S419" s="11"/>
      <c r="T419" s="1" t="str">
        <f>"owner=" &amp; Tokens!BS419 &amp; "&amp;filename_for_metadata=" &amp; Tokens!BT419 &amp; "&amp;offchaindata_platform=" &amp; $B$17 &amp; "&amp;keyfile=" &amp; $B$5 &amp; "&amp;network=" &amp; LOWER($B$8) &amp; "&amp;repository=" &amp; $B$18</f>
        <v>owner=thomas&amp;filename_for_metadata=InCasa_COR22D256&amp;offchaindata_platform=MongoDB&amp;keyfile=Paul&amp;network=jsonfiles&amp;repository=test</v>
      </c>
      <c r="U419" s="1" t="str">
        <f t="shared" si="13"/>
        <v>{"name":"In Casa #256",_x000D_
"symbol":"COR22D256",_x000D_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19" s="1" t="str">
        <f>formatRow(Tokens!C$2:I$2,Tokens!C419:I419)</f>
        <v>"name":"In Casa #256",_x000D_
"symbol":"COR22D256",_x000D_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19" s="1" t="str">
        <f>formatRow(Tokens!J$2:AV$2,Tokens!J419:AV419,2,"attributes")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19" s="1" t="str">
        <f>formatRow(Tokens!AX$2:BC$2,Tokens!AX419:BC419,2,"creators")</f>
        <v>"creators":[{"address":"paul",_x000D_
"share":10},{"address":"sophie",_x000D_
"share":90}]</v>
      </c>
      <c r="Y419" s="1" t="str">
        <f>formatRow(Tokens!BD$2:BI$2,Tokens!BD419:BI419,2,"files")</f>
        <v>"files":[]</v>
      </c>
      <c r="Z419" s="1"/>
      <c r="AA419" s="1"/>
      <c r="AB419" s="1"/>
      <c r="AC419" s="1" t="str">
        <f>formatRow(Tokens!BJ$2:BK$2,Tokens!BJ419:BK419,0,"collection")</f>
        <v>"collection":{"name":"In Casa",_x000D_
"family":"Calvi On The Rocks"}</v>
      </c>
    </row>
    <row r="420" spans="5:29" ht="14.25" customHeight="1" x14ac:dyDescent="0.25">
      <c r="E420" s="17" t="str">
        <f>IF(Tokens!C420="","",Tokens!C420)</f>
        <v>In Casa #257</v>
      </c>
      <c r="F420"/>
      <c r="G420"/>
      <c r="H420"/>
      <c r="I420"/>
      <c r="J420"/>
      <c r="M420"/>
      <c r="N420"/>
      <c r="O420" s="15" t="str">
        <f t="shared" si="12"/>
        <v>_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/>
      </c>
      <c r="Q420" s="2"/>
      <c r="R420" s="2"/>
      <c r="S420" s="11"/>
      <c r="T420" s="1" t="str">
        <f>"owner=" &amp; Tokens!BS420 &amp; "&amp;filename_for_metadata=" &amp; Tokens!BT420 &amp; "&amp;offchaindata_platform=" &amp; $B$17 &amp; "&amp;keyfile=" &amp; $B$5 &amp; "&amp;network=" &amp; LOWER($B$8) &amp; "&amp;repository=" &amp; $B$18</f>
        <v>owner=thomas&amp;filename_for_metadata=InCasa_COR22D257&amp;offchaindata_platform=MongoDB&amp;keyfile=Paul&amp;network=jsonfiles&amp;repository=test</v>
      </c>
      <c r="U420" s="1" t="str">
        <f t="shared" si="13"/>
        <v>{"name":"In Casa #257",_x000D_
"symbol":"COR22D257",_x000D_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0" s="1" t="str">
        <f>formatRow(Tokens!C$2:I$2,Tokens!C420:I420)</f>
        <v>"name":"In Casa #257",_x000D_
"symbol":"COR22D257",_x000D_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0" s="1" t="str">
        <f>formatRow(Tokens!J$2:AV$2,Tokens!J420:AV420,2,"attributes")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0" s="1" t="str">
        <f>formatRow(Tokens!AX$2:BC$2,Tokens!AX420:BC420,2,"creators")</f>
        <v>"creators":[{"address":"paul",_x000D_
"share":10},{"address":"sophie",_x000D_
"share":90}]</v>
      </c>
      <c r="Y420" s="1" t="str">
        <f>formatRow(Tokens!BD$2:BI$2,Tokens!BD420:BI420,2,"files")</f>
        <v>"files":[]</v>
      </c>
      <c r="Z420" s="1"/>
      <c r="AA420" s="1"/>
      <c r="AB420" s="1"/>
      <c r="AC420" s="1" t="str">
        <f>formatRow(Tokens!BJ$2:BK$2,Tokens!BJ420:BK420,0,"collection")</f>
        <v>"collection":{"name":"In Casa",_x000D_
"family":"Calvi On The Rocks"}</v>
      </c>
    </row>
    <row r="421" spans="5:29" ht="14.25" customHeight="1" x14ac:dyDescent="0.25">
      <c r="E421" s="17" t="str">
        <f>IF(Tokens!C421="","",Tokens!C421)</f>
        <v>In Casa #258</v>
      </c>
      <c r="F421"/>
      <c r="G421"/>
      <c r="H421"/>
      <c r="I421"/>
      <c r="J421"/>
      <c r="M421"/>
      <c r="N421"/>
      <c r="O421" s="15" t="str">
        <f t="shared" si="12"/>
        <v>_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/>
      </c>
      <c r="Q421" s="2"/>
      <c r="R421" s="2"/>
      <c r="S421" s="11"/>
      <c r="T421" s="1" t="str">
        <f>"owner=" &amp; Tokens!BS421 &amp; "&amp;filename_for_metadata=" &amp; Tokens!BT421 &amp; "&amp;offchaindata_platform=" &amp; $B$17 &amp; "&amp;keyfile=" &amp; $B$5 &amp; "&amp;network=" &amp; LOWER($B$8) &amp; "&amp;repository=" &amp; $B$18</f>
        <v>owner=thomas&amp;filename_for_metadata=InCasa_COR22D258&amp;offchaindata_platform=MongoDB&amp;keyfile=Paul&amp;network=jsonfiles&amp;repository=test</v>
      </c>
      <c r="U421" s="1" t="str">
        <f t="shared" si="13"/>
        <v>{"name":"In Casa #258",_x000D_
"symbol":"COR22D258",_x000D_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1" s="1" t="str">
        <f>formatRow(Tokens!C$2:I$2,Tokens!C421:I421)</f>
        <v>"name":"In Casa #258",_x000D_
"symbol":"COR22D258",_x000D_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1" s="1" t="str">
        <f>formatRow(Tokens!J$2:AV$2,Tokens!J421:AV421,2,"attributes")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1" s="1" t="str">
        <f>formatRow(Tokens!AX$2:BC$2,Tokens!AX421:BC421,2,"creators")</f>
        <v>"creators":[{"address":"paul",_x000D_
"share":10},{"address":"sophie",_x000D_
"share":90}]</v>
      </c>
      <c r="Y421" s="1" t="str">
        <f>formatRow(Tokens!BD$2:BI$2,Tokens!BD421:BI421,2,"files")</f>
        <v>"files":[]</v>
      </c>
      <c r="Z421" s="1"/>
      <c r="AA421" s="1"/>
      <c r="AB421" s="1"/>
      <c r="AC421" s="1" t="str">
        <f>formatRow(Tokens!BJ$2:BK$2,Tokens!BJ421:BK421,0,"collection")</f>
        <v>"collection":{"name":"In Casa",_x000D_
"family":"Calvi On The Rocks"}</v>
      </c>
    </row>
    <row r="422" spans="5:29" ht="14.25" customHeight="1" x14ac:dyDescent="0.25">
      <c r="E422" s="17" t="str">
        <f>IF(Tokens!C422="","",Tokens!C422)</f>
        <v>In Casa #259</v>
      </c>
      <c r="F422"/>
      <c r="G422"/>
      <c r="H422"/>
      <c r="I422"/>
      <c r="J422"/>
      <c r="M422"/>
      <c r="N422"/>
      <c r="O422" s="15" t="str">
        <f t="shared" si="12"/>
        <v>_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/>
      </c>
      <c r="Q422" s="2"/>
      <c r="R422" s="2"/>
      <c r="S422" s="11"/>
      <c r="T422" s="1" t="str">
        <f>"owner=" &amp; Tokens!BS422 &amp; "&amp;filename_for_metadata=" &amp; Tokens!BT422 &amp; "&amp;offchaindata_platform=" &amp; $B$17 &amp; "&amp;keyfile=" &amp; $B$5 &amp; "&amp;network=" &amp; LOWER($B$8) &amp; "&amp;repository=" &amp; $B$18</f>
        <v>owner=thomas&amp;filename_for_metadata=InCasa_COR22D259&amp;offchaindata_platform=MongoDB&amp;keyfile=Paul&amp;network=jsonfiles&amp;repository=test</v>
      </c>
      <c r="U422" s="1" t="str">
        <f t="shared" si="13"/>
        <v>{"name":"In Casa #259",_x000D_
"symbol":"COR22D259",_x000D_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2" s="1" t="str">
        <f>formatRow(Tokens!C$2:I$2,Tokens!C422:I422)</f>
        <v>"name":"In Casa #259",_x000D_
"symbol":"COR22D259",_x000D_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2" s="1" t="str">
        <f>formatRow(Tokens!J$2:AV$2,Tokens!J422:AV422,2,"attributes")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2" s="1" t="str">
        <f>formatRow(Tokens!AX$2:BC$2,Tokens!AX422:BC422,2,"creators")</f>
        <v>"creators":[{"address":"paul",_x000D_
"share":10},{"address":"sophie",_x000D_
"share":90}]</v>
      </c>
      <c r="Y422" s="1" t="str">
        <f>formatRow(Tokens!BD$2:BI$2,Tokens!BD422:BI422,2,"files")</f>
        <v>"files":[]</v>
      </c>
      <c r="Z422" s="1"/>
      <c r="AA422" s="1"/>
      <c r="AB422" s="1"/>
      <c r="AC422" s="1" t="str">
        <f>formatRow(Tokens!BJ$2:BK$2,Tokens!BJ422:BK422,0,"collection")</f>
        <v>"collection":{"name":"In Casa",_x000D_
"family":"Calvi On The Rocks"}</v>
      </c>
    </row>
    <row r="423" spans="5:29" ht="14.25" customHeight="1" x14ac:dyDescent="0.25">
      <c r="E423" s="17" t="str">
        <f>IF(Tokens!C423="","",Tokens!C423)</f>
        <v>In Casa #260</v>
      </c>
      <c r="F423"/>
      <c r="G423"/>
      <c r="H423"/>
      <c r="I423"/>
      <c r="J423"/>
      <c r="M423"/>
      <c r="N423"/>
      <c r="O423" s="15" t="str">
        <f t="shared" si="12"/>
        <v>_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/>
      </c>
      <c r="Q423" s="2"/>
      <c r="R423" s="2"/>
      <c r="S423" s="11"/>
      <c r="T423" s="1" t="str">
        <f>"owner=" &amp; Tokens!BS423 &amp; "&amp;filename_for_metadata=" &amp; Tokens!BT423 &amp; "&amp;offchaindata_platform=" &amp; $B$17 &amp; "&amp;keyfile=" &amp; $B$5 &amp; "&amp;network=" &amp; LOWER($B$8) &amp; "&amp;repository=" &amp; $B$18</f>
        <v>owner=thomas&amp;filename_for_metadata=InCasa_COR22D260&amp;offchaindata_platform=MongoDB&amp;keyfile=Paul&amp;network=jsonfiles&amp;repository=test</v>
      </c>
      <c r="U423" s="1" t="str">
        <f t="shared" si="13"/>
        <v>{"name":"In Casa #260",_x000D_
"symbol":"COR22D260",_x000D_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3" s="1" t="str">
        <f>formatRow(Tokens!C$2:I$2,Tokens!C423:I423)</f>
        <v>"name":"In Casa #260",_x000D_
"symbol":"COR22D260",_x000D_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3" s="1" t="str">
        <f>formatRow(Tokens!J$2:AV$2,Tokens!J423:AV423,2,"attributes")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3" s="1" t="str">
        <f>formatRow(Tokens!AX$2:BC$2,Tokens!AX423:BC423,2,"creators")</f>
        <v>"creators":[{"address":"paul",_x000D_
"share":10},{"address":"sophie",_x000D_
"share":90}]</v>
      </c>
      <c r="Y423" s="1" t="str">
        <f>formatRow(Tokens!BD$2:BI$2,Tokens!BD423:BI423,2,"files")</f>
        <v>"files":[]</v>
      </c>
      <c r="Z423" s="1"/>
      <c r="AA423" s="1"/>
      <c r="AB423" s="1"/>
      <c r="AC423" s="1" t="str">
        <f>formatRow(Tokens!BJ$2:BK$2,Tokens!BJ423:BK423,0,"collection")</f>
        <v>"collection":{"name":"In Casa",_x000D_
"family":"Calvi On The Rocks"}</v>
      </c>
    </row>
    <row r="424" spans="5:29" ht="14.25" customHeight="1" x14ac:dyDescent="0.25">
      <c r="E424" s="17" t="str">
        <f>IF(Tokens!C424="","",Tokens!C424)</f>
        <v>In Casa #261</v>
      </c>
      <c r="F424"/>
      <c r="G424"/>
      <c r="H424"/>
      <c r="I424"/>
      <c r="J424"/>
      <c r="M424"/>
      <c r="N424"/>
      <c r="O424" s="15" t="str">
        <f t="shared" si="12"/>
        <v>_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/>
      </c>
      <c r="Q424" s="2"/>
      <c r="R424" s="2"/>
      <c r="S424" s="11"/>
      <c r="T424" s="1" t="str">
        <f>"owner=" &amp; Tokens!BS424 &amp; "&amp;filename_for_metadata=" &amp; Tokens!BT424 &amp; "&amp;offchaindata_platform=" &amp; $B$17 &amp; "&amp;keyfile=" &amp; $B$5 &amp; "&amp;network=" &amp; LOWER($B$8) &amp; "&amp;repository=" &amp; $B$18</f>
        <v>owner=thomas&amp;filename_for_metadata=InCasa_COR22D261&amp;offchaindata_platform=MongoDB&amp;keyfile=Paul&amp;network=jsonfiles&amp;repository=test</v>
      </c>
      <c r="U424" s="1" t="str">
        <f t="shared" si="13"/>
        <v>{"name":"In Casa #261",_x000D_
"symbol":"COR22D261",_x000D_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4" s="1" t="str">
        <f>formatRow(Tokens!C$2:I$2,Tokens!C424:I424)</f>
        <v>"name":"In Casa #261",_x000D_
"symbol":"COR22D261",_x000D_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4" s="1" t="str">
        <f>formatRow(Tokens!J$2:AV$2,Tokens!J424:AV424,2,"attributes")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4" s="1" t="str">
        <f>formatRow(Tokens!AX$2:BC$2,Tokens!AX424:BC424,2,"creators")</f>
        <v>"creators":[{"address":"paul",_x000D_
"share":10},{"address":"sophie",_x000D_
"share":90}]</v>
      </c>
      <c r="Y424" s="1" t="str">
        <f>formatRow(Tokens!BD$2:BI$2,Tokens!BD424:BI424,2,"files")</f>
        <v>"files":[]</v>
      </c>
      <c r="Z424" s="1"/>
      <c r="AA424" s="1"/>
      <c r="AB424" s="1"/>
      <c r="AC424" s="1" t="str">
        <f>formatRow(Tokens!BJ$2:BK$2,Tokens!BJ424:BK424,0,"collection")</f>
        <v>"collection":{"name":"In Casa",_x000D_
"family":"Calvi On The Rocks"}</v>
      </c>
    </row>
    <row r="425" spans="5:29" ht="14.25" customHeight="1" x14ac:dyDescent="0.25">
      <c r="E425" s="17" t="str">
        <f>IF(Tokens!C425="","",Tokens!C425)</f>
        <v>In Casa #262</v>
      </c>
      <c r="F425"/>
      <c r="G425"/>
      <c r="H425"/>
      <c r="I425"/>
      <c r="J425"/>
      <c r="M425"/>
      <c r="N425"/>
      <c r="O425" s="15" t="str">
        <f t="shared" si="12"/>
        <v>_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/>
      </c>
      <c r="Q425" s="2"/>
      <c r="R425" s="2"/>
      <c r="S425" s="11"/>
      <c r="T425" s="1" t="str">
        <f>"owner=" &amp; Tokens!BS425 &amp; "&amp;filename_for_metadata=" &amp; Tokens!BT425 &amp; "&amp;offchaindata_platform=" &amp; $B$17 &amp; "&amp;keyfile=" &amp; $B$5 &amp; "&amp;network=" &amp; LOWER($B$8) &amp; "&amp;repository=" &amp; $B$18</f>
        <v>owner=thomas&amp;filename_for_metadata=InCasa_COR22D262&amp;offchaindata_platform=MongoDB&amp;keyfile=Paul&amp;network=jsonfiles&amp;repository=test</v>
      </c>
      <c r="U425" s="1" t="str">
        <f t="shared" si="13"/>
        <v>{"name":"In Casa #262",_x000D_
"symbol":"COR22D262",_x000D_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5" s="1" t="str">
        <f>formatRow(Tokens!C$2:I$2,Tokens!C425:I425)</f>
        <v>"name":"In Casa #262",_x000D_
"symbol":"COR22D262",_x000D_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5" s="1" t="str">
        <f>formatRow(Tokens!J$2:AV$2,Tokens!J425:AV425,2,"attributes")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5" s="1" t="str">
        <f>formatRow(Tokens!AX$2:BC$2,Tokens!AX425:BC425,2,"creators")</f>
        <v>"creators":[{"address":"paul",_x000D_
"share":10},{"address":"sophie",_x000D_
"share":90}]</v>
      </c>
      <c r="Y425" s="1" t="str">
        <f>formatRow(Tokens!BD$2:BI$2,Tokens!BD425:BI425,2,"files")</f>
        <v>"files":[]</v>
      </c>
      <c r="Z425" s="1"/>
      <c r="AA425" s="1"/>
      <c r="AB425" s="1"/>
      <c r="AC425" s="1" t="str">
        <f>formatRow(Tokens!BJ$2:BK$2,Tokens!BJ425:BK425,0,"collection")</f>
        <v>"collection":{"name":"In Casa",_x000D_
"family":"Calvi On The Rocks"}</v>
      </c>
    </row>
    <row r="426" spans="5:29" ht="14.25" customHeight="1" x14ac:dyDescent="0.25">
      <c r="E426" s="17" t="str">
        <f>IF(Tokens!C426="","",Tokens!C426)</f>
        <v>In Casa #263</v>
      </c>
      <c r="F426"/>
      <c r="G426"/>
      <c r="H426"/>
      <c r="I426"/>
      <c r="J426"/>
      <c r="M426"/>
      <c r="N426"/>
      <c r="O426" s="15" t="str">
        <f t="shared" si="12"/>
        <v>_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/>
      </c>
      <c r="Q426" s="2"/>
      <c r="R426" s="2"/>
      <c r="S426" s="11"/>
      <c r="T426" s="1" t="str">
        <f>"owner=" &amp; Tokens!BS426 &amp; "&amp;filename_for_metadata=" &amp; Tokens!BT426 &amp; "&amp;offchaindata_platform=" &amp; $B$17 &amp; "&amp;keyfile=" &amp; $B$5 &amp; "&amp;network=" &amp; LOWER($B$8) &amp; "&amp;repository=" &amp; $B$18</f>
        <v>owner=thomas&amp;filename_for_metadata=InCasa_COR22D263&amp;offchaindata_platform=MongoDB&amp;keyfile=Paul&amp;network=jsonfiles&amp;repository=test</v>
      </c>
      <c r="U426" s="1" t="str">
        <f t="shared" si="13"/>
        <v>{"name":"In Casa #263",_x000D_
"symbol":"COR22D263",_x000D_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6" s="1" t="str">
        <f>formatRow(Tokens!C$2:I$2,Tokens!C426:I426)</f>
        <v>"name":"In Casa #263",_x000D_
"symbol":"COR22D263",_x000D_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6" s="1" t="str">
        <f>formatRow(Tokens!J$2:AV$2,Tokens!J426:AV426,2,"attributes")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6" s="1" t="str">
        <f>formatRow(Tokens!AX$2:BC$2,Tokens!AX426:BC426,2,"creators")</f>
        <v>"creators":[{"address":"paul",_x000D_
"share":10},{"address":"sophie",_x000D_
"share":90}]</v>
      </c>
      <c r="Y426" s="1" t="str">
        <f>formatRow(Tokens!BD$2:BI$2,Tokens!BD426:BI426,2,"files")</f>
        <v>"files":[]</v>
      </c>
      <c r="Z426" s="1"/>
      <c r="AA426" s="1"/>
      <c r="AB426" s="1"/>
      <c r="AC426" s="1" t="str">
        <f>formatRow(Tokens!BJ$2:BK$2,Tokens!BJ426:BK426,0,"collection")</f>
        <v>"collection":{"name":"In Casa",_x000D_
"family":"Calvi On The Rocks"}</v>
      </c>
    </row>
    <row r="427" spans="5:29" ht="14.25" customHeight="1" x14ac:dyDescent="0.25">
      <c r="E427" s="17" t="str">
        <f>IF(Tokens!C427="","",Tokens!C427)</f>
        <v>In Casa #264</v>
      </c>
      <c r="F427"/>
      <c r="G427"/>
      <c r="H427"/>
      <c r="I427"/>
      <c r="J427"/>
      <c r="M427"/>
      <c r="N427"/>
      <c r="O427" s="15" t="str">
        <f t="shared" si="12"/>
        <v>_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/>
      </c>
      <c r="Q427" s="2"/>
      <c r="R427" s="2"/>
      <c r="S427" s="11"/>
      <c r="T427" s="1" t="str">
        <f>"owner=" &amp; Tokens!BS427 &amp; "&amp;filename_for_metadata=" &amp; Tokens!BT427 &amp; "&amp;offchaindata_platform=" &amp; $B$17 &amp; "&amp;keyfile=" &amp; $B$5 &amp; "&amp;network=" &amp; LOWER($B$8) &amp; "&amp;repository=" &amp; $B$18</f>
        <v>owner=thomas&amp;filename_for_metadata=InCasa_COR22D264&amp;offchaindata_platform=MongoDB&amp;keyfile=Paul&amp;network=jsonfiles&amp;repository=test</v>
      </c>
      <c r="U427" s="1" t="str">
        <f t="shared" si="13"/>
        <v>{"name":"In Casa #264",_x000D_
"symbol":"COR22D264",_x000D_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7" s="1" t="str">
        <f>formatRow(Tokens!C$2:I$2,Tokens!C427:I427)</f>
        <v>"name":"In Casa #264",_x000D_
"symbol":"COR22D264",_x000D_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7" s="1" t="str">
        <f>formatRow(Tokens!J$2:AV$2,Tokens!J427:AV427,2,"attributes")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7" s="1" t="str">
        <f>formatRow(Tokens!AX$2:BC$2,Tokens!AX427:BC427,2,"creators")</f>
        <v>"creators":[{"address":"paul",_x000D_
"share":10},{"address":"sophie",_x000D_
"share":90}]</v>
      </c>
      <c r="Y427" s="1" t="str">
        <f>formatRow(Tokens!BD$2:BI$2,Tokens!BD427:BI427,2,"files")</f>
        <v>"files":[]</v>
      </c>
      <c r="Z427" s="1"/>
      <c r="AA427" s="1"/>
      <c r="AB427" s="1"/>
      <c r="AC427" s="1" t="str">
        <f>formatRow(Tokens!BJ$2:BK$2,Tokens!BJ427:BK427,0,"collection")</f>
        <v>"collection":{"name":"In Casa",_x000D_
"family":"Calvi On The Rocks"}</v>
      </c>
    </row>
    <row r="428" spans="5:29" ht="14.25" customHeight="1" x14ac:dyDescent="0.25">
      <c r="E428" s="17" t="str">
        <f>IF(Tokens!C428="","",Tokens!C428)</f>
        <v>In Casa #265</v>
      </c>
      <c r="F428"/>
      <c r="G428"/>
      <c r="H428"/>
      <c r="I428"/>
      <c r="J428"/>
      <c r="M428"/>
      <c r="N428"/>
      <c r="O428" s="15" t="str">
        <f t="shared" si="12"/>
        <v>_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/>
      </c>
      <c r="Q428" s="2"/>
      <c r="R428" s="2"/>
      <c r="S428" s="11"/>
      <c r="T428" s="1" t="str">
        <f>"owner=" &amp; Tokens!BS428 &amp; "&amp;filename_for_metadata=" &amp; Tokens!BT428 &amp; "&amp;offchaindata_platform=" &amp; $B$17 &amp; "&amp;keyfile=" &amp; $B$5 &amp; "&amp;network=" &amp; LOWER($B$8) &amp; "&amp;repository=" &amp; $B$18</f>
        <v>owner=thomas&amp;filename_for_metadata=InCasa_COR22D265&amp;offchaindata_platform=MongoDB&amp;keyfile=Paul&amp;network=jsonfiles&amp;repository=test</v>
      </c>
      <c r="U428" s="1" t="str">
        <f t="shared" si="13"/>
        <v>{"name":"In Casa #265",_x000D_
"symbol":"COR22D265",_x000D_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8" s="1" t="str">
        <f>formatRow(Tokens!C$2:I$2,Tokens!C428:I428)</f>
        <v>"name":"In Casa #265",_x000D_
"symbol":"COR22D265",_x000D_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8" s="1" t="str">
        <f>formatRow(Tokens!J$2:AV$2,Tokens!J428:AV428,2,"attributes")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8" s="1" t="str">
        <f>formatRow(Tokens!AX$2:BC$2,Tokens!AX428:BC428,2,"creators")</f>
        <v>"creators":[{"address":"paul",_x000D_
"share":10},{"address":"sophie",_x000D_
"share":90}]</v>
      </c>
      <c r="Y428" s="1" t="str">
        <f>formatRow(Tokens!BD$2:BI$2,Tokens!BD428:BI428,2,"files")</f>
        <v>"files":[]</v>
      </c>
      <c r="Z428" s="1"/>
      <c r="AA428" s="1"/>
      <c r="AB428" s="1"/>
      <c r="AC428" s="1" t="str">
        <f>formatRow(Tokens!BJ$2:BK$2,Tokens!BJ428:BK428,0,"collection")</f>
        <v>"collection":{"name":"In Casa",_x000D_
"family":"Calvi On The Rocks"}</v>
      </c>
    </row>
    <row r="429" spans="5:29" ht="14.25" customHeight="1" x14ac:dyDescent="0.25">
      <c r="E429" s="17" t="str">
        <f>IF(Tokens!C429="","",Tokens!C429)</f>
        <v>In Casa #266</v>
      </c>
      <c r="F429"/>
      <c r="G429"/>
      <c r="H429"/>
      <c r="I429"/>
      <c r="J429"/>
      <c r="M429"/>
      <c r="N429"/>
      <c r="O429" s="15" t="str">
        <f t="shared" si="12"/>
        <v>_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/>
      </c>
      <c r="Q429" s="2"/>
      <c r="R429" s="2"/>
      <c r="S429" s="11"/>
      <c r="T429" s="1" t="str">
        <f>"owner=" &amp; Tokens!BS429 &amp; "&amp;filename_for_metadata=" &amp; Tokens!BT429 &amp; "&amp;offchaindata_platform=" &amp; $B$17 &amp; "&amp;keyfile=" &amp; $B$5 &amp; "&amp;network=" &amp; LOWER($B$8) &amp; "&amp;repository=" &amp; $B$18</f>
        <v>owner=thomas&amp;filename_for_metadata=InCasa_COR22D266&amp;offchaindata_platform=MongoDB&amp;keyfile=Paul&amp;network=jsonfiles&amp;repository=test</v>
      </c>
      <c r="U429" s="1" t="str">
        <f t="shared" si="13"/>
        <v>{"name":"In Casa #266",_x000D_
"symbol":"COR22D266",_x000D_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29" s="1" t="str">
        <f>formatRow(Tokens!C$2:I$2,Tokens!C429:I429)</f>
        <v>"name":"In Casa #266",_x000D_
"symbol":"COR22D266",_x000D_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29" s="1" t="str">
        <f>formatRow(Tokens!J$2:AV$2,Tokens!J429:AV429,2,"attributes")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29" s="1" t="str">
        <f>formatRow(Tokens!AX$2:BC$2,Tokens!AX429:BC429,2,"creators")</f>
        <v>"creators":[{"address":"paul",_x000D_
"share":10},{"address":"sophie",_x000D_
"share":90}]</v>
      </c>
      <c r="Y429" s="1" t="str">
        <f>formatRow(Tokens!BD$2:BI$2,Tokens!BD429:BI429,2,"files")</f>
        <v>"files":[]</v>
      </c>
      <c r="Z429" s="1"/>
      <c r="AA429" s="1"/>
      <c r="AB429" s="1"/>
      <c r="AC429" s="1" t="str">
        <f>formatRow(Tokens!BJ$2:BK$2,Tokens!BJ429:BK429,0,"collection")</f>
        <v>"collection":{"name":"In Casa",_x000D_
"family":"Calvi On The Rocks"}</v>
      </c>
    </row>
    <row r="430" spans="5:29" ht="14.25" customHeight="1" x14ac:dyDescent="0.25">
      <c r="E430" s="17" t="str">
        <f>IF(Tokens!C430="","",Tokens!C430)</f>
        <v>In Casa #267</v>
      </c>
      <c r="F430"/>
      <c r="G430"/>
      <c r="H430"/>
      <c r="I430"/>
      <c r="J430"/>
      <c r="M430"/>
      <c r="N430"/>
      <c r="O430" s="15" t="str">
        <f t="shared" si="12"/>
        <v>_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/>
      </c>
      <c r="Q430" s="2"/>
      <c r="R430" s="2"/>
      <c r="S430" s="11"/>
      <c r="T430" s="1" t="str">
        <f>"owner=" &amp; Tokens!BS430 &amp; "&amp;filename_for_metadata=" &amp; Tokens!BT430 &amp; "&amp;offchaindata_platform=" &amp; $B$17 &amp; "&amp;keyfile=" &amp; $B$5 &amp; "&amp;network=" &amp; LOWER($B$8) &amp; "&amp;repository=" &amp; $B$18</f>
        <v>owner=thomas&amp;filename_for_metadata=InCasa_COR22D267&amp;offchaindata_platform=MongoDB&amp;keyfile=Paul&amp;network=jsonfiles&amp;repository=test</v>
      </c>
      <c r="U430" s="1" t="str">
        <f t="shared" si="13"/>
        <v>{"name":"In Casa #267",_x000D_
"symbol":"COR22D267",_x000D_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0" s="1" t="str">
        <f>formatRow(Tokens!C$2:I$2,Tokens!C430:I430)</f>
        <v>"name":"In Casa #267",_x000D_
"symbol":"COR22D267",_x000D_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0" s="1" t="str">
        <f>formatRow(Tokens!J$2:AV$2,Tokens!J430:AV430,2,"attributes")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0" s="1" t="str">
        <f>formatRow(Tokens!AX$2:BC$2,Tokens!AX430:BC430,2,"creators")</f>
        <v>"creators":[{"address":"paul",_x000D_
"share":10},{"address":"sophie",_x000D_
"share":90}]</v>
      </c>
      <c r="Y430" s="1" t="str">
        <f>formatRow(Tokens!BD$2:BI$2,Tokens!BD430:BI430,2,"files")</f>
        <v>"files":[]</v>
      </c>
      <c r="Z430" s="1"/>
      <c r="AA430" s="1"/>
      <c r="AB430" s="1"/>
      <c r="AC430" s="1" t="str">
        <f>formatRow(Tokens!BJ$2:BK$2,Tokens!BJ430:BK430,0,"collection")</f>
        <v>"collection":{"name":"In Casa",_x000D_
"family":"Calvi On The Rocks"}</v>
      </c>
    </row>
    <row r="431" spans="5:29" ht="14.25" customHeight="1" x14ac:dyDescent="0.25">
      <c r="E431" s="17" t="str">
        <f>IF(Tokens!C431="","",Tokens!C431)</f>
        <v>In Casa #268</v>
      </c>
      <c r="F431"/>
      <c r="G431"/>
      <c r="H431"/>
      <c r="I431"/>
      <c r="J431"/>
      <c r="M431"/>
      <c r="N431"/>
      <c r="O431" s="15" t="str">
        <f t="shared" si="12"/>
        <v>_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/>
      </c>
      <c r="Q431" s="2"/>
      <c r="R431" s="2"/>
      <c r="S431" s="11"/>
      <c r="T431" s="1" t="str">
        <f>"owner=" &amp; Tokens!BS431 &amp; "&amp;filename_for_metadata=" &amp; Tokens!BT431 &amp; "&amp;offchaindata_platform=" &amp; $B$17 &amp; "&amp;keyfile=" &amp; $B$5 &amp; "&amp;network=" &amp; LOWER($B$8) &amp; "&amp;repository=" &amp; $B$18</f>
        <v>owner=thomas&amp;filename_for_metadata=InCasa_COR22D268&amp;offchaindata_platform=MongoDB&amp;keyfile=Paul&amp;network=jsonfiles&amp;repository=test</v>
      </c>
      <c r="U431" s="1" t="str">
        <f t="shared" si="13"/>
        <v>{"name":"In Casa #268",_x000D_
"symbol":"COR22D268",_x000D_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1" s="1" t="str">
        <f>formatRow(Tokens!C$2:I$2,Tokens!C431:I431)</f>
        <v>"name":"In Casa #268",_x000D_
"symbol":"COR22D268",_x000D_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1" s="1" t="str">
        <f>formatRow(Tokens!J$2:AV$2,Tokens!J431:AV431,2,"attributes")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1" s="1" t="str">
        <f>formatRow(Tokens!AX$2:BC$2,Tokens!AX431:BC431,2,"creators")</f>
        <v>"creators":[{"address":"paul",_x000D_
"share":10},{"address":"sophie",_x000D_
"share":90}]</v>
      </c>
      <c r="Y431" s="1" t="str">
        <f>formatRow(Tokens!BD$2:BI$2,Tokens!BD431:BI431,2,"files")</f>
        <v>"files":[]</v>
      </c>
      <c r="Z431" s="1"/>
      <c r="AA431" s="1"/>
      <c r="AB431" s="1"/>
      <c r="AC431" s="1" t="str">
        <f>formatRow(Tokens!BJ$2:BK$2,Tokens!BJ431:BK431,0,"collection")</f>
        <v>"collection":{"name":"In Casa",_x000D_
"family":"Calvi On The Rocks"}</v>
      </c>
    </row>
    <row r="432" spans="5:29" ht="14.25" customHeight="1" x14ac:dyDescent="0.25">
      <c r="E432" s="17" t="str">
        <f>IF(Tokens!C432="","",Tokens!C432)</f>
        <v>In Casa #269</v>
      </c>
      <c r="F432"/>
      <c r="G432"/>
      <c r="H432"/>
      <c r="I432"/>
      <c r="J432"/>
      <c r="M432"/>
      <c r="N432"/>
      <c r="O432" s="15" t="str">
        <f t="shared" si="12"/>
        <v>_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/>
      </c>
      <c r="Q432" s="2"/>
      <c r="R432" s="2"/>
      <c r="S432" s="11"/>
      <c r="T432" s="1" t="str">
        <f>"owner=" &amp; Tokens!BS432 &amp; "&amp;filename_for_metadata=" &amp; Tokens!BT432 &amp; "&amp;offchaindata_platform=" &amp; $B$17 &amp; "&amp;keyfile=" &amp; $B$5 &amp; "&amp;network=" &amp; LOWER($B$8) &amp; "&amp;repository=" &amp; $B$18</f>
        <v>owner=thomas&amp;filename_for_metadata=InCasa_COR22D269&amp;offchaindata_platform=MongoDB&amp;keyfile=Paul&amp;network=jsonfiles&amp;repository=test</v>
      </c>
      <c r="U432" s="1" t="str">
        <f t="shared" si="13"/>
        <v>{"name":"In Casa #269",_x000D_
"symbol":"COR22D269",_x000D_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2" s="1" t="str">
        <f>formatRow(Tokens!C$2:I$2,Tokens!C432:I432)</f>
        <v>"name":"In Casa #269",_x000D_
"symbol":"COR22D269",_x000D_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2" s="1" t="str">
        <f>formatRow(Tokens!J$2:AV$2,Tokens!J432:AV432,2,"attributes")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2" s="1" t="str">
        <f>formatRow(Tokens!AX$2:BC$2,Tokens!AX432:BC432,2,"creators")</f>
        <v>"creators":[{"address":"paul",_x000D_
"share":10},{"address":"sophie",_x000D_
"share":90}]</v>
      </c>
      <c r="Y432" s="1" t="str">
        <f>formatRow(Tokens!BD$2:BI$2,Tokens!BD432:BI432,2,"files")</f>
        <v>"files":[]</v>
      </c>
      <c r="Z432" s="1"/>
      <c r="AA432" s="1"/>
      <c r="AB432" s="1"/>
      <c r="AC432" s="1" t="str">
        <f>formatRow(Tokens!BJ$2:BK$2,Tokens!BJ432:BK432,0,"collection")</f>
        <v>"collection":{"name":"In Casa",_x000D_
"family":"Calvi On The Rocks"}</v>
      </c>
    </row>
    <row r="433" spans="5:29" ht="14.25" customHeight="1" x14ac:dyDescent="0.25">
      <c r="E433" s="17" t="str">
        <f>IF(Tokens!C433="","",Tokens!C433)</f>
        <v>In Casa #270</v>
      </c>
      <c r="F433"/>
      <c r="G433"/>
      <c r="H433"/>
      <c r="I433"/>
      <c r="J433"/>
      <c r="M433"/>
      <c r="N433"/>
      <c r="O433" s="15" t="str">
        <f t="shared" si="12"/>
        <v>_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/>
      </c>
      <c r="Q433" s="2"/>
      <c r="R433" s="2"/>
      <c r="S433" s="11"/>
      <c r="T433" s="1" t="str">
        <f>"owner=" &amp; Tokens!BS433 &amp; "&amp;filename_for_metadata=" &amp; Tokens!BT433 &amp; "&amp;offchaindata_platform=" &amp; $B$17 &amp; "&amp;keyfile=" &amp; $B$5 &amp; "&amp;network=" &amp; LOWER($B$8) &amp; "&amp;repository=" &amp; $B$18</f>
        <v>owner=thomas&amp;filename_for_metadata=InCasa_COR22D270&amp;offchaindata_platform=MongoDB&amp;keyfile=Paul&amp;network=jsonfiles&amp;repository=test</v>
      </c>
      <c r="U433" s="1" t="str">
        <f t="shared" si="13"/>
        <v>{"name":"In Casa #270",_x000D_
"symbol":"COR22D270",_x000D_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3" s="1" t="str">
        <f>formatRow(Tokens!C$2:I$2,Tokens!C433:I433)</f>
        <v>"name":"In Casa #270",_x000D_
"symbol":"COR22D270",_x000D_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3" s="1" t="str">
        <f>formatRow(Tokens!J$2:AV$2,Tokens!J433:AV433,2,"attributes")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3" s="1" t="str">
        <f>formatRow(Tokens!AX$2:BC$2,Tokens!AX433:BC433,2,"creators")</f>
        <v>"creators":[{"address":"paul",_x000D_
"share":10},{"address":"sophie",_x000D_
"share":90}]</v>
      </c>
      <c r="Y433" s="1" t="str">
        <f>formatRow(Tokens!BD$2:BI$2,Tokens!BD433:BI433,2,"files")</f>
        <v>"files":[]</v>
      </c>
      <c r="Z433" s="1"/>
      <c r="AA433" s="1"/>
      <c r="AB433" s="1"/>
      <c r="AC433" s="1" t="str">
        <f>formatRow(Tokens!BJ$2:BK$2,Tokens!BJ433:BK433,0,"collection")</f>
        <v>"collection":{"name":"In Casa",_x000D_
"family":"Calvi On The Rocks"}</v>
      </c>
    </row>
    <row r="434" spans="5:29" ht="14.25" customHeight="1" x14ac:dyDescent="0.25">
      <c r="E434" s="17" t="str">
        <f>IF(Tokens!C434="","",Tokens!C434)</f>
        <v>In Casa #271</v>
      </c>
      <c r="F434"/>
      <c r="G434"/>
      <c r="H434"/>
      <c r="I434"/>
      <c r="J434"/>
      <c r="M434"/>
      <c r="N434"/>
      <c r="O434" s="15" t="str">
        <f t="shared" si="12"/>
        <v>_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/>
      </c>
      <c r="Q434" s="2"/>
      <c r="R434" s="2"/>
      <c r="S434" s="11"/>
      <c r="T434" s="1" t="str">
        <f>"owner=" &amp; Tokens!BS434 &amp; "&amp;filename_for_metadata=" &amp; Tokens!BT434 &amp; "&amp;offchaindata_platform=" &amp; $B$17 &amp; "&amp;keyfile=" &amp; $B$5 &amp; "&amp;network=" &amp; LOWER($B$8) &amp; "&amp;repository=" &amp; $B$18</f>
        <v>owner=thomas&amp;filename_for_metadata=InCasa_COR22D271&amp;offchaindata_platform=MongoDB&amp;keyfile=Paul&amp;network=jsonfiles&amp;repository=test</v>
      </c>
      <c r="U434" s="1" t="str">
        <f t="shared" si="13"/>
        <v>{"name":"In Casa #271",_x000D_
"symbol":"COR22D271",_x000D_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4" s="1" t="str">
        <f>formatRow(Tokens!C$2:I$2,Tokens!C434:I434)</f>
        <v>"name":"In Casa #271",_x000D_
"symbol":"COR22D271",_x000D_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4" s="1" t="str">
        <f>formatRow(Tokens!J$2:AV$2,Tokens!J434:AV434,2,"attributes")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4" s="1" t="str">
        <f>formatRow(Tokens!AX$2:BC$2,Tokens!AX434:BC434,2,"creators")</f>
        <v>"creators":[{"address":"paul",_x000D_
"share":10},{"address":"sophie",_x000D_
"share":90}]</v>
      </c>
      <c r="Y434" s="1" t="str">
        <f>formatRow(Tokens!BD$2:BI$2,Tokens!BD434:BI434,2,"files")</f>
        <v>"files":[]</v>
      </c>
      <c r="Z434" s="1"/>
      <c r="AA434" s="1"/>
      <c r="AB434" s="1"/>
      <c r="AC434" s="1" t="str">
        <f>formatRow(Tokens!BJ$2:BK$2,Tokens!BJ434:BK434,0,"collection")</f>
        <v>"collection":{"name":"In Casa",_x000D_
"family":"Calvi On The Rocks"}</v>
      </c>
    </row>
    <row r="435" spans="5:29" ht="14.25" customHeight="1" x14ac:dyDescent="0.25">
      <c r="E435" s="17" t="str">
        <f>IF(Tokens!C435="","",Tokens!C435)</f>
        <v>In Casa #272</v>
      </c>
      <c r="F435"/>
      <c r="G435"/>
      <c r="H435"/>
      <c r="I435"/>
      <c r="J435"/>
      <c r="M435"/>
      <c r="N435"/>
      <c r="O435" s="15" t="str">
        <f t="shared" si="12"/>
        <v>_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/>
      </c>
      <c r="Q435" s="2"/>
      <c r="R435" s="2"/>
      <c r="S435" s="11"/>
      <c r="T435" s="1" t="str">
        <f>"owner=" &amp; Tokens!BS435 &amp; "&amp;filename_for_metadata=" &amp; Tokens!BT435 &amp; "&amp;offchaindata_platform=" &amp; $B$17 &amp; "&amp;keyfile=" &amp; $B$5 &amp; "&amp;network=" &amp; LOWER($B$8) &amp; "&amp;repository=" &amp; $B$18</f>
        <v>owner=thomas&amp;filename_for_metadata=InCasa_COR22D272&amp;offchaindata_platform=MongoDB&amp;keyfile=Paul&amp;network=jsonfiles&amp;repository=test</v>
      </c>
      <c r="U435" s="1" t="str">
        <f t="shared" si="13"/>
        <v>{"name":"In Casa #272",_x000D_
"symbol":"COR22D272",_x000D_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5" s="1" t="str">
        <f>formatRow(Tokens!C$2:I$2,Tokens!C435:I435)</f>
        <v>"name":"In Casa #272",_x000D_
"symbol":"COR22D272",_x000D_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5" s="1" t="str">
        <f>formatRow(Tokens!J$2:AV$2,Tokens!J435:AV435,2,"attributes")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5" s="1" t="str">
        <f>formatRow(Tokens!AX$2:BC$2,Tokens!AX435:BC435,2,"creators")</f>
        <v>"creators":[{"address":"paul",_x000D_
"share":10},{"address":"sophie",_x000D_
"share":90}]</v>
      </c>
      <c r="Y435" s="1" t="str">
        <f>formatRow(Tokens!BD$2:BI$2,Tokens!BD435:BI435,2,"files")</f>
        <v>"files":[]</v>
      </c>
      <c r="Z435" s="1"/>
      <c r="AA435" s="1"/>
      <c r="AB435" s="1"/>
      <c r="AC435" s="1" t="str">
        <f>formatRow(Tokens!BJ$2:BK$2,Tokens!BJ435:BK435,0,"collection")</f>
        <v>"collection":{"name":"In Casa",_x000D_
"family":"Calvi On The Rocks"}</v>
      </c>
    </row>
    <row r="436" spans="5:29" ht="14.25" customHeight="1" x14ac:dyDescent="0.25">
      <c r="E436" s="17" t="str">
        <f>IF(Tokens!C436="","",Tokens!C436)</f>
        <v>In Casa #273</v>
      </c>
      <c r="F436"/>
      <c r="G436"/>
      <c r="H436"/>
      <c r="I436"/>
      <c r="J436"/>
      <c r="M436"/>
      <c r="N436"/>
      <c r="O436" s="15" t="str">
        <f t="shared" si="12"/>
        <v>_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/>
      </c>
      <c r="Q436" s="2"/>
      <c r="R436" s="2"/>
      <c r="S436" s="11"/>
      <c r="T436" s="1" t="str">
        <f>"owner=" &amp; Tokens!BS436 &amp; "&amp;filename_for_metadata=" &amp; Tokens!BT436 &amp; "&amp;offchaindata_platform=" &amp; $B$17 &amp; "&amp;keyfile=" &amp; $B$5 &amp; "&amp;network=" &amp; LOWER($B$8) &amp; "&amp;repository=" &amp; $B$18</f>
        <v>owner=thomas&amp;filename_for_metadata=InCasa_COR22D273&amp;offchaindata_platform=MongoDB&amp;keyfile=Paul&amp;network=jsonfiles&amp;repository=test</v>
      </c>
      <c r="U436" s="1" t="str">
        <f t="shared" si="13"/>
        <v>{"name":"In Casa #273",_x000D_
"symbol":"COR22D273",_x000D_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6" s="1" t="str">
        <f>formatRow(Tokens!C$2:I$2,Tokens!C436:I436)</f>
        <v>"name":"In Casa #273",_x000D_
"symbol":"COR22D273",_x000D_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6" s="1" t="str">
        <f>formatRow(Tokens!J$2:AV$2,Tokens!J436:AV436,2,"attributes")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6" s="1" t="str">
        <f>formatRow(Tokens!AX$2:BC$2,Tokens!AX436:BC436,2,"creators")</f>
        <v>"creators":[{"address":"paul",_x000D_
"share":10},{"address":"sophie",_x000D_
"share":90}]</v>
      </c>
      <c r="Y436" s="1" t="str">
        <f>formatRow(Tokens!BD$2:BI$2,Tokens!BD436:BI436,2,"files")</f>
        <v>"files":[]</v>
      </c>
      <c r="Z436" s="1"/>
      <c r="AA436" s="1"/>
      <c r="AB436" s="1"/>
      <c r="AC436" s="1" t="str">
        <f>formatRow(Tokens!BJ$2:BK$2,Tokens!BJ436:BK436,0,"collection")</f>
        <v>"collection":{"name":"In Casa",_x000D_
"family":"Calvi On The Rocks"}</v>
      </c>
    </row>
    <row r="437" spans="5:29" ht="14.25" customHeight="1" x14ac:dyDescent="0.25">
      <c r="E437" s="17" t="str">
        <f>IF(Tokens!C437="","",Tokens!C437)</f>
        <v>In Casa #274</v>
      </c>
      <c r="F437"/>
      <c r="G437"/>
      <c r="H437"/>
      <c r="I437"/>
      <c r="J437"/>
      <c r="M437"/>
      <c r="N437"/>
      <c r="O437" s="15" t="str">
        <f t="shared" si="12"/>
        <v>_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/>
      </c>
      <c r="Q437" s="2"/>
      <c r="R437" s="2"/>
      <c r="S437" s="11"/>
      <c r="T437" s="1" t="str">
        <f>"owner=" &amp; Tokens!BS437 &amp; "&amp;filename_for_metadata=" &amp; Tokens!BT437 &amp; "&amp;offchaindata_platform=" &amp; $B$17 &amp; "&amp;keyfile=" &amp; $B$5 &amp; "&amp;network=" &amp; LOWER($B$8) &amp; "&amp;repository=" &amp; $B$18</f>
        <v>owner=thomas&amp;filename_for_metadata=InCasa_COR22D274&amp;offchaindata_platform=MongoDB&amp;keyfile=Paul&amp;network=jsonfiles&amp;repository=test</v>
      </c>
      <c r="U437" s="1" t="str">
        <f t="shared" si="13"/>
        <v>{"name":"In Casa #274",_x000D_
"symbol":"COR22D274",_x000D_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7" s="1" t="str">
        <f>formatRow(Tokens!C$2:I$2,Tokens!C437:I437)</f>
        <v>"name":"In Casa #274",_x000D_
"symbol":"COR22D274",_x000D_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7" s="1" t="str">
        <f>formatRow(Tokens!J$2:AV$2,Tokens!J437:AV437,2,"attributes")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7" s="1" t="str">
        <f>formatRow(Tokens!AX$2:BC$2,Tokens!AX437:BC437,2,"creators")</f>
        <v>"creators":[{"address":"paul",_x000D_
"share":10},{"address":"sophie",_x000D_
"share":90}]</v>
      </c>
      <c r="Y437" s="1" t="str">
        <f>formatRow(Tokens!BD$2:BI$2,Tokens!BD437:BI437,2,"files")</f>
        <v>"files":[]</v>
      </c>
      <c r="Z437" s="1"/>
      <c r="AA437" s="1"/>
      <c r="AB437" s="1"/>
      <c r="AC437" s="1" t="str">
        <f>formatRow(Tokens!BJ$2:BK$2,Tokens!BJ437:BK437,0,"collection")</f>
        <v>"collection":{"name":"In Casa",_x000D_
"family":"Calvi On The Rocks"}</v>
      </c>
    </row>
    <row r="438" spans="5:29" ht="14.25" customHeight="1" x14ac:dyDescent="0.25">
      <c r="E438" s="17" t="str">
        <f>IF(Tokens!C438="","",Tokens!C438)</f>
        <v>In Casa #275</v>
      </c>
      <c r="F438"/>
      <c r="G438"/>
      <c r="H438"/>
      <c r="I438"/>
      <c r="J438"/>
      <c r="M438"/>
      <c r="N438"/>
      <c r="O438" s="15" t="str">
        <f t="shared" si="12"/>
        <v>_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/>
      </c>
      <c r="Q438" s="2"/>
      <c r="R438" s="2"/>
      <c r="S438" s="11"/>
      <c r="T438" s="1" t="str">
        <f>"owner=" &amp; Tokens!BS438 &amp; "&amp;filename_for_metadata=" &amp; Tokens!BT438 &amp; "&amp;offchaindata_platform=" &amp; $B$17 &amp; "&amp;keyfile=" &amp; $B$5 &amp; "&amp;network=" &amp; LOWER($B$8) &amp; "&amp;repository=" &amp; $B$18</f>
        <v>owner=thomas&amp;filename_for_metadata=InCasa_COR22D275&amp;offchaindata_platform=MongoDB&amp;keyfile=Paul&amp;network=jsonfiles&amp;repository=test</v>
      </c>
      <c r="U438" s="1" t="str">
        <f t="shared" si="13"/>
        <v>{"name":"In Casa #275",_x000D_
"symbol":"COR22D275",_x000D_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8" s="1" t="str">
        <f>formatRow(Tokens!C$2:I$2,Tokens!C438:I438)</f>
        <v>"name":"In Casa #275",_x000D_
"symbol":"COR22D275",_x000D_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8" s="1" t="str">
        <f>formatRow(Tokens!J$2:AV$2,Tokens!J438:AV438,2,"attributes")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8" s="1" t="str">
        <f>formatRow(Tokens!AX$2:BC$2,Tokens!AX438:BC438,2,"creators")</f>
        <v>"creators":[{"address":"paul",_x000D_
"share":10},{"address":"sophie",_x000D_
"share":90}]</v>
      </c>
      <c r="Y438" s="1" t="str">
        <f>formatRow(Tokens!BD$2:BI$2,Tokens!BD438:BI438,2,"files")</f>
        <v>"files":[]</v>
      </c>
      <c r="Z438" s="1"/>
      <c r="AA438" s="1"/>
      <c r="AB438" s="1"/>
      <c r="AC438" s="1" t="str">
        <f>formatRow(Tokens!BJ$2:BK$2,Tokens!BJ438:BK438,0,"collection")</f>
        <v>"collection":{"name":"In Casa",_x000D_
"family":"Calvi On The Rocks"}</v>
      </c>
    </row>
    <row r="439" spans="5:29" ht="14.25" customHeight="1" x14ac:dyDescent="0.25">
      <c r="E439" s="17" t="str">
        <f>IF(Tokens!C439="","",Tokens!C439)</f>
        <v>In Casa #276</v>
      </c>
      <c r="F439"/>
      <c r="G439"/>
      <c r="H439"/>
      <c r="I439"/>
      <c r="J439"/>
      <c r="M439"/>
      <c r="N439"/>
      <c r="O439" s="15" t="str">
        <f t="shared" si="12"/>
        <v>_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/>
      </c>
      <c r="Q439" s="2"/>
      <c r="R439" s="2"/>
      <c r="S439" s="11"/>
      <c r="T439" s="1" t="str">
        <f>"owner=" &amp; Tokens!BS439 &amp; "&amp;filename_for_metadata=" &amp; Tokens!BT439 &amp; "&amp;offchaindata_platform=" &amp; $B$17 &amp; "&amp;keyfile=" &amp; $B$5 &amp; "&amp;network=" &amp; LOWER($B$8) &amp; "&amp;repository=" &amp; $B$18</f>
        <v>owner=thomas&amp;filename_for_metadata=InCasa_COR22D276&amp;offchaindata_platform=MongoDB&amp;keyfile=Paul&amp;network=jsonfiles&amp;repository=test</v>
      </c>
      <c r="U439" s="1" t="str">
        <f t="shared" si="13"/>
        <v>{"name":"In Casa #276",_x000D_
"symbol":"COR22D276",_x000D_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39" s="1" t="str">
        <f>formatRow(Tokens!C$2:I$2,Tokens!C439:I439)</f>
        <v>"name":"In Casa #276",_x000D_
"symbol":"COR22D276",_x000D_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39" s="1" t="str">
        <f>formatRow(Tokens!J$2:AV$2,Tokens!J439:AV439,2,"attributes")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39" s="1" t="str">
        <f>formatRow(Tokens!AX$2:BC$2,Tokens!AX439:BC439,2,"creators")</f>
        <v>"creators":[{"address":"paul",_x000D_
"share":10},{"address":"sophie",_x000D_
"share":90}]</v>
      </c>
      <c r="Y439" s="1" t="str">
        <f>formatRow(Tokens!BD$2:BI$2,Tokens!BD439:BI439,2,"files")</f>
        <v>"files":[]</v>
      </c>
      <c r="Z439" s="1"/>
      <c r="AA439" s="1"/>
      <c r="AB439" s="1"/>
      <c r="AC439" s="1" t="str">
        <f>formatRow(Tokens!BJ$2:BK$2,Tokens!BJ439:BK439,0,"collection")</f>
        <v>"collection":{"name":"In Casa",_x000D_
"family":"Calvi On The Rocks"}</v>
      </c>
    </row>
    <row r="440" spans="5:29" ht="14.25" customHeight="1" x14ac:dyDescent="0.25">
      <c r="E440" s="17" t="str">
        <f>IF(Tokens!C440="","",Tokens!C440)</f>
        <v>In Casa #277</v>
      </c>
      <c r="F440"/>
      <c r="G440"/>
      <c r="H440"/>
      <c r="I440"/>
      <c r="J440"/>
      <c r="M440"/>
      <c r="N440"/>
      <c r="O440" s="15" t="str">
        <f t="shared" si="12"/>
        <v>_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/>
      </c>
      <c r="Q440" s="2"/>
      <c r="R440" s="2"/>
      <c r="S440" s="11"/>
      <c r="T440" s="1" t="str">
        <f>"owner=" &amp; Tokens!BS440 &amp; "&amp;filename_for_metadata=" &amp; Tokens!BT440 &amp; "&amp;offchaindata_platform=" &amp; $B$17 &amp; "&amp;keyfile=" &amp; $B$5 &amp; "&amp;network=" &amp; LOWER($B$8) &amp; "&amp;repository=" &amp; $B$18</f>
        <v>owner=thomas&amp;filename_for_metadata=InCasa_COR22D277&amp;offchaindata_platform=MongoDB&amp;keyfile=Paul&amp;network=jsonfiles&amp;repository=test</v>
      </c>
      <c r="U440" s="1" t="str">
        <f t="shared" si="13"/>
        <v>{"name":"In Casa #277",_x000D_
"symbol":"COR22D277",_x000D_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0" s="1" t="str">
        <f>formatRow(Tokens!C$2:I$2,Tokens!C440:I440)</f>
        <v>"name":"In Casa #277",_x000D_
"symbol":"COR22D277",_x000D_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0" s="1" t="str">
        <f>formatRow(Tokens!J$2:AV$2,Tokens!J440:AV440,2,"attributes")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0" s="1" t="str">
        <f>formatRow(Tokens!AX$2:BC$2,Tokens!AX440:BC440,2,"creators")</f>
        <v>"creators":[{"address":"paul",_x000D_
"share":10},{"address":"sophie",_x000D_
"share":90}]</v>
      </c>
      <c r="Y440" s="1" t="str">
        <f>formatRow(Tokens!BD$2:BI$2,Tokens!BD440:BI440,2,"files")</f>
        <v>"files":[]</v>
      </c>
      <c r="Z440" s="1"/>
      <c r="AA440" s="1"/>
      <c r="AB440" s="1"/>
      <c r="AC440" s="1" t="str">
        <f>formatRow(Tokens!BJ$2:BK$2,Tokens!BJ440:BK440,0,"collection")</f>
        <v>"collection":{"name":"In Casa",_x000D_
"family":"Calvi On The Rocks"}</v>
      </c>
    </row>
    <row r="441" spans="5:29" ht="14.25" customHeight="1" x14ac:dyDescent="0.25">
      <c r="E441" s="17" t="str">
        <f>IF(Tokens!C441="","",Tokens!C441)</f>
        <v>In Casa #278</v>
      </c>
      <c r="F441"/>
      <c r="G441"/>
      <c r="H441"/>
      <c r="I441"/>
      <c r="J441"/>
      <c r="M441"/>
      <c r="N441"/>
      <c r="O441" s="15" t="str">
        <f t="shared" si="12"/>
        <v>_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/>
      </c>
      <c r="Q441" s="2"/>
      <c r="R441" s="2"/>
      <c r="S441" s="11"/>
      <c r="T441" s="1" t="str">
        <f>"owner=" &amp; Tokens!BS441 &amp; "&amp;filename_for_metadata=" &amp; Tokens!BT441 &amp; "&amp;offchaindata_platform=" &amp; $B$17 &amp; "&amp;keyfile=" &amp; $B$5 &amp; "&amp;network=" &amp; LOWER($B$8) &amp; "&amp;repository=" &amp; $B$18</f>
        <v>owner=thomas&amp;filename_for_metadata=InCasa_COR22D278&amp;offchaindata_platform=MongoDB&amp;keyfile=Paul&amp;network=jsonfiles&amp;repository=test</v>
      </c>
      <c r="U441" s="1" t="str">
        <f t="shared" si="13"/>
        <v>{"name":"In Casa #278",_x000D_
"symbol":"COR22D278",_x000D_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1" s="1" t="str">
        <f>formatRow(Tokens!C$2:I$2,Tokens!C441:I441)</f>
        <v>"name":"In Casa #278",_x000D_
"symbol":"COR22D278",_x000D_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1" s="1" t="str">
        <f>formatRow(Tokens!J$2:AV$2,Tokens!J441:AV441,2,"attributes")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1" s="1" t="str">
        <f>formatRow(Tokens!AX$2:BC$2,Tokens!AX441:BC441,2,"creators")</f>
        <v>"creators":[{"address":"paul",_x000D_
"share":10},{"address":"sophie",_x000D_
"share":90}]</v>
      </c>
      <c r="Y441" s="1" t="str">
        <f>formatRow(Tokens!BD$2:BI$2,Tokens!BD441:BI441,2,"files")</f>
        <v>"files":[]</v>
      </c>
      <c r="Z441" s="1"/>
      <c r="AA441" s="1"/>
      <c r="AB441" s="1"/>
      <c r="AC441" s="1" t="str">
        <f>formatRow(Tokens!BJ$2:BK$2,Tokens!BJ441:BK441,0,"collection")</f>
        <v>"collection":{"name":"In Casa",_x000D_
"family":"Calvi On The Rocks"}</v>
      </c>
    </row>
    <row r="442" spans="5:29" ht="14.25" customHeight="1" x14ac:dyDescent="0.25">
      <c r="E442" s="17" t="str">
        <f>IF(Tokens!C442="","",Tokens!C442)</f>
        <v>In Casa #279</v>
      </c>
      <c r="F442"/>
      <c r="G442"/>
      <c r="H442"/>
      <c r="I442"/>
      <c r="J442"/>
      <c r="M442"/>
      <c r="N442"/>
      <c r="O442" s="15" t="str">
        <f t="shared" si="12"/>
        <v>_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/>
      </c>
      <c r="Q442" s="2"/>
      <c r="R442" s="2"/>
      <c r="S442" s="11"/>
      <c r="T442" s="1" t="str">
        <f>"owner=" &amp; Tokens!BS442 &amp; "&amp;filename_for_metadata=" &amp; Tokens!BT442 &amp; "&amp;offchaindata_platform=" &amp; $B$17 &amp; "&amp;keyfile=" &amp; $B$5 &amp; "&amp;network=" &amp; LOWER($B$8) &amp; "&amp;repository=" &amp; $B$18</f>
        <v>owner=thomas&amp;filename_for_metadata=InCasa_COR22D279&amp;offchaindata_platform=MongoDB&amp;keyfile=Paul&amp;network=jsonfiles&amp;repository=test</v>
      </c>
      <c r="U442" s="1" t="str">
        <f t="shared" si="13"/>
        <v>{"name":"In Casa #279",_x000D_
"symbol":"COR22D279",_x000D_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2" s="1" t="str">
        <f>formatRow(Tokens!C$2:I$2,Tokens!C442:I442)</f>
        <v>"name":"In Casa #279",_x000D_
"symbol":"COR22D279",_x000D_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2" s="1" t="str">
        <f>formatRow(Tokens!J$2:AV$2,Tokens!J442:AV442,2,"attributes")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2" s="1" t="str">
        <f>formatRow(Tokens!AX$2:BC$2,Tokens!AX442:BC442,2,"creators")</f>
        <v>"creators":[{"address":"paul",_x000D_
"share":10},{"address":"sophie",_x000D_
"share":90}]</v>
      </c>
      <c r="Y442" s="1" t="str">
        <f>formatRow(Tokens!BD$2:BI$2,Tokens!BD442:BI442,2,"files")</f>
        <v>"files":[]</v>
      </c>
      <c r="Z442" s="1"/>
      <c r="AA442" s="1"/>
      <c r="AB442" s="1"/>
      <c r="AC442" s="1" t="str">
        <f>formatRow(Tokens!BJ$2:BK$2,Tokens!BJ442:BK442,0,"collection")</f>
        <v>"collection":{"name":"In Casa",_x000D_
"family":"Calvi On The Rocks"}</v>
      </c>
    </row>
    <row r="443" spans="5:29" ht="14.25" customHeight="1" x14ac:dyDescent="0.25">
      <c r="E443" s="17" t="str">
        <f>IF(Tokens!C443="","",Tokens!C443)</f>
        <v>In Casa #280</v>
      </c>
      <c r="F443"/>
      <c r="G443"/>
      <c r="H443"/>
      <c r="I443"/>
      <c r="J443"/>
      <c r="M443"/>
      <c r="N443"/>
      <c r="O443" s="15" t="str">
        <f t="shared" si="12"/>
        <v>_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/>
      </c>
      <c r="Q443" s="2"/>
      <c r="R443" s="2"/>
      <c r="S443" s="11"/>
      <c r="T443" s="1" t="str">
        <f>"owner=" &amp; Tokens!BS443 &amp; "&amp;filename_for_metadata=" &amp; Tokens!BT443 &amp; "&amp;offchaindata_platform=" &amp; $B$17 &amp; "&amp;keyfile=" &amp; $B$5 &amp; "&amp;network=" &amp; LOWER($B$8) &amp; "&amp;repository=" &amp; $B$18</f>
        <v>owner=thomas&amp;filename_for_metadata=InCasa_COR22D280&amp;offchaindata_platform=MongoDB&amp;keyfile=Paul&amp;network=jsonfiles&amp;repository=test</v>
      </c>
      <c r="U443" s="1" t="str">
        <f t="shared" si="13"/>
        <v>{"name":"In Casa #280",_x000D_
"symbol":"COR22D280",_x000D_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3" s="1" t="str">
        <f>formatRow(Tokens!C$2:I$2,Tokens!C443:I443)</f>
        <v>"name":"In Casa #280",_x000D_
"symbol":"COR22D280",_x000D_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3" s="1" t="str">
        <f>formatRow(Tokens!J$2:AV$2,Tokens!J443:AV443,2,"attributes")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3" s="1" t="str">
        <f>formatRow(Tokens!AX$2:BC$2,Tokens!AX443:BC443,2,"creators")</f>
        <v>"creators":[{"address":"paul",_x000D_
"share":10},{"address":"sophie",_x000D_
"share":90}]</v>
      </c>
      <c r="Y443" s="1" t="str">
        <f>formatRow(Tokens!BD$2:BI$2,Tokens!BD443:BI443,2,"files")</f>
        <v>"files":[]</v>
      </c>
      <c r="Z443" s="1"/>
      <c r="AA443" s="1"/>
      <c r="AB443" s="1"/>
      <c r="AC443" s="1" t="str">
        <f>formatRow(Tokens!BJ$2:BK$2,Tokens!BJ443:BK443,0,"collection")</f>
        <v>"collection":{"name":"In Casa",_x000D_
"family":"Calvi On The Rocks"}</v>
      </c>
    </row>
    <row r="444" spans="5:29" ht="14.25" customHeight="1" x14ac:dyDescent="0.25">
      <c r="E444" s="17" t="str">
        <f>IF(Tokens!C444="","",Tokens!C444)</f>
        <v>In Casa #281</v>
      </c>
      <c r="F444"/>
      <c r="G444"/>
      <c r="H444"/>
      <c r="I444"/>
      <c r="J444"/>
      <c r="M444"/>
      <c r="N444"/>
      <c r="O444" s="15" t="str">
        <f t="shared" si="12"/>
        <v>_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/>
      </c>
      <c r="Q444" s="2"/>
      <c r="R444" s="2"/>
      <c r="S444" s="11"/>
      <c r="T444" s="1" t="str">
        <f>"owner=" &amp; Tokens!BS444 &amp; "&amp;filename_for_metadata=" &amp; Tokens!BT444 &amp; "&amp;offchaindata_platform=" &amp; $B$17 &amp; "&amp;keyfile=" &amp; $B$5 &amp; "&amp;network=" &amp; LOWER($B$8) &amp; "&amp;repository=" &amp; $B$18</f>
        <v>owner=thomas&amp;filename_for_metadata=InCasa_COR22D281&amp;offchaindata_platform=MongoDB&amp;keyfile=Paul&amp;network=jsonfiles&amp;repository=test</v>
      </c>
      <c r="U444" s="1" t="str">
        <f t="shared" si="13"/>
        <v>{"name":"In Casa #281",_x000D_
"symbol":"COR22D281",_x000D_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4" s="1" t="str">
        <f>formatRow(Tokens!C$2:I$2,Tokens!C444:I444)</f>
        <v>"name":"In Casa #281",_x000D_
"symbol":"COR22D281",_x000D_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4" s="1" t="str">
        <f>formatRow(Tokens!J$2:AV$2,Tokens!J444:AV444,2,"attributes")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4" s="1" t="str">
        <f>formatRow(Tokens!AX$2:BC$2,Tokens!AX444:BC444,2,"creators")</f>
        <v>"creators":[{"address":"paul",_x000D_
"share":10},{"address":"sophie",_x000D_
"share":90}]</v>
      </c>
      <c r="Y444" s="1" t="str">
        <f>formatRow(Tokens!BD$2:BI$2,Tokens!BD444:BI444,2,"files")</f>
        <v>"files":[]</v>
      </c>
      <c r="Z444" s="1"/>
      <c r="AA444" s="1"/>
      <c r="AB444" s="1"/>
      <c r="AC444" s="1" t="str">
        <f>formatRow(Tokens!BJ$2:BK$2,Tokens!BJ444:BK444,0,"collection")</f>
        <v>"collection":{"name":"In Casa",_x000D_
"family":"Calvi On The Rocks"}</v>
      </c>
    </row>
    <row r="445" spans="5:29" ht="14.25" customHeight="1" x14ac:dyDescent="0.25">
      <c r="E445" s="17" t="str">
        <f>IF(Tokens!C445="","",Tokens!C445)</f>
        <v>In Casa #282</v>
      </c>
      <c r="F445"/>
      <c r="G445"/>
      <c r="H445"/>
      <c r="I445"/>
      <c r="J445"/>
      <c r="M445"/>
      <c r="N445"/>
      <c r="O445" s="15" t="str">
        <f t="shared" si="12"/>
        <v>_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/>
      </c>
      <c r="Q445" s="2"/>
      <c r="R445" s="2"/>
      <c r="S445" s="11"/>
      <c r="T445" s="1" t="str">
        <f>"owner=" &amp; Tokens!BS445 &amp; "&amp;filename_for_metadata=" &amp; Tokens!BT445 &amp; "&amp;offchaindata_platform=" &amp; $B$17 &amp; "&amp;keyfile=" &amp; $B$5 &amp; "&amp;network=" &amp; LOWER($B$8) &amp; "&amp;repository=" &amp; $B$18</f>
        <v>owner=thomas&amp;filename_for_metadata=InCasa_COR22D282&amp;offchaindata_platform=MongoDB&amp;keyfile=Paul&amp;network=jsonfiles&amp;repository=test</v>
      </c>
      <c r="U445" s="1" t="str">
        <f t="shared" si="13"/>
        <v>{"name":"In Casa #282",_x000D_
"symbol":"COR22D282",_x000D_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5" s="1" t="str">
        <f>formatRow(Tokens!C$2:I$2,Tokens!C445:I445)</f>
        <v>"name":"In Casa #282",_x000D_
"symbol":"COR22D282",_x000D_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5" s="1" t="str">
        <f>formatRow(Tokens!J$2:AV$2,Tokens!J445:AV445,2,"attributes")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5" s="1" t="str">
        <f>formatRow(Tokens!AX$2:BC$2,Tokens!AX445:BC445,2,"creators")</f>
        <v>"creators":[{"address":"paul",_x000D_
"share":10},{"address":"sophie",_x000D_
"share":90}]</v>
      </c>
      <c r="Y445" s="1" t="str">
        <f>formatRow(Tokens!BD$2:BI$2,Tokens!BD445:BI445,2,"files")</f>
        <v>"files":[]</v>
      </c>
      <c r="Z445" s="1"/>
      <c r="AA445" s="1"/>
      <c r="AB445" s="1"/>
      <c r="AC445" s="1" t="str">
        <f>formatRow(Tokens!BJ$2:BK$2,Tokens!BJ445:BK445,0,"collection")</f>
        <v>"collection":{"name":"In Casa",_x000D_
"family":"Calvi On The Rocks"}</v>
      </c>
    </row>
    <row r="446" spans="5:29" ht="14.25" customHeight="1" x14ac:dyDescent="0.25">
      <c r="E446" s="17" t="str">
        <f>IF(Tokens!C446="","",Tokens!C446)</f>
        <v>In Casa #283</v>
      </c>
      <c r="F446"/>
      <c r="G446"/>
      <c r="H446"/>
      <c r="I446"/>
      <c r="J446"/>
      <c r="M446"/>
      <c r="N446"/>
      <c r="O446" s="15" t="str">
        <f t="shared" si="12"/>
        <v>_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/>
      </c>
      <c r="Q446" s="2"/>
      <c r="R446" s="2"/>
      <c r="S446" s="11"/>
      <c r="T446" s="1" t="str">
        <f>"owner=" &amp; Tokens!BS446 &amp; "&amp;filename_for_metadata=" &amp; Tokens!BT446 &amp; "&amp;offchaindata_platform=" &amp; $B$17 &amp; "&amp;keyfile=" &amp; $B$5 &amp; "&amp;network=" &amp; LOWER($B$8) &amp; "&amp;repository=" &amp; $B$18</f>
        <v>owner=thomas&amp;filename_for_metadata=InCasa_COR22D283&amp;offchaindata_platform=MongoDB&amp;keyfile=Paul&amp;network=jsonfiles&amp;repository=test</v>
      </c>
      <c r="U446" s="1" t="str">
        <f t="shared" si="13"/>
        <v>{"name":"In Casa #283",_x000D_
"symbol":"COR22D283",_x000D_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6" s="1" t="str">
        <f>formatRow(Tokens!C$2:I$2,Tokens!C446:I446)</f>
        <v>"name":"In Casa #283",_x000D_
"symbol":"COR22D283",_x000D_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6" s="1" t="str">
        <f>formatRow(Tokens!J$2:AV$2,Tokens!J446:AV446,2,"attributes")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6" s="1" t="str">
        <f>formatRow(Tokens!AX$2:BC$2,Tokens!AX446:BC446,2,"creators")</f>
        <v>"creators":[{"address":"paul",_x000D_
"share":10},{"address":"sophie",_x000D_
"share":90}]</v>
      </c>
      <c r="Y446" s="1" t="str">
        <f>formatRow(Tokens!BD$2:BI$2,Tokens!BD446:BI446,2,"files")</f>
        <v>"files":[]</v>
      </c>
      <c r="Z446" s="1"/>
      <c r="AA446" s="1"/>
      <c r="AB446" s="1"/>
      <c r="AC446" s="1" t="str">
        <f>formatRow(Tokens!BJ$2:BK$2,Tokens!BJ446:BK446,0,"collection")</f>
        <v>"collection":{"name":"In Casa",_x000D_
"family":"Calvi On The Rocks"}</v>
      </c>
    </row>
    <row r="447" spans="5:29" ht="14.25" customHeight="1" x14ac:dyDescent="0.25">
      <c r="E447" s="17" t="str">
        <f>IF(Tokens!C447="","",Tokens!C447)</f>
        <v>In Casa #284</v>
      </c>
      <c r="F447"/>
      <c r="G447"/>
      <c r="H447"/>
      <c r="I447"/>
      <c r="J447"/>
      <c r="M447"/>
      <c r="N447"/>
      <c r="O447" s="15" t="str">
        <f t="shared" si="12"/>
        <v>_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/>
      </c>
      <c r="Q447" s="2"/>
      <c r="R447" s="2"/>
      <c r="S447" s="11"/>
      <c r="T447" s="1" t="str">
        <f>"owner=" &amp; Tokens!BS447 &amp; "&amp;filename_for_metadata=" &amp; Tokens!BT447 &amp; "&amp;offchaindata_platform=" &amp; $B$17 &amp; "&amp;keyfile=" &amp; $B$5 &amp; "&amp;network=" &amp; LOWER($B$8) &amp; "&amp;repository=" &amp; $B$18</f>
        <v>owner=thomas&amp;filename_for_metadata=InCasa_COR22D284&amp;offchaindata_platform=MongoDB&amp;keyfile=Paul&amp;network=jsonfiles&amp;repository=test</v>
      </c>
      <c r="U447" s="1" t="str">
        <f t="shared" si="13"/>
        <v>{"name":"In Casa #284",_x000D_
"symbol":"COR22D284",_x000D_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7" s="1" t="str">
        <f>formatRow(Tokens!C$2:I$2,Tokens!C447:I447)</f>
        <v>"name":"In Casa #284",_x000D_
"symbol":"COR22D284",_x000D_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7" s="1" t="str">
        <f>formatRow(Tokens!J$2:AV$2,Tokens!J447:AV447,2,"attributes")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7" s="1" t="str">
        <f>formatRow(Tokens!AX$2:BC$2,Tokens!AX447:BC447,2,"creators")</f>
        <v>"creators":[{"address":"paul",_x000D_
"share":10},{"address":"sophie",_x000D_
"share":90}]</v>
      </c>
      <c r="Y447" s="1" t="str">
        <f>formatRow(Tokens!BD$2:BI$2,Tokens!BD447:BI447,2,"files")</f>
        <v>"files":[]</v>
      </c>
      <c r="Z447" s="1"/>
      <c r="AA447" s="1"/>
      <c r="AB447" s="1"/>
      <c r="AC447" s="1" t="str">
        <f>formatRow(Tokens!BJ$2:BK$2,Tokens!BJ447:BK447,0,"collection")</f>
        <v>"collection":{"name":"In Casa",_x000D_
"family":"Calvi On The Rocks"}</v>
      </c>
    </row>
    <row r="448" spans="5:29" ht="14.25" customHeight="1" x14ac:dyDescent="0.25">
      <c r="E448" s="17" t="str">
        <f>IF(Tokens!C448="","",Tokens!C448)</f>
        <v>In Casa #285</v>
      </c>
      <c r="F448"/>
      <c r="G448"/>
      <c r="H448"/>
      <c r="I448"/>
      <c r="J448"/>
      <c r="M448"/>
      <c r="N448"/>
      <c r="O448" s="15" t="str">
        <f t="shared" si="12"/>
        <v>_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/>
      </c>
      <c r="Q448" s="2"/>
      <c r="R448" s="2"/>
      <c r="S448" s="11"/>
      <c r="T448" s="1" t="str">
        <f>"owner=" &amp; Tokens!BS448 &amp; "&amp;filename_for_metadata=" &amp; Tokens!BT448 &amp; "&amp;offchaindata_platform=" &amp; $B$17 &amp; "&amp;keyfile=" &amp; $B$5 &amp; "&amp;network=" &amp; LOWER($B$8) &amp; "&amp;repository=" &amp; $B$18</f>
        <v>owner=thomas&amp;filename_for_metadata=InCasa_COR22D285&amp;offchaindata_platform=MongoDB&amp;keyfile=Paul&amp;network=jsonfiles&amp;repository=test</v>
      </c>
      <c r="U448" s="1" t="str">
        <f t="shared" si="13"/>
        <v>{"name":"In Casa #285",_x000D_
"symbol":"COR22D285",_x000D_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8" s="1" t="str">
        <f>formatRow(Tokens!C$2:I$2,Tokens!C448:I448)</f>
        <v>"name":"In Casa #285",_x000D_
"symbol":"COR22D285",_x000D_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8" s="1" t="str">
        <f>formatRow(Tokens!J$2:AV$2,Tokens!J448:AV448,2,"attributes")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8" s="1" t="str">
        <f>formatRow(Tokens!AX$2:BC$2,Tokens!AX448:BC448,2,"creators")</f>
        <v>"creators":[{"address":"paul",_x000D_
"share":10},{"address":"sophie",_x000D_
"share":90}]</v>
      </c>
      <c r="Y448" s="1" t="str">
        <f>formatRow(Tokens!BD$2:BI$2,Tokens!BD448:BI448,2,"files")</f>
        <v>"files":[]</v>
      </c>
      <c r="Z448" s="1"/>
      <c r="AA448" s="1"/>
      <c r="AB448" s="1"/>
      <c r="AC448" s="1" t="str">
        <f>formatRow(Tokens!BJ$2:BK$2,Tokens!BJ448:BK448,0,"collection")</f>
        <v>"collection":{"name":"In Casa",_x000D_
"family":"Calvi On The Rocks"}</v>
      </c>
    </row>
    <row r="449" spans="5:29" ht="14.25" customHeight="1" x14ac:dyDescent="0.25">
      <c r="E449" s="17" t="str">
        <f>IF(Tokens!C449="","",Tokens!C449)</f>
        <v>In Casa #286</v>
      </c>
      <c r="F449"/>
      <c r="G449"/>
      <c r="H449"/>
      <c r="I449"/>
      <c r="J449"/>
      <c r="M449"/>
      <c r="N449"/>
      <c r="O449" s="15" t="str">
        <f t="shared" si="12"/>
        <v>_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/>
      </c>
      <c r="Q449" s="2"/>
      <c r="R449" s="2"/>
      <c r="S449" s="11"/>
      <c r="T449" s="1" t="str">
        <f>"owner=" &amp; Tokens!BS449 &amp; "&amp;filename_for_metadata=" &amp; Tokens!BT449 &amp; "&amp;offchaindata_platform=" &amp; $B$17 &amp; "&amp;keyfile=" &amp; $B$5 &amp; "&amp;network=" &amp; LOWER($B$8) &amp; "&amp;repository=" &amp; $B$18</f>
        <v>owner=thomas&amp;filename_for_metadata=InCasa_COR22D286&amp;offchaindata_platform=MongoDB&amp;keyfile=Paul&amp;network=jsonfiles&amp;repository=test</v>
      </c>
      <c r="U449" s="1" t="str">
        <f t="shared" si="13"/>
        <v>{"name":"In Casa #286",_x000D_
"symbol":"COR22D286",_x000D_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49" s="1" t="str">
        <f>formatRow(Tokens!C$2:I$2,Tokens!C449:I449)</f>
        <v>"name":"In Casa #286",_x000D_
"symbol":"COR22D286",_x000D_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49" s="1" t="str">
        <f>formatRow(Tokens!J$2:AV$2,Tokens!J449:AV449,2,"attributes")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49" s="1" t="str">
        <f>formatRow(Tokens!AX$2:BC$2,Tokens!AX449:BC449,2,"creators")</f>
        <v>"creators":[{"address":"paul",_x000D_
"share":10},{"address":"sophie",_x000D_
"share":90}]</v>
      </c>
      <c r="Y449" s="1" t="str">
        <f>formatRow(Tokens!BD$2:BI$2,Tokens!BD449:BI449,2,"files")</f>
        <v>"files":[]</v>
      </c>
      <c r="Z449" s="1"/>
      <c r="AA449" s="1"/>
      <c r="AB449" s="1"/>
      <c r="AC449" s="1" t="str">
        <f>formatRow(Tokens!BJ$2:BK$2,Tokens!BJ449:BK449,0,"collection")</f>
        <v>"collection":{"name":"In Casa",_x000D_
"family":"Calvi On The Rocks"}</v>
      </c>
    </row>
    <row r="450" spans="5:29" ht="14.25" customHeight="1" x14ac:dyDescent="0.25">
      <c r="E450" s="17" t="str">
        <f>IF(Tokens!C450="","",Tokens!C450)</f>
        <v>In Casa #287</v>
      </c>
      <c r="F450"/>
      <c r="G450"/>
      <c r="H450"/>
      <c r="I450"/>
      <c r="J450"/>
      <c r="M450"/>
      <c r="N450"/>
      <c r="O450" s="15" t="str">
        <f t="shared" si="12"/>
        <v>_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/>
      </c>
      <c r="Q450" s="2"/>
      <c r="R450" s="2"/>
      <c r="S450" s="11"/>
      <c r="T450" s="1" t="str">
        <f>"owner=" &amp; Tokens!BS450 &amp; "&amp;filename_for_metadata=" &amp; Tokens!BT450 &amp; "&amp;offchaindata_platform=" &amp; $B$17 &amp; "&amp;keyfile=" &amp; $B$5 &amp; "&amp;network=" &amp; LOWER($B$8) &amp; "&amp;repository=" &amp; $B$18</f>
        <v>owner=thomas&amp;filename_for_metadata=InCasa_COR22D287&amp;offchaindata_platform=MongoDB&amp;keyfile=Paul&amp;network=jsonfiles&amp;repository=test</v>
      </c>
      <c r="U450" s="1" t="str">
        <f t="shared" si="13"/>
        <v>{"name":"In Casa #287",_x000D_
"symbol":"COR22D287",_x000D_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0" s="1" t="str">
        <f>formatRow(Tokens!C$2:I$2,Tokens!C450:I450)</f>
        <v>"name":"In Casa #287",_x000D_
"symbol":"COR22D287",_x000D_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0" s="1" t="str">
        <f>formatRow(Tokens!J$2:AV$2,Tokens!J450:AV450,2,"attributes")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0" s="1" t="str">
        <f>formatRow(Tokens!AX$2:BC$2,Tokens!AX450:BC450,2,"creators")</f>
        <v>"creators":[{"address":"paul",_x000D_
"share":10},{"address":"sophie",_x000D_
"share":90}]</v>
      </c>
      <c r="Y450" s="1" t="str">
        <f>formatRow(Tokens!BD$2:BI$2,Tokens!BD450:BI450,2,"files")</f>
        <v>"files":[]</v>
      </c>
      <c r="Z450" s="1"/>
      <c r="AA450" s="1"/>
      <c r="AB450" s="1"/>
      <c r="AC450" s="1" t="str">
        <f>formatRow(Tokens!BJ$2:BK$2,Tokens!BJ450:BK450,0,"collection")</f>
        <v>"collection":{"name":"In Casa",_x000D_
"family":"Calvi On The Rocks"}</v>
      </c>
    </row>
    <row r="451" spans="5:29" ht="14.25" customHeight="1" x14ac:dyDescent="0.25">
      <c r="E451" s="17" t="str">
        <f>IF(Tokens!C451="","",Tokens!C451)</f>
        <v>In Casa #288</v>
      </c>
      <c r="F451"/>
      <c r="G451"/>
      <c r="H451"/>
      <c r="I451"/>
      <c r="J451"/>
      <c r="M451"/>
      <c r="N451"/>
      <c r="O451" s="15" t="str">
        <f t="shared" si="12"/>
        <v>_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/>
      </c>
      <c r="Q451" s="2"/>
      <c r="R451" s="2"/>
      <c r="S451" s="11"/>
      <c r="T451" s="1" t="str">
        <f>"owner=" &amp; Tokens!BS451 &amp; "&amp;filename_for_metadata=" &amp; Tokens!BT451 &amp; "&amp;offchaindata_platform=" &amp; $B$17 &amp; "&amp;keyfile=" &amp; $B$5 &amp; "&amp;network=" &amp; LOWER($B$8) &amp; "&amp;repository=" &amp; $B$18</f>
        <v>owner=thomas&amp;filename_for_metadata=InCasa_COR22D288&amp;offchaindata_platform=MongoDB&amp;keyfile=Paul&amp;network=jsonfiles&amp;repository=test</v>
      </c>
      <c r="U451" s="1" t="str">
        <f t="shared" si="13"/>
        <v>{"name":"In Casa #288",_x000D_
"symbol":"COR22D288",_x000D_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1" s="1" t="str">
        <f>formatRow(Tokens!C$2:I$2,Tokens!C451:I451)</f>
        <v>"name":"In Casa #288",_x000D_
"symbol":"COR22D288",_x000D_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1" s="1" t="str">
        <f>formatRow(Tokens!J$2:AV$2,Tokens!J451:AV451,2,"attributes")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1" s="1" t="str">
        <f>formatRow(Tokens!AX$2:BC$2,Tokens!AX451:BC451,2,"creators")</f>
        <v>"creators":[{"address":"paul",_x000D_
"share":10},{"address":"sophie",_x000D_
"share":90}]</v>
      </c>
      <c r="Y451" s="1" t="str">
        <f>formatRow(Tokens!BD$2:BI$2,Tokens!BD451:BI451,2,"files")</f>
        <v>"files":[]</v>
      </c>
      <c r="Z451" s="1"/>
      <c r="AA451" s="1"/>
      <c r="AB451" s="1"/>
      <c r="AC451" s="1" t="str">
        <f>formatRow(Tokens!BJ$2:BK$2,Tokens!BJ451:BK451,0,"collection")</f>
        <v>"collection":{"name":"In Casa",_x000D_
"family":"Calvi On The Rocks"}</v>
      </c>
    </row>
    <row r="452" spans="5:29" ht="14.25" customHeight="1" x14ac:dyDescent="0.25">
      <c r="E452" s="17" t="str">
        <f>IF(Tokens!C452="","",Tokens!C452)</f>
        <v>In Casa #289</v>
      </c>
      <c r="F452"/>
      <c r="G452"/>
      <c r="H452"/>
      <c r="I452"/>
      <c r="J452"/>
      <c r="M452"/>
      <c r="N452"/>
      <c r="O452" s="15" t="str">
        <f t="shared" ref="O452:O515" si="14">IF(AND(ISNUMBER(N451),ISNUMBER(N452)),(N452-N451)*$O$1,"_")</f>
        <v>_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/>
      </c>
      <c r="Q452" s="2"/>
      <c r="R452" s="2"/>
      <c r="S452" s="11"/>
      <c r="T452" s="1" t="str">
        <f>"owner=" &amp; Tokens!BS452 &amp; "&amp;filename_for_metadata=" &amp; Tokens!BT452 &amp; "&amp;offchaindata_platform=" &amp; $B$17 &amp; "&amp;keyfile=" &amp; $B$5 &amp; "&amp;network=" &amp; LOWER($B$8) &amp; "&amp;repository=" &amp; $B$18</f>
        <v>owner=thomas&amp;filename_for_metadata=InCasa_COR22D289&amp;offchaindata_platform=MongoDB&amp;keyfile=Paul&amp;network=jsonfiles&amp;repository=test</v>
      </c>
      <c r="U452" s="1" t="str">
        <f t="shared" si="13"/>
        <v>{"name":"In Casa #289",_x000D_
"symbol":"COR22D289",_x000D_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2" s="1" t="str">
        <f>formatRow(Tokens!C$2:I$2,Tokens!C452:I452)</f>
        <v>"name":"In Casa #289",_x000D_
"symbol":"COR22D289",_x000D_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2" s="1" t="str">
        <f>formatRow(Tokens!J$2:AV$2,Tokens!J452:AV452,2,"attributes")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2" s="1" t="str">
        <f>formatRow(Tokens!AX$2:BC$2,Tokens!AX452:BC452,2,"creators")</f>
        <v>"creators":[{"address":"paul",_x000D_
"share":10},{"address":"sophie",_x000D_
"share":90}]</v>
      </c>
      <c r="Y452" s="1" t="str">
        <f>formatRow(Tokens!BD$2:BI$2,Tokens!BD452:BI452,2,"files")</f>
        <v>"files":[]</v>
      </c>
      <c r="Z452" s="1"/>
      <c r="AA452" s="1"/>
      <c r="AB452" s="1"/>
      <c r="AC452" s="1" t="str">
        <f>formatRow(Tokens!BJ$2:BK$2,Tokens!BJ452:BK452,0,"collection")</f>
        <v>"collection":{"name":"In Casa",_x000D_
"family":"Calvi On The Rocks"}</v>
      </c>
    </row>
    <row r="453" spans="5:29" ht="14.25" customHeight="1" x14ac:dyDescent="0.25">
      <c r="E453" s="17" t="str">
        <f>IF(Tokens!C453="","",Tokens!C453)</f>
        <v>In Casa #290</v>
      </c>
      <c r="F453"/>
      <c r="G453"/>
      <c r="H453"/>
      <c r="I453"/>
      <c r="J453"/>
      <c r="M453"/>
      <c r="N453"/>
      <c r="O453" s="15" t="str">
        <f t="shared" si="14"/>
        <v>_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/>
      </c>
      <c r="Q453" s="2"/>
      <c r="R453" s="2"/>
      <c r="S453" s="11"/>
      <c r="T453" s="1" t="str">
        <f>"owner=" &amp; Tokens!BS453 &amp; "&amp;filename_for_metadata=" &amp; Tokens!BT453 &amp; "&amp;offchaindata_platform=" &amp; $B$17 &amp; "&amp;keyfile=" &amp; $B$5 &amp; "&amp;network=" &amp; LOWER($B$8) &amp; "&amp;repository=" &amp; $B$18</f>
        <v>owner=thomas&amp;filename_for_metadata=InCasa_COR22D290&amp;offchaindata_platform=MongoDB&amp;keyfile=Paul&amp;network=jsonfiles&amp;repository=test</v>
      </c>
      <c r="U453" s="1" t="str">
        <f t="shared" ref="U453:U516" si="15">"{" &amp; V453 &amp; "," &amp; W453 &amp; "," &amp; """properties"":{" &amp; X453 &amp; "," &amp; Y453 &amp; "}," &amp; AC453 &amp; "}"</f>
        <v>{"name":"In Casa #290",_x000D_
"symbol":"COR22D290",_x000D_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3" s="1" t="str">
        <f>formatRow(Tokens!C$2:I$2,Tokens!C453:I453)</f>
        <v>"name":"In Casa #290",_x000D_
"symbol":"COR22D290",_x000D_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3" s="1" t="str">
        <f>formatRow(Tokens!J$2:AV$2,Tokens!J453:AV453,2,"attributes")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3" s="1" t="str">
        <f>formatRow(Tokens!AX$2:BC$2,Tokens!AX453:BC453,2,"creators")</f>
        <v>"creators":[{"address":"paul",_x000D_
"share":10},{"address":"sophie",_x000D_
"share":90}]</v>
      </c>
      <c r="Y453" s="1" t="str">
        <f>formatRow(Tokens!BD$2:BI$2,Tokens!BD453:BI453,2,"files")</f>
        <v>"files":[]</v>
      </c>
      <c r="Z453" s="1"/>
      <c r="AA453" s="1"/>
      <c r="AB453" s="1"/>
      <c r="AC453" s="1" t="str">
        <f>formatRow(Tokens!BJ$2:BK$2,Tokens!BJ453:BK453,0,"collection")</f>
        <v>"collection":{"name":"In Casa",_x000D_
"family":"Calvi On The Rocks"}</v>
      </c>
    </row>
    <row r="454" spans="5:29" ht="14.25" customHeight="1" x14ac:dyDescent="0.25">
      <c r="E454" s="17" t="str">
        <f>IF(Tokens!C454="","",Tokens!C454)</f>
        <v>In Casa #291</v>
      </c>
      <c r="F454"/>
      <c r="G454"/>
      <c r="H454"/>
      <c r="I454"/>
      <c r="J454"/>
      <c r="M454"/>
      <c r="N454"/>
      <c r="O454" s="15" t="str">
        <f t="shared" si="14"/>
        <v>_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/>
      </c>
      <c r="Q454" s="2"/>
      <c r="R454" s="2"/>
      <c r="S454" s="11"/>
      <c r="T454" s="1" t="str">
        <f>"owner=" &amp; Tokens!BS454 &amp; "&amp;filename_for_metadata=" &amp; Tokens!BT454 &amp; "&amp;offchaindata_platform=" &amp; $B$17 &amp; "&amp;keyfile=" &amp; $B$5 &amp; "&amp;network=" &amp; LOWER($B$8) &amp; "&amp;repository=" &amp; $B$18</f>
        <v>owner=thomas&amp;filename_for_metadata=InCasa_COR22D291&amp;offchaindata_platform=MongoDB&amp;keyfile=Paul&amp;network=jsonfiles&amp;repository=test</v>
      </c>
      <c r="U454" s="1" t="str">
        <f t="shared" si="15"/>
        <v>{"name":"In Casa #291",_x000D_
"symbol":"COR22D291",_x000D_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4" s="1" t="str">
        <f>formatRow(Tokens!C$2:I$2,Tokens!C454:I454)</f>
        <v>"name":"In Casa #291",_x000D_
"symbol":"COR22D291",_x000D_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4" s="1" t="str">
        <f>formatRow(Tokens!J$2:AV$2,Tokens!J454:AV454,2,"attributes")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4" s="1" t="str">
        <f>formatRow(Tokens!AX$2:BC$2,Tokens!AX454:BC454,2,"creators")</f>
        <v>"creators":[{"address":"paul",_x000D_
"share":10},{"address":"sophie",_x000D_
"share":90}]</v>
      </c>
      <c r="Y454" s="1" t="str">
        <f>formatRow(Tokens!BD$2:BI$2,Tokens!BD454:BI454,2,"files")</f>
        <v>"files":[]</v>
      </c>
      <c r="Z454" s="1"/>
      <c r="AA454" s="1"/>
      <c r="AB454" s="1"/>
      <c r="AC454" s="1" t="str">
        <f>formatRow(Tokens!BJ$2:BK$2,Tokens!BJ454:BK454,0,"collection")</f>
        <v>"collection":{"name":"In Casa",_x000D_
"family":"Calvi On The Rocks"}</v>
      </c>
    </row>
    <row r="455" spans="5:29" ht="14.25" customHeight="1" x14ac:dyDescent="0.25">
      <c r="E455" s="17" t="str">
        <f>IF(Tokens!C455="","",Tokens!C455)</f>
        <v>In Casa #292</v>
      </c>
      <c r="F455"/>
      <c r="G455"/>
      <c r="H455"/>
      <c r="I455"/>
      <c r="J455"/>
      <c r="M455"/>
      <c r="N455"/>
      <c r="O455" s="15" t="str">
        <f t="shared" si="14"/>
        <v>_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/>
      </c>
      <c r="Q455" s="2"/>
      <c r="R455" s="2"/>
      <c r="S455" s="11"/>
      <c r="T455" s="1" t="str">
        <f>"owner=" &amp; Tokens!BS455 &amp; "&amp;filename_for_metadata=" &amp; Tokens!BT455 &amp; "&amp;offchaindata_platform=" &amp; $B$17 &amp; "&amp;keyfile=" &amp; $B$5 &amp; "&amp;network=" &amp; LOWER($B$8) &amp; "&amp;repository=" &amp; $B$18</f>
        <v>owner=thomas&amp;filename_for_metadata=InCasa_COR22D292&amp;offchaindata_platform=MongoDB&amp;keyfile=Paul&amp;network=jsonfiles&amp;repository=test</v>
      </c>
      <c r="U455" s="1" t="str">
        <f t="shared" si="15"/>
        <v>{"name":"In Casa #292",_x000D_
"symbol":"COR22D292",_x000D_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5" s="1" t="str">
        <f>formatRow(Tokens!C$2:I$2,Tokens!C455:I455)</f>
        <v>"name":"In Casa #292",_x000D_
"symbol":"COR22D292",_x000D_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5" s="1" t="str">
        <f>formatRow(Tokens!J$2:AV$2,Tokens!J455:AV455,2,"attributes")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5" s="1" t="str">
        <f>formatRow(Tokens!AX$2:BC$2,Tokens!AX455:BC455,2,"creators")</f>
        <v>"creators":[{"address":"paul",_x000D_
"share":10},{"address":"sophie",_x000D_
"share":90}]</v>
      </c>
      <c r="Y455" s="1" t="str">
        <f>formatRow(Tokens!BD$2:BI$2,Tokens!BD455:BI455,2,"files")</f>
        <v>"files":[]</v>
      </c>
      <c r="Z455" s="1"/>
      <c r="AA455" s="1"/>
      <c r="AB455" s="1"/>
      <c r="AC455" s="1" t="str">
        <f>formatRow(Tokens!BJ$2:BK$2,Tokens!BJ455:BK455,0,"collection")</f>
        <v>"collection":{"name":"In Casa",_x000D_
"family":"Calvi On The Rocks"}</v>
      </c>
    </row>
    <row r="456" spans="5:29" ht="14.25" customHeight="1" x14ac:dyDescent="0.25">
      <c r="E456" s="17" t="str">
        <f>IF(Tokens!C456="","",Tokens!C456)</f>
        <v>In Casa #293</v>
      </c>
      <c r="F456"/>
      <c r="G456"/>
      <c r="H456"/>
      <c r="I456"/>
      <c r="J456"/>
      <c r="M456"/>
      <c r="N456"/>
      <c r="O456" s="15" t="str">
        <f t="shared" si="14"/>
        <v>_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/>
      </c>
      <c r="Q456" s="2"/>
      <c r="R456" s="2"/>
      <c r="S456" s="11"/>
      <c r="T456" s="1" t="str">
        <f>"owner=" &amp; Tokens!BS456 &amp; "&amp;filename_for_metadata=" &amp; Tokens!BT456 &amp; "&amp;offchaindata_platform=" &amp; $B$17 &amp; "&amp;keyfile=" &amp; $B$5 &amp; "&amp;network=" &amp; LOWER($B$8) &amp; "&amp;repository=" &amp; $B$18</f>
        <v>owner=thomas&amp;filename_for_metadata=InCasa_COR22D293&amp;offchaindata_platform=MongoDB&amp;keyfile=Paul&amp;network=jsonfiles&amp;repository=test</v>
      </c>
      <c r="U456" s="1" t="str">
        <f t="shared" si="15"/>
        <v>{"name":"In Casa #293",_x000D_
"symbol":"COR22D293",_x000D_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6" s="1" t="str">
        <f>formatRow(Tokens!C$2:I$2,Tokens!C456:I456)</f>
        <v>"name":"In Casa #293",_x000D_
"symbol":"COR22D293",_x000D_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6" s="1" t="str">
        <f>formatRow(Tokens!J$2:AV$2,Tokens!J456:AV456,2,"attributes")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6" s="1" t="str">
        <f>formatRow(Tokens!AX$2:BC$2,Tokens!AX456:BC456,2,"creators")</f>
        <v>"creators":[{"address":"paul",_x000D_
"share":10},{"address":"sophie",_x000D_
"share":90}]</v>
      </c>
      <c r="Y456" s="1" t="str">
        <f>formatRow(Tokens!BD$2:BI$2,Tokens!BD456:BI456,2,"files")</f>
        <v>"files":[]</v>
      </c>
      <c r="Z456" s="1"/>
      <c r="AA456" s="1"/>
      <c r="AB456" s="1"/>
      <c r="AC456" s="1" t="str">
        <f>formatRow(Tokens!BJ$2:BK$2,Tokens!BJ456:BK456,0,"collection")</f>
        <v>"collection":{"name":"In Casa",_x000D_
"family":"Calvi On The Rocks"}</v>
      </c>
    </row>
    <row r="457" spans="5:29" ht="14.25" customHeight="1" x14ac:dyDescent="0.25">
      <c r="E457" s="17" t="str">
        <f>IF(Tokens!C457="","",Tokens!C457)</f>
        <v>In Casa #294</v>
      </c>
      <c r="F457"/>
      <c r="G457"/>
      <c r="H457"/>
      <c r="I457"/>
      <c r="J457"/>
      <c r="M457"/>
      <c r="N457"/>
      <c r="O457" s="15" t="str">
        <f t="shared" si="14"/>
        <v>_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/>
      </c>
      <c r="Q457" s="2"/>
      <c r="R457" s="2"/>
      <c r="S457" s="11"/>
      <c r="T457" s="1" t="str">
        <f>"owner=" &amp; Tokens!BS457 &amp; "&amp;filename_for_metadata=" &amp; Tokens!BT457 &amp; "&amp;offchaindata_platform=" &amp; $B$17 &amp; "&amp;keyfile=" &amp; $B$5 &amp; "&amp;network=" &amp; LOWER($B$8) &amp; "&amp;repository=" &amp; $B$18</f>
        <v>owner=thomas&amp;filename_for_metadata=InCasa_COR22D294&amp;offchaindata_platform=MongoDB&amp;keyfile=Paul&amp;network=jsonfiles&amp;repository=test</v>
      </c>
      <c r="U457" s="1" t="str">
        <f t="shared" si="15"/>
        <v>{"name":"In Casa #294",_x000D_
"symbol":"COR22D294",_x000D_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7" s="1" t="str">
        <f>formatRow(Tokens!C$2:I$2,Tokens!C457:I457)</f>
        <v>"name":"In Casa #294",_x000D_
"symbol":"COR22D294",_x000D_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7" s="1" t="str">
        <f>formatRow(Tokens!J$2:AV$2,Tokens!J457:AV457,2,"attributes")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7" s="1" t="str">
        <f>formatRow(Tokens!AX$2:BC$2,Tokens!AX457:BC457,2,"creators")</f>
        <v>"creators":[{"address":"paul",_x000D_
"share":10},{"address":"sophie",_x000D_
"share":90}]</v>
      </c>
      <c r="Y457" s="1" t="str">
        <f>formatRow(Tokens!BD$2:BI$2,Tokens!BD457:BI457,2,"files")</f>
        <v>"files":[]</v>
      </c>
      <c r="Z457" s="1"/>
      <c r="AA457" s="1"/>
      <c r="AB457" s="1"/>
      <c r="AC457" s="1" t="str">
        <f>formatRow(Tokens!BJ$2:BK$2,Tokens!BJ457:BK457,0,"collection")</f>
        <v>"collection":{"name":"In Casa",_x000D_
"family":"Calvi On The Rocks"}</v>
      </c>
    </row>
    <row r="458" spans="5:29" ht="14.25" customHeight="1" x14ac:dyDescent="0.25">
      <c r="E458" s="17" t="str">
        <f>IF(Tokens!C458="","",Tokens!C458)</f>
        <v>In Casa #295</v>
      </c>
      <c r="F458"/>
      <c r="G458"/>
      <c r="H458"/>
      <c r="I458"/>
      <c r="J458"/>
      <c r="M458"/>
      <c r="N458"/>
      <c r="O458" s="15" t="str">
        <f t="shared" si="14"/>
        <v>_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/>
      </c>
      <c r="Q458" s="2"/>
      <c r="R458" s="2"/>
      <c r="S458" s="11"/>
      <c r="T458" s="1" t="str">
        <f>"owner=" &amp; Tokens!BS458 &amp; "&amp;filename_for_metadata=" &amp; Tokens!BT458 &amp; "&amp;offchaindata_platform=" &amp; $B$17 &amp; "&amp;keyfile=" &amp; $B$5 &amp; "&amp;network=" &amp; LOWER($B$8) &amp; "&amp;repository=" &amp; $B$18</f>
        <v>owner=thomas&amp;filename_for_metadata=InCasa_COR22D295&amp;offchaindata_platform=MongoDB&amp;keyfile=Paul&amp;network=jsonfiles&amp;repository=test</v>
      </c>
      <c r="U458" s="1" t="str">
        <f t="shared" si="15"/>
        <v>{"name":"In Casa #295",_x000D_
"symbol":"COR22D295",_x000D_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8" s="1" t="str">
        <f>formatRow(Tokens!C$2:I$2,Tokens!C458:I458)</f>
        <v>"name":"In Casa #295",_x000D_
"symbol":"COR22D295",_x000D_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8" s="1" t="str">
        <f>formatRow(Tokens!J$2:AV$2,Tokens!J458:AV458,2,"attributes")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8" s="1" t="str">
        <f>formatRow(Tokens!AX$2:BC$2,Tokens!AX458:BC458,2,"creators")</f>
        <v>"creators":[{"address":"paul",_x000D_
"share":10},{"address":"sophie",_x000D_
"share":90}]</v>
      </c>
      <c r="Y458" s="1" t="str">
        <f>formatRow(Tokens!BD$2:BI$2,Tokens!BD458:BI458,2,"files")</f>
        <v>"files":[]</v>
      </c>
      <c r="Z458" s="1"/>
      <c r="AA458" s="1"/>
      <c r="AB458" s="1"/>
      <c r="AC458" s="1" t="str">
        <f>formatRow(Tokens!BJ$2:BK$2,Tokens!BJ458:BK458,0,"collection")</f>
        <v>"collection":{"name":"In Casa",_x000D_
"family":"Calvi On The Rocks"}</v>
      </c>
    </row>
    <row r="459" spans="5:29" ht="14.25" customHeight="1" x14ac:dyDescent="0.25">
      <c r="E459" s="17" t="str">
        <f>IF(Tokens!C459="","",Tokens!C459)</f>
        <v>In Casa #296</v>
      </c>
      <c r="F459"/>
      <c r="G459"/>
      <c r="H459"/>
      <c r="I459"/>
      <c r="J459"/>
      <c r="M459"/>
      <c r="N459"/>
      <c r="O459" s="15" t="str">
        <f t="shared" si="14"/>
        <v>_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/>
      </c>
      <c r="Q459" s="2"/>
      <c r="R459" s="2"/>
      <c r="S459" s="11"/>
      <c r="T459" s="1" t="str">
        <f>"owner=" &amp; Tokens!BS459 &amp; "&amp;filename_for_metadata=" &amp; Tokens!BT459 &amp; "&amp;offchaindata_platform=" &amp; $B$17 &amp; "&amp;keyfile=" &amp; $B$5 &amp; "&amp;network=" &amp; LOWER($B$8) &amp; "&amp;repository=" &amp; $B$18</f>
        <v>owner=thomas&amp;filename_for_metadata=InCasa_COR22D296&amp;offchaindata_platform=MongoDB&amp;keyfile=Paul&amp;network=jsonfiles&amp;repository=test</v>
      </c>
      <c r="U459" s="1" t="str">
        <f t="shared" si="15"/>
        <v>{"name":"In Casa #296",_x000D_
"symbol":"COR22D296",_x000D_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59" s="1" t="str">
        <f>formatRow(Tokens!C$2:I$2,Tokens!C459:I459)</f>
        <v>"name":"In Casa #296",_x000D_
"symbol":"COR22D296",_x000D_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59" s="1" t="str">
        <f>formatRow(Tokens!J$2:AV$2,Tokens!J459:AV459,2,"attributes")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59" s="1" t="str">
        <f>formatRow(Tokens!AX$2:BC$2,Tokens!AX459:BC459,2,"creators")</f>
        <v>"creators":[{"address":"paul",_x000D_
"share":10},{"address":"sophie",_x000D_
"share":90}]</v>
      </c>
      <c r="Y459" s="1" t="str">
        <f>formatRow(Tokens!BD$2:BI$2,Tokens!BD459:BI459,2,"files")</f>
        <v>"files":[]</v>
      </c>
      <c r="Z459" s="1"/>
      <c r="AA459" s="1"/>
      <c r="AB459" s="1"/>
      <c r="AC459" s="1" t="str">
        <f>formatRow(Tokens!BJ$2:BK$2,Tokens!BJ459:BK459,0,"collection")</f>
        <v>"collection":{"name":"In Casa",_x000D_
"family":"Calvi On The Rocks"}</v>
      </c>
    </row>
    <row r="460" spans="5:29" ht="14.25" customHeight="1" x14ac:dyDescent="0.25">
      <c r="E460" s="17" t="str">
        <f>IF(Tokens!C460="","",Tokens!C460)</f>
        <v>In Casa #297</v>
      </c>
      <c r="F460"/>
      <c r="G460"/>
      <c r="H460"/>
      <c r="I460"/>
      <c r="J460"/>
      <c r="M460"/>
      <c r="N460"/>
      <c r="O460" s="15" t="str">
        <f t="shared" si="14"/>
        <v>_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/>
      </c>
      <c r="Q460" s="2"/>
      <c r="R460" s="2"/>
      <c r="S460" s="11"/>
      <c r="T460" s="1" t="str">
        <f>"owner=" &amp; Tokens!BS460 &amp; "&amp;filename_for_metadata=" &amp; Tokens!BT460 &amp; "&amp;offchaindata_platform=" &amp; $B$17 &amp; "&amp;keyfile=" &amp; $B$5 &amp; "&amp;network=" &amp; LOWER($B$8) &amp; "&amp;repository=" &amp; $B$18</f>
        <v>owner=thomas&amp;filename_for_metadata=InCasa_COR22D297&amp;offchaindata_platform=MongoDB&amp;keyfile=Paul&amp;network=jsonfiles&amp;repository=test</v>
      </c>
      <c r="U460" s="1" t="str">
        <f t="shared" si="15"/>
        <v>{"name":"In Casa #297",_x000D_
"symbol":"COR22D297",_x000D_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0" s="1" t="str">
        <f>formatRow(Tokens!C$2:I$2,Tokens!C460:I460)</f>
        <v>"name":"In Casa #297",_x000D_
"symbol":"COR22D297",_x000D_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0" s="1" t="str">
        <f>formatRow(Tokens!J$2:AV$2,Tokens!J460:AV460,2,"attributes")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0" s="1" t="str">
        <f>formatRow(Tokens!AX$2:BC$2,Tokens!AX460:BC460,2,"creators")</f>
        <v>"creators":[{"address":"paul",_x000D_
"share":10},{"address":"sophie",_x000D_
"share":90}]</v>
      </c>
      <c r="Y460" s="1" t="str">
        <f>formatRow(Tokens!BD$2:BI$2,Tokens!BD460:BI460,2,"files")</f>
        <v>"files":[]</v>
      </c>
      <c r="Z460" s="1"/>
      <c r="AA460" s="1"/>
      <c r="AB460" s="1"/>
      <c r="AC460" s="1" t="str">
        <f>formatRow(Tokens!BJ$2:BK$2,Tokens!BJ460:BK460,0,"collection")</f>
        <v>"collection":{"name":"In Casa",_x000D_
"family":"Calvi On The Rocks"}</v>
      </c>
    </row>
    <row r="461" spans="5:29" ht="14.25" customHeight="1" x14ac:dyDescent="0.25">
      <c r="E461" s="17" t="str">
        <f>IF(Tokens!C461="","",Tokens!C461)</f>
        <v>In Casa #298</v>
      </c>
      <c r="F461"/>
      <c r="G461"/>
      <c r="H461"/>
      <c r="I461"/>
      <c r="J461"/>
      <c r="M461"/>
      <c r="N461"/>
      <c r="O461" s="15" t="str">
        <f t="shared" si="14"/>
        <v>_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/>
      </c>
      <c r="Q461" s="2"/>
      <c r="R461" s="2"/>
      <c r="S461" s="11"/>
      <c r="T461" s="1" t="str">
        <f>"owner=" &amp; Tokens!BS461 &amp; "&amp;filename_for_metadata=" &amp; Tokens!BT461 &amp; "&amp;offchaindata_platform=" &amp; $B$17 &amp; "&amp;keyfile=" &amp; $B$5 &amp; "&amp;network=" &amp; LOWER($B$8) &amp; "&amp;repository=" &amp; $B$18</f>
        <v>owner=thomas&amp;filename_for_metadata=InCasa_COR22D298&amp;offchaindata_platform=MongoDB&amp;keyfile=Paul&amp;network=jsonfiles&amp;repository=test</v>
      </c>
      <c r="U461" s="1" t="str">
        <f t="shared" si="15"/>
        <v>{"name":"In Casa #298",_x000D_
"symbol":"COR22D298",_x000D_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1" s="1" t="str">
        <f>formatRow(Tokens!C$2:I$2,Tokens!C461:I461)</f>
        <v>"name":"In Casa #298",_x000D_
"symbol":"COR22D298",_x000D_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1" s="1" t="str">
        <f>formatRow(Tokens!J$2:AV$2,Tokens!J461:AV461,2,"attributes")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1" s="1" t="str">
        <f>formatRow(Tokens!AX$2:BC$2,Tokens!AX461:BC461,2,"creators")</f>
        <v>"creators":[{"address":"paul",_x000D_
"share":10},{"address":"sophie",_x000D_
"share":90}]</v>
      </c>
      <c r="Y461" s="1" t="str">
        <f>formatRow(Tokens!BD$2:BI$2,Tokens!BD461:BI461,2,"files")</f>
        <v>"files":[]</v>
      </c>
      <c r="Z461" s="1"/>
      <c r="AA461" s="1"/>
      <c r="AB461" s="1"/>
      <c r="AC461" s="1" t="str">
        <f>formatRow(Tokens!BJ$2:BK$2,Tokens!BJ461:BK461,0,"collection")</f>
        <v>"collection":{"name":"In Casa",_x000D_
"family":"Calvi On The Rocks"}</v>
      </c>
    </row>
    <row r="462" spans="5:29" ht="14.25" customHeight="1" x14ac:dyDescent="0.25">
      <c r="E462" s="17" t="str">
        <f>IF(Tokens!C462="","",Tokens!C462)</f>
        <v>In Casa #299</v>
      </c>
      <c r="F462"/>
      <c r="G462"/>
      <c r="H462"/>
      <c r="I462"/>
      <c r="J462"/>
      <c r="M462"/>
      <c r="N462"/>
      <c r="O462" s="15" t="str">
        <f t="shared" si="14"/>
        <v>_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/>
      </c>
      <c r="Q462" s="2"/>
      <c r="R462" s="2"/>
      <c r="S462" s="11"/>
      <c r="T462" s="1" t="str">
        <f>"owner=" &amp; Tokens!BS462 &amp; "&amp;filename_for_metadata=" &amp; Tokens!BT462 &amp; "&amp;offchaindata_platform=" &amp; $B$17 &amp; "&amp;keyfile=" &amp; $B$5 &amp; "&amp;network=" &amp; LOWER($B$8) &amp; "&amp;repository=" &amp; $B$18</f>
        <v>owner=thomas&amp;filename_for_metadata=InCasa_COR22D299&amp;offchaindata_platform=MongoDB&amp;keyfile=Paul&amp;network=jsonfiles&amp;repository=test</v>
      </c>
      <c r="U462" s="1" t="str">
        <f t="shared" si="15"/>
        <v>{"name":"In Casa #299",_x000D_
"symbol":"COR22D299",_x000D_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2" s="1" t="str">
        <f>formatRow(Tokens!C$2:I$2,Tokens!C462:I462)</f>
        <v>"name":"In Casa #299",_x000D_
"symbol":"COR22D299",_x000D_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2" s="1" t="str">
        <f>formatRow(Tokens!J$2:AV$2,Tokens!J462:AV462,2,"attributes")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2" s="1" t="str">
        <f>formatRow(Tokens!AX$2:BC$2,Tokens!AX462:BC462,2,"creators")</f>
        <v>"creators":[{"address":"paul",_x000D_
"share":10},{"address":"sophie",_x000D_
"share":90}]</v>
      </c>
      <c r="Y462" s="1" t="str">
        <f>formatRow(Tokens!BD$2:BI$2,Tokens!BD462:BI462,2,"files")</f>
        <v>"files":[]</v>
      </c>
      <c r="Z462" s="1"/>
      <c r="AA462" s="1"/>
      <c r="AB462" s="1"/>
      <c r="AC462" s="1" t="str">
        <f>formatRow(Tokens!BJ$2:BK$2,Tokens!BJ462:BK462,0,"collection")</f>
        <v>"collection":{"name":"In Casa",_x000D_
"family":"Calvi On The Rocks"}</v>
      </c>
    </row>
    <row r="463" spans="5:29" ht="14.25" customHeight="1" x14ac:dyDescent="0.25">
      <c r="E463" s="17" t="str">
        <f>IF(Tokens!C463="","",Tokens!C463)</f>
        <v>In Casa #300</v>
      </c>
      <c r="F463"/>
      <c r="G463"/>
      <c r="H463"/>
      <c r="I463"/>
      <c r="J463"/>
      <c r="M463"/>
      <c r="N463"/>
      <c r="O463" s="15" t="str">
        <f t="shared" si="14"/>
        <v>_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/>
      </c>
      <c r="Q463" s="2"/>
      <c r="R463" s="2"/>
      <c r="S463" s="11"/>
      <c r="T463" s="1" t="str">
        <f>"owner=" &amp; Tokens!BS463 &amp; "&amp;filename_for_metadata=" &amp; Tokens!BT463 &amp; "&amp;offchaindata_platform=" &amp; $B$17 &amp; "&amp;keyfile=" &amp; $B$5 &amp; "&amp;network=" &amp; LOWER($B$8) &amp; "&amp;repository=" &amp; $B$18</f>
        <v>owner=thomas&amp;filename_for_metadata=InCasa_COR22D300&amp;offchaindata_platform=MongoDB&amp;keyfile=Paul&amp;network=jsonfiles&amp;repository=test</v>
      </c>
      <c r="U463" s="1" t="str">
        <f t="shared" si="15"/>
        <v>{"name":"In Casa #300",_x000D_
"symbol":"COR22D300",_x000D_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3" s="1" t="str">
        <f>formatRow(Tokens!C$2:I$2,Tokens!C463:I463)</f>
        <v>"name":"In Casa #300",_x000D_
"symbol":"COR22D300",_x000D_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3" s="1" t="str">
        <f>formatRow(Tokens!J$2:AV$2,Tokens!J463:AV463,2,"attributes")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3" s="1" t="str">
        <f>formatRow(Tokens!AX$2:BC$2,Tokens!AX463:BC463,2,"creators")</f>
        <v>"creators":[{"address":"paul",_x000D_
"share":10},{"address":"sophie",_x000D_
"share":90}]</v>
      </c>
      <c r="Y463" s="1" t="str">
        <f>formatRow(Tokens!BD$2:BI$2,Tokens!BD463:BI463,2,"files")</f>
        <v>"files":[]</v>
      </c>
      <c r="Z463" s="1"/>
      <c r="AA463" s="1"/>
      <c r="AB463" s="1"/>
      <c r="AC463" s="1" t="str">
        <f>formatRow(Tokens!BJ$2:BK$2,Tokens!BJ463:BK463,0,"collection")</f>
        <v>"collection":{"name":"In Casa",_x000D_
"family":"Calvi On The Rocks"}</v>
      </c>
    </row>
    <row r="464" spans="5:29" ht="14.25" customHeight="1" x14ac:dyDescent="0.25">
      <c r="E464" s="17" t="str">
        <f>IF(Tokens!C464="","",Tokens!C464)</f>
        <v>In Casa #301</v>
      </c>
      <c r="F464"/>
      <c r="G464"/>
      <c r="H464"/>
      <c r="I464"/>
      <c r="J464"/>
      <c r="M464"/>
      <c r="N464"/>
      <c r="O464" s="15" t="str">
        <f t="shared" si="14"/>
        <v>_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/>
      </c>
      <c r="Q464" s="2"/>
      <c r="R464" s="2"/>
      <c r="S464" s="11"/>
      <c r="T464" s="1" t="str">
        <f>"owner=" &amp; Tokens!BS464 &amp; "&amp;filename_for_metadata=" &amp; Tokens!BT464 &amp; "&amp;offchaindata_platform=" &amp; $B$17 &amp; "&amp;keyfile=" &amp; $B$5 &amp; "&amp;network=" &amp; LOWER($B$8) &amp; "&amp;repository=" &amp; $B$18</f>
        <v>owner=thomas&amp;filename_for_metadata=InCasa_COR22D301&amp;offchaindata_platform=MongoDB&amp;keyfile=Paul&amp;network=jsonfiles&amp;repository=test</v>
      </c>
      <c r="U464" s="1" t="str">
        <f t="shared" si="15"/>
        <v>{"name":"In Casa #301",_x000D_
"symbol":"COR22D301",_x000D_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4" s="1" t="str">
        <f>formatRow(Tokens!C$2:I$2,Tokens!C464:I464)</f>
        <v>"name":"In Casa #301",_x000D_
"symbol":"COR22D301",_x000D_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4" s="1" t="str">
        <f>formatRow(Tokens!J$2:AV$2,Tokens!J464:AV464,2,"attributes")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4" s="1" t="str">
        <f>formatRow(Tokens!AX$2:BC$2,Tokens!AX464:BC464,2,"creators")</f>
        <v>"creators":[{"address":"paul",_x000D_
"share":10},{"address":"sophie",_x000D_
"share":90}]</v>
      </c>
      <c r="Y464" s="1" t="str">
        <f>formatRow(Tokens!BD$2:BI$2,Tokens!BD464:BI464,2,"files")</f>
        <v>"files":[]</v>
      </c>
      <c r="Z464" s="1"/>
      <c r="AA464" s="1"/>
      <c r="AB464" s="1"/>
      <c r="AC464" s="1" t="str">
        <f>formatRow(Tokens!BJ$2:BK$2,Tokens!BJ464:BK464,0,"collection")</f>
        <v>"collection":{"name":"In Casa",_x000D_
"family":"Calvi On The Rocks"}</v>
      </c>
    </row>
    <row r="465" spans="5:29" ht="14.25" customHeight="1" x14ac:dyDescent="0.25">
      <c r="E465" s="17" t="str">
        <f>IF(Tokens!C465="","",Tokens!C465)</f>
        <v>In Casa #302</v>
      </c>
      <c r="F465"/>
      <c r="G465"/>
      <c r="H465"/>
      <c r="I465"/>
      <c r="J465"/>
      <c r="M465"/>
      <c r="N465"/>
      <c r="O465" s="15" t="str">
        <f t="shared" si="14"/>
        <v>_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/>
      </c>
      <c r="Q465" s="2"/>
      <c r="R465" s="2"/>
      <c r="S465" s="11"/>
      <c r="T465" s="1" t="str">
        <f>"owner=" &amp; Tokens!BS465 &amp; "&amp;filename_for_metadata=" &amp; Tokens!BT465 &amp; "&amp;offchaindata_platform=" &amp; $B$17 &amp; "&amp;keyfile=" &amp; $B$5 &amp; "&amp;network=" &amp; LOWER($B$8) &amp; "&amp;repository=" &amp; $B$18</f>
        <v>owner=thomas&amp;filename_for_metadata=InCasa_COR22D302&amp;offchaindata_platform=MongoDB&amp;keyfile=Paul&amp;network=jsonfiles&amp;repository=test</v>
      </c>
      <c r="U465" s="1" t="str">
        <f t="shared" si="15"/>
        <v>{"name":"In Casa #302",_x000D_
"symbol":"COR22D302",_x000D_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5" s="1" t="str">
        <f>formatRow(Tokens!C$2:I$2,Tokens!C465:I465)</f>
        <v>"name":"In Casa #302",_x000D_
"symbol":"COR22D302",_x000D_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5" s="1" t="str">
        <f>formatRow(Tokens!J$2:AV$2,Tokens!J465:AV465,2,"attributes")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5" s="1" t="str">
        <f>formatRow(Tokens!AX$2:BC$2,Tokens!AX465:BC465,2,"creators")</f>
        <v>"creators":[{"address":"paul",_x000D_
"share":10},{"address":"sophie",_x000D_
"share":90}]</v>
      </c>
      <c r="Y465" s="1" t="str">
        <f>formatRow(Tokens!BD$2:BI$2,Tokens!BD465:BI465,2,"files")</f>
        <v>"files":[]</v>
      </c>
      <c r="Z465" s="1"/>
      <c r="AA465" s="1"/>
      <c r="AB465" s="1"/>
      <c r="AC465" s="1" t="str">
        <f>formatRow(Tokens!BJ$2:BK$2,Tokens!BJ465:BK465,0,"collection")</f>
        <v>"collection":{"name":"In Casa",_x000D_
"family":"Calvi On The Rocks"}</v>
      </c>
    </row>
    <row r="466" spans="5:29" ht="14.25" customHeight="1" x14ac:dyDescent="0.25">
      <c r="E466" s="17" t="str">
        <f>IF(Tokens!C466="","",Tokens!C466)</f>
        <v>In Casa #303</v>
      </c>
      <c r="F466"/>
      <c r="G466"/>
      <c r="H466"/>
      <c r="I466"/>
      <c r="J466"/>
      <c r="M466"/>
      <c r="N466"/>
      <c r="O466" s="15" t="str">
        <f t="shared" si="14"/>
        <v>_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/>
      </c>
      <c r="Q466" s="2"/>
      <c r="R466" s="2"/>
      <c r="S466" s="11"/>
      <c r="T466" s="1" t="str">
        <f>"owner=" &amp; Tokens!BS466 &amp; "&amp;filename_for_metadata=" &amp; Tokens!BT466 &amp; "&amp;offchaindata_platform=" &amp; $B$17 &amp; "&amp;keyfile=" &amp; $B$5 &amp; "&amp;network=" &amp; LOWER($B$8) &amp; "&amp;repository=" &amp; $B$18</f>
        <v>owner=thomas&amp;filename_for_metadata=InCasa_COR22D303&amp;offchaindata_platform=MongoDB&amp;keyfile=Paul&amp;network=jsonfiles&amp;repository=test</v>
      </c>
      <c r="U466" s="1" t="str">
        <f t="shared" si="15"/>
        <v>{"name":"In Casa #303",_x000D_
"symbol":"COR22D303",_x000D_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6" s="1" t="str">
        <f>formatRow(Tokens!C$2:I$2,Tokens!C466:I466)</f>
        <v>"name":"In Casa #303",_x000D_
"symbol":"COR22D303",_x000D_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6" s="1" t="str">
        <f>formatRow(Tokens!J$2:AV$2,Tokens!J466:AV466,2,"attributes")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6" s="1" t="str">
        <f>formatRow(Tokens!AX$2:BC$2,Tokens!AX466:BC466,2,"creators")</f>
        <v>"creators":[{"address":"paul",_x000D_
"share":10},{"address":"sophie",_x000D_
"share":90}]</v>
      </c>
      <c r="Y466" s="1" t="str">
        <f>formatRow(Tokens!BD$2:BI$2,Tokens!BD466:BI466,2,"files")</f>
        <v>"files":[]</v>
      </c>
      <c r="Z466" s="1"/>
      <c r="AA466" s="1"/>
      <c r="AB466" s="1"/>
      <c r="AC466" s="1" t="str">
        <f>formatRow(Tokens!BJ$2:BK$2,Tokens!BJ466:BK466,0,"collection")</f>
        <v>"collection":{"name":"In Casa",_x000D_
"family":"Calvi On The Rocks"}</v>
      </c>
    </row>
    <row r="467" spans="5:29" ht="14.25" customHeight="1" x14ac:dyDescent="0.25">
      <c r="E467" s="17" t="str">
        <f>IF(Tokens!C467="","",Tokens!C467)</f>
        <v>In Casa #304</v>
      </c>
      <c r="F467"/>
      <c r="G467"/>
      <c r="H467"/>
      <c r="I467"/>
      <c r="J467"/>
      <c r="M467"/>
      <c r="N467"/>
      <c r="O467" s="15" t="str">
        <f t="shared" si="14"/>
        <v>_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/>
      </c>
      <c r="Q467" s="2"/>
      <c r="R467" s="2"/>
      <c r="S467" s="11"/>
      <c r="T467" s="1" t="str">
        <f>"owner=" &amp; Tokens!BS467 &amp; "&amp;filename_for_metadata=" &amp; Tokens!BT467 &amp; "&amp;offchaindata_platform=" &amp; $B$17 &amp; "&amp;keyfile=" &amp; $B$5 &amp; "&amp;network=" &amp; LOWER($B$8) &amp; "&amp;repository=" &amp; $B$18</f>
        <v>owner=thomas&amp;filename_for_metadata=InCasa_COR22D304&amp;offchaindata_platform=MongoDB&amp;keyfile=Paul&amp;network=jsonfiles&amp;repository=test</v>
      </c>
      <c r="U467" s="1" t="str">
        <f t="shared" si="15"/>
        <v>{"name":"In Casa #304",_x000D_
"symbol":"COR22D304",_x000D_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7" s="1" t="str">
        <f>formatRow(Tokens!C$2:I$2,Tokens!C467:I467)</f>
        <v>"name":"In Casa #304",_x000D_
"symbol":"COR22D304",_x000D_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7" s="1" t="str">
        <f>formatRow(Tokens!J$2:AV$2,Tokens!J467:AV467,2,"attributes")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7" s="1" t="str">
        <f>formatRow(Tokens!AX$2:BC$2,Tokens!AX467:BC467,2,"creators")</f>
        <v>"creators":[{"address":"paul",_x000D_
"share":10},{"address":"sophie",_x000D_
"share":90}]</v>
      </c>
      <c r="Y467" s="1" t="str">
        <f>formatRow(Tokens!BD$2:BI$2,Tokens!BD467:BI467,2,"files")</f>
        <v>"files":[]</v>
      </c>
      <c r="Z467" s="1"/>
      <c r="AA467" s="1"/>
      <c r="AB467" s="1"/>
      <c r="AC467" s="1" t="str">
        <f>formatRow(Tokens!BJ$2:BK$2,Tokens!BJ467:BK467,0,"collection")</f>
        <v>"collection":{"name":"In Casa",_x000D_
"family":"Calvi On The Rocks"}</v>
      </c>
    </row>
    <row r="468" spans="5:29" ht="14.25" customHeight="1" x14ac:dyDescent="0.25">
      <c r="E468" s="17" t="str">
        <f>IF(Tokens!C468="","",Tokens!C468)</f>
        <v>In Casa #305</v>
      </c>
      <c r="F468"/>
      <c r="G468"/>
      <c r="H468"/>
      <c r="I468"/>
      <c r="J468"/>
      <c r="M468"/>
      <c r="N468"/>
      <c r="O468" s="15" t="str">
        <f t="shared" si="14"/>
        <v>_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/>
      </c>
      <c r="Q468" s="2"/>
      <c r="R468" s="2"/>
      <c r="S468" s="11"/>
      <c r="T468" s="1" t="str">
        <f>"owner=" &amp; Tokens!BS468 &amp; "&amp;filename_for_metadata=" &amp; Tokens!BT468 &amp; "&amp;offchaindata_platform=" &amp; $B$17 &amp; "&amp;keyfile=" &amp; $B$5 &amp; "&amp;network=" &amp; LOWER($B$8) &amp; "&amp;repository=" &amp; $B$18</f>
        <v>owner=thomas&amp;filename_for_metadata=InCasa_COR22D305&amp;offchaindata_platform=MongoDB&amp;keyfile=Paul&amp;network=jsonfiles&amp;repository=test</v>
      </c>
      <c r="U468" s="1" t="str">
        <f t="shared" si="15"/>
        <v>{"name":"In Casa #305",_x000D_
"symbol":"COR22D305",_x000D_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8" s="1" t="str">
        <f>formatRow(Tokens!C$2:I$2,Tokens!C468:I468)</f>
        <v>"name":"In Casa #305",_x000D_
"symbol":"COR22D305",_x000D_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8" s="1" t="str">
        <f>formatRow(Tokens!J$2:AV$2,Tokens!J468:AV468,2,"attributes")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8" s="1" t="str">
        <f>formatRow(Tokens!AX$2:BC$2,Tokens!AX468:BC468,2,"creators")</f>
        <v>"creators":[{"address":"paul",_x000D_
"share":10},{"address":"sophie",_x000D_
"share":90}]</v>
      </c>
      <c r="Y468" s="1" t="str">
        <f>formatRow(Tokens!BD$2:BI$2,Tokens!BD468:BI468,2,"files")</f>
        <v>"files":[]</v>
      </c>
      <c r="Z468" s="1"/>
      <c r="AA468" s="1"/>
      <c r="AB468" s="1"/>
      <c r="AC468" s="1" t="str">
        <f>formatRow(Tokens!BJ$2:BK$2,Tokens!BJ468:BK468,0,"collection")</f>
        <v>"collection":{"name":"In Casa",_x000D_
"family":"Calvi On The Rocks"}</v>
      </c>
    </row>
    <row r="469" spans="5:29" ht="14.25" customHeight="1" x14ac:dyDescent="0.25">
      <c r="E469" s="17" t="str">
        <f>IF(Tokens!C469="","",Tokens!C469)</f>
        <v>In Casa #306</v>
      </c>
      <c r="F469"/>
      <c r="G469"/>
      <c r="H469"/>
      <c r="I469"/>
      <c r="J469"/>
      <c r="M469"/>
      <c r="N469"/>
      <c r="O469" s="15" t="str">
        <f t="shared" si="14"/>
        <v>_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/>
      </c>
      <c r="Q469" s="2"/>
      <c r="R469" s="2"/>
      <c r="S469" s="11"/>
      <c r="T469" s="1" t="str">
        <f>"owner=" &amp; Tokens!BS469 &amp; "&amp;filename_for_metadata=" &amp; Tokens!BT469 &amp; "&amp;offchaindata_platform=" &amp; $B$17 &amp; "&amp;keyfile=" &amp; $B$5 &amp; "&amp;network=" &amp; LOWER($B$8) &amp; "&amp;repository=" &amp; $B$18</f>
        <v>owner=thomas&amp;filename_for_metadata=InCasa_COR22D306&amp;offchaindata_platform=MongoDB&amp;keyfile=Paul&amp;network=jsonfiles&amp;repository=test</v>
      </c>
      <c r="U469" s="1" t="str">
        <f t="shared" si="15"/>
        <v>{"name":"In Casa #306",_x000D_
"symbol":"COR22D306",_x000D_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69" s="1" t="str">
        <f>formatRow(Tokens!C$2:I$2,Tokens!C469:I469)</f>
        <v>"name":"In Casa #306",_x000D_
"symbol":"COR22D306",_x000D_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69" s="1" t="str">
        <f>formatRow(Tokens!J$2:AV$2,Tokens!J469:AV469,2,"attributes")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69" s="1" t="str">
        <f>formatRow(Tokens!AX$2:BC$2,Tokens!AX469:BC469,2,"creators")</f>
        <v>"creators":[{"address":"paul",_x000D_
"share":10},{"address":"sophie",_x000D_
"share":90}]</v>
      </c>
      <c r="Y469" s="1" t="str">
        <f>formatRow(Tokens!BD$2:BI$2,Tokens!BD469:BI469,2,"files")</f>
        <v>"files":[]</v>
      </c>
      <c r="Z469" s="1"/>
      <c r="AA469" s="1"/>
      <c r="AB469" s="1"/>
      <c r="AC469" s="1" t="str">
        <f>formatRow(Tokens!BJ$2:BK$2,Tokens!BJ469:BK469,0,"collection")</f>
        <v>"collection":{"name":"In Casa",_x000D_
"family":"Calvi On The Rocks"}</v>
      </c>
    </row>
    <row r="470" spans="5:29" ht="14.25" customHeight="1" x14ac:dyDescent="0.25">
      <c r="E470" s="17" t="str">
        <f>IF(Tokens!C470="","",Tokens!C470)</f>
        <v>In Casa #307</v>
      </c>
      <c r="F470"/>
      <c r="G470"/>
      <c r="H470"/>
      <c r="I470"/>
      <c r="J470"/>
      <c r="M470"/>
      <c r="N470"/>
      <c r="O470" s="15" t="str">
        <f t="shared" si="14"/>
        <v>_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/>
      </c>
      <c r="Q470" s="2"/>
      <c r="R470" s="2"/>
      <c r="S470" s="11"/>
      <c r="T470" s="1" t="str">
        <f>"owner=" &amp; Tokens!BS470 &amp; "&amp;filename_for_metadata=" &amp; Tokens!BT470 &amp; "&amp;offchaindata_platform=" &amp; $B$17 &amp; "&amp;keyfile=" &amp; $B$5 &amp; "&amp;network=" &amp; LOWER($B$8) &amp; "&amp;repository=" &amp; $B$18</f>
        <v>owner=thomas&amp;filename_for_metadata=InCasa_COR22D307&amp;offchaindata_platform=MongoDB&amp;keyfile=Paul&amp;network=jsonfiles&amp;repository=test</v>
      </c>
      <c r="U470" s="1" t="str">
        <f t="shared" si="15"/>
        <v>{"name":"In Casa #307",_x000D_
"symbol":"COR22D307",_x000D_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0" s="1" t="str">
        <f>formatRow(Tokens!C$2:I$2,Tokens!C470:I470)</f>
        <v>"name":"In Casa #307",_x000D_
"symbol":"COR22D307",_x000D_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0" s="1" t="str">
        <f>formatRow(Tokens!J$2:AV$2,Tokens!J470:AV470,2,"attributes")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0" s="1" t="str">
        <f>formatRow(Tokens!AX$2:BC$2,Tokens!AX470:BC470,2,"creators")</f>
        <v>"creators":[{"address":"paul",_x000D_
"share":10},{"address":"sophie",_x000D_
"share":90}]</v>
      </c>
      <c r="Y470" s="1" t="str">
        <f>formatRow(Tokens!BD$2:BI$2,Tokens!BD470:BI470,2,"files")</f>
        <v>"files":[]</v>
      </c>
      <c r="Z470" s="1"/>
      <c r="AA470" s="1"/>
      <c r="AB470" s="1"/>
      <c r="AC470" s="1" t="str">
        <f>formatRow(Tokens!BJ$2:BK$2,Tokens!BJ470:BK470,0,"collection")</f>
        <v>"collection":{"name":"In Casa",_x000D_
"family":"Calvi On The Rocks"}</v>
      </c>
    </row>
    <row r="471" spans="5:29" ht="14.25" customHeight="1" x14ac:dyDescent="0.25">
      <c r="E471" s="17" t="str">
        <f>IF(Tokens!C471="","",Tokens!C471)</f>
        <v>In Casa #308</v>
      </c>
      <c r="F471"/>
      <c r="G471"/>
      <c r="H471"/>
      <c r="I471"/>
      <c r="J471"/>
      <c r="M471"/>
      <c r="N471"/>
      <c r="O471" s="15" t="str">
        <f t="shared" si="14"/>
        <v>_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/>
      </c>
      <c r="Q471" s="2"/>
      <c r="R471" s="2"/>
      <c r="S471" s="11"/>
      <c r="T471" s="1" t="str">
        <f>"owner=" &amp; Tokens!BS471 &amp; "&amp;filename_for_metadata=" &amp; Tokens!BT471 &amp; "&amp;offchaindata_platform=" &amp; $B$17 &amp; "&amp;keyfile=" &amp; $B$5 &amp; "&amp;network=" &amp; LOWER($B$8) &amp; "&amp;repository=" &amp; $B$18</f>
        <v>owner=thomas&amp;filename_for_metadata=InCasa_COR22D308&amp;offchaindata_platform=MongoDB&amp;keyfile=Paul&amp;network=jsonfiles&amp;repository=test</v>
      </c>
      <c r="U471" s="1" t="str">
        <f t="shared" si="15"/>
        <v>{"name":"In Casa #308",_x000D_
"symbol":"COR22D308",_x000D_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1" s="1" t="str">
        <f>formatRow(Tokens!C$2:I$2,Tokens!C471:I471)</f>
        <v>"name":"In Casa #308",_x000D_
"symbol":"COR22D308",_x000D_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1" s="1" t="str">
        <f>formatRow(Tokens!J$2:AV$2,Tokens!J471:AV471,2,"attributes")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1" s="1" t="str">
        <f>formatRow(Tokens!AX$2:BC$2,Tokens!AX471:BC471,2,"creators")</f>
        <v>"creators":[{"address":"paul",_x000D_
"share":10},{"address":"sophie",_x000D_
"share":90}]</v>
      </c>
      <c r="Y471" s="1" t="str">
        <f>formatRow(Tokens!BD$2:BI$2,Tokens!BD471:BI471,2,"files")</f>
        <v>"files":[]</v>
      </c>
      <c r="Z471" s="1"/>
      <c r="AA471" s="1"/>
      <c r="AB471" s="1"/>
      <c r="AC471" s="1" t="str">
        <f>formatRow(Tokens!BJ$2:BK$2,Tokens!BJ471:BK471,0,"collection")</f>
        <v>"collection":{"name":"In Casa",_x000D_
"family":"Calvi On The Rocks"}</v>
      </c>
    </row>
    <row r="472" spans="5:29" ht="14.25" customHeight="1" x14ac:dyDescent="0.25">
      <c r="E472" s="17" t="str">
        <f>IF(Tokens!C472="","",Tokens!C472)</f>
        <v>In Casa #309</v>
      </c>
      <c r="F472"/>
      <c r="G472"/>
      <c r="H472"/>
      <c r="I472"/>
      <c r="J472"/>
      <c r="M472"/>
      <c r="N472"/>
      <c r="O472" s="15" t="str">
        <f t="shared" si="14"/>
        <v>_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/>
      </c>
      <c r="Q472" s="2"/>
      <c r="R472" s="2"/>
      <c r="S472" s="11"/>
      <c r="T472" s="1" t="str">
        <f>"owner=" &amp; Tokens!BS472 &amp; "&amp;filename_for_metadata=" &amp; Tokens!BT472 &amp; "&amp;offchaindata_platform=" &amp; $B$17 &amp; "&amp;keyfile=" &amp; $B$5 &amp; "&amp;network=" &amp; LOWER($B$8) &amp; "&amp;repository=" &amp; $B$18</f>
        <v>owner=thomas&amp;filename_for_metadata=InCasa_COR22D309&amp;offchaindata_platform=MongoDB&amp;keyfile=Paul&amp;network=jsonfiles&amp;repository=test</v>
      </c>
      <c r="U472" s="1" t="str">
        <f t="shared" si="15"/>
        <v>{"name":"In Casa #309",_x000D_
"symbol":"COR22D309",_x000D_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2" s="1" t="str">
        <f>formatRow(Tokens!C$2:I$2,Tokens!C472:I472)</f>
        <v>"name":"In Casa #309",_x000D_
"symbol":"COR22D309",_x000D_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2" s="1" t="str">
        <f>formatRow(Tokens!J$2:AV$2,Tokens!J472:AV472,2,"attributes")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2" s="1" t="str">
        <f>formatRow(Tokens!AX$2:BC$2,Tokens!AX472:BC472,2,"creators")</f>
        <v>"creators":[{"address":"paul",_x000D_
"share":10},{"address":"sophie",_x000D_
"share":90}]</v>
      </c>
      <c r="Y472" s="1" t="str">
        <f>formatRow(Tokens!BD$2:BI$2,Tokens!BD472:BI472,2,"files")</f>
        <v>"files":[]</v>
      </c>
      <c r="Z472" s="1"/>
      <c r="AA472" s="1"/>
      <c r="AB472" s="1"/>
      <c r="AC472" s="1" t="str">
        <f>formatRow(Tokens!BJ$2:BK$2,Tokens!BJ472:BK472,0,"collection")</f>
        <v>"collection":{"name":"In Casa",_x000D_
"family":"Calvi On The Rocks"}</v>
      </c>
    </row>
    <row r="473" spans="5:29" ht="14.25" customHeight="1" x14ac:dyDescent="0.25">
      <c r="E473" s="17" t="str">
        <f>IF(Tokens!C473="","",Tokens!C473)</f>
        <v>In Casa #310</v>
      </c>
      <c r="F473"/>
      <c r="G473"/>
      <c r="H473"/>
      <c r="I473"/>
      <c r="J473"/>
      <c r="M473"/>
      <c r="N473"/>
      <c r="O473" s="15" t="str">
        <f t="shared" si="14"/>
        <v>_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/>
      </c>
      <c r="Q473" s="2"/>
      <c r="R473" s="2"/>
      <c r="S473" s="11"/>
      <c r="T473" s="1" t="str">
        <f>"owner=" &amp; Tokens!BS473 &amp; "&amp;filename_for_metadata=" &amp; Tokens!BT473 &amp; "&amp;offchaindata_platform=" &amp; $B$17 &amp; "&amp;keyfile=" &amp; $B$5 &amp; "&amp;network=" &amp; LOWER($B$8) &amp; "&amp;repository=" &amp; $B$18</f>
        <v>owner=thomas&amp;filename_for_metadata=InCasa_COR22D310&amp;offchaindata_platform=MongoDB&amp;keyfile=Paul&amp;network=jsonfiles&amp;repository=test</v>
      </c>
      <c r="U473" s="1" t="str">
        <f t="shared" si="15"/>
        <v>{"name":"In Casa #310",_x000D_
"symbol":"COR22D310",_x000D_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3" s="1" t="str">
        <f>formatRow(Tokens!C$2:I$2,Tokens!C473:I473)</f>
        <v>"name":"In Casa #310",_x000D_
"symbol":"COR22D310",_x000D_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3" s="1" t="str">
        <f>formatRow(Tokens!J$2:AV$2,Tokens!J473:AV473,2,"attributes")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3" s="1" t="str">
        <f>formatRow(Tokens!AX$2:BC$2,Tokens!AX473:BC473,2,"creators")</f>
        <v>"creators":[{"address":"paul",_x000D_
"share":10},{"address":"sophie",_x000D_
"share":90}]</v>
      </c>
      <c r="Y473" s="1" t="str">
        <f>formatRow(Tokens!BD$2:BI$2,Tokens!BD473:BI473,2,"files")</f>
        <v>"files":[]</v>
      </c>
      <c r="Z473" s="1"/>
      <c r="AA473" s="1"/>
      <c r="AB473" s="1"/>
      <c r="AC473" s="1" t="str">
        <f>formatRow(Tokens!BJ$2:BK$2,Tokens!BJ473:BK473,0,"collection")</f>
        <v>"collection":{"name":"In Casa",_x000D_
"family":"Calvi On The Rocks"}</v>
      </c>
    </row>
    <row r="474" spans="5:29" ht="14.25" customHeight="1" x14ac:dyDescent="0.25">
      <c r="E474" s="17" t="str">
        <f>IF(Tokens!C474="","",Tokens!C474)</f>
        <v>In Casa #311</v>
      </c>
      <c r="F474"/>
      <c r="G474"/>
      <c r="H474"/>
      <c r="I474"/>
      <c r="J474"/>
      <c r="M474"/>
      <c r="N474"/>
      <c r="O474" s="15" t="str">
        <f t="shared" si="14"/>
        <v>_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/>
      </c>
      <c r="Q474" s="2"/>
      <c r="R474" s="2"/>
      <c r="S474" s="11"/>
      <c r="T474" s="1" t="str">
        <f>"owner=" &amp; Tokens!BS474 &amp; "&amp;filename_for_metadata=" &amp; Tokens!BT474 &amp; "&amp;offchaindata_platform=" &amp; $B$17 &amp; "&amp;keyfile=" &amp; $B$5 &amp; "&amp;network=" &amp; LOWER($B$8) &amp; "&amp;repository=" &amp; $B$18</f>
        <v>owner=thomas&amp;filename_for_metadata=InCasa_COR22D311&amp;offchaindata_platform=MongoDB&amp;keyfile=Paul&amp;network=jsonfiles&amp;repository=test</v>
      </c>
      <c r="U474" s="1" t="str">
        <f t="shared" si="15"/>
        <v>{"name":"In Casa #311",_x000D_
"symbol":"COR22D311",_x000D_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4" s="1" t="str">
        <f>formatRow(Tokens!C$2:I$2,Tokens!C474:I474)</f>
        <v>"name":"In Casa #311",_x000D_
"symbol":"COR22D311",_x000D_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4" s="1" t="str">
        <f>formatRow(Tokens!J$2:AV$2,Tokens!J474:AV474,2,"attributes")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4" s="1" t="str">
        <f>formatRow(Tokens!AX$2:BC$2,Tokens!AX474:BC474,2,"creators")</f>
        <v>"creators":[{"address":"paul",_x000D_
"share":10},{"address":"sophie",_x000D_
"share":90}]</v>
      </c>
      <c r="Y474" s="1" t="str">
        <f>formatRow(Tokens!BD$2:BI$2,Tokens!BD474:BI474,2,"files")</f>
        <v>"files":[]</v>
      </c>
      <c r="Z474" s="1"/>
      <c r="AA474" s="1"/>
      <c r="AB474" s="1"/>
      <c r="AC474" s="1" t="str">
        <f>formatRow(Tokens!BJ$2:BK$2,Tokens!BJ474:BK474,0,"collection")</f>
        <v>"collection":{"name":"In Casa",_x000D_
"family":"Calvi On The Rocks"}</v>
      </c>
    </row>
    <row r="475" spans="5:29" ht="14.25" customHeight="1" x14ac:dyDescent="0.25">
      <c r="E475" s="17" t="str">
        <f>IF(Tokens!C475="","",Tokens!C475)</f>
        <v>In Casa #312</v>
      </c>
      <c r="F475"/>
      <c r="G475"/>
      <c r="H475"/>
      <c r="I475"/>
      <c r="J475"/>
      <c r="M475"/>
      <c r="N475"/>
      <c r="O475" s="15" t="str">
        <f t="shared" si="14"/>
        <v>_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/>
      </c>
      <c r="Q475" s="2"/>
      <c r="R475" s="2"/>
      <c r="S475" s="11"/>
      <c r="T475" s="1" t="str">
        <f>"owner=" &amp; Tokens!BS475 &amp; "&amp;filename_for_metadata=" &amp; Tokens!BT475 &amp; "&amp;offchaindata_platform=" &amp; $B$17 &amp; "&amp;keyfile=" &amp; $B$5 &amp; "&amp;network=" &amp; LOWER($B$8) &amp; "&amp;repository=" &amp; $B$18</f>
        <v>owner=thomas&amp;filename_for_metadata=InCasa_COR22D312&amp;offchaindata_platform=MongoDB&amp;keyfile=Paul&amp;network=jsonfiles&amp;repository=test</v>
      </c>
      <c r="U475" s="1" t="str">
        <f t="shared" si="15"/>
        <v>{"name":"In Casa #312",_x000D_
"symbol":"COR22D312",_x000D_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5" s="1" t="str">
        <f>formatRow(Tokens!C$2:I$2,Tokens!C475:I475)</f>
        <v>"name":"In Casa #312",_x000D_
"symbol":"COR22D312",_x000D_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5" s="1" t="str">
        <f>formatRow(Tokens!J$2:AV$2,Tokens!J475:AV475,2,"attributes")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5" s="1" t="str">
        <f>formatRow(Tokens!AX$2:BC$2,Tokens!AX475:BC475,2,"creators")</f>
        <v>"creators":[{"address":"paul",_x000D_
"share":10},{"address":"sophie",_x000D_
"share":90}]</v>
      </c>
      <c r="Y475" s="1" t="str">
        <f>formatRow(Tokens!BD$2:BI$2,Tokens!BD475:BI475,2,"files")</f>
        <v>"files":[]</v>
      </c>
      <c r="Z475" s="1"/>
      <c r="AA475" s="1"/>
      <c r="AB475" s="1"/>
      <c r="AC475" s="1" t="str">
        <f>formatRow(Tokens!BJ$2:BK$2,Tokens!BJ475:BK475,0,"collection")</f>
        <v>"collection":{"name":"In Casa",_x000D_
"family":"Calvi On The Rocks"}</v>
      </c>
    </row>
    <row r="476" spans="5:29" ht="14.25" customHeight="1" x14ac:dyDescent="0.25">
      <c r="E476" s="17" t="str">
        <f>IF(Tokens!C476="","",Tokens!C476)</f>
        <v>In Casa #313</v>
      </c>
      <c r="F476"/>
      <c r="G476"/>
      <c r="H476"/>
      <c r="I476"/>
      <c r="J476"/>
      <c r="M476"/>
      <c r="N476"/>
      <c r="O476" s="15" t="str">
        <f t="shared" si="14"/>
        <v>_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/>
      </c>
      <c r="Q476" s="2"/>
      <c r="R476" s="2"/>
      <c r="S476" s="11"/>
      <c r="T476" s="1" t="str">
        <f>"owner=" &amp; Tokens!BS476 &amp; "&amp;filename_for_metadata=" &amp; Tokens!BT476 &amp; "&amp;offchaindata_platform=" &amp; $B$17 &amp; "&amp;keyfile=" &amp; $B$5 &amp; "&amp;network=" &amp; LOWER($B$8) &amp; "&amp;repository=" &amp; $B$18</f>
        <v>owner=thomas&amp;filename_for_metadata=InCasa_COR22D313&amp;offchaindata_platform=MongoDB&amp;keyfile=Paul&amp;network=jsonfiles&amp;repository=test</v>
      </c>
      <c r="U476" s="1" t="str">
        <f t="shared" si="15"/>
        <v>{"name":"In Casa #313",_x000D_
"symbol":"COR22D313",_x000D_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6" s="1" t="str">
        <f>formatRow(Tokens!C$2:I$2,Tokens!C476:I476)</f>
        <v>"name":"In Casa #313",_x000D_
"symbol":"COR22D313",_x000D_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6" s="1" t="str">
        <f>formatRow(Tokens!J$2:AV$2,Tokens!J476:AV476,2,"attributes")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6" s="1" t="str">
        <f>formatRow(Tokens!AX$2:BC$2,Tokens!AX476:BC476,2,"creators")</f>
        <v>"creators":[{"address":"paul",_x000D_
"share":10},{"address":"sophie",_x000D_
"share":90}]</v>
      </c>
      <c r="Y476" s="1" t="str">
        <f>formatRow(Tokens!BD$2:BI$2,Tokens!BD476:BI476,2,"files")</f>
        <v>"files":[]</v>
      </c>
      <c r="Z476" s="1"/>
      <c r="AA476" s="1"/>
      <c r="AB476" s="1"/>
      <c r="AC476" s="1" t="str">
        <f>formatRow(Tokens!BJ$2:BK$2,Tokens!BJ476:BK476,0,"collection")</f>
        <v>"collection":{"name":"In Casa",_x000D_
"family":"Calvi On The Rocks"}</v>
      </c>
    </row>
    <row r="477" spans="5:29" ht="14.25" customHeight="1" x14ac:dyDescent="0.25">
      <c r="E477" s="17" t="str">
        <f>IF(Tokens!C477="","",Tokens!C477)</f>
        <v>In Casa #314</v>
      </c>
      <c r="F477"/>
      <c r="G477"/>
      <c r="H477"/>
      <c r="I477"/>
      <c r="J477"/>
      <c r="M477"/>
      <c r="N477"/>
      <c r="O477" s="15" t="str">
        <f t="shared" si="14"/>
        <v>_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/>
      </c>
      <c r="Q477" s="2"/>
      <c r="R477" s="2"/>
      <c r="S477" s="11"/>
      <c r="T477" s="1" t="str">
        <f>"owner=" &amp; Tokens!BS477 &amp; "&amp;filename_for_metadata=" &amp; Tokens!BT477 &amp; "&amp;offchaindata_platform=" &amp; $B$17 &amp; "&amp;keyfile=" &amp; $B$5 &amp; "&amp;network=" &amp; LOWER($B$8) &amp; "&amp;repository=" &amp; $B$18</f>
        <v>owner=thomas&amp;filename_for_metadata=InCasa_COR22D314&amp;offchaindata_platform=MongoDB&amp;keyfile=Paul&amp;network=jsonfiles&amp;repository=test</v>
      </c>
      <c r="U477" s="1" t="str">
        <f t="shared" si="15"/>
        <v>{"name":"In Casa #314",_x000D_
"symbol":"COR22D314",_x000D_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7" s="1" t="str">
        <f>formatRow(Tokens!C$2:I$2,Tokens!C477:I477)</f>
        <v>"name":"In Casa #314",_x000D_
"symbol":"COR22D314",_x000D_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7" s="1" t="str">
        <f>formatRow(Tokens!J$2:AV$2,Tokens!J477:AV477,2,"attributes")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7" s="1" t="str">
        <f>formatRow(Tokens!AX$2:BC$2,Tokens!AX477:BC477,2,"creators")</f>
        <v>"creators":[{"address":"paul",_x000D_
"share":10},{"address":"sophie",_x000D_
"share":90}]</v>
      </c>
      <c r="Y477" s="1" t="str">
        <f>formatRow(Tokens!BD$2:BI$2,Tokens!BD477:BI477,2,"files")</f>
        <v>"files":[]</v>
      </c>
      <c r="Z477" s="1"/>
      <c r="AA477" s="1"/>
      <c r="AB477" s="1"/>
      <c r="AC477" s="1" t="str">
        <f>formatRow(Tokens!BJ$2:BK$2,Tokens!BJ477:BK477,0,"collection")</f>
        <v>"collection":{"name":"In Casa",_x000D_
"family":"Calvi On The Rocks"}</v>
      </c>
    </row>
    <row r="478" spans="5:29" ht="14.25" customHeight="1" x14ac:dyDescent="0.25">
      <c r="E478" s="17" t="str">
        <f>IF(Tokens!C478="","",Tokens!C478)</f>
        <v>In Casa #315</v>
      </c>
      <c r="F478"/>
      <c r="G478"/>
      <c r="H478"/>
      <c r="I478"/>
      <c r="J478"/>
      <c r="M478"/>
      <c r="N478"/>
      <c r="O478" s="15" t="str">
        <f t="shared" si="14"/>
        <v>_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/>
      </c>
      <c r="Q478" s="2"/>
      <c r="R478" s="2"/>
      <c r="S478" s="11"/>
      <c r="T478" s="1" t="str">
        <f>"owner=" &amp; Tokens!BS478 &amp; "&amp;filename_for_metadata=" &amp; Tokens!BT478 &amp; "&amp;offchaindata_platform=" &amp; $B$17 &amp; "&amp;keyfile=" &amp; $B$5 &amp; "&amp;network=" &amp; LOWER($B$8) &amp; "&amp;repository=" &amp; $B$18</f>
        <v>owner=thomas&amp;filename_for_metadata=InCasa_COR22D315&amp;offchaindata_platform=MongoDB&amp;keyfile=Paul&amp;network=jsonfiles&amp;repository=test</v>
      </c>
      <c r="U478" s="1" t="str">
        <f t="shared" si="15"/>
        <v>{"name":"In Casa #315",_x000D_
"symbol":"COR22D315",_x000D_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8" s="1" t="str">
        <f>formatRow(Tokens!C$2:I$2,Tokens!C478:I478)</f>
        <v>"name":"In Casa #315",_x000D_
"symbol":"COR22D315",_x000D_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8" s="1" t="str">
        <f>formatRow(Tokens!J$2:AV$2,Tokens!J478:AV478,2,"attributes")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8" s="1" t="str">
        <f>formatRow(Tokens!AX$2:BC$2,Tokens!AX478:BC478,2,"creators")</f>
        <v>"creators":[{"address":"paul",_x000D_
"share":10},{"address":"sophie",_x000D_
"share":90}]</v>
      </c>
      <c r="Y478" s="1" t="str">
        <f>formatRow(Tokens!BD$2:BI$2,Tokens!BD478:BI478,2,"files")</f>
        <v>"files":[]</v>
      </c>
      <c r="Z478" s="1"/>
      <c r="AA478" s="1"/>
      <c r="AB478" s="1"/>
      <c r="AC478" s="1" t="str">
        <f>formatRow(Tokens!BJ$2:BK$2,Tokens!BJ478:BK478,0,"collection")</f>
        <v>"collection":{"name":"In Casa",_x000D_
"family":"Calvi On The Rocks"}</v>
      </c>
    </row>
    <row r="479" spans="5:29" ht="14.25" customHeight="1" x14ac:dyDescent="0.25">
      <c r="E479" s="17" t="str">
        <f>IF(Tokens!C479="","",Tokens!C479)</f>
        <v>In Casa #316</v>
      </c>
      <c r="F479"/>
      <c r="G479"/>
      <c r="H479"/>
      <c r="I479"/>
      <c r="J479"/>
      <c r="M479"/>
      <c r="N479"/>
      <c r="O479" s="15" t="str">
        <f t="shared" si="14"/>
        <v>_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/>
      </c>
      <c r="Q479" s="2"/>
      <c r="R479" s="2"/>
      <c r="S479" s="11"/>
      <c r="T479" s="1" t="str">
        <f>"owner=" &amp; Tokens!BS479 &amp; "&amp;filename_for_metadata=" &amp; Tokens!BT479 &amp; "&amp;offchaindata_platform=" &amp; $B$17 &amp; "&amp;keyfile=" &amp; $B$5 &amp; "&amp;network=" &amp; LOWER($B$8) &amp; "&amp;repository=" &amp; $B$18</f>
        <v>owner=thomas&amp;filename_for_metadata=InCasa_COR22D316&amp;offchaindata_platform=MongoDB&amp;keyfile=Paul&amp;network=jsonfiles&amp;repository=test</v>
      </c>
      <c r="U479" s="1" t="str">
        <f t="shared" si="15"/>
        <v>{"name":"In Casa #316",_x000D_
"symbol":"COR22D316",_x000D_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79" s="1" t="str">
        <f>formatRow(Tokens!C$2:I$2,Tokens!C479:I479)</f>
        <v>"name":"In Casa #316",_x000D_
"symbol":"COR22D316",_x000D_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79" s="1" t="str">
        <f>formatRow(Tokens!J$2:AV$2,Tokens!J479:AV479,2,"attributes")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79" s="1" t="str">
        <f>formatRow(Tokens!AX$2:BC$2,Tokens!AX479:BC479,2,"creators")</f>
        <v>"creators":[{"address":"paul",_x000D_
"share":10},{"address":"sophie",_x000D_
"share":90}]</v>
      </c>
      <c r="Y479" s="1" t="str">
        <f>formatRow(Tokens!BD$2:BI$2,Tokens!BD479:BI479,2,"files")</f>
        <v>"files":[]</v>
      </c>
      <c r="Z479" s="1"/>
      <c r="AA479" s="1"/>
      <c r="AB479" s="1"/>
      <c r="AC479" s="1" t="str">
        <f>formatRow(Tokens!BJ$2:BK$2,Tokens!BJ479:BK479,0,"collection")</f>
        <v>"collection":{"name":"In Casa",_x000D_
"family":"Calvi On The Rocks"}</v>
      </c>
    </row>
    <row r="480" spans="5:29" ht="14.25" customHeight="1" x14ac:dyDescent="0.25">
      <c r="E480" s="17" t="str">
        <f>IF(Tokens!C480="","",Tokens!C480)</f>
        <v>In Casa #317</v>
      </c>
      <c r="F480"/>
      <c r="G480"/>
      <c r="H480"/>
      <c r="I480"/>
      <c r="J480"/>
      <c r="M480"/>
      <c r="N480"/>
      <c r="O480" s="15" t="str">
        <f t="shared" si="14"/>
        <v>_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/>
      </c>
      <c r="Q480" s="2"/>
      <c r="R480" s="2"/>
      <c r="S480" s="11"/>
      <c r="T480" s="1" t="str">
        <f>"owner=" &amp; Tokens!BS480 &amp; "&amp;filename_for_metadata=" &amp; Tokens!BT480 &amp; "&amp;offchaindata_platform=" &amp; $B$17 &amp; "&amp;keyfile=" &amp; $B$5 &amp; "&amp;network=" &amp; LOWER($B$8) &amp; "&amp;repository=" &amp; $B$18</f>
        <v>owner=thomas&amp;filename_for_metadata=InCasa_COR22D317&amp;offchaindata_platform=MongoDB&amp;keyfile=Paul&amp;network=jsonfiles&amp;repository=test</v>
      </c>
      <c r="U480" s="1" t="str">
        <f t="shared" si="15"/>
        <v>{"name":"In Casa #317",_x000D_
"symbol":"COR22D317",_x000D_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0" s="1" t="str">
        <f>formatRow(Tokens!C$2:I$2,Tokens!C480:I480)</f>
        <v>"name":"In Casa #317",_x000D_
"symbol":"COR22D317",_x000D_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0" s="1" t="str">
        <f>formatRow(Tokens!J$2:AV$2,Tokens!J480:AV480,2,"attributes")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0" s="1" t="str">
        <f>formatRow(Tokens!AX$2:BC$2,Tokens!AX480:BC480,2,"creators")</f>
        <v>"creators":[{"address":"paul",_x000D_
"share":10},{"address":"sophie",_x000D_
"share":90}]</v>
      </c>
      <c r="Y480" s="1" t="str">
        <f>formatRow(Tokens!BD$2:BI$2,Tokens!BD480:BI480,2,"files")</f>
        <v>"files":[]</v>
      </c>
      <c r="Z480" s="1"/>
      <c r="AA480" s="1"/>
      <c r="AB480" s="1"/>
      <c r="AC480" s="1" t="str">
        <f>formatRow(Tokens!BJ$2:BK$2,Tokens!BJ480:BK480,0,"collection")</f>
        <v>"collection":{"name":"In Casa",_x000D_
"family":"Calvi On The Rocks"}</v>
      </c>
    </row>
    <row r="481" spans="5:29" ht="14.25" customHeight="1" x14ac:dyDescent="0.25">
      <c r="E481" s="17" t="str">
        <f>IF(Tokens!C481="","",Tokens!C481)</f>
        <v>In Casa #318</v>
      </c>
      <c r="F481"/>
      <c r="G481"/>
      <c r="H481"/>
      <c r="I481"/>
      <c r="J481"/>
      <c r="M481"/>
      <c r="N481"/>
      <c r="O481" s="15" t="str">
        <f t="shared" si="14"/>
        <v>_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/>
      </c>
      <c r="Q481" s="2"/>
      <c r="R481" s="2"/>
      <c r="S481" s="11"/>
      <c r="T481" s="1" t="str">
        <f>"owner=" &amp; Tokens!BS481 &amp; "&amp;filename_for_metadata=" &amp; Tokens!BT481 &amp; "&amp;offchaindata_platform=" &amp; $B$17 &amp; "&amp;keyfile=" &amp; $B$5 &amp; "&amp;network=" &amp; LOWER($B$8) &amp; "&amp;repository=" &amp; $B$18</f>
        <v>owner=thomas&amp;filename_for_metadata=InCasa_COR22D318&amp;offchaindata_platform=MongoDB&amp;keyfile=Paul&amp;network=jsonfiles&amp;repository=test</v>
      </c>
      <c r="U481" s="1" t="str">
        <f t="shared" si="15"/>
        <v>{"name":"In Casa #318",_x000D_
"symbol":"COR22D318",_x000D_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1" s="1" t="str">
        <f>formatRow(Tokens!C$2:I$2,Tokens!C481:I481)</f>
        <v>"name":"In Casa #318",_x000D_
"symbol":"COR22D318",_x000D_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1" s="1" t="str">
        <f>formatRow(Tokens!J$2:AV$2,Tokens!J481:AV481,2,"attributes")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1" s="1" t="str">
        <f>formatRow(Tokens!AX$2:BC$2,Tokens!AX481:BC481,2,"creators")</f>
        <v>"creators":[{"address":"paul",_x000D_
"share":10},{"address":"sophie",_x000D_
"share":90}]</v>
      </c>
      <c r="Y481" s="1" t="str">
        <f>formatRow(Tokens!BD$2:BI$2,Tokens!BD481:BI481,2,"files")</f>
        <v>"files":[]</v>
      </c>
      <c r="Z481" s="1"/>
      <c r="AA481" s="1"/>
      <c r="AB481" s="1"/>
      <c r="AC481" s="1" t="str">
        <f>formatRow(Tokens!BJ$2:BK$2,Tokens!BJ481:BK481,0,"collection")</f>
        <v>"collection":{"name":"In Casa",_x000D_
"family":"Calvi On The Rocks"}</v>
      </c>
    </row>
    <row r="482" spans="5:29" ht="14.25" customHeight="1" x14ac:dyDescent="0.25">
      <c r="E482" s="17" t="str">
        <f>IF(Tokens!C482="","",Tokens!C482)</f>
        <v>In Casa #319</v>
      </c>
      <c r="F482"/>
      <c r="G482"/>
      <c r="H482"/>
      <c r="I482"/>
      <c r="J482"/>
      <c r="M482"/>
      <c r="N482"/>
      <c r="O482" s="15" t="str">
        <f t="shared" si="14"/>
        <v>_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/>
      </c>
      <c r="Q482" s="2"/>
      <c r="R482" s="2"/>
      <c r="S482" s="11"/>
      <c r="T482" s="1" t="str">
        <f>"owner=" &amp; Tokens!BS482 &amp; "&amp;filename_for_metadata=" &amp; Tokens!BT482 &amp; "&amp;offchaindata_platform=" &amp; $B$17 &amp; "&amp;keyfile=" &amp; $B$5 &amp; "&amp;network=" &amp; LOWER($B$8) &amp; "&amp;repository=" &amp; $B$18</f>
        <v>owner=thomas&amp;filename_for_metadata=InCasa_COR22D319&amp;offchaindata_platform=MongoDB&amp;keyfile=Paul&amp;network=jsonfiles&amp;repository=test</v>
      </c>
      <c r="U482" s="1" t="str">
        <f t="shared" si="15"/>
        <v>{"name":"In Casa #319",_x000D_
"symbol":"COR22D319",_x000D_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2" s="1" t="str">
        <f>formatRow(Tokens!C$2:I$2,Tokens!C482:I482)</f>
        <v>"name":"In Casa #319",_x000D_
"symbol":"COR22D319",_x000D_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2" s="1" t="str">
        <f>formatRow(Tokens!J$2:AV$2,Tokens!J482:AV482,2,"attributes")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2" s="1" t="str">
        <f>formatRow(Tokens!AX$2:BC$2,Tokens!AX482:BC482,2,"creators")</f>
        <v>"creators":[{"address":"paul",_x000D_
"share":10},{"address":"sophie",_x000D_
"share":90}]</v>
      </c>
      <c r="Y482" s="1" t="str">
        <f>formatRow(Tokens!BD$2:BI$2,Tokens!BD482:BI482,2,"files")</f>
        <v>"files":[]</v>
      </c>
      <c r="Z482" s="1"/>
      <c r="AA482" s="1"/>
      <c r="AB482" s="1"/>
      <c r="AC482" s="1" t="str">
        <f>formatRow(Tokens!BJ$2:BK$2,Tokens!BJ482:BK482,0,"collection")</f>
        <v>"collection":{"name":"In Casa",_x000D_
"family":"Calvi On The Rocks"}</v>
      </c>
    </row>
    <row r="483" spans="5:29" ht="14.25" customHeight="1" x14ac:dyDescent="0.25">
      <c r="E483" s="17" t="str">
        <f>IF(Tokens!C483="","",Tokens!C483)</f>
        <v>In Casa #320</v>
      </c>
      <c r="F483"/>
      <c r="G483"/>
      <c r="H483"/>
      <c r="I483"/>
      <c r="J483"/>
      <c r="M483"/>
      <c r="N483"/>
      <c r="O483" s="15" t="str">
        <f t="shared" si="14"/>
        <v>_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/>
      </c>
      <c r="Q483" s="2"/>
      <c r="R483" s="2"/>
      <c r="S483" s="11"/>
      <c r="T483" s="1" t="str">
        <f>"owner=" &amp; Tokens!BS483 &amp; "&amp;filename_for_metadata=" &amp; Tokens!BT483 &amp; "&amp;offchaindata_platform=" &amp; $B$17 &amp; "&amp;keyfile=" &amp; $B$5 &amp; "&amp;network=" &amp; LOWER($B$8) &amp; "&amp;repository=" &amp; $B$18</f>
        <v>owner=thomas&amp;filename_for_metadata=InCasa_COR22D320&amp;offchaindata_platform=MongoDB&amp;keyfile=Paul&amp;network=jsonfiles&amp;repository=test</v>
      </c>
      <c r="U483" s="1" t="str">
        <f t="shared" si="15"/>
        <v>{"name":"In Casa #320",_x000D_
"symbol":"COR22D320",_x000D_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3" s="1" t="str">
        <f>formatRow(Tokens!C$2:I$2,Tokens!C483:I483)</f>
        <v>"name":"In Casa #320",_x000D_
"symbol":"COR22D320",_x000D_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3" s="1" t="str">
        <f>formatRow(Tokens!J$2:AV$2,Tokens!J483:AV483,2,"attributes")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3" s="1" t="str">
        <f>formatRow(Tokens!AX$2:BC$2,Tokens!AX483:BC483,2,"creators")</f>
        <v>"creators":[{"address":"paul",_x000D_
"share":10},{"address":"sophie",_x000D_
"share":90}]</v>
      </c>
      <c r="Y483" s="1" t="str">
        <f>formatRow(Tokens!BD$2:BI$2,Tokens!BD483:BI483,2,"files")</f>
        <v>"files":[]</v>
      </c>
      <c r="Z483" s="1"/>
      <c r="AA483" s="1"/>
      <c r="AB483" s="1"/>
      <c r="AC483" s="1" t="str">
        <f>formatRow(Tokens!BJ$2:BK$2,Tokens!BJ483:BK483,0,"collection")</f>
        <v>"collection":{"name":"In Casa",_x000D_
"family":"Calvi On The Rocks"}</v>
      </c>
    </row>
    <row r="484" spans="5:29" ht="14.25" customHeight="1" x14ac:dyDescent="0.25">
      <c r="E484" s="17" t="str">
        <f>IF(Tokens!C484="","",Tokens!C484)</f>
        <v>In Casa #321</v>
      </c>
      <c r="F484"/>
      <c r="G484"/>
      <c r="H484"/>
      <c r="I484"/>
      <c r="J484"/>
      <c r="M484"/>
      <c r="N484"/>
      <c r="O484" s="15" t="str">
        <f t="shared" si="14"/>
        <v>_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/>
      </c>
      <c r="Q484" s="2"/>
      <c r="R484" s="2"/>
      <c r="S484" s="11"/>
      <c r="T484" s="1" t="str">
        <f>"owner=" &amp; Tokens!BS484 &amp; "&amp;filename_for_metadata=" &amp; Tokens!BT484 &amp; "&amp;offchaindata_platform=" &amp; $B$17 &amp; "&amp;keyfile=" &amp; $B$5 &amp; "&amp;network=" &amp; LOWER($B$8) &amp; "&amp;repository=" &amp; $B$18</f>
        <v>owner=thomas&amp;filename_for_metadata=InCasa_COR22D321&amp;offchaindata_platform=MongoDB&amp;keyfile=Paul&amp;network=jsonfiles&amp;repository=test</v>
      </c>
      <c r="U484" s="1" t="str">
        <f t="shared" si="15"/>
        <v>{"name":"In Casa #321",_x000D_
"symbol":"COR22D321",_x000D_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4" s="1" t="str">
        <f>formatRow(Tokens!C$2:I$2,Tokens!C484:I484)</f>
        <v>"name":"In Casa #321",_x000D_
"symbol":"COR22D321",_x000D_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4" s="1" t="str">
        <f>formatRow(Tokens!J$2:AV$2,Tokens!J484:AV484,2,"attributes")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4" s="1" t="str">
        <f>formatRow(Tokens!AX$2:BC$2,Tokens!AX484:BC484,2,"creators")</f>
        <v>"creators":[{"address":"paul",_x000D_
"share":10},{"address":"sophie",_x000D_
"share":90}]</v>
      </c>
      <c r="Y484" s="1" t="str">
        <f>formatRow(Tokens!BD$2:BI$2,Tokens!BD484:BI484,2,"files")</f>
        <v>"files":[]</v>
      </c>
      <c r="Z484" s="1"/>
      <c r="AA484" s="1"/>
      <c r="AB484" s="1"/>
      <c r="AC484" s="1" t="str">
        <f>formatRow(Tokens!BJ$2:BK$2,Tokens!BJ484:BK484,0,"collection")</f>
        <v>"collection":{"name":"In Casa",_x000D_
"family":"Calvi On The Rocks"}</v>
      </c>
    </row>
    <row r="485" spans="5:29" ht="14.25" customHeight="1" x14ac:dyDescent="0.25">
      <c r="E485" s="17" t="str">
        <f>IF(Tokens!C485="","",Tokens!C485)</f>
        <v>In Casa #322</v>
      </c>
      <c r="F485"/>
      <c r="G485"/>
      <c r="H485"/>
      <c r="I485"/>
      <c r="J485"/>
      <c r="M485"/>
      <c r="N485"/>
      <c r="O485" s="15" t="str">
        <f t="shared" si="14"/>
        <v>_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/>
      </c>
      <c r="Q485" s="2"/>
      <c r="R485" s="2"/>
      <c r="S485" s="11"/>
      <c r="T485" s="1" t="str">
        <f>"owner=" &amp; Tokens!BS485 &amp; "&amp;filename_for_metadata=" &amp; Tokens!BT485 &amp; "&amp;offchaindata_platform=" &amp; $B$17 &amp; "&amp;keyfile=" &amp; $B$5 &amp; "&amp;network=" &amp; LOWER($B$8) &amp; "&amp;repository=" &amp; $B$18</f>
        <v>owner=thomas&amp;filename_for_metadata=InCasa_COR22D322&amp;offchaindata_platform=MongoDB&amp;keyfile=Paul&amp;network=jsonfiles&amp;repository=test</v>
      </c>
      <c r="U485" s="1" t="str">
        <f t="shared" si="15"/>
        <v>{"name":"In Casa #322",_x000D_
"symbol":"COR22D322",_x000D_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5" s="1" t="str">
        <f>formatRow(Tokens!C$2:I$2,Tokens!C485:I485)</f>
        <v>"name":"In Casa #322",_x000D_
"symbol":"COR22D322",_x000D_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5" s="1" t="str">
        <f>formatRow(Tokens!J$2:AV$2,Tokens!J485:AV485,2,"attributes")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5" s="1" t="str">
        <f>formatRow(Tokens!AX$2:BC$2,Tokens!AX485:BC485,2,"creators")</f>
        <v>"creators":[{"address":"paul",_x000D_
"share":10},{"address":"sophie",_x000D_
"share":90}]</v>
      </c>
      <c r="Y485" s="1" t="str">
        <f>formatRow(Tokens!BD$2:BI$2,Tokens!BD485:BI485,2,"files")</f>
        <v>"files":[]</v>
      </c>
      <c r="Z485" s="1"/>
      <c r="AA485" s="1"/>
      <c r="AB485" s="1"/>
      <c r="AC485" s="1" t="str">
        <f>formatRow(Tokens!BJ$2:BK$2,Tokens!BJ485:BK485,0,"collection")</f>
        <v>"collection":{"name":"In Casa",_x000D_
"family":"Calvi On The Rocks"}</v>
      </c>
    </row>
    <row r="486" spans="5:29" ht="14.25" customHeight="1" x14ac:dyDescent="0.25">
      <c r="E486" s="17" t="str">
        <f>IF(Tokens!C486="","",Tokens!C486)</f>
        <v>In Casa #323</v>
      </c>
      <c r="F486"/>
      <c r="G486"/>
      <c r="H486"/>
      <c r="I486"/>
      <c r="J486"/>
      <c r="M486"/>
      <c r="N486"/>
      <c r="O486" s="15" t="str">
        <f t="shared" si="14"/>
        <v>_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/>
      </c>
      <c r="Q486" s="2"/>
      <c r="R486" s="2"/>
      <c r="S486" s="11"/>
      <c r="T486" s="1" t="str">
        <f>"owner=" &amp; Tokens!BS486 &amp; "&amp;filename_for_metadata=" &amp; Tokens!BT486 &amp; "&amp;offchaindata_platform=" &amp; $B$17 &amp; "&amp;keyfile=" &amp; $B$5 &amp; "&amp;network=" &amp; LOWER($B$8) &amp; "&amp;repository=" &amp; $B$18</f>
        <v>owner=thomas&amp;filename_for_metadata=InCasa_COR22D323&amp;offchaindata_platform=MongoDB&amp;keyfile=Paul&amp;network=jsonfiles&amp;repository=test</v>
      </c>
      <c r="U486" s="1" t="str">
        <f t="shared" si="15"/>
        <v>{"name":"In Casa #323",_x000D_
"symbol":"COR22D323",_x000D_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6" s="1" t="str">
        <f>formatRow(Tokens!C$2:I$2,Tokens!C486:I486)</f>
        <v>"name":"In Casa #323",_x000D_
"symbol":"COR22D323",_x000D_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6" s="1" t="str">
        <f>formatRow(Tokens!J$2:AV$2,Tokens!J486:AV486,2,"attributes")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6" s="1" t="str">
        <f>formatRow(Tokens!AX$2:BC$2,Tokens!AX486:BC486,2,"creators")</f>
        <v>"creators":[{"address":"paul",_x000D_
"share":10},{"address":"sophie",_x000D_
"share":90}]</v>
      </c>
      <c r="Y486" s="1" t="str">
        <f>formatRow(Tokens!BD$2:BI$2,Tokens!BD486:BI486,2,"files")</f>
        <v>"files":[]</v>
      </c>
      <c r="Z486" s="1"/>
      <c r="AA486" s="1"/>
      <c r="AB486" s="1"/>
      <c r="AC486" s="1" t="str">
        <f>formatRow(Tokens!BJ$2:BK$2,Tokens!BJ486:BK486,0,"collection")</f>
        <v>"collection":{"name":"In Casa",_x000D_
"family":"Calvi On The Rocks"}</v>
      </c>
    </row>
    <row r="487" spans="5:29" ht="14.25" customHeight="1" x14ac:dyDescent="0.25">
      <c r="E487" s="17" t="str">
        <f>IF(Tokens!C487="","",Tokens!C487)</f>
        <v>In Casa #324</v>
      </c>
      <c r="F487"/>
      <c r="G487"/>
      <c r="H487"/>
      <c r="I487"/>
      <c r="J487"/>
      <c r="M487"/>
      <c r="N487"/>
      <c r="O487" s="15" t="str">
        <f t="shared" si="14"/>
        <v>_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/>
      </c>
      <c r="Q487" s="2"/>
      <c r="R487" s="2"/>
      <c r="S487" s="11"/>
      <c r="T487" s="1" t="str">
        <f>"owner=" &amp; Tokens!BS487 &amp; "&amp;filename_for_metadata=" &amp; Tokens!BT487 &amp; "&amp;offchaindata_platform=" &amp; $B$17 &amp; "&amp;keyfile=" &amp; $B$5 &amp; "&amp;network=" &amp; LOWER($B$8) &amp; "&amp;repository=" &amp; $B$18</f>
        <v>owner=thomas&amp;filename_for_metadata=InCasa_COR22D324&amp;offchaindata_platform=MongoDB&amp;keyfile=Paul&amp;network=jsonfiles&amp;repository=test</v>
      </c>
      <c r="U487" s="1" t="str">
        <f t="shared" si="15"/>
        <v>{"name":"In Casa #324",_x000D_
"symbol":"COR22D324",_x000D_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7" s="1" t="str">
        <f>formatRow(Tokens!C$2:I$2,Tokens!C487:I487)</f>
        <v>"name":"In Casa #324",_x000D_
"symbol":"COR22D324",_x000D_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7" s="1" t="str">
        <f>formatRow(Tokens!J$2:AV$2,Tokens!J487:AV487,2,"attributes")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7" s="1" t="str">
        <f>formatRow(Tokens!AX$2:BC$2,Tokens!AX487:BC487,2,"creators")</f>
        <v>"creators":[{"address":"paul",_x000D_
"share":10},{"address":"sophie",_x000D_
"share":90}]</v>
      </c>
      <c r="Y487" s="1" t="str">
        <f>formatRow(Tokens!BD$2:BI$2,Tokens!BD487:BI487,2,"files")</f>
        <v>"files":[]</v>
      </c>
      <c r="Z487" s="1"/>
      <c r="AA487" s="1"/>
      <c r="AB487" s="1"/>
      <c r="AC487" s="1" t="str">
        <f>formatRow(Tokens!BJ$2:BK$2,Tokens!BJ487:BK487,0,"collection")</f>
        <v>"collection":{"name":"In Casa",_x000D_
"family":"Calvi On The Rocks"}</v>
      </c>
    </row>
    <row r="488" spans="5:29" ht="14.25" customHeight="1" x14ac:dyDescent="0.25">
      <c r="E488" s="17" t="str">
        <f>IF(Tokens!C488="","",Tokens!C488)</f>
        <v>In Casa #325</v>
      </c>
      <c r="F488"/>
      <c r="G488"/>
      <c r="H488"/>
      <c r="I488"/>
      <c r="J488"/>
      <c r="M488"/>
      <c r="N488"/>
      <c r="O488" s="15" t="str">
        <f t="shared" si="14"/>
        <v>_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/>
      </c>
      <c r="Q488" s="2"/>
      <c r="R488" s="2"/>
      <c r="S488" s="11"/>
      <c r="T488" s="1" t="str">
        <f>"owner=" &amp; Tokens!BS488 &amp; "&amp;filename_for_metadata=" &amp; Tokens!BT488 &amp; "&amp;offchaindata_platform=" &amp; $B$17 &amp; "&amp;keyfile=" &amp; $B$5 &amp; "&amp;network=" &amp; LOWER($B$8) &amp; "&amp;repository=" &amp; $B$18</f>
        <v>owner=thomas&amp;filename_for_metadata=InCasa_COR22D325&amp;offchaindata_platform=MongoDB&amp;keyfile=Paul&amp;network=jsonfiles&amp;repository=test</v>
      </c>
      <c r="U488" s="1" t="str">
        <f t="shared" si="15"/>
        <v>{"name":"In Casa #325",_x000D_
"symbol":"COR22D325",_x000D_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8" s="1" t="str">
        <f>formatRow(Tokens!C$2:I$2,Tokens!C488:I488)</f>
        <v>"name":"In Casa #325",_x000D_
"symbol":"COR22D325",_x000D_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8" s="1" t="str">
        <f>formatRow(Tokens!J$2:AV$2,Tokens!J488:AV488,2,"attributes")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8" s="1" t="str">
        <f>formatRow(Tokens!AX$2:BC$2,Tokens!AX488:BC488,2,"creators")</f>
        <v>"creators":[{"address":"paul",_x000D_
"share":10},{"address":"sophie",_x000D_
"share":90}]</v>
      </c>
      <c r="Y488" s="1" t="str">
        <f>formatRow(Tokens!BD$2:BI$2,Tokens!BD488:BI488,2,"files")</f>
        <v>"files":[]</v>
      </c>
      <c r="Z488" s="1"/>
      <c r="AA488" s="1"/>
      <c r="AB488" s="1"/>
      <c r="AC488" s="1" t="str">
        <f>formatRow(Tokens!BJ$2:BK$2,Tokens!BJ488:BK488,0,"collection")</f>
        <v>"collection":{"name":"In Casa",_x000D_
"family":"Calvi On The Rocks"}</v>
      </c>
    </row>
    <row r="489" spans="5:29" ht="14.25" customHeight="1" x14ac:dyDescent="0.25">
      <c r="E489" s="17" t="str">
        <f>IF(Tokens!C489="","",Tokens!C489)</f>
        <v>In Casa #326</v>
      </c>
      <c r="F489"/>
      <c r="G489"/>
      <c r="H489"/>
      <c r="I489"/>
      <c r="J489"/>
      <c r="M489"/>
      <c r="N489"/>
      <c r="O489" s="15" t="str">
        <f t="shared" si="14"/>
        <v>_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/>
      </c>
      <c r="Q489" s="2"/>
      <c r="R489" s="2"/>
      <c r="S489" s="11"/>
      <c r="T489" s="1" t="str">
        <f>"owner=" &amp; Tokens!BS489 &amp; "&amp;filename_for_metadata=" &amp; Tokens!BT489 &amp; "&amp;offchaindata_platform=" &amp; $B$17 &amp; "&amp;keyfile=" &amp; $B$5 &amp; "&amp;network=" &amp; LOWER($B$8) &amp; "&amp;repository=" &amp; $B$18</f>
        <v>owner=thomas&amp;filename_for_metadata=InCasa_COR22D326&amp;offchaindata_platform=MongoDB&amp;keyfile=Paul&amp;network=jsonfiles&amp;repository=test</v>
      </c>
      <c r="U489" s="1" t="str">
        <f t="shared" si="15"/>
        <v>{"name":"In Casa #326",_x000D_
"symbol":"COR22D326",_x000D_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89" s="1" t="str">
        <f>formatRow(Tokens!C$2:I$2,Tokens!C489:I489)</f>
        <v>"name":"In Casa #326",_x000D_
"symbol":"COR22D326",_x000D_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89" s="1" t="str">
        <f>formatRow(Tokens!J$2:AV$2,Tokens!J489:AV489,2,"attributes")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89" s="1" t="str">
        <f>formatRow(Tokens!AX$2:BC$2,Tokens!AX489:BC489,2,"creators")</f>
        <v>"creators":[{"address":"paul",_x000D_
"share":10},{"address":"sophie",_x000D_
"share":90}]</v>
      </c>
      <c r="Y489" s="1" t="str">
        <f>formatRow(Tokens!BD$2:BI$2,Tokens!BD489:BI489,2,"files")</f>
        <v>"files":[]</v>
      </c>
      <c r="Z489" s="1"/>
      <c r="AA489" s="1"/>
      <c r="AB489" s="1"/>
      <c r="AC489" s="1" t="str">
        <f>formatRow(Tokens!BJ$2:BK$2,Tokens!BJ489:BK489,0,"collection")</f>
        <v>"collection":{"name":"In Casa",_x000D_
"family":"Calvi On The Rocks"}</v>
      </c>
    </row>
    <row r="490" spans="5:29" ht="14.25" customHeight="1" x14ac:dyDescent="0.25">
      <c r="E490" s="17" t="str">
        <f>IF(Tokens!C490="","",Tokens!C490)</f>
        <v>In Casa #327</v>
      </c>
      <c r="F490"/>
      <c r="G490"/>
      <c r="H490"/>
      <c r="I490"/>
      <c r="J490"/>
      <c r="M490"/>
      <c r="N490"/>
      <c r="O490" s="15" t="str">
        <f t="shared" si="14"/>
        <v>_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/>
      </c>
      <c r="Q490" s="2"/>
      <c r="R490" s="2"/>
      <c r="S490" s="11"/>
      <c r="T490" s="1" t="str">
        <f>"owner=" &amp; Tokens!BS490 &amp; "&amp;filename_for_metadata=" &amp; Tokens!BT490 &amp; "&amp;offchaindata_platform=" &amp; $B$17 &amp; "&amp;keyfile=" &amp; $B$5 &amp; "&amp;network=" &amp; LOWER($B$8) &amp; "&amp;repository=" &amp; $B$18</f>
        <v>owner=thomas&amp;filename_for_metadata=InCasa_COR22D327&amp;offchaindata_platform=MongoDB&amp;keyfile=Paul&amp;network=jsonfiles&amp;repository=test</v>
      </c>
      <c r="U490" s="1" t="str">
        <f t="shared" si="15"/>
        <v>{"name":"In Casa #327",_x000D_
"symbol":"COR22D327",_x000D_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0" s="1" t="str">
        <f>formatRow(Tokens!C$2:I$2,Tokens!C490:I490)</f>
        <v>"name":"In Casa #327",_x000D_
"symbol":"COR22D327",_x000D_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0" s="1" t="str">
        <f>formatRow(Tokens!J$2:AV$2,Tokens!J490:AV490,2,"attributes")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0" s="1" t="str">
        <f>formatRow(Tokens!AX$2:BC$2,Tokens!AX490:BC490,2,"creators")</f>
        <v>"creators":[{"address":"paul",_x000D_
"share":10},{"address":"sophie",_x000D_
"share":90}]</v>
      </c>
      <c r="Y490" s="1" t="str">
        <f>formatRow(Tokens!BD$2:BI$2,Tokens!BD490:BI490,2,"files")</f>
        <v>"files":[]</v>
      </c>
      <c r="Z490" s="1"/>
      <c r="AA490" s="1"/>
      <c r="AB490" s="1"/>
      <c r="AC490" s="1" t="str">
        <f>formatRow(Tokens!BJ$2:BK$2,Tokens!BJ490:BK490,0,"collection")</f>
        <v>"collection":{"name":"In Casa",_x000D_
"family":"Calvi On The Rocks"}</v>
      </c>
    </row>
    <row r="491" spans="5:29" ht="14.25" customHeight="1" x14ac:dyDescent="0.25">
      <c r="E491" s="17" t="str">
        <f>IF(Tokens!C491="","",Tokens!C491)</f>
        <v>In Casa #328</v>
      </c>
      <c r="F491"/>
      <c r="G491"/>
      <c r="H491"/>
      <c r="I491"/>
      <c r="J491"/>
      <c r="M491"/>
      <c r="N491"/>
      <c r="O491" s="15" t="str">
        <f t="shared" si="14"/>
        <v>_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/>
      </c>
      <c r="Q491" s="2"/>
      <c r="R491" s="2"/>
      <c r="S491" s="11"/>
      <c r="T491" s="1" t="str">
        <f>"owner=" &amp; Tokens!BS491 &amp; "&amp;filename_for_metadata=" &amp; Tokens!BT491 &amp; "&amp;offchaindata_platform=" &amp; $B$17 &amp; "&amp;keyfile=" &amp; $B$5 &amp; "&amp;network=" &amp; LOWER($B$8) &amp; "&amp;repository=" &amp; $B$18</f>
        <v>owner=thomas&amp;filename_for_metadata=InCasa_COR22D328&amp;offchaindata_platform=MongoDB&amp;keyfile=Paul&amp;network=jsonfiles&amp;repository=test</v>
      </c>
      <c r="U491" s="1" t="str">
        <f t="shared" si="15"/>
        <v>{"name":"In Casa #328",_x000D_
"symbol":"COR22D328",_x000D_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1" s="1" t="str">
        <f>formatRow(Tokens!C$2:I$2,Tokens!C491:I491)</f>
        <v>"name":"In Casa #328",_x000D_
"symbol":"COR22D328",_x000D_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1" s="1" t="str">
        <f>formatRow(Tokens!J$2:AV$2,Tokens!J491:AV491,2,"attributes")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1" s="1" t="str">
        <f>formatRow(Tokens!AX$2:BC$2,Tokens!AX491:BC491,2,"creators")</f>
        <v>"creators":[{"address":"paul",_x000D_
"share":10},{"address":"sophie",_x000D_
"share":90}]</v>
      </c>
      <c r="Y491" s="1" t="str">
        <f>formatRow(Tokens!BD$2:BI$2,Tokens!BD491:BI491,2,"files")</f>
        <v>"files":[]</v>
      </c>
      <c r="Z491" s="1"/>
      <c r="AA491" s="1"/>
      <c r="AB491" s="1"/>
      <c r="AC491" s="1" t="str">
        <f>formatRow(Tokens!BJ$2:BK$2,Tokens!BJ491:BK491,0,"collection")</f>
        <v>"collection":{"name":"In Casa",_x000D_
"family":"Calvi On The Rocks"}</v>
      </c>
    </row>
    <row r="492" spans="5:29" ht="14.25" customHeight="1" x14ac:dyDescent="0.25">
      <c r="E492" s="17" t="str">
        <f>IF(Tokens!C492="","",Tokens!C492)</f>
        <v>In Casa #329</v>
      </c>
      <c r="F492"/>
      <c r="G492"/>
      <c r="H492"/>
      <c r="I492"/>
      <c r="J492"/>
      <c r="M492"/>
      <c r="N492"/>
      <c r="O492" s="15" t="str">
        <f t="shared" si="14"/>
        <v>_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/>
      </c>
      <c r="Q492" s="2"/>
      <c r="R492" s="2"/>
      <c r="S492" s="11"/>
      <c r="T492" s="1" t="str">
        <f>"owner=" &amp; Tokens!BS492 &amp; "&amp;filename_for_metadata=" &amp; Tokens!BT492 &amp; "&amp;offchaindata_platform=" &amp; $B$17 &amp; "&amp;keyfile=" &amp; $B$5 &amp; "&amp;network=" &amp; LOWER($B$8) &amp; "&amp;repository=" &amp; $B$18</f>
        <v>owner=thomas&amp;filename_for_metadata=InCasa_COR22D329&amp;offchaindata_platform=MongoDB&amp;keyfile=Paul&amp;network=jsonfiles&amp;repository=test</v>
      </c>
      <c r="U492" s="1" t="str">
        <f t="shared" si="15"/>
        <v>{"name":"In Casa #329",_x000D_
"symbol":"COR22D329",_x000D_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2" s="1" t="str">
        <f>formatRow(Tokens!C$2:I$2,Tokens!C492:I492)</f>
        <v>"name":"In Casa #329",_x000D_
"symbol":"COR22D329",_x000D_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2" s="1" t="str">
        <f>formatRow(Tokens!J$2:AV$2,Tokens!J492:AV492,2,"attributes")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2" s="1" t="str">
        <f>formatRow(Tokens!AX$2:BC$2,Tokens!AX492:BC492,2,"creators")</f>
        <v>"creators":[{"address":"paul",_x000D_
"share":10},{"address":"sophie",_x000D_
"share":90}]</v>
      </c>
      <c r="Y492" s="1" t="str">
        <f>formatRow(Tokens!BD$2:BI$2,Tokens!BD492:BI492,2,"files")</f>
        <v>"files":[]</v>
      </c>
      <c r="Z492" s="1"/>
      <c r="AA492" s="1"/>
      <c r="AB492" s="1"/>
      <c r="AC492" s="1" t="str">
        <f>formatRow(Tokens!BJ$2:BK$2,Tokens!BJ492:BK492,0,"collection")</f>
        <v>"collection":{"name":"In Casa",_x000D_
"family":"Calvi On The Rocks"}</v>
      </c>
    </row>
    <row r="493" spans="5:29" ht="14.25" customHeight="1" x14ac:dyDescent="0.25">
      <c r="E493" s="17" t="str">
        <f>IF(Tokens!C493="","",Tokens!C493)</f>
        <v>In Casa #330</v>
      </c>
      <c r="F493"/>
      <c r="G493"/>
      <c r="H493"/>
      <c r="I493"/>
      <c r="J493"/>
      <c r="M493"/>
      <c r="N493"/>
      <c r="O493" s="15" t="str">
        <f t="shared" si="14"/>
        <v>_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/>
      </c>
      <c r="Q493" s="2"/>
      <c r="R493" s="2"/>
      <c r="S493" s="11"/>
      <c r="T493" s="1" t="str">
        <f>"owner=" &amp; Tokens!BS493 &amp; "&amp;filename_for_metadata=" &amp; Tokens!BT493 &amp; "&amp;offchaindata_platform=" &amp; $B$17 &amp; "&amp;keyfile=" &amp; $B$5 &amp; "&amp;network=" &amp; LOWER($B$8) &amp; "&amp;repository=" &amp; $B$18</f>
        <v>owner=thomas&amp;filename_for_metadata=InCasa_COR22D330&amp;offchaindata_platform=MongoDB&amp;keyfile=Paul&amp;network=jsonfiles&amp;repository=test</v>
      </c>
      <c r="U493" s="1" t="str">
        <f t="shared" si="15"/>
        <v>{"name":"In Casa #330",_x000D_
"symbol":"COR22D330",_x000D_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3" s="1" t="str">
        <f>formatRow(Tokens!C$2:I$2,Tokens!C493:I493)</f>
        <v>"name":"In Casa #330",_x000D_
"symbol":"COR22D330",_x000D_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3" s="1" t="str">
        <f>formatRow(Tokens!J$2:AV$2,Tokens!J493:AV493,2,"attributes")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3" s="1" t="str">
        <f>formatRow(Tokens!AX$2:BC$2,Tokens!AX493:BC493,2,"creators")</f>
        <v>"creators":[{"address":"paul",_x000D_
"share":10},{"address":"sophie",_x000D_
"share":90}]</v>
      </c>
      <c r="Y493" s="1" t="str">
        <f>formatRow(Tokens!BD$2:BI$2,Tokens!BD493:BI493,2,"files")</f>
        <v>"files":[]</v>
      </c>
      <c r="Z493" s="1"/>
      <c r="AA493" s="1"/>
      <c r="AB493" s="1"/>
      <c r="AC493" s="1" t="str">
        <f>formatRow(Tokens!BJ$2:BK$2,Tokens!BJ493:BK493,0,"collection")</f>
        <v>"collection":{"name":"In Casa",_x000D_
"family":"Calvi On The Rocks"}</v>
      </c>
    </row>
    <row r="494" spans="5:29" ht="14.25" customHeight="1" x14ac:dyDescent="0.25">
      <c r="E494" s="17" t="str">
        <f>IF(Tokens!C494="","",Tokens!C494)</f>
        <v>In Casa #331</v>
      </c>
      <c r="F494"/>
      <c r="G494"/>
      <c r="H494"/>
      <c r="I494"/>
      <c r="J494"/>
      <c r="M494"/>
      <c r="N494"/>
      <c r="O494" s="15" t="str">
        <f t="shared" si="14"/>
        <v>_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/>
      </c>
      <c r="Q494" s="2"/>
      <c r="R494" s="2"/>
      <c r="S494" s="11"/>
      <c r="T494" s="1" t="str">
        <f>"owner=" &amp; Tokens!BS494 &amp; "&amp;filename_for_metadata=" &amp; Tokens!BT494 &amp; "&amp;offchaindata_platform=" &amp; $B$17 &amp; "&amp;keyfile=" &amp; $B$5 &amp; "&amp;network=" &amp; LOWER($B$8) &amp; "&amp;repository=" &amp; $B$18</f>
        <v>owner=thomas&amp;filename_for_metadata=InCasa_COR22D331&amp;offchaindata_platform=MongoDB&amp;keyfile=Paul&amp;network=jsonfiles&amp;repository=test</v>
      </c>
      <c r="U494" s="1" t="str">
        <f t="shared" si="15"/>
        <v>{"name":"In Casa #331",_x000D_
"symbol":"COR22D331",_x000D_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4" s="1" t="str">
        <f>formatRow(Tokens!C$2:I$2,Tokens!C494:I494)</f>
        <v>"name":"In Casa #331",_x000D_
"symbol":"COR22D331",_x000D_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4" s="1" t="str">
        <f>formatRow(Tokens!J$2:AV$2,Tokens!J494:AV494,2,"attributes")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4" s="1" t="str">
        <f>formatRow(Tokens!AX$2:BC$2,Tokens!AX494:BC494,2,"creators")</f>
        <v>"creators":[{"address":"paul",_x000D_
"share":10},{"address":"sophie",_x000D_
"share":90}]</v>
      </c>
      <c r="Y494" s="1" t="str">
        <f>formatRow(Tokens!BD$2:BI$2,Tokens!BD494:BI494,2,"files")</f>
        <v>"files":[]</v>
      </c>
      <c r="Z494" s="1"/>
      <c r="AA494" s="1"/>
      <c r="AB494" s="1"/>
      <c r="AC494" s="1" t="str">
        <f>formatRow(Tokens!BJ$2:BK$2,Tokens!BJ494:BK494,0,"collection")</f>
        <v>"collection":{"name":"In Casa",_x000D_
"family":"Calvi On The Rocks"}</v>
      </c>
    </row>
    <row r="495" spans="5:29" ht="14.25" customHeight="1" x14ac:dyDescent="0.25">
      <c r="E495" s="17" t="str">
        <f>IF(Tokens!C495="","",Tokens!C495)</f>
        <v>In Casa #332</v>
      </c>
      <c r="F495"/>
      <c r="G495"/>
      <c r="H495"/>
      <c r="I495"/>
      <c r="J495"/>
      <c r="M495"/>
      <c r="N495"/>
      <c r="O495" s="15" t="str">
        <f t="shared" si="14"/>
        <v>_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/>
      </c>
      <c r="Q495" s="2"/>
      <c r="R495" s="2"/>
      <c r="S495" s="11"/>
      <c r="T495" s="1" t="str">
        <f>"owner=" &amp; Tokens!BS495 &amp; "&amp;filename_for_metadata=" &amp; Tokens!BT495 &amp; "&amp;offchaindata_platform=" &amp; $B$17 &amp; "&amp;keyfile=" &amp; $B$5 &amp; "&amp;network=" &amp; LOWER($B$8) &amp; "&amp;repository=" &amp; $B$18</f>
        <v>owner=thomas&amp;filename_for_metadata=InCasa_COR22D332&amp;offchaindata_platform=MongoDB&amp;keyfile=Paul&amp;network=jsonfiles&amp;repository=test</v>
      </c>
      <c r="U495" s="1" t="str">
        <f t="shared" si="15"/>
        <v>{"name":"In Casa #332",_x000D_
"symbol":"COR22D332",_x000D_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5" s="1" t="str">
        <f>formatRow(Tokens!C$2:I$2,Tokens!C495:I495)</f>
        <v>"name":"In Casa #332",_x000D_
"symbol":"COR22D332",_x000D_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5" s="1" t="str">
        <f>formatRow(Tokens!J$2:AV$2,Tokens!J495:AV495,2,"attributes")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5" s="1" t="str">
        <f>formatRow(Tokens!AX$2:BC$2,Tokens!AX495:BC495,2,"creators")</f>
        <v>"creators":[{"address":"paul",_x000D_
"share":10},{"address":"sophie",_x000D_
"share":90}]</v>
      </c>
      <c r="Y495" s="1" t="str">
        <f>formatRow(Tokens!BD$2:BI$2,Tokens!BD495:BI495,2,"files")</f>
        <v>"files":[]</v>
      </c>
      <c r="Z495" s="1"/>
      <c r="AA495" s="1"/>
      <c r="AB495" s="1"/>
      <c r="AC495" s="1" t="str">
        <f>formatRow(Tokens!BJ$2:BK$2,Tokens!BJ495:BK495,0,"collection")</f>
        <v>"collection":{"name":"In Casa",_x000D_
"family":"Calvi On The Rocks"}</v>
      </c>
    </row>
    <row r="496" spans="5:29" ht="14.25" customHeight="1" x14ac:dyDescent="0.25">
      <c r="E496" s="17" t="str">
        <f>IF(Tokens!C496="","",Tokens!C496)</f>
        <v>In Casa #333</v>
      </c>
      <c r="F496"/>
      <c r="G496"/>
      <c r="H496"/>
      <c r="I496"/>
      <c r="J496"/>
      <c r="M496"/>
      <c r="N496"/>
      <c r="O496" s="15" t="str">
        <f t="shared" si="14"/>
        <v>_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/>
      </c>
      <c r="Q496" s="2"/>
      <c r="R496" s="2"/>
      <c r="S496" s="11"/>
      <c r="T496" s="1" t="str">
        <f>"owner=" &amp; Tokens!BS496 &amp; "&amp;filename_for_metadata=" &amp; Tokens!BT496 &amp; "&amp;offchaindata_platform=" &amp; $B$17 &amp; "&amp;keyfile=" &amp; $B$5 &amp; "&amp;network=" &amp; LOWER($B$8) &amp; "&amp;repository=" &amp; $B$18</f>
        <v>owner=thomas&amp;filename_for_metadata=InCasa_COR22D333&amp;offchaindata_platform=MongoDB&amp;keyfile=Paul&amp;network=jsonfiles&amp;repository=test</v>
      </c>
      <c r="U496" s="1" t="str">
        <f t="shared" si="15"/>
        <v>{"name":"In Casa #333",_x000D_
"symbol":"COR22D333",_x000D_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6" s="1" t="str">
        <f>formatRow(Tokens!C$2:I$2,Tokens!C496:I496)</f>
        <v>"name":"In Casa #333",_x000D_
"symbol":"COR22D333",_x000D_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6" s="1" t="str">
        <f>formatRow(Tokens!J$2:AV$2,Tokens!J496:AV496,2,"attributes")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6" s="1" t="str">
        <f>formatRow(Tokens!AX$2:BC$2,Tokens!AX496:BC496,2,"creators")</f>
        <v>"creators":[{"address":"paul",_x000D_
"share":10},{"address":"sophie",_x000D_
"share":90}]</v>
      </c>
      <c r="Y496" s="1" t="str">
        <f>formatRow(Tokens!BD$2:BI$2,Tokens!BD496:BI496,2,"files")</f>
        <v>"files":[]</v>
      </c>
      <c r="Z496" s="1"/>
      <c r="AA496" s="1"/>
      <c r="AB496" s="1"/>
      <c r="AC496" s="1" t="str">
        <f>formatRow(Tokens!BJ$2:BK$2,Tokens!BJ496:BK496,0,"collection")</f>
        <v>"collection":{"name":"In Casa",_x000D_
"family":"Calvi On The Rocks"}</v>
      </c>
    </row>
    <row r="497" spans="5:29" ht="14.25" customHeight="1" x14ac:dyDescent="0.25">
      <c r="E497" s="17" t="str">
        <f>IF(Tokens!C497="","",Tokens!C497)</f>
        <v>In Casa #334</v>
      </c>
      <c r="F497"/>
      <c r="G497"/>
      <c r="H497"/>
      <c r="I497"/>
      <c r="J497"/>
      <c r="M497"/>
      <c r="N497"/>
      <c r="O497" s="15" t="str">
        <f t="shared" si="14"/>
        <v>_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/>
      </c>
      <c r="Q497" s="2"/>
      <c r="R497" s="2"/>
      <c r="S497" s="11"/>
      <c r="T497" s="1" t="str">
        <f>"owner=" &amp; Tokens!BS497 &amp; "&amp;filename_for_metadata=" &amp; Tokens!BT497 &amp; "&amp;offchaindata_platform=" &amp; $B$17 &amp; "&amp;keyfile=" &amp; $B$5 &amp; "&amp;network=" &amp; LOWER($B$8) &amp; "&amp;repository=" &amp; $B$18</f>
        <v>owner=thomas&amp;filename_for_metadata=InCasa_COR22D334&amp;offchaindata_platform=MongoDB&amp;keyfile=Paul&amp;network=jsonfiles&amp;repository=test</v>
      </c>
      <c r="U497" s="1" t="str">
        <f t="shared" si="15"/>
        <v>{"name":"In Casa #334",_x000D_
"symbol":"COR22D334",_x000D_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7" s="1" t="str">
        <f>formatRow(Tokens!C$2:I$2,Tokens!C497:I497)</f>
        <v>"name":"In Casa #334",_x000D_
"symbol":"COR22D334",_x000D_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7" s="1" t="str">
        <f>formatRow(Tokens!J$2:AV$2,Tokens!J497:AV497,2,"attributes")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7" s="1" t="str">
        <f>formatRow(Tokens!AX$2:BC$2,Tokens!AX497:BC497,2,"creators")</f>
        <v>"creators":[{"address":"paul",_x000D_
"share":10},{"address":"sophie",_x000D_
"share":90}]</v>
      </c>
      <c r="Y497" s="1" t="str">
        <f>formatRow(Tokens!BD$2:BI$2,Tokens!BD497:BI497,2,"files")</f>
        <v>"files":[]</v>
      </c>
      <c r="Z497" s="1"/>
      <c r="AA497" s="1"/>
      <c r="AB497" s="1"/>
      <c r="AC497" s="1" t="str">
        <f>formatRow(Tokens!BJ$2:BK$2,Tokens!BJ497:BK497,0,"collection")</f>
        <v>"collection":{"name":"In Casa",_x000D_
"family":"Calvi On The Rocks"}</v>
      </c>
    </row>
    <row r="498" spans="5:29" ht="14.25" customHeight="1" x14ac:dyDescent="0.25">
      <c r="E498" s="17" t="str">
        <f>IF(Tokens!C498="","",Tokens!C498)</f>
        <v>In Casa #335</v>
      </c>
      <c r="F498"/>
      <c r="G498"/>
      <c r="H498"/>
      <c r="I498"/>
      <c r="J498"/>
      <c r="M498"/>
      <c r="N498"/>
      <c r="O498" s="15" t="str">
        <f t="shared" si="14"/>
        <v>_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/>
      </c>
      <c r="Q498" s="2"/>
      <c r="R498" s="2"/>
      <c r="S498" s="11"/>
      <c r="T498" s="1" t="str">
        <f>"owner=" &amp; Tokens!BS498 &amp; "&amp;filename_for_metadata=" &amp; Tokens!BT498 &amp; "&amp;offchaindata_platform=" &amp; $B$17 &amp; "&amp;keyfile=" &amp; $B$5 &amp; "&amp;network=" &amp; LOWER($B$8) &amp; "&amp;repository=" &amp; $B$18</f>
        <v>owner=thomas&amp;filename_for_metadata=InCasa_COR22D335&amp;offchaindata_platform=MongoDB&amp;keyfile=Paul&amp;network=jsonfiles&amp;repository=test</v>
      </c>
      <c r="U498" s="1" t="str">
        <f t="shared" si="15"/>
        <v>{"name":"In Casa #335",_x000D_
"symbol":"COR22D335",_x000D_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8" s="1" t="str">
        <f>formatRow(Tokens!C$2:I$2,Tokens!C498:I498)</f>
        <v>"name":"In Casa #335",_x000D_
"symbol":"COR22D335",_x000D_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8" s="1" t="str">
        <f>formatRow(Tokens!J$2:AV$2,Tokens!J498:AV498,2,"attributes")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8" s="1" t="str">
        <f>formatRow(Tokens!AX$2:BC$2,Tokens!AX498:BC498,2,"creators")</f>
        <v>"creators":[{"address":"paul",_x000D_
"share":10},{"address":"sophie",_x000D_
"share":90}]</v>
      </c>
      <c r="Y498" s="1" t="str">
        <f>formatRow(Tokens!BD$2:BI$2,Tokens!BD498:BI498,2,"files")</f>
        <v>"files":[]</v>
      </c>
      <c r="Z498" s="1"/>
      <c r="AA498" s="1"/>
      <c r="AB498" s="1"/>
      <c r="AC498" s="1" t="str">
        <f>formatRow(Tokens!BJ$2:BK$2,Tokens!BJ498:BK498,0,"collection")</f>
        <v>"collection":{"name":"In Casa",_x000D_
"family":"Calvi On The Rocks"}</v>
      </c>
    </row>
    <row r="499" spans="5:29" ht="14.25" customHeight="1" x14ac:dyDescent="0.25">
      <c r="E499" s="17" t="str">
        <f>IF(Tokens!C499="","",Tokens!C499)</f>
        <v>In Casa #336</v>
      </c>
      <c r="F499"/>
      <c r="G499"/>
      <c r="H499"/>
      <c r="I499"/>
      <c r="J499"/>
      <c r="M499"/>
      <c r="N499"/>
      <c r="O499" s="15" t="str">
        <f t="shared" si="14"/>
        <v>_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/>
      </c>
      <c r="Q499" s="2"/>
      <c r="R499" s="2"/>
      <c r="S499" s="11"/>
      <c r="T499" s="1" t="str">
        <f>"owner=" &amp; Tokens!BS499 &amp; "&amp;filename_for_metadata=" &amp; Tokens!BT499 &amp; "&amp;offchaindata_platform=" &amp; $B$17 &amp; "&amp;keyfile=" &amp; $B$5 &amp; "&amp;network=" &amp; LOWER($B$8) &amp; "&amp;repository=" &amp; $B$18</f>
        <v>owner=thomas&amp;filename_for_metadata=InCasa_COR22D336&amp;offchaindata_platform=MongoDB&amp;keyfile=Paul&amp;network=jsonfiles&amp;repository=test</v>
      </c>
      <c r="U499" s="1" t="str">
        <f t="shared" si="15"/>
        <v>{"name":"In Casa #336",_x000D_
"symbol":"COR22D336",_x000D_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499" s="1" t="str">
        <f>formatRow(Tokens!C$2:I$2,Tokens!C499:I499)</f>
        <v>"name":"In Casa #336",_x000D_
"symbol":"COR22D336",_x000D_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499" s="1" t="str">
        <f>formatRow(Tokens!J$2:AV$2,Tokens!J499:AV499,2,"attributes")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499" s="1" t="str">
        <f>formatRow(Tokens!AX$2:BC$2,Tokens!AX499:BC499,2,"creators")</f>
        <v>"creators":[{"address":"paul",_x000D_
"share":10},{"address":"sophie",_x000D_
"share":90}]</v>
      </c>
      <c r="Y499" s="1" t="str">
        <f>formatRow(Tokens!BD$2:BI$2,Tokens!BD499:BI499,2,"files")</f>
        <v>"files":[]</v>
      </c>
      <c r="Z499" s="1"/>
      <c r="AA499" s="1"/>
      <c r="AB499" s="1"/>
      <c r="AC499" s="1" t="str">
        <f>formatRow(Tokens!BJ$2:BK$2,Tokens!BJ499:BK499,0,"collection")</f>
        <v>"collection":{"name":"In Casa",_x000D_
"family":"Calvi On The Rocks"}</v>
      </c>
    </row>
    <row r="500" spans="5:29" ht="14.25" customHeight="1" x14ac:dyDescent="0.25">
      <c r="E500" s="17" t="str">
        <f>IF(Tokens!C500="","",Tokens!C500)</f>
        <v>In Casa #337</v>
      </c>
      <c r="F500"/>
      <c r="G500"/>
      <c r="H500"/>
      <c r="I500"/>
      <c r="J500"/>
      <c r="M500"/>
      <c r="N500"/>
      <c r="O500" s="15" t="str">
        <f t="shared" si="14"/>
        <v>_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/>
      </c>
      <c r="Q500" s="2"/>
      <c r="R500" s="2"/>
      <c r="S500" s="11"/>
      <c r="T500" s="1" t="str">
        <f>"owner=" &amp; Tokens!BS500 &amp; "&amp;filename_for_metadata=" &amp; Tokens!BT500 &amp; "&amp;offchaindata_platform=" &amp; $B$17 &amp; "&amp;keyfile=" &amp; $B$5 &amp; "&amp;network=" &amp; LOWER($B$8) &amp; "&amp;repository=" &amp; $B$18</f>
        <v>owner=thomas&amp;filename_for_metadata=InCasa_COR22D337&amp;offchaindata_platform=MongoDB&amp;keyfile=Paul&amp;network=jsonfiles&amp;repository=test</v>
      </c>
      <c r="U500" s="1" t="str">
        <f t="shared" si="15"/>
        <v>{"name":"In Casa #337",_x000D_
"symbol":"COR22D337",_x000D_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0" s="1" t="str">
        <f>formatRow(Tokens!C$2:I$2,Tokens!C500:I500)</f>
        <v>"name":"In Casa #337",_x000D_
"symbol":"COR22D337",_x000D_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0" s="1" t="str">
        <f>formatRow(Tokens!J$2:AV$2,Tokens!J500:AV500,2,"attributes")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0" s="1" t="str">
        <f>formatRow(Tokens!AX$2:BC$2,Tokens!AX500:BC500,2,"creators")</f>
        <v>"creators":[{"address":"paul",_x000D_
"share":10},{"address":"sophie",_x000D_
"share":90}]</v>
      </c>
      <c r="Y500" s="1" t="str">
        <f>formatRow(Tokens!BD$2:BI$2,Tokens!BD500:BI500,2,"files")</f>
        <v>"files":[]</v>
      </c>
      <c r="Z500" s="1"/>
      <c r="AA500" s="1"/>
      <c r="AB500" s="1"/>
      <c r="AC500" s="1" t="str">
        <f>formatRow(Tokens!BJ$2:BK$2,Tokens!BJ500:BK500,0,"collection")</f>
        <v>"collection":{"name":"In Casa",_x000D_
"family":"Calvi On The Rocks"}</v>
      </c>
    </row>
    <row r="501" spans="5:29" ht="14.25" customHeight="1" x14ac:dyDescent="0.25">
      <c r="E501" s="17" t="str">
        <f>IF(Tokens!C501="","",Tokens!C501)</f>
        <v>In Casa #338</v>
      </c>
      <c r="F501"/>
      <c r="G501"/>
      <c r="H501"/>
      <c r="I501"/>
      <c r="J501"/>
      <c r="M501"/>
      <c r="N501"/>
      <c r="O501" s="15" t="str">
        <f t="shared" si="14"/>
        <v>_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/>
      </c>
      <c r="Q501" s="2"/>
      <c r="R501" s="2"/>
      <c r="S501" s="11"/>
      <c r="T501" s="1" t="str">
        <f>"owner=" &amp; Tokens!BS501 &amp; "&amp;filename_for_metadata=" &amp; Tokens!BT501 &amp; "&amp;offchaindata_platform=" &amp; $B$17 &amp; "&amp;keyfile=" &amp; $B$5 &amp; "&amp;network=" &amp; LOWER($B$8) &amp; "&amp;repository=" &amp; $B$18</f>
        <v>owner=thomas&amp;filename_for_metadata=InCasa_COR22D338&amp;offchaindata_platform=MongoDB&amp;keyfile=Paul&amp;network=jsonfiles&amp;repository=test</v>
      </c>
      <c r="U501" s="1" t="str">
        <f t="shared" si="15"/>
        <v>{"name":"In Casa #338",_x000D_
"symbol":"COR22D338",_x000D_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1" s="1" t="str">
        <f>formatRow(Tokens!C$2:I$2,Tokens!C501:I501)</f>
        <v>"name":"In Casa #338",_x000D_
"symbol":"COR22D338",_x000D_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1" s="1" t="str">
        <f>formatRow(Tokens!J$2:AV$2,Tokens!J501:AV501,2,"attributes")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1" s="1" t="str">
        <f>formatRow(Tokens!AX$2:BC$2,Tokens!AX501:BC501,2,"creators")</f>
        <v>"creators":[{"address":"paul",_x000D_
"share":10},{"address":"sophie",_x000D_
"share":90}]</v>
      </c>
      <c r="Y501" s="1" t="str">
        <f>formatRow(Tokens!BD$2:BI$2,Tokens!BD501:BI501,2,"files")</f>
        <v>"files":[]</v>
      </c>
      <c r="Z501" s="1"/>
      <c r="AA501" s="1"/>
      <c r="AB501" s="1"/>
      <c r="AC501" s="1" t="str">
        <f>formatRow(Tokens!BJ$2:BK$2,Tokens!BJ501:BK501,0,"collection")</f>
        <v>"collection":{"name":"In Casa",_x000D_
"family":"Calvi On The Rocks"}</v>
      </c>
    </row>
    <row r="502" spans="5:29" ht="14.25" customHeight="1" x14ac:dyDescent="0.25">
      <c r="E502" s="17" t="str">
        <f>IF(Tokens!C502="","",Tokens!C502)</f>
        <v>In Casa #339</v>
      </c>
      <c r="F502"/>
      <c r="G502"/>
      <c r="H502"/>
      <c r="I502"/>
      <c r="J502"/>
      <c r="M502"/>
      <c r="N502"/>
      <c r="O502" s="15" t="str">
        <f t="shared" si="14"/>
        <v>_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/>
      </c>
      <c r="Q502" s="2"/>
      <c r="R502" s="2"/>
      <c r="S502" s="11"/>
      <c r="T502" s="1" t="str">
        <f>"owner=" &amp; Tokens!BS502 &amp; "&amp;filename_for_metadata=" &amp; Tokens!BT502 &amp; "&amp;offchaindata_platform=" &amp; $B$17 &amp; "&amp;keyfile=" &amp; $B$5 &amp; "&amp;network=" &amp; LOWER($B$8) &amp; "&amp;repository=" &amp; $B$18</f>
        <v>owner=thomas&amp;filename_for_metadata=InCasa_COR22D339&amp;offchaindata_platform=MongoDB&amp;keyfile=Paul&amp;network=jsonfiles&amp;repository=test</v>
      </c>
      <c r="U502" s="1" t="str">
        <f t="shared" si="15"/>
        <v>{"name":"In Casa #339",_x000D_
"symbol":"COR22D339",_x000D_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2" s="1" t="str">
        <f>formatRow(Tokens!C$2:I$2,Tokens!C502:I502)</f>
        <v>"name":"In Casa #339",_x000D_
"symbol":"COR22D339",_x000D_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2" s="1" t="str">
        <f>formatRow(Tokens!J$2:AV$2,Tokens!J502:AV502,2,"attributes")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2" s="1" t="str">
        <f>formatRow(Tokens!AX$2:BC$2,Tokens!AX502:BC502,2,"creators")</f>
        <v>"creators":[{"address":"paul",_x000D_
"share":10},{"address":"sophie",_x000D_
"share":90}]</v>
      </c>
      <c r="Y502" s="1" t="str">
        <f>formatRow(Tokens!BD$2:BI$2,Tokens!BD502:BI502,2,"files")</f>
        <v>"files":[]</v>
      </c>
      <c r="Z502" s="1"/>
      <c r="AA502" s="1"/>
      <c r="AB502" s="1"/>
      <c r="AC502" s="1" t="str">
        <f>formatRow(Tokens!BJ$2:BK$2,Tokens!BJ502:BK502,0,"collection")</f>
        <v>"collection":{"name":"In Casa",_x000D_
"family":"Calvi On The Rocks"}</v>
      </c>
    </row>
    <row r="503" spans="5:29" ht="14.25" customHeight="1" x14ac:dyDescent="0.25">
      <c r="E503" s="17" t="str">
        <f>IF(Tokens!C503="","",Tokens!C503)</f>
        <v>In Casa #340</v>
      </c>
      <c r="F503"/>
      <c r="G503"/>
      <c r="H503"/>
      <c r="I503"/>
      <c r="J503"/>
      <c r="M503"/>
      <c r="N503"/>
      <c r="O503" s="15" t="str">
        <f t="shared" si="14"/>
        <v>_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/>
      </c>
      <c r="Q503" s="2"/>
      <c r="R503" s="2"/>
      <c r="S503" s="11"/>
      <c r="T503" s="1" t="str">
        <f>"owner=" &amp; Tokens!BS503 &amp; "&amp;filename_for_metadata=" &amp; Tokens!BT503 &amp; "&amp;offchaindata_platform=" &amp; $B$17 &amp; "&amp;keyfile=" &amp; $B$5 &amp; "&amp;network=" &amp; LOWER($B$8) &amp; "&amp;repository=" &amp; $B$18</f>
        <v>owner=thomas&amp;filename_for_metadata=InCasa_COR22D340&amp;offchaindata_platform=MongoDB&amp;keyfile=Paul&amp;network=jsonfiles&amp;repository=test</v>
      </c>
      <c r="U503" s="1" t="str">
        <f t="shared" si="15"/>
        <v>{"name":"In Casa #340",_x000D_
"symbol":"COR22D340",_x000D_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3" s="1" t="str">
        <f>formatRow(Tokens!C$2:I$2,Tokens!C503:I503)</f>
        <v>"name":"In Casa #340",_x000D_
"symbol":"COR22D340",_x000D_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3" s="1" t="str">
        <f>formatRow(Tokens!J$2:AV$2,Tokens!J503:AV503,2,"attributes")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3" s="1" t="str">
        <f>formatRow(Tokens!AX$2:BC$2,Tokens!AX503:BC503,2,"creators")</f>
        <v>"creators":[{"address":"paul",_x000D_
"share":10},{"address":"sophie",_x000D_
"share":90}]</v>
      </c>
      <c r="Y503" s="1" t="str">
        <f>formatRow(Tokens!BD$2:BI$2,Tokens!BD503:BI503,2,"files")</f>
        <v>"files":[]</v>
      </c>
      <c r="Z503" s="1"/>
      <c r="AA503" s="1"/>
      <c r="AB503" s="1"/>
      <c r="AC503" s="1" t="str">
        <f>formatRow(Tokens!BJ$2:BK$2,Tokens!BJ503:BK503,0,"collection")</f>
        <v>"collection":{"name":"In Casa",_x000D_
"family":"Calvi On The Rocks"}</v>
      </c>
    </row>
    <row r="504" spans="5:29" ht="14.25" customHeight="1" x14ac:dyDescent="0.25">
      <c r="E504" s="17" t="str">
        <f>IF(Tokens!C504="","",Tokens!C504)</f>
        <v>In Casa #341</v>
      </c>
      <c r="F504"/>
      <c r="G504"/>
      <c r="H504"/>
      <c r="I504"/>
      <c r="J504"/>
      <c r="M504"/>
      <c r="N504"/>
      <c r="O504" s="15" t="str">
        <f t="shared" si="14"/>
        <v>_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/>
      </c>
      <c r="Q504" s="2"/>
      <c r="R504" s="2"/>
      <c r="S504" s="11"/>
      <c r="T504" s="1" t="str">
        <f>"owner=" &amp; Tokens!BS504 &amp; "&amp;filename_for_metadata=" &amp; Tokens!BT504 &amp; "&amp;offchaindata_platform=" &amp; $B$17 &amp; "&amp;keyfile=" &amp; $B$5 &amp; "&amp;network=" &amp; LOWER($B$8) &amp; "&amp;repository=" &amp; $B$18</f>
        <v>owner=thomas&amp;filename_for_metadata=InCasa_COR22D341&amp;offchaindata_platform=MongoDB&amp;keyfile=Paul&amp;network=jsonfiles&amp;repository=test</v>
      </c>
      <c r="U504" s="1" t="str">
        <f t="shared" si="15"/>
        <v>{"name":"In Casa #341",_x000D_
"symbol":"COR22D341",_x000D_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4" s="1" t="str">
        <f>formatRow(Tokens!C$2:I$2,Tokens!C504:I504)</f>
        <v>"name":"In Casa #341",_x000D_
"symbol":"COR22D341",_x000D_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4" s="1" t="str">
        <f>formatRow(Tokens!J$2:AV$2,Tokens!J504:AV504,2,"attributes")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4" s="1" t="str">
        <f>formatRow(Tokens!AX$2:BC$2,Tokens!AX504:BC504,2,"creators")</f>
        <v>"creators":[{"address":"paul",_x000D_
"share":10},{"address":"sophie",_x000D_
"share":90}]</v>
      </c>
      <c r="Y504" s="1" t="str">
        <f>formatRow(Tokens!BD$2:BI$2,Tokens!BD504:BI504,2,"files")</f>
        <v>"files":[]</v>
      </c>
      <c r="Z504" s="1"/>
      <c r="AA504" s="1"/>
      <c r="AB504" s="1"/>
      <c r="AC504" s="1" t="str">
        <f>formatRow(Tokens!BJ$2:BK$2,Tokens!BJ504:BK504,0,"collection")</f>
        <v>"collection":{"name":"In Casa",_x000D_
"family":"Calvi On The Rocks"}</v>
      </c>
    </row>
    <row r="505" spans="5:29" ht="14.25" customHeight="1" x14ac:dyDescent="0.25">
      <c r="E505" s="17" t="str">
        <f>IF(Tokens!C505="","",Tokens!C505)</f>
        <v>In Casa #342</v>
      </c>
      <c r="F505"/>
      <c r="G505"/>
      <c r="H505"/>
      <c r="I505"/>
      <c r="J505"/>
      <c r="M505"/>
      <c r="N505"/>
      <c r="O505" s="15" t="str">
        <f t="shared" si="14"/>
        <v>_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/>
      </c>
      <c r="Q505" s="2"/>
      <c r="R505" s="2"/>
      <c r="S505" s="11"/>
      <c r="T505" s="1" t="str">
        <f>"owner=" &amp; Tokens!BS505 &amp; "&amp;filename_for_metadata=" &amp; Tokens!BT505 &amp; "&amp;offchaindata_platform=" &amp; $B$17 &amp; "&amp;keyfile=" &amp; $B$5 &amp; "&amp;network=" &amp; LOWER($B$8) &amp; "&amp;repository=" &amp; $B$18</f>
        <v>owner=thomas&amp;filename_for_metadata=InCasa_COR22D342&amp;offchaindata_platform=MongoDB&amp;keyfile=Paul&amp;network=jsonfiles&amp;repository=test</v>
      </c>
      <c r="U505" s="1" t="str">
        <f t="shared" si="15"/>
        <v>{"name":"In Casa #342",_x000D_
"symbol":"COR22D342",_x000D_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5" s="1" t="str">
        <f>formatRow(Tokens!C$2:I$2,Tokens!C505:I505)</f>
        <v>"name":"In Casa #342",_x000D_
"symbol":"COR22D342",_x000D_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5" s="1" t="str">
        <f>formatRow(Tokens!J$2:AV$2,Tokens!J505:AV505,2,"attributes")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5" s="1" t="str">
        <f>formatRow(Tokens!AX$2:BC$2,Tokens!AX505:BC505,2,"creators")</f>
        <v>"creators":[{"address":"paul",_x000D_
"share":10},{"address":"sophie",_x000D_
"share":90}]</v>
      </c>
      <c r="Y505" s="1" t="str">
        <f>formatRow(Tokens!BD$2:BI$2,Tokens!BD505:BI505,2,"files")</f>
        <v>"files":[]</v>
      </c>
      <c r="Z505" s="1"/>
      <c r="AA505" s="1"/>
      <c r="AB505" s="1"/>
      <c r="AC505" s="1" t="str">
        <f>formatRow(Tokens!BJ$2:BK$2,Tokens!BJ505:BK505,0,"collection")</f>
        <v>"collection":{"name":"In Casa",_x000D_
"family":"Calvi On The Rocks"}</v>
      </c>
    </row>
    <row r="506" spans="5:29" ht="14.25" customHeight="1" x14ac:dyDescent="0.25">
      <c r="E506" s="17" t="str">
        <f>IF(Tokens!C506="","",Tokens!C506)</f>
        <v>In Casa #343</v>
      </c>
      <c r="F506"/>
      <c r="G506"/>
      <c r="H506"/>
      <c r="I506"/>
      <c r="J506"/>
      <c r="M506"/>
      <c r="N506"/>
      <c r="O506" s="15" t="str">
        <f t="shared" si="14"/>
        <v>_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/>
      </c>
      <c r="Q506" s="2"/>
      <c r="R506" s="2"/>
      <c r="S506" s="11"/>
      <c r="T506" s="1" t="str">
        <f>"owner=" &amp; Tokens!BS506 &amp; "&amp;filename_for_metadata=" &amp; Tokens!BT506 &amp; "&amp;offchaindata_platform=" &amp; $B$17 &amp; "&amp;keyfile=" &amp; $B$5 &amp; "&amp;network=" &amp; LOWER($B$8) &amp; "&amp;repository=" &amp; $B$18</f>
        <v>owner=thomas&amp;filename_for_metadata=InCasa_COR22D343&amp;offchaindata_platform=MongoDB&amp;keyfile=Paul&amp;network=jsonfiles&amp;repository=test</v>
      </c>
      <c r="U506" s="1" t="str">
        <f t="shared" si="15"/>
        <v>{"name":"In Casa #343",_x000D_
"symbol":"COR22D343",_x000D_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6" s="1" t="str">
        <f>formatRow(Tokens!C$2:I$2,Tokens!C506:I506)</f>
        <v>"name":"In Casa #343",_x000D_
"symbol":"COR22D343",_x000D_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6" s="1" t="str">
        <f>formatRow(Tokens!J$2:AV$2,Tokens!J506:AV506,2,"attributes")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6" s="1" t="str">
        <f>formatRow(Tokens!AX$2:BC$2,Tokens!AX506:BC506,2,"creators")</f>
        <v>"creators":[{"address":"paul",_x000D_
"share":10},{"address":"sophie",_x000D_
"share":90}]</v>
      </c>
      <c r="Y506" s="1" t="str">
        <f>formatRow(Tokens!BD$2:BI$2,Tokens!BD506:BI506,2,"files")</f>
        <v>"files":[]</v>
      </c>
      <c r="Z506" s="1"/>
      <c r="AA506" s="1"/>
      <c r="AB506" s="1"/>
      <c r="AC506" s="1" t="str">
        <f>formatRow(Tokens!BJ$2:BK$2,Tokens!BJ506:BK506,0,"collection")</f>
        <v>"collection":{"name":"In Casa",_x000D_
"family":"Calvi On The Rocks"}</v>
      </c>
    </row>
    <row r="507" spans="5:29" ht="14.25" customHeight="1" x14ac:dyDescent="0.25">
      <c r="E507" s="17" t="str">
        <f>IF(Tokens!C507="","",Tokens!C507)</f>
        <v>In Casa #344</v>
      </c>
      <c r="F507"/>
      <c r="G507"/>
      <c r="H507"/>
      <c r="I507"/>
      <c r="J507"/>
      <c r="M507"/>
      <c r="N507"/>
      <c r="O507" s="15" t="str">
        <f t="shared" si="14"/>
        <v>_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/>
      </c>
      <c r="Q507" s="2"/>
      <c r="R507" s="2"/>
      <c r="S507" s="11"/>
      <c r="T507" s="1" t="str">
        <f>"owner=" &amp; Tokens!BS507 &amp; "&amp;filename_for_metadata=" &amp; Tokens!BT507 &amp; "&amp;offchaindata_platform=" &amp; $B$17 &amp; "&amp;keyfile=" &amp; $B$5 &amp; "&amp;network=" &amp; LOWER($B$8) &amp; "&amp;repository=" &amp; $B$18</f>
        <v>owner=thomas&amp;filename_for_metadata=InCasa_COR22D344&amp;offchaindata_platform=MongoDB&amp;keyfile=Paul&amp;network=jsonfiles&amp;repository=test</v>
      </c>
      <c r="U507" s="1" t="str">
        <f t="shared" si="15"/>
        <v>{"name":"In Casa #344",_x000D_
"symbol":"COR22D344",_x000D_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7" s="1" t="str">
        <f>formatRow(Tokens!C$2:I$2,Tokens!C507:I507)</f>
        <v>"name":"In Casa #344",_x000D_
"symbol":"COR22D344",_x000D_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7" s="1" t="str">
        <f>formatRow(Tokens!J$2:AV$2,Tokens!J507:AV507,2,"attributes")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7" s="1" t="str">
        <f>formatRow(Tokens!AX$2:BC$2,Tokens!AX507:BC507,2,"creators")</f>
        <v>"creators":[{"address":"paul",_x000D_
"share":10},{"address":"sophie",_x000D_
"share":90}]</v>
      </c>
      <c r="Y507" s="1" t="str">
        <f>formatRow(Tokens!BD$2:BI$2,Tokens!BD507:BI507,2,"files")</f>
        <v>"files":[]</v>
      </c>
      <c r="Z507" s="1"/>
      <c r="AA507" s="1"/>
      <c r="AB507" s="1"/>
      <c r="AC507" s="1" t="str">
        <f>formatRow(Tokens!BJ$2:BK$2,Tokens!BJ507:BK507,0,"collection")</f>
        <v>"collection":{"name":"In Casa",_x000D_
"family":"Calvi On The Rocks"}</v>
      </c>
    </row>
    <row r="508" spans="5:29" ht="14.25" customHeight="1" x14ac:dyDescent="0.25">
      <c r="E508" s="17" t="str">
        <f>IF(Tokens!C508="","",Tokens!C508)</f>
        <v>In Casa #345</v>
      </c>
      <c r="F508"/>
      <c r="G508"/>
      <c r="H508"/>
      <c r="I508"/>
      <c r="J508"/>
      <c r="M508"/>
      <c r="N508"/>
      <c r="O508" s="15" t="str">
        <f t="shared" si="14"/>
        <v>_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/>
      </c>
      <c r="Q508" s="2"/>
      <c r="R508" s="2"/>
      <c r="S508" s="11"/>
      <c r="T508" s="1" t="str">
        <f>"owner=" &amp; Tokens!BS508 &amp; "&amp;filename_for_metadata=" &amp; Tokens!BT508 &amp; "&amp;offchaindata_platform=" &amp; $B$17 &amp; "&amp;keyfile=" &amp; $B$5 &amp; "&amp;network=" &amp; LOWER($B$8) &amp; "&amp;repository=" &amp; $B$18</f>
        <v>owner=thomas&amp;filename_for_metadata=InCasa_COR22D345&amp;offchaindata_platform=MongoDB&amp;keyfile=Paul&amp;network=jsonfiles&amp;repository=test</v>
      </c>
      <c r="U508" s="1" t="str">
        <f t="shared" si="15"/>
        <v>{"name":"In Casa #345",_x000D_
"symbol":"COR22D345",_x000D_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8" s="1" t="str">
        <f>formatRow(Tokens!C$2:I$2,Tokens!C508:I508)</f>
        <v>"name":"In Casa #345",_x000D_
"symbol":"COR22D345",_x000D_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8" s="1" t="str">
        <f>formatRow(Tokens!J$2:AV$2,Tokens!J508:AV508,2,"attributes")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8" s="1" t="str">
        <f>formatRow(Tokens!AX$2:BC$2,Tokens!AX508:BC508,2,"creators")</f>
        <v>"creators":[{"address":"paul",_x000D_
"share":10},{"address":"sophie",_x000D_
"share":90}]</v>
      </c>
      <c r="Y508" s="1" t="str">
        <f>formatRow(Tokens!BD$2:BI$2,Tokens!BD508:BI508,2,"files")</f>
        <v>"files":[]</v>
      </c>
      <c r="Z508" s="1"/>
      <c r="AA508" s="1"/>
      <c r="AB508" s="1"/>
      <c r="AC508" s="1" t="str">
        <f>formatRow(Tokens!BJ$2:BK$2,Tokens!BJ508:BK508,0,"collection")</f>
        <v>"collection":{"name":"In Casa",_x000D_
"family":"Calvi On The Rocks"}</v>
      </c>
    </row>
    <row r="509" spans="5:29" ht="14.25" customHeight="1" x14ac:dyDescent="0.25">
      <c r="E509" s="17" t="str">
        <f>IF(Tokens!C509="","",Tokens!C509)</f>
        <v>In Casa #346</v>
      </c>
      <c r="F509"/>
      <c r="G509"/>
      <c r="H509"/>
      <c r="I509"/>
      <c r="J509"/>
      <c r="M509"/>
      <c r="N509"/>
      <c r="O509" s="15" t="str">
        <f t="shared" si="14"/>
        <v>_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/>
      </c>
      <c r="Q509" s="2"/>
      <c r="R509" s="2"/>
      <c r="S509" s="11"/>
      <c r="T509" s="1" t="str">
        <f>"owner=" &amp; Tokens!BS509 &amp; "&amp;filename_for_metadata=" &amp; Tokens!BT509 &amp; "&amp;offchaindata_platform=" &amp; $B$17 &amp; "&amp;keyfile=" &amp; $B$5 &amp; "&amp;network=" &amp; LOWER($B$8) &amp; "&amp;repository=" &amp; $B$18</f>
        <v>owner=thomas&amp;filename_for_metadata=InCasa_COR22D346&amp;offchaindata_platform=MongoDB&amp;keyfile=Paul&amp;network=jsonfiles&amp;repository=test</v>
      </c>
      <c r="U509" s="1" t="str">
        <f t="shared" si="15"/>
        <v>{"name":"In Casa #346",_x000D_
"symbol":"COR22D346",_x000D_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09" s="1" t="str">
        <f>formatRow(Tokens!C$2:I$2,Tokens!C509:I509)</f>
        <v>"name":"In Casa #346",_x000D_
"symbol":"COR22D346",_x000D_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09" s="1" t="str">
        <f>formatRow(Tokens!J$2:AV$2,Tokens!J509:AV509,2,"attributes")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09" s="1" t="str">
        <f>formatRow(Tokens!AX$2:BC$2,Tokens!AX509:BC509,2,"creators")</f>
        <v>"creators":[{"address":"paul",_x000D_
"share":10},{"address":"sophie",_x000D_
"share":90}]</v>
      </c>
      <c r="Y509" s="1" t="str">
        <f>formatRow(Tokens!BD$2:BI$2,Tokens!BD509:BI509,2,"files")</f>
        <v>"files":[]</v>
      </c>
      <c r="Z509" s="1"/>
      <c r="AA509" s="1"/>
      <c r="AB509" s="1"/>
      <c r="AC509" s="1" t="str">
        <f>formatRow(Tokens!BJ$2:BK$2,Tokens!BJ509:BK509,0,"collection")</f>
        <v>"collection":{"name":"In Casa",_x000D_
"family":"Calvi On The Rocks"}</v>
      </c>
    </row>
    <row r="510" spans="5:29" ht="14.25" customHeight="1" x14ac:dyDescent="0.25">
      <c r="E510" s="17" t="str">
        <f>IF(Tokens!C510="","",Tokens!C510)</f>
        <v>In Casa #347</v>
      </c>
      <c r="F510"/>
      <c r="G510"/>
      <c r="H510"/>
      <c r="I510"/>
      <c r="J510"/>
      <c r="M510"/>
      <c r="N510"/>
      <c r="O510" s="15" t="str">
        <f t="shared" si="14"/>
        <v>_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/>
      </c>
      <c r="Q510" s="2"/>
      <c r="R510" s="2"/>
      <c r="S510" s="11"/>
      <c r="T510" s="1" t="str">
        <f>"owner=" &amp; Tokens!BS510 &amp; "&amp;filename_for_metadata=" &amp; Tokens!BT510 &amp; "&amp;offchaindata_platform=" &amp; $B$17 &amp; "&amp;keyfile=" &amp; $B$5 &amp; "&amp;network=" &amp; LOWER($B$8) &amp; "&amp;repository=" &amp; $B$18</f>
        <v>owner=thomas&amp;filename_for_metadata=InCasa_COR22D347&amp;offchaindata_platform=MongoDB&amp;keyfile=Paul&amp;network=jsonfiles&amp;repository=test</v>
      </c>
      <c r="U510" s="1" t="str">
        <f t="shared" si="15"/>
        <v>{"name":"In Casa #347",_x000D_
"symbol":"COR22D347",_x000D_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0" s="1" t="str">
        <f>formatRow(Tokens!C$2:I$2,Tokens!C510:I510)</f>
        <v>"name":"In Casa #347",_x000D_
"symbol":"COR22D347",_x000D_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0" s="1" t="str">
        <f>formatRow(Tokens!J$2:AV$2,Tokens!J510:AV510,2,"attributes")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0" s="1" t="str">
        <f>formatRow(Tokens!AX$2:BC$2,Tokens!AX510:BC510,2,"creators")</f>
        <v>"creators":[{"address":"paul",_x000D_
"share":10},{"address":"sophie",_x000D_
"share":90}]</v>
      </c>
      <c r="Y510" s="1" t="str">
        <f>formatRow(Tokens!BD$2:BI$2,Tokens!BD510:BI510,2,"files")</f>
        <v>"files":[]</v>
      </c>
      <c r="Z510" s="1"/>
      <c r="AA510" s="1"/>
      <c r="AB510" s="1"/>
      <c r="AC510" s="1" t="str">
        <f>formatRow(Tokens!BJ$2:BK$2,Tokens!BJ510:BK510,0,"collection")</f>
        <v>"collection":{"name":"In Casa",_x000D_
"family":"Calvi On The Rocks"}</v>
      </c>
    </row>
    <row r="511" spans="5:29" ht="14.25" customHeight="1" x14ac:dyDescent="0.25">
      <c r="E511" s="17" t="str">
        <f>IF(Tokens!C511="","",Tokens!C511)</f>
        <v>In Casa #348</v>
      </c>
      <c r="F511"/>
      <c r="G511"/>
      <c r="H511"/>
      <c r="I511"/>
      <c r="J511"/>
      <c r="M511"/>
      <c r="N511"/>
      <c r="O511" s="15" t="str">
        <f t="shared" si="14"/>
        <v>_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/>
      </c>
      <c r="Q511" s="2"/>
      <c r="R511" s="2"/>
      <c r="S511" s="11"/>
      <c r="T511" s="1" t="str">
        <f>"owner=" &amp; Tokens!BS511 &amp; "&amp;filename_for_metadata=" &amp; Tokens!BT511 &amp; "&amp;offchaindata_platform=" &amp; $B$17 &amp; "&amp;keyfile=" &amp; $B$5 &amp; "&amp;network=" &amp; LOWER($B$8) &amp; "&amp;repository=" &amp; $B$18</f>
        <v>owner=thomas&amp;filename_for_metadata=InCasa_COR22D348&amp;offchaindata_platform=MongoDB&amp;keyfile=Paul&amp;network=jsonfiles&amp;repository=test</v>
      </c>
      <c r="U511" s="1" t="str">
        <f t="shared" si="15"/>
        <v>{"name":"In Casa #348",_x000D_
"symbol":"COR22D348",_x000D_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1" s="1" t="str">
        <f>formatRow(Tokens!C$2:I$2,Tokens!C511:I511)</f>
        <v>"name":"In Casa #348",_x000D_
"symbol":"COR22D348",_x000D_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1" s="1" t="str">
        <f>formatRow(Tokens!J$2:AV$2,Tokens!J511:AV511,2,"attributes")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1" s="1" t="str">
        <f>formatRow(Tokens!AX$2:BC$2,Tokens!AX511:BC511,2,"creators")</f>
        <v>"creators":[{"address":"paul",_x000D_
"share":10},{"address":"sophie",_x000D_
"share":90}]</v>
      </c>
      <c r="Y511" s="1" t="str">
        <f>formatRow(Tokens!BD$2:BI$2,Tokens!BD511:BI511,2,"files")</f>
        <v>"files":[]</v>
      </c>
      <c r="Z511" s="1"/>
      <c r="AA511" s="1"/>
      <c r="AB511" s="1"/>
      <c r="AC511" s="1" t="str">
        <f>formatRow(Tokens!BJ$2:BK$2,Tokens!BJ511:BK511,0,"collection")</f>
        <v>"collection":{"name":"In Casa",_x000D_
"family":"Calvi On The Rocks"}</v>
      </c>
    </row>
    <row r="512" spans="5:29" ht="14.25" customHeight="1" x14ac:dyDescent="0.25">
      <c r="E512" s="17" t="str">
        <f>IF(Tokens!C512="","",Tokens!C512)</f>
        <v>In Casa #349</v>
      </c>
      <c r="F512"/>
      <c r="G512"/>
      <c r="H512"/>
      <c r="I512"/>
      <c r="J512"/>
      <c r="M512"/>
      <c r="N512"/>
      <c r="O512" s="15" t="str">
        <f t="shared" si="14"/>
        <v>_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/>
      </c>
      <c r="Q512" s="2"/>
      <c r="R512" s="2"/>
      <c r="S512" s="11"/>
      <c r="T512" s="1" t="str">
        <f>"owner=" &amp; Tokens!BS512 &amp; "&amp;filename_for_metadata=" &amp; Tokens!BT512 &amp; "&amp;offchaindata_platform=" &amp; $B$17 &amp; "&amp;keyfile=" &amp; $B$5 &amp; "&amp;network=" &amp; LOWER($B$8) &amp; "&amp;repository=" &amp; $B$18</f>
        <v>owner=thomas&amp;filename_for_metadata=InCasa_COR22D349&amp;offchaindata_platform=MongoDB&amp;keyfile=Paul&amp;network=jsonfiles&amp;repository=test</v>
      </c>
      <c r="U512" s="1" t="str">
        <f t="shared" si="15"/>
        <v>{"name":"In Casa #349",_x000D_
"symbol":"COR22D349",_x000D_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2" s="1" t="str">
        <f>formatRow(Tokens!C$2:I$2,Tokens!C512:I512)</f>
        <v>"name":"In Casa #349",_x000D_
"symbol":"COR22D349",_x000D_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2" s="1" t="str">
        <f>formatRow(Tokens!J$2:AV$2,Tokens!J512:AV512,2,"attributes")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2" s="1" t="str">
        <f>formatRow(Tokens!AX$2:BC$2,Tokens!AX512:BC512,2,"creators")</f>
        <v>"creators":[{"address":"paul",_x000D_
"share":10},{"address":"sophie",_x000D_
"share":90}]</v>
      </c>
      <c r="Y512" s="1" t="str">
        <f>formatRow(Tokens!BD$2:BI$2,Tokens!BD512:BI512,2,"files")</f>
        <v>"files":[]</v>
      </c>
      <c r="Z512" s="1"/>
      <c r="AA512" s="1"/>
      <c r="AB512" s="1"/>
      <c r="AC512" s="1" t="str">
        <f>formatRow(Tokens!BJ$2:BK$2,Tokens!BJ512:BK512,0,"collection")</f>
        <v>"collection":{"name":"In Casa",_x000D_
"family":"Calvi On The Rocks"}</v>
      </c>
    </row>
    <row r="513" spans="5:29" ht="14.25" customHeight="1" x14ac:dyDescent="0.25">
      <c r="E513" s="17" t="str">
        <f>IF(Tokens!C513="","",Tokens!C513)</f>
        <v>In Casa #350</v>
      </c>
      <c r="F513"/>
      <c r="G513"/>
      <c r="H513"/>
      <c r="I513"/>
      <c r="J513"/>
      <c r="M513"/>
      <c r="N513"/>
      <c r="O513" s="15" t="str">
        <f t="shared" si="14"/>
        <v>_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/>
      </c>
      <c r="Q513" s="2"/>
      <c r="R513" s="2"/>
      <c r="S513" s="11"/>
      <c r="T513" s="1" t="str">
        <f>"owner=" &amp; Tokens!BS513 &amp; "&amp;filename_for_metadata=" &amp; Tokens!BT513 &amp; "&amp;offchaindata_platform=" &amp; $B$17 &amp; "&amp;keyfile=" &amp; $B$5 &amp; "&amp;network=" &amp; LOWER($B$8) &amp; "&amp;repository=" &amp; $B$18</f>
        <v>owner=thomas&amp;filename_for_metadata=InCasa_COR22D350&amp;offchaindata_platform=MongoDB&amp;keyfile=Paul&amp;network=jsonfiles&amp;repository=test</v>
      </c>
      <c r="U513" s="1" t="str">
        <f t="shared" si="15"/>
        <v>{"name":"In Casa #350",_x000D_
"symbol":"COR22D350",_x000D_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3" s="1" t="str">
        <f>formatRow(Tokens!C$2:I$2,Tokens!C513:I513)</f>
        <v>"name":"In Casa #350",_x000D_
"symbol":"COR22D350",_x000D_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3" s="1" t="str">
        <f>formatRow(Tokens!J$2:AV$2,Tokens!J513:AV513,2,"attributes")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3" s="1" t="str">
        <f>formatRow(Tokens!AX$2:BC$2,Tokens!AX513:BC513,2,"creators")</f>
        <v>"creators":[{"address":"paul",_x000D_
"share":10},{"address":"sophie",_x000D_
"share":90}]</v>
      </c>
      <c r="Y513" s="1" t="str">
        <f>formatRow(Tokens!BD$2:BI$2,Tokens!BD513:BI513,2,"files")</f>
        <v>"files":[]</v>
      </c>
      <c r="Z513" s="1"/>
      <c r="AA513" s="1"/>
      <c r="AB513" s="1"/>
      <c r="AC513" s="1" t="str">
        <f>formatRow(Tokens!BJ$2:BK$2,Tokens!BJ513:BK513,0,"collection")</f>
        <v>"collection":{"name":"In Casa",_x000D_
"family":"Calvi On The Rocks"}</v>
      </c>
    </row>
    <row r="514" spans="5:29" ht="14.25" customHeight="1" x14ac:dyDescent="0.25">
      <c r="E514" s="17" t="str">
        <f>IF(Tokens!C514="","",Tokens!C514)</f>
        <v>In Casa #351</v>
      </c>
      <c r="F514"/>
      <c r="G514"/>
      <c r="H514"/>
      <c r="I514"/>
      <c r="J514"/>
      <c r="M514"/>
      <c r="N514"/>
      <c r="O514" s="15" t="str">
        <f t="shared" si="14"/>
        <v>_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/>
      </c>
      <c r="Q514" s="2"/>
      <c r="R514" s="2"/>
      <c r="S514" s="11"/>
      <c r="T514" s="1" t="str">
        <f>"owner=" &amp; Tokens!BS514 &amp; "&amp;filename_for_metadata=" &amp; Tokens!BT514 &amp; "&amp;offchaindata_platform=" &amp; $B$17 &amp; "&amp;keyfile=" &amp; $B$5 &amp; "&amp;network=" &amp; LOWER($B$8) &amp; "&amp;repository=" &amp; $B$18</f>
        <v>owner=thomas&amp;filename_for_metadata=InCasa_COR22D351&amp;offchaindata_platform=MongoDB&amp;keyfile=Paul&amp;network=jsonfiles&amp;repository=test</v>
      </c>
      <c r="U514" s="1" t="str">
        <f t="shared" si="15"/>
        <v>{"name":"In Casa #351",_x000D_
"symbol":"COR22D351",_x000D_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4" s="1" t="str">
        <f>formatRow(Tokens!C$2:I$2,Tokens!C514:I514)</f>
        <v>"name":"In Casa #351",_x000D_
"symbol":"COR22D351",_x000D_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4" s="1" t="str">
        <f>formatRow(Tokens!J$2:AV$2,Tokens!J514:AV514,2,"attributes")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4" s="1" t="str">
        <f>formatRow(Tokens!AX$2:BC$2,Tokens!AX514:BC514,2,"creators")</f>
        <v>"creators":[{"address":"paul",_x000D_
"share":10},{"address":"sophie",_x000D_
"share":90}]</v>
      </c>
      <c r="Y514" s="1" t="str">
        <f>formatRow(Tokens!BD$2:BI$2,Tokens!BD514:BI514,2,"files")</f>
        <v>"files":[]</v>
      </c>
      <c r="Z514" s="1"/>
      <c r="AA514" s="1"/>
      <c r="AB514" s="1"/>
      <c r="AC514" s="1" t="str">
        <f>formatRow(Tokens!BJ$2:BK$2,Tokens!BJ514:BK514,0,"collection")</f>
        <v>"collection":{"name":"In Casa",_x000D_
"family":"Calvi On The Rocks"}</v>
      </c>
    </row>
    <row r="515" spans="5:29" ht="14.25" customHeight="1" x14ac:dyDescent="0.25">
      <c r="E515" s="17" t="str">
        <f>IF(Tokens!C515="","",Tokens!C515)</f>
        <v>In Casa #352</v>
      </c>
      <c r="F515"/>
      <c r="G515"/>
      <c r="H515"/>
      <c r="I515"/>
      <c r="J515"/>
      <c r="M515"/>
      <c r="N515"/>
      <c r="O515" s="15" t="str">
        <f t="shared" si="14"/>
        <v>_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/>
      </c>
      <c r="Q515" s="2"/>
      <c r="R515" s="2"/>
      <c r="S515" s="11"/>
      <c r="T515" s="1" t="str">
        <f>"owner=" &amp; Tokens!BS515 &amp; "&amp;filename_for_metadata=" &amp; Tokens!BT515 &amp; "&amp;offchaindata_platform=" &amp; $B$17 &amp; "&amp;keyfile=" &amp; $B$5 &amp; "&amp;network=" &amp; LOWER($B$8) &amp; "&amp;repository=" &amp; $B$18</f>
        <v>owner=thomas&amp;filename_for_metadata=InCasa_COR22D352&amp;offchaindata_platform=MongoDB&amp;keyfile=Paul&amp;network=jsonfiles&amp;repository=test</v>
      </c>
      <c r="U515" s="1" t="str">
        <f t="shared" si="15"/>
        <v>{"name":"In Casa #352",_x000D_
"symbol":"COR22D352",_x000D_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5" s="1" t="str">
        <f>formatRow(Tokens!C$2:I$2,Tokens!C515:I515)</f>
        <v>"name":"In Casa #352",_x000D_
"symbol":"COR22D352",_x000D_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5" s="1" t="str">
        <f>formatRow(Tokens!J$2:AV$2,Tokens!J515:AV515,2,"attributes")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5" s="1" t="str">
        <f>formatRow(Tokens!AX$2:BC$2,Tokens!AX515:BC515,2,"creators")</f>
        <v>"creators":[{"address":"paul",_x000D_
"share":10},{"address":"sophie",_x000D_
"share":90}]</v>
      </c>
      <c r="Y515" s="1" t="str">
        <f>formatRow(Tokens!BD$2:BI$2,Tokens!BD515:BI515,2,"files")</f>
        <v>"files":[]</v>
      </c>
      <c r="Z515" s="1"/>
      <c r="AA515" s="1"/>
      <c r="AB515" s="1"/>
      <c r="AC515" s="1" t="str">
        <f>formatRow(Tokens!BJ$2:BK$2,Tokens!BJ515:BK515,0,"collection")</f>
        <v>"collection":{"name":"In Casa",_x000D_
"family":"Calvi On The Rocks"}</v>
      </c>
    </row>
    <row r="516" spans="5:29" ht="14.25" customHeight="1" x14ac:dyDescent="0.25">
      <c r="E516" s="17" t="str">
        <f>IF(Tokens!C516="","",Tokens!C516)</f>
        <v>In Casa #353</v>
      </c>
      <c r="F516"/>
      <c r="G516"/>
      <c r="H516"/>
      <c r="I516"/>
      <c r="J516"/>
      <c r="M516"/>
      <c r="N516"/>
      <c r="O516" s="15" t="str">
        <f t="shared" ref="O516:O579" si="16">IF(AND(ISNUMBER(N515),ISNUMBER(N516)),(N516-N515)*$O$1,"_")</f>
        <v>_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/>
      </c>
      <c r="Q516" s="2"/>
      <c r="R516" s="2"/>
      <c r="S516" s="11"/>
      <c r="T516" s="1" t="str">
        <f>"owner=" &amp; Tokens!BS516 &amp; "&amp;filename_for_metadata=" &amp; Tokens!BT516 &amp; "&amp;offchaindata_platform=" &amp; $B$17 &amp; "&amp;keyfile=" &amp; $B$5 &amp; "&amp;network=" &amp; LOWER($B$8) &amp; "&amp;repository=" &amp; $B$18</f>
        <v>owner=thomas&amp;filename_for_metadata=InCasa_COR22D353&amp;offchaindata_platform=MongoDB&amp;keyfile=Paul&amp;network=jsonfiles&amp;repository=test</v>
      </c>
      <c r="U516" s="1" t="str">
        <f t="shared" si="15"/>
        <v>{"name":"In Casa #353",_x000D_
"symbol":"COR22D353",_x000D_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6" s="1" t="str">
        <f>formatRow(Tokens!C$2:I$2,Tokens!C516:I516)</f>
        <v>"name":"In Casa #353",_x000D_
"symbol":"COR22D353",_x000D_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6" s="1" t="str">
        <f>formatRow(Tokens!J$2:AV$2,Tokens!J516:AV516,2,"attributes")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6" s="1" t="str">
        <f>formatRow(Tokens!AX$2:BC$2,Tokens!AX516:BC516,2,"creators")</f>
        <v>"creators":[{"address":"paul",_x000D_
"share":10},{"address":"sophie",_x000D_
"share":90}]</v>
      </c>
      <c r="Y516" s="1" t="str">
        <f>formatRow(Tokens!BD$2:BI$2,Tokens!BD516:BI516,2,"files")</f>
        <v>"files":[]</v>
      </c>
      <c r="Z516" s="1"/>
      <c r="AA516" s="1"/>
      <c r="AB516" s="1"/>
      <c r="AC516" s="1" t="str">
        <f>formatRow(Tokens!BJ$2:BK$2,Tokens!BJ516:BK516,0,"collection")</f>
        <v>"collection":{"name":"In Casa",_x000D_
"family":"Calvi On The Rocks"}</v>
      </c>
    </row>
    <row r="517" spans="5:29" ht="14.25" customHeight="1" x14ac:dyDescent="0.25">
      <c r="E517" s="17" t="str">
        <f>IF(Tokens!C517="","",Tokens!C517)</f>
        <v>In Casa #354</v>
      </c>
      <c r="F517"/>
      <c r="G517"/>
      <c r="H517"/>
      <c r="I517"/>
      <c r="J517"/>
      <c r="M517"/>
      <c r="N517"/>
      <c r="O517" s="15" t="str">
        <f t="shared" si="16"/>
        <v>_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/>
      </c>
      <c r="Q517" s="2"/>
      <c r="R517" s="2"/>
      <c r="S517" s="11"/>
      <c r="T517" s="1" t="str">
        <f>"owner=" &amp; Tokens!BS517 &amp; "&amp;filename_for_metadata=" &amp; Tokens!BT517 &amp; "&amp;offchaindata_platform=" &amp; $B$17 &amp; "&amp;keyfile=" &amp; $B$5 &amp; "&amp;network=" &amp; LOWER($B$8) &amp; "&amp;repository=" &amp; $B$18</f>
        <v>owner=thomas&amp;filename_for_metadata=InCasa_COR22D354&amp;offchaindata_platform=MongoDB&amp;keyfile=Paul&amp;network=jsonfiles&amp;repository=test</v>
      </c>
      <c r="U517" s="1" t="str">
        <f t="shared" ref="U517:U580" si="17">"{" &amp; V517 &amp; "," &amp; W517 &amp; "," &amp; """properties"":{" &amp; X517 &amp; "," &amp; Y517 &amp; "}," &amp; AC517 &amp; "}"</f>
        <v>{"name":"In Casa #354",_x000D_
"symbol":"COR22D354",_x000D_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7" s="1" t="str">
        <f>formatRow(Tokens!C$2:I$2,Tokens!C517:I517)</f>
        <v>"name":"In Casa #354",_x000D_
"symbol":"COR22D354",_x000D_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7" s="1" t="str">
        <f>formatRow(Tokens!J$2:AV$2,Tokens!J517:AV517,2,"attributes")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7" s="1" t="str">
        <f>formatRow(Tokens!AX$2:BC$2,Tokens!AX517:BC517,2,"creators")</f>
        <v>"creators":[{"address":"paul",_x000D_
"share":10},{"address":"sophie",_x000D_
"share":90}]</v>
      </c>
      <c r="Y517" s="1" t="str">
        <f>formatRow(Tokens!BD$2:BI$2,Tokens!BD517:BI517,2,"files")</f>
        <v>"files":[]</v>
      </c>
      <c r="Z517" s="1"/>
      <c r="AA517" s="1"/>
      <c r="AB517" s="1"/>
      <c r="AC517" s="1" t="str">
        <f>formatRow(Tokens!BJ$2:BK$2,Tokens!BJ517:BK517,0,"collection")</f>
        <v>"collection":{"name":"In Casa",_x000D_
"family":"Calvi On The Rocks"}</v>
      </c>
    </row>
    <row r="518" spans="5:29" ht="14.25" customHeight="1" x14ac:dyDescent="0.25">
      <c r="E518" s="17" t="str">
        <f>IF(Tokens!C518="","",Tokens!C518)</f>
        <v>In Casa #355</v>
      </c>
      <c r="F518"/>
      <c r="G518"/>
      <c r="H518"/>
      <c r="I518"/>
      <c r="J518"/>
      <c r="M518"/>
      <c r="N518"/>
      <c r="O518" s="15" t="str">
        <f t="shared" si="16"/>
        <v>_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/>
      </c>
      <c r="Q518" s="2"/>
      <c r="R518" s="2"/>
      <c r="S518" s="11"/>
      <c r="T518" s="1" t="str">
        <f>"owner=" &amp; Tokens!BS518 &amp; "&amp;filename_for_metadata=" &amp; Tokens!BT518 &amp; "&amp;offchaindata_platform=" &amp; $B$17 &amp; "&amp;keyfile=" &amp; $B$5 &amp; "&amp;network=" &amp; LOWER($B$8) &amp; "&amp;repository=" &amp; $B$18</f>
        <v>owner=thomas&amp;filename_for_metadata=InCasa_COR22D355&amp;offchaindata_platform=MongoDB&amp;keyfile=Paul&amp;network=jsonfiles&amp;repository=test</v>
      </c>
      <c r="U518" s="1" t="str">
        <f t="shared" si="17"/>
        <v>{"name":"In Casa #355",_x000D_
"symbol":"COR22D355",_x000D_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8" s="1" t="str">
        <f>formatRow(Tokens!C$2:I$2,Tokens!C518:I518)</f>
        <v>"name":"In Casa #355",_x000D_
"symbol":"COR22D355",_x000D_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8" s="1" t="str">
        <f>formatRow(Tokens!J$2:AV$2,Tokens!J518:AV518,2,"attributes")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8" s="1" t="str">
        <f>formatRow(Tokens!AX$2:BC$2,Tokens!AX518:BC518,2,"creators")</f>
        <v>"creators":[{"address":"paul",_x000D_
"share":10},{"address":"sophie",_x000D_
"share":90}]</v>
      </c>
      <c r="Y518" s="1" t="str">
        <f>formatRow(Tokens!BD$2:BI$2,Tokens!BD518:BI518,2,"files")</f>
        <v>"files":[]</v>
      </c>
      <c r="Z518" s="1"/>
      <c r="AA518" s="1"/>
      <c r="AB518" s="1"/>
      <c r="AC518" s="1" t="str">
        <f>formatRow(Tokens!BJ$2:BK$2,Tokens!BJ518:BK518,0,"collection")</f>
        <v>"collection":{"name":"In Casa",_x000D_
"family":"Calvi On The Rocks"}</v>
      </c>
    </row>
    <row r="519" spans="5:29" ht="14.25" customHeight="1" x14ac:dyDescent="0.25">
      <c r="E519" s="17" t="str">
        <f>IF(Tokens!C519="","",Tokens!C519)</f>
        <v>In Casa #356</v>
      </c>
      <c r="F519"/>
      <c r="G519"/>
      <c r="H519"/>
      <c r="I519"/>
      <c r="J519"/>
      <c r="M519"/>
      <c r="N519"/>
      <c r="O519" s="15" t="str">
        <f t="shared" si="16"/>
        <v>_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/>
      </c>
      <c r="Q519" s="2"/>
      <c r="R519" s="2"/>
      <c r="S519" s="11"/>
      <c r="T519" s="1" t="str">
        <f>"owner=" &amp; Tokens!BS519 &amp; "&amp;filename_for_metadata=" &amp; Tokens!BT519 &amp; "&amp;offchaindata_platform=" &amp; $B$17 &amp; "&amp;keyfile=" &amp; $B$5 &amp; "&amp;network=" &amp; LOWER($B$8) &amp; "&amp;repository=" &amp; $B$18</f>
        <v>owner=thomas&amp;filename_for_metadata=InCasa_COR22D356&amp;offchaindata_platform=MongoDB&amp;keyfile=Paul&amp;network=jsonfiles&amp;repository=test</v>
      </c>
      <c r="U519" s="1" t="str">
        <f t="shared" si="17"/>
        <v>{"name":"In Casa #356",_x000D_
"symbol":"COR22D356",_x000D_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19" s="1" t="str">
        <f>formatRow(Tokens!C$2:I$2,Tokens!C519:I519)</f>
        <v>"name":"In Casa #356",_x000D_
"symbol":"COR22D356",_x000D_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19" s="1" t="str">
        <f>formatRow(Tokens!J$2:AV$2,Tokens!J519:AV519,2,"attributes")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19" s="1" t="str">
        <f>formatRow(Tokens!AX$2:BC$2,Tokens!AX519:BC519,2,"creators")</f>
        <v>"creators":[{"address":"paul",_x000D_
"share":10},{"address":"sophie",_x000D_
"share":90}]</v>
      </c>
      <c r="Y519" s="1" t="str">
        <f>formatRow(Tokens!BD$2:BI$2,Tokens!BD519:BI519,2,"files")</f>
        <v>"files":[]</v>
      </c>
      <c r="Z519" s="1"/>
      <c r="AA519" s="1"/>
      <c r="AB519" s="1"/>
      <c r="AC519" s="1" t="str">
        <f>formatRow(Tokens!BJ$2:BK$2,Tokens!BJ519:BK519,0,"collection")</f>
        <v>"collection":{"name":"In Casa",_x000D_
"family":"Calvi On The Rocks"}</v>
      </c>
    </row>
    <row r="520" spans="5:29" ht="14.25" customHeight="1" x14ac:dyDescent="0.25">
      <c r="E520" s="17" t="str">
        <f>IF(Tokens!C520="","",Tokens!C520)</f>
        <v>In Casa #357</v>
      </c>
      <c r="F520"/>
      <c r="G520"/>
      <c r="H520"/>
      <c r="I520"/>
      <c r="J520"/>
      <c r="M520"/>
      <c r="N520"/>
      <c r="O520" s="15" t="str">
        <f t="shared" si="16"/>
        <v>_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/>
      </c>
      <c r="Q520" s="2"/>
      <c r="R520" s="2"/>
      <c r="S520" s="11"/>
      <c r="T520" s="1" t="str">
        <f>"owner=" &amp; Tokens!BS520 &amp; "&amp;filename_for_metadata=" &amp; Tokens!BT520 &amp; "&amp;offchaindata_platform=" &amp; $B$17 &amp; "&amp;keyfile=" &amp; $B$5 &amp; "&amp;network=" &amp; LOWER($B$8) &amp; "&amp;repository=" &amp; $B$18</f>
        <v>owner=thomas&amp;filename_for_metadata=InCasa_COR22D357&amp;offchaindata_platform=MongoDB&amp;keyfile=Paul&amp;network=jsonfiles&amp;repository=test</v>
      </c>
      <c r="U520" s="1" t="str">
        <f t="shared" si="17"/>
        <v>{"name":"In Casa #357",_x000D_
"symbol":"COR22D357",_x000D_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0" s="1" t="str">
        <f>formatRow(Tokens!C$2:I$2,Tokens!C520:I520)</f>
        <v>"name":"In Casa #357",_x000D_
"symbol":"COR22D357",_x000D_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0" s="1" t="str">
        <f>formatRow(Tokens!J$2:AV$2,Tokens!J520:AV520,2,"attributes")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0" s="1" t="str">
        <f>formatRow(Tokens!AX$2:BC$2,Tokens!AX520:BC520,2,"creators")</f>
        <v>"creators":[{"address":"paul",_x000D_
"share":10},{"address":"sophie",_x000D_
"share":90}]</v>
      </c>
      <c r="Y520" s="1" t="str">
        <f>formatRow(Tokens!BD$2:BI$2,Tokens!BD520:BI520,2,"files")</f>
        <v>"files":[]</v>
      </c>
      <c r="Z520" s="1"/>
      <c r="AA520" s="1"/>
      <c r="AB520" s="1"/>
      <c r="AC520" s="1" t="str">
        <f>formatRow(Tokens!BJ$2:BK$2,Tokens!BJ520:BK520,0,"collection")</f>
        <v>"collection":{"name":"In Casa",_x000D_
"family":"Calvi On The Rocks"}</v>
      </c>
    </row>
    <row r="521" spans="5:29" ht="14.25" customHeight="1" x14ac:dyDescent="0.25">
      <c r="E521" s="17" t="str">
        <f>IF(Tokens!C521="","",Tokens!C521)</f>
        <v>In Casa #358</v>
      </c>
      <c r="F521"/>
      <c r="G521"/>
      <c r="H521"/>
      <c r="I521"/>
      <c r="J521"/>
      <c r="M521"/>
      <c r="N521"/>
      <c r="O521" s="15" t="str">
        <f t="shared" si="16"/>
        <v>_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/>
      </c>
      <c r="Q521" s="2"/>
      <c r="R521" s="2"/>
      <c r="S521" s="11"/>
      <c r="T521" s="1" t="str">
        <f>"owner=" &amp; Tokens!BS521 &amp; "&amp;filename_for_metadata=" &amp; Tokens!BT521 &amp; "&amp;offchaindata_platform=" &amp; $B$17 &amp; "&amp;keyfile=" &amp; $B$5 &amp; "&amp;network=" &amp; LOWER($B$8) &amp; "&amp;repository=" &amp; $B$18</f>
        <v>owner=thomas&amp;filename_for_metadata=InCasa_COR22D358&amp;offchaindata_platform=MongoDB&amp;keyfile=Paul&amp;network=jsonfiles&amp;repository=test</v>
      </c>
      <c r="U521" s="1" t="str">
        <f t="shared" si="17"/>
        <v>{"name":"In Casa #358",_x000D_
"symbol":"COR22D358",_x000D_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1" s="1" t="str">
        <f>formatRow(Tokens!C$2:I$2,Tokens!C521:I521)</f>
        <v>"name":"In Casa #358",_x000D_
"symbol":"COR22D358",_x000D_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1" s="1" t="str">
        <f>formatRow(Tokens!J$2:AV$2,Tokens!J521:AV521,2,"attributes")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1" s="1" t="str">
        <f>formatRow(Tokens!AX$2:BC$2,Tokens!AX521:BC521,2,"creators")</f>
        <v>"creators":[{"address":"paul",_x000D_
"share":10},{"address":"sophie",_x000D_
"share":90}]</v>
      </c>
      <c r="Y521" s="1" t="str">
        <f>formatRow(Tokens!BD$2:BI$2,Tokens!BD521:BI521,2,"files")</f>
        <v>"files":[]</v>
      </c>
      <c r="Z521" s="1"/>
      <c r="AA521" s="1"/>
      <c r="AB521" s="1"/>
      <c r="AC521" s="1" t="str">
        <f>formatRow(Tokens!BJ$2:BK$2,Tokens!BJ521:BK521,0,"collection")</f>
        <v>"collection":{"name":"In Casa",_x000D_
"family":"Calvi On The Rocks"}</v>
      </c>
    </row>
    <row r="522" spans="5:29" ht="14.25" customHeight="1" x14ac:dyDescent="0.25">
      <c r="E522" s="17" t="str">
        <f>IF(Tokens!C522="","",Tokens!C522)</f>
        <v>In Casa #359</v>
      </c>
      <c r="F522"/>
      <c r="G522"/>
      <c r="H522"/>
      <c r="I522"/>
      <c r="J522"/>
      <c r="M522"/>
      <c r="N522"/>
      <c r="O522" s="15" t="str">
        <f t="shared" si="16"/>
        <v>_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/>
      </c>
      <c r="Q522" s="2"/>
      <c r="R522" s="2"/>
      <c r="S522" s="11"/>
      <c r="T522" s="1" t="str">
        <f>"owner=" &amp; Tokens!BS522 &amp; "&amp;filename_for_metadata=" &amp; Tokens!BT522 &amp; "&amp;offchaindata_platform=" &amp; $B$17 &amp; "&amp;keyfile=" &amp; $B$5 &amp; "&amp;network=" &amp; LOWER($B$8) &amp; "&amp;repository=" &amp; $B$18</f>
        <v>owner=thomas&amp;filename_for_metadata=InCasa_COR22D359&amp;offchaindata_platform=MongoDB&amp;keyfile=Paul&amp;network=jsonfiles&amp;repository=test</v>
      </c>
      <c r="U522" s="1" t="str">
        <f t="shared" si="17"/>
        <v>{"name":"In Casa #359",_x000D_
"symbol":"COR22D359",_x000D_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2" s="1" t="str">
        <f>formatRow(Tokens!C$2:I$2,Tokens!C522:I522)</f>
        <v>"name":"In Casa #359",_x000D_
"symbol":"COR22D359",_x000D_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2" s="1" t="str">
        <f>formatRow(Tokens!J$2:AV$2,Tokens!J522:AV522,2,"attributes")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2" s="1" t="str">
        <f>formatRow(Tokens!AX$2:BC$2,Tokens!AX522:BC522,2,"creators")</f>
        <v>"creators":[{"address":"paul",_x000D_
"share":10},{"address":"sophie",_x000D_
"share":90}]</v>
      </c>
      <c r="Y522" s="1" t="str">
        <f>formatRow(Tokens!BD$2:BI$2,Tokens!BD522:BI522,2,"files")</f>
        <v>"files":[]</v>
      </c>
      <c r="Z522" s="1"/>
      <c r="AA522" s="1"/>
      <c r="AB522" s="1"/>
      <c r="AC522" s="1" t="str">
        <f>formatRow(Tokens!BJ$2:BK$2,Tokens!BJ522:BK522,0,"collection")</f>
        <v>"collection":{"name":"In Casa",_x000D_
"family":"Calvi On The Rocks"}</v>
      </c>
    </row>
    <row r="523" spans="5:29" ht="14.25" customHeight="1" x14ac:dyDescent="0.25">
      <c r="E523" s="17" t="str">
        <f>IF(Tokens!C523="","",Tokens!C523)</f>
        <v>In Casa #360</v>
      </c>
      <c r="F523"/>
      <c r="G523"/>
      <c r="H523"/>
      <c r="I523"/>
      <c r="J523"/>
      <c r="M523"/>
      <c r="N523"/>
      <c r="O523" s="15" t="str">
        <f t="shared" si="16"/>
        <v>_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/>
      </c>
      <c r="Q523" s="2"/>
      <c r="R523" s="2"/>
      <c r="S523" s="11"/>
      <c r="T523" s="1" t="str">
        <f>"owner=" &amp; Tokens!BS523 &amp; "&amp;filename_for_metadata=" &amp; Tokens!BT523 &amp; "&amp;offchaindata_platform=" &amp; $B$17 &amp; "&amp;keyfile=" &amp; $B$5 &amp; "&amp;network=" &amp; LOWER($B$8) &amp; "&amp;repository=" &amp; $B$18</f>
        <v>owner=thomas&amp;filename_for_metadata=InCasa_COR22D360&amp;offchaindata_platform=MongoDB&amp;keyfile=Paul&amp;network=jsonfiles&amp;repository=test</v>
      </c>
      <c r="U523" s="1" t="str">
        <f t="shared" si="17"/>
        <v>{"name":"In Casa #360",_x000D_
"symbol":"COR22D360",_x000D_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3" s="1" t="str">
        <f>formatRow(Tokens!C$2:I$2,Tokens!C523:I523)</f>
        <v>"name":"In Casa #360",_x000D_
"symbol":"COR22D360",_x000D_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3" s="1" t="str">
        <f>formatRow(Tokens!J$2:AV$2,Tokens!J523:AV523,2,"attributes")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3" s="1" t="str">
        <f>formatRow(Tokens!AX$2:BC$2,Tokens!AX523:BC523,2,"creators")</f>
        <v>"creators":[{"address":"paul",_x000D_
"share":10},{"address":"sophie",_x000D_
"share":90}]</v>
      </c>
      <c r="Y523" s="1" t="str">
        <f>formatRow(Tokens!BD$2:BI$2,Tokens!BD523:BI523,2,"files")</f>
        <v>"files":[]</v>
      </c>
      <c r="Z523" s="1"/>
      <c r="AA523" s="1"/>
      <c r="AB523" s="1"/>
      <c r="AC523" s="1" t="str">
        <f>formatRow(Tokens!BJ$2:BK$2,Tokens!BJ523:BK523,0,"collection")</f>
        <v>"collection":{"name":"In Casa",_x000D_
"family":"Calvi On The Rocks"}</v>
      </c>
    </row>
    <row r="524" spans="5:29" ht="14.25" customHeight="1" x14ac:dyDescent="0.25">
      <c r="E524" s="17" t="str">
        <f>IF(Tokens!C524="","",Tokens!C524)</f>
        <v>In Casa #361</v>
      </c>
      <c r="F524"/>
      <c r="G524"/>
      <c r="H524"/>
      <c r="I524"/>
      <c r="J524"/>
      <c r="M524"/>
      <c r="N524"/>
      <c r="O524" s="15" t="str">
        <f t="shared" si="16"/>
        <v>_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/>
      </c>
      <c r="Q524" s="2"/>
      <c r="R524" s="2"/>
      <c r="S524" s="11"/>
      <c r="T524" s="1" t="str">
        <f>"owner=" &amp; Tokens!BS524 &amp; "&amp;filename_for_metadata=" &amp; Tokens!BT524 &amp; "&amp;offchaindata_platform=" &amp; $B$17 &amp; "&amp;keyfile=" &amp; $B$5 &amp; "&amp;network=" &amp; LOWER($B$8) &amp; "&amp;repository=" &amp; $B$18</f>
        <v>owner=thomas&amp;filename_for_metadata=InCasa_COR22D361&amp;offchaindata_platform=MongoDB&amp;keyfile=Paul&amp;network=jsonfiles&amp;repository=test</v>
      </c>
      <c r="U524" s="1" t="str">
        <f t="shared" si="17"/>
        <v>{"name":"In Casa #361",_x000D_
"symbol":"COR22D361",_x000D_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4" s="1" t="str">
        <f>formatRow(Tokens!C$2:I$2,Tokens!C524:I524)</f>
        <v>"name":"In Casa #361",_x000D_
"symbol":"COR22D361",_x000D_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4" s="1" t="str">
        <f>formatRow(Tokens!J$2:AV$2,Tokens!J524:AV524,2,"attributes")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4" s="1" t="str">
        <f>formatRow(Tokens!AX$2:BC$2,Tokens!AX524:BC524,2,"creators")</f>
        <v>"creators":[{"address":"paul",_x000D_
"share":10},{"address":"sophie",_x000D_
"share":90}]</v>
      </c>
      <c r="Y524" s="1" t="str">
        <f>formatRow(Tokens!BD$2:BI$2,Tokens!BD524:BI524,2,"files")</f>
        <v>"files":[]</v>
      </c>
      <c r="Z524" s="1"/>
      <c r="AA524" s="1"/>
      <c r="AB524" s="1"/>
      <c r="AC524" s="1" t="str">
        <f>formatRow(Tokens!BJ$2:BK$2,Tokens!BJ524:BK524,0,"collection")</f>
        <v>"collection":{"name":"In Casa",_x000D_
"family":"Calvi On The Rocks"}</v>
      </c>
    </row>
    <row r="525" spans="5:29" ht="14.25" customHeight="1" x14ac:dyDescent="0.25">
      <c r="E525" s="17" t="str">
        <f>IF(Tokens!C525="","",Tokens!C525)</f>
        <v>In Casa #362</v>
      </c>
      <c r="F525"/>
      <c r="G525"/>
      <c r="H525"/>
      <c r="I525"/>
      <c r="J525"/>
      <c r="M525"/>
      <c r="N525"/>
      <c r="O525" s="15" t="str">
        <f t="shared" si="16"/>
        <v>_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/>
      </c>
      <c r="Q525" s="2"/>
      <c r="R525" s="2"/>
      <c r="S525" s="11"/>
      <c r="T525" s="1" t="str">
        <f>"owner=" &amp; Tokens!BS525 &amp; "&amp;filename_for_metadata=" &amp; Tokens!BT525 &amp; "&amp;offchaindata_platform=" &amp; $B$17 &amp; "&amp;keyfile=" &amp; $B$5 &amp; "&amp;network=" &amp; LOWER($B$8) &amp; "&amp;repository=" &amp; $B$18</f>
        <v>owner=thomas&amp;filename_for_metadata=InCasa_COR22D362&amp;offchaindata_platform=MongoDB&amp;keyfile=Paul&amp;network=jsonfiles&amp;repository=test</v>
      </c>
      <c r="U525" s="1" t="str">
        <f t="shared" si="17"/>
        <v>{"name":"In Casa #362",_x000D_
"symbol":"COR22D362",_x000D_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5" s="1" t="str">
        <f>formatRow(Tokens!C$2:I$2,Tokens!C525:I525)</f>
        <v>"name":"In Casa #362",_x000D_
"symbol":"COR22D362",_x000D_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5" s="1" t="str">
        <f>formatRow(Tokens!J$2:AV$2,Tokens!J525:AV525,2,"attributes")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5" s="1" t="str">
        <f>formatRow(Tokens!AX$2:BC$2,Tokens!AX525:BC525,2,"creators")</f>
        <v>"creators":[{"address":"paul",_x000D_
"share":10},{"address":"sophie",_x000D_
"share":90}]</v>
      </c>
      <c r="Y525" s="1" t="str">
        <f>formatRow(Tokens!BD$2:BI$2,Tokens!BD525:BI525,2,"files")</f>
        <v>"files":[]</v>
      </c>
      <c r="Z525" s="1"/>
      <c r="AA525" s="1"/>
      <c r="AB525" s="1"/>
      <c r="AC525" s="1" t="str">
        <f>formatRow(Tokens!BJ$2:BK$2,Tokens!BJ525:BK525,0,"collection")</f>
        <v>"collection":{"name":"In Casa",_x000D_
"family":"Calvi On The Rocks"}</v>
      </c>
    </row>
    <row r="526" spans="5:29" ht="14.25" customHeight="1" x14ac:dyDescent="0.25">
      <c r="E526" s="17" t="str">
        <f>IF(Tokens!C526="","",Tokens!C526)</f>
        <v>In Casa #363</v>
      </c>
      <c r="F526"/>
      <c r="G526"/>
      <c r="H526"/>
      <c r="I526"/>
      <c r="J526"/>
      <c r="M526"/>
      <c r="N526"/>
      <c r="O526" s="15" t="str">
        <f t="shared" si="16"/>
        <v>_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/>
      </c>
      <c r="Q526" s="2"/>
      <c r="R526" s="2"/>
      <c r="S526" s="11"/>
      <c r="T526" s="1" t="str">
        <f>"owner=" &amp; Tokens!BS526 &amp; "&amp;filename_for_metadata=" &amp; Tokens!BT526 &amp; "&amp;offchaindata_platform=" &amp; $B$17 &amp; "&amp;keyfile=" &amp; $B$5 &amp; "&amp;network=" &amp; LOWER($B$8) &amp; "&amp;repository=" &amp; $B$18</f>
        <v>owner=thomas&amp;filename_for_metadata=InCasa_COR22D363&amp;offchaindata_platform=MongoDB&amp;keyfile=Paul&amp;network=jsonfiles&amp;repository=test</v>
      </c>
      <c r="U526" s="1" t="str">
        <f t="shared" si="17"/>
        <v>{"name":"In Casa #363",_x000D_
"symbol":"COR22D363",_x000D_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6" s="1" t="str">
        <f>formatRow(Tokens!C$2:I$2,Tokens!C526:I526)</f>
        <v>"name":"In Casa #363",_x000D_
"symbol":"COR22D363",_x000D_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6" s="1" t="str">
        <f>formatRow(Tokens!J$2:AV$2,Tokens!J526:AV526,2,"attributes")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6" s="1" t="str">
        <f>formatRow(Tokens!AX$2:BC$2,Tokens!AX526:BC526,2,"creators")</f>
        <v>"creators":[{"address":"paul",_x000D_
"share":10},{"address":"sophie",_x000D_
"share":90}]</v>
      </c>
      <c r="Y526" s="1" t="str">
        <f>formatRow(Tokens!BD$2:BI$2,Tokens!BD526:BI526,2,"files")</f>
        <v>"files":[]</v>
      </c>
      <c r="Z526" s="1"/>
      <c r="AA526" s="1"/>
      <c r="AB526" s="1"/>
      <c r="AC526" s="1" t="str">
        <f>formatRow(Tokens!BJ$2:BK$2,Tokens!BJ526:BK526,0,"collection")</f>
        <v>"collection":{"name":"In Casa",_x000D_
"family":"Calvi On The Rocks"}</v>
      </c>
    </row>
    <row r="527" spans="5:29" ht="14.25" customHeight="1" x14ac:dyDescent="0.25">
      <c r="E527" s="17" t="str">
        <f>IF(Tokens!C527="","",Tokens!C527)</f>
        <v>In Casa #364</v>
      </c>
      <c r="F527"/>
      <c r="G527"/>
      <c r="H527"/>
      <c r="I527"/>
      <c r="J527"/>
      <c r="M527"/>
      <c r="N527"/>
      <c r="O527" s="15" t="str">
        <f t="shared" si="16"/>
        <v>_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/>
      </c>
      <c r="Q527" s="2"/>
      <c r="R527" s="2"/>
      <c r="S527" s="11"/>
      <c r="T527" s="1" t="str">
        <f>"owner=" &amp; Tokens!BS527 &amp; "&amp;filename_for_metadata=" &amp; Tokens!BT527 &amp; "&amp;offchaindata_platform=" &amp; $B$17 &amp; "&amp;keyfile=" &amp; $B$5 &amp; "&amp;network=" &amp; LOWER($B$8) &amp; "&amp;repository=" &amp; $B$18</f>
        <v>owner=thomas&amp;filename_for_metadata=InCasa_COR22D364&amp;offchaindata_platform=MongoDB&amp;keyfile=Paul&amp;network=jsonfiles&amp;repository=test</v>
      </c>
      <c r="U527" s="1" t="str">
        <f t="shared" si="17"/>
        <v>{"name":"In Casa #364",_x000D_
"symbol":"COR22D364",_x000D_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7" s="1" t="str">
        <f>formatRow(Tokens!C$2:I$2,Tokens!C527:I527)</f>
        <v>"name":"In Casa #364",_x000D_
"symbol":"COR22D364",_x000D_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7" s="1" t="str">
        <f>formatRow(Tokens!J$2:AV$2,Tokens!J527:AV527,2,"attributes")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7" s="1" t="str">
        <f>formatRow(Tokens!AX$2:BC$2,Tokens!AX527:BC527,2,"creators")</f>
        <v>"creators":[{"address":"paul",_x000D_
"share":10},{"address":"sophie",_x000D_
"share":90}]</v>
      </c>
      <c r="Y527" s="1" t="str">
        <f>formatRow(Tokens!BD$2:BI$2,Tokens!BD527:BI527,2,"files")</f>
        <v>"files":[]</v>
      </c>
      <c r="Z527" s="1"/>
      <c r="AA527" s="1"/>
      <c r="AB527" s="1"/>
      <c r="AC527" s="1" t="str">
        <f>formatRow(Tokens!BJ$2:BK$2,Tokens!BJ527:BK527,0,"collection")</f>
        <v>"collection":{"name":"In Casa",_x000D_
"family":"Calvi On The Rocks"}</v>
      </c>
    </row>
    <row r="528" spans="5:29" ht="14.25" customHeight="1" x14ac:dyDescent="0.25">
      <c r="E528" s="17" t="str">
        <f>IF(Tokens!C528="","",Tokens!C528)</f>
        <v>In Casa #365</v>
      </c>
      <c r="F528"/>
      <c r="G528"/>
      <c r="H528"/>
      <c r="I528"/>
      <c r="J528"/>
      <c r="M528"/>
      <c r="N528"/>
      <c r="O528" s="15" t="str">
        <f t="shared" si="16"/>
        <v>_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/>
      </c>
      <c r="Q528" s="2"/>
      <c r="R528" s="2"/>
      <c r="S528" s="11"/>
      <c r="T528" s="1" t="str">
        <f>"owner=" &amp; Tokens!BS528 &amp; "&amp;filename_for_metadata=" &amp; Tokens!BT528 &amp; "&amp;offchaindata_platform=" &amp; $B$17 &amp; "&amp;keyfile=" &amp; $B$5 &amp; "&amp;network=" &amp; LOWER($B$8) &amp; "&amp;repository=" &amp; $B$18</f>
        <v>owner=thomas&amp;filename_for_metadata=InCasa_COR22D365&amp;offchaindata_platform=MongoDB&amp;keyfile=Paul&amp;network=jsonfiles&amp;repository=test</v>
      </c>
      <c r="U528" s="1" t="str">
        <f t="shared" si="17"/>
        <v>{"name":"In Casa #365",_x000D_
"symbol":"COR22D365",_x000D_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8" s="1" t="str">
        <f>formatRow(Tokens!C$2:I$2,Tokens!C528:I528)</f>
        <v>"name":"In Casa #365",_x000D_
"symbol":"COR22D365",_x000D_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8" s="1" t="str">
        <f>formatRow(Tokens!J$2:AV$2,Tokens!J528:AV528,2,"attributes")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8" s="1" t="str">
        <f>formatRow(Tokens!AX$2:BC$2,Tokens!AX528:BC528,2,"creators")</f>
        <v>"creators":[{"address":"paul",_x000D_
"share":10},{"address":"sophie",_x000D_
"share":90}]</v>
      </c>
      <c r="Y528" s="1" t="str">
        <f>formatRow(Tokens!BD$2:BI$2,Tokens!BD528:BI528,2,"files")</f>
        <v>"files":[]</v>
      </c>
      <c r="Z528" s="1"/>
      <c r="AA528" s="1"/>
      <c r="AB528" s="1"/>
      <c r="AC528" s="1" t="str">
        <f>formatRow(Tokens!BJ$2:BK$2,Tokens!BJ528:BK528,0,"collection")</f>
        <v>"collection":{"name":"In Casa",_x000D_
"family":"Calvi On The Rocks"}</v>
      </c>
    </row>
    <row r="529" spans="5:29" ht="14.25" customHeight="1" x14ac:dyDescent="0.25">
      <c r="E529" s="17" t="str">
        <f>IF(Tokens!C529="","",Tokens!C529)</f>
        <v>In Casa #366</v>
      </c>
      <c r="F529"/>
      <c r="G529"/>
      <c r="H529"/>
      <c r="I529"/>
      <c r="J529"/>
      <c r="M529"/>
      <c r="N529"/>
      <c r="O529" s="15" t="str">
        <f t="shared" si="16"/>
        <v>_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/>
      </c>
      <c r="Q529" s="2"/>
      <c r="R529" s="2"/>
      <c r="S529" s="11"/>
      <c r="T529" s="1" t="str">
        <f>"owner=" &amp; Tokens!BS529 &amp; "&amp;filename_for_metadata=" &amp; Tokens!BT529 &amp; "&amp;offchaindata_platform=" &amp; $B$17 &amp; "&amp;keyfile=" &amp; $B$5 &amp; "&amp;network=" &amp; LOWER($B$8) &amp; "&amp;repository=" &amp; $B$18</f>
        <v>owner=thomas&amp;filename_for_metadata=InCasa_COR22D366&amp;offchaindata_platform=MongoDB&amp;keyfile=Paul&amp;network=jsonfiles&amp;repository=test</v>
      </c>
      <c r="U529" s="1" t="str">
        <f t="shared" si="17"/>
        <v>{"name":"In Casa #366",_x000D_
"symbol":"COR22D366",_x000D_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29" s="1" t="str">
        <f>formatRow(Tokens!C$2:I$2,Tokens!C529:I529)</f>
        <v>"name":"In Casa #366",_x000D_
"symbol":"COR22D366",_x000D_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29" s="1" t="str">
        <f>formatRow(Tokens!J$2:AV$2,Tokens!J529:AV529,2,"attributes")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29" s="1" t="str">
        <f>formatRow(Tokens!AX$2:BC$2,Tokens!AX529:BC529,2,"creators")</f>
        <v>"creators":[{"address":"paul",_x000D_
"share":10},{"address":"sophie",_x000D_
"share":90}]</v>
      </c>
      <c r="Y529" s="1" t="str">
        <f>formatRow(Tokens!BD$2:BI$2,Tokens!BD529:BI529,2,"files")</f>
        <v>"files":[]</v>
      </c>
      <c r="Z529" s="1"/>
      <c r="AA529" s="1"/>
      <c r="AB529" s="1"/>
      <c r="AC529" s="1" t="str">
        <f>formatRow(Tokens!BJ$2:BK$2,Tokens!BJ529:BK529,0,"collection")</f>
        <v>"collection":{"name":"In Casa",_x000D_
"family":"Calvi On The Rocks"}</v>
      </c>
    </row>
    <row r="530" spans="5:29" ht="14.25" customHeight="1" x14ac:dyDescent="0.25">
      <c r="E530" s="17" t="str">
        <f>IF(Tokens!C530="","",Tokens!C530)</f>
        <v>In Casa #367</v>
      </c>
      <c r="F530"/>
      <c r="G530"/>
      <c r="H530"/>
      <c r="I530"/>
      <c r="J530"/>
      <c r="M530"/>
      <c r="N530"/>
      <c r="O530" s="15" t="str">
        <f t="shared" si="16"/>
        <v>_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/>
      </c>
      <c r="Q530" s="2"/>
      <c r="R530" s="2"/>
      <c r="S530" s="11"/>
      <c r="T530" s="1" t="str">
        <f>"owner=" &amp; Tokens!BS530 &amp; "&amp;filename_for_metadata=" &amp; Tokens!BT530 &amp; "&amp;offchaindata_platform=" &amp; $B$17 &amp; "&amp;keyfile=" &amp; $B$5 &amp; "&amp;network=" &amp; LOWER($B$8) &amp; "&amp;repository=" &amp; $B$18</f>
        <v>owner=thomas&amp;filename_for_metadata=InCasa_COR22D367&amp;offchaindata_platform=MongoDB&amp;keyfile=Paul&amp;network=jsonfiles&amp;repository=test</v>
      </c>
      <c r="U530" s="1" t="str">
        <f t="shared" si="17"/>
        <v>{"name":"In Casa #367",_x000D_
"symbol":"COR22D367",_x000D_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0" s="1" t="str">
        <f>formatRow(Tokens!C$2:I$2,Tokens!C530:I530)</f>
        <v>"name":"In Casa #367",_x000D_
"symbol":"COR22D367",_x000D_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0" s="1" t="str">
        <f>formatRow(Tokens!J$2:AV$2,Tokens!J530:AV530,2,"attributes")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0" s="1" t="str">
        <f>formatRow(Tokens!AX$2:BC$2,Tokens!AX530:BC530,2,"creators")</f>
        <v>"creators":[{"address":"paul",_x000D_
"share":10},{"address":"sophie",_x000D_
"share":90}]</v>
      </c>
      <c r="Y530" s="1" t="str">
        <f>formatRow(Tokens!BD$2:BI$2,Tokens!BD530:BI530,2,"files")</f>
        <v>"files":[]</v>
      </c>
      <c r="Z530" s="1"/>
      <c r="AA530" s="1"/>
      <c r="AB530" s="1"/>
      <c r="AC530" s="1" t="str">
        <f>formatRow(Tokens!BJ$2:BK$2,Tokens!BJ530:BK530,0,"collection")</f>
        <v>"collection":{"name":"In Casa",_x000D_
"family":"Calvi On The Rocks"}</v>
      </c>
    </row>
    <row r="531" spans="5:29" ht="14.25" customHeight="1" x14ac:dyDescent="0.25">
      <c r="E531" s="17" t="str">
        <f>IF(Tokens!C531="","",Tokens!C531)</f>
        <v>In Casa #368</v>
      </c>
      <c r="F531"/>
      <c r="G531"/>
      <c r="H531"/>
      <c r="I531"/>
      <c r="J531"/>
      <c r="M531"/>
      <c r="N531"/>
      <c r="O531" s="15" t="str">
        <f t="shared" si="16"/>
        <v>_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/>
      </c>
      <c r="Q531" s="2"/>
      <c r="R531" s="2"/>
      <c r="S531" s="11"/>
      <c r="T531" s="1" t="str">
        <f>"owner=" &amp; Tokens!BS531 &amp; "&amp;filename_for_metadata=" &amp; Tokens!BT531 &amp; "&amp;offchaindata_platform=" &amp; $B$17 &amp; "&amp;keyfile=" &amp; $B$5 &amp; "&amp;network=" &amp; LOWER($B$8) &amp; "&amp;repository=" &amp; $B$18</f>
        <v>owner=thomas&amp;filename_for_metadata=InCasa_COR22D368&amp;offchaindata_platform=MongoDB&amp;keyfile=Paul&amp;network=jsonfiles&amp;repository=test</v>
      </c>
      <c r="U531" s="1" t="str">
        <f t="shared" si="17"/>
        <v>{"name":"In Casa #368",_x000D_
"symbol":"COR22D368",_x000D_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1" s="1" t="str">
        <f>formatRow(Tokens!C$2:I$2,Tokens!C531:I531)</f>
        <v>"name":"In Casa #368",_x000D_
"symbol":"COR22D368",_x000D_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1" s="1" t="str">
        <f>formatRow(Tokens!J$2:AV$2,Tokens!J531:AV531,2,"attributes")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1" s="1" t="str">
        <f>formatRow(Tokens!AX$2:BC$2,Tokens!AX531:BC531,2,"creators")</f>
        <v>"creators":[{"address":"paul",_x000D_
"share":10},{"address":"sophie",_x000D_
"share":90}]</v>
      </c>
      <c r="Y531" s="1" t="str">
        <f>formatRow(Tokens!BD$2:BI$2,Tokens!BD531:BI531,2,"files")</f>
        <v>"files":[]</v>
      </c>
      <c r="Z531" s="1"/>
      <c r="AA531" s="1"/>
      <c r="AB531" s="1"/>
      <c r="AC531" s="1" t="str">
        <f>formatRow(Tokens!BJ$2:BK$2,Tokens!BJ531:BK531,0,"collection")</f>
        <v>"collection":{"name":"In Casa",_x000D_
"family":"Calvi On The Rocks"}</v>
      </c>
    </row>
    <row r="532" spans="5:29" ht="14.25" customHeight="1" x14ac:dyDescent="0.25">
      <c r="E532" s="17" t="str">
        <f>IF(Tokens!C532="","",Tokens!C532)</f>
        <v>In Casa #369</v>
      </c>
      <c r="F532"/>
      <c r="G532"/>
      <c r="H532"/>
      <c r="I532"/>
      <c r="J532"/>
      <c r="M532"/>
      <c r="N532"/>
      <c r="O532" s="15" t="str">
        <f t="shared" si="16"/>
        <v>_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/>
      </c>
      <c r="Q532" s="2"/>
      <c r="R532" s="2"/>
      <c r="S532" s="11"/>
      <c r="T532" s="1" t="str">
        <f>"owner=" &amp; Tokens!BS532 &amp; "&amp;filename_for_metadata=" &amp; Tokens!BT532 &amp; "&amp;offchaindata_platform=" &amp; $B$17 &amp; "&amp;keyfile=" &amp; $B$5 &amp; "&amp;network=" &amp; LOWER($B$8) &amp; "&amp;repository=" &amp; $B$18</f>
        <v>owner=thomas&amp;filename_for_metadata=InCasa_COR22D369&amp;offchaindata_platform=MongoDB&amp;keyfile=Paul&amp;network=jsonfiles&amp;repository=test</v>
      </c>
      <c r="U532" s="1" t="str">
        <f t="shared" si="17"/>
        <v>{"name":"In Casa #369",_x000D_
"symbol":"COR22D369",_x000D_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2" s="1" t="str">
        <f>formatRow(Tokens!C$2:I$2,Tokens!C532:I532)</f>
        <v>"name":"In Casa #369",_x000D_
"symbol":"COR22D369",_x000D_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2" s="1" t="str">
        <f>formatRow(Tokens!J$2:AV$2,Tokens!J532:AV532,2,"attributes")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2" s="1" t="str">
        <f>formatRow(Tokens!AX$2:BC$2,Tokens!AX532:BC532,2,"creators")</f>
        <v>"creators":[{"address":"paul",_x000D_
"share":10},{"address":"sophie",_x000D_
"share":90}]</v>
      </c>
      <c r="Y532" s="1" t="str">
        <f>formatRow(Tokens!BD$2:BI$2,Tokens!BD532:BI532,2,"files")</f>
        <v>"files":[]</v>
      </c>
      <c r="Z532" s="1"/>
      <c r="AA532" s="1"/>
      <c r="AB532" s="1"/>
      <c r="AC532" s="1" t="str">
        <f>formatRow(Tokens!BJ$2:BK$2,Tokens!BJ532:BK532,0,"collection")</f>
        <v>"collection":{"name":"In Casa",_x000D_
"family":"Calvi On The Rocks"}</v>
      </c>
    </row>
    <row r="533" spans="5:29" ht="14.25" customHeight="1" x14ac:dyDescent="0.25">
      <c r="E533" s="17" t="str">
        <f>IF(Tokens!C533="","",Tokens!C533)</f>
        <v>In Casa #370</v>
      </c>
      <c r="F533"/>
      <c r="G533"/>
      <c r="H533"/>
      <c r="I533"/>
      <c r="J533"/>
      <c r="M533"/>
      <c r="N533"/>
      <c r="O533" s="15" t="str">
        <f t="shared" si="16"/>
        <v>_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/>
      </c>
      <c r="Q533" s="2"/>
      <c r="R533" s="2"/>
      <c r="S533" s="11"/>
      <c r="T533" s="1" t="str">
        <f>"owner=" &amp; Tokens!BS533 &amp; "&amp;filename_for_metadata=" &amp; Tokens!BT533 &amp; "&amp;offchaindata_platform=" &amp; $B$17 &amp; "&amp;keyfile=" &amp; $B$5 &amp; "&amp;network=" &amp; LOWER($B$8) &amp; "&amp;repository=" &amp; $B$18</f>
        <v>owner=thomas&amp;filename_for_metadata=InCasa_COR22D370&amp;offchaindata_platform=MongoDB&amp;keyfile=Paul&amp;network=jsonfiles&amp;repository=test</v>
      </c>
      <c r="U533" s="1" t="str">
        <f t="shared" si="17"/>
        <v>{"name":"In Casa #370",_x000D_
"symbol":"COR22D370",_x000D_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3" s="1" t="str">
        <f>formatRow(Tokens!C$2:I$2,Tokens!C533:I533)</f>
        <v>"name":"In Casa #370",_x000D_
"symbol":"COR22D370",_x000D_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3" s="1" t="str">
        <f>formatRow(Tokens!J$2:AV$2,Tokens!J533:AV533,2,"attributes")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3" s="1" t="str">
        <f>formatRow(Tokens!AX$2:BC$2,Tokens!AX533:BC533,2,"creators")</f>
        <v>"creators":[{"address":"paul",_x000D_
"share":10},{"address":"sophie",_x000D_
"share":90}]</v>
      </c>
      <c r="Y533" s="1" t="str">
        <f>formatRow(Tokens!BD$2:BI$2,Tokens!BD533:BI533,2,"files")</f>
        <v>"files":[]</v>
      </c>
      <c r="Z533" s="1"/>
      <c r="AA533" s="1"/>
      <c r="AB533" s="1"/>
      <c r="AC533" s="1" t="str">
        <f>formatRow(Tokens!BJ$2:BK$2,Tokens!BJ533:BK533,0,"collection")</f>
        <v>"collection":{"name":"In Casa",_x000D_
"family":"Calvi On The Rocks"}</v>
      </c>
    </row>
    <row r="534" spans="5:29" ht="14.25" customHeight="1" x14ac:dyDescent="0.25">
      <c r="E534" s="17" t="str">
        <f>IF(Tokens!C534="","",Tokens!C534)</f>
        <v>In Casa #371</v>
      </c>
      <c r="F534"/>
      <c r="G534"/>
      <c r="H534"/>
      <c r="I534"/>
      <c r="J534"/>
      <c r="M534"/>
      <c r="N534"/>
      <c r="O534" s="15" t="str">
        <f t="shared" si="16"/>
        <v>_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/>
      </c>
      <c r="Q534" s="2"/>
      <c r="R534" s="2"/>
      <c r="S534" s="11"/>
      <c r="T534" s="1" t="str">
        <f>"owner=" &amp; Tokens!BS534 &amp; "&amp;filename_for_metadata=" &amp; Tokens!BT534 &amp; "&amp;offchaindata_platform=" &amp; $B$17 &amp; "&amp;keyfile=" &amp; $B$5 &amp; "&amp;network=" &amp; LOWER($B$8) &amp; "&amp;repository=" &amp; $B$18</f>
        <v>owner=thomas&amp;filename_for_metadata=InCasa_COR22D371&amp;offchaindata_platform=MongoDB&amp;keyfile=Paul&amp;network=jsonfiles&amp;repository=test</v>
      </c>
      <c r="U534" s="1" t="str">
        <f t="shared" si="17"/>
        <v>{"name":"In Casa #371",_x000D_
"symbol":"COR22D371",_x000D_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4" s="1" t="str">
        <f>formatRow(Tokens!C$2:I$2,Tokens!C534:I534)</f>
        <v>"name":"In Casa #371",_x000D_
"symbol":"COR22D371",_x000D_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4" s="1" t="str">
        <f>formatRow(Tokens!J$2:AV$2,Tokens!J534:AV534,2,"attributes")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4" s="1" t="str">
        <f>formatRow(Tokens!AX$2:BC$2,Tokens!AX534:BC534,2,"creators")</f>
        <v>"creators":[{"address":"paul",_x000D_
"share":10},{"address":"sophie",_x000D_
"share":90}]</v>
      </c>
      <c r="Y534" s="1" t="str">
        <f>formatRow(Tokens!BD$2:BI$2,Tokens!BD534:BI534,2,"files")</f>
        <v>"files":[]</v>
      </c>
      <c r="Z534" s="1"/>
      <c r="AA534" s="1"/>
      <c r="AB534" s="1"/>
      <c r="AC534" s="1" t="str">
        <f>formatRow(Tokens!BJ$2:BK$2,Tokens!BJ534:BK534,0,"collection")</f>
        <v>"collection":{"name":"In Casa",_x000D_
"family":"Calvi On The Rocks"}</v>
      </c>
    </row>
    <row r="535" spans="5:29" ht="14.25" customHeight="1" x14ac:dyDescent="0.25">
      <c r="E535" s="17" t="str">
        <f>IF(Tokens!C535="","",Tokens!C535)</f>
        <v>In Casa #372</v>
      </c>
      <c r="F535"/>
      <c r="G535"/>
      <c r="H535"/>
      <c r="I535"/>
      <c r="J535"/>
      <c r="M535"/>
      <c r="N535"/>
      <c r="O535" s="15" t="str">
        <f t="shared" si="16"/>
        <v>_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/>
      </c>
      <c r="Q535" s="2"/>
      <c r="R535" s="2"/>
      <c r="S535" s="11"/>
      <c r="T535" s="1" t="str">
        <f>"owner=" &amp; Tokens!BS535 &amp; "&amp;filename_for_metadata=" &amp; Tokens!BT535 &amp; "&amp;offchaindata_platform=" &amp; $B$17 &amp; "&amp;keyfile=" &amp; $B$5 &amp; "&amp;network=" &amp; LOWER($B$8) &amp; "&amp;repository=" &amp; $B$18</f>
        <v>owner=thomas&amp;filename_for_metadata=InCasa_COR22D372&amp;offchaindata_platform=MongoDB&amp;keyfile=Paul&amp;network=jsonfiles&amp;repository=test</v>
      </c>
      <c r="U535" s="1" t="str">
        <f t="shared" si="17"/>
        <v>{"name":"In Casa #372",_x000D_
"symbol":"COR22D372",_x000D_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5" s="1" t="str">
        <f>formatRow(Tokens!C$2:I$2,Tokens!C535:I535)</f>
        <v>"name":"In Casa #372",_x000D_
"symbol":"COR22D372",_x000D_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5" s="1" t="str">
        <f>formatRow(Tokens!J$2:AV$2,Tokens!J535:AV535,2,"attributes")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5" s="1" t="str">
        <f>formatRow(Tokens!AX$2:BC$2,Tokens!AX535:BC535,2,"creators")</f>
        <v>"creators":[{"address":"paul",_x000D_
"share":10},{"address":"sophie",_x000D_
"share":90}]</v>
      </c>
      <c r="Y535" s="1" t="str">
        <f>formatRow(Tokens!BD$2:BI$2,Tokens!BD535:BI535,2,"files")</f>
        <v>"files":[]</v>
      </c>
      <c r="Z535" s="1"/>
      <c r="AA535" s="1"/>
      <c r="AB535" s="1"/>
      <c r="AC535" s="1" t="str">
        <f>formatRow(Tokens!BJ$2:BK$2,Tokens!BJ535:BK535,0,"collection")</f>
        <v>"collection":{"name":"In Casa",_x000D_
"family":"Calvi On The Rocks"}</v>
      </c>
    </row>
    <row r="536" spans="5:29" ht="14.25" customHeight="1" x14ac:dyDescent="0.25">
      <c r="E536" s="17" t="str">
        <f>IF(Tokens!C536="","",Tokens!C536)</f>
        <v>In Casa #373</v>
      </c>
      <c r="F536"/>
      <c r="G536"/>
      <c r="H536"/>
      <c r="I536"/>
      <c r="J536"/>
      <c r="M536"/>
      <c r="N536"/>
      <c r="O536" s="15" t="str">
        <f t="shared" si="16"/>
        <v>_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/>
      </c>
      <c r="Q536" s="2"/>
      <c r="R536" s="2"/>
      <c r="S536" s="11"/>
      <c r="T536" s="1" t="str">
        <f>"owner=" &amp; Tokens!BS536 &amp; "&amp;filename_for_metadata=" &amp; Tokens!BT536 &amp; "&amp;offchaindata_platform=" &amp; $B$17 &amp; "&amp;keyfile=" &amp; $B$5 &amp; "&amp;network=" &amp; LOWER($B$8) &amp; "&amp;repository=" &amp; $B$18</f>
        <v>owner=thomas&amp;filename_for_metadata=InCasa_COR22D373&amp;offchaindata_platform=MongoDB&amp;keyfile=Paul&amp;network=jsonfiles&amp;repository=test</v>
      </c>
      <c r="U536" s="1" t="str">
        <f t="shared" si="17"/>
        <v>{"name":"In Casa #373",_x000D_
"symbol":"COR22D373",_x000D_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6" s="1" t="str">
        <f>formatRow(Tokens!C$2:I$2,Tokens!C536:I536)</f>
        <v>"name":"In Casa #373",_x000D_
"symbol":"COR22D373",_x000D_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6" s="1" t="str">
        <f>formatRow(Tokens!J$2:AV$2,Tokens!J536:AV536,2,"attributes")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6" s="1" t="str">
        <f>formatRow(Tokens!AX$2:BC$2,Tokens!AX536:BC536,2,"creators")</f>
        <v>"creators":[{"address":"paul",_x000D_
"share":10},{"address":"sophie",_x000D_
"share":90}]</v>
      </c>
      <c r="Y536" s="1" t="str">
        <f>formatRow(Tokens!BD$2:BI$2,Tokens!BD536:BI536,2,"files")</f>
        <v>"files":[]</v>
      </c>
      <c r="Z536" s="1"/>
      <c r="AA536" s="1"/>
      <c r="AB536" s="1"/>
      <c r="AC536" s="1" t="str">
        <f>formatRow(Tokens!BJ$2:BK$2,Tokens!BJ536:BK536,0,"collection")</f>
        <v>"collection":{"name":"In Casa",_x000D_
"family":"Calvi On The Rocks"}</v>
      </c>
    </row>
    <row r="537" spans="5:29" ht="14.25" customHeight="1" x14ac:dyDescent="0.25">
      <c r="E537" s="17" t="str">
        <f>IF(Tokens!C537="","",Tokens!C537)</f>
        <v>In Casa #374</v>
      </c>
      <c r="F537"/>
      <c r="G537"/>
      <c r="H537"/>
      <c r="I537"/>
      <c r="J537"/>
      <c r="M537"/>
      <c r="N537"/>
      <c r="O537" s="15" t="str">
        <f t="shared" si="16"/>
        <v>_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/>
      </c>
      <c r="Q537" s="2"/>
      <c r="R537" s="2"/>
      <c r="S537" s="11"/>
      <c r="T537" s="1" t="str">
        <f>"owner=" &amp; Tokens!BS537 &amp; "&amp;filename_for_metadata=" &amp; Tokens!BT537 &amp; "&amp;offchaindata_platform=" &amp; $B$17 &amp; "&amp;keyfile=" &amp; $B$5 &amp; "&amp;network=" &amp; LOWER($B$8) &amp; "&amp;repository=" &amp; $B$18</f>
        <v>owner=thomas&amp;filename_for_metadata=InCasa_COR22D374&amp;offchaindata_platform=MongoDB&amp;keyfile=Paul&amp;network=jsonfiles&amp;repository=test</v>
      </c>
      <c r="U537" s="1" t="str">
        <f t="shared" si="17"/>
        <v>{"name":"In Casa #374",_x000D_
"symbol":"COR22D374",_x000D_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7" s="1" t="str">
        <f>formatRow(Tokens!C$2:I$2,Tokens!C537:I537)</f>
        <v>"name":"In Casa #374",_x000D_
"symbol":"COR22D374",_x000D_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7" s="1" t="str">
        <f>formatRow(Tokens!J$2:AV$2,Tokens!J537:AV537,2,"attributes")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7" s="1" t="str">
        <f>formatRow(Tokens!AX$2:BC$2,Tokens!AX537:BC537,2,"creators")</f>
        <v>"creators":[{"address":"paul",_x000D_
"share":10},{"address":"sophie",_x000D_
"share":90}]</v>
      </c>
      <c r="Y537" s="1" t="str">
        <f>formatRow(Tokens!BD$2:BI$2,Tokens!BD537:BI537,2,"files")</f>
        <v>"files":[]</v>
      </c>
      <c r="Z537" s="1"/>
      <c r="AA537" s="1"/>
      <c r="AB537" s="1"/>
      <c r="AC537" s="1" t="str">
        <f>formatRow(Tokens!BJ$2:BK$2,Tokens!BJ537:BK537,0,"collection")</f>
        <v>"collection":{"name":"In Casa",_x000D_
"family":"Calvi On The Rocks"}</v>
      </c>
    </row>
    <row r="538" spans="5:29" ht="14.25" customHeight="1" x14ac:dyDescent="0.25">
      <c r="E538" s="17" t="str">
        <f>IF(Tokens!C538="","",Tokens!C538)</f>
        <v>In Casa #375</v>
      </c>
      <c r="F538"/>
      <c r="G538"/>
      <c r="H538"/>
      <c r="I538"/>
      <c r="J538"/>
      <c r="M538"/>
      <c r="N538"/>
      <c r="O538" s="15" t="str">
        <f t="shared" si="16"/>
        <v>_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/>
      </c>
      <c r="Q538" s="2"/>
      <c r="R538" s="2"/>
      <c r="S538" s="11"/>
      <c r="T538" s="1" t="str">
        <f>"owner=" &amp; Tokens!BS538 &amp; "&amp;filename_for_metadata=" &amp; Tokens!BT538 &amp; "&amp;offchaindata_platform=" &amp; $B$17 &amp; "&amp;keyfile=" &amp; $B$5 &amp; "&amp;network=" &amp; LOWER($B$8) &amp; "&amp;repository=" &amp; $B$18</f>
        <v>owner=thomas&amp;filename_for_metadata=InCasa_COR22D375&amp;offchaindata_platform=MongoDB&amp;keyfile=Paul&amp;network=jsonfiles&amp;repository=test</v>
      </c>
      <c r="U538" s="1" t="str">
        <f t="shared" si="17"/>
        <v>{"name":"In Casa #375",_x000D_
"symbol":"COR22D375",_x000D_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8" s="1" t="str">
        <f>formatRow(Tokens!C$2:I$2,Tokens!C538:I538)</f>
        <v>"name":"In Casa #375",_x000D_
"symbol":"COR22D375",_x000D_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8" s="1" t="str">
        <f>formatRow(Tokens!J$2:AV$2,Tokens!J538:AV538,2,"attributes")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8" s="1" t="str">
        <f>formatRow(Tokens!AX$2:BC$2,Tokens!AX538:BC538,2,"creators")</f>
        <v>"creators":[{"address":"paul",_x000D_
"share":10},{"address":"sophie",_x000D_
"share":90}]</v>
      </c>
      <c r="Y538" s="1" t="str">
        <f>formatRow(Tokens!BD$2:BI$2,Tokens!BD538:BI538,2,"files")</f>
        <v>"files":[]</v>
      </c>
      <c r="Z538" s="1"/>
      <c r="AA538" s="1"/>
      <c r="AB538" s="1"/>
      <c r="AC538" s="1" t="str">
        <f>formatRow(Tokens!BJ$2:BK$2,Tokens!BJ538:BK538,0,"collection")</f>
        <v>"collection":{"name":"In Casa",_x000D_
"family":"Calvi On The Rocks"}</v>
      </c>
    </row>
    <row r="539" spans="5:29" ht="14.25" customHeight="1" x14ac:dyDescent="0.25">
      <c r="E539" s="17" t="str">
        <f>IF(Tokens!C539="","",Tokens!C539)</f>
        <v>In Casa #376</v>
      </c>
      <c r="F539"/>
      <c r="G539"/>
      <c r="H539"/>
      <c r="I539"/>
      <c r="J539"/>
      <c r="M539"/>
      <c r="N539"/>
      <c r="O539" s="15" t="str">
        <f t="shared" si="16"/>
        <v>_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/>
      </c>
      <c r="Q539" s="2"/>
      <c r="R539" s="2"/>
      <c r="S539" s="11"/>
      <c r="T539" s="1" t="str">
        <f>"owner=" &amp; Tokens!BS539 &amp; "&amp;filename_for_metadata=" &amp; Tokens!BT539 &amp; "&amp;offchaindata_platform=" &amp; $B$17 &amp; "&amp;keyfile=" &amp; $B$5 &amp; "&amp;network=" &amp; LOWER($B$8) &amp; "&amp;repository=" &amp; $B$18</f>
        <v>owner=thomas&amp;filename_for_metadata=InCasa_COR22D376&amp;offchaindata_platform=MongoDB&amp;keyfile=Paul&amp;network=jsonfiles&amp;repository=test</v>
      </c>
      <c r="U539" s="1" t="str">
        <f t="shared" si="17"/>
        <v>{"name":"In Casa #376",_x000D_
"symbol":"COR22D376",_x000D_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39" s="1" t="str">
        <f>formatRow(Tokens!C$2:I$2,Tokens!C539:I539)</f>
        <v>"name":"In Casa #376",_x000D_
"symbol":"COR22D376",_x000D_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39" s="1" t="str">
        <f>formatRow(Tokens!J$2:AV$2,Tokens!J539:AV539,2,"attributes")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39" s="1" t="str">
        <f>formatRow(Tokens!AX$2:BC$2,Tokens!AX539:BC539,2,"creators")</f>
        <v>"creators":[{"address":"paul",_x000D_
"share":10},{"address":"sophie",_x000D_
"share":90}]</v>
      </c>
      <c r="Y539" s="1" t="str">
        <f>formatRow(Tokens!BD$2:BI$2,Tokens!BD539:BI539,2,"files")</f>
        <v>"files":[]</v>
      </c>
      <c r="Z539" s="1"/>
      <c r="AA539" s="1"/>
      <c r="AB539" s="1"/>
      <c r="AC539" s="1" t="str">
        <f>formatRow(Tokens!BJ$2:BK$2,Tokens!BJ539:BK539,0,"collection")</f>
        <v>"collection":{"name":"In Casa",_x000D_
"family":"Calvi On The Rocks"}</v>
      </c>
    </row>
    <row r="540" spans="5:29" ht="14.25" customHeight="1" x14ac:dyDescent="0.25">
      <c r="E540" s="17" t="str">
        <f>IF(Tokens!C540="","",Tokens!C540)</f>
        <v>In Casa #377</v>
      </c>
      <c r="F540"/>
      <c r="G540"/>
      <c r="H540"/>
      <c r="I540"/>
      <c r="J540"/>
      <c r="M540"/>
      <c r="N540"/>
      <c r="O540" s="15" t="str">
        <f t="shared" si="16"/>
        <v>_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/>
      </c>
      <c r="Q540" s="2"/>
      <c r="R540" s="2"/>
      <c r="S540" s="11"/>
      <c r="T540" s="1" t="str">
        <f>"owner=" &amp; Tokens!BS540 &amp; "&amp;filename_for_metadata=" &amp; Tokens!BT540 &amp; "&amp;offchaindata_platform=" &amp; $B$17 &amp; "&amp;keyfile=" &amp; $B$5 &amp; "&amp;network=" &amp; LOWER($B$8) &amp; "&amp;repository=" &amp; $B$18</f>
        <v>owner=thomas&amp;filename_for_metadata=InCasa_COR22D377&amp;offchaindata_platform=MongoDB&amp;keyfile=Paul&amp;network=jsonfiles&amp;repository=test</v>
      </c>
      <c r="U540" s="1" t="str">
        <f t="shared" si="17"/>
        <v>{"name":"In Casa #377",_x000D_
"symbol":"COR22D377",_x000D_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0" s="1" t="str">
        <f>formatRow(Tokens!C$2:I$2,Tokens!C540:I540)</f>
        <v>"name":"In Casa #377",_x000D_
"symbol":"COR22D377",_x000D_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0" s="1" t="str">
        <f>formatRow(Tokens!J$2:AV$2,Tokens!J540:AV540,2,"attributes")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0" s="1" t="str">
        <f>formatRow(Tokens!AX$2:BC$2,Tokens!AX540:BC540,2,"creators")</f>
        <v>"creators":[{"address":"paul",_x000D_
"share":10},{"address":"sophie",_x000D_
"share":90}]</v>
      </c>
      <c r="Y540" s="1" t="str">
        <f>formatRow(Tokens!BD$2:BI$2,Tokens!BD540:BI540,2,"files")</f>
        <v>"files":[]</v>
      </c>
      <c r="Z540" s="1"/>
      <c r="AA540" s="1"/>
      <c r="AB540" s="1"/>
      <c r="AC540" s="1" t="str">
        <f>formatRow(Tokens!BJ$2:BK$2,Tokens!BJ540:BK540,0,"collection")</f>
        <v>"collection":{"name":"In Casa",_x000D_
"family":"Calvi On The Rocks"}</v>
      </c>
    </row>
    <row r="541" spans="5:29" ht="14.25" customHeight="1" x14ac:dyDescent="0.25">
      <c r="E541" s="17" t="str">
        <f>IF(Tokens!C541="","",Tokens!C541)</f>
        <v>In Casa #378</v>
      </c>
      <c r="F541"/>
      <c r="G541"/>
      <c r="H541"/>
      <c r="I541"/>
      <c r="J541"/>
      <c r="M541"/>
      <c r="N541"/>
      <c r="O541" s="15" t="str">
        <f t="shared" si="16"/>
        <v>_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/>
      </c>
      <c r="Q541" s="2"/>
      <c r="R541" s="2"/>
      <c r="S541" s="11"/>
      <c r="T541" s="1" t="str">
        <f>"owner=" &amp; Tokens!BS541 &amp; "&amp;filename_for_metadata=" &amp; Tokens!BT541 &amp; "&amp;offchaindata_platform=" &amp; $B$17 &amp; "&amp;keyfile=" &amp; $B$5 &amp; "&amp;network=" &amp; LOWER($B$8) &amp; "&amp;repository=" &amp; $B$18</f>
        <v>owner=thomas&amp;filename_for_metadata=InCasa_COR22D378&amp;offchaindata_platform=MongoDB&amp;keyfile=Paul&amp;network=jsonfiles&amp;repository=test</v>
      </c>
      <c r="U541" s="1" t="str">
        <f t="shared" si="17"/>
        <v>{"name":"In Casa #378",_x000D_
"symbol":"COR22D378",_x000D_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1" s="1" t="str">
        <f>formatRow(Tokens!C$2:I$2,Tokens!C541:I541)</f>
        <v>"name":"In Casa #378",_x000D_
"symbol":"COR22D378",_x000D_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1" s="1" t="str">
        <f>formatRow(Tokens!J$2:AV$2,Tokens!J541:AV541,2,"attributes")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1" s="1" t="str">
        <f>formatRow(Tokens!AX$2:BC$2,Tokens!AX541:BC541,2,"creators")</f>
        <v>"creators":[{"address":"paul",_x000D_
"share":10},{"address":"sophie",_x000D_
"share":90}]</v>
      </c>
      <c r="Y541" s="1" t="str">
        <f>formatRow(Tokens!BD$2:BI$2,Tokens!BD541:BI541,2,"files")</f>
        <v>"files":[]</v>
      </c>
      <c r="Z541" s="1"/>
      <c r="AA541" s="1"/>
      <c r="AB541" s="1"/>
      <c r="AC541" s="1" t="str">
        <f>formatRow(Tokens!BJ$2:BK$2,Tokens!BJ541:BK541,0,"collection")</f>
        <v>"collection":{"name":"In Casa",_x000D_
"family":"Calvi On The Rocks"}</v>
      </c>
    </row>
    <row r="542" spans="5:29" ht="14.25" customHeight="1" x14ac:dyDescent="0.25">
      <c r="E542" s="17" t="str">
        <f>IF(Tokens!C542="","",Tokens!C542)</f>
        <v>In Casa #379</v>
      </c>
      <c r="F542"/>
      <c r="G542"/>
      <c r="H542"/>
      <c r="I542"/>
      <c r="J542"/>
      <c r="M542"/>
      <c r="N542"/>
      <c r="O542" s="15" t="str">
        <f t="shared" si="16"/>
        <v>_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/>
      </c>
      <c r="Q542" s="2"/>
      <c r="R542" s="2"/>
      <c r="S542" s="11"/>
      <c r="T542" s="1" t="str">
        <f>"owner=" &amp; Tokens!BS542 &amp; "&amp;filename_for_metadata=" &amp; Tokens!BT542 &amp; "&amp;offchaindata_platform=" &amp; $B$17 &amp; "&amp;keyfile=" &amp; $B$5 &amp; "&amp;network=" &amp; LOWER($B$8) &amp; "&amp;repository=" &amp; $B$18</f>
        <v>owner=thomas&amp;filename_for_metadata=InCasa_COR22D379&amp;offchaindata_platform=MongoDB&amp;keyfile=Paul&amp;network=jsonfiles&amp;repository=test</v>
      </c>
      <c r="U542" s="1" t="str">
        <f t="shared" si="17"/>
        <v>{"name":"In Casa #379",_x000D_
"symbol":"COR22D379",_x000D_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2" s="1" t="str">
        <f>formatRow(Tokens!C$2:I$2,Tokens!C542:I542)</f>
        <v>"name":"In Casa #379",_x000D_
"symbol":"COR22D379",_x000D_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2" s="1" t="str">
        <f>formatRow(Tokens!J$2:AV$2,Tokens!J542:AV542,2,"attributes")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2" s="1" t="str">
        <f>formatRow(Tokens!AX$2:BC$2,Tokens!AX542:BC542,2,"creators")</f>
        <v>"creators":[{"address":"paul",_x000D_
"share":10},{"address":"sophie",_x000D_
"share":90}]</v>
      </c>
      <c r="Y542" s="1" t="str">
        <f>formatRow(Tokens!BD$2:BI$2,Tokens!BD542:BI542,2,"files")</f>
        <v>"files":[]</v>
      </c>
      <c r="Z542" s="1"/>
      <c r="AA542" s="1"/>
      <c r="AB542" s="1"/>
      <c r="AC542" s="1" t="str">
        <f>formatRow(Tokens!BJ$2:BK$2,Tokens!BJ542:BK542,0,"collection")</f>
        <v>"collection":{"name":"In Casa",_x000D_
"family":"Calvi On The Rocks"}</v>
      </c>
    </row>
    <row r="543" spans="5:29" ht="14.25" customHeight="1" x14ac:dyDescent="0.25">
      <c r="E543" s="17" t="str">
        <f>IF(Tokens!C543="","",Tokens!C543)</f>
        <v>In Casa #380</v>
      </c>
      <c r="F543"/>
      <c r="G543"/>
      <c r="H543"/>
      <c r="I543"/>
      <c r="J543"/>
      <c r="M543"/>
      <c r="N543"/>
      <c r="O543" s="15" t="str">
        <f t="shared" si="16"/>
        <v>_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/>
      </c>
      <c r="Q543" s="2"/>
      <c r="R543" s="2"/>
      <c r="S543" s="11"/>
      <c r="T543" s="1" t="str">
        <f>"owner=" &amp; Tokens!BS543 &amp; "&amp;filename_for_metadata=" &amp; Tokens!BT543 &amp; "&amp;offchaindata_platform=" &amp; $B$17 &amp; "&amp;keyfile=" &amp; $B$5 &amp; "&amp;network=" &amp; LOWER($B$8) &amp; "&amp;repository=" &amp; $B$18</f>
        <v>owner=thomas&amp;filename_for_metadata=InCasa_COR22D380&amp;offchaindata_platform=MongoDB&amp;keyfile=Paul&amp;network=jsonfiles&amp;repository=test</v>
      </c>
      <c r="U543" s="1" t="str">
        <f t="shared" si="17"/>
        <v>{"name":"In Casa #380",_x000D_
"symbol":"COR22D380",_x000D_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3" s="1" t="str">
        <f>formatRow(Tokens!C$2:I$2,Tokens!C543:I543)</f>
        <v>"name":"In Casa #380",_x000D_
"symbol":"COR22D380",_x000D_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3" s="1" t="str">
        <f>formatRow(Tokens!J$2:AV$2,Tokens!J543:AV543,2,"attributes")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3" s="1" t="str">
        <f>formatRow(Tokens!AX$2:BC$2,Tokens!AX543:BC543,2,"creators")</f>
        <v>"creators":[{"address":"paul",_x000D_
"share":10},{"address":"sophie",_x000D_
"share":90}]</v>
      </c>
      <c r="Y543" s="1" t="str">
        <f>formatRow(Tokens!BD$2:BI$2,Tokens!BD543:BI543,2,"files")</f>
        <v>"files":[]</v>
      </c>
      <c r="Z543" s="1"/>
      <c r="AA543" s="1"/>
      <c r="AB543" s="1"/>
      <c r="AC543" s="1" t="str">
        <f>formatRow(Tokens!BJ$2:BK$2,Tokens!BJ543:BK543,0,"collection")</f>
        <v>"collection":{"name":"In Casa",_x000D_
"family":"Calvi On The Rocks"}</v>
      </c>
    </row>
    <row r="544" spans="5:29" ht="14.25" customHeight="1" x14ac:dyDescent="0.25">
      <c r="E544" s="17" t="str">
        <f>IF(Tokens!C544="","",Tokens!C544)</f>
        <v>In Casa #381</v>
      </c>
      <c r="F544"/>
      <c r="G544"/>
      <c r="H544"/>
      <c r="I544"/>
      <c r="J544"/>
      <c r="M544"/>
      <c r="N544"/>
      <c r="O544" s="15" t="str">
        <f t="shared" si="16"/>
        <v>_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/>
      </c>
      <c r="Q544" s="2"/>
      <c r="R544" s="2"/>
      <c r="S544" s="11"/>
      <c r="T544" s="1" t="str">
        <f>"owner=" &amp; Tokens!BS544 &amp; "&amp;filename_for_metadata=" &amp; Tokens!BT544 &amp; "&amp;offchaindata_platform=" &amp; $B$17 &amp; "&amp;keyfile=" &amp; $B$5 &amp; "&amp;network=" &amp; LOWER($B$8) &amp; "&amp;repository=" &amp; $B$18</f>
        <v>owner=thomas&amp;filename_for_metadata=InCasa_COR22D381&amp;offchaindata_platform=MongoDB&amp;keyfile=Paul&amp;network=jsonfiles&amp;repository=test</v>
      </c>
      <c r="U544" s="1" t="str">
        <f t="shared" si="17"/>
        <v>{"name":"In Casa #381",_x000D_
"symbol":"COR22D381",_x000D_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4" s="1" t="str">
        <f>formatRow(Tokens!C$2:I$2,Tokens!C544:I544)</f>
        <v>"name":"In Casa #381",_x000D_
"symbol":"COR22D381",_x000D_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4" s="1" t="str">
        <f>formatRow(Tokens!J$2:AV$2,Tokens!J544:AV544,2,"attributes")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4" s="1" t="str">
        <f>formatRow(Tokens!AX$2:BC$2,Tokens!AX544:BC544,2,"creators")</f>
        <v>"creators":[{"address":"paul",_x000D_
"share":10},{"address":"sophie",_x000D_
"share":90}]</v>
      </c>
      <c r="Y544" s="1" t="str">
        <f>formatRow(Tokens!BD$2:BI$2,Tokens!BD544:BI544,2,"files")</f>
        <v>"files":[]</v>
      </c>
      <c r="Z544" s="1"/>
      <c r="AA544" s="1"/>
      <c r="AB544" s="1"/>
      <c r="AC544" s="1" t="str">
        <f>formatRow(Tokens!BJ$2:BK$2,Tokens!BJ544:BK544,0,"collection")</f>
        <v>"collection":{"name":"In Casa",_x000D_
"family":"Calvi On The Rocks"}</v>
      </c>
    </row>
    <row r="545" spans="5:29" ht="14.25" customHeight="1" x14ac:dyDescent="0.25">
      <c r="E545" s="17" t="str">
        <f>IF(Tokens!C545="","",Tokens!C545)</f>
        <v>In Casa #382</v>
      </c>
      <c r="F545"/>
      <c r="G545"/>
      <c r="H545"/>
      <c r="I545"/>
      <c r="J545"/>
      <c r="M545"/>
      <c r="N545"/>
      <c r="O545" s="15" t="str">
        <f t="shared" si="16"/>
        <v>_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/>
      </c>
      <c r="Q545" s="2"/>
      <c r="R545" s="2"/>
      <c r="S545" s="11"/>
      <c r="T545" s="1" t="str">
        <f>"owner=" &amp; Tokens!BS545 &amp; "&amp;filename_for_metadata=" &amp; Tokens!BT545 &amp; "&amp;offchaindata_platform=" &amp; $B$17 &amp; "&amp;keyfile=" &amp; $B$5 &amp; "&amp;network=" &amp; LOWER($B$8) &amp; "&amp;repository=" &amp; $B$18</f>
        <v>owner=thomas&amp;filename_for_metadata=InCasa_COR22D382&amp;offchaindata_platform=MongoDB&amp;keyfile=Paul&amp;network=jsonfiles&amp;repository=test</v>
      </c>
      <c r="U545" s="1" t="str">
        <f t="shared" si="17"/>
        <v>{"name":"In Casa #382",_x000D_
"symbol":"COR22D382",_x000D_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5" s="1" t="str">
        <f>formatRow(Tokens!C$2:I$2,Tokens!C545:I545)</f>
        <v>"name":"In Casa #382",_x000D_
"symbol":"COR22D382",_x000D_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5" s="1" t="str">
        <f>formatRow(Tokens!J$2:AV$2,Tokens!J545:AV545,2,"attributes")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5" s="1" t="str">
        <f>formatRow(Tokens!AX$2:BC$2,Tokens!AX545:BC545,2,"creators")</f>
        <v>"creators":[{"address":"paul",_x000D_
"share":10},{"address":"sophie",_x000D_
"share":90}]</v>
      </c>
      <c r="Y545" s="1" t="str">
        <f>formatRow(Tokens!BD$2:BI$2,Tokens!BD545:BI545,2,"files")</f>
        <v>"files":[]</v>
      </c>
      <c r="Z545" s="1"/>
      <c r="AA545" s="1"/>
      <c r="AB545" s="1"/>
      <c r="AC545" s="1" t="str">
        <f>formatRow(Tokens!BJ$2:BK$2,Tokens!BJ545:BK545,0,"collection")</f>
        <v>"collection":{"name":"In Casa",_x000D_
"family":"Calvi On The Rocks"}</v>
      </c>
    </row>
    <row r="546" spans="5:29" ht="14.25" customHeight="1" x14ac:dyDescent="0.25">
      <c r="E546" s="17" t="str">
        <f>IF(Tokens!C546="","",Tokens!C546)</f>
        <v>In Casa #383</v>
      </c>
      <c r="F546"/>
      <c r="G546"/>
      <c r="H546"/>
      <c r="I546"/>
      <c r="J546"/>
      <c r="M546"/>
      <c r="N546"/>
      <c r="O546" s="15" t="str">
        <f t="shared" si="16"/>
        <v>_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/>
      </c>
      <c r="Q546" s="2"/>
      <c r="R546" s="2"/>
      <c r="S546" s="11"/>
      <c r="T546" s="1" t="str">
        <f>"owner=" &amp; Tokens!BS546 &amp; "&amp;filename_for_metadata=" &amp; Tokens!BT546 &amp; "&amp;offchaindata_platform=" &amp; $B$17 &amp; "&amp;keyfile=" &amp; $B$5 &amp; "&amp;network=" &amp; LOWER($B$8) &amp; "&amp;repository=" &amp; $B$18</f>
        <v>owner=thomas&amp;filename_for_metadata=InCasa_COR22D383&amp;offchaindata_platform=MongoDB&amp;keyfile=Paul&amp;network=jsonfiles&amp;repository=test</v>
      </c>
      <c r="U546" s="1" t="str">
        <f t="shared" si="17"/>
        <v>{"name":"In Casa #383",_x000D_
"symbol":"COR22D383",_x000D_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6" s="1" t="str">
        <f>formatRow(Tokens!C$2:I$2,Tokens!C546:I546)</f>
        <v>"name":"In Casa #383",_x000D_
"symbol":"COR22D383",_x000D_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6" s="1" t="str">
        <f>formatRow(Tokens!J$2:AV$2,Tokens!J546:AV546,2,"attributes")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6" s="1" t="str">
        <f>formatRow(Tokens!AX$2:BC$2,Tokens!AX546:BC546,2,"creators")</f>
        <v>"creators":[{"address":"paul",_x000D_
"share":10},{"address":"sophie",_x000D_
"share":90}]</v>
      </c>
      <c r="Y546" s="1" t="str">
        <f>formatRow(Tokens!BD$2:BI$2,Tokens!BD546:BI546,2,"files")</f>
        <v>"files":[]</v>
      </c>
      <c r="Z546" s="1"/>
      <c r="AA546" s="1"/>
      <c r="AB546" s="1"/>
      <c r="AC546" s="1" t="str">
        <f>formatRow(Tokens!BJ$2:BK$2,Tokens!BJ546:BK546,0,"collection")</f>
        <v>"collection":{"name":"In Casa",_x000D_
"family":"Calvi On The Rocks"}</v>
      </c>
    </row>
    <row r="547" spans="5:29" ht="14.25" customHeight="1" x14ac:dyDescent="0.25">
      <c r="E547" s="17" t="str">
        <f>IF(Tokens!C547="","",Tokens!C547)</f>
        <v>In Casa #384</v>
      </c>
      <c r="F547"/>
      <c r="G547"/>
      <c r="H547"/>
      <c r="I547"/>
      <c r="J547"/>
      <c r="M547"/>
      <c r="N547"/>
      <c r="O547" s="15" t="str">
        <f t="shared" si="16"/>
        <v>_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/>
      </c>
      <c r="Q547" s="2"/>
      <c r="R547" s="2"/>
      <c r="S547" s="11"/>
      <c r="T547" s="1" t="str">
        <f>"owner=" &amp; Tokens!BS547 &amp; "&amp;filename_for_metadata=" &amp; Tokens!BT547 &amp; "&amp;offchaindata_platform=" &amp; $B$17 &amp; "&amp;keyfile=" &amp; $B$5 &amp; "&amp;network=" &amp; LOWER($B$8) &amp; "&amp;repository=" &amp; $B$18</f>
        <v>owner=thomas&amp;filename_for_metadata=InCasa_COR22D384&amp;offchaindata_platform=MongoDB&amp;keyfile=Paul&amp;network=jsonfiles&amp;repository=test</v>
      </c>
      <c r="U547" s="1" t="str">
        <f t="shared" si="17"/>
        <v>{"name":"In Casa #384",_x000D_
"symbol":"COR22D384",_x000D_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7" s="1" t="str">
        <f>formatRow(Tokens!C$2:I$2,Tokens!C547:I547)</f>
        <v>"name":"In Casa #384",_x000D_
"symbol":"COR22D384",_x000D_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7" s="1" t="str">
        <f>formatRow(Tokens!J$2:AV$2,Tokens!J547:AV547,2,"attributes")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7" s="1" t="str">
        <f>formatRow(Tokens!AX$2:BC$2,Tokens!AX547:BC547,2,"creators")</f>
        <v>"creators":[{"address":"paul",_x000D_
"share":10},{"address":"sophie",_x000D_
"share":90}]</v>
      </c>
      <c r="Y547" s="1" t="str">
        <f>formatRow(Tokens!BD$2:BI$2,Tokens!BD547:BI547,2,"files")</f>
        <v>"files":[]</v>
      </c>
      <c r="Z547" s="1"/>
      <c r="AA547" s="1"/>
      <c r="AB547" s="1"/>
      <c r="AC547" s="1" t="str">
        <f>formatRow(Tokens!BJ$2:BK$2,Tokens!BJ547:BK547,0,"collection")</f>
        <v>"collection":{"name":"In Casa",_x000D_
"family":"Calvi On The Rocks"}</v>
      </c>
    </row>
    <row r="548" spans="5:29" ht="14.25" customHeight="1" x14ac:dyDescent="0.25">
      <c r="E548" s="17" t="str">
        <f>IF(Tokens!C548="","",Tokens!C548)</f>
        <v>In Casa #385</v>
      </c>
      <c r="F548"/>
      <c r="G548"/>
      <c r="H548"/>
      <c r="I548"/>
      <c r="J548"/>
      <c r="M548"/>
      <c r="N548"/>
      <c r="O548" s="15" t="str">
        <f t="shared" si="16"/>
        <v>_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/>
      </c>
      <c r="Q548" s="2"/>
      <c r="R548" s="2"/>
      <c r="S548" s="11"/>
      <c r="T548" s="1" t="str">
        <f>"owner=" &amp; Tokens!BS548 &amp; "&amp;filename_for_metadata=" &amp; Tokens!BT548 &amp; "&amp;offchaindata_platform=" &amp; $B$17 &amp; "&amp;keyfile=" &amp; $B$5 &amp; "&amp;network=" &amp; LOWER($B$8) &amp; "&amp;repository=" &amp; $B$18</f>
        <v>owner=thomas&amp;filename_for_metadata=InCasa_COR22D385&amp;offchaindata_platform=MongoDB&amp;keyfile=Paul&amp;network=jsonfiles&amp;repository=test</v>
      </c>
      <c r="U548" s="1" t="str">
        <f t="shared" si="17"/>
        <v>{"name":"In Casa #385",_x000D_
"symbol":"COR22D385",_x000D_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8" s="1" t="str">
        <f>formatRow(Tokens!C$2:I$2,Tokens!C548:I548)</f>
        <v>"name":"In Casa #385",_x000D_
"symbol":"COR22D385",_x000D_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8" s="1" t="str">
        <f>formatRow(Tokens!J$2:AV$2,Tokens!J548:AV548,2,"attributes")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8" s="1" t="str">
        <f>formatRow(Tokens!AX$2:BC$2,Tokens!AX548:BC548,2,"creators")</f>
        <v>"creators":[{"address":"paul",_x000D_
"share":10},{"address":"sophie",_x000D_
"share":90}]</v>
      </c>
      <c r="Y548" s="1" t="str">
        <f>formatRow(Tokens!BD$2:BI$2,Tokens!BD548:BI548,2,"files")</f>
        <v>"files":[]</v>
      </c>
      <c r="Z548" s="1"/>
      <c r="AA548" s="1"/>
      <c r="AB548" s="1"/>
      <c r="AC548" s="1" t="str">
        <f>formatRow(Tokens!BJ$2:BK$2,Tokens!BJ548:BK548,0,"collection")</f>
        <v>"collection":{"name":"In Casa",_x000D_
"family":"Calvi On The Rocks"}</v>
      </c>
    </row>
    <row r="549" spans="5:29" ht="14.25" customHeight="1" x14ac:dyDescent="0.25">
      <c r="E549" s="17" t="str">
        <f>IF(Tokens!C549="","",Tokens!C549)</f>
        <v>In Casa #386</v>
      </c>
      <c r="F549"/>
      <c r="G549"/>
      <c r="H549"/>
      <c r="I549"/>
      <c r="J549"/>
      <c r="M549"/>
      <c r="N549"/>
      <c r="O549" s="15" t="str">
        <f t="shared" si="16"/>
        <v>_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/>
      </c>
      <c r="Q549" s="2"/>
      <c r="R549" s="2"/>
      <c r="S549" s="11"/>
      <c r="T549" s="1" t="str">
        <f>"owner=" &amp; Tokens!BS549 &amp; "&amp;filename_for_metadata=" &amp; Tokens!BT549 &amp; "&amp;offchaindata_platform=" &amp; $B$17 &amp; "&amp;keyfile=" &amp; $B$5 &amp; "&amp;network=" &amp; LOWER($B$8) &amp; "&amp;repository=" &amp; $B$18</f>
        <v>owner=thomas&amp;filename_for_metadata=InCasa_COR22D386&amp;offchaindata_platform=MongoDB&amp;keyfile=Paul&amp;network=jsonfiles&amp;repository=test</v>
      </c>
      <c r="U549" s="1" t="str">
        <f t="shared" si="17"/>
        <v>{"name":"In Casa #386",_x000D_
"symbol":"COR22D386",_x000D_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49" s="1" t="str">
        <f>formatRow(Tokens!C$2:I$2,Tokens!C549:I549)</f>
        <v>"name":"In Casa #386",_x000D_
"symbol":"COR22D386",_x000D_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49" s="1" t="str">
        <f>formatRow(Tokens!J$2:AV$2,Tokens!J549:AV549,2,"attributes")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49" s="1" t="str">
        <f>formatRow(Tokens!AX$2:BC$2,Tokens!AX549:BC549,2,"creators")</f>
        <v>"creators":[{"address":"paul",_x000D_
"share":10},{"address":"sophie",_x000D_
"share":90}]</v>
      </c>
      <c r="Y549" s="1" t="str">
        <f>formatRow(Tokens!BD$2:BI$2,Tokens!BD549:BI549,2,"files")</f>
        <v>"files":[]</v>
      </c>
      <c r="Z549" s="1"/>
      <c r="AA549" s="1"/>
      <c r="AB549" s="1"/>
      <c r="AC549" s="1" t="str">
        <f>formatRow(Tokens!BJ$2:BK$2,Tokens!BJ549:BK549,0,"collection")</f>
        <v>"collection":{"name":"In Casa",_x000D_
"family":"Calvi On The Rocks"}</v>
      </c>
    </row>
    <row r="550" spans="5:29" ht="14.25" customHeight="1" x14ac:dyDescent="0.25">
      <c r="E550" s="17" t="str">
        <f>IF(Tokens!C550="","",Tokens!C550)</f>
        <v>In Casa #387</v>
      </c>
      <c r="F550"/>
      <c r="G550"/>
      <c r="H550"/>
      <c r="I550"/>
      <c r="J550"/>
      <c r="M550"/>
      <c r="N550"/>
      <c r="O550" s="15" t="str">
        <f t="shared" si="16"/>
        <v>_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/>
      </c>
      <c r="Q550" s="2"/>
      <c r="R550" s="2"/>
      <c r="S550" s="11"/>
      <c r="T550" s="1" t="str">
        <f>"owner=" &amp; Tokens!BS550 &amp; "&amp;filename_for_metadata=" &amp; Tokens!BT550 &amp; "&amp;offchaindata_platform=" &amp; $B$17 &amp; "&amp;keyfile=" &amp; $B$5 &amp; "&amp;network=" &amp; LOWER($B$8) &amp; "&amp;repository=" &amp; $B$18</f>
        <v>owner=thomas&amp;filename_for_metadata=InCasa_COR22D387&amp;offchaindata_platform=MongoDB&amp;keyfile=Paul&amp;network=jsonfiles&amp;repository=test</v>
      </c>
      <c r="U550" s="1" t="str">
        <f t="shared" si="17"/>
        <v>{"name":"In Casa #387",_x000D_
"symbol":"COR22D387",_x000D_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0" s="1" t="str">
        <f>formatRow(Tokens!C$2:I$2,Tokens!C550:I550)</f>
        <v>"name":"In Casa #387",_x000D_
"symbol":"COR22D387",_x000D_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0" s="1" t="str">
        <f>formatRow(Tokens!J$2:AV$2,Tokens!J550:AV550,2,"attributes")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0" s="1" t="str">
        <f>formatRow(Tokens!AX$2:BC$2,Tokens!AX550:BC550,2,"creators")</f>
        <v>"creators":[{"address":"paul",_x000D_
"share":10},{"address":"sophie",_x000D_
"share":90}]</v>
      </c>
      <c r="Y550" s="1" t="str">
        <f>formatRow(Tokens!BD$2:BI$2,Tokens!BD550:BI550,2,"files")</f>
        <v>"files":[]</v>
      </c>
      <c r="Z550" s="1"/>
      <c r="AA550" s="1"/>
      <c r="AB550" s="1"/>
      <c r="AC550" s="1" t="str">
        <f>formatRow(Tokens!BJ$2:BK$2,Tokens!BJ550:BK550,0,"collection")</f>
        <v>"collection":{"name":"In Casa",_x000D_
"family":"Calvi On The Rocks"}</v>
      </c>
    </row>
    <row r="551" spans="5:29" ht="14.25" customHeight="1" x14ac:dyDescent="0.25">
      <c r="E551" s="17" t="str">
        <f>IF(Tokens!C551="","",Tokens!C551)</f>
        <v>In Casa #388</v>
      </c>
      <c r="F551"/>
      <c r="G551"/>
      <c r="H551"/>
      <c r="I551"/>
      <c r="J551"/>
      <c r="M551"/>
      <c r="N551"/>
      <c r="O551" s="15" t="str">
        <f t="shared" si="16"/>
        <v>_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/>
      </c>
      <c r="Q551" s="2"/>
      <c r="R551" s="2"/>
      <c r="S551" s="11"/>
      <c r="T551" s="1" t="str">
        <f>"owner=" &amp; Tokens!BS551 &amp; "&amp;filename_for_metadata=" &amp; Tokens!BT551 &amp; "&amp;offchaindata_platform=" &amp; $B$17 &amp; "&amp;keyfile=" &amp; $B$5 &amp; "&amp;network=" &amp; LOWER($B$8) &amp; "&amp;repository=" &amp; $B$18</f>
        <v>owner=thomas&amp;filename_for_metadata=InCasa_COR22D388&amp;offchaindata_platform=MongoDB&amp;keyfile=Paul&amp;network=jsonfiles&amp;repository=test</v>
      </c>
      <c r="U551" s="1" t="str">
        <f t="shared" si="17"/>
        <v>{"name":"In Casa #388",_x000D_
"symbol":"COR22D388",_x000D_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1" s="1" t="str">
        <f>formatRow(Tokens!C$2:I$2,Tokens!C551:I551)</f>
        <v>"name":"In Casa #388",_x000D_
"symbol":"COR22D388",_x000D_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1" s="1" t="str">
        <f>formatRow(Tokens!J$2:AV$2,Tokens!J551:AV551,2,"attributes")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1" s="1" t="str">
        <f>formatRow(Tokens!AX$2:BC$2,Tokens!AX551:BC551,2,"creators")</f>
        <v>"creators":[{"address":"paul",_x000D_
"share":10},{"address":"sophie",_x000D_
"share":90}]</v>
      </c>
      <c r="Y551" s="1" t="str">
        <f>formatRow(Tokens!BD$2:BI$2,Tokens!BD551:BI551,2,"files")</f>
        <v>"files":[]</v>
      </c>
      <c r="Z551" s="1"/>
      <c r="AA551" s="1"/>
      <c r="AB551" s="1"/>
      <c r="AC551" s="1" t="str">
        <f>formatRow(Tokens!BJ$2:BK$2,Tokens!BJ551:BK551,0,"collection")</f>
        <v>"collection":{"name":"In Casa",_x000D_
"family":"Calvi On The Rocks"}</v>
      </c>
    </row>
    <row r="552" spans="5:29" ht="14.25" customHeight="1" x14ac:dyDescent="0.25">
      <c r="E552" s="17" t="str">
        <f>IF(Tokens!C552="","",Tokens!C552)</f>
        <v>In Casa #389</v>
      </c>
      <c r="F552"/>
      <c r="G552"/>
      <c r="H552"/>
      <c r="I552"/>
      <c r="J552"/>
      <c r="M552"/>
      <c r="N552"/>
      <c r="O552" s="15" t="str">
        <f t="shared" si="16"/>
        <v>_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/>
      </c>
      <c r="Q552" s="2"/>
      <c r="R552" s="2"/>
      <c r="S552" s="11"/>
      <c r="T552" s="1" t="str">
        <f>"owner=" &amp; Tokens!BS552 &amp; "&amp;filename_for_metadata=" &amp; Tokens!BT552 &amp; "&amp;offchaindata_platform=" &amp; $B$17 &amp; "&amp;keyfile=" &amp; $B$5 &amp; "&amp;network=" &amp; LOWER($B$8) &amp; "&amp;repository=" &amp; $B$18</f>
        <v>owner=thomas&amp;filename_for_metadata=InCasa_COR22D389&amp;offchaindata_platform=MongoDB&amp;keyfile=Paul&amp;network=jsonfiles&amp;repository=test</v>
      </c>
      <c r="U552" s="1" t="str">
        <f t="shared" si="17"/>
        <v>{"name":"In Casa #389",_x000D_
"symbol":"COR22D389",_x000D_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2" s="1" t="str">
        <f>formatRow(Tokens!C$2:I$2,Tokens!C552:I552)</f>
        <v>"name":"In Casa #389",_x000D_
"symbol":"COR22D389",_x000D_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2" s="1" t="str">
        <f>formatRow(Tokens!J$2:AV$2,Tokens!J552:AV552,2,"attributes")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2" s="1" t="str">
        <f>formatRow(Tokens!AX$2:BC$2,Tokens!AX552:BC552,2,"creators")</f>
        <v>"creators":[{"address":"paul",_x000D_
"share":10},{"address":"sophie",_x000D_
"share":90}]</v>
      </c>
      <c r="Y552" s="1" t="str">
        <f>formatRow(Tokens!BD$2:BI$2,Tokens!BD552:BI552,2,"files")</f>
        <v>"files":[]</v>
      </c>
      <c r="Z552" s="1"/>
      <c r="AA552" s="1"/>
      <c r="AB552" s="1"/>
      <c r="AC552" s="1" t="str">
        <f>formatRow(Tokens!BJ$2:BK$2,Tokens!BJ552:BK552,0,"collection")</f>
        <v>"collection":{"name":"In Casa",_x000D_
"family":"Calvi On The Rocks"}</v>
      </c>
    </row>
    <row r="553" spans="5:29" ht="14.25" customHeight="1" x14ac:dyDescent="0.25">
      <c r="E553" s="17" t="str">
        <f>IF(Tokens!C553="","",Tokens!C553)</f>
        <v>In Casa #390</v>
      </c>
      <c r="F553"/>
      <c r="G553"/>
      <c r="H553"/>
      <c r="I553"/>
      <c r="J553"/>
      <c r="M553"/>
      <c r="N553"/>
      <c r="O553" s="15" t="str">
        <f t="shared" si="16"/>
        <v>_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/>
      </c>
      <c r="Q553" s="2"/>
      <c r="R553" s="2"/>
      <c r="S553" s="11"/>
      <c r="T553" s="1" t="str">
        <f>"owner=" &amp; Tokens!BS553 &amp; "&amp;filename_for_metadata=" &amp; Tokens!BT553 &amp; "&amp;offchaindata_platform=" &amp; $B$17 &amp; "&amp;keyfile=" &amp; $B$5 &amp; "&amp;network=" &amp; LOWER($B$8) &amp; "&amp;repository=" &amp; $B$18</f>
        <v>owner=thomas&amp;filename_for_metadata=InCasa_COR22D390&amp;offchaindata_platform=MongoDB&amp;keyfile=Paul&amp;network=jsonfiles&amp;repository=test</v>
      </c>
      <c r="U553" s="1" t="str">
        <f t="shared" si="17"/>
        <v>{"name":"In Casa #390",_x000D_
"symbol":"COR22D390",_x000D_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3" s="1" t="str">
        <f>formatRow(Tokens!C$2:I$2,Tokens!C553:I553)</f>
        <v>"name":"In Casa #390",_x000D_
"symbol":"COR22D390",_x000D_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3" s="1" t="str">
        <f>formatRow(Tokens!J$2:AV$2,Tokens!J553:AV553,2,"attributes")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3" s="1" t="str">
        <f>formatRow(Tokens!AX$2:BC$2,Tokens!AX553:BC553,2,"creators")</f>
        <v>"creators":[{"address":"paul",_x000D_
"share":10},{"address":"sophie",_x000D_
"share":90}]</v>
      </c>
      <c r="Y553" s="1" t="str">
        <f>formatRow(Tokens!BD$2:BI$2,Tokens!BD553:BI553,2,"files")</f>
        <v>"files":[]</v>
      </c>
      <c r="Z553" s="1"/>
      <c r="AA553" s="1"/>
      <c r="AB553" s="1"/>
      <c r="AC553" s="1" t="str">
        <f>formatRow(Tokens!BJ$2:BK$2,Tokens!BJ553:BK553,0,"collection")</f>
        <v>"collection":{"name":"In Casa",_x000D_
"family":"Calvi On The Rocks"}</v>
      </c>
    </row>
    <row r="554" spans="5:29" ht="14.25" customHeight="1" x14ac:dyDescent="0.25">
      <c r="E554" s="17" t="str">
        <f>IF(Tokens!C554="","",Tokens!C554)</f>
        <v>In Casa #391</v>
      </c>
      <c r="F554"/>
      <c r="G554"/>
      <c r="H554"/>
      <c r="I554"/>
      <c r="J554"/>
      <c r="M554"/>
      <c r="N554"/>
      <c r="O554" s="15" t="str">
        <f t="shared" si="16"/>
        <v>_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/>
      </c>
      <c r="Q554" s="2"/>
      <c r="R554" s="2"/>
      <c r="S554" s="11"/>
      <c r="T554" s="1" t="str">
        <f>"owner=" &amp; Tokens!BS554 &amp; "&amp;filename_for_metadata=" &amp; Tokens!BT554 &amp; "&amp;offchaindata_platform=" &amp; $B$17 &amp; "&amp;keyfile=" &amp; $B$5 &amp; "&amp;network=" &amp; LOWER($B$8) &amp; "&amp;repository=" &amp; $B$18</f>
        <v>owner=thomas&amp;filename_for_metadata=InCasa_COR22D391&amp;offchaindata_platform=MongoDB&amp;keyfile=Paul&amp;network=jsonfiles&amp;repository=test</v>
      </c>
      <c r="U554" s="1" t="str">
        <f t="shared" si="17"/>
        <v>{"name":"In Casa #391",_x000D_
"symbol":"COR22D391",_x000D_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4" s="1" t="str">
        <f>formatRow(Tokens!C$2:I$2,Tokens!C554:I554)</f>
        <v>"name":"In Casa #391",_x000D_
"symbol":"COR22D391",_x000D_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4" s="1" t="str">
        <f>formatRow(Tokens!J$2:AV$2,Tokens!J554:AV554,2,"attributes")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4" s="1" t="str">
        <f>formatRow(Tokens!AX$2:BC$2,Tokens!AX554:BC554,2,"creators")</f>
        <v>"creators":[{"address":"paul",_x000D_
"share":10},{"address":"sophie",_x000D_
"share":90}]</v>
      </c>
      <c r="Y554" s="1" t="str">
        <f>formatRow(Tokens!BD$2:BI$2,Tokens!BD554:BI554,2,"files")</f>
        <v>"files":[]</v>
      </c>
      <c r="Z554" s="1"/>
      <c r="AA554" s="1"/>
      <c r="AB554" s="1"/>
      <c r="AC554" s="1" t="str">
        <f>formatRow(Tokens!BJ$2:BK$2,Tokens!BJ554:BK554,0,"collection")</f>
        <v>"collection":{"name":"In Casa",_x000D_
"family":"Calvi On The Rocks"}</v>
      </c>
    </row>
    <row r="555" spans="5:29" ht="14.25" customHeight="1" x14ac:dyDescent="0.25">
      <c r="E555" s="17" t="str">
        <f>IF(Tokens!C555="","",Tokens!C555)</f>
        <v>In Casa #392</v>
      </c>
      <c r="F555"/>
      <c r="G555"/>
      <c r="H555"/>
      <c r="I555"/>
      <c r="J555"/>
      <c r="M555"/>
      <c r="N555"/>
      <c r="O555" s="15" t="str">
        <f t="shared" si="16"/>
        <v>_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/>
      </c>
      <c r="Q555" s="2"/>
      <c r="R555" s="2"/>
      <c r="S555" s="11"/>
      <c r="T555" s="1" t="str">
        <f>"owner=" &amp; Tokens!BS555 &amp; "&amp;filename_for_metadata=" &amp; Tokens!BT555 &amp; "&amp;offchaindata_platform=" &amp; $B$17 &amp; "&amp;keyfile=" &amp; $B$5 &amp; "&amp;network=" &amp; LOWER($B$8) &amp; "&amp;repository=" &amp; $B$18</f>
        <v>owner=thomas&amp;filename_for_metadata=InCasa_COR22D392&amp;offchaindata_platform=MongoDB&amp;keyfile=Paul&amp;network=jsonfiles&amp;repository=test</v>
      </c>
      <c r="U555" s="1" t="str">
        <f t="shared" si="17"/>
        <v>{"name":"In Casa #392",_x000D_
"symbol":"COR22D392",_x000D_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5" s="1" t="str">
        <f>formatRow(Tokens!C$2:I$2,Tokens!C555:I555)</f>
        <v>"name":"In Casa #392",_x000D_
"symbol":"COR22D392",_x000D_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5" s="1" t="str">
        <f>formatRow(Tokens!J$2:AV$2,Tokens!J555:AV555,2,"attributes")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5" s="1" t="str">
        <f>formatRow(Tokens!AX$2:BC$2,Tokens!AX555:BC555,2,"creators")</f>
        <v>"creators":[{"address":"paul",_x000D_
"share":10},{"address":"sophie",_x000D_
"share":90}]</v>
      </c>
      <c r="Y555" s="1" t="str">
        <f>formatRow(Tokens!BD$2:BI$2,Tokens!BD555:BI555,2,"files")</f>
        <v>"files":[]</v>
      </c>
      <c r="Z555" s="1"/>
      <c r="AA555" s="1"/>
      <c r="AB555" s="1"/>
      <c r="AC555" s="1" t="str">
        <f>formatRow(Tokens!BJ$2:BK$2,Tokens!BJ555:BK555,0,"collection")</f>
        <v>"collection":{"name":"In Casa",_x000D_
"family":"Calvi On The Rocks"}</v>
      </c>
    </row>
    <row r="556" spans="5:29" ht="14.25" customHeight="1" x14ac:dyDescent="0.25">
      <c r="E556" s="17" t="str">
        <f>IF(Tokens!C556="","",Tokens!C556)</f>
        <v>In Casa #393</v>
      </c>
      <c r="F556"/>
      <c r="G556"/>
      <c r="H556"/>
      <c r="I556"/>
      <c r="J556"/>
      <c r="M556"/>
      <c r="N556"/>
      <c r="O556" s="15" t="str">
        <f t="shared" si="16"/>
        <v>_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/>
      </c>
      <c r="Q556" s="2"/>
      <c r="R556" s="2"/>
      <c r="S556" s="11"/>
      <c r="T556" s="1" t="str">
        <f>"owner=" &amp; Tokens!BS556 &amp; "&amp;filename_for_metadata=" &amp; Tokens!BT556 &amp; "&amp;offchaindata_platform=" &amp; $B$17 &amp; "&amp;keyfile=" &amp; $B$5 &amp; "&amp;network=" &amp; LOWER($B$8) &amp; "&amp;repository=" &amp; $B$18</f>
        <v>owner=thomas&amp;filename_for_metadata=InCasa_COR22D393&amp;offchaindata_platform=MongoDB&amp;keyfile=Paul&amp;network=jsonfiles&amp;repository=test</v>
      </c>
      <c r="U556" s="1" t="str">
        <f t="shared" si="17"/>
        <v>{"name":"In Casa #393",_x000D_
"symbol":"COR22D393",_x000D_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6" s="1" t="str">
        <f>formatRow(Tokens!C$2:I$2,Tokens!C556:I556)</f>
        <v>"name":"In Casa #393",_x000D_
"symbol":"COR22D393",_x000D_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6" s="1" t="str">
        <f>formatRow(Tokens!J$2:AV$2,Tokens!J556:AV556,2,"attributes")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6" s="1" t="str">
        <f>formatRow(Tokens!AX$2:BC$2,Tokens!AX556:BC556,2,"creators")</f>
        <v>"creators":[{"address":"paul",_x000D_
"share":10},{"address":"sophie",_x000D_
"share":90}]</v>
      </c>
      <c r="Y556" s="1" t="str">
        <f>formatRow(Tokens!BD$2:BI$2,Tokens!BD556:BI556,2,"files")</f>
        <v>"files":[]</v>
      </c>
      <c r="Z556" s="1"/>
      <c r="AA556" s="1"/>
      <c r="AB556" s="1"/>
      <c r="AC556" s="1" t="str">
        <f>formatRow(Tokens!BJ$2:BK$2,Tokens!BJ556:BK556,0,"collection")</f>
        <v>"collection":{"name":"In Casa",_x000D_
"family":"Calvi On The Rocks"}</v>
      </c>
    </row>
    <row r="557" spans="5:29" ht="14.25" customHeight="1" x14ac:dyDescent="0.25">
      <c r="E557" s="17" t="str">
        <f>IF(Tokens!C557="","",Tokens!C557)</f>
        <v>In Casa #394</v>
      </c>
      <c r="F557"/>
      <c r="G557"/>
      <c r="H557"/>
      <c r="I557"/>
      <c r="J557"/>
      <c r="M557"/>
      <c r="N557"/>
      <c r="O557" s="15" t="str">
        <f t="shared" si="16"/>
        <v>_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/>
      </c>
      <c r="Q557" s="2"/>
      <c r="R557" s="2"/>
      <c r="S557" s="11"/>
      <c r="T557" s="1" t="str">
        <f>"owner=" &amp; Tokens!BS557 &amp; "&amp;filename_for_metadata=" &amp; Tokens!BT557 &amp; "&amp;offchaindata_platform=" &amp; $B$17 &amp; "&amp;keyfile=" &amp; $B$5 &amp; "&amp;network=" &amp; LOWER($B$8) &amp; "&amp;repository=" &amp; $B$18</f>
        <v>owner=thomas&amp;filename_for_metadata=InCasa_COR22D394&amp;offchaindata_platform=MongoDB&amp;keyfile=Paul&amp;network=jsonfiles&amp;repository=test</v>
      </c>
      <c r="U557" s="1" t="str">
        <f t="shared" si="17"/>
        <v>{"name":"In Casa #394",_x000D_
"symbol":"COR22D394",_x000D_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7" s="1" t="str">
        <f>formatRow(Tokens!C$2:I$2,Tokens!C557:I557)</f>
        <v>"name":"In Casa #394",_x000D_
"symbol":"COR22D394",_x000D_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7" s="1" t="str">
        <f>formatRow(Tokens!J$2:AV$2,Tokens!J557:AV557,2,"attributes")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7" s="1" t="str">
        <f>formatRow(Tokens!AX$2:BC$2,Tokens!AX557:BC557,2,"creators")</f>
        <v>"creators":[{"address":"paul",_x000D_
"share":10},{"address":"sophie",_x000D_
"share":90}]</v>
      </c>
      <c r="Y557" s="1" t="str">
        <f>formatRow(Tokens!BD$2:BI$2,Tokens!BD557:BI557,2,"files")</f>
        <v>"files":[]</v>
      </c>
      <c r="Z557" s="1"/>
      <c r="AA557" s="1"/>
      <c r="AB557" s="1"/>
      <c r="AC557" s="1" t="str">
        <f>formatRow(Tokens!BJ$2:BK$2,Tokens!BJ557:BK557,0,"collection")</f>
        <v>"collection":{"name":"In Casa",_x000D_
"family":"Calvi On The Rocks"}</v>
      </c>
    </row>
    <row r="558" spans="5:29" ht="14.25" customHeight="1" x14ac:dyDescent="0.25">
      <c r="E558" s="17" t="str">
        <f>IF(Tokens!C558="","",Tokens!C558)</f>
        <v>In Casa #395</v>
      </c>
      <c r="F558"/>
      <c r="G558"/>
      <c r="H558"/>
      <c r="I558"/>
      <c r="J558"/>
      <c r="M558"/>
      <c r="N558"/>
      <c r="O558" s="15" t="str">
        <f t="shared" si="16"/>
        <v>_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/>
      </c>
      <c r="Q558" s="2"/>
      <c r="R558" s="2"/>
      <c r="S558" s="11"/>
      <c r="T558" s="1" t="str">
        <f>"owner=" &amp; Tokens!BS558 &amp; "&amp;filename_for_metadata=" &amp; Tokens!BT558 &amp; "&amp;offchaindata_platform=" &amp; $B$17 &amp; "&amp;keyfile=" &amp; $B$5 &amp; "&amp;network=" &amp; LOWER($B$8) &amp; "&amp;repository=" &amp; $B$18</f>
        <v>owner=thomas&amp;filename_for_metadata=InCasa_COR22D395&amp;offchaindata_platform=MongoDB&amp;keyfile=Paul&amp;network=jsonfiles&amp;repository=test</v>
      </c>
      <c r="U558" s="1" t="str">
        <f t="shared" si="17"/>
        <v>{"name":"In Casa #395",_x000D_
"symbol":"COR22D395",_x000D_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8" s="1" t="str">
        <f>formatRow(Tokens!C$2:I$2,Tokens!C558:I558)</f>
        <v>"name":"In Casa #395",_x000D_
"symbol":"COR22D395",_x000D_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8" s="1" t="str">
        <f>formatRow(Tokens!J$2:AV$2,Tokens!J558:AV558,2,"attributes")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8" s="1" t="str">
        <f>formatRow(Tokens!AX$2:BC$2,Tokens!AX558:BC558,2,"creators")</f>
        <v>"creators":[{"address":"paul",_x000D_
"share":10},{"address":"sophie",_x000D_
"share":90}]</v>
      </c>
      <c r="Y558" s="1" t="str">
        <f>formatRow(Tokens!BD$2:BI$2,Tokens!BD558:BI558,2,"files")</f>
        <v>"files":[]</v>
      </c>
      <c r="Z558" s="1"/>
      <c r="AA558" s="1"/>
      <c r="AB558" s="1"/>
      <c r="AC558" s="1" t="str">
        <f>formatRow(Tokens!BJ$2:BK$2,Tokens!BJ558:BK558,0,"collection")</f>
        <v>"collection":{"name":"In Casa",_x000D_
"family":"Calvi On The Rocks"}</v>
      </c>
    </row>
    <row r="559" spans="5:29" ht="14.25" customHeight="1" x14ac:dyDescent="0.25">
      <c r="E559" s="17" t="str">
        <f>IF(Tokens!C559="","",Tokens!C559)</f>
        <v>In Casa #396</v>
      </c>
      <c r="F559"/>
      <c r="G559"/>
      <c r="H559"/>
      <c r="I559"/>
      <c r="J559"/>
      <c r="M559"/>
      <c r="N559"/>
      <c r="O559" s="15" t="str">
        <f t="shared" si="16"/>
        <v>_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/>
      </c>
      <c r="Q559" s="2"/>
      <c r="R559" s="2"/>
      <c r="S559" s="11"/>
      <c r="T559" s="1" t="str">
        <f>"owner=" &amp; Tokens!BS559 &amp; "&amp;filename_for_metadata=" &amp; Tokens!BT559 &amp; "&amp;offchaindata_platform=" &amp; $B$17 &amp; "&amp;keyfile=" &amp; $B$5 &amp; "&amp;network=" &amp; LOWER($B$8) &amp; "&amp;repository=" &amp; $B$18</f>
        <v>owner=thomas&amp;filename_for_metadata=InCasa_COR22D396&amp;offchaindata_platform=MongoDB&amp;keyfile=Paul&amp;network=jsonfiles&amp;repository=test</v>
      </c>
      <c r="U559" s="1" t="str">
        <f t="shared" si="17"/>
        <v>{"name":"In Casa #396",_x000D_
"symbol":"COR22D396",_x000D_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59" s="1" t="str">
        <f>formatRow(Tokens!C$2:I$2,Tokens!C559:I559)</f>
        <v>"name":"In Casa #396",_x000D_
"symbol":"COR22D396",_x000D_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59" s="1" t="str">
        <f>formatRow(Tokens!J$2:AV$2,Tokens!J559:AV559,2,"attributes")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59" s="1" t="str">
        <f>formatRow(Tokens!AX$2:BC$2,Tokens!AX559:BC559,2,"creators")</f>
        <v>"creators":[{"address":"paul",_x000D_
"share":10},{"address":"sophie",_x000D_
"share":90}]</v>
      </c>
      <c r="Y559" s="1" t="str">
        <f>formatRow(Tokens!BD$2:BI$2,Tokens!BD559:BI559,2,"files")</f>
        <v>"files":[]</v>
      </c>
      <c r="Z559" s="1"/>
      <c r="AA559" s="1"/>
      <c r="AB559" s="1"/>
      <c r="AC559" s="1" t="str">
        <f>formatRow(Tokens!BJ$2:BK$2,Tokens!BJ559:BK559,0,"collection")</f>
        <v>"collection":{"name":"In Casa",_x000D_
"family":"Calvi On The Rocks"}</v>
      </c>
    </row>
    <row r="560" spans="5:29" ht="14.25" customHeight="1" x14ac:dyDescent="0.25">
      <c r="E560" s="17" t="str">
        <f>IF(Tokens!C560="","",Tokens!C560)</f>
        <v>In Casa #397</v>
      </c>
      <c r="F560"/>
      <c r="G560"/>
      <c r="H560"/>
      <c r="I560"/>
      <c r="J560"/>
      <c r="M560"/>
      <c r="N560"/>
      <c r="O560" s="15" t="str">
        <f t="shared" si="16"/>
        <v>_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/>
      </c>
      <c r="Q560" s="2"/>
      <c r="R560" s="2"/>
      <c r="S560" s="11"/>
      <c r="T560" s="1" t="str">
        <f>"owner=" &amp; Tokens!BS560 &amp; "&amp;filename_for_metadata=" &amp; Tokens!BT560 &amp; "&amp;offchaindata_platform=" &amp; $B$17 &amp; "&amp;keyfile=" &amp; $B$5 &amp; "&amp;network=" &amp; LOWER($B$8) &amp; "&amp;repository=" &amp; $B$18</f>
        <v>owner=thomas&amp;filename_for_metadata=InCasa_COR22D397&amp;offchaindata_platform=MongoDB&amp;keyfile=Paul&amp;network=jsonfiles&amp;repository=test</v>
      </c>
      <c r="U560" s="1" t="str">
        <f t="shared" si="17"/>
        <v>{"name":"In Casa #397",_x000D_
"symbol":"COR22D397",_x000D_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0" s="1" t="str">
        <f>formatRow(Tokens!C$2:I$2,Tokens!C560:I560)</f>
        <v>"name":"In Casa #397",_x000D_
"symbol":"COR22D397",_x000D_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0" s="1" t="str">
        <f>formatRow(Tokens!J$2:AV$2,Tokens!J560:AV560,2,"attributes")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0" s="1" t="str">
        <f>formatRow(Tokens!AX$2:BC$2,Tokens!AX560:BC560,2,"creators")</f>
        <v>"creators":[{"address":"paul",_x000D_
"share":10},{"address":"sophie",_x000D_
"share":90}]</v>
      </c>
      <c r="Y560" s="1" t="str">
        <f>formatRow(Tokens!BD$2:BI$2,Tokens!BD560:BI560,2,"files")</f>
        <v>"files":[]</v>
      </c>
      <c r="Z560" s="1"/>
      <c r="AA560" s="1"/>
      <c r="AB560" s="1"/>
      <c r="AC560" s="1" t="str">
        <f>formatRow(Tokens!BJ$2:BK$2,Tokens!BJ560:BK560,0,"collection")</f>
        <v>"collection":{"name":"In Casa",_x000D_
"family":"Calvi On The Rocks"}</v>
      </c>
    </row>
    <row r="561" spans="5:29" ht="14.25" customHeight="1" x14ac:dyDescent="0.25">
      <c r="E561" s="17" t="str">
        <f>IF(Tokens!C561="","",Tokens!C561)</f>
        <v>In Casa #398</v>
      </c>
      <c r="F561"/>
      <c r="G561"/>
      <c r="H561"/>
      <c r="I561"/>
      <c r="J561"/>
      <c r="M561"/>
      <c r="N561"/>
      <c r="O561" s="15" t="str">
        <f t="shared" si="16"/>
        <v>_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/>
      </c>
      <c r="Q561" s="2"/>
      <c r="R561" s="2"/>
      <c r="S561" s="11"/>
      <c r="T561" s="1" t="str">
        <f>"owner=" &amp; Tokens!BS561 &amp; "&amp;filename_for_metadata=" &amp; Tokens!BT561 &amp; "&amp;offchaindata_platform=" &amp; $B$17 &amp; "&amp;keyfile=" &amp; $B$5 &amp; "&amp;network=" &amp; LOWER($B$8) &amp; "&amp;repository=" &amp; $B$18</f>
        <v>owner=thomas&amp;filename_for_metadata=InCasa_COR22D398&amp;offchaindata_platform=MongoDB&amp;keyfile=Paul&amp;network=jsonfiles&amp;repository=test</v>
      </c>
      <c r="U561" s="1" t="str">
        <f t="shared" si="17"/>
        <v>{"name":"In Casa #398",_x000D_
"symbol":"COR22D398",_x000D_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1" s="1" t="str">
        <f>formatRow(Tokens!C$2:I$2,Tokens!C561:I561)</f>
        <v>"name":"In Casa #398",_x000D_
"symbol":"COR22D398",_x000D_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1" s="1" t="str">
        <f>formatRow(Tokens!J$2:AV$2,Tokens!J561:AV561,2,"attributes")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1" s="1" t="str">
        <f>formatRow(Tokens!AX$2:BC$2,Tokens!AX561:BC561,2,"creators")</f>
        <v>"creators":[{"address":"paul",_x000D_
"share":10},{"address":"sophie",_x000D_
"share":90}]</v>
      </c>
      <c r="Y561" s="1" t="str">
        <f>formatRow(Tokens!BD$2:BI$2,Tokens!BD561:BI561,2,"files")</f>
        <v>"files":[]</v>
      </c>
      <c r="Z561" s="1"/>
      <c r="AA561" s="1"/>
      <c r="AB561" s="1"/>
      <c r="AC561" s="1" t="str">
        <f>formatRow(Tokens!BJ$2:BK$2,Tokens!BJ561:BK561,0,"collection")</f>
        <v>"collection":{"name":"In Casa",_x000D_
"family":"Calvi On The Rocks"}</v>
      </c>
    </row>
    <row r="562" spans="5:29" ht="14.25" customHeight="1" x14ac:dyDescent="0.25">
      <c r="E562" s="17" t="str">
        <f>IF(Tokens!C562="","",Tokens!C562)</f>
        <v>In Casa #399</v>
      </c>
      <c r="F562"/>
      <c r="G562"/>
      <c r="H562"/>
      <c r="I562"/>
      <c r="J562"/>
      <c r="M562"/>
      <c r="N562"/>
      <c r="O562" s="15" t="str">
        <f t="shared" si="16"/>
        <v>_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/>
      </c>
      <c r="Q562" s="2"/>
      <c r="R562" s="2"/>
      <c r="S562" s="11"/>
      <c r="T562" s="1" t="str">
        <f>"owner=" &amp; Tokens!BS562 &amp; "&amp;filename_for_metadata=" &amp; Tokens!BT562 &amp; "&amp;offchaindata_platform=" &amp; $B$17 &amp; "&amp;keyfile=" &amp; $B$5 &amp; "&amp;network=" &amp; LOWER($B$8) &amp; "&amp;repository=" &amp; $B$18</f>
        <v>owner=thomas&amp;filename_for_metadata=InCasa_COR22D399&amp;offchaindata_platform=MongoDB&amp;keyfile=Paul&amp;network=jsonfiles&amp;repository=test</v>
      </c>
      <c r="U562" s="1" t="str">
        <f t="shared" si="17"/>
        <v>{"name":"In Casa #399",_x000D_
"symbol":"COR22D399",_x000D_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2" s="1" t="str">
        <f>formatRow(Tokens!C$2:I$2,Tokens!C562:I562)</f>
        <v>"name":"In Casa #399",_x000D_
"symbol":"COR22D399",_x000D_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2" s="1" t="str">
        <f>formatRow(Tokens!J$2:AV$2,Tokens!J562:AV562,2,"attributes")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2" s="1" t="str">
        <f>formatRow(Tokens!AX$2:BC$2,Tokens!AX562:BC562,2,"creators")</f>
        <v>"creators":[{"address":"paul",_x000D_
"share":10},{"address":"sophie",_x000D_
"share":90}]</v>
      </c>
      <c r="Y562" s="1" t="str">
        <f>formatRow(Tokens!BD$2:BI$2,Tokens!BD562:BI562,2,"files")</f>
        <v>"files":[]</v>
      </c>
      <c r="Z562" s="1"/>
      <c r="AA562" s="1"/>
      <c r="AB562" s="1"/>
      <c r="AC562" s="1" t="str">
        <f>formatRow(Tokens!BJ$2:BK$2,Tokens!BJ562:BK562,0,"collection")</f>
        <v>"collection":{"name":"In Casa",_x000D_
"family":"Calvi On The Rocks"}</v>
      </c>
    </row>
    <row r="563" spans="5:29" ht="14.25" customHeight="1" x14ac:dyDescent="0.25">
      <c r="E563" s="17" t="str">
        <f>IF(Tokens!C563="","",Tokens!C563)</f>
        <v>In Casa #400</v>
      </c>
      <c r="F563"/>
      <c r="G563"/>
      <c r="H563"/>
      <c r="I563"/>
      <c r="J563"/>
      <c r="M563"/>
      <c r="N563"/>
      <c r="O563" s="15" t="str">
        <f t="shared" si="16"/>
        <v>_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/>
      </c>
      <c r="Q563" s="2"/>
      <c r="R563" s="2"/>
      <c r="S563" s="11"/>
      <c r="T563" s="1" t="str">
        <f>"owner=" &amp; Tokens!BS563 &amp; "&amp;filename_for_metadata=" &amp; Tokens!BT563 &amp; "&amp;offchaindata_platform=" &amp; $B$17 &amp; "&amp;keyfile=" &amp; $B$5 &amp; "&amp;network=" &amp; LOWER($B$8) &amp; "&amp;repository=" &amp; $B$18</f>
        <v>owner=thomas&amp;filename_for_metadata=InCasa_COR22D400&amp;offchaindata_platform=MongoDB&amp;keyfile=Paul&amp;network=jsonfiles&amp;repository=test</v>
      </c>
      <c r="U563" s="1" t="str">
        <f t="shared" si="17"/>
        <v>{"name":"In Casa #400",_x000D_
"symbol":"COR22D400",_x000D_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3" s="1" t="str">
        <f>formatRow(Tokens!C$2:I$2,Tokens!C563:I563)</f>
        <v>"name":"In Casa #400",_x000D_
"symbol":"COR22D400",_x000D_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3" s="1" t="str">
        <f>formatRow(Tokens!J$2:AV$2,Tokens!J563:AV563,2,"attributes")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3" s="1" t="str">
        <f>formatRow(Tokens!AX$2:BC$2,Tokens!AX563:BC563,2,"creators")</f>
        <v>"creators":[{"address":"paul",_x000D_
"share":10},{"address":"sophie",_x000D_
"share":90}]</v>
      </c>
      <c r="Y563" s="1" t="str">
        <f>formatRow(Tokens!BD$2:BI$2,Tokens!BD563:BI563,2,"files")</f>
        <v>"files":[]</v>
      </c>
      <c r="Z563" s="1"/>
      <c r="AA563" s="1"/>
      <c r="AB563" s="1"/>
      <c r="AC563" s="1" t="str">
        <f>formatRow(Tokens!BJ$2:BK$2,Tokens!BJ563:BK563,0,"collection")</f>
        <v>"collection":{"name":"In Casa",_x000D_
"family":"Calvi On The Rocks"}</v>
      </c>
    </row>
    <row r="564" spans="5:29" ht="14.25" customHeight="1" x14ac:dyDescent="0.25">
      <c r="E564" s="17" t="str">
        <f>IF(Tokens!C564="","",Tokens!C564)</f>
        <v>In Casa #401</v>
      </c>
      <c r="F564"/>
      <c r="G564"/>
      <c r="H564"/>
      <c r="I564"/>
      <c r="J564"/>
      <c r="M564"/>
      <c r="N564"/>
      <c r="O564" s="15" t="str">
        <f t="shared" si="16"/>
        <v>_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/>
      </c>
      <c r="Q564" s="2"/>
      <c r="R564" s="2"/>
      <c r="S564" s="11"/>
      <c r="T564" s="1" t="str">
        <f>"owner=" &amp; Tokens!BS564 &amp; "&amp;filename_for_metadata=" &amp; Tokens!BT564 &amp; "&amp;offchaindata_platform=" &amp; $B$17 &amp; "&amp;keyfile=" &amp; $B$5 &amp; "&amp;network=" &amp; LOWER($B$8) &amp; "&amp;repository=" &amp; $B$18</f>
        <v>owner=thomas&amp;filename_for_metadata=InCasa_COR22D401&amp;offchaindata_platform=MongoDB&amp;keyfile=Paul&amp;network=jsonfiles&amp;repository=test</v>
      </c>
      <c r="U564" s="1" t="str">
        <f t="shared" si="17"/>
        <v>{"name":"In Casa #401",_x000D_
"symbol":"COR22D401",_x000D_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4" s="1" t="str">
        <f>formatRow(Tokens!C$2:I$2,Tokens!C564:I564)</f>
        <v>"name":"In Casa #401",_x000D_
"symbol":"COR22D401",_x000D_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4" s="1" t="str">
        <f>formatRow(Tokens!J$2:AV$2,Tokens!J564:AV564,2,"attributes")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4" s="1" t="str">
        <f>formatRow(Tokens!AX$2:BC$2,Tokens!AX564:BC564,2,"creators")</f>
        <v>"creators":[{"address":"paul",_x000D_
"share":10},{"address":"sophie",_x000D_
"share":90}]</v>
      </c>
      <c r="Y564" s="1" t="str">
        <f>formatRow(Tokens!BD$2:BI$2,Tokens!BD564:BI564,2,"files")</f>
        <v>"files":[]</v>
      </c>
      <c r="Z564" s="1"/>
      <c r="AA564" s="1"/>
      <c r="AB564" s="1"/>
      <c r="AC564" s="1" t="str">
        <f>formatRow(Tokens!BJ$2:BK$2,Tokens!BJ564:BK564,0,"collection")</f>
        <v>"collection":{"name":"In Casa",_x000D_
"family":"Calvi On The Rocks"}</v>
      </c>
    </row>
    <row r="565" spans="5:29" ht="14.25" customHeight="1" x14ac:dyDescent="0.25">
      <c r="E565" s="17" t="str">
        <f>IF(Tokens!C565="","",Tokens!C565)</f>
        <v>In Casa #402</v>
      </c>
      <c r="F565"/>
      <c r="G565"/>
      <c r="H565"/>
      <c r="I565"/>
      <c r="J565"/>
      <c r="M565"/>
      <c r="N565"/>
      <c r="O565" s="15" t="str">
        <f t="shared" si="16"/>
        <v>_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/>
      </c>
      <c r="Q565" s="2"/>
      <c r="R565" s="2"/>
      <c r="S565" s="11"/>
      <c r="T565" s="1" t="str">
        <f>"owner=" &amp; Tokens!BS565 &amp; "&amp;filename_for_metadata=" &amp; Tokens!BT565 &amp; "&amp;offchaindata_platform=" &amp; $B$17 &amp; "&amp;keyfile=" &amp; $B$5 &amp; "&amp;network=" &amp; LOWER($B$8) &amp; "&amp;repository=" &amp; $B$18</f>
        <v>owner=thomas&amp;filename_for_metadata=InCasa_COR22D402&amp;offchaindata_platform=MongoDB&amp;keyfile=Paul&amp;network=jsonfiles&amp;repository=test</v>
      </c>
      <c r="U565" s="1" t="str">
        <f t="shared" si="17"/>
        <v>{"name":"In Casa #402",_x000D_
"symbol":"COR22D402",_x000D_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5" s="1" t="str">
        <f>formatRow(Tokens!C$2:I$2,Tokens!C565:I565)</f>
        <v>"name":"In Casa #402",_x000D_
"symbol":"COR22D402",_x000D_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5" s="1" t="str">
        <f>formatRow(Tokens!J$2:AV$2,Tokens!J565:AV565,2,"attributes")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5" s="1" t="str">
        <f>formatRow(Tokens!AX$2:BC$2,Tokens!AX565:BC565,2,"creators")</f>
        <v>"creators":[{"address":"paul",_x000D_
"share":10},{"address":"sophie",_x000D_
"share":90}]</v>
      </c>
      <c r="Y565" s="1" t="str">
        <f>formatRow(Tokens!BD$2:BI$2,Tokens!BD565:BI565,2,"files")</f>
        <v>"files":[]</v>
      </c>
      <c r="Z565" s="1"/>
      <c r="AA565" s="1"/>
      <c r="AB565" s="1"/>
      <c r="AC565" s="1" t="str">
        <f>formatRow(Tokens!BJ$2:BK$2,Tokens!BJ565:BK565,0,"collection")</f>
        <v>"collection":{"name":"In Casa",_x000D_
"family":"Calvi On The Rocks"}</v>
      </c>
    </row>
    <row r="566" spans="5:29" ht="14.25" customHeight="1" x14ac:dyDescent="0.25">
      <c r="E566" s="17" t="str">
        <f>IF(Tokens!C566="","",Tokens!C566)</f>
        <v>In Casa #403</v>
      </c>
      <c r="F566"/>
      <c r="G566"/>
      <c r="H566"/>
      <c r="I566"/>
      <c r="J566"/>
      <c r="M566"/>
      <c r="N566"/>
      <c r="O566" s="15" t="str">
        <f t="shared" si="16"/>
        <v>_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/>
      </c>
      <c r="Q566" s="2"/>
      <c r="R566" s="2"/>
      <c r="S566" s="11"/>
      <c r="T566" s="1" t="str">
        <f>"owner=" &amp; Tokens!BS566 &amp; "&amp;filename_for_metadata=" &amp; Tokens!BT566 &amp; "&amp;offchaindata_platform=" &amp; $B$17 &amp; "&amp;keyfile=" &amp; $B$5 &amp; "&amp;network=" &amp; LOWER($B$8) &amp; "&amp;repository=" &amp; $B$18</f>
        <v>owner=thomas&amp;filename_for_metadata=InCasa_COR22D403&amp;offchaindata_platform=MongoDB&amp;keyfile=Paul&amp;network=jsonfiles&amp;repository=test</v>
      </c>
      <c r="U566" s="1" t="str">
        <f t="shared" si="17"/>
        <v>{"name":"In Casa #403",_x000D_
"symbol":"COR22D403",_x000D_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6" s="1" t="str">
        <f>formatRow(Tokens!C$2:I$2,Tokens!C566:I566)</f>
        <v>"name":"In Casa #403",_x000D_
"symbol":"COR22D403",_x000D_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6" s="1" t="str">
        <f>formatRow(Tokens!J$2:AV$2,Tokens!J566:AV566,2,"attributes")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6" s="1" t="str">
        <f>formatRow(Tokens!AX$2:BC$2,Tokens!AX566:BC566,2,"creators")</f>
        <v>"creators":[{"address":"paul",_x000D_
"share":10},{"address":"sophie",_x000D_
"share":90}]</v>
      </c>
      <c r="Y566" s="1" t="str">
        <f>formatRow(Tokens!BD$2:BI$2,Tokens!BD566:BI566,2,"files")</f>
        <v>"files":[]</v>
      </c>
      <c r="Z566" s="1"/>
      <c r="AA566" s="1"/>
      <c r="AB566" s="1"/>
      <c r="AC566" s="1" t="str">
        <f>formatRow(Tokens!BJ$2:BK$2,Tokens!BJ566:BK566,0,"collection")</f>
        <v>"collection":{"name":"In Casa",_x000D_
"family":"Calvi On The Rocks"}</v>
      </c>
    </row>
    <row r="567" spans="5:29" ht="14.25" customHeight="1" x14ac:dyDescent="0.25">
      <c r="E567" s="17" t="str">
        <f>IF(Tokens!C567="","",Tokens!C567)</f>
        <v>In Casa #404</v>
      </c>
      <c r="F567"/>
      <c r="G567"/>
      <c r="H567"/>
      <c r="I567"/>
      <c r="J567"/>
      <c r="M567"/>
      <c r="N567"/>
      <c r="O567" s="15" t="str">
        <f t="shared" si="16"/>
        <v>_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/>
      </c>
      <c r="Q567" s="2"/>
      <c r="R567" s="2"/>
      <c r="S567" s="11"/>
      <c r="T567" s="1" t="str">
        <f>"owner=" &amp; Tokens!BS567 &amp; "&amp;filename_for_metadata=" &amp; Tokens!BT567 &amp; "&amp;offchaindata_platform=" &amp; $B$17 &amp; "&amp;keyfile=" &amp; $B$5 &amp; "&amp;network=" &amp; LOWER($B$8) &amp; "&amp;repository=" &amp; $B$18</f>
        <v>owner=thomas&amp;filename_for_metadata=InCasa_COR22D404&amp;offchaindata_platform=MongoDB&amp;keyfile=Paul&amp;network=jsonfiles&amp;repository=test</v>
      </c>
      <c r="U567" s="1" t="str">
        <f t="shared" si="17"/>
        <v>{"name":"In Casa #404",_x000D_
"symbol":"COR22D404",_x000D_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7" s="1" t="str">
        <f>formatRow(Tokens!C$2:I$2,Tokens!C567:I567)</f>
        <v>"name":"In Casa #404",_x000D_
"symbol":"COR22D404",_x000D_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7" s="1" t="str">
        <f>formatRow(Tokens!J$2:AV$2,Tokens!J567:AV567,2,"attributes")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7" s="1" t="str">
        <f>formatRow(Tokens!AX$2:BC$2,Tokens!AX567:BC567,2,"creators")</f>
        <v>"creators":[{"address":"paul",_x000D_
"share":10},{"address":"sophie",_x000D_
"share":90}]</v>
      </c>
      <c r="Y567" s="1" t="str">
        <f>formatRow(Tokens!BD$2:BI$2,Tokens!BD567:BI567,2,"files")</f>
        <v>"files":[]</v>
      </c>
      <c r="Z567" s="1"/>
      <c r="AA567" s="1"/>
      <c r="AB567" s="1"/>
      <c r="AC567" s="1" t="str">
        <f>formatRow(Tokens!BJ$2:BK$2,Tokens!BJ567:BK567,0,"collection")</f>
        <v>"collection":{"name":"In Casa",_x000D_
"family":"Calvi On The Rocks"}</v>
      </c>
    </row>
    <row r="568" spans="5:29" ht="14.25" customHeight="1" x14ac:dyDescent="0.25">
      <c r="E568" s="17" t="str">
        <f>IF(Tokens!C568="","",Tokens!C568)</f>
        <v>In Casa #405</v>
      </c>
      <c r="F568"/>
      <c r="G568"/>
      <c r="H568"/>
      <c r="I568"/>
      <c r="J568"/>
      <c r="M568"/>
      <c r="N568"/>
      <c r="O568" s="15" t="str">
        <f t="shared" si="16"/>
        <v>_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/>
      </c>
      <c r="Q568" s="2"/>
      <c r="R568" s="2"/>
      <c r="S568" s="11"/>
      <c r="T568" s="1" t="str">
        <f>"owner=" &amp; Tokens!BS568 &amp; "&amp;filename_for_metadata=" &amp; Tokens!BT568 &amp; "&amp;offchaindata_platform=" &amp; $B$17 &amp; "&amp;keyfile=" &amp; $B$5 &amp; "&amp;network=" &amp; LOWER($B$8) &amp; "&amp;repository=" &amp; $B$18</f>
        <v>owner=thomas&amp;filename_for_metadata=InCasa_COR22D405&amp;offchaindata_platform=MongoDB&amp;keyfile=Paul&amp;network=jsonfiles&amp;repository=test</v>
      </c>
      <c r="U568" s="1" t="str">
        <f t="shared" si="17"/>
        <v>{"name":"In Casa #405",_x000D_
"symbol":"COR22D405",_x000D_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8" s="1" t="str">
        <f>formatRow(Tokens!C$2:I$2,Tokens!C568:I568)</f>
        <v>"name":"In Casa #405",_x000D_
"symbol":"COR22D405",_x000D_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8" s="1" t="str">
        <f>formatRow(Tokens!J$2:AV$2,Tokens!J568:AV568,2,"attributes")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8" s="1" t="str">
        <f>formatRow(Tokens!AX$2:BC$2,Tokens!AX568:BC568,2,"creators")</f>
        <v>"creators":[{"address":"paul",_x000D_
"share":10},{"address":"sophie",_x000D_
"share":90}]</v>
      </c>
      <c r="Y568" s="1" t="str">
        <f>formatRow(Tokens!BD$2:BI$2,Tokens!BD568:BI568,2,"files")</f>
        <v>"files":[]</v>
      </c>
      <c r="Z568" s="1"/>
      <c r="AA568" s="1"/>
      <c r="AB568" s="1"/>
      <c r="AC568" s="1" t="str">
        <f>formatRow(Tokens!BJ$2:BK$2,Tokens!BJ568:BK568,0,"collection")</f>
        <v>"collection":{"name":"In Casa",_x000D_
"family":"Calvi On The Rocks"}</v>
      </c>
    </row>
    <row r="569" spans="5:29" ht="14.25" customHeight="1" x14ac:dyDescent="0.25">
      <c r="E569" s="17" t="str">
        <f>IF(Tokens!C569="","",Tokens!C569)</f>
        <v>In Casa #406</v>
      </c>
      <c r="F569"/>
      <c r="G569"/>
      <c r="H569"/>
      <c r="I569"/>
      <c r="J569"/>
      <c r="M569"/>
      <c r="N569"/>
      <c r="O569" s="15" t="str">
        <f t="shared" si="16"/>
        <v>_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/>
      </c>
      <c r="Q569" s="2"/>
      <c r="R569" s="2"/>
      <c r="S569" s="11"/>
      <c r="T569" s="1" t="str">
        <f>"owner=" &amp; Tokens!BS569 &amp; "&amp;filename_for_metadata=" &amp; Tokens!BT569 &amp; "&amp;offchaindata_platform=" &amp; $B$17 &amp; "&amp;keyfile=" &amp; $B$5 &amp; "&amp;network=" &amp; LOWER($B$8) &amp; "&amp;repository=" &amp; $B$18</f>
        <v>owner=thomas&amp;filename_for_metadata=InCasa_COR22D406&amp;offchaindata_platform=MongoDB&amp;keyfile=Paul&amp;network=jsonfiles&amp;repository=test</v>
      </c>
      <c r="U569" s="1" t="str">
        <f t="shared" si="17"/>
        <v>{"name":"In Casa #406",_x000D_
"symbol":"COR22D406",_x000D_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69" s="1" t="str">
        <f>formatRow(Tokens!C$2:I$2,Tokens!C569:I569)</f>
        <v>"name":"In Casa #406",_x000D_
"symbol":"COR22D406",_x000D_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69" s="1" t="str">
        <f>formatRow(Tokens!J$2:AV$2,Tokens!J569:AV569,2,"attributes")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69" s="1" t="str">
        <f>formatRow(Tokens!AX$2:BC$2,Tokens!AX569:BC569,2,"creators")</f>
        <v>"creators":[{"address":"paul",_x000D_
"share":10},{"address":"sophie",_x000D_
"share":90}]</v>
      </c>
      <c r="Y569" s="1" t="str">
        <f>formatRow(Tokens!BD$2:BI$2,Tokens!BD569:BI569,2,"files")</f>
        <v>"files":[]</v>
      </c>
      <c r="Z569" s="1"/>
      <c r="AA569" s="1"/>
      <c r="AB569" s="1"/>
      <c r="AC569" s="1" t="str">
        <f>formatRow(Tokens!BJ$2:BK$2,Tokens!BJ569:BK569,0,"collection")</f>
        <v>"collection":{"name":"In Casa",_x000D_
"family":"Calvi On The Rocks"}</v>
      </c>
    </row>
    <row r="570" spans="5:29" ht="14.25" customHeight="1" x14ac:dyDescent="0.25">
      <c r="E570" s="17" t="str">
        <f>IF(Tokens!C570="","",Tokens!C570)</f>
        <v>In Casa #407</v>
      </c>
      <c r="F570"/>
      <c r="G570"/>
      <c r="H570"/>
      <c r="I570"/>
      <c r="J570"/>
      <c r="M570"/>
      <c r="N570"/>
      <c r="O570" s="15" t="str">
        <f t="shared" si="16"/>
        <v>_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/>
      </c>
      <c r="Q570" s="2"/>
      <c r="R570" s="2"/>
      <c r="S570" s="11"/>
      <c r="T570" s="1" t="str">
        <f>"owner=" &amp; Tokens!BS570 &amp; "&amp;filename_for_metadata=" &amp; Tokens!BT570 &amp; "&amp;offchaindata_platform=" &amp; $B$17 &amp; "&amp;keyfile=" &amp; $B$5 &amp; "&amp;network=" &amp; LOWER($B$8) &amp; "&amp;repository=" &amp; $B$18</f>
        <v>owner=thomas&amp;filename_for_metadata=InCasa_COR22D407&amp;offchaindata_platform=MongoDB&amp;keyfile=Paul&amp;network=jsonfiles&amp;repository=test</v>
      </c>
      <c r="U570" s="1" t="str">
        <f t="shared" si="17"/>
        <v>{"name":"In Casa #407",_x000D_
"symbol":"COR22D407",_x000D_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0" s="1" t="str">
        <f>formatRow(Tokens!C$2:I$2,Tokens!C570:I570)</f>
        <v>"name":"In Casa #407",_x000D_
"symbol":"COR22D407",_x000D_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0" s="1" t="str">
        <f>formatRow(Tokens!J$2:AV$2,Tokens!J570:AV570,2,"attributes")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0" s="1" t="str">
        <f>formatRow(Tokens!AX$2:BC$2,Tokens!AX570:BC570,2,"creators")</f>
        <v>"creators":[{"address":"paul",_x000D_
"share":10},{"address":"sophie",_x000D_
"share":90}]</v>
      </c>
      <c r="Y570" s="1" t="str">
        <f>formatRow(Tokens!BD$2:BI$2,Tokens!BD570:BI570,2,"files")</f>
        <v>"files":[]</v>
      </c>
      <c r="Z570" s="1"/>
      <c r="AA570" s="1"/>
      <c r="AB570" s="1"/>
      <c r="AC570" s="1" t="str">
        <f>formatRow(Tokens!BJ$2:BK$2,Tokens!BJ570:BK570,0,"collection")</f>
        <v>"collection":{"name":"In Casa",_x000D_
"family":"Calvi On The Rocks"}</v>
      </c>
    </row>
    <row r="571" spans="5:29" ht="14.25" customHeight="1" x14ac:dyDescent="0.25">
      <c r="E571" s="17" t="str">
        <f>IF(Tokens!C571="","",Tokens!C571)</f>
        <v>In Casa #408</v>
      </c>
      <c r="F571"/>
      <c r="G571"/>
      <c r="H571"/>
      <c r="I571"/>
      <c r="J571"/>
      <c r="M571"/>
      <c r="N571"/>
      <c r="O571" s="15" t="str">
        <f t="shared" si="16"/>
        <v>_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/>
      </c>
      <c r="Q571" s="2"/>
      <c r="R571" s="2"/>
      <c r="S571" s="11"/>
      <c r="T571" s="1" t="str">
        <f>"owner=" &amp; Tokens!BS571 &amp; "&amp;filename_for_metadata=" &amp; Tokens!BT571 &amp; "&amp;offchaindata_platform=" &amp; $B$17 &amp; "&amp;keyfile=" &amp; $B$5 &amp; "&amp;network=" &amp; LOWER($B$8) &amp; "&amp;repository=" &amp; $B$18</f>
        <v>owner=thomas&amp;filename_for_metadata=InCasa_COR22D408&amp;offchaindata_platform=MongoDB&amp;keyfile=Paul&amp;network=jsonfiles&amp;repository=test</v>
      </c>
      <c r="U571" s="1" t="str">
        <f t="shared" si="17"/>
        <v>{"name":"In Casa #408",_x000D_
"symbol":"COR22D408",_x000D_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1" s="1" t="str">
        <f>formatRow(Tokens!C$2:I$2,Tokens!C571:I571)</f>
        <v>"name":"In Casa #408",_x000D_
"symbol":"COR22D408",_x000D_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1" s="1" t="str">
        <f>formatRow(Tokens!J$2:AV$2,Tokens!J571:AV571,2,"attributes")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1" s="1" t="str">
        <f>formatRow(Tokens!AX$2:BC$2,Tokens!AX571:BC571,2,"creators")</f>
        <v>"creators":[{"address":"paul",_x000D_
"share":10},{"address":"sophie",_x000D_
"share":90}]</v>
      </c>
      <c r="Y571" s="1" t="str">
        <f>formatRow(Tokens!BD$2:BI$2,Tokens!BD571:BI571,2,"files")</f>
        <v>"files":[]</v>
      </c>
      <c r="Z571" s="1"/>
      <c r="AA571" s="1"/>
      <c r="AB571" s="1"/>
      <c r="AC571" s="1" t="str">
        <f>formatRow(Tokens!BJ$2:BK$2,Tokens!BJ571:BK571,0,"collection")</f>
        <v>"collection":{"name":"In Casa",_x000D_
"family":"Calvi On The Rocks"}</v>
      </c>
    </row>
    <row r="572" spans="5:29" ht="14.25" customHeight="1" x14ac:dyDescent="0.25">
      <c r="E572" s="17" t="str">
        <f>IF(Tokens!C572="","",Tokens!C572)</f>
        <v>In Casa #409</v>
      </c>
      <c r="F572"/>
      <c r="G572"/>
      <c r="H572"/>
      <c r="I572"/>
      <c r="J572"/>
      <c r="M572"/>
      <c r="N572"/>
      <c r="O572" s="15" t="str">
        <f t="shared" si="16"/>
        <v>_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/>
      </c>
      <c r="Q572" s="2"/>
      <c r="R572" s="2"/>
      <c r="S572" s="11"/>
      <c r="T572" s="1" t="str">
        <f>"owner=" &amp; Tokens!BS572 &amp; "&amp;filename_for_metadata=" &amp; Tokens!BT572 &amp; "&amp;offchaindata_platform=" &amp; $B$17 &amp; "&amp;keyfile=" &amp; $B$5 &amp; "&amp;network=" &amp; LOWER($B$8) &amp; "&amp;repository=" &amp; $B$18</f>
        <v>owner=thomas&amp;filename_for_metadata=InCasa_COR22D409&amp;offchaindata_platform=MongoDB&amp;keyfile=Paul&amp;network=jsonfiles&amp;repository=test</v>
      </c>
      <c r="U572" s="1" t="str">
        <f t="shared" si="17"/>
        <v>{"name":"In Casa #409",_x000D_
"symbol":"COR22D409",_x000D_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2" s="1" t="str">
        <f>formatRow(Tokens!C$2:I$2,Tokens!C572:I572)</f>
        <v>"name":"In Casa #409",_x000D_
"symbol":"COR22D409",_x000D_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2" s="1" t="str">
        <f>formatRow(Tokens!J$2:AV$2,Tokens!J572:AV572,2,"attributes")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2" s="1" t="str">
        <f>formatRow(Tokens!AX$2:BC$2,Tokens!AX572:BC572,2,"creators")</f>
        <v>"creators":[{"address":"paul",_x000D_
"share":10},{"address":"sophie",_x000D_
"share":90}]</v>
      </c>
      <c r="Y572" s="1" t="str">
        <f>formatRow(Tokens!BD$2:BI$2,Tokens!BD572:BI572,2,"files")</f>
        <v>"files":[]</v>
      </c>
      <c r="Z572" s="1"/>
      <c r="AA572" s="1"/>
      <c r="AB572" s="1"/>
      <c r="AC572" s="1" t="str">
        <f>formatRow(Tokens!BJ$2:BK$2,Tokens!BJ572:BK572,0,"collection")</f>
        <v>"collection":{"name":"In Casa",_x000D_
"family":"Calvi On The Rocks"}</v>
      </c>
    </row>
    <row r="573" spans="5:29" ht="14.25" customHeight="1" x14ac:dyDescent="0.25">
      <c r="E573" s="17" t="str">
        <f>IF(Tokens!C573="","",Tokens!C573)</f>
        <v>In Casa #410</v>
      </c>
      <c r="F573"/>
      <c r="G573"/>
      <c r="H573"/>
      <c r="I573"/>
      <c r="J573"/>
      <c r="M573"/>
      <c r="N573"/>
      <c r="O573" s="15" t="str">
        <f t="shared" si="16"/>
        <v>_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/>
      </c>
      <c r="Q573" s="2"/>
      <c r="R573" s="2"/>
      <c r="S573" s="11"/>
      <c r="T573" s="1" t="str">
        <f>"owner=" &amp; Tokens!BS573 &amp; "&amp;filename_for_metadata=" &amp; Tokens!BT573 &amp; "&amp;offchaindata_platform=" &amp; $B$17 &amp; "&amp;keyfile=" &amp; $B$5 &amp; "&amp;network=" &amp; LOWER($B$8) &amp; "&amp;repository=" &amp; $B$18</f>
        <v>owner=thomas&amp;filename_for_metadata=InCasa_COR22D410&amp;offchaindata_platform=MongoDB&amp;keyfile=Paul&amp;network=jsonfiles&amp;repository=test</v>
      </c>
      <c r="U573" s="1" t="str">
        <f t="shared" si="17"/>
        <v>{"name":"In Casa #410",_x000D_
"symbol":"COR22D410",_x000D_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3" s="1" t="str">
        <f>formatRow(Tokens!C$2:I$2,Tokens!C573:I573)</f>
        <v>"name":"In Casa #410",_x000D_
"symbol":"COR22D410",_x000D_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3" s="1" t="str">
        <f>formatRow(Tokens!J$2:AV$2,Tokens!J573:AV573,2,"attributes")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3" s="1" t="str">
        <f>formatRow(Tokens!AX$2:BC$2,Tokens!AX573:BC573,2,"creators")</f>
        <v>"creators":[{"address":"paul",_x000D_
"share":10},{"address":"sophie",_x000D_
"share":90}]</v>
      </c>
      <c r="Y573" s="1" t="str">
        <f>formatRow(Tokens!BD$2:BI$2,Tokens!BD573:BI573,2,"files")</f>
        <v>"files":[]</v>
      </c>
      <c r="Z573" s="1"/>
      <c r="AA573" s="1"/>
      <c r="AB573" s="1"/>
      <c r="AC573" s="1" t="str">
        <f>formatRow(Tokens!BJ$2:BK$2,Tokens!BJ573:BK573,0,"collection")</f>
        <v>"collection":{"name":"In Casa",_x000D_
"family":"Calvi On The Rocks"}</v>
      </c>
    </row>
    <row r="574" spans="5:29" ht="14.25" customHeight="1" x14ac:dyDescent="0.25">
      <c r="E574" s="17" t="str">
        <f>IF(Tokens!C574="","",Tokens!C574)</f>
        <v>In Casa #411</v>
      </c>
      <c r="F574"/>
      <c r="G574"/>
      <c r="H574"/>
      <c r="I574"/>
      <c r="J574"/>
      <c r="M574"/>
      <c r="N574"/>
      <c r="O574" s="15" t="str">
        <f t="shared" si="16"/>
        <v>_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/>
      </c>
      <c r="Q574" s="2"/>
      <c r="R574" s="2"/>
      <c r="S574" s="11"/>
      <c r="T574" s="1" t="str">
        <f>"owner=" &amp; Tokens!BS574 &amp; "&amp;filename_for_metadata=" &amp; Tokens!BT574 &amp; "&amp;offchaindata_platform=" &amp; $B$17 &amp; "&amp;keyfile=" &amp; $B$5 &amp; "&amp;network=" &amp; LOWER($B$8) &amp; "&amp;repository=" &amp; $B$18</f>
        <v>owner=thomas&amp;filename_for_metadata=InCasa_COR22D411&amp;offchaindata_platform=MongoDB&amp;keyfile=Paul&amp;network=jsonfiles&amp;repository=test</v>
      </c>
      <c r="U574" s="1" t="str">
        <f t="shared" si="17"/>
        <v>{"name":"In Casa #411",_x000D_
"symbol":"COR22D411",_x000D_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4" s="1" t="str">
        <f>formatRow(Tokens!C$2:I$2,Tokens!C574:I574)</f>
        <v>"name":"In Casa #411",_x000D_
"symbol":"COR22D411",_x000D_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4" s="1" t="str">
        <f>formatRow(Tokens!J$2:AV$2,Tokens!J574:AV574,2,"attributes")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4" s="1" t="str">
        <f>formatRow(Tokens!AX$2:BC$2,Tokens!AX574:BC574,2,"creators")</f>
        <v>"creators":[{"address":"paul",_x000D_
"share":10},{"address":"sophie",_x000D_
"share":90}]</v>
      </c>
      <c r="Y574" s="1" t="str">
        <f>formatRow(Tokens!BD$2:BI$2,Tokens!BD574:BI574,2,"files")</f>
        <v>"files":[]</v>
      </c>
      <c r="Z574" s="1"/>
      <c r="AA574" s="1"/>
      <c r="AB574" s="1"/>
      <c r="AC574" s="1" t="str">
        <f>formatRow(Tokens!BJ$2:BK$2,Tokens!BJ574:BK574,0,"collection")</f>
        <v>"collection":{"name":"In Casa",_x000D_
"family":"Calvi On The Rocks"}</v>
      </c>
    </row>
    <row r="575" spans="5:29" ht="14.25" customHeight="1" x14ac:dyDescent="0.25">
      <c r="E575" s="17" t="str">
        <f>IF(Tokens!C575="","",Tokens!C575)</f>
        <v>In Casa #412</v>
      </c>
      <c r="F575"/>
      <c r="G575"/>
      <c r="H575"/>
      <c r="I575"/>
      <c r="J575"/>
      <c r="M575"/>
      <c r="N575"/>
      <c r="O575" s="15" t="str">
        <f t="shared" si="16"/>
        <v>_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/>
      </c>
      <c r="Q575" s="2"/>
      <c r="R575" s="2"/>
      <c r="S575" s="11"/>
      <c r="T575" s="1" t="str">
        <f>"owner=" &amp; Tokens!BS575 &amp; "&amp;filename_for_metadata=" &amp; Tokens!BT575 &amp; "&amp;offchaindata_platform=" &amp; $B$17 &amp; "&amp;keyfile=" &amp; $B$5 &amp; "&amp;network=" &amp; LOWER($B$8) &amp; "&amp;repository=" &amp; $B$18</f>
        <v>owner=thomas&amp;filename_for_metadata=InCasa_COR22D412&amp;offchaindata_platform=MongoDB&amp;keyfile=Paul&amp;network=jsonfiles&amp;repository=test</v>
      </c>
      <c r="U575" s="1" t="str">
        <f t="shared" si="17"/>
        <v>{"name":"In Casa #412",_x000D_
"symbol":"COR22D412",_x000D_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5" s="1" t="str">
        <f>formatRow(Tokens!C$2:I$2,Tokens!C575:I575)</f>
        <v>"name":"In Casa #412",_x000D_
"symbol":"COR22D412",_x000D_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5" s="1" t="str">
        <f>formatRow(Tokens!J$2:AV$2,Tokens!J575:AV575,2,"attributes")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5" s="1" t="str">
        <f>formatRow(Tokens!AX$2:BC$2,Tokens!AX575:BC575,2,"creators")</f>
        <v>"creators":[{"address":"paul",_x000D_
"share":10},{"address":"sophie",_x000D_
"share":90}]</v>
      </c>
      <c r="Y575" s="1" t="str">
        <f>formatRow(Tokens!BD$2:BI$2,Tokens!BD575:BI575,2,"files")</f>
        <v>"files":[]</v>
      </c>
      <c r="Z575" s="1"/>
      <c r="AA575" s="1"/>
      <c r="AB575" s="1"/>
      <c r="AC575" s="1" t="str">
        <f>formatRow(Tokens!BJ$2:BK$2,Tokens!BJ575:BK575,0,"collection")</f>
        <v>"collection":{"name":"In Casa",_x000D_
"family":"Calvi On The Rocks"}</v>
      </c>
    </row>
    <row r="576" spans="5:29" ht="14.25" customHeight="1" x14ac:dyDescent="0.25">
      <c r="E576" s="17" t="str">
        <f>IF(Tokens!C576="","",Tokens!C576)</f>
        <v>In Casa #413</v>
      </c>
      <c r="F576"/>
      <c r="G576"/>
      <c r="H576"/>
      <c r="I576"/>
      <c r="J576"/>
      <c r="M576"/>
      <c r="N576"/>
      <c r="O576" s="15" t="str">
        <f t="shared" si="16"/>
        <v>_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/>
      </c>
      <c r="Q576" s="2"/>
      <c r="R576" s="2"/>
      <c r="S576" s="11"/>
      <c r="T576" s="1" t="str">
        <f>"owner=" &amp; Tokens!BS576 &amp; "&amp;filename_for_metadata=" &amp; Tokens!BT576 &amp; "&amp;offchaindata_platform=" &amp; $B$17 &amp; "&amp;keyfile=" &amp; $B$5 &amp; "&amp;network=" &amp; LOWER($B$8) &amp; "&amp;repository=" &amp; $B$18</f>
        <v>owner=thomas&amp;filename_for_metadata=InCasa_COR22D413&amp;offchaindata_platform=MongoDB&amp;keyfile=Paul&amp;network=jsonfiles&amp;repository=test</v>
      </c>
      <c r="U576" s="1" t="str">
        <f t="shared" si="17"/>
        <v>{"name":"In Casa #413",_x000D_
"symbol":"COR22D413",_x000D_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6" s="1" t="str">
        <f>formatRow(Tokens!C$2:I$2,Tokens!C576:I576)</f>
        <v>"name":"In Casa #413",_x000D_
"symbol":"COR22D413",_x000D_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6" s="1" t="str">
        <f>formatRow(Tokens!J$2:AV$2,Tokens!J576:AV576,2,"attributes")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6" s="1" t="str">
        <f>formatRow(Tokens!AX$2:BC$2,Tokens!AX576:BC576,2,"creators")</f>
        <v>"creators":[{"address":"paul",_x000D_
"share":10},{"address":"sophie",_x000D_
"share":90}]</v>
      </c>
      <c r="Y576" s="1" t="str">
        <f>formatRow(Tokens!BD$2:BI$2,Tokens!BD576:BI576,2,"files")</f>
        <v>"files":[]</v>
      </c>
      <c r="Z576" s="1"/>
      <c r="AA576" s="1"/>
      <c r="AB576" s="1"/>
      <c r="AC576" s="1" t="str">
        <f>formatRow(Tokens!BJ$2:BK$2,Tokens!BJ576:BK576,0,"collection")</f>
        <v>"collection":{"name":"In Casa",_x000D_
"family":"Calvi On The Rocks"}</v>
      </c>
    </row>
    <row r="577" spans="5:29" ht="14.25" customHeight="1" x14ac:dyDescent="0.25">
      <c r="E577" s="17" t="str">
        <f>IF(Tokens!C577="","",Tokens!C577)</f>
        <v>In Casa #414</v>
      </c>
      <c r="F577"/>
      <c r="G577"/>
      <c r="H577"/>
      <c r="I577"/>
      <c r="J577"/>
      <c r="M577"/>
      <c r="N577"/>
      <c r="O577" s="15" t="str">
        <f t="shared" si="16"/>
        <v>_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/>
      </c>
      <c r="Q577" s="2"/>
      <c r="R577" s="2"/>
      <c r="S577" s="11"/>
      <c r="T577" s="1" t="str">
        <f>"owner=" &amp; Tokens!BS577 &amp; "&amp;filename_for_metadata=" &amp; Tokens!BT577 &amp; "&amp;offchaindata_platform=" &amp; $B$17 &amp; "&amp;keyfile=" &amp; $B$5 &amp; "&amp;network=" &amp; LOWER($B$8) &amp; "&amp;repository=" &amp; $B$18</f>
        <v>owner=thomas&amp;filename_for_metadata=InCasa_COR22D414&amp;offchaindata_platform=MongoDB&amp;keyfile=Paul&amp;network=jsonfiles&amp;repository=test</v>
      </c>
      <c r="U577" s="1" t="str">
        <f t="shared" si="17"/>
        <v>{"name":"In Casa #414",_x000D_
"symbol":"COR22D414",_x000D_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7" s="1" t="str">
        <f>formatRow(Tokens!C$2:I$2,Tokens!C577:I577)</f>
        <v>"name":"In Casa #414",_x000D_
"symbol":"COR22D414",_x000D_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7" s="1" t="str">
        <f>formatRow(Tokens!J$2:AV$2,Tokens!J577:AV577,2,"attributes")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7" s="1" t="str">
        <f>formatRow(Tokens!AX$2:BC$2,Tokens!AX577:BC577,2,"creators")</f>
        <v>"creators":[{"address":"paul",_x000D_
"share":10},{"address":"sophie",_x000D_
"share":90}]</v>
      </c>
      <c r="Y577" s="1" t="str">
        <f>formatRow(Tokens!BD$2:BI$2,Tokens!BD577:BI577,2,"files")</f>
        <v>"files":[]</v>
      </c>
      <c r="Z577" s="1"/>
      <c r="AA577" s="1"/>
      <c r="AB577" s="1"/>
      <c r="AC577" s="1" t="str">
        <f>formatRow(Tokens!BJ$2:BK$2,Tokens!BJ577:BK577,0,"collection")</f>
        <v>"collection":{"name":"In Casa",_x000D_
"family":"Calvi On The Rocks"}</v>
      </c>
    </row>
    <row r="578" spans="5:29" ht="14.25" customHeight="1" x14ac:dyDescent="0.25">
      <c r="E578" s="17" t="str">
        <f>IF(Tokens!C578="","",Tokens!C578)</f>
        <v>In Casa #415</v>
      </c>
      <c r="F578"/>
      <c r="G578"/>
      <c r="H578"/>
      <c r="I578"/>
      <c r="J578"/>
      <c r="M578"/>
      <c r="N578"/>
      <c r="O578" s="15" t="str">
        <f t="shared" si="16"/>
        <v>_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/>
      </c>
      <c r="Q578" s="2"/>
      <c r="R578" s="2"/>
      <c r="S578" s="11"/>
      <c r="T578" s="1" t="str">
        <f>"owner=" &amp; Tokens!BS578 &amp; "&amp;filename_for_metadata=" &amp; Tokens!BT578 &amp; "&amp;offchaindata_platform=" &amp; $B$17 &amp; "&amp;keyfile=" &amp; $B$5 &amp; "&amp;network=" &amp; LOWER($B$8) &amp; "&amp;repository=" &amp; $B$18</f>
        <v>owner=thomas&amp;filename_for_metadata=InCasa_COR22D415&amp;offchaindata_platform=MongoDB&amp;keyfile=Paul&amp;network=jsonfiles&amp;repository=test</v>
      </c>
      <c r="U578" s="1" t="str">
        <f t="shared" si="17"/>
        <v>{"name":"In Casa #415",_x000D_
"symbol":"COR22D415",_x000D_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8" s="1" t="str">
        <f>formatRow(Tokens!C$2:I$2,Tokens!C578:I578)</f>
        <v>"name":"In Casa #415",_x000D_
"symbol":"COR22D415",_x000D_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8" s="1" t="str">
        <f>formatRow(Tokens!J$2:AV$2,Tokens!J578:AV578,2,"attributes")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8" s="1" t="str">
        <f>formatRow(Tokens!AX$2:BC$2,Tokens!AX578:BC578,2,"creators")</f>
        <v>"creators":[{"address":"paul",_x000D_
"share":10},{"address":"sophie",_x000D_
"share":90}]</v>
      </c>
      <c r="Y578" s="1" t="str">
        <f>formatRow(Tokens!BD$2:BI$2,Tokens!BD578:BI578,2,"files")</f>
        <v>"files":[]</v>
      </c>
      <c r="Z578" s="1"/>
      <c r="AA578" s="1"/>
      <c r="AB578" s="1"/>
      <c r="AC578" s="1" t="str">
        <f>formatRow(Tokens!BJ$2:BK$2,Tokens!BJ578:BK578,0,"collection")</f>
        <v>"collection":{"name":"In Casa",_x000D_
"family":"Calvi On The Rocks"}</v>
      </c>
    </row>
    <row r="579" spans="5:29" ht="14.25" customHeight="1" x14ac:dyDescent="0.25">
      <c r="E579" s="17" t="str">
        <f>IF(Tokens!C579="","",Tokens!C579)</f>
        <v>In Casa #416</v>
      </c>
      <c r="F579"/>
      <c r="G579"/>
      <c r="H579"/>
      <c r="I579"/>
      <c r="J579"/>
      <c r="M579"/>
      <c r="N579"/>
      <c r="O579" s="15" t="str">
        <f t="shared" si="16"/>
        <v>_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/>
      </c>
      <c r="Q579" s="2"/>
      <c r="R579" s="2"/>
      <c r="S579" s="11"/>
      <c r="T579" s="1" t="str">
        <f>"owner=" &amp; Tokens!BS579 &amp; "&amp;filename_for_metadata=" &amp; Tokens!BT579 &amp; "&amp;offchaindata_platform=" &amp; $B$17 &amp; "&amp;keyfile=" &amp; $B$5 &amp; "&amp;network=" &amp; LOWER($B$8) &amp; "&amp;repository=" &amp; $B$18</f>
        <v>owner=thomas&amp;filename_for_metadata=InCasa_COR22D416&amp;offchaindata_platform=MongoDB&amp;keyfile=Paul&amp;network=jsonfiles&amp;repository=test</v>
      </c>
      <c r="U579" s="1" t="str">
        <f t="shared" si="17"/>
        <v>{"name":"In Casa #416",_x000D_
"symbol":"COR22D416",_x000D_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79" s="1" t="str">
        <f>formatRow(Tokens!C$2:I$2,Tokens!C579:I579)</f>
        <v>"name":"In Casa #416",_x000D_
"symbol":"COR22D416",_x000D_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79" s="1" t="str">
        <f>formatRow(Tokens!J$2:AV$2,Tokens!J579:AV579,2,"attributes")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79" s="1" t="str">
        <f>formatRow(Tokens!AX$2:BC$2,Tokens!AX579:BC579,2,"creators")</f>
        <v>"creators":[{"address":"paul",_x000D_
"share":10},{"address":"sophie",_x000D_
"share":90}]</v>
      </c>
      <c r="Y579" s="1" t="str">
        <f>formatRow(Tokens!BD$2:BI$2,Tokens!BD579:BI579,2,"files")</f>
        <v>"files":[]</v>
      </c>
      <c r="Z579" s="1"/>
      <c r="AA579" s="1"/>
      <c r="AB579" s="1"/>
      <c r="AC579" s="1" t="str">
        <f>formatRow(Tokens!BJ$2:BK$2,Tokens!BJ579:BK579,0,"collection")</f>
        <v>"collection":{"name":"In Casa",_x000D_
"family":"Calvi On The Rocks"}</v>
      </c>
    </row>
    <row r="580" spans="5:29" ht="14.25" customHeight="1" x14ac:dyDescent="0.25">
      <c r="E580" s="17" t="str">
        <f>IF(Tokens!C580="","",Tokens!C580)</f>
        <v>In Casa #417</v>
      </c>
      <c r="F580"/>
      <c r="G580"/>
      <c r="H580"/>
      <c r="I580"/>
      <c r="J580"/>
      <c r="M580"/>
      <c r="N580"/>
      <c r="O580" s="15" t="str">
        <f t="shared" ref="O580:O643" si="18">IF(AND(ISNUMBER(N579),ISNUMBER(N580)),(N580-N579)*$O$1,"_")</f>
        <v>_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/>
      </c>
      <c r="Q580" s="2"/>
      <c r="R580" s="2"/>
      <c r="S580" s="11"/>
      <c r="T580" s="1" t="str">
        <f>"owner=" &amp; Tokens!BS580 &amp; "&amp;filename_for_metadata=" &amp; Tokens!BT580 &amp; "&amp;offchaindata_platform=" &amp; $B$17 &amp; "&amp;keyfile=" &amp; $B$5 &amp; "&amp;network=" &amp; LOWER($B$8) &amp; "&amp;repository=" &amp; $B$18</f>
        <v>owner=thomas&amp;filename_for_metadata=InCasa_COR22D417&amp;offchaindata_platform=MongoDB&amp;keyfile=Paul&amp;network=jsonfiles&amp;repository=test</v>
      </c>
      <c r="U580" s="1" t="str">
        <f t="shared" si="17"/>
        <v>{"name":"In Casa #417",_x000D_
"symbol":"COR22D417",_x000D_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0" s="1" t="str">
        <f>formatRow(Tokens!C$2:I$2,Tokens!C580:I580)</f>
        <v>"name":"In Casa #417",_x000D_
"symbol":"COR22D417",_x000D_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0" s="1" t="str">
        <f>formatRow(Tokens!J$2:AV$2,Tokens!J580:AV580,2,"attributes")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0" s="1" t="str">
        <f>formatRow(Tokens!AX$2:BC$2,Tokens!AX580:BC580,2,"creators")</f>
        <v>"creators":[{"address":"paul",_x000D_
"share":10},{"address":"sophie",_x000D_
"share":90}]</v>
      </c>
      <c r="Y580" s="1" t="str">
        <f>formatRow(Tokens!BD$2:BI$2,Tokens!BD580:BI580,2,"files")</f>
        <v>"files":[]</v>
      </c>
      <c r="Z580" s="1"/>
      <c r="AA580" s="1"/>
      <c r="AB580" s="1"/>
      <c r="AC580" s="1" t="str">
        <f>formatRow(Tokens!BJ$2:BK$2,Tokens!BJ580:BK580,0,"collection")</f>
        <v>"collection":{"name":"In Casa",_x000D_
"family":"Calvi On The Rocks"}</v>
      </c>
    </row>
    <row r="581" spans="5:29" ht="14.25" customHeight="1" x14ac:dyDescent="0.25">
      <c r="E581" s="17" t="str">
        <f>IF(Tokens!C581="","",Tokens!C581)</f>
        <v>In Casa #418</v>
      </c>
      <c r="F581"/>
      <c r="G581"/>
      <c r="H581"/>
      <c r="I581"/>
      <c r="J581"/>
      <c r="M581"/>
      <c r="N581"/>
      <c r="O581" s="15" t="str">
        <f t="shared" si="18"/>
        <v>_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/>
      </c>
      <c r="Q581" s="2"/>
      <c r="R581" s="2"/>
      <c r="S581" s="11"/>
      <c r="T581" s="1" t="str">
        <f>"owner=" &amp; Tokens!BS581 &amp; "&amp;filename_for_metadata=" &amp; Tokens!BT581 &amp; "&amp;offchaindata_platform=" &amp; $B$17 &amp; "&amp;keyfile=" &amp; $B$5 &amp; "&amp;network=" &amp; LOWER($B$8) &amp; "&amp;repository=" &amp; $B$18</f>
        <v>owner=thomas&amp;filename_for_metadata=InCasa_COR22D418&amp;offchaindata_platform=MongoDB&amp;keyfile=Paul&amp;network=jsonfiles&amp;repository=test</v>
      </c>
      <c r="U581" s="1" t="str">
        <f t="shared" ref="U581:U644" si="19">"{" &amp; V581 &amp; "," &amp; W581 &amp; "," &amp; """properties"":{" &amp; X581 &amp; "," &amp; Y581 &amp; "}," &amp; AC581 &amp; "}"</f>
        <v>{"name":"In Casa #418",_x000D_
"symbol":"COR22D418",_x000D_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1" s="1" t="str">
        <f>formatRow(Tokens!C$2:I$2,Tokens!C581:I581)</f>
        <v>"name":"In Casa #418",_x000D_
"symbol":"COR22D418",_x000D_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1" s="1" t="str">
        <f>formatRow(Tokens!J$2:AV$2,Tokens!J581:AV581,2,"attributes")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1" s="1" t="str">
        <f>formatRow(Tokens!AX$2:BC$2,Tokens!AX581:BC581,2,"creators")</f>
        <v>"creators":[{"address":"paul",_x000D_
"share":10},{"address":"sophie",_x000D_
"share":90}]</v>
      </c>
      <c r="Y581" s="1" t="str">
        <f>formatRow(Tokens!BD$2:BI$2,Tokens!BD581:BI581,2,"files")</f>
        <v>"files":[]</v>
      </c>
      <c r="Z581" s="1"/>
      <c r="AA581" s="1"/>
      <c r="AB581" s="1"/>
      <c r="AC581" s="1" t="str">
        <f>formatRow(Tokens!BJ$2:BK$2,Tokens!BJ581:BK581,0,"collection")</f>
        <v>"collection":{"name":"In Casa",_x000D_
"family":"Calvi On The Rocks"}</v>
      </c>
    </row>
    <row r="582" spans="5:29" ht="14.25" customHeight="1" x14ac:dyDescent="0.25">
      <c r="E582" s="17" t="str">
        <f>IF(Tokens!C582="","",Tokens!C582)</f>
        <v>In Casa #419</v>
      </c>
      <c r="F582"/>
      <c r="G582"/>
      <c r="H582"/>
      <c r="I582"/>
      <c r="J582"/>
      <c r="M582"/>
      <c r="N582"/>
      <c r="O582" s="15" t="str">
        <f t="shared" si="18"/>
        <v>_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/>
      </c>
      <c r="Q582" s="2"/>
      <c r="R582" s="2"/>
      <c r="S582" s="11"/>
      <c r="T582" s="1" t="str">
        <f>"owner=" &amp; Tokens!BS582 &amp; "&amp;filename_for_metadata=" &amp; Tokens!BT582 &amp; "&amp;offchaindata_platform=" &amp; $B$17 &amp; "&amp;keyfile=" &amp; $B$5 &amp; "&amp;network=" &amp; LOWER($B$8) &amp; "&amp;repository=" &amp; $B$18</f>
        <v>owner=thomas&amp;filename_for_metadata=InCasa_COR22D419&amp;offchaindata_platform=MongoDB&amp;keyfile=Paul&amp;network=jsonfiles&amp;repository=test</v>
      </c>
      <c r="U582" s="1" t="str">
        <f t="shared" si="19"/>
        <v>{"name":"In Casa #419",_x000D_
"symbol":"COR22D419",_x000D_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2" s="1" t="str">
        <f>formatRow(Tokens!C$2:I$2,Tokens!C582:I582)</f>
        <v>"name":"In Casa #419",_x000D_
"symbol":"COR22D419",_x000D_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2" s="1" t="str">
        <f>formatRow(Tokens!J$2:AV$2,Tokens!J582:AV582,2,"attributes")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2" s="1" t="str">
        <f>formatRow(Tokens!AX$2:BC$2,Tokens!AX582:BC582,2,"creators")</f>
        <v>"creators":[{"address":"paul",_x000D_
"share":10},{"address":"sophie",_x000D_
"share":90}]</v>
      </c>
      <c r="Y582" s="1" t="str">
        <f>formatRow(Tokens!BD$2:BI$2,Tokens!BD582:BI582,2,"files")</f>
        <v>"files":[]</v>
      </c>
      <c r="Z582" s="1"/>
      <c r="AA582" s="1"/>
      <c r="AB582" s="1"/>
      <c r="AC582" s="1" t="str">
        <f>formatRow(Tokens!BJ$2:BK$2,Tokens!BJ582:BK582,0,"collection")</f>
        <v>"collection":{"name":"In Casa",_x000D_
"family":"Calvi On The Rocks"}</v>
      </c>
    </row>
    <row r="583" spans="5:29" ht="14.25" customHeight="1" x14ac:dyDescent="0.25">
      <c r="E583" s="17" t="str">
        <f>IF(Tokens!C583="","",Tokens!C583)</f>
        <v>In Casa #420</v>
      </c>
      <c r="F583"/>
      <c r="G583"/>
      <c r="H583"/>
      <c r="I583"/>
      <c r="J583"/>
      <c r="M583"/>
      <c r="N583"/>
      <c r="O583" s="15" t="str">
        <f t="shared" si="18"/>
        <v>_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/>
      </c>
      <c r="Q583" s="2"/>
      <c r="R583" s="2"/>
      <c r="S583" s="11"/>
      <c r="T583" s="1" t="str">
        <f>"owner=" &amp; Tokens!BS583 &amp; "&amp;filename_for_metadata=" &amp; Tokens!BT583 &amp; "&amp;offchaindata_platform=" &amp; $B$17 &amp; "&amp;keyfile=" &amp; $B$5 &amp; "&amp;network=" &amp; LOWER($B$8) &amp; "&amp;repository=" &amp; $B$18</f>
        <v>owner=thomas&amp;filename_for_metadata=InCasa_COR22D420&amp;offchaindata_platform=MongoDB&amp;keyfile=Paul&amp;network=jsonfiles&amp;repository=test</v>
      </c>
      <c r="U583" s="1" t="str">
        <f t="shared" si="19"/>
        <v>{"name":"In Casa #420",_x000D_
"symbol":"COR22D420",_x000D_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3" s="1" t="str">
        <f>formatRow(Tokens!C$2:I$2,Tokens!C583:I583)</f>
        <v>"name":"In Casa #420",_x000D_
"symbol":"COR22D420",_x000D_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3" s="1" t="str">
        <f>formatRow(Tokens!J$2:AV$2,Tokens!J583:AV583,2,"attributes")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3" s="1" t="str">
        <f>formatRow(Tokens!AX$2:BC$2,Tokens!AX583:BC583,2,"creators")</f>
        <v>"creators":[{"address":"paul",_x000D_
"share":10},{"address":"sophie",_x000D_
"share":90}]</v>
      </c>
      <c r="Y583" s="1" t="str">
        <f>formatRow(Tokens!BD$2:BI$2,Tokens!BD583:BI583,2,"files")</f>
        <v>"files":[]</v>
      </c>
      <c r="Z583" s="1"/>
      <c r="AA583" s="1"/>
      <c r="AB583" s="1"/>
      <c r="AC583" s="1" t="str">
        <f>formatRow(Tokens!BJ$2:BK$2,Tokens!BJ583:BK583,0,"collection")</f>
        <v>"collection":{"name":"In Casa",_x000D_
"family":"Calvi On The Rocks"}</v>
      </c>
    </row>
    <row r="584" spans="5:29" ht="14.25" customHeight="1" x14ac:dyDescent="0.25">
      <c r="E584" s="17" t="str">
        <f>IF(Tokens!C584="","",Tokens!C584)</f>
        <v>In Casa #421</v>
      </c>
      <c r="F584"/>
      <c r="G584"/>
      <c r="H584"/>
      <c r="I584"/>
      <c r="J584"/>
      <c r="M584"/>
      <c r="N584"/>
      <c r="O584" s="15" t="str">
        <f t="shared" si="18"/>
        <v>_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/>
      </c>
      <c r="Q584" s="2"/>
      <c r="R584" s="2"/>
      <c r="S584" s="11"/>
      <c r="T584" s="1" t="str">
        <f>"owner=" &amp; Tokens!BS584 &amp; "&amp;filename_for_metadata=" &amp; Tokens!BT584 &amp; "&amp;offchaindata_platform=" &amp; $B$17 &amp; "&amp;keyfile=" &amp; $B$5 &amp; "&amp;network=" &amp; LOWER($B$8) &amp; "&amp;repository=" &amp; $B$18</f>
        <v>owner=thomas&amp;filename_for_metadata=InCasa_COR22D421&amp;offchaindata_platform=MongoDB&amp;keyfile=Paul&amp;network=jsonfiles&amp;repository=test</v>
      </c>
      <c r="U584" s="1" t="str">
        <f t="shared" si="19"/>
        <v>{"name":"In Casa #421",_x000D_
"symbol":"COR22D421",_x000D_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4" s="1" t="str">
        <f>formatRow(Tokens!C$2:I$2,Tokens!C584:I584)</f>
        <v>"name":"In Casa #421",_x000D_
"symbol":"COR22D421",_x000D_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4" s="1" t="str">
        <f>formatRow(Tokens!J$2:AV$2,Tokens!J584:AV584,2,"attributes")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4" s="1" t="str">
        <f>formatRow(Tokens!AX$2:BC$2,Tokens!AX584:BC584,2,"creators")</f>
        <v>"creators":[{"address":"paul",_x000D_
"share":10},{"address":"sophie",_x000D_
"share":90}]</v>
      </c>
      <c r="Y584" s="1" t="str">
        <f>formatRow(Tokens!BD$2:BI$2,Tokens!BD584:BI584,2,"files")</f>
        <v>"files":[]</v>
      </c>
      <c r="Z584" s="1"/>
      <c r="AA584" s="1"/>
      <c r="AB584" s="1"/>
      <c r="AC584" s="1" t="str">
        <f>formatRow(Tokens!BJ$2:BK$2,Tokens!BJ584:BK584,0,"collection")</f>
        <v>"collection":{"name":"In Casa",_x000D_
"family":"Calvi On The Rocks"}</v>
      </c>
    </row>
    <row r="585" spans="5:29" ht="14.25" customHeight="1" x14ac:dyDescent="0.25">
      <c r="E585" s="17" t="str">
        <f>IF(Tokens!C585="","",Tokens!C585)</f>
        <v>In Casa #422</v>
      </c>
      <c r="F585"/>
      <c r="G585"/>
      <c r="H585"/>
      <c r="I585"/>
      <c r="J585"/>
      <c r="M585"/>
      <c r="N585"/>
      <c r="O585" s="15" t="str">
        <f t="shared" si="18"/>
        <v>_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/>
      </c>
      <c r="Q585" s="2"/>
      <c r="R585" s="2"/>
      <c r="S585" s="11"/>
      <c r="T585" s="1" t="str">
        <f>"owner=" &amp; Tokens!BS585 &amp; "&amp;filename_for_metadata=" &amp; Tokens!BT585 &amp; "&amp;offchaindata_platform=" &amp; $B$17 &amp; "&amp;keyfile=" &amp; $B$5 &amp; "&amp;network=" &amp; LOWER($B$8) &amp; "&amp;repository=" &amp; $B$18</f>
        <v>owner=thomas&amp;filename_for_metadata=InCasa_COR22D422&amp;offchaindata_platform=MongoDB&amp;keyfile=Paul&amp;network=jsonfiles&amp;repository=test</v>
      </c>
      <c r="U585" s="1" t="str">
        <f t="shared" si="19"/>
        <v>{"name":"In Casa #422",_x000D_
"symbol":"COR22D422",_x000D_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5" s="1" t="str">
        <f>formatRow(Tokens!C$2:I$2,Tokens!C585:I585)</f>
        <v>"name":"In Casa #422",_x000D_
"symbol":"COR22D422",_x000D_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5" s="1" t="str">
        <f>formatRow(Tokens!J$2:AV$2,Tokens!J585:AV585,2,"attributes")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5" s="1" t="str">
        <f>formatRow(Tokens!AX$2:BC$2,Tokens!AX585:BC585,2,"creators")</f>
        <v>"creators":[{"address":"paul",_x000D_
"share":10},{"address":"sophie",_x000D_
"share":90}]</v>
      </c>
      <c r="Y585" s="1" t="str">
        <f>formatRow(Tokens!BD$2:BI$2,Tokens!BD585:BI585,2,"files")</f>
        <v>"files":[]</v>
      </c>
      <c r="Z585" s="1"/>
      <c r="AA585" s="1"/>
      <c r="AB585" s="1"/>
      <c r="AC585" s="1" t="str">
        <f>formatRow(Tokens!BJ$2:BK$2,Tokens!BJ585:BK585,0,"collection")</f>
        <v>"collection":{"name":"In Casa",_x000D_
"family":"Calvi On The Rocks"}</v>
      </c>
    </row>
    <row r="586" spans="5:29" ht="14.25" customHeight="1" x14ac:dyDescent="0.25">
      <c r="E586" s="17" t="str">
        <f>IF(Tokens!C586="","",Tokens!C586)</f>
        <v>In Casa #423</v>
      </c>
      <c r="F586"/>
      <c r="G586"/>
      <c r="H586"/>
      <c r="I586"/>
      <c r="J586"/>
      <c r="M586"/>
      <c r="N586"/>
      <c r="O586" s="15" t="str">
        <f t="shared" si="18"/>
        <v>_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/>
      </c>
      <c r="Q586" s="2"/>
      <c r="R586" s="2"/>
      <c r="S586" s="11"/>
      <c r="T586" s="1" t="str">
        <f>"owner=" &amp; Tokens!BS586 &amp; "&amp;filename_for_metadata=" &amp; Tokens!BT586 &amp; "&amp;offchaindata_platform=" &amp; $B$17 &amp; "&amp;keyfile=" &amp; $B$5 &amp; "&amp;network=" &amp; LOWER($B$8) &amp; "&amp;repository=" &amp; $B$18</f>
        <v>owner=thomas&amp;filename_for_metadata=InCasa_COR22D423&amp;offchaindata_platform=MongoDB&amp;keyfile=Paul&amp;network=jsonfiles&amp;repository=test</v>
      </c>
      <c r="U586" s="1" t="str">
        <f t="shared" si="19"/>
        <v>{"name":"In Casa #423",_x000D_
"symbol":"COR22D423",_x000D_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6" s="1" t="str">
        <f>formatRow(Tokens!C$2:I$2,Tokens!C586:I586)</f>
        <v>"name":"In Casa #423",_x000D_
"symbol":"COR22D423",_x000D_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6" s="1" t="str">
        <f>formatRow(Tokens!J$2:AV$2,Tokens!J586:AV586,2,"attributes")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6" s="1" t="str">
        <f>formatRow(Tokens!AX$2:BC$2,Tokens!AX586:BC586,2,"creators")</f>
        <v>"creators":[{"address":"paul",_x000D_
"share":10},{"address":"sophie",_x000D_
"share":90}]</v>
      </c>
      <c r="Y586" s="1" t="str">
        <f>formatRow(Tokens!BD$2:BI$2,Tokens!BD586:BI586,2,"files")</f>
        <v>"files":[]</v>
      </c>
      <c r="Z586" s="1"/>
      <c r="AA586" s="1"/>
      <c r="AB586" s="1"/>
      <c r="AC586" s="1" t="str">
        <f>formatRow(Tokens!BJ$2:BK$2,Tokens!BJ586:BK586,0,"collection")</f>
        <v>"collection":{"name":"In Casa",_x000D_
"family":"Calvi On The Rocks"}</v>
      </c>
    </row>
    <row r="587" spans="5:29" ht="14.25" customHeight="1" x14ac:dyDescent="0.25">
      <c r="E587" s="17" t="str">
        <f>IF(Tokens!C587="","",Tokens!C587)</f>
        <v>In Casa #424</v>
      </c>
      <c r="F587"/>
      <c r="G587"/>
      <c r="H587"/>
      <c r="I587"/>
      <c r="J587"/>
      <c r="M587"/>
      <c r="N587"/>
      <c r="O587" s="15" t="str">
        <f t="shared" si="18"/>
        <v>_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/>
      </c>
      <c r="Q587" s="2"/>
      <c r="R587" s="2"/>
      <c r="S587" s="11"/>
      <c r="T587" s="1" t="str">
        <f>"owner=" &amp; Tokens!BS587 &amp; "&amp;filename_for_metadata=" &amp; Tokens!BT587 &amp; "&amp;offchaindata_platform=" &amp; $B$17 &amp; "&amp;keyfile=" &amp; $B$5 &amp; "&amp;network=" &amp; LOWER($B$8) &amp; "&amp;repository=" &amp; $B$18</f>
        <v>owner=thomas&amp;filename_for_metadata=InCasa_COR22D424&amp;offchaindata_platform=MongoDB&amp;keyfile=Paul&amp;network=jsonfiles&amp;repository=test</v>
      </c>
      <c r="U587" s="1" t="str">
        <f t="shared" si="19"/>
        <v>{"name":"In Casa #424",_x000D_
"symbol":"COR22D424",_x000D_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7" s="1" t="str">
        <f>formatRow(Tokens!C$2:I$2,Tokens!C587:I587)</f>
        <v>"name":"In Casa #424",_x000D_
"symbol":"COR22D424",_x000D_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7" s="1" t="str">
        <f>formatRow(Tokens!J$2:AV$2,Tokens!J587:AV587,2,"attributes")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7" s="1" t="str">
        <f>formatRow(Tokens!AX$2:BC$2,Tokens!AX587:BC587,2,"creators")</f>
        <v>"creators":[{"address":"paul",_x000D_
"share":10},{"address":"sophie",_x000D_
"share":90}]</v>
      </c>
      <c r="Y587" s="1" t="str">
        <f>formatRow(Tokens!BD$2:BI$2,Tokens!BD587:BI587,2,"files")</f>
        <v>"files":[]</v>
      </c>
      <c r="Z587" s="1"/>
      <c r="AA587" s="1"/>
      <c r="AB587" s="1"/>
      <c r="AC587" s="1" t="str">
        <f>formatRow(Tokens!BJ$2:BK$2,Tokens!BJ587:BK587,0,"collection")</f>
        <v>"collection":{"name":"In Casa",_x000D_
"family":"Calvi On The Rocks"}</v>
      </c>
    </row>
    <row r="588" spans="5:29" ht="14.25" customHeight="1" x14ac:dyDescent="0.25">
      <c r="E588" s="17" t="str">
        <f>IF(Tokens!C588="","",Tokens!C588)</f>
        <v>In Casa #425</v>
      </c>
      <c r="F588"/>
      <c r="G588"/>
      <c r="H588"/>
      <c r="I588"/>
      <c r="J588"/>
      <c r="M588"/>
      <c r="N588"/>
      <c r="O588" s="15" t="str">
        <f t="shared" si="18"/>
        <v>_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/>
      </c>
      <c r="Q588" s="2"/>
      <c r="R588" s="2"/>
      <c r="S588" s="11"/>
      <c r="T588" s="1" t="str">
        <f>"owner=" &amp; Tokens!BS588 &amp; "&amp;filename_for_metadata=" &amp; Tokens!BT588 &amp; "&amp;offchaindata_platform=" &amp; $B$17 &amp; "&amp;keyfile=" &amp; $B$5 &amp; "&amp;network=" &amp; LOWER($B$8) &amp; "&amp;repository=" &amp; $B$18</f>
        <v>owner=thomas&amp;filename_for_metadata=InCasa_COR22D425&amp;offchaindata_platform=MongoDB&amp;keyfile=Paul&amp;network=jsonfiles&amp;repository=test</v>
      </c>
      <c r="U588" s="1" t="str">
        <f t="shared" si="19"/>
        <v>{"name":"In Casa #425",_x000D_
"symbol":"COR22D425",_x000D_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8" s="1" t="str">
        <f>formatRow(Tokens!C$2:I$2,Tokens!C588:I588)</f>
        <v>"name":"In Casa #425",_x000D_
"symbol":"COR22D425",_x000D_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8" s="1" t="str">
        <f>formatRow(Tokens!J$2:AV$2,Tokens!J588:AV588,2,"attributes")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8" s="1" t="str">
        <f>formatRow(Tokens!AX$2:BC$2,Tokens!AX588:BC588,2,"creators")</f>
        <v>"creators":[{"address":"paul",_x000D_
"share":10},{"address":"sophie",_x000D_
"share":90}]</v>
      </c>
      <c r="Y588" s="1" t="str">
        <f>formatRow(Tokens!BD$2:BI$2,Tokens!BD588:BI588,2,"files")</f>
        <v>"files":[]</v>
      </c>
      <c r="Z588" s="1"/>
      <c r="AA588" s="1"/>
      <c r="AB588" s="1"/>
      <c r="AC588" s="1" t="str">
        <f>formatRow(Tokens!BJ$2:BK$2,Tokens!BJ588:BK588,0,"collection")</f>
        <v>"collection":{"name":"In Casa",_x000D_
"family":"Calvi On The Rocks"}</v>
      </c>
    </row>
    <row r="589" spans="5:29" ht="14.25" customHeight="1" x14ac:dyDescent="0.25">
      <c r="E589" s="17" t="str">
        <f>IF(Tokens!C589="","",Tokens!C589)</f>
        <v>In Casa #426</v>
      </c>
      <c r="F589"/>
      <c r="G589"/>
      <c r="H589"/>
      <c r="I589"/>
      <c r="J589"/>
      <c r="M589"/>
      <c r="N589"/>
      <c r="O589" s="15" t="str">
        <f t="shared" si="18"/>
        <v>_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/>
      </c>
      <c r="Q589" s="2"/>
      <c r="R589" s="2"/>
      <c r="S589" s="11"/>
      <c r="T589" s="1" t="str">
        <f>"owner=" &amp; Tokens!BS589 &amp; "&amp;filename_for_metadata=" &amp; Tokens!BT589 &amp; "&amp;offchaindata_platform=" &amp; $B$17 &amp; "&amp;keyfile=" &amp; $B$5 &amp; "&amp;network=" &amp; LOWER($B$8) &amp; "&amp;repository=" &amp; $B$18</f>
        <v>owner=thomas&amp;filename_for_metadata=InCasa_COR22D426&amp;offchaindata_platform=MongoDB&amp;keyfile=Paul&amp;network=jsonfiles&amp;repository=test</v>
      </c>
      <c r="U589" s="1" t="str">
        <f t="shared" si="19"/>
        <v>{"name":"In Casa #426",_x000D_
"symbol":"COR22D426",_x000D_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89" s="1" t="str">
        <f>formatRow(Tokens!C$2:I$2,Tokens!C589:I589)</f>
        <v>"name":"In Casa #426",_x000D_
"symbol":"COR22D426",_x000D_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89" s="1" t="str">
        <f>formatRow(Tokens!J$2:AV$2,Tokens!J589:AV589,2,"attributes")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89" s="1" t="str">
        <f>formatRow(Tokens!AX$2:BC$2,Tokens!AX589:BC589,2,"creators")</f>
        <v>"creators":[{"address":"paul",_x000D_
"share":10},{"address":"sophie",_x000D_
"share":90}]</v>
      </c>
      <c r="Y589" s="1" t="str">
        <f>formatRow(Tokens!BD$2:BI$2,Tokens!BD589:BI589,2,"files")</f>
        <v>"files":[]</v>
      </c>
      <c r="Z589" s="1"/>
      <c r="AA589" s="1"/>
      <c r="AB589" s="1"/>
      <c r="AC589" s="1" t="str">
        <f>formatRow(Tokens!BJ$2:BK$2,Tokens!BJ589:BK589,0,"collection")</f>
        <v>"collection":{"name":"In Casa",_x000D_
"family":"Calvi On The Rocks"}</v>
      </c>
    </row>
    <row r="590" spans="5:29" ht="14.25" customHeight="1" x14ac:dyDescent="0.25">
      <c r="E590" s="17" t="str">
        <f>IF(Tokens!C590="","",Tokens!C590)</f>
        <v>In Casa #427</v>
      </c>
      <c r="F590"/>
      <c r="G590"/>
      <c r="H590"/>
      <c r="I590"/>
      <c r="J590"/>
      <c r="M590"/>
      <c r="N590"/>
      <c r="O590" s="15" t="str">
        <f t="shared" si="18"/>
        <v>_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/>
      </c>
      <c r="Q590" s="2"/>
      <c r="R590" s="2"/>
      <c r="S590" s="11"/>
      <c r="T590" s="1" t="str">
        <f>"owner=" &amp; Tokens!BS590 &amp; "&amp;filename_for_metadata=" &amp; Tokens!BT590 &amp; "&amp;offchaindata_platform=" &amp; $B$17 &amp; "&amp;keyfile=" &amp; $B$5 &amp; "&amp;network=" &amp; LOWER($B$8) &amp; "&amp;repository=" &amp; $B$18</f>
        <v>owner=thomas&amp;filename_for_metadata=InCasa_COR22D427&amp;offchaindata_platform=MongoDB&amp;keyfile=Paul&amp;network=jsonfiles&amp;repository=test</v>
      </c>
      <c r="U590" s="1" t="str">
        <f t="shared" si="19"/>
        <v>{"name":"In Casa #427",_x000D_
"symbol":"COR22D427",_x000D_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0" s="1" t="str">
        <f>formatRow(Tokens!C$2:I$2,Tokens!C590:I590)</f>
        <v>"name":"In Casa #427",_x000D_
"symbol":"COR22D427",_x000D_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0" s="1" t="str">
        <f>formatRow(Tokens!J$2:AV$2,Tokens!J590:AV590,2,"attributes")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0" s="1" t="str">
        <f>formatRow(Tokens!AX$2:BC$2,Tokens!AX590:BC590,2,"creators")</f>
        <v>"creators":[{"address":"paul",_x000D_
"share":10},{"address":"sophie",_x000D_
"share":90}]</v>
      </c>
      <c r="Y590" s="1" t="str">
        <f>formatRow(Tokens!BD$2:BI$2,Tokens!BD590:BI590,2,"files")</f>
        <v>"files":[]</v>
      </c>
      <c r="Z590" s="1"/>
      <c r="AA590" s="1"/>
      <c r="AB590" s="1"/>
      <c r="AC590" s="1" t="str">
        <f>formatRow(Tokens!BJ$2:BK$2,Tokens!BJ590:BK590,0,"collection")</f>
        <v>"collection":{"name":"In Casa",_x000D_
"family":"Calvi On The Rocks"}</v>
      </c>
    </row>
    <row r="591" spans="5:29" ht="14.25" customHeight="1" x14ac:dyDescent="0.25">
      <c r="E591" s="17" t="str">
        <f>IF(Tokens!C591="","",Tokens!C591)</f>
        <v>In Casa #428</v>
      </c>
      <c r="F591"/>
      <c r="G591"/>
      <c r="H591"/>
      <c r="I591"/>
      <c r="J591"/>
      <c r="M591"/>
      <c r="N591"/>
      <c r="O591" s="15" t="str">
        <f t="shared" si="18"/>
        <v>_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/>
      </c>
      <c r="Q591" s="2"/>
      <c r="R591" s="2"/>
      <c r="S591" s="11"/>
      <c r="T591" s="1" t="str">
        <f>"owner=" &amp; Tokens!BS591 &amp; "&amp;filename_for_metadata=" &amp; Tokens!BT591 &amp; "&amp;offchaindata_platform=" &amp; $B$17 &amp; "&amp;keyfile=" &amp; $B$5 &amp; "&amp;network=" &amp; LOWER($B$8) &amp; "&amp;repository=" &amp; $B$18</f>
        <v>owner=thomas&amp;filename_for_metadata=InCasa_COR22D428&amp;offchaindata_platform=MongoDB&amp;keyfile=Paul&amp;network=jsonfiles&amp;repository=test</v>
      </c>
      <c r="U591" s="1" t="str">
        <f t="shared" si="19"/>
        <v>{"name":"In Casa #428",_x000D_
"symbol":"COR22D428",_x000D_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1" s="1" t="str">
        <f>formatRow(Tokens!C$2:I$2,Tokens!C591:I591)</f>
        <v>"name":"In Casa #428",_x000D_
"symbol":"COR22D428",_x000D_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1" s="1" t="str">
        <f>formatRow(Tokens!J$2:AV$2,Tokens!J591:AV591,2,"attributes")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1" s="1" t="str">
        <f>formatRow(Tokens!AX$2:BC$2,Tokens!AX591:BC591,2,"creators")</f>
        <v>"creators":[{"address":"paul",_x000D_
"share":10},{"address":"sophie",_x000D_
"share":90}]</v>
      </c>
      <c r="Y591" s="1" t="str">
        <f>formatRow(Tokens!BD$2:BI$2,Tokens!BD591:BI591,2,"files")</f>
        <v>"files":[]</v>
      </c>
      <c r="Z591" s="1"/>
      <c r="AA591" s="1"/>
      <c r="AB591" s="1"/>
      <c r="AC591" s="1" t="str">
        <f>formatRow(Tokens!BJ$2:BK$2,Tokens!BJ591:BK591,0,"collection")</f>
        <v>"collection":{"name":"In Casa",_x000D_
"family":"Calvi On The Rocks"}</v>
      </c>
    </row>
    <row r="592" spans="5:29" ht="14.25" customHeight="1" x14ac:dyDescent="0.25">
      <c r="E592" s="17" t="str">
        <f>IF(Tokens!C592="","",Tokens!C592)</f>
        <v>In Casa #429</v>
      </c>
      <c r="F592"/>
      <c r="G592"/>
      <c r="H592"/>
      <c r="I592"/>
      <c r="J592"/>
      <c r="M592"/>
      <c r="N592"/>
      <c r="O592" s="15" t="str">
        <f t="shared" si="18"/>
        <v>_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/>
      </c>
      <c r="Q592" s="2"/>
      <c r="R592" s="2"/>
      <c r="S592" s="11"/>
      <c r="T592" s="1" t="str">
        <f>"owner=" &amp; Tokens!BS592 &amp; "&amp;filename_for_metadata=" &amp; Tokens!BT592 &amp; "&amp;offchaindata_platform=" &amp; $B$17 &amp; "&amp;keyfile=" &amp; $B$5 &amp; "&amp;network=" &amp; LOWER($B$8) &amp; "&amp;repository=" &amp; $B$18</f>
        <v>owner=thomas&amp;filename_for_metadata=InCasa_COR22D429&amp;offchaindata_platform=MongoDB&amp;keyfile=Paul&amp;network=jsonfiles&amp;repository=test</v>
      </c>
      <c r="U592" s="1" t="str">
        <f t="shared" si="19"/>
        <v>{"name":"In Casa #429",_x000D_
"symbol":"COR22D429",_x000D_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2" s="1" t="str">
        <f>formatRow(Tokens!C$2:I$2,Tokens!C592:I592)</f>
        <v>"name":"In Casa #429",_x000D_
"symbol":"COR22D429",_x000D_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2" s="1" t="str">
        <f>formatRow(Tokens!J$2:AV$2,Tokens!J592:AV592,2,"attributes")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2" s="1" t="str">
        <f>formatRow(Tokens!AX$2:BC$2,Tokens!AX592:BC592,2,"creators")</f>
        <v>"creators":[{"address":"paul",_x000D_
"share":10},{"address":"sophie",_x000D_
"share":90}]</v>
      </c>
      <c r="Y592" s="1" t="str">
        <f>formatRow(Tokens!BD$2:BI$2,Tokens!BD592:BI592,2,"files")</f>
        <v>"files":[]</v>
      </c>
      <c r="Z592" s="1"/>
      <c r="AA592" s="1"/>
      <c r="AB592" s="1"/>
      <c r="AC592" s="1" t="str">
        <f>formatRow(Tokens!BJ$2:BK$2,Tokens!BJ592:BK592,0,"collection")</f>
        <v>"collection":{"name":"In Casa",_x000D_
"family":"Calvi On The Rocks"}</v>
      </c>
    </row>
    <row r="593" spans="5:29" ht="14.25" customHeight="1" x14ac:dyDescent="0.25">
      <c r="E593" s="17" t="str">
        <f>IF(Tokens!C593="","",Tokens!C593)</f>
        <v>In Casa #430</v>
      </c>
      <c r="F593"/>
      <c r="G593"/>
      <c r="H593"/>
      <c r="I593"/>
      <c r="J593"/>
      <c r="M593"/>
      <c r="N593"/>
      <c r="O593" s="15" t="str">
        <f t="shared" si="18"/>
        <v>_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/>
      </c>
      <c r="Q593" s="2"/>
      <c r="R593" s="2"/>
      <c r="S593" s="11"/>
      <c r="T593" s="1" t="str">
        <f>"owner=" &amp; Tokens!BS593 &amp; "&amp;filename_for_metadata=" &amp; Tokens!BT593 &amp; "&amp;offchaindata_platform=" &amp; $B$17 &amp; "&amp;keyfile=" &amp; $B$5 &amp; "&amp;network=" &amp; LOWER($B$8) &amp; "&amp;repository=" &amp; $B$18</f>
        <v>owner=thomas&amp;filename_for_metadata=InCasa_COR22D430&amp;offchaindata_platform=MongoDB&amp;keyfile=Paul&amp;network=jsonfiles&amp;repository=test</v>
      </c>
      <c r="U593" s="1" t="str">
        <f t="shared" si="19"/>
        <v>{"name":"In Casa #430",_x000D_
"symbol":"COR22D430",_x000D_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3" s="1" t="str">
        <f>formatRow(Tokens!C$2:I$2,Tokens!C593:I593)</f>
        <v>"name":"In Casa #430",_x000D_
"symbol":"COR22D430",_x000D_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3" s="1" t="str">
        <f>formatRow(Tokens!J$2:AV$2,Tokens!J593:AV593,2,"attributes")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3" s="1" t="str">
        <f>formatRow(Tokens!AX$2:BC$2,Tokens!AX593:BC593,2,"creators")</f>
        <v>"creators":[{"address":"paul",_x000D_
"share":10},{"address":"sophie",_x000D_
"share":90}]</v>
      </c>
      <c r="Y593" s="1" t="str">
        <f>formatRow(Tokens!BD$2:BI$2,Tokens!BD593:BI593,2,"files")</f>
        <v>"files":[]</v>
      </c>
      <c r="Z593" s="1"/>
      <c r="AA593" s="1"/>
      <c r="AB593" s="1"/>
      <c r="AC593" s="1" t="str">
        <f>formatRow(Tokens!BJ$2:BK$2,Tokens!BJ593:BK593,0,"collection")</f>
        <v>"collection":{"name":"In Casa",_x000D_
"family":"Calvi On The Rocks"}</v>
      </c>
    </row>
    <row r="594" spans="5:29" ht="14.25" customHeight="1" x14ac:dyDescent="0.25">
      <c r="E594" s="17" t="str">
        <f>IF(Tokens!C594="","",Tokens!C594)</f>
        <v>In Casa #431</v>
      </c>
      <c r="F594"/>
      <c r="G594"/>
      <c r="H594"/>
      <c r="I594"/>
      <c r="J594"/>
      <c r="M594"/>
      <c r="N594"/>
      <c r="O594" s="15" t="str">
        <f t="shared" si="18"/>
        <v>_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/>
      </c>
      <c r="Q594" s="2"/>
      <c r="R594" s="2"/>
      <c r="S594" s="11"/>
      <c r="T594" s="1" t="str">
        <f>"owner=" &amp; Tokens!BS594 &amp; "&amp;filename_for_metadata=" &amp; Tokens!BT594 &amp; "&amp;offchaindata_platform=" &amp; $B$17 &amp; "&amp;keyfile=" &amp; $B$5 &amp; "&amp;network=" &amp; LOWER($B$8) &amp; "&amp;repository=" &amp; $B$18</f>
        <v>owner=thomas&amp;filename_for_metadata=InCasa_COR22D431&amp;offchaindata_platform=MongoDB&amp;keyfile=Paul&amp;network=jsonfiles&amp;repository=test</v>
      </c>
      <c r="U594" s="1" t="str">
        <f t="shared" si="19"/>
        <v>{"name":"In Casa #431",_x000D_
"symbol":"COR22D431",_x000D_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4" s="1" t="str">
        <f>formatRow(Tokens!C$2:I$2,Tokens!C594:I594)</f>
        <v>"name":"In Casa #431",_x000D_
"symbol":"COR22D431",_x000D_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4" s="1" t="str">
        <f>formatRow(Tokens!J$2:AV$2,Tokens!J594:AV594,2,"attributes")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4" s="1" t="str">
        <f>formatRow(Tokens!AX$2:BC$2,Tokens!AX594:BC594,2,"creators")</f>
        <v>"creators":[{"address":"paul",_x000D_
"share":10},{"address":"sophie",_x000D_
"share":90}]</v>
      </c>
      <c r="Y594" s="1" t="str">
        <f>formatRow(Tokens!BD$2:BI$2,Tokens!BD594:BI594,2,"files")</f>
        <v>"files":[]</v>
      </c>
      <c r="Z594" s="1"/>
      <c r="AA594" s="1"/>
      <c r="AB594" s="1"/>
      <c r="AC594" s="1" t="str">
        <f>formatRow(Tokens!BJ$2:BK$2,Tokens!BJ594:BK594,0,"collection")</f>
        <v>"collection":{"name":"In Casa",_x000D_
"family":"Calvi On The Rocks"}</v>
      </c>
    </row>
    <row r="595" spans="5:29" ht="14.25" customHeight="1" x14ac:dyDescent="0.25">
      <c r="E595" s="17" t="str">
        <f>IF(Tokens!C595="","",Tokens!C595)</f>
        <v>In Casa #432</v>
      </c>
      <c r="F595"/>
      <c r="G595"/>
      <c r="H595"/>
      <c r="I595"/>
      <c r="J595"/>
      <c r="M595"/>
      <c r="N595"/>
      <c r="O595" s="15" t="str">
        <f t="shared" si="18"/>
        <v>_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/>
      </c>
      <c r="Q595" s="2"/>
      <c r="R595" s="2"/>
      <c r="S595" s="11"/>
      <c r="T595" s="1" t="str">
        <f>"owner=" &amp; Tokens!BS595 &amp; "&amp;filename_for_metadata=" &amp; Tokens!BT595 &amp; "&amp;offchaindata_platform=" &amp; $B$17 &amp; "&amp;keyfile=" &amp; $B$5 &amp; "&amp;network=" &amp; LOWER($B$8) &amp; "&amp;repository=" &amp; $B$18</f>
        <v>owner=thomas&amp;filename_for_metadata=InCasa_COR22D432&amp;offchaindata_platform=MongoDB&amp;keyfile=Paul&amp;network=jsonfiles&amp;repository=test</v>
      </c>
      <c r="U595" s="1" t="str">
        <f t="shared" si="19"/>
        <v>{"name":"In Casa #432",_x000D_
"symbol":"COR22D432",_x000D_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5" s="1" t="str">
        <f>formatRow(Tokens!C$2:I$2,Tokens!C595:I595)</f>
        <v>"name":"In Casa #432",_x000D_
"symbol":"COR22D432",_x000D_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5" s="1" t="str">
        <f>formatRow(Tokens!J$2:AV$2,Tokens!J595:AV595,2,"attributes")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5" s="1" t="str">
        <f>formatRow(Tokens!AX$2:BC$2,Tokens!AX595:BC595,2,"creators")</f>
        <v>"creators":[{"address":"paul",_x000D_
"share":10},{"address":"sophie",_x000D_
"share":90}]</v>
      </c>
      <c r="Y595" s="1" t="str">
        <f>formatRow(Tokens!BD$2:BI$2,Tokens!BD595:BI595,2,"files")</f>
        <v>"files":[]</v>
      </c>
      <c r="Z595" s="1"/>
      <c r="AA595" s="1"/>
      <c r="AB595" s="1"/>
      <c r="AC595" s="1" t="str">
        <f>formatRow(Tokens!BJ$2:BK$2,Tokens!BJ595:BK595,0,"collection")</f>
        <v>"collection":{"name":"In Casa",_x000D_
"family":"Calvi On The Rocks"}</v>
      </c>
    </row>
    <row r="596" spans="5:29" ht="14.25" customHeight="1" x14ac:dyDescent="0.25">
      <c r="E596" s="17" t="str">
        <f>IF(Tokens!C596="","",Tokens!C596)</f>
        <v>In Casa #433</v>
      </c>
      <c r="F596"/>
      <c r="G596"/>
      <c r="H596"/>
      <c r="I596"/>
      <c r="J596"/>
      <c r="M596"/>
      <c r="N596"/>
      <c r="O596" s="15" t="str">
        <f t="shared" si="18"/>
        <v>_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/>
      </c>
      <c r="Q596" s="2"/>
      <c r="R596" s="2"/>
      <c r="S596" s="11"/>
      <c r="T596" s="1" t="str">
        <f>"owner=" &amp; Tokens!BS596 &amp; "&amp;filename_for_metadata=" &amp; Tokens!BT596 &amp; "&amp;offchaindata_platform=" &amp; $B$17 &amp; "&amp;keyfile=" &amp; $B$5 &amp; "&amp;network=" &amp; LOWER($B$8) &amp; "&amp;repository=" &amp; $B$18</f>
        <v>owner=thomas&amp;filename_for_metadata=InCasa_COR22D433&amp;offchaindata_platform=MongoDB&amp;keyfile=Paul&amp;network=jsonfiles&amp;repository=test</v>
      </c>
      <c r="U596" s="1" t="str">
        <f t="shared" si="19"/>
        <v>{"name":"In Casa #433",_x000D_
"symbol":"COR22D433",_x000D_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6" s="1" t="str">
        <f>formatRow(Tokens!C$2:I$2,Tokens!C596:I596)</f>
        <v>"name":"In Casa #433",_x000D_
"symbol":"COR22D433",_x000D_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6" s="1" t="str">
        <f>formatRow(Tokens!J$2:AV$2,Tokens!J596:AV596,2,"attributes")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6" s="1" t="str">
        <f>formatRow(Tokens!AX$2:BC$2,Tokens!AX596:BC596,2,"creators")</f>
        <v>"creators":[{"address":"paul",_x000D_
"share":10},{"address":"sophie",_x000D_
"share":90}]</v>
      </c>
      <c r="Y596" s="1" t="str">
        <f>formatRow(Tokens!BD$2:BI$2,Tokens!BD596:BI596,2,"files")</f>
        <v>"files":[]</v>
      </c>
      <c r="Z596" s="1"/>
      <c r="AA596" s="1"/>
      <c r="AB596" s="1"/>
      <c r="AC596" s="1" t="str">
        <f>formatRow(Tokens!BJ$2:BK$2,Tokens!BJ596:BK596,0,"collection")</f>
        <v>"collection":{"name":"In Casa",_x000D_
"family":"Calvi On The Rocks"}</v>
      </c>
    </row>
    <row r="597" spans="5:29" ht="14.25" customHeight="1" x14ac:dyDescent="0.25">
      <c r="E597" s="17" t="str">
        <f>IF(Tokens!C597="","",Tokens!C597)</f>
        <v>In Casa #434</v>
      </c>
      <c r="F597"/>
      <c r="G597"/>
      <c r="H597"/>
      <c r="I597"/>
      <c r="J597"/>
      <c r="M597"/>
      <c r="N597"/>
      <c r="O597" s="15" t="str">
        <f t="shared" si="18"/>
        <v>_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/>
      </c>
      <c r="Q597" s="2"/>
      <c r="R597" s="2"/>
      <c r="S597" s="11"/>
      <c r="T597" s="1" t="str">
        <f>"owner=" &amp; Tokens!BS597 &amp; "&amp;filename_for_metadata=" &amp; Tokens!BT597 &amp; "&amp;offchaindata_platform=" &amp; $B$17 &amp; "&amp;keyfile=" &amp; $B$5 &amp; "&amp;network=" &amp; LOWER($B$8) &amp; "&amp;repository=" &amp; $B$18</f>
        <v>owner=thomas&amp;filename_for_metadata=InCasa_COR22D434&amp;offchaindata_platform=MongoDB&amp;keyfile=Paul&amp;network=jsonfiles&amp;repository=test</v>
      </c>
      <c r="U597" s="1" t="str">
        <f t="shared" si="19"/>
        <v>{"name":"In Casa #434",_x000D_
"symbol":"COR22D434",_x000D_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7" s="1" t="str">
        <f>formatRow(Tokens!C$2:I$2,Tokens!C597:I597)</f>
        <v>"name":"In Casa #434",_x000D_
"symbol":"COR22D434",_x000D_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7" s="1" t="str">
        <f>formatRow(Tokens!J$2:AV$2,Tokens!J597:AV597,2,"attributes")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7" s="1" t="str">
        <f>formatRow(Tokens!AX$2:BC$2,Tokens!AX597:BC597,2,"creators")</f>
        <v>"creators":[{"address":"paul",_x000D_
"share":10},{"address":"sophie",_x000D_
"share":90}]</v>
      </c>
      <c r="Y597" s="1" t="str">
        <f>formatRow(Tokens!BD$2:BI$2,Tokens!BD597:BI597,2,"files")</f>
        <v>"files":[]</v>
      </c>
      <c r="Z597" s="1"/>
      <c r="AA597" s="1"/>
      <c r="AB597" s="1"/>
      <c r="AC597" s="1" t="str">
        <f>formatRow(Tokens!BJ$2:BK$2,Tokens!BJ597:BK597,0,"collection")</f>
        <v>"collection":{"name":"In Casa",_x000D_
"family":"Calvi On The Rocks"}</v>
      </c>
    </row>
    <row r="598" spans="5:29" ht="14.25" customHeight="1" x14ac:dyDescent="0.25">
      <c r="E598" s="17" t="str">
        <f>IF(Tokens!C598="","",Tokens!C598)</f>
        <v>In Casa #435</v>
      </c>
      <c r="F598"/>
      <c r="G598"/>
      <c r="H598"/>
      <c r="I598"/>
      <c r="J598"/>
      <c r="M598"/>
      <c r="N598"/>
      <c r="O598" s="15" t="str">
        <f t="shared" si="18"/>
        <v>_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/>
      </c>
      <c r="Q598" s="2"/>
      <c r="R598" s="2"/>
      <c r="S598" s="11"/>
      <c r="T598" s="1" t="str">
        <f>"owner=" &amp; Tokens!BS598 &amp; "&amp;filename_for_metadata=" &amp; Tokens!BT598 &amp; "&amp;offchaindata_platform=" &amp; $B$17 &amp; "&amp;keyfile=" &amp; $B$5 &amp; "&amp;network=" &amp; LOWER($B$8) &amp; "&amp;repository=" &amp; $B$18</f>
        <v>owner=thomas&amp;filename_for_metadata=InCasa_COR22D435&amp;offchaindata_platform=MongoDB&amp;keyfile=Paul&amp;network=jsonfiles&amp;repository=test</v>
      </c>
      <c r="U598" s="1" t="str">
        <f t="shared" si="19"/>
        <v>{"name":"In Casa #435",_x000D_
"symbol":"COR22D435",_x000D_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8" s="1" t="str">
        <f>formatRow(Tokens!C$2:I$2,Tokens!C598:I598)</f>
        <v>"name":"In Casa #435",_x000D_
"symbol":"COR22D435",_x000D_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8" s="1" t="str">
        <f>formatRow(Tokens!J$2:AV$2,Tokens!J598:AV598,2,"attributes")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8" s="1" t="str">
        <f>formatRow(Tokens!AX$2:BC$2,Tokens!AX598:BC598,2,"creators")</f>
        <v>"creators":[{"address":"paul",_x000D_
"share":10},{"address":"sophie",_x000D_
"share":90}]</v>
      </c>
      <c r="Y598" s="1" t="str">
        <f>formatRow(Tokens!BD$2:BI$2,Tokens!BD598:BI598,2,"files")</f>
        <v>"files":[]</v>
      </c>
      <c r="Z598" s="1"/>
      <c r="AA598" s="1"/>
      <c r="AB598" s="1"/>
      <c r="AC598" s="1" t="str">
        <f>formatRow(Tokens!BJ$2:BK$2,Tokens!BJ598:BK598,0,"collection")</f>
        <v>"collection":{"name":"In Casa",_x000D_
"family":"Calvi On The Rocks"}</v>
      </c>
    </row>
    <row r="599" spans="5:29" ht="14.25" customHeight="1" x14ac:dyDescent="0.25">
      <c r="E599" s="17" t="str">
        <f>IF(Tokens!C599="","",Tokens!C599)</f>
        <v>In Casa #436</v>
      </c>
      <c r="F599"/>
      <c r="G599"/>
      <c r="H599"/>
      <c r="I599"/>
      <c r="J599"/>
      <c r="M599"/>
      <c r="N599"/>
      <c r="O599" s="15" t="str">
        <f t="shared" si="18"/>
        <v>_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/>
      </c>
      <c r="Q599" s="2"/>
      <c r="R599" s="2"/>
      <c r="S599" s="11"/>
      <c r="T599" s="1" t="str">
        <f>"owner=" &amp; Tokens!BS599 &amp; "&amp;filename_for_metadata=" &amp; Tokens!BT599 &amp; "&amp;offchaindata_platform=" &amp; $B$17 &amp; "&amp;keyfile=" &amp; $B$5 &amp; "&amp;network=" &amp; LOWER($B$8) &amp; "&amp;repository=" &amp; $B$18</f>
        <v>owner=thomas&amp;filename_for_metadata=InCasa_COR22D436&amp;offchaindata_platform=MongoDB&amp;keyfile=Paul&amp;network=jsonfiles&amp;repository=test</v>
      </c>
      <c r="U599" s="1" t="str">
        <f t="shared" si="19"/>
        <v>{"name":"In Casa #436",_x000D_
"symbol":"COR22D436",_x000D_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599" s="1" t="str">
        <f>formatRow(Tokens!C$2:I$2,Tokens!C599:I599)</f>
        <v>"name":"In Casa #436",_x000D_
"symbol":"COR22D436",_x000D_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599" s="1" t="str">
        <f>formatRow(Tokens!J$2:AV$2,Tokens!J599:AV599,2,"attributes")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599" s="1" t="str">
        <f>formatRow(Tokens!AX$2:BC$2,Tokens!AX599:BC599,2,"creators")</f>
        <v>"creators":[{"address":"paul",_x000D_
"share":10},{"address":"sophie",_x000D_
"share":90}]</v>
      </c>
      <c r="Y599" s="1" t="str">
        <f>formatRow(Tokens!BD$2:BI$2,Tokens!BD599:BI599,2,"files")</f>
        <v>"files":[]</v>
      </c>
      <c r="Z599" s="1"/>
      <c r="AA599" s="1"/>
      <c r="AB599" s="1"/>
      <c r="AC599" s="1" t="str">
        <f>formatRow(Tokens!BJ$2:BK$2,Tokens!BJ599:BK599,0,"collection")</f>
        <v>"collection":{"name":"In Casa",_x000D_
"family":"Calvi On The Rocks"}</v>
      </c>
    </row>
    <row r="600" spans="5:29" ht="14.25" customHeight="1" x14ac:dyDescent="0.25">
      <c r="E600" s="17" t="str">
        <f>IF(Tokens!C600="","",Tokens!C600)</f>
        <v>In Casa #437</v>
      </c>
      <c r="F600"/>
      <c r="G600"/>
      <c r="H600"/>
      <c r="I600"/>
      <c r="J600"/>
      <c r="M600"/>
      <c r="N600"/>
      <c r="O600" s="15" t="str">
        <f t="shared" si="18"/>
        <v>_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/>
      </c>
      <c r="Q600" s="2"/>
      <c r="R600" s="2"/>
      <c r="S600" s="11"/>
      <c r="T600" s="1" t="str">
        <f>"owner=" &amp; Tokens!BS600 &amp; "&amp;filename_for_metadata=" &amp; Tokens!BT600 &amp; "&amp;offchaindata_platform=" &amp; $B$17 &amp; "&amp;keyfile=" &amp; $B$5 &amp; "&amp;network=" &amp; LOWER($B$8) &amp; "&amp;repository=" &amp; $B$18</f>
        <v>owner=thomas&amp;filename_for_metadata=InCasa_COR22D437&amp;offchaindata_platform=MongoDB&amp;keyfile=Paul&amp;network=jsonfiles&amp;repository=test</v>
      </c>
      <c r="U600" s="1" t="str">
        <f t="shared" si="19"/>
        <v>{"name":"In Casa #437",_x000D_
"symbol":"COR22D437",_x000D_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0" s="1" t="str">
        <f>formatRow(Tokens!C$2:I$2,Tokens!C600:I600)</f>
        <v>"name":"In Casa #437",_x000D_
"symbol":"COR22D437",_x000D_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0" s="1" t="str">
        <f>formatRow(Tokens!J$2:AV$2,Tokens!J600:AV600,2,"attributes")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0" s="1" t="str">
        <f>formatRow(Tokens!AX$2:BC$2,Tokens!AX600:BC600,2,"creators")</f>
        <v>"creators":[{"address":"paul",_x000D_
"share":10},{"address":"sophie",_x000D_
"share":90}]</v>
      </c>
      <c r="Y600" s="1" t="str">
        <f>formatRow(Tokens!BD$2:BI$2,Tokens!BD600:BI600,2,"files")</f>
        <v>"files":[]</v>
      </c>
      <c r="Z600" s="1"/>
      <c r="AA600" s="1"/>
      <c r="AB600" s="1"/>
      <c r="AC600" s="1" t="str">
        <f>formatRow(Tokens!BJ$2:BK$2,Tokens!BJ600:BK600,0,"collection")</f>
        <v>"collection":{"name":"In Casa",_x000D_
"family":"Calvi On The Rocks"}</v>
      </c>
    </row>
    <row r="601" spans="5:29" ht="14.25" customHeight="1" x14ac:dyDescent="0.25">
      <c r="E601" s="17" t="str">
        <f>IF(Tokens!C601="","",Tokens!C601)</f>
        <v>In Casa #438</v>
      </c>
      <c r="F601"/>
      <c r="G601"/>
      <c r="H601"/>
      <c r="I601"/>
      <c r="J601"/>
      <c r="M601"/>
      <c r="N601"/>
      <c r="O601" s="15" t="str">
        <f t="shared" si="18"/>
        <v>_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/>
      </c>
      <c r="Q601" s="2"/>
      <c r="R601" s="2"/>
      <c r="S601" s="11"/>
      <c r="T601" s="1" t="str">
        <f>"owner=" &amp; Tokens!BS601 &amp; "&amp;filename_for_metadata=" &amp; Tokens!BT601 &amp; "&amp;offchaindata_platform=" &amp; $B$17 &amp; "&amp;keyfile=" &amp; $B$5 &amp; "&amp;network=" &amp; LOWER($B$8) &amp; "&amp;repository=" &amp; $B$18</f>
        <v>owner=thomas&amp;filename_for_metadata=InCasa_COR22D438&amp;offchaindata_platform=MongoDB&amp;keyfile=Paul&amp;network=jsonfiles&amp;repository=test</v>
      </c>
      <c r="U601" s="1" t="str">
        <f t="shared" si="19"/>
        <v>{"name":"In Casa #438",_x000D_
"symbol":"COR22D438",_x000D_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1" s="1" t="str">
        <f>formatRow(Tokens!C$2:I$2,Tokens!C601:I601)</f>
        <v>"name":"In Casa #438",_x000D_
"symbol":"COR22D438",_x000D_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1" s="1" t="str">
        <f>formatRow(Tokens!J$2:AV$2,Tokens!J601:AV601,2,"attributes")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1" s="1" t="str">
        <f>formatRow(Tokens!AX$2:BC$2,Tokens!AX601:BC601,2,"creators")</f>
        <v>"creators":[{"address":"paul",_x000D_
"share":10},{"address":"sophie",_x000D_
"share":90}]</v>
      </c>
      <c r="Y601" s="1" t="str">
        <f>formatRow(Tokens!BD$2:BI$2,Tokens!BD601:BI601,2,"files")</f>
        <v>"files":[]</v>
      </c>
      <c r="Z601" s="1"/>
      <c r="AA601" s="1"/>
      <c r="AB601" s="1"/>
      <c r="AC601" s="1" t="str">
        <f>formatRow(Tokens!BJ$2:BK$2,Tokens!BJ601:BK601,0,"collection")</f>
        <v>"collection":{"name":"In Casa",_x000D_
"family":"Calvi On The Rocks"}</v>
      </c>
    </row>
    <row r="602" spans="5:29" ht="14.25" customHeight="1" x14ac:dyDescent="0.25">
      <c r="E602" s="17" t="str">
        <f>IF(Tokens!C602="","",Tokens!C602)</f>
        <v>In Casa #439</v>
      </c>
      <c r="F602"/>
      <c r="G602"/>
      <c r="H602"/>
      <c r="I602"/>
      <c r="J602"/>
      <c r="M602"/>
      <c r="N602"/>
      <c r="O602" s="15" t="str">
        <f t="shared" si="18"/>
        <v>_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/>
      </c>
      <c r="Q602" s="2"/>
      <c r="R602" s="2"/>
      <c r="S602" s="11"/>
      <c r="T602" s="1" t="str">
        <f>"owner=" &amp; Tokens!BS602 &amp; "&amp;filename_for_metadata=" &amp; Tokens!BT602 &amp; "&amp;offchaindata_platform=" &amp; $B$17 &amp; "&amp;keyfile=" &amp; $B$5 &amp; "&amp;network=" &amp; LOWER($B$8) &amp; "&amp;repository=" &amp; $B$18</f>
        <v>owner=thomas&amp;filename_for_metadata=InCasa_COR22D439&amp;offchaindata_platform=MongoDB&amp;keyfile=Paul&amp;network=jsonfiles&amp;repository=test</v>
      </c>
      <c r="U602" s="1" t="str">
        <f t="shared" si="19"/>
        <v>{"name":"In Casa #439",_x000D_
"symbol":"COR22D439",_x000D_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2" s="1" t="str">
        <f>formatRow(Tokens!C$2:I$2,Tokens!C602:I602)</f>
        <v>"name":"In Casa #439",_x000D_
"symbol":"COR22D439",_x000D_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2" s="1" t="str">
        <f>formatRow(Tokens!J$2:AV$2,Tokens!J602:AV602,2,"attributes")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2" s="1" t="str">
        <f>formatRow(Tokens!AX$2:BC$2,Tokens!AX602:BC602,2,"creators")</f>
        <v>"creators":[{"address":"paul",_x000D_
"share":10},{"address":"sophie",_x000D_
"share":90}]</v>
      </c>
      <c r="Y602" s="1" t="str">
        <f>formatRow(Tokens!BD$2:BI$2,Tokens!BD602:BI602,2,"files")</f>
        <v>"files":[]</v>
      </c>
      <c r="Z602" s="1"/>
      <c r="AA602" s="1"/>
      <c r="AB602" s="1"/>
      <c r="AC602" s="1" t="str">
        <f>formatRow(Tokens!BJ$2:BK$2,Tokens!BJ602:BK602,0,"collection")</f>
        <v>"collection":{"name":"In Casa",_x000D_
"family":"Calvi On The Rocks"}</v>
      </c>
    </row>
    <row r="603" spans="5:29" ht="14.25" customHeight="1" x14ac:dyDescent="0.25">
      <c r="E603" s="17" t="str">
        <f>IF(Tokens!C603="","",Tokens!C603)</f>
        <v>In Casa #440</v>
      </c>
      <c r="F603"/>
      <c r="G603"/>
      <c r="H603"/>
      <c r="I603"/>
      <c r="J603"/>
      <c r="M603"/>
      <c r="N603"/>
      <c r="O603" s="15" t="str">
        <f t="shared" si="18"/>
        <v>_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/>
      </c>
      <c r="Q603" s="2"/>
      <c r="R603" s="2"/>
      <c r="S603" s="11"/>
      <c r="T603" s="1" t="str">
        <f>"owner=" &amp; Tokens!BS603 &amp; "&amp;filename_for_metadata=" &amp; Tokens!BT603 &amp; "&amp;offchaindata_platform=" &amp; $B$17 &amp; "&amp;keyfile=" &amp; $B$5 &amp; "&amp;network=" &amp; LOWER($B$8) &amp; "&amp;repository=" &amp; $B$18</f>
        <v>owner=thomas&amp;filename_for_metadata=InCasa_COR22D440&amp;offchaindata_platform=MongoDB&amp;keyfile=Paul&amp;network=jsonfiles&amp;repository=test</v>
      </c>
      <c r="U603" s="1" t="str">
        <f t="shared" si="19"/>
        <v>{"name":"In Casa #440",_x000D_
"symbol":"COR22D440",_x000D_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3" s="1" t="str">
        <f>formatRow(Tokens!C$2:I$2,Tokens!C603:I603)</f>
        <v>"name":"In Casa #440",_x000D_
"symbol":"COR22D440",_x000D_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3" s="1" t="str">
        <f>formatRow(Tokens!J$2:AV$2,Tokens!J603:AV603,2,"attributes")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3" s="1" t="str">
        <f>formatRow(Tokens!AX$2:BC$2,Tokens!AX603:BC603,2,"creators")</f>
        <v>"creators":[{"address":"paul",_x000D_
"share":10},{"address":"sophie",_x000D_
"share":90}]</v>
      </c>
      <c r="Y603" s="1" t="str">
        <f>formatRow(Tokens!BD$2:BI$2,Tokens!BD603:BI603,2,"files")</f>
        <v>"files":[]</v>
      </c>
      <c r="Z603" s="1"/>
      <c r="AA603" s="1"/>
      <c r="AB603" s="1"/>
      <c r="AC603" s="1" t="str">
        <f>formatRow(Tokens!BJ$2:BK$2,Tokens!BJ603:BK603,0,"collection")</f>
        <v>"collection":{"name":"In Casa",_x000D_
"family":"Calvi On The Rocks"}</v>
      </c>
    </row>
    <row r="604" spans="5:29" ht="14.25" customHeight="1" x14ac:dyDescent="0.25">
      <c r="E604" s="17" t="str">
        <f>IF(Tokens!C604="","",Tokens!C604)</f>
        <v>In Casa #441</v>
      </c>
      <c r="F604"/>
      <c r="G604"/>
      <c r="H604"/>
      <c r="I604"/>
      <c r="J604"/>
      <c r="M604"/>
      <c r="N604"/>
      <c r="O604" s="15" t="str">
        <f t="shared" si="18"/>
        <v>_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/>
      </c>
      <c r="Q604" s="2"/>
      <c r="R604" s="2"/>
      <c r="S604" s="11"/>
      <c r="T604" s="1" t="str">
        <f>"owner=" &amp; Tokens!BS604 &amp; "&amp;filename_for_metadata=" &amp; Tokens!BT604 &amp; "&amp;offchaindata_platform=" &amp; $B$17 &amp; "&amp;keyfile=" &amp; $B$5 &amp; "&amp;network=" &amp; LOWER($B$8) &amp; "&amp;repository=" &amp; $B$18</f>
        <v>owner=thomas&amp;filename_for_metadata=InCasa_COR22D441&amp;offchaindata_platform=MongoDB&amp;keyfile=Paul&amp;network=jsonfiles&amp;repository=test</v>
      </c>
      <c r="U604" s="1" t="str">
        <f t="shared" si="19"/>
        <v>{"name":"In Casa #441",_x000D_
"symbol":"COR22D441",_x000D_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4" s="1" t="str">
        <f>formatRow(Tokens!C$2:I$2,Tokens!C604:I604)</f>
        <v>"name":"In Casa #441",_x000D_
"symbol":"COR22D441",_x000D_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4" s="1" t="str">
        <f>formatRow(Tokens!J$2:AV$2,Tokens!J604:AV604,2,"attributes")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4" s="1" t="str">
        <f>formatRow(Tokens!AX$2:BC$2,Tokens!AX604:BC604,2,"creators")</f>
        <v>"creators":[{"address":"paul",_x000D_
"share":10},{"address":"sophie",_x000D_
"share":90}]</v>
      </c>
      <c r="Y604" s="1" t="str">
        <f>formatRow(Tokens!BD$2:BI$2,Tokens!BD604:BI604,2,"files")</f>
        <v>"files":[]</v>
      </c>
      <c r="Z604" s="1"/>
      <c r="AA604" s="1"/>
      <c r="AB604" s="1"/>
      <c r="AC604" s="1" t="str">
        <f>formatRow(Tokens!BJ$2:BK$2,Tokens!BJ604:BK604,0,"collection")</f>
        <v>"collection":{"name":"In Casa",_x000D_
"family":"Calvi On The Rocks"}</v>
      </c>
    </row>
    <row r="605" spans="5:29" ht="14.25" customHeight="1" x14ac:dyDescent="0.25">
      <c r="E605" s="17" t="str">
        <f>IF(Tokens!C605="","",Tokens!C605)</f>
        <v>In Casa #442</v>
      </c>
      <c r="F605"/>
      <c r="G605"/>
      <c r="H605"/>
      <c r="I605"/>
      <c r="J605"/>
      <c r="M605"/>
      <c r="N605"/>
      <c r="O605" s="15" t="str">
        <f t="shared" si="18"/>
        <v>_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/>
      </c>
      <c r="Q605" s="2"/>
      <c r="R605" s="2"/>
      <c r="S605" s="11"/>
      <c r="T605" s="1" t="str">
        <f>"owner=" &amp; Tokens!BS605 &amp; "&amp;filename_for_metadata=" &amp; Tokens!BT605 &amp; "&amp;offchaindata_platform=" &amp; $B$17 &amp; "&amp;keyfile=" &amp; $B$5 &amp; "&amp;network=" &amp; LOWER($B$8) &amp; "&amp;repository=" &amp; $B$18</f>
        <v>owner=thomas&amp;filename_for_metadata=InCasa_COR22D442&amp;offchaindata_platform=MongoDB&amp;keyfile=Paul&amp;network=jsonfiles&amp;repository=test</v>
      </c>
      <c r="U605" s="1" t="str">
        <f t="shared" si="19"/>
        <v>{"name":"In Casa #442",_x000D_
"symbol":"COR22D442",_x000D_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5" s="1" t="str">
        <f>formatRow(Tokens!C$2:I$2,Tokens!C605:I605)</f>
        <v>"name":"In Casa #442",_x000D_
"symbol":"COR22D442",_x000D_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5" s="1" t="str">
        <f>formatRow(Tokens!J$2:AV$2,Tokens!J605:AV605,2,"attributes")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5" s="1" t="str">
        <f>formatRow(Tokens!AX$2:BC$2,Tokens!AX605:BC605,2,"creators")</f>
        <v>"creators":[{"address":"paul",_x000D_
"share":10},{"address":"sophie",_x000D_
"share":90}]</v>
      </c>
      <c r="Y605" s="1" t="str">
        <f>formatRow(Tokens!BD$2:BI$2,Tokens!BD605:BI605,2,"files")</f>
        <v>"files":[]</v>
      </c>
      <c r="Z605" s="1"/>
      <c r="AA605" s="1"/>
      <c r="AB605" s="1"/>
      <c r="AC605" s="1" t="str">
        <f>formatRow(Tokens!BJ$2:BK$2,Tokens!BJ605:BK605,0,"collection")</f>
        <v>"collection":{"name":"In Casa",_x000D_
"family":"Calvi On The Rocks"}</v>
      </c>
    </row>
    <row r="606" spans="5:29" ht="14.25" customHeight="1" x14ac:dyDescent="0.25">
      <c r="E606" s="17" t="str">
        <f>IF(Tokens!C606="","",Tokens!C606)</f>
        <v>In Casa #443</v>
      </c>
      <c r="F606"/>
      <c r="G606"/>
      <c r="H606"/>
      <c r="I606"/>
      <c r="J606"/>
      <c r="M606"/>
      <c r="N606"/>
      <c r="O606" s="15" t="str">
        <f t="shared" si="18"/>
        <v>_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/>
      </c>
      <c r="Q606" s="2"/>
      <c r="R606" s="2"/>
      <c r="S606" s="11"/>
      <c r="T606" s="1" t="str">
        <f>"owner=" &amp; Tokens!BS606 &amp; "&amp;filename_for_metadata=" &amp; Tokens!BT606 &amp; "&amp;offchaindata_platform=" &amp; $B$17 &amp; "&amp;keyfile=" &amp; $B$5 &amp; "&amp;network=" &amp; LOWER($B$8) &amp; "&amp;repository=" &amp; $B$18</f>
        <v>owner=thomas&amp;filename_for_metadata=InCasa_COR22D443&amp;offchaindata_platform=MongoDB&amp;keyfile=Paul&amp;network=jsonfiles&amp;repository=test</v>
      </c>
      <c r="U606" s="1" t="str">
        <f t="shared" si="19"/>
        <v>{"name":"In Casa #443",_x000D_
"symbol":"COR22D443",_x000D_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6" s="1" t="str">
        <f>formatRow(Tokens!C$2:I$2,Tokens!C606:I606)</f>
        <v>"name":"In Casa #443",_x000D_
"symbol":"COR22D443",_x000D_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6" s="1" t="str">
        <f>formatRow(Tokens!J$2:AV$2,Tokens!J606:AV606,2,"attributes")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6" s="1" t="str">
        <f>formatRow(Tokens!AX$2:BC$2,Tokens!AX606:BC606,2,"creators")</f>
        <v>"creators":[{"address":"paul",_x000D_
"share":10},{"address":"sophie",_x000D_
"share":90}]</v>
      </c>
      <c r="Y606" s="1" t="str">
        <f>formatRow(Tokens!BD$2:BI$2,Tokens!BD606:BI606,2,"files")</f>
        <v>"files":[]</v>
      </c>
      <c r="Z606" s="1"/>
      <c r="AA606" s="1"/>
      <c r="AB606" s="1"/>
      <c r="AC606" s="1" t="str">
        <f>formatRow(Tokens!BJ$2:BK$2,Tokens!BJ606:BK606,0,"collection")</f>
        <v>"collection":{"name":"In Casa",_x000D_
"family":"Calvi On The Rocks"}</v>
      </c>
    </row>
    <row r="607" spans="5:29" ht="14.25" customHeight="1" x14ac:dyDescent="0.25">
      <c r="E607" s="17" t="str">
        <f>IF(Tokens!C607="","",Tokens!C607)</f>
        <v>In Casa #444</v>
      </c>
      <c r="F607"/>
      <c r="G607"/>
      <c r="H607"/>
      <c r="I607"/>
      <c r="J607"/>
      <c r="M607"/>
      <c r="N607"/>
      <c r="O607" s="15" t="str">
        <f t="shared" si="18"/>
        <v>_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/>
      </c>
      <c r="Q607" s="2"/>
      <c r="R607" s="2"/>
      <c r="S607" s="11"/>
      <c r="T607" s="1" t="str">
        <f>"owner=" &amp; Tokens!BS607 &amp; "&amp;filename_for_metadata=" &amp; Tokens!BT607 &amp; "&amp;offchaindata_platform=" &amp; $B$17 &amp; "&amp;keyfile=" &amp; $B$5 &amp; "&amp;network=" &amp; LOWER($B$8) &amp; "&amp;repository=" &amp; $B$18</f>
        <v>owner=thomas&amp;filename_for_metadata=InCasa_COR22D444&amp;offchaindata_platform=MongoDB&amp;keyfile=Paul&amp;network=jsonfiles&amp;repository=test</v>
      </c>
      <c r="U607" s="1" t="str">
        <f t="shared" si="19"/>
        <v>{"name":"In Casa #444",_x000D_
"symbol":"COR22D444",_x000D_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7" s="1" t="str">
        <f>formatRow(Tokens!C$2:I$2,Tokens!C607:I607)</f>
        <v>"name":"In Casa #444",_x000D_
"symbol":"COR22D444",_x000D_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7" s="1" t="str">
        <f>formatRow(Tokens!J$2:AV$2,Tokens!J607:AV607,2,"attributes")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7" s="1" t="str">
        <f>formatRow(Tokens!AX$2:BC$2,Tokens!AX607:BC607,2,"creators")</f>
        <v>"creators":[{"address":"paul",_x000D_
"share":10},{"address":"sophie",_x000D_
"share":90}]</v>
      </c>
      <c r="Y607" s="1" t="str">
        <f>formatRow(Tokens!BD$2:BI$2,Tokens!BD607:BI607,2,"files")</f>
        <v>"files":[]</v>
      </c>
      <c r="Z607" s="1"/>
      <c r="AA607" s="1"/>
      <c r="AB607" s="1"/>
      <c r="AC607" s="1" t="str">
        <f>formatRow(Tokens!BJ$2:BK$2,Tokens!BJ607:BK607,0,"collection")</f>
        <v>"collection":{"name":"In Casa",_x000D_
"family":"Calvi On The Rocks"}</v>
      </c>
    </row>
    <row r="608" spans="5:29" ht="14.25" customHeight="1" x14ac:dyDescent="0.25">
      <c r="E608" s="17" t="str">
        <f>IF(Tokens!C608="","",Tokens!C608)</f>
        <v>In Casa #445</v>
      </c>
      <c r="F608"/>
      <c r="G608"/>
      <c r="H608"/>
      <c r="I608"/>
      <c r="J608"/>
      <c r="M608"/>
      <c r="N608"/>
      <c r="O608" s="15" t="str">
        <f t="shared" si="18"/>
        <v>_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/>
      </c>
      <c r="Q608" s="2"/>
      <c r="R608" s="2"/>
      <c r="S608" s="11"/>
      <c r="T608" s="1" t="str">
        <f>"owner=" &amp; Tokens!BS608 &amp; "&amp;filename_for_metadata=" &amp; Tokens!BT608 &amp; "&amp;offchaindata_platform=" &amp; $B$17 &amp; "&amp;keyfile=" &amp; $B$5 &amp; "&amp;network=" &amp; LOWER($B$8) &amp; "&amp;repository=" &amp; $B$18</f>
        <v>owner=thomas&amp;filename_for_metadata=InCasa_COR22D445&amp;offchaindata_platform=MongoDB&amp;keyfile=Paul&amp;network=jsonfiles&amp;repository=test</v>
      </c>
      <c r="U608" s="1" t="str">
        <f t="shared" si="19"/>
        <v>{"name":"In Casa #445",_x000D_
"symbol":"COR22D445",_x000D_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8" s="1" t="str">
        <f>formatRow(Tokens!C$2:I$2,Tokens!C608:I608)</f>
        <v>"name":"In Casa #445",_x000D_
"symbol":"COR22D445",_x000D_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8" s="1" t="str">
        <f>formatRow(Tokens!J$2:AV$2,Tokens!J608:AV608,2,"attributes")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8" s="1" t="str">
        <f>formatRow(Tokens!AX$2:BC$2,Tokens!AX608:BC608,2,"creators")</f>
        <v>"creators":[{"address":"paul",_x000D_
"share":10},{"address":"sophie",_x000D_
"share":90}]</v>
      </c>
      <c r="Y608" s="1" t="str">
        <f>formatRow(Tokens!BD$2:BI$2,Tokens!BD608:BI608,2,"files")</f>
        <v>"files":[]</v>
      </c>
      <c r="Z608" s="1"/>
      <c r="AA608" s="1"/>
      <c r="AB608" s="1"/>
      <c r="AC608" s="1" t="str">
        <f>formatRow(Tokens!BJ$2:BK$2,Tokens!BJ608:BK608,0,"collection")</f>
        <v>"collection":{"name":"In Casa",_x000D_
"family":"Calvi On The Rocks"}</v>
      </c>
    </row>
    <row r="609" spans="5:29" ht="14.25" customHeight="1" x14ac:dyDescent="0.25">
      <c r="E609" s="17" t="str">
        <f>IF(Tokens!C609="","",Tokens!C609)</f>
        <v>In Casa #446</v>
      </c>
      <c r="F609"/>
      <c r="G609"/>
      <c r="H609"/>
      <c r="I609"/>
      <c r="J609"/>
      <c r="M609"/>
      <c r="N609"/>
      <c r="O609" s="15" t="str">
        <f t="shared" si="18"/>
        <v>_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/>
      </c>
      <c r="Q609" s="2"/>
      <c r="R609" s="2"/>
      <c r="S609" s="11"/>
      <c r="T609" s="1" t="str">
        <f>"owner=" &amp; Tokens!BS609 &amp; "&amp;filename_for_metadata=" &amp; Tokens!BT609 &amp; "&amp;offchaindata_platform=" &amp; $B$17 &amp; "&amp;keyfile=" &amp; $B$5 &amp; "&amp;network=" &amp; LOWER($B$8) &amp; "&amp;repository=" &amp; $B$18</f>
        <v>owner=thomas&amp;filename_for_metadata=InCasa_COR22D446&amp;offchaindata_platform=MongoDB&amp;keyfile=Paul&amp;network=jsonfiles&amp;repository=test</v>
      </c>
      <c r="U609" s="1" t="str">
        <f t="shared" si="19"/>
        <v>{"name":"In Casa #446",_x000D_
"symbol":"COR22D446",_x000D_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09" s="1" t="str">
        <f>formatRow(Tokens!C$2:I$2,Tokens!C609:I609)</f>
        <v>"name":"In Casa #446",_x000D_
"symbol":"COR22D446",_x000D_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09" s="1" t="str">
        <f>formatRow(Tokens!J$2:AV$2,Tokens!J609:AV609,2,"attributes")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09" s="1" t="str">
        <f>formatRow(Tokens!AX$2:BC$2,Tokens!AX609:BC609,2,"creators")</f>
        <v>"creators":[{"address":"paul",_x000D_
"share":10},{"address":"sophie",_x000D_
"share":90}]</v>
      </c>
      <c r="Y609" s="1" t="str">
        <f>formatRow(Tokens!BD$2:BI$2,Tokens!BD609:BI609,2,"files")</f>
        <v>"files":[]</v>
      </c>
      <c r="Z609" s="1"/>
      <c r="AA609" s="1"/>
      <c r="AB609" s="1"/>
      <c r="AC609" s="1" t="str">
        <f>formatRow(Tokens!BJ$2:BK$2,Tokens!BJ609:BK609,0,"collection")</f>
        <v>"collection":{"name":"In Casa",_x000D_
"family":"Calvi On The Rocks"}</v>
      </c>
    </row>
    <row r="610" spans="5:29" ht="14.25" customHeight="1" x14ac:dyDescent="0.25">
      <c r="E610" s="17" t="str">
        <f>IF(Tokens!C610="","",Tokens!C610)</f>
        <v>In Casa #447</v>
      </c>
      <c r="F610"/>
      <c r="G610"/>
      <c r="H610"/>
      <c r="I610"/>
      <c r="J610"/>
      <c r="M610"/>
      <c r="N610"/>
      <c r="O610" s="15" t="str">
        <f t="shared" si="18"/>
        <v>_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/>
      </c>
      <c r="Q610" s="2"/>
      <c r="R610" s="2"/>
      <c r="S610" s="11"/>
      <c r="T610" s="1" t="str">
        <f>"owner=" &amp; Tokens!BS610 &amp; "&amp;filename_for_metadata=" &amp; Tokens!BT610 &amp; "&amp;offchaindata_platform=" &amp; $B$17 &amp; "&amp;keyfile=" &amp; $B$5 &amp; "&amp;network=" &amp; LOWER($B$8) &amp; "&amp;repository=" &amp; $B$18</f>
        <v>owner=thomas&amp;filename_for_metadata=InCasa_COR22D447&amp;offchaindata_platform=MongoDB&amp;keyfile=Paul&amp;network=jsonfiles&amp;repository=test</v>
      </c>
      <c r="U610" s="1" t="str">
        <f t="shared" si="19"/>
        <v>{"name":"In Casa #447",_x000D_
"symbol":"COR22D447",_x000D_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0" s="1" t="str">
        <f>formatRow(Tokens!C$2:I$2,Tokens!C610:I610)</f>
        <v>"name":"In Casa #447",_x000D_
"symbol":"COR22D447",_x000D_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0" s="1" t="str">
        <f>formatRow(Tokens!J$2:AV$2,Tokens!J610:AV610,2,"attributes")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0" s="1" t="str">
        <f>formatRow(Tokens!AX$2:BC$2,Tokens!AX610:BC610,2,"creators")</f>
        <v>"creators":[{"address":"paul",_x000D_
"share":10},{"address":"sophie",_x000D_
"share":90}]</v>
      </c>
      <c r="Y610" s="1" t="str">
        <f>formatRow(Tokens!BD$2:BI$2,Tokens!BD610:BI610,2,"files")</f>
        <v>"files":[]</v>
      </c>
      <c r="Z610" s="1"/>
      <c r="AA610" s="1"/>
      <c r="AB610" s="1"/>
      <c r="AC610" s="1" t="str">
        <f>formatRow(Tokens!BJ$2:BK$2,Tokens!BJ610:BK610,0,"collection")</f>
        <v>"collection":{"name":"In Casa",_x000D_
"family":"Calvi On The Rocks"}</v>
      </c>
    </row>
    <row r="611" spans="5:29" ht="14.25" customHeight="1" x14ac:dyDescent="0.25">
      <c r="E611" s="17" t="str">
        <f>IF(Tokens!C611="","",Tokens!C611)</f>
        <v>In Casa #448</v>
      </c>
      <c r="F611"/>
      <c r="G611"/>
      <c r="H611"/>
      <c r="I611"/>
      <c r="J611"/>
      <c r="M611"/>
      <c r="N611"/>
      <c r="O611" s="15" t="str">
        <f t="shared" si="18"/>
        <v>_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/>
      </c>
      <c r="Q611" s="2"/>
      <c r="R611" s="2"/>
      <c r="S611" s="11"/>
      <c r="T611" s="1" t="str">
        <f>"owner=" &amp; Tokens!BS611 &amp; "&amp;filename_for_metadata=" &amp; Tokens!BT611 &amp; "&amp;offchaindata_platform=" &amp; $B$17 &amp; "&amp;keyfile=" &amp; $B$5 &amp; "&amp;network=" &amp; LOWER($B$8) &amp; "&amp;repository=" &amp; $B$18</f>
        <v>owner=thomas&amp;filename_for_metadata=InCasa_COR22D448&amp;offchaindata_platform=MongoDB&amp;keyfile=Paul&amp;network=jsonfiles&amp;repository=test</v>
      </c>
      <c r="U611" s="1" t="str">
        <f t="shared" si="19"/>
        <v>{"name":"In Casa #448",_x000D_
"symbol":"COR22D448",_x000D_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1" s="1" t="str">
        <f>formatRow(Tokens!C$2:I$2,Tokens!C611:I611)</f>
        <v>"name":"In Casa #448",_x000D_
"symbol":"COR22D448",_x000D_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1" s="1" t="str">
        <f>formatRow(Tokens!J$2:AV$2,Tokens!J611:AV611,2,"attributes")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1" s="1" t="str">
        <f>formatRow(Tokens!AX$2:BC$2,Tokens!AX611:BC611,2,"creators")</f>
        <v>"creators":[{"address":"paul",_x000D_
"share":10},{"address":"sophie",_x000D_
"share":90}]</v>
      </c>
      <c r="Y611" s="1" t="str">
        <f>formatRow(Tokens!BD$2:BI$2,Tokens!BD611:BI611,2,"files")</f>
        <v>"files":[]</v>
      </c>
      <c r="Z611" s="1"/>
      <c r="AA611" s="1"/>
      <c r="AB611" s="1"/>
      <c r="AC611" s="1" t="str">
        <f>formatRow(Tokens!BJ$2:BK$2,Tokens!BJ611:BK611,0,"collection")</f>
        <v>"collection":{"name":"In Casa",_x000D_
"family":"Calvi On The Rocks"}</v>
      </c>
    </row>
    <row r="612" spans="5:29" ht="14.25" customHeight="1" x14ac:dyDescent="0.25">
      <c r="E612" s="17" t="str">
        <f>IF(Tokens!C612="","",Tokens!C612)</f>
        <v>In Casa #449</v>
      </c>
      <c r="F612"/>
      <c r="G612"/>
      <c r="H612"/>
      <c r="I612"/>
      <c r="J612"/>
      <c r="M612"/>
      <c r="N612"/>
      <c r="O612" s="15" t="str">
        <f t="shared" si="18"/>
        <v>_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/>
      </c>
      <c r="Q612" s="2"/>
      <c r="R612" s="2"/>
      <c r="S612" s="11"/>
      <c r="T612" s="1" t="str">
        <f>"owner=" &amp; Tokens!BS612 &amp; "&amp;filename_for_metadata=" &amp; Tokens!BT612 &amp; "&amp;offchaindata_platform=" &amp; $B$17 &amp; "&amp;keyfile=" &amp; $B$5 &amp; "&amp;network=" &amp; LOWER($B$8) &amp; "&amp;repository=" &amp; $B$18</f>
        <v>owner=thomas&amp;filename_for_metadata=InCasa_COR22D449&amp;offchaindata_platform=MongoDB&amp;keyfile=Paul&amp;network=jsonfiles&amp;repository=test</v>
      </c>
      <c r="U612" s="1" t="str">
        <f t="shared" si="19"/>
        <v>{"name":"In Casa #449",_x000D_
"symbol":"COR22D449",_x000D_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2" s="1" t="str">
        <f>formatRow(Tokens!C$2:I$2,Tokens!C612:I612)</f>
        <v>"name":"In Casa #449",_x000D_
"symbol":"COR22D449",_x000D_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2" s="1" t="str">
        <f>formatRow(Tokens!J$2:AV$2,Tokens!J612:AV612,2,"attributes")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2" s="1" t="str">
        <f>formatRow(Tokens!AX$2:BC$2,Tokens!AX612:BC612,2,"creators")</f>
        <v>"creators":[{"address":"paul",_x000D_
"share":10},{"address":"sophie",_x000D_
"share":90}]</v>
      </c>
      <c r="Y612" s="1" t="str">
        <f>formatRow(Tokens!BD$2:BI$2,Tokens!BD612:BI612,2,"files")</f>
        <v>"files":[]</v>
      </c>
      <c r="Z612" s="1"/>
      <c r="AA612" s="1"/>
      <c r="AB612" s="1"/>
      <c r="AC612" s="1" t="str">
        <f>formatRow(Tokens!BJ$2:BK$2,Tokens!BJ612:BK612,0,"collection")</f>
        <v>"collection":{"name":"In Casa",_x000D_
"family":"Calvi On The Rocks"}</v>
      </c>
    </row>
    <row r="613" spans="5:29" ht="14.25" customHeight="1" x14ac:dyDescent="0.25">
      <c r="E613" s="17" t="str">
        <f>IF(Tokens!C613="","",Tokens!C613)</f>
        <v>In Casa #450</v>
      </c>
      <c r="F613"/>
      <c r="G613"/>
      <c r="H613"/>
      <c r="I613"/>
      <c r="J613"/>
      <c r="M613"/>
      <c r="N613"/>
      <c r="O613" s="15" t="str">
        <f t="shared" si="18"/>
        <v>_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/>
      </c>
      <c r="Q613" s="2"/>
      <c r="R613" s="2"/>
      <c r="S613" s="11"/>
      <c r="T613" s="1" t="str">
        <f>"owner=" &amp; Tokens!BS613 &amp; "&amp;filename_for_metadata=" &amp; Tokens!BT613 &amp; "&amp;offchaindata_platform=" &amp; $B$17 &amp; "&amp;keyfile=" &amp; $B$5 &amp; "&amp;network=" &amp; LOWER($B$8) &amp; "&amp;repository=" &amp; $B$18</f>
        <v>owner=thomas&amp;filename_for_metadata=InCasa_COR22D450&amp;offchaindata_platform=MongoDB&amp;keyfile=Paul&amp;network=jsonfiles&amp;repository=test</v>
      </c>
      <c r="U613" s="1" t="str">
        <f t="shared" si="19"/>
        <v>{"name":"In Casa #450",_x000D_
"symbol":"COR22D450",_x000D_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3" s="1" t="str">
        <f>formatRow(Tokens!C$2:I$2,Tokens!C613:I613)</f>
        <v>"name":"In Casa #450",_x000D_
"symbol":"COR22D450",_x000D_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3" s="1" t="str">
        <f>formatRow(Tokens!J$2:AV$2,Tokens!J613:AV613,2,"attributes")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3" s="1" t="str">
        <f>formatRow(Tokens!AX$2:BC$2,Tokens!AX613:BC613,2,"creators")</f>
        <v>"creators":[{"address":"paul",_x000D_
"share":10},{"address":"sophie",_x000D_
"share":90}]</v>
      </c>
      <c r="Y613" s="1" t="str">
        <f>formatRow(Tokens!BD$2:BI$2,Tokens!BD613:BI613,2,"files")</f>
        <v>"files":[]</v>
      </c>
      <c r="Z613" s="1"/>
      <c r="AA613" s="1"/>
      <c r="AB613" s="1"/>
      <c r="AC613" s="1" t="str">
        <f>formatRow(Tokens!BJ$2:BK$2,Tokens!BJ613:BK613,0,"collection")</f>
        <v>"collection":{"name":"In Casa",_x000D_
"family":"Calvi On The Rocks"}</v>
      </c>
    </row>
    <row r="614" spans="5:29" ht="14.25" customHeight="1" x14ac:dyDescent="0.25">
      <c r="E614" s="17" t="str">
        <f>IF(Tokens!C614="","",Tokens!C614)</f>
        <v>In Casa #451</v>
      </c>
      <c r="F614"/>
      <c r="G614"/>
      <c r="H614"/>
      <c r="I614"/>
      <c r="J614"/>
      <c r="M614"/>
      <c r="N614"/>
      <c r="O614" s="15" t="str">
        <f t="shared" si="18"/>
        <v>_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/>
      </c>
      <c r="Q614" s="2"/>
      <c r="R614" s="2"/>
      <c r="S614" s="11"/>
      <c r="T614" s="1" t="str">
        <f>"owner=" &amp; Tokens!BS614 &amp; "&amp;filename_for_metadata=" &amp; Tokens!BT614 &amp; "&amp;offchaindata_platform=" &amp; $B$17 &amp; "&amp;keyfile=" &amp; $B$5 &amp; "&amp;network=" &amp; LOWER($B$8) &amp; "&amp;repository=" &amp; $B$18</f>
        <v>owner=thomas&amp;filename_for_metadata=InCasa_COR22D451&amp;offchaindata_platform=MongoDB&amp;keyfile=Paul&amp;network=jsonfiles&amp;repository=test</v>
      </c>
      <c r="U614" s="1" t="str">
        <f t="shared" si="19"/>
        <v>{"name":"In Casa #451",_x000D_
"symbol":"COR22D451",_x000D_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4" s="1" t="str">
        <f>formatRow(Tokens!C$2:I$2,Tokens!C614:I614)</f>
        <v>"name":"In Casa #451",_x000D_
"symbol":"COR22D451",_x000D_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4" s="1" t="str">
        <f>formatRow(Tokens!J$2:AV$2,Tokens!J614:AV614,2,"attributes")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4" s="1" t="str">
        <f>formatRow(Tokens!AX$2:BC$2,Tokens!AX614:BC614,2,"creators")</f>
        <v>"creators":[{"address":"paul",_x000D_
"share":10},{"address":"sophie",_x000D_
"share":90}]</v>
      </c>
      <c r="Y614" s="1" t="str">
        <f>formatRow(Tokens!BD$2:BI$2,Tokens!BD614:BI614,2,"files")</f>
        <v>"files":[]</v>
      </c>
      <c r="Z614" s="1"/>
      <c r="AA614" s="1"/>
      <c r="AB614" s="1"/>
      <c r="AC614" s="1" t="str">
        <f>formatRow(Tokens!BJ$2:BK$2,Tokens!BJ614:BK614,0,"collection")</f>
        <v>"collection":{"name":"In Casa",_x000D_
"family":"Calvi On The Rocks"}</v>
      </c>
    </row>
    <row r="615" spans="5:29" ht="14.25" customHeight="1" x14ac:dyDescent="0.25">
      <c r="E615" s="17" t="str">
        <f>IF(Tokens!C615="","",Tokens!C615)</f>
        <v>In Casa #452</v>
      </c>
      <c r="F615"/>
      <c r="G615"/>
      <c r="H615"/>
      <c r="I615"/>
      <c r="J615"/>
      <c r="M615"/>
      <c r="N615"/>
      <c r="O615" s="15" t="str">
        <f t="shared" si="18"/>
        <v>_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/>
      </c>
      <c r="Q615" s="2"/>
      <c r="R615" s="2"/>
      <c r="S615" s="11"/>
      <c r="T615" s="1" t="str">
        <f>"owner=" &amp; Tokens!BS615 &amp; "&amp;filename_for_metadata=" &amp; Tokens!BT615 &amp; "&amp;offchaindata_platform=" &amp; $B$17 &amp; "&amp;keyfile=" &amp; $B$5 &amp; "&amp;network=" &amp; LOWER($B$8) &amp; "&amp;repository=" &amp; $B$18</f>
        <v>owner=thomas&amp;filename_for_metadata=InCasa_COR22D452&amp;offchaindata_platform=MongoDB&amp;keyfile=Paul&amp;network=jsonfiles&amp;repository=test</v>
      </c>
      <c r="U615" s="1" t="str">
        <f t="shared" si="19"/>
        <v>{"name":"In Casa #452",_x000D_
"symbol":"COR22D452",_x000D_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5" s="1" t="str">
        <f>formatRow(Tokens!C$2:I$2,Tokens!C615:I615)</f>
        <v>"name":"In Casa #452",_x000D_
"symbol":"COR22D452",_x000D_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5" s="1" t="str">
        <f>formatRow(Tokens!J$2:AV$2,Tokens!J615:AV615,2,"attributes")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5" s="1" t="str">
        <f>formatRow(Tokens!AX$2:BC$2,Tokens!AX615:BC615,2,"creators")</f>
        <v>"creators":[{"address":"paul",_x000D_
"share":10},{"address":"sophie",_x000D_
"share":90}]</v>
      </c>
      <c r="Y615" s="1" t="str">
        <f>formatRow(Tokens!BD$2:BI$2,Tokens!BD615:BI615,2,"files")</f>
        <v>"files":[]</v>
      </c>
      <c r="Z615" s="1"/>
      <c r="AA615" s="1"/>
      <c r="AB615" s="1"/>
      <c r="AC615" s="1" t="str">
        <f>formatRow(Tokens!BJ$2:BK$2,Tokens!BJ615:BK615,0,"collection")</f>
        <v>"collection":{"name":"In Casa",_x000D_
"family":"Calvi On The Rocks"}</v>
      </c>
    </row>
    <row r="616" spans="5:29" ht="14.25" customHeight="1" x14ac:dyDescent="0.25">
      <c r="E616" s="17" t="str">
        <f>IF(Tokens!C616="","",Tokens!C616)</f>
        <v>In Casa #453</v>
      </c>
      <c r="F616"/>
      <c r="G616"/>
      <c r="H616"/>
      <c r="I616"/>
      <c r="J616"/>
      <c r="M616"/>
      <c r="N616"/>
      <c r="O616" s="15" t="str">
        <f t="shared" si="18"/>
        <v>_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/>
      </c>
      <c r="Q616" s="2"/>
      <c r="R616" s="2"/>
      <c r="S616" s="11"/>
      <c r="T616" s="1" t="str">
        <f>"owner=" &amp; Tokens!BS616 &amp; "&amp;filename_for_metadata=" &amp; Tokens!BT616 &amp; "&amp;offchaindata_platform=" &amp; $B$17 &amp; "&amp;keyfile=" &amp; $B$5 &amp; "&amp;network=" &amp; LOWER($B$8) &amp; "&amp;repository=" &amp; $B$18</f>
        <v>owner=thomas&amp;filename_for_metadata=InCasa_COR22D453&amp;offchaindata_platform=MongoDB&amp;keyfile=Paul&amp;network=jsonfiles&amp;repository=test</v>
      </c>
      <c r="U616" s="1" t="str">
        <f t="shared" si="19"/>
        <v>{"name":"In Casa #453",_x000D_
"symbol":"COR22D453",_x000D_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6" s="1" t="str">
        <f>formatRow(Tokens!C$2:I$2,Tokens!C616:I616)</f>
        <v>"name":"In Casa #453",_x000D_
"symbol":"COR22D453",_x000D_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6" s="1" t="str">
        <f>formatRow(Tokens!J$2:AV$2,Tokens!J616:AV616,2,"attributes")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6" s="1" t="str">
        <f>formatRow(Tokens!AX$2:BC$2,Tokens!AX616:BC616,2,"creators")</f>
        <v>"creators":[{"address":"paul",_x000D_
"share":10},{"address":"sophie",_x000D_
"share":90}]</v>
      </c>
      <c r="Y616" s="1" t="str">
        <f>formatRow(Tokens!BD$2:BI$2,Tokens!BD616:BI616,2,"files")</f>
        <v>"files":[]</v>
      </c>
      <c r="Z616" s="1"/>
      <c r="AA616" s="1"/>
      <c r="AB616" s="1"/>
      <c r="AC616" s="1" t="str">
        <f>formatRow(Tokens!BJ$2:BK$2,Tokens!BJ616:BK616,0,"collection")</f>
        <v>"collection":{"name":"In Casa",_x000D_
"family":"Calvi On The Rocks"}</v>
      </c>
    </row>
    <row r="617" spans="5:29" ht="14.25" customHeight="1" x14ac:dyDescent="0.25">
      <c r="E617" s="17" t="str">
        <f>IF(Tokens!C617="","",Tokens!C617)</f>
        <v>In Casa #454</v>
      </c>
      <c r="F617"/>
      <c r="G617"/>
      <c r="H617"/>
      <c r="I617"/>
      <c r="J617"/>
      <c r="M617"/>
      <c r="N617"/>
      <c r="O617" s="15" t="str">
        <f t="shared" si="18"/>
        <v>_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/>
      </c>
      <c r="Q617" s="2"/>
      <c r="R617" s="2"/>
      <c r="S617" s="11"/>
      <c r="T617" s="1" t="str">
        <f>"owner=" &amp; Tokens!BS617 &amp; "&amp;filename_for_metadata=" &amp; Tokens!BT617 &amp; "&amp;offchaindata_platform=" &amp; $B$17 &amp; "&amp;keyfile=" &amp; $B$5 &amp; "&amp;network=" &amp; LOWER($B$8) &amp; "&amp;repository=" &amp; $B$18</f>
        <v>owner=thomas&amp;filename_for_metadata=InCasa_COR22D454&amp;offchaindata_platform=MongoDB&amp;keyfile=Paul&amp;network=jsonfiles&amp;repository=test</v>
      </c>
      <c r="U617" s="1" t="str">
        <f t="shared" si="19"/>
        <v>{"name":"In Casa #454",_x000D_
"symbol":"COR22D454",_x000D_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7" s="1" t="str">
        <f>formatRow(Tokens!C$2:I$2,Tokens!C617:I617)</f>
        <v>"name":"In Casa #454",_x000D_
"symbol":"COR22D454",_x000D_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7" s="1" t="str">
        <f>formatRow(Tokens!J$2:AV$2,Tokens!J617:AV617,2,"attributes")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7" s="1" t="str">
        <f>formatRow(Tokens!AX$2:BC$2,Tokens!AX617:BC617,2,"creators")</f>
        <v>"creators":[{"address":"paul",_x000D_
"share":10},{"address":"sophie",_x000D_
"share":90}]</v>
      </c>
      <c r="Y617" s="1" t="str">
        <f>formatRow(Tokens!BD$2:BI$2,Tokens!BD617:BI617,2,"files")</f>
        <v>"files":[]</v>
      </c>
      <c r="Z617" s="1"/>
      <c r="AA617" s="1"/>
      <c r="AB617" s="1"/>
      <c r="AC617" s="1" t="str">
        <f>formatRow(Tokens!BJ$2:BK$2,Tokens!BJ617:BK617,0,"collection")</f>
        <v>"collection":{"name":"In Casa",_x000D_
"family":"Calvi On The Rocks"}</v>
      </c>
    </row>
    <row r="618" spans="5:29" ht="14.25" customHeight="1" x14ac:dyDescent="0.25">
      <c r="E618" s="17" t="str">
        <f>IF(Tokens!C618="","",Tokens!C618)</f>
        <v>In Casa #455</v>
      </c>
      <c r="F618"/>
      <c r="G618"/>
      <c r="H618"/>
      <c r="I618"/>
      <c r="J618"/>
      <c r="M618"/>
      <c r="N618"/>
      <c r="O618" s="15" t="str">
        <f t="shared" si="18"/>
        <v>_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/>
      </c>
      <c r="Q618" s="2"/>
      <c r="R618" s="2"/>
      <c r="S618" s="11"/>
      <c r="T618" s="1" t="str">
        <f>"owner=" &amp; Tokens!BS618 &amp; "&amp;filename_for_metadata=" &amp; Tokens!BT618 &amp; "&amp;offchaindata_platform=" &amp; $B$17 &amp; "&amp;keyfile=" &amp; $B$5 &amp; "&amp;network=" &amp; LOWER($B$8) &amp; "&amp;repository=" &amp; $B$18</f>
        <v>owner=thomas&amp;filename_for_metadata=InCasa_COR22D455&amp;offchaindata_platform=MongoDB&amp;keyfile=Paul&amp;network=jsonfiles&amp;repository=test</v>
      </c>
      <c r="U618" s="1" t="str">
        <f t="shared" si="19"/>
        <v>{"name":"In Casa #455",_x000D_
"symbol":"COR22D455",_x000D_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8" s="1" t="str">
        <f>formatRow(Tokens!C$2:I$2,Tokens!C618:I618)</f>
        <v>"name":"In Casa #455",_x000D_
"symbol":"COR22D455",_x000D_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8" s="1" t="str">
        <f>formatRow(Tokens!J$2:AV$2,Tokens!J618:AV618,2,"attributes")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8" s="1" t="str">
        <f>formatRow(Tokens!AX$2:BC$2,Tokens!AX618:BC618,2,"creators")</f>
        <v>"creators":[{"address":"paul",_x000D_
"share":10},{"address":"sophie",_x000D_
"share":90}]</v>
      </c>
      <c r="Y618" s="1" t="str">
        <f>formatRow(Tokens!BD$2:BI$2,Tokens!BD618:BI618,2,"files")</f>
        <v>"files":[]</v>
      </c>
      <c r="Z618" s="1"/>
      <c r="AA618" s="1"/>
      <c r="AB618" s="1"/>
      <c r="AC618" s="1" t="str">
        <f>formatRow(Tokens!BJ$2:BK$2,Tokens!BJ618:BK618,0,"collection")</f>
        <v>"collection":{"name":"In Casa",_x000D_
"family":"Calvi On The Rocks"}</v>
      </c>
    </row>
    <row r="619" spans="5:29" ht="14.25" customHeight="1" x14ac:dyDescent="0.25">
      <c r="E619" s="17" t="str">
        <f>IF(Tokens!C619="","",Tokens!C619)</f>
        <v>In Casa #456</v>
      </c>
      <c r="F619"/>
      <c r="G619"/>
      <c r="H619"/>
      <c r="I619"/>
      <c r="J619"/>
      <c r="M619"/>
      <c r="N619"/>
      <c r="O619" s="15" t="str">
        <f t="shared" si="18"/>
        <v>_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/>
      </c>
      <c r="Q619" s="2"/>
      <c r="R619" s="2"/>
      <c r="S619" s="11"/>
      <c r="T619" s="1" t="str">
        <f>"owner=" &amp; Tokens!BS619 &amp; "&amp;filename_for_metadata=" &amp; Tokens!BT619 &amp; "&amp;offchaindata_platform=" &amp; $B$17 &amp; "&amp;keyfile=" &amp; $B$5 &amp; "&amp;network=" &amp; LOWER($B$8) &amp; "&amp;repository=" &amp; $B$18</f>
        <v>owner=thomas&amp;filename_for_metadata=InCasa_COR22D456&amp;offchaindata_platform=MongoDB&amp;keyfile=Paul&amp;network=jsonfiles&amp;repository=test</v>
      </c>
      <c r="U619" s="1" t="str">
        <f t="shared" si="19"/>
        <v>{"name":"In Casa #456",_x000D_
"symbol":"COR22D456",_x000D_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19" s="1" t="str">
        <f>formatRow(Tokens!C$2:I$2,Tokens!C619:I619)</f>
        <v>"name":"In Casa #456",_x000D_
"symbol":"COR22D456",_x000D_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19" s="1" t="str">
        <f>formatRow(Tokens!J$2:AV$2,Tokens!J619:AV619,2,"attributes")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19" s="1" t="str">
        <f>formatRow(Tokens!AX$2:BC$2,Tokens!AX619:BC619,2,"creators")</f>
        <v>"creators":[{"address":"paul",_x000D_
"share":10},{"address":"sophie",_x000D_
"share":90}]</v>
      </c>
      <c r="Y619" s="1" t="str">
        <f>formatRow(Tokens!BD$2:BI$2,Tokens!BD619:BI619,2,"files")</f>
        <v>"files":[]</v>
      </c>
      <c r="Z619" s="1"/>
      <c r="AA619" s="1"/>
      <c r="AB619" s="1"/>
      <c r="AC619" s="1" t="str">
        <f>formatRow(Tokens!BJ$2:BK$2,Tokens!BJ619:BK619,0,"collection")</f>
        <v>"collection":{"name":"In Casa",_x000D_
"family":"Calvi On The Rocks"}</v>
      </c>
    </row>
    <row r="620" spans="5:29" ht="14.25" customHeight="1" x14ac:dyDescent="0.25">
      <c r="E620" s="17" t="str">
        <f>IF(Tokens!C620="","",Tokens!C620)</f>
        <v>In Casa #457</v>
      </c>
      <c r="F620"/>
      <c r="G620"/>
      <c r="H620"/>
      <c r="I620"/>
      <c r="J620"/>
      <c r="M620"/>
      <c r="N620"/>
      <c r="O620" s="15" t="str">
        <f t="shared" si="18"/>
        <v>_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/>
      </c>
      <c r="Q620" s="2"/>
      <c r="R620" s="2"/>
      <c r="S620" s="11"/>
      <c r="T620" s="1" t="str">
        <f>"owner=" &amp; Tokens!BS620 &amp; "&amp;filename_for_metadata=" &amp; Tokens!BT620 &amp; "&amp;offchaindata_platform=" &amp; $B$17 &amp; "&amp;keyfile=" &amp; $B$5 &amp; "&amp;network=" &amp; LOWER($B$8) &amp; "&amp;repository=" &amp; $B$18</f>
        <v>owner=thomas&amp;filename_for_metadata=InCasa_COR22D457&amp;offchaindata_platform=MongoDB&amp;keyfile=Paul&amp;network=jsonfiles&amp;repository=test</v>
      </c>
      <c r="U620" s="1" t="str">
        <f t="shared" si="19"/>
        <v>{"name":"In Casa #457",_x000D_
"symbol":"COR22D457",_x000D_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0" s="1" t="str">
        <f>formatRow(Tokens!C$2:I$2,Tokens!C620:I620)</f>
        <v>"name":"In Casa #457",_x000D_
"symbol":"COR22D457",_x000D_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0" s="1" t="str">
        <f>formatRow(Tokens!J$2:AV$2,Tokens!J620:AV620,2,"attributes")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0" s="1" t="str">
        <f>formatRow(Tokens!AX$2:BC$2,Tokens!AX620:BC620,2,"creators")</f>
        <v>"creators":[{"address":"paul",_x000D_
"share":10},{"address":"sophie",_x000D_
"share":90}]</v>
      </c>
      <c r="Y620" s="1" t="str">
        <f>formatRow(Tokens!BD$2:BI$2,Tokens!BD620:BI620,2,"files")</f>
        <v>"files":[]</v>
      </c>
      <c r="Z620" s="1"/>
      <c r="AA620" s="1"/>
      <c r="AB620" s="1"/>
      <c r="AC620" s="1" t="str">
        <f>formatRow(Tokens!BJ$2:BK$2,Tokens!BJ620:BK620,0,"collection")</f>
        <v>"collection":{"name":"In Casa",_x000D_
"family":"Calvi On The Rocks"}</v>
      </c>
    </row>
    <row r="621" spans="5:29" ht="14.25" customHeight="1" x14ac:dyDescent="0.25">
      <c r="E621" s="17" t="str">
        <f>IF(Tokens!C621="","",Tokens!C621)</f>
        <v>In Casa #458</v>
      </c>
      <c r="F621"/>
      <c r="G621"/>
      <c r="H621"/>
      <c r="I621"/>
      <c r="J621"/>
      <c r="M621"/>
      <c r="N621"/>
      <c r="O621" s="15" t="str">
        <f t="shared" si="18"/>
        <v>_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/>
      </c>
      <c r="Q621" s="2"/>
      <c r="R621" s="2"/>
      <c r="S621" s="11"/>
      <c r="T621" s="1" t="str">
        <f>"owner=" &amp; Tokens!BS621 &amp; "&amp;filename_for_metadata=" &amp; Tokens!BT621 &amp; "&amp;offchaindata_platform=" &amp; $B$17 &amp; "&amp;keyfile=" &amp; $B$5 &amp; "&amp;network=" &amp; LOWER($B$8) &amp; "&amp;repository=" &amp; $B$18</f>
        <v>owner=thomas&amp;filename_for_metadata=InCasa_COR22D458&amp;offchaindata_platform=MongoDB&amp;keyfile=Paul&amp;network=jsonfiles&amp;repository=test</v>
      </c>
      <c r="U621" s="1" t="str">
        <f t="shared" si="19"/>
        <v>{"name":"In Casa #458",_x000D_
"symbol":"COR22D458",_x000D_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1" s="1" t="str">
        <f>formatRow(Tokens!C$2:I$2,Tokens!C621:I621)</f>
        <v>"name":"In Casa #458",_x000D_
"symbol":"COR22D458",_x000D_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1" s="1" t="str">
        <f>formatRow(Tokens!J$2:AV$2,Tokens!J621:AV621,2,"attributes")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1" s="1" t="str">
        <f>formatRow(Tokens!AX$2:BC$2,Tokens!AX621:BC621,2,"creators")</f>
        <v>"creators":[{"address":"paul",_x000D_
"share":10},{"address":"sophie",_x000D_
"share":90}]</v>
      </c>
      <c r="Y621" s="1" t="str">
        <f>formatRow(Tokens!BD$2:BI$2,Tokens!BD621:BI621,2,"files")</f>
        <v>"files":[]</v>
      </c>
      <c r="Z621" s="1"/>
      <c r="AA621" s="1"/>
      <c r="AB621" s="1"/>
      <c r="AC621" s="1" t="str">
        <f>formatRow(Tokens!BJ$2:BK$2,Tokens!BJ621:BK621,0,"collection")</f>
        <v>"collection":{"name":"In Casa",_x000D_
"family":"Calvi On The Rocks"}</v>
      </c>
    </row>
    <row r="622" spans="5:29" ht="14.25" customHeight="1" x14ac:dyDescent="0.25">
      <c r="E622" s="17" t="str">
        <f>IF(Tokens!C622="","",Tokens!C622)</f>
        <v>In Casa #459</v>
      </c>
      <c r="F622"/>
      <c r="G622"/>
      <c r="H622"/>
      <c r="I622"/>
      <c r="J622"/>
      <c r="M622"/>
      <c r="N622"/>
      <c r="O622" s="15" t="str">
        <f t="shared" si="18"/>
        <v>_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/>
      </c>
      <c r="Q622" s="2"/>
      <c r="R622" s="2"/>
      <c r="S622" s="11"/>
      <c r="T622" s="1" t="str">
        <f>"owner=" &amp; Tokens!BS622 &amp; "&amp;filename_for_metadata=" &amp; Tokens!BT622 &amp; "&amp;offchaindata_platform=" &amp; $B$17 &amp; "&amp;keyfile=" &amp; $B$5 &amp; "&amp;network=" &amp; LOWER($B$8) &amp; "&amp;repository=" &amp; $B$18</f>
        <v>owner=thomas&amp;filename_for_metadata=InCasa_COR22D459&amp;offchaindata_platform=MongoDB&amp;keyfile=Paul&amp;network=jsonfiles&amp;repository=test</v>
      </c>
      <c r="U622" s="1" t="str">
        <f t="shared" si="19"/>
        <v>{"name":"In Casa #459",_x000D_
"symbol":"COR22D459",_x000D_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2" s="1" t="str">
        <f>formatRow(Tokens!C$2:I$2,Tokens!C622:I622)</f>
        <v>"name":"In Casa #459",_x000D_
"symbol":"COR22D459",_x000D_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2" s="1" t="str">
        <f>formatRow(Tokens!J$2:AV$2,Tokens!J622:AV622,2,"attributes")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2" s="1" t="str">
        <f>formatRow(Tokens!AX$2:BC$2,Tokens!AX622:BC622,2,"creators")</f>
        <v>"creators":[{"address":"paul",_x000D_
"share":10},{"address":"sophie",_x000D_
"share":90}]</v>
      </c>
      <c r="Y622" s="1" t="str">
        <f>formatRow(Tokens!BD$2:BI$2,Tokens!BD622:BI622,2,"files")</f>
        <v>"files":[]</v>
      </c>
      <c r="Z622" s="1"/>
      <c r="AA622" s="1"/>
      <c r="AB622" s="1"/>
      <c r="AC622" s="1" t="str">
        <f>formatRow(Tokens!BJ$2:BK$2,Tokens!BJ622:BK622,0,"collection")</f>
        <v>"collection":{"name":"In Casa",_x000D_
"family":"Calvi On The Rocks"}</v>
      </c>
    </row>
    <row r="623" spans="5:29" ht="14.25" customHeight="1" x14ac:dyDescent="0.25">
      <c r="E623" s="17" t="str">
        <f>IF(Tokens!C623="","",Tokens!C623)</f>
        <v>In Casa #460</v>
      </c>
      <c r="F623"/>
      <c r="G623"/>
      <c r="H623"/>
      <c r="I623"/>
      <c r="J623"/>
      <c r="M623"/>
      <c r="N623"/>
      <c r="O623" s="15" t="str">
        <f t="shared" si="18"/>
        <v>_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/>
      </c>
      <c r="Q623" s="2"/>
      <c r="R623" s="2"/>
      <c r="S623" s="11"/>
      <c r="T623" s="1" t="str">
        <f>"owner=" &amp; Tokens!BS623 &amp; "&amp;filename_for_metadata=" &amp; Tokens!BT623 &amp; "&amp;offchaindata_platform=" &amp; $B$17 &amp; "&amp;keyfile=" &amp; $B$5 &amp; "&amp;network=" &amp; LOWER($B$8) &amp; "&amp;repository=" &amp; $B$18</f>
        <v>owner=thomas&amp;filename_for_metadata=InCasa_COR22D460&amp;offchaindata_platform=MongoDB&amp;keyfile=Paul&amp;network=jsonfiles&amp;repository=test</v>
      </c>
      <c r="U623" s="1" t="str">
        <f t="shared" si="19"/>
        <v>{"name":"In Casa #460",_x000D_
"symbol":"COR22D460",_x000D_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3" s="1" t="str">
        <f>formatRow(Tokens!C$2:I$2,Tokens!C623:I623)</f>
        <v>"name":"In Casa #460",_x000D_
"symbol":"COR22D460",_x000D_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3" s="1" t="str">
        <f>formatRow(Tokens!J$2:AV$2,Tokens!J623:AV623,2,"attributes")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3" s="1" t="str">
        <f>formatRow(Tokens!AX$2:BC$2,Tokens!AX623:BC623,2,"creators")</f>
        <v>"creators":[{"address":"paul",_x000D_
"share":10},{"address":"sophie",_x000D_
"share":90}]</v>
      </c>
      <c r="Y623" s="1" t="str">
        <f>formatRow(Tokens!BD$2:BI$2,Tokens!BD623:BI623,2,"files")</f>
        <v>"files":[]</v>
      </c>
      <c r="Z623" s="1"/>
      <c r="AA623" s="1"/>
      <c r="AB623" s="1"/>
      <c r="AC623" s="1" t="str">
        <f>formatRow(Tokens!BJ$2:BK$2,Tokens!BJ623:BK623,0,"collection")</f>
        <v>"collection":{"name":"In Casa",_x000D_
"family":"Calvi On The Rocks"}</v>
      </c>
    </row>
    <row r="624" spans="5:29" ht="14.25" customHeight="1" x14ac:dyDescent="0.25">
      <c r="E624" s="17" t="str">
        <f>IF(Tokens!C624="","",Tokens!C624)</f>
        <v>In Casa #461</v>
      </c>
      <c r="F624"/>
      <c r="G624"/>
      <c r="H624"/>
      <c r="I624"/>
      <c r="J624"/>
      <c r="M624"/>
      <c r="N624"/>
      <c r="O624" s="15" t="str">
        <f t="shared" si="18"/>
        <v>_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/>
      </c>
      <c r="Q624" s="2"/>
      <c r="R624" s="2"/>
      <c r="S624" s="11"/>
      <c r="T624" s="1" t="str">
        <f>"owner=" &amp; Tokens!BS624 &amp; "&amp;filename_for_metadata=" &amp; Tokens!BT624 &amp; "&amp;offchaindata_platform=" &amp; $B$17 &amp; "&amp;keyfile=" &amp; $B$5 &amp; "&amp;network=" &amp; LOWER($B$8) &amp; "&amp;repository=" &amp; $B$18</f>
        <v>owner=thomas&amp;filename_for_metadata=InCasa_COR22D461&amp;offchaindata_platform=MongoDB&amp;keyfile=Paul&amp;network=jsonfiles&amp;repository=test</v>
      </c>
      <c r="U624" s="1" t="str">
        <f t="shared" si="19"/>
        <v>{"name":"In Casa #461",_x000D_
"symbol":"COR22D461",_x000D_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4" s="1" t="str">
        <f>formatRow(Tokens!C$2:I$2,Tokens!C624:I624)</f>
        <v>"name":"In Casa #461",_x000D_
"symbol":"COR22D461",_x000D_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4" s="1" t="str">
        <f>formatRow(Tokens!J$2:AV$2,Tokens!J624:AV624,2,"attributes")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4" s="1" t="str">
        <f>formatRow(Tokens!AX$2:BC$2,Tokens!AX624:BC624,2,"creators")</f>
        <v>"creators":[{"address":"paul",_x000D_
"share":10},{"address":"sophie",_x000D_
"share":90}]</v>
      </c>
      <c r="Y624" s="1" t="str">
        <f>formatRow(Tokens!BD$2:BI$2,Tokens!BD624:BI624,2,"files")</f>
        <v>"files":[]</v>
      </c>
      <c r="Z624" s="1"/>
      <c r="AA624" s="1"/>
      <c r="AB624" s="1"/>
      <c r="AC624" s="1" t="str">
        <f>formatRow(Tokens!BJ$2:BK$2,Tokens!BJ624:BK624,0,"collection")</f>
        <v>"collection":{"name":"In Casa",_x000D_
"family":"Calvi On The Rocks"}</v>
      </c>
    </row>
    <row r="625" spans="5:29" ht="14.25" customHeight="1" x14ac:dyDescent="0.25">
      <c r="E625" s="17" t="str">
        <f>IF(Tokens!C625="","",Tokens!C625)</f>
        <v>In Casa #462</v>
      </c>
      <c r="F625"/>
      <c r="G625"/>
      <c r="H625"/>
      <c r="I625"/>
      <c r="J625"/>
      <c r="M625"/>
      <c r="N625"/>
      <c r="O625" s="15" t="str">
        <f t="shared" si="18"/>
        <v>_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/>
      </c>
      <c r="Q625" s="2"/>
      <c r="R625" s="2"/>
      <c r="S625" s="11"/>
      <c r="T625" s="1" t="str">
        <f>"owner=" &amp; Tokens!BS625 &amp; "&amp;filename_for_metadata=" &amp; Tokens!BT625 &amp; "&amp;offchaindata_platform=" &amp; $B$17 &amp; "&amp;keyfile=" &amp; $B$5 &amp; "&amp;network=" &amp; LOWER($B$8) &amp; "&amp;repository=" &amp; $B$18</f>
        <v>owner=thomas&amp;filename_for_metadata=InCasa_COR22D462&amp;offchaindata_platform=MongoDB&amp;keyfile=Paul&amp;network=jsonfiles&amp;repository=test</v>
      </c>
      <c r="U625" s="1" t="str">
        <f t="shared" si="19"/>
        <v>{"name":"In Casa #462",_x000D_
"symbol":"COR22D462",_x000D_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5" s="1" t="str">
        <f>formatRow(Tokens!C$2:I$2,Tokens!C625:I625)</f>
        <v>"name":"In Casa #462",_x000D_
"symbol":"COR22D462",_x000D_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5" s="1" t="str">
        <f>formatRow(Tokens!J$2:AV$2,Tokens!J625:AV625,2,"attributes")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5" s="1" t="str">
        <f>formatRow(Tokens!AX$2:BC$2,Tokens!AX625:BC625,2,"creators")</f>
        <v>"creators":[{"address":"paul",_x000D_
"share":10},{"address":"sophie",_x000D_
"share":90}]</v>
      </c>
      <c r="Y625" s="1" t="str">
        <f>formatRow(Tokens!BD$2:BI$2,Tokens!BD625:BI625,2,"files")</f>
        <v>"files":[]</v>
      </c>
      <c r="Z625" s="1"/>
      <c r="AA625" s="1"/>
      <c r="AB625" s="1"/>
      <c r="AC625" s="1" t="str">
        <f>formatRow(Tokens!BJ$2:BK$2,Tokens!BJ625:BK625,0,"collection")</f>
        <v>"collection":{"name":"In Casa",_x000D_
"family":"Calvi On The Rocks"}</v>
      </c>
    </row>
    <row r="626" spans="5:29" ht="14.25" customHeight="1" x14ac:dyDescent="0.25">
      <c r="E626" s="17" t="str">
        <f>IF(Tokens!C626="","",Tokens!C626)</f>
        <v>In Casa #463</v>
      </c>
      <c r="F626"/>
      <c r="G626"/>
      <c r="H626"/>
      <c r="I626"/>
      <c r="J626"/>
      <c r="M626"/>
      <c r="N626"/>
      <c r="O626" s="15" t="str">
        <f t="shared" si="18"/>
        <v>_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/>
      </c>
      <c r="Q626" s="2"/>
      <c r="R626" s="2"/>
      <c r="S626" s="11"/>
      <c r="T626" s="1" t="str">
        <f>"owner=" &amp; Tokens!BS626 &amp; "&amp;filename_for_metadata=" &amp; Tokens!BT626 &amp; "&amp;offchaindata_platform=" &amp; $B$17 &amp; "&amp;keyfile=" &amp; $B$5 &amp; "&amp;network=" &amp; LOWER($B$8) &amp; "&amp;repository=" &amp; $B$18</f>
        <v>owner=thomas&amp;filename_for_metadata=InCasa_COR22D463&amp;offchaindata_platform=MongoDB&amp;keyfile=Paul&amp;network=jsonfiles&amp;repository=test</v>
      </c>
      <c r="U626" s="1" t="str">
        <f t="shared" si="19"/>
        <v>{"name":"In Casa #463",_x000D_
"symbol":"COR22D463",_x000D_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6" s="1" t="str">
        <f>formatRow(Tokens!C$2:I$2,Tokens!C626:I626)</f>
        <v>"name":"In Casa #463",_x000D_
"symbol":"COR22D463",_x000D_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6" s="1" t="str">
        <f>formatRow(Tokens!J$2:AV$2,Tokens!J626:AV626,2,"attributes")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6" s="1" t="str">
        <f>formatRow(Tokens!AX$2:BC$2,Tokens!AX626:BC626,2,"creators")</f>
        <v>"creators":[{"address":"paul",_x000D_
"share":10},{"address":"sophie",_x000D_
"share":90}]</v>
      </c>
      <c r="Y626" s="1" t="str">
        <f>formatRow(Tokens!BD$2:BI$2,Tokens!BD626:BI626,2,"files")</f>
        <v>"files":[]</v>
      </c>
      <c r="Z626" s="1"/>
      <c r="AA626" s="1"/>
      <c r="AB626" s="1"/>
      <c r="AC626" s="1" t="str">
        <f>formatRow(Tokens!BJ$2:BK$2,Tokens!BJ626:BK626,0,"collection")</f>
        <v>"collection":{"name":"In Casa",_x000D_
"family":"Calvi On The Rocks"}</v>
      </c>
    </row>
    <row r="627" spans="5:29" ht="14.25" customHeight="1" x14ac:dyDescent="0.25">
      <c r="E627" s="17" t="str">
        <f>IF(Tokens!C627="","",Tokens!C627)</f>
        <v>In Casa #464</v>
      </c>
      <c r="F627"/>
      <c r="G627"/>
      <c r="H627"/>
      <c r="I627"/>
      <c r="J627"/>
      <c r="M627"/>
      <c r="N627"/>
      <c r="O627" s="15" t="str">
        <f t="shared" si="18"/>
        <v>_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/>
      </c>
      <c r="Q627" s="2"/>
      <c r="R627" s="2"/>
      <c r="S627" s="11"/>
      <c r="T627" s="1" t="str">
        <f>"owner=" &amp; Tokens!BS627 &amp; "&amp;filename_for_metadata=" &amp; Tokens!BT627 &amp; "&amp;offchaindata_platform=" &amp; $B$17 &amp; "&amp;keyfile=" &amp; $B$5 &amp; "&amp;network=" &amp; LOWER($B$8) &amp; "&amp;repository=" &amp; $B$18</f>
        <v>owner=thomas&amp;filename_for_metadata=InCasa_COR22D464&amp;offchaindata_platform=MongoDB&amp;keyfile=Paul&amp;network=jsonfiles&amp;repository=test</v>
      </c>
      <c r="U627" s="1" t="str">
        <f t="shared" si="19"/>
        <v>{"name":"In Casa #464",_x000D_
"symbol":"COR22D464",_x000D_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7" s="1" t="str">
        <f>formatRow(Tokens!C$2:I$2,Tokens!C627:I627)</f>
        <v>"name":"In Casa #464",_x000D_
"symbol":"COR22D464",_x000D_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7" s="1" t="str">
        <f>formatRow(Tokens!J$2:AV$2,Tokens!J627:AV627,2,"attributes")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7" s="1" t="str">
        <f>formatRow(Tokens!AX$2:BC$2,Tokens!AX627:BC627,2,"creators")</f>
        <v>"creators":[{"address":"paul",_x000D_
"share":10},{"address":"sophie",_x000D_
"share":90}]</v>
      </c>
      <c r="Y627" s="1" t="str">
        <f>formatRow(Tokens!BD$2:BI$2,Tokens!BD627:BI627,2,"files")</f>
        <v>"files":[]</v>
      </c>
      <c r="Z627" s="1"/>
      <c r="AA627" s="1"/>
      <c r="AB627" s="1"/>
      <c r="AC627" s="1" t="str">
        <f>formatRow(Tokens!BJ$2:BK$2,Tokens!BJ627:BK627,0,"collection")</f>
        <v>"collection":{"name":"In Casa",_x000D_
"family":"Calvi On The Rocks"}</v>
      </c>
    </row>
    <row r="628" spans="5:29" ht="14.25" customHeight="1" x14ac:dyDescent="0.25">
      <c r="E628" s="17" t="str">
        <f>IF(Tokens!C628="","",Tokens!C628)</f>
        <v>In Casa #465</v>
      </c>
      <c r="F628"/>
      <c r="G628"/>
      <c r="H628"/>
      <c r="I628"/>
      <c r="J628"/>
      <c r="M628"/>
      <c r="N628"/>
      <c r="O628" s="15" t="str">
        <f t="shared" si="18"/>
        <v>_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/>
      </c>
      <c r="Q628" s="2"/>
      <c r="R628" s="2"/>
      <c r="S628" s="11"/>
      <c r="T628" s="1" t="str">
        <f>"owner=" &amp; Tokens!BS628 &amp; "&amp;filename_for_metadata=" &amp; Tokens!BT628 &amp; "&amp;offchaindata_platform=" &amp; $B$17 &amp; "&amp;keyfile=" &amp; $B$5 &amp; "&amp;network=" &amp; LOWER($B$8) &amp; "&amp;repository=" &amp; $B$18</f>
        <v>owner=thomas&amp;filename_for_metadata=InCasa_COR22D465&amp;offchaindata_platform=MongoDB&amp;keyfile=Paul&amp;network=jsonfiles&amp;repository=test</v>
      </c>
      <c r="U628" s="1" t="str">
        <f t="shared" si="19"/>
        <v>{"name":"In Casa #465",_x000D_
"symbol":"COR22D465",_x000D_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8" s="1" t="str">
        <f>formatRow(Tokens!C$2:I$2,Tokens!C628:I628)</f>
        <v>"name":"In Casa #465",_x000D_
"symbol":"COR22D465",_x000D_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8" s="1" t="str">
        <f>formatRow(Tokens!J$2:AV$2,Tokens!J628:AV628,2,"attributes")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8" s="1" t="str">
        <f>formatRow(Tokens!AX$2:BC$2,Tokens!AX628:BC628,2,"creators")</f>
        <v>"creators":[{"address":"paul",_x000D_
"share":10},{"address":"sophie",_x000D_
"share":90}]</v>
      </c>
      <c r="Y628" s="1" t="str">
        <f>formatRow(Tokens!BD$2:BI$2,Tokens!BD628:BI628,2,"files")</f>
        <v>"files":[]</v>
      </c>
      <c r="Z628" s="1"/>
      <c r="AA628" s="1"/>
      <c r="AB628" s="1"/>
      <c r="AC628" s="1" t="str">
        <f>formatRow(Tokens!BJ$2:BK$2,Tokens!BJ628:BK628,0,"collection")</f>
        <v>"collection":{"name":"In Casa",_x000D_
"family":"Calvi On The Rocks"}</v>
      </c>
    </row>
    <row r="629" spans="5:29" ht="14.25" customHeight="1" x14ac:dyDescent="0.25">
      <c r="E629" s="17" t="str">
        <f>IF(Tokens!C629="","",Tokens!C629)</f>
        <v>In Casa #466</v>
      </c>
      <c r="F629"/>
      <c r="G629"/>
      <c r="H629"/>
      <c r="I629"/>
      <c r="J629"/>
      <c r="M629"/>
      <c r="N629"/>
      <c r="O629" s="15" t="str">
        <f t="shared" si="18"/>
        <v>_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/>
      </c>
      <c r="Q629" s="2"/>
      <c r="R629" s="2"/>
      <c r="S629" s="11"/>
      <c r="T629" s="1" t="str">
        <f>"owner=" &amp; Tokens!BS629 &amp; "&amp;filename_for_metadata=" &amp; Tokens!BT629 &amp; "&amp;offchaindata_platform=" &amp; $B$17 &amp; "&amp;keyfile=" &amp; $B$5 &amp; "&amp;network=" &amp; LOWER($B$8) &amp; "&amp;repository=" &amp; $B$18</f>
        <v>owner=thomas&amp;filename_for_metadata=InCasa_COR22D466&amp;offchaindata_platform=MongoDB&amp;keyfile=Paul&amp;network=jsonfiles&amp;repository=test</v>
      </c>
      <c r="U629" s="1" t="str">
        <f t="shared" si="19"/>
        <v>{"name":"In Casa #466",_x000D_
"symbol":"COR22D466",_x000D_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29" s="1" t="str">
        <f>formatRow(Tokens!C$2:I$2,Tokens!C629:I629)</f>
        <v>"name":"In Casa #466",_x000D_
"symbol":"COR22D466",_x000D_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29" s="1" t="str">
        <f>formatRow(Tokens!J$2:AV$2,Tokens!J629:AV629,2,"attributes")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29" s="1" t="str">
        <f>formatRow(Tokens!AX$2:BC$2,Tokens!AX629:BC629,2,"creators")</f>
        <v>"creators":[{"address":"paul",_x000D_
"share":10},{"address":"sophie",_x000D_
"share":90}]</v>
      </c>
      <c r="Y629" s="1" t="str">
        <f>formatRow(Tokens!BD$2:BI$2,Tokens!BD629:BI629,2,"files")</f>
        <v>"files":[]</v>
      </c>
      <c r="Z629" s="1"/>
      <c r="AA629" s="1"/>
      <c r="AB629" s="1"/>
      <c r="AC629" s="1" t="str">
        <f>formatRow(Tokens!BJ$2:BK$2,Tokens!BJ629:BK629,0,"collection")</f>
        <v>"collection":{"name":"In Casa",_x000D_
"family":"Calvi On The Rocks"}</v>
      </c>
    </row>
    <row r="630" spans="5:29" ht="14.25" customHeight="1" x14ac:dyDescent="0.25">
      <c r="E630" s="17" t="str">
        <f>IF(Tokens!C630="","",Tokens!C630)</f>
        <v>In Casa #467</v>
      </c>
      <c r="F630"/>
      <c r="G630"/>
      <c r="H630"/>
      <c r="I630"/>
      <c r="J630"/>
      <c r="M630"/>
      <c r="N630"/>
      <c r="O630" s="15" t="str">
        <f t="shared" si="18"/>
        <v>_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/>
      </c>
      <c r="Q630" s="2"/>
      <c r="R630" s="2"/>
      <c r="S630" s="11"/>
      <c r="T630" s="1" t="str">
        <f>"owner=" &amp; Tokens!BS630 &amp; "&amp;filename_for_metadata=" &amp; Tokens!BT630 &amp; "&amp;offchaindata_platform=" &amp; $B$17 &amp; "&amp;keyfile=" &amp; $B$5 &amp; "&amp;network=" &amp; LOWER($B$8) &amp; "&amp;repository=" &amp; $B$18</f>
        <v>owner=thomas&amp;filename_for_metadata=InCasa_COR22D467&amp;offchaindata_platform=MongoDB&amp;keyfile=Paul&amp;network=jsonfiles&amp;repository=test</v>
      </c>
      <c r="U630" s="1" t="str">
        <f t="shared" si="19"/>
        <v>{"name":"In Casa #467",_x000D_
"symbol":"COR22D467",_x000D_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0" s="1" t="str">
        <f>formatRow(Tokens!C$2:I$2,Tokens!C630:I630)</f>
        <v>"name":"In Casa #467",_x000D_
"symbol":"COR22D467",_x000D_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0" s="1" t="str">
        <f>formatRow(Tokens!J$2:AV$2,Tokens!J630:AV630,2,"attributes")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0" s="1" t="str">
        <f>formatRow(Tokens!AX$2:BC$2,Tokens!AX630:BC630,2,"creators")</f>
        <v>"creators":[{"address":"paul",_x000D_
"share":10},{"address":"sophie",_x000D_
"share":90}]</v>
      </c>
      <c r="Y630" s="1" t="str">
        <f>formatRow(Tokens!BD$2:BI$2,Tokens!BD630:BI630,2,"files")</f>
        <v>"files":[]</v>
      </c>
      <c r="Z630" s="1"/>
      <c r="AA630" s="1"/>
      <c r="AB630" s="1"/>
      <c r="AC630" s="1" t="str">
        <f>formatRow(Tokens!BJ$2:BK$2,Tokens!BJ630:BK630,0,"collection")</f>
        <v>"collection":{"name":"In Casa",_x000D_
"family":"Calvi On The Rocks"}</v>
      </c>
    </row>
    <row r="631" spans="5:29" ht="14.25" customHeight="1" x14ac:dyDescent="0.25">
      <c r="E631" s="17" t="str">
        <f>IF(Tokens!C631="","",Tokens!C631)</f>
        <v>In Casa #468</v>
      </c>
      <c r="F631"/>
      <c r="G631"/>
      <c r="H631"/>
      <c r="I631"/>
      <c r="J631"/>
      <c r="M631"/>
      <c r="N631"/>
      <c r="O631" s="15" t="str">
        <f t="shared" si="18"/>
        <v>_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/>
      </c>
      <c r="Q631" s="2"/>
      <c r="R631" s="2"/>
      <c r="S631" s="11"/>
      <c r="T631" s="1" t="str">
        <f>"owner=" &amp; Tokens!BS631 &amp; "&amp;filename_for_metadata=" &amp; Tokens!BT631 &amp; "&amp;offchaindata_platform=" &amp; $B$17 &amp; "&amp;keyfile=" &amp; $B$5 &amp; "&amp;network=" &amp; LOWER($B$8) &amp; "&amp;repository=" &amp; $B$18</f>
        <v>owner=thomas&amp;filename_for_metadata=InCasa_COR22D468&amp;offchaindata_platform=MongoDB&amp;keyfile=Paul&amp;network=jsonfiles&amp;repository=test</v>
      </c>
      <c r="U631" s="1" t="str">
        <f t="shared" si="19"/>
        <v>{"name":"In Casa #468",_x000D_
"symbol":"COR22D468",_x000D_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1" s="1" t="str">
        <f>formatRow(Tokens!C$2:I$2,Tokens!C631:I631)</f>
        <v>"name":"In Casa #468",_x000D_
"symbol":"COR22D468",_x000D_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1" s="1" t="str">
        <f>formatRow(Tokens!J$2:AV$2,Tokens!J631:AV631,2,"attributes")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1" s="1" t="str">
        <f>formatRow(Tokens!AX$2:BC$2,Tokens!AX631:BC631,2,"creators")</f>
        <v>"creators":[{"address":"paul",_x000D_
"share":10},{"address":"sophie",_x000D_
"share":90}]</v>
      </c>
      <c r="Y631" s="1" t="str">
        <f>formatRow(Tokens!BD$2:BI$2,Tokens!BD631:BI631,2,"files")</f>
        <v>"files":[]</v>
      </c>
      <c r="Z631" s="1"/>
      <c r="AA631" s="1"/>
      <c r="AB631" s="1"/>
      <c r="AC631" s="1" t="str">
        <f>formatRow(Tokens!BJ$2:BK$2,Tokens!BJ631:BK631,0,"collection")</f>
        <v>"collection":{"name":"In Casa",_x000D_
"family":"Calvi On The Rocks"}</v>
      </c>
    </row>
    <row r="632" spans="5:29" ht="14.25" customHeight="1" x14ac:dyDescent="0.25">
      <c r="E632" s="17" t="str">
        <f>IF(Tokens!C632="","",Tokens!C632)</f>
        <v>In Casa #469</v>
      </c>
      <c r="F632"/>
      <c r="G632"/>
      <c r="H632"/>
      <c r="I632"/>
      <c r="J632"/>
      <c r="M632"/>
      <c r="N632"/>
      <c r="O632" s="15" t="str">
        <f t="shared" si="18"/>
        <v>_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/>
      </c>
      <c r="Q632" s="2"/>
      <c r="R632" s="2"/>
      <c r="S632" s="11"/>
      <c r="T632" s="1" t="str">
        <f>"owner=" &amp; Tokens!BS632 &amp; "&amp;filename_for_metadata=" &amp; Tokens!BT632 &amp; "&amp;offchaindata_platform=" &amp; $B$17 &amp; "&amp;keyfile=" &amp; $B$5 &amp; "&amp;network=" &amp; LOWER($B$8) &amp; "&amp;repository=" &amp; $B$18</f>
        <v>owner=thomas&amp;filename_for_metadata=InCasa_COR22D469&amp;offchaindata_platform=MongoDB&amp;keyfile=Paul&amp;network=jsonfiles&amp;repository=test</v>
      </c>
      <c r="U632" s="1" t="str">
        <f t="shared" si="19"/>
        <v>{"name":"In Casa #469",_x000D_
"symbol":"COR22D469",_x000D_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2" s="1" t="str">
        <f>formatRow(Tokens!C$2:I$2,Tokens!C632:I632)</f>
        <v>"name":"In Casa #469",_x000D_
"symbol":"COR22D469",_x000D_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2" s="1" t="str">
        <f>formatRow(Tokens!J$2:AV$2,Tokens!J632:AV632,2,"attributes")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2" s="1" t="str">
        <f>formatRow(Tokens!AX$2:BC$2,Tokens!AX632:BC632,2,"creators")</f>
        <v>"creators":[{"address":"paul",_x000D_
"share":10},{"address":"sophie",_x000D_
"share":90}]</v>
      </c>
      <c r="Y632" s="1" t="str">
        <f>formatRow(Tokens!BD$2:BI$2,Tokens!BD632:BI632,2,"files")</f>
        <v>"files":[]</v>
      </c>
      <c r="Z632" s="1"/>
      <c r="AA632" s="1"/>
      <c r="AB632" s="1"/>
      <c r="AC632" s="1" t="str">
        <f>formatRow(Tokens!BJ$2:BK$2,Tokens!BJ632:BK632,0,"collection")</f>
        <v>"collection":{"name":"In Casa",_x000D_
"family":"Calvi On The Rocks"}</v>
      </c>
    </row>
    <row r="633" spans="5:29" ht="14.25" customHeight="1" x14ac:dyDescent="0.25">
      <c r="E633" s="17" t="str">
        <f>IF(Tokens!C633="","",Tokens!C633)</f>
        <v>In Casa #470</v>
      </c>
      <c r="F633"/>
      <c r="G633"/>
      <c r="H633"/>
      <c r="I633"/>
      <c r="J633"/>
      <c r="M633"/>
      <c r="N633"/>
      <c r="O633" s="15" t="str">
        <f t="shared" si="18"/>
        <v>_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/>
      </c>
      <c r="Q633" s="2"/>
      <c r="R633" s="2"/>
      <c r="S633" s="11"/>
      <c r="T633" s="1" t="str">
        <f>"owner=" &amp; Tokens!BS633 &amp; "&amp;filename_for_metadata=" &amp; Tokens!BT633 &amp; "&amp;offchaindata_platform=" &amp; $B$17 &amp; "&amp;keyfile=" &amp; $B$5 &amp; "&amp;network=" &amp; LOWER($B$8) &amp; "&amp;repository=" &amp; $B$18</f>
        <v>owner=thomas&amp;filename_for_metadata=InCasa_COR22D470&amp;offchaindata_platform=MongoDB&amp;keyfile=Paul&amp;network=jsonfiles&amp;repository=test</v>
      </c>
      <c r="U633" s="1" t="str">
        <f t="shared" si="19"/>
        <v>{"name":"In Casa #470",_x000D_
"symbol":"COR22D470",_x000D_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3" s="1" t="str">
        <f>formatRow(Tokens!C$2:I$2,Tokens!C633:I633)</f>
        <v>"name":"In Casa #470",_x000D_
"symbol":"COR22D470",_x000D_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3" s="1" t="str">
        <f>formatRow(Tokens!J$2:AV$2,Tokens!J633:AV633,2,"attributes")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3" s="1" t="str">
        <f>formatRow(Tokens!AX$2:BC$2,Tokens!AX633:BC633,2,"creators")</f>
        <v>"creators":[{"address":"paul",_x000D_
"share":10},{"address":"sophie",_x000D_
"share":90}]</v>
      </c>
      <c r="Y633" s="1" t="str">
        <f>formatRow(Tokens!BD$2:BI$2,Tokens!BD633:BI633,2,"files")</f>
        <v>"files":[]</v>
      </c>
      <c r="Z633" s="1"/>
      <c r="AA633" s="1"/>
      <c r="AB633" s="1"/>
      <c r="AC633" s="1" t="str">
        <f>formatRow(Tokens!BJ$2:BK$2,Tokens!BJ633:BK633,0,"collection")</f>
        <v>"collection":{"name":"In Casa",_x000D_
"family":"Calvi On The Rocks"}</v>
      </c>
    </row>
    <row r="634" spans="5:29" ht="14.25" customHeight="1" x14ac:dyDescent="0.25">
      <c r="E634" s="17" t="str">
        <f>IF(Tokens!C634="","",Tokens!C634)</f>
        <v>In Casa #471</v>
      </c>
      <c r="F634"/>
      <c r="G634"/>
      <c r="H634"/>
      <c r="I634"/>
      <c r="J634"/>
      <c r="M634"/>
      <c r="N634"/>
      <c r="O634" s="15" t="str">
        <f t="shared" si="18"/>
        <v>_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/>
      </c>
      <c r="Q634" s="2"/>
      <c r="R634" s="2"/>
      <c r="S634" s="11"/>
      <c r="T634" s="1" t="str">
        <f>"owner=" &amp; Tokens!BS634 &amp; "&amp;filename_for_metadata=" &amp; Tokens!BT634 &amp; "&amp;offchaindata_platform=" &amp; $B$17 &amp; "&amp;keyfile=" &amp; $B$5 &amp; "&amp;network=" &amp; LOWER($B$8) &amp; "&amp;repository=" &amp; $B$18</f>
        <v>owner=thomas&amp;filename_for_metadata=InCasa_COR22D471&amp;offchaindata_platform=MongoDB&amp;keyfile=Paul&amp;network=jsonfiles&amp;repository=test</v>
      </c>
      <c r="U634" s="1" t="str">
        <f t="shared" si="19"/>
        <v>{"name":"In Casa #471",_x000D_
"symbol":"COR22D471",_x000D_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4" s="1" t="str">
        <f>formatRow(Tokens!C$2:I$2,Tokens!C634:I634)</f>
        <v>"name":"In Casa #471",_x000D_
"symbol":"COR22D471",_x000D_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4" s="1" t="str">
        <f>formatRow(Tokens!J$2:AV$2,Tokens!J634:AV634,2,"attributes")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4" s="1" t="str">
        <f>formatRow(Tokens!AX$2:BC$2,Tokens!AX634:BC634,2,"creators")</f>
        <v>"creators":[{"address":"paul",_x000D_
"share":10},{"address":"sophie",_x000D_
"share":90}]</v>
      </c>
      <c r="Y634" s="1" t="str">
        <f>formatRow(Tokens!BD$2:BI$2,Tokens!BD634:BI634,2,"files")</f>
        <v>"files":[]</v>
      </c>
      <c r="Z634" s="1"/>
      <c r="AA634" s="1"/>
      <c r="AB634" s="1"/>
      <c r="AC634" s="1" t="str">
        <f>formatRow(Tokens!BJ$2:BK$2,Tokens!BJ634:BK634,0,"collection")</f>
        <v>"collection":{"name":"In Casa",_x000D_
"family":"Calvi On The Rocks"}</v>
      </c>
    </row>
    <row r="635" spans="5:29" ht="14.25" customHeight="1" x14ac:dyDescent="0.25">
      <c r="E635" s="17" t="str">
        <f>IF(Tokens!C635="","",Tokens!C635)</f>
        <v>In Casa #472</v>
      </c>
      <c r="F635"/>
      <c r="G635"/>
      <c r="H635"/>
      <c r="I635"/>
      <c r="J635"/>
      <c r="M635"/>
      <c r="N635"/>
      <c r="O635" s="15" t="str">
        <f t="shared" si="18"/>
        <v>_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/>
      </c>
      <c r="Q635" s="2"/>
      <c r="R635" s="2"/>
      <c r="S635" s="11"/>
      <c r="T635" s="1" t="str">
        <f>"owner=" &amp; Tokens!BS635 &amp; "&amp;filename_for_metadata=" &amp; Tokens!BT635 &amp; "&amp;offchaindata_platform=" &amp; $B$17 &amp; "&amp;keyfile=" &amp; $B$5 &amp; "&amp;network=" &amp; LOWER($B$8) &amp; "&amp;repository=" &amp; $B$18</f>
        <v>owner=thomas&amp;filename_for_metadata=InCasa_COR22D472&amp;offchaindata_platform=MongoDB&amp;keyfile=Paul&amp;network=jsonfiles&amp;repository=test</v>
      </c>
      <c r="U635" s="1" t="str">
        <f t="shared" si="19"/>
        <v>{"name":"In Casa #472",_x000D_
"symbol":"COR22D472",_x000D_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5" s="1" t="str">
        <f>formatRow(Tokens!C$2:I$2,Tokens!C635:I635)</f>
        <v>"name":"In Casa #472",_x000D_
"symbol":"COR22D472",_x000D_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5" s="1" t="str">
        <f>formatRow(Tokens!J$2:AV$2,Tokens!J635:AV635,2,"attributes")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5" s="1" t="str">
        <f>formatRow(Tokens!AX$2:BC$2,Tokens!AX635:BC635,2,"creators")</f>
        <v>"creators":[{"address":"paul",_x000D_
"share":10},{"address":"sophie",_x000D_
"share":90}]</v>
      </c>
      <c r="Y635" s="1" t="str">
        <f>formatRow(Tokens!BD$2:BI$2,Tokens!BD635:BI635,2,"files")</f>
        <v>"files":[]</v>
      </c>
      <c r="Z635" s="1"/>
      <c r="AA635" s="1"/>
      <c r="AB635" s="1"/>
      <c r="AC635" s="1" t="str">
        <f>formatRow(Tokens!BJ$2:BK$2,Tokens!BJ635:BK635,0,"collection")</f>
        <v>"collection":{"name":"In Casa",_x000D_
"family":"Calvi On The Rocks"}</v>
      </c>
    </row>
    <row r="636" spans="5:29" ht="14.25" customHeight="1" x14ac:dyDescent="0.25">
      <c r="E636" s="17" t="str">
        <f>IF(Tokens!C636="","",Tokens!C636)</f>
        <v>In Casa #473</v>
      </c>
      <c r="F636"/>
      <c r="G636"/>
      <c r="H636"/>
      <c r="I636"/>
      <c r="J636"/>
      <c r="M636"/>
      <c r="N636"/>
      <c r="O636" s="15" t="str">
        <f t="shared" si="18"/>
        <v>_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/>
      </c>
      <c r="Q636" s="2"/>
      <c r="R636" s="2"/>
      <c r="S636" s="11"/>
      <c r="T636" s="1" t="str">
        <f>"owner=" &amp; Tokens!BS636 &amp; "&amp;filename_for_metadata=" &amp; Tokens!BT636 &amp; "&amp;offchaindata_platform=" &amp; $B$17 &amp; "&amp;keyfile=" &amp; $B$5 &amp; "&amp;network=" &amp; LOWER($B$8) &amp; "&amp;repository=" &amp; $B$18</f>
        <v>owner=thomas&amp;filename_for_metadata=InCasa_COR22D473&amp;offchaindata_platform=MongoDB&amp;keyfile=Paul&amp;network=jsonfiles&amp;repository=test</v>
      </c>
      <c r="U636" s="1" t="str">
        <f t="shared" si="19"/>
        <v>{"name":"In Casa #473",_x000D_
"symbol":"COR22D473",_x000D_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6" s="1" t="str">
        <f>formatRow(Tokens!C$2:I$2,Tokens!C636:I636)</f>
        <v>"name":"In Casa #473",_x000D_
"symbol":"COR22D473",_x000D_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6" s="1" t="str">
        <f>formatRow(Tokens!J$2:AV$2,Tokens!J636:AV636,2,"attributes")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6" s="1" t="str">
        <f>formatRow(Tokens!AX$2:BC$2,Tokens!AX636:BC636,2,"creators")</f>
        <v>"creators":[{"address":"paul",_x000D_
"share":10},{"address":"sophie",_x000D_
"share":90}]</v>
      </c>
      <c r="Y636" s="1" t="str">
        <f>formatRow(Tokens!BD$2:BI$2,Tokens!BD636:BI636,2,"files")</f>
        <v>"files":[]</v>
      </c>
      <c r="Z636" s="1"/>
      <c r="AA636" s="1"/>
      <c r="AB636" s="1"/>
      <c r="AC636" s="1" t="str">
        <f>formatRow(Tokens!BJ$2:BK$2,Tokens!BJ636:BK636,0,"collection")</f>
        <v>"collection":{"name":"In Casa",_x000D_
"family":"Calvi On The Rocks"}</v>
      </c>
    </row>
    <row r="637" spans="5:29" ht="14.25" customHeight="1" x14ac:dyDescent="0.25">
      <c r="E637" s="17" t="str">
        <f>IF(Tokens!C637="","",Tokens!C637)</f>
        <v>In Casa #474</v>
      </c>
      <c r="F637"/>
      <c r="G637"/>
      <c r="H637"/>
      <c r="I637"/>
      <c r="J637"/>
      <c r="M637"/>
      <c r="N637"/>
      <c r="O637" s="15" t="str">
        <f t="shared" si="18"/>
        <v>_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/>
      </c>
      <c r="Q637" s="2"/>
      <c r="R637" s="2"/>
      <c r="S637" s="11"/>
      <c r="T637" s="1" t="str">
        <f>"owner=" &amp; Tokens!BS637 &amp; "&amp;filename_for_metadata=" &amp; Tokens!BT637 &amp; "&amp;offchaindata_platform=" &amp; $B$17 &amp; "&amp;keyfile=" &amp; $B$5 &amp; "&amp;network=" &amp; LOWER($B$8) &amp; "&amp;repository=" &amp; $B$18</f>
        <v>owner=thomas&amp;filename_for_metadata=InCasa_COR22D474&amp;offchaindata_platform=MongoDB&amp;keyfile=Paul&amp;network=jsonfiles&amp;repository=test</v>
      </c>
      <c r="U637" s="1" t="str">
        <f t="shared" si="19"/>
        <v>{"name":"In Casa #474",_x000D_
"symbol":"COR22D474",_x000D_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7" s="1" t="str">
        <f>formatRow(Tokens!C$2:I$2,Tokens!C637:I637)</f>
        <v>"name":"In Casa #474",_x000D_
"symbol":"COR22D474",_x000D_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7" s="1" t="str">
        <f>formatRow(Tokens!J$2:AV$2,Tokens!J637:AV637,2,"attributes")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7" s="1" t="str">
        <f>formatRow(Tokens!AX$2:BC$2,Tokens!AX637:BC637,2,"creators")</f>
        <v>"creators":[{"address":"paul",_x000D_
"share":10},{"address":"sophie",_x000D_
"share":90}]</v>
      </c>
      <c r="Y637" s="1" t="str">
        <f>formatRow(Tokens!BD$2:BI$2,Tokens!BD637:BI637,2,"files")</f>
        <v>"files":[]</v>
      </c>
      <c r="Z637" s="1"/>
      <c r="AA637" s="1"/>
      <c r="AB637" s="1"/>
      <c r="AC637" s="1" t="str">
        <f>formatRow(Tokens!BJ$2:BK$2,Tokens!BJ637:BK637,0,"collection")</f>
        <v>"collection":{"name":"In Casa",_x000D_
"family":"Calvi On The Rocks"}</v>
      </c>
    </row>
    <row r="638" spans="5:29" ht="14.25" customHeight="1" x14ac:dyDescent="0.25">
      <c r="E638" s="17" t="str">
        <f>IF(Tokens!C638="","",Tokens!C638)</f>
        <v>In Casa #475</v>
      </c>
      <c r="F638"/>
      <c r="G638"/>
      <c r="H638"/>
      <c r="I638"/>
      <c r="J638"/>
      <c r="M638"/>
      <c r="N638"/>
      <c r="O638" s="15" t="str">
        <f t="shared" si="18"/>
        <v>_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/>
      </c>
      <c r="Q638" s="2"/>
      <c r="R638" s="2"/>
      <c r="S638" s="11"/>
      <c r="T638" s="1" t="str">
        <f>"owner=" &amp; Tokens!BS638 &amp; "&amp;filename_for_metadata=" &amp; Tokens!BT638 &amp; "&amp;offchaindata_platform=" &amp; $B$17 &amp; "&amp;keyfile=" &amp; $B$5 &amp; "&amp;network=" &amp; LOWER($B$8) &amp; "&amp;repository=" &amp; $B$18</f>
        <v>owner=thomas&amp;filename_for_metadata=InCasa_COR22D475&amp;offchaindata_platform=MongoDB&amp;keyfile=Paul&amp;network=jsonfiles&amp;repository=test</v>
      </c>
      <c r="U638" s="1" t="str">
        <f t="shared" si="19"/>
        <v>{"name":"In Casa #475",_x000D_
"symbol":"COR22D475",_x000D_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8" s="1" t="str">
        <f>formatRow(Tokens!C$2:I$2,Tokens!C638:I638)</f>
        <v>"name":"In Casa #475",_x000D_
"symbol":"COR22D475",_x000D_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8" s="1" t="str">
        <f>formatRow(Tokens!J$2:AV$2,Tokens!J638:AV638,2,"attributes")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8" s="1" t="str">
        <f>formatRow(Tokens!AX$2:BC$2,Tokens!AX638:BC638,2,"creators")</f>
        <v>"creators":[{"address":"paul",_x000D_
"share":10},{"address":"sophie",_x000D_
"share":90}]</v>
      </c>
      <c r="Y638" s="1" t="str">
        <f>formatRow(Tokens!BD$2:BI$2,Tokens!BD638:BI638,2,"files")</f>
        <v>"files":[]</v>
      </c>
      <c r="Z638" s="1"/>
      <c r="AA638" s="1"/>
      <c r="AB638" s="1"/>
      <c r="AC638" s="1" t="str">
        <f>formatRow(Tokens!BJ$2:BK$2,Tokens!BJ638:BK638,0,"collection")</f>
        <v>"collection":{"name":"In Casa",_x000D_
"family":"Calvi On The Rocks"}</v>
      </c>
    </row>
    <row r="639" spans="5:29" ht="14.25" customHeight="1" x14ac:dyDescent="0.25">
      <c r="E639" s="17" t="str">
        <f>IF(Tokens!C639="","",Tokens!C639)</f>
        <v>In Casa #476</v>
      </c>
      <c r="F639"/>
      <c r="G639"/>
      <c r="H639"/>
      <c r="I639"/>
      <c r="J639"/>
      <c r="M639"/>
      <c r="N639"/>
      <c r="O639" s="15" t="str">
        <f t="shared" si="18"/>
        <v>_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/>
      </c>
      <c r="Q639" s="2"/>
      <c r="R639" s="2"/>
      <c r="S639" s="11"/>
      <c r="T639" s="1" t="str">
        <f>"owner=" &amp; Tokens!BS639 &amp; "&amp;filename_for_metadata=" &amp; Tokens!BT639 &amp; "&amp;offchaindata_platform=" &amp; $B$17 &amp; "&amp;keyfile=" &amp; $B$5 &amp; "&amp;network=" &amp; LOWER($B$8) &amp; "&amp;repository=" &amp; $B$18</f>
        <v>owner=thomas&amp;filename_for_metadata=InCasa_COR22D476&amp;offchaindata_platform=MongoDB&amp;keyfile=Paul&amp;network=jsonfiles&amp;repository=test</v>
      </c>
      <c r="U639" s="1" t="str">
        <f t="shared" si="19"/>
        <v>{"name":"In Casa #476",_x000D_
"symbol":"COR22D476",_x000D_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39" s="1" t="str">
        <f>formatRow(Tokens!C$2:I$2,Tokens!C639:I639)</f>
        <v>"name":"In Casa #476",_x000D_
"symbol":"COR22D476",_x000D_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39" s="1" t="str">
        <f>formatRow(Tokens!J$2:AV$2,Tokens!J639:AV639,2,"attributes")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39" s="1" t="str">
        <f>formatRow(Tokens!AX$2:BC$2,Tokens!AX639:BC639,2,"creators")</f>
        <v>"creators":[{"address":"paul",_x000D_
"share":10},{"address":"sophie",_x000D_
"share":90}]</v>
      </c>
      <c r="Y639" s="1" t="str">
        <f>formatRow(Tokens!BD$2:BI$2,Tokens!BD639:BI639,2,"files")</f>
        <v>"files":[]</v>
      </c>
      <c r="Z639" s="1"/>
      <c r="AA639" s="1"/>
      <c r="AB639" s="1"/>
      <c r="AC639" s="1" t="str">
        <f>formatRow(Tokens!BJ$2:BK$2,Tokens!BJ639:BK639,0,"collection")</f>
        <v>"collection":{"name":"In Casa",_x000D_
"family":"Calvi On The Rocks"}</v>
      </c>
    </row>
    <row r="640" spans="5:29" ht="14.25" customHeight="1" x14ac:dyDescent="0.25">
      <c r="E640" s="17" t="str">
        <f>IF(Tokens!C640="","",Tokens!C640)</f>
        <v>In Casa #477</v>
      </c>
      <c r="F640"/>
      <c r="G640"/>
      <c r="H640"/>
      <c r="I640"/>
      <c r="J640"/>
      <c r="M640"/>
      <c r="N640"/>
      <c r="O640" s="15" t="str">
        <f t="shared" si="18"/>
        <v>_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/>
      </c>
      <c r="Q640" s="2"/>
      <c r="R640" s="2"/>
      <c r="S640" s="11"/>
      <c r="T640" s="1" t="str">
        <f>"owner=" &amp; Tokens!BS640 &amp; "&amp;filename_for_metadata=" &amp; Tokens!BT640 &amp; "&amp;offchaindata_platform=" &amp; $B$17 &amp; "&amp;keyfile=" &amp; $B$5 &amp; "&amp;network=" &amp; LOWER($B$8) &amp; "&amp;repository=" &amp; $B$18</f>
        <v>owner=thomas&amp;filename_for_metadata=InCasa_COR22D477&amp;offchaindata_platform=MongoDB&amp;keyfile=Paul&amp;network=jsonfiles&amp;repository=test</v>
      </c>
      <c r="U640" s="1" t="str">
        <f t="shared" si="19"/>
        <v>{"name":"In Casa #477",_x000D_
"symbol":"COR22D477",_x000D_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0" s="1" t="str">
        <f>formatRow(Tokens!C$2:I$2,Tokens!C640:I640)</f>
        <v>"name":"In Casa #477",_x000D_
"symbol":"COR22D477",_x000D_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0" s="1" t="str">
        <f>formatRow(Tokens!J$2:AV$2,Tokens!J640:AV640,2,"attributes")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0" s="1" t="str">
        <f>formatRow(Tokens!AX$2:BC$2,Tokens!AX640:BC640,2,"creators")</f>
        <v>"creators":[{"address":"paul",_x000D_
"share":10},{"address":"sophie",_x000D_
"share":90}]</v>
      </c>
      <c r="Y640" s="1" t="str">
        <f>formatRow(Tokens!BD$2:BI$2,Tokens!BD640:BI640,2,"files")</f>
        <v>"files":[]</v>
      </c>
      <c r="Z640" s="1"/>
      <c r="AA640" s="1"/>
      <c r="AB640" s="1"/>
      <c r="AC640" s="1" t="str">
        <f>formatRow(Tokens!BJ$2:BK$2,Tokens!BJ640:BK640,0,"collection")</f>
        <v>"collection":{"name":"In Casa",_x000D_
"family":"Calvi On The Rocks"}</v>
      </c>
    </row>
    <row r="641" spans="5:29" ht="14.25" customHeight="1" x14ac:dyDescent="0.25">
      <c r="E641" s="17" t="str">
        <f>IF(Tokens!C641="","",Tokens!C641)</f>
        <v>In Casa #478</v>
      </c>
      <c r="F641"/>
      <c r="G641"/>
      <c r="H641"/>
      <c r="I641"/>
      <c r="J641"/>
      <c r="M641"/>
      <c r="N641"/>
      <c r="O641" s="15" t="str">
        <f t="shared" si="18"/>
        <v>_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/>
      </c>
      <c r="Q641" s="2"/>
      <c r="R641" s="2"/>
      <c r="S641" s="11"/>
      <c r="T641" s="1" t="str">
        <f>"owner=" &amp; Tokens!BS641 &amp; "&amp;filename_for_metadata=" &amp; Tokens!BT641 &amp; "&amp;offchaindata_platform=" &amp; $B$17 &amp; "&amp;keyfile=" &amp; $B$5 &amp; "&amp;network=" &amp; LOWER($B$8) &amp; "&amp;repository=" &amp; $B$18</f>
        <v>owner=thomas&amp;filename_for_metadata=InCasa_COR22D478&amp;offchaindata_platform=MongoDB&amp;keyfile=Paul&amp;network=jsonfiles&amp;repository=test</v>
      </c>
      <c r="U641" s="1" t="str">
        <f t="shared" si="19"/>
        <v>{"name":"In Casa #478",_x000D_
"symbol":"COR22D478",_x000D_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1" s="1" t="str">
        <f>formatRow(Tokens!C$2:I$2,Tokens!C641:I641)</f>
        <v>"name":"In Casa #478",_x000D_
"symbol":"COR22D478",_x000D_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1" s="1" t="str">
        <f>formatRow(Tokens!J$2:AV$2,Tokens!J641:AV641,2,"attributes")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1" s="1" t="str">
        <f>formatRow(Tokens!AX$2:BC$2,Tokens!AX641:BC641,2,"creators")</f>
        <v>"creators":[{"address":"paul",_x000D_
"share":10},{"address":"sophie",_x000D_
"share":90}]</v>
      </c>
      <c r="Y641" s="1" t="str">
        <f>formatRow(Tokens!BD$2:BI$2,Tokens!BD641:BI641,2,"files")</f>
        <v>"files":[]</v>
      </c>
      <c r="Z641" s="1"/>
      <c r="AA641" s="1"/>
      <c r="AB641" s="1"/>
      <c r="AC641" s="1" t="str">
        <f>formatRow(Tokens!BJ$2:BK$2,Tokens!BJ641:BK641,0,"collection")</f>
        <v>"collection":{"name":"In Casa",_x000D_
"family":"Calvi On The Rocks"}</v>
      </c>
    </row>
    <row r="642" spans="5:29" ht="14.25" customHeight="1" x14ac:dyDescent="0.25">
      <c r="E642" s="17" t="str">
        <f>IF(Tokens!C642="","",Tokens!C642)</f>
        <v>In Casa #479</v>
      </c>
      <c r="F642"/>
      <c r="G642"/>
      <c r="H642"/>
      <c r="I642"/>
      <c r="J642"/>
      <c r="M642"/>
      <c r="N642"/>
      <c r="O642" s="15" t="str">
        <f t="shared" si="18"/>
        <v>_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/>
      </c>
      <c r="Q642" s="2"/>
      <c r="R642" s="2"/>
      <c r="S642" s="11"/>
      <c r="T642" s="1" t="str">
        <f>"owner=" &amp; Tokens!BS642 &amp; "&amp;filename_for_metadata=" &amp; Tokens!BT642 &amp; "&amp;offchaindata_platform=" &amp; $B$17 &amp; "&amp;keyfile=" &amp; $B$5 &amp; "&amp;network=" &amp; LOWER($B$8) &amp; "&amp;repository=" &amp; $B$18</f>
        <v>owner=thomas&amp;filename_for_metadata=InCasa_COR22D479&amp;offchaindata_platform=MongoDB&amp;keyfile=Paul&amp;network=jsonfiles&amp;repository=test</v>
      </c>
      <c r="U642" s="1" t="str">
        <f t="shared" si="19"/>
        <v>{"name":"In Casa #479",_x000D_
"symbol":"COR22D479",_x000D_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2" s="1" t="str">
        <f>formatRow(Tokens!C$2:I$2,Tokens!C642:I642)</f>
        <v>"name":"In Casa #479",_x000D_
"symbol":"COR22D479",_x000D_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2" s="1" t="str">
        <f>formatRow(Tokens!J$2:AV$2,Tokens!J642:AV642,2,"attributes")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2" s="1" t="str">
        <f>formatRow(Tokens!AX$2:BC$2,Tokens!AX642:BC642,2,"creators")</f>
        <v>"creators":[{"address":"paul",_x000D_
"share":10},{"address":"sophie",_x000D_
"share":90}]</v>
      </c>
      <c r="Y642" s="1" t="str">
        <f>formatRow(Tokens!BD$2:BI$2,Tokens!BD642:BI642,2,"files")</f>
        <v>"files":[]</v>
      </c>
      <c r="Z642" s="1"/>
      <c r="AA642" s="1"/>
      <c r="AB642" s="1"/>
      <c r="AC642" s="1" t="str">
        <f>formatRow(Tokens!BJ$2:BK$2,Tokens!BJ642:BK642,0,"collection")</f>
        <v>"collection":{"name":"In Casa",_x000D_
"family":"Calvi On The Rocks"}</v>
      </c>
    </row>
    <row r="643" spans="5:29" ht="14.25" customHeight="1" x14ac:dyDescent="0.25">
      <c r="E643" s="17" t="str">
        <f>IF(Tokens!C643="","",Tokens!C643)</f>
        <v>In Casa #480</v>
      </c>
      <c r="F643"/>
      <c r="G643"/>
      <c r="H643"/>
      <c r="I643"/>
      <c r="J643"/>
      <c r="M643"/>
      <c r="N643"/>
      <c r="O643" s="15" t="str">
        <f t="shared" si="18"/>
        <v>_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/>
      </c>
      <c r="Q643" s="2"/>
      <c r="R643" s="2"/>
      <c r="S643" s="11"/>
      <c r="T643" s="1" t="str">
        <f>"owner=" &amp; Tokens!BS643 &amp; "&amp;filename_for_metadata=" &amp; Tokens!BT643 &amp; "&amp;offchaindata_platform=" &amp; $B$17 &amp; "&amp;keyfile=" &amp; $B$5 &amp; "&amp;network=" &amp; LOWER($B$8) &amp; "&amp;repository=" &amp; $B$18</f>
        <v>owner=thomas&amp;filename_for_metadata=InCasa_COR22D480&amp;offchaindata_platform=MongoDB&amp;keyfile=Paul&amp;network=jsonfiles&amp;repository=test</v>
      </c>
      <c r="U643" s="1" t="str">
        <f t="shared" si="19"/>
        <v>{"name":"In Casa #480",_x000D_
"symbol":"COR22D480",_x000D_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3" s="1" t="str">
        <f>formatRow(Tokens!C$2:I$2,Tokens!C643:I643)</f>
        <v>"name":"In Casa #480",_x000D_
"symbol":"COR22D480",_x000D_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3" s="1" t="str">
        <f>formatRow(Tokens!J$2:AV$2,Tokens!J643:AV643,2,"attributes")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3" s="1" t="str">
        <f>formatRow(Tokens!AX$2:BC$2,Tokens!AX643:BC643,2,"creators")</f>
        <v>"creators":[{"address":"paul",_x000D_
"share":10},{"address":"sophie",_x000D_
"share":90}]</v>
      </c>
      <c r="Y643" s="1" t="str">
        <f>formatRow(Tokens!BD$2:BI$2,Tokens!BD643:BI643,2,"files")</f>
        <v>"files":[]</v>
      </c>
      <c r="Z643" s="1"/>
      <c r="AA643" s="1"/>
      <c r="AB643" s="1"/>
      <c r="AC643" s="1" t="str">
        <f>formatRow(Tokens!BJ$2:BK$2,Tokens!BJ643:BK643,0,"collection")</f>
        <v>"collection":{"name":"In Casa",_x000D_
"family":"Calvi On The Rocks"}</v>
      </c>
    </row>
    <row r="644" spans="5:29" ht="14.25" customHeight="1" x14ac:dyDescent="0.25">
      <c r="E644" s="17" t="str">
        <f>IF(Tokens!C644="","",Tokens!C644)</f>
        <v>In Casa #481</v>
      </c>
      <c r="F644"/>
      <c r="G644"/>
      <c r="H644"/>
      <c r="I644"/>
      <c r="J644"/>
      <c r="M644"/>
      <c r="N644"/>
      <c r="O644" s="15" t="str">
        <f t="shared" ref="O644:O707" si="20">IF(AND(ISNUMBER(N643),ISNUMBER(N644)),(N644-N643)*$O$1,"_")</f>
        <v>_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/>
      </c>
      <c r="Q644" s="2"/>
      <c r="R644" s="2"/>
      <c r="S644" s="11"/>
      <c r="T644" s="1" t="str">
        <f>"owner=" &amp; Tokens!BS644 &amp; "&amp;filename_for_metadata=" &amp; Tokens!BT644 &amp; "&amp;offchaindata_platform=" &amp; $B$17 &amp; "&amp;keyfile=" &amp; $B$5 &amp; "&amp;network=" &amp; LOWER($B$8) &amp; "&amp;repository=" &amp; $B$18</f>
        <v>owner=thomas&amp;filename_for_metadata=InCasa_COR22D481&amp;offchaindata_platform=MongoDB&amp;keyfile=Paul&amp;network=jsonfiles&amp;repository=test</v>
      </c>
      <c r="U644" s="1" t="str">
        <f t="shared" si="19"/>
        <v>{"name":"In Casa #481",_x000D_
"symbol":"COR22D481",_x000D_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4" s="1" t="str">
        <f>formatRow(Tokens!C$2:I$2,Tokens!C644:I644)</f>
        <v>"name":"In Casa #481",_x000D_
"symbol":"COR22D481",_x000D_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4" s="1" t="str">
        <f>formatRow(Tokens!J$2:AV$2,Tokens!J644:AV644,2,"attributes")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4" s="1" t="str">
        <f>formatRow(Tokens!AX$2:BC$2,Tokens!AX644:BC644,2,"creators")</f>
        <v>"creators":[{"address":"paul",_x000D_
"share":10},{"address":"sophie",_x000D_
"share":90}]</v>
      </c>
      <c r="Y644" s="1" t="str">
        <f>formatRow(Tokens!BD$2:BI$2,Tokens!BD644:BI644,2,"files")</f>
        <v>"files":[]</v>
      </c>
      <c r="Z644" s="1"/>
      <c r="AA644" s="1"/>
      <c r="AB644" s="1"/>
      <c r="AC644" s="1" t="str">
        <f>formatRow(Tokens!BJ$2:BK$2,Tokens!BJ644:BK644,0,"collection")</f>
        <v>"collection":{"name":"In Casa",_x000D_
"family":"Calvi On The Rocks"}</v>
      </c>
    </row>
    <row r="645" spans="5:29" ht="14.25" customHeight="1" x14ac:dyDescent="0.25">
      <c r="E645" s="17" t="str">
        <f>IF(Tokens!C645="","",Tokens!C645)</f>
        <v>In Casa #482</v>
      </c>
      <c r="F645"/>
      <c r="G645"/>
      <c r="H645"/>
      <c r="I645"/>
      <c r="J645"/>
      <c r="M645"/>
      <c r="N645"/>
      <c r="O645" s="15" t="str">
        <f t="shared" si="20"/>
        <v>_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/>
      </c>
      <c r="Q645" s="2"/>
      <c r="R645" s="2"/>
      <c r="S645" s="11"/>
      <c r="T645" s="1" t="str">
        <f>"owner=" &amp; Tokens!BS645 &amp; "&amp;filename_for_metadata=" &amp; Tokens!BT645 &amp; "&amp;offchaindata_platform=" &amp; $B$17 &amp; "&amp;keyfile=" &amp; $B$5 &amp; "&amp;network=" &amp; LOWER($B$8) &amp; "&amp;repository=" &amp; $B$18</f>
        <v>owner=thomas&amp;filename_for_metadata=InCasa_COR22D482&amp;offchaindata_platform=MongoDB&amp;keyfile=Paul&amp;network=jsonfiles&amp;repository=test</v>
      </c>
      <c r="U645" s="1" t="str">
        <f t="shared" ref="U645:U708" si="21">"{" &amp; V645 &amp; "," &amp; W645 &amp; "," &amp; """properties"":{" &amp; X645 &amp; "," &amp; Y645 &amp; "}," &amp; AC645 &amp; "}"</f>
        <v>{"name":"In Casa #482",_x000D_
"symbol":"COR22D482",_x000D_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5" s="1" t="str">
        <f>formatRow(Tokens!C$2:I$2,Tokens!C645:I645)</f>
        <v>"name":"In Casa #482",_x000D_
"symbol":"COR22D482",_x000D_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5" s="1" t="str">
        <f>formatRow(Tokens!J$2:AV$2,Tokens!J645:AV645,2,"attributes")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5" s="1" t="str">
        <f>formatRow(Tokens!AX$2:BC$2,Tokens!AX645:BC645,2,"creators")</f>
        <v>"creators":[{"address":"paul",_x000D_
"share":10},{"address":"sophie",_x000D_
"share":90}]</v>
      </c>
      <c r="Y645" s="1" t="str">
        <f>formatRow(Tokens!BD$2:BI$2,Tokens!BD645:BI645,2,"files")</f>
        <v>"files":[]</v>
      </c>
      <c r="Z645" s="1"/>
      <c r="AA645" s="1"/>
      <c r="AB645" s="1"/>
      <c r="AC645" s="1" t="str">
        <f>formatRow(Tokens!BJ$2:BK$2,Tokens!BJ645:BK645,0,"collection")</f>
        <v>"collection":{"name":"In Casa",_x000D_
"family":"Calvi On The Rocks"}</v>
      </c>
    </row>
    <row r="646" spans="5:29" ht="14.25" customHeight="1" x14ac:dyDescent="0.25">
      <c r="E646" s="17" t="str">
        <f>IF(Tokens!C646="","",Tokens!C646)</f>
        <v>In Casa #483</v>
      </c>
      <c r="F646"/>
      <c r="G646"/>
      <c r="H646"/>
      <c r="I646"/>
      <c r="J646"/>
      <c r="M646"/>
      <c r="N646"/>
      <c r="O646" s="15" t="str">
        <f t="shared" si="20"/>
        <v>_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/>
      </c>
      <c r="Q646" s="2"/>
      <c r="R646" s="2"/>
      <c r="S646" s="11"/>
      <c r="T646" s="1" t="str">
        <f>"owner=" &amp; Tokens!BS646 &amp; "&amp;filename_for_metadata=" &amp; Tokens!BT646 &amp; "&amp;offchaindata_platform=" &amp; $B$17 &amp; "&amp;keyfile=" &amp; $B$5 &amp; "&amp;network=" &amp; LOWER($B$8) &amp; "&amp;repository=" &amp; $B$18</f>
        <v>owner=thomas&amp;filename_for_metadata=InCasa_COR22D483&amp;offchaindata_platform=MongoDB&amp;keyfile=Paul&amp;network=jsonfiles&amp;repository=test</v>
      </c>
      <c r="U646" s="1" t="str">
        <f t="shared" si="21"/>
        <v>{"name":"In Casa #483",_x000D_
"symbol":"COR22D483",_x000D_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6" s="1" t="str">
        <f>formatRow(Tokens!C$2:I$2,Tokens!C646:I646)</f>
        <v>"name":"In Casa #483",_x000D_
"symbol":"COR22D483",_x000D_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6" s="1" t="str">
        <f>formatRow(Tokens!J$2:AV$2,Tokens!J646:AV646,2,"attributes")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6" s="1" t="str">
        <f>formatRow(Tokens!AX$2:BC$2,Tokens!AX646:BC646,2,"creators")</f>
        <v>"creators":[{"address":"paul",_x000D_
"share":10},{"address":"sophie",_x000D_
"share":90}]</v>
      </c>
      <c r="Y646" s="1" t="str">
        <f>formatRow(Tokens!BD$2:BI$2,Tokens!BD646:BI646,2,"files")</f>
        <v>"files":[]</v>
      </c>
      <c r="Z646" s="1"/>
      <c r="AA646" s="1"/>
      <c r="AB646" s="1"/>
      <c r="AC646" s="1" t="str">
        <f>formatRow(Tokens!BJ$2:BK$2,Tokens!BJ646:BK646,0,"collection")</f>
        <v>"collection":{"name":"In Casa",_x000D_
"family":"Calvi On The Rocks"}</v>
      </c>
    </row>
    <row r="647" spans="5:29" ht="14.25" customHeight="1" x14ac:dyDescent="0.25">
      <c r="E647" s="17" t="str">
        <f>IF(Tokens!C647="","",Tokens!C647)</f>
        <v>In Casa #484</v>
      </c>
      <c r="F647"/>
      <c r="G647"/>
      <c r="H647"/>
      <c r="I647"/>
      <c r="J647"/>
      <c r="M647"/>
      <c r="N647"/>
      <c r="O647" s="15" t="str">
        <f t="shared" si="20"/>
        <v>_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/>
      </c>
      <c r="Q647" s="2"/>
      <c r="R647" s="2"/>
      <c r="S647" s="11"/>
      <c r="T647" s="1" t="str">
        <f>"owner=" &amp; Tokens!BS647 &amp; "&amp;filename_for_metadata=" &amp; Tokens!BT647 &amp; "&amp;offchaindata_platform=" &amp; $B$17 &amp; "&amp;keyfile=" &amp; $B$5 &amp; "&amp;network=" &amp; LOWER($B$8) &amp; "&amp;repository=" &amp; $B$18</f>
        <v>owner=thomas&amp;filename_for_metadata=InCasa_COR22D484&amp;offchaindata_platform=MongoDB&amp;keyfile=Paul&amp;network=jsonfiles&amp;repository=test</v>
      </c>
      <c r="U647" s="1" t="str">
        <f t="shared" si="21"/>
        <v>{"name":"In Casa #484",_x000D_
"symbol":"COR22D484",_x000D_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7" s="1" t="str">
        <f>formatRow(Tokens!C$2:I$2,Tokens!C647:I647)</f>
        <v>"name":"In Casa #484",_x000D_
"symbol":"COR22D484",_x000D_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7" s="1" t="str">
        <f>formatRow(Tokens!J$2:AV$2,Tokens!J647:AV647,2,"attributes")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7" s="1" t="str">
        <f>formatRow(Tokens!AX$2:BC$2,Tokens!AX647:BC647,2,"creators")</f>
        <v>"creators":[{"address":"paul",_x000D_
"share":10},{"address":"sophie",_x000D_
"share":90}]</v>
      </c>
      <c r="Y647" s="1" t="str">
        <f>formatRow(Tokens!BD$2:BI$2,Tokens!BD647:BI647,2,"files")</f>
        <v>"files":[]</v>
      </c>
      <c r="Z647" s="1"/>
      <c r="AA647" s="1"/>
      <c r="AB647" s="1"/>
      <c r="AC647" s="1" t="str">
        <f>formatRow(Tokens!BJ$2:BK$2,Tokens!BJ647:BK647,0,"collection")</f>
        <v>"collection":{"name":"In Casa",_x000D_
"family":"Calvi On The Rocks"}</v>
      </c>
    </row>
    <row r="648" spans="5:29" ht="14.25" customHeight="1" x14ac:dyDescent="0.25">
      <c r="E648" s="17" t="str">
        <f>IF(Tokens!C648="","",Tokens!C648)</f>
        <v>In Casa #485</v>
      </c>
      <c r="F648"/>
      <c r="G648"/>
      <c r="H648"/>
      <c r="I648"/>
      <c r="J648"/>
      <c r="M648"/>
      <c r="N648"/>
      <c r="O648" s="15" t="str">
        <f t="shared" si="20"/>
        <v>_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/>
      </c>
      <c r="Q648" s="2"/>
      <c r="R648" s="2"/>
      <c r="S648" s="11"/>
      <c r="T648" s="1" t="str">
        <f>"owner=" &amp; Tokens!BS648 &amp; "&amp;filename_for_metadata=" &amp; Tokens!BT648 &amp; "&amp;offchaindata_platform=" &amp; $B$17 &amp; "&amp;keyfile=" &amp; $B$5 &amp; "&amp;network=" &amp; LOWER($B$8) &amp; "&amp;repository=" &amp; $B$18</f>
        <v>owner=thomas&amp;filename_for_metadata=InCasa_COR22D485&amp;offchaindata_platform=MongoDB&amp;keyfile=Paul&amp;network=jsonfiles&amp;repository=test</v>
      </c>
      <c r="U648" s="1" t="str">
        <f t="shared" si="21"/>
        <v>{"name":"In Casa #485",_x000D_
"symbol":"COR22D485",_x000D_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8" s="1" t="str">
        <f>formatRow(Tokens!C$2:I$2,Tokens!C648:I648)</f>
        <v>"name":"In Casa #485",_x000D_
"symbol":"COR22D485",_x000D_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8" s="1" t="str">
        <f>formatRow(Tokens!J$2:AV$2,Tokens!J648:AV648,2,"attributes")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8" s="1" t="str">
        <f>formatRow(Tokens!AX$2:BC$2,Tokens!AX648:BC648,2,"creators")</f>
        <v>"creators":[{"address":"paul",_x000D_
"share":10},{"address":"sophie",_x000D_
"share":90}]</v>
      </c>
      <c r="Y648" s="1" t="str">
        <f>formatRow(Tokens!BD$2:BI$2,Tokens!BD648:BI648,2,"files")</f>
        <v>"files":[]</v>
      </c>
      <c r="Z648" s="1"/>
      <c r="AA648" s="1"/>
      <c r="AB648" s="1"/>
      <c r="AC648" s="1" t="str">
        <f>formatRow(Tokens!BJ$2:BK$2,Tokens!BJ648:BK648,0,"collection")</f>
        <v>"collection":{"name":"In Casa",_x000D_
"family":"Calvi On The Rocks"}</v>
      </c>
    </row>
    <row r="649" spans="5:29" ht="14.25" customHeight="1" x14ac:dyDescent="0.25">
      <c r="E649" s="17" t="str">
        <f>IF(Tokens!C649="","",Tokens!C649)</f>
        <v>In Casa #486</v>
      </c>
      <c r="F649"/>
      <c r="G649"/>
      <c r="H649"/>
      <c r="I649"/>
      <c r="J649"/>
      <c r="M649"/>
      <c r="N649"/>
      <c r="O649" s="15" t="str">
        <f t="shared" si="20"/>
        <v>_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/>
      </c>
      <c r="Q649" s="2"/>
      <c r="R649" s="2"/>
      <c r="S649" s="11"/>
      <c r="T649" s="1" t="str">
        <f>"owner=" &amp; Tokens!BS649 &amp; "&amp;filename_for_metadata=" &amp; Tokens!BT649 &amp; "&amp;offchaindata_platform=" &amp; $B$17 &amp; "&amp;keyfile=" &amp; $B$5 &amp; "&amp;network=" &amp; LOWER($B$8) &amp; "&amp;repository=" &amp; $B$18</f>
        <v>owner=thomas&amp;filename_for_metadata=InCasa_COR22D486&amp;offchaindata_platform=MongoDB&amp;keyfile=Paul&amp;network=jsonfiles&amp;repository=test</v>
      </c>
      <c r="U649" s="1" t="str">
        <f t="shared" si="21"/>
        <v>{"name":"In Casa #486",_x000D_
"symbol":"COR22D486",_x000D_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49" s="1" t="str">
        <f>formatRow(Tokens!C$2:I$2,Tokens!C649:I649)</f>
        <v>"name":"In Casa #486",_x000D_
"symbol":"COR22D486",_x000D_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49" s="1" t="str">
        <f>formatRow(Tokens!J$2:AV$2,Tokens!J649:AV649,2,"attributes")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49" s="1" t="str">
        <f>formatRow(Tokens!AX$2:BC$2,Tokens!AX649:BC649,2,"creators")</f>
        <v>"creators":[{"address":"paul",_x000D_
"share":10},{"address":"sophie",_x000D_
"share":90}]</v>
      </c>
      <c r="Y649" s="1" t="str">
        <f>formatRow(Tokens!BD$2:BI$2,Tokens!BD649:BI649,2,"files")</f>
        <v>"files":[]</v>
      </c>
      <c r="Z649" s="1"/>
      <c r="AA649" s="1"/>
      <c r="AB649" s="1"/>
      <c r="AC649" s="1" t="str">
        <f>formatRow(Tokens!BJ$2:BK$2,Tokens!BJ649:BK649,0,"collection")</f>
        <v>"collection":{"name":"In Casa",_x000D_
"family":"Calvi On The Rocks"}</v>
      </c>
    </row>
    <row r="650" spans="5:29" ht="14.25" customHeight="1" x14ac:dyDescent="0.25">
      <c r="E650" s="17" t="str">
        <f>IF(Tokens!C650="","",Tokens!C650)</f>
        <v>In Casa #487</v>
      </c>
      <c r="F650"/>
      <c r="G650"/>
      <c r="H650"/>
      <c r="I650"/>
      <c r="J650"/>
      <c r="M650"/>
      <c r="N650"/>
      <c r="O650" s="15" t="str">
        <f t="shared" si="20"/>
        <v>_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/>
      </c>
      <c r="Q650" s="2"/>
      <c r="R650" s="2"/>
      <c r="S650" s="11"/>
      <c r="T650" s="1" t="str">
        <f>"owner=" &amp; Tokens!BS650 &amp; "&amp;filename_for_metadata=" &amp; Tokens!BT650 &amp; "&amp;offchaindata_platform=" &amp; $B$17 &amp; "&amp;keyfile=" &amp; $B$5 &amp; "&amp;network=" &amp; LOWER($B$8) &amp; "&amp;repository=" &amp; $B$18</f>
        <v>owner=thomas&amp;filename_for_metadata=InCasa_COR22D487&amp;offchaindata_platform=MongoDB&amp;keyfile=Paul&amp;network=jsonfiles&amp;repository=test</v>
      </c>
      <c r="U650" s="1" t="str">
        <f t="shared" si="21"/>
        <v>{"name":"In Casa #487",_x000D_
"symbol":"COR22D487",_x000D_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0" s="1" t="str">
        <f>formatRow(Tokens!C$2:I$2,Tokens!C650:I650)</f>
        <v>"name":"In Casa #487",_x000D_
"symbol":"COR22D487",_x000D_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0" s="1" t="str">
        <f>formatRow(Tokens!J$2:AV$2,Tokens!J650:AV650,2,"attributes")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0" s="1" t="str">
        <f>formatRow(Tokens!AX$2:BC$2,Tokens!AX650:BC650,2,"creators")</f>
        <v>"creators":[{"address":"paul",_x000D_
"share":10},{"address":"sophie",_x000D_
"share":90}]</v>
      </c>
      <c r="Y650" s="1" t="str">
        <f>formatRow(Tokens!BD$2:BI$2,Tokens!BD650:BI650,2,"files")</f>
        <v>"files":[]</v>
      </c>
      <c r="Z650" s="1"/>
      <c r="AA650" s="1"/>
      <c r="AB650" s="1"/>
      <c r="AC650" s="1" t="str">
        <f>formatRow(Tokens!BJ$2:BK$2,Tokens!BJ650:BK650,0,"collection")</f>
        <v>"collection":{"name":"In Casa",_x000D_
"family":"Calvi On The Rocks"}</v>
      </c>
    </row>
    <row r="651" spans="5:29" ht="14.25" customHeight="1" x14ac:dyDescent="0.25">
      <c r="E651" s="17" t="str">
        <f>IF(Tokens!C651="","",Tokens!C651)</f>
        <v>In Casa #488</v>
      </c>
      <c r="F651"/>
      <c r="G651"/>
      <c r="H651"/>
      <c r="I651"/>
      <c r="J651"/>
      <c r="M651"/>
      <c r="N651"/>
      <c r="O651" s="15" t="str">
        <f t="shared" si="20"/>
        <v>_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/>
      </c>
      <c r="Q651" s="2"/>
      <c r="R651" s="2"/>
      <c r="S651" s="11"/>
      <c r="T651" s="1" t="str">
        <f>"owner=" &amp; Tokens!BS651 &amp; "&amp;filename_for_metadata=" &amp; Tokens!BT651 &amp; "&amp;offchaindata_platform=" &amp; $B$17 &amp; "&amp;keyfile=" &amp; $B$5 &amp; "&amp;network=" &amp; LOWER($B$8) &amp; "&amp;repository=" &amp; $B$18</f>
        <v>owner=thomas&amp;filename_for_metadata=InCasa_COR22D488&amp;offchaindata_platform=MongoDB&amp;keyfile=Paul&amp;network=jsonfiles&amp;repository=test</v>
      </c>
      <c r="U651" s="1" t="str">
        <f t="shared" si="21"/>
        <v>{"name":"In Casa #488",_x000D_
"symbol":"COR22D488",_x000D_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1" s="1" t="str">
        <f>formatRow(Tokens!C$2:I$2,Tokens!C651:I651)</f>
        <v>"name":"In Casa #488",_x000D_
"symbol":"COR22D488",_x000D_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1" s="1" t="str">
        <f>formatRow(Tokens!J$2:AV$2,Tokens!J651:AV651,2,"attributes")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1" s="1" t="str">
        <f>formatRow(Tokens!AX$2:BC$2,Tokens!AX651:BC651,2,"creators")</f>
        <v>"creators":[{"address":"paul",_x000D_
"share":10},{"address":"sophie",_x000D_
"share":90}]</v>
      </c>
      <c r="Y651" s="1" t="str">
        <f>formatRow(Tokens!BD$2:BI$2,Tokens!BD651:BI651,2,"files")</f>
        <v>"files":[]</v>
      </c>
      <c r="Z651" s="1"/>
      <c r="AA651" s="1"/>
      <c r="AB651" s="1"/>
      <c r="AC651" s="1" t="str">
        <f>formatRow(Tokens!BJ$2:BK$2,Tokens!BJ651:BK651,0,"collection")</f>
        <v>"collection":{"name":"In Casa",_x000D_
"family":"Calvi On The Rocks"}</v>
      </c>
    </row>
    <row r="652" spans="5:29" ht="14.25" customHeight="1" x14ac:dyDescent="0.25">
      <c r="E652" s="17" t="str">
        <f>IF(Tokens!C652="","",Tokens!C652)</f>
        <v>In Casa #489</v>
      </c>
      <c r="F652"/>
      <c r="G652"/>
      <c r="H652"/>
      <c r="I652"/>
      <c r="J652"/>
      <c r="M652"/>
      <c r="N652"/>
      <c r="O652" s="15" t="str">
        <f t="shared" si="20"/>
        <v>_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/>
      </c>
      <c r="Q652" s="2"/>
      <c r="R652" s="2"/>
      <c r="S652" s="11"/>
      <c r="T652" s="1" t="str">
        <f>"owner=" &amp; Tokens!BS652 &amp; "&amp;filename_for_metadata=" &amp; Tokens!BT652 &amp; "&amp;offchaindata_platform=" &amp; $B$17 &amp; "&amp;keyfile=" &amp; $B$5 &amp; "&amp;network=" &amp; LOWER($B$8) &amp; "&amp;repository=" &amp; $B$18</f>
        <v>owner=thomas&amp;filename_for_metadata=InCasa_COR22D489&amp;offchaindata_platform=MongoDB&amp;keyfile=Paul&amp;network=jsonfiles&amp;repository=test</v>
      </c>
      <c r="U652" s="1" t="str">
        <f t="shared" si="21"/>
        <v>{"name":"In Casa #489",_x000D_
"symbol":"COR22D489",_x000D_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2" s="1" t="str">
        <f>formatRow(Tokens!C$2:I$2,Tokens!C652:I652)</f>
        <v>"name":"In Casa #489",_x000D_
"symbol":"COR22D489",_x000D_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2" s="1" t="str">
        <f>formatRow(Tokens!J$2:AV$2,Tokens!J652:AV652,2,"attributes")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2" s="1" t="str">
        <f>formatRow(Tokens!AX$2:BC$2,Tokens!AX652:BC652,2,"creators")</f>
        <v>"creators":[{"address":"paul",_x000D_
"share":10},{"address":"sophie",_x000D_
"share":90}]</v>
      </c>
      <c r="Y652" s="1" t="str">
        <f>formatRow(Tokens!BD$2:BI$2,Tokens!BD652:BI652,2,"files")</f>
        <v>"files":[]</v>
      </c>
      <c r="Z652" s="1"/>
      <c r="AA652" s="1"/>
      <c r="AB652" s="1"/>
      <c r="AC652" s="1" t="str">
        <f>formatRow(Tokens!BJ$2:BK$2,Tokens!BJ652:BK652,0,"collection")</f>
        <v>"collection":{"name":"In Casa",_x000D_
"family":"Calvi On The Rocks"}</v>
      </c>
    </row>
    <row r="653" spans="5:29" ht="14.25" customHeight="1" x14ac:dyDescent="0.25">
      <c r="E653" s="17" t="str">
        <f>IF(Tokens!C653="","",Tokens!C653)</f>
        <v>In Casa #490</v>
      </c>
      <c r="F653"/>
      <c r="G653"/>
      <c r="H653"/>
      <c r="I653"/>
      <c r="J653"/>
      <c r="M653"/>
      <c r="N653"/>
      <c r="O653" s="15" t="str">
        <f t="shared" si="20"/>
        <v>_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/>
      </c>
      <c r="Q653" s="2"/>
      <c r="R653" s="2"/>
      <c r="S653" s="11"/>
      <c r="T653" s="1" t="str">
        <f>"owner=" &amp; Tokens!BS653 &amp; "&amp;filename_for_metadata=" &amp; Tokens!BT653 &amp; "&amp;offchaindata_platform=" &amp; $B$17 &amp; "&amp;keyfile=" &amp; $B$5 &amp; "&amp;network=" &amp; LOWER($B$8) &amp; "&amp;repository=" &amp; $B$18</f>
        <v>owner=thomas&amp;filename_for_metadata=InCasa_COR22D490&amp;offchaindata_platform=MongoDB&amp;keyfile=Paul&amp;network=jsonfiles&amp;repository=test</v>
      </c>
      <c r="U653" s="1" t="str">
        <f t="shared" si="21"/>
        <v>{"name":"In Casa #490",_x000D_
"symbol":"COR22D490",_x000D_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3" s="1" t="str">
        <f>formatRow(Tokens!C$2:I$2,Tokens!C653:I653)</f>
        <v>"name":"In Casa #490",_x000D_
"symbol":"COR22D490",_x000D_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3" s="1" t="str">
        <f>formatRow(Tokens!J$2:AV$2,Tokens!J653:AV653,2,"attributes")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3" s="1" t="str">
        <f>formatRow(Tokens!AX$2:BC$2,Tokens!AX653:BC653,2,"creators")</f>
        <v>"creators":[{"address":"paul",_x000D_
"share":10},{"address":"sophie",_x000D_
"share":90}]</v>
      </c>
      <c r="Y653" s="1" t="str">
        <f>formatRow(Tokens!BD$2:BI$2,Tokens!BD653:BI653,2,"files")</f>
        <v>"files":[]</v>
      </c>
      <c r="Z653" s="1"/>
      <c r="AA653" s="1"/>
      <c r="AB653" s="1"/>
      <c r="AC653" s="1" t="str">
        <f>formatRow(Tokens!BJ$2:BK$2,Tokens!BJ653:BK653,0,"collection")</f>
        <v>"collection":{"name":"In Casa",_x000D_
"family":"Calvi On The Rocks"}</v>
      </c>
    </row>
    <row r="654" spans="5:29" ht="14.25" customHeight="1" x14ac:dyDescent="0.25">
      <c r="E654" s="17" t="str">
        <f>IF(Tokens!C654="","",Tokens!C654)</f>
        <v>In Casa #491</v>
      </c>
      <c r="F654"/>
      <c r="G654"/>
      <c r="H654"/>
      <c r="I654"/>
      <c r="J654"/>
      <c r="M654"/>
      <c r="N654"/>
      <c r="O654" s="15" t="str">
        <f t="shared" si="20"/>
        <v>_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/>
      </c>
      <c r="Q654" s="2"/>
      <c r="R654" s="2"/>
      <c r="S654" s="11"/>
      <c r="T654" s="1" t="str">
        <f>"owner=" &amp; Tokens!BS654 &amp; "&amp;filename_for_metadata=" &amp; Tokens!BT654 &amp; "&amp;offchaindata_platform=" &amp; $B$17 &amp; "&amp;keyfile=" &amp; $B$5 &amp; "&amp;network=" &amp; LOWER($B$8) &amp; "&amp;repository=" &amp; $B$18</f>
        <v>owner=thomas&amp;filename_for_metadata=InCasa_COR22D491&amp;offchaindata_platform=MongoDB&amp;keyfile=Paul&amp;network=jsonfiles&amp;repository=test</v>
      </c>
      <c r="U654" s="1" t="str">
        <f t="shared" si="21"/>
        <v>{"name":"In Casa #491",_x000D_
"symbol":"COR22D491",_x000D_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4" s="1" t="str">
        <f>formatRow(Tokens!C$2:I$2,Tokens!C654:I654)</f>
        <v>"name":"In Casa #491",_x000D_
"symbol":"COR22D491",_x000D_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4" s="1" t="str">
        <f>formatRow(Tokens!J$2:AV$2,Tokens!J654:AV654,2,"attributes")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4" s="1" t="str">
        <f>formatRow(Tokens!AX$2:BC$2,Tokens!AX654:BC654,2,"creators")</f>
        <v>"creators":[{"address":"paul",_x000D_
"share":10},{"address":"sophie",_x000D_
"share":90}]</v>
      </c>
      <c r="Y654" s="1" t="str">
        <f>formatRow(Tokens!BD$2:BI$2,Tokens!BD654:BI654,2,"files")</f>
        <v>"files":[]</v>
      </c>
      <c r="Z654" s="1"/>
      <c r="AA654" s="1"/>
      <c r="AB654" s="1"/>
      <c r="AC654" s="1" t="str">
        <f>formatRow(Tokens!BJ$2:BK$2,Tokens!BJ654:BK654,0,"collection")</f>
        <v>"collection":{"name":"In Casa",_x000D_
"family":"Calvi On The Rocks"}</v>
      </c>
    </row>
    <row r="655" spans="5:29" ht="14.25" customHeight="1" x14ac:dyDescent="0.25">
      <c r="E655" s="17" t="str">
        <f>IF(Tokens!C655="","",Tokens!C655)</f>
        <v>In Casa #492</v>
      </c>
      <c r="F655"/>
      <c r="G655"/>
      <c r="H655"/>
      <c r="I655"/>
      <c r="J655"/>
      <c r="M655"/>
      <c r="N655"/>
      <c r="O655" s="15" t="str">
        <f t="shared" si="20"/>
        <v>_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/>
      </c>
      <c r="Q655" s="2"/>
      <c r="R655" s="2"/>
      <c r="S655" s="11"/>
      <c r="T655" s="1" t="str">
        <f>"owner=" &amp; Tokens!BS655 &amp; "&amp;filename_for_metadata=" &amp; Tokens!BT655 &amp; "&amp;offchaindata_platform=" &amp; $B$17 &amp; "&amp;keyfile=" &amp; $B$5 &amp; "&amp;network=" &amp; LOWER($B$8) &amp; "&amp;repository=" &amp; $B$18</f>
        <v>owner=thomas&amp;filename_for_metadata=InCasa_COR22D492&amp;offchaindata_platform=MongoDB&amp;keyfile=Paul&amp;network=jsonfiles&amp;repository=test</v>
      </c>
      <c r="U655" s="1" t="str">
        <f t="shared" si="21"/>
        <v>{"name":"In Casa #492",_x000D_
"symbol":"COR22D492",_x000D_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5" s="1" t="str">
        <f>formatRow(Tokens!C$2:I$2,Tokens!C655:I655)</f>
        <v>"name":"In Casa #492",_x000D_
"symbol":"COR22D492",_x000D_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5" s="1" t="str">
        <f>formatRow(Tokens!J$2:AV$2,Tokens!J655:AV655,2,"attributes")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5" s="1" t="str">
        <f>formatRow(Tokens!AX$2:BC$2,Tokens!AX655:BC655,2,"creators")</f>
        <v>"creators":[{"address":"paul",_x000D_
"share":10},{"address":"sophie",_x000D_
"share":90}]</v>
      </c>
      <c r="Y655" s="1" t="str">
        <f>formatRow(Tokens!BD$2:BI$2,Tokens!BD655:BI655,2,"files")</f>
        <v>"files":[]</v>
      </c>
      <c r="Z655" s="1"/>
      <c r="AA655" s="1"/>
      <c r="AB655" s="1"/>
      <c r="AC655" s="1" t="str">
        <f>formatRow(Tokens!BJ$2:BK$2,Tokens!BJ655:BK655,0,"collection")</f>
        <v>"collection":{"name":"In Casa",_x000D_
"family":"Calvi On The Rocks"}</v>
      </c>
    </row>
    <row r="656" spans="5:29" ht="14.25" customHeight="1" x14ac:dyDescent="0.25">
      <c r="E656" s="17" t="str">
        <f>IF(Tokens!C656="","",Tokens!C656)</f>
        <v>In Casa #493</v>
      </c>
      <c r="F656"/>
      <c r="G656"/>
      <c r="H656"/>
      <c r="I656"/>
      <c r="J656"/>
      <c r="M656"/>
      <c r="N656"/>
      <c r="O656" s="15" t="str">
        <f t="shared" si="20"/>
        <v>_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/>
      </c>
      <c r="Q656" s="2"/>
      <c r="R656" s="2"/>
      <c r="S656" s="11"/>
      <c r="T656" s="1" t="str">
        <f>"owner=" &amp; Tokens!BS656 &amp; "&amp;filename_for_metadata=" &amp; Tokens!BT656 &amp; "&amp;offchaindata_platform=" &amp; $B$17 &amp; "&amp;keyfile=" &amp; $B$5 &amp; "&amp;network=" &amp; LOWER($B$8) &amp; "&amp;repository=" &amp; $B$18</f>
        <v>owner=thomas&amp;filename_for_metadata=InCasa_COR22D493&amp;offchaindata_platform=MongoDB&amp;keyfile=Paul&amp;network=jsonfiles&amp;repository=test</v>
      </c>
      <c r="U656" s="1" t="str">
        <f t="shared" si="21"/>
        <v>{"name":"In Casa #493",_x000D_
"symbol":"COR22D493",_x000D_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6" s="1" t="str">
        <f>formatRow(Tokens!C$2:I$2,Tokens!C656:I656)</f>
        <v>"name":"In Casa #493",_x000D_
"symbol":"COR22D493",_x000D_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6" s="1" t="str">
        <f>formatRow(Tokens!J$2:AV$2,Tokens!J656:AV656,2,"attributes")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6" s="1" t="str">
        <f>formatRow(Tokens!AX$2:BC$2,Tokens!AX656:BC656,2,"creators")</f>
        <v>"creators":[{"address":"paul",_x000D_
"share":10},{"address":"sophie",_x000D_
"share":90}]</v>
      </c>
      <c r="Y656" s="1" t="str">
        <f>formatRow(Tokens!BD$2:BI$2,Tokens!BD656:BI656,2,"files")</f>
        <v>"files":[]</v>
      </c>
      <c r="Z656" s="1"/>
      <c r="AA656" s="1"/>
      <c r="AB656" s="1"/>
      <c r="AC656" s="1" t="str">
        <f>formatRow(Tokens!BJ$2:BK$2,Tokens!BJ656:BK656,0,"collection")</f>
        <v>"collection":{"name":"In Casa",_x000D_
"family":"Calvi On The Rocks"}</v>
      </c>
    </row>
    <row r="657" spans="5:29" ht="14.25" customHeight="1" x14ac:dyDescent="0.25">
      <c r="E657" s="17" t="str">
        <f>IF(Tokens!C657="","",Tokens!C657)</f>
        <v>In Casa #494</v>
      </c>
      <c r="F657"/>
      <c r="G657"/>
      <c r="H657"/>
      <c r="I657"/>
      <c r="J657"/>
      <c r="M657"/>
      <c r="N657"/>
      <c r="O657" s="15" t="str">
        <f t="shared" si="20"/>
        <v>_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/>
      </c>
      <c r="Q657" s="2"/>
      <c r="R657" s="2"/>
      <c r="S657" s="11"/>
      <c r="T657" s="1" t="str">
        <f>"owner=" &amp; Tokens!BS657 &amp; "&amp;filename_for_metadata=" &amp; Tokens!BT657 &amp; "&amp;offchaindata_platform=" &amp; $B$17 &amp; "&amp;keyfile=" &amp; $B$5 &amp; "&amp;network=" &amp; LOWER($B$8) &amp; "&amp;repository=" &amp; $B$18</f>
        <v>owner=thomas&amp;filename_for_metadata=InCasa_COR22D494&amp;offchaindata_platform=MongoDB&amp;keyfile=Paul&amp;network=jsonfiles&amp;repository=test</v>
      </c>
      <c r="U657" s="1" t="str">
        <f t="shared" si="21"/>
        <v>{"name":"In Casa #494",_x000D_
"symbol":"COR22D494",_x000D_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7" s="1" t="str">
        <f>formatRow(Tokens!C$2:I$2,Tokens!C657:I657)</f>
        <v>"name":"In Casa #494",_x000D_
"symbol":"COR22D494",_x000D_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7" s="1" t="str">
        <f>formatRow(Tokens!J$2:AV$2,Tokens!J657:AV657,2,"attributes")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7" s="1" t="str">
        <f>formatRow(Tokens!AX$2:BC$2,Tokens!AX657:BC657,2,"creators")</f>
        <v>"creators":[{"address":"paul",_x000D_
"share":10},{"address":"sophie",_x000D_
"share":90}]</v>
      </c>
      <c r="Y657" s="1" t="str">
        <f>formatRow(Tokens!BD$2:BI$2,Tokens!BD657:BI657,2,"files")</f>
        <v>"files":[]</v>
      </c>
      <c r="Z657" s="1"/>
      <c r="AA657" s="1"/>
      <c r="AB657" s="1"/>
      <c r="AC657" s="1" t="str">
        <f>formatRow(Tokens!BJ$2:BK$2,Tokens!BJ657:BK657,0,"collection")</f>
        <v>"collection":{"name":"In Casa",_x000D_
"family":"Calvi On The Rocks"}</v>
      </c>
    </row>
    <row r="658" spans="5:29" ht="14.25" customHeight="1" x14ac:dyDescent="0.25">
      <c r="E658" s="17" t="str">
        <f>IF(Tokens!C658="","",Tokens!C658)</f>
        <v>In Casa #495</v>
      </c>
      <c r="F658"/>
      <c r="G658"/>
      <c r="H658"/>
      <c r="I658"/>
      <c r="J658"/>
      <c r="M658"/>
      <c r="N658"/>
      <c r="O658" s="15" t="str">
        <f t="shared" si="20"/>
        <v>_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/>
      </c>
      <c r="Q658" s="2"/>
      <c r="R658" s="2"/>
      <c r="S658" s="11"/>
      <c r="T658" s="1" t="str">
        <f>"owner=" &amp; Tokens!BS658 &amp; "&amp;filename_for_metadata=" &amp; Tokens!BT658 &amp; "&amp;offchaindata_platform=" &amp; $B$17 &amp; "&amp;keyfile=" &amp; $B$5 &amp; "&amp;network=" &amp; LOWER($B$8) &amp; "&amp;repository=" &amp; $B$18</f>
        <v>owner=thomas&amp;filename_for_metadata=InCasa_COR22D495&amp;offchaindata_platform=MongoDB&amp;keyfile=Paul&amp;network=jsonfiles&amp;repository=test</v>
      </c>
      <c r="U658" s="1" t="str">
        <f t="shared" si="21"/>
        <v>{"name":"In Casa #495",_x000D_
"symbol":"COR22D495",_x000D_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8" s="1" t="str">
        <f>formatRow(Tokens!C$2:I$2,Tokens!C658:I658)</f>
        <v>"name":"In Casa #495",_x000D_
"symbol":"COR22D495",_x000D_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8" s="1" t="str">
        <f>formatRow(Tokens!J$2:AV$2,Tokens!J658:AV658,2,"attributes")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8" s="1" t="str">
        <f>formatRow(Tokens!AX$2:BC$2,Tokens!AX658:BC658,2,"creators")</f>
        <v>"creators":[{"address":"paul",_x000D_
"share":10},{"address":"sophie",_x000D_
"share":90}]</v>
      </c>
      <c r="Y658" s="1" t="str">
        <f>formatRow(Tokens!BD$2:BI$2,Tokens!BD658:BI658,2,"files")</f>
        <v>"files":[]</v>
      </c>
      <c r="Z658" s="1"/>
      <c r="AA658" s="1"/>
      <c r="AB658" s="1"/>
      <c r="AC658" s="1" t="str">
        <f>formatRow(Tokens!BJ$2:BK$2,Tokens!BJ658:BK658,0,"collection")</f>
        <v>"collection":{"name":"In Casa",_x000D_
"family":"Calvi On The Rocks"}</v>
      </c>
    </row>
    <row r="659" spans="5:29" ht="14.25" customHeight="1" x14ac:dyDescent="0.25">
      <c r="E659" s="17" t="str">
        <f>IF(Tokens!C659="","",Tokens!C659)</f>
        <v>In Casa #496</v>
      </c>
      <c r="F659"/>
      <c r="G659"/>
      <c r="H659"/>
      <c r="I659"/>
      <c r="J659"/>
      <c r="M659"/>
      <c r="N659"/>
      <c r="O659" s="15" t="str">
        <f t="shared" si="20"/>
        <v>_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/>
      </c>
      <c r="Q659" s="2"/>
      <c r="R659" s="2"/>
      <c r="S659" s="11"/>
      <c r="T659" s="1" t="str">
        <f>"owner=" &amp; Tokens!BS659 &amp; "&amp;filename_for_metadata=" &amp; Tokens!BT659 &amp; "&amp;offchaindata_platform=" &amp; $B$17 &amp; "&amp;keyfile=" &amp; $B$5 &amp; "&amp;network=" &amp; LOWER($B$8) &amp; "&amp;repository=" &amp; $B$18</f>
        <v>owner=thomas&amp;filename_for_metadata=InCasa_COR22D496&amp;offchaindata_platform=MongoDB&amp;keyfile=Paul&amp;network=jsonfiles&amp;repository=test</v>
      </c>
      <c r="U659" s="1" t="str">
        <f t="shared" si="21"/>
        <v>{"name":"In Casa #496",_x000D_
"symbol":"COR22D496",_x000D_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59" s="1" t="str">
        <f>formatRow(Tokens!C$2:I$2,Tokens!C659:I659)</f>
        <v>"name":"In Casa #496",_x000D_
"symbol":"COR22D496",_x000D_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59" s="1" t="str">
        <f>formatRow(Tokens!J$2:AV$2,Tokens!J659:AV659,2,"attributes")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59" s="1" t="str">
        <f>formatRow(Tokens!AX$2:BC$2,Tokens!AX659:BC659,2,"creators")</f>
        <v>"creators":[{"address":"paul",_x000D_
"share":10},{"address":"sophie",_x000D_
"share":90}]</v>
      </c>
      <c r="Y659" s="1" t="str">
        <f>formatRow(Tokens!BD$2:BI$2,Tokens!BD659:BI659,2,"files")</f>
        <v>"files":[]</v>
      </c>
      <c r="Z659" s="1"/>
      <c r="AA659" s="1"/>
      <c r="AB659" s="1"/>
      <c r="AC659" s="1" t="str">
        <f>formatRow(Tokens!BJ$2:BK$2,Tokens!BJ659:BK659,0,"collection")</f>
        <v>"collection":{"name":"In Casa",_x000D_
"family":"Calvi On The Rocks"}</v>
      </c>
    </row>
    <row r="660" spans="5:29" ht="14.25" customHeight="1" x14ac:dyDescent="0.25">
      <c r="E660" s="17" t="str">
        <f>IF(Tokens!C660="","",Tokens!C660)</f>
        <v>In Casa #497</v>
      </c>
      <c r="F660"/>
      <c r="G660"/>
      <c r="H660"/>
      <c r="I660"/>
      <c r="J660"/>
      <c r="M660"/>
      <c r="N660"/>
      <c r="O660" s="15" t="str">
        <f t="shared" si="20"/>
        <v>_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/>
      </c>
      <c r="Q660" s="2"/>
      <c r="R660" s="2"/>
      <c r="S660" s="11"/>
      <c r="T660" s="1" t="str">
        <f>"owner=" &amp; Tokens!BS660 &amp; "&amp;filename_for_metadata=" &amp; Tokens!BT660 &amp; "&amp;offchaindata_platform=" &amp; $B$17 &amp; "&amp;keyfile=" &amp; $B$5 &amp; "&amp;network=" &amp; LOWER($B$8) &amp; "&amp;repository=" &amp; $B$18</f>
        <v>owner=thomas&amp;filename_for_metadata=InCasa_COR22D497&amp;offchaindata_platform=MongoDB&amp;keyfile=Paul&amp;network=jsonfiles&amp;repository=test</v>
      </c>
      <c r="U660" s="1" t="str">
        <f t="shared" si="21"/>
        <v>{"name":"In Casa #497",_x000D_
"symbol":"COR22D497",_x000D_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0" s="1" t="str">
        <f>formatRow(Tokens!C$2:I$2,Tokens!C660:I660)</f>
        <v>"name":"In Casa #497",_x000D_
"symbol":"COR22D497",_x000D_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0" s="1" t="str">
        <f>formatRow(Tokens!J$2:AV$2,Tokens!J660:AV660,2,"attributes")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0" s="1" t="str">
        <f>formatRow(Tokens!AX$2:BC$2,Tokens!AX660:BC660,2,"creators")</f>
        <v>"creators":[{"address":"paul",_x000D_
"share":10},{"address":"sophie",_x000D_
"share":90}]</v>
      </c>
      <c r="Y660" s="1" t="str">
        <f>formatRow(Tokens!BD$2:BI$2,Tokens!BD660:BI660,2,"files")</f>
        <v>"files":[]</v>
      </c>
      <c r="Z660" s="1"/>
      <c r="AA660" s="1"/>
      <c r="AB660" s="1"/>
      <c r="AC660" s="1" t="str">
        <f>formatRow(Tokens!BJ$2:BK$2,Tokens!BJ660:BK660,0,"collection")</f>
        <v>"collection":{"name":"In Casa",_x000D_
"family":"Calvi On The Rocks"}</v>
      </c>
    </row>
    <row r="661" spans="5:29" ht="14.25" customHeight="1" x14ac:dyDescent="0.25">
      <c r="E661" s="17" t="str">
        <f>IF(Tokens!C661="","",Tokens!C661)</f>
        <v>In Casa #498</v>
      </c>
      <c r="F661"/>
      <c r="G661"/>
      <c r="H661"/>
      <c r="I661"/>
      <c r="J661"/>
      <c r="M661"/>
      <c r="N661"/>
      <c r="O661" s="15" t="str">
        <f t="shared" si="20"/>
        <v>_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/>
      </c>
      <c r="Q661" s="2"/>
      <c r="R661" s="2"/>
      <c r="S661" s="11"/>
      <c r="T661" s="1" t="str">
        <f>"owner=" &amp; Tokens!BS661 &amp; "&amp;filename_for_metadata=" &amp; Tokens!BT661 &amp; "&amp;offchaindata_platform=" &amp; $B$17 &amp; "&amp;keyfile=" &amp; $B$5 &amp; "&amp;network=" &amp; LOWER($B$8) &amp; "&amp;repository=" &amp; $B$18</f>
        <v>owner=thomas&amp;filename_for_metadata=InCasa_COR22D498&amp;offchaindata_platform=MongoDB&amp;keyfile=Paul&amp;network=jsonfiles&amp;repository=test</v>
      </c>
      <c r="U661" s="1" t="str">
        <f t="shared" si="21"/>
        <v>{"name":"In Casa #498",_x000D_
"symbol":"COR22D498",_x000D_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1" s="1" t="str">
        <f>formatRow(Tokens!C$2:I$2,Tokens!C661:I661)</f>
        <v>"name":"In Casa #498",_x000D_
"symbol":"COR22D498",_x000D_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1" s="1" t="str">
        <f>formatRow(Tokens!J$2:AV$2,Tokens!J661:AV661,2,"attributes")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1" s="1" t="str">
        <f>formatRow(Tokens!AX$2:BC$2,Tokens!AX661:BC661,2,"creators")</f>
        <v>"creators":[{"address":"paul",_x000D_
"share":10},{"address":"sophie",_x000D_
"share":90}]</v>
      </c>
      <c r="Y661" s="1" t="str">
        <f>formatRow(Tokens!BD$2:BI$2,Tokens!BD661:BI661,2,"files")</f>
        <v>"files":[]</v>
      </c>
      <c r="Z661" s="1"/>
      <c r="AA661" s="1"/>
      <c r="AB661" s="1"/>
      <c r="AC661" s="1" t="str">
        <f>formatRow(Tokens!BJ$2:BK$2,Tokens!BJ661:BK661,0,"collection")</f>
        <v>"collection":{"name":"In Casa",_x000D_
"family":"Calvi On The Rocks"}</v>
      </c>
    </row>
    <row r="662" spans="5:29" ht="14.25" customHeight="1" x14ac:dyDescent="0.25">
      <c r="E662" s="17" t="str">
        <f>IF(Tokens!C662="","",Tokens!C662)</f>
        <v>In Casa #499</v>
      </c>
      <c r="F662"/>
      <c r="G662"/>
      <c r="H662"/>
      <c r="I662"/>
      <c r="J662"/>
      <c r="M662"/>
      <c r="N662"/>
      <c r="O662" s="15" t="str">
        <f t="shared" si="20"/>
        <v>_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/>
      </c>
      <c r="Q662" s="2"/>
      <c r="R662" s="2"/>
      <c r="S662" s="11"/>
      <c r="T662" s="1" t="str">
        <f>"owner=" &amp; Tokens!BS662 &amp; "&amp;filename_for_metadata=" &amp; Tokens!BT662 &amp; "&amp;offchaindata_platform=" &amp; $B$17 &amp; "&amp;keyfile=" &amp; $B$5 &amp; "&amp;network=" &amp; LOWER($B$8) &amp; "&amp;repository=" &amp; $B$18</f>
        <v>owner=thomas&amp;filename_for_metadata=InCasa_COR22D499&amp;offchaindata_platform=MongoDB&amp;keyfile=Paul&amp;network=jsonfiles&amp;repository=test</v>
      </c>
      <c r="U662" s="1" t="str">
        <f t="shared" si="21"/>
        <v>{"name":"In Casa #499",_x000D_
"symbol":"COR22D499",_x000D_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2" s="1" t="str">
        <f>formatRow(Tokens!C$2:I$2,Tokens!C662:I662)</f>
        <v>"name":"In Casa #499",_x000D_
"symbol":"COR22D499",_x000D_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2" s="1" t="str">
        <f>formatRow(Tokens!J$2:AV$2,Tokens!J662:AV662,2,"attributes")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2" s="1" t="str">
        <f>formatRow(Tokens!AX$2:BC$2,Tokens!AX662:BC662,2,"creators")</f>
        <v>"creators":[{"address":"paul",_x000D_
"share":10},{"address":"sophie",_x000D_
"share":90}]</v>
      </c>
      <c r="Y662" s="1" t="str">
        <f>formatRow(Tokens!BD$2:BI$2,Tokens!BD662:BI662,2,"files")</f>
        <v>"files":[]</v>
      </c>
      <c r="Z662" s="1"/>
      <c r="AA662" s="1"/>
      <c r="AB662" s="1"/>
      <c r="AC662" s="1" t="str">
        <f>formatRow(Tokens!BJ$2:BK$2,Tokens!BJ662:BK662,0,"collection")</f>
        <v>"collection":{"name":"In Casa",_x000D_
"family":"Calvi On The Rocks"}</v>
      </c>
    </row>
    <row r="663" spans="5:29" ht="14.25" customHeight="1" x14ac:dyDescent="0.25">
      <c r="E663" s="17" t="str">
        <f>IF(Tokens!C663="","",Tokens!C663)</f>
        <v>In Casa #500</v>
      </c>
      <c r="F663"/>
      <c r="G663"/>
      <c r="H663"/>
      <c r="I663"/>
      <c r="J663"/>
      <c r="M663"/>
      <c r="N663"/>
      <c r="O663" s="15" t="str">
        <f t="shared" si="20"/>
        <v>_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/>
      </c>
      <c r="Q663" s="2"/>
      <c r="R663" s="2"/>
      <c r="S663" s="11"/>
      <c r="T663" s="1" t="str">
        <f>"owner=" &amp; Tokens!BS663 &amp; "&amp;filename_for_metadata=" &amp; Tokens!BT663 &amp; "&amp;offchaindata_platform=" &amp; $B$17 &amp; "&amp;keyfile=" &amp; $B$5 &amp; "&amp;network=" &amp; LOWER($B$8) &amp; "&amp;repository=" &amp; $B$18</f>
        <v>owner=thomas&amp;filename_for_metadata=InCasa_COR22D500&amp;offchaindata_platform=MongoDB&amp;keyfile=Paul&amp;network=jsonfiles&amp;repository=test</v>
      </c>
      <c r="U663" s="1" t="str">
        <f t="shared" si="21"/>
        <v>{"name":"In Casa #500",_x000D_
"symbol":"COR22D500",_x000D_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3" s="1" t="str">
        <f>formatRow(Tokens!C$2:I$2,Tokens!C663:I663)</f>
        <v>"name":"In Casa #500",_x000D_
"symbol":"COR22D500",_x000D_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3" s="1" t="str">
        <f>formatRow(Tokens!J$2:AV$2,Tokens!J663:AV663,2,"attributes")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3" s="1" t="str">
        <f>formatRow(Tokens!AX$2:BC$2,Tokens!AX663:BC663,2,"creators")</f>
        <v>"creators":[{"address":"paul",_x000D_
"share":10},{"address":"sophie",_x000D_
"share":90}]</v>
      </c>
      <c r="Y663" s="1" t="str">
        <f>formatRow(Tokens!BD$2:BI$2,Tokens!BD663:BI663,2,"files")</f>
        <v>"files":[]</v>
      </c>
      <c r="Z663" s="1"/>
      <c r="AA663" s="1"/>
      <c r="AB663" s="1"/>
      <c r="AC663" s="1" t="str">
        <f>formatRow(Tokens!BJ$2:BK$2,Tokens!BJ663:BK663,0,"collection")</f>
        <v>"collection":{"name":"In Casa",_x000D_
"family":"Calvi On The Rocks"}</v>
      </c>
    </row>
    <row r="664" spans="5:29" ht="14.25" customHeight="1" x14ac:dyDescent="0.25">
      <c r="E664" s="17" t="str">
        <f>IF(Tokens!C664="","",Tokens!C664)</f>
        <v>In Casa #501</v>
      </c>
      <c r="F664"/>
      <c r="G664"/>
      <c r="H664"/>
      <c r="I664"/>
      <c r="J664"/>
      <c r="M664"/>
      <c r="N664"/>
      <c r="O664" s="15" t="str">
        <f t="shared" si="20"/>
        <v>_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/>
      </c>
      <c r="Q664" s="2"/>
      <c r="R664" s="2"/>
      <c r="S664" s="11"/>
      <c r="T664" s="1" t="str">
        <f>"owner=" &amp; Tokens!BS664 &amp; "&amp;filename_for_metadata=" &amp; Tokens!BT664 &amp; "&amp;offchaindata_platform=" &amp; $B$17 &amp; "&amp;keyfile=" &amp; $B$5 &amp; "&amp;network=" &amp; LOWER($B$8) &amp; "&amp;repository=" &amp; $B$18</f>
        <v>owner=thomas&amp;filename_for_metadata=InCasa_COR22D501&amp;offchaindata_platform=MongoDB&amp;keyfile=Paul&amp;network=jsonfiles&amp;repository=test</v>
      </c>
      <c r="U664" s="1" t="str">
        <f t="shared" si="21"/>
        <v>{"name":"In Casa #501",_x000D_
"symbol":"COR22D501",_x000D_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4" s="1" t="str">
        <f>formatRow(Tokens!C$2:I$2,Tokens!C664:I664)</f>
        <v>"name":"In Casa #501",_x000D_
"symbol":"COR22D501",_x000D_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4" s="1" t="str">
        <f>formatRow(Tokens!J$2:AV$2,Tokens!J664:AV664,2,"attributes")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4" s="1" t="str">
        <f>formatRow(Tokens!AX$2:BC$2,Tokens!AX664:BC664,2,"creators")</f>
        <v>"creators":[{"address":"paul",_x000D_
"share":10},{"address":"sophie",_x000D_
"share":90}]</v>
      </c>
      <c r="Y664" s="1" t="str">
        <f>formatRow(Tokens!BD$2:BI$2,Tokens!BD664:BI664,2,"files")</f>
        <v>"files":[]</v>
      </c>
      <c r="Z664" s="1"/>
      <c r="AA664" s="1"/>
      <c r="AB664" s="1"/>
      <c r="AC664" s="1" t="str">
        <f>formatRow(Tokens!BJ$2:BK$2,Tokens!BJ664:BK664,0,"collection")</f>
        <v>"collection":{"name":"In Casa",_x000D_
"family":"Calvi On The Rocks"}</v>
      </c>
    </row>
    <row r="665" spans="5:29" ht="14.25" customHeight="1" x14ac:dyDescent="0.25">
      <c r="E665" s="17" t="str">
        <f>IF(Tokens!C665="","",Tokens!C665)</f>
        <v>In Casa #502</v>
      </c>
      <c r="F665"/>
      <c r="G665"/>
      <c r="H665"/>
      <c r="I665"/>
      <c r="J665"/>
      <c r="M665"/>
      <c r="N665"/>
      <c r="O665" s="15" t="str">
        <f t="shared" si="20"/>
        <v>_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/>
      </c>
      <c r="Q665" s="2"/>
      <c r="R665" s="2"/>
      <c r="S665" s="11"/>
      <c r="T665" s="1" t="str">
        <f>"owner=" &amp; Tokens!BS665 &amp; "&amp;filename_for_metadata=" &amp; Tokens!BT665 &amp; "&amp;offchaindata_platform=" &amp; $B$17 &amp; "&amp;keyfile=" &amp; $B$5 &amp; "&amp;network=" &amp; LOWER($B$8) &amp; "&amp;repository=" &amp; $B$18</f>
        <v>owner=thomas&amp;filename_for_metadata=InCasa_COR22D502&amp;offchaindata_platform=MongoDB&amp;keyfile=Paul&amp;network=jsonfiles&amp;repository=test</v>
      </c>
      <c r="U665" s="1" t="str">
        <f t="shared" si="21"/>
        <v>{"name":"In Casa #502",_x000D_
"symbol":"COR22D502",_x000D_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5" s="1" t="str">
        <f>formatRow(Tokens!C$2:I$2,Tokens!C665:I665)</f>
        <v>"name":"In Casa #502",_x000D_
"symbol":"COR22D502",_x000D_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5" s="1" t="str">
        <f>formatRow(Tokens!J$2:AV$2,Tokens!J665:AV665,2,"attributes")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5" s="1" t="str">
        <f>formatRow(Tokens!AX$2:BC$2,Tokens!AX665:BC665,2,"creators")</f>
        <v>"creators":[{"address":"paul",_x000D_
"share":10},{"address":"sophie",_x000D_
"share":90}]</v>
      </c>
      <c r="Y665" s="1" t="str">
        <f>formatRow(Tokens!BD$2:BI$2,Tokens!BD665:BI665,2,"files")</f>
        <v>"files":[]</v>
      </c>
      <c r="Z665" s="1"/>
      <c r="AA665" s="1"/>
      <c r="AB665" s="1"/>
      <c r="AC665" s="1" t="str">
        <f>formatRow(Tokens!BJ$2:BK$2,Tokens!BJ665:BK665,0,"collection")</f>
        <v>"collection":{"name":"In Casa",_x000D_
"family":"Calvi On The Rocks"}</v>
      </c>
    </row>
    <row r="666" spans="5:29" ht="14.25" customHeight="1" x14ac:dyDescent="0.25">
      <c r="E666" s="17" t="str">
        <f>IF(Tokens!C666="","",Tokens!C666)</f>
        <v>In Casa #503</v>
      </c>
      <c r="F666"/>
      <c r="G666"/>
      <c r="H666"/>
      <c r="I666"/>
      <c r="J666"/>
      <c r="M666"/>
      <c r="N666"/>
      <c r="O666" s="15" t="str">
        <f t="shared" si="20"/>
        <v>_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/>
      </c>
      <c r="Q666" s="2"/>
      <c r="R666" s="2"/>
      <c r="S666" s="11"/>
      <c r="T666" s="1" t="str">
        <f>"owner=" &amp; Tokens!BS666 &amp; "&amp;filename_for_metadata=" &amp; Tokens!BT666 &amp; "&amp;offchaindata_platform=" &amp; $B$17 &amp; "&amp;keyfile=" &amp; $B$5 &amp; "&amp;network=" &amp; LOWER($B$8) &amp; "&amp;repository=" &amp; $B$18</f>
        <v>owner=thomas&amp;filename_for_metadata=InCasa_COR22D503&amp;offchaindata_platform=MongoDB&amp;keyfile=Paul&amp;network=jsonfiles&amp;repository=test</v>
      </c>
      <c r="U666" s="1" t="str">
        <f t="shared" si="21"/>
        <v>{"name":"In Casa #503",_x000D_
"symbol":"COR22D503",_x000D_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6" s="1" t="str">
        <f>formatRow(Tokens!C$2:I$2,Tokens!C666:I666)</f>
        <v>"name":"In Casa #503",_x000D_
"symbol":"COR22D503",_x000D_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6" s="1" t="str">
        <f>formatRow(Tokens!J$2:AV$2,Tokens!J666:AV666,2,"attributes")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6" s="1" t="str">
        <f>formatRow(Tokens!AX$2:BC$2,Tokens!AX666:BC666,2,"creators")</f>
        <v>"creators":[{"address":"paul",_x000D_
"share":10},{"address":"sophie",_x000D_
"share":90}]</v>
      </c>
      <c r="Y666" s="1" t="str">
        <f>formatRow(Tokens!BD$2:BI$2,Tokens!BD666:BI666,2,"files")</f>
        <v>"files":[]</v>
      </c>
      <c r="Z666" s="1"/>
      <c r="AA666" s="1"/>
      <c r="AB666" s="1"/>
      <c r="AC666" s="1" t="str">
        <f>formatRow(Tokens!BJ$2:BK$2,Tokens!BJ666:BK666,0,"collection")</f>
        <v>"collection":{"name":"In Casa",_x000D_
"family":"Calvi On The Rocks"}</v>
      </c>
    </row>
    <row r="667" spans="5:29" ht="14.25" customHeight="1" x14ac:dyDescent="0.25">
      <c r="E667" s="17" t="str">
        <f>IF(Tokens!C667="","",Tokens!C667)</f>
        <v>In Casa #504</v>
      </c>
      <c r="F667"/>
      <c r="G667"/>
      <c r="H667"/>
      <c r="I667"/>
      <c r="J667"/>
      <c r="M667"/>
      <c r="N667"/>
      <c r="O667" s="15" t="str">
        <f t="shared" si="20"/>
        <v>_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/>
      </c>
      <c r="Q667" s="2"/>
      <c r="R667" s="2"/>
      <c r="S667" s="11"/>
      <c r="T667" s="1" t="str">
        <f>"owner=" &amp; Tokens!BS667 &amp; "&amp;filename_for_metadata=" &amp; Tokens!BT667 &amp; "&amp;offchaindata_platform=" &amp; $B$17 &amp; "&amp;keyfile=" &amp; $B$5 &amp; "&amp;network=" &amp; LOWER($B$8) &amp; "&amp;repository=" &amp; $B$18</f>
        <v>owner=thomas&amp;filename_for_metadata=InCasa_COR22D504&amp;offchaindata_platform=MongoDB&amp;keyfile=Paul&amp;network=jsonfiles&amp;repository=test</v>
      </c>
      <c r="U667" s="1" t="str">
        <f t="shared" si="21"/>
        <v>{"name":"In Casa #504",_x000D_
"symbol":"COR22D504",_x000D_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7" s="1" t="str">
        <f>formatRow(Tokens!C$2:I$2,Tokens!C667:I667)</f>
        <v>"name":"In Casa #504",_x000D_
"symbol":"COR22D504",_x000D_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7" s="1" t="str">
        <f>formatRow(Tokens!J$2:AV$2,Tokens!J667:AV667,2,"attributes")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7" s="1" t="str">
        <f>formatRow(Tokens!AX$2:BC$2,Tokens!AX667:BC667,2,"creators")</f>
        <v>"creators":[{"address":"paul",_x000D_
"share":10},{"address":"sophie",_x000D_
"share":90}]</v>
      </c>
      <c r="Y667" s="1" t="str">
        <f>formatRow(Tokens!BD$2:BI$2,Tokens!BD667:BI667,2,"files")</f>
        <v>"files":[]</v>
      </c>
      <c r="Z667" s="1"/>
      <c r="AA667" s="1"/>
      <c r="AB667" s="1"/>
      <c r="AC667" s="1" t="str">
        <f>formatRow(Tokens!BJ$2:BK$2,Tokens!BJ667:BK667,0,"collection")</f>
        <v>"collection":{"name":"In Casa",_x000D_
"family":"Calvi On The Rocks"}</v>
      </c>
    </row>
    <row r="668" spans="5:29" ht="14.25" customHeight="1" x14ac:dyDescent="0.25">
      <c r="E668" s="17" t="str">
        <f>IF(Tokens!C668="","",Tokens!C668)</f>
        <v>In Casa #505</v>
      </c>
      <c r="F668"/>
      <c r="G668"/>
      <c r="H668"/>
      <c r="I668"/>
      <c r="J668"/>
      <c r="M668"/>
      <c r="N668"/>
      <c r="O668" s="15" t="str">
        <f t="shared" si="20"/>
        <v>_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/>
      </c>
      <c r="Q668" s="2"/>
      <c r="R668" s="2"/>
      <c r="S668" s="11"/>
      <c r="T668" s="1" t="str">
        <f>"owner=" &amp; Tokens!BS668 &amp; "&amp;filename_for_metadata=" &amp; Tokens!BT668 &amp; "&amp;offchaindata_platform=" &amp; $B$17 &amp; "&amp;keyfile=" &amp; $B$5 &amp; "&amp;network=" &amp; LOWER($B$8) &amp; "&amp;repository=" &amp; $B$18</f>
        <v>owner=thomas&amp;filename_for_metadata=InCasa_COR22D505&amp;offchaindata_platform=MongoDB&amp;keyfile=Paul&amp;network=jsonfiles&amp;repository=test</v>
      </c>
      <c r="U668" s="1" t="str">
        <f t="shared" si="21"/>
        <v>{"name":"In Casa #505",_x000D_
"symbol":"COR22D505",_x000D_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8" s="1" t="str">
        <f>formatRow(Tokens!C$2:I$2,Tokens!C668:I668)</f>
        <v>"name":"In Casa #505",_x000D_
"symbol":"COR22D505",_x000D_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8" s="1" t="str">
        <f>formatRow(Tokens!J$2:AV$2,Tokens!J668:AV668,2,"attributes")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8" s="1" t="str">
        <f>formatRow(Tokens!AX$2:BC$2,Tokens!AX668:BC668,2,"creators")</f>
        <v>"creators":[{"address":"paul",_x000D_
"share":10},{"address":"sophie",_x000D_
"share":90}]</v>
      </c>
      <c r="Y668" s="1" t="str">
        <f>formatRow(Tokens!BD$2:BI$2,Tokens!BD668:BI668,2,"files")</f>
        <v>"files":[]</v>
      </c>
      <c r="Z668" s="1"/>
      <c r="AA668" s="1"/>
      <c r="AB668" s="1"/>
      <c r="AC668" s="1" t="str">
        <f>formatRow(Tokens!BJ$2:BK$2,Tokens!BJ668:BK668,0,"collection")</f>
        <v>"collection":{"name":"In Casa",_x000D_
"family":"Calvi On The Rocks"}</v>
      </c>
    </row>
    <row r="669" spans="5:29" ht="14.25" customHeight="1" x14ac:dyDescent="0.25">
      <c r="E669" s="17" t="str">
        <f>IF(Tokens!C669="","",Tokens!C669)</f>
        <v>In Casa #506</v>
      </c>
      <c r="F669"/>
      <c r="G669"/>
      <c r="H669"/>
      <c r="I669"/>
      <c r="J669"/>
      <c r="M669"/>
      <c r="N669"/>
      <c r="O669" s="15" t="str">
        <f t="shared" si="20"/>
        <v>_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/>
      </c>
      <c r="Q669" s="2"/>
      <c r="R669" s="2"/>
      <c r="S669" s="11"/>
      <c r="T669" s="1" t="str">
        <f>"owner=" &amp; Tokens!BS669 &amp; "&amp;filename_for_metadata=" &amp; Tokens!BT669 &amp; "&amp;offchaindata_platform=" &amp; $B$17 &amp; "&amp;keyfile=" &amp; $B$5 &amp; "&amp;network=" &amp; LOWER($B$8) &amp; "&amp;repository=" &amp; $B$18</f>
        <v>owner=thomas&amp;filename_for_metadata=InCasa_COR22D506&amp;offchaindata_platform=MongoDB&amp;keyfile=Paul&amp;network=jsonfiles&amp;repository=test</v>
      </c>
      <c r="U669" s="1" t="str">
        <f t="shared" si="21"/>
        <v>{"name":"In Casa #506",_x000D_
"symbol":"COR22D506",_x000D_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69" s="1" t="str">
        <f>formatRow(Tokens!C$2:I$2,Tokens!C669:I669)</f>
        <v>"name":"In Casa #506",_x000D_
"symbol":"COR22D506",_x000D_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69" s="1" t="str">
        <f>formatRow(Tokens!J$2:AV$2,Tokens!J669:AV669,2,"attributes")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69" s="1" t="str">
        <f>formatRow(Tokens!AX$2:BC$2,Tokens!AX669:BC669,2,"creators")</f>
        <v>"creators":[{"address":"paul",_x000D_
"share":10},{"address":"sophie",_x000D_
"share":90}]</v>
      </c>
      <c r="Y669" s="1" t="str">
        <f>formatRow(Tokens!BD$2:BI$2,Tokens!BD669:BI669,2,"files")</f>
        <v>"files":[]</v>
      </c>
      <c r="Z669" s="1"/>
      <c r="AA669" s="1"/>
      <c r="AB669" s="1"/>
      <c r="AC669" s="1" t="str">
        <f>formatRow(Tokens!BJ$2:BK$2,Tokens!BJ669:BK669,0,"collection")</f>
        <v>"collection":{"name":"In Casa",_x000D_
"family":"Calvi On The Rocks"}</v>
      </c>
    </row>
    <row r="670" spans="5:29" ht="14.25" customHeight="1" x14ac:dyDescent="0.25">
      <c r="E670" s="17" t="str">
        <f>IF(Tokens!C670="","",Tokens!C670)</f>
        <v>In Casa #507</v>
      </c>
      <c r="F670"/>
      <c r="G670"/>
      <c r="H670"/>
      <c r="I670"/>
      <c r="J670"/>
      <c r="M670"/>
      <c r="N670"/>
      <c r="O670" s="15" t="str">
        <f t="shared" si="20"/>
        <v>_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/>
      </c>
      <c r="Q670" s="2"/>
      <c r="R670" s="2"/>
      <c r="S670" s="11"/>
      <c r="T670" s="1" t="str">
        <f>"owner=" &amp; Tokens!BS670 &amp; "&amp;filename_for_metadata=" &amp; Tokens!BT670 &amp; "&amp;offchaindata_platform=" &amp; $B$17 &amp; "&amp;keyfile=" &amp; $B$5 &amp; "&amp;network=" &amp; LOWER($B$8) &amp; "&amp;repository=" &amp; $B$18</f>
        <v>owner=thomas&amp;filename_for_metadata=InCasa_COR22D507&amp;offchaindata_platform=MongoDB&amp;keyfile=Paul&amp;network=jsonfiles&amp;repository=test</v>
      </c>
      <c r="U670" s="1" t="str">
        <f t="shared" si="21"/>
        <v>{"name":"In Casa #507",_x000D_
"symbol":"COR22D507",_x000D_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0" s="1" t="str">
        <f>formatRow(Tokens!C$2:I$2,Tokens!C670:I670)</f>
        <v>"name":"In Casa #507",_x000D_
"symbol":"COR22D507",_x000D_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0" s="1" t="str">
        <f>formatRow(Tokens!J$2:AV$2,Tokens!J670:AV670,2,"attributes")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0" s="1" t="str">
        <f>formatRow(Tokens!AX$2:BC$2,Tokens!AX670:BC670,2,"creators")</f>
        <v>"creators":[{"address":"paul",_x000D_
"share":10},{"address":"sophie",_x000D_
"share":90}]</v>
      </c>
      <c r="Y670" s="1" t="str">
        <f>formatRow(Tokens!BD$2:BI$2,Tokens!BD670:BI670,2,"files")</f>
        <v>"files":[]</v>
      </c>
      <c r="Z670" s="1"/>
      <c r="AA670" s="1"/>
      <c r="AB670" s="1"/>
      <c r="AC670" s="1" t="str">
        <f>formatRow(Tokens!BJ$2:BK$2,Tokens!BJ670:BK670,0,"collection")</f>
        <v>"collection":{"name":"In Casa",_x000D_
"family":"Calvi On The Rocks"}</v>
      </c>
    </row>
    <row r="671" spans="5:29" ht="14.25" customHeight="1" x14ac:dyDescent="0.25">
      <c r="E671" s="17" t="str">
        <f>IF(Tokens!C671="","",Tokens!C671)</f>
        <v>In Casa #508</v>
      </c>
      <c r="F671"/>
      <c r="G671"/>
      <c r="H671"/>
      <c r="I671"/>
      <c r="J671"/>
      <c r="M671"/>
      <c r="N671"/>
      <c r="O671" s="15" t="str">
        <f t="shared" si="20"/>
        <v>_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/>
      </c>
      <c r="Q671" s="2"/>
      <c r="R671" s="2"/>
      <c r="S671" s="11"/>
      <c r="T671" s="1" t="str">
        <f>"owner=" &amp; Tokens!BS671 &amp; "&amp;filename_for_metadata=" &amp; Tokens!BT671 &amp; "&amp;offchaindata_platform=" &amp; $B$17 &amp; "&amp;keyfile=" &amp; $B$5 &amp; "&amp;network=" &amp; LOWER($B$8) &amp; "&amp;repository=" &amp; $B$18</f>
        <v>owner=thomas&amp;filename_for_metadata=InCasa_COR22D508&amp;offchaindata_platform=MongoDB&amp;keyfile=Paul&amp;network=jsonfiles&amp;repository=test</v>
      </c>
      <c r="U671" s="1" t="str">
        <f t="shared" si="21"/>
        <v>{"name":"In Casa #508",_x000D_
"symbol":"COR22D508",_x000D_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1" s="1" t="str">
        <f>formatRow(Tokens!C$2:I$2,Tokens!C671:I671)</f>
        <v>"name":"In Casa #508",_x000D_
"symbol":"COR22D508",_x000D_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1" s="1" t="str">
        <f>formatRow(Tokens!J$2:AV$2,Tokens!J671:AV671,2,"attributes")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1" s="1" t="str">
        <f>formatRow(Tokens!AX$2:BC$2,Tokens!AX671:BC671,2,"creators")</f>
        <v>"creators":[{"address":"paul",_x000D_
"share":10},{"address":"sophie",_x000D_
"share":90}]</v>
      </c>
      <c r="Y671" s="1" t="str">
        <f>formatRow(Tokens!BD$2:BI$2,Tokens!BD671:BI671,2,"files")</f>
        <v>"files":[]</v>
      </c>
      <c r="Z671" s="1"/>
      <c r="AA671" s="1"/>
      <c r="AB671" s="1"/>
      <c r="AC671" s="1" t="str">
        <f>formatRow(Tokens!BJ$2:BK$2,Tokens!BJ671:BK671,0,"collection")</f>
        <v>"collection":{"name":"In Casa",_x000D_
"family":"Calvi On The Rocks"}</v>
      </c>
    </row>
    <row r="672" spans="5:29" ht="14.25" customHeight="1" x14ac:dyDescent="0.25">
      <c r="E672" s="17" t="str">
        <f>IF(Tokens!C672="","",Tokens!C672)</f>
        <v>In Casa #509</v>
      </c>
      <c r="F672"/>
      <c r="G672"/>
      <c r="H672"/>
      <c r="I672"/>
      <c r="J672"/>
      <c r="M672"/>
      <c r="N672"/>
      <c r="O672" s="15" t="str">
        <f t="shared" si="20"/>
        <v>_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/>
      </c>
      <c r="Q672" s="2"/>
      <c r="R672" s="2"/>
      <c r="S672" s="11"/>
      <c r="T672" s="1" t="str">
        <f>"owner=" &amp; Tokens!BS672 &amp; "&amp;filename_for_metadata=" &amp; Tokens!BT672 &amp; "&amp;offchaindata_platform=" &amp; $B$17 &amp; "&amp;keyfile=" &amp; $B$5 &amp; "&amp;network=" &amp; LOWER($B$8) &amp; "&amp;repository=" &amp; $B$18</f>
        <v>owner=thomas&amp;filename_for_metadata=InCasa_COR22D509&amp;offchaindata_platform=MongoDB&amp;keyfile=Paul&amp;network=jsonfiles&amp;repository=test</v>
      </c>
      <c r="U672" s="1" t="str">
        <f t="shared" si="21"/>
        <v>{"name":"In Casa #509",_x000D_
"symbol":"COR22D509",_x000D_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2" s="1" t="str">
        <f>formatRow(Tokens!C$2:I$2,Tokens!C672:I672)</f>
        <v>"name":"In Casa #509",_x000D_
"symbol":"COR22D509",_x000D_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2" s="1" t="str">
        <f>formatRow(Tokens!J$2:AV$2,Tokens!J672:AV672,2,"attributes")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2" s="1" t="str">
        <f>formatRow(Tokens!AX$2:BC$2,Tokens!AX672:BC672,2,"creators")</f>
        <v>"creators":[{"address":"paul",_x000D_
"share":10},{"address":"sophie",_x000D_
"share":90}]</v>
      </c>
      <c r="Y672" s="1" t="str">
        <f>formatRow(Tokens!BD$2:BI$2,Tokens!BD672:BI672,2,"files")</f>
        <v>"files":[]</v>
      </c>
      <c r="Z672" s="1"/>
      <c r="AA672" s="1"/>
      <c r="AB672" s="1"/>
      <c r="AC672" s="1" t="str">
        <f>formatRow(Tokens!BJ$2:BK$2,Tokens!BJ672:BK672,0,"collection")</f>
        <v>"collection":{"name":"In Casa",_x000D_
"family":"Calvi On The Rocks"}</v>
      </c>
    </row>
    <row r="673" spans="5:29" ht="14.25" customHeight="1" x14ac:dyDescent="0.25">
      <c r="E673" s="17" t="str">
        <f>IF(Tokens!C673="","",Tokens!C673)</f>
        <v>In Casa #510</v>
      </c>
      <c r="F673"/>
      <c r="G673"/>
      <c r="H673"/>
      <c r="I673"/>
      <c r="J673"/>
      <c r="M673"/>
      <c r="N673"/>
      <c r="O673" s="15" t="str">
        <f t="shared" si="20"/>
        <v>_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/>
      </c>
      <c r="Q673" s="2"/>
      <c r="R673" s="2"/>
      <c r="S673" s="11"/>
      <c r="T673" s="1" t="str">
        <f>"owner=" &amp; Tokens!BS673 &amp; "&amp;filename_for_metadata=" &amp; Tokens!BT673 &amp; "&amp;offchaindata_platform=" &amp; $B$17 &amp; "&amp;keyfile=" &amp; $B$5 &amp; "&amp;network=" &amp; LOWER($B$8) &amp; "&amp;repository=" &amp; $B$18</f>
        <v>owner=thomas&amp;filename_for_metadata=InCasa_COR22D510&amp;offchaindata_platform=MongoDB&amp;keyfile=Paul&amp;network=jsonfiles&amp;repository=test</v>
      </c>
      <c r="U673" s="1" t="str">
        <f t="shared" si="21"/>
        <v>{"name":"In Casa #510",_x000D_
"symbol":"COR22D510",_x000D_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3" s="1" t="str">
        <f>formatRow(Tokens!C$2:I$2,Tokens!C673:I673)</f>
        <v>"name":"In Casa #510",_x000D_
"symbol":"COR22D510",_x000D_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3" s="1" t="str">
        <f>formatRow(Tokens!J$2:AV$2,Tokens!J673:AV673,2,"attributes")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3" s="1" t="str">
        <f>formatRow(Tokens!AX$2:BC$2,Tokens!AX673:BC673,2,"creators")</f>
        <v>"creators":[{"address":"paul",_x000D_
"share":10},{"address":"sophie",_x000D_
"share":90}]</v>
      </c>
      <c r="Y673" s="1" t="str">
        <f>formatRow(Tokens!BD$2:BI$2,Tokens!BD673:BI673,2,"files")</f>
        <v>"files":[]</v>
      </c>
      <c r="Z673" s="1"/>
      <c r="AA673" s="1"/>
      <c r="AB673" s="1"/>
      <c r="AC673" s="1" t="str">
        <f>formatRow(Tokens!BJ$2:BK$2,Tokens!BJ673:BK673,0,"collection")</f>
        <v>"collection":{"name":"In Casa",_x000D_
"family":"Calvi On The Rocks"}</v>
      </c>
    </row>
    <row r="674" spans="5:29" ht="14.25" customHeight="1" x14ac:dyDescent="0.25">
      <c r="E674" s="17" t="str">
        <f>IF(Tokens!C674="","",Tokens!C674)</f>
        <v>In Casa #511</v>
      </c>
      <c r="F674"/>
      <c r="G674"/>
      <c r="H674"/>
      <c r="I674"/>
      <c r="J674"/>
      <c r="M674"/>
      <c r="N674"/>
      <c r="O674" s="15" t="str">
        <f t="shared" si="20"/>
        <v>_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/>
      </c>
      <c r="Q674" s="2"/>
      <c r="R674" s="2"/>
      <c r="S674" s="11"/>
      <c r="T674" s="1" t="str">
        <f>"owner=" &amp; Tokens!BS674 &amp; "&amp;filename_for_metadata=" &amp; Tokens!BT674 &amp; "&amp;offchaindata_platform=" &amp; $B$17 &amp; "&amp;keyfile=" &amp; $B$5 &amp; "&amp;network=" &amp; LOWER($B$8) &amp; "&amp;repository=" &amp; $B$18</f>
        <v>owner=thomas&amp;filename_for_metadata=InCasa_COR22D511&amp;offchaindata_platform=MongoDB&amp;keyfile=Paul&amp;network=jsonfiles&amp;repository=test</v>
      </c>
      <c r="U674" s="1" t="str">
        <f t="shared" si="21"/>
        <v>{"name":"In Casa #511",_x000D_
"symbol":"COR22D511",_x000D_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4" s="1" t="str">
        <f>formatRow(Tokens!C$2:I$2,Tokens!C674:I674)</f>
        <v>"name":"In Casa #511",_x000D_
"symbol":"COR22D511",_x000D_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4" s="1" t="str">
        <f>formatRow(Tokens!J$2:AV$2,Tokens!J674:AV674,2,"attributes")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4" s="1" t="str">
        <f>formatRow(Tokens!AX$2:BC$2,Tokens!AX674:BC674,2,"creators")</f>
        <v>"creators":[{"address":"paul",_x000D_
"share":10},{"address":"sophie",_x000D_
"share":90}]</v>
      </c>
      <c r="Y674" s="1" t="str">
        <f>formatRow(Tokens!BD$2:BI$2,Tokens!BD674:BI674,2,"files")</f>
        <v>"files":[]</v>
      </c>
      <c r="Z674" s="1"/>
      <c r="AA674" s="1"/>
      <c r="AB674" s="1"/>
      <c r="AC674" s="1" t="str">
        <f>formatRow(Tokens!BJ$2:BK$2,Tokens!BJ674:BK674,0,"collection")</f>
        <v>"collection":{"name":"In Casa",_x000D_
"family":"Calvi On The Rocks"}</v>
      </c>
    </row>
    <row r="675" spans="5:29" ht="14.25" customHeight="1" x14ac:dyDescent="0.25">
      <c r="E675" s="17" t="str">
        <f>IF(Tokens!C675="","",Tokens!C675)</f>
        <v>In Casa #512</v>
      </c>
      <c r="F675"/>
      <c r="G675"/>
      <c r="H675"/>
      <c r="I675"/>
      <c r="J675"/>
      <c r="M675"/>
      <c r="N675"/>
      <c r="O675" s="15" t="str">
        <f t="shared" si="20"/>
        <v>_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/>
      </c>
      <c r="Q675" s="2"/>
      <c r="R675" s="2"/>
      <c r="S675" s="11"/>
      <c r="T675" s="1" t="str">
        <f>"owner=" &amp; Tokens!BS675 &amp; "&amp;filename_for_metadata=" &amp; Tokens!BT675 &amp; "&amp;offchaindata_platform=" &amp; $B$17 &amp; "&amp;keyfile=" &amp; $B$5 &amp; "&amp;network=" &amp; LOWER($B$8) &amp; "&amp;repository=" &amp; $B$18</f>
        <v>owner=thomas&amp;filename_for_metadata=InCasa_COR22D512&amp;offchaindata_platform=MongoDB&amp;keyfile=Paul&amp;network=jsonfiles&amp;repository=test</v>
      </c>
      <c r="U675" s="1" t="str">
        <f t="shared" si="21"/>
        <v>{"name":"In Casa #512",_x000D_
"symbol":"COR22D512",_x000D_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5" s="1" t="str">
        <f>formatRow(Tokens!C$2:I$2,Tokens!C675:I675)</f>
        <v>"name":"In Casa #512",_x000D_
"symbol":"COR22D512",_x000D_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5" s="1" t="str">
        <f>formatRow(Tokens!J$2:AV$2,Tokens!J675:AV675,2,"attributes")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5" s="1" t="str">
        <f>formatRow(Tokens!AX$2:BC$2,Tokens!AX675:BC675,2,"creators")</f>
        <v>"creators":[{"address":"paul",_x000D_
"share":10},{"address":"sophie",_x000D_
"share":90}]</v>
      </c>
      <c r="Y675" s="1" t="str">
        <f>formatRow(Tokens!BD$2:BI$2,Tokens!BD675:BI675,2,"files")</f>
        <v>"files":[]</v>
      </c>
      <c r="Z675" s="1"/>
      <c r="AA675" s="1"/>
      <c r="AB675" s="1"/>
      <c r="AC675" s="1" t="str">
        <f>formatRow(Tokens!BJ$2:BK$2,Tokens!BJ675:BK675,0,"collection")</f>
        <v>"collection":{"name":"In Casa",_x000D_
"family":"Calvi On The Rocks"}</v>
      </c>
    </row>
    <row r="676" spans="5:29" ht="14.25" customHeight="1" x14ac:dyDescent="0.25">
      <c r="E676" s="17" t="str">
        <f>IF(Tokens!C676="","",Tokens!C676)</f>
        <v>In Casa #513</v>
      </c>
      <c r="F676"/>
      <c r="G676"/>
      <c r="H676"/>
      <c r="I676"/>
      <c r="J676"/>
      <c r="M676"/>
      <c r="N676"/>
      <c r="O676" s="15" t="str">
        <f t="shared" si="20"/>
        <v>_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/>
      </c>
      <c r="Q676" s="2"/>
      <c r="R676" s="2"/>
      <c r="S676" s="11"/>
      <c r="T676" s="1" t="str">
        <f>"owner=" &amp; Tokens!BS676 &amp; "&amp;filename_for_metadata=" &amp; Tokens!BT676 &amp; "&amp;offchaindata_platform=" &amp; $B$17 &amp; "&amp;keyfile=" &amp; $B$5 &amp; "&amp;network=" &amp; LOWER($B$8) &amp; "&amp;repository=" &amp; $B$18</f>
        <v>owner=thomas&amp;filename_for_metadata=InCasa_COR22D513&amp;offchaindata_platform=MongoDB&amp;keyfile=Paul&amp;network=jsonfiles&amp;repository=test</v>
      </c>
      <c r="U676" s="1" t="str">
        <f t="shared" si="21"/>
        <v>{"name":"In Casa #513",_x000D_
"symbol":"COR22D513",_x000D_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6" s="1" t="str">
        <f>formatRow(Tokens!C$2:I$2,Tokens!C676:I676)</f>
        <v>"name":"In Casa #513",_x000D_
"symbol":"COR22D513",_x000D_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6" s="1" t="str">
        <f>formatRow(Tokens!J$2:AV$2,Tokens!J676:AV676,2,"attributes")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6" s="1" t="str">
        <f>formatRow(Tokens!AX$2:BC$2,Tokens!AX676:BC676,2,"creators")</f>
        <v>"creators":[{"address":"paul",_x000D_
"share":10},{"address":"sophie",_x000D_
"share":90}]</v>
      </c>
      <c r="Y676" s="1" t="str">
        <f>formatRow(Tokens!BD$2:BI$2,Tokens!BD676:BI676,2,"files")</f>
        <v>"files":[]</v>
      </c>
      <c r="Z676" s="1"/>
      <c r="AA676" s="1"/>
      <c r="AB676" s="1"/>
      <c r="AC676" s="1" t="str">
        <f>formatRow(Tokens!BJ$2:BK$2,Tokens!BJ676:BK676,0,"collection")</f>
        <v>"collection":{"name":"In Casa",_x000D_
"family":"Calvi On The Rocks"}</v>
      </c>
    </row>
    <row r="677" spans="5:29" ht="14.25" customHeight="1" x14ac:dyDescent="0.25">
      <c r="E677" s="17" t="str">
        <f>IF(Tokens!C677="","",Tokens!C677)</f>
        <v>In Casa #514</v>
      </c>
      <c r="F677"/>
      <c r="G677"/>
      <c r="H677"/>
      <c r="I677"/>
      <c r="J677"/>
      <c r="M677"/>
      <c r="N677"/>
      <c r="O677" s="15" t="str">
        <f t="shared" si="20"/>
        <v>_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/>
      </c>
      <c r="Q677" s="2"/>
      <c r="R677" s="2"/>
      <c r="S677" s="11"/>
      <c r="T677" s="1" t="str">
        <f>"owner=" &amp; Tokens!BS677 &amp; "&amp;filename_for_metadata=" &amp; Tokens!BT677 &amp; "&amp;offchaindata_platform=" &amp; $B$17 &amp; "&amp;keyfile=" &amp; $B$5 &amp; "&amp;network=" &amp; LOWER($B$8) &amp; "&amp;repository=" &amp; $B$18</f>
        <v>owner=thomas&amp;filename_for_metadata=InCasa_COR22D514&amp;offchaindata_platform=MongoDB&amp;keyfile=Paul&amp;network=jsonfiles&amp;repository=test</v>
      </c>
      <c r="U677" s="1" t="str">
        <f t="shared" si="21"/>
        <v>{"name":"In Casa #514",_x000D_
"symbol":"COR22D514",_x000D_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7" s="1" t="str">
        <f>formatRow(Tokens!C$2:I$2,Tokens!C677:I677)</f>
        <v>"name":"In Casa #514",_x000D_
"symbol":"COR22D514",_x000D_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7" s="1" t="str">
        <f>formatRow(Tokens!J$2:AV$2,Tokens!J677:AV677,2,"attributes")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7" s="1" t="str">
        <f>formatRow(Tokens!AX$2:BC$2,Tokens!AX677:BC677,2,"creators")</f>
        <v>"creators":[{"address":"paul",_x000D_
"share":10},{"address":"sophie",_x000D_
"share":90}]</v>
      </c>
      <c r="Y677" s="1" t="str">
        <f>formatRow(Tokens!BD$2:BI$2,Tokens!BD677:BI677,2,"files")</f>
        <v>"files":[]</v>
      </c>
      <c r="Z677" s="1"/>
      <c r="AA677" s="1"/>
      <c r="AB677" s="1"/>
      <c r="AC677" s="1" t="str">
        <f>formatRow(Tokens!BJ$2:BK$2,Tokens!BJ677:BK677,0,"collection")</f>
        <v>"collection":{"name":"In Casa",_x000D_
"family":"Calvi On The Rocks"}</v>
      </c>
    </row>
    <row r="678" spans="5:29" ht="14.25" customHeight="1" x14ac:dyDescent="0.25">
      <c r="E678" s="17" t="str">
        <f>IF(Tokens!C678="","",Tokens!C678)</f>
        <v>In Casa #515</v>
      </c>
      <c r="F678"/>
      <c r="G678"/>
      <c r="H678"/>
      <c r="I678"/>
      <c r="J678"/>
      <c r="M678"/>
      <c r="N678"/>
      <c r="O678" s="15" t="str">
        <f t="shared" si="20"/>
        <v>_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/>
      </c>
      <c r="Q678" s="2"/>
      <c r="R678" s="2"/>
      <c r="S678" s="11"/>
      <c r="T678" s="1" t="str">
        <f>"owner=" &amp; Tokens!BS678 &amp; "&amp;filename_for_metadata=" &amp; Tokens!BT678 &amp; "&amp;offchaindata_platform=" &amp; $B$17 &amp; "&amp;keyfile=" &amp; $B$5 &amp; "&amp;network=" &amp; LOWER($B$8) &amp; "&amp;repository=" &amp; $B$18</f>
        <v>owner=thomas&amp;filename_for_metadata=InCasa_COR22D515&amp;offchaindata_platform=MongoDB&amp;keyfile=Paul&amp;network=jsonfiles&amp;repository=test</v>
      </c>
      <c r="U678" s="1" t="str">
        <f t="shared" si="21"/>
        <v>{"name":"In Casa #515",_x000D_
"symbol":"COR22D515",_x000D_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8" s="1" t="str">
        <f>formatRow(Tokens!C$2:I$2,Tokens!C678:I678)</f>
        <v>"name":"In Casa #515",_x000D_
"symbol":"COR22D515",_x000D_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8" s="1" t="str">
        <f>formatRow(Tokens!J$2:AV$2,Tokens!J678:AV678,2,"attributes")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8" s="1" t="str">
        <f>formatRow(Tokens!AX$2:BC$2,Tokens!AX678:BC678,2,"creators")</f>
        <v>"creators":[{"address":"paul",_x000D_
"share":10},{"address":"sophie",_x000D_
"share":90}]</v>
      </c>
      <c r="Y678" s="1" t="str">
        <f>formatRow(Tokens!BD$2:BI$2,Tokens!BD678:BI678,2,"files")</f>
        <v>"files":[]</v>
      </c>
      <c r="Z678" s="1"/>
      <c r="AA678" s="1"/>
      <c r="AB678" s="1"/>
      <c r="AC678" s="1" t="str">
        <f>formatRow(Tokens!BJ$2:BK$2,Tokens!BJ678:BK678,0,"collection")</f>
        <v>"collection":{"name":"In Casa",_x000D_
"family":"Calvi On The Rocks"}</v>
      </c>
    </row>
    <row r="679" spans="5:29" ht="14.25" customHeight="1" x14ac:dyDescent="0.25">
      <c r="E679" s="17" t="str">
        <f>IF(Tokens!C679="","",Tokens!C679)</f>
        <v>In Casa #516</v>
      </c>
      <c r="F679"/>
      <c r="G679"/>
      <c r="H679"/>
      <c r="I679"/>
      <c r="J679"/>
      <c r="M679"/>
      <c r="N679"/>
      <c r="O679" s="15" t="str">
        <f t="shared" si="20"/>
        <v>_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/>
      </c>
      <c r="Q679" s="2"/>
      <c r="R679" s="2"/>
      <c r="S679" s="11"/>
      <c r="T679" s="1" t="str">
        <f>"owner=" &amp; Tokens!BS679 &amp; "&amp;filename_for_metadata=" &amp; Tokens!BT679 &amp; "&amp;offchaindata_platform=" &amp; $B$17 &amp; "&amp;keyfile=" &amp; $B$5 &amp; "&amp;network=" &amp; LOWER($B$8) &amp; "&amp;repository=" &amp; $B$18</f>
        <v>owner=thomas&amp;filename_for_metadata=InCasa_COR22D516&amp;offchaindata_platform=MongoDB&amp;keyfile=Paul&amp;network=jsonfiles&amp;repository=test</v>
      </c>
      <c r="U679" s="1" t="str">
        <f t="shared" si="21"/>
        <v>{"name":"In Casa #516",_x000D_
"symbol":"COR22D516",_x000D_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79" s="1" t="str">
        <f>formatRow(Tokens!C$2:I$2,Tokens!C679:I679)</f>
        <v>"name":"In Casa #516",_x000D_
"symbol":"COR22D516",_x000D_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79" s="1" t="str">
        <f>formatRow(Tokens!J$2:AV$2,Tokens!J679:AV679,2,"attributes")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79" s="1" t="str">
        <f>formatRow(Tokens!AX$2:BC$2,Tokens!AX679:BC679,2,"creators")</f>
        <v>"creators":[{"address":"paul",_x000D_
"share":10},{"address":"sophie",_x000D_
"share":90}]</v>
      </c>
      <c r="Y679" s="1" t="str">
        <f>formatRow(Tokens!BD$2:BI$2,Tokens!BD679:BI679,2,"files")</f>
        <v>"files":[]</v>
      </c>
      <c r="Z679" s="1"/>
      <c r="AA679" s="1"/>
      <c r="AB679" s="1"/>
      <c r="AC679" s="1" t="str">
        <f>formatRow(Tokens!BJ$2:BK$2,Tokens!BJ679:BK679,0,"collection")</f>
        <v>"collection":{"name":"In Casa",_x000D_
"family":"Calvi On The Rocks"}</v>
      </c>
    </row>
    <row r="680" spans="5:29" ht="14.25" customHeight="1" x14ac:dyDescent="0.25">
      <c r="E680" s="17" t="str">
        <f>IF(Tokens!C680="","",Tokens!C680)</f>
        <v>In Casa #517</v>
      </c>
      <c r="F680"/>
      <c r="G680"/>
      <c r="H680"/>
      <c r="I680"/>
      <c r="J680"/>
      <c r="M680"/>
      <c r="N680"/>
      <c r="O680" s="15" t="str">
        <f t="shared" si="20"/>
        <v>_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/>
      </c>
      <c r="Q680" s="2"/>
      <c r="R680" s="2"/>
      <c r="S680" s="11"/>
      <c r="T680" s="1" t="str">
        <f>"owner=" &amp; Tokens!BS680 &amp; "&amp;filename_for_metadata=" &amp; Tokens!BT680 &amp; "&amp;offchaindata_platform=" &amp; $B$17 &amp; "&amp;keyfile=" &amp; $B$5 &amp; "&amp;network=" &amp; LOWER($B$8) &amp; "&amp;repository=" &amp; $B$18</f>
        <v>owner=thomas&amp;filename_for_metadata=InCasa_COR22D517&amp;offchaindata_platform=MongoDB&amp;keyfile=Paul&amp;network=jsonfiles&amp;repository=test</v>
      </c>
      <c r="U680" s="1" t="str">
        <f t="shared" si="21"/>
        <v>{"name":"In Casa #517",_x000D_
"symbol":"COR22D517",_x000D_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0" s="1" t="str">
        <f>formatRow(Tokens!C$2:I$2,Tokens!C680:I680)</f>
        <v>"name":"In Casa #517",_x000D_
"symbol":"COR22D517",_x000D_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0" s="1" t="str">
        <f>formatRow(Tokens!J$2:AV$2,Tokens!J680:AV680,2,"attributes")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0" s="1" t="str">
        <f>formatRow(Tokens!AX$2:BC$2,Tokens!AX680:BC680,2,"creators")</f>
        <v>"creators":[{"address":"paul",_x000D_
"share":10},{"address":"sophie",_x000D_
"share":90}]</v>
      </c>
      <c r="Y680" s="1" t="str">
        <f>formatRow(Tokens!BD$2:BI$2,Tokens!BD680:BI680,2,"files")</f>
        <v>"files":[]</v>
      </c>
      <c r="Z680" s="1"/>
      <c r="AA680" s="1"/>
      <c r="AB680" s="1"/>
      <c r="AC680" s="1" t="str">
        <f>formatRow(Tokens!BJ$2:BK$2,Tokens!BJ680:BK680,0,"collection")</f>
        <v>"collection":{"name":"In Casa",_x000D_
"family":"Calvi On The Rocks"}</v>
      </c>
    </row>
    <row r="681" spans="5:29" ht="14.25" customHeight="1" x14ac:dyDescent="0.25">
      <c r="E681" s="17" t="str">
        <f>IF(Tokens!C681="","",Tokens!C681)</f>
        <v>In Casa #518</v>
      </c>
      <c r="F681"/>
      <c r="G681"/>
      <c r="H681"/>
      <c r="I681"/>
      <c r="J681"/>
      <c r="M681"/>
      <c r="N681"/>
      <c r="O681" s="15" t="str">
        <f t="shared" si="20"/>
        <v>_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/>
      </c>
      <c r="Q681" s="2"/>
      <c r="R681" s="2"/>
      <c r="S681" s="11"/>
      <c r="T681" s="1" t="str">
        <f>"owner=" &amp; Tokens!BS681 &amp; "&amp;filename_for_metadata=" &amp; Tokens!BT681 &amp; "&amp;offchaindata_platform=" &amp; $B$17 &amp; "&amp;keyfile=" &amp; $B$5 &amp; "&amp;network=" &amp; LOWER($B$8) &amp; "&amp;repository=" &amp; $B$18</f>
        <v>owner=thomas&amp;filename_for_metadata=InCasa_COR22D518&amp;offchaindata_platform=MongoDB&amp;keyfile=Paul&amp;network=jsonfiles&amp;repository=test</v>
      </c>
      <c r="U681" s="1" t="str">
        <f t="shared" si="21"/>
        <v>{"name":"In Casa #518",_x000D_
"symbol":"COR22D518",_x000D_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1" s="1" t="str">
        <f>formatRow(Tokens!C$2:I$2,Tokens!C681:I681)</f>
        <v>"name":"In Casa #518",_x000D_
"symbol":"COR22D518",_x000D_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1" s="1" t="str">
        <f>formatRow(Tokens!J$2:AV$2,Tokens!J681:AV681,2,"attributes")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1" s="1" t="str">
        <f>formatRow(Tokens!AX$2:BC$2,Tokens!AX681:BC681,2,"creators")</f>
        <v>"creators":[{"address":"paul",_x000D_
"share":10},{"address":"sophie",_x000D_
"share":90}]</v>
      </c>
      <c r="Y681" s="1" t="str">
        <f>formatRow(Tokens!BD$2:BI$2,Tokens!BD681:BI681,2,"files")</f>
        <v>"files":[]</v>
      </c>
      <c r="Z681" s="1"/>
      <c r="AA681" s="1"/>
      <c r="AB681" s="1"/>
      <c r="AC681" s="1" t="str">
        <f>formatRow(Tokens!BJ$2:BK$2,Tokens!BJ681:BK681,0,"collection")</f>
        <v>"collection":{"name":"In Casa",_x000D_
"family":"Calvi On The Rocks"}</v>
      </c>
    </row>
    <row r="682" spans="5:29" ht="14.25" customHeight="1" x14ac:dyDescent="0.25">
      <c r="E682" s="17" t="str">
        <f>IF(Tokens!C682="","",Tokens!C682)</f>
        <v>In Casa #519</v>
      </c>
      <c r="F682"/>
      <c r="G682"/>
      <c r="H682"/>
      <c r="I682"/>
      <c r="J682"/>
      <c r="M682"/>
      <c r="N682"/>
      <c r="O682" s="15" t="str">
        <f t="shared" si="20"/>
        <v>_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/>
      </c>
      <c r="Q682" s="2"/>
      <c r="R682" s="2"/>
      <c r="S682" s="11"/>
      <c r="T682" s="1" t="str">
        <f>"owner=" &amp; Tokens!BS682 &amp; "&amp;filename_for_metadata=" &amp; Tokens!BT682 &amp; "&amp;offchaindata_platform=" &amp; $B$17 &amp; "&amp;keyfile=" &amp; $B$5 &amp; "&amp;network=" &amp; LOWER($B$8) &amp; "&amp;repository=" &amp; $B$18</f>
        <v>owner=thomas&amp;filename_for_metadata=InCasa_COR22D519&amp;offchaindata_platform=MongoDB&amp;keyfile=Paul&amp;network=jsonfiles&amp;repository=test</v>
      </c>
      <c r="U682" s="1" t="str">
        <f t="shared" si="21"/>
        <v>{"name":"In Casa #519",_x000D_
"symbol":"COR22D519",_x000D_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2" s="1" t="str">
        <f>formatRow(Tokens!C$2:I$2,Tokens!C682:I682)</f>
        <v>"name":"In Casa #519",_x000D_
"symbol":"COR22D519",_x000D_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2" s="1" t="str">
        <f>formatRow(Tokens!J$2:AV$2,Tokens!J682:AV682,2,"attributes")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2" s="1" t="str">
        <f>formatRow(Tokens!AX$2:BC$2,Tokens!AX682:BC682,2,"creators")</f>
        <v>"creators":[{"address":"paul",_x000D_
"share":10},{"address":"sophie",_x000D_
"share":90}]</v>
      </c>
      <c r="Y682" s="1" t="str">
        <f>formatRow(Tokens!BD$2:BI$2,Tokens!BD682:BI682,2,"files")</f>
        <v>"files":[]</v>
      </c>
      <c r="Z682" s="1"/>
      <c r="AA682" s="1"/>
      <c r="AB682" s="1"/>
      <c r="AC682" s="1" t="str">
        <f>formatRow(Tokens!BJ$2:BK$2,Tokens!BJ682:BK682,0,"collection")</f>
        <v>"collection":{"name":"In Casa",_x000D_
"family":"Calvi On The Rocks"}</v>
      </c>
    </row>
    <row r="683" spans="5:29" ht="14.25" customHeight="1" x14ac:dyDescent="0.25">
      <c r="E683" s="17" t="str">
        <f>IF(Tokens!C683="","",Tokens!C683)</f>
        <v>In Casa #520</v>
      </c>
      <c r="F683"/>
      <c r="G683"/>
      <c r="H683"/>
      <c r="I683"/>
      <c r="J683"/>
      <c r="M683"/>
      <c r="N683"/>
      <c r="O683" s="15" t="str">
        <f t="shared" si="20"/>
        <v>_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/>
      </c>
      <c r="Q683" s="2"/>
      <c r="R683" s="2"/>
      <c r="S683" s="11"/>
      <c r="T683" s="1" t="str">
        <f>"owner=" &amp; Tokens!BS683 &amp; "&amp;filename_for_metadata=" &amp; Tokens!BT683 &amp; "&amp;offchaindata_platform=" &amp; $B$17 &amp; "&amp;keyfile=" &amp; $B$5 &amp; "&amp;network=" &amp; LOWER($B$8) &amp; "&amp;repository=" &amp; $B$18</f>
        <v>owner=thomas&amp;filename_for_metadata=InCasa_COR22D520&amp;offchaindata_platform=MongoDB&amp;keyfile=Paul&amp;network=jsonfiles&amp;repository=test</v>
      </c>
      <c r="U683" s="1" t="str">
        <f t="shared" si="21"/>
        <v>{"name":"In Casa #520",_x000D_
"symbol":"COR22D520",_x000D_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3" s="1" t="str">
        <f>formatRow(Tokens!C$2:I$2,Tokens!C683:I683)</f>
        <v>"name":"In Casa #520",_x000D_
"symbol":"COR22D520",_x000D_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3" s="1" t="str">
        <f>formatRow(Tokens!J$2:AV$2,Tokens!J683:AV683,2,"attributes")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3" s="1" t="str">
        <f>formatRow(Tokens!AX$2:BC$2,Tokens!AX683:BC683,2,"creators")</f>
        <v>"creators":[{"address":"paul",_x000D_
"share":10},{"address":"sophie",_x000D_
"share":90}]</v>
      </c>
      <c r="Y683" s="1" t="str">
        <f>formatRow(Tokens!BD$2:BI$2,Tokens!BD683:BI683,2,"files")</f>
        <v>"files":[]</v>
      </c>
      <c r="Z683" s="1"/>
      <c r="AA683" s="1"/>
      <c r="AB683" s="1"/>
      <c r="AC683" s="1" t="str">
        <f>formatRow(Tokens!BJ$2:BK$2,Tokens!BJ683:BK683,0,"collection")</f>
        <v>"collection":{"name":"In Casa",_x000D_
"family":"Calvi On The Rocks"}</v>
      </c>
    </row>
    <row r="684" spans="5:29" ht="14.25" customHeight="1" x14ac:dyDescent="0.25">
      <c r="E684" s="17" t="str">
        <f>IF(Tokens!C684="","",Tokens!C684)</f>
        <v>In Casa #521</v>
      </c>
      <c r="F684"/>
      <c r="G684"/>
      <c r="H684"/>
      <c r="I684"/>
      <c r="J684"/>
      <c r="M684"/>
      <c r="N684"/>
      <c r="O684" s="15" t="str">
        <f t="shared" si="20"/>
        <v>_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/>
      </c>
      <c r="Q684" s="2"/>
      <c r="R684" s="2"/>
      <c r="S684" s="11"/>
      <c r="T684" s="1" t="str">
        <f>"owner=" &amp; Tokens!BS684 &amp; "&amp;filename_for_metadata=" &amp; Tokens!BT684 &amp; "&amp;offchaindata_platform=" &amp; $B$17 &amp; "&amp;keyfile=" &amp; $B$5 &amp; "&amp;network=" &amp; LOWER($B$8) &amp; "&amp;repository=" &amp; $B$18</f>
        <v>owner=thomas&amp;filename_for_metadata=InCasa_COR22D521&amp;offchaindata_platform=MongoDB&amp;keyfile=Paul&amp;network=jsonfiles&amp;repository=test</v>
      </c>
      <c r="U684" s="1" t="str">
        <f t="shared" si="21"/>
        <v>{"name":"In Casa #521",_x000D_
"symbol":"COR22D521",_x000D_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4" s="1" t="str">
        <f>formatRow(Tokens!C$2:I$2,Tokens!C684:I684)</f>
        <v>"name":"In Casa #521",_x000D_
"symbol":"COR22D521",_x000D_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4" s="1" t="str">
        <f>formatRow(Tokens!J$2:AV$2,Tokens!J684:AV684,2,"attributes")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4" s="1" t="str">
        <f>formatRow(Tokens!AX$2:BC$2,Tokens!AX684:BC684,2,"creators")</f>
        <v>"creators":[{"address":"paul",_x000D_
"share":10},{"address":"sophie",_x000D_
"share":90}]</v>
      </c>
      <c r="Y684" s="1" t="str">
        <f>formatRow(Tokens!BD$2:BI$2,Tokens!BD684:BI684,2,"files")</f>
        <v>"files":[]</v>
      </c>
      <c r="Z684" s="1"/>
      <c r="AA684" s="1"/>
      <c r="AB684" s="1"/>
      <c r="AC684" s="1" t="str">
        <f>formatRow(Tokens!BJ$2:BK$2,Tokens!BJ684:BK684,0,"collection")</f>
        <v>"collection":{"name":"In Casa",_x000D_
"family":"Calvi On The Rocks"}</v>
      </c>
    </row>
    <row r="685" spans="5:29" ht="14.25" customHeight="1" x14ac:dyDescent="0.25">
      <c r="E685" s="17" t="str">
        <f>IF(Tokens!C685="","",Tokens!C685)</f>
        <v>In Casa #522</v>
      </c>
      <c r="F685"/>
      <c r="G685"/>
      <c r="H685"/>
      <c r="I685"/>
      <c r="J685"/>
      <c r="M685"/>
      <c r="N685"/>
      <c r="O685" s="15" t="str">
        <f t="shared" si="20"/>
        <v>_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/>
      </c>
      <c r="Q685" s="2"/>
      <c r="R685" s="2"/>
      <c r="S685" s="11"/>
      <c r="T685" s="1" t="str">
        <f>"owner=" &amp; Tokens!BS685 &amp; "&amp;filename_for_metadata=" &amp; Tokens!BT685 &amp; "&amp;offchaindata_platform=" &amp; $B$17 &amp; "&amp;keyfile=" &amp; $B$5 &amp; "&amp;network=" &amp; LOWER($B$8) &amp; "&amp;repository=" &amp; $B$18</f>
        <v>owner=thomas&amp;filename_for_metadata=InCasa_COR22D522&amp;offchaindata_platform=MongoDB&amp;keyfile=Paul&amp;network=jsonfiles&amp;repository=test</v>
      </c>
      <c r="U685" s="1" t="str">
        <f t="shared" si="21"/>
        <v>{"name":"In Casa #522",_x000D_
"symbol":"COR22D522",_x000D_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5" s="1" t="str">
        <f>formatRow(Tokens!C$2:I$2,Tokens!C685:I685)</f>
        <v>"name":"In Casa #522",_x000D_
"symbol":"COR22D522",_x000D_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5" s="1" t="str">
        <f>formatRow(Tokens!J$2:AV$2,Tokens!J685:AV685,2,"attributes")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5" s="1" t="str">
        <f>formatRow(Tokens!AX$2:BC$2,Tokens!AX685:BC685,2,"creators")</f>
        <v>"creators":[{"address":"paul",_x000D_
"share":10},{"address":"sophie",_x000D_
"share":90}]</v>
      </c>
      <c r="Y685" s="1" t="str">
        <f>formatRow(Tokens!BD$2:BI$2,Tokens!BD685:BI685,2,"files")</f>
        <v>"files":[]</v>
      </c>
      <c r="Z685" s="1"/>
      <c r="AA685" s="1"/>
      <c r="AB685" s="1"/>
      <c r="AC685" s="1" t="str">
        <f>formatRow(Tokens!BJ$2:BK$2,Tokens!BJ685:BK685,0,"collection")</f>
        <v>"collection":{"name":"In Casa",_x000D_
"family":"Calvi On The Rocks"}</v>
      </c>
    </row>
    <row r="686" spans="5:29" ht="14.25" customHeight="1" x14ac:dyDescent="0.25">
      <c r="E686" s="17" t="str">
        <f>IF(Tokens!C686="","",Tokens!C686)</f>
        <v>In Casa #523</v>
      </c>
      <c r="F686"/>
      <c r="G686"/>
      <c r="H686"/>
      <c r="I686"/>
      <c r="J686"/>
      <c r="M686"/>
      <c r="N686"/>
      <c r="O686" s="15" t="str">
        <f t="shared" si="20"/>
        <v>_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/>
      </c>
      <c r="Q686" s="2"/>
      <c r="R686" s="2"/>
      <c r="S686" s="11"/>
      <c r="T686" s="1" t="str">
        <f>"owner=" &amp; Tokens!BS686 &amp; "&amp;filename_for_metadata=" &amp; Tokens!BT686 &amp; "&amp;offchaindata_platform=" &amp; $B$17 &amp; "&amp;keyfile=" &amp; $B$5 &amp; "&amp;network=" &amp; LOWER($B$8) &amp; "&amp;repository=" &amp; $B$18</f>
        <v>owner=thomas&amp;filename_for_metadata=InCasa_COR22D523&amp;offchaindata_platform=MongoDB&amp;keyfile=Paul&amp;network=jsonfiles&amp;repository=test</v>
      </c>
      <c r="U686" s="1" t="str">
        <f t="shared" si="21"/>
        <v>{"name":"In Casa #523",_x000D_
"symbol":"COR22D523",_x000D_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6" s="1" t="str">
        <f>formatRow(Tokens!C$2:I$2,Tokens!C686:I686)</f>
        <v>"name":"In Casa #523",_x000D_
"symbol":"COR22D523",_x000D_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6" s="1" t="str">
        <f>formatRow(Tokens!J$2:AV$2,Tokens!J686:AV686,2,"attributes")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6" s="1" t="str">
        <f>formatRow(Tokens!AX$2:BC$2,Tokens!AX686:BC686,2,"creators")</f>
        <v>"creators":[{"address":"paul",_x000D_
"share":10},{"address":"sophie",_x000D_
"share":90}]</v>
      </c>
      <c r="Y686" s="1" t="str">
        <f>formatRow(Tokens!BD$2:BI$2,Tokens!BD686:BI686,2,"files")</f>
        <v>"files":[]</v>
      </c>
      <c r="Z686" s="1"/>
      <c r="AA686" s="1"/>
      <c r="AB686" s="1"/>
      <c r="AC686" s="1" t="str">
        <f>formatRow(Tokens!BJ$2:BK$2,Tokens!BJ686:BK686,0,"collection")</f>
        <v>"collection":{"name":"In Casa",_x000D_
"family":"Calvi On The Rocks"}</v>
      </c>
    </row>
    <row r="687" spans="5:29" ht="14.25" customHeight="1" x14ac:dyDescent="0.25">
      <c r="E687" s="17" t="str">
        <f>IF(Tokens!C687="","",Tokens!C687)</f>
        <v>In Casa #524</v>
      </c>
      <c r="F687"/>
      <c r="G687"/>
      <c r="H687"/>
      <c r="I687"/>
      <c r="J687"/>
      <c r="M687"/>
      <c r="N687"/>
      <c r="O687" s="15" t="str">
        <f t="shared" si="20"/>
        <v>_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/>
      </c>
      <c r="Q687" s="2"/>
      <c r="R687" s="2"/>
      <c r="S687" s="11"/>
      <c r="T687" s="1" t="str">
        <f>"owner=" &amp; Tokens!BS687 &amp; "&amp;filename_for_metadata=" &amp; Tokens!BT687 &amp; "&amp;offchaindata_platform=" &amp; $B$17 &amp; "&amp;keyfile=" &amp; $B$5 &amp; "&amp;network=" &amp; LOWER($B$8) &amp; "&amp;repository=" &amp; $B$18</f>
        <v>owner=thomas&amp;filename_for_metadata=InCasa_COR22D524&amp;offchaindata_platform=MongoDB&amp;keyfile=Paul&amp;network=jsonfiles&amp;repository=test</v>
      </c>
      <c r="U687" s="1" t="str">
        <f t="shared" si="21"/>
        <v>{"name":"In Casa #524",_x000D_
"symbol":"COR22D524",_x000D_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7" s="1" t="str">
        <f>formatRow(Tokens!C$2:I$2,Tokens!C687:I687)</f>
        <v>"name":"In Casa #524",_x000D_
"symbol":"COR22D524",_x000D_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7" s="1" t="str">
        <f>formatRow(Tokens!J$2:AV$2,Tokens!J687:AV687,2,"attributes")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7" s="1" t="str">
        <f>formatRow(Tokens!AX$2:BC$2,Tokens!AX687:BC687,2,"creators")</f>
        <v>"creators":[{"address":"paul",_x000D_
"share":10},{"address":"sophie",_x000D_
"share":90}]</v>
      </c>
      <c r="Y687" s="1" t="str">
        <f>formatRow(Tokens!BD$2:BI$2,Tokens!BD687:BI687,2,"files")</f>
        <v>"files":[]</v>
      </c>
      <c r="Z687" s="1"/>
      <c r="AA687" s="1"/>
      <c r="AB687" s="1"/>
      <c r="AC687" s="1" t="str">
        <f>formatRow(Tokens!BJ$2:BK$2,Tokens!BJ687:BK687,0,"collection")</f>
        <v>"collection":{"name":"In Casa",_x000D_
"family":"Calvi On The Rocks"}</v>
      </c>
    </row>
    <row r="688" spans="5:29" ht="14.25" customHeight="1" x14ac:dyDescent="0.25">
      <c r="E688" s="17" t="str">
        <f>IF(Tokens!C688="","",Tokens!C688)</f>
        <v>In Casa #525</v>
      </c>
      <c r="F688"/>
      <c r="G688"/>
      <c r="H688"/>
      <c r="I688"/>
      <c r="J688"/>
      <c r="M688"/>
      <c r="N688"/>
      <c r="O688" s="15" t="str">
        <f t="shared" si="20"/>
        <v>_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/>
      </c>
      <c r="Q688" s="2"/>
      <c r="R688" s="2"/>
      <c r="S688" s="11"/>
      <c r="T688" s="1" t="str">
        <f>"owner=" &amp; Tokens!BS688 &amp; "&amp;filename_for_metadata=" &amp; Tokens!BT688 &amp; "&amp;offchaindata_platform=" &amp; $B$17 &amp; "&amp;keyfile=" &amp; $B$5 &amp; "&amp;network=" &amp; LOWER($B$8) &amp; "&amp;repository=" &amp; $B$18</f>
        <v>owner=thomas&amp;filename_for_metadata=InCasa_COR22D525&amp;offchaindata_platform=MongoDB&amp;keyfile=Paul&amp;network=jsonfiles&amp;repository=test</v>
      </c>
      <c r="U688" s="1" t="str">
        <f t="shared" si="21"/>
        <v>{"name":"In Casa #525",_x000D_
"symbol":"COR22D525",_x000D_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8" s="1" t="str">
        <f>formatRow(Tokens!C$2:I$2,Tokens!C688:I688)</f>
        <v>"name":"In Casa #525",_x000D_
"symbol":"COR22D525",_x000D_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8" s="1" t="str">
        <f>formatRow(Tokens!J$2:AV$2,Tokens!J688:AV688,2,"attributes")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8" s="1" t="str">
        <f>formatRow(Tokens!AX$2:BC$2,Tokens!AX688:BC688,2,"creators")</f>
        <v>"creators":[{"address":"paul",_x000D_
"share":10},{"address":"sophie",_x000D_
"share":90}]</v>
      </c>
      <c r="Y688" s="1" t="str">
        <f>formatRow(Tokens!BD$2:BI$2,Tokens!BD688:BI688,2,"files")</f>
        <v>"files":[]</v>
      </c>
      <c r="Z688" s="1"/>
      <c r="AA688" s="1"/>
      <c r="AB688" s="1"/>
      <c r="AC688" s="1" t="str">
        <f>formatRow(Tokens!BJ$2:BK$2,Tokens!BJ688:BK688,0,"collection")</f>
        <v>"collection":{"name":"In Casa",_x000D_
"family":"Calvi On The Rocks"}</v>
      </c>
    </row>
    <row r="689" spans="5:29" ht="14.25" customHeight="1" x14ac:dyDescent="0.25">
      <c r="E689" s="17" t="str">
        <f>IF(Tokens!C689="","",Tokens!C689)</f>
        <v>In Casa #526</v>
      </c>
      <c r="F689"/>
      <c r="G689"/>
      <c r="H689"/>
      <c r="I689"/>
      <c r="J689"/>
      <c r="M689"/>
      <c r="N689"/>
      <c r="O689" s="15" t="str">
        <f t="shared" si="20"/>
        <v>_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/>
      </c>
      <c r="Q689" s="2"/>
      <c r="R689" s="2"/>
      <c r="S689" s="11"/>
      <c r="T689" s="1" t="str">
        <f>"owner=" &amp; Tokens!BS689 &amp; "&amp;filename_for_metadata=" &amp; Tokens!BT689 &amp; "&amp;offchaindata_platform=" &amp; $B$17 &amp; "&amp;keyfile=" &amp; $B$5 &amp; "&amp;network=" &amp; LOWER($B$8) &amp; "&amp;repository=" &amp; $B$18</f>
        <v>owner=thomas&amp;filename_for_metadata=InCasa_COR22D526&amp;offchaindata_platform=MongoDB&amp;keyfile=Paul&amp;network=jsonfiles&amp;repository=test</v>
      </c>
      <c r="U689" s="1" t="str">
        <f t="shared" si="21"/>
        <v>{"name":"In Casa #526",_x000D_
"symbol":"COR22D526",_x000D_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89" s="1" t="str">
        <f>formatRow(Tokens!C$2:I$2,Tokens!C689:I689)</f>
        <v>"name":"In Casa #526",_x000D_
"symbol":"COR22D526",_x000D_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89" s="1" t="str">
        <f>formatRow(Tokens!J$2:AV$2,Tokens!J689:AV689,2,"attributes")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89" s="1" t="str">
        <f>formatRow(Tokens!AX$2:BC$2,Tokens!AX689:BC689,2,"creators")</f>
        <v>"creators":[{"address":"paul",_x000D_
"share":10},{"address":"sophie",_x000D_
"share":90}]</v>
      </c>
      <c r="Y689" s="1" t="str">
        <f>formatRow(Tokens!BD$2:BI$2,Tokens!BD689:BI689,2,"files")</f>
        <v>"files":[]</v>
      </c>
      <c r="Z689" s="1"/>
      <c r="AA689" s="1"/>
      <c r="AB689" s="1"/>
      <c r="AC689" s="1" t="str">
        <f>formatRow(Tokens!BJ$2:BK$2,Tokens!BJ689:BK689,0,"collection")</f>
        <v>"collection":{"name":"In Casa",_x000D_
"family":"Calvi On The Rocks"}</v>
      </c>
    </row>
    <row r="690" spans="5:29" ht="14.25" customHeight="1" x14ac:dyDescent="0.25">
      <c r="E690" s="17" t="str">
        <f>IF(Tokens!C690="","",Tokens!C690)</f>
        <v>In Casa #527</v>
      </c>
      <c r="F690"/>
      <c r="G690"/>
      <c r="H690"/>
      <c r="I690"/>
      <c r="J690"/>
      <c r="M690"/>
      <c r="N690"/>
      <c r="O690" s="15" t="str">
        <f t="shared" si="20"/>
        <v>_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/>
      </c>
      <c r="Q690" s="2"/>
      <c r="R690" s="2"/>
      <c r="S690" s="11"/>
      <c r="T690" s="1" t="str">
        <f>"owner=" &amp; Tokens!BS690 &amp; "&amp;filename_for_metadata=" &amp; Tokens!BT690 &amp; "&amp;offchaindata_platform=" &amp; $B$17 &amp; "&amp;keyfile=" &amp; $B$5 &amp; "&amp;network=" &amp; LOWER($B$8) &amp; "&amp;repository=" &amp; $B$18</f>
        <v>owner=thomas&amp;filename_for_metadata=InCasa_COR22D527&amp;offchaindata_platform=MongoDB&amp;keyfile=Paul&amp;network=jsonfiles&amp;repository=test</v>
      </c>
      <c r="U690" s="1" t="str">
        <f t="shared" si="21"/>
        <v>{"name":"In Casa #527",_x000D_
"symbol":"COR22D527",_x000D_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0" s="1" t="str">
        <f>formatRow(Tokens!C$2:I$2,Tokens!C690:I690)</f>
        <v>"name":"In Casa #527",_x000D_
"symbol":"COR22D527",_x000D_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0" s="1" t="str">
        <f>formatRow(Tokens!J$2:AV$2,Tokens!J690:AV690,2,"attributes")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0" s="1" t="str">
        <f>formatRow(Tokens!AX$2:BC$2,Tokens!AX690:BC690,2,"creators")</f>
        <v>"creators":[{"address":"paul",_x000D_
"share":10},{"address":"sophie",_x000D_
"share":90}]</v>
      </c>
      <c r="Y690" s="1" t="str">
        <f>formatRow(Tokens!BD$2:BI$2,Tokens!BD690:BI690,2,"files")</f>
        <v>"files":[]</v>
      </c>
      <c r="Z690" s="1"/>
      <c r="AA690" s="1"/>
      <c r="AB690" s="1"/>
      <c r="AC690" s="1" t="str">
        <f>formatRow(Tokens!BJ$2:BK$2,Tokens!BJ690:BK690,0,"collection")</f>
        <v>"collection":{"name":"In Casa",_x000D_
"family":"Calvi On The Rocks"}</v>
      </c>
    </row>
    <row r="691" spans="5:29" ht="14.25" customHeight="1" x14ac:dyDescent="0.25">
      <c r="E691" s="17" t="str">
        <f>IF(Tokens!C691="","",Tokens!C691)</f>
        <v>In Casa #528</v>
      </c>
      <c r="F691"/>
      <c r="G691"/>
      <c r="H691"/>
      <c r="I691"/>
      <c r="J691"/>
      <c r="M691"/>
      <c r="N691"/>
      <c r="O691" s="15" t="str">
        <f t="shared" si="20"/>
        <v>_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/>
      </c>
      <c r="Q691" s="2"/>
      <c r="R691" s="2"/>
      <c r="S691" s="11"/>
      <c r="T691" s="1" t="str">
        <f>"owner=" &amp; Tokens!BS691 &amp; "&amp;filename_for_metadata=" &amp; Tokens!BT691 &amp; "&amp;offchaindata_platform=" &amp; $B$17 &amp; "&amp;keyfile=" &amp; $B$5 &amp; "&amp;network=" &amp; LOWER($B$8) &amp; "&amp;repository=" &amp; $B$18</f>
        <v>owner=thomas&amp;filename_for_metadata=InCasa_COR22D528&amp;offchaindata_platform=MongoDB&amp;keyfile=Paul&amp;network=jsonfiles&amp;repository=test</v>
      </c>
      <c r="U691" s="1" t="str">
        <f t="shared" si="21"/>
        <v>{"name":"In Casa #528",_x000D_
"symbol":"COR22D528",_x000D_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1" s="1" t="str">
        <f>formatRow(Tokens!C$2:I$2,Tokens!C691:I691)</f>
        <v>"name":"In Casa #528",_x000D_
"symbol":"COR22D528",_x000D_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1" s="1" t="str">
        <f>formatRow(Tokens!J$2:AV$2,Tokens!J691:AV691,2,"attributes")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1" s="1" t="str">
        <f>formatRow(Tokens!AX$2:BC$2,Tokens!AX691:BC691,2,"creators")</f>
        <v>"creators":[{"address":"paul",_x000D_
"share":10},{"address":"sophie",_x000D_
"share":90}]</v>
      </c>
      <c r="Y691" s="1" t="str">
        <f>formatRow(Tokens!BD$2:BI$2,Tokens!BD691:BI691,2,"files")</f>
        <v>"files":[]</v>
      </c>
      <c r="Z691" s="1"/>
      <c r="AA691" s="1"/>
      <c r="AB691" s="1"/>
      <c r="AC691" s="1" t="str">
        <f>formatRow(Tokens!BJ$2:BK$2,Tokens!BJ691:BK691,0,"collection")</f>
        <v>"collection":{"name":"In Casa",_x000D_
"family":"Calvi On The Rocks"}</v>
      </c>
    </row>
    <row r="692" spans="5:29" ht="14.25" customHeight="1" x14ac:dyDescent="0.25">
      <c r="E692" s="17" t="str">
        <f>IF(Tokens!C692="","",Tokens!C692)</f>
        <v>In Casa #529</v>
      </c>
      <c r="F692"/>
      <c r="G692"/>
      <c r="H692"/>
      <c r="I692"/>
      <c r="J692"/>
      <c r="M692"/>
      <c r="N692"/>
      <c r="O692" s="15" t="str">
        <f t="shared" si="20"/>
        <v>_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/>
      </c>
      <c r="Q692" s="2"/>
      <c r="R692" s="2"/>
      <c r="S692" s="11"/>
      <c r="T692" s="1" t="str">
        <f>"owner=" &amp; Tokens!BS692 &amp; "&amp;filename_for_metadata=" &amp; Tokens!BT692 &amp; "&amp;offchaindata_platform=" &amp; $B$17 &amp; "&amp;keyfile=" &amp; $B$5 &amp; "&amp;network=" &amp; LOWER($B$8) &amp; "&amp;repository=" &amp; $B$18</f>
        <v>owner=thomas&amp;filename_for_metadata=InCasa_COR22D529&amp;offchaindata_platform=MongoDB&amp;keyfile=Paul&amp;network=jsonfiles&amp;repository=test</v>
      </c>
      <c r="U692" s="1" t="str">
        <f t="shared" si="21"/>
        <v>{"name":"In Casa #529",_x000D_
"symbol":"COR22D529",_x000D_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2" s="1" t="str">
        <f>formatRow(Tokens!C$2:I$2,Tokens!C692:I692)</f>
        <v>"name":"In Casa #529",_x000D_
"symbol":"COR22D529",_x000D_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2" s="1" t="str">
        <f>formatRow(Tokens!J$2:AV$2,Tokens!J692:AV692,2,"attributes")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2" s="1" t="str">
        <f>formatRow(Tokens!AX$2:BC$2,Tokens!AX692:BC692,2,"creators")</f>
        <v>"creators":[{"address":"paul",_x000D_
"share":10},{"address":"sophie",_x000D_
"share":90}]</v>
      </c>
      <c r="Y692" s="1" t="str">
        <f>formatRow(Tokens!BD$2:BI$2,Tokens!BD692:BI692,2,"files")</f>
        <v>"files":[]</v>
      </c>
      <c r="Z692" s="1"/>
      <c r="AA692" s="1"/>
      <c r="AB692" s="1"/>
      <c r="AC692" s="1" t="str">
        <f>formatRow(Tokens!BJ$2:BK$2,Tokens!BJ692:BK692,0,"collection")</f>
        <v>"collection":{"name":"In Casa",_x000D_
"family":"Calvi On The Rocks"}</v>
      </c>
    </row>
    <row r="693" spans="5:29" ht="14.25" customHeight="1" x14ac:dyDescent="0.25">
      <c r="E693" s="17" t="str">
        <f>IF(Tokens!C693="","",Tokens!C693)</f>
        <v>In Casa #530</v>
      </c>
      <c r="F693"/>
      <c r="G693"/>
      <c r="H693"/>
      <c r="I693"/>
      <c r="J693"/>
      <c r="M693"/>
      <c r="N693"/>
      <c r="O693" s="15" t="str">
        <f t="shared" si="20"/>
        <v>_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/>
      </c>
      <c r="Q693" s="2"/>
      <c r="R693" s="2"/>
      <c r="S693" s="11"/>
      <c r="T693" s="1" t="str">
        <f>"owner=" &amp; Tokens!BS693 &amp; "&amp;filename_for_metadata=" &amp; Tokens!BT693 &amp; "&amp;offchaindata_platform=" &amp; $B$17 &amp; "&amp;keyfile=" &amp; $B$5 &amp; "&amp;network=" &amp; LOWER($B$8) &amp; "&amp;repository=" &amp; $B$18</f>
        <v>owner=thomas&amp;filename_for_metadata=InCasa_COR22D530&amp;offchaindata_platform=MongoDB&amp;keyfile=Paul&amp;network=jsonfiles&amp;repository=test</v>
      </c>
      <c r="U693" s="1" t="str">
        <f t="shared" si="21"/>
        <v>{"name":"In Casa #530",_x000D_
"symbol":"COR22D530",_x000D_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3" s="1" t="str">
        <f>formatRow(Tokens!C$2:I$2,Tokens!C693:I693)</f>
        <v>"name":"In Casa #530",_x000D_
"symbol":"COR22D530",_x000D_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3" s="1" t="str">
        <f>formatRow(Tokens!J$2:AV$2,Tokens!J693:AV693,2,"attributes")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3" s="1" t="str">
        <f>formatRow(Tokens!AX$2:BC$2,Tokens!AX693:BC693,2,"creators")</f>
        <v>"creators":[{"address":"paul",_x000D_
"share":10},{"address":"sophie",_x000D_
"share":90}]</v>
      </c>
      <c r="Y693" s="1" t="str">
        <f>formatRow(Tokens!BD$2:BI$2,Tokens!BD693:BI693,2,"files")</f>
        <v>"files":[]</v>
      </c>
      <c r="Z693" s="1"/>
      <c r="AA693" s="1"/>
      <c r="AB693" s="1"/>
      <c r="AC693" s="1" t="str">
        <f>formatRow(Tokens!BJ$2:BK$2,Tokens!BJ693:BK693,0,"collection")</f>
        <v>"collection":{"name":"In Casa",_x000D_
"family":"Calvi On The Rocks"}</v>
      </c>
    </row>
    <row r="694" spans="5:29" ht="14.25" customHeight="1" x14ac:dyDescent="0.25">
      <c r="E694" s="17" t="str">
        <f>IF(Tokens!C694="","",Tokens!C694)</f>
        <v>In Casa #531</v>
      </c>
      <c r="F694"/>
      <c r="G694"/>
      <c r="H694"/>
      <c r="I694"/>
      <c r="J694"/>
      <c r="M694"/>
      <c r="N694"/>
      <c r="O694" s="15" t="str">
        <f t="shared" si="20"/>
        <v>_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/>
      </c>
      <c r="Q694" s="2"/>
      <c r="R694" s="2"/>
      <c r="S694" s="11"/>
      <c r="T694" s="1" t="str">
        <f>"owner=" &amp; Tokens!BS694 &amp; "&amp;filename_for_metadata=" &amp; Tokens!BT694 &amp; "&amp;offchaindata_platform=" &amp; $B$17 &amp; "&amp;keyfile=" &amp; $B$5 &amp; "&amp;network=" &amp; LOWER($B$8) &amp; "&amp;repository=" &amp; $B$18</f>
        <v>owner=thomas&amp;filename_for_metadata=InCasa_COR22D531&amp;offchaindata_platform=MongoDB&amp;keyfile=Paul&amp;network=jsonfiles&amp;repository=test</v>
      </c>
      <c r="U694" s="1" t="str">
        <f t="shared" si="21"/>
        <v>{"name":"In Casa #531",_x000D_
"symbol":"COR22D531",_x000D_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4" s="1" t="str">
        <f>formatRow(Tokens!C$2:I$2,Tokens!C694:I694)</f>
        <v>"name":"In Casa #531",_x000D_
"symbol":"COR22D531",_x000D_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4" s="1" t="str">
        <f>formatRow(Tokens!J$2:AV$2,Tokens!J694:AV694,2,"attributes")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4" s="1" t="str">
        <f>formatRow(Tokens!AX$2:BC$2,Tokens!AX694:BC694,2,"creators")</f>
        <v>"creators":[{"address":"paul",_x000D_
"share":10},{"address":"sophie",_x000D_
"share":90}]</v>
      </c>
      <c r="Y694" s="1" t="str">
        <f>formatRow(Tokens!BD$2:BI$2,Tokens!BD694:BI694,2,"files")</f>
        <v>"files":[]</v>
      </c>
      <c r="Z694" s="1"/>
      <c r="AA694" s="1"/>
      <c r="AB694" s="1"/>
      <c r="AC694" s="1" t="str">
        <f>formatRow(Tokens!BJ$2:BK$2,Tokens!BJ694:BK694,0,"collection")</f>
        <v>"collection":{"name":"In Casa",_x000D_
"family":"Calvi On The Rocks"}</v>
      </c>
    </row>
    <row r="695" spans="5:29" ht="14.25" customHeight="1" x14ac:dyDescent="0.25">
      <c r="E695" s="17" t="str">
        <f>IF(Tokens!C695="","",Tokens!C695)</f>
        <v>In Casa #532</v>
      </c>
      <c r="F695"/>
      <c r="G695"/>
      <c r="H695"/>
      <c r="I695"/>
      <c r="J695"/>
      <c r="M695"/>
      <c r="N695"/>
      <c r="O695" s="15" t="str">
        <f t="shared" si="20"/>
        <v>_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/>
      </c>
      <c r="Q695" s="2"/>
      <c r="R695" s="2"/>
      <c r="S695" s="11"/>
      <c r="T695" s="1" t="str">
        <f>"owner=" &amp; Tokens!BS695 &amp; "&amp;filename_for_metadata=" &amp; Tokens!BT695 &amp; "&amp;offchaindata_platform=" &amp; $B$17 &amp; "&amp;keyfile=" &amp; $B$5 &amp; "&amp;network=" &amp; LOWER($B$8) &amp; "&amp;repository=" &amp; $B$18</f>
        <v>owner=thomas&amp;filename_for_metadata=InCasa_COR22D532&amp;offchaindata_platform=MongoDB&amp;keyfile=Paul&amp;network=jsonfiles&amp;repository=test</v>
      </c>
      <c r="U695" s="1" t="str">
        <f t="shared" si="21"/>
        <v>{"name":"In Casa #532",_x000D_
"symbol":"COR22D532",_x000D_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5" s="1" t="str">
        <f>formatRow(Tokens!C$2:I$2,Tokens!C695:I695)</f>
        <v>"name":"In Casa #532",_x000D_
"symbol":"COR22D532",_x000D_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5" s="1" t="str">
        <f>formatRow(Tokens!J$2:AV$2,Tokens!J695:AV695,2,"attributes")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5" s="1" t="str">
        <f>formatRow(Tokens!AX$2:BC$2,Tokens!AX695:BC695,2,"creators")</f>
        <v>"creators":[{"address":"paul",_x000D_
"share":10},{"address":"sophie",_x000D_
"share":90}]</v>
      </c>
      <c r="Y695" s="1" t="str">
        <f>formatRow(Tokens!BD$2:BI$2,Tokens!BD695:BI695,2,"files")</f>
        <v>"files":[]</v>
      </c>
      <c r="Z695" s="1"/>
      <c r="AA695" s="1"/>
      <c r="AB695" s="1"/>
      <c r="AC695" s="1" t="str">
        <f>formatRow(Tokens!BJ$2:BK$2,Tokens!BJ695:BK695,0,"collection")</f>
        <v>"collection":{"name":"In Casa",_x000D_
"family":"Calvi On The Rocks"}</v>
      </c>
    </row>
    <row r="696" spans="5:29" ht="14.25" customHeight="1" x14ac:dyDescent="0.25">
      <c r="E696" s="17" t="str">
        <f>IF(Tokens!C696="","",Tokens!C696)</f>
        <v>In Casa #533</v>
      </c>
      <c r="F696"/>
      <c r="G696"/>
      <c r="H696"/>
      <c r="I696"/>
      <c r="J696"/>
      <c r="M696"/>
      <c r="N696"/>
      <c r="O696" s="15" t="str">
        <f t="shared" si="20"/>
        <v>_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/>
      </c>
      <c r="Q696" s="2"/>
      <c r="R696" s="2"/>
      <c r="S696" s="11"/>
      <c r="T696" s="1" t="str">
        <f>"owner=" &amp; Tokens!BS696 &amp; "&amp;filename_for_metadata=" &amp; Tokens!BT696 &amp; "&amp;offchaindata_platform=" &amp; $B$17 &amp; "&amp;keyfile=" &amp; $B$5 &amp; "&amp;network=" &amp; LOWER($B$8) &amp; "&amp;repository=" &amp; $B$18</f>
        <v>owner=thomas&amp;filename_for_metadata=InCasa_COR22D533&amp;offchaindata_platform=MongoDB&amp;keyfile=Paul&amp;network=jsonfiles&amp;repository=test</v>
      </c>
      <c r="U696" s="1" t="str">
        <f t="shared" si="21"/>
        <v>{"name":"In Casa #533",_x000D_
"symbol":"COR22D533",_x000D_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6" s="1" t="str">
        <f>formatRow(Tokens!C$2:I$2,Tokens!C696:I696)</f>
        <v>"name":"In Casa #533",_x000D_
"symbol":"COR22D533",_x000D_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6" s="1" t="str">
        <f>formatRow(Tokens!J$2:AV$2,Tokens!J696:AV696,2,"attributes")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6" s="1" t="str">
        <f>formatRow(Tokens!AX$2:BC$2,Tokens!AX696:BC696,2,"creators")</f>
        <v>"creators":[{"address":"paul",_x000D_
"share":10},{"address":"sophie",_x000D_
"share":90}]</v>
      </c>
      <c r="Y696" s="1" t="str">
        <f>formatRow(Tokens!BD$2:BI$2,Tokens!BD696:BI696,2,"files")</f>
        <v>"files":[]</v>
      </c>
      <c r="Z696" s="1"/>
      <c r="AA696" s="1"/>
      <c r="AB696" s="1"/>
      <c r="AC696" s="1" t="str">
        <f>formatRow(Tokens!BJ$2:BK$2,Tokens!BJ696:BK696,0,"collection")</f>
        <v>"collection":{"name":"In Casa",_x000D_
"family":"Calvi On The Rocks"}</v>
      </c>
    </row>
    <row r="697" spans="5:29" ht="14.25" customHeight="1" x14ac:dyDescent="0.25">
      <c r="E697" s="17" t="str">
        <f>IF(Tokens!C697="","",Tokens!C697)</f>
        <v>In Casa #534</v>
      </c>
      <c r="F697"/>
      <c r="G697"/>
      <c r="H697"/>
      <c r="I697"/>
      <c r="J697"/>
      <c r="M697"/>
      <c r="N697"/>
      <c r="O697" s="15" t="str">
        <f t="shared" si="20"/>
        <v>_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/>
      </c>
      <c r="Q697" s="2"/>
      <c r="R697" s="2"/>
      <c r="S697" s="11"/>
      <c r="T697" s="1" t="str">
        <f>"owner=" &amp; Tokens!BS697 &amp; "&amp;filename_for_metadata=" &amp; Tokens!BT697 &amp; "&amp;offchaindata_platform=" &amp; $B$17 &amp; "&amp;keyfile=" &amp; $B$5 &amp; "&amp;network=" &amp; LOWER($B$8) &amp; "&amp;repository=" &amp; $B$18</f>
        <v>owner=thomas&amp;filename_for_metadata=InCasa_COR22D534&amp;offchaindata_platform=MongoDB&amp;keyfile=Paul&amp;network=jsonfiles&amp;repository=test</v>
      </c>
      <c r="U697" s="1" t="str">
        <f t="shared" si="21"/>
        <v>{"name":"In Casa #534",_x000D_
"symbol":"COR22D534",_x000D_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7" s="1" t="str">
        <f>formatRow(Tokens!C$2:I$2,Tokens!C697:I697)</f>
        <v>"name":"In Casa #534",_x000D_
"symbol":"COR22D534",_x000D_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7" s="1" t="str">
        <f>formatRow(Tokens!J$2:AV$2,Tokens!J697:AV697,2,"attributes")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7" s="1" t="str">
        <f>formatRow(Tokens!AX$2:BC$2,Tokens!AX697:BC697,2,"creators")</f>
        <v>"creators":[{"address":"paul",_x000D_
"share":10},{"address":"sophie",_x000D_
"share":90}]</v>
      </c>
      <c r="Y697" s="1" t="str">
        <f>formatRow(Tokens!BD$2:BI$2,Tokens!BD697:BI697,2,"files")</f>
        <v>"files":[]</v>
      </c>
      <c r="Z697" s="1"/>
      <c r="AA697" s="1"/>
      <c r="AB697" s="1"/>
      <c r="AC697" s="1" t="str">
        <f>formatRow(Tokens!BJ$2:BK$2,Tokens!BJ697:BK697,0,"collection")</f>
        <v>"collection":{"name":"In Casa",_x000D_
"family":"Calvi On The Rocks"}</v>
      </c>
    </row>
    <row r="698" spans="5:29" ht="14.25" customHeight="1" x14ac:dyDescent="0.25">
      <c r="E698" s="17" t="str">
        <f>IF(Tokens!C698="","",Tokens!C698)</f>
        <v>In Casa #535</v>
      </c>
      <c r="F698"/>
      <c r="G698"/>
      <c r="H698"/>
      <c r="I698"/>
      <c r="J698"/>
      <c r="M698"/>
      <c r="N698"/>
      <c r="O698" s="15" t="str">
        <f t="shared" si="20"/>
        <v>_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/>
      </c>
      <c r="Q698" s="2"/>
      <c r="R698" s="2"/>
      <c r="S698" s="11"/>
      <c r="T698" s="1" t="str">
        <f>"owner=" &amp; Tokens!BS698 &amp; "&amp;filename_for_metadata=" &amp; Tokens!BT698 &amp; "&amp;offchaindata_platform=" &amp; $B$17 &amp; "&amp;keyfile=" &amp; $B$5 &amp; "&amp;network=" &amp; LOWER($B$8) &amp; "&amp;repository=" &amp; $B$18</f>
        <v>owner=thomas&amp;filename_for_metadata=InCasa_COR22D535&amp;offchaindata_platform=MongoDB&amp;keyfile=Paul&amp;network=jsonfiles&amp;repository=test</v>
      </c>
      <c r="U698" s="1" t="str">
        <f t="shared" si="21"/>
        <v>{"name":"In Casa #535",_x000D_
"symbol":"COR22D535",_x000D_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8" s="1" t="str">
        <f>formatRow(Tokens!C$2:I$2,Tokens!C698:I698)</f>
        <v>"name":"In Casa #535",_x000D_
"symbol":"COR22D535",_x000D_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8" s="1" t="str">
        <f>formatRow(Tokens!J$2:AV$2,Tokens!J698:AV698,2,"attributes")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8" s="1" t="str">
        <f>formatRow(Tokens!AX$2:BC$2,Tokens!AX698:BC698,2,"creators")</f>
        <v>"creators":[{"address":"paul",_x000D_
"share":10},{"address":"sophie",_x000D_
"share":90}]</v>
      </c>
      <c r="Y698" s="1" t="str">
        <f>formatRow(Tokens!BD$2:BI$2,Tokens!BD698:BI698,2,"files")</f>
        <v>"files":[]</v>
      </c>
      <c r="Z698" s="1"/>
      <c r="AA698" s="1"/>
      <c r="AB698" s="1"/>
      <c r="AC698" s="1" t="str">
        <f>formatRow(Tokens!BJ$2:BK$2,Tokens!BJ698:BK698,0,"collection")</f>
        <v>"collection":{"name":"In Casa",_x000D_
"family":"Calvi On The Rocks"}</v>
      </c>
    </row>
    <row r="699" spans="5:29" ht="14.25" customHeight="1" x14ac:dyDescent="0.25">
      <c r="E699" s="17" t="str">
        <f>IF(Tokens!C699="","",Tokens!C699)</f>
        <v>In Casa #536</v>
      </c>
      <c r="F699"/>
      <c r="G699"/>
      <c r="H699"/>
      <c r="I699"/>
      <c r="J699"/>
      <c r="M699"/>
      <c r="N699"/>
      <c r="O699" s="15" t="str">
        <f t="shared" si="20"/>
        <v>_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/>
      </c>
      <c r="Q699" s="2"/>
      <c r="R699" s="2"/>
      <c r="S699" s="11"/>
      <c r="T699" s="1" t="str">
        <f>"owner=" &amp; Tokens!BS699 &amp; "&amp;filename_for_metadata=" &amp; Tokens!BT699 &amp; "&amp;offchaindata_platform=" &amp; $B$17 &amp; "&amp;keyfile=" &amp; $B$5 &amp; "&amp;network=" &amp; LOWER($B$8) &amp; "&amp;repository=" &amp; $B$18</f>
        <v>owner=thomas&amp;filename_for_metadata=InCasa_COR22D536&amp;offchaindata_platform=MongoDB&amp;keyfile=Paul&amp;network=jsonfiles&amp;repository=test</v>
      </c>
      <c r="U699" s="1" t="str">
        <f t="shared" si="21"/>
        <v>{"name":"In Casa #536",_x000D_
"symbol":"COR22D536",_x000D_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699" s="1" t="str">
        <f>formatRow(Tokens!C$2:I$2,Tokens!C699:I699)</f>
        <v>"name":"In Casa #536",_x000D_
"symbol":"COR22D536",_x000D_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699" s="1" t="str">
        <f>formatRow(Tokens!J$2:AV$2,Tokens!J699:AV699,2,"attributes")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699" s="1" t="str">
        <f>formatRow(Tokens!AX$2:BC$2,Tokens!AX699:BC699,2,"creators")</f>
        <v>"creators":[{"address":"paul",_x000D_
"share":10},{"address":"sophie",_x000D_
"share":90}]</v>
      </c>
      <c r="Y699" s="1" t="str">
        <f>formatRow(Tokens!BD$2:BI$2,Tokens!BD699:BI699,2,"files")</f>
        <v>"files":[]</v>
      </c>
      <c r="Z699" s="1"/>
      <c r="AA699" s="1"/>
      <c r="AB699" s="1"/>
      <c r="AC699" s="1" t="str">
        <f>formatRow(Tokens!BJ$2:BK$2,Tokens!BJ699:BK699,0,"collection")</f>
        <v>"collection":{"name":"In Casa",_x000D_
"family":"Calvi On The Rocks"}</v>
      </c>
    </row>
    <row r="700" spans="5:29" ht="14.25" customHeight="1" x14ac:dyDescent="0.25">
      <c r="E700" s="17" t="str">
        <f>IF(Tokens!C700="","",Tokens!C700)</f>
        <v>In Casa #537</v>
      </c>
      <c r="F700"/>
      <c r="G700"/>
      <c r="H700"/>
      <c r="I700"/>
      <c r="J700"/>
      <c r="M700"/>
      <c r="N700"/>
      <c r="O700" s="15" t="str">
        <f t="shared" si="20"/>
        <v>_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/>
      </c>
      <c r="Q700" s="2"/>
      <c r="R700" s="2"/>
      <c r="S700" s="11"/>
      <c r="T700" s="1" t="str">
        <f>"owner=" &amp; Tokens!BS700 &amp; "&amp;filename_for_metadata=" &amp; Tokens!BT700 &amp; "&amp;offchaindata_platform=" &amp; $B$17 &amp; "&amp;keyfile=" &amp; $B$5 &amp; "&amp;network=" &amp; LOWER($B$8) &amp; "&amp;repository=" &amp; $B$18</f>
        <v>owner=thomas&amp;filename_for_metadata=InCasa_COR22D537&amp;offchaindata_platform=MongoDB&amp;keyfile=Paul&amp;network=jsonfiles&amp;repository=test</v>
      </c>
      <c r="U700" s="1" t="str">
        <f t="shared" si="21"/>
        <v>{"name":"In Casa #537",_x000D_
"symbol":"COR22D537",_x000D_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0" s="1" t="str">
        <f>formatRow(Tokens!C$2:I$2,Tokens!C700:I700)</f>
        <v>"name":"In Casa #537",_x000D_
"symbol":"COR22D537",_x000D_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0" s="1" t="str">
        <f>formatRow(Tokens!J$2:AV$2,Tokens!J700:AV700,2,"attributes")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0" s="1" t="str">
        <f>formatRow(Tokens!AX$2:BC$2,Tokens!AX700:BC700,2,"creators")</f>
        <v>"creators":[{"address":"paul",_x000D_
"share":10},{"address":"sophie",_x000D_
"share":90}]</v>
      </c>
      <c r="Y700" s="1" t="str">
        <f>formatRow(Tokens!BD$2:BI$2,Tokens!BD700:BI700,2,"files")</f>
        <v>"files":[]</v>
      </c>
      <c r="Z700" s="1"/>
      <c r="AA700" s="1"/>
      <c r="AB700" s="1"/>
      <c r="AC700" s="1" t="str">
        <f>formatRow(Tokens!BJ$2:BK$2,Tokens!BJ700:BK700,0,"collection")</f>
        <v>"collection":{"name":"In Casa",_x000D_
"family":"Calvi On The Rocks"}</v>
      </c>
    </row>
    <row r="701" spans="5:29" ht="14.25" customHeight="1" x14ac:dyDescent="0.25">
      <c r="E701" s="17" t="str">
        <f>IF(Tokens!C701="","",Tokens!C701)</f>
        <v>In Casa #538</v>
      </c>
      <c r="F701"/>
      <c r="G701"/>
      <c r="H701"/>
      <c r="I701"/>
      <c r="J701"/>
      <c r="M701"/>
      <c r="N701"/>
      <c r="O701" s="15" t="str">
        <f t="shared" si="20"/>
        <v>_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/>
      </c>
      <c r="Q701" s="2"/>
      <c r="R701" s="2"/>
      <c r="S701" s="11"/>
      <c r="T701" s="1" t="str">
        <f>"owner=" &amp; Tokens!BS701 &amp; "&amp;filename_for_metadata=" &amp; Tokens!BT701 &amp; "&amp;offchaindata_platform=" &amp; $B$17 &amp; "&amp;keyfile=" &amp; $B$5 &amp; "&amp;network=" &amp; LOWER($B$8) &amp; "&amp;repository=" &amp; $B$18</f>
        <v>owner=thomas&amp;filename_for_metadata=InCasa_COR22D538&amp;offchaindata_platform=MongoDB&amp;keyfile=Paul&amp;network=jsonfiles&amp;repository=test</v>
      </c>
      <c r="U701" s="1" t="str">
        <f t="shared" si="21"/>
        <v>{"name":"In Casa #538",_x000D_
"symbol":"COR22D538",_x000D_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1" s="1" t="str">
        <f>formatRow(Tokens!C$2:I$2,Tokens!C701:I701)</f>
        <v>"name":"In Casa #538",_x000D_
"symbol":"COR22D538",_x000D_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1" s="1" t="str">
        <f>formatRow(Tokens!J$2:AV$2,Tokens!J701:AV701,2,"attributes")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1" s="1" t="str">
        <f>formatRow(Tokens!AX$2:BC$2,Tokens!AX701:BC701,2,"creators")</f>
        <v>"creators":[{"address":"paul",_x000D_
"share":10},{"address":"sophie",_x000D_
"share":90}]</v>
      </c>
      <c r="Y701" s="1" t="str">
        <f>formatRow(Tokens!BD$2:BI$2,Tokens!BD701:BI701,2,"files")</f>
        <v>"files":[]</v>
      </c>
      <c r="Z701" s="1"/>
      <c r="AA701" s="1"/>
      <c r="AB701" s="1"/>
      <c r="AC701" s="1" t="str">
        <f>formatRow(Tokens!BJ$2:BK$2,Tokens!BJ701:BK701,0,"collection")</f>
        <v>"collection":{"name":"In Casa",_x000D_
"family":"Calvi On The Rocks"}</v>
      </c>
    </row>
    <row r="702" spans="5:29" ht="14.25" customHeight="1" x14ac:dyDescent="0.25">
      <c r="E702" s="17" t="str">
        <f>IF(Tokens!C702="","",Tokens!C702)</f>
        <v>In Casa #539</v>
      </c>
      <c r="F702"/>
      <c r="G702"/>
      <c r="H702"/>
      <c r="I702"/>
      <c r="J702"/>
      <c r="M702"/>
      <c r="N702"/>
      <c r="O702" s="15" t="str">
        <f t="shared" si="20"/>
        <v>_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/>
      </c>
      <c r="Q702" s="2"/>
      <c r="R702" s="2"/>
      <c r="S702" s="11"/>
      <c r="T702" s="1" t="str">
        <f>"owner=" &amp; Tokens!BS702 &amp; "&amp;filename_for_metadata=" &amp; Tokens!BT702 &amp; "&amp;offchaindata_platform=" &amp; $B$17 &amp; "&amp;keyfile=" &amp; $B$5 &amp; "&amp;network=" &amp; LOWER($B$8) &amp; "&amp;repository=" &amp; $B$18</f>
        <v>owner=thomas&amp;filename_for_metadata=InCasa_COR22D539&amp;offchaindata_platform=MongoDB&amp;keyfile=Paul&amp;network=jsonfiles&amp;repository=test</v>
      </c>
      <c r="U702" s="1" t="str">
        <f t="shared" si="21"/>
        <v>{"name":"In Casa #539",_x000D_
"symbol":"COR22D539",_x000D_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2" s="1" t="str">
        <f>formatRow(Tokens!C$2:I$2,Tokens!C702:I702)</f>
        <v>"name":"In Casa #539",_x000D_
"symbol":"COR22D539",_x000D_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2" s="1" t="str">
        <f>formatRow(Tokens!J$2:AV$2,Tokens!J702:AV702,2,"attributes")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2" s="1" t="str">
        <f>formatRow(Tokens!AX$2:BC$2,Tokens!AX702:BC702,2,"creators")</f>
        <v>"creators":[{"address":"paul",_x000D_
"share":10},{"address":"sophie",_x000D_
"share":90}]</v>
      </c>
      <c r="Y702" s="1" t="str">
        <f>formatRow(Tokens!BD$2:BI$2,Tokens!BD702:BI702,2,"files")</f>
        <v>"files":[]</v>
      </c>
      <c r="Z702" s="1"/>
      <c r="AA702" s="1"/>
      <c r="AB702" s="1"/>
      <c r="AC702" s="1" t="str">
        <f>formatRow(Tokens!BJ$2:BK$2,Tokens!BJ702:BK702,0,"collection")</f>
        <v>"collection":{"name":"In Casa",_x000D_
"family":"Calvi On The Rocks"}</v>
      </c>
    </row>
    <row r="703" spans="5:29" ht="14.25" customHeight="1" x14ac:dyDescent="0.25">
      <c r="E703" s="17" t="str">
        <f>IF(Tokens!C703="","",Tokens!C703)</f>
        <v>In Casa #540</v>
      </c>
      <c r="F703"/>
      <c r="G703"/>
      <c r="H703"/>
      <c r="I703"/>
      <c r="J703"/>
      <c r="M703"/>
      <c r="N703"/>
      <c r="O703" s="15" t="str">
        <f t="shared" si="20"/>
        <v>_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/>
      </c>
      <c r="Q703" s="2"/>
      <c r="R703" s="2"/>
      <c r="S703" s="11"/>
      <c r="T703" s="1" t="str">
        <f>"owner=" &amp; Tokens!BS703 &amp; "&amp;filename_for_metadata=" &amp; Tokens!BT703 &amp; "&amp;offchaindata_platform=" &amp; $B$17 &amp; "&amp;keyfile=" &amp; $B$5 &amp; "&amp;network=" &amp; LOWER($B$8) &amp; "&amp;repository=" &amp; $B$18</f>
        <v>owner=thomas&amp;filename_for_metadata=InCasa_COR22D540&amp;offchaindata_platform=MongoDB&amp;keyfile=Paul&amp;network=jsonfiles&amp;repository=test</v>
      </c>
      <c r="U703" s="1" t="str">
        <f t="shared" si="21"/>
        <v>{"name":"In Casa #540",_x000D_
"symbol":"COR22D540",_x000D_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3" s="1" t="str">
        <f>formatRow(Tokens!C$2:I$2,Tokens!C703:I703)</f>
        <v>"name":"In Casa #540",_x000D_
"symbol":"COR22D540",_x000D_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3" s="1" t="str">
        <f>formatRow(Tokens!J$2:AV$2,Tokens!J703:AV703,2,"attributes")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3" s="1" t="str">
        <f>formatRow(Tokens!AX$2:BC$2,Tokens!AX703:BC703,2,"creators")</f>
        <v>"creators":[{"address":"paul",_x000D_
"share":10},{"address":"sophie",_x000D_
"share":90}]</v>
      </c>
      <c r="Y703" s="1" t="str">
        <f>formatRow(Tokens!BD$2:BI$2,Tokens!BD703:BI703,2,"files")</f>
        <v>"files":[]</v>
      </c>
      <c r="Z703" s="1"/>
      <c r="AA703" s="1"/>
      <c r="AB703" s="1"/>
      <c r="AC703" s="1" t="str">
        <f>formatRow(Tokens!BJ$2:BK$2,Tokens!BJ703:BK703,0,"collection")</f>
        <v>"collection":{"name":"In Casa",_x000D_
"family":"Calvi On The Rocks"}</v>
      </c>
    </row>
    <row r="704" spans="5:29" ht="14.25" customHeight="1" x14ac:dyDescent="0.25">
      <c r="E704" s="17" t="str">
        <f>IF(Tokens!C704="","",Tokens!C704)</f>
        <v>In Casa #541</v>
      </c>
      <c r="F704"/>
      <c r="G704"/>
      <c r="H704"/>
      <c r="I704"/>
      <c r="J704"/>
      <c r="M704"/>
      <c r="N704"/>
      <c r="O704" s="15" t="str">
        <f t="shared" si="20"/>
        <v>_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/>
      </c>
      <c r="Q704" s="2"/>
      <c r="R704" s="2"/>
      <c r="S704" s="11"/>
      <c r="T704" s="1" t="str">
        <f>"owner=" &amp; Tokens!BS704 &amp; "&amp;filename_for_metadata=" &amp; Tokens!BT704 &amp; "&amp;offchaindata_platform=" &amp; $B$17 &amp; "&amp;keyfile=" &amp; $B$5 &amp; "&amp;network=" &amp; LOWER($B$8) &amp; "&amp;repository=" &amp; $B$18</f>
        <v>owner=thomas&amp;filename_for_metadata=InCasa_COR22D541&amp;offchaindata_platform=MongoDB&amp;keyfile=Paul&amp;network=jsonfiles&amp;repository=test</v>
      </c>
      <c r="U704" s="1" t="str">
        <f t="shared" si="21"/>
        <v>{"name":"In Casa #541",_x000D_
"symbol":"COR22D541",_x000D_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4" s="1" t="str">
        <f>formatRow(Tokens!C$2:I$2,Tokens!C704:I704)</f>
        <v>"name":"In Casa #541",_x000D_
"symbol":"COR22D541",_x000D_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4" s="1" t="str">
        <f>formatRow(Tokens!J$2:AV$2,Tokens!J704:AV704,2,"attributes")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4" s="1" t="str">
        <f>formatRow(Tokens!AX$2:BC$2,Tokens!AX704:BC704,2,"creators")</f>
        <v>"creators":[{"address":"paul",_x000D_
"share":10},{"address":"sophie",_x000D_
"share":90}]</v>
      </c>
      <c r="Y704" s="1" t="str">
        <f>formatRow(Tokens!BD$2:BI$2,Tokens!BD704:BI704,2,"files")</f>
        <v>"files":[]</v>
      </c>
      <c r="Z704" s="1"/>
      <c r="AA704" s="1"/>
      <c r="AB704" s="1"/>
      <c r="AC704" s="1" t="str">
        <f>formatRow(Tokens!BJ$2:BK$2,Tokens!BJ704:BK704,0,"collection")</f>
        <v>"collection":{"name":"In Casa",_x000D_
"family":"Calvi On The Rocks"}</v>
      </c>
    </row>
    <row r="705" spans="5:29" ht="14.25" customHeight="1" x14ac:dyDescent="0.25">
      <c r="E705" s="17" t="str">
        <f>IF(Tokens!C705="","",Tokens!C705)</f>
        <v>In Casa #542</v>
      </c>
      <c r="F705"/>
      <c r="G705"/>
      <c r="H705"/>
      <c r="I705"/>
      <c r="J705"/>
      <c r="M705"/>
      <c r="N705"/>
      <c r="O705" s="15" t="str">
        <f t="shared" si="20"/>
        <v>_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/>
      </c>
      <c r="Q705" s="2"/>
      <c r="R705" s="2"/>
      <c r="S705" s="11"/>
      <c r="T705" s="1" t="str">
        <f>"owner=" &amp; Tokens!BS705 &amp; "&amp;filename_for_metadata=" &amp; Tokens!BT705 &amp; "&amp;offchaindata_platform=" &amp; $B$17 &amp; "&amp;keyfile=" &amp; $B$5 &amp; "&amp;network=" &amp; LOWER($B$8) &amp; "&amp;repository=" &amp; $B$18</f>
        <v>owner=thomas&amp;filename_for_metadata=InCasa_COR22D542&amp;offchaindata_platform=MongoDB&amp;keyfile=Paul&amp;network=jsonfiles&amp;repository=test</v>
      </c>
      <c r="U705" s="1" t="str">
        <f t="shared" si="21"/>
        <v>{"name":"In Casa #542",_x000D_
"symbol":"COR22D542",_x000D_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5" s="1" t="str">
        <f>formatRow(Tokens!C$2:I$2,Tokens!C705:I705)</f>
        <v>"name":"In Casa #542",_x000D_
"symbol":"COR22D542",_x000D_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5" s="1" t="str">
        <f>formatRow(Tokens!J$2:AV$2,Tokens!J705:AV705,2,"attributes")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5" s="1" t="str">
        <f>formatRow(Tokens!AX$2:BC$2,Tokens!AX705:BC705,2,"creators")</f>
        <v>"creators":[{"address":"paul",_x000D_
"share":10},{"address":"sophie",_x000D_
"share":90}]</v>
      </c>
      <c r="Y705" s="1" t="str">
        <f>formatRow(Tokens!BD$2:BI$2,Tokens!BD705:BI705,2,"files")</f>
        <v>"files":[]</v>
      </c>
      <c r="Z705" s="1"/>
      <c r="AA705" s="1"/>
      <c r="AB705" s="1"/>
      <c r="AC705" s="1" t="str">
        <f>formatRow(Tokens!BJ$2:BK$2,Tokens!BJ705:BK705,0,"collection")</f>
        <v>"collection":{"name":"In Casa",_x000D_
"family":"Calvi On The Rocks"}</v>
      </c>
    </row>
    <row r="706" spans="5:29" ht="14.25" customHeight="1" x14ac:dyDescent="0.25">
      <c r="E706" s="17" t="str">
        <f>IF(Tokens!C706="","",Tokens!C706)</f>
        <v>In Casa #543</v>
      </c>
      <c r="F706"/>
      <c r="G706"/>
      <c r="H706"/>
      <c r="I706"/>
      <c r="J706"/>
      <c r="M706"/>
      <c r="N706"/>
      <c r="O706" s="15" t="str">
        <f t="shared" si="20"/>
        <v>_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/>
      </c>
      <c r="Q706" s="2"/>
      <c r="R706" s="2"/>
      <c r="S706" s="11"/>
      <c r="T706" s="1" t="str">
        <f>"owner=" &amp; Tokens!BS706 &amp; "&amp;filename_for_metadata=" &amp; Tokens!BT706 &amp; "&amp;offchaindata_platform=" &amp; $B$17 &amp; "&amp;keyfile=" &amp; $B$5 &amp; "&amp;network=" &amp; LOWER($B$8) &amp; "&amp;repository=" &amp; $B$18</f>
        <v>owner=thomas&amp;filename_for_metadata=InCasa_COR22D543&amp;offchaindata_platform=MongoDB&amp;keyfile=Paul&amp;network=jsonfiles&amp;repository=test</v>
      </c>
      <c r="U706" s="1" t="str">
        <f t="shared" si="21"/>
        <v>{"name":"In Casa #543",_x000D_
"symbol":"COR22D543",_x000D_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6" s="1" t="str">
        <f>formatRow(Tokens!C$2:I$2,Tokens!C706:I706)</f>
        <v>"name":"In Casa #543",_x000D_
"symbol":"COR22D543",_x000D_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6" s="1" t="str">
        <f>formatRow(Tokens!J$2:AV$2,Tokens!J706:AV706,2,"attributes")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6" s="1" t="str">
        <f>formatRow(Tokens!AX$2:BC$2,Tokens!AX706:BC706,2,"creators")</f>
        <v>"creators":[{"address":"paul",_x000D_
"share":10},{"address":"sophie",_x000D_
"share":90}]</v>
      </c>
      <c r="Y706" s="1" t="str">
        <f>formatRow(Tokens!BD$2:BI$2,Tokens!BD706:BI706,2,"files")</f>
        <v>"files":[]</v>
      </c>
      <c r="Z706" s="1"/>
      <c r="AA706" s="1"/>
      <c r="AB706" s="1"/>
      <c r="AC706" s="1" t="str">
        <f>formatRow(Tokens!BJ$2:BK$2,Tokens!BJ706:BK706,0,"collection")</f>
        <v>"collection":{"name":"In Casa",_x000D_
"family":"Calvi On The Rocks"}</v>
      </c>
    </row>
    <row r="707" spans="5:29" ht="14.25" customHeight="1" x14ac:dyDescent="0.25">
      <c r="E707" s="17" t="str">
        <f>IF(Tokens!C707="","",Tokens!C707)</f>
        <v>In Casa #544</v>
      </c>
      <c r="F707"/>
      <c r="G707"/>
      <c r="H707"/>
      <c r="I707"/>
      <c r="J707"/>
      <c r="M707"/>
      <c r="N707"/>
      <c r="O707" s="15" t="str">
        <f t="shared" si="20"/>
        <v>_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/>
      </c>
      <c r="Q707" s="2"/>
      <c r="R707" s="2"/>
      <c r="S707" s="11"/>
      <c r="T707" s="1" t="str">
        <f>"owner=" &amp; Tokens!BS707 &amp; "&amp;filename_for_metadata=" &amp; Tokens!BT707 &amp; "&amp;offchaindata_platform=" &amp; $B$17 &amp; "&amp;keyfile=" &amp; $B$5 &amp; "&amp;network=" &amp; LOWER($B$8) &amp; "&amp;repository=" &amp; $B$18</f>
        <v>owner=thomas&amp;filename_for_metadata=InCasa_COR22D544&amp;offchaindata_platform=MongoDB&amp;keyfile=Paul&amp;network=jsonfiles&amp;repository=test</v>
      </c>
      <c r="U707" s="1" t="str">
        <f t="shared" si="21"/>
        <v>{"name":"In Casa #544",_x000D_
"symbol":"COR22D544",_x000D_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7" s="1" t="str">
        <f>formatRow(Tokens!C$2:I$2,Tokens!C707:I707)</f>
        <v>"name":"In Casa #544",_x000D_
"symbol":"COR22D544",_x000D_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7" s="1" t="str">
        <f>formatRow(Tokens!J$2:AV$2,Tokens!J707:AV707,2,"attributes")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7" s="1" t="str">
        <f>formatRow(Tokens!AX$2:BC$2,Tokens!AX707:BC707,2,"creators")</f>
        <v>"creators":[{"address":"paul",_x000D_
"share":10},{"address":"sophie",_x000D_
"share":90}]</v>
      </c>
      <c r="Y707" s="1" t="str">
        <f>formatRow(Tokens!BD$2:BI$2,Tokens!BD707:BI707,2,"files")</f>
        <v>"files":[]</v>
      </c>
      <c r="Z707" s="1"/>
      <c r="AA707" s="1"/>
      <c r="AB707" s="1"/>
      <c r="AC707" s="1" t="str">
        <f>formatRow(Tokens!BJ$2:BK$2,Tokens!BJ707:BK707,0,"collection")</f>
        <v>"collection":{"name":"In Casa",_x000D_
"family":"Calvi On The Rocks"}</v>
      </c>
    </row>
    <row r="708" spans="5:29" ht="14.25" customHeight="1" x14ac:dyDescent="0.25">
      <c r="E708" s="17" t="str">
        <f>IF(Tokens!C708="","",Tokens!C708)</f>
        <v>In Casa #545</v>
      </c>
      <c r="F708"/>
      <c r="G708"/>
      <c r="H708"/>
      <c r="I708"/>
      <c r="J708"/>
      <c r="M708"/>
      <c r="N708"/>
      <c r="O708" s="15" t="str">
        <f t="shared" ref="O708:O771" si="22">IF(AND(ISNUMBER(N707),ISNUMBER(N708)),(N708-N707)*$O$1,"_")</f>
        <v>_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/>
      </c>
      <c r="Q708" s="2"/>
      <c r="R708" s="2"/>
      <c r="S708" s="11"/>
      <c r="T708" s="1" t="str">
        <f>"owner=" &amp; Tokens!BS708 &amp; "&amp;filename_for_metadata=" &amp; Tokens!BT708 &amp; "&amp;offchaindata_platform=" &amp; $B$17 &amp; "&amp;keyfile=" &amp; $B$5 &amp; "&amp;network=" &amp; LOWER($B$8) &amp; "&amp;repository=" &amp; $B$18</f>
        <v>owner=thomas&amp;filename_for_metadata=InCasa_COR22D545&amp;offchaindata_platform=MongoDB&amp;keyfile=Paul&amp;network=jsonfiles&amp;repository=test</v>
      </c>
      <c r="U708" s="1" t="str">
        <f t="shared" si="21"/>
        <v>{"name":"In Casa #545",_x000D_
"symbol":"COR22D545",_x000D_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8" s="1" t="str">
        <f>formatRow(Tokens!C$2:I$2,Tokens!C708:I708)</f>
        <v>"name":"In Casa #545",_x000D_
"symbol":"COR22D545",_x000D_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8" s="1" t="str">
        <f>formatRow(Tokens!J$2:AV$2,Tokens!J708:AV708,2,"attributes")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8" s="1" t="str">
        <f>formatRow(Tokens!AX$2:BC$2,Tokens!AX708:BC708,2,"creators")</f>
        <v>"creators":[{"address":"paul",_x000D_
"share":10},{"address":"sophie",_x000D_
"share":90}]</v>
      </c>
      <c r="Y708" s="1" t="str">
        <f>formatRow(Tokens!BD$2:BI$2,Tokens!BD708:BI708,2,"files")</f>
        <v>"files":[]</v>
      </c>
      <c r="Z708" s="1"/>
      <c r="AA708" s="1"/>
      <c r="AB708" s="1"/>
      <c r="AC708" s="1" t="str">
        <f>formatRow(Tokens!BJ$2:BK$2,Tokens!BJ708:BK708,0,"collection")</f>
        <v>"collection":{"name":"In Casa",_x000D_
"family":"Calvi On The Rocks"}</v>
      </c>
    </row>
    <row r="709" spans="5:29" ht="14.25" customHeight="1" x14ac:dyDescent="0.25">
      <c r="E709" s="17" t="str">
        <f>IF(Tokens!C709="","",Tokens!C709)</f>
        <v>In Casa #546</v>
      </c>
      <c r="F709"/>
      <c r="G709"/>
      <c r="H709"/>
      <c r="I709"/>
      <c r="J709"/>
      <c r="M709"/>
      <c r="N709"/>
      <c r="O709" s="15" t="str">
        <f t="shared" si="22"/>
        <v>_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/>
      </c>
      <c r="Q709" s="2"/>
      <c r="R709" s="2"/>
      <c r="S709" s="11"/>
      <c r="T709" s="1" t="str">
        <f>"owner=" &amp; Tokens!BS709 &amp; "&amp;filename_for_metadata=" &amp; Tokens!BT709 &amp; "&amp;offchaindata_platform=" &amp; $B$17 &amp; "&amp;keyfile=" &amp; $B$5 &amp; "&amp;network=" &amp; LOWER($B$8) &amp; "&amp;repository=" &amp; $B$18</f>
        <v>owner=thomas&amp;filename_for_metadata=InCasa_COR22D546&amp;offchaindata_platform=MongoDB&amp;keyfile=Paul&amp;network=jsonfiles&amp;repository=test</v>
      </c>
      <c r="U709" s="1" t="str">
        <f t="shared" ref="U709:U772" si="23">"{" &amp; V709 &amp; "," &amp; W709 &amp; "," &amp; """properties"":{" &amp; X709 &amp; "," &amp; Y709 &amp; "}," &amp; AC709 &amp; "}"</f>
        <v>{"name":"In Casa #546",_x000D_
"symbol":"COR22D546",_x000D_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09" s="1" t="str">
        <f>formatRow(Tokens!C$2:I$2,Tokens!C709:I709)</f>
        <v>"name":"In Casa #546",_x000D_
"symbol":"COR22D546",_x000D_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09" s="1" t="str">
        <f>formatRow(Tokens!J$2:AV$2,Tokens!J709:AV709,2,"attributes")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09" s="1" t="str">
        <f>formatRow(Tokens!AX$2:BC$2,Tokens!AX709:BC709,2,"creators")</f>
        <v>"creators":[{"address":"paul",_x000D_
"share":10},{"address":"sophie",_x000D_
"share":90}]</v>
      </c>
      <c r="Y709" s="1" t="str">
        <f>formatRow(Tokens!BD$2:BI$2,Tokens!BD709:BI709,2,"files")</f>
        <v>"files":[]</v>
      </c>
      <c r="Z709" s="1"/>
      <c r="AA709" s="1"/>
      <c r="AB709" s="1"/>
      <c r="AC709" s="1" t="str">
        <f>formatRow(Tokens!BJ$2:BK$2,Tokens!BJ709:BK709,0,"collection")</f>
        <v>"collection":{"name":"In Casa",_x000D_
"family":"Calvi On The Rocks"}</v>
      </c>
    </row>
    <row r="710" spans="5:29" ht="14.25" customHeight="1" x14ac:dyDescent="0.25">
      <c r="E710" s="17" t="str">
        <f>IF(Tokens!C710="","",Tokens!C710)</f>
        <v>In Casa #547</v>
      </c>
      <c r="F710"/>
      <c r="G710"/>
      <c r="H710"/>
      <c r="I710"/>
      <c r="J710"/>
      <c r="M710"/>
      <c r="N710"/>
      <c r="O710" s="15" t="str">
        <f t="shared" si="22"/>
        <v>_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/>
      </c>
      <c r="Q710" s="2"/>
      <c r="R710" s="2"/>
      <c r="S710" s="11"/>
      <c r="T710" s="1" t="str">
        <f>"owner=" &amp; Tokens!BS710 &amp; "&amp;filename_for_metadata=" &amp; Tokens!BT710 &amp; "&amp;offchaindata_platform=" &amp; $B$17 &amp; "&amp;keyfile=" &amp; $B$5 &amp; "&amp;network=" &amp; LOWER($B$8) &amp; "&amp;repository=" &amp; $B$18</f>
        <v>owner=thomas&amp;filename_for_metadata=InCasa_COR22D547&amp;offchaindata_platform=MongoDB&amp;keyfile=Paul&amp;network=jsonfiles&amp;repository=test</v>
      </c>
      <c r="U710" s="1" t="str">
        <f t="shared" si="23"/>
        <v>{"name":"In Casa #547",_x000D_
"symbol":"COR22D547",_x000D_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0" s="1" t="str">
        <f>formatRow(Tokens!C$2:I$2,Tokens!C710:I710)</f>
        <v>"name":"In Casa #547",_x000D_
"symbol":"COR22D547",_x000D_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0" s="1" t="str">
        <f>formatRow(Tokens!J$2:AV$2,Tokens!J710:AV710,2,"attributes")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0" s="1" t="str">
        <f>formatRow(Tokens!AX$2:BC$2,Tokens!AX710:BC710,2,"creators")</f>
        <v>"creators":[{"address":"paul",_x000D_
"share":10},{"address":"sophie",_x000D_
"share":90}]</v>
      </c>
      <c r="Y710" s="1" t="str">
        <f>formatRow(Tokens!BD$2:BI$2,Tokens!BD710:BI710,2,"files")</f>
        <v>"files":[]</v>
      </c>
      <c r="Z710" s="1"/>
      <c r="AA710" s="1"/>
      <c r="AB710" s="1"/>
      <c r="AC710" s="1" t="str">
        <f>formatRow(Tokens!BJ$2:BK$2,Tokens!BJ710:BK710,0,"collection")</f>
        <v>"collection":{"name":"In Casa",_x000D_
"family":"Calvi On The Rocks"}</v>
      </c>
    </row>
    <row r="711" spans="5:29" ht="14.25" customHeight="1" x14ac:dyDescent="0.25">
      <c r="E711" s="17" t="str">
        <f>IF(Tokens!C711="","",Tokens!C711)</f>
        <v>In Casa #548</v>
      </c>
      <c r="F711"/>
      <c r="G711"/>
      <c r="H711"/>
      <c r="I711"/>
      <c r="J711"/>
      <c r="M711"/>
      <c r="N711"/>
      <c r="O711" s="15" t="str">
        <f t="shared" si="22"/>
        <v>_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/>
      </c>
      <c r="Q711" s="2"/>
      <c r="R711" s="2"/>
      <c r="S711" s="11"/>
      <c r="T711" s="1" t="str">
        <f>"owner=" &amp; Tokens!BS711 &amp; "&amp;filename_for_metadata=" &amp; Tokens!BT711 &amp; "&amp;offchaindata_platform=" &amp; $B$17 &amp; "&amp;keyfile=" &amp; $B$5 &amp; "&amp;network=" &amp; LOWER($B$8) &amp; "&amp;repository=" &amp; $B$18</f>
        <v>owner=thomas&amp;filename_for_metadata=InCasa_COR22D548&amp;offchaindata_platform=MongoDB&amp;keyfile=Paul&amp;network=jsonfiles&amp;repository=test</v>
      </c>
      <c r="U711" s="1" t="str">
        <f t="shared" si="23"/>
        <v>{"name":"In Casa #548",_x000D_
"symbol":"COR22D548",_x000D_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1" s="1" t="str">
        <f>formatRow(Tokens!C$2:I$2,Tokens!C711:I711)</f>
        <v>"name":"In Casa #548",_x000D_
"symbol":"COR22D548",_x000D_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1" s="1" t="str">
        <f>formatRow(Tokens!J$2:AV$2,Tokens!J711:AV711,2,"attributes")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1" s="1" t="str">
        <f>formatRow(Tokens!AX$2:BC$2,Tokens!AX711:BC711,2,"creators")</f>
        <v>"creators":[{"address":"paul",_x000D_
"share":10},{"address":"sophie",_x000D_
"share":90}]</v>
      </c>
      <c r="Y711" s="1" t="str">
        <f>formatRow(Tokens!BD$2:BI$2,Tokens!BD711:BI711,2,"files")</f>
        <v>"files":[]</v>
      </c>
      <c r="Z711" s="1"/>
      <c r="AA711" s="1"/>
      <c r="AB711" s="1"/>
      <c r="AC711" s="1" t="str">
        <f>formatRow(Tokens!BJ$2:BK$2,Tokens!BJ711:BK711,0,"collection")</f>
        <v>"collection":{"name":"In Casa",_x000D_
"family":"Calvi On The Rocks"}</v>
      </c>
    </row>
    <row r="712" spans="5:29" ht="14.25" customHeight="1" x14ac:dyDescent="0.25">
      <c r="E712" s="17" t="str">
        <f>IF(Tokens!C712="","",Tokens!C712)</f>
        <v>In Casa #549</v>
      </c>
      <c r="F712"/>
      <c r="G712"/>
      <c r="H712"/>
      <c r="I712"/>
      <c r="J712"/>
      <c r="M712"/>
      <c r="N712"/>
      <c r="O712" s="15" t="str">
        <f t="shared" si="22"/>
        <v>_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/>
      </c>
      <c r="Q712" s="2"/>
      <c r="R712" s="2"/>
      <c r="S712" s="11"/>
      <c r="T712" s="1" t="str">
        <f>"owner=" &amp; Tokens!BS712 &amp; "&amp;filename_for_metadata=" &amp; Tokens!BT712 &amp; "&amp;offchaindata_platform=" &amp; $B$17 &amp; "&amp;keyfile=" &amp; $B$5 &amp; "&amp;network=" &amp; LOWER($B$8) &amp; "&amp;repository=" &amp; $B$18</f>
        <v>owner=thomas&amp;filename_for_metadata=InCasa_COR22D549&amp;offchaindata_platform=MongoDB&amp;keyfile=Paul&amp;network=jsonfiles&amp;repository=test</v>
      </c>
      <c r="U712" s="1" t="str">
        <f t="shared" si="23"/>
        <v>{"name":"In Casa #549",_x000D_
"symbol":"COR22D549",_x000D_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2" s="1" t="str">
        <f>formatRow(Tokens!C$2:I$2,Tokens!C712:I712)</f>
        <v>"name":"In Casa #549",_x000D_
"symbol":"COR22D549",_x000D_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2" s="1" t="str">
        <f>formatRow(Tokens!J$2:AV$2,Tokens!J712:AV712,2,"attributes")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2" s="1" t="str">
        <f>formatRow(Tokens!AX$2:BC$2,Tokens!AX712:BC712,2,"creators")</f>
        <v>"creators":[{"address":"paul",_x000D_
"share":10},{"address":"sophie",_x000D_
"share":90}]</v>
      </c>
      <c r="Y712" s="1" t="str">
        <f>formatRow(Tokens!BD$2:BI$2,Tokens!BD712:BI712,2,"files")</f>
        <v>"files":[]</v>
      </c>
      <c r="Z712" s="1"/>
      <c r="AA712" s="1"/>
      <c r="AB712" s="1"/>
      <c r="AC712" s="1" t="str">
        <f>formatRow(Tokens!BJ$2:BK$2,Tokens!BJ712:BK712,0,"collection")</f>
        <v>"collection":{"name":"In Casa",_x000D_
"family":"Calvi On The Rocks"}</v>
      </c>
    </row>
    <row r="713" spans="5:29" ht="14.25" customHeight="1" x14ac:dyDescent="0.25">
      <c r="E713" s="17" t="str">
        <f>IF(Tokens!C713="","",Tokens!C713)</f>
        <v>In Casa #550</v>
      </c>
      <c r="F713"/>
      <c r="G713"/>
      <c r="H713"/>
      <c r="I713"/>
      <c r="J713"/>
      <c r="M713"/>
      <c r="N713"/>
      <c r="O713" s="15" t="str">
        <f t="shared" si="22"/>
        <v>_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/>
      </c>
      <c r="Q713" s="2"/>
      <c r="R713" s="2"/>
      <c r="S713" s="11"/>
      <c r="T713" s="1" t="str">
        <f>"owner=" &amp; Tokens!BS713 &amp; "&amp;filename_for_metadata=" &amp; Tokens!BT713 &amp; "&amp;offchaindata_platform=" &amp; $B$17 &amp; "&amp;keyfile=" &amp; $B$5 &amp; "&amp;network=" &amp; LOWER($B$8) &amp; "&amp;repository=" &amp; $B$18</f>
        <v>owner=thomas&amp;filename_for_metadata=InCasa_COR22D550&amp;offchaindata_platform=MongoDB&amp;keyfile=Paul&amp;network=jsonfiles&amp;repository=test</v>
      </c>
      <c r="U713" s="1" t="str">
        <f t="shared" si="23"/>
        <v>{"name":"In Casa #550",_x000D_
"symbol":"COR22D550",_x000D_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3" s="1" t="str">
        <f>formatRow(Tokens!C$2:I$2,Tokens!C713:I713)</f>
        <v>"name":"In Casa #550",_x000D_
"symbol":"COR22D550",_x000D_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3" s="1" t="str">
        <f>formatRow(Tokens!J$2:AV$2,Tokens!J713:AV713,2,"attributes")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3" s="1" t="str">
        <f>formatRow(Tokens!AX$2:BC$2,Tokens!AX713:BC713,2,"creators")</f>
        <v>"creators":[{"address":"paul",_x000D_
"share":10},{"address":"sophie",_x000D_
"share":90}]</v>
      </c>
      <c r="Y713" s="1" t="str">
        <f>formatRow(Tokens!BD$2:BI$2,Tokens!BD713:BI713,2,"files")</f>
        <v>"files":[]</v>
      </c>
      <c r="Z713" s="1"/>
      <c r="AA713" s="1"/>
      <c r="AB713" s="1"/>
      <c r="AC713" s="1" t="str">
        <f>formatRow(Tokens!BJ$2:BK$2,Tokens!BJ713:BK713,0,"collection")</f>
        <v>"collection":{"name":"In Casa",_x000D_
"family":"Calvi On The Rocks"}</v>
      </c>
    </row>
    <row r="714" spans="5:29" ht="14.25" customHeight="1" x14ac:dyDescent="0.25">
      <c r="E714" s="17" t="str">
        <f>IF(Tokens!C714="","",Tokens!C714)</f>
        <v>In Casa #551</v>
      </c>
      <c r="F714"/>
      <c r="G714"/>
      <c r="H714"/>
      <c r="I714"/>
      <c r="J714"/>
      <c r="M714"/>
      <c r="N714"/>
      <c r="O714" s="15" t="str">
        <f t="shared" si="22"/>
        <v>_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/>
      </c>
      <c r="Q714" s="2"/>
      <c r="R714" s="2"/>
      <c r="S714" s="11"/>
      <c r="T714" s="1" t="str">
        <f>"owner=" &amp; Tokens!BS714 &amp; "&amp;filename_for_metadata=" &amp; Tokens!BT714 &amp; "&amp;offchaindata_platform=" &amp; $B$17 &amp; "&amp;keyfile=" &amp; $B$5 &amp; "&amp;network=" &amp; LOWER($B$8) &amp; "&amp;repository=" &amp; $B$18</f>
        <v>owner=thomas&amp;filename_for_metadata=InCasa_COR22D551&amp;offchaindata_platform=MongoDB&amp;keyfile=Paul&amp;network=jsonfiles&amp;repository=test</v>
      </c>
      <c r="U714" s="1" t="str">
        <f t="shared" si="23"/>
        <v>{"name":"In Casa #551",_x000D_
"symbol":"COR22D551",_x000D_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4" s="1" t="str">
        <f>formatRow(Tokens!C$2:I$2,Tokens!C714:I714)</f>
        <v>"name":"In Casa #551",_x000D_
"symbol":"COR22D551",_x000D_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4" s="1" t="str">
        <f>formatRow(Tokens!J$2:AV$2,Tokens!J714:AV714,2,"attributes")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4" s="1" t="str">
        <f>formatRow(Tokens!AX$2:BC$2,Tokens!AX714:BC714,2,"creators")</f>
        <v>"creators":[{"address":"paul",_x000D_
"share":10},{"address":"sophie",_x000D_
"share":90}]</v>
      </c>
      <c r="Y714" s="1" t="str">
        <f>formatRow(Tokens!BD$2:BI$2,Tokens!BD714:BI714,2,"files")</f>
        <v>"files":[]</v>
      </c>
      <c r="Z714" s="1"/>
      <c r="AA714" s="1"/>
      <c r="AB714" s="1"/>
      <c r="AC714" s="1" t="str">
        <f>formatRow(Tokens!BJ$2:BK$2,Tokens!BJ714:BK714,0,"collection")</f>
        <v>"collection":{"name":"In Casa",_x000D_
"family":"Calvi On The Rocks"}</v>
      </c>
    </row>
    <row r="715" spans="5:29" ht="14.25" customHeight="1" x14ac:dyDescent="0.25">
      <c r="E715" s="17" t="str">
        <f>IF(Tokens!C715="","",Tokens!C715)</f>
        <v>In Casa #552</v>
      </c>
      <c r="F715"/>
      <c r="G715"/>
      <c r="H715"/>
      <c r="I715"/>
      <c r="J715"/>
      <c r="M715"/>
      <c r="N715"/>
      <c r="O715" s="15" t="str">
        <f t="shared" si="22"/>
        <v>_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/>
      </c>
      <c r="Q715" s="2"/>
      <c r="R715" s="2"/>
      <c r="S715" s="11"/>
      <c r="T715" s="1" t="str">
        <f>"owner=" &amp; Tokens!BS715 &amp; "&amp;filename_for_metadata=" &amp; Tokens!BT715 &amp; "&amp;offchaindata_platform=" &amp; $B$17 &amp; "&amp;keyfile=" &amp; $B$5 &amp; "&amp;network=" &amp; LOWER($B$8) &amp; "&amp;repository=" &amp; $B$18</f>
        <v>owner=thomas&amp;filename_for_metadata=InCasa_COR22D552&amp;offchaindata_platform=MongoDB&amp;keyfile=Paul&amp;network=jsonfiles&amp;repository=test</v>
      </c>
      <c r="U715" s="1" t="str">
        <f t="shared" si="23"/>
        <v>{"name":"In Casa #552",_x000D_
"symbol":"COR22D552",_x000D_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5" s="1" t="str">
        <f>formatRow(Tokens!C$2:I$2,Tokens!C715:I715)</f>
        <v>"name":"In Casa #552",_x000D_
"symbol":"COR22D552",_x000D_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5" s="1" t="str">
        <f>formatRow(Tokens!J$2:AV$2,Tokens!J715:AV715,2,"attributes")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5" s="1" t="str">
        <f>formatRow(Tokens!AX$2:BC$2,Tokens!AX715:BC715,2,"creators")</f>
        <v>"creators":[{"address":"paul",_x000D_
"share":10},{"address":"sophie",_x000D_
"share":90}]</v>
      </c>
      <c r="Y715" s="1" t="str">
        <f>formatRow(Tokens!BD$2:BI$2,Tokens!BD715:BI715,2,"files")</f>
        <v>"files":[]</v>
      </c>
      <c r="Z715" s="1"/>
      <c r="AA715" s="1"/>
      <c r="AB715" s="1"/>
      <c r="AC715" s="1" t="str">
        <f>formatRow(Tokens!BJ$2:BK$2,Tokens!BJ715:BK715,0,"collection")</f>
        <v>"collection":{"name":"In Casa",_x000D_
"family":"Calvi On The Rocks"}</v>
      </c>
    </row>
    <row r="716" spans="5:29" ht="14.25" customHeight="1" x14ac:dyDescent="0.25">
      <c r="E716" s="17" t="str">
        <f>IF(Tokens!C716="","",Tokens!C716)</f>
        <v>In Casa #553</v>
      </c>
      <c r="F716"/>
      <c r="G716"/>
      <c r="H716"/>
      <c r="I716"/>
      <c r="J716"/>
      <c r="M716"/>
      <c r="N716"/>
      <c r="O716" s="15" t="str">
        <f t="shared" si="22"/>
        <v>_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/>
      </c>
      <c r="Q716" s="2"/>
      <c r="R716" s="2"/>
      <c r="S716" s="11"/>
      <c r="T716" s="1" t="str">
        <f>"owner=" &amp; Tokens!BS716 &amp; "&amp;filename_for_metadata=" &amp; Tokens!BT716 &amp; "&amp;offchaindata_platform=" &amp; $B$17 &amp; "&amp;keyfile=" &amp; $B$5 &amp; "&amp;network=" &amp; LOWER($B$8) &amp; "&amp;repository=" &amp; $B$18</f>
        <v>owner=thomas&amp;filename_for_metadata=InCasa_COR22D553&amp;offchaindata_platform=MongoDB&amp;keyfile=Paul&amp;network=jsonfiles&amp;repository=test</v>
      </c>
      <c r="U716" s="1" t="str">
        <f t="shared" si="23"/>
        <v>{"name":"In Casa #553",_x000D_
"symbol":"COR22D553",_x000D_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6" s="1" t="str">
        <f>formatRow(Tokens!C$2:I$2,Tokens!C716:I716)</f>
        <v>"name":"In Casa #553",_x000D_
"symbol":"COR22D553",_x000D_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6" s="1" t="str">
        <f>formatRow(Tokens!J$2:AV$2,Tokens!J716:AV716,2,"attributes")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6" s="1" t="str">
        <f>formatRow(Tokens!AX$2:BC$2,Tokens!AX716:BC716,2,"creators")</f>
        <v>"creators":[{"address":"paul",_x000D_
"share":10},{"address":"sophie",_x000D_
"share":90}]</v>
      </c>
      <c r="Y716" s="1" t="str">
        <f>formatRow(Tokens!BD$2:BI$2,Tokens!BD716:BI716,2,"files")</f>
        <v>"files":[]</v>
      </c>
      <c r="Z716" s="1"/>
      <c r="AA716" s="1"/>
      <c r="AB716" s="1"/>
      <c r="AC716" s="1" t="str">
        <f>formatRow(Tokens!BJ$2:BK$2,Tokens!BJ716:BK716,0,"collection")</f>
        <v>"collection":{"name":"In Casa",_x000D_
"family":"Calvi On The Rocks"}</v>
      </c>
    </row>
    <row r="717" spans="5:29" ht="14.25" customHeight="1" x14ac:dyDescent="0.25">
      <c r="E717" s="17" t="str">
        <f>IF(Tokens!C717="","",Tokens!C717)</f>
        <v>In Casa #554</v>
      </c>
      <c r="F717"/>
      <c r="G717"/>
      <c r="H717"/>
      <c r="I717"/>
      <c r="J717"/>
      <c r="M717"/>
      <c r="N717"/>
      <c r="O717" s="15" t="str">
        <f t="shared" si="22"/>
        <v>_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/>
      </c>
      <c r="Q717" s="2"/>
      <c r="R717" s="2"/>
      <c r="S717" s="11"/>
      <c r="T717" s="1" t="str">
        <f>"owner=" &amp; Tokens!BS717 &amp; "&amp;filename_for_metadata=" &amp; Tokens!BT717 &amp; "&amp;offchaindata_platform=" &amp; $B$17 &amp; "&amp;keyfile=" &amp; $B$5 &amp; "&amp;network=" &amp; LOWER($B$8) &amp; "&amp;repository=" &amp; $B$18</f>
        <v>owner=thomas&amp;filename_for_metadata=InCasa_COR22D554&amp;offchaindata_platform=MongoDB&amp;keyfile=Paul&amp;network=jsonfiles&amp;repository=test</v>
      </c>
      <c r="U717" s="1" t="str">
        <f t="shared" si="23"/>
        <v>{"name":"In Casa #554",_x000D_
"symbol":"COR22D554",_x000D_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7" s="1" t="str">
        <f>formatRow(Tokens!C$2:I$2,Tokens!C717:I717)</f>
        <v>"name":"In Casa #554",_x000D_
"symbol":"COR22D554",_x000D_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7" s="1" t="str">
        <f>formatRow(Tokens!J$2:AV$2,Tokens!J717:AV717,2,"attributes")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7" s="1" t="str">
        <f>formatRow(Tokens!AX$2:BC$2,Tokens!AX717:BC717,2,"creators")</f>
        <v>"creators":[{"address":"paul",_x000D_
"share":10},{"address":"sophie",_x000D_
"share":90}]</v>
      </c>
      <c r="Y717" s="1" t="str">
        <f>formatRow(Tokens!BD$2:BI$2,Tokens!BD717:BI717,2,"files")</f>
        <v>"files":[]</v>
      </c>
      <c r="Z717" s="1"/>
      <c r="AA717" s="1"/>
      <c r="AB717" s="1"/>
      <c r="AC717" s="1" t="str">
        <f>formatRow(Tokens!BJ$2:BK$2,Tokens!BJ717:BK717,0,"collection")</f>
        <v>"collection":{"name":"In Casa",_x000D_
"family":"Calvi On The Rocks"}</v>
      </c>
    </row>
    <row r="718" spans="5:29" ht="14.25" customHeight="1" x14ac:dyDescent="0.25">
      <c r="E718" s="17" t="str">
        <f>IF(Tokens!C718="","",Tokens!C718)</f>
        <v>In Casa #555</v>
      </c>
      <c r="F718"/>
      <c r="G718"/>
      <c r="H718"/>
      <c r="I718"/>
      <c r="J718"/>
      <c r="M718"/>
      <c r="N718"/>
      <c r="O718" s="15" t="str">
        <f t="shared" si="22"/>
        <v>_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/>
      </c>
      <c r="Q718" s="2"/>
      <c r="R718" s="2"/>
      <c r="S718" s="11"/>
      <c r="T718" s="1" t="str">
        <f>"owner=" &amp; Tokens!BS718 &amp; "&amp;filename_for_metadata=" &amp; Tokens!BT718 &amp; "&amp;offchaindata_platform=" &amp; $B$17 &amp; "&amp;keyfile=" &amp; $B$5 &amp; "&amp;network=" &amp; LOWER($B$8) &amp; "&amp;repository=" &amp; $B$18</f>
        <v>owner=thomas&amp;filename_for_metadata=InCasa_COR22D555&amp;offchaindata_platform=MongoDB&amp;keyfile=Paul&amp;network=jsonfiles&amp;repository=test</v>
      </c>
      <c r="U718" s="1" t="str">
        <f t="shared" si="23"/>
        <v>{"name":"In Casa #555",_x000D_
"symbol":"COR22D555",_x000D_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8" s="1" t="str">
        <f>formatRow(Tokens!C$2:I$2,Tokens!C718:I718)</f>
        <v>"name":"In Casa #555",_x000D_
"symbol":"COR22D555",_x000D_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8" s="1" t="str">
        <f>formatRow(Tokens!J$2:AV$2,Tokens!J718:AV718,2,"attributes")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8" s="1" t="str">
        <f>formatRow(Tokens!AX$2:BC$2,Tokens!AX718:BC718,2,"creators")</f>
        <v>"creators":[{"address":"paul",_x000D_
"share":10},{"address":"sophie",_x000D_
"share":90}]</v>
      </c>
      <c r="Y718" s="1" t="str">
        <f>formatRow(Tokens!BD$2:BI$2,Tokens!BD718:BI718,2,"files")</f>
        <v>"files":[]</v>
      </c>
      <c r="Z718" s="1"/>
      <c r="AA718" s="1"/>
      <c r="AB718" s="1"/>
      <c r="AC718" s="1" t="str">
        <f>formatRow(Tokens!BJ$2:BK$2,Tokens!BJ718:BK718,0,"collection")</f>
        <v>"collection":{"name":"In Casa",_x000D_
"family":"Calvi On The Rocks"}</v>
      </c>
    </row>
    <row r="719" spans="5:29" ht="14.25" customHeight="1" x14ac:dyDescent="0.25">
      <c r="E719" s="17" t="str">
        <f>IF(Tokens!C719="","",Tokens!C719)</f>
        <v>In Casa #556</v>
      </c>
      <c r="F719"/>
      <c r="G719"/>
      <c r="H719"/>
      <c r="I719"/>
      <c r="J719"/>
      <c r="M719"/>
      <c r="N719"/>
      <c r="O719" s="15" t="str">
        <f t="shared" si="22"/>
        <v>_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/>
      </c>
      <c r="Q719" s="2"/>
      <c r="R719" s="2"/>
      <c r="S719" s="11"/>
      <c r="T719" s="1" t="str">
        <f>"owner=" &amp; Tokens!BS719 &amp; "&amp;filename_for_metadata=" &amp; Tokens!BT719 &amp; "&amp;offchaindata_platform=" &amp; $B$17 &amp; "&amp;keyfile=" &amp; $B$5 &amp; "&amp;network=" &amp; LOWER($B$8) &amp; "&amp;repository=" &amp; $B$18</f>
        <v>owner=thomas&amp;filename_for_metadata=InCasa_COR22D556&amp;offchaindata_platform=MongoDB&amp;keyfile=Paul&amp;network=jsonfiles&amp;repository=test</v>
      </c>
      <c r="U719" s="1" t="str">
        <f t="shared" si="23"/>
        <v>{"name":"In Casa #556",_x000D_
"symbol":"COR22D556",_x000D_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19" s="1" t="str">
        <f>formatRow(Tokens!C$2:I$2,Tokens!C719:I719)</f>
        <v>"name":"In Casa #556",_x000D_
"symbol":"COR22D556",_x000D_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19" s="1" t="str">
        <f>formatRow(Tokens!J$2:AV$2,Tokens!J719:AV719,2,"attributes")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19" s="1" t="str">
        <f>formatRow(Tokens!AX$2:BC$2,Tokens!AX719:BC719,2,"creators")</f>
        <v>"creators":[{"address":"paul",_x000D_
"share":10},{"address":"sophie",_x000D_
"share":90}]</v>
      </c>
      <c r="Y719" s="1" t="str">
        <f>formatRow(Tokens!BD$2:BI$2,Tokens!BD719:BI719,2,"files")</f>
        <v>"files":[]</v>
      </c>
      <c r="Z719" s="1"/>
      <c r="AA719" s="1"/>
      <c r="AB719" s="1"/>
      <c r="AC719" s="1" t="str">
        <f>formatRow(Tokens!BJ$2:BK$2,Tokens!BJ719:BK719,0,"collection")</f>
        <v>"collection":{"name":"In Casa",_x000D_
"family":"Calvi On The Rocks"}</v>
      </c>
    </row>
    <row r="720" spans="5:29" ht="14.25" customHeight="1" x14ac:dyDescent="0.25">
      <c r="E720" s="17" t="str">
        <f>IF(Tokens!C720="","",Tokens!C720)</f>
        <v>In Casa #557</v>
      </c>
      <c r="F720"/>
      <c r="G720"/>
      <c r="H720"/>
      <c r="I720"/>
      <c r="J720"/>
      <c r="M720"/>
      <c r="N720"/>
      <c r="O720" s="15" t="str">
        <f t="shared" si="22"/>
        <v>_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/>
      </c>
      <c r="Q720" s="2"/>
      <c r="R720" s="2"/>
      <c r="S720" s="11"/>
      <c r="T720" s="1" t="str">
        <f>"owner=" &amp; Tokens!BS720 &amp; "&amp;filename_for_metadata=" &amp; Tokens!BT720 &amp; "&amp;offchaindata_platform=" &amp; $B$17 &amp; "&amp;keyfile=" &amp; $B$5 &amp; "&amp;network=" &amp; LOWER($B$8) &amp; "&amp;repository=" &amp; $B$18</f>
        <v>owner=thomas&amp;filename_for_metadata=InCasa_COR22D557&amp;offchaindata_platform=MongoDB&amp;keyfile=Paul&amp;network=jsonfiles&amp;repository=test</v>
      </c>
      <c r="U720" s="1" t="str">
        <f t="shared" si="23"/>
        <v>{"name":"In Casa #557",_x000D_
"symbol":"COR22D557",_x000D_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0" s="1" t="str">
        <f>formatRow(Tokens!C$2:I$2,Tokens!C720:I720)</f>
        <v>"name":"In Casa #557",_x000D_
"symbol":"COR22D557",_x000D_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0" s="1" t="str">
        <f>formatRow(Tokens!J$2:AV$2,Tokens!J720:AV720,2,"attributes")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0" s="1" t="str">
        <f>formatRow(Tokens!AX$2:BC$2,Tokens!AX720:BC720,2,"creators")</f>
        <v>"creators":[{"address":"paul",_x000D_
"share":10},{"address":"sophie",_x000D_
"share":90}]</v>
      </c>
      <c r="Y720" s="1" t="str">
        <f>formatRow(Tokens!BD$2:BI$2,Tokens!BD720:BI720,2,"files")</f>
        <v>"files":[]</v>
      </c>
      <c r="Z720" s="1"/>
      <c r="AA720" s="1"/>
      <c r="AB720" s="1"/>
      <c r="AC720" s="1" t="str">
        <f>formatRow(Tokens!BJ$2:BK$2,Tokens!BJ720:BK720,0,"collection")</f>
        <v>"collection":{"name":"In Casa",_x000D_
"family":"Calvi On The Rocks"}</v>
      </c>
    </row>
    <row r="721" spans="5:29" ht="14.25" customHeight="1" x14ac:dyDescent="0.25">
      <c r="E721" s="17" t="str">
        <f>IF(Tokens!C721="","",Tokens!C721)</f>
        <v>In Casa #558</v>
      </c>
      <c r="F721"/>
      <c r="G721"/>
      <c r="H721"/>
      <c r="I721"/>
      <c r="J721"/>
      <c r="M721"/>
      <c r="N721"/>
      <c r="O721" s="15" t="str">
        <f t="shared" si="22"/>
        <v>_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/>
      </c>
      <c r="Q721" s="2"/>
      <c r="R721" s="2"/>
      <c r="S721" s="11"/>
      <c r="T721" s="1" t="str">
        <f>"owner=" &amp; Tokens!BS721 &amp; "&amp;filename_for_metadata=" &amp; Tokens!BT721 &amp; "&amp;offchaindata_platform=" &amp; $B$17 &amp; "&amp;keyfile=" &amp; $B$5 &amp; "&amp;network=" &amp; LOWER($B$8) &amp; "&amp;repository=" &amp; $B$18</f>
        <v>owner=thomas&amp;filename_for_metadata=InCasa_COR22D558&amp;offchaindata_platform=MongoDB&amp;keyfile=Paul&amp;network=jsonfiles&amp;repository=test</v>
      </c>
      <c r="U721" s="1" t="str">
        <f t="shared" si="23"/>
        <v>{"name":"In Casa #558",_x000D_
"symbol":"COR22D558",_x000D_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1" s="1" t="str">
        <f>formatRow(Tokens!C$2:I$2,Tokens!C721:I721)</f>
        <v>"name":"In Casa #558",_x000D_
"symbol":"COR22D558",_x000D_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1" s="1" t="str">
        <f>formatRow(Tokens!J$2:AV$2,Tokens!J721:AV721,2,"attributes")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1" s="1" t="str">
        <f>formatRow(Tokens!AX$2:BC$2,Tokens!AX721:BC721,2,"creators")</f>
        <v>"creators":[{"address":"paul",_x000D_
"share":10},{"address":"sophie",_x000D_
"share":90}]</v>
      </c>
      <c r="Y721" s="1" t="str">
        <f>formatRow(Tokens!BD$2:BI$2,Tokens!BD721:BI721,2,"files")</f>
        <v>"files":[]</v>
      </c>
      <c r="Z721" s="1"/>
      <c r="AA721" s="1"/>
      <c r="AB721" s="1"/>
      <c r="AC721" s="1" t="str">
        <f>formatRow(Tokens!BJ$2:BK$2,Tokens!BJ721:BK721,0,"collection")</f>
        <v>"collection":{"name":"In Casa",_x000D_
"family":"Calvi On The Rocks"}</v>
      </c>
    </row>
    <row r="722" spans="5:29" ht="14.25" customHeight="1" x14ac:dyDescent="0.25">
      <c r="E722" s="17" t="str">
        <f>IF(Tokens!C722="","",Tokens!C722)</f>
        <v>In Casa #559</v>
      </c>
      <c r="F722"/>
      <c r="G722"/>
      <c r="H722"/>
      <c r="I722"/>
      <c r="J722"/>
      <c r="M722"/>
      <c r="N722"/>
      <c r="O722" s="15" t="str">
        <f t="shared" si="22"/>
        <v>_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/>
      </c>
      <c r="Q722" s="2"/>
      <c r="R722" s="2"/>
      <c r="S722" s="11"/>
      <c r="T722" s="1" t="str">
        <f>"owner=" &amp; Tokens!BS722 &amp; "&amp;filename_for_metadata=" &amp; Tokens!BT722 &amp; "&amp;offchaindata_platform=" &amp; $B$17 &amp; "&amp;keyfile=" &amp; $B$5 &amp; "&amp;network=" &amp; LOWER($B$8) &amp; "&amp;repository=" &amp; $B$18</f>
        <v>owner=thomas&amp;filename_for_metadata=InCasa_COR22D559&amp;offchaindata_platform=MongoDB&amp;keyfile=Paul&amp;network=jsonfiles&amp;repository=test</v>
      </c>
      <c r="U722" s="1" t="str">
        <f t="shared" si="23"/>
        <v>{"name":"In Casa #559",_x000D_
"symbol":"COR22D559",_x000D_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2" s="1" t="str">
        <f>formatRow(Tokens!C$2:I$2,Tokens!C722:I722)</f>
        <v>"name":"In Casa #559",_x000D_
"symbol":"COR22D559",_x000D_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2" s="1" t="str">
        <f>formatRow(Tokens!J$2:AV$2,Tokens!J722:AV722,2,"attributes")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2" s="1" t="str">
        <f>formatRow(Tokens!AX$2:BC$2,Tokens!AX722:BC722,2,"creators")</f>
        <v>"creators":[{"address":"paul",_x000D_
"share":10},{"address":"sophie",_x000D_
"share":90}]</v>
      </c>
      <c r="Y722" s="1" t="str">
        <f>formatRow(Tokens!BD$2:BI$2,Tokens!BD722:BI722,2,"files")</f>
        <v>"files":[]</v>
      </c>
      <c r="Z722" s="1"/>
      <c r="AA722" s="1"/>
      <c r="AB722" s="1"/>
      <c r="AC722" s="1" t="str">
        <f>formatRow(Tokens!BJ$2:BK$2,Tokens!BJ722:BK722,0,"collection")</f>
        <v>"collection":{"name":"In Casa",_x000D_
"family":"Calvi On The Rocks"}</v>
      </c>
    </row>
    <row r="723" spans="5:29" ht="14.25" customHeight="1" x14ac:dyDescent="0.25">
      <c r="E723" s="17" t="str">
        <f>IF(Tokens!C723="","",Tokens!C723)</f>
        <v>In Casa #560</v>
      </c>
      <c r="F723"/>
      <c r="G723"/>
      <c r="H723"/>
      <c r="I723"/>
      <c r="J723"/>
      <c r="M723"/>
      <c r="N723"/>
      <c r="O723" s="15" t="str">
        <f t="shared" si="22"/>
        <v>_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/>
      </c>
      <c r="Q723" s="2"/>
      <c r="R723" s="2"/>
      <c r="S723" s="11"/>
      <c r="T723" s="1" t="str">
        <f>"owner=" &amp; Tokens!BS723 &amp; "&amp;filename_for_metadata=" &amp; Tokens!BT723 &amp; "&amp;offchaindata_platform=" &amp; $B$17 &amp; "&amp;keyfile=" &amp; $B$5 &amp; "&amp;network=" &amp; LOWER($B$8) &amp; "&amp;repository=" &amp; $B$18</f>
        <v>owner=thomas&amp;filename_for_metadata=InCasa_COR22D560&amp;offchaindata_platform=MongoDB&amp;keyfile=Paul&amp;network=jsonfiles&amp;repository=test</v>
      </c>
      <c r="U723" s="1" t="str">
        <f t="shared" si="23"/>
        <v>{"name":"In Casa #560",_x000D_
"symbol":"COR22D560",_x000D_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3" s="1" t="str">
        <f>formatRow(Tokens!C$2:I$2,Tokens!C723:I723)</f>
        <v>"name":"In Casa #560",_x000D_
"symbol":"COR22D560",_x000D_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3" s="1" t="str">
        <f>formatRow(Tokens!J$2:AV$2,Tokens!J723:AV723,2,"attributes")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3" s="1" t="str">
        <f>formatRow(Tokens!AX$2:BC$2,Tokens!AX723:BC723,2,"creators")</f>
        <v>"creators":[{"address":"paul",_x000D_
"share":10},{"address":"sophie",_x000D_
"share":90}]</v>
      </c>
      <c r="Y723" s="1" t="str">
        <f>formatRow(Tokens!BD$2:BI$2,Tokens!BD723:BI723,2,"files")</f>
        <v>"files":[]</v>
      </c>
      <c r="Z723" s="1"/>
      <c r="AA723" s="1"/>
      <c r="AB723" s="1"/>
      <c r="AC723" s="1" t="str">
        <f>formatRow(Tokens!BJ$2:BK$2,Tokens!BJ723:BK723,0,"collection")</f>
        <v>"collection":{"name":"In Casa",_x000D_
"family":"Calvi On The Rocks"}</v>
      </c>
    </row>
    <row r="724" spans="5:29" ht="14.25" customHeight="1" x14ac:dyDescent="0.25">
      <c r="E724" s="17" t="str">
        <f>IF(Tokens!C724="","",Tokens!C724)</f>
        <v>In Casa #561</v>
      </c>
      <c r="F724"/>
      <c r="G724"/>
      <c r="H724"/>
      <c r="I724"/>
      <c r="J724"/>
      <c r="M724"/>
      <c r="N724"/>
      <c r="O724" s="15" t="str">
        <f t="shared" si="22"/>
        <v>_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/>
      </c>
      <c r="Q724" s="2"/>
      <c r="R724" s="2"/>
      <c r="S724" s="11"/>
      <c r="T724" s="1" t="str">
        <f>"owner=" &amp; Tokens!BS724 &amp; "&amp;filename_for_metadata=" &amp; Tokens!BT724 &amp; "&amp;offchaindata_platform=" &amp; $B$17 &amp; "&amp;keyfile=" &amp; $B$5 &amp; "&amp;network=" &amp; LOWER($B$8) &amp; "&amp;repository=" &amp; $B$18</f>
        <v>owner=thomas&amp;filename_for_metadata=InCasa_COR22D561&amp;offchaindata_platform=MongoDB&amp;keyfile=Paul&amp;network=jsonfiles&amp;repository=test</v>
      </c>
      <c r="U724" s="1" t="str">
        <f t="shared" si="23"/>
        <v>{"name":"In Casa #561",_x000D_
"symbol":"COR22D561",_x000D_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4" s="1" t="str">
        <f>formatRow(Tokens!C$2:I$2,Tokens!C724:I724)</f>
        <v>"name":"In Casa #561",_x000D_
"symbol":"COR22D561",_x000D_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4" s="1" t="str">
        <f>formatRow(Tokens!J$2:AV$2,Tokens!J724:AV724,2,"attributes")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4" s="1" t="str">
        <f>formatRow(Tokens!AX$2:BC$2,Tokens!AX724:BC724,2,"creators")</f>
        <v>"creators":[{"address":"paul",_x000D_
"share":10},{"address":"sophie",_x000D_
"share":90}]</v>
      </c>
      <c r="Y724" s="1" t="str">
        <f>formatRow(Tokens!BD$2:BI$2,Tokens!BD724:BI724,2,"files")</f>
        <v>"files":[]</v>
      </c>
      <c r="Z724" s="1"/>
      <c r="AA724" s="1"/>
      <c r="AB724" s="1"/>
      <c r="AC724" s="1" t="str">
        <f>formatRow(Tokens!BJ$2:BK$2,Tokens!BJ724:BK724,0,"collection")</f>
        <v>"collection":{"name":"In Casa",_x000D_
"family":"Calvi On The Rocks"}</v>
      </c>
    </row>
    <row r="725" spans="5:29" ht="14.25" customHeight="1" x14ac:dyDescent="0.25">
      <c r="E725" s="17" t="str">
        <f>IF(Tokens!C725="","",Tokens!C725)</f>
        <v>In Casa #562</v>
      </c>
      <c r="F725"/>
      <c r="G725"/>
      <c r="H725"/>
      <c r="I725"/>
      <c r="J725"/>
      <c r="M725"/>
      <c r="N725"/>
      <c r="O725" s="15" t="str">
        <f t="shared" si="22"/>
        <v>_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/>
      </c>
      <c r="Q725" s="2"/>
      <c r="R725" s="2"/>
      <c r="S725" s="11"/>
      <c r="T725" s="1" t="str">
        <f>"owner=" &amp; Tokens!BS725 &amp; "&amp;filename_for_metadata=" &amp; Tokens!BT725 &amp; "&amp;offchaindata_platform=" &amp; $B$17 &amp; "&amp;keyfile=" &amp; $B$5 &amp; "&amp;network=" &amp; LOWER($B$8) &amp; "&amp;repository=" &amp; $B$18</f>
        <v>owner=thomas&amp;filename_for_metadata=InCasa_COR22D562&amp;offchaindata_platform=MongoDB&amp;keyfile=Paul&amp;network=jsonfiles&amp;repository=test</v>
      </c>
      <c r="U725" s="1" t="str">
        <f t="shared" si="23"/>
        <v>{"name":"In Casa #562",_x000D_
"symbol":"COR22D562",_x000D_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5" s="1" t="str">
        <f>formatRow(Tokens!C$2:I$2,Tokens!C725:I725)</f>
        <v>"name":"In Casa #562",_x000D_
"symbol":"COR22D562",_x000D_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5" s="1" t="str">
        <f>formatRow(Tokens!J$2:AV$2,Tokens!J725:AV725,2,"attributes")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5" s="1" t="str">
        <f>formatRow(Tokens!AX$2:BC$2,Tokens!AX725:BC725,2,"creators")</f>
        <v>"creators":[{"address":"paul",_x000D_
"share":10},{"address":"sophie",_x000D_
"share":90}]</v>
      </c>
      <c r="Y725" s="1" t="str">
        <f>formatRow(Tokens!BD$2:BI$2,Tokens!BD725:BI725,2,"files")</f>
        <v>"files":[]</v>
      </c>
      <c r="Z725" s="1"/>
      <c r="AA725" s="1"/>
      <c r="AB725" s="1"/>
      <c r="AC725" s="1" t="str">
        <f>formatRow(Tokens!BJ$2:BK$2,Tokens!BJ725:BK725,0,"collection")</f>
        <v>"collection":{"name":"In Casa",_x000D_
"family":"Calvi On The Rocks"}</v>
      </c>
    </row>
    <row r="726" spans="5:29" ht="14.25" customHeight="1" x14ac:dyDescent="0.25">
      <c r="E726" s="17" t="str">
        <f>IF(Tokens!C726="","",Tokens!C726)</f>
        <v>In Casa #563</v>
      </c>
      <c r="F726"/>
      <c r="G726"/>
      <c r="H726"/>
      <c r="I726"/>
      <c r="J726"/>
      <c r="M726"/>
      <c r="N726"/>
      <c r="O726" s="15" t="str">
        <f t="shared" si="22"/>
        <v>_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/>
      </c>
      <c r="Q726" s="2"/>
      <c r="R726" s="2"/>
      <c r="S726" s="11"/>
      <c r="T726" s="1" t="str">
        <f>"owner=" &amp; Tokens!BS726 &amp; "&amp;filename_for_metadata=" &amp; Tokens!BT726 &amp; "&amp;offchaindata_platform=" &amp; $B$17 &amp; "&amp;keyfile=" &amp; $B$5 &amp; "&amp;network=" &amp; LOWER($B$8) &amp; "&amp;repository=" &amp; $B$18</f>
        <v>owner=thomas&amp;filename_for_metadata=InCasa_COR22D563&amp;offchaindata_platform=MongoDB&amp;keyfile=Paul&amp;network=jsonfiles&amp;repository=test</v>
      </c>
      <c r="U726" s="1" t="str">
        <f t="shared" si="23"/>
        <v>{"name":"In Casa #563",_x000D_
"symbol":"COR22D563",_x000D_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6" s="1" t="str">
        <f>formatRow(Tokens!C$2:I$2,Tokens!C726:I726)</f>
        <v>"name":"In Casa #563",_x000D_
"symbol":"COR22D563",_x000D_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6" s="1" t="str">
        <f>formatRow(Tokens!J$2:AV$2,Tokens!J726:AV726,2,"attributes")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6" s="1" t="str">
        <f>formatRow(Tokens!AX$2:BC$2,Tokens!AX726:BC726,2,"creators")</f>
        <v>"creators":[{"address":"paul",_x000D_
"share":10},{"address":"sophie",_x000D_
"share":90}]</v>
      </c>
      <c r="Y726" s="1" t="str">
        <f>formatRow(Tokens!BD$2:BI$2,Tokens!BD726:BI726,2,"files")</f>
        <v>"files":[]</v>
      </c>
      <c r="Z726" s="1"/>
      <c r="AA726" s="1"/>
      <c r="AB726" s="1"/>
      <c r="AC726" s="1" t="str">
        <f>formatRow(Tokens!BJ$2:BK$2,Tokens!BJ726:BK726,0,"collection")</f>
        <v>"collection":{"name":"In Casa",_x000D_
"family":"Calvi On The Rocks"}</v>
      </c>
    </row>
    <row r="727" spans="5:29" ht="14.25" customHeight="1" x14ac:dyDescent="0.25">
      <c r="E727" s="17" t="str">
        <f>IF(Tokens!C727="","",Tokens!C727)</f>
        <v>In Casa #564</v>
      </c>
      <c r="F727"/>
      <c r="G727"/>
      <c r="H727"/>
      <c r="I727"/>
      <c r="J727"/>
      <c r="M727"/>
      <c r="N727"/>
      <c r="O727" s="15" t="str">
        <f t="shared" si="22"/>
        <v>_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/>
      </c>
      <c r="Q727" s="2"/>
      <c r="R727" s="2"/>
      <c r="S727" s="11"/>
      <c r="T727" s="1" t="str">
        <f>"owner=" &amp; Tokens!BS727 &amp; "&amp;filename_for_metadata=" &amp; Tokens!BT727 &amp; "&amp;offchaindata_platform=" &amp; $B$17 &amp; "&amp;keyfile=" &amp; $B$5 &amp; "&amp;network=" &amp; LOWER($B$8) &amp; "&amp;repository=" &amp; $B$18</f>
        <v>owner=thomas&amp;filename_for_metadata=InCasa_COR22D564&amp;offchaindata_platform=MongoDB&amp;keyfile=Paul&amp;network=jsonfiles&amp;repository=test</v>
      </c>
      <c r="U727" s="1" t="str">
        <f t="shared" si="23"/>
        <v>{"name":"In Casa #564",_x000D_
"symbol":"COR22D564",_x000D_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7" s="1" t="str">
        <f>formatRow(Tokens!C$2:I$2,Tokens!C727:I727)</f>
        <v>"name":"In Casa #564",_x000D_
"symbol":"COR22D564",_x000D_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7" s="1" t="str">
        <f>formatRow(Tokens!J$2:AV$2,Tokens!J727:AV727,2,"attributes")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7" s="1" t="str">
        <f>formatRow(Tokens!AX$2:BC$2,Tokens!AX727:BC727,2,"creators")</f>
        <v>"creators":[{"address":"paul",_x000D_
"share":10},{"address":"sophie",_x000D_
"share":90}]</v>
      </c>
      <c r="Y727" s="1" t="str">
        <f>formatRow(Tokens!BD$2:BI$2,Tokens!BD727:BI727,2,"files")</f>
        <v>"files":[]</v>
      </c>
      <c r="Z727" s="1"/>
      <c r="AA727" s="1"/>
      <c r="AB727" s="1"/>
      <c r="AC727" s="1" t="str">
        <f>formatRow(Tokens!BJ$2:BK$2,Tokens!BJ727:BK727,0,"collection")</f>
        <v>"collection":{"name":"In Casa",_x000D_
"family":"Calvi On The Rocks"}</v>
      </c>
    </row>
    <row r="728" spans="5:29" ht="14.25" customHeight="1" x14ac:dyDescent="0.25">
      <c r="E728" s="17" t="str">
        <f>IF(Tokens!C728="","",Tokens!C728)</f>
        <v>In Casa #565</v>
      </c>
      <c r="F728"/>
      <c r="G728"/>
      <c r="H728"/>
      <c r="I728"/>
      <c r="J728"/>
      <c r="M728"/>
      <c r="N728"/>
      <c r="O728" s="15" t="str">
        <f t="shared" si="22"/>
        <v>_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/>
      </c>
      <c r="Q728" s="2"/>
      <c r="R728" s="2"/>
      <c r="S728" s="11"/>
      <c r="T728" s="1" t="str">
        <f>"owner=" &amp; Tokens!BS728 &amp; "&amp;filename_for_metadata=" &amp; Tokens!BT728 &amp; "&amp;offchaindata_platform=" &amp; $B$17 &amp; "&amp;keyfile=" &amp; $B$5 &amp; "&amp;network=" &amp; LOWER($B$8) &amp; "&amp;repository=" &amp; $B$18</f>
        <v>owner=thomas&amp;filename_for_metadata=InCasa_COR22D565&amp;offchaindata_platform=MongoDB&amp;keyfile=Paul&amp;network=jsonfiles&amp;repository=test</v>
      </c>
      <c r="U728" s="1" t="str">
        <f t="shared" si="23"/>
        <v>{"name":"In Casa #565",_x000D_
"symbol":"COR22D565",_x000D_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8" s="1" t="str">
        <f>formatRow(Tokens!C$2:I$2,Tokens!C728:I728)</f>
        <v>"name":"In Casa #565",_x000D_
"symbol":"COR22D565",_x000D_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8" s="1" t="str">
        <f>formatRow(Tokens!J$2:AV$2,Tokens!J728:AV728,2,"attributes")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8" s="1" t="str">
        <f>formatRow(Tokens!AX$2:BC$2,Tokens!AX728:BC728,2,"creators")</f>
        <v>"creators":[{"address":"paul",_x000D_
"share":10},{"address":"sophie",_x000D_
"share":90}]</v>
      </c>
      <c r="Y728" s="1" t="str">
        <f>formatRow(Tokens!BD$2:BI$2,Tokens!BD728:BI728,2,"files")</f>
        <v>"files":[]</v>
      </c>
      <c r="Z728" s="1"/>
      <c r="AA728" s="1"/>
      <c r="AB728" s="1"/>
      <c r="AC728" s="1" t="str">
        <f>formatRow(Tokens!BJ$2:BK$2,Tokens!BJ728:BK728,0,"collection")</f>
        <v>"collection":{"name":"In Casa",_x000D_
"family":"Calvi On The Rocks"}</v>
      </c>
    </row>
    <row r="729" spans="5:29" ht="14.25" customHeight="1" x14ac:dyDescent="0.25">
      <c r="E729" s="17" t="str">
        <f>IF(Tokens!C729="","",Tokens!C729)</f>
        <v>In Casa #566</v>
      </c>
      <c r="F729"/>
      <c r="G729"/>
      <c r="H729"/>
      <c r="I729"/>
      <c r="J729"/>
      <c r="M729"/>
      <c r="N729"/>
      <c r="O729" s="15" t="str">
        <f t="shared" si="22"/>
        <v>_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/>
      </c>
      <c r="Q729" s="2"/>
      <c r="R729" s="2"/>
      <c r="S729" s="11"/>
      <c r="T729" s="1" t="str">
        <f>"owner=" &amp; Tokens!BS729 &amp; "&amp;filename_for_metadata=" &amp; Tokens!BT729 &amp; "&amp;offchaindata_platform=" &amp; $B$17 &amp; "&amp;keyfile=" &amp; $B$5 &amp; "&amp;network=" &amp; LOWER($B$8) &amp; "&amp;repository=" &amp; $B$18</f>
        <v>owner=thomas&amp;filename_for_metadata=InCasa_COR22D566&amp;offchaindata_platform=MongoDB&amp;keyfile=Paul&amp;network=jsonfiles&amp;repository=test</v>
      </c>
      <c r="U729" s="1" t="str">
        <f t="shared" si="23"/>
        <v>{"name":"In Casa #566",_x000D_
"symbol":"COR22D566",_x000D_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29" s="1" t="str">
        <f>formatRow(Tokens!C$2:I$2,Tokens!C729:I729)</f>
        <v>"name":"In Casa #566",_x000D_
"symbol":"COR22D566",_x000D_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29" s="1" t="str">
        <f>formatRow(Tokens!J$2:AV$2,Tokens!J729:AV729,2,"attributes")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29" s="1" t="str">
        <f>formatRow(Tokens!AX$2:BC$2,Tokens!AX729:BC729,2,"creators")</f>
        <v>"creators":[{"address":"paul",_x000D_
"share":10},{"address":"sophie",_x000D_
"share":90}]</v>
      </c>
      <c r="Y729" s="1" t="str">
        <f>formatRow(Tokens!BD$2:BI$2,Tokens!BD729:BI729,2,"files")</f>
        <v>"files":[]</v>
      </c>
      <c r="Z729" s="1"/>
      <c r="AA729" s="1"/>
      <c r="AB729" s="1"/>
      <c r="AC729" s="1" t="str">
        <f>formatRow(Tokens!BJ$2:BK$2,Tokens!BJ729:BK729,0,"collection")</f>
        <v>"collection":{"name":"In Casa",_x000D_
"family":"Calvi On The Rocks"}</v>
      </c>
    </row>
    <row r="730" spans="5:29" ht="14.25" customHeight="1" x14ac:dyDescent="0.25">
      <c r="E730" s="17" t="str">
        <f>IF(Tokens!C730="","",Tokens!C730)</f>
        <v>In Casa #567</v>
      </c>
      <c r="F730"/>
      <c r="G730"/>
      <c r="H730"/>
      <c r="I730"/>
      <c r="J730"/>
      <c r="M730"/>
      <c r="N730"/>
      <c r="O730" s="15" t="str">
        <f t="shared" si="22"/>
        <v>_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/>
      </c>
      <c r="Q730" s="2"/>
      <c r="R730" s="2"/>
      <c r="S730" s="11"/>
      <c r="T730" s="1" t="str">
        <f>"owner=" &amp; Tokens!BS730 &amp; "&amp;filename_for_metadata=" &amp; Tokens!BT730 &amp; "&amp;offchaindata_platform=" &amp; $B$17 &amp; "&amp;keyfile=" &amp; $B$5 &amp; "&amp;network=" &amp; LOWER($B$8) &amp; "&amp;repository=" &amp; $B$18</f>
        <v>owner=thomas&amp;filename_for_metadata=InCasa_COR22D567&amp;offchaindata_platform=MongoDB&amp;keyfile=Paul&amp;network=jsonfiles&amp;repository=test</v>
      </c>
      <c r="U730" s="1" t="str">
        <f t="shared" si="23"/>
        <v>{"name":"In Casa #567",_x000D_
"symbol":"COR22D567",_x000D_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0" s="1" t="str">
        <f>formatRow(Tokens!C$2:I$2,Tokens!C730:I730)</f>
        <v>"name":"In Casa #567",_x000D_
"symbol":"COR22D567",_x000D_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0" s="1" t="str">
        <f>formatRow(Tokens!J$2:AV$2,Tokens!J730:AV730,2,"attributes")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0" s="1" t="str">
        <f>formatRow(Tokens!AX$2:BC$2,Tokens!AX730:BC730,2,"creators")</f>
        <v>"creators":[{"address":"paul",_x000D_
"share":10},{"address":"sophie",_x000D_
"share":90}]</v>
      </c>
      <c r="Y730" s="1" t="str">
        <f>formatRow(Tokens!BD$2:BI$2,Tokens!BD730:BI730,2,"files")</f>
        <v>"files":[]</v>
      </c>
      <c r="Z730" s="1"/>
      <c r="AA730" s="1"/>
      <c r="AB730" s="1"/>
      <c r="AC730" s="1" t="str">
        <f>formatRow(Tokens!BJ$2:BK$2,Tokens!BJ730:BK730,0,"collection")</f>
        <v>"collection":{"name":"In Casa",_x000D_
"family":"Calvi On The Rocks"}</v>
      </c>
    </row>
    <row r="731" spans="5:29" ht="14.25" customHeight="1" x14ac:dyDescent="0.25">
      <c r="E731" s="17" t="str">
        <f>IF(Tokens!C731="","",Tokens!C731)</f>
        <v>In Casa #568</v>
      </c>
      <c r="F731"/>
      <c r="G731"/>
      <c r="H731"/>
      <c r="I731"/>
      <c r="J731"/>
      <c r="M731"/>
      <c r="N731"/>
      <c r="O731" s="15" t="str">
        <f t="shared" si="22"/>
        <v>_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/>
      </c>
      <c r="Q731" s="2"/>
      <c r="R731" s="2"/>
      <c r="S731" s="11"/>
      <c r="T731" s="1" t="str">
        <f>"owner=" &amp; Tokens!BS731 &amp; "&amp;filename_for_metadata=" &amp; Tokens!BT731 &amp; "&amp;offchaindata_platform=" &amp; $B$17 &amp; "&amp;keyfile=" &amp; $B$5 &amp; "&amp;network=" &amp; LOWER($B$8) &amp; "&amp;repository=" &amp; $B$18</f>
        <v>owner=thomas&amp;filename_for_metadata=InCasa_COR22D568&amp;offchaindata_platform=MongoDB&amp;keyfile=Paul&amp;network=jsonfiles&amp;repository=test</v>
      </c>
      <c r="U731" s="1" t="str">
        <f t="shared" si="23"/>
        <v>{"name":"In Casa #568",_x000D_
"symbol":"COR22D568",_x000D_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1" s="1" t="str">
        <f>formatRow(Tokens!C$2:I$2,Tokens!C731:I731)</f>
        <v>"name":"In Casa #568",_x000D_
"symbol":"COR22D568",_x000D_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1" s="1" t="str">
        <f>formatRow(Tokens!J$2:AV$2,Tokens!J731:AV731,2,"attributes")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1" s="1" t="str">
        <f>formatRow(Tokens!AX$2:BC$2,Tokens!AX731:BC731,2,"creators")</f>
        <v>"creators":[{"address":"paul",_x000D_
"share":10},{"address":"sophie",_x000D_
"share":90}]</v>
      </c>
      <c r="Y731" s="1" t="str">
        <f>formatRow(Tokens!BD$2:BI$2,Tokens!BD731:BI731,2,"files")</f>
        <v>"files":[]</v>
      </c>
      <c r="Z731" s="1"/>
      <c r="AA731" s="1"/>
      <c r="AB731" s="1"/>
      <c r="AC731" s="1" t="str">
        <f>formatRow(Tokens!BJ$2:BK$2,Tokens!BJ731:BK731,0,"collection")</f>
        <v>"collection":{"name":"In Casa",_x000D_
"family":"Calvi On The Rocks"}</v>
      </c>
    </row>
    <row r="732" spans="5:29" ht="14.25" customHeight="1" x14ac:dyDescent="0.25">
      <c r="E732" s="17" t="str">
        <f>IF(Tokens!C732="","",Tokens!C732)</f>
        <v>In Casa #569</v>
      </c>
      <c r="F732"/>
      <c r="G732"/>
      <c r="H732"/>
      <c r="I732"/>
      <c r="J732"/>
      <c r="M732"/>
      <c r="N732"/>
      <c r="O732" s="15" t="str">
        <f t="shared" si="22"/>
        <v>_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/>
      </c>
      <c r="Q732" s="2"/>
      <c r="R732" s="2"/>
      <c r="S732" s="11"/>
      <c r="T732" s="1" t="str">
        <f>"owner=" &amp; Tokens!BS732 &amp; "&amp;filename_for_metadata=" &amp; Tokens!BT732 &amp; "&amp;offchaindata_platform=" &amp; $B$17 &amp; "&amp;keyfile=" &amp; $B$5 &amp; "&amp;network=" &amp; LOWER($B$8) &amp; "&amp;repository=" &amp; $B$18</f>
        <v>owner=thomas&amp;filename_for_metadata=InCasa_COR22D569&amp;offchaindata_platform=MongoDB&amp;keyfile=Paul&amp;network=jsonfiles&amp;repository=test</v>
      </c>
      <c r="U732" s="1" t="str">
        <f t="shared" si="23"/>
        <v>{"name":"In Casa #569",_x000D_
"symbol":"COR22D569",_x000D_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2" s="1" t="str">
        <f>formatRow(Tokens!C$2:I$2,Tokens!C732:I732)</f>
        <v>"name":"In Casa #569",_x000D_
"symbol":"COR22D569",_x000D_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2" s="1" t="str">
        <f>formatRow(Tokens!J$2:AV$2,Tokens!J732:AV732,2,"attributes")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2" s="1" t="str">
        <f>formatRow(Tokens!AX$2:BC$2,Tokens!AX732:BC732,2,"creators")</f>
        <v>"creators":[{"address":"paul",_x000D_
"share":10},{"address":"sophie",_x000D_
"share":90}]</v>
      </c>
      <c r="Y732" s="1" t="str">
        <f>formatRow(Tokens!BD$2:BI$2,Tokens!BD732:BI732,2,"files")</f>
        <v>"files":[]</v>
      </c>
      <c r="Z732" s="1"/>
      <c r="AA732" s="1"/>
      <c r="AB732" s="1"/>
      <c r="AC732" s="1" t="str">
        <f>formatRow(Tokens!BJ$2:BK$2,Tokens!BJ732:BK732,0,"collection")</f>
        <v>"collection":{"name":"In Casa",_x000D_
"family":"Calvi On The Rocks"}</v>
      </c>
    </row>
    <row r="733" spans="5:29" ht="14.25" customHeight="1" x14ac:dyDescent="0.25">
      <c r="E733" s="17" t="str">
        <f>IF(Tokens!C733="","",Tokens!C733)</f>
        <v>In Casa #570</v>
      </c>
      <c r="F733"/>
      <c r="G733"/>
      <c r="H733"/>
      <c r="I733"/>
      <c r="J733"/>
      <c r="M733"/>
      <c r="N733"/>
      <c r="O733" s="15" t="str">
        <f t="shared" si="22"/>
        <v>_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/>
      </c>
      <c r="Q733" s="2"/>
      <c r="R733" s="2"/>
      <c r="S733" s="11"/>
      <c r="T733" s="1" t="str">
        <f>"owner=" &amp; Tokens!BS733 &amp; "&amp;filename_for_metadata=" &amp; Tokens!BT733 &amp; "&amp;offchaindata_platform=" &amp; $B$17 &amp; "&amp;keyfile=" &amp; $B$5 &amp; "&amp;network=" &amp; LOWER($B$8) &amp; "&amp;repository=" &amp; $B$18</f>
        <v>owner=thomas&amp;filename_for_metadata=InCasa_COR22D570&amp;offchaindata_platform=MongoDB&amp;keyfile=Paul&amp;network=jsonfiles&amp;repository=test</v>
      </c>
      <c r="U733" s="1" t="str">
        <f t="shared" si="23"/>
        <v>{"name":"In Casa #570",_x000D_
"symbol":"COR22D570",_x000D_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3" s="1" t="str">
        <f>formatRow(Tokens!C$2:I$2,Tokens!C733:I733)</f>
        <v>"name":"In Casa #570",_x000D_
"symbol":"COR22D570",_x000D_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3" s="1" t="str">
        <f>formatRow(Tokens!J$2:AV$2,Tokens!J733:AV733,2,"attributes")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3" s="1" t="str">
        <f>formatRow(Tokens!AX$2:BC$2,Tokens!AX733:BC733,2,"creators")</f>
        <v>"creators":[{"address":"paul",_x000D_
"share":10},{"address":"sophie",_x000D_
"share":90}]</v>
      </c>
      <c r="Y733" s="1" t="str">
        <f>formatRow(Tokens!BD$2:BI$2,Tokens!BD733:BI733,2,"files")</f>
        <v>"files":[]</v>
      </c>
      <c r="Z733" s="1"/>
      <c r="AA733" s="1"/>
      <c r="AB733" s="1"/>
      <c r="AC733" s="1" t="str">
        <f>formatRow(Tokens!BJ$2:BK$2,Tokens!BJ733:BK733,0,"collection")</f>
        <v>"collection":{"name":"In Casa",_x000D_
"family":"Calvi On The Rocks"}</v>
      </c>
    </row>
    <row r="734" spans="5:29" ht="14.25" customHeight="1" x14ac:dyDescent="0.25">
      <c r="E734" s="17" t="str">
        <f>IF(Tokens!C734="","",Tokens!C734)</f>
        <v>In Casa #571</v>
      </c>
      <c r="F734"/>
      <c r="G734"/>
      <c r="H734"/>
      <c r="I734"/>
      <c r="J734"/>
      <c r="M734"/>
      <c r="N734"/>
      <c r="O734" s="15" t="str">
        <f t="shared" si="22"/>
        <v>_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/>
      </c>
      <c r="Q734" s="2"/>
      <c r="R734" s="2"/>
      <c r="S734" s="11"/>
      <c r="T734" s="1" t="str">
        <f>"owner=" &amp; Tokens!BS734 &amp; "&amp;filename_for_metadata=" &amp; Tokens!BT734 &amp; "&amp;offchaindata_platform=" &amp; $B$17 &amp; "&amp;keyfile=" &amp; $B$5 &amp; "&amp;network=" &amp; LOWER($B$8) &amp; "&amp;repository=" &amp; $B$18</f>
        <v>owner=thomas&amp;filename_for_metadata=InCasa_COR22D571&amp;offchaindata_platform=MongoDB&amp;keyfile=Paul&amp;network=jsonfiles&amp;repository=test</v>
      </c>
      <c r="U734" s="1" t="str">
        <f t="shared" si="23"/>
        <v>{"name":"In Casa #571",_x000D_
"symbol":"COR22D571",_x000D_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4" s="1" t="str">
        <f>formatRow(Tokens!C$2:I$2,Tokens!C734:I734)</f>
        <v>"name":"In Casa #571",_x000D_
"symbol":"COR22D571",_x000D_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4" s="1" t="str">
        <f>formatRow(Tokens!J$2:AV$2,Tokens!J734:AV734,2,"attributes")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4" s="1" t="str">
        <f>formatRow(Tokens!AX$2:BC$2,Tokens!AX734:BC734,2,"creators")</f>
        <v>"creators":[{"address":"paul",_x000D_
"share":10},{"address":"sophie",_x000D_
"share":90}]</v>
      </c>
      <c r="Y734" s="1" t="str">
        <f>formatRow(Tokens!BD$2:BI$2,Tokens!BD734:BI734,2,"files")</f>
        <v>"files":[]</v>
      </c>
      <c r="Z734" s="1"/>
      <c r="AA734" s="1"/>
      <c r="AB734" s="1"/>
      <c r="AC734" s="1" t="str">
        <f>formatRow(Tokens!BJ$2:BK$2,Tokens!BJ734:BK734,0,"collection")</f>
        <v>"collection":{"name":"In Casa",_x000D_
"family":"Calvi On The Rocks"}</v>
      </c>
    </row>
    <row r="735" spans="5:29" ht="14.25" customHeight="1" x14ac:dyDescent="0.25">
      <c r="E735" s="17" t="str">
        <f>IF(Tokens!C735="","",Tokens!C735)</f>
        <v>In Casa #572</v>
      </c>
      <c r="F735"/>
      <c r="G735"/>
      <c r="H735"/>
      <c r="I735"/>
      <c r="J735"/>
      <c r="M735"/>
      <c r="N735"/>
      <c r="O735" s="15" t="str">
        <f t="shared" si="22"/>
        <v>_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/>
      </c>
      <c r="Q735" s="2"/>
      <c r="R735" s="2"/>
      <c r="S735" s="11"/>
      <c r="T735" s="1" t="str">
        <f>"owner=" &amp; Tokens!BS735 &amp; "&amp;filename_for_metadata=" &amp; Tokens!BT735 &amp; "&amp;offchaindata_platform=" &amp; $B$17 &amp; "&amp;keyfile=" &amp; $B$5 &amp; "&amp;network=" &amp; LOWER($B$8) &amp; "&amp;repository=" &amp; $B$18</f>
        <v>owner=thomas&amp;filename_for_metadata=InCasa_COR22D572&amp;offchaindata_platform=MongoDB&amp;keyfile=Paul&amp;network=jsonfiles&amp;repository=test</v>
      </c>
      <c r="U735" s="1" t="str">
        <f t="shared" si="23"/>
        <v>{"name":"In Casa #572",_x000D_
"symbol":"COR22D572",_x000D_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5" s="1" t="str">
        <f>formatRow(Tokens!C$2:I$2,Tokens!C735:I735)</f>
        <v>"name":"In Casa #572",_x000D_
"symbol":"COR22D572",_x000D_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5" s="1" t="str">
        <f>formatRow(Tokens!J$2:AV$2,Tokens!J735:AV735,2,"attributes")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5" s="1" t="str">
        <f>formatRow(Tokens!AX$2:BC$2,Tokens!AX735:BC735,2,"creators")</f>
        <v>"creators":[{"address":"paul",_x000D_
"share":10},{"address":"sophie",_x000D_
"share":90}]</v>
      </c>
      <c r="Y735" s="1" t="str">
        <f>formatRow(Tokens!BD$2:BI$2,Tokens!BD735:BI735,2,"files")</f>
        <v>"files":[]</v>
      </c>
      <c r="Z735" s="1"/>
      <c r="AA735" s="1"/>
      <c r="AB735" s="1"/>
      <c r="AC735" s="1" t="str">
        <f>formatRow(Tokens!BJ$2:BK$2,Tokens!BJ735:BK735,0,"collection")</f>
        <v>"collection":{"name":"In Casa",_x000D_
"family":"Calvi On The Rocks"}</v>
      </c>
    </row>
    <row r="736" spans="5:29" ht="14.25" customHeight="1" x14ac:dyDescent="0.25">
      <c r="E736" s="17" t="str">
        <f>IF(Tokens!C736="","",Tokens!C736)</f>
        <v>In Casa #573</v>
      </c>
      <c r="F736"/>
      <c r="G736"/>
      <c r="H736"/>
      <c r="I736"/>
      <c r="J736"/>
      <c r="M736"/>
      <c r="N736"/>
      <c r="O736" s="15" t="str">
        <f t="shared" si="22"/>
        <v>_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/>
      </c>
      <c r="Q736" s="2"/>
      <c r="R736" s="2"/>
      <c r="S736" s="11"/>
      <c r="T736" s="1" t="str">
        <f>"owner=" &amp; Tokens!BS736 &amp; "&amp;filename_for_metadata=" &amp; Tokens!BT736 &amp; "&amp;offchaindata_platform=" &amp; $B$17 &amp; "&amp;keyfile=" &amp; $B$5 &amp; "&amp;network=" &amp; LOWER($B$8) &amp; "&amp;repository=" &amp; $B$18</f>
        <v>owner=thomas&amp;filename_for_metadata=InCasa_COR22D573&amp;offchaindata_platform=MongoDB&amp;keyfile=Paul&amp;network=jsonfiles&amp;repository=test</v>
      </c>
      <c r="U736" s="1" t="str">
        <f t="shared" si="23"/>
        <v>{"name":"In Casa #573",_x000D_
"symbol":"COR22D573",_x000D_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6" s="1" t="str">
        <f>formatRow(Tokens!C$2:I$2,Tokens!C736:I736)</f>
        <v>"name":"In Casa #573",_x000D_
"symbol":"COR22D573",_x000D_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6" s="1" t="str">
        <f>formatRow(Tokens!J$2:AV$2,Tokens!J736:AV736,2,"attributes")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6" s="1" t="str">
        <f>formatRow(Tokens!AX$2:BC$2,Tokens!AX736:BC736,2,"creators")</f>
        <v>"creators":[{"address":"paul",_x000D_
"share":10},{"address":"sophie",_x000D_
"share":90}]</v>
      </c>
      <c r="Y736" s="1" t="str">
        <f>formatRow(Tokens!BD$2:BI$2,Tokens!BD736:BI736,2,"files")</f>
        <v>"files":[]</v>
      </c>
      <c r="Z736" s="1"/>
      <c r="AA736" s="1"/>
      <c r="AB736" s="1"/>
      <c r="AC736" s="1" t="str">
        <f>formatRow(Tokens!BJ$2:BK$2,Tokens!BJ736:BK736,0,"collection")</f>
        <v>"collection":{"name":"In Casa",_x000D_
"family":"Calvi On The Rocks"}</v>
      </c>
    </row>
    <row r="737" spans="5:29" ht="14.25" customHeight="1" x14ac:dyDescent="0.25">
      <c r="E737" s="17" t="str">
        <f>IF(Tokens!C737="","",Tokens!C737)</f>
        <v>In Casa #574</v>
      </c>
      <c r="F737"/>
      <c r="G737"/>
      <c r="H737"/>
      <c r="I737"/>
      <c r="J737"/>
      <c r="M737"/>
      <c r="N737"/>
      <c r="O737" s="15" t="str">
        <f t="shared" si="22"/>
        <v>_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/>
      </c>
      <c r="Q737" s="2"/>
      <c r="R737" s="2"/>
      <c r="S737" s="11"/>
      <c r="T737" s="1" t="str">
        <f>"owner=" &amp; Tokens!BS737 &amp; "&amp;filename_for_metadata=" &amp; Tokens!BT737 &amp; "&amp;offchaindata_platform=" &amp; $B$17 &amp; "&amp;keyfile=" &amp; $B$5 &amp; "&amp;network=" &amp; LOWER($B$8) &amp; "&amp;repository=" &amp; $B$18</f>
        <v>owner=thomas&amp;filename_for_metadata=InCasa_COR22D574&amp;offchaindata_platform=MongoDB&amp;keyfile=Paul&amp;network=jsonfiles&amp;repository=test</v>
      </c>
      <c r="U737" s="1" t="str">
        <f t="shared" si="23"/>
        <v>{"name":"In Casa #574",_x000D_
"symbol":"COR22D574",_x000D_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7" s="1" t="str">
        <f>formatRow(Tokens!C$2:I$2,Tokens!C737:I737)</f>
        <v>"name":"In Casa #574",_x000D_
"symbol":"COR22D574",_x000D_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7" s="1" t="str">
        <f>formatRow(Tokens!J$2:AV$2,Tokens!J737:AV737,2,"attributes")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7" s="1" t="str">
        <f>formatRow(Tokens!AX$2:BC$2,Tokens!AX737:BC737,2,"creators")</f>
        <v>"creators":[{"address":"paul",_x000D_
"share":10},{"address":"sophie",_x000D_
"share":90}]</v>
      </c>
      <c r="Y737" s="1" t="str">
        <f>formatRow(Tokens!BD$2:BI$2,Tokens!BD737:BI737,2,"files")</f>
        <v>"files":[]</v>
      </c>
      <c r="Z737" s="1"/>
      <c r="AA737" s="1"/>
      <c r="AB737" s="1"/>
      <c r="AC737" s="1" t="str">
        <f>formatRow(Tokens!BJ$2:BK$2,Tokens!BJ737:BK737,0,"collection")</f>
        <v>"collection":{"name":"In Casa",_x000D_
"family":"Calvi On The Rocks"}</v>
      </c>
    </row>
    <row r="738" spans="5:29" ht="14.25" customHeight="1" x14ac:dyDescent="0.25">
      <c r="E738" s="17" t="str">
        <f>IF(Tokens!C738="","",Tokens!C738)</f>
        <v>In Casa #575</v>
      </c>
      <c r="F738"/>
      <c r="G738"/>
      <c r="H738"/>
      <c r="I738"/>
      <c r="J738"/>
      <c r="M738"/>
      <c r="N738"/>
      <c r="O738" s="15" t="str">
        <f t="shared" si="22"/>
        <v>_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/>
      </c>
      <c r="Q738" s="2"/>
      <c r="R738" s="2"/>
      <c r="S738" s="11"/>
      <c r="T738" s="1" t="str">
        <f>"owner=" &amp; Tokens!BS738 &amp; "&amp;filename_for_metadata=" &amp; Tokens!BT738 &amp; "&amp;offchaindata_platform=" &amp; $B$17 &amp; "&amp;keyfile=" &amp; $B$5 &amp; "&amp;network=" &amp; LOWER($B$8) &amp; "&amp;repository=" &amp; $B$18</f>
        <v>owner=thomas&amp;filename_for_metadata=InCasa_COR22D575&amp;offchaindata_platform=MongoDB&amp;keyfile=Paul&amp;network=jsonfiles&amp;repository=test</v>
      </c>
      <c r="U738" s="1" t="str">
        <f t="shared" si="23"/>
        <v>{"name":"In Casa #575",_x000D_
"symbol":"COR22D575",_x000D_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8" s="1" t="str">
        <f>formatRow(Tokens!C$2:I$2,Tokens!C738:I738)</f>
        <v>"name":"In Casa #575",_x000D_
"symbol":"COR22D575",_x000D_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8" s="1" t="str">
        <f>formatRow(Tokens!J$2:AV$2,Tokens!J738:AV738,2,"attributes")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8" s="1" t="str">
        <f>formatRow(Tokens!AX$2:BC$2,Tokens!AX738:BC738,2,"creators")</f>
        <v>"creators":[{"address":"paul",_x000D_
"share":10},{"address":"sophie",_x000D_
"share":90}]</v>
      </c>
      <c r="Y738" s="1" t="str">
        <f>formatRow(Tokens!BD$2:BI$2,Tokens!BD738:BI738,2,"files")</f>
        <v>"files":[]</v>
      </c>
      <c r="Z738" s="1"/>
      <c r="AA738" s="1"/>
      <c r="AB738" s="1"/>
      <c r="AC738" s="1" t="str">
        <f>formatRow(Tokens!BJ$2:BK$2,Tokens!BJ738:BK738,0,"collection")</f>
        <v>"collection":{"name":"In Casa",_x000D_
"family":"Calvi On The Rocks"}</v>
      </c>
    </row>
    <row r="739" spans="5:29" ht="14.25" customHeight="1" x14ac:dyDescent="0.25">
      <c r="E739" s="17" t="str">
        <f>IF(Tokens!C739="","",Tokens!C739)</f>
        <v>In Casa #576</v>
      </c>
      <c r="F739"/>
      <c r="G739"/>
      <c r="H739"/>
      <c r="I739"/>
      <c r="J739"/>
      <c r="M739"/>
      <c r="N739"/>
      <c r="O739" s="15" t="str">
        <f t="shared" si="22"/>
        <v>_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/>
      </c>
      <c r="Q739" s="2"/>
      <c r="R739" s="2"/>
      <c r="S739" s="11"/>
      <c r="T739" s="1" t="str">
        <f>"owner=" &amp; Tokens!BS739 &amp; "&amp;filename_for_metadata=" &amp; Tokens!BT739 &amp; "&amp;offchaindata_platform=" &amp; $B$17 &amp; "&amp;keyfile=" &amp; $B$5 &amp; "&amp;network=" &amp; LOWER($B$8) &amp; "&amp;repository=" &amp; $B$18</f>
        <v>owner=thomas&amp;filename_for_metadata=InCasa_COR22D576&amp;offchaindata_platform=MongoDB&amp;keyfile=Paul&amp;network=jsonfiles&amp;repository=test</v>
      </c>
      <c r="U739" s="1" t="str">
        <f t="shared" si="23"/>
        <v>{"name":"In Casa #576",_x000D_
"symbol":"COR22D576",_x000D_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39" s="1" t="str">
        <f>formatRow(Tokens!C$2:I$2,Tokens!C739:I739)</f>
        <v>"name":"In Casa #576",_x000D_
"symbol":"COR22D576",_x000D_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39" s="1" t="str">
        <f>formatRow(Tokens!J$2:AV$2,Tokens!J739:AV739,2,"attributes")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39" s="1" t="str">
        <f>formatRow(Tokens!AX$2:BC$2,Tokens!AX739:BC739,2,"creators")</f>
        <v>"creators":[{"address":"paul",_x000D_
"share":10},{"address":"sophie",_x000D_
"share":90}]</v>
      </c>
      <c r="Y739" s="1" t="str">
        <f>formatRow(Tokens!BD$2:BI$2,Tokens!BD739:BI739,2,"files")</f>
        <v>"files":[]</v>
      </c>
      <c r="Z739" s="1"/>
      <c r="AA739" s="1"/>
      <c r="AB739" s="1"/>
      <c r="AC739" s="1" t="str">
        <f>formatRow(Tokens!BJ$2:BK$2,Tokens!BJ739:BK739,0,"collection")</f>
        <v>"collection":{"name":"In Casa",_x000D_
"family":"Calvi On The Rocks"}</v>
      </c>
    </row>
    <row r="740" spans="5:29" ht="14.25" customHeight="1" x14ac:dyDescent="0.25">
      <c r="E740" s="17" t="str">
        <f>IF(Tokens!C740="","",Tokens!C740)</f>
        <v>In Casa #577</v>
      </c>
      <c r="F740"/>
      <c r="G740"/>
      <c r="H740"/>
      <c r="I740"/>
      <c r="J740"/>
      <c r="M740"/>
      <c r="N740"/>
      <c r="O740" s="15" t="str">
        <f t="shared" si="22"/>
        <v>_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/>
      </c>
      <c r="Q740" s="2"/>
      <c r="R740" s="2"/>
      <c r="S740" s="11"/>
      <c r="T740" s="1" t="str">
        <f>"owner=" &amp; Tokens!BS740 &amp; "&amp;filename_for_metadata=" &amp; Tokens!BT740 &amp; "&amp;offchaindata_platform=" &amp; $B$17 &amp; "&amp;keyfile=" &amp; $B$5 &amp; "&amp;network=" &amp; LOWER($B$8) &amp; "&amp;repository=" &amp; $B$18</f>
        <v>owner=thomas&amp;filename_for_metadata=InCasa_COR22D577&amp;offchaindata_platform=MongoDB&amp;keyfile=Paul&amp;network=jsonfiles&amp;repository=test</v>
      </c>
      <c r="U740" s="1" t="str">
        <f t="shared" si="23"/>
        <v>{"name":"In Casa #577",_x000D_
"symbol":"COR22D577",_x000D_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0" s="1" t="str">
        <f>formatRow(Tokens!C$2:I$2,Tokens!C740:I740)</f>
        <v>"name":"In Casa #577",_x000D_
"symbol":"COR22D577",_x000D_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0" s="1" t="str">
        <f>formatRow(Tokens!J$2:AV$2,Tokens!J740:AV740,2,"attributes")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0" s="1" t="str">
        <f>formatRow(Tokens!AX$2:BC$2,Tokens!AX740:BC740,2,"creators")</f>
        <v>"creators":[{"address":"paul",_x000D_
"share":10},{"address":"sophie",_x000D_
"share":90}]</v>
      </c>
      <c r="Y740" s="1" t="str">
        <f>formatRow(Tokens!BD$2:BI$2,Tokens!BD740:BI740,2,"files")</f>
        <v>"files":[]</v>
      </c>
      <c r="Z740" s="1"/>
      <c r="AA740" s="1"/>
      <c r="AB740" s="1"/>
      <c r="AC740" s="1" t="str">
        <f>formatRow(Tokens!BJ$2:BK$2,Tokens!BJ740:BK740,0,"collection")</f>
        <v>"collection":{"name":"In Casa",_x000D_
"family":"Calvi On The Rocks"}</v>
      </c>
    </row>
    <row r="741" spans="5:29" ht="14.25" customHeight="1" x14ac:dyDescent="0.25">
      <c r="E741" s="17" t="str">
        <f>IF(Tokens!C741="","",Tokens!C741)</f>
        <v>In Casa #578</v>
      </c>
      <c r="F741"/>
      <c r="G741"/>
      <c r="H741"/>
      <c r="I741"/>
      <c r="J741"/>
      <c r="M741"/>
      <c r="N741"/>
      <c r="O741" s="15" t="str">
        <f t="shared" si="22"/>
        <v>_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/>
      </c>
      <c r="Q741" s="2"/>
      <c r="R741" s="2"/>
      <c r="S741" s="11"/>
      <c r="T741" s="1" t="str">
        <f>"owner=" &amp; Tokens!BS741 &amp; "&amp;filename_for_metadata=" &amp; Tokens!BT741 &amp; "&amp;offchaindata_platform=" &amp; $B$17 &amp; "&amp;keyfile=" &amp; $B$5 &amp; "&amp;network=" &amp; LOWER($B$8) &amp; "&amp;repository=" &amp; $B$18</f>
        <v>owner=thomas&amp;filename_for_metadata=InCasa_COR22D578&amp;offchaindata_platform=MongoDB&amp;keyfile=Paul&amp;network=jsonfiles&amp;repository=test</v>
      </c>
      <c r="U741" s="1" t="str">
        <f t="shared" si="23"/>
        <v>{"name":"In Casa #578",_x000D_
"symbol":"COR22D578",_x000D_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1" s="1" t="str">
        <f>formatRow(Tokens!C$2:I$2,Tokens!C741:I741)</f>
        <v>"name":"In Casa #578",_x000D_
"symbol":"COR22D578",_x000D_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1" s="1" t="str">
        <f>formatRow(Tokens!J$2:AV$2,Tokens!J741:AV741,2,"attributes")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1" s="1" t="str">
        <f>formatRow(Tokens!AX$2:BC$2,Tokens!AX741:BC741,2,"creators")</f>
        <v>"creators":[{"address":"paul",_x000D_
"share":10},{"address":"sophie",_x000D_
"share":90}]</v>
      </c>
      <c r="Y741" s="1" t="str">
        <f>formatRow(Tokens!BD$2:BI$2,Tokens!BD741:BI741,2,"files")</f>
        <v>"files":[]</v>
      </c>
      <c r="Z741" s="1"/>
      <c r="AA741" s="1"/>
      <c r="AB741" s="1"/>
      <c r="AC741" s="1" t="str">
        <f>formatRow(Tokens!BJ$2:BK$2,Tokens!BJ741:BK741,0,"collection")</f>
        <v>"collection":{"name":"In Casa",_x000D_
"family":"Calvi On The Rocks"}</v>
      </c>
    </row>
    <row r="742" spans="5:29" ht="14.25" customHeight="1" x14ac:dyDescent="0.25">
      <c r="E742" s="17" t="str">
        <f>IF(Tokens!C742="","",Tokens!C742)</f>
        <v>In Casa #579</v>
      </c>
      <c r="F742"/>
      <c r="G742"/>
      <c r="H742"/>
      <c r="I742"/>
      <c r="J742"/>
      <c r="M742"/>
      <c r="N742"/>
      <c r="O742" s="15" t="str">
        <f t="shared" si="22"/>
        <v>_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/>
      </c>
      <c r="Q742" s="2"/>
      <c r="R742" s="2"/>
      <c r="S742" s="11"/>
      <c r="T742" s="1" t="str">
        <f>"owner=" &amp; Tokens!BS742 &amp; "&amp;filename_for_metadata=" &amp; Tokens!BT742 &amp; "&amp;offchaindata_platform=" &amp; $B$17 &amp; "&amp;keyfile=" &amp; $B$5 &amp; "&amp;network=" &amp; LOWER($B$8) &amp; "&amp;repository=" &amp; $B$18</f>
        <v>owner=thomas&amp;filename_for_metadata=InCasa_COR22D579&amp;offchaindata_platform=MongoDB&amp;keyfile=Paul&amp;network=jsonfiles&amp;repository=test</v>
      </c>
      <c r="U742" s="1" t="str">
        <f t="shared" si="23"/>
        <v>{"name":"In Casa #579",_x000D_
"symbol":"COR22D579",_x000D_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2" s="1" t="str">
        <f>formatRow(Tokens!C$2:I$2,Tokens!C742:I742)</f>
        <v>"name":"In Casa #579",_x000D_
"symbol":"COR22D579",_x000D_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2" s="1" t="str">
        <f>formatRow(Tokens!J$2:AV$2,Tokens!J742:AV742,2,"attributes")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2" s="1" t="str">
        <f>formatRow(Tokens!AX$2:BC$2,Tokens!AX742:BC742,2,"creators")</f>
        <v>"creators":[{"address":"paul",_x000D_
"share":10},{"address":"sophie",_x000D_
"share":90}]</v>
      </c>
      <c r="Y742" s="1" t="str">
        <f>formatRow(Tokens!BD$2:BI$2,Tokens!BD742:BI742,2,"files")</f>
        <v>"files":[]</v>
      </c>
      <c r="Z742" s="1"/>
      <c r="AA742" s="1"/>
      <c r="AB742" s="1"/>
      <c r="AC742" s="1" t="str">
        <f>formatRow(Tokens!BJ$2:BK$2,Tokens!BJ742:BK742,0,"collection")</f>
        <v>"collection":{"name":"In Casa",_x000D_
"family":"Calvi On The Rocks"}</v>
      </c>
    </row>
    <row r="743" spans="5:29" ht="14.25" customHeight="1" x14ac:dyDescent="0.25">
      <c r="E743" s="17" t="str">
        <f>IF(Tokens!C743="","",Tokens!C743)</f>
        <v>In Casa #580</v>
      </c>
      <c r="F743"/>
      <c r="G743"/>
      <c r="H743"/>
      <c r="I743"/>
      <c r="J743"/>
      <c r="M743"/>
      <c r="N743"/>
      <c r="O743" s="15" t="str">
        <f t="shared" si="22"/>
        <v>_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/>
      </c>
      <c r="Q743" s="2"/>
      <c r="R743" s="2"/>
      <c r="S743" s="11"/>
      <c r="T743" s="1" t="str">
        <f>"owner=" &amp; Tokens!BS743 &amp; "&amp;filename_for_metadata=" &amp; Tokens!BT743 &amp; "&amp;offchaindata_platform=" &amp; $B$17 &amp; "&amp;keyfile=" &amp; $B$5 &amp; "&amp;network=" &amp; LOWER($B$8) &amp; "&amp;repository=" &amp; $B$18</f>
        <v>owner=thomas&amp;filename_for_metadata=InCasa_COR22D580&amp;offchaindata_platform=MongoDB&amp;keyfile=Paul&amp;network=jsonfiles&amp;repository=test</v>
      </c>
      <c r="U743" s="1" t="str">
        <f t="shared" si="23"/>
        <v>{"name":"In Casa #580",_x000D_
"symbol":"COR22D580",_x000D_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3" s="1" t="str">
        <f>formatRow(Tokens!C$2:I$2,Tokens!C743:I743)</f>
        <v>"name":"In Casa #580",_x000D_
"symbol":"COR22D580",_x000D_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3" s="1" t="str">
        <f>formatRow(Tokens!J$2:AV$2,Tokens!J743:AV743,2,"attributes")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3" s="1" t="str">
        <f>formatRow(Tokens!AX$2:BC$2,Tokens!AX743:BC743,2,"creators")</f>
        <v>"creators":[{"address":"paul",_x000D_
"share":10},{"address":"sophie",_x000D_
"share":90}]</v>
      </c>
      <c r="Y743" s="1" t="str">
        <f>formatRow(Tokens!BD$2:BI$2,Tokens!BD743:BI743,2,"files")</f>
        <v>"files":[]</v>
      </c>
      <c r="Z743" s="1"/>
      <c r="AA743" s="1"/>
      <c r="AB743" s="1"/>
      <c r="AC743" s="1" t="str">
        <f>formatRow(Tokens!BJ$2:BK$2,Tokens!BJ743:BK743,0,"collection")</f>
        <v>"collection":{"name":"In Casa",_x000D_
"family":"Calvi On The Rocks"}</v>
      </c>
    </row>
    <row r="744" spans="5:29" ht="14.25" customHeight="1" x14ac:dyDescent="0.25">
      <c r="E744" s="17" t="str">
        <f>IF(Tokens!C744="","",Tokens!C744)</f>
        <v>In Casa #581</v>
      </c>
      <c r="F744"/>
      <c r="G744"/>
      <c r="H744"/>
      <c r="I744"/>
      <c r="J744"/>
      <c r="M744"/>
      <c r="N744"/>
      <c r="O744" s="15" t="str">
        <f t="shared" si="22"/>
        <v>_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/>
      </c>
      <c r="Q744" s="2"/>
      <c r="R744" s="2"/>
      <c r="S744" s="11"/>
      <c r="T744" s="1" t="str">
        <f>"owner=" &amp; Tokens!BS744 &amp; "&amp;filename_for_metadata=" &amp; Tokens!BT744 &amp; "&amp;offchaindata_platform=" &amp; $B$17 &amp; "&amp;keyfile=" &amp; $B$5 &amp; "&amp;network=" &amp; LOWER($B$8) &amp; "&amp;repository=" &amp; $B$18</f>
        <v>owner=thomas&amp;filename_for_metadata=InCasa_COR22D581&amp;offchaindata_platform=MongoDB&amp;keyfile=Paul&amp;network=jsonfiles&amp;repository=test</v>
      </c>
      <c r="U744" s="1" t="str">
        <f t="shared" si="23"/>
        <v>{"name":"In Casa #581",_x000D_
"symbol":"COR22D581",_x000D_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4" s="1" t="str">
        <f>formatRow(Tokens!C$2:I$2,Tokens!C744:I744)</f>
        <v>"name":"In Casa #581",_x000D_
"symbol":"COR22D581",_x000D_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4" s="1" t="str">
        <f>formatRow(Tokens!J$2:AV$2,Tokens!J744:AV744,2,"attributes")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4" s="1" t="str">
        <f>formatRow(Tokens!AX$2:BC$2,Tokens!AX744:BC744,2,"creators")</f>
        <v>"creators":[{"address":"paul",_x000D_
"share":10},{"address":"sophie",_x000D_
"share":90}]</v>
      </c>
      <c r="Y744" s="1" t="str">
        <f>formatRow(Tokens!BD$2:BI$2,Tokens!BD744:BI744,2,"files")</f>
        <v>"files":[]</v>
      </c>
      <c r="Z744" s="1"/>
      <c r="AA744" s="1"/>
      <c r="AB744" s="1"/>
      <c r="AC744" s="1" t="str">
        <f>formatRow(Tokens!BJ$2:BK$2,Tokens!BJ744:BK744,0,"collection")</f>
        <v>"collection":{"name":"In Casa",_x000D_
"family":"Calvi On The Rocks"}</v>
      </c>
    </row>
    <row r="745" spans="5:29" ht="14.25" customHeight="1" x14ac:dyDescent="0.25">
      <c r="E745" s="17" t="str">
        <f>IF(Tokens!C745="","",Tokens!C745)</f>
        <v>In Casa #582</v>
      </c>
      <c r="F745"/>
      <c r="G745"/>
      <c r="H745"/>
      <c r="I745"/>
      <c r="J745"/>
      <c r="M745"/>
      <c r="N745"/>
      <c r="O745" s="15" t="str">
        <f t="shared" si="22"/>
        <v>_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/>
      </c>
      <c r="Q745" s="2"/>
      <c r="R745" s="2"/>
      <c r="S745" s="11"/>
      <c r="T745" s="1" t="str">
        <f>"owner=" &amp; Tokens!BS745 &amp; "&amp;filename_for_metadata=" &amp; Tokens!BT745 &amp; "&amp;offchaindata_platform=" &amp; $B$17 &amp; "&amp;keyfile=" &amp; $B$5 &amp; "&amp;network=" &amp; LOWER($B$8) &amp; "&amp;repository=" &amp; $B$18</f>
        <v>owner=thomas&amp;filename_for_metadata=InCasa_COR22D582&amp;offchaindata_platform=MongoDB&amp;keyfile=Paul&amp;network=jsonfiles&amp;repository=test</v>
      </c>
      <c r="U745" s="1" t="str">
        <f t="shared" si="23"/>
        <v>{"name":"In Casa #582",_x000D_
"symbol":"COR22D582",_x000D_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5" s="1" t="str">
        <f>formatRow(Tokens!C$2:I$2,Tokens!C745:I745)</f>
        <v>"name":"In Casa #582",_x000D_
"symbol":"COR22D582",_x000D_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5" s="1" t="str">
        <f>formatRow(Tokens!J$2:AV$2,Tokens!J745:AV745,2,"attributes")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5" s="1" t="str">
        <f>formatRow(Tokens!AX$2:BC$2,Tokens!AX745:BC745,2,"creators")</f>
        <v>"creators":[{"address":"paul",_x000D_
"share":10},{"address":"sophie",_x000D_
"share":90}]</v>
      </c>
      <c r="Y745" s="1" t="str">
        <f>formatRow(Tokens!BD$2:BI$2,Tokens!BD745:BI745,2,"files")</f>
        <v>"files":[]</v>
      </c>
      <c r="Z745" s="1"/>
      <c r="AA745" s="1"/>
      <c r="AB745" s="1"/>
      <c r="AC745" s="1" t="str">
        <f>formatRow(Tokens!BJ$2:BK$2,Tokens!BJ745:BK745,0,"collection")</f>
        <v>"collection":{"name":"In Casa",_x000D_
"family":"Calvi On The Rocks"}</v>
      </c>
    </row>
    <row r="746" spans="5:29" ht="14.25" customHeight="1" x14ac:dyDescent="0.25">
      <c r="E746" s="17" t="str">
        <f>IF(Tokens!C746="","",Tokens!C746)</f>
        <v>In Casa #583</v>
      </c>
      <c r="F746"/>
      <c r="G746"/>
      <c r="H746"/>
      <c r="I746"/>
      <c r="J746"/>
      <c r="M746"/>
      <c r="N746"/>
      <c r="O746" s="15" t="str">
        <f t="shared" si="22"/>
        <v>_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/>
      </c>
      <c r="Q746" s="2"/>
      <c r="R746" s="2"/>
      <c r="S746" s="11"/>
      <c r="T746" s="1" t="str">
        <f>"owner=" &amp; Tokens!BS746 &amp; "&amp;filename_for_metadata=" &amp; Tokens!BT746 &amp; "&amp;offchaindata_platform=" &amp; $B$17 &amp; "&amp;keyfile=" &amp; $B$5 &amp; "&amp;network=" &amp; LOWER($B$8) &amp; "&amp;repository=" &amp; $B$18</f>
        <v>owner=thomas&amp;filename_for_metadata=InCasa_COR22D583&amp;offchaindata_platform=MongoDB&amp;keyfile=Paul&amp;network=jsonfiles&amp;repository=test</v>
      </c>
      <c r="U746" s="1" t="str">
        <f t="shared" si="23"/>
        <v>{"name":"In Casa #583",_x000D_
"symbol":"COR22D583",_x000D_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6" s="1" t="str">
        <f>formatRow(Tokens!C$2:I$2,Tokens!C746:I746)</f>
        <v>"name":"In Casa #583",_x000D_
"symbol":"COR22D583",_x000D_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6" s="1" t="str">
        <f>formatRow(Tokens!J$2:AV$2,Tokens!J746:AV746,2,"attributes")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6" s="1" t="str">
        <f>formatRow(Tokens!AX$2:BC$2,Tokens!AX746:BC746,2,"creators")</f>
        <v>"creators":[{"address":"paul",_x000D_
"share":10},{"address":"sophie",_x000D_
"share":90}]</v>
      </c>
      <c r="Y746" s="1" t="str">
        <f>formatRow(Tokens!BD$2:BI$2,Tokens!BD746:BI746,2,"files")</f>
        <v>"files":[]</v>
      </c>
      <c r="Z746" s="1"/>
      <c r="AA746" s="1"/>
      <c r="AB746" s="1"/>
      <c r="AC746" s="1" t="str">
        <f>formatRow(Tokens!BJ$2:BK$2,Tokens!BJ746:BK746,0,"collection")</f>
        <v>"collection":{"name":"In Casa",_x000D_
"family":"Calvi On The Rocks"}</v>
      </c>
    </row>
    <row r="747" spans="5:29" ht="14.25" customHeight="1" x14ac:dyDescent="0.25">
      <c r="E747" s="17" t="str">
        <f>IF(Tokens!C747="","",Tokens!C747)</f>
        <v>In Casa #584</v>
      </c>
      <c r="F747"/>
      <c r="G747"/>
      <c r="H747"/>
      <c r="I747"/>
      <c r="J747"/>
      <c r="M747"/>
      <c r="N747"/>
      <c r="O747" s="15" t="str">
        <f t="shared" si="22"/>
        <v>_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1" t="str">
        <f>"owner=" &amp; Tokens!BS747 &amp; "&amp;filename_for_metadata=" &amp; Tokens!BT747 &amp; "&amp;offchaindata_platform=" &amp; $B$17 &amp; "&amp;keyfile=" &amp; $B$5 &amp; "&amp;network=" &amp; LOWER($B$8) &amp; "&amp;repository=" &amp; $B$18</f>
        <v>owner=thomas&amp;filename_for_metadata=InCasa_COR22D584&amp;offchaindata_platform=MongoDB&amp;keyfile=Paul&amp;network=jsonfiles&amp;repository=test</v>
      </c>
      <c r="U747" s="1" t="str">
        <f t="shared" si="23"/>
        <v>{"name":"In Casa #584",_x000D_
"symbol":"COR22D584",_x000D_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7" s="1" t="str">
        <f>formatRow(Tokens!C$2:I$2,Tokens!C747:I747)</f>
        <v>"name":"In Casa #584",_x000D_
"symbol":"COR22D584",_x000D_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7" s="1" t="str">
        <f>formatRow(Tokens!J$2:AV$2,Tokens!J747:AV747,2,"attributes")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7" s="1" t="str">
        <f>formatRow(Tokens!AX$2:BC$2,Tokens!AX747:BC747,2,"creators")</f>
        <v>"creators":[{"address":"paul",_x000D_
"share":10},{"address":"sophie",_x000D_
"share":90}]</v>
      </c>
      <c r="Y747" s="1" t="str">
        <f>formatRow(Tokens!BD$2:BI$2,Tokens!BD747:BI747,2,"files")</f>
        <v>"files":[]</v>
      </c>
      <c r="Z747" s="1"/>
      <c r="AA747" s="1"/>
      <c r="AB747" s="1"/>
      <c r="AC747" s="1" t="str">
        <f>formatRow(Tokens!BJ$2:BK$2,Tokens!BJ747:BK747,0,"collection")</f>
        <v>"collection":{"name":"In Casa",_x000D_
"family":"Calvi On The Rocks"}</v>
      </c>
    </row>
    <row r="748" spans="5:29" ht="14.25" customHeight="1" x14ac:dyDescent="0.25">
      <c r="E748" s="17" t="str">
        <f>IF(Tokens!C748="","",Tokens!C748)</f>
        <v>In Casa #585</v>
      </c>
      <c r="F748"/>
      <c r="G748"/>
      <c r="H748"/>
      <c r="I748"/>
      <c r="J748"/>
      <c r="M748"/>
      <c r="N748"/>
      <c r="O748" s="15" t="str">
        <f t="shared" si="22"/>
        <v>_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1" t="str">
        <f>"owner=" &amp; Tokens!BS748 &amp; "&amp;filename_for_metadata=" &amp; Tokens!BT748 &amp; "&amp;offchaindata_platform=" &amp; $B$17 &amp; "&amp;keyfile=" &amp; $B$5 &amp; "&amp;network=" &amp; LOWER($B$8) &amp; "&amp;repository=" &amp; $B$18</f>
        <v>owner=thomas&amp;filename_for_metadata=InCasa_COR22D585&amp;offchaindata_platform=MongoDB&amp;keyfile=Paul&amp;network=jsonfiles&amp;repository=test</v>
      </c>
      <c r="U748" s="1" t="str">
        <f t="shared" si="23"/>
        <v>{"name":"In Casa #585",_x000D_
"symbol":"COR22D585",_x000D_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8" s="1" t="str">
        <f>formatRow(Tokens!C$2:I$2,Tokens!C748:I748)</f>
        <v>"name":"In Casa #585",_x000D_
"symbol":"COR22D585",_x000D_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8" s="1" t="str">
        <f>formatRow(Tokens!J$2:AV$2,Tokens!J748:AV748,2,"attributes")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8" s="1" t="str">
        <f>formatRow(Tokens!AX$2:BC$2,Tokens!AX748:BC748,2,"creators")</f>
        <v>"creators":[{"address":"paul",_x000D_
"share":10},{"address":"sophie",_x000D_
"share":90}]</v>
      </c>
      <c r="Y748" s="1" t="str">
        <f>formatRow(Tokens!BD$2:BI$2,Tokens!BD748:BI748,2,"files")</f>
        <v>"files":[]</v>
      </c>
      <c r="Z748" s="1"/>
      <c r="AA748" s="1"/>
      <c r="AB748" s="1"/>
      <c r="AC748" s="1" t="str">
        <f>formatRow(Tokens!BJ$2:BK$2,Tokens!BJ748:BK748,0,"collection")</f>
        <v>"collection":{"name":"In Casa",_x000D_
"family":"Calvi On The Rocks"}</v>
      </c>
    </row>
    <row r="749" spans="5:29" ht="14.25" customHeight="1" x14ac:dyDescent="0.25">
      <c r="E749" s="17" t="str">
        <f>IF(Tokens!C749="","",Tokens!C749)</f>
        <v>In Casa #586</v>
      </c>
      <c r="F749"/>
      <c r="G749"/>
      <c r="H749"/>
      <c r="I749"/>
      <c r="J749"/>
      <c r="M749"/>
      <c r="N749"/>
      <c r="O749" s="15" t="str">
        <f t="shared" si="22"/>
        <v>_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1" t="str">
        <f>"owner=" &amp; Tokens!BS749 &amp; "&amp;filename_for_metadata=" &amp; Tokens!BT749 &amp; "&amp;offchaindata_platform=" &amp; $B$17 &amp; "&amp;keyfile=" &amp; $B$5 &amp; "&amp;network=" &amp; LOWER($B$8) &amp; "&amp;repository=" &amp; $B$18</f>
        <v>owner=thomas&amp;filename_for_metadata=InCasa_COR22D586&amp;offchaindata_platform=MongoDB&amp;keyfile=Paul&amp;network=jsonfiles&amp;repository=test</v>
      </c>
      <c r="U749" s="1" t="str">
        <f t="shared" si="23"/>
        <v>{"name":"In Casa #586",_x000D_
"symbol":"COR22D586",_x000D_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49" s="1" t="str">
        <f>formatRow(Tokens!C$2:I$2,Tokens!C749:I749)</f>
        <v>"name":"In Casa #586",_x000D_
"symbol":"COR22D586",_x000D_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49" s="1" t="str">
        <f>formatRow(Tokens!J$2:AV$2,Tokens!J749:AV749,2,"attributes")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49" s="1" t="str">
        <f>formatRow(Tokens!AX$2:BC$2,Tokens!AX749:BC749,2,"creators")</f>
        <v>"creators":[{"address":"paul",_x000D_
"share":10},{"address":"sophie",_x000D_
"share":90}]</v>
      </c>
      <c r="Y749" s="1" t="str">
        <f>formatRow(Tokens!BD$2:BI$2,Tokens!BD749:BI749,2,"files")</f>
        <v>"files":[]</v>
      </c>
      <c r="Z749" s="1"/>
      <c r="AA749" s="1"/>
      <c r="AB749" s="1"/>
      <c r="AC749" s="1" t="str">
        <f>formatRow(Tokens!BJ$2:BK$2,Tokens!BJ749:BK749,0,"collection")</f>
        <v>"collection":{"name":"In Casa",_x000D_
"family":"Calvi On The Rocks"}</v>
      </c>
    </row>
    <row r="750" spans="5:29" ht="14.25" customHeight="1" x14ac:dyDescent="0.25">
      <c r="E750" s="17" t="str">
        <f>IF(Tokens!C750="","",Tokens!C750)</f>
        <v>In Casa #587</v>
      </c>
      <c r="F750"/>
      <c r="G750"/>
      <c r="H750"/>
      <c r="I750"/>
      <c r="J750"/>
      <c r="M750"/>
      <c r="N750"/>
      <c r="O750" s="15" t="str">
        <f t="shared" si="22"/>
        <v>_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1" t="str">
        <f>"owner=" &amp; Tokens!BS750 &amp; "&amp;filename_for_metadata=" &amp; Tokens!BT750 &amp; "&amp;offchaindata_platform=" &amp; $B$17 &amp; "&amp;keyfile=" &amp; $B$5 &amp; "&amp;network=" &amp; LOWER($B$8) &amp; "&amp;repository=" &amp; $B$18</f>
        <v>owner=thomas&amp;filename_for_metadata=InCasa_COR22D587&amp;offchaindata_platform=MongoDB&amp;keyfile=Paul&amp;network=jsonfiles&amp;repository=test</v>
      </c>
      <c r="U750" s="1" t="str">
        <f t="shared" si="23"/>
        <v>{"name":"In Casa #587",_x000D_
"symbol":"COR22D587",_x000D_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0" s="1" t="str">
        <f>formatRow(Tokens!C$2:I$2,Tokens!C750:I750)</f>
        <v>"name":"In Casa #587",_x000D_
"symbol":"COR22D587",_x000D_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0" s="1" t="str">
        <f>formatRow(Tokens!J$2:AV$2,Tokens!J750:AV750,2,"attributes")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0" s="1" t="str">
        <f>formatRow(Tokens!AX$2:BC$2,Tokens!AX750:BC750,2,"creators")</f>
        <v>"creators":[{"address":"paul",_x000D_
"share":10},{"address":"sophie",_x000D_
"share":90}]</v>
      </c>
      <c r="Y750" s="1" t="str">
        <f>formatRow(Tokens!BD$2:BI$2,Tokens!BD750:BI750,2,"files")</f>
        <v>"files":[]</v>
      </c>
      <c r="Z750" s="1"/>
      <c r="AA750" s="1"/>
      <c r="AB750" s="1"/>
      <c r="AC750" s="1" t="str">
        <f>formatRow(Tokens!BJ$2:BK$2,Tokens!BJ750:BK750,0,"collection")</f>
        <v>"collection":{"name":"In Casa",_x000D_
"family":"Calvi On The Rocks"}</v>
      </c>
    </row>
    <row r="751" spans="5:29" ht="14.25" customHeight="1" x14ac:dyDescent="0.25">
      <c r="E751" s="17" t="str">
        <f>IF(Tokens!C751="","",Tokens!C751)</f>
        <v>In Casa #588</v>
      </c>
      <c r="F751"/>
      <c r="G751"/>
      <c r="H751"/>
      <c r="I751"/>
      <c r="J751"/>
      <c r="M751"/>
      <c r="N751"/>
      <c r="O751" s="15" t="str">
        <f t="shared" si="22"/>
        <v>_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1" t="str">
        <f>"owner=" &amp; Tokens!BS751 &amp; "&amp;filename_for_metadata=" &amp; Tokens!BT751 &amp; "&amp;offchaindata_platform=" &amp; $B$17 &amp; "&amp;keyfile=" &amp; $B$5 &amp; "&amp;network=" &amp; LOWER($B$8) &amp; "&amp;repository=" &amp; $B$18</f>
        <v>owner=thomas&amp;filename_for_metadata=InCasa_COR22D588&amp;offchaindata_platform=MongoDB&amp;keyfile=Paul&amp;network=jsonfiles&amp;repository=test</v>
      </c>
      <c r="U751" s="1" t="str">
        <f t="shared" si="23"/>
        <v>{"name":"In Casa #588",_x000D_
"symbol":"COR22D588",_x000D_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1" s="1" t="str">
        <f>formatRow(Tokens!C$2:I$2,Tokens!C751:I751)</f>
        <v>"name":"In Casa #588",_x000D_
"symbol":"COR22D588",_x000D_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1" s="1" t="str">
        <f>formatRow(Tokens!J$2:AV$2,Tokens!J751:AV751,2,"attributes")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1" s="1" t="str">
        <f>formatRow(Tokens!AX$2:BC$2,Tokens!AX751:BC751,2,"creators")</f>
        <v>"creators":[{"address":"paul",_x000D_
"share":10},{"address":"sophie",_x000D_
"share":90}]</v>
      </c>
      <c r="Y751" s="1" t="str">
        <f>formatRow(Tokens!BD$2:BI$2,Tokens!BD751:BI751,2,"files")</f>
        <v>"files":[]</v>
      </c>
      <c r="Z751" s="1"/>
      <c r="AA751" s="1"/>
      <c r="AB751" s="1"/>
      <c r="AC751" s="1" t="str">
        <f>formatRow(Tokens!BJ$2:BK$2,Tokens!BJ751:BK751,0,"collection")</f>
        <v>"collection":{"name":"In Casa",_x000D_
"family":"Calvi On The Rocks"}</v>
      </c>
    </row>
    <row r="752" spans="5:29" ht="14.25" customHeight="1" x14ac:dyDescent="0.25">
      <c r="E752" s="17" t="str">
        <f>IF(Tokens!C752="","",Tokens!C752)</f>
        <v>In Casa #589</v>
      </c>
      <c r="F752"/>
      <c r="G752"/>
      <c r="H752"/>
      <c r="I752"/>
      <c r="J752"/>
      <c r="M752"/>
      <c r="N752"/>
      <c r="O752" s="15" t="str">
        <f t="shared" si="22"/>
        <v>_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1" t="str">
        <f>"owner=" &amp; Tokens!BS752 &amp; "&amp;filename_for_metadata=" &amp; Tokens!BT752 &amp; "&amp;offchaindata_platform=" &amp; $B$17 &amp; "&amp;keyfile=" &amp; $B$5 &amp; "&amp;network=" &amp; LOWER($B$8) &amp; "&amp;repository=" &amp; $B$18</f>
        <v>owner=thomas&amp;filename_for_metadata=InCasa_COR22D589&amp;offchaindata_platform=MongoDB&amp;keyfile=Paul&amp;network=jsonfiles&amp;repository=test</v>
      </c>
      <c r="U752" s="1" t="str">
        <f t="shared" si="23"/>
        <v>{"name":"In Casa #589",_x000D_
"symbol":"COR22D589",_x000D_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2" s="1" t="str">
        <f>formatRow(Tokens!C$2:I$2,Tokens!C752:I752)</f>
        <v>"name":"In Casa #589",_x000D_
"symbol":"COR22D589",_x000D_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2" s="1" t="str">
        <f>formatRow(Tokens!J$2:AV$2,Tokens!J752:AV752,2,"attributes")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2" s="1" t="str">
        <f>formatRow(Tokens!AX$2:BC$2,Tokens!AX752:BC752,2,"creators")</f>
        <v>"creators":[{"address":"paul",_x000D_
"share":10},{"address":"sophie",_x000D_
"share":90}]</v>
      </c>
      <c r="Y752" s="1" t="str">
        <f>formatRow(Tokens!BD$2:BI$2,Tokens!BD752:BI752,2,"files")</f>
        <v>"files":[]</v>
      </c>
      <c r="Z752" s="1"/>
      <c r="AA752" s="1"/>
      <c r="AB752" s="1"/>
      <c r="AC752" s="1" t="str">
        <f>formatRow(Tokens!BJ$2:BK$2,Tokens!BJ752:BK752,0,"collection")</f>
        <v>"collection":{"name":"In Casa",_x000D_
"family":"Calvi On The Rocks"}</v>
      </c>
    </row>
    <row r="753" spans="5:29" ht="14.25" customHeight="1" x14ac:dyDescent="0.25">
      <c r="E753" s="17" t="str">
        <f>IF(Tokens!C753="","",Tokens!C753)</f>
        <v>In Casa #590</v>
      </c>
      <c r="F753"/>
      <c r="G753"/>
      <c r="H753"/>
      <c r="I753"/>
      <c r="J753"/>
      <c r="M753"/>
      <c r="N753"/>
      <c r="O753" s="15" t="str">
        <f t="shared" si="22"/>
        <v>_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1" t="str">
        <f>"owner=" &amp; Tokens!BS753 &amp; "&amp;filename_for_metadata=" &amp; Tokens!BT753 &amp; "&amp;offchaindata_platform=" &amp; $B$17 &amp; "&amp;keyfile=" &amp; $B$5 &amp; "&amp;network=" &amp; LOWER($B$8) &amp; "&amp;repository=" &amp; $B$18</f>
        <v>owner=thomas&amp;filename_for_metadata=InCasa_COR22D590&amp;offchaindata_platform=MongoDB&amp;keyfile=Paul&amp;network=jsonfiles&amp;repository=test</v>
      </c>
      <c r="U753" s="1" t="str">
        <f t="shared" si="23"/>
        <v>{"name":"In Casa #590",_x000D_
"symbol":"COR22D590",_x000D_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3" s="1" t="str">
        <f>formatRow(Tokens!C$2:I$2,Tokens!C753:I753)</f>
        <v>"name":"In Casa #590",_x000D_
"symbol":"COR22D590",_x000D_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3" s="1" t="str">
        <f>formatRow(Tokens!J$2:AV$2,Tokens!J753:AV753,2,"attributes")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3" s="1" t="str">
        <f>formatRow(Tokens!AX$2:BC$2,Tokens!AX753:BC753,2,"creators")</f>
        <v>"creators":[{"address":"paul",_x000D_
"share":10},{"address":"sophie",_x000D_
"share":90}]</v>
      </c>
      <c r="Y753" s="1" t="str">
        <f>formatRow(Tokens!BD$2:BI$2,Tokens!BD753:BI753,2,"files")</f>
        <v>"files":[]</v>
      </c>
      <c r="Z753" s="1"/>
      <c r="AA753" s="1"/>
      <c r="AB753" s="1"/>
      <c r="AC753" s="1" t="str">
        <f>formatRow(Tokens!BJ$2:BK$2,Tokens!BJ753:BK753,0,"collection")</f>
        <v>"collection":{"name":"In Casa",_x000D_
"family":"Calvi On The Rocks"}</v>
      </c>
    </row>
    <row r="754" spans="5:29" ht="14.25" customHeight="1" x14ac:dyDescent="0.25">
      <c r="E754" s="17" t="str">
        <f>IF(Tokens!C754="","",Tokens!C754)</f>
        <v>In Casa #591</v>
      </c>
      <c r="F754"/>
      <c r="G754"/>
      <c r="H754"/>
      <c r="I754"/>
      <c r="J754"/>
      <c r="M754"/>
      <c r="N754"/>
      <c r="O754" s="15" t="str">
        <f t="shared" si="22"/>
        <v>_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1" t="str">
        <f>"owner=" &amp; Tokens!BS754 &amp; "&amp;filename_for_metadata=" &amp; Tokens!BT754 &amp; "&amp;offchaindata_platform=" &amp; $B$17 &amp; "&amp;keyfile=" &amp; $B$5 &amp; "&amp;network=" &amp; LOWER($B$8) &amp; "&amp;repository=" &amp; $B$18</f>
        <v>owner=thomas&amp;filename_for_metadata=InCasa_COR22D591&amp;offchaindata_platform=MongoDB&amp;keyfile=Paul&amp;network=jsonfiles&amp;repository=test</v>
      </c>
      <c r="U754" s="1" t="str">
        <f t="shared" si="23"/>
        <v>{"name":"In Casa #591",_x000D_
"symbol":"COR22D591",_x000D_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4" s="1" t="str">
        <f>formatRow(Tokens!C$2:I$2,Tokens!C754:I754)</f>
        <v>"name":"In Casa #591",_x000D_
"symbol":"COR22D591",_x000D_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4" s="1" t="str">
        <f>formatRow(Tokens!J$2:AV$2,Tokens!J754:AV754,2,"attributes")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4" s="1" t="str">
        <f>formatRow(Tokens!AX$2:BC$2,Tokens!AX754:BC754,2,"creators")</f>
        <v>"creators":[{"address":"paul",_x000D_
"share":10},{"address":"sophie",_x000D_
"share":90}]</v>
      </c>
      <c r="Y754" s="1" t="str">
        <f>formatRow(Tokens!BD$2:BI$2,Tokens!BD754:BI754,2,"files")</f>
        <v>"files":[]</v>
      </c>
      <c r="Z754" s="1"/>
      <c r="AA754" s="1"/>
      <c r="AB754" s="1"/>
      <c r="AC754" s="1" t="str">
        <f>formatRow(Tokens!BJ$2:BK$2,Tokens!BJ754:BK754,0,"collection")</f>
        <v>"collection":{"name":"In Casa",_x000D_
"family":"Calvi On The Rocks"}</v>
      </c>
    </row>
    <row r="755" spans="5:29" ht="14.25" customHeight="1" x14ac:dyDescent="0.25">
      <c r="E755" s="17" t="str">
        <f>IF(Tokens!C755="","",Tokens!C755)</f>
        <v>In Casa #592</v>
      </c>
      <c r="F755"/>
      <c r="G755"/>
      <c r="H755"/>
      <c r="I755"/>
      <c r="J755"/>
      <c r="M755"/>
      <c r="N755"/>
      <c r="O755" s="15" t="str">
        <f t="shared" si="22"/>
        <v>_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1" t="str">
        <f>"owner=" &amp; Tokens!BS755 &amp; "&amp;filename_for_metadata=" &amp; Tokens!BT755 &amp; "&amp;offchaindata_platform=" &amp; $B$17 &amp; "&amp;keyfile=" &amp; $B$5 &amp; "&amp;network=" &amp; LOWER($B$8) &amp; "&amp;repository=" &amp; $B$18</f>
        <v>owner=thomas&amp;filename_for_metadata=InCasa_COR22D592&amp;offchaindata_platform=MongoDB&amp;keyfile=Paul&amp;network=jsonfiles&amp;repository=test</v>
      </c>
      <c r="U755" s="1" t="str">
        <f t="shared" si="23"/>
        <v>{"name":"In Casa #592",_x000D_
"symbol":"COR22D592",_x000D_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5" s="1" t="str">
        <f>formatRow(Tokens!C$2:I$2,Tokens!C755:I755)</f>
        <v>"name":"In Casa #592",_x000D_
"symbol":"COR22D592",_x000D_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5" s="1" t="str">
        <f>formatRow(Tokens!J$2:AV$2,Tokens!J755:AV755,2,"attributes")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5" s="1" t="str">
        <f>formatRow(Tokens!AX$2:BC$2,Tokens!AX755:BC755,2,"creators")</f>
        <v>"creators":[{"address":"paul",_x000D_
"share":10},{"address":"sophie",_x000D_
"share":90}]</v>
      </c>
      <c r="Y755" s="1" t="str">
        <f>formatRow(Tokens!BD$2:BI$2,Tokens!BD755:BI755,2,"files")</f>
        <v>"files":[]</v>
      </c>
      <c r="Z755" s="1"/>
      <c r="AA755" s="1"/>
      <c r="AB755" s="1"/>
      <c r="AC755" s="1" t="str">
        <f>formatRow(Tokens!BJ$2:BK$2,Tokens!BJ755:BK755,0,"collection")</f>
        <v>"collection":{"name":"In Casa",_x000D_
"family":"Calvi On The Rocks"}</v>
      </c>
    </row>
    <row r="756" spans="5:29" ht="14.25" customHeight="1" x14ac:dyDescent="0.25">
      <c r="E756" s="17" t="str">
        <f>IF(Tokens!C756="","",Tokens!C756)</f>
        <v>In Casa #593</v>
      </c>
      <c r="F756"/>
      <c r="G756"/>
      <c r="H756"/>
      <c r="I756"/>
      <c r="J756"/>
      <c r="M756"/>
      <c r="N756"/>
      <c r="O756" s="15" t="str">
        <f t="shared" si="22"/>
        <v>_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1" t="str">
        <f>"owner=" &amp; Tokens!BS756 &amp; "&amp;filename_for_metadata=" &amp; Tokens!BT756 &amp; "&amp;offchaindata_platform=" &amp; $B$17 &amp; "&amp;keyfile=" &amp; $B$5 &amp; "&amp;network=" &amp; LOWER($B$8) &amp; "&amp;repository=" &amp; $B$18</f>
        <v>owner=thomas&amp;filename_for_metadata=InCasa_COR22D593&amp;offchaindata_platform=MongoDB&amp;keyfile=Paul&amp;network=jsonfiles&amp;repository=test</v>
      </c>
      <c r="U756" s="1" t="str">
        <f t="shared" si="23"/>
        <v>{"name":"In Casa #593",_x000D_
"symbol":"COR22D593",_x000D_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6" s="1" t="str">
        <f>formatRow(Tokens!C$2:I$2,Tokens!C756:I756)</f>
        <v>"name":"In Casa #593",_x000D_
"symbol":"COR22D593",_x000D_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6" s="1" t="str">
        <f>formatRow(Tokens!J$2:AV$2,Tokens!J756:AV756,2,"attributes")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6" s="1" t="str">
        <f>formatRow(Tokens!AX$2:BC$2,Tokens!AX756:BC756,2,"creators")</f>
        <v>"creators":[{"address":"paul",_x000D_
"share":10},{"address":"sophie",_x000D_
"share":90}]</v>
      </c>
      <c r="Y756" s="1" t="str">
        <f>formatRow(Tokens!BD$2:BI$2,Tokens!BD756:BI756,2,"files")</f>
        <v>"files":[]</v>
      </c>
      <c r="Z756" s="1"/>
      <c r="AA756" s="1"/>
      <c r="AB756" s="1"/>
      <c r="AC756" s="1" t="str">
        <f>formatRow(Tokens!BJ$2:BK$2,Tokens!BJ756:BK756,0,"collection")</f>
        <v>"collection":{"name":"In Casa",_x000D_
"family":"Calvi On The Rocks"}</v>
      </c>
    </row>
    <row r="757" spans="5:29" ht="14.25" customHeight="1" x14ac:dyDescent="0.25">
      <c r="E757" s="17" t="str">
        <f>IF(Tokens!C757="","",Tokens!C757)</f>
        <v>In Casa #594</v>
      </c>
      <c r="F757"/>
      <c r="G757"/>
      <c r="H757"/>
      <c r="I757"/>
      <c r="J757"/>
      <c r="M757"/>
      <c r="N757"/>
      <c r="O757" s="15" t="str">
        <f t="shared" si="22"/>
        <v>_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1" t="str">
        <f>"owner=" &amp; Tokens!BS757 &amp; "&amp;filename_for_metadata=" &amp; Tokens!BT757 &amp; "&amp;offchaindata_platform=" &amp; $B$17 &amp; "&amp;keyfile=" &amp; $B$5 &amp; "&amp;network=" &amp; LOWER($B$8) &amp; "&amp;repository=" &amp; $B$18</f>
        <v>owner=thomas&amp;filename_for_metadata=InCasa_COR22D594&amp;offchaindata_platform=MongoDB&amp;keyfile=Paul&amp;network=jsonfiles&amp;repository=test</v>
      </c>
      <c r="U757" s="1" t="str">
        <f t="shared" si="23"/>
        <v>{"name":"In Casa #594",_x000D_
"symbol":"COR22D594",_x000D_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7" s="1" t="str">
        <f>formatRow(Tokens!C$2:I$2,Tokens!C757:I757)</f>
        <v>"name":"In Casa #594",_x000D_
"symbol":"COR22D594",_x000D_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7" s="1" t="str">
        <f>formatRow(Tokens!J$2:AV$2,Tokens!J757:AV757,2,"attributes")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7" s="1" t="str">
        <f>formatRow(Tokens!AX$2:BC$2,Tokens!AX757:BC757,2,"creators")</f>
        <v>"creators":[{"address":"paul",_x000D_
"share":10},{"address":"sophie",_x000D_
"share":90}]</v>
      </c>
      <c r="Y757" s="1" t="str">
        <f>formatRow(Tokens!BD$2:BI$2,Tokens!BD757:BI757,2,"files")</f>
        <v>"files":[]</v>
      </c>
      <c r="Z757" s="1"/>
      <c r="AA757" s="1"/>
      <c r="AB757" s="1"/>
      <c r="AC757" s="1" t="str">
        <f>formatRow(Tokens!BJ$2:BK$2,Tokens!BJ757:BK757,0,"collection")</f>
        <v>"collection":{"name":"In Casa",_x000D_
"family":"Calvi On The Rocks"}</v>
      </c>
    </row>
    <row r="758" spans="5:29" ht="14.25" customHeight="1" x14ac:dyDescent="0.25">
      <c r="E758" s="17" t="str">
        <f>IF(Tokens!C758="","",Tokens!C758)</f>
        <v>In Casa #595</v>
      </c>
      <c r="F758"/>
      <c r="G758"/>
      <c r="H758"/>
      <c r="I758"/>
      <c r="J758"/>
      <c r="M758"/>
      <c r="N758"/>
      <c r="O758" s="15" t="str">
        <f t="shared" si="22"/>
        <v>_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1" t="str">
        <f>"owner=" &amp; Tokens!BS758 &amp; "&amp;filename_for_metadata=" &amp; Tokens!BT758 &amp; "&amp;offchaindata_platform=" &amp; $B$17 &amp; "&amp;keyfile=" &amp; $B$5 &amp; "&amp;network=" &amp; LOWER($B$8) &amp; "&amp;repository=" &amp; $B$18</f>
        <v>owner=thomas&amp;filename_for_metadata=InCasa_COR22D595&amp;offchaindata_platform=MongoDB&amp;keyfile=Paul&amp;network=jsonfiles&amp;repository=test</v>
      </c>
      <c r="U758" s="1" t="str">
        <f t="shared" si="23"/>
        <v>{"name":"In Casa #595",_x000D_
"symbol":"COR22D595",_x000D_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8" s="1" t="str">
        <f>formatRow(Tokens!C$2:I$2,Tokens!C758:I758)</f>
        <v>"name":"In Casa #595",_x000D_
"symbol":"COR22D595",_x000D_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8" s="1" t="str">
        <f>formatRow(Tokens!J$2:AV$2,Tokens!J758:AV758,2,"attributes")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8" s="1" t="str">
        <f>formatRow(Tokens!AX$2:BC$2,Tokens!AX758:BC758,2,"creators")</f>
        <v>"creators":[{"address":"paul",_x000D_
"share":10},{"address":"sophie",_x000D_
"share":90}]</v>
      </c>
      <c r="Y758" s="1" t="str">
        <f>formatRow(Tokens!BD$2:BI$2,Tokens!BD758:BI758,2,"files")</f>
        <v>"files":[]</v>
      </c>
      <c r="Z758" s="1"/>
      <c r="AA758" s="1"/>
      <c r="AB758" s="1"/>
      <c r="AC758" s="1" t="str">
        <f>formatRow(Tokens!BJ$2:BK$2,Tokens!BJ758:BK758,0,"collection")</f>
        <v>"collection":{"name":"In Casa",_x000D_
"family":"Calvi On The Rocks"}</v>
      </c>
    </row>
    <row r="759" spans="5:29" ht="14.25" customHeight="1" x14ac:dyDescent="0.25">
      <c r="E759" s="17" t="str">
        <f>IF(Tokens!C759="","",Tokens!C759)</f>
        <v>In Casa #596</v>
      </c>
      <c r="F759"/>
      <c r="G759"/>
      <c r="H759"/>
      <c r="I759"/>
      <c r="J759"/>
      <c r="M759"/>
      <c r="N759"/>
      <c r="O759" s="15" t="str">
        <f t="shared" si="22"/>
        <v>_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1" t="str">
        <f>"owner=" &amp; Tokens!BS759 &amp; "&amp;filename_for_metadata=" &amp; Tokens!BT759 &amp; "&amp;offchaindata_platform=" &amp; $B$17 &amp; "&amp;keyfile=" &amp; $B$5 &amp; "&amp;network=" &amp; LOWER($B$8) &amp; "&amp;repository=" &amp; $B$18</f>
        <v>owner=thomas&amp;filename_for_metadata=InCasa_COR22D596&amp;offchaindata_platform=MongoDB&amp;keyfile=Paul&amp;network=jsonfiles&amp;repository=test</v>
      </c>
      <c r="U759" s="1" t="str">
        <f t="shared" si="23"/>
        <v>{"name":"In Casa #596",_x000D_
"symbol":"COR22D596",_x000D_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59" s="1" t="str">
        <f>formatRow(Tokens!C$2:I$2,Tokens!C759:I759)</f>
        <v>"name":"In Casa #596",_x000D_
"symbol":"COR22D596",_x000D_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59" s="1" t="str">
        <f>formatRow(Tokens!J$2:AV$2,Tokens!J759:AV759,2,"attributes")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59" s="1" t="str">
        <f>formatRow(Tokens!AX$2:BC$2,Tokens!AX759:BC759,2,"creators")</f>
        <v>"creators":[{"address":"paul",_x000D_
"share":10},{"address":"sophie",_x000D_
"share":90}]</v>
      </c>
      <c r="Y759" s="1" t="str">
        <f>formatRow(Tokens!BD$2:BI$2,Tokens!BD759:BI759,2,"files")</f>
        <v>"files":[]</v>
      </c>
      <c r="Z759" s="1"/>
      <c r="AA759" s="1"/>
      <c r="AB759" s="1"/>
      <c r="AC759" s="1" t="str">
        <f>formatRow(Tokens!BJ$2:BK$2,Tokens!BJ759:BK759,0,"collection")</f>
        <v>"collection":{"name":"In Casa",_x000D_
"family":"Calvi On The Rocks"}</v>
      </c>
    </row>
    <row r="760" spans="5:29" ht="14.25" customHeight="1" x14ac:dyDescent="0.25">
      <c r="E760" s="17" t="str">
        <f>IF(Tokens!C760="","",Tokens!C760)</f>
        <v>In Casa #597</v>
      </c>
      <c r="F760"/>
      <c r="G760"/>
      <c r="H760"/>
      <c r="I760"/>
      <c r="J760"/>
      <c r="M760"/>
      <c r="N760"/>
      <c r="O760" s="15" t="str">
        <f t="shared" si="22"/>
        <v>_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1" t="str">
        <f>"owner=" &amp; Tokens!BS760 &amp; "&amp;filename_for_metadata=" &amp; Tokens!BT760 &amp; "&amp;offchaindata_platform=" &amp; $B$17 &amp; "&amp;keyfile=" &amp; $B$5 &amp; "&amp;network=" &amp; LOWER($B$8) &amp; "&amp;repository=" &amp; $B$18</f>
        <v>owner=thomas&amp;filename_for_metadata=InCasa_COR22D597&amp;offchaindata_platform=MongoDB&amp;keyfile=Paul&amp;network=jsonfiles&amp;repository=test</v>
      </c>
      <c r="U760" s="1" t="str">
        <f t="shared" si="23"/>
        <v>{"name":"In Casa #597",_x000D_
"symbol":"COR22D597",_x000D_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0" s="1" t="str">
        <f>formatRow(Tokens!C$2:I$2,Tokens!C760:I760)</f>
        <v>"name":"In Casa #597",_x000D_
"symbol":"COR22D597",_x000D_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0" s="1" t="str">
        <f>formatRow(Tokens!J$2:AV$2,Tokens!J760:AV760,2,"attributes")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0" s="1" t="str">
        <f>formatRow(Tokens!AX$2:BC$2,Tokens!AX760:BC760,2,"creators")</f>
        <v>"creators":[{"address":"paul",_x000D_
"share":10},{"address":"sophie",_x000D_
"share":90}]</v>
      </c>
      <c r="Y760" s="1" t="str">
        <f>formatRow(Tokens!BD$2:BI$2,Tokens!BD760:BI760,2,"files")</f>
        <v>"files":[]</v>
      </c>
      <c r="Z760" s="1"/>
      <c r="AA760" s="1"/>
      <c r="AB760" s="1"/>
      <c r="AC760" s="1" t="str">
        <f>formatRow(Tokens!BJ$2:BK$2,Tokens!BJ760:BK760,0,"collection")</f>
        <v>"collection":{"name":"In Casa",_x000D_
"family":"Calvi On The Rocks"}</v>
      </c>
    </row>
    <row r="761" spans="5:29" ht="14.25" customHeight="1" x14ac:dyDescent="0.25">
      <c r="E761" s="17" t="str">
        <f>IF(Tokens!C761="","",Tokens!C761)</f>
        <v>In Casa #598</v>
      </c>
      <c r="F761"/>
      <c r="G761"/>
      <c r="H761"/>
      <c r="I761"/>
      <c r="J761"/>
      <c r="M761"/>
      <c r="N761"/>
      <c r="O761" s="15" t="str">
        <f t="shared" si="22"/>
        <v>_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1" t="str">
        <f>"owner=" &amp; Tokens!BS761 &amp; "&amp;filename_for_metadata=" &amp; Tokens!BT761 &amp; "&amp;offchaindata_platform=" &amp; $B$17 &amp; "&amp;keyfile=" &amp; $B$5 &amp; "&amp;network=" &amp; LOWER($B$8) &amp; "&amp;repository=" &amp; $B$18</f>
        <v>owner=thomas&amp;filename_for_metadata=InCasa_COR22D598&amp;offchaindata_platform=MongoDB&amp;keyfile=Paul&amp;network=jsonfiles&amp;repository=test</v>
      </c>
      <c r="U761" s="1" t="str">
        <f t="shared" si="23"/>
        <v>{"name":"In Casa #598",_x000D_
"symbol":"COR22D598",_x000D_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1" s="1" t="str">
        <f>formatRow(Tokens!C$2:I$2,Tokens!C761:I761)</f>
        <v>"name":"In Casa #598",_x000D_
"symbol":"COR22D598",_x000D_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1" s="1" t="str">
        <f>formatRow(Tokens!J$2:AV$2,Tokens!J761:AV761,2,"attributes")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1" s="1" t="str">
        <f>formatRow(Tokens!AX$2:BC$2,Tokens!AX761:BC761,2,"creators")</f>
        <v>"creators":[{"address":"paul",_x000D_
"share":10},{"address":"sophie",_x000D_
"share":90}]</v>
      </c>
      <c r="Y761" s="1" t="str">
        <f>formatRow(Tokens!BD$2:BI$2,Tokens!BD761:BI761,2,"files")</f>
        <v>"files":[]</v>
      </c>
      <c r="Z761" s="1"/>
      <c r="AA761" s="1"/>
      <c r="AB761" s="1"/>
      <c r="AC761" s="1" t="str">
        <f>formatRow(Tokens!BJ$2:BK$2,Tokens!BJ761:BK761,0,"collection")</f>
        <v>"collection":{"name":"In Casa",_x000D_
"family":"Calvi On The Rocks"}</v>
      </c>
    </row>
    <row r="762" spans="5:29" ht="14.25" customHeight="1" x14ac:dyDescent="0.25">
      <c r="E762" s="17" t="str">
        <f>IF(Tokens!C762="","",Tokens!C762)</f>
        <v>In Casa #599</v>
      </c>
      <c r="F762"/>
      <c r="G762"/>
      <c r="H762"/>
      <c r="I762"/>
      <c r="J762"/>
      <c r="M762"/>
      <c r="N762"/>
      <c r="O762" s="15" t="str">
        <f t="shared" si="22"/>
        <v>_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1" t="str">
        <f>"owner=" &amp; Tokens!BS762 &amp; "&amp;filename_for_metadata=" &amp; Tokens!BT762 &amp; "&amp;offchaindata_platform=" &amp; $B$17 &amp; "&amp;keyfile=" &amp; $B$5 &amp; "&amp;network=" &amp; LOWER($B$8) &amp; "&amp;repository=" &amp; $B$18</f>
        <v>owner=thomas&amp;filename_for_metadata=InCasa_COR22D599&amp;offchaindata_platform=MongoDB&amp;keyfile=Paul&amp;network=jsonfiles&amp;repository=test</v>
      </c>
      <c r="U762" s="1" t="str">
        <f t="shared" si="23"/>
        <v>{"name":"In Casa #599",_x000D_
"symbol":"COR22D599",_x000D_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2" s="1" t="str">
        <f>formatRow(Tokens!C$2:I$2,Tokens!C762:I762)</f>
        <v>"name":"In Casa #599",_x000D_
"symbol":"COR22D599",_x000D_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2" s="1" t="str">
        <f>formatRow(Tokens!J$2:AV$2,Tokens!J762:AV762,2,"attributes")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2" s="1" t="str">
        <f>formatRow(Tokens!AX$2:BC$2,Tokens!AX762:BC762,2,"creators")</f>
        <v>"creators":[{"address":"paul",_x000D_
"share":10},{"address":"sophie",_x000D_
"share":90}]</v>
      </c>
      <c r="Y762" s="1" t="str">
        <f>formatRow(Tokens!BD$2:BI$2,Tokens!BD762:BI762,2,"files")</f>
        <v>"files":[]</v>
      </c>
      <c r="Z762" s="1"/>
      <c r="AA762" s="1"/>
      <c r="AB762" s="1"/>
      <c r="AC762" s="1" t="str">
        <f>formatRow(Tokens!BJ$2:BK$2,Tokens!BJ762:BK762,0,"collection")</f>
        <v>"collection":{"name":"In Casa",_x000D_
"family":"Calvi On The Rocks"}</v>
      </c>
    </row>
    <row r="763" spans="5:29" ht="14.25" customHeight="1" x14ac:dyDescent="0.25">
      <c r="E763" s="17" t="str">
        <f>IF(Tokens!C763="","",Tokens!C763)</f>
        <v>In Casa #600</v>
      </c>
      <c r="F763"/>
      <c r="G763"/>
      <c r="H763"/>
      <c r="I763"/>
      <c r="J763"/>
      <c r="M763"/>
      <c r="N763"/>
      <c r="O763" s="15" t="str">
        <f t="shared" si="22"/>
        <v>_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1" t="str">
        <f>"owner=" &amp; Tokens!BS763 &amp; "&amp;filename_for_metadata=" &amp; Tokens!BT763 &amp; "&amp;offchaindata_platform=" &amp; $B$17 &amp; "&amp;keyfile=" &amp; $B$5 &amp; "&amp;network=" &amp; LOWER($B$8) &amp; "&amp;repository=" &amp; $B$18</f>
        <v>owner=thomas&amp;filename_for_metadata=InCasa_COR22D600&amp;offchaindata_platform=MongoDB&amp;keyfile=Paul&amp;network=jsonfiles&amp;repository=test</v>
      </c>
      <c r="U763" s="1" t="str">
        <f t="shared" si="23"/>
        <v>{"name":"In Casa #600",_x000D_
"symbol":"COR22D600",_x000D_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3" s="1" t="str">
        <f>formatRow(Tokens!C$2:I$2,Tokens!C763:I763)</f>
        <v>"name":"In Casa #600",_x000D_
"symbol":"COR22D600",_x000D_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3" s="1" t="str">
        <f>formatRow(Tokens!J$2:AV$2,Tokens!J763:AV763,2,"attributes")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3" s="1" t="str">
        <f>formatRow(Tokens!AX$2:BC$2,Tokens!AX763:BC763,2,"creators")</f>
        <v>"creators":[{"address":"paul",_x000D_
"share":10},{"address":"sophie",_x000D_
"share":90}]</v>
      </c>
      <c r="Y763" s="1" t="str">
        <f>formatRow(Tokens!BD$2:BI$2,Tokens!BD763:BI763,2,"files")</f>
        <v>"files":[]</v>
      </c>
      <c r="Z763" s="1"/>
      <c r="AA763" s="1"/>
      <c r="AB763" s="1"/>
      <c r="AC763" s="1" t="str">
        <f>formatRow(Tokens!BJ$2:BK$2,Tokens!BJ763:BK763,0,"collection")</f>
        <v>"collection":{"name":"In Casa",_x000D_
"family":"Calvi On The Rocks"}</v>
      </c>
    </row>
    <row r="764" spans="5:29" ht="14.25" customHeight="1" x14ac:dyDescent="0.25">
      <c r="E764" s="17" t="str">
        <f>IF(Tokens!C764="","",Tokens!C764)</f>
        <v>In Casa #601</v>
      </c>
      <c r="F764"/>
      <c r="G764"/>
      <c r="H764"/>
      <c r="I764"/>
      <c r="J764"/>
      <c r="M764"/>
      <c r="N764"/>
      <c r="O764" s="15" t="str">
        <f t="shared" si="22"/>
        <v>_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1" t="str">
        <f>"owner=" &amp; Tokens!BS764 &amp; "&amp;filename_for_metadata=" &amp; Tokens!BT764 &amp; "&amp;offchaindata_platform=" &amp; $B$17 &amp; "&amp;keyfile=" &amp; $B$5 &amp; "&amp;network=" &amp; LOWER($B$8) &amp; "&amp;repository=" &amp; $B$18</f>
        <v>owner=thomas&amp;filename_for_metadata=InCasa_COR22D601&amp;offchaindata_platform=MongoDB&amp;keyfile=Paul&amp;network=jsonfiles&amp;repository=test</v>
      </c>
      <c r="U764" s="1" t="str">
        <f t="shared" si="23"/>
        <v>{"name":"In Casa #601",_x000D_
"symbol":"COR22D601",_x000D_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4" s="1" t="str">
        <f>formatRow(Tokens!C$2:I$2,Tokens!C764:I764)</f>
        <v>"name":"In Casa #601",_x000D_
"symbol":"COR22D601",_x000D_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4" s="1" t="str">
        <f>formatRow(Tokens!J$2:AV$2,Tokens!J764:AV764,2,"attributes")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4" s="1" t="str">
        <f>formatRow(Tokens!AX$2:BC$2,Tokens!AX764:BC764,2,"creators")</f>
        <v>"creators":[{"address":"paul",_x000D_
"share":10},{"address":"sophie",_x000D_
"share":90}]</v>
      </c>
      <c r="Y764" s="1" t="str">
        <f>formatRow(Tokens!BD$2:BI$2,Tokens!BD764:BI764,2,"files")</f>
        <v>"files":[]</v>
      </c>
      <c r="Z764" s="1"/>
      <c r="AA764" s="1"/>
      <c r="AB764" s="1"/>
      <c r="AC764" s="1" t="str">
        <f>formatRow(Tokens!BJ$2:BK$2,Tokens!BJ764:BK764,0,"collection")</f>
        <v>"collection":{"name":"In Casa",_x000D_
"family":"Calvi On The Rocks"}</v>
      </c>
    </row>
    <row r="765" spans="5:29" ht="14.25" customHeight="1" x14ac:dyDescent="0.25">
      <c r="E765" s="17" t="str">
        <f>IF(Tokens!C765="","",Tokens!C765)</f>
        <v>In Casa #602</v>
      </c>
      <c r="F765"/>
      <c r="G765"/>
      <c r="H765"/>
      <c r="I765"/>
      <c r="J765"/>
      <c r="M765"/>
      <c r="N765"/>
      <c r="O765" s="15" t="str">
        <f t="shared" si="22"/>
        <v>_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1" t="str">
        <f>"owner=" &amp; Tokens!BS765 &amp; "&amp;filename_for_metadata=" &amp; Tokens!BT765 &amp; "&amp;offchaindata_platform=" &amp; $B$17 &amp; "&amp;keyfile=" &amp; $B$5 &amp; "&amp;network=" &amp; LOWER($B$8) &amp; "&amp;repository=" &amp; $B$18</f>
        <v>owner=thomas&amp;filename_for_metadata=InCasa_COR22D602&amp;offchaindata_platform=MongoDB&amp;keyfile=Paul&amp;network=jsonfiles&amp;repository=test</v>
      </c>
      <c r="U765" s="1" t="str">
        <f t="shared" si="23"/>
        <v>{"name":"In Casa #602",_x000D_
"symbol":"COR22D602",_x000D_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5" s="1" t="str">
        <f>formatRow(Tokens!C$2:I$2,Tokens!C765:I765)</f>
        <v>"name":"In Casa #602",_x000D_
"symbol":"COR22D602",_x000D_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5" s="1" t="str">
        <f>formatRow(Tokens!J$2:AV$2,Tokens!J765:AV765,2,"attributes")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5" s="1" t="str">
        <f>formatRow(Tokens!AX$2:BC$2,Tokens!AX765:BC765,2,"creators")</f>
        <v>"creators":[{"address":"paul",_x000D_
"share":10},{"address":"sophie",_x000D_
"share":90}]</v>
      </c>
      <c r="Y765" s="1" t="str">
        <f>formatRow(Tokens!BD$2:BI$2,Tokens!BD765:BI765,2,"files")</f>
        <v>"files":[]</v>
      </c>
      <c r="Z765" s="1"/>
      <c r="AA765" s="1"/>
      <c r="AB765" s="1"/>
      <c r="AC765" s="1" t="str">
        <f>formatRow(Tokens!BJ$2:BK$2,Tokens!BJ765:BK765,0,"collection")</f>
        <v>"collection":{"name":"In Casa",_x000D_
"family":"Calvi On The Rocks"}</v>
      </c>
    </row>
    <row r="766" spans="5:29" ht="14.25" customHeight="1" x14ac:dyDescent="0.25">
      <c r="E766" s="17" t="str">
        <f>IF(Tokens!C766="","",Tokens!C766)</f>
        <v>In Casa #603</v>
      </c>
      <c r="F766"/>
      <c r="G766"/>
      <c r="H766"/>
      <c r="I766"/>
      <c r="J766"/>
      <c r="M766"/>
      <c r="N766"/>
      <c r="O766" s="15" t="str">
        <f t="shared" si="22"/>
        <v>_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1" t="str">
        <f>"owner=" &amp; Tokens!BS766 &amp; "&amp;filename_for_metadata=" &amp; Tokens!BT766 &amp; "&amp;offchaindata_platform=" &amp; $B$17 &amp; "&amp;keyfile=" &amp; $B$5 &amp; "&amp;network=" &amp; LOWER($B$8) &amp; "&amp;repository=" &amp; $B$18</f>
        <v>owner=thomas&amp;filename_for_metadata=InCasa_COR22D603&amp;offchaindata_platform=MongoDB&amp;keyfile=Paul&amp;network=jsonfiles&amp;repository=test</v>
      </c>
      <c r="U766" s="1" t="str">
        <f t="shared" si="23"/>
        <v>{"name":"In Casa #603",_x000D_
"symbol":"COR22D603",_x000D_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6" s="1" t="str">
        <f>formatRow(Tokens!C$2:I$2,Tokens!C766:I766)</f>
        <v>"name":"In Casa #603",_x000D_
"symbol":"COR22D603",_x000D_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6" s="1" t="str">
        <f>formatRow(Tokens!J$2:AV$2,Tokens!J766:AV766,2,"attributes")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6" s="1" t="str">
        <f>formatRow(Tokens!AX$2:BC$2,Tokens!AX766:BC766,2,"creators")</f>
        <v>"creators":[{"address":"paul",_x000D_
"share":10},{"address":"sophie",_x000D_
"share":90}]</v>
      </c>
      <c r="Y766" s="1" t="str">
        <f>formatRow(Tokens!BD$2:BI$2,Tokens!BD766:BI766,2,"files")</f>
        <v>"files":[]</v>
      </c>
      <c r="Z766" s="1"/>
      <c r="AA766" s="1"/>
      <c r="AB766" s="1"/>
      <c r="AC766" s="1" t="str">
        <f>formatRow(Tokens!BJ$2:BK$2,Tokens!BJ766:BK766,0,"collection")</f>
        <v>"collection":{"name":"In Casa",_x000D_
"family":"Calvi On The Rocks"}</v>
      </c>
    </row>
    <row r="767" spans="5:29" ht="14.25" customHeight="1" x14ac:dyDescent="0.25">
      <c r="E767" s="17" t="str">
        <f>IF(Tokens!C767="","",Tokens!C767)</f>
        <v>In Casa #604</v>
      </c>
      <c r="F767"/>
      <c r="G767"/>
      <c r="H767"/>
      <c r="I767"/>
      <c r="J767"/>
      <c r="M767"/>
      <c r="N767"/>
      <c r="O767" s="15" t="str">
        <f t="shared" si="22"/>
        <v>_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1" t="str">
        <f>"owner=" &amp; Tokens!BS767 &amp; "&amp;filename_for_metadata=" &amp; Tokens!BT767 &amp; "&amp;offchaindata_platform=" &amp; $B$17 &amp; "&amp;keyfile=" &amp; $B$5 &amp; "&amp;network=" &amp; LOWER($B$8) &amp; "&amp;repository=" &amp; $B$18</f>
        <v>owner=thomas&amp;filename_for_metadata=InCasa_COR22D604&amp;offchaindata_platform=MongoDB&amp;keyfile=Paul&amp;network=jsonfiles&amp;repository=test</v>
      </c>
      <c r="U767" s="1" t="str">
        <f t="shared" si="23"/>
        <v>{"name":"In Casa #604",_x000D_
"symbol":"COR22D604",_x000D_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7" s="1" t="str">
        <f>formatRow(Tokens!C$2:I$2,Tokens!C767:I767)</f>
        <v>"name":"In Casa #604",_x000D_
"symbol":"COR22D604",_x000D_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7" s="1" t="str">
        <f>formatRow(Tokens!J$2:AV$2,Tokens!J767:AV767,2,"attributes")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7" s="1" t="str">
        <f>formatRow(Tokens!AX$2:BC$2,Tokens!AX767:BC767,2,"creators")</f>
        <v>"creators":[{"address":"paul",_x000D_
"share":10},{"address":"sophie",_x000D_
"share":90}]</v>
      </c>
      <c r="Y767" s="1" t="str">
        <f>formatRow(Tokens!BD$2:BI$2,Tokens!BD767:BI767,2,"files")</f>
        <v>"files":[]</v>
      </c>
      <c r="Z767" s="1"/>
      <c r="AA767" s="1"/>
      <c r="AB767" s="1"/>
      <c r="AC767" s="1" t="str">
        <f>formatRow(Tokens!BJ$2:BK$2,Tokens!BJ767:BK767,0,"collection")</f>
        <v>"collection":{"name":"In Casa",_x000D_
"family":"Calvi On The Rocks"}</v>
      </c>
    </row>
    <row r="768" spans="5:29" ht="14.25" customHeight="1" x14ac:dyDescent="0.25">
      <c r="E768" s="17" t="str">
        <f>IF(Tokens!C768="","",Tokens!C768)</f>
        <v>In Casa #605</v>
      </c>
      <c r="F768"/>
      <c r="G768"/>
      <c r="H768"/>
      <c r="I768"/>
      <c r="J768"/>
      <c r="M768"/>
      <c r="N768"/>
      <c r="O768" s="15" t="str">
        <f t="shared" si="22"/>
        <v>_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1" t="str">
        <f>"owner=" &amp; Tokens!BS768 &amp; "&amp;filename_for_metadata=" &amp; Tokens!BT768 &amp; "&amp;offchaindata_platform=" &amp; $B$17 &amp; "&amp;keyfile=" &amp; $B$5 &amp; "&amp;network=" &amp; LOWER($B$8) &amp; "&amp;repository=" &amp; $B$18</f>
        <v>owner=thomas&amp;filename_for_metadata=InCasa_COR22D605&amp;offchaindata_platform=MongoDB&amp;keyfile=Paul&amp;network=jsonfiles&amp;repository=test</v>
      </c>
      <c r="U768" s="1" t="str">
        <f t="shared" si="23"/>
        <v>{"name":"In Casa #605",_x000D_
"symbol":"COR22D605",_x000D_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8" s="1" t="str">
        <f>formatRow(Tokens!C$2:I$2,Tokens!C768:I768)</f>
        <v>"name":"In Casa #605",_x000D_
"symbol":"COR22D605",_x000D_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8" s="1" t="str">
        <f>formatRow(Tokens!J$2:AV$2,Tokens!J768:AV768,2,"attributes")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8" s="1" t="str">
        <f>formatRow(Tokens!AX$2:BC$2,Tokens!AX768:BC768,2,"creators")</f>
        <v>"creators":[{"address":"paul",_x000D_
"share":10},{"address":"sophie",_x000D_
"share":90}]</v>
      </c>
      <c r="Y768" s="1" t="str">
        <f>formatRow(Tokens!BD$2:BI$2,Tokens!BD768:BI768,2,"files")</f>
        <v>"files":[]</v>
      </c>
      <c r="Z768" s="1"/>
      <c r="AA768" s="1"/>
      <c r="AB768" s="1"/>
      <c r="AC768" s="1" t="str">
        <f>formatRow(Tokens!BJ$2:BK$2,Tokens!BJ768:BK768,0,"collection")</f>
        <v>"collection":{"name":"In Casa",_x000D_
"family":"Calvi On The Rocks"}</v>
      </c>
    </row>
    <row r="769" spans="5:29" ht="14.25" customHeight="1" x14ac:dyDescent="0.25">
      <c r="E769" s="17" t="str">
        <f>IF(Tokens!C769="","",Tokens!C769)</f>
        <v>In Casa #606</v>
      </c>
      <c r="F769"/>
      <c r="G769"/>
      <c r="H769"/>
      <c r="I769"/>
      <c r="J769"/>
      <c r="M769"/>
      <c r="N769"/>
      <c r="O769" s="15" t="str">
        <f t="shared" si="22"/>
        <v>_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1" t="str">
        <f>"owner=" &amp; Tokens!BS769 &amp; "&amp;filename_for_metadata=" &amp; Tokens!BT769 &amp; "&amp;offchaindata_platform=" &amp; $B$17 &amp; "&amp;keyfile=" &amp; $B$5 &amp; "&amp;network=" &amp; LOWER($B$8) &amp; "&amp;repository=" &amp; $B$18</f>
        <v>owner=thomas&amp;filename_for_metadata=InCasa_COR22D606&amp;offchaindata_platform=MongoDB&amp;keyfile=Paul&amp;network=jsonfiles&amp;repository=test</v>
      </c>
      <c r="U769" s="1" t="str">
        <f t="shared" si="23"/>
        <v>{"name":"In Casa #606",_x000D_
"symbol":"COR22D606",_x000D_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69" s="1" t="str">
        <f>formatRow(Tokens!C$2:I$2,Tokens!C769:I769)</f>
        <v>"name":"In Casa #606",_x000D_
"symbol":"COR22D606",_x000D_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69" s="1" t="str">
        <f>formatRow(Tokens!J$2:AV$2,Tokens!J769:AV769,2,"attributes")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69" s="1" t="str">
        <f>formatRow(Tokens!AX$2:BC$2,Tokens!AX769:BC769,2,"creators")</f>
        <v>"creators":[{"address":"paul",_x000D_
"share":10},{"address":"sophie",_x000D_
"share":90}]</v>
      </c>
      <c r="Y769" s="1" t="str">
        <f>formatRow(Tokens!BD$2:BI$2,Tokens!BD769:BI769,2,"files")</f>
        <v>"files":[]</v>
      </c>
      <c r="Z769" s="1"/>
      <c r="AA769" s="1"/>
      <c r="AB769" s="1"/>
      <c r="AC769" s="1" t="str">
        <f>formatRow(Tokens!BJ$2:BK$2,Tokens!BJ769:BK769,0,"collection")</f>
        <v>"collection":{"name":"In Casa",_x000D_
"family":"Calvi On The Rocks"}</v>
      </c>
    </row>
    <row r="770" spans="5:29" ht="14.25" customHeight="1" x14ac:dyDescent="0.25">
      <c r="E770" s="17" t="str">
        <f>IF(Tokens!C770="","",Tokens!C770)</f>
        <v>In Casa #607</v>
      </c>
      <c r="F770"/>
      <c r="G770"/>
      <c r="H770"/>
      <c r="I770"/>
      <c r="J770"/>
      <c r="M770"/>
      <c r="N770"/>
      <c r="O770" s="15" t="str">
        <f t="shared" si="22"/>
        <v>_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1" t="str">
        <f>"owner=" &amp; Tokens!BS770 &amp; "&amp;filename_for_metadata=" &amp; Tokens!BT770 &amp; "&amp;offchaindata_platform=" &amp; $B$17 &amp; "&amp;keyfile=" &amp; $B$5 &amp; "&amp;network=" &amp; LOWER($B$8) &amp; "&amp;repository=" &amp; $B$18</f>
        <v>owner=thomas&amp;filename_for_metadata=InCasa_COR22D607&amp;offchaindata_platform=MongoDB&amp;keyfile=Paul&amp;network=jsonfiles&amp;repository=test</v>
      </c>
      <c r="U770" s="1" t="str">
        <f t="shared" si="23"/>
        <v>{"name":"In Casa #607",_x000D_
"symbol":"COR22D607",_x000D_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0" s="1" t="str">
        <f>formatRow(Tokens!C$2:I$2,Tokens!C770:I770)</f>
        <v>"name":"In Casa #607",_x000D_
"symbol":"COR22D607",_x000D_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0" s="1" t="str">
        <f>formatRow(Tokens!J$2:AV$2,Tokens!J770:AV770,2,"attributes")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0" s="1" t="str">
        <f>formatRow(Tokens!AX$2:BC$2,Tokens!AX770:BC770,2,"creators")</f>
        <v>"creators":[{"address":"paul",_x000D_
"share":10},{"address":"sophie",_x000D_
"share":90}]</v>
      </c>
      <c r="Y770" s="1" t="str">
        <f>formatRow(Tokens!BD$2:BI$2,Tokens!BD770:BI770,2,"files")</f>
        <v>"files":[]</v>
      </c>
      <c r="Z770" s="1"/>
      <c r="AA770" s="1"/>
      <c r="AB770" s="1"/>
      <c r="AC770" s="1" t="str">
        <f>formatRow(Tokens!BJ$2:BK$2,Tokens!BJ770:BK770,0,"collection")</f>
        <v>"collection":{"name":"In Casa",_x000D_
"family":"Calvi On The Rocks"}</v>
      </c>
    </row>
    <row r="771" spans="5:29" ht="14.25" customHeight="1" x14ac:dyDescent="0.25">
      <c r="E771" s="17" t="str">
        <f>IF(Tokens!C771="","",Tokens!C771)</f>
        <v>In Casa #608</v>
      </c>
      <c r="F771"/>
      <c r="G771"/>
      <c r="H771"/>
      <c r="I771"/>
      <c r="J771"/>
      <c r="M771"/>
      <c r="N771"/>
      <c r="O771" s="15" t="str">
        <f t="shared" si="22"/>
        <v>_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1" t="str">
        <f>"owner=" &amp; Tokens!BS771 &amp; "&amp;filename_for_metadata=" &amp; Tokens!BT771 &amp; "&amp;offchaindata_platform=" &amp; $B$17 &amp; "&amp;keyfile=" &amp; $B$5 &amp; "&amp;network=" &amp; LOWER($B$8) &amp; "&amp;repository=" &amp; $B$18</f>
        <v>owner=thomas&amp;filename_for_metadata=InCasa_COR22D608&amp;offchaindata_platform=MongoDB&amp;keyfile=Paul&amp;network=jsonfiles&amp;repository=test</v>
      </c>
      <c r="U771" s="1" t="str">
        <f t="shared" si="23"/>
        <v>{"name":"In Casa #608",_x000D_
"symbol":"COR22D608",_x000D_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1" s="1" t="str">
        <f>formatRow(Tokens!C$2:I$2,Tokens!C771:I771)</f>
        <v>"name":"In Casa #608",_x000D_
"symbol":"COR22D608",_x000D_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1" s="1" t="str">
        <f>formatRow(Tokens!J$2:AV$2,Tokens!J771:AV771,2,"attributes")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1" s="1" t="str">
        <f>formatRow(Tokens!AX$2:BC$2,Tokens!AX771:BC771,2,"creators")</f>
        <v>"creators":[{"address":"paul",_x000D_
"share":10},{"address":"sophie",_x000D_
"share":90}]</v>
      </c>
      <c r="Y771" s="1" t="str">
        <f>formatRow(Tokens!BD$2:BI$2,Tokens!BD771:BI771,2,"files")</f>
        <v>"files":[]</v>
      </c>
      <c r="Z771" s="1"/>
      <c r="AA771" s="1"/>
      <c r="AB771" s="1"/>
      <c r="AC771" s="1" t="str">
        <f>formatRow(Tokens!BJ$2:BK$2,Tokens!BJ771:BK771,0,"collection")</f>
        <v>"collection":{"name":"In Casa",_x000D_
"family":"Calvi On The Rocks"}</v>
      </c>
    </row>
    <row r="772" spans="5:29" ht="14.25" customHeight="1" x14ac:dyDescent="0.25">
      <c r="E772" s="17" t="str">
        <f>IF(Tokens!C772="","",Tokens!C772)</f>
        <v>In Casa #609</v>
      </c>
      <c r="F772"/>
      <c r="G772"/>
      <c r="H772"/>
      <c r="I772"/>
      <c r="J772"/>
      <c r="M772"/>
      <c r="N772"/>
      <c r="O772" s="15" t="str">
        <f t="shared" ref="O772:O835" si="24">IF(AND(ISNUMBER(N771),ISNUMBER(N772)),(N772-N771)*$O$1,"_")</f>
        <v>_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1" t="str">
        <f>"owner=" &amp; Tokens!BS772 &amp; "&amp;filename_for_metadata=" &amp; Tokens!BT772 &amp; "&amp;offchaindata_platform=" &amp; $B$17 &amp; "&amp;keyfile=" &amp; $B$5 &amp; "&amp;network=" &amp; LOWER($B$8) &amp; "&amp;repository=" &amp; $B$18</f>
        <v>owner=thomas&amp;filename_for_metadata=InCasa_COR22D609&amp;offchaindata_platform=MongoDB&amp;keyfile=Paul&amp;network=jsonfiles&amp;repository=test</v>
      </c>
      <c r="U772" s="1" t="str">
        <f t="shared" si="23"/>
        <v>{"name":"In Casa #609",_x000D_
"symbol":"COR22D609",_x000D_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2" s="1" t="str">
        <f>formatRow(Tokens!C$2:I$2,Tokens!C772:I772)</f>
        <v>"name":"In Casa #609",_x000D_
"symbol":"COR22D609",_x000D_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2" s="1" t="str">
        <f>formatRow(Tokens!J$2:AV$2,Tokens!J772:AV772,2,"attributes")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2" s="1" t="str">
        <f>formatRow(Tokens!AX$2:BC$2,Tokens!AX772:BC772,2,"creators")</f>
        <v>"creators":[{"address":"paul",_x000D_
"share":10},{"address":"sophie",_x000D_
"share":90}]</v>
      </c>
      <c r="Y772" s="1" t="str">
        <f>formatRow(Tokens!BD$2:BI$2,Tokens!BD772:BI772,2,"files")</f>
        <v>"files":[]</v>
      </c>
      <c r="Z772" s="1"/>
      <c r="AA772" s="1"/>
      <c r="AB772" s="1"/>
      <c r="AC772" s="1" t="str">
        <f>formatRow(Tokens!BJ$2:BK$2,Tokens!BJ772:BK772,0,"collection")</f>
        <v>"collection":{"name":"In Casa",_x000D_
"family":"Calvi On The Rocks"}</v>
      </c>
    </row>
    <row r="773" spans="5:29" ht="14.25" customHeight="1" x14ac:dyDescent="0.25">
      <c r="E773" s="17" t="str">
        <f>IF(Tokens!C773="","",Tokens!C773)</f>
        <v>In Casa #610</v>
      </c>
      <c r="F773"/>
      <c r="G773"/>
      <c r="H773"/>
      <c r="I773"/>
      <c r="J773"/>
      <c r="M773"/>
      <c r="N773"/>
      <c r="O773" s="15" t="str">
        <f t="shared" si="24"/>
        <v>_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1" t="str">
        <f>"owner=" &amp; Tokens!BS773 &amp; "&amp;filename_for_metadata=" &amp; Tokens!BT773 &amp; "&amp;offchaindata_platform=" &amp; $B$17 &amp; "&amp;keyfile=" &amp; $B$5 &amp; "&amp;network=" &amp; LOWER($B$8) &amp; "&amp;repository=" &amp; $B$18</f>
        <v>owner=thomas&amp;filename_for_metadata=InCasa_COR22D610&amp;offchaindata_platform=MongoDB&amp;keyfile=Paul&amp;network=jsonfiles&amp;repository=test</v>
      </c>
      <c r="U773" s="1" t="str">
        <f t="shared" ref="U773:U836" si="25">"{" &amp; V773 &amp; "," &amp; W773 &amp; "," &amp; """properties"":{" &amp; X773 &amp; "," &amp; Y773 &amp; "}," &amp; AC773 &amp; "}"</f>
        <v>{"name":"In Casa #610",_x000D_
"symbol":"COR22D610",_x000D_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3" s="1" t="str">
        <f>formatRow(Tokens!C$2:I$2,Tokens!C773:I773)</f>
        <v>"name":"In Casa #610",_x000D_
"symbol":"COR22D610",_x000D_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3" s="1" t="str">
        <f>formatRow(Tokens!J$2:AV$2,Tokens!J773:AV773,2,"attributes")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3" s="1" t="str">
        <f>formatRow(Tokens!AX$2:BC$2,Tokens!AX773:BC773,2,"creators")</f>
        <v>"creators":[{"address":"paul",_x000D_
"share":10},{"address":"sophie",_x000D_
"share":90}]</v>
      </c>
      <c r="Y773" s="1" t="str">
        <f>formatRow(Tokens!BD$2:BI$2,Tokens!BD773:BI773,2,"files")</f>
        <v>"files":[]</v>
      </c>
      <c r="Z773" s="1"/>
      <c r="AA773" s="1"/>
      <c r="AB773" s="1"/>
      <c r="AC773" s="1" t="str">
        <f>formatRow(Tokens!BJ$2:BK$2,Tokens!BJ773:BK773,0,"collection")</f>
        <v>"collection":{"name":"In Casa",_x000D_
"family":"Calvi On The Rocks"}</v>
      </c>
    </row>
    <row r="774" spans="5:29" ht="14.25" customHeight="1" x14ac:dyDescent="0.25">
      <c r="E774" s="17" t="str">
        <f>IF(Tokens!C774="","",Tokens!C774)</f>
        <v>In Casa #611</v>
      </c>
      <c r="F774"/>
      <c r="G774"/>
      <c r="H774"/>
      <c r="I774"/>
      <c r="J774"/>
      <c r="M774"/>
      <c r="N774"/>
      <c r="O774" s="15" t="str">
        <f t="shared" si="24"/>
        <v>_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1" t="str">
        <f>"owner=" &amp; Tokens!BS774 &amp; "&amp;filename_for_metadata=" &amp; Tokens!BT774 &amp; "&amp;offchaindata_platform=" &amp; $B$17 &amp; "&amp;keyfile=" &amp; $B$5 &amp; "&amp;network=" &amp; LOWER($B$8) &amp; "&amp;repository=" &amp; $B$18</f>
        <v>owner=thomas&amp;filename_for_metadata=InCasa_COR22D611&amp;offchaindata_platform=MongoDB&amp;keyfile=Paul&amp;network=jsonfiles&amp;repository=test</v>
      </c>
      <c r="U774" s="1" t="str">
        <f t="shared" si="25"/>
        <v>{"name":"In Casa #611",_x000D_
"symbol":"COR22D611",_x000D_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4" s="1" t="str">
        <f>formatRow(Tokens!C$2:I$2,Tokens!C774:I774)</f>
        <v>"name":"In Casa #611",_x000D_
"symbol":"COR22D611",_x000D_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4" s="1" t="str">
        <f>formatRow(Tokens!J$2:AV$2,Tokens!J774:AV774,2,"attributes")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4" s="1" t="str">
        <f>formatRow(Tokens!AX$2:BC$2,Tokens!AX774:BC774,2,"creators")</f>
        <v>"creators":[{"address":"paul",_x000D_
"share":10},{"address":"sophie",_x000D_
"share":90}]</v>
      </c>
      <c r="Y774" s="1" t="str">
        <f>formatRow(Tokens!BD$2:BI$2,Tokens!BD774:BI774,2,"files")</f>
        <v>"files":[]</v>
      </c>
      <c r="Z774" s="1"/>
      <c r="AA774" s="1"/>
      <c r="AB774" s="1"/>
      <c r="AC774" s="1" t="str">
        <f>formatRow(Tokens!BJ$2:BK$2,Tokens!BJ774:BK774,0,"collection")</f>
        <v>"collection":{"name":"In Casa",_x000D_
"family":"Calvi On The Rocks"}</v>
      </c>
    </row>
    <row r="775" spans="5:29" ht="14.25" customHeight="1" x14ac:dyDescent="0.25">
      <c r="E775" s="17" t="str">
        <f>IF(Tokens!C775="","",Tokens!C775)</f>
        <v>In Casa #612</v>
      </c>
      <c r="F775"/>
      <c r="G775"/>
      <c r="H775"/>
      <c r="I775"/>
      <c r="J775"/>
      <c r="M775"/>
      <c r="N775"/>
      <c r="O775" s="15" t="str">
        <f t="shared" si="24"/>
        <v>_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1" t="str">
        <f>"owner=" &amp; Tokens!BS775 &amp; "&amp;filename_for_metadata=" &amp; Tokens!BT775 &amp; "&amp;offchaindata_platform=" &amp; $B$17 &amp; "&amp;keyfile=" &amp; $B$5 &amp; "&amp;network=" &amp; LOWER($B$8) &amp; "&amp;repository=" &amp; $B$18</f>
        <v>owner=thomas&amp;filename_for_metadata=InCasa_COR22D612&amp;offchaindata_platform=MongoDB&amp;keyfile=Paul&amp;network=jsonfiles&amp;repository=test</v>
      </c>
      <c r="U775" s="1" t="str">
        <f t="shared" si="25"/>
        <v>{"name":"In Casa #612",_x000D_
"symbol":"COR22D612",_x000D_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5" s="1" t="str">
        <f>formatRow(Tokens!C$2:I$2,Tokens!C775:I775)</f>
        <v>"name":"In Casa #612",_x000D_
"symbol":"COR22D612",_x000D_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5" s="1" t="str">
        <f>formatRow(Tokens!J$2:AV$2,Tokens!J775:AV775,2,"attributes")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5" s="1" t="str">
        <f>formatRow(Tokens!AX$2:BC$2,Tokens!AX775:BC775,2,"creators")</f>
        <v>"creators":[{"address":"paul",_x000D_
"share":10},{"address":"sophie",_x000D_
"share":90}]</v>
      </c>
      <c r="Y775" s="1" t="str">
        <f>formatRow(Tokens!BD$2:BI$2,Tokens!BD775:BI775,2,"files")</f>
        <v>"files":[]</v>
      </c>
      <c r="Z775" s="1"/>
      <c r="AA775" s="1"/>
      <c r="AB775" s="1"/>
      <c r="AC775" s="1" t="str">
        <f>formatRow(Tokens!BJ$2:BK$2,Tokens!BJ775:BK775,0,"collection")</f>
        <v>"collection":{"name":"In Casa",_x000D_
"family":"Calvi On The Rocks"}</v>
      </c>
    </row>
    <row r="776" spans="5:29" ht="14.25" customHeight="1" x14ac:dyDescent="0.25">
      <c r="E776" s="17" t="str">
        <f>IF(Tokens!C776="","",Tokens!C776)</f>
        <v>In Casa #613</v>
      </c>
      <c r="F776"/>
      <c r="G776"/>
      <c r="H776"/>
      <c r="I776"/>
      <c r="J776"/>
      <c r="M776"/>
      <c r="N776"/>
      <c r="O776" s="15" t="str">
        <f t="shared" si="24"/>
        <v>_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1" t="str">
        <f>"owner=" &amp; Tokens!BS776 &amp; "&amp;filename_for_metadata=" &amp; Tokens!BT776 &amp; "&amp;offchaindata_platform=" &amp; $B$17 &amp; "&amp;keyfile=" &amp; $B$5 &amp; "&amp;network=" &amp; LOWER($B$8) &amp; "&amp;repository=" &amp; $B$18</f>
        <v>owner=thomas&amp;filename_for_metadata=InCasa_COR22D613&amp;offchaindata_platform=MongoDB&amp;keyfile=Paul&amp;network=jsonfiles&amp;repository=test</v>
      </c>
      <c r="U776" s="1" t="str">
        <f t="shared" si="25"/>
        <v>{"name":"In Casa #613",_x000D_
"symbol":"COR22D613",_x000D_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6" s="1" t="str">
        <f>formatRow(Tokens!C$2:I$2,Tokens!C776:I776)</f>
        <v>"name":"In Casa #613",_x000D_
"symbol":"COR22D613",_x000D_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6" s="1" t="str">
        <f>formatRow(Tokens!J$2:AV$2,Tokens!J776:AV776,2,"attributes")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6" s="1" t="str">
        <f>formatRow(Tokens!AX$2:BC$2,Tokens!AX776:BC776,2,"creators")</f>
        <v>"creators":[{"address":"paul",_x000D_
"share":10},{"address":"sophie",_x000D_
"share":90}]</v>
      </c>
      <c r="Y776" s="1" t="str">
        <f>formatRow(Tokens!BD$2:BI$2,Tokens!BD776:BI776,2,"files")</f>
        <v>"files":[]</v>
      </c>
      <c r="Z776" s="1"/>
      <c r="AA776" s="1"/>
      <c r="AB776" s="1"/>
      <c r="AC776" s="1" t="str">
        <f>formatRow(Tokens!BJ$2:BK$2,Tokens!BJ776:BK776,0,"collection")</f>
        <v>"collection":{"name":"In Casa",_x000D_
"family":"Calvi On The Rocks"}</v>
      </c>
    </row>
    <row r="777" spans="5:29" ht="14.25" customHeight="1" x14ac:dyDescent="0.25">
      <c r="E777" s="17" t="str">
        <f>IF(Tokens!C777="","",Tokens!C777)</f>
        <v>In Casa #614</v>
      </c>
      <c r="F777"/>
      <c r="G777"/>
      <c r="H777"/>
      <c r="I777"/>
      <c r="J777"/>
      <c r="M777"/>
      <c r="N777"/>
      <c r="O777" s="15" t="str">
        <f t="shared" si="24"/>
        <v>_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1" t="str">
        <f>"owner=" &amp; Tokens!BS777 &amp; "&amp;filename_for_metadata=" &amp; Tokens!BT777 &amp; "&amp;offchaindata_platform=" &amp; $B$17 &amp; "&amp;keyfile=" &amp; $B$5 &amp; "&amp;network=" &amp; LOWER($B$8) &amp; "&amp;repository=" &amp; $B$18</f>
        <v>owner=thomas&amp;filename_for_metadata=InCasa_COR22D614&amp;offchaindata_platform=MongoDB&amp;keyfile=Paul&amp;network=jsonfiles&amp;repository=test</v>
      </c>
      <c r="U777" s="1" t="str">
        <f t="shared" si="25"/>
        <v>{"name":"In Casa #614",_x000D_
"symbol":"COR22D614",_x000D_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7" s="1" t="str">
        <f>formatRow(Tokens!C$2:I$2,Tokens!C777:I777)</f>
        <v>"name":"In Casa #614",_x000D_
"symbol":"COR22D614",_x000D_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7" s="1" t="str">
        <f>formatRow(Tokens!J$2:AV$2,Tokens!J777:AV777,2,"attributes")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7" s="1" t="str">
        <f>formatRow(Tokens!AX$2:BC$2,Tokens!AX777:BC777,2,"creators")</f>
        <v>"creators":[{"address":"paul",_x000D_
"share":10},{"address":"sophie",_x000D_
"share":90}]</v>
      </c>
      <c r="Y777" s="1" t="str">
        <f>formatRow(Tokens!BD$2:BI$2,Tokens!BD777:BI777,2,"files")</f>
        <v>"files":[]</v>
      </c>
      <c r="Z777" s="1"/>
      <c r="AA777" s="1"/>
      <c r="AB777" s="1"/>
      <c r="AC777" s="1" t="str">
        <f>formatRow(Tokens!BJ$2:BK$2,Tokens!BJ777:BK777,0,"collection")</f>
        <v>"collection":{"name":"In Casa",_x000D_
"family":"Calvi On The Rocks"}</v>
      </c>
    </row>
    <row r="778" spans="5:29" ht="14.25" customHeight="1" x14ac:dyDescent="0.25">
      <c r="E778" s="17" t="str">
        <f>IF(Tokens!C778="","",Tokens!C778)</f>
        <v>In Casa #615</v>
      </c>
      <c r="F778"/>
      <c r="G778"/>
      <c r="H778"/>
      <c r="I778"/>
      <c r="J778"/>
      <c r="M778"/>
      <c r="N778"/>
      <c r="O778" s="15" t="str">
        <f t="shared" si="24"/>
        <v>_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1" t="str">
        <f>"owner=" &amp; Tokens!BS778 &amp; "&amp;filename_for_metadata=" &amp; Tokens!BT778 &amp; "&amp;offchaindata_platform=" &amp; $B$17 &amp; "&amp;keyfile=" &amp; $B$5 &amp; "&amp;network=" &amp; LOWER($B$8) &amp; "&amp;repository=" &amp; $B$18</f>
        <v>owner=thomas&amp;filename_for_metadata=InCasa_COR22D615&amp;offchaindata_platform=MongoDB&amp;keyfile=Paul&amp;network=jsonfiles&amp;repository=test</v>
      </c>
      <c r="U778" s="1" t="str">
        <f t="shared" si="25"/>
        <v>{"name":"In Casa #615",_x000D_
"symbol":"COR22D615",_x000D_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8" s="1" t="str">
        <f>formatRow(Tokens!C$2:I$2,Tokens!C778:I778)</f>
        <v>"name":"In Casa #615",_x000D_
"symbol":"COR22D615",_x000D_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8" s="1" t="str">
        <f>formatRow(Tokens!J$2:AV$2,Tokens!J778:AV778,2,"attributes")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8" s="1" t="str">
        <f>formatRow(Tokens!AX$2:BC$2,Tokens!AX778:BC778,2,"creators")</f>
        <v>"creators":[{"address":"paul",_x000D_
"share":10},{"address":"sophie",_x000D_
"share":90}]</v>
      </c>
      <c r="Y778" s="1" t="str">
        <f>formatRow(Tokens!BD$2:BI$2,Tokens!BD778:BI778,2,"files")</f>
        <v>"files":[]</v>
      </c>
      <c r="Z778" s="1"/>
      <c r="AA778" s="1"/>
      <c r="AB778" s="1"/>
      <c r="AC778" s="1" t="str">
        <f>formatRow(Tokens!BJ$2:BK$2,Tokens!BJ778:BK778,0,"collection")</f>
        <v>"collection":{"name":"In Casa",_x000D_
"family":"Calvi On The Rocks"}</v>
      </c>
    </row>
    <row r="779" spans="5:29" ht="14.25" customHeight="1" x14ac:dyDescent="0.25">
      <c r="E779" s="17" t="str">
        <f>IF(Tokens!C779="","",Tokens!C779)</f>
        <v>In Casa #616</v>
      </c>
      <c r="F779"/>
      <c r="G779"/>
      <c r="H779"/>
      <c r="I779"/>
      <c r="J779"/>
      <c r="M779"/>
      <c r="N779"/>
      <c r="O779" s="15" t="str">
        <f t="shared" si="24"/>
        <v>_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1" t="str">
        <f>"owner=" &amp; Tokens!BS779 &amp; "&amp;filename_for_metadata=" &amp; Tokens!BT779 &amp; "&amp;offchaindata_platform=" &amp; $B$17 &amp; "&amp;keyfile=" &amp; $B$5 &amp; "&amp;network=" &amp; LOWER($B$8) &amp; "&amp;repository=" &amp; $B$18</f>
        <v>owner=thomas&amp;filename_for_metadata=InCasa_COR22D616&amp;offchaindata_platform=MongoDB&amp;keyfile=Paul&amp;network=jsonfiles&amp;repository=test</v>
      </c>
      <c r="U779" s="1" t="str">
        <f t="shared" si="25"/>
        <v>{"name":"In Casa #616",_x000D_
"symbol":"COR22D616",_x000D_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79" s="1" t="str">
        <f>formatRow(Tokens!C$2:I$2,Tokens!C779:I779)</f>
        <v>"name":"In Casa #616",_x000D_
"symbol":"COR22D616",_x000D_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79" s="1" t="str">
        <f>formatRow(Tokens!J$2:AV$2,Tokens!J779:AV779,2,"attributes")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79" s="1" t="str">
        <f>formatRow(Tokens!AX$2:BC$2,Tokens!AX779:BC779,2,"creators")</f>
        <v>"creators":[{"address":"paul",_x000D_
"share":10},{"address":"sophie",_x000D_
"share":90}]</v>
      </c>
      <c r="Y779" s="1" t="str">
        <f>formatRow(Tokens!BD$2:BI$2,Tokens!BD779:BI779,2,"files")</f>
        <v>"files":[]</v>
      </c>
      <c r="Z779" s="1"/>
      <c r="AA779" s="1"/>
      <c r="AB779" s="1"/>
      <c r="AC779" s="1" t="str">
        <f>formatRow(Tokens!BJ$2:BK$2,Tokens!BJ779:BK779,0,"collection")</f>
        <v>"collection":{"name":"In Casa",_x000D_
"family":"Calvi On The Rocks"}</v>
      </c>
    </row>
    <row r="780" spans="5:29" ht="14.25" customHeight="1" x14ac:dyDescent="0.25">
      <c r="E780" s="17" t="str">
        <f>IF(Tokens!C780="","",Tokens!C780)</f>
        <v>In Casa #617</v>
      </c>
      <c r="F780"/>
      <c r="G780"/>
      <c r="H780"/>
      <c r="I780"/>
      <c r="J780"/>
      <c r="M780"/>
      <c r="N780"/>
      <c r="O780" s="15" t="str">
        <f t="shared" si="24"/>
        <v>_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1" t="str">
        <f>"owner=" &amp; Tokens!BS780 &amp; "&amp;filename_for_metadata=" &amp; Tokens!BT780 &amp; "&amp;offchaindata_platform=" &amp; $B$17 &amp; "&amp;keyfile=" &amp; $B$5 &amp; "&amp;network=" &amp; LOWER($B$8) &amp; "&amp;repository=" &amp; $B$18</f>
        <v>owner=thomas&amp;filename_for_metadata=InCasa_COR22D617&amp;offchaindata_platform=MongoDB&amp;keyfile=Paul&amp;network=jsonfiles&amp;repository=test</v>
      </c>
      <c r="U780" s="1" t="str">
        <f t="shared" si="25"/>
        <v>{"name":"In Casa #617",_x000D_
"symbol":"COR22D617",_x000D_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0" s="1" t="str">
        <f>formatRow(Tokens!C$2:I$2,Tokens!C780:I780)</f>
        <v>"name":"In Casa #617",_x000D_
"symbol":"COR22D617",_x000D_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0" s="1" t="str">
        <f>formatRow(Tokens!J$2:AV$2,Tokens!J780:AV780,2,"attributes")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0" s="1" t="str">
        <f>formatRow(Tokens!AX$2:BC$2,Tokens!AX780:BC780,2,"creators")</f>
        <v>"creators":[{"address":"paul",_x000D_
"share":10},{"address":"sophie",_x000D_
"share":90}]</v>
      </c>
      <c r="Y780" s="1" t="str">
        <f>formatRow(Tokens!BD$2:BI$2,Tokens!BD780:BI780,2,"files")</f>
        <v>"files":[]</v>
      </c>
      <c r="Z780" s="1"/>
      <c r="AA780" s="1"/>
      <c r="AB780" s="1"/>
      <c r="AC780" s="1" t="str">
        <f>formatRow(Tokens!BJ$2:BK$2,Tokens!BJ780:BK780,0,"collection")</f>
        <v>"collection":{"name":"In Casa",_x000D_
"family":"Calvi On The Rocks"}</v>
      </c>
    </row>
    <row r="781" spans="5:29" ht="14.25" customHeight="1" x14ac:dyDescent="0.25">
      <c r="E781" s="17" t="str">
        <f>IF(Tokens!C781="","",Tokens!C781)</f>
        <v>In Casa #618</v>
      </c>
      <c r="F781"/>
      <c r="G781"/>
      <c r="H781"/>
      <c r="I781"/>
      <c r="J781"/>
      <c r="M781"/>
      <c r="N781"/>
      <c r="O781" s="15" t="str">
        <f t="shared" si="24"/>
        <v>_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1" t="str">
        <f>"owner=" &amp; Tokens!BS781 &amp; "&amp;filename_for_metadata=" &amp; Tokens!BT781 &amp; "&amp;offchaindata_platform=" &amp; $B$17 &amp; "&amp;keyfile=" &amp; $B$5 &amp; "&amp;network=" &amp; LOWER($B$8) &amp; "&amp;repository=" &amp; $B$18</f>
        <v>owner=thomas&amp;filename_for_metadata=InCasa_COR22D618&amp;offchaindata_platform=MongoDB&amp;keyfile=Paul&amp;network=jsonfiles&amp;repository=test</v>
      </c>
      <c r="U781" s="1" t="str">
        <f t="shared" si="25"/>
        <v>{"name":"In Casa #618",_x000D_
"symbol":"COR22D618",_x000D_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1" s="1" t="str">
        <f>formatRow(Tokens!C$2:I$2,Tokens!C781:I781)</f>
        <v>"name":"In Casa #618",_x000D_
"symbol":"COR22D618",_x000D_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1" s="1" t="str">
        <f>formatRow(Tokens!J$2:AV$2,Tokens!J781:AV781,2,"attributes")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1" s="1" t="str">
        <f>formatRow(Tokens!AX$2:BC$2,Tokens!AX781:BC781,2,"creators")</f>
        <v>"creators":[{"address":"paul",_x000D_
"share":10},{"address":"sophie",_x000D_
"share":90}]</v>
      </c>
      <c r="Y781" s="1" t="str">
        <f>formatRow(Tokens!BD$2:BI$2,Tokens!BD781:BI781,2,"files")</f>
        <v>"files":[]</v>
      </c>
      <c r="Z781" s="1"/>
      <c r="AA781" s="1"/>
      <c r="AB781" s="1"/>
      <c r="AC781" s="1" t="str">
        <f>formatRow(Tokens!BJ$2:BK$2,Tokens!BJ781:BK781,0,"collection")</f>
        <v>"collection":{"name":"In Casa",_x000D_
"family":"Calvi On The Rocks"}</v>
      </c>
    </row>
    <row r="782" spans="5:29" ht="14.25" customHeight="1" x14ac:dyDescent="0.25">
      <c r="E782" s="17" t="str">
        <f>IF(Tokens!C782="","",Tokens!C782)</f>
        <v>In Casa #619</v>
      </c>
      <c r="F782"/>
      <c r="G782"/>
      <c r="H782"/>
      <c r="I782"/>
      <c r="J782"/>
      <c r="M782"/>
      <c r="N782"/>
      <c r="O782" s="15" t="str">
        <f t="shared" si="24"/>
        <v>_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1" t="str">
        <f>"owner=" &amp; Tokens!BS782 &amp; "&amp;filename_for_metadata=" &amp; Tokens!BT782 &amp; "&amp;offchaindata_platform=" &amp; $B$17 &amp; "&amp;keyfile=" &amp; $B$5 &amp; "&amp;network=" &amp; LOWER($B$8) &amp; "&amp;repository=" &amp; $B$18</f>
        <v>owner=thomas&amp;filename_for_metadata=InCasa_COR22D619&amp;offchaindata_platform=MongoDB&amp;keyfile=Paul&amp;network=jsonfiles&amp;repository=test</v>
      </c>
      <c r="U782" s="1" t="str">
        <f t="shared" si="25"/>
        <v>{"name":"In Casa #619",_x000D_
"symbol":"COR22D619",_x000D_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2" s="1" t="str">
        <f>formatRow(Tokens!C$2:I$2,Tokens!C782:I782)</f>
        <v>"name":"In Casa #619",_x000D_
"symbol":"COR22D619",_x000D_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2" s="1" t="str">
        <f>formatRow(Tokens!J$2:AV$2,Tokens!J782:AV782,2,"attributes")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2" s="1" t="str">
        <f>formatRow(Tokens!AX$2:BC$2,Tokens!AX782:BC782,2,"creators")</f>
        <v>"creators":[{"address":"paul",_x000D_
"share":10},{"address":"sophie",_x000D_
"share":90}]</v>
      </c>
      <c r="Y782" s="1" t="str">
        <f>formatRow(Tokens!BD$2:BI$2,Tokens!BD782:BI782,2,"files")</f>
        <v>"files":[]</v>
      </c>
      <c r="Z782" s="1"/>
      <c r="AA782" s="1"/>
      <c r="AB782" s="1"/>
      <c r="AC782" s="1" t="str">
        <f>formatRow(Tokens!BJ$2:BK$2,Tokens!BJ782:BK782,0,"collection")</f>
        <v>"collection":{"name":"In Casa",_x000D_
"family":"Calvi On The Rocks"}</v>
      </c>
    </row>
    <row r="783" spans="5:29" ht="14.25" customHeight="1" x14ac:dyDescent="0.25">
      <c r="E783" s="17" t="str">
        <f>IF(Tokens!C783="","",Tokens!C783)</f>
        <v>In Casa #620</v>
      </c>
      <c r="F783"/>
      <c r="G783"/>
      <c r="H783"/>
      <c r="I783"/>
      <c r="J783"/>
      <c r="M783"/>
      <c r="N783"/>
      <c r="O783" s="15" t="str">
        <f t="shared" si="24"/>
        <v>_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1" t="str">
        <f>"owner=" &amp; Tokens!BS783 &amp; "&amp;filename_for_metadata=" &amp; Tokens!BT783 &amp; "&amp;offchaindata_platform=" &amp; $B$17 &amp; "&amp;keyfile=" &amp; $B$5 &amp; "&amp;network=" &amp; LOWER($B$8) &amp; "&amp;repository=" &amp; $B$18</f>
        <v>owner=thomas&amp;filename_for_metadata=InCasa_COR22D620&amp;offchaindata_platform=MongoDB&amp;keyfile=Paul&amp;network=jsonfiles&amp;repository=test</v>
      </c>
      <c r="U783" s="1" t="str">
        <f t="shared" si="25"/>
        <v>{"name":"In Casa #620",_x000D_
"symbol":"COR22D620",_x000D_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3" s="1" t="str">
        <f>formatRow(Tokens!C$2:I$2,Tokens!C783:I783)</f>
        <v>"name":"In Casa #620",_x000D_
"symbol":"COR22D620",_x000D_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3" s="1" t="str">
        <f>formatRow(Tokens!J$2:AV$2,Tokens!J783:AV783,2,"attributes")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3" s="1" t="str">
        <f>formatRow(Tokens!AX$2:BC$2,Tokens!AX783:BC783,2,"creators")</f>
        <v>"creators":[{"address":"paul",_x000D_
"share":10},{"address":"sophie",_x000D_
"share":90}]</v>
      </c>
      <c r="Y783" s="1" t="str">
        <f>formatRow(Tokens!BD$2:BI$2,Tokens!BD783:BI783,2,"files")</f>
        <v>"files":[]</v>
      </c>
      <c r="Z783" s="1"/>
      <c r="AA783" s="1"/>
      <c r="AB783" s="1"/>
      <c r="AC783" s="1" t="str">
        <f>formatRow(Tokens!BJ$2:BK$2,Tokens!BJ783:BK783,0,"collection")</f>
        <v>"collection":{"name":"In Casa",_x000D_
"family":"Calvi On The Rocks"}</v>
      </c>
    </row>
    <row r="784" spans="5:29" ht="14.25" customHeight="1" x14ac:dyDescent="0.25">
      <c r="E784" s="17" t="str">
        <f>IF(Tokens!C784="","",Tokens!C784)</f>
        <v>In Casa #621</v>
      </c>
      <c r="F784"/>
      <c r="G784"/>
      <c r="H784"/>
      <c r="I784"/>
      <c r="J784"/>
      <c r="M784"/>
      <c r="N784"/>
      <c r="O784" s="15" t="str">
        <f t="shared" si="24"/>
        <v>_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1" t="str">
        <f>"owner=" &amp; Tokens!BS784 &amp; "&amp;filename_for_metadata=" &amp; Tokens!BT784 &amp; "&amp;offchaindata_platform=" &amp; $B$17 &amp; "&amp;keyfile=" &amp; $B$5 &amp; "&amp;network=" &amp; LOWER($B$8) &amp; "&amp;repository=" &amp; $B$18</f>
        <v>owner=thomas&amp;filename_for_metadata=InCasa_COR22D621&amp;offchaindata_platform=MongoDB&amp;keyfile=Paul&amp;network=jsonfiles&amp;repository=test</v>
      </c>
      <c r="U784" s="1" t="str">
        <f t="shared" si="25"/>
        <v>{"name":"In Casa #621",_x000D_
"symbol":"COR22D621",_x000D_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4" s="1" t="str">
        <f>formatRow(Tokens!C$2:I$2,Tokens!C784:I784)</f>
        <v>"name":"In Casa #621",_x000D_
"symbol":"COR22D621",_x000D_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4" s="1" t="str">
        <f>formatRow(Tokens!J$2:AV$2,Tokens!J784:AV784,2,"attributes")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4" s="1" t="str">
        <f>formatRow(Tokens!AX$2:BC$2,Tokens!AX784:BC784,2,"creators")</f>
        <v>"creators":[{"address":"paul",_x000D_
"share":10},{"address":"sophie",_x000D_
"share":90}]</v>
      </c>
      <c r="Y784" s="1" t="str">
        <f>formatRow(Tokens!BD$2:BI$2,Tokens!BD784:BI784,2,"files")</f>
        <v>"files":[]</v>
      </c>
      <c r="Z784" s="1"/>
      <c r="AA784" s="1"/>
      <c r="AB784" s="1"/>
      <c r="AC784" s="1" t="str">
        <f>formatRow(Tokens!BJ$2:BK$2,Tokens!BJ784:BK784,0,"collection")</f>
        <v>"collection":{"name":"In Casa",_x000D_
"family":"Calvi On The Rocks"}</v>
      </c>
    </row>
    <row r="785" spans="5:29" ht="14.25" customHeight="1" x14ac:dyDescent="0.25">
      <c r="E785" s="17" t="str">
        <f>IF(Tokens!C785="","",Tokens!C785)</f>
        <v>In Casa #622</v>
      </c>
      <c r="F785"/>
      <c r="G785"/>
      <c r="H785"/>
      <c r="I785"/>
      <c r="J785"/>
      <c r="M785"/>
      <c r="N785"/>
      <c r="O785" s="15" t="str">
        <f t="shared" si="24"/>
        <v>_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1" t="str">
        <f>"owner=" &amp; Tokens!BS785 &amp; "&amp;filename_for_metadata=" &amp; Tokens!BT785 &amp; "&amp;offchaindata_platform=" &amp; $B$17 &amp; "&amp;keyfile=" &amp; $B$5 &amp; "&amp;network=" &amp; LOWER($B$8) &amp; "&amp;repository=" &amp; $B$18</f>
        <v>owner=thomas&amp;filename_for_metadata=InCasa_COR22D622&amp;offchaindata_platform=MongoDB&amp;keyfile=Paul&amp;network=jsonfiles&amp;repository=test</v>
      </c>
      <c r="U785" s="1" t="str">
        <f t="shared" si="25"/>
        <v>{"name":"In Casa #622",_x000D_
"symbol":"COR22D622",_x000D_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5" s="1" t="str">
        <f>formatRow(Tokens!C$2:I$2,Tokens!C785:I785)</f>
        <v>"name":"In Casa #622",_x000D_
"symbol":"COR22D622",_x000D_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5" s="1" t="str">
        <f>formatRow(Tokens!J$2:AV$2,Tokens!J785:AV785,2,"attributes")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5" s="1" t="str">
        <f>formatRow(Tokens!AX$2:BC$2,Tokens!AX785:BC785,2,"creators")</f>
        <v>"creators":[{"address":"paul",_x000D_
"share":10},{"address":"sophie",_x000D_
"share":90}]</v>
      </c>
      <c r="Y785" s="1" t="str">
        <f>formatRow(Tokens!BD$2:BI$2,Tokens!BD785:BI785,2,"files")</f>
        <v>"files":[]</v>
      </c>
      <c r="Z785" s="1"/>
      <c r="AA785" s="1"/>
      <c r="AB785" s="1"/>
      <c r="AC785" s="1" t="str">
        <f>formatRow(Tokens!BJ$2:BK$2,Tokens!BJ785:BK785,0,"collection")</f>
        <v>"collection":{"name":"In Casa",_x000D_
"family":"Calvi On The Rocks"}</v>
      </c>
    </row>
    <row r="786" spans="5:29" ht="14.25" customHeight="1" x14ac:dyDescent="0.25">
      <c r="E786" s="17" t="str">
        <f>IF(Tokens!C786="","",Tokens!C786)</f>
        <v>In Casa #623</v>
      </c>
      <c r="F786"/>
      <c r="G786"/>
      <c r="H786"/>
      <c r="I786"/>
      <c r="J786"/>
      <c r="M786"/>
      <c r="N786"/>
      <c r="O786" s="15" t="str">
        <f t="shared" si="24"/>
        <v>_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1" t="str">
        <f>"owner=" &amp; Tokens!BS786 &amp; "&amp;filename_for_metadata=" &amp; Tokens!BT786 &amp; "&amp;offchaindata_platform=" &amp; $B$17 &amp; "&amp;keyfile=" &amp; $B$5 &amp; "&amp;network=" &amp; LOWER($B$8) &amp; "&amp;repository=" &amp; $B$18</f>
        <v>owner=thomas&amp;filename_for_metadata=InCasa_COR22D623&amp;offchaindata_platform=MongoDB&amp;keyfile=Paul&amp;network=jsonfiles&amp;repository=test</v>
      </c>
      <c r="U786" s="1" t="str">
        <f t="shared" si="25"/>
        <v>{"name":"In Casa #623",_x000D_
"symbol":"COR22D623",_x000D_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6" s="1" t="str">
        <f>formatRow(Tokens!C$2:I$2,Tokens!C786:I786)</f>
        <v>"name":"In Casa #623",_x000D_
"symbol":"COR22D623",_x000D_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6" s="1" t="str">
        <f>formatRow(Tokens!J$2:AV$2,Tokens!J786:AV786,2,"attributes")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6" s="1" t="str">
        <f>formatRow(Tokens!AX$2:BC$2,Tokens!AX786:BC786,2,"creators")</f>
        <v>"creators":[{"address":"paul",_x000D_
"share":10},{"address":"sophie",_x000D_
"share":90}]</v>
      </c>
      <c r="Y786" s="1" t="str">
        <f>formatRow(Tokens!BD$2:BI$2,Tokens!BD786:BI786,2,"files")</f>
        <v>"files":[]</v>
      </c>
      <c r="Z786" s="1"/>
      <c r="AA786" s="1"/>
      <c r="AB786" s="1"/>
      <c r="AC786" s="1" t="str">
        <f>formatRow(Tokens!BJ$2:BK$2,Tokens!BJ786:BK786,0,"collection")</f>
        <v>"collection":{"name":"In Casa",_x000D_
"family":"Calvi On The Rocks"}</v>
      </c>
    </row>
    <row r="787" spans="5:29" ht="14.25" customHeight="1" x14ac:dyDescent="0.25">
      <c r="E787" s="17" t="str">
        <f>IF(Tokens!C787="","",Tokens!C787)</f>
        <v>In Casa #624</v>
      </c>
      <c r="F787"/>
      <c r="G787"/>
      <c r="H787"/>
      <c r="I787"/>
      <c r="J787"/>
      <c r="M787"/>
      <c r="N787"/>
      <c r="O787" s="15" t="str">
        <f t="shared" si="24"/>
        <v>_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1" t="str">
        <f>"owner=" &amp; Tokens!BS787 &amp; "&amp;filename_for_metadata=" &amp; Tokens!BT787 &amp; "&amp;offchaindata_platform=" &amp; $B$17 &amp; "&amp;keyfile=" &amp; $B$5 &amp; "&amp;network=" &amp; LOWER($B$8) &amp; "&amp;repository=" &amp; $B$18</f>
        <v>owner=thomas&amp;filename_for_metadata=InCasa_COR22D624&amp;offchaindata_platform=MongoDB&amp;keyfile=Paul&amp;network=jsonfiles&amp;repository=test</v>
      </c>
      <c r="U787" s="1" t="str">
        <f t="shared" si="25"/>
        <v>{"name":"In Casa #624",_x000D_
"symbol":"COR22D624",_x000D_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7" s="1" t="str">
        <f>formatRow(Tokens!C$2:I$2,Tokens!C787:I787)</f>
        <v>"name":"In Casa #624",_x000D_
"symbol":"COR22D624",_x000D_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7" s="1" t="str">
        <f>formatRow(Tokens!J$2:AV$2,Tokens!J787:AV787,2,"attributes")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7" s="1" t="str">
        <f>formatRow(Tokens!AX$2:BC$2,Tokens!AX787:BC787,2,"creators")</f>
        <v>"creators":[{"address":"paul",_x000D_
"share":10},{"address":"sophie",_x000D_
"share":90}]</v>
      </c>
      <c r="Y787" s="1" t="str">
        <f>formatRow(Tokens!BD$2:BI$2,Tokens!BD787:BI787,2,"files")</f>
        <v>"files":[]</v>
      </c>
      <c r="Z787" s="1"/>
      <c r="AA787" s="1"/>
      <c r="AB787" s="1"/>
      <c r="AC787" s="1" t="str">
        <f>formatRow(Tokens!BJ$2:BK$2,Tokens!BJ787:BK787,0,"collection")</f>
        <v>"collection":{"name":"In Casa",_x000D_
"family":"Calvi On The Rocks"}</v>
      </c>
    </row>
    <row r="788" spans="5:29" ht="14.25" customHeight="1" x14ac:dyDescent="0.25">
      <c r="E788" s="17" t="str">
        <f>IF(Tokens!C788="","",Tokens!C788)</f>
        <v>In Casa #625</v>
      </c>
      <c r="F788"/>
      <c r="G788"/>
      <c r="H788"/>
      <c r="I788"/>
      <c r="J788"/>
      <c r="M788"/>
      <c r="N788"/>
      <c r="O788" s="15" t="str">
        <f t="shared" si="24"/>
        <v>_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1" t="str">
        <f>"owner=" &amp; Tokens!BS788 &amp; "&amp;filename_for_metadata=" &amp; Tokens!BT788 &amp; "&amp;offchaindata_platform=" &amp; $B$17 &amp; "&amp;keyfile=" &amp; $B$5 &amp; "&amp;network=" &amp; LOWER($B$8) &amp; "&amp;repository=" &amp; $B$18</f>
        <v>owner=thomas&amp;filename_for_metadata=InCasa_COR22D625&amp;offchaindata_platform=MongoDB&amp;keyfile=Paul&amp;network=jsonfiles&amp;repository=test</v>
      </c>
      <c r="U788" s="1" t="str">
        <f t="shared" si="25"/>
        <v>{"name":"In Casa #625",_x000D_
"symbol":"COR22D625",_x000D_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8" s="1" t="str">
        <f>formatRow(Tokens!C$2:I$2,Tokens!C788:I788)</f>
        <v>"name":"In Casa #625",_x000D_
"symbol":"COR22D625",_x000D_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8" s="1" t="str">
        <f>formatRow(Tokens!J$2:AV$2,Tokens!J788:AV788,2,"attributes")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8" s="1" t="str">
        <f>formatRow(Tokens!AX$2:BC$2,Tokens!AX788:BC788,2,"creators")</f>
        <v>"creators":[{"address":"paul",_x000D_
"share":10},{"address":"sophie",_x000D_
"share":90}]</v>
      </c>
      <c r="Y788" s="1" t="str">
        <f>formatRow(Tokens!BD$2:BI$2,Tokens!BD788:BI788,2,"files")</f>
        <v>"files":[]</v>
      </c>
      <c r="Z788" s="1"/>
      <c r="AA788" s="1"/>
      <c r="AB788" s="1"/>
      <c r="AC788" s="1" t="str">
        <f>formatRow(Tokens!BJ$2:BK$2,Tokens!BJ788:BK788,0,"collection")</f>
        <v>"collection":{"name":"In Casa",_x000D_
"family":"Calvi On The Rocks"}</v>
      </c>
    </row>
    <row r="789" spans="5:29" ht="14.25" customHeight="1" x14ac:dyDescent="0.25">
      <c r="E789" s="17" t="str">
        <f>IF(Tokens!C789="","",Tokens!C789)</f>
        <v>In Casa #626</v>
      </c>
      <c r="F789"/>
      <c r="G789"/>
      <c r="H789"/>
      <c r="I789"/>
      <c r="J789"/>
      <c r="M789"/>
      <c r="N789"/>
      <c r="O789" s="15" t="str">
        <f t="shared" si="24"/>
        <v>_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1" t="str">
        <f>"owner=" &amp; Tokens!BS789 &amp; "&amp;filename_for_metadata=" &amp; Tokens!BT789 &amp; "&amp;offchaindata_platform=" &amp; $B$17 &amp; "&amp;keyfile=" &amp; $B$5 &amp; "&amp;network=" &amp; LOWER($B$8) &amp; "&amp;repository=" &amp; $B$18</f>
        <v>owner=thomas&amp;filename_for_metadata=InCasa_COR22D626&amp;offchaindata_platform=MongoDB&amp;keyfile=Paul&amp;network=jsonfiles&amp;repository=test</v>
      </c>
      <c r="U789" s="1" t="str">
        <f t="shared" si="25"/>
        <v>{"name":"In Casa #626",_x000D_
"symbol":"COR22D626",_x000D_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89" s="1" t="str">
        <f>formatRow(Tokens!C$2:I$2,Tokens!C789:I789)</f>
        <v>"name":"In Casa #626",_x000D_
"symbol":"COR22D626",_x000D_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89" s="1" t="str">
        <f>formatRow(Tokens!J$2:AV$2,Tokens!J789:AV789,2,"attributes")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89" s="1" t="str">
        <f>formatRow(Tokens!AX$2:BC$2,Tokens!AX789:BC789,2,"creators")</f>
        <v>"creators":[{"address":"paul",_x000D_
"share":10},{"address":"sophie",_x000D_
"share":90}]</v>
      </c>
      <c r="Y789" s="1" t="str">
        <f>formatRow(Tokens!BD$2:BI$2,Tokens!BD789:BI789,2,"files")</f>
        <v>"files":[]</v>
      </c>
      <c r="Z789" s="1"/>
      <c r="AA789" s="1"/>
      <c r="AB789" s="1"/>
      <c r="AC789" s="1" t="str">
        <f>formatRow(Tokens!BJ$2:BK$2,Tokens!BJ789:BK789,0,"collection")</f>
        <v>"collection":{"name":"In Casa",_x000D_
"family":"Calvi On The Rocks"}</v>
      </c>
    </row>
    <row r="790" spans="5:29" ht="14.25" customHeight="1" x14ac:dyDescent="0.25">
      <c r="E790" s="17" t="str">
        <f>IF(Tokens!C790="","",Tokens!C790)</f>
        <v>In Casa #627</v>
      </c>
      <c r="F790"/>
      <c r="G790"/>
      <c r="H790"/>
      <c r="I790"/>
      <c r="J790"/>
      <c r="M790"/>
      <c r="N790"/>
      <c r="O790" s="15" t="str">
        <f t="shared" si="24"/>
        <v>_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1" t="str">
        <f>"owner=" &amp; Tokens!BS790 &amp; "&amp;filename_for_metadata=" &amp; Tokens!BT790 &amp; "&amp;offchaindata_platform=" &amp; $B$17 &amp; "&amp;keyfile=" &amp; $B$5 &amp; "&amp;network=" &amp; LOWER($B$8) &amp; "&amp;repository=" &amp; $B$18</f>
        <v>owner=thomas&amp;filename_for_metadata=InCasa_COR22D627&amp;offchaindata_platform=MongoDB&amp;keyfile=Paul&amp;network=jsonfiles&amp;repository=test</v>
      </c>
      <c r="U790" s="1" t="str">
        <f t="shared" si="25"/>
        <v>{"name":"In Casa #627",_x000D_
"symbol":"COR22D627",_x000D_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0" s="1" t="str">
        <f>formatRow(Tokens!C$2:I$2,Tokens!C790:I790)</f>
        <v>"name":"In Casa #627",_x000D_
"symbol":"COR22D627",_x000D_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0" s="1" t="str">
        <f>formatRow(Tokens!J$2:AV$2,Tokens!J790:AV790,2,"attributes")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0" s="1" t="str">
        <f>formatRow(Tokens!AX$2:BC$2,Tokens!AX790:BC790,2,"creators")</f>
        <v>"creators":[{"address":"paul",_x000D_
"share":10},{"address":"sophie",_x000D_
"share":90}]</v>
      </c>
      <c r="Y790" s="1" t="str">
        <f>formatRow(Tokens!BD$2:BI$2,Tokens!BD790:BI790,2,"files")</f>
        <v>"files":[]</v>
      </c>
      <c r="Z790" s="1"/>
      <c r="AA790" s="1"/>
      <c r="AB790" s="1"/>
      <c r="AC790" s="1" t="str">
        <f>formatRow(Tokens!BJ$2:BK$2,Tokens!BJ790:BK790,0,"collection")</f>
        <v>"collection":{"name":"In Casa",_x000D_
"family":"Calvi On The Rocks"}</v>
      </c>
    </row>
    <row r="791" spans="5:29" ht="14.25" customHeight="1" x14ac:dyDescent="0.25">
      <c r="E791" s="17" t="str">
        <f>IF(Tokens!C791="","",Tokens!C791)</f>
        <v>In Casa #628</v>
      </c>
      <c r="F791"/>
      <c r="G791"/>
      <c r="H791"/>
      <c r="I791"/>
      <c r="J791"/>
      <c r="M791"/>
      <c r="N791"/>
      <c r="O791" s="15" t="str">
        <f t="shared" si="24"/>
        <v>_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/>
      </c>
      <c r="Q791" s="2"/>
      <c r="R791" s="2"/>
      <c r="S791" s="11"/>
      <c r="T791" s="1" t="str">
        <f>"owner=" &amp; Tokens!BS791 &amp; "&amp;filename_for_metadata=" &amp; Tokens!BT791 &amp; "&amp;offchaindata_platform=" &amp; $B$17 &amp; "&amp;keyfile=" &amp; $B$5 &amp; "&amp;network=" &amp; LOWER($B$8) &amp; "&amp;repository=" &amp; $B$18</f>
        <v>owner=thomas&amp;filename_for_metadata=InCasa_COR22D628&amp;offchaindata_platform=MongoDB&amp;keyfile=Paul&amp;network=jsonfiles&amp;repository=test</v>
      </c>
      <c r="U791" s="1" t="str">
        <f t="shared" si="25"/>
        <v>{"name":"In Casa #628",_x000D_
"symbol":"COR22D628",_x000D_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1" s="1" t="str">
        <f>formatRow(Tokens!C$2:I$2,Tokens!C791:I791)</f>
        <v>"name":"In Casa #628",_x000D_
"symbol":"COR22D628",_x000D_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1" s="1" t="str">
        <f>formatRow(Tokens!J$2:AV$2,Tokens!J791:AV791,2,"attributes")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1" s="1" t="str">
        <f>formatRow(Tokens!AX$2:BC$2,Tokens!AX791:BC791,2,"creators")</f>
        <v>"creators":[{"address":"paul",_x000D_
"share":10},{"address":"sophie",_x000D_
"share":90}]</v>
      </c>
      <c r="Y791" s="1" t="str">
        <f>formatRow(Tokens!BD$2:BI$2,Tokens!BD791:BI791,2,"files")</f>
        <v>"files":[]</v>
      </c>
      <c r="Z791" s="1"/>
      <c r="AA791" s="1"/>
      <c r="AB791" s="1"/>
      <c r="AC791" s="1" t="str">
        <f>formatRow(Tokens!BJ$2:BK$2,Tokens!BJ791:BK791,0,"collection")</f>
        <v>"collection":{"name":"In Casa",_x000D_
"family":"Calvi On The Rocks"}</v>
      </c>
    </row>
    <row r="792" spans="5:29" ht="14.25" customHeight="1" x14ac:dyDescent="0.25">
      <c r="E792" s="17" t="str">
        <f>IF(Tokens!C792="","",Tokens!C792)</f>
        <v>In Casa #629</v>
      </c>
      <c r="F792"/>
      <c r="G792"/>
      <c r="H792"/>
      <c r="I792"/>
      <c r="J792"/>
      <c r="M792"/>
      <c r="N792"/>
      <c r="O792" s="15" t="str">
        <f t="shared" si="24"/>
        <v>_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/>
      </c>
      <c r="Q792" s="2"/>
      <c r="R792" s="2"/>
      <c r="S792" s="11"/>
      <c r="T792" s="1" t="str">
        <f>"owner=" &amp; Tokens!BS792 &amp; "&amp;filename_for_metadata=" &amp; Tokens!BT792 &amp; "&amp;offchaindata_platform=" &amp; $B$17 &amp; "&amp;keyfile=" &amp; $B$5 &amp; "&amp;network=" &amp; LOWER($B$8) &amp; "&amp;repository=" &amp; $B$18</f>
        <v>owner=thomas&amp;filename_for_metadata=InCasa_COR22D629&amp;offchaindata_platform=MongoDB&amp;keyfile=Paul&amp;network=jsonfiles&amp;repository=test</v>
      </c>
      <c r="U792" s="1" t="str">
        <f t="shared" si="25"/>
        <v>{"name":"In Casa #629",_x000D_
"symbol":"COR22D629",_x000D_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2" s="1" t="str">
        <f>formatRow(Tokens!C$2:I$2,Tokens!C792:I792)</f>
        <v>"name":"In Casa #629",_x000D_
"symbol":"COR22D629",_x000D_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2" s="1" t="str">
        <f>formatRow(Tokens!J$2:AV$2,Tokens!J792:AV792,2,"attributes")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2" s="1" t="str">
        <f>formatRow(Tokens!AX$2:BC$2,Tokens!AX792:BC792,2,"creators")</f>
        <v>"creators":[{"address":"paul",_x000D_
"share":10},{"address":"sophie",_x000D_
"share":90}]</v>
      </c>
      <c r="Y792" s="1" t="str">
        <f>formatRow(Tokens!BD$2:BI$2,Tokens!BD792:BI792,2,"files")</f>
        <v>"files":[]</v>
      </c>
      <c r="Z792" s="1"/>
      <c r="AA792" s="1"/>
      <c r="AB792" s="1"/>
      <c r="AC792" s="1" t="str">
        <f>formatRow(Tokens!BJ$2:BK$2,Tokens!BJ792:BK792,0,"collection")</f>
        <v>"collection":{"name":"In Casa",_x000D_
"family":"Calvi On The Rocks"}</v>
      </c>
    </row>
    <row r="793" spans="5:29" ht="14.25" customHeight="1" x14ac:dyDescent="0.25">
      <c r="E793" s="17" t="str">
        <f>IF(Tokens!C793="","",Tokens!C793)</f>
        <v>In Casa #630</v>
      </c>
      <c r="F793"/>
      <c r="G793"/>
      <c r="H793"/>
      <c r="I793"/>
      <c r="J793"/>
      <c r="M793"/>
      <c r="N793"/>
      <c r="O793" s="15" t="str">
        <f t="shared" si="24"/>
        <v>_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/>
      </c>
      <c r="Q793" s="2"/>
      <c r="R793" s="2"/>
      <c r="S793" s="11"/>
      <c r="T793" s="1" t="str">
        <f>"owner=" &amp; Tokens!BS793 &amp; "&amp;filename_for_metadata=" &amp; Tokens!BT793 &amp; "&amp;offchaindata_platform=" &amp; $B$17 &amp; "&amp;keyfile=" &amp; $B$5 &amp; "&amp;network=" &amp; LOWER($B$8) &amp; "&amp;repository=" &amp; $B$18</f>
        <v>owner=thomas&amp;filename_for_metadata=InCasa_COR22D630&amp;offchaindata_platform=MongoDB&amp;keyfile=Paul&amp;network=jsonfiles&amp;repository=test</v>
      </c>
      <c r="U793" s="1" t="str">
        <f t="shared" si="25"/>
        <v>{"name":"In Casa #630",_x000D_
"symbol":"COR22D630",_x000D_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3" s="1" t="str">
        <f>formatRow(Tokens!C$2:I$2,Tokens!C793:I793)</f>
        <v>"name":"In Casa #630",_x000D_
"symbol":"COR22D630",_x000D_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3" s="1" t="str">
        <f>formatRow(Tokens!J$2:AV$2,Tokens!J793:AV793,2,"attributes")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3" s="1" t="str">
        <f>formatRow(Tokens!AX$2:BC$2,Tokens!AX793:BC793,2,"creators")</f>
        <v>"creators":[{"address":"paul",_x000D_
"share":10},{"address":"sophie",_x000D_
"share":90}]</v>
      </c>
      <c r="Y793" s="1" t="str">
        <f>formatRow(Tokens!BD$2:BI$2,Tokens!BD793:BI793,2,"files")</f>
        <v>"files":[]</v>
      </c>
      <c r="Z793" s="1"/>
      <c r="AA793" s="1"/>
      <c r="AB793" s="1"/>
      <c r="AC793" s="1" t="str">
        <f>formatRow(Tokens!BJ$2:BK$2,Tokens!BJ793:BK793,0,"collection")</f>
        <v>"collection":{"name":"In Casa",_x000D_
"family":"Calvi On The Rocks"}</v>
      </c>
    </row>
    <row r="794" spans="5:29" ht="14.25" customHeight="1" x14ac:dyDescent="0.25">
      <c r="E794" s="17" t="str">
        <f>IF(Tokens!C794="","",Tokens!C794)</f>
        <v>In Casa #631</v>
      </c>
      <c r="F794"/>
      <c r="G794"/>
      <c r="H794"/>
      <c r="I794"/>
      <c r="J794"/>
      <c r="M794"/>
      <c r="N794"/>
      <c r="O794" s="15" t="str">
        <f t="shared" si="24"/>
        <v>_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/>
      </c>
      <c r="Q794" s="2"/>
      <c r="R794" s="2"/>
      <c r="S794" s="11"/>
      <c r="T794" s="1" t="str">
        <f>"owner=" &amp; Tokens!BS794 &amp; "&amp;filename_for_metadata=" &amp; Tokens!BT794 &amp; "&amp;offchaindata_platform=" &amp; $B$17 &amp; "&amp;keyfile=" &amp; $B$5 &amp; "&amp;network=" &amp; LOWER($B$8) &amp; "&amp;repository=" &amp; $B$18</f>
        <v>owner=thomas&amp;filename_for_metadata=InCasa_COR22D631&amp;offchaindata_platform=MongoDB&amp;keyfile=Paul&amp;network=jsonfiles&amp;repository=test</v>
      </c>
      <c r="U794" s="1" t="str">
        <f t="shared" si="25"/>
        <v>{"name":"In Casa #631",_x000D_
"symbol":"COR22D631",_x000D_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4" s="1" t="str">
        <f>formatRow(Tokens!C$2:I$2,Tokens!C794:I794)</f>
        <v>"name":"In Casa #631",_x000D_
"symbol":"COR22D631",_x000D_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4" s="1" t="str">
        <f>formatRow(Tokens!J$2:AV$2,Tokens!J794:AV794,2,"attributes")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4" s="1" t="str">
        <f>formatRow(Tokens!AX$2:BC$2,Tokens!AX794:BC794,2,"creators")</f>
        <v>"creators":[{"address":"paul",_x000D_
"share":10},{"address":"sophie",_x000D_
"share":90}]</v>
      </c>
      <c r="Y794" s="1" t="str">
        <f>formatRow(Tokens!BD$2:BI$2,Tokens!BD794:BI794,2,"files")</f>
        <v>"files":[]</v>
      </c>
      <c r="Z794" s="1"/>
      <c r="AA794" s="1"/>
      <c r="AB794" s="1"/>
      <c r="AC794" s="1" t="str">
        <f>formatRow(Tokens!BJ$2:BK$2,Tokens!BJ794:BK794,0,"collection")</f>
        <v>"collection":{"name":"In Casa",_x000D_
"family":"Calvi On The Rocks"}</v>
      </c>
    </row>
    <row r="795" spans="5:29" ht="14.25" customHeight="1" x14ac:dyDescent="0.25">
      <c r="E795" s="17" t="str">
        <f>IF(Tokens!C795="","",Tokens!C795)</f>
        <v>In Casa #632</v>
      </c>
      <c r="F795"/>
      <c r="G795"/>
      <c r="H795"/>
      <c r="I795"/>
      <c r="J795"/>
      <c r="M795"/>
      <c r="N795"/>
      <c r="O795" s="15" t="str">
        <f t="shared" si="24"/>
        <v>_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/>
      </c>
      <c r="Q795" s="2"/>
      <c r="R795" s="2"/>
      <c r="S795" s="11"/>
      <c r="T795" s="1" t="str">
        <f>"owner=" &amp; Tokens!BS795 &amp; "&amp;filename_for_metadata=" &amp; Tokens!BT795 &amp; "&amp;offchaindata_platform=" &amp; $B$17 &amp; "&amp;keyfile=" &amp; $B$5 &amp; "&amp;network=" &amp; LOWER($B$8) &amp; "&amp;repository=" &amp; $B$18</f>
        <v>owner=thomas&amp;filename_for_metadata=InCasa_COR22D632&amp;offchaindata_platform=MongoDB&amp;keyfile=Paul&amp;network=jsonfiles&amp;repository=test</v>
      </c>
      <c r="U795" s="1" t="str">
        <f t="shared" si="25"/>
        <v>{"name":"In Casa #632",_x000D_
"symbol":"COR22D632",_x000D_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5" s="1" t="str">
        <f>formatRow(Tokens!C$2:I$2,Tokens!C795:I795)</f>
        <v>"name":"In Casa #632",_x000D_
"symbol":"COR22D632",_x000D_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5" s="1" t="str">
        <f>formatRow(Tokens!J$2:AV$2,Tokens!J795:AV795,2,"attributes")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5" s="1" t="str">
        <f>formatRow(Tokens!AX$2:BC$2,Tokens!AX795:BC795,2,"creators")</f>
        <v>"creators":[{"address":"paul",_x000D_
"share":10},{"address":"sophie",_x000D_
"share":90}]</v>
      </c>
      <c r="Y795" s="1" t="str">
        <f>formatRow(Tokens!BD$2:BI$2,Tokens!BD795:BI795,2,"files")</f>
        <v>"files":[]</v>
      </c>
      <c r="Z795" s="1"/>
      <c r="AA795" s="1"/>
      <c r="AB795" s="1"/>
      <c r="AC795" s="1" t="str">
        <f>formatRow(Tokens!BJ$2:BK$2,Tokens!BJ795:BK795,0,"collection")</f>
        <v>"collection":{"name":"In Casa",_x000D_
"family":"Calvi On The Rocks"}</v>
      </c>
    </row>
    <row r="796" spans="5:29" ht="14.25" customHeight="1" x14ac:dyDescent="0.25">
      <c r="E796" s="17" t="str">
        <f>IF(Tokens!C796="","",Tokens!C796)</f>
        <v>In Casa #633</v>
      </c>
      <c r="F796"/>
      <c r="G796"/>
      <c r="H796"/>
      <c r="I796"/>
      <c r="J796"/>
      <c r="M796"/>
      <c r="N796"/>
      <c r="O796" s="15" t="str">
        <f t="shared" si="24"/>
        <v>_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/>
      </c>
      <c r="Q796" s="2"/>
      <c r="R796" s="2"/>
      <c r="S796" s="11"/>
      <c r="T796" s="1" t="str">
        <f>"owner=" &amp; Tokens!BS796 &amp; "&amp;filename_for_metadata=" &amp; Tokens!BT796 &amp; "&amp;offchaindata_platform=" &amp; $B$17 &amp; "&amp;keyfile=" &amp; $B$5 &amp; "&amp;network=" &amp; LOWER($B$8) &amp; "&amp;repository=" &amp; $B$18</f>
        <v>owner=thomas&amp;filename_for_metadata=InCasa_COR22D633&amp;offchaindata_platform=MongoDB&amp;keyfile=Paul&amp;network=jsonfiles&amp;repository=test</v>
      </c>
      <c r="U796" s="1" t="str">
        <f t="shared" si="25"/>
        <v>{"name":"In Casa #633",_x000D_
"symbol":"COR22D633",_x000D_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6" s="1" t="str">
        <f>formatRow(Tokens!C$2:I$2,Tokens!C796:I796)</f>
        <v>"name":"In Casa #633",_x000D_
"symbol":"COR22D633",_x000D_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6" s="1" t="str">
        <f>formatRow(Tokens!J$2:AV$2,Tokens!J796:AV796,2,"attributes")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6" s="1" t="str">
        <f>formatRow(Tokens!AX$2:BC$2,Tokens!AX796:BC796,2,"creators")</f>
        <v>"creators":[{"address":"paul",_x000D_
"share":10},{"address":"sophie",_x000D_
"share":90}]</v>
      </c>
      <c r="Y796" s="1" t="str">
        <f>formatRow(Tokens!BD$2:BI$2,Tokens!BD796:BI796,2,"files")</f>
        <v>"files":[]</v>
      </c>
      <c r="Z796" s="1"/>
      <c r="AA796" s="1"/>
      <c r="AB796" s="1"/>
      <c r="AC796" s="1" t="str">
        <f>formatRow(Tokens!BJ$2:BK$2,Tokens!BJ796:BK796,0,"collection")</f>
        <v>"collection":{"name":"In Casa",_x000D_
"family":"Calvi On The Rocks"}</v>
      </c>
    </row>
    <row r="797" spans="5:29" ht="14.25" customHeight="1" x14ac:dyDescent="0.25">
      <c r="E797" s="17" t="str">
        <f>IF(Tokens!C797="","",Tokens!C797)</f>
        <v>In Casa #634</v>
      </c>
      <c r="F797"/>
      <c r="G797"/>
      <c r="H797"/>
      <c r="I797"/>
      <c r="J797"/>
      <c r="M797"/>
      <c r="N797"/>
      <c r="O797" s="15" t="str">
        <f t="shared" si="24"/>
        <v>_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/>
      </c>
      <c r="Q797" s="2"/>
      <c r="R797" s="2"/>
      <c r="S797" s="11"/>
      <c r="T797" s="1" t="str">
        <f>"owner=" &amp; Tokens!BS797 &amp; "&amp;filename_for_metadata=" &amp; Tokens!BT797 &amp; "&amp;offchaindata_platform=" &amp; $B$17 &amp; "&amp;keyfile=" &amp; $B$5 &amp; "&amp;network=" &amp; LOWER($B$8) &amp; "&amp;repository=" &amp; $B$18</f>
        <v>owner=thomas&amp;filename_for_metadata=InCasa_COR22D634&amp;offchaindata_platform=MongoDB&amp;keyfile=Paul&amp;network=jsonfiles&amp;repository=test</v>
      </c>
      <c r="U797" s="1" t="str">
        <f t="shared" si="25"/>
        <v>{"name":"In Casa #634",_x000D_
"symbol":"COR22D634",_x000D_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7" s="1" t="str">
        <f>formatRow(Tokens!C$2:I$2,Tokens!C797:I797)</f>
        <v>"name":"In Casa #634",_x000D_
"symbol":"COR22D634",_x000D_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7" s="1" t="str">
        <f>formatRow(Tokens!J$2:AV$2,Tokens!J797:AV797,2,"attributes")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7" s="1" t="str">
        <f>formatRow(Tokens!AX$2:BC$2,Tokens!AX797:BC797,2,"creators")</f>
        <v>"creators":[{"address":"paul",_x000D_
"share":10},{"address":"sophie",_x000D_
"share":90}]</v>
      </c>
      <c r="Y797" s="1" t="str">
        <f>formatRow(Tokens!BD$2:BI$2,Tokens!BD797:BI797,2,"files")</f>
        <v>"files":[]</v>
      </c>
      <c r="Z797" s="1"/>
      <c r="AA797" s="1"/>
      <c r="AB797" s="1"/>
      <c r="AC797" s="1" t="str">
        <f>formatRow(Tokens!BJ$2:BK$2,Tokens!BJ797:BK797,0,"collection")</f>
        <v>"collection":{"name":"In Casa",_x000D_
"family":"Calvi On The Rocks"}</v>
      </c>
    </row>
    <row r="798" spans="5:29" ht="14.25" customHeight="1" x14ac:dyDescent="0.25">
      <c r="E798" s="17" t="str">
        <f>IF(Tokens!C798="","",Tokens!C798)</f>
        <v>In Casa #635</v>
      </c>
      <c r="F798"/>
      <c r="G798"/>
      <c r="H798"/>
      <c r="I798"/>
      <c r="J798"/>
      <c r="M798"/>
      <c r="N798"/>
      <c r="O798" s="15" t="str">
        <f t="shared" si="24"/>
        <v>_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/>
      </c>
      <c r="Q798" s="2"/>
      <c r="R798" s="2"/>
      <c r="S798" s="11"/>
      <c r="T798" s="1" t="str">
        <f>"owner=" &amp; Tokens!BS798 &amp; "&amp;filename_for_metadata=" &amp; Tokens!BT798 &amp; "&amp;offchaindata_platform=" &amp; $B$17 &amp; "&amp;keyfile=" &amp; $B$5 &amp; "&amp;network=" &amp; LOWER($B$8) &amp; "&amp;repository=" &amp; $B$18</f>
        <v>owner=thomas&amp;filename_for_metadata=InCasa_COR22D635&amp;offchaindata_platform=MongoDB&amp;keyfile=Paul&amp;network=jsonfiles&amp;repository=test</v>
      </c>
      <c r="U798" s="1" t="str">
        <f t="shared" si="25"/>
        <v>{"name":"In Casa #635",_x000D_
"symbol":"COR22D635",_x000D_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8" s="1" t="str">
        <f>formatRow(Tokens!C$2:I$2,Tokens!C798:I798)</f>
        <v>"name":"In Casa #635",_x000D_
"symbol":"COR22D635",_x000D_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8" s="1" t="str">
        <f>formatRow(Tokens!J$2:AV$2,Tokens!J798:AV798,2,"attributes")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8" s="1" t="str">
        <f>formatRow(Tokens!AX$2:BC$2,Tokens!AX798:BC798,2,"creators")</f>
        <v>"creators":[{"address":"paul",_x000D_
"share":10},{"address":"sophie",_x000D_
"share":90}]</v>
      </c>
      <c r="Y798" s="1" t="str">
        <f>formatRow(Tokens!BD$2:BI$2,Tokens!BD798:BI798,2,"files")</f>
        <v>"files":[]</v>
      </c>
      <c r="Z798" s="1"/>
      <c r="AA798" s="1"/>
      <c r="AB798" s="1"/>
      <c r="AC798" s="1" t="str">
        <f>formatRow(Tokens!BJ$2:BK$2,Tokens!BJ798:BK798,0,"collection")</f>
        <v>"collection":{"name":"In Casa",_x000D_
"family":"Calvi On The Rocks"}</v>
      </c>
    </row>
    <row r="799" spans="5:29" ht="14.25" customHeight="1" x14ac:dyDescent="0.25">
      <c r="E799" s="17" t="str">
        <f>IF(Tokens!C799="","",Tokens!C799)</f>
        <v>In Casa #636</v>
      </c>
      <c r="F799"/>
      <c r="G799"/>
      <c r="H799"/>
      <c r="I799"/>
      <c r="J799"/>
      <c r="M799"/>
      <c r="N799"/>
      <c r="O799" s="15" t="str">
        <f t="shared" si="24"/>
        <v>_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/>
      </c>
      <c r="Q799" s="2"/>
      <c r="R799" s="2"/>
      <c r="S799" s="11"/>
      <c r="T799" s="1" t="str">
        <f>"owner=" &amp; Tokens!BS799 &amp; "&amp;filename_for_metadata=" &amp; Tokens!BT799 &amp; "&amp;offchaindata_platform=" &amp; $B$17 &amp; "&amp;keyfile=" &amp; $B$5 &amp; "&amp;network=" &amp; LOWER($B$8) &amp; "&amp;repository=" &amp; $B$18</f>
        <v>owner=thomas&amp;filename_for_metadata=InCasa_COR22D636&amp;offchaindata_platform=MongoDB&amp;keyfile=Paul&amp;network=jsonfiles&amp;repository=test</v>
      </c>
      <c r="U799" s="1" t="str">
        <f t="shared" si="25"/>
        <v>{"name":"In Casa #636",_x000D_
"symbol":"COR22D636",_x000D_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799" s="1" t="str">
        <f>formatRow(Tokens!C$2:I$2,Tokens!C799:I799)</f>
        <v>"name":"In Casa #636",_x000D_
"symbol":"COR22D636",_x000D_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799" s="1" t="str">
        <f>formatRow(Tokens!J$2:AV$2,Tokens!J799:AV799,2,"attributes")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799" s="1" t="str">
        <f>formatRow(Tokens!AX$2:BC$2,Tokens!AX799:BC799,2,"creators")</f>
        <v>"creators":[{"address":"paul",_x000D_
"share":10},{"address":"sophie",_x000D_
"share":90}]</v>
      </c>
      <c r="Y799" s="1" t="str">
        <f>formatRow(Tokens!BD$2:BI$2,Tokens!BD799:BI799,2,"files")</f>
        <v>"files":[]</v>
      </c>
      <c r="Z799" s="1"/>
      <c r="AA799" s="1"/>
      <c r="AB799" s="1"/>
      <c r="AC799" s="1" t="str">
        <f>formatRow(Tokens!BJ$2:BK$2,Tokens!BJ799:BK799,0,"collection")</f>
        <v>"collection":{"name":"In Casa",_x000D_
"family":"Calvi On The Rocks"}</v>
      </c>
    </row>
    <row r="800" spans="5:29" ht="14.25" customHeight="1" x14ac:dyDescent="0.25">
      <c r="E800" s="17" t="str">
        <f>IF(Tokens!C800="","",Tokens!C800)</f>
        <v>In Casa #637</v>
      </c>
      <c r="F800"/>
      <c r="G800"/>
      <c r="H800"/>
      <c r="I800"/>
      <c r="J800"/>
      <c r="M800"/>
      <c r="N800"/>
      <c r="O800" s="15" t="str">
        <f t="shared" si="24"/>
        <v>_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/>
      </c>
      <c r="Q800" s="2"/>
      <c r="R800" s="2"/>
      <c r="S800" s="11"/>
      <c r="T800" s="1" t="str">
        <f>"owner=" &amp; Tokens!BS800 &amp; "&amp;filename_for_metadata=" &amp; Tokens!BT800 &amp; "&amp;offchaindata_platform=" &amp; $B$17 &amp; "&amp;keyfile=" &amp; $B$5 &amp; "&amp;network=" &amp; LOWER($B$8) &amp; "&amp;repository=" &amp; $B$18</f>
        <v>owner=thomas&amp;filename_for_metadata=InCasa_COR22D637&amp;offchaindata_platform=MongoDB&amp;keyfile=Paul&amp;network=jsonfiles&amp;repository=test</v>
      </c>
      <c r="U800" s="1" t="str">
        <f t="shared" si="25"/>
        <v>{"name":"In Casa #637",_x000D_
"symbol":"COR22D637",_x000D_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0" s="1" t="str">
        <f>formatRow(Tokens!C$2:I$2,Tokens!C800:I800)</f>
        <v>"name":"In Casa #637",_x000D_
"symbol":"COR22D637",_x000D_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0" s="1" t="str">
        <f>formatRow(Tokens!J$2:AV$2,Tokens!J800:AV800,2,"attributes")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0" s="1" t="str">
        <f>formatRow(Tokens!AX$2:BC$2,Tokens!AX800:BC800,2,"creators")</f>
        <v>"creators":[{"address":"paul",_x000D_
"share":10},{"address":"sophie",_x000D_
"share":90}]</v>
      </c>
      <c r="Y800" s="1" t="str">
        <f>formatRow(Tokens!BD$2:BI$2,Tokens!BD800:BI800,2,"files")</f>
        <v>"files":[]</v>
      </c>
      <c r="Z800" s="1"/>
      <c r="AA800" s="1"/>
      <c r="AB800" s="1"/>
      <c r="AC800" s="1" t="str">
        <f>formatRow(Tokens!BJ$2:BK$2,Tokens!BJ800:BK800,0,"collection")</f>
        <v>"collection":{"name":"In Casa",_x000D_
"family":"Calvi On The Rocks"}</v>
      </c>
    </row>
    <row r="801" spans="5:29" ht="14.25" customHeight="1" x14ac:dyDescent="0.25">
      <c r="E801" s="17" t="str">
        <f>IF(Tokens!C801="","",Tokens!C801)</f>
        <v>In Casa #638</v>
      </c>
      <c r="F801"/>
      <c r="G801"/>
      <c r="H801"/>
      <c r="I801"/>
      <c r="J801"/>
      <c r="M801"/>
      <c r="N801"/>
      <c r="O801" s="15" t="str">
        <f t="shared" si="24"/>
        <v>_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/>
      </c>
      <c r="Q801" s="2"/>
      <c r="R801" s="2"/>
      <c r="S801" s="11"/>
      <c r="T801" s="1" t="str">
        <f>"owner=" &amp; Tokens!BS801 &amp; "&amp;filename_for_metadata=" &amp; Tokens!BT801 &amp; "&amp;offchaindata_platform=" &amp; $B$17 &amp; "&amp;keyfile=" &amp; $B$5 &amp; "&amp;network=" &amp; LOWER($B$8) &amp; "&amp;repository=" &amp; $B$18</f>
        <v>owner=thomas&amp;filename_for_metadata=InCasa_COR22D638&amp;offchaindata_platform=MongoDB&amp;keyfile=Paul&amp;network=jsonfiles&amp;repository=test</v>
      </c>
      <c r="U801" s="1" t="str">
        <f t="shared" si="25"/>
        <v>{"name":"In Casa #638",_x000D_
"symbol":"COR22D638",_x000D_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1" s="1" t="str">
        <f>formatRow(Tokens!C$2:I$2,Tokens!C801:I801)</f>
        <v>"name":"In Casa #638",_x000D_
"symbol":"COR22D638",_x000D_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1" s="1" t="str">
        <f>formatRow(Tokens!J$2:AV$2,Tokens!J801:AV801,2,"attributes")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1" s="1" t="str">
        <f>formatRow(Tokens!AX$2:BC$2,Tokens!AX801:BC801,2,"creators")</f>
        <v>"creators":[{"address":"paul",_x000D_
"share":10},{"address":"sophie",_x000D_
"share":90}]</v>
      </c>
      <c r="Y801" s="1" t="str">
        <f>formatRow(Tokens!BD$2:BI$2,Tokens!BD801:BI801,2,"files")</f>
        <v>"files":[]</v>
      </c>
      <c r="Z801" s="1"/>
      <c r="AA801" s="1"/>
      <c r="AB801" s="1"/>
      <c r="AC801" s="1" t="str">
        <f>formatRow(Tokens!BJ$2:BK$2,Tokens!BJ801:BK801,0,"collection")</f>
        <v>"collection":{"name":"In Casa",_x000D_
"family":"Calvi On The Rocks"}</v>
      </c>
    </row>
    <row r="802" spans="5:29" ht="14.25" customHeight="1" x14ac:dyDescent="0.25">
      <c r="E802" s="17" t="str">
        <f>IF(Tokens!C802="","",Tokens!C802)</f>
        <v>In Casa #639</v>
      </c>
      <c r="F802"/>
      <c r="G802"/>
      <c r="H802"/>
      <c r="I802"/>
      <c r="J802"/>
      <c r="M802"/>
      <c r="N802"/>
      <c r="O802" s="15" t="str">
        <f t="shared" si="24"/>
        <v>_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/>
      </c>
      <c r="Q802" s="2"/>
      <c r="R802" s="2"/>
      <c r="S802" s="11"/>
      <c r="T802" s="1" t="str">
        <f>"owner=" &amp; Tokens!BS802 &amp; "&amp;filename_for_metadata=" &amp; Tokens!BT802 &amp; "&amp;offchaindata_platform=" &amp; $B$17 &amp; "&amp;keyfile=" &amp; $B$5 &amp; "&amp;network=" &amp; LOWER($B$8) &amp; "&amp;repository=" &amp; $B$18</f>
        <v>owner=thomas&amp;filename_for_metadata=InCasa_COR22D639&amp;offchaindata_platform=MongoDB&amp;keyfile=Paul&amp;network=jsonfiles&amp;repository=test</v>
      </c>
      <c r="U802" s="1" t="str">
        <f t="shared" si="25"/>
        <v>{"name":"In Casa #639",_x000D_
"symbol":"COR22D639",_x000D_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2" s="1" t="str">
        <f>formatRow(Tokens!C$2:I$2,Tokens!C802:I802)</f>
        <v>"name":"In Casa #639",_x000D_
"symbol":"COR22D639",_x000D_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2" s="1" t="str">
        <f>formatRow(Tokens!J$2:AV$2,Tokens!J802:AV802,2,"attributes")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2" s="1" t="str">
        <f>formatRow(Tokens!AX$2:BC$2,Tokens!AX802:BC802,2,"creators")</f>
        <v>"creators":[{"address":"paul",_x000D_
"share":10},{"address":"sophie",_x000D_
"share":90}]</v>
      </c>
      <c r="Y802" s="1" t="str">
        <f>formatRow(Tokens!BD$2:BI$2,Tokens!BD802:BI802,2,"files")</f>
        <v>"files":[]</v>
      </c>
      <c r="Z802" s="1"/>
      <c r="AA802" s="1"/>
      <c r="AB802" s="1"/>
      <c r="AC802" s="1" t="str">
        <f>formatRow(Tokens!BJ$2:BK$2,Tokens!BJ802:BK802,0,"collection")</f>
        <v>"collection":{"name":"In Casa",_x000D_
"family":"Calvi On The Rocks"}</v>
      </c>
    </row>
    <row r="803" spans="5:29" ht="14.25" customHeight="1" x14ac:dyDescent="0.25">
      <c r="E803" s="17" t="str">
        <f>IF(Tokens!C803="","",Tokens!C803)</f>
        <v>In Casa #640</v>
      </c>
      <c r="F803"/>
      <c r="G803"/>
      <c r="H803"/>
      <c r="I803"/>
      <c r="J803"/>
      <c r="M803"/>
      <c r="N803"/>
      <c r="O803" s="15" t="str">
        <f t="shared" si="24"/>
        <v>_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/>
      </c>
      <c r="Q803" s="2"/>
      <c r="R803" s="2"/>
      <c r="S803" s="11"/>
      <c r="T803" s="1" t="str">
        <f>"owner=" &amp; Tokens!BS803 &amp; "&amp;filename_for_metadata=" &amp; Tokens!BT803 &amp; "&amp;offchaindata_platform=" &amp; $B$17 &amp; "&amp;keyfile=" &amp; $B$5 &amp; "&amp;network=" &amp; LOWER($B$8) &amp; "&amp;repository=" &amp; $B$18</f>
        <v>owner=thomas&amp;filename_for_metadata=InCasa_COR22D640&amp;offchaindata_platform=MongoDB&amp;keyfile=Paul&amp;network=jsonfiles&amp;repository=test</v>
      </c>
      <c r="U803" s="1" t="str">
        <f t="shared" si="25"/>
        <v>{"name":"In Casa #640",_x000D_
"symbol":"COR22D640",_x000D_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3" s="1" t="str">
        <f>formatRow(Tokens!C$2:I$2,Tokens!C803:I803)</f>
        <v>"name":"In Casa #640",_x000D_
"symbol":"COR22D640",_x000D_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3" s="1" t="str">
        <f>formatRow(Tokens!J$2:AV$2,Tokens!J803:AV803,2,"attributes")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3" s="1" t="str">
        <f>formatRow(Tokens!AX$2:BC$2,Tokens!AX803:BC803,2,"creators")</f>
        <v>"creators":[{"address":"paul",_x000D_
"share":10},{"address":"sophie",_x000D_
"share":90}]</v>
      </c>
      <c r="Y803" s="1" t="str">
        <f>formatRow(Tokens!BD$2:BI$2,Tokens!BD803:BI803,2,"files")</f>
        <v>"files":[]</v>
      </c>
      <c r="Z803" s="1"/>
      <c r="AA803" s="1"/>
      <c r="AB803" s="1"/>
      <c r="AC803" s="1" t="str">
        <f>formatRow(Tokens!BJ$2:BK$2,Tokens!BJ803:BK803,0,"collection")</f>
        <v>"collection":{"name":"In Casa",_x000D_
"family":"Calvi On The Rocks"}</v>
      </c>
    </row>
    <row r="804" spans="5:29" ht="14.25" customHeight="1" x14ac:dyDescent="0.25">
      <c r="E804" s="17" t="str">
        <f>IF(Tokens!C804="","",Tokens!C804)</f>
        <v>In Casa #641</v>
      </c>
      <c r="F804"/>
      <c r="G804"/>
      <c r="H804"/>
      <c r="I804"/>
      <c r="J804"/>
      <c r="M804"/>
      <c r="N804"/>
      <c r="O804" s="15" t="str">
        <f t="shared" si="24"/>
        <v>_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/>
      </c>
      <c r="Q804" s="2"/>
      <c r="R804" s="2"/>
      <c r="S804" s="11"/>
      <c r="T804" s="1" t="str">
        <f>"owner=" &amp; Tokens!BS804 &amp; "&amp;filename_for_metadata=" &amp; Tokens!BT804 &amp; "&amp;offchaindata_platform=" &amp; $B$17 &amp; "&amp;keyfile=" &amp; $B$5 &amp; "&amp;network=" &amp; LOWER($B$8) &amp; "&amp;repository=" &amp; $B$18</f>
        <v>owner=thomas&amp;filename_for_metadata=InCasa_COR22D641&amp;offchaindata_platform=MongoDB&amp;keyfile=Paul&amp;network=jsonfiles&amp;repository=test</v>
      </c>
      <c r="U804" s="1" t="str">
        <f t="shared" si="25"/>
        <v>{"name":"In Casa #641",_x000D_
"symbol":"COR22D641",_x000D_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4" s="1" t="str">
        <f>formatRow(Tokens!C$2:I$2,Tokens!C804:I804)</f>
        <v>"name":"In Casa #641",_x000D_
"symbol":"COR22D641",_x000D_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4" s="1" t="str">
        <f>formatRow(Tokens!J$2:AV$2,Tokens!J804:AV804,2,"attributes")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4" s="1" t="str">
        <f>formatRow(Tokens!AX$2:BC$2,Tokens!AX804:BC804,2,"creators")</f>
        <v>"creators":[{"address":"paul",_x000D_
"share":10},{"address":"sophie",_x000D_
"share":90}]</v>
      </c>
      <c r="Y804" s="1" t="str">
        <f>formatRow(Tokens!BD$2:BI$2,Tokens!BD804:BI804,2,"files")</f>
        <v>"files":[]</v>
      </c>
      <c r="Z804" s="1"/>
      <c r="AA804" s="1"/>
      <c r="AB804" s="1"/>
      <c r="AC804" s="1" t="str">
        <f>formatRow(Tokens!BJ$2:BK$2,Tokens!BJ804:BK804,0,"collection")</f>
        <v>"collection":{"name":"In Casa",_x000D_
"family":"Calvi On The Rocks"}</v>
      </c>
    </row>
    <row r="805" spans="5:29" ht="14.25" customHeight="1" x14ac:dyDescent="0.25">
      <c r="E805" s="17" t="str">
        <f>IF(Tokens!C805="","",Tokens!C805)</f>
        <v>In Casa #642</v>
      </c>
      <c r="F805"/>
      <c r="G805"/>
      <c r="H805"/>
      <c r="I805"/>
      <c r="J805"/>
      <c r="M805"/>
      <c r="N805"/>
      <c r="O805" s="15" t="str">
        <f t="shared" si="24"/>
        <v>_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/>
      </c>
      <c r="Q805" s="2"/>
      <c r="R805" s="2"/>
      <c r="S805" s="11"/>
      <c r="T805" s="1" t="str">
        <f>"owner=" &amp; Tokens!BS805 &amp; "&amp;filename_for_metadata=" &amp; Tokens!BT805 &amp; "&amp;offchaindata_platform=" &amp; $B$17 &amp; "&amp;keyfile=" &amp; $B$5 &amp; "&amp;network=" &amp; LOWER($B$8) &amp; "&amp;repository=" &amp; $B$18</f>
        <v>owner=thomas&amp;filename_for_metadata=InCasa_COR22D642&amp;offchaindata_platform=MongoDB&amp;keyfile=Paul&amp;network=jsonfiles&amp;repository=test</v>
      </c>
      <c r="U805" s="1" t="str">
        <f t="shared" si="25"/>
        <v>{"name":"In Casa #642",_x000D_
"symbol":"COR22D642",_x000D_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5" s="1" t="str">
        <f>formatRow(Tokens!C$2:I$2,Tokens!C805:I805)</f>
        <v>"name":"In Casa #642",_x000D_
"symbol":"COR22D642",_x000D_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5" s="1" t="str">
        <f>formatRow(Tokens!J$2:AV$2,Tokens!J805:AV805,2,"attributes")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5" s="1" t="str">
        <f>formatRow(Tokens!AX$2:BC$2,Tokens!AX805:BC805,2,"creators")</f>
        <v>"creators":[{"address":"paul",_x000D_
"share":10},{"address":"sophie",_x000D_
"share":90}]</v>
      </c>
      <c r="Y805" s="1" t="str">
        <f>formatRow(Tokens!BD$2:BI$2,Tokens!BD805:BI805,2,"files")</f>
        <v>"files":[]</v>
      </c>
      <c r="Z805" s="1"/>
      <c r="AA805" s="1"/>
      <c r="AB805" s="1"/>
      <c r="AC805" s="1" t="str">
        <f>formatRow(Tokens!BJ$2:BK$2,Tokens!BJ805:BK805,0,"collection")</f>
        <v>"collection":{"name":"In Casa",_x000D_
"family":"Calvi On The Rocks"}</v>
      </c>
    </row>
    <row r="806" spans="5:29" ht="14.25" customHeight="1" x14ac:dyDescent="0.25">
      <c r="E806" s="17" t="str">
        <f>IF(Tokens!C806="","",Tokens!C806)</f>
        <v>In Casa #643</v>
      </c>
      <c r="F806"/>
      <c r="G806"/>
      <c r="H806"/>
      <c r="I806"/>
      <c r="J806"/>
      <c r="M806"/>
      <c r="N806"/>
      <c r="O806" s="15" t="str">
        <f t="shared" si="24"/>
        <v>_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/>
      </c>
      <c r="Q806" s="2"/>
      <c r="R806" s="2"/>
      <c r="S806" s="11"/>
      <c r="T806" s="1" t="str">
        <f>"owner=" &amp; Tokens!BS806 &amp; "&amp;filename_for_metadata=" &amp; Tokens!BT806 &amp; "&amp;offchaindata_platform=" &amp; $B$17 &amp; "&amp;keyfile=" &amp; $B$5 &amp; "&amp;network=" &amp; LOWER($B$8) &amp; "&amp;repository=" &amp; $B$18</f>
        <v>owner=thomas&amp;filename_for_metadata=InCasa_COR22D643&amp;offchaindata_platform=MongoDB&amp;keyfile=Paul&amp;network=jsonfiles&amp;repository=test</v>
      </c>
      <c r="U806" s="1" t="str">
        <f t="shared" si="25"/>
        <v>{"name":"In Casa #643",_x000D_
"symbol":"COR22D643",_x000D_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6" s="1" t="str">
        <f>formatRow(Tokens!C$2:I$2,Tokens!C806:I806)</f>
        <v>"name":"In Casa #643",_x000D_
"symbol":"COR22D643",_x000D_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6" s="1" t="str">
        <f>formatRow(Tokens!J$2:AV$2,Tokens!J806:AV806,2,"attributes")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6" s="1" t="str">
        <f>formatRow(Tokens!AX$2:BC$2,Tokens!AX806:BC806,2,"creators")</f>
        <v>"creators":[{"address":"paul",_x000D_
"share":10},{"address":"sophie",_x000D_
"share":90}]</v>
      </c>
      <c r="Y806" s="1" t="str">
        <f>formatRow(Tokens!BD$2:BI$2,Tokens!BD806:BI806,2,"files")</f>
        <v>"files":[]</v>
      </c>
      <c r="Z806" s="1"/>
      <c r="AA806" s="1"/>
      <c r="AB806" s="1"/>
      <c r="AC806" s="1" t="str">
        <f>formatRow(Tokens!BJ$2:BK$2,Tokens!BJ806:BK806,0,"collection")</f>
        <v>"collection":{"name":"In Casa",_x000D_
"family":"Calvi On The Rocks"}</v>
      </c>
    </row>
    <row r="807" spans="5:29" ht="14.25" customHeight="1" x14ac:dyDescent="0.25">
      <c r="E807" s="17" t="str">
        <f>IF(Tokens!C807="","",Tokens!C807)</f>
        <v>In Casa #644</v>
      </c>
      <c r="F807"/>
      <c r="G807"/>
      <c r="H807"/>
      <c r="I807"/>
      <c r="J807"/>
      <c r="M807"/>
      <c r="N807"/>
      <c r="O807" s="15" t="str">
        <f t="shared" si="24"/>
        <v>_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/>
      </c>
      <c r="Q807" s="2"/>
      <c r="R807" s="2"/>
      <c r="S807" s="11"/>
      <c r="T807" s="1" t="str">
        <f>"owner=" &amp; Tokens!BS807 &amp; "&amp;filename_for_metadata=" &amp; Tokens!BT807 &amp; "&amp;offchaindata_platform=" &amp; $B$17 &amp; "&amp;keyfile=" &amp; $B$5 &amp; "&amp;network=" &amp; LOWER($B$8) &amp; "&amp;repository=" &amp; $B$18</f>
        <v>owner=thomas&amp;filename_for_metadata=InCasa_COR22D644&amp;offchaindata_platform=MongoDB&amp;keyfile=Paul&amp;network=jsonfiles&amp;repository=test</v>
      </c>
      <c r="U807" s="1" t="str">
        <f t="shared" si="25"/>
        <v>{"name":"In Casa #644",_x000D_
"symbol":"COR22D644",_x000D_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7" s="1" t="str">
        <f>formatRow(Tokens!C$2:I$2,Tokens!C807:I807)</f>
        <v>"name":"In Casa #644",_x000D_
"symbol":"COR22D644",_x000D_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7" s="1" t="str">
        <f>formatRow(Tokens!J$2:AV$2,Tokens!J807:AV807,2,"attributes")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7" s="1" t="str">
        <f>formatRow(Tokens!AX$2:BC$2,Tokens!AX807:BC807,2,"creators")</f>
        <v>"creators":[{"address":"paul",_x000D_
"share":10},{"address":"sophie",_x000D_
"share":90}]</v>
      </c>
      <c r="Y807" s="1" t="str">
        <f>formatRow(Tokens!BD$2:BI$2,Tokens!BD807:BI807,2,"files")</f>
        <v>"files":[]</v>
      </c>
      <c r="Z807" s="1"/>
      <c r="AA807" s="1"/>
      <c r="AB807" s="1"/>
      <c r="AC807" s="1" t="str">
        <f>formatRow(Tokens!BJ$2:BK$2,Tokens!BJ807:BK807,0,"collection")</f>
        <v>"collection":{"name":"In Casa",_x000D_
"family":"Calvi On The Rocks"}</v>
      </c>
    </row>
    <row r="808" spans="5:29" ht="14.25" customHeight="1" x14ac:dyDescent="0.25">
      <c r="E808" s="17" t="str">
        <f>IF(Tokens!C808="","",Tokens!C808)</f>
        <v>In Casa #645</v>
      </c>
      <c r="F808"/>
      <c r="G808"/>
      <c r="H808"/>
      <c r="I808"/>
      <c r="J808"/>
      <c r="M808"/>
      <c r="N808"/>
      <c r="O808" s="15" t="str">
        <f t="shared" si="24"/>
        <v>_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/>
      </c>
      <c r="Q808" s="2"/>
      <c r="R808" s="2"/>
      <c r="S808" s="11"/>
      <c r="T808" s="1" t="str">
        <f>"owner=" &amp; Tokens!BS808 &amp; "&amp;filename_for_metadata=" &amp; Tokens!BT808 &amp; "&amp;offchaindata_platform=" &amp; $B$17 &amp; "&amp;keyfile=" &amp; $B$5 &amp; "&amp;network=" &amp; LOWER($B$8) &amp; "&amp;repository=" &amp; $B$18</f>
        <v>owner=thomas&amp;filename_for_metadata=InCasa_COR22D645&amp;offchaindata_platform=MongoDB&amp;keyfile=Paul&amp;network=jsonfiles&amp;repository=test</v>
      </c>
      <c r="U808" s="1" t="str">
        <f t="shared" si="25"/>
        <v>{"name":"In Casa #645",_x000D_
"symbol":"COR22D645",_x000D_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8" s="1" t="str">
        <f>formatRow(Tokens!C$2:I$2,Tokens!C808:I808)</f>
        <v>"name":"In Casa #645",_x000D_
"symbol":"COR22D645",_x000D_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8" s="1" t="str">
        <f>formatRow(Tokens!J$2:AV$2,Tokens!J808:AV808,2,"attributes")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8" s="1" t="str">
        <f>formatRow(Tokens!AX$2:BC$2,Tokens!AX808:BC808,2,"creators")</f>
        <v>"creators":[{"address":"paul",_x000D_
"share":10},{"address":"sophie",_x000D_
"share":90}]</v>
      </c>
      <c r="Y808" s="1" t="str">
        <f>formatRow(Tokens!BD$2:BI$2,Tokens!BD808:BI808,2,"files")</f>
        <v>"files":[]</v>
      </c>
      <c r="Z808" s="1"/>
      <c r="AA808" s="1"/>
      <c r="AB808" s="1"/>
      <c r="AC808" s="1" t="str">
        <f>formatRow(Tokens!BJ$2:BK$2,Tokens!BJ808:BK808,0,"collection")</f>
        <v>"collection":{"name":"In Casa",_x000D_
"family":"Calvi On The Rocks"}</v>
      </c>
    </row>
    <row r="809" spans="5:29" ht="14.25" customHeight="1" x14ac:dyDescent="0.25">
      <c r="E809" s="17" t="str">
        <f>IF(Tokens!C809="","",Tokens!C809)</f>
        <v>In Casa #646</v>
      </c>
      <c r="F809"/>
      <c r="G809"/>
      <c r="H809"/>
      <c r="I809"/>
      <c r="J809"/>
      <c r="M809"/>
      <c r="N809"/>
      <c r="O809" s="15" t="str">
        <f t="shared" si="24"/>
        <v>_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/>
      </c>
      <c r="Q809" s="2"/>
      <c r="R809" s="2"/>
      <c r="S809" s="11"/>
      <c r="T809" s="1" t="str">
        <f>"owner=" &amp; Tokens!BS809 &amp; "&amp;filename_for_metadata=" &amp; Tokens!BT809 &amp; "&amp;offchaindata_platform=" &amp; $B$17 &amp; "&amp;keyfile=" &amp; $B$5 &amp; "&amp;network=" &amp; LOWER($B$8) &amp; "&amp;repository=" &amp; $B$18</f>
        <v>owner=thomas&amp;filename_for_metadata=InCasa_COR22D646&amp;offchaindata_platform=MongoDB&amp;keyfile=Paul&amp;network=jsonfiles&amp;repository=test</v>
      </c>
      <c r="U809" s="1" t="str">
        <f t="shared" si="25"/>
        <v>{"name":"In Casa #646",_x000D_
"symbol":"COR22D646",_x000D_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09" s="1" t="str">
        <f>formatRow(Tokens!C$2:I$2,Tokens!C809:I809)</f>
        <v>"name":"In Casa #646",_x000D_
"symbol":"COR22D646",_x000D_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09" s="1" t="str">
        <f>formatRow(Tokens!J$2:AV$2,Tokens!J809:AV809,2,"attributes")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09" s="1" t="str">
        <f>formatRow(Tokens!AX$2:BC$2,Tokens!AX809:BC809,2,"creators")</f>
        <v>"creators":[{"address":"paul",_x000D_
"share":10},{"address":"sophie",_x000D_
"share":90}]</v>
      </c>
      <c r="Y809" s="1" t="str">
        <f>formatRow(Tokens!BD$2:BI$2,Tokens!BD809:BI809,2,"files")</f>
        <v>"files":[]</v>
      </c>
      <c r="Z809" s="1"/>
      <c r="AA809" s="1"/>
      <c r="AB809" s="1"/>
      <c r="AC809" s="1" t="str">
        <f>formatRow(Tokens!BJ$2:BK$2,Tokens!BJ809:BK809,0,"collection")</f>
        <v>"collection":{"name":"In Casa",_x000D_
"family":"Calvi On The Rocks"}</v>
      </c>
    </row>
    <row r="810" spans="5:29" ht="14.25" customHeight="1" x14ac:dyDescent="0.25">
      <c r="E810" s="17" t="str">
        <f>IF(Tokens!C810="","",Tokens!C810)</f>
        <v>In Casa #647</v>
      </c>
      <c r="F810"/>
      <c r="G810"/>
      <c r="H810"/>
      <c r="I810"/>
      <c r="J810"/>
      <c r="M810"/>
      <c r="N810"/>
      <c r="O810" s="15" t="str">
        <f t="shared" si="24"/>
        <v>_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/>
      </c>
      <c r="Q810" s="2"/>
      <c r="R810" s="2"/>
      <c r="S810" s="11"/>
      <c r="T810" s="1" t="str">
        <f>"owner=" &amp; Tokens!BS810 &amp; "&amp;filename_for_metadata=" &amp; Tokens!BT810 &amp; "&amp;offchaindata_platform=" &amp; $B$17 &amp; "&amp;keyfile=" &amp; $B$5 &amp; "&amp;network=" &amp; LOWER($B$8) &amp; "&amp;repository=" &amp; $B$18</f>
        <v>owner=thomas&amp;filename_for_metadata=InCasa_COR22D647&amp;offchaindata_platform=MongoDB&amp;keyfile=Paul&amp;network=jsonfiles&amp;repository=test</v>
      </c>
      <c r="U810" s="1" t="str">
        <f t="shared" si="25"/>
        <v>{"name":"In Casa #647",_x000D_
"symbol":"COR22D647",_x000D_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0" s="1" t="str">
        <f>formatRow(Tokens!C$2:I$2,Tokens!C810:I810)</f>
        <v>"name":"In Casa #647",_x000D_
"symbol":"COR22D647",_x000D_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0" s="1" t="str">
        <f>formatRow(Tokens!J$2:AV$2,Tokens!J810:AV810,2,"attributes")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0" s="1" t="str">
        <f>formatRow(Tokens!AX$2:BC$2,Tokens!AX810:BC810,2,"creators")</f>
        <v>"creators":[{"address":"paul",_x000D_
"share":10},{"address":"sophie",_x000D_
"share":90}]</v>
      </c>
      <c r="Y810" s="1" t="str">
        <f>formatRow(Tokens!BD$2:BI$2,Tokens!BD810:BI810,2,"files")</f>
        <v>"files":[]</v>
      </c>
      <c r="Z810" s="1"/>
      <c r="AA810" s="1"/>
      <c r="AB810" s="1"/>
      <c r="AC810" s="1" t="str">
        <f>formatRow(Tokens!BJ$2:BK$2,Tokens!BJ810:BK810,0,"collection")</f>
        <v>"collection":{"name":"In Casa",_x000D_
"family":"Calvi On The Rocks"}</v>
      </c>
    </row>
    <row r="811" spans="5:29" ht="14.25" customHeight="1" x14ac:dyDescent="0.25">
      <c r="E811" s="17" t="str">
        <f>IF(Tokens!C811="","",Tokens!C811)</f>
        <v>In Casa #648</v>
      </c>
      <c r="F811"/>
      <c r="G811"/>
      <c r="H811"/>
      <c r="I811"/>
      <c r="J811"/>
      <c r="M811"/>
      <c r="N811"/>
      <c r="O811" s="15" t="str">
        <f t="shared" si="24"/>
        <v>_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/>
      </c>
      <c r="Q811" s="2"/>
      <c r="R811" s="2"/>
      <c r="S811" s="11"/>
      <c r="T811" s="1" t="str">
        <f>"owner=" &amp; Tokens!BS811 &amp; "&amp;filename_for_metadata=" &amp; Tokens!BT811 &amp; "&amp;offchaindata_platform=" &amp; $B$17 &amp; "&amp;keyfile=" &amp; $B$5 &amp; "&amp;network=" &amp; LOWER($B$8) &amp; "&amp;repository=" &amp; $B$18</f>
        <v>owner=thomas&amp;filename_for_metadata=InCasa_COR22D648&amp;offchaindata_platform=MongoDB&amp;keyfile=Paul&amp;network=jsonfiles&amp;repository=test</v>
      </c>
      <c r="U811" s="1" t="str">
        <f t="shared" si="25"/>
        <v>{"name":"In Casa #648",_x000D_
"symbol":"COR22D648",_x000D_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1" s="1" t="str">
        <f>formatRow(Tokens!C$2:I$2,Tokens!C811:I811)</f>
        <v>"name":"In Casa #648",_x000D_
"symbol":"COR22D648",_x000D_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1" s="1" t="str">
        <f>formatRow(Tokens!J$2:AV$2,Tokens!J811:AV811,2,"attributes")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1" s="1" t="str">
        <f>formatRow(Tokens!AX$2:BC$2,Tokens!AX811:BC811,2,"creators")</f>
        <v>"creators":[{"address":"paul",_x000D_
"share":10},{"address":"sophie",_x000D_
"share":90}]</v>
      </c>
      <c r="Y811" s="1" t="str">
        <f>formatRow(Tokens!BD$2:BI$2,Tokens!BD811:BI811,2,"files")</f>
        <v>"files":[]</v>
      </c>
      <c r="Z811" s="1"/>
      <c r="AA811" s="1"/>
      <c r="AB811" s="1"/>
      <c r="AC811" s="1" t="str">
        <f>formatRow(Tokens!BJ$2:BK$2,Tokens!BJ811:BK811,0,"collection")</f>
        <v>"collection":{"name":"In Casa",_x000D_
"family":"Calvi On The Rocks"}</v>
      </c>
    </row>
    <row r="812" spans="5:29" ht="14.25" customHeight="1" x14ac:dyDescent="0.25">
      <c r="E812" s="17" t="str">
        <f>IF(Tokens!C812="","",Tokens!C812)</f>
        <v>In Casa #649</v>
      </c>
      <c r="F812"/>
      <c r="G812"/>
      <c r="H812"/>
      <c r="I812"/>
      <c r="J812"/>
      <c r="M812"/>
      <c r="N812"/>
      <c r="O812" s="15" t="str">
        <f t="shared" si="24"/>
        <v>_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/>
      </c>
      <c r="Q812" s="2"/>
      <c r="R812" s="2"/>
      <c r="S812" s="11"/>
      <c r="T812" s="1" t="str">
        <f>"owner=" &amp; Tokens!BS812 &amp; "&amp;filename_for_metadata=" &amp; Tokens!BT812 &amp; "&amp;offchaindata_platform=" &amp; $B$17 &amp; "&amp;keyfile=" &amp; $B$5 &amp; "&amp;network=" &amp; LOWER($B$8) &amp; "&amp;repository=" &amp; $B$18</f>
        <v>owner=thomas&amp;filename_for_metadata=InCasa_COR22D649&amp;offchaindata_platform=MongoDB&amp;keyfile=Paul&amp;network=jsonfiles&amp;repository=test</v>
      </c>
      <c r="U812" s="1" t="str">
        <f t="shared" si="25"/>
        <v>{"name":"In Casa #649",_x000D_
"symbol":"COR22D649",_x000D_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2" s="1" t="str">
        <f>formatRow(Tokens!C$2:I$2,Tokens!C812:I812)</f>
        <v>"name":"In Casa #649",_x000D_
"symbol":"COR22D649",_x000D_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2" s="1" t="str">
        <f>formatRow(Tokens!J$2:AV$2,Tokens!J812:AV812,2,"attributes")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2" s="1" t="str">
        <f>formatRow(Tokens!AX$2:BC$2,Tokens!AX812:BC812,2,"creators")</f>
        <v>"creators":[{"address":"paul",_x000D_
"share":10},{"address":"sophie",_x000D_
"share":90}]</v>
      </c>
      <c r="Y812" s="1" t="str">
        <f>formatRow(Tokens!BD$2:BI$2,Tokens!BD812:BI812,2,"files")</f>
        <v>"files":[]</v>
      </c>
      <c r="Z812" s="1"/>
      <c r="AA812" s="1"/>
      <c r="AB812" s="1"/>
      <c r="AC812" s="1" t="str">
        <f>formatRow(Tokens!BJ$2:BK$2,Tokens!BJ812:BK812,0,"collection")</f>
        <v>"collection":{"name":"In Casa",_x000D_
"family":"Calvi On The Rocks"}</v>
      </c>
    </row>
    <row r="813" spans="5:29" ht="14.25" customHeight="1" x14ac:dyDescent="0.25">
      <c r="E813" s="17" t="str">
        <f>IF(Tokens!C813="","",Tokens!C813)</f>
        <v>In Casa #650</v>
      </c>
      <c r="F813"/>
      <c r="G813"/>
      <c r="H813"/>
      <c r="I813"/>
      <c r="J813"/>
      <c r="M813"/>
      <c r="N813"/>
      <c r="O813" s="15" t="str">
        <f t="shared" si="24"/>
        <v>_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/>
      </c>
      <c r="Q813" s="2"/>
      <c r="R813" s="2"/>
      <c r="S813" s="11"/>
      <c r="T813" s="1" t="str">
        <f>"owner=" &amp; Tokens!BS813 &amp; "&amp;filename_for_metadata=" &amp; Tokens!BT813 &amp; "&amp;offchaindata_platform=" &amp; $B$17 &amp; "&amp;keyfile=" &amp; $B$5 &amp; "&amp;network=" &amp; LOWER($B$8) &amp; "&amp;repository=" &amp; $B$18</f>
        <v>owner=thomas&amp;filename_for_metadata=InCasa_COR22D650&amp;offchaindata_platform=MongoDB&amp;keyfile=Paul&amp;network=jsonfiles&amp;repository=test</v>
      </c>
      <c r="U813" s="1" t="str">
        <f t="shared" si="25"/>
        <v>{"name":"In Casa #650",_x000D_
"symbol":"COR22D650",_x000D_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3" s="1" t="str">
        <f>formatRow(Tokens!C$2:I$2,Tokens!C813:I813)</f>
        <v>"name":"In Casa #650",_x000D_
"symbol":"COR22D650",_x000D_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3" s="1" t="str">
        <f>formatRow(Tokens!J$2:AV$2,Tokens!J813:AV813,2,"attributes")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3" s="1" t="str">
        <f>formatRow(Tokens!AX$2:BC$2,Tokens!AX813:BC813,2,"creators")</f>
        <v>"creators":[{"address":"paul",_x000D_
"share":10},{"address":"sophie",_x000D_
"share":90}]</v>
      </c>
      <c r="Y813" s="1" t="str">
        <f>formatRow(Tokens!BD$2:BI$2,Tokens!BD813:BI813,2,"files")</f>
        <v>"files":[]</v>
      </c>
      <c r="Z813" s="1"/>
      <c r="AA813" s="1"/>
      <c r="AB813" s="1"/>
      <c r="AC813" s="1" t="str">
        <f>formatRow(Tokens!BJ$2:BK$2,Tokens!BJ813:BK813,0,"collection")</f>
        <v>"collection":{"name":"In Casa",_x000D_
"family":"Calvi On The Rocks"}</v>
      </c>
    </row>
    <row r="814" spans="5:29" ht="14.25" customHeight="1" x14ac:dyDescent="0.25">
      <c r="E814" s="17" t="str">
        <f>IF(Tokens!C814="","",Tokens!C814)</f>
        <v>In Casa #651</v>
      </c>
      <c r="F814"/>
      <c r="G814"/>
      <c r="H814"/>
      <c r="I814"/>
      <c r="J814"/>
      <c r="M814"/>
      <c r="N814"/>
      <c r="O814" s="15" t="str">
        <f t="shared" si="24"/>
        <v>_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/>
      </c>
      <c r="Q814" s="2"/>
      <c r="R814" s="2"/>
      <c r="S814" s="11"/>
      <c r="T814" s="1" t="str">
        <f>"owner=" &amp; Tokens!BS814 &amp; "&amp;filename_for_metadata=" &amp; Tokens!BT814 &amp; "&amp;offchaindata_platform=" &amp; $B$17 &amp; "&amp;keyfile=" &amp; $B$5 &amp; "&amp;network=" &amp; LOWER($B$8) &amp; "&amp;repository=" &amp; $B$18</f>
        <v>owner=thomas&amp;filename_for_metadata=InCasa_COR22D651&amp;offchaindata_platform=MongoDB&amp;keyfile=Paul&amp;network=jsonfiles&amp;repository=test</v>
      </c>
      <c r="U814" s="1" t="str">
        <f t="shared" si="25"/>
        <v>{"name":"In Casa #651",_x000D_
"symbol":"COR22D651",_x000D_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4" s="1" t="str">
        <f>formatRow(Tokens!C$2:I$2,Tokens!C814:I814)</f>
        <v>"name":"In Casa #651",_x000D_
"symbol":"COR22D651",_x000D_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4" s="1" t="str">
        <f>formatRow(Tokens!J$2:AV$2,Tokens!J814:AV814,2,"attributes")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4" s="1" t="str">
        <f>formatRow(Tokens!AX$2:BC$2,Tokens!AX814:BC814,2,"creators")</f>
        <v>"creators":[{"address":"paul",_x000D_
"share":10},{"address":"sophie",_x000D_
"share":90}]</v>
      </c>
      <c r="Y814" s="1" t="str">
        <f>formatRow(Tokens!BD$2:BI$2,Tokens!BD814:BI814,2,"files")</f>
        <v>"files":[]</v>
      </c>
      <c r="Z814" s="1"/>
      <c r="AA814" s="1"/>
      <c r="AB814" s="1"/>
      <c r="AC814" s="1" t="str">
        <f>formatRow(Tokens!BJ$2:BK$2,Tokens!BJ814:BK814,0,"collection")</f>
        <v>"collection":{"name":"In Casa",_x000D_
"family":"Calvi On The Rocks"}</v>
      </c>
    </row>
    <row r="815" spans="5:29" ht="14.25" customHeight="1" x14ac:dyDescent="0.25">
      <c r="E815" s="17" t="str">
        <f>IF(Tokens!C815="","",Tokens!C815)</f>
        <v>In Casa #652</v>
      </c>
      <c r="F815"/>
      <c r="G815"/>
      <c r="H815"/>
      <c r="I815"/>
      <c r="J815"/>
      <c r="M815"/>
      <c r="N815"/>
      <c r="O815" s="15" t="str">
        <f t="shared" si="24"/>
        <v>_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/>
      </c>
      <c r="Q815" s="2"/>
      <c r="R815" s="2"/>
      <c r="S815" s="11"/>
      <c r="T815" s="1" t="str">
        <f>"owner=" &amp; Tokens!BS815 &amp; "&amp;filename_for_metadata=" &amp; Tokens!BT815 &amp; "&amp;offchaindata_platform=" &amp; $B$17 &amp; "&amp;keyfile=" &amp; $B$5 &amp; "&amp;network=" &amp; LOWER($B$8) &amp; "&amp;repository=" &amp; $B$18</f>
        <v>owner=thomas&amp;filename_for_metadata=InCasa_COR22D652&amp;offchaindata_platform=MongoDB&amp;keyfile=Paul&amp;network=jsonfiles&amp;repository=test</v>
      </c>
      <c r="U815" s="1" t="str">
        <f t="shared" si="25"/>
        <v>{"name":"In Casa #652",_x000D_
"symbol":"COR22D652",_x000D_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5" s="1" t="str">
        <f>formatRow(Tokens!C$2:I$2,Tokens!C815:I815)</f>
        <v>"name":"In Casa #652",_x000D_
"symbol":"COR22D652",_x000D_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5" s="1" t="str">
        <f>formatRow(Tokens!J$2:AV$2,Tokens!J815:AV815,2,"attributes")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5" s="1" t="str">
        <f>formatRow(Tokens!AX$2:BC$2,Tokens!AX815:BC815,2,"creators")</f>
        <v>"creators":[{"address":"paul",_x000D_
"share":10},{"address":"sophie",_x000D_
"share":90}]</v>
      </c>
      <c r="Y815" s="1" t="str">
        <f>formatRow(Tokens!BD$2:BI$2,Tokens!BD815:BI815,2,"files")</f>
        <v>"files":[]</v>
      </c>
      <c r="Z815" s="1"/>
      <c r="AA815" s="1"/>
      <c r="AB815" s="1"/>
      <c r="AC815" s="1" t="str">
        <f>formatRow(Tokens!BJ$2:BK$2,Tokens!BJ815:BK815,0,"collection")</f>
        <v>"collection":{"name":"In Casa",_x000D_
"family":"Calvi On The Rocks"}</v>
      </c>
    </row>
    <row r="816" spans="5:29" ht="14.25" customHeight="1" x14ac:dyDescent="0.25">
      <c r="E816" s="17" t="str">
        <f>IF(Tokens!C816="","",Tokens!C816)</f>
        <v>In Casa #653</v>
      </c>
      <c r="F816"/>
      <c r="G816"/>
      <c r="H816"/>
      <c r="I816"/>
      <c r="J816"/>
      <c r="M816"/>
      <c r="N816"/>
      <c r="O816" s="15" t="str">
        <f t="shared" si="24"/>
        <v>_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/>
      </c>
      <c r="Q816" s="2"/>
      <c r="R816" s="2"/>
      <c r="S816" s="11"/>
      <c r="T816" s="1" t="str">
        <f>"owner=" &amp; Tokens!BS816 &amp; "&amp;filename_for_metadata=" &amp; Tokens!BT816 &amp; "&amp;offchaindata_platform=" &amp; $B$17 &amp; "&amp;keyfile=" &amp; $B$5 &amp; "&amp;network=" &amp; LOWER($B$8) &amp; "&amp;repository=" &amp; $B$18</f>
        <v>owner=thomas&amp;filename_for_metadata=InCasa_COR22D653&amp;offchaindata_platform=MongoDB&amp;keyfile=Paul&amp;network=jsonfiles&amp;repository=test</v>
      </c>
      <c r="U816" s="1" t="str">
        <f t="shared" si="25"/>
        <v>{"name":"In Casa #653",_x000D_
"symbol":"COR22D653",_x000D_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6" s="1" t="str">
        <f>formatRow(Tokens!C$2:I$2,Tokens!C816:I816)</f>
        <v>"name":"In Casa #653",_x000D_
"symbol":"COR22D653",_x000D_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6" s="1" t="str">
        <f>formatRow(Tokens!J$2:AV$2,Tokens!J816:AV816,2,"attributes")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6" s="1" t="str">
        <f>formatRow(Tokens!AX$2:BC$2,Tokens!AX816:BC816,2,"creators")</f>
        <v>"creators":[{"address":"paul",_x000D_
"share":10},{"address":"sophie",_x000D_
"share":90}]</v>
      </c>
      <c r="Y816" s="1" t="str">
        <f>formatRow(Tokens!BD$2:BI$2,Tokens!BD816:BI816,2,"files")</f>
        <v>"files":[]</v>
      </c>
      <c r="Z816" s="1"/>
      <c r="AA816" s="1"/>
      <c r="AB816" s="1"/>
      <c r="AC816" s="1" t="str">
        <f>formatRow(Tokens!BJ$2:BK$2,Tokens!BJ816:BK816,0,"collection")</f>
        <v>"collection":{"name":"In Casa",_x000D_
"family":"Calvi On The Rocks"}</v>
      </c>
    </row>
    <row r="817" spans="5:29" ht="14.25" customHeight="1" x14ac:dyDescent="0.25">
      <c r="E817" s="17" t="str">
        <f>IF(Tokens!C817="","",Tokens!C817)</f>
        <v>In Casa #654</v>
      </c>
      <c r="F817"/>
      <c r="G817"/>
      <c r="H817"/>
      <c r="I817"/>
      <c r="J817"/>
      <c r="M817"/>
      <c r="N817"/>
      <c r="O817" s="15" t="str">
        <f t="shared" si="24"/>
        <v>_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/>
      </c>
      <c r="Q817" s="2"/>
      <c r="R817" s="2"/>
      <c r="S817" s="11"/>
      <c r="T817" s="1" t="str">
        <f>"owner=" &amp; Tokens!BS817 &amp; "&amp;filename_for_metadata=" &amp; Tokens!BT817 &amp; "&amp;offchaindata_platform=" &amp; $B$17 &amp; "&amp;keyfile=" &amp; $B$5 &amp; "&amp;network=" &amp; LOWER($B$8) &amp; "&amp;repository=" &amp; $B$18</f>
        <v>owner=thomas&amp;filename_for_metadata=InCasa_COR22D654&amp;offchaindata_platform=MongoDB&amp;keyfile=Paul&amp;network=jsonfiles&amp;repository=test</v>
      </c>
      <c r="U817" s="1" t="str">
        <f t="shared" si="25"/>
        <v>{"name":"In Casa #654",_x000D_
"symbol":"COR22D654",_x000D_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7" s="1" t="str">
        <f>formatRow(Tokens!C$2:I$2,Tokens!C817:I817)</f>
        <v>"name":"In Casa #654",_x000D_
"symbol":"COR22D654",_x000D_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7" s="1" t="str">
        <f>formatRow(Tokens!J$2:AV$2,Tokens!J817:AV817,2,"attributes")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7" s="1" t="str">
        <f>formatRow(Tokens!AX$2:BC$2,Tokens!AX817:BC817,2,"creators")</f>
        <v>"creators":[{"address":"paul",_x000D_
"share":10},{"address":"sophie",_x000D_
"share":90}]</v>
      </c>
      <c r="Y817" s="1" t="str">
        <f>formatRow(Tokens!BD$2:BI$2,Tokens!BD817:BI817,2,"files")</f>
        <v>"files":[]</v>
      </c>
      <c r="Z817" s="1"/>
      <c r="AA817" s="1"/>
      <c r="AB817" s="1"/>
      <c r="AC817" s="1" t="str">
        <f>formatRow(Tokens!BJ$2:BK$2,Tokens!BJ817:BK817,0,"collection")</f>
        <v>"collection":{"name":"In Casa",_x000D_
"family":"Calvi On The Rocks"}</v>
      </c>
    </row>
    <row r="818" spans="5:29" ht="14.25" customHeight="1" x14ac:dyDescent="0.25">
      <c r="E818" s="17" t="str">
        <f>IF(Tokens!C818="","",Tokens!C818)</f>
        <v>In Casa #655</v>
      </c>
      <c r="F818"/>
      <c r="G818"/>
      <c r="H818"/>
      <c r="I818"/>
      <c r="J818"/>
      <c r="M818"/>
      <c r="N818"/>
      <c r="O818" s="15" t="str">
        <f t="shared" si="24"/>
        <v>_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/>
      </c>
      <c r="Q818" s="2"/>
      <c r="R818" s="2"/>
      <c r="S818" s="11"/>
      <c r="T818" s="1" t="str">
        <f>"owner=" &amp; Tokens!BS818 &amp; "&amp;filename_for_metadata=" &amp; Tokens!BT818 &amp; "&amp;offchaindata_platform=" &amp; $B$17 &amp; "&amp;keyfile=" &amp; $B$5 &amp; "&amp;network=" &amp; LOWER($B$8) &amp; "&amp;repository=" &amp; $B$18</f>
        <v>owner=thomas&amp;filename_for_metadata=InCasa_COR22D655&amp;offchaindata_platform=MongoDB&amp;keyfile=Paul&amp;network=jsonfiles&amp;repository=test</v>
      </c>
      <c r="U818" s="1" t="str">
        <f t="shared" si="25"/>
        <v>{"name":"In Casa #655",_x000D_
"symbol":"COR22D655",_x000D_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8" s="1" t="str">
        <f>formatRow(Tokens!C$2:I$2,Tokens!C818:I818)</f>
        <v>"name":"In Casa #655",_x000D_
"symbol":"COR22D655",_x000D_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8" s="1" t="str">
        <f>formatRow(Tokens!J$2:AV$2,Tokens!J818:AV818,2,"attributes")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8" s="1" t="str">
        <f>formatRow(Tokens!AX$2:BC$2,Tokens!AX818:BC818,2,"creators")</f>
        <v>"creators":[{"address":"paul",_x000D_
"share":10},{"address":"sophie",_x000D_
"share":90}]</v>
      </c>
      <c r="Y818" s="1" t="str">
        <f>formatRow(Tokens!BD$2:BI$2,Tokens!BD818:BI818,2,"files")</f>
        <v>"files":[]</v>
      </c>
      <c r="Z818" s="1"/>
      <c r="AA818" s="1"/>
      <c r="AB818" s="1"/>
      <c r="AC818" s="1" t="str">
        <f>formatRow(Tokens!BJ$2:BK$2,Tokens!BJ818:BK818,0,"collection")</f>
        <v>"collection":{"name":"In Casa",_x000D_
"family":"Calvi On The Rocks"}</v>
      </c>
    </row>
    <row r="819" spans="5:29" ht="14.25" customHeight="1" x14ac:dyDescent="0.25">
      <c r="E819" s="17" t="str">
        <f>IF(Tokens!C819="","",Tokens!C819)</f>
        <v>In Casa #656</v>
      </c>
      <c r="F819"/>
      <c r="G819"/>
      <c r="H819"/>
      <c r="I819"/>
      <c r="J819"/>
      <c r="M819"/>
      <c r="N819"/>
      <c r="O819" s="15" t="str">
        <f t="shared" si="24"/>
        <v>_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/>
      </c>
      <c r="Q819" s="2"/>
      <c r="R819" s="2"/>
      <c r="S819" s="11"/>
      <c r="T819" s="1" t="str">
        <f>"owner=" &amp; Tokens!BS819 &amp; "&amp;filename_for_metadata=" &amp; Tokens!BT819 &amp; "&amp;offchaindata_platform=" &amp; $B$17 &amp; "&amp;keyfile=" &amp; $B$5 &amp; "&amp;network=" &amp; LOWER($B$8) &amp; "&amp;repository=" &amp; $B$18</f>
        <v>owner=thomas&amp;filename_for_metadata=InCasa_COR22D656&amp;offchaindata_platform=MongoDB&amp;keyfile=Paul&amp;network=jsonfiles&amp;repository=test</v>
      </c>
      <c r="U819" s="1" t="str">
        <f t="shared" si="25"/>
        <v>{"name":"In Casa #656",_x000D_
"symbol":"COR22D656",_x000D_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19" s="1" t="str">
        <f>formatRow(Tokens!C$2:I$2,Tokens!C819:I819)</f>
        <v>"name":"In Casa #656",_x000D_
"symbol":"COR22D656",_x000D_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19" s="1" t="str">
        <f>formatRow(Tokens!J$2:AV$2,Tokens!J819:AV819,2,"attributes")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19" s="1" t="str">
        <f>formatRow(Tokens!AX$2:BC$2,Tokens!AX819:BC819,2,"creators")</f>
        <v>"creators":[{"address":"paul",_x000D_
"share":10},{"address":"sophie",_x000D_
"share":90}]</v>
      </c>
      <c r="Y819" s="1" t="str">
        <f>formatRow(Tokens!BD$2:BI$2,Tokens!BD819:BI819,2,"files")</f>
        <v>"files":[]</v>
      </c>
      <c r="Z819" s="1"/>
      <c r="AA819" s="1"/>
      <c r="AB819" s="1"/>
      <c r="AC819" s="1" t="str">
        <f>formatRow(Tokens!BJ$2:BK$2,Tokens!BJ819:BK819,0,"collection")</f>
        <v>"collection":{"name":"In Casa",_x000D_
"family":"Calvi On The Rocks"}</v>
      </c>
    </row>
    <row r="820" spans="5:29" ht="14.25" customHeight="1" x14ac:dyDescent="0.25">
      <c r="E820" s="17" t="str">
        <f>IF(Tokens!C820="","",Tokens!C820)</f>
        <v>In Casa #657</v>
      </c>
      <c r="F820"/>
      <c r="G820"/>
      <c r="H820"/>
      <c r="I820"/>
      <c r="J820"/>
      <c r="M820"/>
      <c r="N820"/>
      <c r="O820" s="15" t="str">
        <f t="shared" si="24"/>
        <v>_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/>
      </c>
      <c r="Q820" s="2"/>
      <c r="R820" s="2"/>
      <c r="S820" s="11"/>
      <c r="T820" s="1" t="str">
        <f>"owner=" &amp; Tokens!BS820 &amp; "&amp;filename_for_metadata=" &amp; Tokens!BT820 &amp; "&amp;offchaindata_platform=" &amp; $B$17 &amp; "&amp;keyfile=" &amp; $B$5 &amp; "&amp;network=" &amp; LOWER($B$8) &amp; "&amp;repository=" &amp; $B$18</f>
        <v>owner=thomas&amp;filename_for_metadata=InCasa_COR22D657&amp;offchaindata_platform=MongoDB&amp;keyfile=Paul&amp;network=jsonfiles&amp;repository=test</v>
      </c>
      <c r="U820" s="1" t="str">
        <f t="shared" si="25"/>
        <v>{"name":"In Casa #657",_x000D_
"symbol":"COR22D657",_x000D_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0" s="1" t="str">
        <f>formatRow(Tokens!C$2:I$2,Tokens!C820:I820)</f>
        <v>"name":"In Casa #657",_x000D_
"symbol":"COR22D657",_x000D_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0" s="1" t="str">
        <f>formatRow(Tokens!J$2:AV$2,Tokens!J820:AV820,2,"attributes")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0" s="1" t="str">
        <f>formatRow(Tokens!AX$2:BC$2,Tokens!AX820:BC820,2,"creators")</f>
        <v>"creators":[{"address":"paul",_x000D_
"share":10},{"address":"sophie",_x000D_
"share":90}]</v>
      </c>
      <c r="Y820" s="1" t="str">
        <f>formatRow(Tokens!BD$2:BI$2,Tokens!BD820:BI820,2,"files")</f>
        <v>"files":[]</v>
      </c>
      <c r="Z820" s="1"/>
      <c r="AA820" s="1"/>
      <c r="AB820" s="1"/>
      <c r="AC820" s="1" t="str">
        <f>formatRow(Tokens!BJ$2:BK$2,Tokens!BJ820:BK820,0,"collection")</f>
        <v>"collection":{"name":"In Casa",_x000D_
"family":"Calvi On The Rocks"}</v>
      </c>
    </row>
    <row r="821" spans="5:29" ht="14.25" customHeight="1" x14ac:dyDescent="0.25">
      <c r="E821" s="17" t="str">
        <f>IF(Tokens!C821="","",Tokens!C821)</f>
        <v>In Casa #658</v>
      </c>
      <c r="F821"/>
      <c r="G821"/>
      <c r="H821"/>
      <c r="I821"/>
      <c r="J821"/>
      <c r="M821"/>
      <c r="N821"/>
      <c r="O821" s="15" t="str">
        <f t="shared" si="24"/>
        <v>_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/>
      </c>
      <c r="Q821" s="2"/>
      <c r="R821" s="2"/>
      <c r="S821" s="11"/>
      <c r="T821" s="1" t="str">
        <f>"owner=" &amp; Tokens!BS821 &amp; "&amp;filename_for_metadata=" &amp; Tokens!BT821 &amp; "&amp;offchaindata_platform=" &amp; $B$17 &amp; "&amp;keyfile=" &amp; $B$5 &amp; "&amp;network=" &amp; LOWER($B$8) &amp; "&amp;repository=" &amp; $B$18</f>
        <v>owner=thomas&amp;filename_for_metadata=InCasa_COR22D658&amp;offchaindata_platform=MongoDB&amp;keyfile=Paul&amp;network=jsonfiles&amp;repository=test</v>
      </c>
      <c r="U821" s="1" t="str">
        <f t="shared" si="25"/>
        <v>{"name":"In Casa #658",_x000D_
"symbol":"COR22D658",_x000D_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1" s="1" t="str">
        <f>formatRow(Tokens!C$2:I$2,Tokens!C821:I821)</f>
        <v>"name":"In Casa #658",_x000D_
"symbol":"COR22D658",_x000D_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1" s="1" t="str">
        <f>formatRow(Tokens!J$2:AV$2,Tokens!J821:AV821,2,"attributes")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1" s="1" t="str">
        <f>formatRow(Tokens!AX$2:BC$2,Tokens!AX821:BC821,2,"creators")</f>
        <v>"creators":[{"address":"paul",_x000D_
"share":10},{"address":"sophie",_x000D_
"share":90}]</v>
      </c>
      <c r="Y821" s="1" t="str">
        <f>formatRow(Tokens!BD$2:BI$2,Tokens!BD821:BI821,2,"files")</f>
        <v>"files":[]</v>
      </c>
      <c r="Z821" s="1"/>
      <c r="AA821" s="1"/>
      <c r="AB821" s="1"/>
      <c r="AC821" s="1" t="str">
        <f>formatRow(Tokens!BJ$2:BK$2,Tokens!BJ821:BK821,0,"collection")</f>
        <v>"collection":{"name":"In Casa",_x000D_
"family":"Calvi On The Rocks"}</v>
      </c>
    </row>
    <row r="822" spans="5:29" ht="14.25" customHeight="1" x14ac:dyDescent="0.25">
      <c r="E822" s="17" t="str">
        <f>IF(Tokens!C822="","",Tokens!C822)</f>
        <v>In Casa #659</v>
      </c>
      <c r="F822"/>
      <c r="G822"/>
      <c r="H822"/>
      <c r="I822"/>
      <c r="J822"/>
      <c r="M822"/>
      <c r="N822"/>
      <c r="O822" s="15" t="str">
        <f t="shared" si="24"/>
        <v>_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/>
      </c>
      <c r="Q822" s="2"/>
      <c r="R822" s="2"/>
      <c r="S822" s="11"/>
      <c r="T822" s="1" t="str">
        <f>"owner=" &amp; Tokens!BS822 &amp; "&amp;filename_for_metadata=" &amp; Tokens!BT822 &amp; "&amp;offchaindata_platform=" &amp; $B$17 &amp; "&amp;keyfile=" &amp; $B$5 &amp; "&amp;network=" &amp; LOWER($B$8) &amp; "&amp;repository=" &amp; $B$18</f>
        <v>owner=thomas&amp;filename_for_metadata=InCasa_COR22D659&amp;offchaindata_platform=MongoDB&amp;keyfile=Paul&amp;network=jsonfiles&amp;repository=test</v>
      </c>
      <c r="U822" s="1" t="str">
        <f t="shared" si="25"/>
        <v>{"name":"In Casa #659",_x000D_
"symbol":"COR22D659",_x000D_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2" s="1" t="str">
        <f>formatRow(Tokens!C$2:I$2,Tokens!C822:I822)</f>
        <v>"name":"In Casa #659",_x000D_
"symbol":"COR22D659",_x000D_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2" s="1" t="str">
        <f>formatRow(Tokens!J$2:AV$2,Tokens!J822:AV822,2,"attributes")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2" s="1" t="str">
        <f>formatRow(Tokens!AX$2:BC$2,Tokens!AX822:BC822,2,"creators")</f>
        <v>"creators":[{"address":"paul",_x000D_
"share":10},{"address":"sophie",_x000D_
"share":90}]</v>
      </c>
      <c r="Y822" s="1" t="str">
        <f>formatRow(Tokens!BD$2:BI$2,Tokens!BD822:BI822,2,"files")</f>
        <v>"files":[]</v>
      </c>
      <c r="Z822" s="1"/>
      <c r="AA822" s="1"/>
      <c r="AB822" s="1"/>
      <c r="AC822" s="1" t="str">
        <f>formatRow(Tokens!BJ$2:BK$2,Tokens!BJ822:BK822,0,"collection")</f>
        <v>"collection":{"name":"In Casa",_x000D_
"family":"Calvi On The Rocks"}</v>
      </c>
    </row>
    <row r="823" spans="5:29" ht="14.25" customHeight="1" x14ac:dyDescent="0.25">
      <c r="E823" s="17" t="str">
        <f>IF(Tokens!C823="","",Tokens!C823)</f>
        <v>In Casa #660</v>
      </c>
      <c r="F823"/>
      <c r="G823"/>
      <c r="H823"/>
      <c r="I823"/>
      <c r="J823"/>
      <c r="M823"/>
      <c r="N823"/>
      <c r="O823" s="15" t="str">
        <f t="shared" si="24"/>
        <v>_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/>
      </c>
      <c r="Q823" s="2"/>
      <c r="R823" s="2"/>
      <c r="S823" s="11"/>
      <c r="T823" s="1" t="str">
        <f>"owner=" &amp; Tokens!BS823 &amp; "&amp;filename_for_metadata=" &amp; Tokens!BT823 &amp; "&amp;offchaindata_platform=" &amp; $B$17 &amp; "&amp;keyfile=" &amp; $B$5 &amp; "&amp;network=" &amp; LOWER($B$8) &amp; "&amp;repository=" &amp; $B$18</f>
        <v>owner=thomas&amp;filename_for_metadata=InCasa_COR22D660&amp;offchaindata_platform=MongoDB&amp;keyfile=Paul&amp;network=jsonfiles&amp;repository=test</v>
      </c>
      <c r="U823" s="1" t="str">
        <f t="shared" si="25"/>
        <v>{"name":"In Casa #660",_x000D_
"symbol":"COR22D660",_x000D_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3" s="1" t="str">
        <f>formatRow(Tokens!C$2:I$2,Tokens!C823:I823)</f>
        <v>"name":"In Casa #660",_x000D_
"symbol":"COR22D660",_x000D_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3" s="1" t="str">
        <f>formatRow(Tokens!J$2:AV$2,Tokens!J823:AV823,2,"attributes")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3" s="1" t="str">
        <f>formatRow(Tokens!AX$2:BC$2,Tokens!AX823:BC823,2,"creators")</f>
        <v>"creators":[{"address":"paul",_x000D_
"share":10},{"address":"sophie",_x000D_
"share":90}]</v>
      </c>
      <c r="Y823" s="1" t="str">
        <f>formatRow(Tokens!BD$2:BI$2,Tokens!BD823:BI823,2,"files")</f>
        <v>"files":[]</v>
      </c>
      <c r="Z823" s="1"/>
      <c r="AA823" s="1"/>
      <c r="AB823" s="1"/>
      <c r="AC823" s="1" t="str">
        <f>formatRow(Tokens!BJ$2:BK$2,Tokens!BJ823:BK823,0,"collection")</f>
        <v>"collection":{"name":"In Casa",_x000D_
"family":"Calvi On The Rocks"}</v>
      </c>
    </row>
    <row r="824" spans="5:29" ht="14.25" customHeight="1" x14ac:dyDescent="0.25">
      <c r="E824" s="17" t="str">
        <f>IF(Tokens!C824="","",Tokens!C824)</f>
        <v>In Casa #661</v>
      </c>
      <c r="F824"/>
      <c r="G824"/>
      <c r="H824"/>
      <c r="I824"/>
      <c r="J824"/>
      <c r="M824"/>
      <c r="N824"/>
      <c r="O824" s="15" t="str">
        <f t="shared" si="24"/>
        <v>_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/>
      </c>
      <c r="Q824" s="2"/>
      <c r="R824" s="2"/>
      <c r="S824" s="11"/>
      <c r="T824" s="1" t="str">
        <f>"owner=" &amp; Tokens!BS824 &amp; "&amp;filename_for_metadata=" &amp; Tokens!BT824 &amp; "&amp;offchaindata_platform=" &amp; $B$17 &amp; "&amp;keyfile=" &amp; $B$5 &amp; "&amp;network=" &amp; LOWER($B$8) &amp; "&amp;repository=" &amp; $B$18</f>
        <v>owner=thomas&amp;filename_for_metadata=InCasa_COR22D661&amp;offchaindata_platform=MongoDB&amp;keyfile=Paul&amp;network=jsonfiles&amp;repository=test</v>
      </c>
      <c r="U824" s="1" t="str">
        <f t="shared" si="25"/>
        <v>{"name":"In Casa #661",_x000D_
"symbol":"COR22D661",_x000D_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4" s="1" t="str">
        <f>formatRow(Tokens!C$2:I$2,Tokens!C824:I824)</f>
        <v>"name":"In Casa #661",_x000D_
"symbol":"COR22D661",_x000D_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4" s="1" t="str">
        <f>formatRow(Tokens!J$2:AV$2,Tokens!J824:AV824,2,"attributes")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4" s="1" t="str">
        <f>formatRow(Tokens!AX$2:BC$2,Tokens!AX824:BC824,2,"creators")</f>
        <v>"creators":[{"address":"paul",_x000D_
"share":10},{"address":"sophie",_x000D_
"share":90}]</v>
      </c>
      <c r="Y824" s="1" t="str">
        <f>formatRow(Tokens!BD$2:BI$2,Tokens!BD824:BI824,2,"files")</f>
        <v>"files":[]</v>
      </c>
      <c r="Z824" s="1"/>
      <c r="AA824" s="1"/>
      <c r="AB824" s="1"/>
      <c r="AC824" s="1" t="str">
        <f>formatRow(Tokens!BJ$2:BK$2,Tokens!BJ824:BK824,0,"collection")</f>
        <v>"collection":{"name":"In Casa",_x000D_
"family":"Calvi On The Rocks"}</v>
      </c>
    </row>
    <row r="825" spans="5:29" ht="14.25" customHeight="1" x14ac:dyDescent="0.25">
      <c r="E825" s="17" t="str">
        <f>IF(Tokens!C825="","",Tokens!C825)</f>
        <v>In Casa #662</v>
      </c>
      <c r="F825"/>
      <c r="G825"/>
      <c r="H825"/>
      <c r="I825"/>
      <c r="J825"/>
      <c r="M825"/>
      <c r="N825"/>
      <c r="O825" s="15" t="str">
        <f t="shared" si="24"/>
        <v>_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/>
      </c>
      <c r="Q825" s="2"/>
      <c r="R825" s="2"/>
      <c r="S825" s="11"/>
      <c r="T825" s="1" t="str">
        <f>"owner=" &amp; Tokens!BS825 &amp; "&amp;filename_for_metadata=" &amp; Tokens!BT825 &amp; "&amp;offchaindata_platform=" &amp; $B$17 &amp; "&amp;keyfile=" &amp; $B$5 &amp; "&amp;network=" &amp; LOWER($B$8) &amp; "&amp;repository=" &amp; $B$18</f>
        <v>owner=thomas&amp;filename_for_metadata=InCasa_COR22D662&amp;offchaindata_platform=MongoDB&amp;keyfile=Paul&amp;network=jsonfiles&amp;repository=test</v>
      </c>
      <c r="U825" s="1" t="str">
        <f t="shared" si="25"/>
        <v>{"name":"In Casa #662",_x000D_
"symbol":"COR22D662",_x000D_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5" s="1" t="str">
        <f>formatRow(Tokens!C$2:I$2,Tokens!C825:I825)</f>
        <v>"name":"In Casa #662",_x000D_
"symbol":"COR22D662",_x000D_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5" s="1" t="str">
        <f>formatRow(Tokens!J$2:AV$2,Tokens!J825:AV825,2,"attributes")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5" s="1" t="str">
        <f>formatRow(Tokens!AX$2:BC$2,Tokens!AX825:BC825,2,"creators")</f>
        <v>"creators":[{"address":"paul",_x000D_
"share":10},{"address":"sophie",_x000D_
"share":90}]</v>
      </c>
      <c r="Y825" s="1" t="str">
        <f>formatRow(Tokens!BD$2:BI$2,Tokens!BD825:BI825,2,"files")</f>
        <v>"files":[]</v>
      </c>
      <c r="Z825" s="1"/>
      <c r="AA825" s="1"/>
      <c r="AB825" s="1"/>
      <c r="AC825" s="1" t="str">
        <f>formatRow(Tokens!BJ$2:BK$2,Tokens!BJ825:BK825,0,"collection")</f>
        <v>"collection":{"name":"In Casa",_x000D_
"family":"Calvi On The Rocks"}</v>
      </c>
    </row>
    <row r="826" spans="5:29" ht="14.25" customHeight="1" x14ac:dyDescent="0.25">
      <c r="E826" s="17" t="str">
        <f>IF(Tokens!C826="","",Tokens!C826)</f>
        <v>In Casa #663</v>
      </c>
      <c r="F826"/>
      <c r="G826"/>
      <c r="H826"/>
      <c r="I826"/>
      <c r="J826"/>
      <c r="M826"/>
      <c r="N826"/>
      <c r="O826" s="15" t="str">
        <f t="shared" si="24"/>
        <v>_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/>
      </c>
      <c r="Q826" s="2"/>
      <c r="R826" s="2"/>
      <c r="S826" s="11"/>
      <c r="T826" s="1" t="str">
        <f>"owner=" &amp; Tokens!BS826 &amp; "&amp;filename_for_metadata=" &amp; Tokens!BT826 &amp; "&amp;offchaindata_platform=" &amp; $B$17 &amp; "&amp;keyfile=" &amp; $B$5 &amp; "&amp;network=" &amp; LOWER($B$8) &amp; "&amp;repository=" &amp; $B$18</f>
        <v>owner=thomas&amp;filename_for_metadata=InCasa_COR22D663&amp;offchaindata_platform=MongoDB&amp;keyfile=Paul&amp;network=jsonfiles&amp;repository=test</v>
      </c>
      <c r="U826" s="1" t="str">
        <f t="shared" si="25"/>
        <v>{"name":"In Casa #663",_x000D_
"symbol":"COR22D663",_x000D_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6" s="1" t="str">
        <f>formatRow(Tokens!C$2:I$2,Tokens!C826:I826)</f>
        <v>"name":"In Casa #663",_x000D_
"symbol":"COR22D663",_x000D_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6" s="1" t="str">
        <f>formatRow(Tokens!J$2:AV$2,Tokens!J826:AV826,2,"attributes")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6" s="1" t="str">
        <f>formatRow(Tokens!AX$2:BC$2,Tokens!AX826:BC826,2,"creators")</f>
        <v>"creators":[{"address":"paul",_x000D_
"share":10},{"address":"sophie",_x000D_
"share":90}]</v>
      </c>
      <c r="Y826" s="1" t="str">
        <f>formatRow(Tokens!BD$2:BI$2,Tokens!BD826:BI826,2,"files")</f>
        <v>"files":[]</v>
      </c>
      <c r="Z826" s="1"/>
      <c r="AA826" s="1"/>
      <c r="AB826" s="1"/>
      <c r="AC826" s="1" t="str">
        <f>formatRow(Tokens!BJ$2:BK$2,Tokens!BJ826:BK826,0,"collection")</f>
        <v>"collection":{"name":"In Casa",_x000D_
"family":"Calvi On The Rocks"}</v>
      </c>
    </row>
    <row r="827" spans="5:29" ht="14.25" customHeight="1" x14ac:dyDescent="0.25">
      <c r="E827" s="17" t="str">
        <f>IF(Tokens!C827="","",Tokens!C827)</f>
        <v>In Casa #664</v>
      </c>
      <c r="F827"/>
      <c r="G827"/>
      <c r="H827"/>
      <c r="I827"/>
      <c r="J827"/>
      <c r="M827"/>
      <c r="N827"/>
      <c r="O827" s="15" t="str">
        <f t="shared" si="24"/>
        <v>_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/>
      </c>
      <c r="Q827" s="2"/>
      <c r="R827" s="2"/>
      <c r="S827" s="11"/>
      <c r="T827" s="1" t="str">
        <f>"owner=" &amp; Tokens!BS827 &amp; "&amp;filename_for_metadata=" &amp; Tokens!BT827 &amp; "&amp;offchaindata_platform=" &amp; $B$17 &amp; "&amp;keyfile=" &amp; $B$5 &amp; "&amp;network=" &amp; LOWER($B$8) &amp; "&amp;repository=" &amp; $B$18</f>
        <v>owner=thomas&amp;filename_for_metadata=InCasa_COR22D664&amp;offchaindata_platform=MongoDB&amp;keyfile=Paul&amp;network=jsonfiles&amp;repository=test</v>
      </c>
      <c r="U827" s="1" t="str">
        <f t="shared" si="25"/>
        <v>{"name":"In Casa #664",_x000D_
"symbol":"COR22D664",_x000D_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7" s="1" t="str">
        <f>formatRow(Tokens!C$2:I$2,Tokens!C827:I827)</f>
        <v>"name":"In Casa #664",_x000D_
"symbol":"COR22D664",_x000D_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7" s="1" t="str">
        <f>formatRow(Tokens!J$2:AV$2,Tokens!J827:AV827,2,"attributes")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7" s="1" t="str">
        <f>formatRow(Tokens!AX$2:BC$2,Tokens!AX827:BC827,2,"creators")</f>
        <v>"creators":[{"address":"paul",_x000D_
"share":10},{"address":"sophie",_x000D_
"share":90}]</v>
      </c>
      <c r="Y827" s="1" t="str">
        <f>formatRow(Tokens!BD$2:BI$2,Tokens!BD827:BI827,2,"files")</f>
        <v>"files":[]</v>
      </c>
      <c r="Z827" s="1"/>
      <c r="AA827" s="1"/>
      <c r="AB827" s="1"/>
      <c r="AC827" s="1" t="str">
        <f>formatRow(Tokens!BJ$2:BK$2,Tokens!BJ827:BK827,0,"collection")</f>
        <v>"collection":{"name":"In Casa",_x000D_
"family":"Calvi On The Rocks"}</v>
      </c>
    </row>
    <row r="828" spans="5:29" ht="14.25" customHeight="1" x14ac:dyDescent="0.25">
      <c r="E828" s="17" t="str">
        <f>IF(Tokens!C828="","",Tokens!C828)</f>
        <v>In Casa #665</v>
      </c>
      <c r="F828"/>
      <c r="G828"/>
      <c r="H828"/>
      <c r="I828"/>
      <c r="J828"/>
      <c r="M828"/>
      <c r="N828"/>
      <c r="O828" s="15" t="str">
        <f t="shared" si="24"/>
        <v>_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/>
      </c>
      <c r="Q828" s="2"/>
      <c r="R828" s="2"/>
      <c r="S828" s="11"/>
      <c r="T828" s="1" t="str">
        <f>"owner=" &amp; Tokens!BS828 &amp; "&amp;filename_for_metadata=" &amp; Tokens!BT828 &amp; "&amp;offchaindata_platform=" &amp; $B$17 &amp; "&amp;keyfile=" &amp; $B$5 &amp; "&amp;network=" &amp; LOWER($B$8) &amp; "&amp;repository=" &amp; $B$18</f>
        <v>owner=thomas&amp;filename_for_metadata=InCasa_COR22D665&amp;offchaindata_platform=MongoDB&amp;keyfile=Paul&amp;network=jsonfiles&amp;repository=test</v>
      </c>
      <c r="U828" s="1" t="str">
        <f t="shared" si="25"/>
        <v>{"name":"In Casa #665",_x000D_
"symbol":"COR22D665",_x000D_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8" s="1" t="str">
        <f>formatRow(Tokens!C$2:I$2,Tokens!C828:I828)</f>
        <v>"name":"In Casa #665",_x000D_
"symbol":"COR22D665",_x000D_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8" s="1" t="str">
        <f>formatRow(Tokens!J$2:AV$2,Tokens!J828:AV828,2,"attributes")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8" s="1" t="str">
        <f>formatRow(Tokens!AX$2:BC$2,Tokens!AX828:BC828,2,"creators")</f>
        <v>"creators":[{"address":"paul",_x000D_
"share":10},{"address":"sophie",_x000D_
"share":90}]</v>
      </c>
      <c r="Y828" s="1" t="str">
        <f>formatRow(Tokens!BD$2:BI$2,Tokens!BD828:BI828,2,"files")</f>
        <v>"files":[]</v>
      </c>
      <c r="Z828" s="1"/>
      <c r="AA828" s="1"/>
      <c r="AB828" s="1"/>
      <c r="AC828" s="1" t="str">
        <f>formatRow(Tokens!BJ$2:BK$2,Tokens!BJ828:BK828,0,"collection")</f>
        <v>"collection":{"name":"In Casa",_x000D_
"family":"Calvi On The Rocks"}</v>
      </c>
    </row>
    <row r="829" spans="5:29" ht="14.25" customHeight="1" x14ac:dyDescent="0.25">
      <c r="E829" s="17" t="str">
        <f>IF(Tokens!C829="","",Tokens!C829)</f>
        <v>In Casa #666</v>
      </c>
      <c r="F829"/>
      <c r="G829"/>
      <c r="H829"/>
      <c r="I829"/>
      <c r="J829"/>
      <c r="M829"/>
      <c r="N829"/>
      <c r="O829" s="15" t="str">
        <f t="shared" si="24"/>
        <v>_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/>
      </c>
      <c r="Q829" s="2"/>
      <c r="R829" s="2"/>
      <c r="S829" s="11"/>
      <c r="T829" s="1" t="str">
        <f>"owner=" &amp; Tokens!BS829 &amp; "&amp;filename_for_metadata=" &amp; Tokens!BT829 &amp; "&amp;offchaindata_platform=" &amp; $B$17 &amp; "&amp;keyfile=" &amp; $B$5 &amp; "&amp;network=" &amp; LOWER($B$8) &amp; "&amp;repository=" &amp; $B$18</f>
        <v>owner=thomas&amp;filename_for_metadata=InCasa_COR22D666&amp;offchaindata_platform=MongoDB&amp;keyfile=Paul&amp;network=jsonfiles&amp;repository=test</v>
      </c>
      <c r="U829" s="1" t="str">
        <f t="shared" si="25"/>
        <v>{"name":"In Casa #666",_x000D_
"symbol":"COR22D666",_x000D_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29" s="1" t="str">
        <f>formatRow(Tokens!C$2:I$2,Tokens!C829:I829)</f>
        <v>"name":"In Casa #666",_x000D_
"symbol":"COR22D666",_x000D_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29" s="1" t="str">
        <f>formatRow(Tokens!J$2:AV$2,Tokens!J829:AV829,2,"attributes")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29" s="1" t="str">
        <f>formatRow(Tokens!AX$2:BC$2,Tokens!AX829:BC829,2,"creators")</f>
        <v>"creators":[{"address":"paul",_x000D_
"share":10},{"address":"sophie",_x000D_
"share":90}]</v>
      </c>
      <c r="Y829" s="1" t="str">
        <f>formatRow(Tokens!BD$2:BI$2,Tokens!BD829:BI829,2,"files")</f>
        <v>"files":[]</v>
      </c>
      <c r="Z829" s="1"/>
      <c r="AA829" s="1"/>
      <c r="AB829" s="1"/>
      <c r="AC829" s="1" t="str">
        <f>formatRow(Tokens!BJ$2:BK$2,Tokens!BJ829:BK829,0,"collection")</f>
        <v>"collection":{"name":"In Casa",_x000D_
"family":"Calvi On The Rocks"}</v>
      </c>
    </row>
    <row r="830" spans="5:29" ht="14.25" customHeight="1" x14ac:dyDescent="0.25">
      <c r="E830" s="17" t="str">
        <f>IF(Tokens!C830="","",Tokens!C830)</f>
        <v>In Casa #667</v>
      </c>
      <c r="F830"/>
      <c r="G830"/>
      <c r="H830"/>
      <c r="I830"/>
      <c r="J830"/>
      <c r="M830"/>
      <c r="N830"/>
      <c r="O830" s="15" t="str">
        <f t="shared" si="24"/>
        <v>_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/>
      </c>
      <c r="Q830" s="2"/>
      <c r="R830" s="2"/>
      <c r="S830" s="11"/>
      <c r="T830" s="1" t="str">
        <f>"owner=" &amp; Tokens!BS830 &amp; "&amp;filename_for_metadata=" &amp; Tokens!BT830 &amp; "&amp;offchaindata_platform=" &amp; $B$17 &amp; "&amp;keyfile=" &amp; $B$5 &amp; "&amp;network=" &amp; LOWER($B$8) &amp; "&amp;repository=" &amp; $B$18</f>
        <v>owner=thomas&amp;filename_for_metadata=InCasa_COR22D667&amp;offchaindata_platform=MongoDB&amp;keyfile=Paul&amp;network=jsonfiles&amp;repository=test</v>
      </c>
      <c r="U830" s="1" t="str">
        <f t="shared" si="25"/>
        <v>{"name":"In Casa #667",_x000D_
"symbol":"COR22D667",_x000D_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0" s="1" t="str">
        <f>formatRow(Tokens!C$2:I$2,Tokens!C830:I830)</f>
        <v>"name":"In Casa #667",_x000D_
"symbol":"COR22D667",_x000D_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0" s="1" t="str">
        <f>formatRow(Tokens!J$2:AV$2,Tokens!J830:AV830,2,"attributes")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0" s="1" t="str">
        <f>formatRow(Tokens!AX$2:BC$2,Tokens!AX830:BC830,2,"creators")</f>
        <v>"creators":[{"address":"paul",_x000D_
"share":10},{"address":"sophie",_x000D_
"share":90}]</v>
      </c>
      <c r="Y830" s="1" t="str">
        <f>formatRow(Tokens!BD$2:BI$2,Tokens!BD830:BI830,2,"files")</f>
        <v>"files":[]</v>
      </c>
      <c r="Z830" s="1"/>
      <c r="AA830" s="1"/>
      <c r="AB830" s="1"/>
      <c r="AC830" s="1" t="str">
        <f>formatRow(Tokens!BJ$2:BK$2,Tokens!BJ830:BK830,0,"collection")</f>
        <v>"collection":{"name":"In Casa",_x000D_
"family":"Calvi On The Rocks"}</v>
      </c>
    </row>
    <row r="831" spans="5:29" ht="14.25" customHeight="1" x14ac:dyDescent="0.25">
      <c r="E831" s="17" t="str">
        <f>IF(Tokens!C831="","",Tokens!C831)</f>
        <v>In Casa #668</v>
      </c>
      <c r="F831"/>
      <c r="G831"/>
      <c r="H831"/>
      <c r="I831"/>
      <c r="J831"/>
      <c r="M831"/>
      <c r="N831"/>
      <c r="O831" s="15" t="str">
        <f t="shared" si="24"/>
        <v>_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/>
      </c>
      <c r="Q831" s="2"/>
      <c r="R831" s="2"/>
      <c r="S831" s="11"/>
      <c r="T831" s="1" t="str">
        <f>"owner=" &amp; Tokens!BS831 &amp; "&amp;filename_for_metadata=" &amp; Tokens!BT831 &amp; "&amp;offchaindata_platform=" &amp; $B$17 &amp; "&amp;keyfile=" &amp; $B$5 &amp; "&amp;network=" &amp; LOWER($B$8) &amp; "&amp;repository=" &amp; $B$18</f>
        <v>owner=thomas&amp;filename_for_metadata=InCasa_COR22D668&amp;offchaindata_platform=MongoDB&amp;keyfile=Paul&amp;network=jsonfiles&amp;repository=test</v>
      </c>
      <c r="U831" s="1" t="str">
        <f t="shared" si="25"/>
        <v>{"name":"In Casa #668",_x000D_
"symbol":"COR22D668",_x000D_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1" s="1" t="str">
        <f>formatRow(Tokens!C$2:I$2,Tokens!C831:I831)</f>
        <v>"name":"In Casa #668",_x000D_
"symbol":"COR22D668",_x000D_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1" s="1" t="str">
        <f>formatRow(Tokens!J$2:AV$2,Tokens!J831:AV831,2,"attributes")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1" s="1" t="str">
        <f>formatRow(Tokens!AX$2:BC$2,Tokens!AX831:BC831,2,"creators")</f>
        <v>"creators":[{"address":"paul",_x000D_
"share":10},{"address":"sophie",_x000D_
"share":90}]</v>
      </c>
      <c r="Y831" s="1" t="str">
        <f>formatRow(Tokens!BD$2:BI$2,Tokens!BD831:BI831,2,"files")</f>
        <v>"files":[]</v>
      </c>
      <c r="Z831" s="1"/>
      <c r="AA831" s="1"/>
      <c r="AB831" s="1"/>
      <c r="AC831" s="1" t="str">
        <f>formatRow(Tokens!BJ$2:BK$2,Tokens!BJ831:BK831,0,"collection")</f>
        <v>"collection":{"name":"In Casa",_x000D_
"family":"Calvi On The Rocks"}</v>
      </c>
    </row>
    <row r="832" spans="5:29" ht="14.25" customHeight="1" x14ac:dyDescent="0.25">
      <c r="E832" s="17" t="str">
        <f>IF(Tokens!C832="","",Tokens!C832)</f>
        <v>In Casa #669</v>
      </c>
      <c r="F832"/>
      <c r="G832"/>
      <c r="H832"/>
      <c r="I832"/>
      <c r="J832"/>
      <c r="M832"/>
      <c r="N832"/>
      <c r="O832" s="15" t="str">
        <f t="shared" si="24"/>
        <v>_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/>
      </c>
      <c r="Q832" s="2"/>
      <c r="R832" s="2"/>
      <c r="S832" s="11"/>
      <c r="T832" s="1" t="str">
        <f>"owner=" &amp; Tokens!BS832 &amp; "&amp;filename_for_metadata=" &amp; Tokens!BT832 &amp; "&amp;offchaindata_platform=" &amp; $B$17 &amp; "&amp;keyfile=" &amp; $B$5 &amp; "&amp;network=" &amp; LOWER($B$8) &amp; "&amp;repository=" &amp; $B$18</f>
        <v>owner=thomas&amp;filename_for_metadata=InCasa_COR22D669&amp;offchaindata_platform=MongoDB&amp;keyfile=Paul&amp;network=jsonfiles&amp;repository=test</v>
      </c>
      <c r="U832" s="1" t="str">
        <f t="shared" si="25"/>
        <v>{"name":"In Casa #669",_x000D_
"symbol":"COR22D669",_x000D_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2" s="1" t="str">
        <f>formatRow(Tokens!C$2:I$2,Tokens!C832:I832)</f>
        <v>"name":"In Casa #669",_x000D_
"symbol":"COR22D669",_x000D_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2" s="1" t="str">
        <f>formatRow(Tokens!J$2:AV$2,Tokens!J832:AV832,2,"attributes")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2" s="1" t="str">
        <f>formatRow(Tokens!AX$2:BC$2,Tokens!AX832:BC832,2,"creators")</f>
        <v>"creators":[{"address":"paul",_x000D_
"share":10},{"address":"sophie",_x000D_
"share":90}]</v>
      </c>
      <c r="Y832" s="1" t="str">
        <f>formatRow(Tokens!BD$2:BI$2,Tokens!BD832:BI832,2,"files")</f>
        <v>"files":[]</v>
      </c>
      <c r="Z832" s="1"/>
      <c r="AA832" s="1"/>
      <c r="AB832" s="1"/>
      <c r="AC832" s="1" t="str">
        <f>formatRow(Tokens!BJ$2:BK$2,Tokens!BJ832:BK832,0,"collection")</f>
        <v>"collection":{"name":"In Casa",_x000D_
"family":"Calvi On The Rocks"}</v>
      </c>
    </row>
    <row r="833" spans="5:29" ht="14.25" customHeight="1" x14ac:dyDescent="0.25">
      <c r="E833" s="17" t="str">
        <f>IF(Tokens!C833="","",Tokens!C833)</f>
        <v>In Casa #670</v>
      </c>
      <c r="F833"/>
      <c r="G833"/>
      <c r="H833"/>
      <c r="I833"/>
      <c r="J833"/>
      <c r="M833"/>
      <c r="N833"/>
      <c r="O833" s="15" t="str">
        <f t="shared" si="24"/>
        <v>_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/>
      </c>
      <c r="Q833" s="2"/>
      <c r="R833" s="2"/>
      <c r="S833" s="11"/>
      <c r="T833" s="1" t="str">
        <f>"owner=" &amp; Tokens!BS833 &amp; "&amp;filename_for_metadata=" &amp; Tokens!BT833 &amp; "&amp;offchaindata_platform=" &amp; $B$17 &amp; "&amp;keyfile=" &amp; $B$5 &amp; "&amp;network=" &amp; LOWER($B$8) &amp; "&amp;repository=" &amp; $B$18</f>
        <v>owner=thomas&amp;filename_for_metadata=InCasa_COR22D670&amp;offchaindata_platform=MongoDB&amp;keyfile=Paul&amp;network=jsonfiles&amp;repository=test</v>
      </c>
      <c r="U833" s="1" t="str">
        <f t="shared" si="25"/>
        <v>{"name":"In Casa #670",_x000D_
"symbol":"COR22D670",_x000D_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3" s="1" t="str">
        <f>formatRow(Tokens!C$2:I$2,Tokens!C833:I833)</f>
        <v>"name":"In Casa #670",_x000D_
"symbol":"COR22D670",_x000D_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3" s="1" t="str">
        <f>formatRow(Tokens!J$2:AV$2,Tokens!J833:AV833,2,"attributes")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3" s="1" t="str">
        <f>formatRow(Tokens!AX$2:BC$2,Tokens!AX833:BC833,2,"creators")</f>
        <v>"creators":[{"address":"paul",_x000D_
"share":10},{"address":"sophie",_x000D_
"share":90}]</v>
      </c>
      <c r="Y833" s="1" t="str">
        <f>formatRow(Tokens!BD$2:BI$2,Tokens!BD833:BI833,2,"files")</f>
        <v>"files":[]</v>
      </c>
      <c r="Z833" s="1"/>
      <c r="AA833" s="1"/>
      <c r="AB833" s="1"/>
      <c r="AC833" s="1" t="str">
        <f>formatRow(Tokens!BJ$2:BK$2,Tokens!BJ833:BK833,0,"collection")</f>
        <v>"collection":{"name":"In Casa",_x000D_
"family":"Calvi On The Rocks"}</v>
      </c>
    </row>
    <row r="834" spans="5:29" ht="14.25" customHeight="1" x14ac:dyDescent="0.25">
      <c r="E834" s="17" t="str">
        <f>IF(Tokens!C834="","",Tokens!C834)</f>
        <v>In Casa #671</v>
      </c>
      <c r="F834"/>
      <c r="G834"/>
      <c r="H834"/>
      <c r="I834"/>
      <c r="J834"/>
      <c r="M834"/>
      <c r="N834"/>
      <c r="O834" s="15" t="str">
        <f t="shared" si="24"/>
        <v>_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/>
      </c>
      <c r="Q834" s="2"/>
      <c r="R834" s="2"/>
      <c r="S834" s="11"/>
      <c r="T834" s="1" t="str">
        <f>"owner=" &amp; Tokens!BS834 &amp; "&amp;filename_for_metadata=" &amp; Tokens!BT834 &amp; "&amp;offchaindata_platform=" &amp; $B$17 &amp; "&amp;keyfile=" &amp; $B$5 &amp; "&amp;network=" &amp; LOWER($B$8) &amp; "&amp;repository=" &amp; $B$18</f>
        <v>owner=thomas&amp;filename_for_metadata=InCasa_COR22D671&amp;offchaindata_platform=MongoDB&amp;keyfile=Paul&amp;network=jsonfiles&amp;repository=test</v>
      </c>
      <c r="U834" s="1" t="str">
        <f t="shared" si="25"/>
        <v>{"name":"In Casa #671",_x000D_
"symbol":"COR22D671",_x000D_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4" s="1" t="str">
        <f>formatRow(Tokens!C$2:I$2,Tokens!C834:I834)</f>
        <v>"name":"In Casa #671",_x000D_
"symbol":"COR22D671",_x000D_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4" s="1" t="str">
        <f>formatRow(Tokens!J$2:AV$2,Tokens!J834:AV834,2,"attributes")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4" s="1" t="str">
        <f>formatRow(Tokens!AX$2:BC$2,Tokens!AX834:BC834,2,"creators")</f>
        <v>"creators":[{"address":"paul",_x000D_
"share":10},{"address":"sophie",_x000D_
"share":90}]</v>
      </c>
      <c r="Y834" s="1" t="str">
        <f>formatRow(Tokens!BD$2:BI$2,Tokens!BD834:BI834,2,"files")</f>
        <v>"files":[]</v>
      </c>
      <c r="Z834" s="1"/>
      <c r="AA834" s="1"/>
      <c r="AB834" s="1"/>
      <c r="AC834" s="1" t="str">
        <f>formatRow(Tokens!BJ$2:BK$2,Tokens!BJ834:BK834,0,"collection")</f>
        <v>"collection":{"name":"In Casa",_x000D_
"family":"Calvi On The Rocks"}</v>
      </c>
    </row>
    <row r="835" spans="5:29" ht="14.25" customHeight="1" x14ac:dyDescent="0.25">
      <c r="E835" s="17" t="str">
        <f>IF(Tokens!C835="","",Tokens!C835)</f>
        <v>In Casa #672</v>
      </c>
      <c r="F835"/>
      <c r="G835"/>
      <c r="H835"/>
      <c r="I835"/>
      <c r="J835"/>
      <c r="M835"/>
      <c r="N835"/>
      <c r="O835" s="15" t="str">
        <f t="shared" si="24"/>
        <v>_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/>
      </c>
      <c r="Q835" s="2"/>
      <c r="R835" s="2"/>
      <c r="S835" s="11"/>
      <c r="T835" s="1" t="str">
        <f>"owner=" &amp; Tokens!BS835 &amp; "&amp;filename_for_metadata=" &amp; Tokens!BT835 &amp; "&amp;offchaindata_platform=" &amp; $B$17 &amp; "&amp;keyfile=" &amp; $B$5 &amp; "&amp;network=" &amp; LOWER($B$8) &amp; "&amp;repository=" &amp; $B$18</f>
        <v>owner=thomas&amp;filename_for_metadata=InCasa_COR22D672&amp;offchaindata_platform=MongoDB&amp;keyfile=Paul&amp;network=jsonfiles&amp;repository=test</v>
      </c>
      <c r="U835" s="1" t="str">
        <f t="shared" si="25"/>
        <v>{"name":"In Casa #672",_x000D_
"symbol":"COR22D672",_x000D_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5" s="1" t="str">
        <f>formatRow(Tokens!C$2:I$2,Tokens!C835:I835)</f>
        <v>"name":"In Casa #672",_x000D_
"symbol":"COR22D672",_x000D_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5" s="1" t="str">
        <f>formatRow(Tokens!J$2:AV$2,Tokens!J835:AV835,2,"attributes")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5" s="1" t="str">
        <f>formatRow(Tokens!AX$2:BC$2,Tokens!AX835:BC835,2,"creators")</f>
        <v>"creators":[{"address":"paul",_x000D_
"share":10},{"address":"sophie",_x000D_
"share":90}]</v>
      </c>
      <c r="Y835" s="1" t="str">
        <f>formatRow(Tokens!BD$2:BI$2,Tokens!BD835:BI835,2,"files")</f>
        <v>"files":[]</v>
      </c>
      <c r="Z835" s="1"/>
      <c r="AA835" s="1"/>
      <c r="AB835" s="1"/>
      <c r="AC835" s="1" t="str">
        <f>formatRow(Tokens!BJ$2:BK$2,Tokens!BJ835:BK835,0,"collection")</f>
        <v>"collection":{"name":"In Casa",_x000D_
"family":"Calvi On The Rocks"}</v>
      </c>
    </row>
    <row r="836" spans="5:29" ht="14.25" customHeight="1" x14ac:dyDescent="0.25">
      <c r="E836" s="17" t="str">
        <f>IF(Tokens!C836="","",Tokens!C836)</f>
        <v>In Casa #673</v>
      </c>
      <c r="F836"/>
      <c r="G836"/>
      <c r="H836"/>
      <c r="I836"/>
      <c r="J836"/>
      <c r="M836"/>
      <c r="N836"/>
      <c r="O836" s="15" t="str">
        <f t="shared" ref="O836:O899" si="26">IF(AND(ISNUMBER(N835),ISNUMBER(N836)),(N836-N835)*$O$1,"_")</f>
        <v>_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/>
      </c>
      <c r="Q836" s="2"/>
      <c r="R836" s="2"/>
      <c r="S836" s="11"/>
      <c r="T836" s="1" t="str">
        <f>"owner=" &amp; Tokens!BS836 &amp; "&amp;filename_for_metadata=" &amp; Tokens!BT836 &amp; "&amp;offchaindata_platform=" &amp; $B$17 &amp; "&amp;keyfile=" &amp; $B$5 &amp; "&amp;network=" &amp; LOWER($B$8) &amp; "&amp;repository=" &amp; $B$18</f>
        <v>owner=thomas&amp;filename_for_metadata=InCasa_COR22D673&amp;offchaindata_platform=MongoDB&amp;keyfile=Paul&amp;network=jsonfiles&amp;repository=test</v>
      </c>
      <c r="U836" s="1" t="str">
        <f t="shared" si="25"/>
        <v>{"name":"In Casa #673",_x000D_
"symbol":"COR22D673",_x000D_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6" s="1" t="str">
        <f>formatRow(Tokens!C$2:I$2,Tokens!C836:I836)</f>
        <v>"name":"In Casa #673",_x000D_
"symbol":"COR22D673",_x000D_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6" s="1" t="str">
        <f>formatRow(Tokens!J$2:AV$2,Tokens!J836:AV836,2,"attributes")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6" s="1" t="str">
        <f>formatRow(Tokens!AX$2:BC$2,Tokens!AX836:BC836,2,"creators")</f>
        <v>"creators":[{"address":"paul",_x000D_
"share":10},{"address":"sophie",_x000D_
"share":90}]</v>
      </c>
      <c r="Y836" s="1" t="str">
        <f>formatRow(Tokens!BD$2:BI$2,Tokens!BD836:BI836,2,"files")</f>
        <v>"files":[]</v>
      </c>
      <c r="Z836" s="1"/>
      <c r="AA836" s="1"/>
      <c r="AB836" s="1"/>
      <c r="AC836" s="1" t="str">
        <f>formatRow(Tokens!BJ$2:BK$2,Tokens!BJ836:BK836,0,"collection")</f>
        <v>"collection":{"name":"In Casa",_x000D_
"family":"Calvi On The Rocks"}</v>
      </c>
    </row>
    <row r="837" spans="5:29" ht="14.25" customHeight="1" x14ac:dyDescent="0.25">
      <c r="E837" s="17" t="str">
        <f>IF(Tokens!C837="","",Tokens!C837)</f>
        <v>In Casa #674</v>
      </c>
      <c r="F837"/>
      <c r="G837"/>
      <c r="H837"/>
      <c r="I837"/>
      <c r="J837"/>
      <c r="M837"/>
      <c r="N837"/>
      <c r="O837" s="15" t="str">
        <f t="shared" si="26"/>
        <v>_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/>
      </c>
      <c r="Q837" s="2"/>
      <c r="R837" s="2"/>
      <c r="S837" s="11"/>
      <c r="T837" s="1" t="str">
        <f>"owner=" &amp; Tokens!BS837 &amp; "&amp;filename_for_metadata=" &amp; Tokens!BT837 &amp; "&amp;offchaindata_platform=" &amp; $B$17 &amp; "&amp;keyfile=" &amp; $B$5 &amp; "&amp;network=" &amp; LOWER($B$8) &amp; "&amp;repository=" &amp; $B$18</f>
        <v>owner=thomas&amp;filename_for_metadata=InCasa_COR22D674&amp;offchaindata_platform=MongoDB&amp;keyfile=Paul&amp;network=jsonfiles&amp;repository=test</v>
      </c>
      <c r="U837" s="1" t="str">
        <f t="shared" ref="U837:U900" si="27">"{" &amp; V837 &amp; "," &amp; W837 &amp; "," &amp; """properties"":{" &amp; X837 &amp; "," &amp; Y837 &amp; "}," &amp; AC837 &amp; "}"</f>
        <v>{"name":"In Casa #674",_x000D_
"symbol":"COR22D674",_x000D_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7" s="1" t="str">
        <f>formatRow(Tokens!C$2:I$2,Tokens!C837:I837)</f>
        <v>"name":"In Casa #674",_x000D_
"symbol":"COR22D674",_x000D_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7" s="1" t="str">
        <f>formatRow(Tokens!J$2:AV$2,Tokens!J837:AV837,2,"attributes")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7" s="1" t="str">
        <f>formatRow(Tokens!AX$2:BC$2,Tokens!AX837:BC837,2,"creators")</f>
        <v>"creators":[{"address":"paul",_x000D_
"share":10},{"address":"sophie",_x000D_
"share":90}]</v>
      </c>
      <c r="Y837" s="1" t="str">
        <f>formatRow(Tokens!BD$2:BI$2,Tokens!BD837:BI837,2,"files")</f>
        <v>"files":[]</v>
      </c>
      <c r="Z837" s="1"/>
      <c r="AA837" s="1"/>
      <c r="AB837" s="1"/>
      <c r="AC837" s="1" t="str">
        <f>formatRow(Tokens!BJ$2:BK$2,Tokens!BJ837:BK837,0,"collection")</f>
        <v>"collection":{"name":"In Casa",_x000D_
"family":"Calvi On The Rocks"}</v>
      </c>
    </row>
    <row r="838" spans="5:29" ht="14.25" customHeight="1" x14ac:dyDescent="0.25">
      <c r="E838" s="17" t="str">
        <f>IF(Tokens!C838="","",Tokens!C838)</f>
        <v>In Casa #675</v>
      </c>
      <c r="F838"/>
      <c r="G838"/>
      <c r="H838"/>
      <c r="I838"/>
      <c r="J838"/>
      <c r="M838"/>
      <c r="N838"/>
      <c r="O838" s="15" t="str">
        <f t="shared" si="26"/>
        <v>_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/>
      </c>
      <c r="Q838" s="2"/>
      <c r="R838" s="2"/>
      <c r="S838" s="11"/>
      <c r="T838" s="1" t="str">
        <f>"owner=" &amp; Tokens!BS838 &amp; "&amp;filename_for_metadata=" &amp; Tokens!BT838 &amp; "&amp;offchaindata_platform=" &amp; $B$17 &amp; "&amp;keyfile=" &amp; $B$5 &amp; "&amp;network=" &amp; LOWER($B$8) &amp; "&amp;repository=" &amp; $B$18</f>
        <v>owner=thomas&amp;filename_for_metadata=InCasa_COR22D675&amp;offchaindata_platform=MongoDB&amp;keyfile=Paul&amp;network=jsonfiles&amp;repository=test</v>
      </c>
      <c r="U838" s="1" t="str">
        <f t="shared" si="27"/>
        <v>{"name":"In Casa #675",_x000D_
"symbol":"COR22D675",_x000D_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8" s="1" t="str">
        <f>formatRow(Tokens!C$2:I$2,Tokens!C838:I838)</f>
        <v>"name":"In Casa #675",_x000D_
"symbol":"COR22D675",_x000D_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8" s="1" t="str">
        <f>formatRow(Tokens!J$2:AV$2,Tokens!J838:AV838,2,"attributes")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8" s="1" t="str">
        <f>formatRow(Tokens!AX$2:BC$2,Tokens!AX838:BC838,2,"creators")</f>
        <v>"creators":[{"address":"paul",_x000D_
"share":10},{"address":"sophie",_x000D_
"share":90}]</v>
      </c>
      <c r="Y838" s="1" t="str">
        <f>formatRow(Tokens!BD$2:BI$2,Tokens!BD838:BI838,2,"files")</f>
        <v>"files":[]</v>
      </c>
      <c r="Z838" s="1"/>
      <c r="AA838" s="1"/>
      <c r="AB838" s="1"/>
      <c r="AC838" s="1" t="str">
        <f>formatRow(Tokens!BJ$2:BK$2,Tokens!BJ838:BK838,0,"collection")</f>
        <v>"collection":{"name":"In Casa",_x000D_
"family":"Calvi On The Rocks"}</v>
      </c>
    </row>
    <row r="839" spans="5:29" ht="14.25" customHeight="1" x14ac:dyDescent="0.25">
      <c r="E839" s="17" t="str">
        <f>IF(Tokens!C839="","",Tokens!C839)</f>
        <v>In Casa #676</v>
      </c>
      <c r="F839"/>
      <c r="G839"/>
      <c r="H839"/>
      <c r="I839"/>
      <c r="J839"/>
      <c r="M839"/>
      <c r="N839"/>
      <c r="O839" s="15" t="str">
        <f t="shared" si="26"/>
        <v>_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/>
      </c>
      <c r="Q839" s="2"/>
      <c r="R839" s="2"/>
      <c r="S839" s="11"/>
      <c r="T839" s="1" t="str">
        <f>"owner=" &amp; Tokens!BS839 &amp; "&amp;filename_for_metadata=" &amp; Tokens!BT839 &amp; "&amp;offchaindata_platform=" &amp; $B$17 &amp; "&amp;keyfile=" &amp; $B$5 &amp; "&amp;network=" &amp; LOWER($B$8) &amp; "&amp;repository=" &amp; $B$18</f>
        <v>owner=thomas&amp;filename_for_metadata=InCasa_COR22D676&amp;offchaindata_platform=MongoDB&amp;keyfile=Paul&amp;network=jsonfiles&amp;repository=test</v>
      </c>
      <c r="U839" s="1" t="str">
        <f t="shared" si="27"/>
        <v>{"name":"In Casa #676",_x000D_
"symbol":"COR22D676",_x000D_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39" s="1" t="str">
        <f>formatRow(Tokens!C$2:I$2,Tokens!C839:I839)</f>
        <v>"name":"In Casa #676",_x000D_
"symbol":"COR22D676",_x000D_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39" s="1" t="str">
        <f>formatRow(Tokens!J$2:AV$2,Tokens!J839:AV839,2,"attributes")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39" s="1" t="str">
        <f>formatRow(Tokens!AX$2:BC$2,Tokens!AX839:BC839,2,"creators")</f>
        <v>"creators":[{"address":"paul",_x000D_
"share":10},{"address":"sophie",_x000D_
"share":90}]</v>
      </c>
      <c r="Y839" s="1" t="str">
        <f>formatRow(Tokens!BD$2:BI$2,Tokens!BD839:BI839,2,"files")</f>
        <v>"files":[]</v>
      </c>
      <c r="Z839" s="1"/>
      <c r="AA839" s="1"/>
      <c r="AB839" s="1"/>
      <c r="AC839" s="1" t="str">
        <f>formatRow(Tokens!BJ$2:BK$2,Tokens!BJ839:BK839,0,"collection")</f>
        <v>"collection":{"name":"In Casa",_x000D_
"family":"Calvi On The Rocks"}</v>
      </c>
    </row>
    <row r="840" spans="5:29" ht="14.25" customHeight="1" x14ac:dyDescent="0.25">
      <c r="E840" s="17" t="str">
        <f>IF(Tokens!C840="","",Tokens!C840)</f>
        <v>In Casa #677</v>
      </c>
      <c r="F840"/>
      <c r="G840"/>
      <c r="H840"/>
      <c r="I840"/>
      <c r="J840"/>
      <c r="M840"/>
      <c r="N840"/>
      <c r="O840" s="15" t="str">
        <f t="shared" si="26"/>
        <v>_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/>
      </c>
      <c r="Q840" s="2"/>
      <c r="R840" s="2"/>
      <c r="S840" s="11"/>
      <c r="T840" s="1" t="str">
        <f>"owner=" &amp; Tokens!BS840 &amp; "&amp;filename_for_metadata=" &amp; Tokens!BT840 &amp; "&amp;offchaindata_platform=" &amp; $B$17 &amp; "&amp;keyfile=" &amp; $B$5 &amp; "&amp;network=" &amp; LOWER($B$8) &amp; "&amp;repository=" &amp; $B$18</f>
        <v>owner=thomas&amp;filename_for_metadata=InCasa_COR22D677&amp;offchaindata_platform=MongoDB&amp;keyfile=Paul&amp;network=jsonfiles&amp;repository=test</v>
      </c>
      <c r="U840" s="1" t="str">
        <f t="shared" si="27"/>
        <v>{"name":"In Casa #677",_x000D_
"symbol":"COR22D677",_x000D_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0" s="1" t="str">
        <f>formatRow(Tokens!C$2:I$2,Tokens!C840:I840)</f>
        <v>"name":"In Casa #677",_x000D_
"symbol":"COR22D677",_x000D_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0" s="1" t="str">
        <f>formatRow(Tokens!J$2:AV$2,Tokens!J840:AV840,2,"attributes")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0" s="1" t="str">
        <f>formatRow(Tokens!AX$2:BC$2,Tokens!AX840:BC840,2,"creators")</f>
        <v>"creators":[{"address":"paul",_x000D_
"share":10},{"address":"sophie",_x000D_
"share":90}]</v>
      </c>
      <c r="Y840" s="1" t="str">
        <f>formatRow(Tokens!BD$2:BI$2,Tokens!BD840:BI840,2,"files")</f>
        <v>"files":[]</v>
      </c>
      <c r="Z840" s="1"/>
      <c r="AA840" s="1"/>
      <c r="AB840" s="1"/>
      <c r="AC840" s="1" t="str">
        <f>formatRow(Tokens!BJ$2:BK$2,Tokens!BJ840:BK840,0,"collection")</f>
        <v>"collection":{"name":"In Casa",_x000D_
"family":"Calvi On The Rocks"}</v>
      </c>
    </row>
    <row r="841" spans="5:29" ht="14.25" customHeight="1" x14ac:dyDescent="0.25">
      <c r="E841" s="17" t="str">
        <f>IF(Tokens!C841="","",Tokens!C841)</f>
        <v>In Casa #678</v>
      </c>
      <c r="F841"/>
      <c r="G841"/>
      <c r="H841"/>
      <c r="I841"/>
      <c r="J841"/>
      <c r="M841"/>
      <c r="N841"/>
      <c r="O841" s="15" t="str">
        <f t="shared" si="26"/>
        <v>_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/>
      </c>
      <c r="Q841" s="2"/>
      <c r="R841" s="2"/>
      <c r="S841" s="11"/>
      <c r="T841" s="1" t="str">
        <f>"owner=" &amp; Tokens!BS841 &amp; "&amp;filename_for_metadata=" &amp; Tokens!BT841 &amp; "&amp;offchaindata_platform=" &amp; $B$17 &amp; "&amp;keyfile=" &amp; $B$5 &amp; "&amp;network=" &amp; LOWER($B$8) &amp; "&amp;repository=" &amp; $B$18</f>
        <v>owner=thomas&amp;filename_for_metadata=InCasa_COR22D678&amp;offchaindata_platform=MongoDB&amp;keyfile=Paul&amp;network=jsonfiles&amp;repository=test</v>
      </c>
      <c r="U841" s="1" t="str">
        <f t="shared" si="27"/>
        <v>{"name":"In Casa #678",_x000D_
"symbol":"COR22D678",_x000D_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1" s="1" t="str">
        <f>formatRow(Tokens!C$2:I$2,Tokens!C841:I841)</f>
        <v>"name":"In Casa #678",_x000D_
"symbol":"COR22D678",_x000D_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1" s="1" t="str">
        <f>formatRow(Tokens!J$2:AV$2,Tokens!J841:AV841,2,"attributes")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1" s="1" t="str">
        <f>formatRow(Tokens!AX$2:BC$2,Tokens!AX841:BC841,2,"creators")</f>
        <v>"creators":[{"address":"paul",_x000D_
"share":10},{"address":"sophie",_x000D_
"share":90}]</v>
      </c>
      <c r="Y841" s="1" t="str">
        <f>formatRow(Tokens!BD$2:BI$2,Tokens!BD841:BI841,2,"files")</f>
        <v>"files":[]</v>
      </c>
      <c r="Z841" s="1"/>
      <c r="AA841" s="1"/>
      <c r="AB841" s="1"/>
      <c r="AC841" s="1" t="str">
        <f>formatRow(Tokens!BJ$2:BK$2,Tokens!BJ841:BK841,0,"collection")</f>
        <v>"collection":{"name":"In Casa",_x000D_
"family":"Calvi On The Rocks"}</v>
      </c>
    </row>
    <row r="842" spans="5:29" ht="14.25" customHeight="1" x14ac:dyDescent="0.25">
      <c r="E842" s="17" t="str">
        <f>IF(Tokens!C842="","",Tokens!C842)</f>
        <v>In Casa #679</v>
      </c>
      <c r="F842"/>
      <c r="G842"/>
      <c r="H842"/>
      <c r="I842"/>
      <c r="J842"/>
      <c r="M842"/>
      <c r="N842"/>
      <c r="O842" s="15" t="str">
        <f t="shared" si="26"/>
        <v>_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/>
      </c>
      <c r="Q842" s="2"/>
      <c r="R842" s="2"/>
      <c r="S842" s="11"/>
      <c r="T842" s="1" t="str">
        <f>"owner=" &amp; Tokens!BS842 &amp; "&amp;filename_for_metadata=" &amp; Tokens!BT842 &amp; "&amp;offchaindata_platform=" &amp; $B$17 &amp; "&amp;keyfile=" &amp; $B$5 &amp; "&amp;network=" &amp; LOWER($B$8) &amp; "&amp;repository=" &amp; $B$18</f>
        <v>owner=thomas&amp;filename_for_metadata=InCasa_COR22D679&amp;offchaindata_platform=MongoDB&amp;keyfile=Paul&amp;network=jsonfiles&amp;repository=test</v>
      </c>
      <c r="U842" s="1" t="str">
        <f t="shared" si="27"/>
        <v>{"name":"In Casa #679",_x000D_
"symbol":"COR22D679",_x000D_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2" s="1" t="str">
        <f>formatRow(Tokens!C$2:I$2,Tokens!C842:I842)</f>
        <v>"name":"In Casa #679",_x000D_
"symbol":"COR22D679",_x000D_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2" s="1" t="str">
        <f>formatRow(Tokens!J$2:AV$2,Tokens!J842:AV842,2,"attributes")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2" s="1" t="str">
        <f>formatRow(Tokens!AX$2:BC$2,Tokens!AX842:BC842,2,"creators")</f>
        <v>"creators":[{"address":"paul",_x000D_
"share":10},{"address":"sophie",_x000D_
"share":90}]</v>
      </c>
      <c r="Y842" s="1" t="str">
        <f>formatRow(Tokens!BD$2:BI$2,Tokens!BD842:BI842,2,"files")</f>
        <v>"files":[]</v>
      </c>
      <c r="Z842" s="1"/>
      <c r="AA842" s="1"/>
      <c r="AB842" s="1"/>
      <c r="AC842" s="1" t="str">
        <f>formatRow(Tokens!BJ$2:BK$2,Tokens!BJ842:BK842,0,"collection")</f>
        <v>"collection":{"name":"In Casa",_x000D_
"family":"Calvi On The Rocks"}</v>
      </c>
    </row>
    <row r="843" spans="5:29" ht="14.25" customHeight="1" x14ac:dyDescent="0.25">
      <c r="E843" s="17" t="str">
        <f>IF(Tokens!C843="","",Tokens!C843)</f>
        <v>In Casa #680</v>
      </c>
      <c r="F843"/>
      <c r="G843"/>
      <c r="H843"/>
      <c r="I843"/>
      <c r="J843"/>
      <c r="M843"/>
      <c r="N843"/>
      <c r="O843" s="15" t="str">
        <f t="shared" si="26"/>
        <v>_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/>
      </c>
      <c r="Q843" s="2"/>
      <c r="R843" s="2"/>
      <c r="S843" s="11"/>
      <c r="T843" s="1" t="str">
        <f>"owner=" &amp; Tokens!BS843 &amp; "&amp;filename_for_metadata=" &amp; Tokens!BT843 &amp; "&amp;offchaindata_platform=" &amp; $B$17 &amp; "&amp;keyfile=" &amp; $B$5 &amp; "&amp;network=" &amp; LOWER($B$8) &amp; "&amp;repository=" &amp; $B$18</f>
        <v>owner=thomas&amp;filename_for_metadata=InCasa_COR22D680&amp;offchaindata_platform=MongoDB&amp;keyfile=Paul&amp;network=jsonfiles&amp;repository=test</v>
      </c>
      <c r="U843" s="1" t="str">
        <f t="shared" si="27"/>
        <v>{"name":"In Casa #680",_x000D_
"symbol":"COR22D680",_x000D_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3" s="1" t="str">
        <f>formatRow(Tokens!C$2:I$2,Tokens!C843:I843)</f>
        <v>"name":"In Casa #680",_x000D_
"symbol":"COR22D680",_x000D_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3" s="1" t="str">
        <f>formatRow(Tokens!J$2:AV$2,Tokens!J843:AV843,2,"attributes")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3" s="1" t="str">
        <f>formatRow(Tokens!AX$2:BC$2,Tokens!AX843:BC843,2,"creators")</f>
        <v>"creators":[{"address":"paul",_x000D_
"share":10},{"address":"sophie",_x000D_
"share":90}]</v>
      </c>
      <c r="Y843" s="1" t="str">
        <f>formatRow(Tokens!BD$2:BI$2,Tokens!BD843:BI843,2,"files")</f>
        <v>"files":[]</v>
      </c>
      <c r="Z843" s="1"/>
      <c r="AA843" s="1"/>
      <c r="AB843" s="1"/>
      <c r="AC843" s="1" t="str">
        <f>formatRow(Tokens!BJ$2:BK$2,Tokens!BJ843:BK843,0,"collection")</f>
        <v>"collection":{"name":"In Casa",_x000D_
"family":"Calvi On The Rocks"}</v>
      </c>
    </row>
    <row r="844" spans="5:29" ht="14.25" customHeight="1" x14ac:dyDescent="0.25">
      <c r="E844" s="17" t="str">
        <f>IF(Tokens!C844="","",Tokens!C844)</f>
        <v>In Casa #681</v>
      </c>
      <c r="F844"/>
      <c r="G844"/>
      <c r="H844"/>
      <c r="I844"/>
      <c r="J844"/>
      <c r="M844"/>
      <c r="N844"/>
      <c r="O844" s="15" t="str">
        <f t="shared" si="26"/>
        <v>_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/>
      </c>
      <c r="Q844" s="2"/>
      <c r="R844" s="2"/>
      <c r="S844" s="11"/>
      <c r="T844" s="1" t="str">
        <f>"owner=" &amp; Tokens!BS844 &amp; "&amp;filename_for_metadata=" &amp; Tokens!BT844 &amp; "&amp;offchaindata_platform=" &amp; $B$17 &amp; "&amp;keyfile=" &amp; $B$5 &amp; "&amp;network=" &amp; LOWER($B$8) &amp; "&amp;repository=" &amp; $B$18</f>
        <v>owner=thomas&amp;filename_for_metadata=InCasa_COR22D681&amp;offchaindata_platform=MongoDB&amp;keyfile=Paul&amp;network=jsonfiles&amp;repository=test</v>
      </c>
      <c r="U844" s="1" t="str">
        <f t="shared" si="27"/>
        <v>{"name":"In Casa #681",_x000D_
"symbol":"COR22D681",_x000D_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4" s="1" t="str">
        <f>formatRow(Tokens!C$2:I$2,Tokens!C844:I844)</f>
        <v>"name":"In Casa #681",_x000D_
"symbol":"COR22D681",_x000D_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4" s="1" t="str">
        <f>formatRow(Tokens!J$2:AV$2,Tokens!J844:AV844,2,"attributes")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4" s="1" t="str">
        <f>formatRow(Tokens!AX$2:BC$2,Tokens!AX844:BC844,2,"creators")</f>
        <v>"creators":[{"address":"paul",_x000D_
"share":10},{"address":"sophie",_x000D_
"share":90}]</v>
      </c>
      <c r="Y844" s="1" t="str">
        <f>formatRow(Tokens!BD$2:BI$2,Tokens!BD844:BI844,2,"files")</f>
        <v>"files":[]</v>
      </c>
      <c r="Z844" s="1"/>
      <c r="AA844" s="1"/>
      <c r="AB844" s="1"/>
      <c r="AC844" s="1" t="str">
        <f>formatRow(Tokens!BJ$2:BK$2,Tokens!BJ844:BK844,0,"collection")</f>
        <v>"collection":{"name":"In Casa",_x000D_
"family":"Calvi On The Rocks"}</v>
      </c>
    </row>
    <row r="845" spans="5:29" ht="14.25" customHeight="1" x14ac:dyDescent="0.25">
      <c r="E845" s="17" t="str">
        <f>IF(Tokens!C845="","",Tokens!C845)</f>
        <v>In Casa #682</v>
      </c>
      <c r="F845"/>
      <c r="G845"/>
      <c r="H845"/>
      <c r="I845"/>
      <c r="J845"/>
      <c r="M845"/>
      <c r="N845"/>
      <c r="O845" s="15" t="str">
        <f t="shared" si="26"/>
        <v>_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/>
      </c>
      <c r="Q845" s="2"/>
      <c r="R845" s="2"/>
      <c r="S845" s="11"/>
      <c r="T845" s="1" t="str">
        <f>"owner=" &amp; Tokens!BS845 &amp; "&amp;filename_for_metadata=" &amp; Tokens!BT845 &amp; "&amp;offchaindata_platform=" &amp; $B$17 &amp; "&amp;keyfile=" &amp; $B$5 &amp; "&amp;network=" &amp; LOWER($B$8) &amp; "&amp;repository=" &amp; $B$18</f>
        <v>owner=thomas&amp;filename_for_metadata=InCasa_COR22D682&amp;offchaindata_platform=MongoDB&amp;keyfile=Paul&amp;network=jsonfiles&amp;repository=test</v>
      </c>
      <c r="U845" s="1" t="str">
        <f t="shared" si="27"/>
        <v>{"name":"In Casa #682",_x000D_
"symbol":"COR22D682",_x000D_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5" s="1" t="str">
        <f>formatRow(Tokens!C$2:I$2,Tokens!C845:I845)</f>
        <v>"name":"In Casa #682",_x000D_
"symbol":"COR22D682",_x000D_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5" s="1" t="str">
        <f>formatRow(Tokens!J$2:AV$2,Tokens!J845:AV845,2,"attributes")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5" s="1" t="str">
        <f>formatRow(Tokens!AX$2:BC$2,Tokens!AX845:BC845,2,"creators")</f>
        <v>"creators":[{"address":"paul",_x000D_
"share":10},{"address":"sophie",_x000D_
"share":90}]</v>
      </c>
      <c r="Y845" s="1" t="str">
        <f>formatRow(Tokens!BD$2:BI$2,Tokens!BD845:BI845,2,"files")</f>
        <v>"files":[]</v>
      </c>
      <c r="Z845" s="1"/>
      <c r="AA845" s="1"/>
      <c r="AB845" s="1"/>
      <c r="AC845" s="1" t="str">
        <f>formatRow(Tokens!BJ$2:BK$2,Tokens!BJ845:BK845,0,"collection")</f>
        <v>"collection":{"name":"In Casa",_x000D_
"family":"Calvi On The Rocks"}</v>
      </c>
    </row>
    <row r="846" spans="5:29" ht="14.25" customHeight="1" x14ac:dyDescent="0.25">
      <c r="E846" s="17" t="str">
        <f>IF(Tokens!C846="","",Tokens!C846)</f>
        <v>In Casa #683</v>
      </c>
      <c r="F846"/>
      <c r="G846"/>
      <c r="H846"/>
      <c r="I846"/>
      <c r="J846"/>
      <c r="M846"/>
      <c r="N846"/>
      <c r="O846" s="15" t="str">
        <f t="shared" si="26"/>
        <v>_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/>
      </c>
      <c r="Q846" s="2"/>
      <c r="R846" s="2"/>
      <c r="S846" s="11"/>
      <c r="T846" s="1" t="str">
        <f>"owner=" &amp; Tokens!BS846 &amp; "&amp;filename_for_metadata=" &amp; Tokens!BT846 &amp; "&amp;offchaindata_platform=" &amp; $B$17 &amp; "&amp;keyfile=" &amp; $B$5 &amp; "&amp;network=" &amp; LOWER($B$8) &amp; "&amp;repository=" &amp; $B$18</f>
        <v>owner=thomas&amp;filename_for_metadata=InCasa_COR22D683&amp;offchaindata_platform=MongoDB&amp;keyfile=Paul&amp;network=jsonfiles&amp;repository=test</v>
      </c>
      <c r="U846" s="1" t="str">
        <f t="shared" si="27"/>
        <v>{"name":"In Casa #683",_x000D_
"symbol":"COR22D683",_x000D_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6" s="1" t="str">
        <f>formatRow(Tokens!C$2:I$2,Tokens!C846:I846)</f>
        <v>"name":"In Casa #683",_x000D_
"symbol":"COR22D683",_x000D_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6" s="1" t="str">
        <f>formatRow(Tokens!J$2:AV$2,Tokens!J846:AV846,2,"attributes")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6" s="1" t="str">
        <f>formatRow(Tokens!AX$2:BC$2,Tokens!AX846:BC846,2,"creators")</f>
        <v>"creators":[{"address":"paul",_x000D_
"share":10},{"address":"sophie",_x000D_
"share":90}]</v>
      </c>
      <c r="Y846" s="1" t="str">
        <f>formatRow(Tokens!BD$2:BI$2,Tokens!BD846:BI846,2,"files")</f>
        <v>"files":[]</v>
      </c>
      <c r="Z846" s="1"/>
      <c r="AA846" s="1"/>
      <c r="AB846" s="1"/>
      <c r="AC846" s="1" t="str">
        <f>formatRow(Tokens!BJ$2:BK$2,Tokens!BJ846:BK846,0,"collection")</f>
        <v>"collection":{"name":"In Casa",_x000D_
"family":"Calvi On The Rocks"}</v>
      </c>
    </row>
    <row r="847" spans="5:29" ht="14.25" customHeight="1" x14ac:dyDescent="0.25">
      <c r="E847" s="17" t="str">
        <f>IF(Tokens!C847="","",Tokens!C847)</f>
        <v>In Casa #684</v>
      </c>
      <c r="F847"/>
      <c r="G847"/>
      <c r="H847"/>
      <c r="I847"/>
      <c r="J847"/>
      <c r="M847"/>
      <c r="N847"/>
      <c r="O847" s="15" t="str">
        <f t="shared" si="26"/>
        <v>_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/>
      </c>
      <c r="Q847" s="2"/>
      <c r="R847" s="2"/>
      <c r="S847" s="11"/>
      <c r="T847" s="1" t="str">
        <f>"owner=" &amp; Tokens!BS847 &amp; "&amp;filename_for_metadata=" &amp; Tokens!BT847 &amp; "&amp;offchaindata_platform=" &amp; $B$17 &amp; "&amp;keyfile=" &amp; $B$5 &amp; "&amp;network=" &amp; LOWER($B$8) &amp; "&amp;repository=" &amp; $B$18</f>
        <v>owner=thomas&amp;filename_for_metadata=InCasa_COR22D684&amp;offchaindata_platform=MongoDB&amp;keyfile=Paul&amp;network=jsonfiles&amp;repository=test</v>
      </c>
      <c r="U847" s="1" t="str">
        <f t="shared" si="27"/>
        <v>{"name":"In Casa #684",_x000D_
"symbol":"COR22D684",_x000D_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7" s="1" t="str">
        <f>formatRow(Tokens!C$2:I$2,Tokens!C847:I847)</f>
        <v>"name":"In Casa #684",_x000D_
"symbol":"COR22D684",_x000D_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7" s="1" t="str">
        <f>formatRow(Tokens!J$2:AV$2,Tokens!J847:AV847,2,"attributes")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7" s="1" t="str">
        <f>formatRow(Tokens!AX$2:BC$2,Tokens!AX847:BC847,2,"creators")</f>
        <v>"creators":[{"address":"paul",_x000D_
"share":10},{"address":"sophie",_x000D_
"share":90}]</v>
      </c>
      <c r="Y847" s="1" t="str">
        <f>formatRow(Tokens!BD$2:BI$2,Tokens!BD847:BI847,2,"files")</f>
        <v>"files":[]</v>
      </c>
      <c r="Z847" s="1"/>
      <c r="AA847" s="1"/>
      <c r="AB847" s="1"/>
      <c r="AC847" s="1" t="str">
        <f>formatRow(Tokens!BJ$2:BK$2,Tokens!BJ847:BK847,0,"collection")</f>
        <v>"collection":{"name":"In Casa",_x000D_
"family":"Calvi On The Rocks"}</v>
      </c>
    </row>
    <row r="848" spans="5:29" ht="14.25" customHeight="1" x14ac:dyDescent="0.25">
      <c r="E848" s="17" t="str">
        <f>IF(Tokens!C848="","",Tokens!C848)</f>
        <v>In Casa #685</v>
      </c>
      <c r="F848"/>
      <c r="G848"/>
      <c r="H848"/>
      <c r="I848"/>
      <c r="J848"/>
      <c r="M848"/>
      <c r="N848"/>
      <c r="O848" s="15" t="str">
        <f t="shared" si="26"/>
        <v>_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/>
      </c>
      <c r="Q848" s="2"/>
      <c r="R848" s="2"/>
      <c r="S848" s="11"/>
      <c r="T848" s="1" t="str">
        <f>"owner=" &amp; Tokens!BS848 &amp; "&amp;filename_for_metadata=" &amp; Tokens!BT848 &amp; "&amp;offchaindata_platform=" &amp; $B$17 &amp; "&amp;keyfile=" &amp; $B$5 &amp; "&amp;network=" &amp; LOWER($B$8) &amp; "&amp;repository=" &amp; $B$18</f>
        <v>owner=thomas&amp;filename_for_metadata=InCasa_COR22D685&amp;offchaindata_platform=MongoDB&amp;keyfile=Paul&amp;network=jsonfiles&amp;repository=test</v>
      </c>
      <c r="U848" s="1" t="str">
        <f t="shared" si="27"/>
        <v>{"name":"In Casa #685",_x000D_
"symbol":"COR22D685",_x000D_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8" s="1" t="str">
        <f>formatRow(Tokens!C$2:I$2,Tokens!C848:I848)</f>
        <v>"name":"In Casa #685",_x000D_
"symbol":"COR22D685",_x000D_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8" s="1" t="str">
        <f>formatRow(Tokens!J$2:AV$2,Tokens!J848:AV848,2,"attributes")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8" s="1" t="str">
        <f>formatRow(Tokens!AX$2:BC$2,Tokens!AX848:BC848,2,"creators")</f>
        <v>"creators":[{"address":"paul",_x000D_
"share":10},{"address":"sophie",_x000D_
"share":90}]</v>
      </c>
      <c r="Y848" s="1" t="str">
        <f>formatRow(Tokens!BD$2:BI$2,Tokens!BD848:BI848,2,"files")</f>
        <v>"files":[]</v>
      </c>
      <c r="Z848" s="1"/>
      <c r="AA848" s="1"/>
      <c r="AB848" s="1"/>
      <c r="AC848" s="1" t="str">
        <f>formatRow(Tokens!BJ$2:BK$2,Tokens!BJ848:BK848,0,"collection")</f>
        <v>"collection":{"name":"In Casa",_x000D_
"family":"Calvi On The Rocks"}</v>
      </c>
    </row>
    <row r="849" spans="5:29" ht="14.25" customHeight="1" x14ac:dyDescent="0.25">
      <c r="E849" s="17" t="str">
        <f>IF(Tokens!C849="","",Tokens!C849)</f>
        <v>In Casa #686</v>
      </c>
      <c r="F849"/>
      <c r="G849"/>
      <c r="H849"/>
      <c r="I849"/>
      <c r="J849"/>
      <c r="M849"/>
      <c r="N849"/>
      <c r="O849" s="15" t="str">
        <f t="shared" si="26"/>
        <v>_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/>
      </c>
      <c r="Q849" s="2"/>
      <c r="R849" s="2"/>
      <c r="S849" s="11"/>
      <c r="T849" s="1" t="str">
        <f>"owner=" &amp; Tokens!BS849 &amp; "&amp;filename_for_metadata=" &amp; Tokens!BT849 &amp; "&amp;offchaindata_platform=" &amp; $B$17 &amp; "&amp;keyfile=" &amp; $B$5 &amp; "&amp;network=" &amp; LOWER($B$8) &amp; "&amp;repository=" &amp; $B$18</f>
        <v>owner=thomas&amp;filename_for_metadata=InCasa_COR22D686&amp;offchaindata_platform=MongoDB&amp;keyfile=Paul&amp;network=jsonfiles&amp;repository=test</v>
      </c>
      <c r="U849" s="1" t="str">
        <f t="shared" si="27"/>
        <v>{"name":"In Casa #686",_x000D_
"symbol":"COR22D686",_x000D_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49" s="1" t="str">
        <f>formatRow(Tokens!C$2:I$2,Tokens!C849:I849)</f>
        <v>"name":"In Casa #686",_x000D_
"symbol":"COR22D686",_x000D_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49" s="1" t="str">
        <f>formatRow(Tokens!J$2:AV$2,Tokens!J849:AV849,2,"attributes")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49" s="1" t="str">
        <f>formatRow(Tokens!AX$2:BC$2,Tokens!AX849:BC849,2,"creators")</f>
        <v>"creators":[{"address":"paul",_x000D_
"share":10},{"address":"sophie",_x000D_
"share":90}]</v>
      </c>
      <c r="Y849" s="1" t="str">
        <f>formatRow(Tokens!BD$2:BI$2,Tokens!BD849:BI849,2,"files")</f>
        <v>"files":[]</v>
      </c>
      <c r="Z849" s="1"/>
      <c r="AA849" s="1"/>
      <c r="AB849" s="1"/>
      <c r="AC849" s="1" t="str">
        <f>formatRow(Tokens!BJ$2:BK$2,Tokens!BJ849:BK849,0,"collection")</f>
        <v>"collection":{"name":"In Casa",_x000D_
"family":"Calvi On The Rocks"}</v>
      </c>
    </row>
    <row r="850" spans="5:29" ht="14.25" customHeight="1" x14ac:dyDescent="0.25">
      <c r="E850" s="17" t="str">
        <f>IF(Tokens!C850="","",Tokens!C850)</f>
        <v>In Casa #687</v>
      </c>
      <c r="F850"/>
      <c r="G850"/>
      <c r="H850"/>
      <c r="I850"/>
      <c r="J850"/>
      <c r="M850"/>
      <c r="N850"/>
      <c r="O850" s="15" t="str">
        <f t="shared" si="26"/>
        <v>_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/>
      </c>
      <c r="Q850" s="2"/>
      <c r="R850" s="2"/>
      <c r="S850" s="11"/>
      <c r="T850" s="1" t="str">
        <f>"owner=" &amp; Tokens!BS850 &amp; "&amp;filename_for_metadata=" &amp; Tokens!BT850 &amp; "&amp;offchaindata_platform=" &amp; $B$17 &amp; "&amp;keyfile=" &amp; $B$5 &amp; "&amp;network=" &amp; LOWER($B$8) &amp; "&amp;repository=" &amp; $B$18</f>
        <v>owner=thomas&amp;filename_for_metadata=InCasa_COR22D687&amp;offchaindata_platform=MongoDB&amp;keyfile=Paul&amp;network=jsonfiles&amp;repository=test</v>
      </c>
      <c r="U850" s="1" t="str">
        <f t="shared" si="27"/>
        <v>{"name":"In Casa #687",_x000D_
"symbol":"COR22D687",_x000D_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0" s="1" t="str">
        <f>formatRow(Tokens!C$2:I$2,Tokens!C850:I850)</f>
        <v>"name":"In Casa #687",_x000D_
"symbol":"COR22D687",_x000D_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0" s="1" t="str">
        <f>formatRow(Tokens!J$2:AV$2,Tokens!J850:AV850,2,"attributes")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0" s="1" t="str">
        <f>formatRow(Tokens!AX$2:BC$2,Tokens!AX850:BC850,2,"creators")</f>
        <v>"creators":[{"address":"paul",_x000D_
"share":10},{"address":"sophie",_x000D_
"share":90}]</v>
      </c>
      <c r="Y850" s="1" t="str">
        <f>formatRow(Tokens!BD$2:BI$2,Tokens!BD850:BI850,2,"files")</f>
        <v>"files":[]</v>
      </c>
      <c r="Z850" s="1"/>
      <c r="AA850" s="1"/>
      <c r="AB850" s="1"/>
      <c r="AC850" s="1" t="str">
        <f>formatRow(Tokens!BJ$2:BK$2,Tokens!BJ850:BK850,0,"collection")</f>
        <v>"collection":{"name":"In Casa",_x000D_
"family":"Calvi On The Rocks"}</v>
      </c>
    </row>
    <row r="851" spans="5:29" ht="14.25" customHeight="1" x14ac:dyDescent="0.25">
      <c r="E851" s="17" t="str">
        <f>IF(Tokens!C851="","",Tokens!C851)</f>
        <v>In Casa #688</v>
      </c>
      <c r="F851"/>
      <c r="G851"/>
      <c r="H851"/>
      <c r="I851"/>
      <c r="J851"/>
      <c r="M851"/>
      <c r="N851"/>
      <c r="O851" s="15" t="str">
        <f t="shared" si="26"/>
        <v>_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/>
      </c>
      <c r="Q851" s="2"/>
      <c r="R851" s="2"/>
      <c r="S851" s="11"/>
      <c r="T851" s="1" t="str">
        <f>"owner=" &amp; Tokens!BS851 &amp; "&amp;filename_for_metadata=" &amp; Tokens!BT851 &amp; "&amp;offchaindata_platform=" &amp; $B$17 &amp; "&amp;keyfile=" &amp; $B$5 &amp; "&amp;network=" &amp; LOWER($B$8) &amp; "&amp;repository=" &amp; $B$18</f>
        <v>owner=thomas&amp;filename_for_metadata=InCasa_COR22D688&amp;offchaindata_platform=MongoDB&amp;keyfile=Paul&amp;network=jsonfiles&amp;repository=test</v>
      </c>
      <c r="U851" s="1" t="str">
        <f t="shared" si="27"/>
        <v>{"name":"In Casa #688",_x000D_
"symbol":"COR22D688",_x000D_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1" s="1" t="str">
        <f>formatRow(Tokens!C$2:I$2,Tokens!C851:I851)</f>
        <v>"name":"In Casa #688",_x000D_
"symbol":"COR22D688",_x000D_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1" s="1" t="str">
        <f>formatRow(Tokens!J$2:AV$2,Tokens!J851:AV851,2,"attributes")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1" s="1" t="str">
        <f>formatRow(Tokens!AX$2:BC$2,Tokens!AX851:BC851,2,"creators")</f>
        <v>"creators":[{"address":"paul",_x000D_
"share":10},{"address":"sophie",_x000D_
"share":90}]</v>
      </c>
      <c r="Y851" s="1" t="str">
        <f>formatRow(Tokens!BD$2:BI$2,Tokens!BD851:BI851,2,"files")</f>
        <v>"files":[]</v>
      </c>
      <c r="Z851" s="1"/>
      <c r="AA851" s="1"/>
      <c r="AB851" s="1"/>
      <c r="AC851" s="1" t="str">
        <f>formatRow(Tokens!BJ$2:BK$2,Tokens!BJ851:BK851,0,"collection")</f>
        <v>"collection":{"name":"In Casa",_x000D_
"family":"Calvi On The Rocks"}</v>
      </c>
    </row>
    <row r="852" spans="5:29" ht="14.25" customHeight="1" x14ac:dyDescent="0.25">
      <c r="E852" s="17" t="str">
        <f>IF(Tokens!C852="","",Tokens!C852)</f>
        <v>In Casa #689</v>
      </c>
      <c r="F852"/>
      <c r="G852"/>
      <c r="H852"/>
      <c r="I852"/>
      <c r="J852"/>
      <c r="M852"/>
      <c r="N852"/>
      <c r="O852" s="15" t="str">
        <f t="shared" si="26"/>
        <v>_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/>
      </c>
      <c r="Q852" s="2"/>
      <c r="R852" s="2"/>
      <c r="S852" s="11"/>
      <c r="T852" s="1" t="str">
        <f>"owner=" &amp; Tokens!BS852 &amp; "&amp;filename_for_metadata=" &amp; Tokens!BT852 &amp; "&amp;offchaindata_platform=" &amp; $B$17 &amp; "&amp;keyfile=" &amp; $B$5 &amp; "&amp;network=" &amp; LOWER($B$8) &amp; "&amp;repository=" &amp; $B$18</f>
        <v>owner=thomas&amp;filename_for_metadata=InCasa_COR22D689&amp;offchaindata_platform=MongoDB&amp;keyfile=Paul&amp;network=jsonfiles&amp;repository=test</v>
      </c>
      <c r="U852" s="1" t="str">
        <f t="shared" si="27"/>
        <v>{"name":"In Casa #689",_x000D_
"symbol":"COR22D689",_x000D_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2" s="1" t="str">
        <f>formatRow(Tokens!C$2:I$2,Tokens!C852:I852)</f>
        <v>"name":"In Casa #689",_x000D_
"symbol":"COR22D689",_x000D_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2" s="1" t="str">
        <f>formatRow(Tokens!J$2:AV$2,Tokens!J852:AV852,2,"attributes")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2" s="1" t="str">
        <f>formatRow(Tokens!AX$2:BC$2,Tokens!AX852:BC852,2,"creators")</f>
        <v>"creators":[{"address":"paul",_x000D_
"share":10},{"address":"sophie",_x000D_
"share":90}]</v>
      </c>
      <c r="Y852" s="1" t="str">
        <f>formatRow(Tokens!BD$2:BI$2,Tokens!BD852:BI852,2,"files")</f>
        <v>"files":[]</v>
      </c>
      <c r="Z852" s="1"/>
      <c r="AA852" s="1"/>
      <c r="AB852" s="1"/>
      <c r="AC852" s="1" t="str">
        <f>formatRow(Tokens!BJ$2:BK$2,Tokens!BJ852:BK852,0,"collection")</f>
        <v>"collection":{"name":"In Casa",_x000D_
"family":"Calvi On The Rocks"}</v>
      </c>
    </row>
    <row r="853" spans="5:29" ht="14.25" customHeight="1" x14ac:dyDescent="0.25">
      <c r="E853" s="17" t="str">
        <f>IF(Tokens!C853="","",Tokens!C853)</f>
        <v>In Casa #690</v>
      </c>
      <c r="F853"/>
      <c r="G853"/>
      <c r="H853"/>
      <c r="I853"/>
      <c r="J853"/>
      <c r="M853"/>
      <c r="N853"/>
      <c r="O853" s="15" t="str">
        <f t="shared" si="26"/>
        <v>_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/>
      </c>
      <c r="Q853" s="2"/>
      <c r="R853" s="2"/>
      <c r="S853" s="11"/>
      <c r="T853" s="1" t="str">
        <f>"owner=" &amp; Tokens!BS853 &amp; "&amp;filename_for_metadata=" &amp; Tokens!BT853 &amp; "&amp;offchaindata_platform=" &amp; $B$17 &amp; "&amp;keyfile=" &amp; $B$5 &amp; "&amp;network=" &amp; LOWER($B$8) &amp; "&amp;repository=" &amp; $B$18</f>
        <v>owner=thomas&amp;filename_for_metadata=InCasa_COR22D690&amp;offchaindata_platform=MongoDB&amp;keyfile=Paul&amp;network=jsonfiles&amp;repository=test</v>
      </c>
      <c r="U853" s="1" t="str">
        <f t="shared" si="27"/>
        <v>{"name":"In Casa #690",_x000D_
"symbol":"COR22D690",_x000D_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3" s="1" t="str">
        <f>formatRow(Tokens!C$2:I$2,Tokens!C853:I853)</f>
        <v>"name":"In Casa #690",_x000D_
"symbol":"COR22D690",_x000D_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3" s="1" t="str">
        <f>formatRow(Tokens!J$2:AV$2,Tokens!J853:AV853,2,"attributes")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3" s="1" t="str">
        <f>formatRow(Tokens!AX$2:BC$2,Tokens!AX853:BC853,2,"creators")</f>
        <v>"creators":[{"address":"paul",_x000D_
"share":10},{"address":"sophie",_x000D_
"share":90}]</v>
      </c>
      <c r="Y853" s="1" t="str">
        <f>formatRow(Tokens!BD$2:BI$2,Tokens!BD853:BI853,2,"files")</f>
        <v>"files":[]</v>
      </c>
      <c r="Z853" s="1"/>
      <c r="AA853" s="1"/>
      <c r="AB853" s="1"/>
      <c r="AC853" s="1" t="str">
        <f>formatRow(Tokens!BJ$2:BK$2,Tokens!BJ853:BK853,0,"collection")</f>
        <v>"collection":{"name":"In Casa",_x000D_
"family":"Calvi On The Rocks"}</v>
      </c>
    </row>
    <row r="854" spans="5:29" ht="14.25" customHeight="1" x14ac:dyDescent="0.25">
      <c r="E854" s="17" t="str">
        <f>IF(Tokens!C854="","",Tokens!C854)</f>
        <v>In Casa #691</v>
      </c>
      <c r="F854"/>
      <c r="G854"/>
      <c r="H854"/>
      <c r="I854"/>
      <c r="J854"/>
      <c r="M854"/>
      <c r="N854"/>
      <c r="O854" s="15" t="str">
        <f t="shared" si="26"/>
        <v>_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/>
      </c>
      <c r="Q854" s="2"/>
      <c r="R854" s="2"/>
      <c r="S854" s="11"/>
      <c r="T854" s="1" t="str">
        <f>"owner=" &amp; Tokens!BS854 &amp; "&amp;filename_for_metadata=" &amp; Tokens!BT854 &amp; "&amp;offchaindata_platform=" &amp; $B$17 &amp; "&amp;keyfile=" &amp; $B$5 &amp; "&amp;network=" &amp; LOWER($B$8) &amp; "&amp;repository=" &amp; $B$18</f>
        <v>owner=thomas&amp;filename_for_metadata=InCasa_COR22D691&amp;offchaindata_platform=MongoDB&amp;keyfile=Paul&amp;network=jsonfiles&amp;repository=test</v>
      </c>
      <c r="U854" s="1" t="str">
        <f t="shared" si="27"/>
        <v>{"name":"In Casa #691",_x000D_
"symbol":"COR22D691",_x000D_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4" s="1" t="str">
        <f>formatRow(Tokens!C$2:I$2,Tokens!C854:I854)</f>
        <v>"name":"In Casa #691",_x000D_
"symbol":"COR22D691",_x000D_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4" s="1" t="str">
        <f>formatRow(Tokens!J$2:AV$2,Tokens!J854:AV854,2,"attributes")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4" s="1" t="str">
        <f>formatRow(Tokens!AX$2:BC$2,Tokens!AX854:BC854,2,"creators")</f>
        <v>"creators":[{"address":"paul",_x000D_
"share":10},{"address":"sophie",_x000D_
"share":90}]</v>
      </c>
      <c r="Y854" s="1" t="str">
        <f>formatRow(Tokens!BD$2:BI$2,Tokens!BD854:BI854,2,"files")</f>
        <v>"files":[]</v>
      </c>
      <c r="Z854" s="1"/>
      <c r="AA854" s="1"/>
      <c r="AB854" s="1"/>
      <c r="AC854" s="1" t="str">
        <f>formatRow(Tokens!BJ$2:BK$2,Tokens!BJ854:BK854,0,"collection")</f>
        <v>"collection":{"name":"In Casa",_x000D_
"family":"Calvi On The Rocks"}</v>
      </c>
    </row>
    <row r="855" spans="5:29" ht="14.25" customHeight="1" x14ac:dyDescent="0.25">
      <c r="E855" s="17" t="str">
        <f>IF(Tokens!C855="","",Tokens!C855)</f>
        <v>In Casa #692</v>
      </c>
      <c r="F855"/>
      <c r="G855"/>
      <c r="H855"/>
      <c r="I855"/>
      <c r="J855"/>
      <c r="M855"/>
      <c r="N855"/>
      <c r="O855" s="15" t="str">
        <f t="shared" si="26"/>
        <v>_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/>
      </c>
      <c r="Q855" s="2"/>
      <c r="R855" s="2"/>
      <c r="S855" s="11"/>
      <c r="T855" s="1" t="str">
        <f>"owner=" &amp; Tokens!BS855 &amp; "&amp;filename_for_metadata=" &amp; Tokens!BT855 &amp; "&amp;offchaindata_platform=" &amp; $B$17 &amp; "&amp;keyfile=" &amp; $B$5 &amp; "&amp;network=" &amp; LOWER($B$8) &amp; "&amp;repository=" &amp; $B$18</f>
        <v>owner=thomas&amp;filename_for_metadata=InCasa_COR22D692&amp;offchaindata_platform=MongoDB&amp;keyfile=Paul&amp;network=jsonfiles&amp;repository=test</v>
      </c>
      <c r="U855" s="1" t="str">
        <f t="shared" si="27"/>
        <v>{"name":"In Casa #692",_x000D_
"symbol":"COR22D692",_x000D_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5" s="1" t="str">
        <f>formatRow(Tokens!C$2:I$2,Tokens!C855:I855)</f>
        <v>"name":"In Casa #692",_x000D_
"symbol":"COR22D692",_x000D_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5" s="1" t="str">
        <f>formatRow(Tokens!J$2:AV$2,Tokens!J855:AV855,2,"attributes")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5" s="1" t="str">
        <f>formatRow(Tokens!AX$2:BC$2,Tokens!AX855:BC855,2,"creators")</f>
        <v>"creators":[{"address":"paul",_x000D_
"share":10},{"address":"sophie",_x000D_
"share":90}]</v>
      </c>
      <c r="Y855" s="1" t="str">
        <f>formatRow(Tokens!BD$2:BI$2,Tokens!BD855:BI855,2,"files")</f>
        <v>"files":[]</v>
      </c>
      <c r="Z855" s="1"/>
      <c r="AA855" s="1"/>
      <c r="AB855" s="1"/>
      <c r="AC855" s="1" t="str">
        <f>formatRow(Tokens!BJ$2:BK$2,Tokens!BJ855:BK855,0,"collection")</f>
        <v>"collection":{"name":"In Casa",_x000D_
"family":"Calvi On The Rocks"}</v>
      </c>
    </row>
    <row r="856" spans="5:29" ht="14.25" customHeight="1" x14ac:dyDescent="0.25">
      <c r="E856" s="17" t="str">
        <f>IF(Tokens!C856="","",Tokens!C856)</f>
        <v>In Casa #693</v>
      </c>
      <c r="F856"/>
      <c r="G856"/>
      <c r="H856"/>
      <c r="I856"/>
      <c r="J856"/>
      <c r="M856"/>
      <c r="N856"/>
      <c r="O856" s="15" t="str">
        <f t="shared" si="26"/>
        <v>_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/>
      </c>
      <c r="Q856" s="2"/>
      <c r="R856" s="2"/>
      <c r="S856" s="11"/>
      <c r="T856" s="1" t="str">
        <f>"owner=" &amp; Tokens!BS856 &amp; "&amp;filename_for_metadata=" &amp; Tokens!BT856 &amp; "&amp;offchaindata_platform=" &amp; $B$17 &amp; "&amp;keyfile=" &amp; $B$5 &amp; "&amp;network=" &amp; LOWER($B$8) &amp; "&amp;repository=" &amp; $B$18</f>
        <v>owner=thomas&amp;filename_for_metadata=InCasa_COR22D693&amp;offchaindata_platform=MongoDB&amp;keyfile=Paul&amp;network=jsonfiles&amp;repository=test</v>
      </c>
      <c r="U856" s="1" t="str">
        <f t="shared" si="27"/>
        <v>{"name":"In Casa #693",_x000D_
"symbol":"COR22D693",_x000D_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6" s="1" t="str">
        <f>formatRow(Tokens!C$2:I$2,Tokens!C856:I856)</f>
        <v>"name":"In Casa #693",_x000D_
"symbol":"COR22D693",_x000D_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6" s="1" t="str">
        <f>formatRow(Tokens!J$2:AV$2,Tokens!J856:AV856,2,"attributes")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6" s="1" t="str">
        <f>formatRow(Tokens!AX$2:BC$2,Tokens!AX856:BC856,2,"creators")</f>
        <v>"creators":[{"address":"paul",_x000D_
"share":10},{"address":"sophie",_x000D_
"share":90}]</v>
      </c>
      <c r="Y856" s="1" t="str">
        <f>formatRow(Tokens!BD$2:BI$2,Tokens!BD856:BI856,2,"files")</f>
        <v>"files":[]</v>
      </c>
      <c r="Z856" s="1"/>
      <c r="AA856" s="1"/>
      <c r="AB856" s="1"/>
      <c r="AC856" s="1" t="str">
        <f>formatRow(Tokens!BJ$2:BK$2,Tokens!BJ856:BK856,0,"collection")</f>
        <v>"collection":{"name":"In Casa",_x000D_
"family":"Calvi On The Rocks"}</v>
      </c>
    </row>
    <row r="857" spans="5:29" ht="14.25" customHeight="1" x14ac:dyDescent="0.25">
      <c r="E857" s="17" t="str">
        <f>IF(Tokens!C857="","",Tokens!C857)</f>
        <v>In Casa #694</v>
      </c>
      <c r="F857"/>
      <c r="G857"/>
      <c r="H857"/>
      <c r="I857"/>
      <c r="J857"/>
      <c r="M857"/>
      <c r="N857"/>
      <c r="O857" s="15" t="str">
        <f t="shared" si="26"/>
        <v>_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/>
      </c>
      <c r="Q857" s="2"/>
      <c r="R857" s="2"/>
      <c r="S857" s="11"/>
      <c r="T857" s="1" t="str">
        <f>"owner=" &amp; Tokens!BS857 &amp; "&amp;filename_for_metadata=" &amp; Tokens!BT857 &amp; "&amp;offchaindata_platform=" &amp; $B$17 &amp; "&amp;keyfile=" &amp; $B$5 &amp; "&amp;network=" &amp; LOWER($B$8) &amp; "&amp;repository=" &amp; $B$18</f>
        <v>owner=thomas&amp;filename_for_metadata=InCasa_COR22D694&amp;offchaindata_platform=MongoDB&amp;keyfile=Paul&amp;network=jsonfiles&amp;repository=test</v>
      </c>
      <c r="U857" s="1" t="str">
        <f t="shared" si="27"/>
        <v>{"name":"In Casa #694",_x000D_
"symbol":"COR22D694",_x000D_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7" s="1" t="str">
        <f>formatRow(Tokens!C$2:I$2,Tokens!C857:I857)</f>
        <v>"name":"In Casa #694",_x000D_
"symbol":"COR22D694",_x000D_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7" s="1" t="str">
        <f>formatRow(Tokens!J$2:AV$2,Tokens!J857:AV857,2,"attributes")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7" s="1" t="str">
        <f>formatRow(Tokens!AX$2:BC$2,Tokens!AX857:BC857,2,"creators")</f>
        <v>"creators":[{"address":"paul",_x000D_
"share":10},{"address":"sophie",_x000D_
"share":90}]</v>
      </c>
      <c r="Y857" s="1" t="str">
        <f>formatRow(Tokens!BD$2:BI$2,Tokens!BD857:BI857,2,"files")</f>
        <v>"files":[]</v>
      </c>
      <c r="Z857" s="1"/>
      <c r="AA857" s="1"/>
      <c r="AB857" s="1"/>
      <c r="AC857" s="1" t="str">
        <f>formatRow(Tokens!BJ$2:BK$2,Tokens!BJ857:BK857,0,"collection")</f>
        <v>"collection":{"name":"In Casa",_x000D_
"family":"Calvi On The Rocks"}</v>
      </c>
    </row>
    <row r="858" spans="5:29" ht="14.25" customHeight="1" x14ac:dyDescent="0.25">
      <c r="E858" s="17" t="str">
        <f>IF(Tokens!C858="","",Tokens!C858)</f>
        <v>In Casa #695</v>
      </c>
      <c r="F858"/>
      <c r="G858"/>
      <c r="H858"/>
      <c r="I858"/>
      <c r="J858"/>
      <c r="M858"/>
      <c r="N858"/>
      <c r="O858" s="15" t="str">
        <f t="shared" si="26"/>
        <v>_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/>
      </c>
      <c r="Q858" s="2"/>
      <c r="R858" s="2"/>
      <c r="S858" s="11"/>
      <c r="T858" s="1" t="str">
        <f>"owner=" &amp; Tokens!BS858 &amp; "&amp;filename_for_metadata=" &amp; Tokens!BT858 &amp; "&amp;offchaindata_platform=" &amp; $B$17 &amp; "&amp;keyfile=" &amp; $B$5 &amp; "&amp;network=" &amp; LOWER($B$8) &amp; "&amp;repository=" &amp; $B$18</f>
        <v>owner=thomas&amp;filename_for_metadata=InCasa_COR22D695&amp;offchaindata_platform=MongoDB&amp;keyfile=Paul&amp;network=jsonfiles&amp;repository=test</v>
      </c>
      <c r="U858" s="1" t="str">
        <f t="shared" si="27"/>
        <v>{"name":"In Casa #695",_x000D_
"symbol":"COR22D695",_x000D_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8" s="1" t="str">
        <f>formatRow(Tokens!C$2:I$2,Tokens!C858:I858)</f>
        <v>"name":"In Casa #695",_x000D_
"symbol":"COR22D695",_x000D_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8" s="1" t="str">
        <f>formatRow(Tokens!J$2:AV$2,Tokens!J858:AV858,2,"attributes")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8" s="1" t="str">
        <f>formatRow(Tokens!AX$2:BC$2,Tokens!AX858:BC858,2,"creators")</f>
        <v>"creators":[{"address":"paul",_x000D_
"share":10},{"address":"sophie",_x000D_
"share":90}]</v>
      </c>
      <c r="Y858" s="1" t="str">
        <f>formatRow(Tokens!BD$2:BI$2,Tokens!BD858:BI858,2,"files")</f>
        <v>"files":[]</v>
      </c>
      <c r="Z858" s="1"/>
      <c r="AA858" s="1"/>
      <c r="AB858" s="1"/>
      <c r="AC858" s="1" t="str">
        <f>formatRow(Tokens!BJ$2:BK$2,Tokens!BJ858:BK858,0,"collection")</f>
        <v>"collection":{"name":"In Casa",_x000D_
"family":"Calvi On The Rocks"}</v>
      </c>
    </row>
    <row r="859" spans="5:29" ht="14.25" customHeight="1" x14ac:dyDescent="0.25">
      <c r="E859" s="17" t="str">
        <f>IF(Tokens!C859="","",Tokens!C859)</f>
        <v>In Casa #696</v>
      </c>
      <c r="F859"/>
      <c r="G859"/>
      <c r="H859"/>
      <c r="I859"/>
      <c r="J859"/>
      <c r="M859"/>
      <c r="N859"/>
      <c r="O859" s="15" t="str">
        <f t="shared" si="26"/>
        <v>_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/>
      </c>
      <c r="Q859" s="2"/>
      <c r="R859" s="2"/>
      <c r="S859" s="11"/>
      <c r="T859" s="1" t="str">
        <f>"owner=" &amp; Tokens!BS859 &amp; "&amp;filename_for_metadata=" &amp; Tokens!BT859 &amp; "&amp;offchaindata_platform=" &amp; $B$17 &amp; "&amp;keyfile=" &amp; $B$5 &amp; "&amp;network=" &amp; LOWER($B$8) &amp; "&amp;repository=" &amp; $B$18</f>
        <v>owner=thomas&amp;filename_for_metadata=InCasa_COR22D696&amp;offchaindata_platform=MongoDB&amp;keyfile=Paul&amp;network=jsonfiles&amp;repository=test</v>
      </c>
      <c r="U859" s="1" t="str">
        <f t="shared" si="27"/>
        <v>{"name":"In Casa #696",_x000D_
"symbol":"COR22D696",_x000D_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59" s="1" t="str">
        <f>formatRow(Tokens!C$2:I$2,Tokens!C859:I859)</f>
        <v>"name":"In Casa #696",_x000D_
"symbol":"COR22D696",_x000D_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59" s="1" t="str">
        <f>formatRow(Tokens!J$2:AV$2,Tokens!J859:AV859,2,"attributes")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59" s="1" t="str">
        <f>formatRow(Tokens!AX$2:BC$2,Tokens!AX859:BC859,2,"creators")</f>
        <v>"creators":[{"address":"paul",_x000D_
"share":10},{"address":"sophie",_x000D_
"share":90}]</v>
      </c>
      <c r="Y859" s="1" t="str">
        <f>formatRow(Tokens!BD$2:BI$2,Tokens!BD859:BI859,2,"files")</f>
        <v>"files":[]</v>
      </c>
      <c r="Z859" s="1"/>
      <c r="AA859" s="1"/>
      <c r="AB859" s="1"/>
      <c r="AC859" s="1" t="str">
        <f>formatRow(Tokens!BJ$2:BK$2,Tokens!BJ859:BK859,0,"collection")</f>
        <v>"collection":{"name":"In Casa",_x000D_
"family":"Calvi On The Rocks"}</v>
      </c>
    </row>
    <row r="860" spans="5:29" ht="14.25" customHeight="1" x14ac:dyDescent="0.25">
      <c r="E860" s="17" t="str">
        <f>IF(Tokens!C860="","",Tokens!C860)</f>
        <v>In Casa #697</v>
      </c>
      <c r="F860"/>
      <c r="G860"/>
      <c r="H860"/>
      <c r="I860"/>
      <c r="J860"/>
      <c r="M860"/>
      <c r="N860"/>
      <c r="O860" s="15" t="str">
        <f t="shared" si="26"/>
        <v>_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/>
      </c>
      <c r="Q860" s="2"/>
      <c r="R860" s="2"/>
      <c r="S860" s="11"/>
      <c r="T860" s="1" t="str">
        <f>"owner=" &amp; Tokens!BS860 &amp; "&amp;filename_for_metadata=" &amp; Tokens!BT860 &amp; "&amp;offchaindata_platform=" &amp; $B$17 &amp; "&amp;keyfile=" &amp; $B$5 &amp; "&amp;network=" &amp; LOWER($B$8) &amp; "&amp;repository=" &amp; $B$18</f>
        <v>owner=thomas&amp;filename_for_metadata=InCasa_COR22D697&amp;offchaindata_platform=MongoDB&amp;keyfile=Paul&amp;network=jsonfiles&amp;repository=test</v>
      </c>
      <c r="U860" s="1" t="str">
        <f t="shared" si="27"/>
        <v>{"name":"In Casa #697",_x000D_
"symbol":"COR22D697",_x000D_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0" s="1" t="str">
        <f>formatRow(Tokens!C$2:I$2,Tokens!C860:I860)</f>
        <v>"name":"In Casa #697",_x000D_
"symbol":"COR22D697",_x000D_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0" s="1" t="str">
        <f>formatRow(Tokens!J$2:AV$2,Tokens!J860:AV860,2,"attributes")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0" s="1" t="str">
        <f>formatRow(Tokens!AX$2:BC$2,Tokens!AX860:BC860,2,"creators")</f>
        <v>"creators":[{"address":"paul",_x000D_
"share":10},{"address":"sophie",_x000D_
"share":90}]</v>
      </c>
      <c r="Y860" s="1" t="str">
        <f>formatRow(Tokens!BD$2:BI$2,Tokens!BD860:BI860,2,"files")</f>
        <v>"files":[]</v>
      </c>
      <c r="Z860" s="1"/>
      <c r="AA860" s="1"/>
      <c r="AB860" s="1"/>
      <c r="AC860" s="1" t="str">
        <f>formatRow(Tokens!BJ$2:BK$2,Tokens!BJ860:BK860,0,"collection")</f>
        <v>"collection":{"name":"In Casa",_x000D_
"family":"Calvi On The Rocks"}</v>
      </c>
    </row>
    <row r="861" spans="5:29" ht="14.25" customHeight="1" x14ac:dyDescent="0.25">
      <c r="E861" s="17" t="str">
        <f>IF(Tokens!C861="","",Tokens!C861)</f>
        <v>In Casa #698</v>
      </c>
      <c r="F861"/>
      <c r="G861"/>
      <c r="H861"/>
      <c r="I861"/>
      <c r="J861"/>
      <c r="M861"/>
      <c r="N861"/>
      <c r="O861" s="15" t="str">
        <f t="shared" si="26"/>
        <v>_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/>
      </c>
      <c r="Q861" s="2"/>
      <c r="R861" s="2"/>
      <c r="S861" s="11"/>
      <c r="T861" s="1" t="str">
        <f>"owner=" &amp; Tokens!BS861 &amp; "&amp;filename_for_metadata=" &amp; Tokens!BT861 &amp; "&amp;offchaindata_platform=" &amp; $B$17 &amp; "&amp;keyfile=" &amp; $B$5 &amp; "&amp;network=" &amp; LOWER($B$8) &amp; "&amp;repository=" &amp; $B$18</f>
        <v>owner=thomas&amp;filename_for_metadata=InCasa_COR22D698&amp;offchaindata_platform=MongoDB&amp;keyfile=Paul&amp;network=jsonfiles&amp;repository=test</v>
      </c>
      <c r="U861" s="1" t="str">
        <f t="shared" si="27"/>
        <v>{"name":"In Casa #698",_x000D_
"symbol":"COR22D698",_x000D_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1" s="1" t="str">
        <f>formatRow(Tokens!C$2:I$2,Tokens!C861:I861)</f>
        <v>"name":"In Casa #698",_x000D_
"symbol":"COR22D698",_x000D_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1" s="1" t="str">
        <f>formatRow(Tokens!J$2:AV$2,Tokens!J861:AV861,2,"attributes")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1" s="1" t="str">
        <f>formatRow(Tokens!AX$2:BC$2,Tokens!AX861:BC861,2,"creators")</f>
        <v>"creators":[{"address":"paul",_x000D_
"share":10},{"address":"sophie",_x000D_
"share":90}]</v>
      </c>
      <c r="Y861" s="1" t="str">
        <f>formatRow(Tokens!BD$2:BI$2,Tokens!BD861:BI861,2,"files")</f>
        <v>"files":[]</v>
      </c>
      <c r="Z861" s="1"/>
      <c r="AA861" s="1"/>
      <c r="AB861" s="1"/>
      <c r="AC861" s="1" t="str">
        <f>formatRow(Tokens!BJ$2:BK$2,Tokens!BJ861:BK861,0,"collection")</f>
        <v>"collection":{"name":"In Casa",_x000D_
"family":"Calvi On The Rocks"}</v>
      </c>
    </row>
    <row r="862" spans="5:29" ht="14.25" customHeight="1" x14ac:dyDescent="0.25">
      <c r="E862" s="17" t="str">
        <f>IF(Tokens!C862="","",Tokens!C862)</f>
        <v>In Casa #699</v>
      </c>
      <c r="F862"/>
      <c r="G862"/>
      <c r="H862"/>
      <c r="I862"/>
      <c r="J862"/>
      <c r="M862"/>
      <c r="N862"/>
      <c r="O862" s="15" t="str">
        <f t="shared" si="26"/>
        <v>_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/>
      </c>
      <c r="Q862" s="2"/>
      <c r="R862" s="2"/>
      <c r="S862" s="11"/>
      <c r="T862" s="1" t="str">
        <f>"owner=" &amp; Tokens!BS862 &amp; "&amp;filename_for_metadata=" &amp; Tokens!BT862 &amp; "&amp;offchaindata_platform=" &amp; $B$17 &amp; "&amp;keyfile=" &amp; $B$5 &amp; "&amp;network=" &amp; LOWER($B$8) &amp; "&amp;repository=" &amp; $B$18</f>
        <v>owner=thomas&amp;filename_for_metadata=InCasa_COR22D699&amp;offchaindata_platform=MongoDB&amp;keyfile=Paul&amp;network=jsonfiles&amp;repository=test</v>
      </c>
      <c r="U862" s="1" t="str">
        <f t="shared" si="27"/>
        <v>{"name":"In Casa #699",_x000D_
"symbol":"COR22D699",_x000D_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2" s="1" t="str">
        <f>formatRow(Tokens!C$2:I$2,Tokens!C862:I862)</f>
        <v>"name":"In Casa #699",_x000D_
"symbol":"COR22D699",_x000D_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2" s="1" t="str">
        <f>formatRow(Tokens!J$2:AV$2,Tokens!J862:AV862,2,"attributes")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2" s="1" t="str">
        <f>formatRow(Tokens!AX$2:BC$2,Tokens!AX862:BC862,2,"creators")</f>
        <v>"creators":[{"address":"paul",_x000D_
"share":10},{"address":"sophie",_x000D_
"share":90}]</v>
      </c>
      <c r="Y862" s="1" t="str">
        <f>formatRow(Tokens!BD$2:BI$2,Tokens!BD862:BI862,2,"files")</f>
        <v>"files":[]</v>
      </c>
      <c r="Z862" s="1"/>
      <c r="AA862" s="1"/>
      <c r="AB862" s="1"/>
      <c r="AC862" s="1" t="str">
        <f>formatRow(Tokens!BJ$2:BK$2,Tokens!BJ862:BK862,0,"collection")</f>
        <v>"collection":{"name":"In Casa",_x000D_
"family":"Calvi On The Rocks"}</v>
      </c>
    </row>
    <row r="863" spans="5:29" ht="14.25" customHeight="1" x14ac:dyDescent="0.25">
      <c r="E863" s="17" t="str">
        <f>IF(Tokens!C863="","",Tokens!C863)</f>
        <v>In Casa #700</v>
      </c>
      <c r="F863"/>
      <c r="G863"/>
      <c r="H863"/>
      <c r="I863"/>
      <c r="J863"/>
      <c r="M863"/>
      <c r="N863"/>
      <c r="O863" s="15" t="str">
        <f t="shared" si="26"/>
        <v>_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/>
      </c>
      <c r="Q863" s="2"/>
      <c r="R863" s="2"/>
      <c r="S863" s="11"/>
      <c r="T863" s="1" t="str">
        <f>"owner=" &amp; Tokens!BS863 &amp; "&amp;filename_for_metadata=" &amp; Tokens!BT863 &amp; "&amp;offchaindata_platform=" &amp; $B$17 &amp; "&amp;keyfile=" &amp; $B$5 &amp; "&amp;network=" &amp; LOWER($B$8) &amp; "&amp;repository=" &amp; $B$18</f>
        <v>owner=thomas&amp;filename_for_metadata=InCasa_COR22D700&amp;offchaindata_platform=MongoDB&amp;keyfile=Paul&amp;network=jsonfiles&amp;repository=test</v>
      </c>
      <c r="U863" s="1" t="str">
        <f t="shared" si="27"/>
        <v>{"name":"In Casa #700",_x000D_
"symbol":"COR22D700",_x000D_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3" s="1" t="str">
        <f>formatRow(Tokens!C$2:I$2,Tokens!C863:I863)</f>
        <v>"name":"In Casa #700",_x000D_
"symbol":"COR22D700",_x000D_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3" s="1" t="str">
        <f>formatRow(Tokens!J$2:AV$2,Tokens!J863:AV863,2,"attributes")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3" s="1" t="str">
        <f>formatRow(Tokens!AX$2:BC$2,Tokens!AX863:BC863,2,"creators")</f>
        <v>"creators":[{"address":"paul",_x000D_
"share":10},{"address":"sophie",_x000D_
"share":90}]</v>
      </c>
      <c r="Y863" s="1" t="str">
        <f>formatRow(Tokens!BD$2:BI$2,Tokens!BD863:BI863,2,"files")</f>
        <v>"files":[]</v>
      </c>
      <c r="Z863" s="1"/>
      <c r="AA863" s="1"/>
      <c r="AB863" s="1"/>
      <c r="AC863" s="1" t="str">
        <f>formatRow(Tokens!BJ$2:BK$2,Tokens!BJ863:BK863,0,"collection")</f>
        <v>"collection":{"name":"In Casa",_x000D_
"family":"Calvi On The Rocks"}</v>
      </c>
    </row>
    <row r="864" spans="5:29" ht="14.25" customHeight="1" x14ac:dyDescent="0.25">
      <c r="E864" s="17" t="str">
        <f>IF(Tokens!C864="","",Tokens!C864)</f>
        <v>In Casa #701</v>
      </c>
      <c r="F864"/>
      <c r="G864"/>
      <c r="H864"/>
      <c r="I864"/>
      <c r="J864"/>
      <c r="M864"/>
      <c r="N864"/>
      <c r="O864" s="15" t="str">
        <f t="shared" si="26"/>
        <v>_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/>
      </c>
      <c r="Q864" s="2"/>
      <c r="R864" s="2"/>
      <c r="S864" s="11"/>
      <c r="T864" s="1" t="str">
        <f>"owner=" &amp; Tokens!BS864 &amp; "&amp;filename_for_metadata=" &amp; Tokens!BT864 &amp; "&amp;offchaindata_platform=" &amp; $B$17 &amp; "&amp;keyfile=" &amp; $B$5 &amp; "&amp;network=" &amp; LOWER($B$8) &amp; "&amp;repository=" &amp; $B$18</f>
        <v>owner=thomas&amp;filename_for_metadata=InCasa_COR22D701&amp;offchaindata_platform=MongoDB&amp;keyfile=Paul&amp;network=jsonfiles&amp;repository=test</v>
      </c>
      <c r="U864" s="1" t="str">
        <f t="shared" si="27"/>
        <v>{"name":"In Casa #701",_x000D_
"symbol":"COR22D701",_x000D_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4" s="1" t="str">
        <f>formatRow(Tokens!C$2:I$2,Tokens!C864:I864)</f>
        <v>"name":"In Casa #701",_x000D_
"symbol":"COR22D701",_x000D_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4" s="1" t="str">
        <f>formatRow(Tokens!J$2:AV$2,Tokens!J864:AV864,2,"attributes")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4" s="1" t="str">
        <f>formatRow(Tokens!AX$2:BC$2,Tokens!AX864:BC864,2,"creators")</f>
        <v>"creators":[{"address":"paul",_x000D_
"share":10},{"address":"sophie",_x000D_
"share":90}]</v>
      </c>
      <c r="Y864" s="1" t="str">
        <f>formatRow(Tokens!BD$2:BI$2,Tokens!BD864:BI864,2,"files")</f>
        <v>"files":[]</v>
      </c>
      <c r="Z864" s="1"/>
      <c r="AA864" s="1"/>
      <c r="AB864" s="1"/>
      <c r="AC864" s="1" t="str">
        <f>formatRow(Tokens!BJ$2:BK$2,Tokens!BJ864:BK864,0,"collection")</f>
        <v>"collection":{"name":"In Casa",_x000D_
"family":"Calvi On The Rocks"}</v>
      </c>
    </row>
    <row r="865" spans="5:29" ht="14.25" customHeight="1" x14ac:dyDescent="0.25">
      <c r="E865" s="17" t="str">
        <f>IF(Tokens!C865="","",Tokens!C865)</f>
        <v>In Casa #702</v>
      </c>
      <c r="F865"/>
      <c r="G865"/>
      <c r="H865"/>
      <c r="I865"/>
      <c r="J865"/>
      <c r="M865"/>
      <c r="N865"/>
      <c r="O865" s="15" t="str">
        <f t="shared" si="26"/>
        <v>_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/>
      </c>
      <c r="Q865" s="2"/>
      <c r="R865" s="2"/>
      <c r="S865" s="11"/>
      <c r="T865" s="1" t="str">
        <f>"owner=" &amp; Tokens!BS865 &amp; "&amp;filename_for_metadata=" &amp; Tokens!BT865 &amp; "&amp;offchaindata_platform=" &amp; $B$17 &amp; "&amp;keyfile=" &amp; $B$5 &amp; "&amp;network=" &amp; LOWER($B$8) &amp; "&amp;repository=" &amp; $B$18</f>
        <v>owner=thomas&amp;filename_for_metadata=InCasa_COR22D702&amp;offchaindata_platform=MongoDB&amp;keyfile=Paul&amp;network=jsonfiles&amp;repository=test</v>
      </c>
      <c r="U865" s="1" t="str">
        <f t="shared" si="27"/>
        <v>{"name":"In Casa #702",_x000D_
"symbol":"COR22D702",_x000D_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5" s="1" t="str">
        <f>formatRow(Tokens!C$2:I$2,Tokens!C865:I865)</f>
        <v>"name":"In Casa #702",_x000D_
"symbol":"COR22D702",_x000D_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5" s="1" t="str">
        <f>formatRow(Tokens!J$2:AV$2,Tokens!J865:AV865,2,"attributes")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5" s="1" t="str">
        <f>formatRow(Tokens!AX$2:BC$2,Tokens!AX865:BC865,2,"creators")</f>
        <v>"creators":[{"address":"paul",_x000D_
"share":10},{"address":"sophie",_x000D_
"share":90}]</v>
      </c>
      <c r="Y865" s="1" t="str">
        <f>formatRow(Tokens!BD$2:BI$2,Tokens!BD865:BI865,2,"files")</f>
        <v>"files":[]</v>
      </c>
      <c r="Z865" s="1"/>
      <c r="AA865" s="1"/>
      <c r="AB865" s="1"/>
      <c r="AC865" s="1" t="str">
        <f>formatRow(Tokens!BJ$2:BK$2,Tokens!BJ865:BK865,0,"collection")</f>
        <v>"collection":{"name":"In Casa",_x000D_
"family":"Calvi On The Rocks"}</v>
      </c>
    </row>
    <row r="866" spans="5:29" ht="14.25" customHeight="1" x14ac:dyDescent="0.25">
      <c r="E866" s="17" t="str">
        <f>IF(Tokens!C866="","",Tokens!C866)</f>
        <v>In Casa #703</v>
      </c>
      <c r="F866"/>
      <c r="G866"/>
      <c r="H866"/>
      <c r="I866"/>
      <c r="J866"/>
      <c r="M866"/>
      <c r="N866"/>
      <c r="O866" s="15" t="str">
        <f t="shared" si="26"/>
        <v>_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/>
      </c>
      <c r="Q866" s="2"/>
      <c r="R866" s="2"/>
      <c r="S866" s="11"/>
      <c r="T866" s="1" t="str">
        <f>"owner=" &amp; Tokens!BS866 &amp; "&amp;filename_for_metadata=" &amp; Tokens!BT866 &amp; "&amp;offchaindata_platform=" &amp; $B$17 &amp; "&amp;keyfile=" &amp; $B$5 &amp; "&amp;network=" &amp; LOWER($B$8) &amp; "&amp;repository=" &amp; $B$18</f>
        <v>owner=thomas&amp;filename_for_metadata=InCasa_COR22D703&amp;offchaindata_platform=MongoDB&amp;keyfile=Paul&amp;network=jsonfiles&amp;repository=test</v>
      </c>
      <c r="U866" s="1" t="str">
        <f t="shared" si="27"/>
        <v>{"name":"In Casa #703",_x000D_
"symbol":"COR22D703",_x000D_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6" s="1" t="str">
        <f>formatRow(Tokens!C$2:I$2,Tokens!C866:I866)</f>
        <v>"name":"In Casa #703",_x000D_
"symbol":"COR22D703",_x000D_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6" s="1" t="str">
        <f>formatRow(Tokens!J$2:AV$2,Tokens!J866:AV866,2,"attributes")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6" s="1" t="str">
        <f>formatRow(Tokens!AX$2:BC$2,Tokens!AX866:BC866,2,"creators")</f>
        <v>"creators":[{"address":"paul",_x000D_
"share":10},{"address":"sophie",_x000D_
"share":90}]</v>
      </c>
      <c r="Y866" s="1" t="str">
        <f>formatRow(Tokens!BD$2:BI$2,Tokens!BD866:BI866,2,"files")</f>
        <v>"files":[]</v>
      </c>
      <c r="Z866" s="1"/>
      <c r="AA866" s="1"/>
      <c r="AB866" s="1"/>
      <c r="AC866" s="1" t="str">
        <f>formatRow(Tokens!BJ$2:BK$2,Tokens!BJ866:BK866,0,"collection")</f>
        <v>"collection":{"name":"In Casa",_x000D_
"family":"Calvi On The Rocks"}</v>
      </c>
    </row>
    <row r="867" spans="5:29" ht="14.25" customHeight="1" x14ac:dyDescent="0.25">
      <c r="E867" s="17" t="str">
        <f>IF(Tokens!C867="","",Tokens!C867)</f>
        <v>In Casa #704</v>
      </c>
      <c r="F867"/>
      <c r="G867"/>
      <c r="H867"/>
      <c r="I867"/>
      <c r="J867"/>
      <c r="M867"/>
      <c r="N867"/>
      <c r="O867" s="15" t="str">
        <f t="shared" si="26"/>
        <v>_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/>
      </c>
      <c r="Q867" s="2"/>
      <c r="R867" s="2"/>
      <c r="S867" s="11"/>
      <c r="T867" s="1" t="str">
        <f>"owner=" &amp; Tokens!BS867 &amp; "&amp;filename_for_metadata=" &amp; Tokens!BT867 &amp; "&amp;offchaindata_platform=" &amp; $B$17 &amp; "&amp;keyfile=" &amp; $B$5 &amp; "&amp;network=" &amp; LOWER($B$8) &amp; "&amp;repository=" &amp; $B$18</f>
        <v>owner=thomas&amp;filename_for_metadata=InCasa_COR22D704&amp;offchaindata_platform=MongoDB&amp;keyfile=Paul&amp;network=jsonfiles&amp;repository=test</v>
      </c>
      <c r="U867" s="1" t="str">
        <f t="shared" si="27"/>
        <v>{"name":"In Casa #704",_x000D_
"symbol":"COR22D704",_x000D_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7" s="1" t="str">
        <f>formatRow(Tokens!C$2:I$2,Tokens!C867:I867)</f>
        <v>"name":"In Casa #704",_x000D_
"symbol":"COR22D704",_x000D_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7" s="1" t="str">
        <f>formatRow(Tokens!J$2:AV$2,Tokens!J867:AV867,2,"attributes")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7" s="1" t="str">
        <f>formatRow(Tokens!AX$2:BC$2,Tokens!AX867:BC867,2,"creators")</f>
        <v>"creators":[{"address":"paul",_x000D_
"share":10},{"address":"sophie",_x000D_
"share":90}]</v>
      </c>
      <c r="Y867" s="1" t="str">
        <f>formatRow(Tokens!BD$2:BI$2,Tokens!BD867:BI867,2,"files")</f>
        <v>"files":[]</v>
      </c>
      <c r="Z867" s="1"/>
      <c r="AA867" s="1"/>
      <c r="AB867" s="1"/>
      <c r="AC867" s="1" t="str">
        <f>formatRow(Tokens!BJ$2:BK$2,Tokens!BJ867:BK867,0,"collection")</f>
        <v>"collection":{"name":"In Casa",_x000D_
"family":"Calvi On The Rocks"}</v>
      </c>
    </row>
    <row r="868" spans="5:29" ht="14.25" customHeight="1" x14ac:dyDescent="0.25">
      <c r="E868" s="17" t="str">
        <f>IF(Tokens!C868="","",Tokens!C868)</f>
        <v>In Casa #705</v>
      </c>
      <c r="F868"/>
      <c r="G868"/>
      <c r="H868"/>
      <c r="I868"/>
      <c r="J868"/>
      <c r="M868"/>
      <c r="N868"/>
      <c r="O868" s="15" t="str">
        <f t="shared" si="26"/>
        <v>_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/>
      </c>
      <c r="Q868" s="2"/>
      <c r="R868" s="2"/>
      <c r="S868" s="11"/>
      <c r="T868" s="1" t="str">
        <f>"owner=" &amp; Tokens!BS868 &amp; "&amp;filename_for_metadata=" &amp; Tokens!BT868 &amp; "&amp;offchaindata_platform=" &amp; $B$17 &amp; "&amp;keyfile=" &amp; $B$5 &amp; "&amp;network=" &amp; LOWER($B$8) &amp; "&amp;repository=" &amp; $B$18</f>
        <v>owner=thomas&amp;filename_for_metadata=InCasa_COR22D705&amp;offchaindata_platform=MongoDB&amp;keyfile=Paul&amp;network=jsonfiles&amp;repository=test</v>
      </c>
      <c r="U868" s="1" t="str">
        <f t="shared" si="27"/>
        <v>{"name":"In Casa #705",_x000D_
"symbol":"COR22D705",_x000D_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8" s="1" t="str">
        <f>formatRow(Tokens!C$2:I$2,Tokens!C868:I868)</f>
        <v>"name":"In Casa #705",_x000D_
"symbol":"COR22D705",_x000D_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8" s="1" t="str">
        <f>formatRow(Tokens!J$2:AV$2,Tokens!J868:AV868,2,"attributes")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8" s="1" t="str">
        <f>formatRow(Tokens!AX$2:BC$2,Tokens!AX868:BC868,2,"creators")</f>
        <v>"creators":[{"address":"paul",_x000D_
"share":10},{"address":"sophie",_x000D_
"share":90}]</v>
      </c>
      <c r="Y868" s="1" t="str">
        <f>formatRow(Tokens!BD$2:BI$2,Tokens!BD868:BI868,2,"files")</f>
        <v>"files":[]</v>
      </c>
      <c r="Z868" s="1"/>
      <c r="AA868" s="1"/>
      <c r="AB868" s="1"/>
      <c r="AC868" s="1" t="str">
        <f>formatRow(Tokens!BJ$2:BK$2,Tokens!BJ868:BK868,0,"collection")</f>
        <v>"collection":{"name":"In Casa",_x000D_
"family":"Calvi On The Rocks"}</v>
      </c>
    </row>
    <row r="869" spans="5:29" ht="14.25" customHeight="1" x14ac:dyDescent="0.25">
      <c r="E869" s="17" t="str">
        <f>IF(Tokens!C869="","",Tokens!C869)</f>
        <v>In Casa #706</v>
      </c>
      <c r="F869"/>
      <c r="G869"/>
      <c r="H869"/>
      <c r="I869"/>
      <c r="J869"/>
      <c r="M869"/>
      <c r="N869"/>
      <c r="O869" s="15" t="str">
        <f t="shared" si="26"/>
        <v>_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/>
      </c>
      <c r="Q869" s="2"/>
      <c r="R869" s="2"/>
      <c r="S869" s="11"/>
      <c r="T869" s="1" t="str">
        <f>"owner=" &amp; Tokens!BS869 &amp; "&amp;filename_for_metadata=" &amp; Tokens!BT869 &amp; "&amp;offchaindata_platform=" &amp; $B$17 &amp; "&amp;keyfile=" &amp; $B$5 &amp; "&amp;network=" &amp; LOWER($B$8) &amp; "&amp;repository=" &amp; $B$18</f>
        <v>owner=thomas&amp;filename_for_metadata=InCasa_COR22D706&amp;offchaindata_platform=MongoDB&amp;keyfile=Paul&amp;network=jsonfiles&amp;repository=test</v>
      </c>
      <c r="U869" s="1" t="str">
        <f t="shared" si="27"/>
        <v>{"name":"In Casa #706",_x000D_
"symbol":"COR22D706",_x000D_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69" s="1" t="str">
        <f>formatRow(Tokens!C$2:I$2,Tokens!C869:I869)</f>
        <v>"name":"In Casa #706",_x000D_
"symbol":"COR22D706",_x000D_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69" s="1" t="str">
        <f>formatRow(Tokens!J$2:AV$2,Tokens!J869:AV869,2,"attributes")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69" s="1" t="str">
        <f>formatRow(Tokens!AX$2:BC$2,Tokens!AX869:BC869,2,"creators")</f>
        <v>"creators":[{"address":"paul",_x000D_
"share":10},{"address":"sophie",_x000D_
"share":90}]</v>
      </c>
      <c r="Y869" s="1" t="str">
        <f>formatRow(Tokens!BD$2:BI$2,Tokens!BD869:BI869,2,"files")</f>
        <v>"files":[]</v>
      </c>
      <c r="Z869" s="1"/>
      <c r="AA869" s="1"/>
      <c r="AB869" s="1"/>
      <c r="AC869" s="1" t="str">
        <f>formatRow(Tokens!BJ$2:BK$2,Tokens!BJ869:BK869,0,"collection")</f>
        <v>"collection":{"name":"In Casa",_x000D_
"family":"Calvi On The Rocks"}</v>
      </c>
    </row>
    <row r="870" spans="5:29" ht="14.25" customHeight="1" x14ac:dyDescent="0.25">
      <c r="E870" s="17" t="str">
        <f>IF(Tokens!C870="","",Tokens!C870)</f>
        <v>In Casa #707</v>
      </c>
      <c r="F870"/>
      <c r="G870"/>
      <c r="H870"/>
      <c r="I870"/>
      <c r="J870"/>
      <c r="M870"/>
      <c r="N870"/>
      <c r="O870" s="15" t="str">
        <f t="shared" si="26"/>
        <v>_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/>
      </c>
      <c r="Q870" s="2"/>
      <c r="R870" s="2"/>
      <c r="S870" s="11"/>
      <c r="T870" s="1" t="str">
        <f>"owner=" &amp; Tokens!BS870 &amp; "&amp;filename_for_metadata=" &amp; Tokens!BT870 &amp; "&amp;offchaindata_platform=" &amp; $B$17 &amp; "&amp;keyfile=" &amp; $B$5 &amp; "&amp;network=" &amp; LOWER($B$8) &amp; "&amp;repository=" &amp; $B$18</f>
        <v>owner=thomas&amp;filename_for_metadata=InCasa_COR22D707&amp;offchaindata_platform=MongoDB&amp;keyfile=Paul&amp;network=jsonfiles&amp;repository=test</v>
      </c>
      <c r="U870" s="1" t="str">
        <f t="shared" si="27"/>
        <v>{"name":"In Casa #707",_x000D_
"symbol":"COR22D707",_x000D_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0" s="1" t="str">
        <f>formatRow(Tokens!C$2:I$2,Tokens!C870:I870)</f>
        <v>"name":"In Casa #707",_x000D_
"symbol":"COR22D707",_x000D_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0" s="1" t="str">
        <f>formatRow(Tokens!J$2:AV$2,Tokens!J870:AV870,2,"attributes")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0" s="1" t="str">
        <f>formatRow(Tokens!AX$2:BC$2,Tokens!AX870:BC870,2,"creators")</f>
        <v>"creators":[{"address":"paul",_x000D_
"share":10},{"address":"sophie",_x000D_
"share":90}]</v>
      </c>
      <c r="Y870" s="1" t="str">
        <f>formatRow(Tokens!BD$2:BI$2,Tokens!BD870:BI870,2,"files")</f>
        <v>"files":[]</v>
      </c>
      <c r="Z870" s="1"/>
      <c r="AA870" s="1"/>
      <c r="AB870" s="1"/>
      <c r="AC870" s="1" t="str">
        <f>formatRow(Tokens!BJ$2:BK$2,Tokens!BJ870:BK870,0,"collection")</f>
        <v>"collection":{"name":"In Casa",_x000D_
"family":"Calvi On The Rocks"}</v>
      </c>
    </row>
    <row r="871" spans="5:29" ht="14.25" customHeight="1" x14ac:dyDescent="0.25">
      <c r="E871" s="17" t="str">
        <f>IF(Tokens!C871="","",Tokens!C871)</f>
        <v>In Casa #708</v>
      </c>
      <c r="F871"/>
      <c r="G871"/>
      <c r="H871"/>
      <c r="I871"/>
      <c r="J871"/>
      <c r="M871"/>
      <c r="N871"/>
      <c r="O871" s="15" t="str">
        <f t="shared" si="26"/>
        <v>_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/>
      </c>
      <c r="Q871" s="2"/>
      <c r="R871" s="2"/>
      <c r="S871" s="11"/>
      <c r="T871" s="1" t="str">
        <f>"owner=" &amp; Tokens!BS871 &amp; "&amp;filename_for_metadata=" &amp; Tokens!BT871 &amp; "&amp;offchaindata_platform=" &amp; $B$17 &amp; "&amp;keyfile=" &amp; $B$5 &amp; "&amp;network=" &amp; LOWER($B$8) &amp; "&amp;repository=" &amp; $B$18</f>
        <v>owner=thomas&amp;filename_for_metadata=InCasa_COR22D708&amp;offchaindata_platform=MongoDB&amp;keyfile=Paul&amp;network=jsonfiles&amp;repository=test</v>
      </c>
      <c r="U871" s="1" t="str">
        <f t="shared" si="27"/>
        <v>{"name":"In Casa #708",_x000D_
"symbol":"COR22D708",_x000D_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1" s="1" t="str">
        <f>formatRow(Tokens!C$2:I$2,Tokens!C871:I871)</f>
        <v>"name":"In Casa #708",_x000D_
"symbol":"COR22D708",_x000D_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1" s="1" t="str">
        <f>formatRow(Tokens!J$2:AV$2,Tokens!J871:AV871,2,"attributes")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1" s="1" t="str">
        <f>formatRow(Tokens!AX$2:BC$2,Tokens!AX871:BC871,2,"creators")</f>
        <v>"creators":[{"address":"paul",_x000D_
"share":10},{"address":"sophie",_x000D_
"share":90}]</v>
      </c>
      <c r="Y871" s="1" t="str">
        <f>formatRow(Tokens!BD$2:BI$2,Tokens!BD871:BI871,2,"files")</f>
        <v>"files":[]</v>
      </c>
      <c r="Z871" s="1"/>
      <c r="AA871" s="1"/>
      <c r="AB871" s="1"/>
      <c r="AC871" s="1" t="str">
        <f>formatRow(Tokens!BJ$2:BK$2,Tokens!BJ871:BK871,0,"collection")</f>
        <v>"collection":{"name":"In Casa",_x000D_
"family":"Calvi On The Rocks"}</v>
      </c>
    </row>
    <row r="872" spans="5:29" ht="14.25" customHeight="1" x14ac:dyDescent="0.25">
      <c r="E872" s="17" t="str">
        <f>IF(Tokens!C872="","",Tokens!C872)</f>
        <v>In Casa #709</v>
      </c>
      <c r="F872"/>
      <c r="G872"/>
      <c r="H872"/>
      <c r="I872"/>
      <c r="J872"/>
      <c r="M872"/>
      <c r="N872"/>
      <c r="O872" s="15" t="str">
        <f t="shared" si="26"/>
        <v>_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/>
      </c>
      <c r="Q872" s="2"/>
      <c r="R872" s="2"/>
      <c r="S872" s="11"/>
      <c r="T872" s="1" t="str">
        <f>"owner=" &amp; Tokens!BS872 &amp; "&amp;filename_for_metadata=" &amp; Tokens!BT872 &amp; "&amp;offchaindata_platform=" &amp; $B$17 &amp; "&amp;keyfile=" &amp; $B$5 &amp; "&amp;network=" &amp; LOWER($B$8) &amp; "&amp;repository=" &amp; $B$18</f>
        <v>owner=thomas&amp;filename_for_metadata=InCasa_COR22D709&amp;offchaindata_platform=MongoDB&amp;keyfile=Paul&amp;network=jsonfiles&amp;repository=test</v>
      </c>
      <c r="U872" s="1" t="str">
        <f t="shared" si="27"/>
        <v>{"name":"In Casa #709",_x000D_
"symbol":"COR22D709",_x000D_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2" s="1" t="str">
        <f>formatRow(Tokens!C$2:I$2,Tokens!C872:I872)</f>
        <v>"name":"In Casa #709",_x000D_
"symbol":"COR22D709",_x000D_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2" s="1" t="str">
        <f>formatRow(Tokens!J$2:AV$2,Tokens!J872:AV872,2,"attributes")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2" s="1" t="str">
        <f>formatRow(Tokens!AX$2:BC$2,Tokens!AX872:BC872,2,"creators")</f>
        <v>"creators":[{"address":"paul",_x000D_
"share":10},{"address":"sophie",_x000D_
"share":90}]</v>
      </c>
      <c r="Y872" s="1" t="str">
        <f>formatRow(Tokens!BD$2:BI$2,Tokens!BD872:BI872,2,"files")</f>
        <v>"files":[]</v>
      </c>
      <c r="Z872" s="1"/>
      <c r="AA872" s="1"/>
      <c r="AB872" s="1"/>
      <c r="AC872" s="1" t="str">
        <f>formatRow(Tokens!BJ$2:BK$2,Tokens!BJ872:BK872,0,"collection")</f>
        <v>"collection":{"name":"In Casa",_x000D_
"family":"Calvi On The Rocks"}</v>
      </c>
    </row>
    <row r="873" spans="5:29" ht="14.25" customHeight="1" x14ac:dyDescent="0.25">
      <c r="E873" s="17" t="str">
        <f>IF(Tokens!C873="","",Tokens!C873)</f>
        <v>In Casa #710</v>
      </c>
      <c r="F873"/>
      <c r="G873"/>
      <c r="H873"/>
      <c r="I873"/>
      <c r="J873"/>
      <c r="M873"/>
      <c r="N873"/>
      <c r="O873" s="15" t="str">
        <f t="shared" si="26"/>
        <v>_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/>
      </c>
      <c r="Q873" s="2"/>
      <c r="R873" s="2"/>
      <c r="S873" s="11"/>
      <c r="T873" s="1" t="str">
        <f>"owner=" &amp; Tokens!BS873 &amp; "&amp;filename_for_metadata=" &amp; Tokens!BT873 &amp; "&amp;offchaindata_platform=" &amp; $B$17 &amp; "&amp;keyfile=" &amp; $B$5 &amp; "&amp;network=" &amp; LOWER($B$8) &amp; "&amp;repository=" &amp; $B$18</f>
        <v>owner=thomas&amp;filename_for_metadata=InCasa_COR22D710&amp;offchaindata_platform=MongoDB&amp;keyfile=Paul&amp;network=jsonfiles&amp;repository=test</v>
      </c>
      <c r="U873" s="1" t="str">
        <f t="shared" si="27"/>
        <v>{"name":"In Casa #710",_x000D_
"symbol":"COR22D710",_x000D_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3" s="1" t="str">
        <f>formatRow(Tokens!C$2:I$2,Tokens!C873:I873)</f>
        <v>"name":"In Casa #710",_x000D_
"symbol":"COR22D710",_x000D_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3" s="1" t="str">
        <f>formatRow(Tokens!J$2:AV$2,Tokens!J873:AV873,2,"attributes")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3" s="1" t="str">
        <f>formatRow(Tokens!AX$2:BC$2,Tokens!AX873:BC873,2,"creators")</f>
        <v>"creators":[{"address":"paul",_x000D_
"share":10},{"address":"sophie",_x000D_
"share":90}]</v>
      </c>
      <c r="Y873" s="1" t="str">
        <f>formatRow(Tokens!BD$2:BI$2,Tokens!BD873:BI873,2,"files")</f>
        <v>"files":[]</v>
      </c>
      <c r="Z873" s="1"/>
      <c r="AA873" s="1"/>
      <c r="AB873" s="1"/>
      <c r="AC873" s="1" t="str">
        <f>formatRow(Tokens!BJ$2:BK$2,Tokens!BJ873:BK873,0,"collection")</f>
        <v>"collection":{"name":"In Casa",_x000D_
"family":"Calvi On The Rocks"}</v>
      </c>
    </row>
    <row r="874" spans="5:29" ht="14.25" customHeight="1" x14ac:dyDescent="0.25">
      <c r="E874" s="17" t="str">
        <f>IF(Tokens!C874="","",Tokens!C874)</f>
        <v>In Casa #711</v>
      </c>
      <c r="F874"/>
      <c r="G874"/>
      <c r="H874"/>
      <c r="I874"/>
      <c r="J874"/>
      <c r="M874"/>
      <c r="N874"/>
      <c r="O874" s="15" t="str">
        <f t="shared" si="26"/>
        <v>_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/>
      </c>
      <c r="Q874" s="2"/>
      <c r="R874" s="2"/>
      <c r="S874" s="11"/>
      <c r="T874" s="1" t="str">
        <f>"owner=" &amp; Tokens!BS874 &amp; "&amp;filename_for_metadata=" &amp; Tokens!BT874 &amp; "&amp;offchaindata_platform=" &amp; $B$17 &amp; "&amp;keyfile=" &amp; $B$5 &amp; "&amp;network=" &amp; LOWER($B$8) &amp; "&amp;repository=" &amp; $B$18</f>
        <v>owner=thomas&amp;filename_for_metadata=InCasa_COR22D711&amp;offchaindata_platform=MongoDB&amp;keyfile=Paul&amp;network=jsonfiles&amp;repository=test</v>
      </c>
      <c r="U874" s="1" t="str">
        <f t="shared" si="27"/>
        <v>{"name":"In Casa #711",_x000D_
"symbol":"COR22D711",_x000D_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4" s="1" t="str">
        <f>formatRow(Tokens!C$2:I$2,Tokens!C874:I874)</f>
        <v>"name":"In Casa #711",_x000D_
"symbol":"COR22D711",_x000D_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4" s="1" t="str">
        <f>formatRow(Tokens!J$2:AV$2,Tokens!J874:AV874,2,"attributes")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4" s="1" t="str">
        <f>formatRow(Tokens!AX$2:BC$2,Tokens!AX874:BC874,2,"creators")</f>
        <v>"creators":[{"address":"paul",_x000D_
"share":10},{"address":"sophie",_x000D_
"share":90}]</v>
      </c>
      <c r="Y874" s="1" t="str">
        <f>formatRow(Tokens!BD$2:BI$2,Tokens!BD874:BI874,2,"files")</f>
        <v>"files":[]</v>
      </c>
      <c r="Z874" s="1"/>
      <c r="AA874" s="1"/>
      <c r="AB874" s="1"/>
      <c r="AC874" s="1" t="str">
        <f>formatRow(Tokens!BJ$2:BK$2,Tokens!BJ874:BK874,0,"collection")</f>
        <v>"collection":{"name":"In Casa",_x000D_
"family":"Calvi On The Rocks"}</v>
      </c>
    </row>
    <row r="875" spans="5:29" ht="14.25" customHeight="1" x14ac:dyDescent="0.25">
      <c r="E875" s="17" t="str">
        <f>IF(Tokens!C875="","",Tokens!C875)</f>
        <v>In Casa #712</v>
      </c>
      <c r="F875"/>
      <c r="G875"/>
      <c r="H875"/>
      <c r="I875"/>
      <c r="J875"/>
      <c r="M875"/>
      <c r="N875"/>
      <c r="O875" s="15" t="str">
        <f t="shared" si="26"/>
        <v>_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/>
      </c>
      <c r="Q875" s="2"/>
      <c r="R875" s="2"/>
      <c r="S875" s="11"/>
      <c r="T875" s="1" t="str">
        <f>"owner=" &amp; Tokens!BS875 &amp; "&amp;filename_for_metadata=" &amp; Tokens!BT875 &amp; "&amp;offchaindata_platform=" &amp; $B$17 &amp; "&amp;keyfile=" &amp; $B$5 &amp; "&amp;network=" &amp; LOWER($B$8) &amp; "&amp;repository=" &amp; $B$18</f>
        <v>owner=thomas&amp;filename_for_metadata=InCasa_COR22D712&amp;offchaindata_platform=MongoDB&amp;keyfile=Paul&amp;network=jsonfiles&amp;repository=test</v>
      </c>
      <c r="U875" s="1" t="str">
        <f t="shared" si="27"/>
        <v>{"name":"In Casa #712",_x000D_
"symbol":"COR22D712",_x000D_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5" s="1" t="str">
        <f>formatRow(Tokens!C$2:I$2,Tokens!C875:I875)</f>
        <v>"name":"In Casa #712",_x000D_
"symbol":"COR22D712",_x000D_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5" s="1" t="str">
        <f>formatRow(Tokens!J$2:AV$2,Tokens!J875:AV875,2,"attributes")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5" s="1" t="str">
        <f>formatRow(Tokens!AX$2:BC$2,Tokens!AX875:BC875,2,"creators")</f>
        <v>"creators":[{"address":"paul",_x000D_
"share":10},{"address":"sophie",_x000D_
"share":90}]</v>
      </c>
      <c r="Y875" s="1" t="str">
        <f>formatRow(Tokens!BD$2:BI$2,Tokens!BD875:BI875,2,"files")</f>
        <v>"files":[]</v>
      </c>
      <c r="Z875" s="1"/>
      <c r="AA875" s="1"/>
      <c r="AB875" s="1"/>
      <c r="AC875" s="1" t="str">
        <f>formatRow(Tokens!BJ$2:BK$2,Tokens!BJ875:BK875,0,"collection")</f>
        <v>"collection":{"name":"In Casa",_x000D_
"family":"Calvi On The Rocks"}</v>
      </c>
    </row>
    <row r="876" spans="5:29" ht="14.25" customHeight="1" x14ac:dyDescent="0.25">
      <c r="E876" s="17" t="str">
        <f>IF(Tokens!C876="","",Tokens!C876)</f>
        <v>In Casa #713</v>
      </c>
      <c r="F876"/>
      <c r="G876"/>
      <c r="H876"/>
      <c r="I876"/>
      <c r="J876"/>
      <c r="M876"/>
      <c r="N876"/>
      <c r="O876" s="15" t="str">
        <f t="shared" si="26"/>
        <v>_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/>
      </c>
      <c r="Q876" s="2"/>
      <c r="R876" s="2"/>
      <c r="S876" s="11"/>
      <c r="T876" s="1" t="str">
        <f>"owner=" &amp; Tokens!BS876 &amp; "&amp;filename_for_metadata=" &amp; Tokens!BT876 &amp; "&amp;offchaindata_platform=" &amp; $B$17 &amp; "&amp;keyfile=" &amp; $B$5 &amp; "&amp;network=" &amp; LOWER($B$8) &amp; "&amp;repository=" &amp; $B$18</f>
        <v>owner=thomas&amp;filename_for_metadata=InCasa_COR22D713&amp;offchaindata_platform=MongoDB&amp;keyfile=Paul&amp;network=jsonfiles&amp;repository=test</v>
      </c>
      <c r="U876" s="1" t="str">
        <f t="shared" si="27"/>
        <v>{"name":"In Casa #713",_x000D_
"symbol":"COR22D713",_x000D_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6" s="1" t="str">
        <f>formatRow(Tokens!C$2:I$2,Tokens!C876:I876)</f>
        <v>"name":"In Casa #713",_x000D_
"symbol":"COR22D713",_x000D_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6" s="1" t="str">
        <f>formatRow(Tokens!J$2:AV$2,Tokens!J876:AV876,2,"attributes")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6" s="1" t="str">
        <f>formatRow(Tokens!AX$2:BC$2,Tokens!AX876:BC876,2,"creators")</f>
        <v>"creators":[{"address":"paul",_x000D_
"share":10},{"address":"sophie",_x000D_
"share":90}]</v>
      </c>
      <c r="Y876" s="1" t="str">
        <f>formatRow(Tokens!BD$2:BI$2,Tokens!BD876:BI876,2,"files")</f>
        <v>"files":[]</v>
      </c>
      <c r="Z876" s="1"/>
      <c r="AA876" s="1"/>
      <c r="AB876" s="1"/>
      <c r="AC876" s="1" t="str">
        <f>formatRow(Tokens!BJ$2:BK$2,Tokens!BJ876:BK876,0,"collection")</f>
        <v>"collection":{"name":"In Casa",_x000D_
"family":"Calvi On The Rocks"}</v>
      </c>
    </row>
    <row r="877" spans="5:29" ht="14.25" customHeight="1" x14ac:dyDescent="0.25">
      <c r="E877" s="17" t="str">
        <f>IF(Tokens!C877="","",Tokens!C877)</f>
        <v>In Casa #714</v>
      </c>
      <c r="F877"/>
      <c r="G877"/>
      <c r="H877"/>
      <c r="I877"/>
      <c r="J877"/>
      <c r="M877"/>
      <c r="N877"/>
      <c r="O877" s="15" t="str">
        <f t="shared" si="26"/>
        <v>_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/>
      </c>
      <c r="Q877" s="2"/>
      <c r="R877" s="2"/>
      <c r="S877" s="11"/>
      <c r="T877" s="1" t="str">
        <f>"owner=" &amp; Tokens!BS877 &amp; "&amp;filename_for_metadata=" &amp; Tokens!BT877 &amp; "&amp;offchaindata_platform=" &amp; $B$17 &amp; "&amp;keyfile=" &amp; $B$5 &amp; "&amp;network=" &amp; LOWER($B$8) &amp; "&amp;repository=" &amp; $B$18</f>
        <v>owner=thomas&amp;filename_for_metadata=InCasa_COR22D714&amp;offchaindata_platform=MongoDB&amp;keyfile=Paul&amp;network=jsonfiles&amp;repository=test</v>
      </c>
      <c r="U877" s="1" t="str">
        <f t="shared" si="27"/>
        <v>{"name":"In Casa #714",_x000D_
"symbol":"COR22D714",_x000D_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7" s="1" t="str">
        <f>formatRow(Tokens!C$2:I$2,Tokens!C877:I877)</f>
        <v>"name":"In Casa #714",_x000D_
"symbol":"COR22D714",_x000D_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7" s="1" t="str">
        <f>formatRow(Tokens!J$2:AV$2,Tokens!J877:AV877,2,"attributes")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7" s="1" t="str">
        <f>formatRow(Tokens!AX$2:BC$2,Tokens!AX877:BC877,2,"creators")</f>
        <v>"creators":[{"address":"paul",_x000D_
"share":10},{"address":"sophie",_x000D_
"share":90}]</v>
      </c>
      <c r="Y877" s="1" t="str">
        <f>formatRow(Tokens!BD$2:BI$2,Tokens!BD877:BI877,2,"files")</f>
        <v>"files":[]</v>
      </c>
      <c r="Z877" s="1"/>
      <c r="AA877" s="1"/>
      <c r="AB877" s="1"/>
      <c r="AC877" s="1" t="str">
        <f>formatRow(Tokens!BJ$2:BK$2,Tokens!BJ877:BK877,0,"collection")</f>
        <v>"collection":{"name":"In Casa",_x000D_
"family":"Calvi On The Rocks"}</v>
      </c>
    </row>
    <row r="878" spans="5:29" ht="14.25" customHeight="1" x14ac:dyDescent="0.25">
      <c r="E878" s="17" t="str">
        <f>IF(Tokens!C878="","",Tokens!C878)</f>
        <v>In Casa #715</v>
      </c>
      <c r="F878"/>
      <c r="G878"/>
      <c r="H878"/>
      <c r="I878"/>
      <c r="J878"/>
      <c r="M878"/>
      <c r="N878"/>
      <c r="O878" s="15" t="str">
        <f t="shared" si="26"/>
        <v>_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/>
      </c>
      <c r="Q878" s="2"/>
      <c r="R878" s="2"/>
      <c r="S878" s="11"/>
      <c r="T878" s="1" t="str">
        <f>"owner=" &amp; Tokens!BS878 &amp; "&amp;filename_for_metadata=" &amp; Tokens!BT878 &amp; "&amp;offchaindata_platform=" &amp; $B$17 &amp; "&amp;keyfile=" &amp; $B$5 &amp; "&amp;network=" &amp; LOWER($B$8) &amp; "&amp;repository=" &amp; $B$18</f>
        <v>owner=thomas&amp;filename_for_metadata=InCasa_COR22D715&amp;offchaindata_platform=MongoDB&amp;keyfile=Paul&amp;network=jsonfiles&amp;repository=test</v>
      </c>
      <c r="U878" s="1" t="str">
        <f t="shared" si="27"/>
        <v>{"name":"In Casa #715",_x000D_
"symbol":"COR22D715",_x000D_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8" s="1" t="str">
        <f>formatRow(Tokens!C$2:I$2,Tokens!C878:I878)</f>
        <v>"name":"In Casa #715",_x000D_
"symbol":"COR22D715",_x000D_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8" s="1" t="str">
        <f>formatRow(Tokens!J$2:AV$2,Tokens!J878:AV878,2,"attributes")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8" s="1" t="str">
        <f>formatRow(Tokens!AX$2:BC$2,Tokens!AX878:BC878,2,"creators")</f>
        <v>"creators":[{"address":"paul",_x000D_
"share":10},{"address":"sophie",_x000D_
"share":90}]</v>
      </c>
      <c r="Y878" s="1" t="str">
        <f>formatRow(Tokens!BD$2:BI$2,Tokens!BD878:BI878,2,"files")</f>
        <v>"files":[]</v>
      </c>
      <c r="Z878" s="1"/>
      <c r="AA878" s="1"/>
      <c r="AB878" s="1"/>
      <c r="AC878" s="1" t="str">
        <f>formatRow(Tokens!BJ$2:BK$2,Tokens!BJ878:BK878,0,"collection")</f>
        <v>"collection":{"name":"In Casa",_x000D_
"family":"Calvi On The Rocks"}</v>
      </c>
    </row>
    <row r="879" spans="5:29" ht="14.25" customHeight="1" x14ac:dyDescent="0.25">
      <c r="E879" s="17" t="str">
        <f>IF(Tokens!C879="","",Tokens!C879)</f>
        <v>In Casa #716</v>
      </c>
      <c r="F879"/>
      <c r="G879"/>
      <c r="H879"/>
      <c r="I879"/>
      <c r="J879"/>
      <c r="M879"/>
      <c r="N879"/>
      <c r="O879" s="15" t="str">
        <f t="shared" si="26"/>
        <v>_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/>
      </c>
      <c r="Q879" s="2"/>
      <c r="R879" s="2"/>
      <c r="S879" s="11"/>
      <c r="T879" s="1" t="str">
        <f>"owner=" &amp; Tokens!BS879 &amp; "&amp;filename_for_metadata=" &amp; Tokens!BT879 &amp; "&amp;offchaindata_platform=" &amp; $B$17 &amp; "&amp;keyfile=" &amp; $B$5 &amp; "&amp;network=" &amp; LOWER($B$8) &amp; "&amp;repository=" &amp; $B$18</f>
        <v>owner=thomas&amp;filename_for_metadata=InCasa_COR22D716&amp;offchaindata_platform=MongoDB&amp;keyfile=Paul&amp;network=jsonfiles&amp;repository=test</v>
      </c>
      <c r="U879" s="1" t="str">
        <f t="shared" si="27"/>
        <v>{"name":"In Casa #716",_x000D_
"symbol":"COR22D716",_x000D_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79" s="1" t="str">
        <f>formatRow(Tokens!C$2:I$2,Tokens!C879:I879)</f>
        <v>"name":"In Casa #716",_x000D_
"symbol":"COR22D716",_x000D_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79" s="1" t="str">
        <f>formatRow(Tokens!J$2:AV$2,Tokens!J879:AV879,2,"attributes")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79" s="1" t="str">
        <f>formatRow(Tokens!AX$2:BC$2,Tokens!AX879:BC879,2,"creators")</f>
        <v>"creators":[{"address":"paul",_x000D_
"share":10},{"address":"sophie",_x000D_
"share":90}]</v>
      </c>
      <c r="Y879" s="1" t="str">
        <f>formatRow(Tokens!BD$2:BI$2,Tokens!BD879:BI879,2,"files")</f>
        <v>"files":[]</v>
      </c>
      <c r="Z879" s="1"/>
      <c r="AA879" s="1"/>
      <c r="AB879" s="1"/>
      <c r="AC879" s="1" t="str">
        <f>formatRow(Tokens!BJ$2:BK$2,Tokens!BJ879:BK879,0,"collection")</f>
        <v>"collection":{"name":"In Casa",_x000D_
"family":"Calvi On The Rocks"}</v>
      </c>
    </row>
    <row r="880" spans="5:29" ht="14.25" customHeight="1" x14ac:dyDescent="0.25">
      <c r="E880" s="17" t="str">
        <f>IF(Tokens!C880="","",Tokens!C880)</f>
        <v>In Casa #717</v>
      </c>
      <c r="F880"/>
      <c r="G880"/>
      <c r="H880"/>
      <c r="I880"/>
      <c r="J880"/>
      <c r="M880"/>
      <c r="N880"/>
      <c r="O880" s="15" t="str">
        <f t="shared" si="26"/>
        <v>_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/>
      </c>
      <c r="Q880" s="2"/>
      <c r="R880" s="2"/>
      <c r="S880" s="11"/>
      <c r="T880" s="1" t="str">
        <f>"owner=" &amp; Tokens!BS880 &amp; "&amp;filename_for_metadata=" &amp; Tokens!BT880 &amp; "&amp;offchaindata_platform=" &amp; $B$17 &amp; "&amp;keyfile=" &amp; $B$5 &amp; "&amp;network=" &amp; LOWER($B$8) &amp; "&amp;repository=" &amp; $B$18</f>
        <v>owner=thomas&amp;filename_for_metadata=InCasa_COR22D717&amp;offchaindata_platform=MongoDB&amp;keyfile=Paul&amp;network=jsonfiles&amp;repository=test</v>
      </c>
      <c r="U880" s="1" t="str">
        <f t="shared" si="27"/>
        <v>{"name":"In Casa #717",_x000D_
"symbol":"COR22D717",_x000D_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0" s="1" t="str">
        <f>formatRow(Tokens!C$2:I$2,Tokens!C880:I880)</f>
        <v>"name":"In Casa #717",_x000D_
"symbol":"COR22D717",_x000D_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0" s="1" t="str">
        <f>formatRow(Tokens!J$2:AV$2,Tokens!J880:AV880,2,"attributes")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0" s="1" t="str">
        <f>formatRow(Tokens!AX$2:BC$2,Tokens!AX880:BC880,2,"creators")</f>
        <v>"creators":[{"address":"paul",_x000D_
"share":10},{"address":"sophie",_x000D_
"share":90}]</v>
      </c>
      <c r="Y880" s="1" t="str">
        <f>formatRow(Tokens!BD$2:BI$2,Tokens!BD880:BI880,2,"files")</f>
        <v>"files":[]</v>
      </c>
      <c r="Z880" s="1"/>
      <c r="AA880" s="1"/>
      <c r="AB880" s="1"/>
      <c r="AC880" s="1" t="str">
        <f>formatRow(Tokens!BJ$2:BK$2,Tokens!BJ880:BK880,0,"collection")</f>
        <v>"collection":{"name":"In Casa",_x000D_
"family":"Calvi On The Rocks"}</v>
      </c>
    </row>
    <row r="881" spans="5:29" ht="14.25" customHeight="1" x14ac:dyDescent="0.25">
      <c r="E881" s="17" t="str">
        <f>IF(Tokens!C881="","",Tokens!C881)</f>
        <v>In Casa #718</v>
      </c>
      <c r="F881"/>
      <c r="G881"/>
      <c r="H881"/>
      <c r="I881"/>
      <c r="J881"/>
      <c r="M881"/>
      <c r="N881"/>
      <c r="O881" s="15" t="str">
        <f t="shared" si="26"/>
        <v>_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/>
      </c>
      <c r="Q881" s="2"/>
      <c r="R881" s="2"/>
      <c r="S881" s="11"/>
      <c r="T881" s="1" t="str">
        <f>"owner=" &amp; Tokens!BS881 &amp; "&amp;filename_for_metadata=" &amp; Tokens!BT881 &amp; "&amp;offchaindata_platform=" &amp; $B$17 &amp; "&amp;keyfile=" &amp; $B$5 &amp; "&amp;network=" &amp; LOWER($B$8) &amp; "&amp;repository=" &amp; $B$18</f>
        <v>owner=thomas&amp;filename_for_metadata=InCasa_COR22D718&amp;offchaindata_platform=MongoDB&amp;keyfile=Paul&amp;network=jsonfiles&amp;repository=test</v>
      </c>
      <c r="U881" s="1" t="str">
        <f t="shared" si="27"/>
        <v>{"name":"In Casa #718",_x000D_
"symbol":"COR22D718",_x000D_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1" s="1" t="str">
        <f>formatRow(Tokens!C$2:I$2,Tokens!C881:I881)</f>
        <v>"name":"In Casa #718",_x000D_
"symbol":"COR22D718",_x000D_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1" s="1" t="str">
        <f>formatRow(Tokens!J$2:AV$2,Tokens!J881:AV881,2,"attributes")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1" s="1" t="str">
        <f>formatRow(Tokens!AX$2:BC$2,Tokens!AX881:BC881,2,"creators")</f>
        <v>"creators":[{"address":"paul",_x000D_
"share":10},{"address":"sophie",_x000D_
"share":90}]</v>
      </c>
      <c r="Y881" s="1" t="str">
        <f>formatRow(Tokens!BD$2:BI$2,Tokens!BD881:BI881,2,"files")</f>
        <v>"files":[]</v>
      </c>
      <c r="Z881" s="1"/>
      <c r="AA881" s="1"/>
      <c r="AB881" s="1"/>
      <c r="AC881" s="1" t="str">
        <f>formatRow(Tokens!BJ$2:BK$2,Tokens!BJ881:BK881,0,"collection")</f>
        <v>"collection":{"name":"In Casa",_x000D_
"family":"Calvi On The Rocks"}</v>
      </c>
    </row>
    <row r="882" spans="5:29" ht="14.25" customHeight="1" x14ac:dyDescent="0.25">
      <c r="E882" s="17" t="str">
        <f>IF(Tokens!C882="","",Tokens!C882)</f>
        <v>In Casa #719</v>
      </c>
      <c r="F882"/>
      <c r="G882"/>
      <c r="H882"/>
      <c r="I882"/>
      <c r="J882"/>
      <c r="M882"/>
      <c r="N882"/>
      <c r="O882" s="15" t="str">
        <f t="shared" si="26"/>
        <v>_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/>
      </c>
      <c r="Q882" s="2"/>
      <c r="R882" s="2"/>
      <c r="S882" s="11"/>
      <c r="T882" s="1" t="str">
        <f>"owner=" &amp; Tokens!BS882 &amp; "&amp;filename_for_metadata=" &amp; Tokens!BT882 &amp; "&amp;offchaindata_platform=" &amp; $B$17 &amp; "&amp;keyfile=" &amp; $B$5 &amp; "&amp;network=" &amp; LOWER($B$8) &amp; "&amp;repository=" &amp; $B$18</f>
        <v>owner=thomas&amp;filename_for_metadata=InCasa_COR22D719&amp;offchaindata_platform=MongoDB&amp;keyfile=Paul&amp;network=jsonfiles&amp;repository=test</v>
      </c>
      <c r="U882" s="1" t="str">
        <f t="shared" si="27"/>
        <v>{"name":"In Casa #719",_x000D_
"symbol":"COR22D719",_x000D_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2" s="1" t="str">
        <f>formatRow(Tokens!C$2:I$2,Tokens!C882:I882)</f>
        <v>"name":"In Casa #719",_x000D_
"symbol":"COR22D719",_x000D_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2" s="1" t="str">
        <f>formatRow(Tokens!J$2:AV$2,Tokens!J882:AV882,2,"attributes")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2" s="1" t="str">
        <f>formatRow(Tokens!AX$2:BC$2,Tokens!AX882:BC882,2,"creators")</f>
        <v>"creators":[{"address":"paul",_x000D_
"share":10},{"address":"sophie",_x000D_
"share":90}]</v>
      </c>
      <c r="Y882" s="1" t="str">
        <f>formatRow(Tokens!BD$2:BI$2,Tokens!BD882:BI882,2,"files")</f>
        <v>"files":[]</v>
      </c>
      <c r="Z882" s="1"/>
      <c r="AA882" s="1"/>
      <c r="AB882" s="1"/>
      <c r="AC882" s="1" t="str">
        <f>formatRow(Tokens!BJ$2:BK$2,Tokens!BJ882:BK882,0,"collection")</f>
        <v>"collection":{"name":"In Casa",_x000D_
"family":"Calvi On The Rocks"}</v>
      </c>
    </row>
    <row r="883" spans="5:29" ht="14.25" customHeight="1" x14ac:dyDescent="0.25">
      <c r="E883" s="17" t="str">
        <f>IF(Tokens!C883="","",Tokens!C883)</f>
        <v>In Casa #720</v>
      </c>
      <c r="F883"/>
      <c r="G883"/>
      <c r="H883"/>
      <c r="I883"/>
      <c r="J883"/>
      <c r="M883"/>
      <c r="N883"/>
      <c r="O883" s="15" t="str">
        <f t="shared" si="26"/>
        <v>_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/>
      </c>
      <c r="Q883" s="2"/>
      <c r="R883" s="2"/>
      <c r="S883" s="11"/>
      <c r="T883" s="1" t="str">
        <f>"owner=" &amp; Tokens!BS883 &amp; "&amp;filename_for_metadata=" &amp; Tokens!BT883 &amp; "&amp;offchaindata_platform=" &amp; $B$17 &amp; "&amp;keyfile=" &amp; $B$5 &amp; "&amp;network=" &amp; LOWER($B$8) &amp; "&amp;repository=" &amp; $B$18</f>
        <v>owner=thomas&amp;filename_for_metadata=InCasa_COR22D720&amp;offchaindata_platform=MongoDB&amp;keyfile=Paul&amp;network=jsonfiles&amp;repository=test</v>
      </c>
      <c r="U883" s="1" t="str">
        <f t="shared" si="27"/>
        <v>{"name":"In Casa #720",_x000D_
"symbol":"COR22D720",_x000D_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3" s="1" t="str">
        <f>formatRow(Tokens!C$2:I$2,Tokens!C883:I883)</f>
        <v>"name":"In Casa #720",_x000D_
"symbol":"COR22D720",_x000D_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3" s="1" t="str">
        <f>formatRow(Tokens!J$2:AV$2,Tokens!J883:AV883,2,"attributes")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3" s="1" t="str">
        <f>formatRow(Tokens!AX$2:BC$2,Tokens!AX883:BC883,2,"creators")</f>
        <v>"creators":[{"address":"paul",_x000D_
"share":10},{"address":"sophie",_x000D_
"share":90}]</v>
      </c>
      <c r="Y883" s="1" t="str">
        <f>formatRow(Tokens!BD$2:BI$2,Tokens!BD883:BI883,2,"files")</f>
        <v>"files":[]</v>
      </c>
      <c r="Z883" s="1"/>
      <c r="AA883" s="1"/>
      <c r="AB883" s="1"/>
      <c r="AC883" s="1" t="str">
        <f>formatRow(Tokens!BJ$2:BK$2,Tokens!BJ883:BK883,0,"collection")</f>
        <v>"collection":{"name":"In Casa",_x000D_
"family":"Calvi On The Rocks"}</v>
      </c>
    </row>
    <row r="884" spans="5:29" ht="14.25" customHeight="1" x14ac:dyDescent="0.25">
      <c r="E884" s="17" t="str">
        <f>IF(Tokens!C884="","",Tokens!C884)</f>
        <v>In Casa #721</v>
      </c>
      <c r="F884"/>
      <c r="G884"/>
      <c r="H884"/>
      <c r="I884"/>
      <c r="J884"/>
      <c r="M884"/>
      <c r="N884"/>
      <c r="O884" s="15" t="str">
        <f t="shared" si="26"/>
        <v>_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/>
      </c>
      <c r="Q884" s="2"/>
      <c r="R884" s="2"/>
      <c r="S884" s="11"/>
      <c r="T884" s="1" t="str">
        <f>"owner=" &amp; Tokens!BS884 &amp; "&amp;filename_for_metadata=" &amp; Tokens!BT884 &amp; "&amp;offchaindata_platform=" &amp; $B$17 &amp; "&amp;keyfile=" &amp; $B$5 &amp; "&amp;network=" &amp; LOWER($B$8) &amp; "&amp;repository=" &amp; $B$18</f>
        <v>owner=thomas&amp;filename_for_metadata=InCasa_COR22D721&amp;offchaindata_platform=MongoDB&amp;keyfile=Paul&amp;network=jsonfiles&amp;repository=test</v>
      </c>
      <c r="U884" s="1" t="str">
        <f t="shared" si="27"/>
        <v>{"name":"In Casa #721",_x000D_
"symbol":"COR22D721",_x000D_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4" s="1" t="str">
        <f>formatRow(Tokens!C$2:I$2,Tokens!C884:I884)</f>
        <v>"name":"In Casa #721",_x000D_
"symbol":"COR22D721",_x000D_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4" s="1" t="str">
        <f>formatRow(Tokens!J$2:AV$2,Tokens!J884:AV884,2,"attributes")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4" s="1" t="str">
        <f>formatRow(Tokens!AX$2:BC$2,Tokens!AX884:BC884,2,"creators")</f>
        <v>"creators":[{"address":"paul",_x000D_
"share":10},{"address":"sophie",_x000D_
"share":90}]</v>
      </c>
      <c r="Y884" s="1" t="str">
        <f>formatRow(Tokens!BD$2:BI$2,Tokens!BD884:BI884,2,"files")</f>
        <v>"files":[]</v>
      </c>
      <c r="Z884" s="1"/>
      <c r="AA884" s="1"/>
      <c r="AB884" s="1"/>
      <c r="AC884" s="1" t="str">
        <f>formatRow(Tokens!BJ$2:BK$2,Tokens!BJ884:BK884,0,"collection")</f>
        <v>"collection":{"name":"In Casa",_x000D_
"family":"Calvi On The Rocks"}</v>
      </c>
    </row>
    <row r="885" spans="5:29" ht="14.25" customHeight="1" x14ac:dyDescent="0.25">
      <c r="E885" s="17" t="str">
        <f>IF(Tokens!C885="","",Tokens!C885)</f>
        <v>In Casa #722</v>
      </c>
      <c r="F885"/>
      <c r="G885"/>
      <c r="H885"/>
      <c r="I885"/>
      <c r="J885"/>
      <c r="M885"/>
      <c r="N885"/>
      <c r="O885" s="15" t="str">
        <f t="shared" si="26"/>
        <v>_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/>
      </c>
      <c r="Q885" s="2"/>
      <c r="R885" s="2"/>
      <c r="S885" s="11"/>
      <c r="T885" s="1" t="str">
        <f>"owner=" &amp; Tokens!BS885 &amp; "&amp;filename_for_metadata=" &amp; Tokens!BT885 &amp; "&amp;offchaindata_platform=" &amp; $B$17 &amp; "&amp;keyfile=" &amp; $B$5 &amp; "&amp;network=" &amp; LOWER($B$8) &amp; "&amp;repository=" &amp; $B$18</f>
        <v>owner=thomas&amp;filename_for_metadata=InCasa_COR22D722&amp;offchaindata_platform=MongoDB&amp;keyfile=Paul&amp;network=jsonfiles&amp;repository=test</v>
      </c>
      <c r="U885" s="1" t="str">
        <f t="shared" si="27"/>
        <v>{"name":"In Casa #722",_x000D_
"symbol":"COR22D722",_x000D_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5" s="1" t="str">
        <f>formatRow(Tokens!C$2:I$2,Tokens!C885:I885)</f>
        <v>"name":"In Casa #722",_x000D_
"symbol":"COR22D722",_x000D_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5" s="1" t="str">
        <f>formatRow(Tokens!J$2:AV$2,Tokens!J885:AV885,2,"attributes")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5" s="1" t="str">
        <f>formatRow(Tokens!AX$2:BC$2,Tokens!AX885:BC885,2,"creators")</f>
        <v>"creators":[{"address":"paul",_x000D_
"share":10},{"address":"sophie",_x000D_
"share":90}]</v>
      </c>
      <c r="Y885" s="1" t="str">
        <f>formatRow(Tokens!BD$2:BI$2,Tokens!BD885:BI885,2,"files")</f>
        <v>"files":[]</v>
      </c>
      <c r="Z885" s="1"/>
      <c r="AA885" s="1"/>
      <c r="AB885" s="1"/>
      <c r="AC885" s="1" t="str">
        <f>formatRow(Tokens!BJ$2:BK$2,Tokens!BJ885:BK885,0,"collection")</f>
        <v>"collection":{"name":"In Casa",_x000D_
"family":"Calvi On The Rocks"}</v>
      </c>
    </row>
    <row r="886" spans="5:29" ht="14.25" customHeight="1" x14ac:dyDescent="0.25">
      <c r="E886" s="17" t="str">
        <f>IF(Tokens!C886="","",Tokens!C886)</f>
        <v>In Casa #723</v>
      </c>
      <c r="F886"/>
      <c r="G886"/>
      <c r="H886"/>
      <c r="I886"/>
      <c r="J886"/>
      <c r="M886"/>
      <c r="N886"/>
      <c r="O886" s="15" t="str">
        <f t="shared" si="26"/>
        <v>_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/>
      </c>
      <c r="Q886" s="2"/>
      <c r="R886" s="2"/>
      <c r="S886" s="11"/>
      <c r="T886" s="1" t="str">
        <f>"owner=" &amp; Tokens!BS886 &amp; "&amp;filename_for_metadata=" &amp; Tokens!BT886 &amp; "&amp;offchaindata_platform=" &amp; $B$17 &amp; "&amp;keyfile=" &amp; $B$5 &amp; "&amp;network=" &amp; LOWER($B$8) &amp; "&amp;repository=" &amp; $B$18</f>
        <v>owner=thomas&amp;filename_for_metadata=InCasa_COR22D723&amp;offchaindata_platform=MongoDB&amp;keyfile=Paul&amp;network=jsonfiles&amp;repository=test</v>
      </c>
      <c r="U886" s="1" t="str">
        <f t="shared" si="27"/>
        <v>{"name":"In Casa #723",_x000D_
"symbol":"COR22D723",_x000D_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6" s="1" t="str">
        <f>formatRow(Tokens!C$2:I$2,Tokens!C886:I886)</f>
        <v>"name":"In Casa #723",_x000D_
"symbol":"COR22D723",_x000D_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6" s="1" t="str">
        <f>formatRow(Tokens!J$2:AV$2,Tokens!J886:AV886,2,"attributes")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6" s="1" t="str">
        <f>formatRow(Tokens!AX$2:BC$2,Tokens!AX886:BC886,2,"creators")</f>
        <v>"creators":[{"address":"paul",_x000D_
"share":10},{"address":"sophie",_x000D_
"share":90}]</v>
      </c>
      <c r="Y886" s="1" t="str">
        <f>formatRow(Tokens!BD$2:BI$2,Tokens!BD886:BI886,2,"files")</f>
        <v>"files":[]</v>
      </c>
      <c r="Z886" s="1"/>
      <c r="AA886" s="1"/>
      <c r="AB886" s="1"/>
      <c r="AC886" s="1" t="str">
        <f>formatRow(Tokens!BJ$2:BK$2,Tokens!BJ886:BK886,0,"collection")</f>
        <v>"collection":{"name":"In Casa",_x000D_
"family":"Calvi On The Rocks"}</v>
      </c>
    </row>
    <row r="887" spans="5:29" ht="14.25" customHeight="1" x14ac:dyDescent="0.25">
      <c r="E887" s="17" t="str">
        <f>IF(Tokens!C887="","",Tokens!C887)</f>
        <v>In Casa #724</v>
      </c>
      <c r="F887"/>
      <c r="G887"/>
      <c r="H887"/>
      <c r="I887"/>
      <c r="J887"/>
      <c r="M887"/>
      <c r="N887"/>
      <c r="O887" s="15" t="str">
        <f t="shared" si="26"/>
        <v>_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/>
      </c>
      <c r="Q887" s="2"/>
      <c r="R887" s="2"/>
      <c r="S887" s="11"/>
      <c r="T887" s="1" t="str">
        <f>"owner=" &amp; Tokens!BS887 &amp; "&amp;filename_for_metadata=" &amp; Tokens!BT887 &amp; "&amp;offchaindata_platform=" &amp; $B$17 &amp; "&amp;keyfile=" &amp; $B$5 &amp; "&amp;network=" &amp; LOWER($B$8) &amp; "&amp;repository=" &amp; $B$18</f>
        <v>owner=thomas&amp;filename_for_metadata=InCasa_COR22D724&amp;offchaindata_platform=MongoDB&amp;keyfile=Paul&amp;network=jsonfiles&amp;repository=test</v>
      </c>
      <c r="U887" s="1" t="str">
        <f t="shared" si="27"/>
        <v>{"name":"In Casa #724",_x000D_
"symbol":"COR22D724",_x000D_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7" s="1" t="str">
        <f>formatRow(Tokens!C$2:I$2,Tokens!C887:I887)</f>
        <v>"name":"In Casa #724",_x000D_
"symbol":"COR22D724",_x000D_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7" s="1" t="str">
        <f>formatRow(Tokens!J$2:AV$2,Tokens!J887:AV887,2,"attributes")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7" s="1" t="str">
        <f>formatRow(Tokens!AX$2:BC$2,Tokens!AX887:BC887,2,"creators")</f>
        <v>"creators":[{"address":"paul",_x000D_
"share":10},{"address":"sophie",_x000D_
"share":90}]</v>
      </c>
      <c r="Y887" s="1" t="str">
        <f>formatRow(Tokens!BD$2:BI$2,Tokens!BD887:BI887,2,"files")</f>
        <v>"files":[]</v>
      </c>
      <c r="Z887" s="1"/>
      <c r="AA887" s="1"/>
      <c r="AB887" s="1"/>
      <c r="AC887" s="1" t="str">
        <f>formatRow(Tokens!BJ$2:BK$2,Tokens!BJ887:BK887,0,"collection")</f>
        <v>"collection":{"name":"In Casa",_x000D_
"family":"Calvi On The Rocks"}</v>
      </c>
    </row>
    <row r="888" spans="5:29" ht="14.25" customHeight="1" x14ac:dyDescent="0.25">
      <c r="E888" s="17" t="str">
        <f>IF(Tokens!C888="","",Tokens!C888)</f>
        <v>In Casa #725</v>
      </c>
      <c r="F888"/>
      <c r="G888"/>
      <c r="H888"/>
      <c r="I888"/>
      <c r="J888"/>
      <c r="M888"/>
      <c r="N888"/>
      <c r="O888" s="15" t="str">
        <f t="shared" si="26"/>
        <v>_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/>
      </c>
      <c r="Q888" s="2"/>
      <c r="R888" s="2"/>
      <c r="S888" s="11"/>
      <c r="T888" s="1" t="str">
        <f>"owner=" &amp; Tokens!BS888 &amp; "&amp;filename_for_metadata=" &amp; Tokens!BT888 &amp; "&amp;offchaindata_platform=" &amp; $B$17 &amp; "&amp;keyfile=" &amp; $B$5 &amp; "&amp;network=" &amp; LOWER($B$8) &amp; "&amp;repository=" &amp; $B$18</f>
        <v>owner=thomas&amp;filename_for_metadata=InCasa_COR22D725&amp;offchaindata_platform=MongoDB&amp;keyfile=Paul&amp;network=jsonfiles&amp;repository=test</v>
      </c>
      <c r="U888" s="1" t="str">
        <f t="shared" si="27"/>
        <v>{"name":"In Casa #725",_x000D_
"symbol":"COR22D725",_x000D_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8" s="1" t="str">
        <f>formatRow(Tokens!C$2:I$2,Tokens!C888:I888)</f>
        <v>"name":"In Casa #725",_x000D_
"symbol":"COR22D725",_x000D_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8" s="1" t="str">
        <f>formatRow(Tokens!J$2:AV$2,Tokens!J888:AV888,2,"attributes")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8" s="1" t="str">
        <f>formatRow(Tokens!AX$2:BC$2,Tokens!AX888:BC888,2,"creators")</f>
        <v>"creators":[{"address":"paul",_x000D_
"share":10},{"address":"sophie",_x000D_
"share":90}]</v>
      </c>
      <c r="Y888" s="1" t="str">
        <f>formatRow(Tokens!BD$2:BI$2,Tokens!BD888:BI888,2,"files")</f>
        <v>"files":[]</v>
      </c>
      <c r="Z888" s="1"/>
      <c r="AA888" s="1"/>
      <c r="AB888" s="1"/>
      <c r="AC888" s="1" t="str">
        <f>formatRow(Tokens!BJ$2:BK$2,Tokens!BJ888:BK888,0,"collection")</f>
        <v>"collection":{"name":"In Casa",_x000D_
"family":"Calvi On The Rocks"}</v>
      </c>
    </row>
    <row r="889" spans="5:29" ht="14.25" customHeight="1" x14ac:dyDescent="0.25">
      <c r="E889" s="17" t="str">
        <f>IF(Tokens!C889="","",Tokens!C889)</f>
        <v>In Casa #726</v>
      </c>
      <c r="F889"/>
      <c r="G889"/>
      <c r="H889"/>
      <c r="I889"/>
      <c r="J889"/>
      <c r="M889"/>
      <c r="N889"/>
      <c r="O889" s="15" t="str">
        <f t="shared" si="26"/>
        <v>_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/>
      </c>
      <c r="Q889" s="2"/>
      <c r="R889" s="2"/>
      <c r="S889" s="11"/>
      <c r="T889" s="1" t="str">
        <f>"owner=" &amp; Tokens!BS889 &amp; "&amp;filename_for_metadata=" &amp; Tokens!BT889 &amp; "&amp;offchaindata_platform=" &amp; $B$17 &amp; "&amp;keyfile=" &amp; $B$5 &amp; "&amp;network=" &amp; LOWER($B$8) &amp; "&amp;repository=" &amp; $B$18</f>
        <v>owner=thomas&amp;filename_for_metadata=InCasa_COR22D726&amp;offchaindata_platform=MongoDB&amp;keyfile=Paul&amp;network=jsonfiles&amp;repository=test</v>
      </c>
      <c r="U889" s="1" t="str">
        <f t="shared" si="27"/>
        <v>{"name":"In Casa #726",_x000D_
"symbol":"COR22D726",_x000D_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89" s="1" t="str">
        <f>formatRow(Tokens!C$2:I$2,Tokens!C889:I889)</f>
        <v>"name":"In Casa #726",_x000D_
"symbol":"COR22D726",_x000D_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89" s="1" t="str">
        <f>formatRow(Tokens!J$2:AV$2,Tokens!J889:AV889,2,"attributes")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89" s="1" t="str">
        <f>formatRow(Tokens!AX$2:BC$2,Tokens!AX889:BC889,2,"creators")</f>
        <v>"creators":[{"address":"paul",_x000D_
"share":10},{"address":"sophie",_x000D_
"share":90}]</v>
      </c>
      <c r="Y889" s="1" t="str">
        <f>formatRow(Tokens!BD$2:BI$2,Tokens!BD889:BI889,2,"files")</f>
        <v>"files":[]</v>
      </c>
      <c r="Z889" s="1"/>
      <c r="AA889" s="1"/>
      <c r="AB889" s="1"/>
      <c r="AC889" s="1" t="str">
        <f>formatRow(Tokens!BJ$2:BK$2,Tokens!BJ889:BK889,0,"collection")</f>
        <v>"collection":{"name":"In Casa",_x000D_
"family":"Calvi On The Rocks"}</v>
      </c>
    </row>
    <row r="890" spans="5:29" ht="14.25" customHeight="1" x14ac:dyDescent="0.25">
      <c r="E890" s="17" t="str">
        <f>IF(Tokens!C890="","",Tokens!C890)</f>
        <v>In Casa #727</v>
      </c>
      <c r="F890"/>
      <c r="G890"/>
      <c r="H890"/>
      <c r="I890"/>
      <c r="J890"/>
      <c r="M890"/>
      <c r="N890"/>
      <c r="O890" s="15" t="str">
        <f t="shared" si="26"/>
        <v>_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/>
      </c>
      <c r="Q890" s="2"/>
      <c r="R890" s="2"/>
      <c r="S890" s="11"/>
      <c r="T890" s="1" t="str">
        <f>"owner=" &amp; Tokens!BS890 &amp; "&amp;filename_for_metadata=" &amp; Tokens!BT890 &amp; "&amp;offchaindata_platform=" &amp; $B$17 &amp; "&amp;keyfile=" &amp; $B$5 &amp; "&amp;network=" &amp; LOWER($B$8) &amp; "&amp;repository=" &amp; $B$18</f>
        <v>owner=thomas&amp;filename_for_metadata=InCasa_COR22D727&amp;offchaindata_platform=MongoDB&amp;keyfile=Paul&amp;network=jsonfiles&amp;repository=test</v>
      </c>
      <c r="U890" s="1" t="str">
        <f t="shared" si="27"/>
        <v>{"name":"In Casa #727",_x000D_
"symbol":"COR22D727",_x000D_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0" s="1" t="str">
        <f>formatRow(Tokens!C$2:I$2,Tokens!C890:I890)</f>
        <v>"name":"In Casa #727",_x000D_
"symbol":"COR22D727",_x000D_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0" s="1" t="str">
        <f>formatRow(Tokens!J$2:AV$2,Tokens!J890:AV890,2,"attributes")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0" s="1" t="str">
        <f>formatRow(Tokens!AX$2:BC$2,Tokens!AX890:BC890,2,"creators")</f>
        <v>"creators":[{"address":"paul",_x000D_
"share":10},{"address":"sophie",_x000D_
"share":90}]</v>
      </c>
      <c r="Y890" s="1" t="str">
        <f>formatRow(Tokens!BD$2:BI$2,Tokens!BD890:BI890,2,"files")</f>
        <v>"files":[]</v>
      </c>
      <c r="Z890" s="1"/>
      <c r="AA890" s="1"/>
      <c r="AB890" s="1"/>
      <c r="AC890" s="1" t="str">
        <f>formatRow(Tokens!BJ$2:BK$2,Tokens!BJ890:BK890,0,"collection")</f>
        <v>"collection":{"name":"In Casa",_x000D_
"family":"Calvi On The Rocks"}</v>
      </c>
    </row>
    <row r="891" spans="5:29" ht="14.25" customHeight="1" x14ac:dyDescent="0.25">
      <c r="E891" s="17" t="str">
        <f>IF(Tokens!C891="","",Tokens!C891)</f>
        <v>In Casa #728</v>
      </c>
      <c r="F891"/>
      <c r="G891"/>
      <c r="H891"/>
      <c r="I891"/>
      <c r="J891"/>
      <c r="M891"/>
      <c r="N891"/>
      <c r="O891" s="15" t="str">
        <f t="shared" si="26"/>
        <v>_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1" t="str">
        <f>"owner=" &amp; Tokens!BS891 &amp; "&amp;filename_for_metadata=" &amp; Tokens!BT891 &amp; "&amp;offchaindata_platform=" &amp; $B$17 &amp; "&amp;keyfile=" &amp; $B$5 &amp; "&amp;network=" &amp; LOWER($B$8) &amp; "&amp;repository=" &amp; $B$18</f>
        <v>owner=thomas&amp;filename_for_metadata=InCasa_COR22D728&amp;offchaindata_platform=MongoDB&amp;keyfile=Paul&amp;network=jsonfiles&amp;repository=test</v>
      </c>
      <c r="U891" s="1" t="str">
        <f t="shared" si="27"/>
        <v>{"name":"In Casa #728",_x000D_
"symbol":"COR22D728",_x000D_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1" s="1" t="str">
        <f>formatRow(Tokens!C$2:I$2,Tokens!C891:I891)</f>
        <v>"name":"In Casa #728",_x000D_
"symbol":"COR22D728",_x000D_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1" s="1" t="str">
        <f>formatRow(Tokens!J$2:AV$2,Tokens!J891:AV891,2,"attributes")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1" s="1" t="str">
        <f>formatRow(Tokens!AX$2:BC$2,Tokens!AX891:BC891,2,"creators")</f>
        <v>"creators":[{"address":"paul",_x000D_
"share":10},{"address":"sophie",_x000D_
"share":90}]</v>
      </c>
      <c r="Y891" s="1" t="str">
        <f>formatRow(Tokens!BD$2:BI$2,Tokens!BD891:BI891,2,"files")</f>
        <v>"files":[]</v>
      </c>
      <c r="Z891" s="1"/>
      <c r="AA891" s="1"/>
      <c r="AB891" s="1"/>
      <c r="AC891" s="1" t="str">
        <f>formatRow(Tokens!BJ$2:BK$2,Tokens!BJ891:BK891,0,"collection")</f>
        <v>"collection":{"name":"In Casa",_x000D_
"family":"Calvi On The Rocks"}</v>
      </c>
    </row>
    <row r="892" spans="5:29" ht="14.25" customHeight="1" x14ac:dyDescent="0.25">
      <c r="E892" s="17" t="str">
        <f>IF(Tokens!C892="","",Tokens!C892)</f>
        <v>In Casa #729</v>
      </c>
      <c r="F892"/>
      <c r="G892"/>
      <c r="H892"/>
      <c r="I892"/>
      <c r="J892"/>
      <c r="M892"/>
      <c r="N892"/>
      <c r="O892" s="15" t="str">
        <f t="shared" si="26"/>
        <v>_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1" t="str">
        <f>"owner=" &amp; Tokens!BS892 &amp; "&amp;filename_for_metadata=" &amp; Tokens!BT892 &amp; "&amp;offchaindata_platform=" &amp; $B$17 &amp; "&amp;keyfile=" &amp; $B$5 &amp; "&amp;network=" &amp; LOWER($B$8) &amp; "&amp;repository=" &amp; $B$18</f>
        <v>owner=thomas&amp;filename_for_metadata=InCasa_COR22D729&amp;offchaindata_platform=MongoDB&amp;keyfile=Paul&amp;network=jsonfiles&amp;repository=test</v>
      </c>
      <c r="U892" s="1" t="str">
        <f t="shared" si="27"/>
        <v>{"name":"In Casa #729",_x000D_
"symbol":"COR22D729",_x000D_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2" s="1" t="str">
        <f>formatRow(Tokens!C$2:I$2,Tokens!C892:I892)</f>
        <v>"name":"In Casa #729",_x000D_
"symbol":"COR22D729",_x000D_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2" s="1" t="str">
        <f>formatRow(Tokens!J$2:AV$2,Tokens!J892:AV892,2,"attributes")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2" s="1" t="str">
        <f>formatRow(Tokens!AX$2:BC$2,Tokens!AX892:BC892,2,"creators")</f>
        <v>"creators":[{"address":"paul",_x000D_
"share":10},{"address":"sophie",_x000D_
"share":90}]</v>
      </c>
      <c r="Y892" s="1" t="str">
        <f>formatRow(Tokens!BD$2:BI$2,Tokens!BD892:BI892,2,"files")</f>
        <v>"files":[]</v>
      </c>
      <c r="Z892" s="1"/>
      <c r="AA892" s="1"/>
      <c r="AB892" s="1"/>
      <c r="AC892" s="1" t="str">
        <f>formatRow(Tokens!BJ$2:BK$2,Tokens!BJ892:BK892,0,"collection")</f>
        <v>"collection":{"name":"In Casa",_x000D_
"family":"Calvi On The Rocks"}</v>
      </c>
    </row>
    <row r="893" spans="5:29" ht="14.25" customHeight="1" x14ac:dyDescent="0.25">
      <c r="E893" s="17" t="str">
        <f>IF(Tokens!C893="","",Tokens!C893)</f>
        <v>In Casa #730</v>
      </c>
      <c r="F893"/>
      <c r="G893"/>
      <c r="H893"/>
      <c r="I893"/>
      <c r="J893"/>
      <c r="M893"/>
      <c r="N893"/>
      <c r="O893" s="15" t="str">
        <f t="shared" si="26"/>
        <v>_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1" t="str">
        <f>"owner=" &amp; Tokens!BS893 &amp; "&amp;filename_for_metadata=" &amp; Tokens!BT893 &amp; "&amp;offchaindata_platform=" &amp; $B$17 &amp; "&amp;keyfile=" &amp; $B$5 &amp; "&amp;network=" &amp; LOWER($B$8) &amp; "&amp;repository=" &amp; $B$18</f>
        <v>owner=thomas&amp;filename_for_metadata=InCasa_COR22D730&amp;offchaindata_platform=MongoDB&amp;keyfile=Paul&amp;network=jsonfiles&amp;repository=test</v>
      </c>
      <c r="U893" s="1" t="str">
        <f t="shared" si="27"/>
        <v>{"name":"In Casa #730",_x000D_
"symbol":"COR22D730",_x000D_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3" s="1" t="str">
        <f>formatRow(Tokens!C$2:I$2,Tokens!C893:I893)</f>
        <v>"name":"In Casa #730",_x000D_
"symbol":"COR22D730",_x000D_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3" s="1" t="str">
        <f>formatRow(Tokens!J$2:AV$2,Tokens!J893:AV893,2,"attributes")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3" s="1" t="str">
        <f>formatRow(Tokens!AX$2:BC$2,Tokens!AX893:BC893,2,"creators")</f>
        <v>"creators":[{"address":"paul",_x000D_
"share":10},{"address":"sophie",_x000D_
"share":90}]</v>
      </c>
      <c r="Y893" s="1" t="str">
        <f>formatRow(Tokens!BD$2:BI$2,Tokens!BD893:BI893,2,"files")</f>
        <v>"files":[]</v>
      </c>
      <c r="Z893" s="1"/>
      <c r="AA893" s="1"/>
      <c r="AB893" s="1"/>
      <c r="AC893" s="1" t="str">
        <f>formatRow(Tokens!BJ$2:BK$2,Tokens!BJ893:BK893,0,"collection")</f>
        <v>"collection":{"name":"In Casa",_x000D_
"family":"Calvi On The Rocks"}</v>
      </c>
    </row>
    <row r="894" spans="5:29" ht="14.25" customHeight="1" x14ac:dyDescent="0.25">
      <c r="E894" s="17" t="str">
        <f>IF(Tokens!C894="","",Tokens!C894)</f>
        <v>In Casa #731</v>
      </c>
      <c r="F894"/>
      <c r="G894"/>
      <c r="H894"/>
      <c r="I894"/>
      <c r="J894"/>
      <c r="M894"/>
      <c r="N894"/>
      <c r="O894" s="15" t="str">
        <f t="shared" si="26"/>
        <v>_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1" t="str">
        <f>"owner=" &amp; Tokens!BS894 &amp; "&amp;filename_for_metadata=" &amp; Tokens!BT894 &amp; "&amp;offchaindata_platform=" &amp; $B$17 &amp; "&amp;keyfile=" &amp; $B$5 &amp; "&amp;network=" &amp; LOWER($B$8) &amp; "&amp;repository=" &amp; $B$18</f>
        <v>owner=thomas&amp;filename_for_metadata=InCasa_COR22D731&amp;offchaindata_platform=MongoDB&amp;keyfile=Paul&amp;network=jsonfiles&amp;repository=test</v>
      </c>
      <c r="U894" s="1" t="str">
        <f t="shared" si="27"/>
        <v>{"name":"In Casa #731",_x000D_
"symbol":"COR22D731",_x000D_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4" s="1" t="str">
        <f>formatRow(Tokens!C$2:I$2,Tokens!C894:I894)</f>
        <v>"name":"In Casa #731",_x000D_
"symbol":"COR22D731",_x000D_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4" s="1" t="str">
        <f>formatRow(Tokens!J$2:AV$2,Tokens!J894:AV894,2,"attributes")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4" s="1" t="str">
        <f>formatRow(Tokens!AX$2:BC$2,Tokens!AX894:BC894,2,"creators")</f>
        <v>"creators":[{"address":"paul",_x000D_
"share":10},{"address":"sophie",_x000D_
"share":90}]</v>
      </c>
      <c r="Y894" s="1" t="str">
        <f>formatRow(Tokens!BD$2:BI$2,Tokens!BD894:BI894,2,"files")</f>
        <v>"files":[]</v>
      </c>
      <c r="Z894" s="1"/>
      <c r="AA894" s="1"/>
      <c r="AB894" s="1"/>
      <c r="AC894" s="1" t="str">
        <f>formatRow(Tokens!BJ$2:BK$2,Tokens!BJ894:BK894,0,"collection")</f>
        <v>"collection":{"name":"In Casa",_x000D_
"family":"Calvi On The Rocks"}</v>
      </c>
    </row>
    <row r="895" spans="5:29" ht="14.25" customHeight="1" x14ac:dyDescent="0.25">
      <c r="E895" s="17" t="str">
        <f>IF(Tokens!C895="","",Tokens!C895)</f>
        <v>In Casa #732</v>
      </c>
      <c r="F895"/>
      <c r="G895"/>
      <c r="H895"/>
      <c r="I895"/>
      <c r="J895"/>
      <c r="M895"/>
      <c r="N895"/>
      <c r="O895" s="15" t="str">
        <f t="shared" si="26"/>
        <v>_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1" t="str">
        <f>"owner=" &amp; Tokens!BS895 &amp; "&amp;filename_for_metadata=" &amp; Tokens!BT895 &amp; "&amp;offchaindata_platform=" &amp; $B$17 &amp; "&amp;keyfile=" &amp; $B$5 &amp; "&amp;network=" &amp; LOWER($B$8) &amp; "&amp;repository=" &amp; $B$18</f>
        <v>owner=thomas&amp;filename_for_metadata=InCasa_COR22D732&amp;offchaindata_platform=MongoDB&amp;keyfile=Paul&amp;network=jsonfiles&amp;repository=test</v>
      </c>
      <c r="U895" s="1" t="str">
        <f t="shared" si="27"/>
        <v>{"name":"In Casa #732",_x000D_
"symbol":"COR22D732",_x000D_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5" s="1" t="str">
        <f>formatRow(Tokens!C$2:I$2,Tokens!C895:I895)</f>
        <v>"name":"In Casa #732",_x000D_
"symbol":"COR22D732",_x000D_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5" s="1" t="str">
        <f>formatRow(Tokens!J$2:AV$2,Tokens!J895:AV895,2,"attributes")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5" s="1" t="str">
        <f>formatRow(Tokens!AX$2:BC$2,Tokens!AX895:BC895,2,"creators")</f>
        <v>"creators":[{"address":"paul",_x000D_
"share":10},{"address":"sophie",_x000D_
"share":90}]</v>
      </c>
      <c r="Y895" s="1" t="str">
        <f>formatRow(Tokens!BD$2:BI$2,Tokens!BD895:BI895,2,"files")</f>
        <v>"files":[]</v>
      </c>
      <c r="Z895" s="1"/>
      <c r="AA895" s="1"/>
      <c r="AB895" s="1"/>
      <c r="AC895" s="1" t="str">
        <f>formatRow(Tokens!BJ$2:BK$2,Tokens!BJ895:BK895,0,"collection")</f>
        <v>"collection":{"name":"In Casa",_x000D_
"family":"Calvi On The Rocks"}</v>
      </c>
    </row>
    <row r="896" spans="5:29" ht="14.25" customHeight="1" x14ac:dyDescent="0.25">
      <c r="E896" s="17" t="str">
        <f>IF(Tokens!C896="","",Tokens!C896)</f>
        <v>In Casa #733</v>
      </c>
      <c r="F896"/>
      <c r="G896"/>
      <c r="H896"/>
      <c r="I896"/>
      <c r="J896"/>
      <c r="M896"/>
      <c r="N896"/>
      <c r="O896" s="15" t="str">
        <f t="shared" si="26"/>
        <v>_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1" t="str">
        <f>"owner=" &amp; Tokens!BS896 &amp; "&amp;filename_for_metadata=" &amp; Tokens!BT896 &amp; "&amp;offchaindata_platform=" &amp; $B$17 &amp; "&amp;keyfile=" &amp; $B$5 &amp; "&amp;network=" &amp; LOWER($B$8) &amp; "&amp;repository=" &amp; $B$18</f>
        <v>owner=thomas&amp;filename_for_metadata=InCasa_COR22D733&amp;offchaindata_platform=MongoDB&amp;keyfile=Paul&amp;network=jsonfiles&amp;repository=test</v>
      </c>
      <c r="U896" s="1" t="str">
        <f t="shared" si="27"/>
        <v>{"name":"In Casa #733",_x000D_
"symbol":"COR22D733",_x000D_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6" s="1" t="str">
        <f>formatRow(Tokens!C$2:I$2,Tokens!C896:I896)</f>
        <v>"name":"In Casa #733",_x000D_
"symbol":"COR22D733",_x000D_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6" s="1" t="str">
        <f>formatRow(Tokens!J$2:AV$2,Tokens!J896:AV896,2,"attributes")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6" s="1" t="str">
        <f>formatRow(Tokens!AX$2:BC$2,Tokens!AX896:BC896,2,"creators")</f>
        <v>"creators":[{"address":"paul",_x000D_
"share":10},{"address":"sophie",_x000D_
"share":90}]</v>
      </c>
      <c r="Y896" s="1" t="str">
        <f>formatRow(Tokens!BD$2:BI$2,Tokens!BD896:BI896,2,"files")</f>
        <v>"files":[]</v>
      </c>
      <c r="Z896" s="1"/>
      <c r="AA896" s="1"/>
      <c r="AB896" s="1"/>
      <c r="AC896" s="1" t="str">
        <f>formatRow(Tokens!BJ$2:BK$2,Tokens!BJ896:BK896,0,"collection")</f>
        <v>"collection":{"name":"In Casa",_x000D_
"family":"Calvi On The Rocks"}</v>
      </c>
    </row>
    <row r="897" spans="5:29" ht="14.25" customHeight="1" x14ac:dyDescent="0.25">
      <c r="E897" s="17" t="str">
        <f>IF(Tokens!C897="","",Tokens!C897)</f>
        <v>In Casa #734</v>
      </c>
      <c r="F897"/>
      <c r="G897"/>
      <c r="H897"/>
      <c r="I897"/>
      <c r="J897"/>
      <c r="M897"/>
      <c r="N897"/>
      <c r="O897" s="15" t="str">
        <f t="shared" si="26"/>
        <v>_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1" t="str">
        <f>"owner=" &amp; Tokens!BS897 &amp; "&amp;filename_for_metadata=" &amp; Tokens!BT897 &amp; "&amp;offchaindata_platform=" &amp; $B$17 &amp; "&amp;keyfile=" &amp; $B$5 &amp; "&amp;network=" &amp; LOWER($B$8) &amp; "&amp;repository=" &amp; $B$18</f>
        <v>owner=thomas&amp;filename_for_metadata=InCasa_COR22D734&amp;offchaindata_platform=MongoDB&amp;keyfile=Paul&amp;network=jsonfiles&amp;repository=test</v>
      </c>
      <c r="U897" s="1" t="str">
        <f t="shared" si="27"/>
        <v>{"name":"In Casa #734",_x000D_
"symbol":"COR22D734",_x000D_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7" s="1" t="str">
        <f>formatRow(Tokens!C$2:I$2,Tokens!C897:I897)</f>
        <v>"name":"In Casa #734",_x000D_
"symbol":"COR22D734",_x000D_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7" s="1" t="str">
        <f>formatRow(Tokens!J$2:AV$2,Tokens!J897:AV897,2,"attributes")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7" s="1" t="str">
        <f>formatRow(Tokens!AX$2:BC$2,Tokens!AX897:BC897,2,"creators")</f>
        <v>"creators":[{"address":"paul",_x000D_
"share":10},{"address":"sophie",_x000D_
"share":90}]</v>
      </c>
      <c r="Y897" s="1" t="str">
        <f>formatRow(Tokens!BD$2:BI$2,Tokens!BD897:BI897,2,"files")</f>
        <v>"files":[]</v>
      </c>
      <c r="Z897" s="1"/>
      <c r="AA897" s="1"/>
      <c r="AB897" s="1"/>
      <c r="AC897" s="1" t="str">
        <f>formatRow(Tokens!BJ$2:BK$2,Tokens!BJ897:BK897,0,"collection")</f>
        <v>"collection":{"name":"In Casa",_x000D_
"family":"Calvi On The Rocks"}</v>
      </c>
    </row>
    <row r="898" spans="5:29" ht="14.25" customHeight="1" x14ac:dyDescent="0.25">
      <c r="E898" s="17" t="str">
        <f>IF(Tokens!C898="","",Tokens!C898)</f>
        <v>In Casa #735</v>
      </c>
      <c r="F898"/>
      <c r="G898"/>
      <c r="H898"/>
      <c r="I898"/>
      <c r="J898"/>
      <c r="M898"/>
      <c r="N898"/>
      <c r="O898" s="15" t="str">
        <f t="shared" si="26"/>
        <v>_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1" t="str">
        <f>"owner=" &amp; Tokens!BS898 &amp; "&amp;filename_for_metadata=" &amp; Tokens!BT898 &amp; "&amp;offchaindata_platform=" &amp; $B$17 &amp; "&amp;keyfile=" &amp; $B$5 &amp; "&amp;network=" &amp; LOWER($B$8) &amp; "&amp;repository=" &amp; $B$18</f>
        <v>owner=thomas&amp;filename_for_metadata=InCasa_COR22D735&amp;offchaindata_platform=MongoDB&amp;keyfile=Paul&amp;network=jsonfiles&amp;repository=test</v>
      </c>
      <c r="U898" s="1" t="str">
        <f t="shared" si="27"/>
        <v>{"name":"In Casa #735",_x000D_
"symbol":"COR22D735",_x000D_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8" s="1" t="str">
        <f>formatRow(Tokens!C$2:I$2,Tokens!C898:I898)</f>
        <v>"name":"In Casa #735",_x000D_
"symbol":"COR22D735",_x000D_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8" s="1" t="str">
        <f>formatRow(Tokens!J$2:AV$2,Tokens!J898:AV898,2,"attributes")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8" s="1" t="str">
        <f>formatRow(Tokens!AX$2:BC$2,Tokens!AX898:BC898,2,"creators")</f>
        <v>"creators":[{"address":"paul",_x000D_
"share":10},{"address":"sophie",_x000D_
"share":90}]</v>
      </c>
      <c r="Y898" s="1" t="str">
        <f>formatRow(Tokens!BD$2:BI$2,Tokens!BD898:BI898,2,"files")</f>
        <v>"files":[]</v>
      </c>
      <c r="Z898" s="1"/>
      <c r="AA898" s="1"/>
      <c r="AB898" s="1"/>
      <c r="AC898" s="1" t="str">
        <f>formatRow(Tokens!BJ$2:BK$2,Tokens!BJ898:BK898,0,"collection")</f>
        <v>"collection":{"name":"In Casa",_x000D_
"family":"Calvi On The Rocks"}</v>
      </c>
    </row>
    <row r="899" spans="5:29" ht="14.25" customHeight="1" x14ac:dyDescent="0.25">
      <c r="E899" s="17" t="str">
        <f>IF(Tokens!C899="","",Tokens!C899)</f>
        <v>In Casa #736</v>
      </c>
      <c r="F899"/>
      <c r="G899"/>
      <c r="H899"/>
      <c r="I899"/>
      <c r="J899"/>
      <c r="M899"/>
      <c r="N899"/>
      <c r="O899" s="15" t="str">
        <f t="shared" si="26"/>
        <v>_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1" t="str">
        <f>"owner=" &amp; Tokens!BS899 &amp; "&amp;filename_for_metadata=" &amp; Tokens!BT899 &amp; "&amp;offchaindata_platform=" &amp; $B$17 &amp; "&amp;keyfile=" &amp; $B$5 &amp; "&amp;network=" &amp; LOWER($B$8) &amp; "&amp;repository=" &amp; $B$18</f>
        <v>owner=thomas&amp;filename_for_metadata=InCasa_COR22D736&amp;offchaindata_platform=MongoDB&amp;keyfile=Paul&amp;network=jsonfiles&amp;repository=test</v>
      </c>
      <c r="U899" s="1" t="str">
        <f t="shared" si="27"/>
        <v>{"name":"In Casa #736",_x000D_
"symbol":"COR22D736",_x000D_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899" s="1" t="str">
        <f>formatRow(Tokens!C$2:I$2,Tokens!C899:I899)</f>
        <v>"name":"In Casa #736",_x000D_
"symbol":"COR22D736",_x000D_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899" s="1" t="str">
        <f>formatRow(Tokens!J$2:AV$2,Tokens!J899:AV899,2,"attributes")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899" s="1" t="str">
        <f>formatRow(Tokens!AX$2:BC$2,Tokens!AX899:BC899,2,"creators")</f>
        <v>"creators":[{"address":"paul",_x000D_
"share":10},{"address":"sophie",_x000D_
"share":90}]</v>
      </c>
      <c r="Y899" s="1" t="str">
        <f>formatRow(Tokens!BD$2:BI$2,Tokens!BD899:BI899,2,"files")</f>
        <v>"files":[]</v>
      </c>
      <c r="Z899" s="1"/>
      <c r="AA899" s="1"/>
      <c r="AB899" s="1"/>
      <c r="AC899" s="1" t="str">
        <f>formatRow(Tokens!BJ$2:BK$2,Tokens!BJ899:BK899,0,"collection")</f>
        <v>"collection":{"name":"In Casa",_x000D_
"family":"Calvi On The Rocks"}</v>
      </c>
    </row>
    <row r="900" spans="5:29" ht="14.25" customHeight="1" x14ac:dyDescent="0.25">
      <c r="E900" s="17" t="str">
        <f>IF(Tokens!C900="","",Tokens!C900)</f>
        <v>In Casa #737</v>
      </c>
      <c r="F900"/>
      <c r="G900"/>
      <c r="H900"/>
      <c r="I900"/>
      <c r="J900"/>
      <c r="M900"/>
      <c r="N900"/>
      <c r="O900" s="15" t="str">
        <f t="shared" ref="O900:O963" si="28">IF(AND(ISNUMBER(N899),ISNUMBER(N900)),(N900-N899)*$O$1,"_")</f>
        <v>_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1" t="str">
        <f>"owner=" &amp; Tokens!BS900 &amp; "&amp;filename_for_metadata=" &amp; Tokens!BT900 &amp; "&amp;offchaindata_platform=" &amp; $B$17 &amp; "&amp;keyfile=" &amp; $B$5 &amp; "&amp;network=" &amp; LOWER($B$8) &amp; "&amp;repository=" &amp; $B$18</f>
        <v>owner=thomas&amp;filename_for_metadata=InCasa_COR22D737&amp;offchaindata_platform=MongoDB&amp;keyfile=Paul&amp;network=jsonfiles&amp;repository=test</v>
      </c>
      <c r="U900" s="1" t="str">
        <f t="shared" si="27"/>
        <v>{"name":"In Casa #737",_x000D_
"symbol":"COR22D737",_x000D_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0" s="1" t="str">
        <f>formatRow(Tokens!C$2:I$2,Tokens!C900:I900)</f>
        <v>"name":"In Casa #737",_x000D_
"symbol":"COR22D737",_x000D_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0" s="1" t="str">
        <f>formatRow(Tokens!J$2:AV$2,Tokens!J900:AV900,2,"attributes")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0" s="1" t="str">
        <f>formatRow(Tokens!AX$2:BC$2,Tokens!AX900:BC900,2,"creators")</f>
        <v>"creators":[{"address":"paul",_x000D_
"share":10},{"address":"sophie",_x000D_
"share":90}]</v>
      </c>
      <c r="Y900" s="1" t="str">
        <f>formatRow(Tokens!BD$2:BI$2,Tokens!BD900:BI900,2,"files")</f>
        <v>"files":[]</v>
      </c>
      <c r="Z900" s="1"/>
      <c r="AA900" s="1"/>
      <c r="AB900" s="1"/>
      <c r="AC900" s="1" t="str">
        <f>formatRow(Tokens!BJ$2:BK$2,Tokens!BJ900:BK900,0,"collection")</f>
        <v>"collection":{"name":"In Casa",_x000D_
"family":"Calvi On The Rocks"}</v>
      </c>
    </row>
    <row r="901" spans="5:29" ht="14.25" customHeight="1" x14ac:dyDescent="0.25">
      <c r="E901" s="17" t="str">
        <f>IF(Tokens!C901="","",Tokens!C901)</f>
        <v>In Casa #738</v>
      </c>
      <c r="F901"/>
      <c r="G901"/>
      <c r="H901"/>
      <c r="I901"/>
      <c r="J901"/>
      <c r="M901"/>
      <c r="N901"/>
      <c r="O901" s="15" t="str">
        <f t="shared" si="28"/>
        <v>_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1" t="str">
        <f>"owner=" &amp; Tokens!BS901 &amp; "&amp;filename_for_metadata=" &amp; Tokens!BT901 &amp; "&amp;offchaindata_platform=" &amp; $B$17 &amp; "&amp;keyfile=" &amp; $B$5 &amp; "&amp;network=" &amp; LOWER($B$8) &amp; "&amp;repository=" &amp; $B$18</f>
        <v>owner=thomas&amp;filename_for_metadata=InCasa_COR22D738&amp;offchaindata_platform=MongoDB&amp;keyfile=Paul&amp;network=jsonfiles&amp;repository=test</v>
      </c>
      <c r="U901" s="1" t="str">
        <f t="shared" ref="U901:U964" si="29">"{" &amp; V901 &amp; "," &amp; W901 &amp; "," &amp; """properties"":{" &amp; X901 &amp; "," &amp; Y901 &amp; "}," &amp; AC901 &amp; "}"</f>
        <v>{"name":"In Casa #738",_x000D_
"symbol":"COR22D738",_x000D_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1" s="1" t="str">
        <f>formatRow(Tokens!C$2:I$2,Tokens!C901:I901)</f>
        <v>"name":"In Casa #738",_x000D_
"symbol":"COR22D738",_x000D_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1" s="1" t="str">
        <f>formatRow(Tokens!J$2:AV$2,Tokens!J901:AV901,2,"attributes")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1" s="1" t="str">
        <f>formatRow(Tokens!AX$2:BC$2,Tokens!AX901:BC901,2,"creators")</f>
        <v>"creators":[{"address":"paul",_x000D_
"share":10},{"address":"sophie",_x000D_
"share":90}]</v>
      </c>
      <c r="Y901" s="1" t="str">
        <f>formatRow(Tokens!BD$2:BI$2,Tokens!BD901:BI901,2,"files")</f>
        <v>"files":[]</v>
      </c>
      <c r="Z901" s="1"/>
      <c r="AA901" s="1"/>
      <c r="AB901" s="1"/>
      <c r="AC901" s="1" t="str">
        <f>formatRow(Tokens!BJ$2:BK$2,Tokens!BJ901:BK901,0,"collection")</f>
        <v>"collection":{"name":"In Casa",_x000D_
"family":"Calvi On The Rocks"}</v>
      </c>
    </row>
    <row r="902" spans="5:29" ht="14.25" customHeight="1" x14ac:dyDescent="0.25">
      <c r="E902" s="17" t="str">
        <f>IF(Tokens!C902="","",Tokens!C902)</f>
        <v>In Casa #739</v>
      </c>
      <c r="F902"/>
      <c r="G902"/>
      <c r="H902"/>
      <c r="I902"/>
      <c r="J902"/>
      <c r="M902"/>
      <c r="N902"/>
      <c r="O902" s="15" t="str">
        <f t="shared" si="28"/>
        <v>_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1" t="str">
        <f>"owner=" &amp; Tokens!BS902 &amp; "&amp;filename_for_metadata=" &amp; Tokens!BT902 &amp; "&amp;offchaindata_platform=" &amp; $B$17 &amp; "&amp;keyfile=" &amp; $B$5 &amp; "&amp;network=" &amp; LOWER($B$8) &amp; "&amp;repository=" &amp; $B$18</f>
        <v>owner=thomas&amp;filename_for_metadata=InCasa_COR22D739&amp;offchaindata_platform=MongoDB&amp;keyfile=Paul&amp;network=jsonfiles&amp;repository=test</v>
      </c>
      <c r="U902" s="1" t="str">
        <f t="shared" si="29"/>
        <v>{"name":"In Casa #739",_x000D_
"symbol":"COR22D739",_x000D_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2" s="1" t="str">
        <f>formatRow(Tokens!C$2:I$2,Tokens!C902:I902)</f>
        <v>"name":"In Casa #739",_x000D_
"symbol":"COR22D739",_x000D_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2" s="1" t="str">
        <f>formatRow(Tokens!J$2:AV$2,Tokens!J902:AV902,2,"attributes")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2" s="1" t="str">
        <f>formatRow(Tokens!AX$2:BC$2,Tokens!AX902:BC902,2,"creators")</f>
        <v>"creators":[{"address":"paul",_x000D_
"share":10},{"address":"sophie",_x000D_
"share":90}]</v>
      </c>
      <c r="Y902" s="1" t="str">
        <f>formatRow(Tokens!BD$2:BI$2,Tokens!BD902:BI902,2,"files")</f>
        <v>"files":[]</v>
      </c>
      <c r="Z902" s="1"/>
      <c r="AA902" s="1"/>
      <c r="AB902" s="1"/>
      <c r="AC902" s="1" t="str">
        <f>formatRow(Tokens!BJ$2:BK$2,Tokens!BJ902:BK902,0,"collection")</f>
        <v>"collection":{"name":"In Casa",_x000D_
"family":"Calvi On The Rocks"}</v>
      </c>
    </row>
    <row r="903" spans="5:29" ht="14.25" customHeight="1" x14ac:dyDescent="0.25">
      <c r="E903" s="17" t="str">
        <f>IF(Tokens!C903="","",Tokens!C903)</f>
        <v>In Casa #740</v>
      </c>
      <c r="F903"/>
      <c r="G903"/>
      <c r="H903"/>
      <c r="I903"/>
      <c r="J903"/>
      <c r="M903"/>
      <c r="N903"/>
      <c r="O903" s="15" t="str">
        <f t="shared" si="28"/>
        <v>_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1" t="str">
        <f>"owner=" &amp; Tokens!BS903 &amp; "&amp;filename_for_metadata=" &amp; Tokens!BT903 &amp; "&amp;offchaindata_platform=" &amp; $B$17 &amp; "&amp;keyfile=" &amp; $B$5 &amp; "&amp;network=" &amp; LOWER($B$8) &amp; "&amp;repository=" &amp; $B$18</f>
        <v>owner=thomas&amp;filename_for_metadata=InCasa_COR22D740&amp;offchaindata_platform=MongoDB&amp;keyfile=Paul&amp;network=jsonfiles&amp;repository=test</v>
      </c>
      <c r="U903" s="1" t="str">
        <f t="shared" si="29"/>
        <v>{"name":"In Casa #740",_x000D_
"symbol":"COR22D740",_x000D_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3" s="1" t="str">
        <f>formatRow(Tokens!C$2:I$2,Tokens!C903:I903)</f>
        <v>"name":"In Casa #740",_x000D_
"symbol":"COR22D740",_x000D_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3" s="1" t="str">
        <f>formatRow(Tokens!J$2:AV$2,Tokens!J903:AV903,2,"attributes")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3" s="1" t="str">
        <f>formatRow(Tokens!AX$2:BC$2,Tokens!AX903:BC903,2,"creators")</f>
        <v>"creators":[{"address":"paul",_x000D_
"share":10},{"address":"sophie",_x000D_
"share":90}]</v>
      </c>
      <c r="Y903" s="1" t="str">
        <f>formatRow(Tokens!BD$2:BI$2,Tokens!BD903:BI903,2,"files")</f>
        <v>"files":[]</v>
      </c>
      <c r="Z903" s="1"/>
      <c r="AA903" s="1"/>
      <c r="AB903" s="1"/>
      <c r="AC903" s="1" t="str">
        <f>formatRow(Tokens!BJ$2:BK$2,Tokens!BJ903:BK903,0,"collection")</f>
        <v>"collection":{"name":"In Casa",_x000D_
"family":"Calvi On The Rocks"}</v>
      </c>
    </row>
    <row r="904" spans="5:29" ht="14.25" customHeight="1" x14ac:dyDescent="0.25">
      <c r="E904" s="17" t="str">
        <f>IF(Tokens!C904="","",Tokens!C904)</f>
        <v>In Casa #741</v>
      </c>
      <c r="F904"/>
      <c r="G904"/>
      <c r="H904"/>
      <c r="I904"/>
      <c r="J904"/>
      <c r="M904"/>
      <c r="N904"/>
      <c r="O904" s="15" t="str">
        <f t="shared" si="28"/>
        <v>_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1" t="str">
        <f>"owner=" &amp; Tokens!BS904 &amp; "&amp;filename_for_metadata=" &amp; Tokens!BT904 &amp; "&amp;offchaindata_platform=" &amp; $B$17 &amp; "&amp;keyfile=" &amp; $B$5 &amp; "&amp;network=" &amp; LOWER($B$8) &amp; "&amp;repository=" &amp; $B$18</f>
        <v>owner=thomas&amp;filename_for_metadata=InCasa_COR22D741&amp;offchaindata_platform=MongoDB&amp;keyfile=Paul&amp;network=jsonfiles&amp;repository=test</v>
      </c>
      <c r="U904" s="1" t="str">
        <f t="shared" si="29"/>
        <v>{"name":"In Casa #741",_x000D_
"symbol":"COR22D741",_x000D_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4" s="1" t="str">
        <f>formatRow(Tokens!C$2:I$2,Tokens!C904:I904)</f>
        <v>"name":"In Casa #741",_x000D_
"symbol":"COR22D741",_x000D_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4" s="1" t="str">
        <f>formatRow(Tokens!J$2:AV$2,Tokens!J904:AV904,2,"attributes")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4" s="1" t="str">
        <f>formatRow(Tokens!AX$2:BC$2,Tokens!AX904:BC904,2,"creators")</f>
        <v>"creators":[{"address":"paul",_x000D_
"share":10},{"address":"sophie",_x000D_
"share":90}]</v>
      </c>
      <c r="Y904" s="1" t="str">
        <f>formatRow(Tokens!BD$2:BI$2,Tokens!BD904:BI904,2,"files")</f>
        <v>"files":[]</v>
      </c>
      <c r="Z904" s="1"/>
      <c r="AA904" s="1"/>
      <c r="AB904" s="1"/>
      <c r="AC904" s="1" t="str">
        <f>formatRow(Tokens!BJ$2:BK$2,Tokens!BJ904:BK904,0,"collection")</f>
        <v>"collection":{"name":"In Casa",_x000D_
"family":"Calvi On The Rocks"}</v>
      </c>
    </row>
    <row r="905" spans="5:29" ht="14.25" customHeight="1" x14ac:dyDescent="0.25">
      <c r="E905" s="17" t="str">
        <f>IF(Tokens!C905="","",Tokens!C905)</f>
        <v>In Casa #742</v>
      </c>
      <c r="F905"/>
      <c r="G905"/>
      <c r="H905"/>
      <c r="I905"/>
      <c r="J905"/>
      <c r="M905"/>
      <c r="N905"/>
      <c r="O905" s="15" t="str">
        <f t="shared" si="28"/>
        <v>_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1" t="str">
        <f>"owner=" &amp; Tokens!BS905 &amp; "&amp;filename_for_metadata=" &amp; Tokens!BT905 &amp; "&amp;offchaindata_platform=" &amp; $B$17 &amp; "&amp;keyfile=" &amp; $B$5 &amp; "&amp;network=" &amp; LOWER($B$8) &amp; "&amp;repository=" &amp; $B$18</f>
        <v>owner=thomas&amp;filename_for_metadata=InCasa_COR22D742&amp;offchaindata_platform=MongoDB&amp;keyfile=Paul&amp;network=jsonfiles&amp;repository=test</v>
      </c>
      <c r="U905" s="1" t="str">
        <f t="shared" si="29"/>
        <v>{"name":"In Casa #742",_x000D_
"symbol":"COR22D742",_x000D_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5" s="1" t="str">
        <f>formatRow(Tokens!C$2:I$2,Tokens!C905:I905)</f>
        <v>"name":"In Casa #742",_x000D_
"symbol":"COR22D742",_x000D_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5" s="1" t="str">
        <f>formatRow(Tokens!J$2:AV$2,Tokens!J905:AV905,2,"attributes")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5" s="1" t="str">
        <f>formatRow(Tokens!AX$2:BC$2,Tokens!AX905:BC905,2,"creators")</f>
        <v>"creators":[{"address":"paul",_x000D_
"share":10},{"address":"sophie",_x000D_
"share":90}]</v>
      </c>
      <c r="Y905" s="1" t="str">
        <f>formatRow(Tokens!BD$2:BI$2,Tokens!BD905:BI905,2,"files")</f>
        <v>"files":[]</v>
      </c>
      <c r="Z905" s="1"/>
      <c r="AA905" s="1"/>
      <c r="AB905" s="1"/>
      <c r="AC905" s="1" t="str">
        <f>formatRow(Tokens!BJ$2:BK$2,Tokens!BJ905:BK905,0,"collection")</f>
        <v>"collection":{"name":"In Casa",_x000D_
"family":"Calvi On The Rocks"}</v>
      </c>
    </row>
    <row r="906" spans="5:29" ht="14.25" customHeight="1" x14ac:dyDescent="0.25">
      <c r="E906" s="17" t="str">
        <f>IF(Tokens!C906="","",Tokens!C906)</f>
        <v>In Casa #743</v>
      </c>
      <c r="F906"/>
      <c r="G906"/>
      <c r="H906"/>
      <c r="I906"/>
      <c r="J906"/>
      <c r="M906"/>
      <c r="N906"/>
      <c r="O906" s="15" t="str">
        <f t="shared" si="28"/>
        <v>_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1" t="str">
        <f>"owner=" &amp; Tokens!BS906 &amp; "&amp;filename_for_metadata=" &amp; Tokens!BT906 &amp; "&amp;offchaindata_platform=" &amp; $B$17 &amp; "&amp;keyfile=" &amp; $B$5 &amp; "&amp;network=" &amp; LOWER($B$8) &amp; "&amp;repository=" &amp; $B$18</f>
        <v>owner=thomas&amp;filename_for_metadata=InCasa_COR22D743&amp;offchaindata_platform=MongoDB&amp;keyfile=Paul&amp;network=jsonfiles&amp;repository=test</v>
      </c>
      <c r="U906" s="1" t="str">
        <f t="shared" si="29"/>
        <v>{"name":"In Casa #743",_x000D_
"symbol":"COR22D743",_x000D_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6" s="1" t="str">
        <f>formatRow(Tokens!C$2:I$2,Tokens!C906:I906)</f>
        <v>"name":"In Casa #743",_x000D_
"symbol":"COR22D743",_x000D_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6" s="1" t="str">
        <f>formatRow(Tokens!J$2:AV$2,Tokens!J906:AV906,2,"attributes")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6" s="1" t="str">
        <f>formatRow(Tokens!AX$2:BC$2,Tokens!AX906:BC906,2,"creators")</f>
        <v>"creators":[{"address":"paul",_x000D_
"share":10},{"address":"sophie",_x000D_
"share":90}]</v>
      </c>
      <c r="Y906" s="1" t="str">
        <f>formatRow(Tokens!BD$2:BI$2,Tokens!BD906:BI906,2,"files")</f>
        <v>"files":[]</v>
      </c>
      <c r="Z906" s="1"/>
      <c r="AA906" s="1"/>
      <c r="AB906" s="1"/>
      <c r="AC906" s="1" t="str">
        <f>formatRow(Tokens!BJ$2:BK$2,Tokens!BJ906:BK906,0,"collection")</f>
        <v>"collection":{"name":"In Casa",_x000D_
"family":"Calvi On The Rocks"}</v>
      </c>
    </row>
    <row r="907" spans="5:29" ht="14.25" customHeight="1" x14ac:dyDescent="0.25">
      <c r="E907" s="17" t="str">
        <f>IF(Tokens!C907="","",Tokens!C907)</f>
        <v>In Casa #744</v>
      </c>
      <c r="F907"/>
      <c r="G907"/>
      <c r="H907"/>
      <c r="I907"/>
      <c r="J907"/>
      <c r="M907"/>
      <c r="N907"/>
      <c r="O907" s="15" t="str">
        <f t="shared" si="28"/>
        <v>_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1" t="str">
        <f>"owner=" &amp; Tokens!BS907 &amp; "&amp;filename_for_metadata=" &amp; Tokens!BT907 &amp; "&amp;offchaindata_platform=" &amp; $B$17 &amp; "&amp;keyfile=" &amp; $B$5 &amp; "&amp;network=" &amp; LOWER($B$8) &amp; "&amp;repository=" &amp; $B$18</f>
        <v>owner=thomas&amp;filename_for_metadata=InCasa_COR22D744&amp;offchaindata_platform=MongoDB&amp;keyfile=Paul&amp;network=jsonfiles&amp;repository=test</v>
      </c>
      <c r="U907" s="1" t="str">
        <f t="shared" si="29"/>
        <v>{"name":"In Casa #744",_x000D_
"symbol":"COR22D744",_x000D_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7" s="1" t="str">
        <f>formatRow(Tokens!C$2:I$2,Tokens!C907:I907)</f>
        <v>"name":"In Casa #744",_x000D_
"symbol":"COR22D744",_x000D_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7" s="1" t="str">
        <f>formatRow(Tokens!J$2:AV$2,Tokens!J907:AV907,2,"attributes")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7" s="1" t="str">
        <f>formatRow(Tokens!AX$2:BC$2,Tokens!AX907:BC907,2,"creators")</f>
        <v>"creators":[{"address":"paul",_x000D_
"share":10},{"address":"sophie",_x000D_
"share":90}]</v>
      </c>
      <c r="Y907" s="1" t="str">
        <f>formatRow(Tokens!BD$2:BI$2,Tokens!BD907:BI907,2,"files")</f>
        <v>"files":[]</v>
      </c>
      <c r="Z907" s="1"/>
      <c r="AA907" s="1"/>
      <c r="AB907" s="1"/>
      <c r="AC907" s="1" t="str">
        <f>formatRow(Tokens!BJ$2:BK$2,Tokens!BJ907:BK907,0,"collection")</f>
        <v>"collection":{"name":"In Casa",_x000D_
"family":"Calvi On The Rocks"}</v>
      </c>
    </row>
    <row r="908" spans="5:29" ht="14.25" customHeight="1" x14ac:dyDescent="0.25">
      <c r="E908" s="17" t="str">
        <f>IF(Tokens!C908="","",Tokens!C908)</f>
        <v>In Casa #745</v>
      </c>
      <c r="F908"/>
      <c r="G908"/>
      <c r="H908"/>
      <c r="I908"/>
      <c r="J908"/>
      <c r="M908"/>
      <c r="N908"/>
      <c r="O908" s="15" t="str">
        <f t="shared" si="28"/>
        <v>_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1" t="str">
        <f>"owner=" &amp; Tokens!BS908 &amp; "&amp;filename_for_metadata=" &amp; Tokens!BT908 &amp; "&amp;offchaindata_platform=" &amp; $B$17 &amp; "&amp;keyfile=" &amp; $B$5 &amp; "&amp;network=" &amp; LOWER($B$8) &amp; "&amp;repository=" &amp; $B$18</f>
        <v>owner=thomas&amp;filename_for_metadata=InCasa_COR22D745&amp;offchaindata_platform=MongoDB&amp;keyfile=Paul&amp;network=jsonfiles&amp;repository=test</v>
      </c>
      <c r="U908" s="1" t="str">
        <f t="shared" si="29"/>
        <v>{"name":"In Casa #745",_x000D_
"symbol":"COR22D745",_x000D_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8" s="1" t="str">
        <f>formatRow(Tokens!C$2:I$2,Tokens!C908:I908)</f>
        <v>"name":"In Casa #745",_x000D_
"symbol":"COR22D745",_x000D_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8" s="1" t="str">
        <f>formatRow(Tokens!J$2:AV$2,Tokens!J908:AV908,2,"attributes")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8" s="1" t="str">
        <f>formatRow(Tokens!AX$2:BC$2,Tokens!AX908:BC908,2,"creators")</f>
        <v>"creators":[{"address":"paul",_x000D_
"share":10},{"address":"sophie",_x000D_
"share":90}]</v>
      </c>
      <c r="Y908" s="1" t="str">
        <f>formatRow(Tokens!BD$2:BI$2,Tokens!BD908:BI908,2,"files")</f>
        <v>"files":[]</v>
      </c>
      <c r="Z908" s="1"/>
      <c r="AA908" s="1"/>
      <c r="AB908" s="1"/>
      <c r="AC908" s="1" t="str">
        <f>formatRow(Tokens!BJ$2:BK$2,Tokens!BJ908:BK908,0,"collection")</f>
        <v>"collection":{"name":"In Casa",_x000D_
"family":"Calvi On The Rocks"}</v>
      </c>
    </row>
    <row r="909" spans="5:29" ht="14.25" customHeight="1" x14ac:dyDescent="0.25">
      <c r="E909" s="17" t="str">
        <f>IF(Tokens!C909="","",Tokens!C909)</f>
        <v>In Casa #746</v>
      </c>
      <c r="F909"/>
      <c r="G909"/>
      <c r="H909"/>
      <c r="I909"/>
      <c r="J909"/>
      <c r="M909"/>
      <c r="N909"/>
      <c r="O909" s="15" t="str">
        <f t="shared" si="28"/>
        <v>_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1" t="str">
        <f>"owner=" &amp; Tokens!BS909 &amp; "&amp;filename_for_metadata=" &amp; Tokens!BT909 &amp; "&amp;offchaindata_platform=" &amp; $B$17 &amp; "&amp;keyfile=" &amp; $B$5 &amp; "&amp;network=" &amp; LOWER($B$8) &amp; "&amp;repository=" &amp; $B$18</f>
        <v>owner=thomas&amp;filename_for_metadata=InCasa_COR22D746&amp;offchaindata_platform=MongoDB&amp;keyfile=Paul&amp;network=jsonfiles&amp;repository=test</v>
      </c>
      <c r="U909" s="1" t="str">
        <f t="shared" si="29"/>
        <v>{"name":"In Casa #746",_x000D_
"symbol":"COR22D746",_x000D_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09" s="1" t="str">
        <f>formatRow(Tokens!C$2:I$2,Tokens!C909:I909)</f>
        <v>"name":"In Casa #746",_x000D_
"symbol":"COR22D746",_x000D_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09" s="1" t="str">
        <f>formatRow(Tokens!J$2:AV$2,Tokens!J909:AV909,2,"attributes")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09" s="1" t="str">
        <f>formatRow(Tokens!AX$2:BC$2,Tokens!AX909:BC909,2,"creators")</f>
        <v>"creators":[{"address":"paul",_x000D_
"share":10},{"address":"sophie",_x000D_
"share":90}]</v>
      </c>
      <c r="Y909" s="1" t="str">
        <f>formatRow(Tokens!BD$2:BI$2,Tokens!BD909:BI909,2,"files")</f>
        <v>"files":[]</v>
      </c>
      <c r="Z909" s="1"/>
      <c r="AA909" s="1"/>
      <c r="AB909" s="1"/>
      <c r="AC909" s="1" t="str">
        <f>formatRow(Tokens!BJ$2:BK$2,Tokens!BJ909:BK909,0,"collection")</f>
        <v>"collection":{"name":"In Casa",_x000D_
"family":"Calvi On The Rocks"}</v>
      </c>
    </row>
    <row r="910" spans="5:29" ht="14.25" customHeight="1" x14ac:dyDescent="0.25">
      <c r="E910" s="17" t="str">
        <f>IF(Tokens!C910="","",Tokens!C910)</f>
        <v>In Casa #747</v>
      </c>
      <c r="F910"/>
      <c r="G910"/>
      <c r="H910"/>
      <c r="I910"/>
      <c r="J910"/>
      <c r="M910"/>
      <c r="N910"/>
      <c r="O910" s="15" t="str">
        <f t="shared" si="28"/>
        <v>_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1" t="str">
        <f>"owner=" &amp; Tokens!BS910 &amp; "&amp;filename_for_metadata=" &amp; Tokens!BT910 &amp; "&amp;offchaindata_platform=" &amp; $B$17 &amp; "&amp;keyfile=" &amp; $B$5 &amp; "&amp;network=" &amp; LOWER($B$8) &amp; "&amp;repository=" &amp; $B$18</f>
        <v>owner=thomas&amp;filename_for_metadata=InCasa_COR22D747&amp;offchaindata_platform=MongoDB&amp;keyfile=Paul&amp;network=jsonfiles&amp;repository=test</v>
      </c>
      <c r="U910" s="1" t="str">
        <f t="shared" si="29"/>
        <v>{"name":"In Casa #747",_x000D_
"symbol":"COR22D747",_x000D_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0" s="1" t="str">
        <f>formatRow(Tokens!C$2:I$2,Tokens!C910:I910)</f>
        <v>"name":"In Casa #747",_x000D_
"symbol":"COR22D747",_x000D_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0" s="1" t="str">
        <f>formatRow(Tokens!J$2:AV$2,Tokens!J910:AV910,2,"attributes")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0" s="1" t="str">
        <f>formatRow(Tokens!AX$2:BC$2,Tokens!AX910:BC910,2,"creators")</f>
        <v>"creators":[{"address":"paul",_x000D_
"share":10},{"address":"sophie",_x000D_
"share":90}]</v>
      </c>
      <c r="Y910" s="1" t="str">
        <f>formatRow(Tokens!BD$2:BI$2,Tokens!BD910:BI910,2,"files")</f>
        <v>"files":[]</v>
      </c>
      <c r="Z910" s="1"/>
      <c r="AA910" s="1"/>
      <c r="AB910" s="1"/>
      <c r="AC910" s="1" t="str">
        <f>formatRow(Tokens!BJ$2:BK$2,Tokens!BJ910:BK910,0,"collection")</f>
        <v>"collection":{"name":"In Casa",_x000D_
"family":"Calvi On The Rocks"}</v>
      </c>
    </row>
    <row r="911" spans="5:29" ht="14.25" customHeight="1" x14ac:dyDescent="0.25">
      <c r="E911" s="17" t="str">
        <f>IF(Tokens!C911="","",Tokens!C911)</f>
        <v>In Casa #748</v>
      </c>
      <c r="F911"/>
      <c r="G911"/>
      <c r="H911"/>
      <c r="I911"/>
      <c r="J911"/>
      <c r="M911"/>
      <c r="N911"/>
      <c r="O911" s="15" t="str">
        <f t="shared" si="28"/>
        <v>_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1" t="str">
        <f>"owner=" &amp; Tokens!BS911 &amp; "&amp;filename_for_metadata=" &amp; Tokens!BT911 &amp; "&amp;offchaindata_platform=" &amp; $B$17 &amp; "&amp;keyfile=" &amp; $B$5 &amp; "&amp;network=" &amp; LOWER($B$8) &amp; "&amp;repository=" &amp; $B$18</f>
        <v>owner=thomas&amp;filename_for_metadata=InCasa_COR22D748&amp;offchaindata_platform=MongoDB&amp;keyfile=Paul&amp;network=jsonfiles&amp;repository=test</v>
      </c>
      <c r="U911" s="1" t="str">
        <f t="shared" si="29"/>
        <v>{"name":"In Casa #748",_x000D_
"symbol":"COR22D748",_x000D_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1" s="1" t="str">
        <f>formatRow(Tokens!C$2:I$2,Tokens!C911:I911)</f>
        <v>"name":"In Casa #748",_x000D_
"symbol":"COR22D748",_x000D_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1" s="1" t="str">
        <f>formatRow(Tokens!J$2:AV$2,Tokens!J911:AV911,2,"attributes")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1" s="1" t="str">
        <f>formatRow(Tokens!AX$2:BC$2,Tokens!AX911:BC911,2,"creators")</f>
        <v>"creators":[{"address":"paul",_x000D_
"share":10},{"address":"sophie",_x000D_
"share":90}]</v>
      </c>
      <c r="Y911" s="1" t="str">
        <f>formatRow(Tokens!BD$2:BI$2,Tokens!BD911:BI911,2,"files")</f>
        <v>"files":[]</v>
      </c>
      <c r="Z911" s="1"/>
      <c r="AA911" s="1"/>
      <c r="AB911" s="1"/>
      <c r="AC911" s="1" t="str">
        <f>formatRow(Tokens!BJ$2:BK$2,Tokens!BJ911:BK911,0,"collection")</f>
        <v>"collection":{"name":"In Casa",_x000D_
"family":"Calvi On The Rocks"}</v>
      </c>
    </row>
    <row r="912" spans="5:29" ht="14.25" customHeight="1" x14ac:dyDescent="0.25">
      <c r="E912" s="17" t="str">
        <f>IF(Tokens!C912="","",Tokens!C912)</f>
        <v>In Casa #749</v>
      </c>
      <c r="F912"/>
      <c r="G912"/>
      <c r="H912"/>
      <c r="I912"/>
      <c r="J912"/>
      <c r="M912"/>
      <c r="N912"/>
      <c r="O912" s="15" t="str">
        <f t="shared" si="28"/>
        <v>_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1" t="str">
        <f>"owner=" &amp; Tokens!BS912 &amp; "&amp;filename_for_metadata=" &amp; Tokens!BT912 &amp; "&amp;offchaindata_platform=" &amp; $B$17 &amp; "&amp;keyfile=" &amp; $B$5 &amp; "&amp;network=" &amp; LOWER($B$8) &amp; "&amp;repository=" &amp; $B$18</f>
        <v>owner=thomas&amp;filename_for_metadata=InCasa_COR22D749&amp;offchaindata_platform=MongoDB&amp;keyfile=Paul&amp;network=jsonfiles&amp;repository=test</v>
      </c>
      <c r="U912" s="1" t="str">
        <f t="shared" si="29"/>
        <v>{"name":"In Casa #749",_x000D_
"symbol":"COR22D749",_x000D_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2" s="1" t="str">
        <f>formatRow(Tokens!C$2:I$2,Tokens!C912:I912)</f>
        <v>"name":"In Casa #749",_x000D_
"symbol":"COR22D749",_x000D_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2" s="1" t="str">
        <f>formatRow(Tokens!J$2:AV$2,Tokens!J912:AV912,2,"attributes")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2" s="1" t="str">
        <f>formatRow(Tokens!AX$2:BC$2,Tokens!AX912:BC912,2,"creators")</f>
        <v>"creators":[{"address":"paul",_x000D_
"share":10},{"address":"sophie",_x000D_
"share":90}]</v>
      </c>
      <c r="Y912" s="1" t="str">
        <f>formatRow(Tokens!BD$2:BI$2,Tokens!BD912:BI912,2,"files")</f>
        <v>"files":[]</v>
      </c>
      <c r="Z912" s="1"/>
      <c r="AA912" s="1"/>
      <c r="AB912" s="1"/>
      <c r="AC912" s="1" t="str">
        <f>formatRow(Tokens!BJ$2:BK$2,Tokens!BJ912:BK912,0,"collection")</f>
        <v>"collection":{"name":"In Casa",_x000D_
"family":"Calvi On The Rocks"}</v>
      </c>
    </row>
    <row r="913" spans="5:29" ht="14.25" customHeight="1" x14ac:dyDescent="0.25">
      <c r="E913" s="17" t="str">
        <f>IF(Tokens!C913="","",Tokens!C913)</f>
        <v>In Casa #750</v>
      </c>
      <c r="F913"/>
      <c r="G913"/>
      <c r="H913"/>
      <c r="I913"/>
      <c r="J913"/>
      <c r="M913"/>
      <c r="N913"/>
      <c r="O913" s="15" t="str">
        <f t="shared" si="28"/>
        <v>_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1" t="str">
        <f>"owner=" &amp; Tokens!BS913 &amp; "&amp;filename_for_metadata=" &amp; Tokens!BT913 &amp; "&amp;offchaindata_platform=" &amp; $B$17 &amp; "&amp;keyfile=" &amp; $B$5 &amp; "&amp;network=" &amp; LOWER($B$8) &amp; "&amp;repository=" &amp; $B$18</f>
        <v>owner=thomas&amp;filename_for_metadata=InCasa_COR22D750&amp;offchaindata_platform=MongoDB&amp;keyfile=Paul&amp;network=jsonfiles&amp;repository=test</v>
      </c>
      <c r="U913" s="1" t="str">
        <f t="shared" si="29"/>
        <v>{"name":"In Casa #750",_x000D_
"symbol":"COR22D750",_x000D_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3" s="1" t="str">
        <f>formatRow(Tokens!C$2:I$2,Tokens!C913:I913)</f>
        <v>"name":"In Casa #750",_x000D_
"symbol":"COR22D750",_x000D_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3" s="1" t="str">
        <f>formatRow(Tokens!J$2:AV$2,Tokens!J913:AV913,2,"attributes")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3" s="1" t="str">
        <f>formatRow(Tokens!AX$2:BC$2,Tokens!AX913:BC913,2,"creators")</f>
        <v>"creators":[{"address":"paul",_x000D_
"share":10},{"address":"sophie",_x000D_
"share":90}]</v>
      </c>
      <c r="Y913" s="1" t="str">
        <f>formatRow(Tokens!BD$2:BI$2,Tokens!BD913:BI913,2,"files")</f>
        <v>"files":[]</v>
      </c>
      <c r="Z913" s="1"/>
      <c r="AA913" s="1"/>
      <c r="AB913" s="1"/>
      <c r="AC913" s="1" t="str">
        <f>formatRow(Tokens!BJ$2:BK$2,Tokens!BJ913:BK913,0,"collection")</f>
        <v>"collection":{"name":"In Casa",_x000D_
"family":"Calvi On The Rocks"}</v>
      </c>
    </row>
    <row r="914" spans="5:29" ht="14.25" customHeight="1" x14ac:dyDescent="0.25">
      <c r="E914" s="17" t="str">
        <f>IF(Tokens!C914="","",Tokens!C914)</f>
        <v>In Casa #751</v>
      </c>
      <c r="F914"/>
      <c r="G914"/>
      <c r="H914"/>
      <c r="I914"/>
      <c r="J914"/>
      <c r="M914"/>
      <c r="N914"/>
      <c r="O914" s="15" t="str">
        <f t="shared" si="28"/>
        <v>_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1" t="str">
        <f>"owner=" &amp; Tokens!BS914 &amp; "&amp;filename_for_metadata=" &amp; Tokens!BT914 &amp; "&amp;offchaindata_platform=" &amp; $B$17 &amp; "&amp;keyfile=" &amp; $B$5 &amp; "&amp;network=" &amp; LOWER($B$8) &amp; "&amp;repository=" &amp; $B$18</f>
        <v>owner=thomas&amp;filename_for_metadata=InCasa_COR22D751&amp;offchaindata_platform=MongoDB&amp;keyfile=Paul&amp;network=jsonfiles&amp;repository=test</v>
      </c>
      <c r="U914" s="1" t="str">
        <f t="shared" si="29"/>
        <v>{"name":"In Casa #751",_x000D_
"symbol":"COR22D751",_x000D_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4" s="1" t="str">
        <f>formatRow(Tokens!C$2:I$2,Tokens!C914:I914)</f>
        <v>"name":"In Casa #751",_x000D_
"symbol":"COR22D751",_x000D_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4" s="1" t="str">
        <f>formatRow(Tokens!J$2:AV$2,Tokens!J914:AV914,2,"attributes")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4" s="1" t="str">
        <f>formatRow(Tokens!AX$2:BC$2,Tokens!AX914:BC914,2,"creators")</f>
        <v>"creators":[{"address":"paul",_x000D_
"share":10},{"address":"sophie",_x000D_
"share":90}]</v>
      </c>
      <c r="Y914" s="1" t="str">
        <f>formatRow(Tokens!BD$2:BI$2,Tokens!BD914:BI914,2,"files")</f>
        <v>"files":[]</v>
      </c>
      <c r="Z914" s="1"/>
      <c r="AA914" s="1"/>
      <c r="AB914" s="1"/>
      <c r="AC914" s="1" t="str">
        <f>formatRow(Tokens!BJ$2:BK$2,Tokens!BJ914:BK914,0,"collection")</f>
        <v>"collection":{"name":"In Casa",_x000D_
"family":"Calvi On The Rocks"}</v>
      </c>
    </row>
    <row r="915" spans="5:29" ht="14.25" customHeight="1" x14ac:dyDescent="0.25">
      <c r="E915" s="17" t="str">
        <f>IF(Tokens!C915="","",Tokens!C915)</f>
        <v>In Casa #752</v>
      </c>
      <c r="F915"/>
      <c r="G915"/>
      <c r="H915"/>
      <c r="I915"/>
      <c r="J915"/>
      <c r="M915"/>
      <c r="N915"/>
      <c r="O915" s="15" t="str">
        <f t="shared" si="28"/>
        <v>_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1" t="str">
        <f>"owner=" &amp; Tokens!BS915 &amp; "&amp;filename_for_metadata=" &amp; Tokens!BT915 &amp; "&amp;offchaindata_platform=" &amp; $B$17 &amp; "&amp;keyfile=" &amp; $B$5 &amp; "&amp;network=" &amp; LOWER($B$8) &amp; "&amp;repository=" &amp; $B$18</f>
        <v>owner=thomas&amp;filename_for_metadata=InCasa_COR22D752&amp;offchaindata_platform=MongoDB&amp;keyfile=Paul&amp;network=jsonfiles&amp;repository=test</v>
      </c>
      <c r="U915" s="1" t="str">
        <f t="shared" si="29"/>
        <v>{"name":"In Casa #752",_x000D_
"symbol":"COR22D752",_x000D_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5" s="1" t="str">
        <f>formatRow(Tokens!C$2:I$2,Tokens!C915:I915)</f>
        <v>"name":"In Casa #752",_x000D_
"symbol":"COR22D752",_x000D_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5" s="1" t="str">
        <f>formatRow(Tokens!J$2:AV$2,Tokens!J915:AV915,2,"attributes")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5" s="1" t="str">
        <f>formatRow(Tokens!AX$2:BC$2,Tokens!AX915:BC915,2,"creators")</f>
        <v>"creators":[{"address":"paul",_x000D_
"share":10},{"address":"sophie",_x000D_
"share":90}]</v>
      </c>
      <c r="Y915" s="1" t="str">
        <f>formatRow(Tokens!BD$2:BI$2,Tokens!BD915:BI915,2,"files")</f>
        <v>"files":[]</v>
      </c>
      <c r="Z915" s="1"/>
      <c r="AA915" s="1"/>
      <c r="AB915" s="1"/>
      <c r="AC915" s="1" t="str">
        <f>formatRow(Tokens!BJ$2:BK$2,Tokens!BJ915:BK915,0,"collection")</f>
        <v>"collection":{"name":"In Casa",_x000D_
"family":"Calvi On The Rocks"}</v>
      </c>
    </row>
    <row r="916" spans="5:29" ht="14.25" customHeight="1" x14ac:dyDescent="0.25">
      <c r="E916" s="17" t="str">
        <f>IF(Tokens!C916="","",Tokens!C916)</f>
        <v>In Casa #753</v>
      </c>
      <c r="F916"/>
      <c r="G916"/>
      <c r="H916"/>
      <c r="I916"/>
      <c r="J916"/>
      <c r="M916"/>
      <c r="N916"/>
      <c r="O916" s="15" t="str">
        <f t="shared" si="28"/>
        <v>_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1" t="str">
        <f>"owner=" &amp; Tokens!BS916 &amp; "&amp;filename_for_metadata=" &amp; Tokens!BT916 &amp; "&amp;offchaindata_platform=" &amp; $B$17 &amp; "&amp;keyfile=" &amp; $B$5 &amp; "&amp;network=" &amp; LOWER($B$8) &amp; "&amp;repository=" &amp; $B$18</f>
        <v>owner=thomas&amp;filename_for_metadata=InCasa_COR22D753&amp;offchaindata_platform=MongoDB&amp;keyfile=Paul&amp;network=jsonfiles&amp;repository=test</v>
      </c>
      <c r="U916" s="1" t="str">
        <f t="shared" si="29"/>
        <v>{"name":"In Casa #753",_x000D_
"symbol":"COR22D753",_x000D_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6" s="1" t="str">
        <f>formatRow(Tokens!C$2:I$2,Tokens!C916:I916)</f>
        <v>"name":"In Casa #753",_x000D_
"symbol":"COR22D753",_x000D_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6" s="1" t="str">
        <f>formatRow(Tokens!J$2:AV$2,Tokens!J916:AV916,2,"attributes")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6" s="1" t="str">
        <f>formatRow(Tokens!AX$2:BC$2,Tokens!AX916:BC916,2,"creators")</f>
        <v>"creators":[{"address":"paul",_x000D_
"share":10},{"address":"sophie",_x000D_
"share":90}]</v>
      </c>
      <c r="Y916" s="1" t="str">
        <f>formatRow(Tokens!BD$2:BI$2,Tokens!BD916:BI916,2,"files")</f>
        <v>"files":[]</v>
      </c>
      <c r="Z916" s="1"/>
      <c r="AA916" s="1"/>
      <c r="AB916" s="1"/>
      <c r="AC916" s="1" t="str">
        <f>formatRow(Tokens!BJ$2:BK$2,Tokens!BJ916:BK916,0,"collection")</f>
        <v>"collection":{"name":"In Casa",_x000D_
"family":"Calvi On The Rocks"}</v>
      </c>
    </row>
    <row r="917" spans="5:29" ht="14.25" customHeight="1" x14ac:dyDescent="0.25">
      <c r="E917" s="17" t="str">
        <f>IF(Tokens!C917="","",Tokens!C917)</f>
        <v>In Casa #754</v>
      </c>
      <c r="F917"/>
      <c r="G917"/>
      <c r="H917"/>
      <c r="I917"/>
      <c r="J917"/>
      <c r="M917"/>
      <c r="N917"/>
      <c r="O917" s="15" t="str">
        <f t="shared" si="28"/>
        <v>_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1" t="str">
        <f>"owner=" &amp; Tokens!BS917 &amp; "&amp;filename_for_metadata=" &amp; Tokens!BT917 &amp; "&amp;offchaindata_platform=" &amp; $B$17 &amp; "&amp;keyfile=" &amp; $B$5 &amp; "&amp;network=" &amp; LOWER($B$8) &amp; "&amp;repository=" &amp; $B$18</f>
        <v>owner=thomas&amp;filename_for_metadata=InCasa_COR22D754&amp;offchaindata_platform=MongoDB&amp;keyfile=Paul&amp;network=jsonfiles&amp;repository=test</v>
      </c>
      <c r="U917" s="1" t="str">
        <f t="shared" si="29"/>
        <v>{"name":"In Casa #754",_x000D_
"symbol":"COR22D754",_x000D_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7" s="1" t="str">
        <f>formatRow(Tokens!C$2:I$2,Tokens!C917:I917)</f>
        <v>"name":"In Casa #754",_x000D_
"symbol":"COR22D754",_x000D_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7" s="1" t="str">
        <f>formatRow(Tokens!J$2:AV$2,Tokens!J917:AV917,2,"attributes")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7" s="1" t="str">
        <f>formatRow(Tokens!AX$2:BC$2,Tokens!AX917:BC917,2,"creators")</f>
        <v>"creators":[{"address":"paul",_x000D_
"share":10},{"address":"sophie",_x000D_
"share":90}]</v>
      </c>
      <c r="Y917" s="1" t="str">
        <f>formatRow(Tokens!BD$2:BI$2,Tokens!BD917:BI917,2,"files")</f>
        <v>"files":[]</v>
      </c>
      <c r="Z917" s="1"/>
      <c r="AA917" s="1"/>
      <c r="AB917" s="1"/>
      <c r="AC917" s="1" t="str">
        <f>formatRow(Tokens!BJ$2:BK$2,Tokens!BJ917:BK917,0,"collection")</f>
        <v>"collection":{"name":"In Casa",_x000D_
"family":"Calvi On The Rocks"}</v>
      </c>
    </row>
    <row r="918" spans="5:29" ht="14.25" customHeight="1" x14ac:dyDescent="0.25">
      <c r="E918" s="17" t="str">
        <f>IF(Tokens!C918="","",Tokens!C918)</f>
        <v>In Casa #755</v>
      </c>
      <c r="F918"/>
      <c r="G918"/>
      <c r="H918"/>
      <c r="I918"/>
      <c r="J918"/>
      <c r="M918"/>
      <c r="N918"/>
      <c r="O918" s="15" t="str">
        <f t="shared" si="28"/>
        <v>_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1" t="str">
        <f>"owner=" &amp; Tokens!BS918 &amp; "&amp;filename_for_metadata=" &amp; Tokens!BT918 &amp; "&amp;offchaindata_platform=" &amp; $B$17 &amp; "&amp;keyfile=" &amp; $B$5 &amp; "&amp;network=" &amp; LOWER($B$8) &amp; "&amp;repository=" &amp; $B$18</f>
        <v>owner=thomas&amp;filename_for_metadata=InCasa_COR22D755&amp;offchaindata_platform=MongoDB&amp;keyfile=Paul&amp;network=jsonfiles&amp;repository=test</v>
      </c>
      <c r="U918" s="1" t="str">
        <f t="shared" si="29"/>
        <v>{"name":"In Casa #755",_x000D_
"symbol":"COR22D755",_x000D_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8" s="1" t="str">
        <f>formatRow(Tokens!C$2:I$2,Tokens!C918:I918)</f>
        <v>"name":"In Casa #755",_x000D_
"symbol":"COR22D755",_x000D_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8" s="1" t="str">
        <f>formatRow(Tokens!J$2:AV$2,Tokens!J918:AV918,2,"attributes")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8" s="1" t="str">
        <f>formatRow(Tokens!AX$2:BC$2,Tokens!AX918:BC918,2,"creators")</f>
        <v>"creators":[{"address":"paul",_x000D_
"share":10},{"address":"sophie",_x000D_
"share":90}]</v>
      </c>
      <c r="Y918" s="1" t="str">
        <f>formatRow(Tokens!BD$2:BI$2,Tokens!BD918:BI918,2,"files")</f>
        <v>"files":[]</v>
      </c>
      <c r="Z918" s="1"/>
      <c r="AA918" s="1"/>
      <c r="AB918" s="1"/>
      <c r="AC918" s="1" t="str">
        <f>formatRow(Tokens!BJ$2:BK$2,Tokens!BJ918:BK918,0,"collection")</f>
        <v>"collection":{"name":"In Casa",_x000D_
"family":"Calvi On The Rocks"}</v>
      </c>
    </row>
    <row r="919" spans="5:29" ht="14.25" customHeight="1" x14ac:dyDescent="0.25">
      <c r="E919" s="17" t="str">
        <f>IF(Tokens!C919="","",Tokens!C919)</f>
        <v>In Casa #756</v>
      </c>
      <c r="F919"/>
      <c r="G919"/>
      <c r="H919"/>
      <c r="I919"/>
      <c r="J919"/>
      <c r="M919"/>
      <c r="N919"/>
      <c r="O919" s="15" t="str">
        <f t="shared" si="28"/>
        <v>_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1" t="str">
        <f>"owner=" &amp; Tokens!BS919 &amp; "&amp;filename_for_metadata=" &amp; Tokens!BT919 &amp; "&amp;offchaindata_platform=" &amp; $B$17 &amp; "&amp;keyfile=" &amp; $B$5 &amp; "&amp;network=" &amp; LOWER($B$8) &amp; "&amp;repository=" &amp; $B$18</f>
        <v>owner=thomas&amp;filename_for_metadata=InCasa_COR22D756&amp;offchaindata_platform=MongoDB&amp;keyfile=Paul&amp;network=jsonfiles&amp;repository=test</v>
      </c>
      <c r="U919" s="1" t="str">
        <f t="shared" si="29"/>
        <v>{"name":"In Casa #756",_x000D_
"symbol":"COR22D756",_x000D_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19" s="1" t="str">
        <f>formatRow(Tokens!C$2:I$2,Tokens!C919:I919)</f>
        <v>"name":"In Casa #756",_x000D_
"symbol":"COR22D756",_x000D_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19" s="1" t="str">
        <f>formatRow(Tokens!J$2:AV$2,Tokens!J919:AV919,2,"attributes")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19" s="1" t="str">
        <f>formatRow(Tokens!AX$2:BC$2,Tokens!AX919:BC919,2,"creators")</f>
        <v>"creators":[{"address":"paul",_x000D_
"share":10},{"address":"sophie",_x000D_
"share":90}]</v>
      </c>
      <c r="Y919" s="1" t="str">
        <f>formatRow(Tokens!BD$2:BI$2,Tokens!BD919:BI919,2,"files")</f>
        <v>"files":[]</v>
      </c>
      <c r="Z919" s="1"/>
      <c r="AA919" s="1"/>
      <c r="AB919" s="1"/>
      <c r="AC919" s="1" t="str">
        <f>formatRow(Tokens!BJ$2:BK$2,Tokens!BJ919:BK919,0,"collection")</f>
        <v>"collection":{"name":"In Casa",_x000D_
"family":"Calvi On The Rocks"}</v>
      </c>
    </row>
    <row r="920" spans="5:29" ht="14.25" customHeight="1" x14ac:dyDescent="0.25">
      <c r="E920" s="17" t="str">
        <f>IF(Tokens!C920="","",Tokens!C920)</f>
        <v>In Casa #757</v>
      </c>
      <c r="F920"/>
      <c r="G920"/>
      <c r="H920"/>
      <c r="I920"/>
      <c r="J920"/>
      <c r="M920"/>
      <c r="N920"/>
      <c r="O920" s="15" t="str">
        <f t="shared" si="28"/>
        <v>_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1" t="str">
        <f>"owner=" &amp; Tokens!BS920 &amp; "&amp;filename_for_metadata=" &amp; Tokens!BT920 &amp; "&amp;offchaindata_platform=" &amp; $B$17 &amp; "&amp;keyfile=" &amp; $B$5 &amp; "&amp;network=" &amp; LOWER($B$8) &amp; "&amp;repository=" &amp; $B$18</f>
        <v>owner=thomas&amp;filename_for_metadata=InCasa_COR22D757&amp;offchaindata_platform=MongoDB&amp;keyfile=Paul&amp;network=jsonfiles&amp;repository=test</v>
      </c>
      <c r="U920" s="1" t="str">
        <f t="shared" si="29"/>
        <v>{"name":"In Casa #757",_x000D_
"symbol":"COR22D757",_x000D_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0" s="1" t="str">
        <f>formatRow(Tokens!C$2:I$2,Tokens!C920:I920)</f>
        <v>"name":"In Casa #757",_x000D_
"symbol":"COR22D757",_x000D_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0" s="1" t="str">
        <f>formatRow(Tokens!J$2:AV$2,Tokens!J920:AV920,2,"attributes")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0" s="1" t="str">
        <f>formatRow(Tokens!AX$2:BC$2,Tokens!AX920:BC920,2,"creators")</f>
        <v>"creators":[{"address":"paul",_x000D_
"share":10},{"address":"sophie",_x000D_
"share":90}]</v>
      </c>
      <c r="Y920" s="1" t="str">
        <f>formatRow(Tokens!BD$2:BI$2,Tokens!BD920:BI920,2,"files")</f>
        <v>"files":[]</v>
      </c>
      <c r="Z920" s="1"/>
      <c r="AA920" s="1"/>
      <c r="AB920" s="1"/>
      <c r="AC920" s="1" t="str">
        <f>formatRow(Tokens!BJ$2:BK$2,Tokens!BJ920:BK920,0,"collection")</f>
        <v>"collection":{"name":"In Casa",_x000D_
"family":"Calvi On The Rocks"}</v>
      </c>
    </row>
    <row r="921" spans="5:29" ht="14.25" customHeight="1" x14ac:dyDescent="0.25">
      <c r="E921" s="17" t="str">
        <f>IF(Tokens!C921="","",Tokens!C921)</f>
        <v>In Casa #758</v>
      </c>
      <c r="F921"/>
      <c r="G921"/>
      <c r="H921"/>
      <c r="I921"/>
      <c r="J921"/>
      <c r="M921"/>
      <c r="N921"/>
      <c r="O921" s="15" t="str">
        <f t="shared" si="28"/>
        <v>_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1" t="str">
        <f>"owner=" &amp; Tokens!BS921 &amp; "&amp;filename_for_metadata=" &amp; Tokens!BT921 &amp; "&amp;offchaindata_platform=" &amp; $B$17 &amp; "&amp;keyfile=" &amp; $B$5 &amp; "&amp;network=" &amp; LOWER($B$8) &amp; "&amp;repository=" &amp; $B$18</f>
        <v>owner=thomas&amp;filename_for_metadata=InCasa_COR22D758&amp;offchaindata_platform=MongoDB&amp;keyfile=Paul&amp;network=jsonfiles&amp;repository=test</v>
      </c>
      <c r="U921" s="1" t="str">
        <f t="shared" si="29"/>
        <v>{"name":"In Casa #758",_x000D_
"symbol":"COR22D758",_x000D_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1" s="1" t="str">
        <f>formatRow(Tokens!C$2:I$2,Tokens!C921:I921)</f>
        <v>"name":"In Casa #758",_x000D_
"symbol":"COR22D758",_x000D_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1" s="1" t="str">
        <f>formatRow(Tokens!J$2:AV$2,Tokens!J921:AV921,2,"attributes")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1" s="1" t="str">
        <f>formatRow(Tokens!AX$2:BC$2,Tokens!AX921:BC921,2,"creators")</f>
        <v>"creators":[{"address":"paul",_x000D_
"share":10},{"address":"sophie",_x000D_
"share":90}]</v>
      </c>
      <c r="Y921" s="1" t="str">
        <f>formatRow(Tokens!BD$2:BI$2,Tokens!BD921:BI921,2,"files")</f>
        <v>"files":[]</v>
      </c>
      <c r="Z921" s="1"/>
      <c r="AA921" s="1"/>
      <c r="AB921" s="1"/>
      <c r="AC921" s="1" t="str">
        <f>formatRow(Tokens!BJ$2:BK$2,Tokens!BJ921:BK921,0,"collection")</f>
        <v>"collection":{"name":"In Casa",_x000D_
"family":"Calvi On The Rocks"}</v>
      </c>
    </row>
    <row r="922" spans="5:29" ht="14.25" customHeight="1" x14ac:dyDescent="0.25">
      <c r="E922" s="17" t="str">
        <f>IF(Tokens!C922="","",Tokens!C922)</f>
        <v>In Casa #759</v>
      </c>
      <c r="F922"/>
      <c r="G922"/>
      <c r="H922"/>
      <c r="I922"/>
      <c r="J922"/>
      <c r="M922"/>
      <c r="N922"/>
      <c r="O922" s="15" t="str">
        <f t="shared" si="28"/>
        <v>_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1" t="str">
        <f>"owner=" &amp; Tokens!BS922 &amp; "&amp;filename_for_metadata=" &amp; Tokens!BT922 &amp; "&amp;offchaindata_platform=" &amp; $B$17 &amp; "&amp;keyfile=" &amp; $B$5 &amp; "&amp;network=" &amp; LOWER($B$8) &amp; "&amp;repository=" &amp; $B$18</f>
        <v>owner=thomas&amp;filename_for_metadata=InCasa_COR22D759&amp;offchaindata_platform=MongoDB&amp;keyfile=Paul&amp;network=jsonfiles&amp;repository=test</v>
      </c>
      <c r="U922" s="1" t="str">
        <f t="shared" si="29"/>
        <v>{"name":"In Casa #759",_x000D_
"symbol":"COR22D759",_x000D_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2" s="1" t="str">
        <f>formatRow(Tokens!C$2:I$2,Tokens!C922:I922)</f>
        <v>"name":"In Casa #759",_x000D_
"symbol":"COR22D759",_x000D_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2" s="1" t="str">
        <f>formatRow(Tokens!J$2:AV$2,Tokens!J922:AV922,2,"attributes")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2" s="1" t="str">
        <f>formatRow(Tokens!AX$2:BC$2,Tokens!AX922:BC922,2,"creators")</f>
        <v>"creators":[{"address":"paul",_x000D_
"share":10},{"address":"sophie",_x000D_
"share":90}]</v>
      </c>
      <c r="Y922" s="1" t="str">
        <f>formatRow(Tokens!BD$2:BI$2,Tokens!BD922:BI922,2,"files")</f>
        <v>"files":[]</v>
      </c>
      <c r="Z922" s="1"/>
      <c r="AA922" s="1"/>
      <c r="AB922" s="1"/>
      <c r="AC922" s="1" t="str">
        <f>formatRow(Tokens!BJ$2:BK$2,Tokens!BJ922:BK922,0,"collection")</f>
        <v>"collection":{"name":"In Casa",_x000D_
"family":"Calvi On The Rocks"}</v>
      </c>
    </row>
    <row r="923" spans="5:29" ht="14.25" customHeight="1" x14ac:dyDescent="0.25">
      <c r="E923" s="17" t="str">
        <f>IF(Tokens!C923="","",Tokens!C923)</f>
        <v>In Casa #760</v>
      </c>
      <c r="F923"/>
      <c r="G923"/>
      <c r="H923"/>
      <c r="I923"/>
      <c r="J923"/>
      <c r="M923"/>
      <c r="N923"/>
      <c r="O923" s="15" t="str">
        <f t="shared" si="28"/>
        <v>_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1" t="str">
        <f>"owner=" &amp; Tokens!BS923 &amp; "&amp;filename_for_metadata=" &amp; Tokens!BT923 &amp; "&amp;offchaindata_platform=" &amp; $B$17 &amp; "&amp;keyfile=" &amp; $B$5 &amp; "&amp;network=" &amp; LOWER($B$8) &amp; "&amp;repository=" &amp; $B$18</f>
        <v>owner=thomas&amp;filename_for_metadata=InCasa_COR22D760&amp;offchaindata_platform=MongoDB&amp;keyfile=Paul&amp;network=jsonfiles&amp;repository=test</v>
      </c>
      <c r="U923" s="1" t="str">
        <f t="shared" si="29"/>
        <v>{"name":"In Casa #760",_x000D_
"symbol":"COR22D760",_x000D_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3" s="1" t="str">
        <f>formatRow(Tokens!C$2:I$2,Tokens!C923:I923)</f>
        <v>"name":"In Casa #760",_x000D_
"symbol":"COR22D760",_x000D_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3" s="1" t="str">
        <f>formatRow(Tokens!J$2:AV$2,Tokens!J923:AV923,2,"attributes")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3" s="1" t="str">
        <f>formatRow(Tokens!AX$2:BC$2,Tokens!AX923:BC923,2,"creators")</f>
        <v>"creators":[{"address":"paul",_x000D_
"share":10},{"address":"sophie",_x000D_
"share":90}]</v>
      </c>
      <c r="Y923" s="1" t="str">
        <f>formatRow(Tokens!BD$2:BI$2,Tokens!BD923:BI923,2,"files")</f>
        <v>"files":[]</v>
      </c>
      <c r="Z923" s="1"/>
      <c r="AA923" s="1"/>
      <c r="AB923" s="1"/>
      <c r="AC923" s="1" t="str">
        <f>formatRow(Tokens!BJ$2:BK$2,Tokens!BJ923:BK923,0,"collection")</f>
        <v>"collection":{"name":"In Casa",_x000D_
"family":"Calvi On The Rocks"}</v>
      </c>
    </row>
    <row r="924" spans="5:29" ht="14.25" customHeight="1" x14ac:dyDescent="0.25">
      <c r="E924" s="17" t="str">
        <f>IF(Tokens!C924="","",Tokens!C924)</f>
        <v>In Casa #761</v>
      </c>
      <c r="F924"/>
      <c r="G924"/>
      <c r="H924"/>
      <c r="I924"/>
      <c r="J924"/>
      <c r="M924"/>
      <c r="N924"/>
      <c r="O924" s="15" t="str">
        <f t="shared" si="28"/>
        <v>_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1" t="str">
        <f>"owner=" &amp; Tokens!BS924 &amp; "&amp;filename_for_metadata=" &amp; Tokens!BT924 &amp; "&amp;offchaindata_platform=" &amp; $B$17 &amp; "&amp;keyfile=" &amp; $B$5 &amp; "&amp;network=" &amp; LOWER($B$8) &amp; "&amp;repository=" &amp; $B$18</f>
        <v>owner=thomas&amp;filename_for_metadata=InCasa_COR22D761&amp;offchaindata_platform=MongoDB&amp;keyfile=Paul&amp;network=jsonfiles&amp;repository=test</v>
      </c>
      <c r="U924" s="1" t="str">
        <f t="shared" si="29"/>
        <v>{"name":"In Casa #761",_x000D_
"symbol":"COR22D761",_x000D_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4" s="1" t="str">
        <f>formatRow(Tokens!C$2:I$2,Tokens!C924:I924)</f>
        <v>"name":"In Casa #761",_x000D_
"symbol":"COR22D761",_x000D_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4" s="1" t="str">
        <f>formatRow(Tokens!J$2:AV$2,Tokens!J924:AV924,2,"attributes")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4" s="1" t="str">
        <f>formatRow(Tokens!AX$2:BC$2,Tokens!AX924:BC924,2,"creators")</f>
        <v>"creators":[{"address":"paul",_x000D_
"share":10},{"address":"sophie",_x000D_
"share":90}]</v>
      </c>
      <c r="Y924" s="1" t="str">
        <f>formatRow(Tokens!BD$2:BI$2,Tokens!BD924:BI924,2,"files")</f>
        <v>"files":[]</v>
      </c>
      <c r="Z924" s="1"/>
      <c r="AA924" s="1"/>
      <c r="AB924" s="1"/>
      <c r="AC924" s="1" t="str">
        <f>formatRow(Tokens!BJ$2:BK$2,Tokens!BJ924:BK924,0,"collection")</f>
        <v>"collection":{"name":"In Casa",_x000D_
"family":"Calvi On The Rocks"}</v>
      </c>
    </row>
    <row r="925" spans="5:29" ht="14.25" customHeight="1" x14ac:dyDescent="0.25">
      <c r="E925" s="17" t="str">
        <f>IF(Tokens!C925="","",Tokens!C925)</f>
        <v>In Casa #762</v>
      </c>
      <c r="F925"/>
      <c r="G925"/>
      <c r="H925"/>
      <c r="I925"/>
      <c r="J925"/>
      <c r="M925"/>
      <c r="N925"/>
      <c r="O925" s="15" t="str">
        <f t="shared" si="28"/>
        <v>_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1" t="str">
        <f>"owner=" &amp; Tokens!BS925 &amp; "&amp;filename_for_metadata=" &amp; Tokens!BT925 &amp; "&amp;offchaindata_platform=" &amp; $B$17 &amp; "&amp;keyfile=" &amp; $B$5 &amp; "&amp;network=" &amp; LOWER($B$8) &amp; "&amp;repository=" &amp; $B$18</f>
        <v>owner=thomas&amp;filename_for_metadata=InCasa_COR22D762&amp;offchaindata_platform=MongoDB&amp;keyfile=Paul&amp;network=jsonfiles&amp;repository=test</v>
      </c>
      <c r="U925" s="1" t="str">
        <f t="shared" si="29"/>
        <v>{"name":"In Casa #762",_x000D_
"symbol":"COR22D762",_x000D_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5" s="1" t="str">
        <f>formatRow(Tokens!C$2:I$2,Tokens!C925:I925)</f>
        <v>"name":"In Casa #762",_x000D_
"symbol":"COR22D762",_x000D_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5" s="1" t="str">
        <f>formatRow(Tokens!J$2:AV$2,Tokens!J925:AV925,2,"attributes")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5" s="1" t="str">
        <f>formatRow(Tokens!AX$2:BC$2,Tokens!AX925:BC925,2,"creators")</f>
        <v>"creators":[{"address":"paul",_x000D_
"share":10},{"address":"sophie",_x000D_
"share":90}]</v>
      </c>
      <c r="Y925" s="1" t="str">
        <f>formatRow(Tokens!BD$2:BI$2,Tokens!BD925:BI925,2,"files")</f>
        <v>"files":[]</v>
      </c>
      <c r="Z925" s="1"/>
      <c r="AA925" s="1"/>
      <c r="AB925" s="1"/>
      <c r="AC925" s="1" t="str">
        <f>formatRow(Tokens!BJ$2:BK$2,Tokens!BJ925:BK925,0,"collection")</f>
        <v>"collection":{"name":"In Casa",_x000D_
"family":"Calvi On The Rocks"}</v>
      </c>
    </row>
    <row r="926" spans="5:29" ht="14.25" customHeight="1" x14ac:dyDescent="0.25">
      <c r="E926" s="17" t="str">
        <f>IF(Tokens!C926="","",Tokens!C926)</f>
        <v>In Casa #763</v>
      </c>
      <c r="F926"/>
      <c r="G926"/>
      <c r="H926"/>
      <c r="I926"/>
      <c r="J926"/>
      <c r="M926"/>
      <c r="N926"/>
      <c r="O926" s="15" t="str">
        <f t="shared" si="28"/>
        <v>_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1" t="str">
        <f>"owner=" &amp; Tokens!BS926 &amp; "&amp;filename_for_metadata=" &amp; Tokens!BT926 &amp; "&amp;offchaindata_platform=" &amp; $B$17 &amp; "&amp;keyfile=" &amp; $B$5 &amp; "&amp;network=" &amp; LOWER($B$8) &amp; "&amp;repository=" &amp; $B$18</f>
        <v>owner=thomas&amp;filename_for_metadata=InCasa_COR22D763&amp;offchaindata_platform=MongoDB&amp;keyfile=Paul&amp;network=jsonfiles&amp;repository=test</v>
      </c>
      <c r="U926" s="1" t="str">
        <f t="shared" si="29"/>
        <v>{"name":"In Casa #763",_x000D_
"symbol":"COR22D763",_x000D_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6" s="1" t="str">
        <f>formatRow(Tokens!C$2:I$2,Tokens!C926:I926)</f>
        <v>"name":"In Casa #763",_x000D_
"symbol":"COR22D763",_x000D_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6" s="1" t="str">
        <f>formatRow(Tokens!J$2:AV$2,Tokens!J926:AV926,2,"attributes")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6" s="1" t="str">
        <f>formatRow(Tokens!AX$2:BC$2,Tokens!AX926:BC926,2,"creators")</f>
        <v>"creators":[{"address":"paul",_x000D_
"share":10},{"address":"sophie",_x000D_
"share":90}]</v>
      </c>
      <c r="Y926" s="1" t="str">
        <f>formatRow(Tokens!BD$2:BI$2,Tokens!BD926:BI926,2,"files")</f>
        <v>"files":[]</v>
      </c>
      <c r="Z926" s="1"/>
      <c r="AA926" s="1"/>
      <c r="AB926" s="1"/>
      <c r="AC926" s="1" t="str">
        <f>formatRow(Tokens!BJ$2:BK$2,Tokens!BJ926:BK926,0,"collection")</f>
        <v>"collection":{"name":"In Casa",_x000D_
"family":"Calvi On The Rocks"}</v>
      </c>
    </row>
    <row r="927" spans="5:29" ht="14.25" customHeight="1" x14ac:dyDescent="0.25">
      <c r="E927" s="17" t="str">
        <f>IF(Tokens!C927="","",Tokens!C927)</f>
        <v>In Casa #764</v>
      </c>
      <c r="F927"/>
      <c r="G927"/>
      <c r="H927"/>
      <c r="I927"/>
      <c r="J927"/>
      <c r="M927"/>
      <c r="N927"/>
      <c r="O927" s="15" t="str">
        <f t="shared" si="28"/>
        <v>_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1" t="str">
        <f>"owner=" &amp; Tokens!BS927 &amp; "&amp;filename_for_metadata=" &amp; Tokens!BT927 &amp; "&amp;offchaindata_platform=" &amp; $B$17 &amp; "&amp;keyfile=" &amp; $B$5 &amp; "&amp;network=" &amp; LOWER($B$8) &amp; "&amp;repository=" &amp; $B$18</f>
        <v>owner=thomas&amp;filename_for_metadata=InCasa_COR22D764&amp;offchaindata_platform=MongoDB&amp;keyfile=Paul&amp;network=jsonfiles&amp;repository=test</v>
      </c>
      <c r="U927" s="1" t="str">
        <f t="shared" si="29"/>
        <v>{"name":"In Casa #764",_x000D_
"symbol":"COR22D764",_x000D_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7" s="1" t="str">
        <f>formatRow(Tokens!C$2:I$2,Tokens!C927:I927)</f>
        <v>"name":"In Casa #764",_x000D_
"symbol":"COR22D764",_x000D_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7" s="1" t="str">
        <f>formatRow(Tokens!J$2:AV$2,Tokens!J927:AV927,2,"attributes")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7" s="1" t="str">
        <f>formatRow(Tokens!AX$2:BC$2,Tokens!AX927:BC927,2,"creators")</f>
        <v>"creators":[{"address":"paul",_x000D_
"share":10},{"address":"sophie",_x000D_
"share":90}]</v>
      </c>
      <c r="Y927" s="1" t="str">
        <f>formatRow(Tokens!BD$2:BI$2,Tokens!BD927:BI927,2,"files")</f>
        <v>"files":[]</v>
      </c>
      <c r="Z927" s="1"/>
      <c r="AA927" s="1"/>
      <c r="AB927" s="1"/>
      <c r="AC927" s="1" t="str">
        <f>formatRow(Tokens!BJ$2:BK$2,Tokens!BJ927:BK927,0,"collection")</f>
        <v>"collection":{"name":"In Casa",_x000D_
"family":"Calvi On The Rocks"}</v>
      </c>
    </row>
    <row r="928" spans="5:29" ht="14.25" customHeight="1" x14ac:dyDescent="0.25">
      <c r="E928" s="17" t="str">
        <f>IF(Tokens!C928="","",Tokens!C928)</f>
        <v>In Casa #765</v>
      </c>
      <c r="F928"/>
      <c r="G928"/>
      <c r="H928"/>
      <c r="I928"/>
      <c r="J928"/>
      <c r="M928"/>
      <c r="N928"/>
      <c r="O928" s="15" t="str">
        <f t="shared" si="28"/>
        <v>_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1" t="str">
        <f>"owner=" &amp; Tokens!BS928 &amp; "&amp;filename_for_metadata=" &amp; Tokens!BT928 &amp; "&amp;offchaindata_platform=" &amp; $B$17 &amp; "&amp;keyfile=" &amp; $B$5 &amp; "&amp;network=" &amp; LOWER($B$8) &amp; "&amp;repository=" &amp; $B$18</f>
        <v>owner=thomas&amp;filename_for_metadata=InCasa_COR22D765&amp;offchaindata_platform=MongoDB&amp;keyfile=Paul&amp;network=jsonfiles&amp;repository=test</v>
      </c>
      <c r="U928" s="1" t="str">
        <f t="shared" si="29"/>
        <v>{"name":"In Casa #765",_x000D_
"symbol":"COR22D765",_x000D_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8" s="1" t="str">
        <f>formatRow(Tokens!C$2:I$2,Tokens!C928:I928)</f>
        <v>"name":"In Casa #765",_x000D_
"symbol":"COR22D765",_x000D_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8" s="1" t="str">
        <f>formatRow(Tokens!J$2:AV$2,Tokens!J928:AV928,2,"attributes")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8" s="1" t="str">
        <f>formatRow(Tokens!AX$2:BC$2,Tokens!AX928:BC928,2,"creators")</f>
        <v>"creators":[{"address":"paul",_x000D_
"share":10},{"address":"sophie",_x000D_
"share":90}]</v>
      </c>
      <c r="Y928" s="1" t="str">
        <f>formatRow(Tokens!BD$2:BI$2,Tokens!BD928:BI928,2,"files")</f>
        <v>"files":[]</v>
      </c>
      <c r="Z928" s="1"/>
      <c r="AA928" s="1"/>
      <c r="AB928" s="1"/>
      <c r="AC928" s="1" t="str">
        <f>formatRow(Tokens!BJ$2:BK$2,Tokens!BJ928:BK928,0,"collection")</f>
        <v>"collection":{"name":"In Casa",_x000D_
"family":"Calvi On The Rocks"}</v>
      </c>
    </row>
    <row r="929" spans="5:29" ht="14.25" customHeight="1" x14ac:dyDescent="0.25">
      <c r="E929" s="17" t="str">
        <f>IF(Tokens!C929="","",Tokens!C929)</f>
        <v>In Casa #766</v>
      </c>
      <c r="F929"/>
      <c r="G929"/>
      <c r="H929"/>
      <c r="I929"/>
      <c r="J929"/>
      <c r="M929"/>
      <c r="N929"/>
      <c r="O929" s="15" t="str">
        <f t="shared" si="28"/>
        <v>_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1" t="str">
        <f>"owner=" &amp; Tokens!BS929 &amp; "&amp;filename_for_metadata=" &amp; Tokens!BT929 &amp; "&amp;offchaindata_platform=" &amp; $B$17 &amp; "&amp;keyfile=" &amp; $B$5 &amp; "&amp;network=" &amp; LOWER($B$8) &amp; "&amp;repository=" &amp; $B$18</f>
        <v>owner=thomas&amp;filename_for_metadata=InCasa_COR22D766&amp;offchaindata_platform=MongoDB&amp;keyfile=Paul&amp;network=jsonfiles&amp;repository=test</v>
      </c>
      <c r="U929" s="1" t="str">
        <f t="shared" si="29"/>
        <v>{"name":"In Casa #766",_x000D_
"symbol":"COR22D766",_x000D_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29" s="1" t="str">
        <f>formatRow(Tokens!C$2:I$2,Tokens!C929:I929)</f>
        <v>"name":"In Casa #766",_x000D_
"symbol":"COR22D766",_x000D_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29" s="1" t="str">
        <f>formatRow(Tokens!J$2:AV$2,Tokens!J929:AV929,2,"attributes")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29" s="1" t="str">
        <f>formatRow(Tokens!AX$2:BC$2,Tokens!AX929:BC929,2,"creators")</f>
        <v>"creators":[{"address":"paul",_x000D_
"share":10},{"address":"sophie",_x000D_
"share":90}]</v>
      </c>
      <c r="Y929" s="1" t="str">
        <f>formatRow(Tokens!BD$2:BI$2,Tokens!BD929:BI929,2,"files")</f>
        <v>"files":[]</v>
      </c>
      <c r="Z929" s="1"/>
      <c r="AA929" s="1"/>
      <c r="AB929" s="1"/>
      <c r="AC929" s="1" t="str">
        <f>formatRow(Tokens!BJ$2:BK$2,Tokens!BJ929:BK929,0,"collection")</f>
        <v>"collection":{"name":"In Casa",_x000D_
"family":"Calvi On The Rocks"}</v>
      </c>
    </row>
    <row r="930" spans="5:29" ht="14.25" customHeight="1" x14ac:dyDescent="0.25">
      <c r="E930" s="17" t="str">
        <f>IF(Tokens!C930="","",Tokens!C930)</f>
        <v>In Casa #767</v>
      </c>
      <c r="F930"/>
      <c r="G930"/>
      <c r="H930"/>
      <c r="I930"/>
      <c r="J930"/>
      <c r="M930"/>
      <c r="N930"/>
      <c r="O930" s="15" t="str">
        <f t="shared" si="28"/>
        <v>_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1" t="str">
        <f>"owner=" &amp; Tokens!BS930 &amp; "&amp;filename_for_metadata=" &amp; Tokens!BT930 &amp; "&amp;offchaindata_platform=" &amp; $B$17 &amp; "&amp;keyfile=" &amp; $B$5 &amp; "&amp;network=" &amp; LOWER($B$8) &amp; "&amp;repository=" &amp; $B$18</f>
        <v>owner=thomas&amp;filename_for_metadata=InCasa_COR22D767&amp;offchaindata_platform=MongoDB&amp;keyfile=Paul&amp;network=jsonfiles&amp;repository=test</v>
      </c>
      <c r="U930" s="1" t="str">
        <f t="shared" si="29"/>
        <v>{"name":"In Casa #767",_x000D_
"symbol":"COR22D767",_x000D_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0" s="1" t="str">
        <f>formatRow(Tokens!C$2:I$2,Tokens!C930:I930)</f>
        <v>"name":"In Casa #767",_x000D_
"symbol":"COR22D767",_x000D_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0" s="1" t="str">
        <f>formatRow(Tokens!J$2:AV$2,Tokens!J930:AV930,2,"attributes")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0" s="1" t="str">
        <f>formatRow(Tokens!AX$2:BC$2,Tokens!AX930:BC930,2,"creators")</f>
        <v>"creators":[{"address":"paul",_x000D_
"share":10},{"address":"sophie",_x000D_
"share":90}]</v>
      </c>
      <c r="Y930" s="1" t="str">
        <f>formatRow(Tokens!BD$2:BI$2,Tokens!BD930:BI930,2,"files")</f>
        <v>"files":[]</v>
      </c>
      <c r="Z930" s="1"/>
      <c r="AA930" s="1"/>
      <c r="AB930" s="1"/>
      <c r="AC930" s="1" t="str">
        <f>formatRow(Tokens!BJ$2:BK$2,Tokens!BJ930:BK930,0,"collection")</f>
        <v>"collection":{"name":"In Casa",_x000D_
"family":"Calvi On The Rocks"}</v>
      </c>
    </row>
    <row r="931" spans="5:29" ht="14.25" customHeight="1" x14ac:dyDescent="0.25">
      <c r="E931" s="17" t="str">
        <f>IF(Tokens!C931="","",Tokens!C931)</f>
        <v>In Casa #768</v>
      </c>
      <c r="F931"/>
      <c r="G931"/>
      <c r="H931"/>
      <c r="I931"/>
      <c r="J931"/>
      <c r="M931"/>
      <c r="N931"/>
      <c r="O931" s="15" t="str">
        <f t="shared" si="28"/>
        <v>_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1" t="str">
        <f>"owner=" &amp; Tokens!BS931 &amp; "&amp;filename_for_metadata=" &amp; Tokens!BT931 &amp; "&amp;offchaindata_platform=" &amp; $B$17 &amp; "&amp;keyfile=" &amp; $B$5 &amp; "&amp;network=" &amp; LOWER($B$8) &amp; "&amp;repository=" &amp; $B$18</f>
        <v>owner=thomas&amp;filename_for_metadata=InCasa_COR22D768&amp;offchaindata_platform=MongoDB&amp;keyfile=Paul&amp;network=jsonfiles&amp;repository=test</v>
      </c>
      <c r="U931" s="1" t="str">
        <f t="shared" si="29"/>
        <v>{"name":"In Casa #768",_x000D_
"symbol":"COR22D768",_x000D_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1" s="1" t="str">
        <f>formatRow(Tokens!C$2:I$2,Tokens!C931:I931)</f>
        <v>"name":"In Casa #768",_x000D_
"symbol":"COR22D768",_x000D_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1" s="1" t="str">
        <f>formatRow(Tokens!J$2:AV$2,Tokens!J931:AV931,2,"attributes")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1" s="1" t="str">
        <f>formatRow(Tokens!AX$2:BC$2,Tokens!AX931:BC931,2,"creators")</f>
        <v>"creators":[{"address":"paul",_x000D_
"share":10},{"address":"sophie",_x000D_
"share":90}]</v>
      </c>
      <c r="Y931" s="1" t="str">
        <f>formatRow(Tokens!BD$2:BI$2,Tokens!BD931:BI931,2,"files")</f>
        <v>"files":[]</v>
      </c>
      <c r="Z931" s="1"/>
      <c r="AA931" s="1"/>
      <c r="AB931" s="1"/>
      <c r="AC931" s="1" t="str">
        <f>formatRow(Tokens!BJ$2:BK$2,Tokens!BJ931:BK931,0,"collection")</f>
        <v>"collection":{"name":"In Casa",_x000D_
"family":"Calvi On The Rocks"}</v>
      </c>
    </row>
    <row r="932" spans="5:29" ht="14.25" customHeight="1" x14ac:dyDescent="0.25">
      <c r="E932" s="17" t="str">
        <f>IF(Tokens!C932="","",Tokens!C932)</f>
        <v>In Casa #769</v>
      </c>
      <c r="F932"/>
      <c r="G932"/>
      <c r="H932"/>
      <c r="I932"/>
      <c r="J932"/>
      <c r="M932"/>
      <c r="N932"/>
      <c r="O932" s="15" t="str">
        <f t="shared" si="28"/>
        <v>_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1" t="str">
        <f>"owner=" &amp; Tokens!BS932 &amp; "&amp;filename_for_metadata=" &amp; Tokens!BT932 &amp; "&amp;offchaindata_platform=" &amp; $B$17 &amp; "&amp;keyfile=" &amp; $B$5 &amp; "&amp;network=" &amp; LOWER($B$8) &amp; "&amp;repository=" &amp; $B$18</f>
        <v>owner=thomas&amp;filename_for_metadata=InCasa_COR22D769&amp;offchaindata_platform=MongoDB&amp;keyfile=Paul&amp;network=jsonfiles&amp;repository=test</v>
      </c>
      <c r="U932" s="1" t="str">
        <f t="shared" si="29"/>
        <v>{"name":"In Casa #769",_x000D_
"symbol":"COR22D769",_x000D_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2" s="1" t="str">
        <f>formatRow(Tokens!C$2:I$2,Tokens!C932:I932)</f>
        <v>"name":"In Casa #769",_x000D_
"symbol":"COR22D769",_x000D_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2" s="1" t="str">
        <f>formatRow(Tokens!J$2:AV$2,Tokens!J932:AV932,2,"attributes")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2" s="1" t="str">
        <f>formatRow(Tokens!AX$2:BC$2,Tokens!AX932:BC932,2,"creators")</f>
        <v>"creators":[{"address":"paul",_x000D_
"share":10},{"address":"sophie",_x000D_
"share":90}]</v>
      </c>
      <c r="Y932" s="1" t="str">
        <f>formatRow(Tokens!BD$2:BI$2,Tokens!BD932:BI932,2,"files")</f>
        <v>"files":[]</v>
      </c>
      <c r="Z932" s="1"/>
      <c r="AA932" s="1"/>
      <c r="AB932" s="1"/>
      <c r="AC932" s="1" t="str">
        <f>formatRow(Tokens!BJ$2:BK$2,Tokens!BJ932:BK932,0,"collection")</f>
        <v>"collection":{"name":"In Casa",_x000D_
"family":"Calvi On The Rocks"}</v>
      </c>
    </row>
    <row r="933" spans="5:29" ht="14.25" customHeight="1" x14ac:dyDescent="0.25">
      <c r="E933" s="17" t="str">
        <f>IF(Tokens!C933="","",Tokens!C933)</f>
        <v>In Casa #770</v>
      </c>
      <c r="F933"/>
      <c r="G933"/>
      <c r="H933"/>
      <c r="I933"/>
      <c r="J933"/>
      <c r="M933"/>
      <c r="N933"/>
      <c r="O933" s="15" t="str">
        <f t="shared" si="28"/>
        <v>_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1" t="str">
        <f>"owner=" &amp; Tokens!BS933 &amp; "&amp;filename_for_metadata=" &amp; Tokens!BT933 &amp; "&amp;offchaindata_platform=" &amp; $B$17 &amp; "&amp;keyfile=" &amp; $B$5 &amp; "&amp;network=" &amp; LOWER($B$8) &amp; "&amp;repository=" &amp; $B$18</f>
        <v>owner=thomas&amp;filename_for_metadata=InCasa_COR22D770&amp;offchaindata_platform=MongoDB&amp;keyfile=Paul&amp;network=jsonfiles&amp;repository=test</v>
      </c>
      <c r="U933" s="1" t="str">
        <f t="shared" si="29"/>
        <v>{"name":"In Casa #770",_x000D_
"symbol":"COR22D770",_x000D_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3" s="1" t="str">
        <f>formatRow(Tokens!C$2:I$2,Tokens!C933:I933)</f>
        <v>"name":"In Casa #770",_x000D_
"symbol":"COR22D770",_x000D_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3" s="1" t="str">
        <f>formatRow(Tokens!J$2:AV$2,Tokens!J933:AV933,2,"attributes")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3" s="1" t="str">
        <f>formatRow(Tokens!AX$2:BC$2,Tokens!AX933:BC933,2,"creators")</f>
        <v>"creators":[{"address":"paul",_x000D_
"share":10},{"address":"sophie",_x000D_
"share":90}]</v>
      </c>
      <c r="Y933" s="1" t="str">
        <f>formatRow(Tokens!BD$2:BI$2,Tokens!BD933:BI933,2,"files")</f>
        <v>"files":[]</v>
      </c>
      <c r="Z933" s="1"/>
      <c r="AA933" s="1"/>
      <c r="AB933" s="1"/>
      <c r="AC933" s="1" t="str">
        <f>formatRow(Tokens!BJ$2:BK$2,Tokens!BJ933:BK933,0,"collection")</f>
        <v>"collection":{"name":"In Casa",_x000D_
"family":"Calvi On The Rocks"}</v>
      </c>
    </row>
    <row r="934" spans="5:29" ht="14.25" customHeight="1" x14ac:dyDescent="0.25">
      <c r="E934" s="17" t="str">
        <f>IF(Tokens!C934="","",Tokens!C934)</f>
        <v>In Casa #771</v>
      </c>
      <c r="F934"/>
      <c r="G934"/>
      <c r="H934"/>
      <c r="I934"/>
      <c r="J934"/>
      <c r="M934"/>
      <c r="N934"/>
      <c r="O934" s="15" t="str">
        <f t="shared" si="28"/>
        <v>_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1" t="str">
        <f>"owner=" &amp; Tokens!BS934 &amp; "&amp;filename_for_metadata=" &amp; Tokens!BT934 &amp; "&amp;offchaindata_platform=" &amp; $B$17 &amp; "&amp;keyfile=" &amp; $B$5 &amp; "&amp;network=" &amp; LOWER($B$8) &amp; "&amp;repository=" &amp; $B$18</f>
        <v>owner=thomas&amp;filename_for_metadata=InCasa_COR22D771&amp;offchaindata_platform=MongoDB&amp;keyfile=Paul&amp;network=jsonfiles&amp;repository=test</v>
      </c>
      <c r="U934" s="1" t="str">
        <f t="shared" si="29"/>
        <v>{"name":"In Casa #771",_x000D_
"symbol":"COR22D771",_x000D_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4" s="1" t="str">
        <f>formatRow(Tokens!C$2:I$2,Tokens!C934:I934)</f>
        <v>"name":"In Casa #771",_x000D_
"symbol":"COR22D771",_x000D_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4" s="1" t="str">
        <f>formatRow(Tokens!J$2:AV$2,Tokens!J934:AV934,2,"attributes")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4" s="1" t="str">
        <f>formatRow(Tokens!AX$2:BC$2,Tokens!AX934:BC934,2,"creators")</f>
        <v>"creators":[{"address":"paul",_x000D_
"share":10},{"address":"sophie",_x000D_
"share":90}]</v>
      </c>
      <c r="Y934" s="1" t="str">
        <f>formatRow(Tokens!BD$2:BI$2,Tokens!BD934:BI934,2,"files")</f>
        <v>"files":[]</v>
      </c>
      <c r="Z934" s="1"/>
      <c r="AA934" s="1"/>
      <c r="AB934" s="1"/>
      <c r="AC934" s="1" t="str">
        <f>formatRow(Tokens!BJ$2:BK$2,Tokens!BJ934:BK934,0,"collection")</f>
        <v>"collection":{"name":"In Casa",_x000D_
"family":"Calvi On The Rocks"}</v>
      </c>
    </row>
    <row r="935" spans="5:29" ht="14.25" customHeight="1" x14ac:dyDescent="0.25">
      <c r="E935" s="17" t="str">
        <f>IF(Tokens!C935="","",Tokens!C935)</f>
        <v>In Casa #772</v>
      </c>
      <c r="F935"/>
      <c r="G935"/>
      <c r="H935"/>
      <c r="I935"/>
      <c r="J935"/>
      <c r="M935"/>
      <c r="N935"/>
      <c r="O935" s="15" t="str">
        <f t="shared" si="28"/>
        <v>_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1" t="str">
        <f>"owner=" &amp; Tokens!BS935 &amp; "&amp;filename_for_metadata=" &amp; Tokens!BT935 &amp; "&amp;offchaindata_platform=" &amp; $B$17 &amp; "&amp;keyfile=" &amp; $B$5 &amp; "&amp;network=" &amp; LOWER($B$8) &amp; "&amp;repository=" &amp; $B$18</f>
        <v>owner=thomas&amp;filename_for_metadata=InCasa_COR22D772&amp;offchaindata_platform=MongoDB&amp;keyfile=Paul&amp;network=jsonfiles&amp;repository=test</v>
      </c>
      <c r="U935" s="1" t="str">
        <f t="shared" si="29"/>
        <v>{"name":"In Casa #772",_x000D_
"symbol":"COR22D772",_x000D_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5" s="1" t="str">
        <f>formatRow(Tokens!C$2:I$2,Tokens!C935:I935)</f>
        <v>"name":"In Casa #772",_x000D_
"symbol":"COR22D772",_x000D_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5" s="1" t="str">
        <f>formatRow(Tokens!J$2:AV$2,Tokens!J935:AV935,2,"attributes")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5" s="1" t="str">
        <f>formatRow(Tokens!AX$2:BC$2,Tokens!AX935:BC935,2,"creators")</f>
        <v>"creators":[{"address":"paul",_x000D_
"share":10},{"address":"sophie",_x000D_
"share":90}]</v>
      </c>
      <c r="Y935" s="1" t="str">
        <f>formatRow(Tokens!BD$2:BI$2,Tokens!BD935:BI935,2,"files")</f>
        <v>"files":[]</v>
      </c>
      <c r="Z935" s="1"/>
      <c r="AA935" s="1"/>
      <c r="AB935" s="1"/>
      <c r="AC935" s="1" t="str">
        <f>formatRow(Tokens!BJ$2:BK$2,Tokens!BJ935:BK935,0,"collection")</f>
        <v>"collection":{"name":"In Casa",_x000D_
"family":"Calvi On The Rocks"}</v>
      </c>
    </row>
    <row r="936" spans="5:29" ht="14.25" customHeight="1" x14ac:dyDescent="0.25">
      <c r="E936" s="17" t="str">
        <f>IF(Tokens!C936="","",Tokens!C936)</f>
        <v>In Casa #773</v>
      </c>
      <c r="F936"/>
      <c r="G936"/>
      <c r="H936"/>
      <c r="I936"/>
      <c r="J936"/>
      <c r="M936"/>
      <c r="N936"/>
      <c r="O936" s="15" t="str">
        <f t="shared" si="28"/>
        <v>_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1" t="str">
        <f>"owner=" &amp; Tokens!BS936 &amp; "&amp;filename_for_metadata=" &amp; Tokens!BT936 &amp; "&amp;offchaindata_platform=" &amp; $B$17 &amp; "&amp;keyfile=" &amp; $B$5 &amp; "&amp;network=" &amp; LOWER($B$8) &amp; "&amp;repository=" &amp; $B$18</f>
        <v>owner=thomas&amp;filename_for_metadata=InCasa_COR22D773&amp;offchaindata_platform=MongoDB&amp;keyfile=Paul&amp;network=jsonfiles&amp;repository=test</v>
      </c>
      <c r="U936" s="1" t="str">
        <f t="shared" si="29"/>
        <v>{"name":"In Casa #773",_x000D_
"symbol":"COR22D773",_x000D_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6" s="1" t="str">
        <f>formatRow(Tokens!C$2:I$2,Tokens!C936:I936)</f>
        <v>"name":"In Casa #773",_x000D_
"symbol":"COR22D773",_x000D_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6" s="1" t="str">
        <f>formatRow(Tokens!J$2:AV$2,Tokens!J936:AV936,2,"attributes")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6" s="1" t="str">
        <f>formatRow(Tokens!AX$2:BC$2,Tokens!AX936:BC936,2,"creators")</f>
        <v>"creators":[{"address":"paul",_x000D_
"share":10},{"address":"sophie",_x000D_
"share":90}]</v>
      </c>
      <c r="Y936" s="1" t="str">
        <f>formatRow(Tokens!BD$2:BI$2,Tokens!BD936:BI936,2,"files")</f>
        <v>"files":[]</v>
      </c>
      <c r="Z936" s="1"/>
      <c r="AA936" s="1"/>
      <c r="AB936" s="1"/>
      <c r="AC936" s="1" t="str">
        <f>formatRow(Tokens!BJ$2:BK$2,Tokens!BJ936:BK936,0,"collection")</f>
        <v>"collection":{"name":"In Casa",_x000D_
"family":"Calvi On The Rocks"}</v>
      </c>
    </row>
    <row r="937" spans="5:29" ht="14.25" customHeight="1" x14ac:dyDescent="0.25">
      <c r="E937" s="17" t="str">
        <f>IF(Tokens!C937="","",Tokens!C937)</f>
        <v>In Casa #774</v>
      </c>
      <c r="F937"/>
      <c r="G937"/>
      <c r="H937"/>
      <c r="I937"/>
      <c r="J937"/>
      <c r="M937"/>
      <c r="N937"/>
      <c r="O937" s="15" t="str">
        <f t="shared" si="28"/>
        <v>_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1" t="str">
        <f>"owner=" &amp; Tokens!BS937 &amp; "&amp;filename_for_metadata=" &amp; Tokens!BT937 &amp; "&amp;offchaindata_platform=" &amp; $B$17 &amp; "&amp;keyfile=" &amp; $B$5 &amp; "&amp;network=" &amp; LOWER($B$8) &amp; "&amp;repository=" &amp; $B$18</f>
        <v>owner=thomas&amp;filename_for_metadata=InCasa_COR22D774&amp;offchaindata_platform=MongoDB&amp;keyfile=Paul&amp;network=jsonfiles&amp;repository=test</v>
      </c>
      <c r="U937" s="1" t="str">
        <f t="shared" si="29"/>
        <v>{"name":"In Casa #774",_x000D_
"symbol":"COR22D774",_x000D_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7" s="1" t="str">
        <f>formatRow(Tokens!C$2:I$2,Tokens!C937:I937)</f>
        <v>"name":"In Casa #774",_x000D_
"symbol":"COR22D774",_x000D_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7" s="1" t="str">
        <f>formatRow(Tokens!J$2:AV$2,Tokens!J937:AV937,2,"attributes")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7" s="1" t="str">
        <f>formatRow(Tokens!AX$2:BC$2,Tokens!AX937:BC937,2,"creators")</f>
        <v>"creators":[{"address":"paul",_x000D_
"share":10},{"address":"sophie",_x000D_
"share":90}]</v>
      </c>
      <c r="Y937" s="1" t="str">
        <f>formatRow(Tokens!BD$2:BI$2,Tokens!BD937:BI937,2,"files")</f>
        <v>"files":[]</v>
      </c>
      <c r="Z937" s="1"/>
      <c r="AA937" s="1"/>
      <c r="AB937" s="1"/>
      <c r="AC937" s="1" t="str">
        <f>formatRow(Tokens!BJ$2:BK$2,Tokens!BJ937:BK937,0,"collection")</f>
        <v>"collection":{"name":"In Casa",_x000D_
"family":"Calvi On The Rocks"}</v>
      </c>
    </row>
    <row r="938" spans="5:29" ht="14.25" customHeight="1" x14ac:dyDescent="0.25">
      <c r="E938" s="17" t="str">
        <f>IF(Tokens!C938="","",Tokens!C938)</f>
        <v>In Casa #775</v>
      </c>
      <c r="F938"/>
      <c r="G938"/>
      <c r="H938"/>
      <c r="I938"/>
      <c r="J938"/>
      <c r="M938"/>
      <c r="N938"/>
      <c r="O938" s="15" t="str">
        <f t="shared" si="28"/>
        <v>_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1" t="str">
        <f>"owner=" &amp; Tokens!BS938 &amp; "&amp;filename_for_metadata=" &amp; Tokens!BT938 &amp; "&amp;offchaindata_platform=" &amp; $B$17 &amp; "&amp;keyfile=" &amp; $B$5 &amp; "&amp;network=" &amp; LOWER($B$8) &amp; "&amp;repository=" &amp; $B$18</f>
        <v>owner=thomas&amp;filename_for_metadata=InCasa_COR22D775&amp;offchaindata_platform=MongoDB&amp;keyfile=Paul&amp;network=jsonfiles&amp;repository=test</v>
      </c>
      <c r="U938" s="1" t="str">
        <f t="shared" si="29"/>
        <v>{"name":"In Casa #775",_x000D_
"symbol":"COR22D775",_x000D_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8" s="1" t="str">
        <f>formatRow(Tokens!C$2:I$2,Tokens!C938:I938)</f>
        <v>"name":"In Casa #775",_x000D_
"symbol":"COR22D775",_x000D_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8" s="1" t="str">
        <f>formatRow(Tokens!J$2:AV$2,Tokens!J938:AV938,2,"attributes")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8" s="1" t="str">
        <f>formatRow(Tokens!AX$2:BC$2,Tokens!AX938:BC938,2,"creators")</f>
        <v>"creators":[{"address":"paul",_x000D_
"share":10},{"address":"sophie",_x000D_
"share":90}]</v>
      </c>
      <c r="Y938" s="1" t="str">
        <f>formatRow(Tokens!BD$2:BI$2,Tokens!BD938:BI938,2,"files")</f>
        <v>"files":[]</v>
      </c>
      <c r="Z938" s="1"/>
      <c r="AA938" s="1"/>
      <c r="AB938" s="1"/>
      <c r="AC938" s="1" t="str">
        <f>formatRow(Tokens!BJ$2:BK$2,Tokens!BJ938:BK938,0,"collection")</f>
        <v>"collection":{"name":"In Casa",_x000D_
"family":"Calvi On The Rocks"}</v>
      </c>
    </row>
    <row r="939" spans="5:29" ht="14.25" customHeight="1" x14ac:dyDescent="0.25">
      <c r="E939" s="17" t="str">
        <f>IF(Tokens!C939="","",Tokens!C939)</f>
        <v>In Casa #776</v>
      </c>
      <c r="F939"/>
      <c r="G939"/>
      <c r="H939"/>
      <c r="I939"/>
      <c r="J939"/>
      <c r="M939"/>
      <c r="N939"/>
      <c r="O939" s="15" t="str">
        <f t="shared" si="28"/>
        <v>_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1" t="str">
        <f>"owner=" &amp; Tokens!BS939 &amp; "&amp;filename_for_metadata=" &amp; Tokens!BT939 &amp; "&amp;offchaindata_platform=" &amp; $B$17 &amp; "&amp;keyfile=" &amp; $B$5 &amp; "&amp;network=" &amp; LOWER($B$8) &amp; "&amp;repository=" &amp; $B$18</f>
        <v>owner=thomas&amp;filename_for_metadata=InCasa_COR22D776&amp;offchaindata_platform=MongoDB&amp;keyfile=Paul&amp;network=jsonfiles&amp;repository=test</v>
      </c>
      <c r="U939" s="1" t="str">
        <f t="shared" si="29"/>
        <v>{"name":"In Casa #776",_x000D_
"symbol":"COR22D776",_x000D_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39" s="1" t="str">
        <f>formatRow(Tokens!C$2:I$2,Tokens!C939:I939)</f>
        <v>"name":"In Casa #776",_x000D_
"symbol":"COR22D776",_x000D_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39" s="1" t="str">
        <f>formatRow(Tokens!J$2:AV$2,Tokens!J939:AV939,2,"attributes")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39" s="1" t="str">
        <f>formatRow(Tokens!AX$2:BC$2,Tokens!AX939:BC939,2,"creators")</f>
        <v>"creators":[{"address":"paul",_x000D_
"share":10},{"address":"sophie",_x000D_
"share":90}]</v>
      </c>
      <c r="Y939" s="1" t="str">
        <f>formatRow(Tokens!BD$2:BI$2,Tokens!BD939:BI939,2,"files")</f>
        <v>"files":[]</v>
      </c>
      <c r="Z939" s="1"/>
      <c r="AA939" s="1"/>
      <c r="AB939" s="1"/>
      <c r="AC939" s="1" t="str">
        <f>formatRow(Tokens!BJ$2:BK$2,Tokens!BJ939:BK939,0,"collection")</f>
        <v>"collection":{"name":"In Casa",_x000D_
"family":"Calvi On The Rocks"}</v>
      </c>
    </row>
    <row r="940" spans="5:29" ht="14.25" customHeight="1" x14ac:dyDescent="0.25">
      <c r="E940" s="17" t="str">
        <f>IF(Tokens!C940="","",Tokens!C940)</f>
        <v>In Casa #777</v>
      </c>
      <c r="F940"/>
      <c r="G940"/>
      <c r="H940"/>
      <c r="I940"/>
      <c r="J940"/>
      <c r="M940"/>
      <c r="N940"/>
      <c r="O940" s="15" t="str">
        <f t="shared" si="28"/>
        <v>_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1" t="str">
        <f>"owner=" &amp; Tokens!BS940 &amp; "&amp;filename_for_metadata=" &amp; Tokens!BT940 &amp; "&amp;offchaindata_platform=" &amp; $B$17 &amp; "&amp;keyfile=" &amp; $B$5 &amp; "&amp;network=" &amp; LOWER($B$8) &amp; "&amp;repository=" &amp; $B$18</f>
        <v>owner=thomas&amp;filename_for_metadata=InCasa_COR22D777&amp;offchaindata_platform=MongoDB&amp;keyfile=Paul&amp;network=jsonfiles&amp;repository=test</v>
      </c>
      <c r="U940" s="1" t="str">
        <f t="shared" si="29"/>
        <v>{"name":"In Casa #777",_x000D_
"symbol":"COR22D777",_x000D_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0" s="1" t="str">
        <f>formatRow(Tokens!C$2:I$2,Tokens!C940:I940)</f>
        <v>"name":"In Casa #777",_x000D_
"symbol":"COR22D777",_x000D_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0" s="1" t="str">
        <f>formatRow(Tokens!J$2:AV$2,Tokens!J940:AV940,2,"attributes")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0" s="1" t="str">
        <f>formatRow(Tokens!AX$2:BC$2,Tokens!AX940:BC940,2,"creators")</f>
        <v>"creators":[{"address":"paul",_x000D_
"share":10},{"address":"sophie",_x000D_
"share":90}]</v>
      </c>
      <c r="Y940" s="1" t="str">
        <f>formatRow(Tokens!BD$2:BI$2,Tokens!BD940:BI940,2,"files")</f>
        <v>"files":[]</v>
      </c>
      <c r="Z940" s="1"/>
      <c r="AA940" s="1"/>
      <c r="AB940" s="1"/>
      <c r="AC940" s="1" t="str">
        <f>formatRow(Tokens!BJ$2:BK$2,Tokens!BJ940:BK940,0,"collection")</f>
        <v>"collection":{"name":"In Casa",_x000D_
"family":"Calvi On The Rocks"}</v>
      </c>
    </row>
    <row r="941" spans="5:29" ht="14.25" customHeight="1" x14ac:dyDescent="0.25">
      <c r="E941" s="17" t="str">
        <f>IF(Tokens!C941="","",Tokens!C941)</f>
        <v>In Casa #778</v>
      </c>
      <c r="F941"/>
      <c r="G941"/>
      <c r="H941"/>
      <c r="I941"/>
      <c r="J941"/>
      <c r="M941"/>
      <c r="N941"/>
      <c r="O941" s="15" t="str">
        <f t="shared" si="28"/>
        <v>_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1" t="str">
        <f>"owner=" &amp; Tokens!BS941 &amp; "&amp;filename_for_metadata=" &amp; Tokens!BT941 &amp; "&amp;offchaindata_platform=" &amp; $B$17 &amp; "&amp;keyfile=" &amp; $B$5 &amp; "&amp;network=" &amp; LOWER($B$8) &amp; "&amp;repository=" &amp; $B$18</f>
        <v>owner=thomas&amp;filename_for_metadata=InCasa_COR22D778&amp;offchaindata_platform=MongoDB&amp;keyfile=Paul&amp;network=jsonfiles&amp;repository=test</v>
      </c>
      <c r="U941" s="1" t="str">
        <f t="shared" si="29"/>
        <v>{"name":"In Casa #778",_x000D_
"symbol":"COR22D778",_x000D_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1" s="1" t="str">
        <f>formatRow(Tokens!C$2:I$2,Tokens!C941:I941)</f>
        <v>"name":"In Casa #778",_x000D_
"symbol":"COR22D778",_x000D_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1" s="1" t="str">
        <f>formatRow(Tokens!J$2:AV$2,Tokens!J941:AV941,2,"attributes")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1" s="1" t="str">
        <f>formatRow(Tokens!AX$2:BC$2,Tokens!AX941:BC941,2,"creators")</f>
        <v>"creators":[{"address":"paul",_x000D_
"share":10},{"address":"sophie",_x000D_
"share":90}]</v>
      </c>
      <c r="Y941" s="1" t="str">
        <f>formatRow(Tokens!BD$2:BI$2,Tokens!BD941:BI941,2,"files")</f>
        <v>"files":[]</v>
      </c>
      <c r="Z941" s="1"/>
      <c r="AA941" s="1"/>
      <c r="AB941" s="1"/>
      <c r="AC941" s="1" t="str">
        <f>formatRow(Tokens!BJ$2:BK$2,Tokens!BJ941:BK941,0,"collection")</f>
        <v>"collection":{"name":"In Casa",_x000D_
"family":"Calvi On The Rocks"}</v>
      </c>
    </row>
    <row r="942" spans="5:29" ht="14.25" customHeight="1" x14ac:dyDescent="0.25">
      <c r="E942" s="17" t="str">
        <f>IF(Tokens!C942="","",Tokens!C942)</f>
        <v>In Casa #779</v>
      </c>
      <c r="F942"/>
      <c r="G942"/>
      <c r="H942"/>
      <c r="I942"/>
      <c r="J942"/>
      <c r="M942"/>
      <c r="N942"/>
      <c r="O942" s="15" t="str">
        <f t="shared" si="28"/>
        <v>_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1" t="str">
        <f>"owner=" &amp; Tokens!BS942 &amp; "&amp;filename_for_metadata=" &amp; Tokens!BT942 &amp; "&amp;offchaindata_platform=" &amp; $B$17 &amp; "&amp;keyfile=" &amp; $B$5 &amp; "&amp;network=" &amp; LOWER($B$8) &amp; "&amp;repository=" &amp; $B$18</f>
        <v>owner=thomas&amp;filename_for_metadata=InCasa_COR22D779&amp;offchaindata_platform=MongoDB&amp;keyfile=Paul&amp;network=jsonfiles&amp;repository=test</v>
      </c>
      <c r="U942" s="1" t="str">
        <f t="shared" si="29"/>
        <v>{"name":"In Casa #779",_x000D_
"symbol":"COR22D779",_x000D_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2" s="1" t="str">
        <f>formatRow(Tokens!C$2:I$2,Tokens!C942:I942)</f>
        <v>"name":"In Casa #779",_x000D_
"symbol":"COR22D779",_x000D_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2" s="1" t="str">
        <f>formatRow(Tokens!J$2:AV$2,Tokens!J942:AV942,2,"attributes")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2" s="1" t="str">
        <f>formatRow(Tokens!AX$2:BC$2,Tokens!AX942:BC942,2,"creators")</f>
        <v>"creators":[{"address":"paul",_x000D_
"share":10},{"address":"sophie",_x000D_
"share":90}]</v>
      </c>
      <c r="Y942" s="1" t="str">
        <f>formatRow(Tokens!BD$2:BI$2,Tokens!BD942:BI942,2,"files")</f>
        <v>"files":[]</v>
      </c>
      <c r="Z942" s="1"/>
      <c r="AA942" s="1"/>
      <c r="AB942" s="1"/>
      <c r="AC942" s="1" t="str">
        <f>formatRow(Tokens!BJ$2:BK$2,Tokens!BJ942:BK942,0,"collection")</f>
        <v>"collection":{"name":"In Casa",_x000D_
"family":"Calvi On The Rocks"}</v>
      </c>
    </row>
    <row r="943" spans="5:29" ht="14.25" customHeight="1" x14ac:dyDescent="0.25">
      <c r="E943" s="17" t="str">
        <f>IF(Tokens!C943="","",Tokens!C943)</f>
        <v>In Casa #780</v>
      </c>
      <c r="F943"/>
      <c r="G943"/>
      <c r="H943"/>
      <c r="I943"/>
      <c r="J943"/>
      <c r="M943"/>
      <c r="N943"/>
      <c r="O943" s="15" t="str">
        <f t="shared" si="28"/>
        <v>_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1" t="str">
        <f>"owner=" &amp; Tokens!BS943 &amp; "&amp;filename_for_metadata=" &amp; Tokens!BT943 &amp; "&amp;offchaindata_platform=" &amp; $B$17 &amp; "&amp;keyfile=" &amp; $B$5 &amp; "&amp;network=" &amp; LOWER($B$8) &amp; "&amp;repository=" &amp; $B$18</f>
        <v>owner=thomas&amp;filename_for_metadata=InCasa_COR22D780&amp;offchaindata_platform=MongoDB&amp;keyfile=Paul&amp;network=jsonfiles&amp;repository=test</v>
      </c>
      <c r="U943" s="1" t="str">
        <f t="shared" si="29"/>
        <v>{"name":"In Casa #780",_x000D_
"symbol":"COR22D780",_x000D_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3" s="1" t="str">
        <f>formatRow(Tokens!C$2:I$2,Tokens!C943:I943)</f>
        <v>"name":"In Casa #780",_x000D_
"symbol":"COR22D780",_x000D_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3" s="1" t="str">
        <f>formatRow(Tokens!J$2:AV$2,Tokens!J943:AV943,2,"attributes")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3" s="1" t="str">
        <f>formatRow(Tokens!AX$2:BC$2,Tokens!AX943:BC943,2,"creators")</f>
        <v>"creators":[{"address":"paul",_x000D_
"share":10},{"address":"sophie",_x000D_
"share":90}]</v>
      </c>
      <c r="Y943" s="1" t="str">
        <f>formatRow(Tokens!BD$2:BI$2,Tokens!BD943:BI943,2,"files")</f>
        <v>"files":[]</v>
      </c>
      <c r="Z943" s="1"/>
      <c r="AA943" s="1"/>
      <c r="AB943" s="1"/>
      <c r="AC943" s="1" t="str">
        <f>formatRow(Tokens!BJ$2:BK$2,Tokens!BJ943:BK943,0,"collection")</f>
        <v>"collection":{"name":"In Casa",_x000D_
"family":"Calvi On The Rocks"}</v>
      </c>
    </row>
    <row r="944" spans="5:29" ht="14.25" customHeight="1" x14ac:dyDescent="0.25">
      <c r="E944" s="17" t="str">
        <f>IF(Tokens!C944="","",Tokens!C944)</f>
        <v>In Casa #781</v>
      </c>
      <c r="F944"/>
      <c r="G944"/>
      <c r="H944"/>
      <c r="I944"/>
      <c r="J944"/>
      <c r="M944"/>
      <c r="N944"/>
      <c r="O944" s="15" t="str">
        <f t="shared" si="28"/>
        <v>_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1" t="str">
        <f>"owner=" &amp; Tokens!BS944 &amp; "&amp;filename_for_metadata=" &amp; Tokens!BT944 &amp; "&amp;offchaindata_platform=" &amp; $B$17 &amp; "&amp;keyfile=" &amp; $B$5 &amp; "&amp;network=" &amp; LOWER($B$8) &amp; "&amp;repository=" &amp; $B$18</f>
        <v>owner=thomas&amp;filename_for_metadata=InCasa_COR22D781&amp;offchaindata_platform=MongoDB&amp;keyfile=Paul&amp;network=jsonfiles&amp;repository=test</v>
      </c>
      <c r="U944" s="1" t="str">
        <f t="shared" si="29"/>
        <v>{"name":"In Casa #781",_x000D_
"symbol":"COR22D781",_x000D_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4" s="1" t="str">
        <f>formatRow(Tokens!C$2:I$2,Tokens!C944:I944)</f>
        <v>"name":"In Casa #781",_x000D_
"symbol":"COR22D781",_x000D_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4" s="1" t="str">
        <f>formatRow(Tokens!J$2:AV$2,Tokens!J944:AV944,2,"attributes")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4" s="1" t="str">
        <f>formatRow(Tokens!AX$2:BC$2,Tokens!AX944:BC944,2,"creators")</f>
        <v>"creators":[{"address":"paul",_x000D_
"share":10},{"address":"sophie",_x000D_
"share":90}]</v>
      </c>
      <c r="Y944" s="1" t="str">
        <f>formatRow(Tokens!BD$2:BI$2,Tokens!BD944:BI944,2,"files")</f>
        <v>"files":[]</v>
      </c>
      <c r="Z944" s="1"/>
      <c r="AA944" s="1"/>
      <c r="AB944" s="1"/>
      <c r="AC944" s="1" t="str">
        <f>formatRow(Tokens!BJ$2:BK$2,Tokens!BJ944:BK944,0,"collection")</f>
        <v>"collection":{"name":"In Casa",_x000D_
"family":"Calvi On The Rocks"}</v>
      </c>
    </row>
    <row r="945" spans="5:29" ht="14.25" customHeight="1" x14ac:dyDescent="0.25">
      <c r="E945" s="17" t="str">
        <f>IF(Tokens!C945="","",Tokens!C945)</f>
        <v>In Casa #782</v>
      </c>
      <c r="F945"/>
      <c r="G945"/>
      <c r="H945"/>
      <c r="I945"/>
      <c r="J945"/>
      <c r="M945"/>
      <c r="N945"/>
      <c r="O945" s="15" t="str">
        <f t="shared" si="28"/>
        <v>_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1" t="str">
        <f>"owner=" &amp; Tokens!BS945 &amp; "&amp;filename_for_metadata=" &amp; Tokens!BT945 &amp; "&amp;offchaindata_platform=" &amp; $B$17 &amp; "&amp;keyfile=" &amp; $B$5 &amp; "&amp;network=" &amp; LOWER($B$8) &amp; "&amp;repository=" &amp; $B$18</f>
        <v>owner=thomas&amp;filename_for_metadata=InCasa_COR22D782&amp;offchaindata_platform=MongoDB&amp;keyfile=Paul&amp;network=jsonfiles&amp;repository=test</v>
      </c>
      <c r="U945" s="1" t="str">
        <f t="shared" si="29"/>
        <v>{"name":"In Casa #782",_x000D_
"symbol":"COR22D782",_x000D_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5" s="1" t="str">
        <f>formatRow(Tokens!C$2:I$2,Tokens!C945:I945)</f>
        <v>"name":"In Casa #782",_x000D_
"symbol":"COR22D782",_x000D_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5" s="1" t="str">
        <f>formatRow(Tokens!J$2:AV$2,Tokens!J945:AV945,2,"attributes")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5" s="1" t="str">
        <f>formatRow(Tokens!AX$2:BC$2,Tokens!AX945:BC945,2,"creators")</f>
        <v>"creators":[{"address":"paul",_x000D_
"share":10},{"address":"sophie",_x000D_
"share":90}]</v>
      </c>
      <c r="Y945" s="1" t="str">
        <f>formatRow(Tokens!BD$2:BI$2,Tokens!BD945:BI945,2,"files")</f>
        <v>"files":[]</v>
      </c>
      <c r="Z945" s="1"/>
      <c r="AA945" s="1"/>
      <c r="AB945" s="1"/>
      <c r="AC945" s="1" t="str">
        <f>formatRow(Tokens!BJ$2:BK$2,Tokens!BJ945:BK945,0,"collection")</f>
        <v>"collection":{"name":"In Casa",_x000D_
"family":"Calvi On The Rocks"}</v>
      </c>
    </row>
    <row r="946" spans="5:29" ht="14.25" customHeight="1" x14ac:dyDescent="0.25">
      <c r="E946" s="17" t="str">
        <f>IF(Tokens!C946="","",Tokens!C946)</f>
        <v>In Casa #783</v>
      </c>
      <c r="F946"/>
      <c r="G946"/>
      <c r="H946"/>
      <c r="I946"/>
      <c r="J946"/>
      <c r="M946"/>
      <c r="N946"/>
      <c r="O946" s="15" t="str">
        <f t="shared" si="28"/>
        <v>_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1" t="str">
        <f>"owner=" &amp; Tokens!BS946 &amp; "&amp;filename_for_metadata=" &amp; Tokens!BT946 &amp; "&amp;offchaindata_platform=" &amp; $B$17 &amp; "&amp;keyfile=" &amp; $B$5 &amp; "&amp;network=" &amp; LOWER($B$8) &amp; "&amp;repository=" &amp; $B$18</f>
        <v>owner=thomas&amp;filename_for_metadata=InCasa_COR22D783&amp;offchaindata_platform=MongoDB&amp;keyfile=Paul&amp;network=jsonfiles&amp;repository=test</v>
      </c>
      <c r="U946" s="1" t="str">
        <f t="shared" si="29"/>
        <v>{"name":"In Casa #783",_x000D_
"symbol":"COR22D783",_x000D_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6" s="1" t="str">
        <f>formatRow(Tokens!C$2:I$2,Tokens!C946:I946)</f>
        <v>"name":"In Casa #783",_x000D_
"symbol":"COR22D783",_x000D_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6" s="1" t="str">
        <f>formatRow(Tokens!J$2:AV$2,Tokens!J946:AV946,2,"attributes")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6" s="1" t="str">
        <f>formatRow(Tokens!AX$2:BC$2,Tokens!AX946:BC946,2,"creators")</f>
        <v>"creators":[{"address":"paul",_x000D_
"share":10},{"address":"sophie",_x000D_
"share":90}]</v>
      </c>
      <c r="Y946" s="1" t="str">
        <f>formatRow(Tokens!BD$2:BI$2,Tokens!BD946:BI946,2,"files")</f>
        <v>"files":[]</v>
      </c>
      <c r="Z946" s="1"/>
      <c r="AA946" s="1"/>
      <c r="AB946" s="1"/>
      <c r="AC946" s="1" t="str">
        <f>formatRow(Tokens!BJ$2:BK$2,Tokens!BJ946:BK946,0,"collection")</f>
        <v>"collection":{"name":"In Casa",_x000D_
"family":"Calvi On The Rocks"}</v>
      </c>
    </row>
    <row r="947" spans="5:29" ht="14.25" customHeight="1" x14ac:dyDescent="0.25">
      <c r="E947" s="17" t="str">
        <f>IF(Tokens!C947="","",Tokens!C947)</f>
        <v>In Casa #784</v>
      </c>
      <c r="F947"/>
      <c r="G947"/>
      <c r="H947"/>
      <c r="I947"/>
      <c r="J947"/>
      <c r="M947"/>
      <c r="N947"/>
      <c r="O947" s="15" t="str">
        <f t="shared" si="28"/>
        <v>_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1" t="str">
        <f>"owner=" &amp; Tokens!BS947 &amp; "&amp;filename_for_metadata=" &amp; Tokens!BT947 &amp; "&amp;offchaindata_platform=" &amp; $B$17 &amp; "&amp;keyfile=" &amp; $B$5 &amp; "&amp;network=" &amp; LOWER($B$8) &amp; "&amp;repository=" &amp; $B$18</f>
        <v>owner=thomas&amp;filename_for_metadata=InCasa_COR22D784&amp;offchaindata_platform=MongoDB&amp;keyfile=Paul&amp;network=jsonfiles&amp;repository=test</v>
      </c>
      <c r="U947" s="1" t="str">
        <f t="shared" si="29"/>
        <v>{"name":"In Casa #784",_x000D_
"symbol":"COR22D784",_x000D_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7" s="1" t="str">
        <f>formatRow(Tokens!C$2:I$2,Tokens!C947:I947)</f>
        <v>"name":"In Casa #784",_x000D_
"symbol":"COR22D784",_x000D_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7" s="1" t="str">
        <f>formatRow(Tokens!J$2:AV$2,Tokens!J947:AV947,2,"attributes")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7" s="1" t="str">
        <f>formatRow(Tokens!AX$2:BC$2,Tokens!AX947:BC947,2,"creators")</f>
        <v>"creators":[{"address":"paul",_x000D_
"share":10},{"address":"sophie",_x000D_
"share":90}]</v>
      </c>
      <c r="Y947" s="1" t="str">
        <f>formatRow(Tokens!BD$2:BI$2,Tokens!BD947:BI947,2,"files")</f>
        <v>"files":[]</v>
      </c>
      <c r="Z947" s="1"/>
      <c r="AA947" s="1"/>
      <c r="AB947" s="1"/>
      <c r="AC947" s="1" t="str">
        <f>formatRow(Tokens!BJ$2:BK$2,Tokens!BJ947:BK947,0,"collection")</f>
        <v>"collection":{"name":"In Casa",_x000D_
"family":"Calvi On The Rocks"}</v>
      </c>
    </row>
    <row r="948" spans="5:29" ht="14.25" customHeight="1" x14ac:dyDescent="0.25">
      <c r="E948" s="17" t="str">
        <f>IF(Tokens!C948="","",Tokens!C948)</f>
        <v>In Casa #785</v>
      </c>
      <c r="F948"/>
      <c r="G948"/>
      <c r="H948"/>
      <c r="I948"/>
      <c r="J948"/>
      <c r="M948"/>
      <c r="N948"/>
      <c r="O948" s="15" t="str">
        <f t="shared" si="28"/>
        <v>_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1" t="str">
        <f>"owner=" &amp; Tokens!BS948 &amp; "&amp;filename_for_metadata=" &amp; Tokens!BT948 &amp; "&amp;offchaindata_platform=" &amp; $B$17 &amp; "&amp;keyfile=" &amp; $B$5 &amp; "&amp;network=" &amp; LOWER($B$8) &amp; "&amp;repository=" &amp; $B$18</f>
        <v>owner=thomas&amp;filename_for_metadata=InCasa_COR22D785&amp;offchaindata_platform=MongoDB&amp;keyfile=Paul&amp;network=jsonfiles&amp;repository=test</v>
      </c>
      <c r="U948" s="1" t="str">
        <f t="shared" si="29"/>
        <v>{"name":"In Casa #785",_x000D_
"symbol":"COR22D785",_x000D_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8" s="1" t="str">
        <f>formatRow(Tokens!C$2:I$2,Tokens!C948:I948)</f>
        <v>"name":"In Casa #785",_x000D_
"symbol":"COR22D785",_x000D_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8" s="1" t="str">
        <f>formatRow(Tokens!J$2:AV$2,Tokens!J948:AV948,2,"attributes")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8" s="1" t="str">
        <f>formatRow(Tokens!AX$2:BC$2,Tokens!AX948:BC948,2,"creators")</f>
        <v>"creators":[{"address":"paul",_x000D_
"share":10},{"address":"sophie",_x000D_
"share":90}]</v>
      </c>
      <c r="Y948" s="1" t="str">
        <f>formatRow(Tokens!BD$2:BI$2,Tokens!BD948:BI948,2,"files")</f>
        <v>"files":[]</v>
      </c>
      <c r="Z948" s="1"/>
      <c r="AA948" s="1"/>
      <c r="AB948" s="1"/>
      <c r="AC948" s="1" t="str">
        <f>formatRow(Tokens!BJ$2:BK$2,Tokens!BJ948:BK948,0,"collection")</f>
        <v>"collection":{"name":"In Casa",_x000D_
"family":"Calvi On The Rocks"}</v>
      </c>
    </row>
    <row r="949" spans="5:29" ht="14.25" customHeight="1" x14ac:dyDescent="0.25">
      <c r="E949" s="17" t="str">
        <f>IF(Tokens!C949="","",Tokens!C949)</f>
        <v>In Casa #786</v>
      </c>
      <c r="F949"/>
      <c r="G949"/>
      <c r="H949"/>
      <c r="I949"/>
      <c r="J949"/>
      <c r="M949"/>
      <c r="N949"/>
      <c r="O949" s="15" t="str">
        <f t="shared" si="28"/>
        <v>_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1" t="str">
        <f>"owner=" &amp; Tokens!BS949 &amp; "&amp;filename_for_metadata=" &amp; Tokens!BT949 &amp; "&amp;offchaindata_platform=" &amp; $B$17 &amp; "&amp;keyfile=" &amp; $B$5 &amp; "&amp;network=" &amp; LOWER($B$8) &amp; "&amp;repository=" &amp; $B$18</f>
        <v>owner=thomas&amp;filename_for_metadata=InCasa_COR22D786&amp;offchaindata_platform=MongoDB&amp;keyfile=Paul&amp;network=jsonfiles&amp;repository=test</v>
      </c>
      <c r="U949" s="1" t="str">
        <f t="shared" si="29"/>
        <v>{"name":"In Casa #786",_x000D_
"symbol":"COR22D786",_x000D_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49" s="1" t="str">
        <f>formatRow(Tokens!C$2:I$2,Tokens!C949:I949)</f>
        <v>"name":"In Casa #786",_x000D_
"symbol":"COR22D786",_x000D_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49" s="1" t="str">
        <f>formatRow(Tokens!J$2:AV$2,Tokens!J949:AV949,2,"attributes")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49" s="1" t="str">
        <f>formatRow(Tokens!AX$2:BC$2,Tokens!AX949:BC949,2,"creators")</f>
        <v>"creators":[{"address":"paul",_x000D_
"share":10},{"address":"sophie",_x000D_
"share":90}]</v>
      </c>
      <c r="Y949" s="1" t="str">
        <f>formatRow(Tokens!BD$2:BI$2,Tokens!BD949:BI949,2,"files")</f>
        <v>"files":[]</v>
      </c>
      <c r="Z949" s="1"/>
      <c r="AA949" s="1"/>
      <c r="AB949" s="1"/>
      <c r="AC949" s="1" t="str">
        <f>formatRow(Tokens!BJ$2:BK$2,Tokens!BJ949:BK949,0,"collection")</f>
        <v>"collection":{"name":"In Casa",_x000D_
"family":"Calvi On The Rocks"}</v>
      </c>
    </row>
    <row r="950" spans="5:29" ht="14.25" customHeight="1" x14ac:dyDescent="0.25">
      <c r="E950" s="17" t="str">
        <f>IF(Tokens!C950="","",Tokens!C950)</f>
        <v>In Casa #787</v>
      </c>
      <c r="F950"/>
      <c r="G950"/>
      <c r="H950"/>
      <c r="I950"/>
      <c r="J950"/>
      <c r="M950"/>
      <c r="N950"/>
      <c r="O950" s="15" t="str">
        <f t="shared" si="28"/>
        <v>_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1" t="str">
        <f>"owner=" &amp; Tokens!BS950 &amp; "&amp;filename_for_metadata=" &amp; Tokens!BT950 &amp; "&amp;offchaindata_platform=" &amp; $B$17 &amp; "&amp;keyfile=" &amp; $B$5 &amp; "&amp;network=" &amp; LOWER($B$8) &amp; "&amp;repository=" &amp; $B$18</f>
        <v>owner=thomas&amp;filename_for_metadata=InCasa_COR22D787&amp;offchaindata_platform=MongoDB&amp;keyfile=Paul&amp;network=jsonfiles&amp;repository=test</v>
      </c>
      <c r="U950" s="1" t="str">
        <f t="shared" si="29"/>
        <v>{"name":"In Casa #787",_x000D_
"symbol":"COR22D787",_x000D_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0" s="1" t="str">
        <f>formatRow(Tokens!C$2:I$2,Tokens!C950:I950)</f>
        <v>"name":"In Casa #787",_x000D_
"symbol":"COR22D787",_x000D_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0" s="1" t="str">
        <f>formatRow(Tokens!J$2:AV$2,Tokens!J950:AV950,2,"attributes")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0" s="1" t="str">
        <f>formatRow(Tokens!AX$2:BC$2,Tokens!AX950:BC950,2,"creators")</f>
        <v>"creators":[{"address":"paul",_x000D_
"share":10},{"address":"sophie",_x000D_
"share":90}]</v>
      </c>
      <c r="Y950" s="1" t="str">
        <f>formatRow(Tokens!BD$2:BI$2,Tokens!BD950:BI950,2,"files")</f>
        <v>"files":[]</v>
      </c>
      <c r="Z950" s="1"/>
      <c r="AA950" s="1"/>
      <c r="AB950" s="1"/>
      <c r="AC950" s="1" t="str">
        <f>formatRow(Tokens!BJ$2:BK$2,Tokens!BJ950:BK950,0,"collection")</f>
        <v>"collection":{"name":"In Casa",_x000D_
"family":"Calvi On The Rocks"}</v>
      </c>
    </row>
    <row r="951" spans="5:29" ht="14.25" customHeight="1" x14ac:dyDescent="0.25">
      <c r="E951" s="17" t="str">
        <f>IF(Tokens!C951="","",Tokens!C951)</f>
        <v>In Casa #788</v>
      </c>
      <c r="F951"/>
      <c r="G951"/>
      <c r="H951"/>
      <c r="I951"/>
      <c r="J951"/>
      <c r="M951"/>
      <c r="N951"/>
      <c r="O951" s="15" t="str">
        <f t="shared" si="28"/>
        <v>_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1" t="str">
        <f>"owner=" &amp; Tokens!BS951 &amp; "&amp;filename_for_metadata=" &amp; Tokens!BT951 &amp; "&amp;offchaindata_platform=" &amp; $B$17 &amp; "&amp;keyfile=" &amp; $B$5 &amp; "&amp;network=" &amp; LOWER($B$8) &amp; "&amp;repository=" &amp; $B$18</f>
        <v>owner=thomas&amp;filename_for_metadata=InCasa_COR22D788&amp;offchaindata_platform=MongoDB&amp;keyfile=Paul&amp;network=jsonfiles&amp;repository=test</v>
      </c>
      <c r="U951" s="1" t="str">
        <f t="shared" si="29"/>
        <v>{"name":"In Casa #788",_x000D_
"symbol":"COR22D788",_x000D_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1" s="1" t="str">
        <f>formatRow(Tokens!C$2:I$2,Tokens!C951:I951)</f>
        <v>"name":"In Casa #788",_x000D_
"symbol":"COR22D788",_x000D_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1" s="1" t="str">
        <f>formatRow(Tokens!J$2:AV$2,Tokens!J951:AV951,2,"attributes")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1" s="1" t="str">
        <f>formatRow(Tokens!AX$2:BC$2,Tokens!AX951:BC951,2,"creators")</f>
        <v>"creators":[{"address":"paul",_x000D_
"share":10},{"address":"sophie",_x000D_
"share":90}]</v>
      </c>
      <c r="Y951" s="1" t="str">
        <f>formatRow(Tokens!BD$2:BI$2,Tokens!BD951:BI951,2,"files")</f>
        <v>"files":[]</v>
      </c>
      <c r="Z951" s="1"/>
      <c r="AA951" s="1"/>
      <c r="AB951" s="1"/>
      <c r="AC951" s="1" t="str">
        <f>formatRow(Tokens!BJ$2:BK$2,Tokens!BJ951:BK951,0,"collection")</f>
        <v>"collection":{"name":"In Casa",_x000D_
"family":"Calvi On The Rocks"}</v>
      </c>
    </row>
    <row r="952" spans="5:29" ht="14.25" customHeight="1" x14ac:dyDescent="0.25">
      <c r="E952" s="17" t="str">
        <f>IF(Tokens!C952="","",Tokens!C952)</f>
        <v>In Casa #789</v>
      </c>
      <c r="F952"/>
      <c r="G952"/>
      <c r="H952"/>
      <c r="I952"/>
      <c r="J952"/>
      <c r="M952"/>
      <c r="N952"/>
      <c r="O952" s="15" t="str">
        <f t="shared" si="28"/>
        <v>_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1" t="str">
        <f>"owner=" &amp; Tokens!BS952 &amp; "&amp;filename_for_metadata=" &amp; Tokens!BT952 &amp; "&amp;offchaindata_platform=" &amp; $B$17 &amp; "&amp;keyfile=" &amp; $B$5 &amp; "&amp;network=" &amp; LOWER($B$8) &amp; "&amp;repository=" &amp; $B$18</f>
        <v>owner=thomas&amp;filename_for_metadata=InCasa_COR22D789&amp;offchaindata_platform=MongoDB&amp;keyfile=Paul&amp;network=jsonfiles&amp;repository=test</v>
      </c>
      <c r="U952" s="1" t="str">
        <f t="shared" si="29"/>
        <v>{"name":"In Casa #789",_x000D_
"symbol":"COR22D789",_x000D_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2" s="1" t="str">
        <f>formatRow(Tokens!C$2:I$2,Tokens!C952:I952)</f>
        <v>"name":"In Casa #789",_x000D_
"symbol":"COR22D789",_x000D_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2" s="1" t="str">
        <f>formatRow(Tokens!J$2:AV$2,Tokens!J952:AV952,2,"attributes")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2" s="1" t="str">
        <f>formatRow(Tokens!AX$2:BC$2,Tokens!AX952:BC952,2,"creators")</f>
        <v>"creators":[{"address":"paul",_x000D_
"share":10},{"address":"sophie",_x000D_
"share":90}]</v>
      </c>
      <c r="Y952" s="1" t="str">
        <f>formatRow(Tokens!BD$2:BI$2,Tokens!BD952:BI952,2,"files")</f>
        <v>"files":[]</v>
      </c>
      <c r="Z952" s="1"/>
      <c r="AA952" s="1"/>
      <c r="AB952" s="1"/>
      <c r="AC952" s="1" t="str">
        <f>formatRow(Tokens!BJ$2:BK$2,Tokens!BJ952:BK952,0,"collection")</f>
        <v>"collection":{"name":"In Casa",_x000D_
"family":"Calvi On The Rocks"}</v>
      </c>
    </row>
    <row r="953" spans="5:29" ht="14.25" customHeight="1" x14ac:dyDescent="0.25">
      <c r="E953" s="17" t="str">
        <f>IF(Tokens!C953="","",Tokens!C953)</f>
        <v>In Casa #790</v>
      </c>
      <c r="F953"/>
      <c r="G953"/>
      <c r="H953"/>
      <c r="I953"/>
      <c r="J953"/>
      <c r="M953"/>
      <c r="N953"/>
      <c r="O953" s="15" t="str">
        <f t="shared" si="28"/>
        <v>_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1" t="str">
        <f>"owner=" &amp; Tokens!BS953 &amp; "&amp;filename_for_metadata=" &amp; Tokens!BT953 &amp; "&amp;offchaindata_platform=" &amp; $B$17 &amp; "&amp;keyfile=" &amp; $B$5 &amp; "&amp;network=" &amp; LOWER($B$8) &amp; "&amp;repository=" &amp; $B$18</f>
        <v>owner=thomas&amp;filename_for_metadata=InCasa_COR22D790&amp;offchaindata_platform=MongoDB&amp;keyfile=Paul&amp;network=jsonfiles&amp;repository=test</v>
      </c>
      <c r="U953" s="1" t="str">
        <f t="shared" si="29"/>
        <v>{"name":"In Casa #790",_x000D_
"symbol":"COR22D790",_x000D_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3" s="1" t="str">
        <f>formatRow(Tokens!C$2:I$2,Tokens!C953:I953)</f>
        <v>"name":"In Casa #790",_x000D_
"symbol":"COR22D790",_x000D_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3" s="1" t="str">
        <f>formatRow(Tokens!J$2:AV$2,Tokens!J953:AV953,2,"attributes")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3" s="1" t="str">
        <f>formatRow(Tokens!AX$2:BC$2,Tokens!AX953:BC953,2,"creators")</f>
        <v>"creators":[{"address":"paul",_x000D_
"share":10},{"address":"sophie",_x000D_
"share":90}]</v>
      </c>
      <c r="Y953" s="1" t="str">
        <f>formatRow(Tokens!BD$2:BI$2,Tokens!BD953:BI953,2,"files")</f>
        <v>"files":[]</v>
      </c>
      <c r="Z953" s="1"/>
      <c r="AA953" s="1"/>
      <c r="AB953" s="1"/>
      <c r="AC953" s="1" t="str">
        <f>formatRow(Tokens!BJ$2:BK$2,Tokens!BJ953:BK953,0,"collection")</f>
        <v>"collection":{"name":"In Casa",_x000D_
"family":"Calvi On The Rocks"}</v>
      </c>
    </row>
    <row r="954" spans="5:29" ht="14.25" customHeight="1" x14ac:dyDescent="0.25">
      <c r="E954" s="17" t="str">
        <f>IF(Tokens!C954="","",Tokens!C954)</f>
        <v>In Casa #791</v>
      </c>
      <c r="F954"/>
      <c r="G954"/>
      <c r="H954"/>
      <c r="I954"/>
      <c r="J954"/>
      <c r="M954"/>
      <c r="N954"/>
      <c r="O954" s="15" t="str">
        <f t="shared" si="28"/>
        <v>_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1" t="str">
        <f>"owner=" &amp; Tokens!BS954 &amp; "&amp;filename_for_metadata=" &amp; Tokens!BT954 &amp; "&amp;offchaindata_platform=" &amp; $B$17 &amp; "&amp;keyfile=" &amp; $B$5 &amp; "&amp;network=" &amp; LOWER($B$8) &amp; "&amp;repository=" &amp; $B$18</f>
        <v>owner=thomas&amp;filename_for_metadata=InCasa_COR22D791&amp;offchaindata_platform=MongoDB&amp;keyfile=Paul&amp;network=jsonfiles&amp;repository=test</v>
      </c>
      <c r="U954" s="1" t="str">
        <f t="shared" si="29"/>
        <v>{"name":"In Casa #791",_x000D_
"symbol":"COR22D791",_x000D_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4" s="1" t="str">
        <f>formatRow(Tokens!C$2:I$2,Tokens!C954:I954)</f>
        <v>"name":"In Casa #791",_x000D_
"symbol":"COR22D791",_x000D_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4" s="1" t="str">
        <f>formatRow(Tokens!J$2:AV$2,Tokens!J954:AV954,2,"attributes")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4" s="1" t="str">
        <f>formatRow(Tokens!AX$2:BC$2,Tokens!AX954:BC954,2,"creators")</f>
        <v>"creators":[{"address":"paul",_x000D_
"share":10},{"address":"sophie",_x000D_
"share":90}]</v>
      </c>
      <c r="Y954" s="1" t="str">
        <f>formatRow(Tokens!BD$2:BI$2,Tokens!BD954:BI954,2,"files")</f>
        <v>"files":[]</v>
      </c>
      <c r="Z954" s="1"/>
      <c r="AA954" s="1"/>
      <c r="AB954" s="1"/>
      <c r="AC954" s="1" t="str">
        <f>formatRow(Tokens!BJ$2:BK$2,Tokens!BJ954:BK954,0,"collection")</f>
        <v>"collection":{"name":"In Casa",_x000D_
"family":"Calvi On The Rocks"}</v>
      </c>
    </row>
    <row r="955" spans="5:29" ht="14.25" customHeight="1" x14ac:dyDescent="0.25">
      <c r="E955" s="17" t="str">
        <f>IF(Tokens!C955="","",Tokens!C955)</f>
        <v>In Casa #792</v>
      </c>
      <c r="F955"/>
      <c r="G955"/>
      <c r="H955"/>
      <c r="I955"/>
      <c r="J955"/>
      <c r="M955"/>
      <c r="N955"/>
      <c r="O955" s="15" t="str">
        <f t="shared" si="28"/>
        <v>_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1" t="str">
        <f>"owner=" &amp; Tokens!BS955 &amp; "&amp;filename_for_metadata=" &amp; Tokens!BT955 &amp; "&amp;offchaindata_platform=" &amp; $B$17 &amp; "&amp;keyfile=" &amp; $B$5 &amp; "&amp;network=" &amp; LOWER($B$8) &amp; "&amp;repository=" &amp; $B$18</f>
        <v>owner=thomas&amp;filename_for_metadata=InCasa_COR22D792&amp;offchaindata_platform=MongoDB&amp;keyfile=Paul&amp;network=jsonfiles&amp;repository=test</v>
      </c>
      <c r="U955" s="1" t="str">
        <f t="shared" si="29"/>
        <v>{"name":"In Casa #792",_x000D_
"symbol":"COR22D792",_x000D_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5" s="1" t="str">
        <f>formatRow(Tokens!C$2:I$2,Tokens!C955:I955)</f>
        <v>"name":"In Casa #792",_x000D_
"symbol":"COR22D792",_x000D_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5" s="1" t="str">
        <f>formatRow(Tokens!J$2:AV$2,Tokens!J955:AV955,2,"attributes")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5" s="1" t="str">
        <f>formatRow(Tokens!AX$2:BC$2,Tokens!AX955:BC955,2,"creators")</f>
        <v>"creators":[{"address":"paul",_x000D_
"share":10},{"address":"sophie",_x000D_
"share":90}]</v>
      </c>
      <c r="Y955" s="1" t="str">
        <f>formatRow(Tokens!BD$2:BI$2,Tokens!BD955:BI955,2,"files")</f>
        <v>"files":[]</v>
      </c>
      <c r="Z955" s="1"/>
      <c r="AA955" s="1"/>
      <c r="AB955" s="1"/>
      <c r="AC955" s="1" t="str">
        <f>formatRow(Tokens!BJ$2:BK$2,Tokens!BJ955:BK955,0,"collection")</f>
        <v>"collection":{"name":"In Casa",_x000D_
"family":"Calvi On The Rocks"}</v>
      </c>
    </row>
    <row r="956" spans="5:29" ht="14.25" customHeight="1" x14ac:dyDescent="0.25">
      <c r="E956" s="17" t="str">
        <f>IF(Tokens!C956="","",Tokens!C956)</f>
        <v>In Casa #793</v>
      </c>
      <c r="F956"/>
      <c r="G956"/>
      <c r="H956"/>
      <c r="I956"/>
      <c r="J956"/>
      <c r="M956"/>
      <c r="N956"/>
      <c r="O956" s="15" t="str">
        <f t="shared" si="28"/>
        <v>_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1" t="str">
        <f>"owner=" &amp; Tokens!BS956 &amp; "&amp;filename_for_metadata=" &amp; Tokens!BT956 &amp; "&amp;offchaindata_platform=" &amp; $B$17 &amp; "&amp;keyfile=" &amp; $B$5 &amp; "&amp;network=" &amp; LOWER($B$8) &amp; "&amp;repository=" &amp; $B$18</f>
        <v>owner=thomas&amp;filename_for_metadata=InCasa_COR22D793&amp;offchaindata_platform=MongoDB&amp;keyfile=Paul&amp;network=jsonfiles&amp;repository=test</v>
      </c>
      <c r="U956" s="1" t="str">
        <f t="shared" si="29"/>
        <v>{"name":"In Casa #793",_x000D_
"symbol":"COR22D793",_x000D_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6" s="1" t="str">
        <f>formatRow(Tokens!C$2:I$2,Tokens!C956:I956)</f>
        <v>"name":"In Casa #793",_x000D_
"symbol":"COR22D793",_x000D_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6" s="1" t="str">
        <f>formatRow(Tokens!J$2:AV$2,Tokens!J956:AV956,2,"attributes")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6" s="1" t="str">
        <f>formatRow(Tokens!AX$2:BC$2,Tokens!AX956:BC956,2,"creators")</f>
        <v>"creators":[{"address":"paul",_x000D_
"share":10},{"address":"sophie",_x000D_
"share":90}]</v>
      </c>
      <c r="Y956" s="1" t="str">
        <f>formatRow(Tokens!BD$2:BI$2,Tokens!BD956:BI956,2,"files")</f>
        <v>"files":[]</v>
      </c>
      <c r="Z956" s="1"/>
      <c r="AA956" s="1"/>
      <c r="AB956" s="1"/>
      <c r="AC956" s="1" t="str">
        <f>formatRow(Tokens!BJ$2:BK$2,Tokens!BJ956:BK956,0,"collection")</f>
        <v>"collection":{"name":"In Casa",_x000D_
"family":"Calvi On The Rocks"}</v>
      </c>
    </row>
    <row r="957" spans="5:29" ht="14.25" customHeight="1" x14ac:dyDescent="0.25">
      <c r="E957" s="17" t="str">
        <f>IF(Tokens!C957="","",Tokens!C957)</f>
        <v>In Casa #794</v>
      </c>
      <c r="F957"/>
      <c r="G957"/>
      <c r="H957"/>
      <c r="I957"/>
      <c r="J957"/>
      <c r="M957"/>
      <c r="N957"/>
      <c r="O957" s="15" t="str">
        <f t="shared" si="28"/>
        <v>_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1" t="str">
        <f>"owner=" &amp; Tokens!BS957 &amp; "&amp;filename_for_metadata=" &amp; Tokens!BT957 &amp; "&amp;offchaindata_platform=" &amp; $B$17 &amp; "&amp;keyfile=" &amp; $B$5 &amp; "&amp;network=" &amp; LOWER($B$8) &amp; "&amp;repository=" &amp; $B$18</f>
        <v>owner=thomas&amp;filename_for_metadata=InCasa_COR22D794&amp;offchaindata_platform=MongoDB&amp;keyfile=Paul&amp;network=jsonfiles&amp;repository=test</v>
      </c>
      <c r="U957" s="1" t="str">
        <f t="shared" si="29"/>
        <v>{"name":"In Casa #794",_x000D_
"symbol":"COR22D794",_x000D_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7" s="1" t="str">
        <f>formatRow(Tokens!C$2:I$2,Tokens!C957:I957)</f>
        <v>"name":"In Casa #794",_x000D_
"symbol":"COR22D794",_x000D_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7" s="1" t="str">
        <f>formatRow(Tokens!J$2:AV$2,Tokens!J957:AV957,2,"attributes")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7" s="1" t="str">
        <f>formatRow(Tokens!AX$2:BC$2,Tokens!AX957:BC957,2,"creators")</f>
        <v>"creators":[{"address":"paul",_x000D_
"share":10},{"address":"sophie",_x000D_
"share":90}]</v>
      </c>
      <c r="Y957" s="1" t="str">
        <f>formatRow(Tokens!BD$2:BI$2,Tokens!BD957:BI957,2,"files")</f>
        <v>"files":[]</v>
      </c>
      <c r="Z957" s="1"/>
      <c r="AA957" s="1"/>
      <c r="AB957" s="1"/>
      <c r="AC957" s="1" t="str">
        <f>formatRow(Tokens!BJ$2:BK$2,Tokens!BJ957:BK957,0,"collection")</f>
        <v>"collection":{"name":"In Casa",_x000D_
"family":"Calvi On The Rocks"}</v>
      </c>
    </row>
    <row r="958" spans="5:29" ht="14.25" customHeight="1" x14ac:dyDescent="0.25">
      <c r="E958" s="17" t="str">
        <f>IF(Tokens!C958="","",Tokens!C958)</f>
        <v>In Casa #795</v>
      </c>
      <c r="F958"/>
      <c r="G958"/>
      <c r="H958"/>
      <c r="I958"/>
      <c r="J958"/>
      <c r="M958"/>
      <c r="N958"/>
      <c r="O958" s="15" t="str">
        <f t="shared" si="28"/>
        <v>_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1" t="str">
        <f>"owner=" &amp; Tokens!BS958 &amp; "&amp;filename_for_metadata=" &amp; Tokens!BT958 &amp; "&amp;offchaindata_platform=" &amp; $B$17 &amp; "&amp;keyfile=" &amp; $B$5 &amp; "&amp;network=" &amp; LOWER($B$8) &amp; "&amp;repository=" &amp; $B$18</f>
        <v>owner=thomas&amp;filename_for_metadata=InCasa_COR22D795&amp;offchaindata_platform=MongoDB&amp;keyfile=Paul&amp;network=jsonfiles&amp;repository=test</v>
      </c>
      <c r="U958" s="1" t="str">
        <f t="shared" si="29"/>
        <v>{"name":"In Casa #795",_x000D_
"symbol":"COR22D795",_x000D_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8" s="1" t="str">
        <f>formatRow(Tokens!C$2:I$2,Tokens!C958:I958)</f>
        <v>"name":"In Casa #795",_x000D_
"symbol":"COR22D795",_x000D_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8" s="1" t="str">
        <f>formatRow(Tokens!J$2:AV$2,Tokens!J958:AV958,2,"attributes")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8" s="1" t="str">
        <f>formatRow(Tokens!AX$2:BC$2,Tokens!AX958:BC958,2,"creators")</f>
        <v>"creators":[{"address":"paul",_x000D_
"share":10},{"address":"sophie",_x000D_
"share":90}]</v>
      </c>
      <c r="Y958" s="1" t="str">
        <f>formatRow(Tokens!BD$2:BI$2,Tokens!BD958:BI958,2,"files")</f>
        <v>"files":[]</v>
      </c>
      <c r="Z958" s="1"/>
      <c r="AA958" s="1"/>
      <c r="AB958" s="1"/>
      <c r="AC958" s="1" t="str">
        <f>formatRow(Tokens!BJ$2:BK$2,Tokens!BJ958:BK958,0,"collection")</f>
        <v>"collection":{"name":"In Casa",_x000D_
"family":"Calvi On The Rocks"}</v>
      </c>
    </row>
    <row r="959" spans="5:29" ht="14.25" customHeight="1" x14ac:dyDescent="0.25">
      <c r="E959" s="17" t="str">
        <f>IF(Tokens!C959="","",Tokens!C959)</f>
        <v>In Casa #796</v>
      </c>
      <c r="F959"/>
      <c r="G959"/>
      <c r="H959"/>
      <c r="I959"/>
      <c r="J959"/>
      <c r="M959"/>
      <c r="N959"/>
      <c r="O959" s="15" t="str">
        <f t="shared" si="28"/>
        <v>_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1" t="str">
        <f>"owner=" &amp; Tokens!BS959 &amp; "&amp;filename_for_metadata=" &amp; Tokens!BT959 &amp; "&amp;offchaindata_platform=" &amp; $B$17 &amp; "&amp;keyfile=" &amp; $B$5 &amp; "&amp;network=" &amp; LOWER($B$8) &amp; "&amp;repository=" &amp; $B$18</f>
        <v>owner=thomas&amp;filename_for_metadata=InCasa_COR22D796&amp;offchaindata_platform=MongoDB&amp;keyfile=Paul&amp;network=jsonfiles&amp;repository=test</v>
      </c>
      <c r="U959" s="1" t="str">
        <f t="shared" si="29"/>
        <v>{"name":"In Casa #796",_x000D_
"symbol":"COR22D796",_x000D_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59" s="1" t="str">
        <f>formatRow(Tokens!C$2:I$2,Tokens!C959:I959)</f>
        <v>"name":"In Casa #796",_x000D_
"symbol":"COR22D796",_x000D_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59" s="1" t="str">
        <f>formatRow(Tokens!J$2:AV$2,Tokens!J959:AV959,2,"attributes")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59" s="1" t="str">
        <f>formatRow(Tokens!AX$2:BC$2,Tokens!AX959:BC959,2,"creators")</f>
        <v>"creators":[{"address":"paul",_x000D_
"share":10},{"address":"sophie",_x000D_
"share":90}]</v>
      </c>
      <c r="Y959" s="1" t="str">
        <f>formatRow(Tokens!BD$2:BI$2,Tokens!BD959:BI959,2,"files")</f>
        <v>"files":[]</v>
      </c>
      <c r="Z959" s="1"/>
      <c r="AA959" s="1"/>
      <c r="AB959" s="1"/>
      <c r="AC959" s="1" t="str">
        <f>formatRow(Tokens!BJ$2:BK$2,Tokens!BJ959:BK959,0,"collection")</f>
        <v>"collection":{"name":"In Casa",_x000D_
"family":"Calvi On The Rocks"}</v>
      </c>
    </row>
    <row r="960" spans="5:29" ht="14.25" customHeight="1" x14ac:dyDescent="0.25">
      <c r="E960" s="17" t="str">
        <f>IF(Tokens!C960="","",Tokens!C960)</f>
        <v>In Casa #797</v>
      </c>
      <c r="F960"/>
      <c r="G960"/>
      <c r="H960"/>
      <c r="I960"/>
      <c r="J960"/>
      <c r="M960"/>
      <c r="N960"/>
      <c r="O960" s="15" t="str">
        <f t="shared" si="28"/>
        <v>_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1" t="str">
        <f>"owner=" &amp; Tokens!BS960 &amp; "&amp;filename_for_metadata=" &amp; Tokens!BT960 &amp; "&amp;offchaindata_platform=" &amp; $B$17 &amp; "&amp;keyfile=" &amp; $B$5 &amp; "&amp;network=" &amp; LOWER($B$8) &amp; "&amp;repository=" &amp; $B$18</f>
        <v>owner=thomas&amp;filename_for_metadata=InCasa_COR22D797&amp;offchaindata_platform=MongoDB&amp;keyfile=Paul&amp;network=jsonfiles&amp;repository=test</v>
      </c>
      <c r="U960" s="1" t="str">
        <f t="shared" si="29"/>
        <v>{"name":"In Casa #797",_x000D_
"symbol":"COR22D797",_x000D_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0" s="1" t="str">
        <f>formatRow(Tokens!C$2:I$2,Tokens!C960:I960)</f>
        <v>"name":"In Casa #797",_x000D_
"symbol":"COR22D797",_x000D_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0" s="1" t="str">
        <f>formatRow(Tokens!J$2:AV$2,Tokens!J960:AV960,2,"attributes")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0" s="1" t="str">
        <f>formatRow(Tokens!AX$2:BC$2,Tokens!AX960:BC960,2,"creators")</f>
        <v>"creators":[{"address":"paul",_x000D_
"share":10},{"address":"sophie",_x000D_
"share":90}]</v>
      </c>
      <c r="Y960" s="1" t="str">
        <f>formatRow(Tokens!BD$2:BI$2,Tokens!BD960:BI960,2,"files")</f>
        <v>"files":[]</v>
      </c>
      <c r="Z960" s="1"/>
      <c r="AA960" s="1"/>
      <c r="AB960" s="1"/>
      <c r="AC960" s="1" t="str">
        <f>formatRow(Tokens!BJ$2:BK$2,Tokens!BJ960:BK960,0,"collection")</f>
        <v>"collection":{"name":"In Casa",_x000D_
"family":"Calvi On The Rocks"}</v>
      </c>
    </row>
    <row r="961" spans="5:29" ht="14.25" customHeight="1" x14ac:dyDescent="0.25">
      <c r="E961" s="17" t="str">
        <f>IF(Tokens!C961="","",Tokens!C961)</f>
        <v>In Casa #798</v>
      </c>
      <c r="F961"/>
      <c r="G961"/>
      <c r="H961"/>
      <c r="I961"/>
      <c r="J961"/>
      <c r="M961"/>
      <c r="N961"/>
      <c r="O961" s="15" t="str">
        <f t="shared" si="28"/>
        <v>_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1" t="str">
        <f>"owner=" &amp; Tokens!BS961 &amp; "&amp;filename_for_metadata=" &amp; Tokens!BT961 &amp; "&amp;offchaindata_platform=" &amp; $B$17 &amp; "&amp;keyfile=" &amp; $B$5 &amp; "&amp;network=" &amp; LOWER($B$8) &amp; "&amp;repository=" &amp; $B$18</f>
        <v>owner=thomas&amp;filename_for_metadata=InCasa_COR22D798&amp;offchaindata_platform=MongoDB&amp;keyfile=Paul&amp;network=jsonfiles&amp;repository=test</v>
      </c>
      <c r="U961" s="1" t="str">
        <f t="shared" si="29"/>
        <v>{"name":"In Casa #798",_x000D_
"symbol":"COR22D798",_x000D_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1" s="1" t="str">
        <f>formatRow(Tokens!C$2:I$2,Tokens!C961:I961)</f>
        <v>"name":"In Casa #798",_x000D_
"symbol":"COR22D798",_x000D_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1" s="1" t="str">
        <f>formatRow(Tokens!J$2:AV$2,Tokens!J961:AV961,2,"attributes")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1" s="1" t="str">
        <f>formatRow(Tokens!AX$2:BC$2,Tokens!AX961:BC961,2,"creators")</f>
        <v>"creators":[{"address":"paul",_x000D_
"share":10},{"address":"sophie",_x000D_
"share":90}]</v>
      </c>
      <c r="Y961" s="1" t="str">
        <f>formatRow(Tokens!BD$2:BI$2,Tokens!BD961:BI961,2,"files")</f>
        <v>"files":[]</v>
      </c>
      <c r="Z961" s="1"/>
      <c r="AA961" s="1"/>
      <c r="AB961" s="1"/>
      <c r="AC961" s="1" t="str">
        <f>formatRow(Tokens!BJ$2:BK$2,Tokens!BJ961:BK961,0,"collection")</f>
        <v>"collection":{"name":"In Casa",_x000D_
"family":"Calvi On The Rocks"}</v>
      </c>
    </row>
    <row r="962" spans="5:29" ht="14.25" customHeight="1" x14ac:dyDescent="0.25">
      <c r="E962" s="17" t="str">
        <f>IF(Tokens!C962="","",Tokens!C962)</f>
        <v>In Casa #799</v>
      </c>
      <c r="F962"/>
      <c r="G962"/>
      <c r="H962"/>
      <c r="I962"/>
      <c r="J962"/>
      <c r="M962"/>
      <c r="N962"/>
      <c r="O962" s="15" t="str">
        <f t="shared" si="28"/>
        <v>_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1" t="str">
        <f>"owner=" &amp; Tokens!BS962 &amp; "&amp;filename_for_metadata=" &amp; Tokens!BT962 &amp; "&amp;offchaindata_platform=" &amp; $B$17 &amp; "&amp;keyfile=" &amp; $B$5 &amp; "&amp;network=" &amp; LOWER($B$8) &amp; "&amp;repository=" &amp; $B$18</f>
        <v>owner=thomas&amp;filename_for_metadata=InCasa_COR22D799&amp;offchaindata_platform=MongoDB&amp;keyfile=Paul&amp;network=jsonfiles&amp;repository=test</v>
      </c>
      <c r="U962" s="1" t="str">
        <f t="shared" si="29"/>
        <v>{"name":"In Casa #799",_x000D_
"symbol":"COR22D799",_x000D_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2" s="1" t="str">
        <f>formatRow(Tokens!C$2:I$2,Tokens!C962:I962)</f>
        <v>"name":"In Casa #799",_x000D_
"symbol":"COR22D799",_x000D_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2" s="1" t="str">
        <f>formatRow(Tokens!J$2:AV$2,Tokens!J962:AV962,2,"attributes")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2" s="1" t="str">
        <f>formatRow(Tokens!AX$2:BC$2,Tokens!AX962:BC962,2,"creators")</f>
        <v>"creators":[{"address":"paul",_x000D_
"share":10},{"address":"sophie",_x000D_
"share":90}]</v>
      </c>
      <c r="Y962" s="1" t="str">
        <f>formatRow(Tokens!BD$2:BI$2,Tokens!BD962:BI962,2,"files")</f>
        <v>"files":[]</v>
      </c>
      <c r="Z962" s="1"/>
      <c r="AA962" s="1"/>
      <c r="AB962" s="1"/>
      <c r="AC962" s="1" t="str">
        <f>formatRow(Tokens!BJ$2:BK$2,Tokens!BJ962:BK962,0,"collection")</f>
        <v>"collection":{"name":"In Casa",_x000D_
"family":"Calvi On The Rocks"}</v>
      </c>
    </row>
    <row r="963" spans="5:29" ht="14.25" customHeight="1" x14ac:dyDescent="0.25">
      <c r="E963" s="17" t="str">
        <f>IF(Tokens!C963="","",Tokens!C963)</f>
        <v>In Casa #800</v>
      </c>
      <c r="F963"/>
      <c r="G963"/>
      <c r="H963"/>
      <c r="I963"/>
      <c r="J963"/>
      <c r="M963"/>
      <c r="N963"/>
      <c r="O963" s="15" t="str">
        <f t="shared" si="28"/>
        <v>_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1" t="str">
        <f>"owner=" &amp; Tokens!BS963 &amp; "&amp;filename_for_metadata=" &amp; Tokens!BT963 &amp; "&amp;offchaindata_platform=" &amp; $B$17 &amp; "&amp;keyfile=" &amp; $B$5 &amp; "&amp;network=" &amp; LOWER($B$8) &amp; "&amp;repository=" &amp; $B$18</f>
        <v>owner=thomas&amp;filename_for_metadata=InCasa_COR22D800&amp;offchaindata_platform=MongoDB&amp;keyfile=Paul&amp;network=jsonfiles&amp;repository=test</v>
      </c>
      <c r="U963" s="1" t="str">
        <f t="shared" si="29"/>
        <v>{"name":"In Casa #800",_x000D_
"symbol":"COR22D800",_x000D_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3" s="1" t="str">
        <f>formatRow(Tokens!C$2:I$2,Tokens!C963:I963)</f>
        <v>"name":"In Casa #800",_x000D_
"symbol":"COR22D800",_x000D_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3" s="1" t="str">
        <f>formatRow(Tokens!J$2:AV$2,Tokens!J963:AV963,2,"attributes")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3" s="1" t="str">
        <f>formatRow(Tokens!AX$2:BC$2,Tokens!AX963:BC963,2,"creators")</f>
        <v>"creators":[{"address":"paul",_x000D_
"share":10},{"address":"sophie",_x000D_
"share":90}]</v>
      </c>
      <c r="Y963" s="1" t="str">
        <f>formatRow(Tokens!BD$2:BI$2,Tokens!BD963:BI963,2,"files")</f>
        <v>"files":[]</v>
      </c>
      <c r="Z963" s="1"/>
      <c r="AA963" s="1"/>
      <c r="AB963" s="1"/>
      <c r="AC963" s="1" t="str">
        <f>formatRow(Tokens!BJ$2:BK$2,Tokens!BJ963:BK963,0,"collection")</f>
        <v>"collection":{"name":"In Casa",_x000D_
"family":"Calvi On The Rocks"}</v>
      </c>
    </row>
    <row r="964" spans="5:29" ht="14.25" customHeight="1" x14ac:dyDescent="0.25">
      <c r="E964" s="17" t="str">
        <f>IF(Tokens!C964="","",Tokens!C964)</f>
        <v>In Casa #801</v>
      </c>
      <c r="F964"/>
      <c r="G964"/>
      <c r="H964"/>
      <c r="I964"/>
      <c r="J964"/>
      <c r="M964"/>
      <c r="N964"/>
      <c r="O964" s="15" t="str">
        <f t="shared" ref="O964:O1027" si="30">IF(AND(ISNUMBER(N963),ISNUMBER(N964)),(N964-N963)*$O$1,"_")</f>
        <v>_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1" t="str">
        <f>"owner=" &amp; Tokens!BS964 &amp; "&amp;filename_for_metadata=" &amp; Tokens!BT964 &amp; "&amp;offchaindata_platform=" &amp; $B$17 &amp; "&amp;keyfile=" &amp; $B$5 &amp; "&amp;network=" &amp; LOWER($B$8) &amp; "&amp;repository=" &amp; $B$18</f>
        <v>owner=thomas&amp;filename_for_metadata=InCasa_COR22D801&amp;offchaindata_platform=MongoDB&amp;keyfile=Paul&amp;network=jsonfiles&amp;repository=test</v>
      </c>
      <c r="U964" s="1" t="str">
        <f t="shared" si="29"/>
        <v>{"name":"In Casa #801",_x000D_
"symbol":"COR22D801",_x000D_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4" s="1" t="str">
        <f>formatRow(Tokens!C$2:I$2,Tokens!C964:I964)</f>
        <v>"name":"In Casa #801",_x000D_
"symbol":"COR22D801",_x000D_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4" s="1" t="str">
        <f>formatRow(Tokens!J$2:AV$2,Tokens!J964:AV964,2,"attributes")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4" s="1" t="str">
        <f>formatRow(Tokens!AX$2:BC$2,Tokens!AX964:BC964,2,"creators")</f>
        <v>"creators":[{"address":"paul",_x000D_
"share":10},{"address":"sophie",_x000D_
"share":90}]</v>
      </c>
      <c r="Y964" s="1" t="str">
        <f>formatRow(Tokens!BD$2:BI$2,Tokens!BD964:BI964,2,"files")</f>
        <v>"files":[]</v>
      </c>
      <c r="Z964" s="1"/>
      <c r="AA964" s="1"/>
      <c r="AB964" s="1"/>
      <c r="AC964" s="1" t="str">
        <f>formatRow(Tokens!BJ$2:BK$2,Tokens!BJ964:BK964,0,"collection")</f>
        <v>"collection":{"name":"In Casa",_x000D_
"family":"Calvi On The Rocks"}</v>
      </c>
    </row>
    <row r="965" spans="5:29" ht="14.25" customHeight="1" x14ac:dyDescent="0.25">
      <c r="E965" s="17" t="str">
        <f>IF(Tokens!C965="","",Tokens!C965)</f>
        <v>In Casa #802</v>
      </c>
      <c r="F965"/>
      <c r="G965"/>
      <c r="H965"/>
      <c r="I965"/>
      <c r="J965"/>
      <c r="M965"/>
      <c r="N965"/>
      <c r="O965" s="15" t="str">
        <f t="shared" si="30"/>
        <v>_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1" t="str">
        <f>"owner=" &amp; Tokens!BS965 &amp; "&amp;filename_for_metadata=" &amp; Tokens!BT965 &amp; "&amp;offchaindata_platform=" &amp; $B$17 &amp; "&amp;keyfile=" &amp; $B$5 &amp; "&amp;network=" &amp; LOWER($B$8) &amp; "&amp;repository=" &amp; $B$18</f>
        <v>owner=thomas&amp;filename_for_metadata=InCasa_COR22D802&amp;offchaindata_platform=MongoDB&amp;keyfile=Paul&amp;network=jsonfiles&amp;repository=test</v>
      </c>
      <c r="U965" s="1" t="str">
        <f t="shared" ref="U965:U1028" si="31">"{" &amp; V965 &amp; "," &amp; W965 &amp; "," &amp; """properties"":{" &amp; X965 &amp; "," &amp; Y965 &amp; "}," &amp; AC965 &amp; "}"</f>
        <v>{"name":"In Casa #802",_x000D_
"symbol":"COR22D802",_x000D_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5" s="1" t="str">
        <f>formatRow(Tokens!C$2:I$2,Tokens!C965:I965)</f>
        <v>"name":"In Casa #802",_x000D_
"symbol":"COR22D802",_x000D_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5" s="1" t="str">
        <f>formatRow(Tokens!J$2:AV$2,Tokens!J965:AV965,2,"attributes")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5" s="1" t="str">
        <f>formatRow(Tokens!AX$2:BC$2,Tokens!AX965:BC965,2,"creators")</f>
        <v>"creators":[{"address":"paul",_x000D_
"share":10},{"address":"sophie",_x000D_
"share":90}]</v>
      </c>
      <c r="Y965" s="1" t="str">
        <f>formatRow(Tokens!BD$2:BI$2,Tokens!BD965:BI965,2,"files")</f>
        <v>"files":[]</v>
      </c>
      <c r="Z965" s="1"/>
      <c r="AA965" s="1"/>
      <c r="AB965" s="1"/>
      <c r="AC965" s="1" t="str">
        <f>formatRow(Tokens!BJ$2:BK$2,Tokens!BJ965:BK965,0,"collection")</f>
        <v>"collection":{"name":"In Casa",_x000D_
"family":"Calvi On The Rocks"}</v>
      </c>
    </row>
    <row r="966" spans="5:29" ht="14.25" customHeight="1" x14ac:dyDescent="0.25">
      <c r="E966" s="17" t="str">
        <f>IF(Tokens!C966="","",Tokens!C966)</f>
        <v>In Casa #803</v>
      </c>
      <c r="F966"/>
      <c r="G966"/>
      <c r="H966"/>
      <c r="I966"/>
      <c r="J966"/>
      <c r="M966"/>
      <c r="N966"/>
      <c r="O966" s="15" t="str">
        <f t="shared" si="30"/>
        <v>_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1" t="str">
        <f>"owner=" &amp; Tokens!BS966 &amp; "&amp;filename_for_metadata=" &amp; Tokens!BT966 &amp; "&amp;offchaindata_platform=" &amp; $B$17 &amp; "&amp;keyfile=" &amp; $B$5 &amp; "&amp;network=" &amp; LOWER($B$8) &amp; "&amp;repository=" &amp; $B$18</f>
        <v>owner=thomas&amp;filename_for_metadata=InCasa_COR22D803&amp;offchaindata_platform=MongoDB&amp;keyfile=Paul&amp;network=jsonfiles&amp;repository=test</v>
      </c>
      <c r="U966" s="1" t="str">
        <f t="shared" si="31"/>
        <v>{"name":"In Casa #803",_x000D_
"symbol":"COR22D803",_x000D_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6" s="1" t="str">
        <f>formatRow(Tokens!C$2:I$2,Tokens!C966:I966)</f>
        <v>"name":"In Casa #803",_x000D_
"symbol":"COR22D803",_x000D_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6" s="1" t="str">
        <f>formatRow(Tokens!J$2:AV$2,Tokens!J966:AV966,2,"attributes")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6" s="1" t="str">
        <f>formatRow(Tokens!AX$2:BC$2,Tokens!AX966:BC966,2,"creators")</f>
        <v>"creators":[{"address":"paul",_x000D_
"share":10},{"address":"sophie",_x000D_
"share":90}]</v>
      </c>
      <c r="Y966" s="1" t="str">
        <f>formatRow(Tokens!BD$2:BI$2,Tokens!BD966:BI966,2,"files")</f>
        <v>"files":[]</v>
      </c>
      <c r="Z966" s="1"/>
      <c r="AA966" s="1"/>
      <c r="AB966" s="1"/>
      <c r="AC966" s="1" t="str">
        <f>formatRow(Tokens!BJ$2:BK$2,Tokens!BJ966:BK966,0,"collection")</f>
        <v>"collection":{"name":"In Casa",_x000D_
"family":"Calvi On The Rocks"}</v>
      </c>
    </row>
    <row r="967" spans="5:29" ht="14.25" customHeight="1" x14ac:dyDescent="0.25">
      <c r="E967" s="17" t="str">
        <f>IF(Tokens!C967="","",Tokens!C967)</f>
        <v>In Casa #804</v>
      </c>
      <c r="F967"/>
      <c r="G967"/>
      <c r="H967"/>
      <c r="I967"/>
      <c r="J967"/>
      <c r="M967"/>
      <c r="N967"/>
      <c r="O967" s="15" t="str">
        <f t="shared" si="30"/>
        <v>_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1" t="str">
        <f>"owner=" &amp; Tokens!BS967 &amp; "&amp;filename_for_metadata=" &amp; Tokens!BT967 &amp; "&amp;offchaindata_platform=" &amp; $B$17 &amp; "&amp;keyfile=" &amp; $B$5 &amp; "&amp;network=" &amp; LOWER($B$8) &amp; "&amp;repository=" &amp; $B$18</f>
        <v>owner=thomas&amp;filename_for_metadata=InCasa_COR22D804&amp;offchaindata_platform=MongoDB&amp;keyfile=Paul&amp;network=jsonfiles&amp;repository=test</v>
      </c>
      <c r="U967" s="1" t="str">
        <f t="shared" si="31"/>
        <v>{"name":"In Casa #804",_x000D_
"symbol":"COR22D804",_x000D_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7" s="1" t="str">
        <f>formatRow(Tokens!C$2:I$2,Tokens!C967:I967)</f>
        <v>"name":"In Casa #804",_x000D_
"symbol":"COR22D804",_x000D_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7" s="1" t="str">
        <f>formatRow(Tokens!J$2:AV$2,Tokens!J967:AV967,2,"attributes")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7" s="1" t="str">
        <f>formatRow(Tokens!AX$2:BC$2,Tokens!AX967:BC967,2,"creators")</f>
        <v>"creators":[{"address":"paul",_x000D_
"share":10},{"address":"sophie",_x000D_
"share":90}]</v>
      </c>
      <c r="Y967" s="1" t="str">
        <f>formatRow(Tokens!BD$2:BI$2,Tokens!BD967:BI967,2,"files")</f>
        <v>"files":[]</v>
      </c>
      <c r="Z967" s="1"/>
      <c r="AA967" s="1"/>
      <c r="AB967" s="1"/>
      <c r="AC967" s="1" t="str">
        <f>formatRow(Tokens!BJ$2:BK$2,Tokens!BJ967:BK967,0,"collection")</f>
        <v>"collection":{"name":"In Casa",_x000D_
"family":"Calvi On The Rocks"}</v>
      </c>
    </row>
    <row r="968" spans="5:29" ht="14.25" customHeight="1" x14ac:dyDescent="0.25">
      <c r="E968" s="17" t="str">
        <f>IF(Tokens!C968="","",Tokens!C968)</f>
        <v>In Casa #805</v>
      </c>
      <c r="F968"/>
      <c r="G968"/>
      <c r="H968"/>
      <c r="I968"/>
      <c r="J968"/>
      <c r="M968"/>
      <c r="N968"/>
      <c r="O968" s="15" t="str">
        <f t="shared" si="30"/>
        <v>_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1" t="str">
        <f>"owner=" &amp; Tokens!BS968 &amp; "&amp;filename_for_metadata=" &amp; Tokens!BT968 &amp; "&amp;offchaindata_platform=" &amp; $B$17 &amp; "&amp;keyfile=" &amp; $B$5 &amp; "&amp;network=" &amp; LOWER($B$8) &amp; "&amp;repository=" &amp; $B$18</f>
        <v>owner=thomas&amp;filename_for_metadata=InCasa_COR22D805&amp;offchaindata_platform=MongoDB&amp;keyfile=Paul&amp;network=jsonfiles&amp;repository=test</v>
      </c>
      <c r="U968" s="1" t="str">
        <f t="shared" si="31"/>
        <v>{"name":"In Casa #805",_x000D_
"symbol":"COR22D805",_x000D_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8" s="1" t="str">
        <f>formatRow(Tokens!C$2:I$2,Tokens!C968:I968)</f>
        <v>"name":"In Casa #805",_x000D_
"symbol":"COR22D805",_x000D_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8" s="1" t="str">
        <f>formatRow(Tokens!J$2:AV$2,Tokens!J968:AV968,2,"attributes")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8" s="1" t="str">
        <f>formatRow(Tokens!AX$2:BC$2,Tokens!AX968:BC968,2,"creators")</f>
        <v>"creators":[{"address":"paul",_x000D_
"share":10},{"address":"sophie",_x000D_
"share":90}]</v>
      </c>
      <c r="Y968" s="1" t="str">
        <f>formatRow(Tokens!BD$2:BI$2,Tokens!BD968:BI968,2,"files")</f>
        <v>"files":[]</v>
      </c>
      <c r="Z968" s="1"/>
      <c r="AA968" s="1"/>
      <c r="AB968" s="1"/>
      <c r="AC968" s="1" t="str">
        <f>formatRow(Tokens!BJ$2:BK$2,Tokens!BJ968:BK968,0,"collection")</f>
        <v>"collection":{"name":"In Casa",_x000D_
"family":"Calvi On The Rocks"}</v>
      </c>
    </row>
    <row r="969" spans="5:29" ht="14.25" customHeight="1" x14ac:dyDescent="0.25">
      <c r="E969" s="17" t="str">
        <f>IF(Tokens!C969="","",Tokens!C969)</f>
        <v>In Casa #806</v>
      </c>
      <c r="F969"/>
      <c r="G969"/>
      <c r="H969"/>
      <c r="I969"/>
      <c r="J969"/>
      <c r="M969"/>
      <c r="N969"/>
      <c r="O969" s="15" t="str">
        <f t="shared" si="30"/>
        <v>_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1" t="str">
        <f>"owner=" &amp; Tokens!BS969 &amp; "&amp;filename_for_metadata=" &amp; Tokens!BT969 &amp; "&amp;offchaindata_platform=" &amp; $B$17 &amp; "&amp;keyfile=" &amp; $B$5 &amp; "&amp;network=" &amp; LOWER($B$8) &amp; "&amp;repository=" &amp; $B$18</f>
        <v>owner=thomas&amp;filename_for_metadata=InCasa_COR22D806&amp;offchaindata_platform=MongoDB&amp;keyfile=Paul&amp;network=jsonfiles&amp;repository=test</v>
      </c>
      <c r="U969" s="1" t="str">
        <f t="shared" si="31"/>
        <v>{"name":"In Casa #806",_x000D_
"symbol":"COR22D806",_x000D_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69" s="1" t="str">
        <f>formatRow(Tokens!C$2:I$2,Tokens!C969:I969)</f>
        <v>"name":"In Casa #806",_x000D_
"symbol":"COR22D806",_x000D_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69" s="1" t="str">
        <f>formatRow(Tokens!J$2:AV$2,Tokens!J969:AV969,2,"attributes")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69" s="1" t="str">
        <f>formatRow(Tokens!AX$2:BC$2,Tokens!AX969:BC969,2,"creators")</f>
        <v>"creators":[{"address":"paul",_x000D_
"share":10},{"address":"sophie",_x000D_
"share":90}]</v>
      </c>
      <c r="Y969" s="1" t="str">
        <f>formatRow(Tokens!BD$2:BI$2,Tokens!BD969:BI969,2,"files")</f>
        <v>"files":[]</v>
      </c>
      <c r="Z969" s="1"/>
      <c r="AA969" s="1"/>
      <c r="AB969" s="1"/>
      <c r="AC969" s="1" t="str">
        <f>formatRow(Tokens!BJ$2:BK$2,Tokens!BJ969:BK969,0,"collection")</f>
        <v>"collection":{"name":"In Casa",_x000D_
"family":"Calvi On The Rocks"}</v>
      </c>
    </row>
    <row r="970" spans="5:29" ht="14.25" customHeight="1" x14ac:dyDescent="0.25">
      <c r="E970" s="17" t="str">
        <f>IF(Tokens!C970="","",Tokens!C970)</f>
        <v>In Casa #807</v>
      </c>
      <c r="F970"/>
      <c r="G970"/>
      <c r="H970"/>
      <c r="I970"/>
      <c r="J970"/>
      <c r="M970"/>
      <c r="N970"/>
      <c r="O970" s="15" t="str">
        <f t="shared" si="30"/>
        <v>_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1" t="str">
        <f>"owner=" &amp; Tokens!BS970 &amp; "&amp;filename_for_metadata=" &amp; Tokens!BT970 &amp; "&amp;offchaindata_platform=" &amp; $B$17 &amp; "&amp;keyfile=" &amp; $B$5 &amp; "&amp;network=" &amp; LOWER($B$8) &amp; "&amp;repository=" &amp; $B$18</f>
        <v>owner=thomas&amp;filename_for_metadata=InCasa_COR22D807&amp;offchaindata_platform=MongoDB&amp;keyfile=Paul&amp;network=jsonfiles&amp;repository=test</v>
      </c>
      <c r="U970" s="1" t="str">
        <f t="shared" si="31"/>
        <v>{"name":"In Casa #807",_x000D_
"symbol":"COR22D807",_x000D_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0" s="1" t="str">
        <f>formatRow(Tokens!C$2:I$2,Tokens!C970:I970)</f>
        <v>"name":"In Casa #807",_x000D_
"symbol":"COR22D807",_x000D_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0" s="1" t="str">
        <f>formatRow(Tokens!J$2:AV$2,Tokens!J970:AV970,2,"attributes")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0" s="1" t="str">
        <f>formatRow(Tokens!AX$2:BC$2,Tokens!AX970:BC970,2,"creators")</f>
        <v>"creators":[{"address":"paul",_x000D_
"share":10},{"address":"sophie",_x000D_
"share":90}]</v>
      </c>
      <c r="Y970" s="1" t="str">
        <f>formatRow(Tokens!BD$2:BI$2,Tokens!BD970:BI970,2,"files")</f>
        <v>"files":[]</v>
      </c>
      <c r="Z970" s="1"/>
      <c r="AA970" s="1"/>
      <c r="AB970" s="1"/>
      <c r="AC970" s="1" t="str">
        <f>formatRow(Tokens!BJ$2:BK$2,Tokens!BJ970:BK970,0,"collection")</f>
        <v>"collection":{"name":"In Casa",_x000D_
"family":"Calvi On The Rocks"}</v>
      </c>
    </row>
    <row r="971" spans="5:29" ht="14.25" customHeight="1" x14ac:dyDescent="0.25">
      <c r="E971" s="17" t="str">
        <f>IF(Tokens!C971="","",Tokens!C971)</f>
        <v>In Casa #808</v>
      </c>
      <c r="F971"/>
      <c r="G971"/>
      <c r="H971"/>
      <c r="I971"/>
      <c r="J971"/>
      <c r="M971"/>
      <c r="N971"/>
      <c r="O971" s="15" t="str">
        <f t="shared" si="30"/>
        <v>_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1" t="str">
        <f>"owner=" &amp; Tokens!BS971 &amp; "&amp;filename_for_metadata=" &amp; Tokens!BT971 &amp; "&amp;offchaindata_platform=" &amp; $B$17 &amp; "&amp;keyfile=" &amp; $B$5 &amp; "&amp;network=" &amp; LOWER($B$8) &amp; "&amp;repository=" &amp; $B$18</f>
        <v>owner=thomas&amp;filename_for_metadata=InCasa_COR22D808&amp;offchaindata_platform=MongoDB&amp;keyfile=Paul&amp;network=jsonfiles&amp;repository=test</v>
      </c>
      <c r="U971" s="1" t="str">
        <f t="shared" si="31"/>
        <v>{"name":"In Casa #808",_x000D_
"symbol":"COR22D808",_x000D_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1" s="1" t="str">
        <f>formatRow(Tokens!C$2:I$2,Tokens!C971:I971)</f>
        <v>"name":"In Casa #808",_x000D_
"symbol":"COR22D808",_x000D_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1" s="1" t="str">
        <f>formatRow(Tokens!J$2:AV$2,Tokens!J971:AV971,2,"attributes")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1" s="1" t="str">
        <f>formatRow(Tokens!AX$2:BC$2,Tokens!AX971:BC971,2,"creators")</f>
        <v>"creators":[{"address":"paul",_x000D_
"share":10},{"address":"sophie",_x000D_
"share":90}]</v>
      </c>
      <c r="Y971" s="1" t="str">
        <f>formatRow(Tokens!BD$2:BI$2,Tokens!BD971:BI971,2,"files")</f>
        <v>"files":[]</v>
      </c>
      <c r="Z971" s="1"/>
      <c r="AA971" s="1"/>
      <c r="AB971" s="1"/>
      <c r="AC971" s="1" t="str">
        <f>formatRow(Tokens!BJ$2:BK$2,Tokens!BJ971:BK971,0,"collection")</f>
        <v>"collection":{"name":"In Casa",_x000D_
"family":"Calvi On The Rocks"}</v>
      </c>
    </row>
    <row r="972" spans="5:29" ht="14.25" customHeight="1" x14ac:dyDescent="0.25">
      <c r="E972" s="17" t="str">
        <f>IF(Tokens!C972="","",Tokens!C972)</f>
        <v>In Casa #809</v>
      </c>
      <c r="F972"/>
      <c r="G972"/>
      <c r="H972"/>
      <c r="I972"/>
      <c r="J972"/>
      <c r="M972"/>
      <c r="N972"/>
      <c r="O972" s="15" t="str">
        <f t="shared" si="30"/>
        <v>_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1" t="str">
        <f>"owner=" &amp; Tokens!BS972 &amp; "&amp;filename_for_metadata=" &amp; Tokens!BT972 &amp; "&amp;offchaindata_platform=" &amp; $B$17 &amp; "&amp;keyfile=" &amp; $B$5 &amp; "&amp;network=" &amp; LOWER($B$8) &amp; "&amp;repository=" &amp; $B$18</f>
        <v>owner=thomas&amp;filename_for_metadata=InCasa_COR22D809&amp;offchaindata_platform=MongoDB&amp;keyfile=Paul&amp;network=jsonfiles&amp;repository=test</v>
      </c>
      <c r="U972" s="1" t="str">
        <f t="shared" si="31"/>
        <v>{"name":"In Casa #809",_x000D_
"symbol":"COR22D809",_x000D_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2" s="1" t="str">
        <f>formatRow(Tokens!C$2:I$2,Tokens!C972:I972)</f>
        <v>"name":"In Casa #809",_x000D_
"symbol":"COR22D809",_x000D_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2" s="1" t="str">
        <f>formatRow(Tokens!J$2:AV$2,Tokens!J972:AV972,2,"attributes")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2" s="1" t="str">
        <f>formatRow(Tokens!AX$2:BC$2,Tokens!AX972:BC972,2,"creators")</f>
        <v>"creators":[{"address":"paul",_x000D_
"share":10},{"address":"sophie",_x000D_
"share":90}]</v>
      </c>
      <c r="Y972" s="1" t="str">
        <f>formatRow(Tokens!BD$2:BI$2,Tokens!BD972:BI972,2,"files")</f>
        <v>"files":[]</v>
      </c>
      <c r="Z972" s="1"/>
      <c r="AA972" s="1"/>
      <c r="AB972" s="1"/>
      <c r="AC972" s="1" t="str">
        <f>formatRow(Tokens!BJ$2:BK$2,Tokens!BJ972:BK972,0,"collection")</f>
        <v>"collection":{"name":"In Casa",_x000D_
"family":"Calvi On The Rocks"}</v>
      </c>
    </row>
    <row r="973" spans="5:29" ht="14.25" customHeight="1" x14ac:dyDescent="0.25">
      <c r="E973" s="17" t="str">
        <f>IF(Tokens!C973="","",Tokens!C973)</f>
        <v>In Casa #810</v>
      </c>
      <c r="F973"/>
      <c r="G973"/>
      <c r="H973"/>
      <c r="I973"/>
      <c r="J973"/>
      <c r="M973"/>
      <c r="N973"/>
      <c r="O973" s="15" t="str">
        <f t="shared" si="30"/>
        <v>_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1" t="str">
        <f>"owner=" &amp; Tokens!BS973 &amp; "&amp;filename_for_metadata=" &amp; Tokens!BT973 &amp; "&amp;offchaindata_platform=" &amp; $B$17 &amp; "&amp;keyfile=" &amp; $B$5 &amp; "&amp;network=" &amp; LOWER($B$8) &amp; "&amp;repository=" &amp; $B$18</f>
        <v>owner=thomas&amp;filename_for_metadata=InCasa_COR22D810&amp;offchaindata_platform=MongoDB&amp;keyfile=Paul&amp;network=jsonfiles&amp;repository=test</v>
      </c>
      <c r="U973" s="1" t="str">
        <f t="shared" si="31"/>
        <v>{"name":"In Casa #810",_x000D_
"symbol":"COR22D810",_x000D_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3" s="1" t="str">
        <f>formatRow(Tokens!C$2:I$2,Tokens!C973:I973)</f>
        <v>"name":"In Casa #810",_x000D_
"symbol":"COR22D810",_x000D_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3" s="1" t="str">
        <f>formatRow(Tokens!J$2:AV$2,Tokens!J973:AV973,2,"attributes")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3" s="1" t="str">
        <f>formatRow(Tokens!AX$2:BC$2,Tokens!AX973:BC973,2,"creators")</f>
        <v>"creators":[{"address":"paul",_x000D_
"share":10},{"address":"sophie",_x000D_
"share":90}]</v>
      </c>
      <c r="Y973" s="1" t="str">
        <f>formatRow(Tokens!BD$2:BI$2,Tokens!BD973:BI973,2,"files")</f>
        <v>"files":[]</v>
      </c>
      <c r="Z973" s="1"/>
      <c r="AA973" s="1"/>
      <c r="AB973" s="1"/>
      <c r="AC973" s="1" t="str">
        <f>formatRow(Tokens!BJ$2:BK$2,Tokens!BJ973:BK973,0,"collection")</f>
        <v>"collection":{"name":"In Casa",_x000D_
"family":"Calvi On The Rocks"}</v>
      </c>
    </row>
    <row r="974" spans="5:29" ht="14.25" customHeight="1" x14ac:dyDescent="0.25">
      <c r="E974" s="17" t="str">
        <f>IF(Tokens!C974="","",Tokens!C974)</f>
        <v>In Casa #811</v>
      </c>
      <c r="F974"/>
      <c r="G974"/>
      <c r="H974"/>
      <c r="I974"/>
      <c r="J974"/>
      <c r="M974"/>
      <c r="N974"/>
      <c r="O974" s="15" t="str">
        <f t="shared" si="30"/>
        <v>_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1" t="str">
        <f>"owner=" &amp; Tokens!BS974 &amp; "&amp;filename_for_metadata=" &amp; Tokens!BT974 &amp; "&amp;offchaindata_platform=" &amp; $B$17 &amp; "&amp;keyfile=" &amp; $B$5 &amp; "&amp;network=" &amp; LOWER($B$8) &amp; "&amp;repository=" &amp; $B$18</f>
        <v>owner=thomas&amp;filename_for_metadata=InCasa_COR22D811&amp;offchaindata_platform=MongoDB&amp;keyfile=Paul&amp;network=jsonfiles&amp;repository=test</v>
      </c>
      <c r="U974" s="1" t="str">
        <f t="shared" si="31"/>
        <v>{"name":"In Casa #811",_x000D_
"symbol":"COR22D811",_x000D_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4" s="1" t="str">
        <f>formatRow(Tokens!C$2:I$2,Tokens!C974:I974)</f>
        <v>"name":"In Casa #811",_x000D_
"symbol":"COR22D811",_x000D_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4" s="1" t="str">
        <f>formatRow(Tokens!J$2:AV$2,Tokens!J974:AV974,2,"attributes")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4" s="1" t="str">
        <f>formatRow(Tokens!AX$2:BC$2,Tokens!AX974:BC974,2,"creators")</f>
        <v>"creators":[{"address":"paul",_x000D_
"share":10},{"address":"sophie",_x000D_
"share":90}]</v>
      </c>
      <c r="Y974" s="1" t="str">
        <f>formatRow(Tokens!BD$2:BI$2,Tokens!BD974:BI974,2,"files")</f>
        <v>"files":[]</v>
      </c>
      <c r="Z974" s="1"/>
      <c r="AA974" s="1"/>
      <c r="AB974" s="1"/>
      <c r="AC974" s="1" t="str">
        <f>formatRow(Tokens!BJ$2:BK$2,Tokens!BJ974:BK974,0,"collection")</f>
        <v>"collection":{"name":"In Casa",_x000D_
"family":"Calvi On The Rocks"}</v>
      </c>
    </row>
    <row r="975" spans="5:29" ht="14.25" customHeight="1" x14ac:dyDescent="0.25">
      <c r="E975" s="17" t="str">
        <f>IF(Tokens!C975="","",Tokens!C975)</f>
        <v>In Casa #812</v>
      </c>
      <c r="F975"/>
      <c r="G975"/>
      <c r="H975"/>
      <c r="I975"/>
      <c r="J975"/>
      <c r="M975"/>
      <c r="N975"/>
      <c r="O975" s="15" t="str">
        <f t="shared" si="30"/>
        <v>_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1" t="str">
        <f>"owner=" &amp; Tokens!BS975 &amp; "&amp;filename_for_metadata=" &amp; Tokens!BT975 &amp; "&amp;offchaindata_platform=" &amp; $B$17 &amp; "&amp;keyfile=" &amp; $B$5 &amp; "&amp;network=" &amp; LOWER($B$8) &amp; "&amp;repository=" &amp; $B$18</f>
        <v>owner=thomas&amp;filename_for_metadata=InCasa_COR22D812&amp;offchaindata_platform=MongoDB&amp;keyfile=Paul&amp;network=jsonfiles&amp;repository=test</v>
      </c>
      <c r="U975" s="1" t="str">
        <f t="shared" si="31"/>
        <v>{"name":"In Casa #812",_x000D_
"symbol":"COR22D812",_x000D_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5" s="1" t="str">
        <f>formatRow(Tokens!C$2:I$2,Tokens!C975:I975)</f>
        <v>"name":"In Casa #812",_x000D_
"symbol":"COR22D812",_x000D_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5" s="1" t="str">
        <f>formatRow(Tokens!J$2:AV$2,Tokens!J975:AV975,2,"attributes")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5" s="1" t="str">
        <f>formatRow(Tokens!AX$2:BC$2,Tokens!AX975:BC975,2,"creators")</f>
        <v>"creators":[{"address":"paul",_x000D_
"share":10},{"address":"sophie",_x000D_
"share":90}]</v>
      </c>
      <c r="Y975" s="1" t="str">
        <f>formatRow(Tokens!BD$2:BI$2,Tokens!BD975:BI975,2,"files")</f>
        <v>"files":[]</v>
      </c>
      <c r="Z975" s="1"/>
      <c r="AA975" s="1"/>
      <c r="AB975" s="1"/>
      <c r="AC975" s="1" t="str">
        <f>formatRow(Tokens!BJ$2:BK$2,Tokens!BJ975:BK975,0,"collection")</f>
        <v>"collection":{"name":"In Casa",_x000D_
"family":"Calvi On The Rocks"}</v>
      </c>
    </row>
    <row r="976" spans="5:29" ht="14.25" customHeight="1" x14ac:dyDescent="0.25">
      <c r="E976" s="17" t="str">
        <f>IF(Tokens!C976="","",Tokens!C976)</f>
        <v>In Casa #813</v>
      </c>
      <c r="F976"/>
      <c r="G976"/>
      <c r="H976"/>
      <c r="I976"/>
      <c r="J976"/>
      <c r="M976"/>
      <c r="N976"/>
      <c r="O976" s="15" t="str">
        <f t="shared" si="30"/>
        <v>_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1" t="str">
        <f>"owner=" &amp; Tokens!BS976 &amp; "&amp;filename_for_metadata=" &amp; Tokens!BT976 &amp; "&amp;offchaindata_platform=" &amp; $B$17 &amp; "&amp;keyfile=" &amp; $B$5 &amp; "&amp;network=" &amp; LOWER($B$8) &amp; "&amp;repository=" &amp; $B$18</f>
        <v>owner=thomas&amp;filename_for_metadata=InCasa_COR22D813&amp;offchaindata_platform=MongoDB&amp;keyfile=Paul&amp;network=jsonfiles&amp;repository=test</v>
      </c>
      <c r="U976" s="1" t="str">
        <f t="shared" si="31"/>
        <v>{"name":"In Casa #813",_x000D_
"symbol":"COR22D813",_x000D_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6" s="1" t="str">
        <f>formatRow(Tokens!C$2:I$2,Tokens!C976:I976)</f>
        <v>"name":"In Casa #813",_x000D_
"symbol":"COR22D813",_x000D_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6" s="1" t="str">
        <f>formatRow(Tokens!J$2:AV$2,Tokens!J976:AV976,2,"attributes")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6" s="1" t="str">
        <f>formatRow(Tokens!AX$2:BC$2,Tokens!AX976:BC976,2,"creators")</f>
        <v>"creators":[{"address":"paul",_x000D_
"share":10},{"address":"sophie",_x000D_
"share":90}]</v>
      </c>
      <c r="Y976" s="1" t="str">
        <f>formatRow(Tokens!BD$2:BI$2,Tokens!BD976:BI976,2,"files")</f>
        <v>"files":[]</v>
      </c>
      <c r="Z976" s="1"/>
      <c r="AA976" s="1"/>
      <c r="AB976" s="1"/>
      <c r="AC976" s="1" t="str">
        <f>formatRow(Tokens!BJ$2:BK$2,Tokens!BJ976:BK976,0,"collection")</f>
        <v>"collection":{"name":"In Casa",_x000D_
"family":"Calvi On The Rocks"}</v>
      </c>
    </row>
    <row r="977" spans="5:29" ht="14.25" customHeight="1" x14ac:dyDescent="0.25">
      <c r="E977" s="17" t="str">
        <f>IF(Tokens!C977="","",Tokens!C977)</f>
        <v>In Casa #814</v>
      </c>
      <c r="F977"/>
      <c r="G977"/>
      <c r="H977"/>
      <c r="I977"/>
      <c r="J977"/>
      <c r="M977"/>
      <c r="N977"/>
      <c r="O977" s="15" t="str">
        <f t="shared" si="30"/>
        <v>_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1" t="str">
        <f>"owner=" &amp; Tokens!BS977 &amp; "&amp;filename_for_metadata=" &amp; Tokens!BT977 &amp; "&amp;offchaindata_platform=" &amp; $B$17 &amp; "&amp;keyfile=" &amp; $B$5 &amp; "&amp;network=" &amp; LOWER($B$8) &amp; "&amp;repository=" &amp; $B$18</f>
        <v>owner=thomas&amp;filename_for_metadata=InCasa_COR22D814&amp;offchaindata_platform=MongoDB&amp;keyfile=Paul&amp;network=jsonfiles&amp;repository=test</v>
      </c>
      <c r="U977" s="1" t="str">
        <f t="shared" si="31"/>
        <v>{"name":"In Casa #814",_x000D_
"symbol":"COR22D814",_x000D_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7" s="1" t="str">
        <f>formatRow(Tokens!C$2:I$2,Tokens!C977:I977)</f>
        <v>"name":"In Casa #814",_x000D_
"symbol":"COR22D814",_x000D_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7" s="1" t="str">
        <f>formatRow(Tokens!J$2:AV$2,Tokens!J977:AV977,2,"attributes")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7" s="1" t="str">
        <f>formatRow(Tokens!AX$2:BC$2,Tokens!AX977:BC977,2,"creators")</f>
        <v>"creators":[{"address":"paul",_x000D_
"share":10},{"address":"sophie",_x000D_
"share":90}]</v>
      </c>
      <c r="Y977" s="1" t="str">
        <f>formatRow(Tokens!BD$2:BI$2,Tokens!BD977:BI977,2,"files")</f>
        <v>"files":[]</v>
      </c>
      <c r="Z977" s="1"/>
      <c r="AA977" s="1"/>
      <c r="AB977" s="1"/>
      <c r="AC977" s="1" t="str">
        <f>formatRow(Tokens!BJ$2:BK$2,Tokens!BJ977:BK977,0,"collection")</f>
        <v>"collection":{"name":"In Casa",_x000D_
"family":"Calvi On The Rocks"}</v>
      </c>
    </row>
    <row r="978" spans="5:29" ht="14.25" customHeight="1" x14ac:dyDescent="0.25">
      <c r="E978" s="17" t="str">
        <f>IF(Tokens!C978="","",Tokens!C978)</f>
        <v>In Casa #815</v>
      </c>
      <c r="F978"/>
      <c r="G978"/>
      <c r="H978"/>
      <c r="I978"/>
      <c r="J978"/>
      <c r="M978"/>
      <c r="N978"/>
      <c r="O978" s="15" t="str">
        <f t="shared" si="30"/>
        <v>_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1" t="str">
        <f>"owner=" &amp; Tokens!BS978 &amp; "&amp;filename_for_metadata=" &amp; Tokens!BT978 &amp; "&amp;offchaindata_platform=" &amp; $B$17 &amp; "&amp;keyfile=" &amp; $B$5 &amp; "&amp;network=" &amp; LOWER($B$8) &amp; "&amp;repository=" &amp; $B$18</f>
        <v>owner=thomas&amp;filename_for_metadata=InCasa_COR22D815&amp;offchaindata_platform=MongoDB&amp;keyfile=Paul&amp;network=jsonfiles&amp;repository=test</v>
      </c>
      <c r="U978" s="1" t="str">
        <f t="shared" si="31"/>
        <v>{"name":"In Casa #815",_x000D_
"symbol":"COR22D815",_x000D_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8" s="1" t="str">
        <f>formatRow(Tokens!C$2:I$2,Tokens!C978:I978)</f>
        <v>"name":"In Casa #815",_x000D_
"symbol":"COR22D815",_x000D_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8" s="1" t="str">
        <f>formatRow(Tokens!J$2:AV$2,Tokens!J978:AV978,2,"attributes")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8" s="1" t="str">
        <f>formatRow(Tokens!AX$2:BC$2,Tokens!AX978:BC978,2,"creators")</f>
        <v>"creators":[{"address":"paul",_x000D_
"share":10},{"address":"sophie",_x000D_
"share":90}]</v>
      </c>
      <c r="Y978" s="1" t="str">
        <f>formatRow(Tokens!BD$2:BI$2,Tokens!BD978:BI978,2,"files")</f>
        <v>"files":[]</v>
      </c>
      <c r="Z978" s="1"/>
      <c r="AA978" s="1"/>
      <c r="AB978" s="1"/>
      <c r="AC978" s="1" t="str">
        <f>formatRow(Tokens!BJ$2:BK$2,Tokens!BJ978:BK978,0,"collection")</f>
        <v>"collection":{"name":"In Casa",_x000D_
"family":"Calvi On The Rocks"}</v>
      </c>
    </row>
    <row r="979" spans="5:29" ht="14.25" customHeight="1" x14ac:dyDescent="0.25">
      <c r="E979" s="17" t="str">
        <f>IF(Tokens!C979="","",Tokens!C979)</f>
        <v>In Casa #816</v>
      </c>
      <c r="F979"/>
      <c r="G979"/>
      <c r="H979"/>
      <c r="I979"/>
      <c r="J979"/>
      <c r="M979"/>
      <c r="N979"/>
      <c r="O979" s="15" t="str">
        <f t="shared" si="30"/>
        <v>_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1" t="str">
        <f>"owner=" &amp; Tokens!BS979 &amp; "&amp;filename_for_metadata=" &amp; Tokens!BT979 &amp; "&amp;offchaindata_platform=" &amp; $B$17 &amp; "&amp;keyfile=" &amp; $B$5 &amp; "&amp;network=" &amp; LOWER($B$8) &amp; "&amp;repository=" &amp; $B$18</f>
        <v>owner=thomas&amp;filename_for_metadata=InCasa_COR22D816&amp;offchaindata_platform=MongoDB&amp;keyfile=Paul&amp;network=jsonfiles&amp;repository=test</v>
      </c>
      <c r="U979" s="1" t="str">
        <f t="shared" si="31"/>
        <v>{"name":"In Casa #816",_x000D_
"symbol":"COR22D816",_x000D_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79" s="1" t="str">
        <f>formatRow(Tokens!C$2:I$2,Tokens!C979:I979)</f>
        <v>"name":"In Casa #816",_x000D_
"symbol":"COR22D816",_x000D_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79" s="1" t="str">
        <f>formatRow(Tokens!J$2:AV$2,Tokens!J979:AV979,2,"attributes")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79" s="1" t="str">
        <f>formatRow(Tokens!AX$2:BC$2,Tokens!AX979:BC979,2,"creators")</f>
        <v>"creators":[{"address":"paul",_x000D_
"share":10},{"address":"sophie",_x000D_
"share":90}]</v>
      </c>
      <c r="Y979" s="1" t="str">
        <f>formatRow(Tokens!BD$2:BI$2,Tokens!BD979:BI979,2,"files")</f>
        <v>"files":[]</v>
      </c>
      <c r="Z979" s="1"/>
      <c r="AA979" s="1"/>
      <c r="AB979" s="1"/>
      <c r="AC979" s="1" t="str">
        <f>formatRow(Tokens!BJ$2:BK$2,Tokens!BJ979:BK979,0,"collection")</f>
        <v>"collection":{"name":"In Casa",_x000D_
"family":"Calvi On The Rocks"}</v>
      </c>
    </row>
    <row r="980" spans="5:29" ht="14.25" customHeight="1" x14ac:dyDescent="0.25">
      <c r="E980" s="17" t="str">
        <f>IF(Tokens!C980="","",Tokens!C980)</f>
        <v>In Casa #817</v>
      </c>
      <c r="F980"/>
      <c r="G980"/>
      <c r="H980"/>
      <c r="I980"/>
      <c r="J980"/>
      <c r="M980"/>
      <c r="N980"/>
      <c r="O980" s="15" t="str">
        <f t="shared" si="30"/>
        <v>_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1" t="str">
        <f>"owner=" &amp; Tokens!BS980 &amp; "&amp;filename_for_metadata=" &amp; Tokens!BT980 &amp; "&amp;offchaindata_platform=" &amp; $B$17 &amp; "&amp;keyfile=" &amp; $B$5 &amp; "&amp;network=" &amp; LOWER($B$8) &amp; "&amp;repository=" &amp; $B$18</f>
        <v>owner=thomas&amp;filename_for_metadata=InCasa_COR22D817&amp;offchaindata_platform=MongoDB&amp;keyfile=Paul&amp;network=jsonfiles&amp;repository=test</v>
      </c>
      <c r="U980" s="1" t="str">
        <f t="shared" si="31"/>
        <v>{"name":"In Casa #817",_x000D_
"symbol":"COR22D817",_x000D_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0" s="1" t="str">
        <f>formatRow(Tokens!C$2:I$2,Tokens!C980:I980)</f>
        <v>"name":"In Casa #817",_x000D_
"symbol":"COR22D817",_x000D_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0" s="1" t="str">
        <f>formatRow(Tokens!J$2:AV$2,Tokens!J980:AV980,2,"attributes")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0" s="1" t="str">
        <f>formatRow(Tokens!AX$2:BC$2,Tokens!AX980:BC980,2,"creators")</f>
        <v>"creators":[{"address":"paul",_x000D_
"share":10},{"address":"sophie",_x000D_
"share":90}]</v>
      </c>
      <c r="Y980" s="1" t="str">
        <f>formatRow(Tokens!BD$2:BI$2,Tokens!BD980:BI980,2,"files")</f>
        <v>"files":[]</v>
      </c>
      <c r="Z980" s="1"/>
      <c r="AA980" s="1"/>
      <c r="AB980" s="1"/>
      <c r="AC980" s="1" t="str">
        <f>formatRow(Tokens!BJ$2:BK$2,Tokens!BJ980:BK980,0,"collection")</f>
        <v>"collection":{"name":"In Casa",_x000D_
"family":"Calvi On The Rocks"}</v>
      </c>
    </row>
    <row r="981" spans="5:29" ht="14.25" customHeight="1" x14ac:dyDescent="0.25">
      <c r="E981" s="17" t="str">
        <f>IF(Tokens!C981="","",Tokens!C981)</f>
        <v>In Casa #818</v>
      </c>
      <c r="F981"/>
      <c r="G981"/>
      <c r="H981"/>
      <c r="I981"/>
      <c r="J981"/>
      <c r="M981"/>
      <c r="N981"/>
      <c r="O981" s="15" t="str">
        <f t="shared" si="30"/>
        <v>_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1" t="str">
        <f>"owner=" &amp; Tokens!BS981 &amp; "&amp;filename_for_metadata=" &amp; Tokens!BT981 &amp; "&amp;offchaindata_platform=" &amp; $B$17 &amp; "&amp;keyfile=" &amp; $B$5 &amp; "&amp;network=" &amp; LOWER($B$8) &amp; "&amp;repository=" &amp; $B$18</f>
        <v>owner=thomas&amp;filename_for_metadata=InCasa_COR22D818&amp;offchaindata_platform=MongoDB&amp;keyfile=Paul&amp;network=jsonfiles&amp;repository=test</v>
      </c>
      <c r="U981" s="1" t="str">
        <f t="shared" si="31"/>
        <v>{"name":"In Casa #818",_x000D_
"symbol":"COR22D818",_x000D_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1" s="1" t="str">
        <f>formatRow(Tokens!C$2:I$2,Tokens!C981:I981)</f>
        <v>"name":"In Casa #818",_x000D_
"symbol":"COR22D818",_x000D_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1" s="1" t="str">
        <f>formatRow(Tokens!J$2:AV$2,Tokens!J981:AV981,2,"attributes")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1" s="1" t="str">
        <f>formatRow(Tokens!AX$2:BC$2,Tokens!AX981:BC981,2,"creators")</f>
        <v>"creators":[{"address":"paul",_x000D_
"share":10},{"address":"sophie",_x000D_
"share":90}]</v>
      </c>
      <c r="Y981" s="1" t="str">
        <f>formatRow(Tokens!BD$2:BI$2,Tokens!BD981:BI981,2,"files")</f>
        <v>"files":[]</v>
      </c>
      <c r="Z981" s="1"/>
      <c r="AA981" s="1"/>
      <c r="AB981" s="1"/>
      <c r="AC981" s="1" t="str">
        <f>formatRow(Tokens!BJ$2:BK$2,Tokens!BJ981:BK981,0,"collection")</f>
        <v>"collection":{"name":"In Casa",_x000D_
"family":"Calvi On The Rocks"}</v>
      </c>
    </row>
    <row r="982" spans="5:29" ht="14.25" customHeight="1" x14ac:dyDescent="0.25">
      <c r="E982" s="17" t="str">
        <f>IF(Tokens!C982="","",Tokens!C982)</f>
        <v>In Casa #819</v>
      </c>
      <c r="F982"/>
      <c r="G982"/>
      <c r="H982"/>
      <c r="I982"/>
      <c r="J982"/>
      <c r="M982"/>
      <c r="N982"/>
      <c r="O982" s="15" t="str">
        <f t="shared" si="30"/>
        <v>_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1" t="str">
        <f>"owner=" &amp; Tokens!BS982 &amp; "&amp;filename_for_metadata=" &amp; Tokens!BT982 &amp; "&amp;offchaindata_platform=" &amp; $B$17 &amp; "&amp;keyfile=" &amp; $B$5 &amp; "&amp;network=" &amp; LOWER($B$8) &amp; "&amp;repository=" &amp; $B$18</f>
        <v>owner=thomas&amp;filename_for_metadata=InCasa_COR22D819&amp;offchaindata_platform=MongoDB&amp;keyfile=Paul&amp;network=jsonfiles&amp;repository=test</v>
      </c>
      <c r="U982" s="1" t="str">
        <f t="shared" si="31"/>
        <v>{"name":"In Casa #819",_x000D_
"symbol":"COR22D819",_x000D_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2" s="1" t="str">
        <f>formatRow(Tokens!C$2:I$2,Tokens!C982:I982)</f>
        <v>"name":"In Casa #819",_x000D_
"symbol":"COR22D819",_x000D_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2" s="1" t="str">
        <f>formatRow(Tokens!J$2:AV$2,Tokens!J982:AV982,2,"attributes")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2" s="1" t="str">
        <f>formatRow(Tokens!AX$2:BC$2,Tokens!AX982:BC982,2,"creators")</f>
        <v>"creators":[{"address":"paul",_x000D_
"share":10},{"address":"sophie",_x000D_
"share":90}]</v>
      </c>
      <c r="Y982" s="1" t="str">
        <f>formatRow(Tokens!BD$2:BI$2,Tokens!BD982:BI982,2,"files")</f>
        <v>"files":[]</v>
      </c>
      <c r="Z982" s="1"/>
      <c r="AA982" s="1"/>
      <c r="AB982" s="1"/>
      <c r="AC982" s="1" t="str">
        <f>formatRow(Tokens!BJ$2:BK$2,Tokens!BJ982:BK982,0,"collection")</f>
        <v>"collection":{"name":"In Casa",_x000D_
"family":"Calvi On The Rocks"}</v>
      </c>
    </row>
    <row r="983" spans="5:29" ht="14.25" customHeight="1" x14ac:dyDescent="0.25">
      <c r="E983" s="17" t="str">
        <f>IF(Tokens!C983="","",Tokens!C983)</f>
        <v>In Casa #820</v>
      </c>
      <c r="F983"/>
      <c r="G983"/>
      <c r="H983"/>
      <c r="I983"/>
      <c r="J983"/>
      <c r="M983"/>
      <c r="N983"/>
      <c r="O983" s="15" t="str">
        <f t="shared" si="30"/>
        <v>_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1" t="str">
        <f>"owner=" &amp; Tokens!BS983 &amp; "&amp;filename_for_metadata=" &amp; Tokens!BT983 &amp; "&amp;offchaindata_platform=" &amp; $B$17 &amp; "&amp;keyfile=" &amp; $B$5 &amp; "&amp;network=" &amp; LOWER($B$8) &amp; "&amp;repository=" &amp; $B$18</f>
        <v>owner=thomas&amp;filename_for_metadata=InCasa_COR22D820&amp;offchaindata_platform=MongoDB&amp;keyfile=Paul&amp;network=jsonfiles&amp;repository=test</v>
      </c>
      <c r="U983" s="1" t="str">
        <f t="shared" si="31"/>
        <v>{"name":"In Casa #820",_x000D_
"symbol":"COR22D820",_x000D_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3" s="1" t="str">
        <f>formatRow(Tokens!C$2:I$2,Tokens!C983:I983)</f>
        <v>"name":"In Casa #820",_x000D_
"symbol":"COR22D820",_x000D_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3" s="1" t="str">
        <f>formatRow(Tokens!J$2:AV$2,Tokens!J983:AV983,2,"attributes")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3" s="1" t="str">
        <f>formatRow(Tokens!AX$2:BC$2,Tokens!AX983:BC983,2,"creators")</f>
        <v>"creators":[{"address":"paul",_x000D_
"share":10},{"address":"sophie",_x000D_
"share":90}]</v>
      </c>
      <c r="Y983" s="1" t="str">
        <f>formatRow(Tokens!BD$2:BI$2,Tokens!BD983:BI983,2,"files")</f>
        <v>"files":[]</v>
      </c>
      <c r="Z983" s="1"/>
      <c r="AA983" s="1"/>
      <c r="AB983" s="1"/>
      <c r="AC983" s="1" t="str">
        <f>formatRow(Tokens!BJ$2:BK$2,Tokens!BJ983:BK983,0,"collection")</f>
        <v>"collection":{"name":"In Casa",_x000D_
"family":"Calvi On The Rocks"}</v>
      </c>
    </row>
    <row r="984" spans="5:29" ht="14.25" customHeight="1" x14ac:dyDescent="0.25">
      <c r="E984" s="17" t="str">
        <f>IF(Tokens!C984="","",Tokens!C984)</f>
        <v>In Casa #821</v>
      </c>
      <c r="F984"/>
      <c r="G984"/>
      <c r="H984"/>
      <c r="I984"/>
      <c r="J984"/>
      <c r="M984"/>
      <c r="N984"/>
      <c r="O984" s="15" t="str">
        <f t="shared" si="30"/>
        <v>_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1" t="str">
        <f>"owner=" &amp; Tokens!BS984 &amp; "&amp;filename_for_metadata=" &amp; Tokens!BT984 &amp; "&amp;offchaindata_platform=" &amp; $B$17 &amp; "&amp;keyfile=" &amp; $B$5 &amp; "&amp;network=" &amp; LOWER($B$8) &amp; "&amp;repository=" &amp; $B$18</f>
        <v>owner=thomas&amp;filename_for_metadata=InCasa_COR22D821&amp;offchaindata_platform=MongoDB&amp;keyfile=Paul&amp;network=jsonfiles&amp;repository=test</v>
      </c>
      <c r="U984" s="1" t="str">
        <f t="shared" si="31"/>
        <v>{"name":"In Casa #821",_x000D_
"symbol":"COR22D821",_x000D_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4" s="1" t="str">
        <f>formatRow(Tokens!C$2:I$2,Tokens!C984:I984)</f>
        <v>"name":"In Casa #821",_x000D_
"symbol":"COR22D821",_x000D_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4" s="1" t="str">
        <f>formatRow(Tokens!J$2:AV$2,Tokens!J984:AV984,2,"attributes")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4" s="1" t="str">
        <f>formatRow(Tokens!AX$2:BC$2,Tokens!AX984:BC984,2,"creators")</f>
        <v>"creators":[{"address":"paul",_x000D_
"share":10},{"address":"sophie",_x000D_
"share":90}]</v>
      </c>
      <c r="Y984" s="1" t="str">
        <f>formatRow(Tokens!BD$2:BI$2,Tokens!BD984:BI984,2,"files")</f>
        <v>"files":[]</v>
      </c>
      <c r="Z984" s="1"/>
      <c r="AA984" s="1"/>
      <c r="AB984" s="1"/>
      <c r="AC984" s="1" t="str">
        <f>formatRow(Tokens!BJ$2:BK$2,Tokens!BJ984:BK984,0,"collection")</f>
        <v>"collection":{"name":"In Casa",_x000D_
"family":"Calvi On The Rocks"}</v>
      </c>
    </row>
    <row r="985" spans="5:29" ht="14.25" customHeight="1" x14ac:dyDescent="0.25">
      <c r="E985" s="17" t="str">
        <f>IF(Tokens!C985="","",Tokens!C985)</f>
        <v>In Casa #822</v>
      </c>
      <c r="F985"/>
      <c r="G985"/>
      <c r="H985"/>
      <c r="I985"/>
      <c r="J985"/>
      <c r="M985"/>
      <c r="N985"/>
      <c r="O985" s="15" t="str">
        <f t="shared" si="30"/>
        <v>_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1" t="str">
        <f>"owner=" &amp; Tokens!BS985 &amp; "&amp;filename_for_metadata=" &amp; Tokens!BT985 &amp; "&amp;offchaindata_platform=" &amp; $B$17 &amp; "&amp;keyfile=" &amp; $B$5 &amp; "&amp;network=" &amp; LOWER($B$8) &amp; "&amp;repository=" &amp; $B$18</f>
        <v>owner=thomas&amp;filename_for_metadata=InCasa_COR22D822&amp;offchaindata_platform=MongoDB&amp;keyfile=Paul&amp;network=jsonfiles&amp;repository=test</v>
      </c>
      <c r="U985" s="1" t="str">
        <f t="shared" si="31"/>
        <v>{"name":"In Casa #822",_x000D_
"symbol":"COR22D822",_x000D_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5" s="1" t="str">
        <f>formatRow(Tokens!C$2:I$2,Tokens!C985:I985)</f>
        <v>"name":"In Casa #822",_x000D_
"symbol":"COR22D822",_x000D_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5" s="1" t="str">
        <f>formatRow(Tokens!J$2:AV$2,Tokens!J985:AV985,2,"attributes")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5" s="1" t="str">
        <f>formatRow(Tokens!AX$2:BC$2,Tokens!AX985:BC985,2,"creators")</f>
        <v>"creators":[{"address":"paul",_x000D_
"share":10},{"address":"sophie",_x000D_
"share":90}]</v>
      </c>
      <c r="Y985" s="1" t="str">
        <f>formatRow(Tokens!BD$2:BI$2,Tokens!BD985:BI985,2,"files")</f>
        <v>"files":[]</v>
      </c>
      <c r="Z985" s="1"/>
      <c r="AA985" s="1"/>
      <c r="AB985" s="1"/>
      <c r="AC985" s="1" t="str">
        <f>formatRow(Tokens!BJ$2:BK$2,Tokens!BJ985:BK985,0,"collection")</f>
        <v>"collection":{"name":"In Casa",_x000D_
"family":"Calvi On The Rocks"}</v>
      </c>
    </row>
    <row r="986" spans="5:29" ht="14.25" customHeight="1" x14ac:dyDescent="0.25">
      <c r="E986" s="17" t="str">
        <f>IF(Tokens!C986="","",Tokens!C986)</f>
        <v>In Casa #823</v>
      </c>
      <c r="F986"/>
      <c r="G986"/>
      <c r="H986"/>
      <c r="I986"/>
      <c r="J986"/>
      <c r="M986"/>
      <c r="N986"/>
      <c r="O986" s="15" t="str">
        <f t="shared" si="30"/>
        <v>_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1" t="str">
        <f>"owner=" &amp; Tokens!BS986 &amp; "&amp;filename_for_metadata=" &amp; Tokens!BT986 &amp; "&amp;offchaindata_platform=" &amp; $B$17 &amp; "&amp;keyfile=" &amp; $B$5 &amp; "&amp;network=" &amp; LOWER($B$8) &amp; "&amp;repository=" &amp; $B$18</f>
        <v>owner=thomas&amp;filename_for_metadata=InCasa_COR22D823&amp;offchaindata_platform=MongoDB&amp;keyfile=Paul&amp;network=jsonfiles&amp;repository=test</v>
      </c>
      <c r="U986" s="1" t="str">
        <f t="shared" si="31"/>
        <v>{"name":"In Casa #823",_x000D_
"symbol":"COR22D823",_x000D_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6" s="1" t="str">
        <f>formatRow(Tokens!C$2:I$2,Tokens!C986:I986)</f>
        <v>"name":"In Casa #823",_x000D_
"symbol":"COR22D823",_x000D_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6" s="1" t="str">
        <f>formatRow(Tokens!J$2:AV$2,Tokens!J986:AV986,2,"attributes")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6" s="1" t="str">
        <f>formatRow(Tokens!AX$2:BC$2,Tokens!AX986:BC986,2,"creators")</f>
        <v>"creators":[{"address":"paul",_x000D_
"share":10},{"address":"sophie",_x000D_
"share":90}]</v>
      </c>
      <c r="Y986" s="1" t="str">
        <f>formatRow(Tokens!BD$2:BI$2,Tokens!BD986:BI986,2,"files")</f>
        <v>"files":[]</v>
      </c>
      <c r="Z986" s="1"/>
      <c r="AA986" s="1"/>
      <c r="AB986" s="1"/>
      <c r="AC986" s="1" t="str">
        <f>formatRow(Tokens!BJ$2:BK$2,Tokens!BJ986:BK986,0,"collection")</f>
        <v>"collection":{"name":"In Casa",_x000D_
"family":"Calvi On The Rocks"}</v>
      </c>
    </row>
    <row r="987" spans="5:29" ht="14.25" customHeight="1" x14ac:dyDescent="0.25">
      <c r="E987" s="17" t="str">
        <f>IF(Tokens!C987="","",Tokens!C987)</f>
        <v>In Casa #824</v>
      </c>
      <c r="F987"/>
      <c r="G987"/>
      <c r="H987"/>
      <c r="I987"/>
      <c r="J987"/>
      <c r="M987"/>
      <c r="N987"/>
      <c r="O987" s="15" t="str">
        <f t="shared" si="30"/>
        <v>_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1" t="str">
        <f>"owner=" &amp; Tokens!BS987 &amp; "&amp;filename_for_metadata=" &amp; Tokens!BT987 &amp; "&amp;offchaindata_platform=" &amp; $B$17 &amp; "&amp;keyfile=" &amp; $B$5 &amp; "&amp;network=" &amp; LOWER($B$8) &amp; "&amp;repository=" &amp; $B$18</f>
        <v>owner=thomas&amp;filename_for_metadata=InCasa_COR22D824&amp;offchaindata_platform=MongoDB&amp;keyfile=Paul&amp;network=jsonfiles&amp;repository=test</v>
      </c>
      <c r="U987" s="1" t="str">
        <f t="shared" si="31"/>
        <v>{"name":"In Casa #824",_x000D_
"symbol":"COR22D824",_x000D_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7" s="1" t="str">
        <f>formatRow(Tokens!C$2:I$2,Tokens!C987:I987)</f>
        <v>"name":"In Casa #824",_x000D_
"symbol":"COR22D824",_x000D_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7" s="1" t="str">
        <f>formatRow(Tokens!J$2:AV$2,Tokens!J987:AV987,2,"attributes")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7" s="1" t="str">
        <f>formatRow(Tokens!AX$2:BC$2,Tokens!AX987:BC987,2,"creators")</f>
        <v>"creators":[{"address":"paul",_x000D_
"share":10},{"address":"sophie",_x000D_
"share":90}]</v>
      </c>
      <c r="Y987" s="1" t="str">
        <f>formatRow(Tokens!BD$2:BI$2,Tokens!BD987:BI987,2,"files")</f>
        <v>"files":[]</v>
      </c>
      <c r="Z987" s="1"/>
      <c r="AA987" s="1"/>
      <c r="AB987" s="1"/>
      <c r="AC987" s="1" t="str">
        <f>formatRow(Tokens!BJ$2:BK$2,Tokens!BJ987:BK987,0,"collection")</f>
        <v>"collection":{"name":"In Casa",_x000D_
"family":"Calvi On The Rocks"}</v>
      </c>
    </row>
    <row r="988" spans="5:29" ht="14.25" customHeight="1" x14ac:dyDescent="0.25">
      <c r="E988" s="17" t="str">
        <f>IF(Tokens!C988="","",Tokens!C988)</f>
        <v>In Casa #825</v>
      </c>
      <c r="F988"/>
      <c r="G988"/>
      <c r="H988"/>
      <c r="I988"/>
      <c r="J988"/>
      <c r="M988"/>
      <c r="N988"/>
      <c r="O988" s="15" t="str">
        <f t="shared" si="30"/>
        <v>_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1" t="str">
        <f>"owner=" &amp; Tokens!BS988 &amp; "&amp;filename_for_metadata=" &amp; Tokens!BT988 &amp; "&amp;offchaindata_platform=" &amp; $B$17 &amp; "&amp;keyfile=" &amp; $B$5 &amp; "&amp;network=" &amp; LOWER($B$8) &amp; "&amp;repository=" &amp; $B$18</f>
        <v>owner=thomas&amp;filename_for_metadata=InCasa_COR22D825&amp;offchaindata_platform=MongoDB&amp;keyfile=Paul&amp;network=jsonfiles&amp;repository=test</v>
      </c>
      <c r="U988" s="1" t="str">
        <f t="shared" si="31"/>
        <v>{"name":"In Casa #825",_x000D_
"symbol":"COR22D825",_x000D_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8" s="1" t="str">
        <f>formatRow(Tokens!C$2:I$2,Tokens!C988:I988)</f>
        <v>"name":"In Casa #825",_x000D_
"symbol":"COR22D825",_x000D_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8" s="1" t="str">
        <f>formatRow(Tokens!J$2:AV$2,Tokens!J988:AV988,2,"attributes")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8" s="1" t="str">
        <f>formatRow(Tokens!AX$2:BC$2,Tokens!AX988:BC988,2,"creators")</f>
        <v>"creators":[{"address":"paul",_x000D_
"share":10},{"address":"sophie",_x000D_
"share":90}]</v>
      </c>
      <c r="Y988" s="1" t="str">
        <f>formatRow(Tokens!BD$2:BI$2,Tokens!BD988:BI988,2,"files")</f>
        <v>"files":[]</v>
      </c>
      <c r="Z988" s="1"/>
      <c r="AA988" s="1"/>
      <c r="AB988" s="1"/>
      <c r="AC988" s="1" t="str">
        <f>formatRow(Tokens!BJ$2:BK$2,Tokens!BJ988:BK988,0,"collection")</f>
        <v>"collection":{"name":"In Casa",_x000D_
"family":"Calvi On The Rocks"}</v>
      </c>
    </row>
    <row r="989" spans="5:29" ht="14.25" customHeight="1" x14ac:dyDescent="0.25">
      <c r="E989" s="17" t="str">
        <f>IF(Tokens!C989="","",Tokens!C989)</f>
        <v>In Casa #826</v>
      </c>
      <c r="F989"/>
      <c r="G989"/>
      <c r="H989"/>
      <c r="I989"/>
      <c r="J989"/>
      <c r="M989"/>
      <c r="N989"/>
      <c r="O989" s="15" t="str">
        <f t="shared" si="30"/>
        <v>_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1" t="str">
        <f>"owner=" &amp; Tokens!BS989 &amp; "&amp;filename_for_metadata=" &amp; Tokens!BT989 &amp; "&amp;offchaindata_platform=" &amp; $B$17 &amp; "&amp;keyfile=" &amp; $B$5 &amp; "&amp;network=" &amp; LOWER($B$8) &amp; "&amp;repository=" &amp; $B$18</f>
        <v>owner=thomas&amp;filename_for_metadata=InCasa_COR22D826&amp;offchaindata_platform=MongoDB&amp;keyfile=Paul&amp;network=jsonfiles&amp;repository=test</v>
      </c>
      <c r="U989" s="1" t="str">
        <f t="shared" si="31"/>
        <v>{"name":"In Casa #826",_x000D_
"symbol":"COR22D826",_x000D_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89" s="1" t="str">
        <f>formatRow(Tokens!C$2:I$2,Tokens!C989:I989)</f>
        <v>"name":"In Casa #826",_x000D_
"symbol":"COR22D826",_x000D_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89" s="1" t="str">
        <f>formatRow(Tokens!J$2:AV$2,Tokens!J989:AV989,2,"attributes")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89" s="1" t="str">
        <f>formatRow(Tokens!AX$2:BC$2,Tokens!AX989:BC989,2,"creators")</f>
        <v>"creators":[{"address":"paul",_x000D_
"share":10},{"address":"sophie",_x000D_
"share":90}]</v>
      </c>
      <c r="Y989" s="1" t="str">
        <f>formatRow(Tokens!BD$2:BI$2,Tokens!BD989:BI989,2,"files")</f>
        <v>"files":[]</v>
      </c>
      <c r="Z989" s="1"/>
      <c r="AA989" s="1"/>
      <c r="AB989" s="1"/>
      <c r="AC989" s="1" t="str">
        <f>formatRow(Tokens!BJ$2:BK$2,Tokens!BJ989:BK989,0,"collection")</f>
        <v>"collection":{"name":"In Casa",_x000D_
"family":"Calvi On The Rocks"}</v>
      </c>
    </row>
    <row r="990" spans="5:29" ht="14.25" customHeight="1" x14ac:dyDescent="0.25">
      <c r="E990" s="17" t="str">
        <f>IF(Tokens!C990="","",Tokens!C990)</f>
        <v>In Casa #827</v>
      </c>
      <c r="F990"/>
      <c r="G990"/>
      <c r="H990"/>
      <c r="I990"/>
      <c r="J990"/>
      <c r="M990"/>
      <c r="N990"/>
      <c r="O990" s="15" t="str">
        <f t="shared" si="30"/>
        <v>_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1" t="str">
        <f>"owner=" &amp; Tokens!BS990 &amp; "&amp;filename_for_metadata=" &amp; Tokens!BT990 &amp; "&amp;offchaindata_platform=" &amp; $B$17 &amp; "&amp;keyfile=" &amp; $B$5 &amp; "&amp;network=" &amp; LOWER($B$8) &amp; "&amp;repository=" &amp; $B$18</f>
        <v>owner=thomas&amp;filename_for_metadata=InCasa_COR22D827&amp;offchaindata_platform=MongoDB&amp;keyfile=Paul&amp;network=jsonfiles&amp;repository=test</v>
      </c>
      <c r="U990" s="1" t="str">
        <f t="shared" si="31"/>
        <v>{"name":"In Casa #827",_x000D_
"symbol":"COR22D827",_x000D_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0" s="1" t="str">
        <f>formatRow(Tokens!C$2:I$2,Tokens!C990:I990)</f>
        <v>"name":"In Casa #827",_x000D_
"symbol":"COR22D827",_x000D_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0" s="1" t="str">
        <f>formatRow(Tokens!J$2:AV$2,Tokens!J990:AV990,2,"attributes")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0" s="1" t="str">
        <f>formatRow(Tokens!AX$2:BC$2,Tokens!AX990:BC990,2,"creators")</f>
        <v>"creators":[{"address":"paul",_x000D_
"share":10},{"address":"sophie",_x000D_
"share":90}]</v>
      </c>
      <c r="Y990" s="1" t="str">
        <f>formatRow(Tokens!BD$2:BI$2,Tokens!BD990:BI990,2,"files")</f>
        <v>"files":[]</v>
      </c>
      <c r="Z990" s="1"/>
      <c r="AA990" s="1"/>
      <c r="AB990" s="1"/>
      <c r="AC990" s="1" t="str">
        <f>formatRow(Tokens!BJ$2:BK$2,Tokens!BJ990:BK990,0,"collection")</f>
        <v>"collection":{"name":"In Casa",_x000D_
"family":"Calvi On The Rocks"}</v>
      </c>
    </row>
    <row r="991" spans="5:29" ht="14.25" customHeight="1" x14ac:dyDescent="0.25">
      <c r="E991" s="17" t="str">
        <f>IF(Tokens!C991="","",Tokens!C991)</f>
        <v>In Casa #828</v>
      </c>
      <c r="F991"/>
      <c r="G991"/>
      <c r="H991"/>
      <c r="I991"/>
      <c r="J991"/>
      <c r="M991"/>
      <c r="N991"/>
      <c r="O991" s="15" t="str">
        <f t="shared" si="30"/>
        <v>_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1" t="str">
        <f>"owner=" &amp; Tokens!BS991 &amp; "&amp;filename_for_metadata=" &amp; Tokens!BT991 &amp; "&amp;offchaindata_platform=" &amp; $B$17 &amp; "&amp;keyfile=" &amp; $B$5 &amp; "&amp;network=" &amp; LOWER($B$8) &amp; "&amp;repository=" &amp; $B$18</f>
        <v>owner=thomas&amp;filename_for_metadata=InCasa_COR22D828&amp;offchaindata_platform=MongoDB&amp;keyfile=Paul&amp;network=jsonfiles&amp;repository=test</v>
      </c>
      <c r="U991" s="1" t="str">
        <f t="shared" si="31"/>
        <v>{"name":"In Casa #828",_x000D_
"symbol":"COR22D828",_x000D_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1" s="1" t="str">
        <f>formatRow(Tokens!C$2:I$2,Tokens!C991:I991)</f>
        <v>"name":"In Casa #828",_x000D_
"symbol":"COR22D828",_x000D_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1" s="1" t="str">
        <f>formatRow(Tokens!J$2:AV$2,Tokens!J991:AV991,2,"attributes")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1" s="1" t="str">
        <f>formatRow(Tokens!AX$2:BC$2,Tokens!AX991:BC991,2,"creators")</f>
        <v>"creators":[{"address":"paul",_x000D_
"share":10},{"address":"sophie",_x000D_
"share":90}]</v>
      </c>
      <c r="Y991" s="1" t="str">
        <f>formatRow(Tokens!BD$2:BI$2,Tokens!BD991:BI991,2,"files")</f>
        <v>"files":[]</v>
      </c>
      <c r="Z991" s="1"/>
      <c r="AA991" s="1"/>
      <c r="AB991" s="1"/>
      <c r="AC991" s="1" t="str">
        <f>formatRow(Tokens!BJ$2:BK$2,Tokens!BJ991:BK991,0,"collection")</f>
        <v>"collection":{"name":"In Casa",_x000D_
"family":"Calvi On The Rocks"}</v>
      </c>
    </row>
    <row r="992" spans="5:29" ht="14.25" customHeight="1" x14ac:dyDescent="0.25">
      <c r="E992" s="17" t="str">
        <f>IF(Tokens!C992="","",Tokens!C992)</f>
        <v>In Casa #829</v>
      </c>
      <c r="F992"/>
      <c r="G992"/>
      <c r="H992"/>
      <c r="I992"/>
      <c r="J992"/>
      <c r="M992"/>
      <c r="N992"/>
      <c r="O992" s="15" t="str">
        <f t="shared" si="30"/>
        <v>_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1" t="str">
        <f>"owner=" &amp; Tokens!BS992 &amp; "&amp;filename_for_metadata=" &amp; Tokens!BT992 &amp; "&amp;offchaindata_platform=" &amp; $B$17 &amp; "&amp;keyfile=" &amp; $B$5 &amp; "&amp;network=" &amp; LOWER($B$8) &amp; "&amp;repository=" &amp; $B$18</f>
        <v>owner=thomas&amp;filename_for_metadata=InCasa_COR22D829&amp;offchaindata_platform=MongoDB&amp;keyfile=Paul&amp;network=jsonfiles&amp;repository=test</v>
      </c>
      <c r="U992" s="1" t="str">
        <f t="shared" si="31"/>
        <v>{"name":"In Casa #829",_x000D_
"symbol":"COR22D829",_x000D_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2" s="1" t="str">
        <f>formatRow(Tokens!C$2:I$2,Tokens!C992:I992)</f>
        <v>"name":"In Casa #829",_x000D_
"symbol":"COR22D829",_x000D_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2" s="1" t="str">
        <f>formatRow(Tokens!J$2:AV$2,Tokens!J992:AV992,2,"attributes")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2" s="1" t="str">
        <f>formatRow(Tokens!AX$2:BC$2,Tokens!AX992:BC992,2,"creators")</f>
        <v>"creators":[{"address":"paul",_x000D_
"share":10},{"address":"sophie",_x000D_
"share":90}]</v>
      </c>
      <c r="Y992" s="1" t="str">
        <f>formatRow(Tokens!BD$2:BI$2,Tokens!BD992:BI992,2,"files")</f>
        <v>"files":[]</v>
      </c>
      <c r="Z992" s="1"/>
      <c r="AA992" s="1"/>
      <c r="AB992" s="1"/>
      <c r="AC992" s="1" t="str">
        <f>formatRow(Tokens!BJ$2:BK$2,Tokens!BJ992:BK992,0,"collection")</f>
        <v>"collection":{"name":"In Casa",_x000D_
"family":"Calvi On The Rocks"}</v>
      </c>
    </row>
    <row r="993" spans="5:29" ht="14.25" customHeight="1" x14ac:dyDescent="0.25">
      <c r="E993" s="17" t="str">
        <f>IF(Tokens!C993="","",Tokens!C993)</f>
        <v>In Casa #830</v>
      </c>
      <c r="F993"/>
      <c r="G993"/>
      <c r="H993"/>
      <c r="I993"/>
      <c r="J993"/>
      <c r="M993"/>
      <c r="N993"/>
      <c r="O993" s="15" t="str">
        <f t="shared" si="30"/>
        <v>_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1" t="str">
        <f>"owner=" &amp; Tokens!BS993 &amp; "&amp;filename_for_metadata=" &amp; Tokens!BT993 &amp; "&amp;offchaindata_platform=" &amp; $B$17 &amp; "&amp;keyfile=" &amp; $B$5 &amp; "&amp;network=" &amp; LOWER($B$8) &amp; "&amp;repository=" &amp; $B$18</f>
        <v>owner=thomas&amp;filename_for_metadata=InCasa_COR22D830&amp;offchaindata_platform=MongoDB&amp;keyfile=Paul&amp;network=jsonfiles&amp;repository=test</v>
      </c>
      <c r="U993" s="1" t="str">
        <f t="shared" si="31"/>
        <v>{"name":"In Casa #830",_x000D_
"symbol":"COR22D830",_x000D_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3" s="1" t="str">
        <f>formatRow(Tokens!C$2:I$2,Tokens!C993:I993)</f>
        <v>"name":"In Casa #830",_x000D_
"symbol":"COR22D830",_x000D_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3" s="1" t="str">
        <f>formatRow(Tokens!J$2:AV$2,Tokens!J993:AV993,2,"attributes")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3" s="1" t="str">
        <f>formatRow(Tokens!AX$2:BC$2,Tokens!AX993:BC993,2,"creators")</f>
        <v>"creators":[{"address":"paul",_x000D_
"share":10},{"address":"sophie",_x000D_
"share":90}]</v>
      </c>
      <c r="Y993" s="1" t="str">
        <f>formatRow(Tokens!BD$2:BI$2,Tokens!BD993:BI993,2,"files")</f>
        <v>"files":[]</v>
      </c>
      <c r="Z993" s="1"/>
      <c r="AA993" s="1"/>
      <c r="AB993" s="1"/>
      <c r="AC993" s="1" t="str">
        <f>formatRow(Tokens!BJ$2:BK$2,Tokens!BJ993:BK993,0,"collection")</f>
        <v>"collection":{"name":"In Casa",_x000D_
"family":"Calvi On The Rocks"}</v>
      </c>
    </row>
    <row r="994" spans="5:29" ht="14.25" customHeight="1" x14ac:dyDescent="0.25">
      <c r="E994" s="17" t="str">
        <f>IF(Tokens!C994="","",Tokens!C994)</f>
        <v>In Casa #831</v>
      </c>
      <c r="F994"/>
      <c r="G994"/>
      <c r="H994"/>
      <c r="I994"/>
      <c r="J994"/>
      <c r="M994"/>
      <c r="N994"/>
      <c r="O994" s="15" t="str">
        <f t="shared" si="30"/>
        <v>_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1" t="str">
        <f>"owner=" &amp; Tokens!BS994 &amp; "&amp;filename_for_metadata=" &amp; Tokens!BT994 &amp; "&amp;offchaindata_platform=" &amp; $B$17 &amp; "&amp;keyfile=" &amp; $B$5 &amp; "&amp;network=" &amp; LOWER($B$8) &amp; "&amp;repository=" &amp; $B$18</f>
        <v>owner=thomas&amp;filename_for_metadata=InCasa_COR22D831&amp;offchaindata_platform=MongoDB&amp;keyfile=Paul&amp;network=jsonfiles&amp;repository=test</v>
      </c>
      <c r="U994" s="1" t="str">
        <f t="shared" si="31"/>
        <v>{"name":"In Casa #831",_x000D_
"symbol":"COR22D831",_x000D_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4" s="1" t="str">
        <f>formatRow(Tokens!C$2:I$2,Tokens!C994:I994)</f>
        <v>"name":"In Casa #831",_x000D_
"symbol":"COR22D831",_x000D_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4" s="1" t="str">
        <f>formatRow(Tokens!J$2:AV$2,Tokens!J994:AV994,2,"attributes")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4" s="1" t="str">
        <f>formatRow(Tokens!AX$2:BC$2,Tokens!AX994:BC994,2,"creators")</f>
        <v>"creators":[{"address":"paul",_x000D_
"share":10},{"address":"sophie",_x000D_
"share":90}]</v>
      </c>
      <c r="Y994" s="1" t="str">
        <f>formatRow(Tokens!BD$2:BI$2,Tokens!BD994:BI994,2,"files")</f>
        <v>"files":[]</v>
      </c>
      <c r="Z994" s="1"/>
      <c r="AA994" s="1"/>
      <c r="AB994" s="1"/>
      <c r="AC994" s="1" t="str">
        <f>formatRow(Tokens!BJ$2:BK$2,Tokens!BJ994:BK994,0,"collection")</f>
        <v>"collection":{"name":"In Casa",_x000D_
"family":"Calvi On The Rocks"}</v>
      </c>
    </row>
    <row r="995" spans="5:29" ht="14.25" customHeight="1" x14ac:dyDescent="0.25">
      <c r="E995" s="17" t="str">
        <f>IF(Tokens!C995="","",Tokens!C995)</f>
        <v>In Casa #832</v>
      </c>
      <c r="F995"/>
      <c r="G995"/>
      <c r="H995"/>
      <c r="I995"/>
      <c r="J995"/>
      <c r="M995"/>
      <c r="N995"/>
      <c r="O995" s="15" t="str">
        <f t="shared" si="30"/>
        <v>_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1" t="str">
        <f>"owner=" &amp; Tokens!BS995 &amp; "&amp;filename_for_metadata=" &amp; Tokens!BT995 &amp; "&amp;offchaindata_platform=" &amp; $B$17 &amp; "&amp;keyfile=" &amp; $B$5 &amp; "&amp;network=" &amp; LOWER($B$8) &amp; "&amp;repository=" &amp; $B$18</f>
        <v>owner=thomas&amp;filename_for_metadata=InCasa_COR22D832&amp;offchaindata_platform=MongoDB&amp;keyfile=Paul&amp;network=jsonfiles&amp;repository=test</v>
      </c>
      <c r="U995" s="1" t="str">
        <f t="shared" si="31"/>
        <v>{"name":"In Casa #832",_x000D_
"symbol":"COR22D832",_x000D_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5" s="1" t="str">
        <f>formatRow(Tokens!C$2:I$2,Tokens!C995:I995)</f>
        <v>"name":"In Casa #832",_x000D_
"symbol":"COR22D832",_x000D_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5" s="1" t="str">
        <f>formatRow(Tokens!J$2:AV$2,Tokens!J995:AV995,2,"attributes")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5" s="1" t="str">
        <f>formatRow(Tokens!AX$2:BC$2,Tokens!AX995:BC995,2,"creators")</f>
        <v>"creators":[{"address":"paul",_x000D_
"share":10},{"address":"sophie",_x000D_
"share":90}]</v>
      </c>
      <c r="Y995" s="1" t="str">
        <f>formatRow(Tokens!BD$2:BI$2,Tokens!BD995:BI995,2,"files")</f>
        <v>"files":[]</v>
      </c>
      <c r="Z995" s="1"/>
      <c r="AA995" s="1"/>
      <c r="AB995" s="1"/>
      <c r="AC995" s="1" t="str">
        <f>formatRow(Tokens!BJ$2:BK$2,Tokens!BJ995:BK995,0,"collection")</f>
        <v>"collection":{"name":"In Casa",_x000D_
"family":"Calvi On The Rocks"}</v>
      </c>
    </row>
    <row r="996" spans="5:29" ht="14.25" customHeight="1" x14ac:dyDescent="0.25">
      <c r="E996" s="17" t="str">
        <f>IF(Tokens!C996="","",Tokens!C996)</f>
        <v>In Casa #833</v>
      </c>
      <c r="F996"/>
      <c r="G996"/>
      <c r="H996"/>
      <c r="I996"/>
      <c r="J996"/>
      <c r="M996"/>
      <c r="N996"/>
      <c r="O996" s="15" t="str">
        <f t="shared" si="30"/>
        <v>_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1" t="str">
        <f>"owner=" &amp; Tokens!BS996 &amp; "&amp;filename_for_metadata=" &amp; Tokens!BT996 &amp; "&amp;offchaindata_platform=" &amp; $B$17 &amp; "&amp;keyfile=" &amp; $B$5 &amp; "&amp;network=" &amp; LOWER($B$8) &amp; "&amp;repository=" &amp; $B$18</f>
        <v>owner=thomas&amp;filename_for_metadata=InCasa_COR22D833&amp;offchaindata_platform=MongoDB&amp;keyfile=Paul&amp;network=jsonfiles&amp;repository=test</v>
      </c>
      <c r="U996" s="1" t="str">
        <f t="shared" si="31"/>
        <v>{"name":"In Casa #833",_x000D_
"symbol":"COR22D833",_x000D_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6" s="1" t="str">
        <f>formatRow(Tokens!C$2:I$2,Tokens!C996:I996)</f>
        <v>"name":"In Casa #833",_x000D_
"symbol":"COR22D833",_x000D_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6" s="1" t="str">
        <f>formatRow(Tokens!J$2:AV$2,Tokens!J996:AV996,2,"attributes")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6" s="1" t="str">
        <f>formatRow(Tokens!AX$2:BC$2,Tokens!AX996:BC996,2,"creators")</f>
        <v>"creators":[{"address":"paul",_x000D_
"share":10},{"address":"sophie",_x000D_
"share":90}]</v>
      </c>
      <c r="Y996" s="1" t="str">
        <f>formatRow(Tokens!BD$2:BI$2,Tokens!BD996:BI996,2,"files")</f>
        <v>"files":[]</v>
      </c>
      <c r="Z996" s="1"/>
      <c r="AA996" s="1"/>
      <c r="AB996" s="1"/>
      <c r="AC996" s="1" t="str">
        <f>formatRow(Tokens!BJ$2:BK$2,Tokens!BJ996:BK996,0,"collection")</f>
        <v>"collection":{"name":"In Casa",_x000D_
"family":"Calvi On The Rocks"}</v>
      </c>
    </row>
    <row r="997" spans="5:29" ht="14.25" customHeight="1" x14ac:dyDescent="0.25">
      <c r="E997" s="17" t="str">
        <f>IF(Tokens!C997="","",Tokens!C997)</f>
        <v>In Casa #834</v>
      </c>
      <c r="F997"/>
      <c r="G997"/>
      <c r="H997"/>
      <c r="I997"/>
      <c r="J997"/>
      <c r="M997"/>
      <c r="N997"/>
      <c r="O997" s="15" t="str">
        <f t="shared" si="30"/>
        <v>_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1" t="str">
        <f>"owner=" &amp; Tokens!BS997 &amp; "&amp;filename_for_metadata=" &amp; Tokens!BT997 &amp; "&amp;offchaindata_platform=" &amp; $B$17 &amp; "&amp;keyfile=" &amp; $B$5 &amp; "&amp;network=" &amp; LOWER($B$8) &amp; "&amp;repository=" &amp; $B$18</f>
        <v>owner=thomas&amp;filename_for_metadata=InCasa_COR22D834&amp;offchaindata_platform=MongoDB&amp;keyfile=Paul&amp;network=jsonfiles&amp;repository=test</v>
      </c>
      <c r="U997" s="1" t="str">
        <f t="shared" si="31"/>
        <v>{"name":"In Casa #834",_x000D_
"symbol":"COR22D834",_x000D_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7" s="1" t="str">
        <f>formatRow(Tokens!C$2:I$2,Tokens!C997:I997)</f>
        <v>"name":"In Casa #834",_x000D_
"symbol":"COR22D834",_x000D_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7" s="1" t="str">
        <f>formatRow(Tokens!J$2:AV$2,Tokens!J997:AV997,2,"attributes")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7" s="1" t="str">
        <f>formatRow(Tokens!AX$2:BC$2,Tokens!AX997:BC997,2,"creators")</f>
        <v>"creators":[{"address":"paul",_x000D_
"share":10},{"address":"sophie",_x000D_
"share":90}]</v>
      </c>
      <c r="Y997" s="1" t="str">
        <f>formatRow(Tokens!BD$2:BI$2,Tokens!BD997:BI997,2,"files")</f>
        <v>"files":[]</v>
      </c>
      <c r="Z997" s="1"/>
      <c r="AA997" s="1"/>
      <c r="AB997" s="1"/>
      <c r="AC997" s="1" t="str">
        <f>formatRow(Tokens!BJ$2:BK$2,Tokens!BJ997:BK997,0,"collection")</f>
        <v>"collection":{"name":"In Casa",_x000D_
"family":"Calvi On The Rocks"}</v>
      </c>
    </row>
    <row r="998" spans="5:29" ht="14.25" customHeight="1" x14ac:dyDescent="0.25">
      <c r="E998" s="17" t="str">
        <f>IF(Tokens!C998="","",Tokens!C998)</f>
        <v>In Casa #835</v>
      </c>
      <c r="F998"/>
      <c r="G998"/>
      <c r="H998"/>
      <c r="I998"/>
      <c r="J998"/>
      <c r="M998"/>
      <c r="N998"/>
      <c r="O998" s="15" t="str">
        <f t="shared" si="30"/>
        <v>_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1" t="str">
        <f>"owner=" &amp; Tokens!BS998 &amp; "&amp;filename_for_metadata=" &amp; Tokens!BT998 &amp; "&amp;offchaindata_platform=" &amp; $B$17 &amp; "&amp;keyfile=" &amp; $B$5 &amp; "&amp;network=" &amp; LOWER($B$8) &amp; "&amp;repository=" &amp; $B$18</f>
        <v>owner=thomas&amp;filename_for_metadata=InCasa_COR22D835&amp;offchaindata_platform=MongoDB&amp;keyfile=Paul&amp;network=jsonfiles&amp;repository=test</v>
      </c>
      <c r="U998" s="1" t="str">
        <f t="shared" si="31"/>
        <v>{"name":"In Casa #835",_x000D_
"symbol":"COR22D835",_x000D_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8" s="1" t="str">
        <f>formatRow(Tokens!C$2:I$2,Tokens!C998:I998)</f>
        <v>"name":"In Casa #835",_x000D_
"symbol":"COR22D835",_x000D_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8" s="1" t="str">
        <f>formatRow(Tokens!J$2:AV$2,Tokens!J998:AV998,2,"attributes")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8" s="1" t="str">
        <f>formatRow(Tokens!AX$2:BC$2,Tokens!AX998:BC998,2,"creators")</f>
        <v>"creators":[{"address":"paul",_x000D_
"share":10},{"address":"sophie",_x000D_
"share":90}]</v>
      </c>
      <c r="Y998" s="1" t="str">
        <f>formatRow(Tokens!BD$2:BI$2,Tokens!BD998:BI998,2,"files")</f>
        <v>"files":[]</v>
      </c>
      <c r="Z998" s="1"/>
      <c r="AA998" s="1"/>
      <c r="AB998" s="1"/>
      <c r="AC998" s="1" t="str">
        <f>formatRow(Tokens!BJ$2:BK$2,Tokens!BJ998:BK998,0,"collection")</f>
        <v>"collection":{"name":"In Casa",_x000D_
"family":"Calvi On The Rocks"}</v>
      </c>
    </row>
    <row r="999" spans="5:29" ht="14.25" customHeight="1" x14ac:dyDescent="0.25">
      <c r="E999" s="17" t="str">
        <f>IF(Tokens!C999="","",Tokens!C999)</f>
        <v>In Casa #836</v>
      </c>
      <c r="F999"/>
      <c r="G999"/>
      <c r="H999"/>
      <c r="I999"/>
      <c r="J999"/>
      <c r="M999"/>
      <c r="N999"/>
      <c r="O999" s="15" t="str">
        <f t="shared" si="30"/>
        <v>_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1" t="str">
        <f>"owner=" &amp; Tokens!BS999 &amp; "&amp;filename_for_metadata=" &amp; Tokens!BT999 &amp; "&amp;offchaindata_platform=" &amp; $B$17 &amp; "&amp;keyfile=" &amp; $B$5 &amp; "&amp;network=" &amp; LOWER($B$8) &amp; "&amp;repository=" &amp; $B$18</f>
        <v>owner=thomas&amp;filename_for_metadata=InCasa_COR22D836&amp;offchaindata_platform=MongoDB&amp;keyfile=Paul&amp;network=jsonfiles&amp;repository=test</v>
      </c>
      <c r="U999" s="1" t="str">
        <f t="shared" si="31"/>
        <v>{"name":"In Casa #836",_x000D_
"symbol":"COR22D836",_x000D_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999" s="1" t="str">
        <f>formatRow(Tokens!C$2:I$2,Tokens!C999:I999)</f>
        <v>"name":"In Casa #836",_x000D_
"symbol":"COR22D836",_x000D_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999" s="1" t="str">
        <f>formatRow(Tokens!J$2:AV$2,Tokens!J999:AV999,2,"attributes")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999" s="1" t="str">
        <f>formatRow(Tokens!AX$2:BC$2,Tokens!AX999:BC999,2,"creators")</f>
        <v>"creators":[{"address":"paul",_x000D_
"share":10},{"address":"sophie",_x000D_
"share":90}]</v>
      </c>
      <c r="Y999" s="1" t="str">
        <f>formatRow(Tokens!BD$2:BI$2,Tokens!BD999:BI999,2,"files")</f>
        <v>"files":[]</v>
      </c>
      <c r="Z999" s="1"/>
      <c r="AA999" s="1"/>
      <c r="AB999" s="1"/>
      <c r="AC999" s="1" t="str">
        <f>formatRow(Tokens!BJ$2:BK$2,Tokens!BJ999:BK999,0,"collection")</f>
        <v>"collection":{"name":"In Casa",_x000D_
"family":"Calvi On The Rocks"}</v>
      </c>
    </row>
    <row r="1000" spans="5:29" ht="14.25" customHeight="1" x14ac:dyDescent="0.25">
      <c r="E1000" s="17" t="str">
        <f>IF(Tokens!C1000="","",Tokens!C1000)</f>
        <v>In Casa #837</v>
      </c>
      <c r="F1000"/>
      <c r="G1000"/>
      <c r="H1000"/>
      <c r="I1000"/>
      <c r="J1000"/>
      <c r="M1000"/>
      <c r="N1000"/>
      <c r="O1000" s="15" t="str">
        <f t="shared" si="30"/>
        <v>_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1" t="str">
        <f>"owner=" &amp; Tokens!BS1000 &amp; "&amp;filename_for_metadata=" &amp; Tokens!BT1000 &amp; "&amp;offchaindata_platform=" &amp; $B$17 &amp; "&amp;keyfile=" &amp; $B$5 &amp; "&amp;network=" &amp; LOWER($B$8) &amp; "&amp;repository=" &amp; $B$18</f>
        <v>owner=thomas&amp;filename_for_metadata=InCasa_COR22D837&amp;offchaindata_platform=MongoDB&amp;keyfile=Paul&amp;network=jsonfiles&amp;repository=test</v>
      </c>
      <c r="U1000" s="1" t="str">
        <f t="shared" si="31"/>
        <v>{"name":"In Casa #837",_x000D_
"symbol":"COR22D837",_x000D_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0" s="1" t="str">
        <f>formatRow(Tokens!C$2:I$2,Tokens!C1000:I1000)</f>
        <v>"name":"In Casa #837",_x000D_
"symbol":"COR22D837",_x000D_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0" s="1" t="str">
        <f>formatRow(Tokens!J$2:AV$2,Tokens!J1000:AV1000,2,"attributes")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0" s="1" t="str">
        <f>formatRow(Tokens!AX$2:BC$2,Tokens!AX1000:BC1000,2,"creators")</f>
        <v>"creators":[{"address":"paul",_x000D_
"share":10},{"address":"sophie",_x000D_
"share":90}]</v>
      </c>
      <c r="Y1000" s="1" t="str">
        <f>formatRow(Tokens!BD$2:BI$2,Tokens!BD1000:BI1000,2,"files")</f>
        <v>"files":[]</v>
      </c>
      <c r="Z1000" s="1"/>
      <c r="AA1000" s="1"/>
      <c r="AB1000" s="1"/>
      <c r="AC1000" s="1" t="str">
        <f>formatRow(Tokens!BJ$2:BK$2,Tokens!BJ1000:BK1000,0,"collection")</f>
        <v>"collection":{"name":"In Casa",_x000D_
"family":"Calvi On The Rocks"}</v>
      </c>
    </row>
    <row r="1001" spans="5:29" ht="14.25" customHeight="1" x14ac:dyDescent="0.25">
      <c r="E1001" s="17" t="str">
        <f>IF(Tokens!C1001="","",Tokens!C1001)</f>
        <v>In Casa #838</v>
      </c>
      <c r="F1001" s="56"/>
      <c r="G1001" t="s">
        <v>164</v>
      </c>
      <c r="H1001" s="57" t="s">
        <v>165</v>
      </c>
      <c r="I1001" s="2" t="s">
        <v>166</v>
      </c>
      <c r="J1001" s="2" t="s">
        <v>167</v>
      </c>
      <c r="M1001" s="15"/>
      <c r="N1001">
        <v>6.9258811930000004</v>
      </c>
      <c r="O1001" s="15" t="str">
        <f t="shared" si="30"/>
        <v>_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1" t="str">
        <f>"owner=" &amp; Tokens!BS1001 &amp; "&amp;filename_for_metadata=" &amp; Tokens!BT1001 &amp; "&amp;offchaindata_platform=" &amp; $B$17 &amp; "&amp;keyfile=" &amp; $B$5 &amp; "&amp;network=" &amp; LOWER($B$8) &amp; "&amp;repository=" &amp; $B$18</f>
        <v>owner=thomas&amp;filename_for_metadata=InCasa_COR22D838&amp;offchaindata_platform=MongoDB&amp;keyfile=Paul&amp;network=jsonfiles&amp;repository=test</v>
      </c>
      <c r="U1001" s="1" t="str">
        <f t="shared" si="31"/>
        <v>{"name":"In Casa #838",_x000D_
"symbol":"COR22D838",_x000D_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1" s="1" t="str">
        <f>formatRow(Tokens!C$2:I$2,Tokens!C1001:I1001)</f>
        <v>"name":"In Casa #838",_x000D_
"symbol":"COR22D838",_x000D_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1" s="1" t="str">
        <f>formatRow(Tokens!J$2:AV$2,Tokens!J1001:AV1001,2,"attributes")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1" s="1" t="str">
        <f>formatRow(Tokens!AX$2:BC$2,Tokens!AX1001:BC1001,2,"creators")</f>
        <v>"creators":[{"address":"paul",_x000D_
"share":10},{"address":"sophie",_x000D_
"share":90}]</v>
      </c>
      <c r="Y1001" s="1" t="str">
        <f>formatRow(Tokens!BD$2:BI$2,Tokens!BD1001:BI1001,2,"files")</f>
        <v>"files":[]</v>
      </c>
      <c r="Z1001" s="1"/>
      <c r="AA1001" s="1"/>
      <c r="AB1001" s="1"/>
      <c r="AC1001" s="1" t="str">
        <f>formatRow(Tokens!BJ$2:BK$2,Tokens!BJ1001:BK1001,0,"collection")</f>
        <v>"collection":{"name":"In Casa",_x000D_
"family":"Calvi On The Rocks"}</v>
      </c>
    </row>
    <row r="1002" spans="5:29" ht="14.25" customHeight="1" x14ac:dyDescent="0.25">
      <c r="E1002" s="17" t="str">
        <f>IF(Tokens!C1002="","",Tokens!C1002)</f>
        <v>In Casa #839</v>
      </c>
      <c r="F1002" s="56"/>
      <c r="G1002" t="s">
        <v>164</v>
      </c>
      <c r="H1002" s="57" t="s">
        <v>165</v>
      </c>
      <c r="I1002" s="2" t="s">
        <v>166</v>
      </c>
      <c r="J1002" s="2" t="s">
        <v>167</v>
      </c>
      <c r="M1002" s="15"/>
      <c r="N1002">
        <v>6.9258811930000004</v>
      </c>
      <c r="O1002" s="15">
        <f t="shared" si="30"/>
        <v>0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1" t="str">
        <f>"owner=" &amp; Tokens!BS1002 &amp; "&amp;filename_for_metadata=" &amp; Tokens!BT1002 &amp; "&amp;offchaindata_platform=" &amp; $B$17 &amp; "&amp;keyfile=" &amp; $B$5 &amp; "&amp;network=" &amp; LOWER($B$8) &amp; "&amp;repository=" &amp; $B$18</f>
        <v>owner=thomas&amp;filename_for_metadata=InCasa_COR22D839&amp;offchaindata_platform=MongoDB&amp;keyfile=Paul&amp;network=jsonfiles&amp;repository=test</v>
      </c>
      <c r="U1002" s="1" t="str">
        <f t="shared" si="31"/>
        <v>{"name":"In Casa #839",_x000D_
"symbol":"COR22D839",_x000D_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2" s="1" t="str">
        <f>formatRow(Tokens!C$2:I$2,Tokens!C1002:I1002)</f>
        <v>"name":"In Casa #839",_x000D_
"symbol":"COR22D839",_x000D_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2" s="1" t="str">
        <f>formatRow(Tokens!J$2:AV$2,Tokens!J1002:AV1002,2,"attributes")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2" s="1" t="str">
        <f>formatRow(Tokens!AX$2:BC$2,Tokens!AX1002:BC1002,2,"creators")</f>
        <v>"creators":[{"address":"paul",_x000D_
"share":10},{"address":"sophie",_x000D_
"share":90}]</v>
      </c>
      <c r="Y1002" s="1" t="str">
        <f>formatRow(Tokens!BD$2:BI$2,Tokens!BD1002:BI1002,2,"files")</f>
        <v>"files":[]</v>
      </c>
      <c r="Z1002" s="1"/>
      <c r="AA1002" s="1"/>
      <c r="AB1002" s="1"/>
      <c r="AC1002" s="1" t="str">
        <f>formatRow(Tokens!BJ$2:BK$2,Tokens!BJ1002:BK1002,0,"collection")</f>
        <v>"collection":{"name":"In Casa",_x000D_
"family":"Calvi On The Rocks"}</v>
      </c>
    </row>
    <row r="1003" spans="5:29" ht="14.25" customHeight="1" x14ac:dyDescent="0.25">
      <c r="E1003" s="17" t="str">
        <f>IF(Tokens!C1003="","",Tokens!C1003)</f>
        <v>In Casa #840</v>
      </c>
      <c r="F1003" s="56"/>
      <c r="G1003" t="s">
        <v>164</v>
      </c>
      <c r="H1003" s="57" t="s">
        <v>165</v>
      </c>
      <c r="I1003" s="2" t="s">
        <v>166</v>
      </c>
      <c r="J1003" s="2" t="s">
        <v>167</v>
      </c>
      <c r="M1003" s="15"/>
      <c r="N1003">
        <v>6.9258811930000004</v>
      </c>
      <c r="O1003" s="15">
        <f t="shared" si="30"/>
        <v>0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1" t="str">
        <f>"owner=" &amp; Tokens!BS1003 &amp; "&amp;filename_for_metadata=" &amp; Tokens!BT1003 &amp; "&amp;offchaindata_platform=" &amp; $B$17 &amp; "&amp;keyfile=" &amp; $B$5 &amp; "&amp;network=" &amp; LOWER($B$8) &amp; "&amp;repository=" &amp; $B$18</f>
        <v>owner=thomas&amp;filename_for_metadata=InCasa_COR22D840&amp;offchaindata_platform=MongoDB&amp;keyfile=Paul&amp;network=jsonfiles&amp;repository=test</v>
      </c>
      <c r="U1003" s="1" t="str">
        <f t="shared" si="31"/>
        <v>{"name":"In Casa #840",_x000D_
"symbol":"COR22D840",_x000D_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3" s="1" t="str">
        <f>formatRow(Tokens!C$2:I$2,Tokens!C1003:I1003)</f>
        <v>"name":"In Casa #840",_x000D_
"symbol":"COR22D840",_x000D_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3" s="1" t="str">
        <f>formatRow(Tokens!J$2:AV$2,Tokens!J1003:AV1003,2,"attributes")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3" s="1" t="str">
        <f>formatRow(Tokens!AX$2:BC$2,Tokens!AX1003:BC1003,2,"creators")</f>
        <v>"creators":[{"address":"paul",_x000D_
"share":10},{"address":"sophie",_x000D_
"share":90}]</v>
      </c>
      <c r="Y1003" s="1" t="str">
        <f>formatRow(Tokens!BD$2:BI$2,Tokens!BD1003:BI1003,2,"files")</f>
        <v>"files":[]</v>
      </c>
      <c r="Z1003" s="1"/>
      <c r="AA1003" s="1"/>
      <c r="AB1003" s="1"/>
      <c r="AC1003" s="1" t="str">
        <f>formatRow(Tokens!BJ$2:BK$2,Tokens!BJ1003:BK1003,0,"collection")</f>
        <v>"collection":{"name":"In Casa",_x000D_
"family":"Calvi On The Rocks"}</v>
      </c>
    </row>
    <row r="1004" spans="5:29" ht="14.25" customHeight="1" x14ac:dyDescent="0.25">
      <c r="E1004" s="17" t="str">
        <f>IF(Tokens!C1004="","",Tokens!C1004)</f>
        <v>In Casa #841</v>
      </c>
      <c r="F1004" s="56"/>
      <c r="G1004" t="s">
        <v>164</v>
      </c>
      <c r="H1004" s="57" t="s">
        <v>165</v>
      </c>
      <c r="I1004" s="2" t="s">
        <v>166</v>
      </c>
      <c r="J1004" s="2" t="s">
        <v>167</v>
      </c>
      <c r="M1004" s="15"/>
      <c r="N1004">
        <v>6.9258811930000004</v>
      </c>
      <c r="O1004" s="15">
        <f t="shared" si="30"/>
        <v>0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1" t="str">
        <f>"owner=" &amp; Tokens!BS1004 &amp; "&amp;filename_for_metadata=" &amp; Tokens!BT1004 &amp; "&amp;offchaindata_platform=" &amp; $B$17 &amp; "&amp;keyfile=" &amp; $B$5 &amp; "&amp;network=" &amp; LOWER($B$8) &amp; "&amp;repository=" &amp; $B$18</f>
        <v>owner=thomas&amp;filename_for_metadata=InCasa_COR22D841&amp;offchaindata_platform=MongoDB&amp;keyfile=Paul&amp;network=jsonfiles&amp;repository=test</v>
      </c>
      <c r="U1004" s="1" t="str">
        <f t="shared" si="31"/>
        <v>{"name":"In Casa #841",_x000D_
"symbol":"COR22D841",_x000D_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4" s="1" t="str">
        <f>formatRow(Tokens!C$2:I$2,Tokens!C1004:I1004)</f>
        <v>"name":"In Casa #841",_x000D_
"symbol":"COR22D841",_x000D_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4" s="1" t="str">
        <f>formatRow(Tokens!J$2:AV$2,Tokens!J1004:AV1004,2,"attributes")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4" s="1" t="str">
        <f>formatRow(Tokens!AX$2:BC$2,Tokens!AX1004:BC1004,2,"creators")</f>
        <v>"creators":[{"address":"paul",_x000D_
"share":10},{"address":"sophie",_x000D_
"share":90}]</v>
      </c>
      <c r="Y1004" s="1" t="str">
        <f>formatRow(Tokens!BD$2:BI$2,Tokens!BD1004:BI1004,2,"files")</f>
        <v>"files":[]</v>
      </c>
      <c r="Z1004" s="1"/>
      <c r="AA1004" s="1"/>
      <c r="AB1004" s="1"/>
      <c r="AC1004" s="1" t="str">
        <f>formatRow(Tokens!BJ$2:BK$2,Tokens!BJ1004:BK1004,0,"collection")</f>
        <v>"collection":{"name":"In Casa",_x000D_
"family":"Calvi On The Rocks"}</v>
      </c>
    </row>
    <row r="1005" spans="5:29" ht="14.25" customHeight="1" x14ac:dyDescent="0.25">
      <c r="E1005" s="17" t="str">
        <f>IF(Tokens!C1005="","",Tokens!C1005)</f>
        <v>In Casa #842</v>
      </c>
      <c r="F1005" s="56"/>
      <c r="G1005" t="s">
        <v>164</v>
      </c>
      <c r="H1005" s="57" t="s">
        <v>165</v>
      </c>
      <c r="I1005" s="2" t="s">
        <v>166</v>
      </c>
      <c r="J1005" s="2" t="s">
        <v>167</v>
      </c>
      <c r="M1005" s="15"/>
      <c r="N1005">
        <v>6.9258811930000004</v>
      </c>
      <c r="O1005" s="15">
        <f t="shared" si="30"/>
        <v>0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1" t="str">
        <f>"owner=" &amp; Tokens!BS1005 &amp; "&amp;filename_for_metadata=" &amp; Tokens!BT1005 &amp; "&amp;offchaindata_platform=" &amp; $B$17 &amp; "&amp;keyfile=" &amp; $B$5 &amp; "&amp;network=" &amp; LOWER($B$8) &amp; "&amp;repository=" &amp; $B$18</f>
        <v>owner=thomas&amp;filename_for_metadata=InCasa_COR22D842&amp;offchaindata_platform=MongoDB&amp;keyfile=Paul&amp;network=jsonfiles&amp;repository=test</v>
      </c>
      <c r="U1005" s="1" t="str">
        <f t="shared" si="31"/>
        <v>{"name":"In Casa #842",_x000D_
"symbol":"COR22D842",_x000D_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5" s="1" t="str">
        <f>formatRow(Tokens!C$2:I$2,Tokens!C1005:I1005)</f>
        <v>"name":"In Casa #842",_x000D_
"symbol":"COR22D842",_x000D_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5" s="1" t="str">
        <f>formatRow(Tokens!J$2:AV$2,Tokens!J1005:AV1005,2,"attributes")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5" s="1" t="str">
        <f>formatRow(Tokens!AX$2:BC$2,Tokens!AX1005:BC1005,2,"creators")</f>
        <v>"creators":[{"address":"paul",_x000D_
"share":10},{"address":"sophie",_x000D_
"share":90}]</v>
      </c>
      <c r="Y1005" s="1" t="str">
        <f>formatRow(Tokens!BD$2:BI$2,Tokens!BD1005:BI1005,2,"files")</f>
        <v>"files":[]</v>
      </c>
      <c r="Z1005" s="1"/>
      <c r="AA1005" s="1"/>
      <c r="AB1005" s="1"/>
      <c r="AC1005" s="1" t="str">
        <f>formatRow(Tokens!BJ$2:BK$2,Tokens!BJ1005:BK1005,0,"collection")</f>
        <v>"collection":{"name":"In Casa",_x000D_
"family":"Calvi On The Rocks"}</v>
      </c>
    </row>
    <row r="1006" spans="5:29" ht="14.25" customHeight="1" x14ac:dyDescent="0.25">
      <c r="E1006" s="17" t="str">
        <f>IF(Tokens!C1006="","",Tokens!C1006)</f>
        <v>In Casa #843</v>
      </c>
      <c r="F1006" s="56"/>
      <c r="G1006" t="s">
        <v>164</v>
      </c>
      <c r="H1006" s="57" t="s">
        <v>165</v>
      </c>
      <c r="I1006" s="2" t="s">
        <v>166</v>
      </c>
      <c r="J1006" s="2" t="s">
        <v>167</v>
      </c>
      <c r="M1006" s="15"/>
      <c r="N1006">
        <v>6.9258811930000004</v>
      </c>
      <c r="O1006" s="15">
        <f t="shared" si="30"/>
        <v>0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1" t="str">
        <f>"owner=" &amp; Tokens!BS1006 &amp; "&amp;filename_for_metadata=" &amp; Tokens!BT1006 &amp; "&amp;offchaindata_platform=" &amp; $B$17 &amp; "&amp;keyfile=" &amp; $B$5 &amp; "&amp;network=" &amp; LOWER($B$8) &amp; "&amp;repository=" &amp; $B$18</f>
        <v>owner=thomas&amp;filename_for_metadata=InCasa_COR22D843&amp;offchaindata_platform=MongoDB&amp;keyfile=Paul&amp;network=jsonfiles&amp;repository=test</v>
      </c>
      <c r="U1006" s="1" t="str">
        <f t="shared" si="31"/>
        <v>{"name":"In Casa #843",_x000D_
"symbol":"COR22D843",_x000D_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6" s="1" t="str">
        <f>formatRow(Tokens!C$2:I$2,Tokens!C1006:I1006)</f>
        <v>"name":"In Casa #843",_x000D_
"symbol":"COR22D843",_x000D_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6" s="1" t="str">
        <f>formatRow(Tokens!J$2:AV$2,Tokens!J1006:AV1006,2,"attributes")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6" s="1" t="str">
        <f>formatRow(Tokens!AX$2:BC$2,Tokens!AX1006:BC1006,2,"creators")</f>
        <v>"creators":[{"address":"paul",_x000D_
"share":10},{"address":"sophie",_x000D_
"share":90}]</v>
      </c>
      <c r="Y1006" s="1" t="str">
        <f>formatRow(Tokens!BD$2:BI$2,Tokens!BD1006:BI1006,2,"files")</f>
        <v>"files":[]</v>
      </c>
      <c r="Z1006" s="1"/>
      <c r="AA1006" s="1"/>
      <c r="AB1006" s="1"/>
      <c r="AC1006" s="1" t="str">
        <f>formatRow(Tokens!BJ$2:BK$2,Tokens!BJ1006:BK1006,0,"collection")</f>
        <v>"collection":{"name":"In Casa",_x000D_
"family":"Calvi On The Rocks"}</v>
      </c>
    </row>
    <row r="1007" spans="5:29" ht="14.25" customHeight="1" x14ac:dyDescent="0.25">
      <c r="E1007" s="17" t="str">
        <f>IF(Tokens!C1007="","",Tokens!C1007)</f>
        <v>In Casa #844</v>
      </c>
      <c r="F1007" s="56"/>
      <c r="G1007" t="s">
        <v>164</v>
      </c>
      <c r="H1007" s="57" t="s">
        <v>165</v>
      </c>
      <c r="I1007" s="2" t="s">
        <v>166</v>
      </c>
      <c r="J1007" s="2" t="s">
        <v>167</v>
      </c>
      <c r="M1007" s="15"/>
      <c r="N1007">
        <v>6.9258811930000004</v>
      </c>
      <c r="O1007" s="15">
        <f t="shared" si="30"/>
        <v>0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1" t="str">
        <f>"owner=" &amp; Tokens!BS1007 &amp; "&amp;filename_for_metadata=" &amp; Tokens!BT1007 &amp; "&amp;offchaindata_platform=" &amp; $B$17 &amp; "&amp;keyfile=" &amp; $B$5 &amp; "&amp;network=" &amp; LOWER($B$8) &amp; "&amp;repository=" &amp; $B$18</f>
        <v>owner=thomas&amp;filename_for_metadata=InCasa_COR22D844&amp;offchaindata_platform=MongoDB&amp;keyfile=Paul&amp;network=jsonfiles&amp;repository=test</v>
      </c>
      <c r="U1007" s="1" t="str">
        <f t="shared" si="31"/>
        <v>{"name":"In Casa #844",_x000D_
"symbol":"COR22D844",_x000D_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7" s="1" t="str">
        <f>formatRow(Tokens!C$2:I$2,Tokens!C1007:I1007)</f>
        <v>"name":"In Casa #844",_x000D_
"symbol":"COR22D844",_x000D_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7" s="1" t="str">
        <f>formatRow(Tokens!J$2:AV$2,Tokens!J1007:AV1007,2,"attributes")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7" s="1" t="str">
        <f>formatRow(Tokens!AX$2:BC$2,Tokens!AX1007:BC1007,2,"creators")</f>
        <v>"creators":[{"address":"paul",_x000D_
"share":10},{"address":"sophie",_x000D_
"share":90}]</v>
      </c>
      <c r="Y1007" s="1" t="str">
        <f>formatRow(Tokens!BD$2:BI$2,Tokens!BD1007:BI1007,2,"files")</f>
        <v>"files":[]</v>
      </c>
      <c r="Z1007" s="1"/>
      <c r="AA1007" s="1"/>
      <c r="AB1007" s="1"/>
      <c r="AC1007" s="1" t="str">
        <f>formatRow(Tokens!BJ$2:BK$2,Tokens!BJ1007:BK1007,0,"collection")</f>
        <v>"collection":{"name":"In Casa",_x000D_
"family":"Calvi On The Rocks"}</v>
      </c>
    </row>
    <row r="1008" spans="5:29" ht="14.25" customHeight="1" x14ac:dyDescent="0.25">
      <c r="E1008" s="17" t="str">
        <f>IF(Tokens!C1008="","",Tokens!C1008)</f>
        <v>In Casa #845</v>
      </c>
      <c r="F1008" s="56"/>
      <c r="G1008" t="s">
        <v>164</v>
      </c>
      <c r="H1008" s="57" t="s">
        <v>165</v>
      </c>
      <c r="I1008" s="2" t="s">
        <v>166</v>
      </c>
      <c r="J1008" s="2" t="s">
        <v>167</v>
      </c>
      <c r="M1008" s="15"/>
      <c r="N1008">
        <v>6.9258811930000004</v>
      </c>
      <c r="O1008" s="15">
        <f t="shared" si="30"/>
        <v>0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1" t="str">
        <f>"owner=" &amp; Tokens!BS1008 &amp; "&amp;filename_for_metadata=" &amp; Tokens!BT1008 &amp; "&amp;offchaindata_platform=" &amp; $B$17 &amp; "&amp;keyfile=" &amp; $B$5 &amp; "&amp;network=" &amp; LOWER($B$8) &amp; "&amp;repository=" &amp; $B$18</f>
        <v>owner=thomas&amp;filename_for_metadata=InCasa_COR22D845&amp;offchaindata_platform=MongoDB&amp;keyfile=Paul&amp;network=jsonfiles&amp;repository=test</v>
      </c>
      <c r="U1008" s="1" t="str">
        <f t="shared" si="31"/>
        <v>{"name":"In Casa #845",_x000D_
"symbol":"COR22D845",_x000D_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8" s="1" t="str">
        <f>formatRow(Tokens!C$2:I$2,Tokens!C1008:I1008)</f>
        <v>"name":"In Casa #845",_x000D_
"symbol":"COR22D845",_x000D_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8" s="1" t="str">
        <f>formatRow(Tokens!J$2:AV$2,Tokens!J1008:AV1008,2,"attributes")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8" s="1" t="str">
        <f>formatRow(Tokens!AX$2:BC$2,Tokens!AX1008:BC1008,2,"creators")</f>
        <v>"creators":[{"address":"paul",_x000D_
"share":10},{"address":"sophie",_x000D_
"share":90}]</v>
      </c>
      <c r="Y1008" s="1" t="str">
        <f>formatRow(Tokens!BD$2:BI$2,Tokens!BD1008:BI1008,2,"files")</f>
        <v>"files":[]</v>
      </c>
      <c r="Z1008" s="1"/>
      <c r="AA1008" s="1"/>
      <c r="AB1008" s="1"/>
      <c r="AC1008" s="1" t="str">
        <f>formatRow(Tokens!BJ$2:BK$2,Tokens!BJ1008:BK1008,0,"collection")</f>
        <v>"collection":{"name":"In Casa",_x000D_
"family":"Calvi On The Rocks"}</v>
      </c>
    </row>
    <row r="1009" spans="5:29" ht="14.25" customHeight="1" x14ac:dyDescent="0.25">
      <c r="E1009" s="17" t="str">
        <f>IF(Tokens!C1009="","",Tokens!C1009)</f>
        <v>In Casa #846</v>
      </c>
      <c r="F1009" s="56"/>
      <c r="G1009" t="s">
        <v>164</v>
      </c>
      <c r="H1009" s="57" t="s">
        <v>165</v>
      </c>
      <c r="I1009" s="2" t="s">
        <v>166</v>
      </c>
      <c r="J1009" s="2" t="s">
        <v>167</v>
      </c>
      <c r="M1009" s="15"/>
      <c r="N1009">
        <v>6.9258811930000004</v>
      </c>
      <c r="O1009" s="15">
        <f t="shared" si="30"/>
        <v>0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1" t="str">
        <f>"owner=" &amp; Tokens!BS1009 &amp; "&amp;filename_for_metadata=" &amp; Tokens!BT1009 &amp; "&amp;offchaindata_platform=" &amp; $B$17 &amp; "&amp;keyfile=" &amp; $B$5 &amp; "&amp;network=" &amp; LOWER($B$8) &amp; "&amp;repository=" &amp; $B$18</f>
        <v>owner=thomas&amp;filename_for_metadata=InCasa_COR22D846&amp;offchaindata_platform=MongoDB&amp;keyfile=Paul&amp;network=jsonfiles&amp;repository=test</v>
      </c>
      <c r="U1009" s="1" t="str">
        <f t="shared" si="31"/>
        <v>{"name":"In Casa #846",_x000D_
"symbol":"COR22D846",_x000D_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09" s="1" t="str">
        <f>formatRow(Tokens!C$2:I$2,Tokens!C1009:I1009)</f>
        <v>"name":"In Casa #846",_x000D_
"symbol":"COR22D846",_x000D_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09" s="1" t="str">
        <f>formatRow(Tokens!J$2:AV$2,Tokens!J1009:AV1009,2,"attributes")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09" s="1" t="str">
        <f>formatRow(Tokens!AX$2:BC$2,Tokens!AX1009:BC1009,2,"creators")</f>
        <v>"creators":[{"address":"paul",_x000D_
"share":10},{"address":"sophie",_x000D_
"share":90}]</v>
      </c>
      <c r="Y1009" s="1" t="str">
        <f>formatRow(Tokens!BD$2:BI$2,Tokens!BD1009:BI1009,2,"files")</f>
        <v>"files":[]</v>
      </c>
      <c r="Z1009" s="1"/>
      <c r="AA1009" s="1"/>
      <c r="AB1009" s="1"/>
      <c r="AC1009" s="1" t="str">
        <f>formatRow(Tokens!BJ$2:BK$2,Tokens!BJ1009:BK1009,0,"collection")</f>
        <v>"collection":{"name":"In Casa",_x000D_
"family":"Calvi On The Rocks"}</v>
      </c>
    </row>
    <row r="1010" spans="5:29" ht="14.25" customHeight="1" x14ac:dyDescent="0.25">
      <c r="E1010" s="17" t="str">
        <f>IF(Tokens!C1010="","",Tokens!C1010)</f>
        <v>In Casa #847</v>
      </c>
      <c r="F1010" s="56"/>
      <c r="G1010" t="s">
        <v>164</v>
      </c>
      <c r="H1010" s="57" t="s">
        <v>165</v>
      </c>
      <c r="I1010" s="2" t="s">
        <v>166</v>
      </c>
      <c r="J1010" s="2" t="s">
        <v>167</v>
      </c>
      <c r="M1010" s="15"/>
      <c r="N1010">
        <v>6.9258811930000004</v>
      </c>
      <c r="O1010" s="15">
        <f t="shared" si="30"/>
        <v>0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1" t="str">
        <f>"owner=" &amp; Tokens!BS1010 &amp; "&amp;filename_for_metadata=" &amp; Tokens!BT1010 &amp; "&amp;offchaindata_platform=" &amp; $B$17 &amp; "&amp;keyfile=" &amp; $B$5 &amp; "&amp;network=" &amp; LOWER($B$8) &amp; "&amp;repository=" &amp; $B$18</f>
        <v>owner=thomas&amp;filename_for_metadata=InCasa_COR22D847&amp;offchaindata_platform=MongoDB&amp;keyfile=Paul&amp;network=jsonfiles&amp;repository=test</v>
      </c>
      <c r="U1010" s="1" t="str">
        <f t="shared" si="31"/>
        <v>{"name":"In Casa #847",_x000D_
"symbol":"COR22D847",_x000D_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0" s="1" t="str">
        <f>formatRow(Tokens!C$2:I$2,Tokens!C1010:I1010)</f>
        <v>"name":"In Casa #847",_x000D_
"symbol":"COR22D847",_x000D_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0" s="1" t="str">
        <f>formatRow(Tokens!J$2:AV$2,Tokens!J1010:AV1010,2,"attributes")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0" s="1" t="str">
        <f>formatRow(Tokens!AX$2:BC$2,Tokens!AX1010:BC1010,2,"creators")</f>
        <v>"creators":[{"address":"paul",_x000D_
"share":10},{"address":"sophie",_x000D_
"share":90}]</v>
      </c>
      <c r="Y1010" s="1" t="str">
        <f>formatRow(Tokens!BD$2:BI$2,Tokens!BD1010:BI1010,2,"files")</f>
        <v>"files":[]</v>
      </c>
      <c r="Z1010" s="1"/>
      <c r="AA1010" s="1"/>
      <c r="AB1010" s="1"/>
      <c r="AC1010" s="1" t="str">
        <f>formatRow(Tokens!BJ$2:BK$2,Tokens!BJ1010:BK1010,0,"collection")</f>
        <v>"collection":{"name":"In Casa",_x000D_
"family":"Calvi On The Rocks"}</v>
      </c>
    </row>
    <row r="1011" spans="5:29" ht="14.25" customHeight="1" x14ac:dyDescent="0.25">
      <c r="E1011" s="17" t="str">
        <f>IF(Tokens!C1011="","",Tokens!C1011)</f>
        <v>In Casa #848</v>
      </c>
      <c r="F1011" s="56"/>
      <c r="G1011" t="s">
        <v>164</v>
      </c>
      <c r="H1011" s="57" t="s">
        <v>165</v>
      </c>
      <c r="I1011" s="2" t="s">
        <v>166</v>
      </c>
      <c r="J1011" s="2" t="s">
        <v>167</v>
      </c>
      <c r="M1011" s="15"/>
      <c r="N1011">
        <v>6.9258811930000004</v>
      </c>
      <c r="O1011" s="15">
        <f t="shared" si="30"/>
        <v>0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1" t="str">
        <f>"owner=" &amp; Tokens!BS1011 &amp; "&amp;filename_for_metadata=" &amp; Tokens!BT1011 &amp; "&amp;offchaindata_platform=" &amp; $B$17 &amp; "&amp;keyfile=" &amp; $B$5 &amp; "&amp;network=" &amp; LOWER($B$8) &amp; "&amp;repository=" &amp; $B$18</f>
        <v>owner=thomas&amp;filename_for_metadata=InCasa_COR22D848&amp;offchaindata_platform=MongoDB&amp;keyfile=Paul&amp;network=jsonfiles&amp;repository=test</v>
      </c>
      <c r="U1011" s="1" t="str">
        <f t="shared" si="31"/>
        <v>{"name":"In Casa #848",_x000D_
"symbol":"COR22D848",_x000D_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1" s="1" t="str">
        <f>formatRow(Tokens!C$2:I$2,Tokens!C1011:I1011)</f>
        <v>"name":"In Casa #848",_x000D_
"symbol":"COR22D848",_x000D_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1" s="1" t="str">
        <f>formatRow(Tokens!J$2:AV$2,Tokens!J1011:AV1011,2,"attributes")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1" s="1" t="str">
        <f>formatRow(Tokens!AX$2:BC$2,Tokens!AX1011:BC1011,2,"creators")</f>
        <v>"creators":[{"address":"paul",_x000D_
"share":10},{"address":"sophie",_x000D_
"share":90}]</v>
      </c>
      <c r="Y1011" s="1" t="str">
        <f>formatRow(Tokens!BD$2:BI$2,Tokens!BD1011:BI1011,2,"files")</f>
        <v>"files":[]</v>
      </c>
      <c r="Z1011" s="1"/>
      <c r="AA1011" s="1"/>
      <c r="AB1011" s="1"/>
      <c r="AC1011" s="1" t="str">
        <f>formatRow(Tokens!BJ$2:BK$2,Tokens!BJ1011:BK1011,0,"collection")</f>
        <v>"collection":{"name":"In Casa",_x000D_
"family":"Calvi On The Rocks"}</v>
      </c>
    </row>
    <row r="1012" spans="5:29" ht="14.25" customHeight="1" x14ac:dyDescent="0.25">
      <c r="E1012" s="17" t="str">
        <f>IF(Tokens!C1012="","",Tokens!C1012)</f>
        <v>In Casa #849</v>
      </c>
      <c r="F1012" s="56"/>
      <c r="G1012" t="s">
        <v>164</v>
      </c>
      <c r="H1012" s="57" t="s">
        <v>165</v>
      </c>
      <c r="I1012" s="2" t="s">
        <v>166</v>
      </c>
      <c r="J1012" s="2" t="s">
        <v>167</v>
      </c>
      <c r="M1012" s="15"/>
      <c r="N1012">
        <v>6.9258811930000004</v>
      </c>
      <c r="O1012" s="15">
        <f t="shared" si="30"/>
        <v>0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1" t="str">
        <f>"owner=" &amp; Tokens!BS1012 &amp; "&amp;filename_for_metadata=" &amp; Tokens!BT1012 &amp; "&amp;offchaindata_platform=" &amp; $B$17 &amp; "&amp;keyfile=" &amp; $B$5 &amp; "&amp;network=" &amp; LOWER($B$8) &amp; "&amp;repository=" &amp; $B$18</f>
        <v>owner=thomas&amp;filename_for_metadata=InCasa_COR22D849&amp;offchaindata_platform=MongoDB&amp;keyfile=Paul&amp;network=jsonfiles&amp;repository=test</v>
      </c>
      <c r="U1012" s="1" t="str">
        <f t="shared" si="31"/>
        <v>{"name":"In Casa #849",_x000D_
"symbol":"COR22D849",_x000D_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2" s="1" t="str">
        <f>formatRow(Tokens!C$2:I$2,Tokens!C1012:I1012)</f>
        <v>"name":"In Casa #849",_x000D_
"symbol":"COR22D849",_x000D_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2" s="1" t="str">
        <f>formatRow(Tokens!J$2:AV$2,Tokens!J1012:AV1012,2,"attributes")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2" s="1" t="str">
        <f>formatRow(Tokens!AX$2:BC$2,Tokens!AX1012:BC1012,2,"creators")</f>
        <v>"creators":[{"address":"paul",_x000D_
"share":10},{"address":"sophie",_x000D_
"share":90}]</v>
      </c>
      <c r="Y1012" s="1" t="str">
        <f>formatRow(Tokens!BD$2:BI$2,Tokens!BD1012:BI1012,2,"files")</f>
        <v>"files":[]</v>
      </c>
      <c r="Z1012" s="1"/>
      <c r="AA1012" s="1"/>
      <c r="AB1012" s="1"/>
      <c r="AC1012" s="1" t="str">
        <f>formatRow(Tokens!BJ$2:BK$2,Tokens!BJ1012:BK1012,0,"collection")</f>
        <v>"collection":{"name":"In Casa",_x000D_
"family":"Calvi On The Rocks"}</v>
      </c>
    </row>
    <row r="1013" spans="5:29" ht="14.25" customHeight="1" x14ac:dyDescent="0.25">
      <c r="E1013" s="17" t="str">
        <f>IF(Tokens!C1013="","",Tokens!C1013)</f>
        <v>In Casa #850</v>
      </c>
      <c r="F1013" s="56"/>
      <c r="G1013" t="s">
        <v>164</v>
      </c>
      <c r="H1013" s="57" t="s">
        <v>165</v>
      </c>
      <c r="I1013" s="2" t="s">
        <v>166</v>
      </c>
      <c r="J1013" s="2" t="s">
        <v>167</v>
      </c>
      <c r="M1013" s="15"/>
      <c r="N1013">
        <v>6.9258811930000004</v>
      </c>
      <c r="O1013" s="15">
        <f t="shared" si="30"/>
        <v>0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1" t="str">
        <f>"owner=" &amp; Tokens!BS1013 &amp; "&amp;filename_for_metadata=" &amp; Tokens!BT1013 &amp; "&amp;offchaindata_platform=" &amp; $B$17 &amp; "&amp;keyfile=" &amp; $B$5 &amp; "&amp;network=" &amp; LOWER($B$8) &amp; "&amp;repository=" &amp; $B$18</f>
        <v>owner=thomas&amp;filename_for_metadata=InCasa_COR22D850&amp;offchaindata_platform=MongoDB&amp;keyfile=Paul&amp;network=jsonfiles&amp;repository=test</v>
      </c>
      <c r="U1013" s="1" t="str">
        <f t="shared" si="31"/>
        <v>{"name":"In Casa #850",_x000D_
"symbol":"COR22D850",_x000D_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3" s="1" t="str">
        <f>formatRow(Tokens!C$2:I$2,Tokens!C1013:I1013)</f>
        <v>"name":"In Casa #850",_x000D_
"symbol":"COR22D850",_x000D_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3" s="1" t="str">
        <f>formatRow(Tokens!J$2:AV$2,Tokens!J1013:AV1013,2,"attributes")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3" s="1" t="str">
        <f>formatRow(Tokens!AX$2:BC$2,Tokens!AX1013:BC1013,2,"creators")</f>
        <v>"creators":[{"address":"paul",_x000D_
"share":10},{"address":"sophie",_x000D_
"share":90}]</v>
      </c>
      <c r="Y1013" s="1" t="str">
        <f>formatRow(Tokens!BD$2:BI$2,Tokens!BD1013:BI1013,2,"files")</f>
        <v>"files":[]</v>
      </c>
      <c r="Z1013" s="1"/>
      <c r="AA1013" s="1"/>
      <c r="AB1013" s="1"/>
      <c r="AC1013" s="1" t="str">
        <f>formatRow(Tokens!BJ$2:BK$2,Tokens!BJ1013:BK1013,0,"collection")</f>
        <v>"collection":{"name":"In Casa",_x000D_
"family":"Calvi On The Rocks"}</v>
      </c>
    </row>
    <row r="1014" spans="5:29" ht="14.25" customHeight="1" x14ac:dyDescent="0.25">
      <c r="E1014" s="17" t="str">
        <f>IF(Tokens!C1014="","",Tokens!C1014)</f>
        <v>In Casa #851</v>
      </c>
      <c r="F1014" s="56"/>
      <c r="G1014" t="s">
        <v>164</v>
      </c>
      <c r="H1014" s="57" t="s">
        <v>165</v>
      </c>
      <c r="I1014" s="2" t="s">
        <v>166</v>
      </c>
      <c r="J1014" s="2" t="s">
        <v>167</v>
      </c>
      <c r="M1014" s="15"/>
      <c r="N1014">
        <v>6.9258811930000004</v>
      </c>
      <c r="O1014" s="15">
        <f t="shared" si="30"/>
        <v>0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1" t="str">
        <f>"owner=" &amp; Tokens!BS1014 &amp; "&amp;filename_for_metadata=" &amp; Tokens!BT1014 &amp; "&amp;offchaindata_platform=" &amp; $B$17 &amp; "&amp;keyfile=" &amp; $B$5 &amp; "&amp;network=" &amp; LOWER($B$8) &amp; "&amp;repository=" &amp; $B$18</f>
        <v>owner=thomas&amp;filename_for_metadata=InCasa_COR22D851&amp;offchaindata_platform=MongoDB&amp;keyfile=Paul&amp;network=jsonfiles&amp;repository=test</v>
      </c>
      <c r="U1014" s="1" t="str">
        <f t="shared" si="31"/>
        <v>{"name":"In Casa #851",_x000D_
"symbol":"COR22D851",_x000D_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4" s="1" t="str">
        <f>formatRow(Tokens!C$2:I$2,Tokens!C1014:I1014)</f>
        <v>"name":"In Casa #851",_x000D_
"symbol":"COR22D851",_x000D_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4" s="1" t="str">
        <f>formatRow(Tokens!J$2:AV$2,Tokens!J1014:AV1014,2,"attributes")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4" s="1" t="str">
        <f>formatRow(Tokens!AX$2:BC$2,Tokens!AX1014:BC1014,2,"creators")</f>
        <v>"creators":[{"address":"paul",_x000D_
"share":10},{"address":"sophie",_x000D_
"share":90}]</v>
      </c>
      <c r="Y1014" s="1" t="str">
        <f>formatRow(Tokens!BD$2:BI$2,Tokens!BD1014:BI1014,2,"files")</f>
        <v>"files":[]</v>
      </c>
      <c r="Z1014" s="1"/>
      <c r="AA1014" s="1"/>
      <c r="AB1014" s="1"/>
      <c r="AC1014" s="1" t="str">
        <f>formatRow(Tokens!BJ$2:BK$2,Tokens!BJ1014:BK1014,0,"collection")</f>
        <v>"collection":{"name":"In Casa",_x000D_
"family":"Calvi On The Rocks"}</v>
      </c>
    </row>
    <row r="1015" spans="5:29" ht="14.25" customHeight="1" x14ac:dyDescent="0.25">
      <c r="E1015" s="17" t="str">
        <f>IF(Tokens!C1015="","",Tokens!C1015)</f>
        <v>In Casa #852</v>
      </c>
      <c r="F1015" s="56"/>
      <c r="G1015" t="s">
        <v>164</v>
      </c>
      <c r="H1015" s="57" t="s">
        <v>165</v>
      </c>
      <c r="I1015" s="2" t="s">
        <v>166</v>
      </c>
      <c r="J1015" s="2" t="s">
        <v>167</v>
      </c>
      <c r="M1015" s="15"/>
      <c r="N1015">
        <v>6.9258811930000004</v>
      </c>
      <c r="O1015" s="15">
        <f t="shared" si="30"/>
        <v>0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1" t="str">
        <f>"owner=" &amp; Tokens!BS1015 &amp; "&amp;filename_for_metadata=" &amp; Tokens!BT1015 &amp; "&amp;offchaindata_platform=" &amp; $B$17 &amp; "&amp;keyfile=" &amp; $B$5 &amp; "&amp;network=" &amp; LOWER($B$8) &amp; "&amp;repository=" &amp; $B$18</f>
        <v>owner=thomas&amp;filename_for_metadata=InCasa_COR22D852&amp;offchaindata_platform=MongoDB&amp;keyfile=Paul&amp;network=jsonfiles&amp;repository=test</v>
      </c>
      <c r="U1015" s="1" t="str">
        <f t="shared" si="31"/>
        <v>{"name":"In Casa #852",_x000D_
"symbol":"COR22D852",_x000D_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5" s="1" t="str">
        <f>formatRow(Tokens!C$2:I$2,Tokens!C1015:I1015)</f>
        <v>"name":"In Casa #852",_x000D_
"symbol":"COR22D852",_x000D_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5" s="1" t="str">
        <f>formatRow(Tokens!J$2:AV$2,Tokens!J1015:AV1015,2,"attributes")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5" s="1" t="str">
        <f>formatRow(Tokens!AX$2:BC$2,Tokens!AX1015:BC1015,2,"creators")</f>
        <v>"creators":[{"address":"paul",_x000D_
"share":10},{"address":"sophie",_x000D_
"share":90}]</v>
      </c>
      <c r="Y1015" s="1" t="str">
        <f>formatRow(Tokens!BD$2:BI$2,Tokens!BD1015:BI1015,2,"files")</f>
        <v>"files":[]</v>
      </c>
      <c r="Z1015" s="1"/>
      <c r="AA1015" s="1"/>
      <c r="AB1015" s="1"/>
      <c r="AC1015" s="1" t="str">
        <f>formatRow(Tokens!BJ$2:BK$2,Tokens!BJ1015:BK1015,0,"collection")</f>
        <v>"collection":{"name":"In Casa",_x000D_
"family":"Calvi On The Rocks"}</v>
      </c>
    </row>
    <row r="1016" spans="5:29" ht="14.25" customHeight="1" x14ac:dyDescent="0.25">
      <c r="E1016" s="17" t="str">
        <f>IF(Tokens!C1016="","",Tokens!C1016)</f>
        <v>In Casa #853</v>
      </c>
      <c r="F1016" s="56"/>
      <c r="G1016" t="s">
        <v>164</v>
      </c>
      <c r="H1016" s="57" t="s">
        <v>165</v>
      </c>
      <c r="I1016" s="2" t="s">
        <v>166</v>
      </c>
      <c r="J1016" s="2" t="s">
        <v>167</v>
      </c>
      <c r="M1016" s="15"/>
      <c r="N1016">
        <v>6.9258811930000004</v>
      </c>
      <c r="O1016" s="15">
        <f t="shared" si="30"/>
        <v>0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1" t="str">
        <f>"owner=" &amp; Tokens!BS1016 &amp; "&amp;filename_for_metadata=" &amp; Tokens!BT1016 &amp; "&amp;offchaindata_platform=" &amp; $B$17 &amp; "&amp;keyfile=" &amp; $B$5 &amp; "&amp;network=" &amp; LOWER($B$8) &amp; "&amp;repository=" &amp; $B$18</f>
        <v>owner=thomas&amp;filename_for_metadata=InCasa_COR22D853&amp;offchaindata_platform=MongoDB&amp;keyfile=Paul&amp;network=jsonfiles&amp;repository=test</v>
      </c>
      <c r="U1016" s="1" t="str">
        <f t="shared" si="31"/>
        <v>{"name":"In Casa #853",_x000D_
"symbol":"COR22D853",_x000D_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6" s="1" t="str">
        <f>formatRow(Tokens!C$2:I$2,Tokens!C1016:I1016)</f>
        <v>"name":"In Casa #853",_x000D_
"symbol":"COR22D853",_x000D_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6" s="1" t="str">
        <f>formatRow(Tokens!J$2:AV$2,Tokens!J1016:AV1016,2,"attributes")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6" s="1" t="str">
        <f>formatRow(Tokens!AX$2:BC$2,Tokens!AX1016:BC1016,2,"creators")</f>
        <v>"creators":[{"address":"paul",_x000D_
"share":10},{"address":"sophie",_x000D_
"share":90}]</v>
      </c>
      <c r="Y1016" s="1" t="str">
        <f>formatRow(Tokens!BD$2:BI$2,Tokens!BD1016:BI1016,2,"files")</f>
        <v>"files":[]</v>
      </c>
      <c r="Z1016" s="1"/>
      <c r="AA1016" s="1"/>
      <c r="AB1016" s="1"/>
      <c r="AC1016" s="1" t="str">
        <f>formatRow(Tokens!BJ$2:BK$2,Tokens!BJ1016:BK1016,0,"collection")</f>
        <v>"collection":{"name":"In Casa",_x000D_
"family":"Calvi On The Rocks"}</v>
      </c>
    </row>
    <row r="1017" spans="5:29" ht="14.25" customHeight="1" x14ac:dyDescent="0.25">
      <c r="E1017" s="17" t="str">
        <f>IF(Tokens!C1017="","",Tokens!C1017)</f>
        <v>In Casa #854</v>
      </c>
      <c r="F1017" s="56"/>
      <c r="G1017" t="s">
        <v>164</v>
      </c>
      <c r="H1017" s="57" t="s">
        <v>165</v>
      </c>
      <c r="I1017" s="2" t="s">
        <v>166</v>
      </c>
      <c r="J1017" s="2" t="s">
        <v>167</v>
      </c>
      <c r="M1017" s="15"/>
      <c r="N1017">
        <v>6.9258811930000004</v>
      </c>
      <c r="O1017" s="15">
        <f t="shared" si="30"/>
        <v>0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1" t="str">
        <f>"owner=" &amp; Tokens!BS1017 &amp; "&amp;filename_for_metadata=" &amp; Tokens!BT1017 &amp; "&amp;offchaindata_platform=" &amp; $B$17 &amp; "&amp;keyfile=" &amp; $B$5 &amp; "&amp;network=" &amp; LOWER($B$8) &amp; "&amp;repository=" &amp; $B$18</f>
        <v>owner=thomas&amp;filename_for_metadata=InCasa_COR22D854&amp;offchaindata_platform=MongoDB&amp;keyfile=Paul&amp;network=jsonfiles&amp;repository=test</v>
      </c>
      <c r="U1017" s="1" t="str">
        <f t="shared" si="31"/>
        <v>{"name":"In Casa #854",_x000D_
"symbol":"COR22D854",_x000D_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7" s="1" t="str">
        <f>formatRow(Tokens!C$2:I$2,Tokens!C1017:I1017)</f>
        <v>"name":"In Casa #854",_x000D_
"symbol":"COR22D854",_x000D_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7" s="1" t="str">
        <f>formatRow(Tokens!J$2:AV$2,Tokens!J1017:AV1017,2,"attributes")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7" s="1" t="str">
        <f>formatRow(Tokens!AX$2:BC$2,Tokens!AX1017:BC1017,2,"creators")</f>
        <v>"creators":[{"address":"paul",_x000D_
"share":10},{"address":"sophie",_x000D_
"share":90}]</v>
      </c>
      <c r="Y1017" s="1" t="str">
        <f>formatRow(Tokens!BD$2:BI$2,Tokens!BD1017:BI1017,2,"files")</f>
        <v>"files":[]</v>
      </c>
      <c r="Z1017" s="1"/>
      <c r="AA1017" s="1"/>
      <c r="AB1017" s="1"/>
      <c r="AC1017" s="1" t="str">
        <f>formatRow(Tokens!BJ$2:BK$2,Tokens!BJ1017:BK1017,0,"collection")</f>
        <v>"collection":{"name":"In Casa",_x000D_
"family":"Calvi On The Rocks"}</v>
      </c>
    </row>
    <row r="1018" spans="5:29" ht="14.25" customHeight="1" x14ac:dyDescent="0.25">
      <c r="E1018" s="17" t="str">
        <f>IF(Tokens!C1018="","",Tokens!C1018)</f>
        <v>In Casa #855</v>
      </c>
      <c r="F1018" s="56"/>
      <c r="G1018" t="s">
        <v>164</v>
      </c>
      <c r="H1018" s="57" t="s">
        <v>165</v>
      </c>
      <c r="I1018" s="2" t="s">
        <v>166</v>
      </c>
      <c r="J1018" s="2" t="s">
        <v>167</v>
      </c>
      <c r="M1018" s="15"/>
      <c r="N1018">
        <v>6.9258811930000004</v>
      </c>
      <c r="O1018" s="15">
        <f t="shared" si="30"/>
        <v>0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1" t="str">
        <f>"owner=" &amp; Tokens!BS1018 &amp; "&amp;filename_for_metadata=" &amp; Tokens!BT1018 &amp; "&amp;offchaindata_platform=" &amp; $B$17 &amp; "&amp;keyfile=" &amp; $B$5 &amp; "&amp;network=" &amp; LOWER($B$8) &amp; "&amp;repository=" &amp; $B$18</f>
        <v>owner=thomas&amp;filename_for_metadata=InCasa_COR22D855&amp;offchaindata_platform=MongoDB&amp;keyfile=Paul&amp;network=jsonfiles&amp;repository=test</v>
      </c>
      <c r="U1018" s="1" t="str">
        <f t="shared" si="31"/>
        <v>{"name":"In Casa #855",_x000D_
"symbol":"COR22D855",_x000D_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8" s="1" t="str">
        <f>formatRow(Tokens!C$2:I$2,Tokens!C1018:I1018)</f>
        <v>"name":"In Casa #855",_x000D_
"symbol":"COR22D855",_x000D_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8" s="1" t="str">
        <f>formatRow(Tokens!J$2:AV$2,Tokens!J1018:AV1018,2,"attributes")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8" s="1" t="str">
        <f>formatRow(Tokens!AX$2:BC$2,Tokens!AX1018:BC1018,2,"creators")</f>
        <v>"creators":[{"address":"paul",_x000D_
"share":10},{"address":"sophie",_x000D_
"share":90}]</v>
      </c>
      <c r="Y1018" s="1" t="str">
        <f>formatRow(Tokens!BD$2:BI$2,Tokens!BD1018:BI1018,2,"files")</f>
        <v>"files":[]</v>
      </c>
      <c r="Z1018" s="1"/>
      <c r="AA1018" s="1"/>
      <c r="AB1018" s="1"/>
      <c r="AC1018" s="1" t="str">
        <f>formatRow(Tokens!BJ$2:BK$2,Tokens!BJ1018:BK1018,0,"collection")</f>
        <v>"collection":{"name":"In Casa",_x000D_
"family":"Calvi On The Rocks"}</v>
      </c>
    </row>
    <row r="1019" spans="5:29" ht="14.25" customHeight="1" x14ac:dyDescent="0.25">
      <c r="E1019" s="17" t="str">
        <f>IF(Tokens!C1019="","",Tokens!C1019)</f>
        <v>In Casa #856</v>
      </c>
      <c r="F1019" s="56"/>
      <c r="G1019" t="s">
        <v>164</v>
      </c>
      <c r="H1019" s="57" t="s">
        <v>165</v>
      </c>
      <c r="I1019" s="2" t="s">
        <v>166</v>
      </c>
      <c r="J1019" s="2" t="s">
        <v>167</v>
      </c>
      <c r="M1019" s="15"/>
      <c r="N1019">
        <v>6.9258811930000004</v>
      </c>
      <c r="O1019" s="15">
        <f t="shared" si="30"/>
        <v>0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1" t="str">
        <f>"owner=" &amp; Tokens!BS1019 &amp; "&amp;filename_for_metadata=" &amp; Tokens!BT1019 &amp; "&amp;offchaindata_platform=" &amp; $B$17 &amp; "&amp;keyfile=" &amp; $B$5 &amp; "&amp;network=" &amp; LOWER($B$8) &amp; "&amp;repository=" &amp; $B$18</f>
        <v>owner=thomas&amp;filename_for_metadata=InCasa_COR22D856&amp;offchaindata_platform=MongoDB&amp;keyfile=Paul&amp;network=jsonfiles&amp;repository=test</v>
      </c>
      <c r="U1019" s="1" t="str">
        <f t="shared" si="31"/>
        <v>{"name":"In Casa #856",_x000D_
"symbol":"COR22D856",_x000D_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19" s="1" t="str">
        <f>formatRow(Tokens!C$2:I$2,Tokens!C1019:I1019)</f>
        <v>"name":"In Casa #856",_x000D_
"symbol":"COR22D856",_x000D_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19" s="1" t="str">
        <f>formatRow(Tokens!J$2:AV$2,Tokens!J1019:AV1019,2,"attributes")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19" s="1" t="str">
        <f>formatRow(Tokens!AX$2:BC$2,Tokens!AX1019:BC1019,2,"creators")</f>
        <v>"creators":[{"address":"paul",_x000D_
"share":10},{"address":"sophie",_x000D_
"share":90}]</v>
      </c>
      <c r="Y1019" s="1" t="str">
        <f>formatRow(Tokens!BD$2:BI$2,Tokens!BD1019:BI1019,2,"files")</f>
        <v>"files":[]</v>
      </c>
      <c r="Z1019" s="1"/>
      <c r="AA1019" s="1"/>
      <c r="AB1019" s="1"/>
      <c r="AC1019" s="1" t="str">
        <f>formatRow(Tokens!BJ$2:BK$2,Tokens!BJ1019:BK1019,0,"collection")</f>
        <v>"collection":{"name":"In Casa",_x000D_
"family":"Calvi On The Rocks"}</v>
      </c>
    </row>
    <row r="1020" spans="5:29" ht="14.25" customHeight="1" x14ac:dyDescent="0.25">
      <c r="E1020" s="17" t="str">
        <f>IF(Tokens!C1020="","",Tokens!C1020)</f>
        <v>In Casa #857</v>
      </c>
      <c r="F1020" s="56"/>
      <c r="G1020" t="s">
        <v>164</v>
      </c>
      <c r="H1020" s="57" t="s">
        <v>165</v>
      </c>
      <c r="I1020" s="2" t="s">
        <v>166</v>
      </c>
      <c r="J1020" s="2" t="s">
        <v>167</v>
      </c>
      <c r="M1020" s="15"/>
      <c r="N1020">
        <v>6.9258811930000004</v>
      </c>
      <c r="O1020" s="15">
        <f t="shared" si="30"/>
        <v>0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1" t="str">
        <f>"owner=" &amp; Tokens!BS1020 &amp; "&amp;filename_for_metadata=" &amp; Tokens!BT1020 &amp; "&amp;offchaindata_platform=" &amp; $B$17 &amp; "&amp;keyfile=" &amp; $B$5 &amp; "&amp;network=" &amp; LOWER($B$8) &amp; "&amp;repository=" &amp; $B$18</f>
        <v>owner=thomas&amp;filename_for_metadata=InCasa_COR22D857&amp;offchaindata_platform=MongoDB&amp;keyfile=Paul&amp;network=jsonfiles&amp;repository=test</v>
      </c>
      <c r="U1020" s="1" t="str">
        <f t="shared" si="31"/>
        <v>{"name":"In Casa #857",_x000D_
"symbol":"COR22D857",_x000D_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0" s="1" t="str">
        <f>formatRow(Tokens!C$2:I$2,Tokens!C1020:I1020)</f>
        <v>"name":"In Casa #857",_x000D_
"symbol":"COR22D857",_x000D_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0" s="1" t="str">
        <f>formatRow(Tokens!J$2:AV$2,Tokens!J1020:AV1020,2,"attributes")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0" s="1" t="str">
        <f>formatRow(Tokens!AX$2:BC$2,Tokens!AX1020:BC1020,2,"creators")</f>
        <v>"creators":[{"address":"paul",_x000D_
"share":10},{"address":"sophie",_x000D_
"share":90}]</v>
      </c>
      <c r="Y1020" s="1" t="str">
        <f>formatRow(Tokens!BD$2:BI$2,Tokens!BD1020:BI1020,2,"files")</f>
        <v>"files":[]</v>
      </c>
      <c r="Z1020" s="1"/>
      <c r="AA1020" s="1"/>
      <c r="AB1020" s="1"/>
      <c r="AC1020" s="1" t="str">
        <f>formatRow(Tokens!BJ$2:BK$2,Tokens!BJ1020:BK1020,0,"collection")</f>
        <v>"collection":{"name":"In Casa",_x000D_
"family":"Calvi On The Rocks"}</v>
      </c>
    </row>
    <row r="1021" spans="5:29" ht="14.25" customHeight="1" x14ac:dyDescent="0.25">
      <c r="E1021" s="17" t="str">
        <f>IF(Tokens!C1021="","",Tokens!C1021)</f>
        <v>In Casa #858</v>
      </c>
      <c r="F1021" s="56"/>
      <c r="G1021" t="s">
        <v>164</v>
      </c>
      <c r="H1021" s="57" t="s">
        <v>165</v>
      </c>
      <c r="I1021" s="2" t="s">
        <v>166</v>
      </c>
      <c r="J1021" s="2" t="s">
        <v>167</v>
      </c>
      <c r="M1021" s="15"/>
      <c r="N1021">
        <v>6.9258811930000004</v>
      </c>
      <c r="O1021" s="15">
        <f t="shared" si="30"/>
        <v>0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1" t="str">
        <f>"owner=" &amp; Tokens!BS1021 &amp; "&amp;filename_for_metadata=" &amp; Tokens!BT1021 &amp; "&amp;offchaindata_platform=" &amp; $B$17 &amp; "&amp;keyfile=" &amp; $B$5 &amp; "&amp;network=" &amp; LOWER($B$8) &amp; "&amp;repository=" &amp; $B$18</f>
        <v>owner=thomas&amp;filename_for_metadata=InCasa_COR22D858&amp;offchaindata_platform=MongoDB&amp;keyfile=Paul&amp;network=jsonfiles&amp;repository=test</v>
      </c>
      <c r="U1021" s="1" t="str">
        <f t="shared" si="31"/>
        <v>{"name":"In Casa #858",_x000D_
"symbol":"COR22D858",_x000D_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1" s="1" t="str">
        <f>formatRow(Tokens!C$2:I$2,Tokens!C1021:I1021)</f>
        <v>"name":"In Casa #858",_x000D_
"symbol":"COR22D858",_x000D_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1" s="1" t="str">
        <f>formatRow(Tokens!J$2:AV$2,Tokens!J1021:AV1021,2,"attributes")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1" s="1" t="str">
        <f>formatRow(Tokens!AX$2:BC$2,Tokens!AX1021:BC1021,2,"creators")</f>
        <v>"creators":[{"address":"paul",_x000D_
"share":10},{"address":"sophie",_x000D_
"share":90}]</v>
      </c>
      <c r="Y1021" s="1" t="str">
        <f>formatRow(Tokens!BD$2:BI$2,Tokens!BD1021:BI1021,2,"files")</f>
        <v>"files":[]</v>
      </c>
      <c r="Z1021" s="1"/>
      <c r="AA1021" s="1"/>
      <c r="AB1021" s="1"/>
      <c r="AC1021" s="1" t="str">
        <f>formatRow(Tokens!BJ$2:BK$2,Tokens!BJ1021:BK1021,0,"collection")</f>
        <v>"collection":{"name":"In Casa",_x000D_
"family":"Calvi On The Rocks"}</v>
      </c>
    </row>
    <row r="1022" spans="5:29" ht="14.25" customHeight="1" x14ac:dyDescent="0.25">
      <c r="E1022" s="17" t="str">
        <f>IF(Tokens!C1022="","",Tokens!C1022)</f>
        <v>In Casa #859</v>
      </c>
      <c r="F1022" s="56"/>
      <c r="G1022" t="s">
        <v>164</v>
      </c>
      <c r="H1022" s="57" t="s">
        <v>165</v>
      </c>
      <c r="I1022" s="2" t="s">
        <v>166</v>
      </c>
      <c r="J1022" s="2" t="s">
        <v>167</v>
      </c>
      <c r="M1022" s="15"/>
      <c r="N1022">
        <v>6.9258811930000004</v>
      </c>
      <c r="O1022" s="15">
        <f t="shared" si="30"/>
        <v>0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1" t="str">
        <f>"owner=" &amp; Tokens!BS1022 &amp; "&amp;filename_for_metadata=" &amp; Tokens!BT1022 &amp; "&amp;offchaindata_platform=" &amp; $B$17 &amp; "&amp;keyfile=" &amp; $B$5 &amp; "&amp;network=" &amp; LOWER($B$8) &amp; "&amp;repository=" &amp; $B$18</f>
        <v>owner=thomas&amp;filename_for_metadata=InCasa_COR22D859&amp;offchaindata_platform=MongoDB&amp;keyfile=Paul&amp;network=jsonfiles&amp;repository=test</v>
      </c>
      <c r="U1022" s="1" t="str">
        <f t="shared" si="31"/>
        <v>{"name":"In Casa #859",_x000D_
"symbol":"COR22D859",_x000D_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2" s="1" t="str">
        <f>formatRow(Tokens!C$2:I$2,Tokens!C1022:I1022)</f>
        <v>"name":"In Casa #859",_x000D_
"symbol":"COR22D859",_x000D_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2" s="1" t="str">
        <f>formatRow(Tokens!J$2:AV$2,Tokens!J1022:AV1022,2,"attributes")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2" s="1" t="str">
        <f>formatRow(Tokens!AX$2:BC$2,Tokens!AX1022:BC1022,2,"creators")</f>
        <v>"creators":[{"address":"paul",_x000D_
"share":10},{"address":"sophie",_x000D_
"share":90}]</v>
      </c>
      <c r="Y1022" s="1" t="str">
        <f>formatRow(Tokens!BD$2:BI$2,Tokens!BD1022:BI1022,2,"files")</f>
        <v>"files":[]</v>
      </c>
      <c r="Z1022" s="1"/>
      <c r="AA1022" s="1"/>
      <c r="AB1022" s="1"/>
      <c r="AC1022" s="1" t="str">
        <f>formatRow(Tokens!BJ$2:BK$2,Tokens!BJ1022:BK1022,0,"collection")</f>
        <v>"collection":{"name":"In Casa",_x000D_
"family":"Calvi On The Rocks"}</v>
      </c>
    </row>
    <row r="1023" spans="5:29" ht="14.25" customHeight="1" x14ac:dyDescent="0.25">
      <c r="E1023" s="17" t="str">
        <f>IF(Tokens!C1023="","",Tokens!C1023)</f>
        <v>In Casa #860</v>
      </c>
      <c r="F1023" s="56"/>
      <c r="G1023" t="s">
        <v>164</v>
      </c>
      <c r="H1023" s="57" t="s">
        <v>165</v>
      </c>
      <c r="I1023" s="2" t="s">
        <v>166</v>
      </c>
      <c r="J1023" s="2" t="s">
        <v>167</v>
      </c>
      <c r="M1023" s="15"/>
      <c r="N1023">
        <v>6.9258811930000004</v>
      </c>
      <c r="O1023" s="15">
        <f t="shared" si="30"/>
        <v>0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1" t="str">
        <f>"owner=" &amp; Tokens!BS1023 &amp; "&amp;filename_for_metadata=" &amp; Tokens!BT1023 &amp; "&amp;offchaindata_platform=" &amp; $B$17 &amp; "&amp;keyfile=" &amp; $B$5 &amp; "&amp;network=" &amp; LOWER($B$8) &amp; "&amp;repository=" &amp; $B$18</f>
        <v>owner=thomas&amp;filename_for_metadata=InCasa_COR22D860&amp;offchaindata_platform=MongoDB&amp;keyfile=Paul&amp;network=jsonfiles&amp;repository=test</v>
      </c>
      <c r="U1023" s="1" t="str">
        <f t="shared" si="31"/>
        <v>{"name":"In Casa #860",_x000D_
"symbol":"COR22D860",_x000D_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3" s="1" t="str">
        <f>formatRow(Tokens!C$2:I$2,Tokens!C1023:I1023)</f>
        <v>"name":"In Casa #860",_x000D_
"symbol":"COR22D860",_x000D_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3" s="1" t="str">
        <f>formatRow(Tokens!J$2:AV$2,Tokens!J1023:AV1023,2,"attributes")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3" s="1" t="str">
        <f>formatRow(Tokens!AX$2:BC$2,Tokens!AX1023:BC1023,2,"creators")</f>
        <v>"creators":[{"address":"paul",_x000D_
"share":10},{"address":"sophie",_x000D_
"share":90}]</v>
      </c>
      <c r="Y1023" s="1" t="str">
        <f>formatRow(Tokens!BD$2:BI$2,Tokens!BD1023:BI1023,2,"files")</f>
        <v>"files":[]</v>
      </c>
      <c r="Z1023" s="1"/>
      <c r="AA1023" s="1"/>
      <c r="AB1023" s="1"/>
      <c r="AC1023" s="1" t="str">
        <f>formatRow(Tokens!BJ$2:BK$2,Tokens!BJ1023:BK1023,0,"collection")</f>
        <v>"collection":{"name":"In Casa",_x000D_
"family":"Calvi On The Rocks"}</v>
      </c>
    </row>
    <row r="1024" spans="5:29" ht="14.25" customHeight="1" x14ac:dyDescent="0.25">
      <c r="E1024" s="17" t="str">
        <f>IF(Tokens!C1024="","",Tokens!C1024)</f>
        <v>In Casa #861</v>
      </c>
      <c r="F1024" s="56"/>
      <c r="G1024" t="s">
        <v>164</v>
      </c>
      <c r="H1024" s="57" t="s">
        <v>165</v>
      </c>
      <c r="I1024" s="2" t="s">
        <v>166</v>
      </c>
      <c r="J1024" s="2" t="s">
        <v>167</v>
      </c>
      <c r="M1024" s="15"/>
      <c r="N1024">
        <v>6.9258811930000004</v>
      </c>
      <c r="O1024" s="15">
        <f t="shared" si="30"/>
        <v>0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1" t="str">
        <f>"owner=" &amp; Tokens!BS1024 &amp; "&amp;filename_for_metadata=" &amp; Tokens!BT1024 &amp; "&amp;offchaindata_platform=" &amp; $B$17 &amp; "&amp;keyfile=" &amp; $B$5 &amp; "&amp;network=" &amp; LOWER($B$8) &amp; "&amp;repository=" &amp; $B$18</f>
        <v>owner=thomas&amp;filename_for_metadata=InCasa_COR22D861&amp;offchaindata_platform=MongoDB&amp;keyfile=Paul&amp;network=jsonfiles&amp;repository=test</v>
      </c>
      <c r="U1024" s="1" t="str">
        <f t="shared" si="31"/>
        <v>{"name":"In Casa #861",_x000D_
"symbol":"COR22D861",_x000D_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4" s="1" t="str">
        <f>formatRow(Tokens!C$2:I$2,Tokens!C1024:I1024)</f>
        <v>"name":"In Casa #861",_x000D_
"symbol":"COR22D861",_x000D_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4" s="1" t="str">
        <f>formatRow(Tokens!J$2:AV$2,Tokens!J1024:AV1024,2,"attributes")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4" s="1" t="str">
        <f>formatRow(Tokens!AX$2:BC$2,Tokens!AX1024:BC1024,2,"creators")</f>
        <v>"creators":[{"address":"paul",_x000D_
"share":10},{"address":"sophie",_x000D_
"share":90}]</v>
      </c>
      <c r="Y1024" s="1" t="str">
        <f>formatRow(Tokens!BD$2:BI$2,Tokens!BD1024:BI1024,2,"files")</f>
        <v>"files":[]</v>
      </c>
      <c r="Z1024" s="1"/>
      <c r="AA1024" s="1"/>
      <c r="AB1024" s="1"/>
      <c r="AC1024" s="1" t="str">
        <f>formatRow(Tokens!BJ$2:BK$2,Tokens!BJ1024:BK1024,0,"collection")</f>
        <v>"collection":{"name":"In Casa",_x000D_
"family":"Calvi On The Rocks"}</v>
      </c>
    </row>
    <row r="1025" spans="5:29" ht="14.25" customHeight="1" x14ac:dyDescent="0.25">
      <c r="E1025" s="17" t="str">
        <f>IF(Tokens!C1025="","",Tokens!C1025)</f>
        <v>In Casa #862</v>
      </c>
      <c r="F1025" s="56"/>
      <c r="G1025" t="s">
        <v>164</v>
      </c>
      <c r="H1025" s="57" t="s">
        <v>165</v>
      </c>
      <c r="I1025" s="2" t="s">
        <v>166</v>
      </c>
      <c r="J1025" s="2" t="s">
        <v>167</v>
      </c>
      <c r="M1025" s="15"/>
      <c r="N1025">
        <v>6.9258811930000004</v>
      </c>
      <c r="O1025" s="15">
        <f t="shared" si="30"/>
        <v>0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1" t="str">
        <f>"owner=" &amp; Tokens!BS1025 &amp; "&amp;filename_for_metadata=" &amp; Tokens!BT1025 &amp; "&amp;offchaindata_platform=" &amp; $B$17 &amp; "&amp;keyfile=" &amp; $B$5 &amp; "&amp;network=" &amp; LOWER($B$8) &amp; "&amp;repository=" &amp; $B$18</f>
        <v>owner=thomas&amp;filename_for_metadata=InCasa_COR22D862&amp;offchaindata_platform=MongoDB&amp;keyfile=Paul&amp;network=jsonfiles&amp;repository=test</v>
      </c>
      <c r="U1025" s="1" t="str">
        <f t="shared" si="31"/>
        <v>{"name":"In Casa #862",_x000D_
"symbol":"COR22D862",_x000D_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5" s="1" t="str">
        <f>formatRow(Tokens!C$2:I$2,Tokens!C1025:I1025)</f>
        <v>"name":"In Casa #862",_x000D_
"symbol":"COR22D862",_x000D_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5" s="1" t="str">
        <f>formatRow(Tokens!J$2:AV$2,Tokens!J1025:AV1025,2,"attributes")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5" s="1" t="str">
        <f>formatRow(Tokens!AX$2:BC$2,Tokens!AX1025:BC1025,2,"creators")</f>
        <v>"creators":[{"address":"paul",_x000D_
"share":10},{"address":"sophie",_x000D_
"share":90}]</v>
      </c>
      <c r="Y1025" s="1" t="str">
        <f>formatRow(Tokens!BD$2:BI$2,Tokens!BD1025:BI1025,2,"files")</f>
        <v>"files":[]</v>
      </c>
      <c r="Z1025" s="1"/>
      <c r="AA1025" s="1"/>
      <c r="AB1025" s="1"/>
      <c r="AC1025" s="1" t="str">
        <f>formatRow(Tokens!BJ$2:BK$2,Tokens!BJ1025:BK1025,0,"collection")</f>
        <v>"collection":{"name":"In Casa",_x000D_
"family":"Calvi On The Rocks"}</v>
      </c>
    </row>
    <row r="1026" spans="5:29" ht="14.25" customHeight="1" x14ac:dyDescent="0.25">
      <c r="E1026" s="17" t="str">
        <f>IF(Tokens!C1026="","",Tokens!C1026)</f>
        <v>In Casa #863</v>
      </c>
      <c r="F1026" s="56"/>
      <c r="G1026" t="s">
        <v>164</v>
      </c>
      <c r="H1026" s="57" t="s">
        <v>165</v>
      </c>
      <c r="I1026" s="2" t="s">
        <v>166</v>
      </c>
      <c r="J1026" s="2" t="s">
        <v>167</v>
      </c>
      <c r="M1026" s="15"/>
      <c r="N1026">
        <v>6.9258811930000004</v>
      </c>
      <c r="O1026" s="15">
        <f t="shared" si="30"/>
        <v>0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1" t="str">
        <f>"owner=" &amp; Tokens!BS1026 &amp; "&amp;filename_for_metadata=" &amp; Tokens!BT1026 &amp; "&amp;offchaindata_platform=" &amp; $B$17 &amp; "&amp;keyfile=" &amp; $B$5 &amp; "&amp;network=" &amp; LOWER($B$8) &amp; "&amp;repository=" &amp; $B$18</f>
        <v>owner=thomas&amp;filename_for_metadata=InCasa_COR22D863&amp;offchaindata_platform=MongoDB&amp;keyfile=Paul&amp;network=jsonfiles&amp;repository=test</v>
      </c>
      <c r="U1026" s="1" t="str">
        <f t="shared" si="31"/>
        <v>{"name":"In Casa #863",_x000D_
"symbol":"COR22D863",_x000D_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6" s="1" t="str">
        <f>formatRow(Tokens!C$2:I$2,Tokens!C1026:I1026)</f>
        <v>"name":"In Casa #863",_x000D_
"symbol":"COR22D863",_x000D_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6" s="1" t="str">
        <f>formatRow(Tokens!J$2:AV$2,Tokens!J1026:AV1026,2,"attributes")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6" s="1" t="str">
        <f>formatRow(Tokens!AX$2:BC$2,Tokens!AX1026:BC1026,2,"creators")</f>
        <v>"creators":[{"address":"paul",_x000D_
"share":10},{"address":"sophie",_x000D_
"share":90}]</v>
      </c>
      <c r="Y1026" s="1" t="str">
        <f>formatRow(Tokens!BD$2:BI$2,Tokens!BD1026:BI1026,2,"files")</f>
        <v>"files":[]</v>
      </c>
      <c r="Z1026" s="1"/>
      <c r="AA1026" s="1"/>
      <c r="AB1026" s="1"/>
      <c r="AC1026" s="1" t="str">
        <f>formatRow(Tokens!BJ$2:BK$2,Tokens!BJ1026:BK1026,0,"collection")</f>
        <v>"collection":{"name":"In Casa",_x000D_
"family":"Calvi On The Rocks"}</v>
      </c>
    </row>
    <row r="1027" spans="5:29" ht="14.25" customHeight="1" x14ac:dyDescent="0.25">
      <c r="E1027" s="17" t="str">
        <f>IF(Tokens!C1027="","",Tokens!C1027)</f>
        <v>In Casa #864</v>
      </c>
      <c r="F1027" s="56"/>
      <c r="G1027" t="s">
        <v>164</v>
      </c>
      <c r="H1027" s="57" t="s">
        <v>165</v>
      </c>
      <c r="I1027" s="2" t="s">
        <v>166</v>
      </c>
      <c r="J1027" s="2" t="s">
        <v>167</v>
      </c>
      <c r="M1027" s="15"/>
      <c r="N1027">
        <v>6.9258811930000004</v>
      </c>
      <c r="O1027" s="15">
        <f t="shared" si="30"/>
        <v>0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1" t="str">
        <f>"owner=" &amp; Tokens!BS1027 &amp; "&amp;filename_for_metadata=" &amp; Tokens!BT1027 &amp; "&amp;offchaindata_platform=" &amp; $B$17 &amp; "&amp;keyfile=" &amp; $B$5 &amp; "&amp;network=" &amp; LOWER($B$8) &amp; "&amp;repository=" &amp; $B$18</f>
        <v>owner=thomas&amp;filename_for_metadata=InCasa_COR22D864&amp;offchaindata_platform=MongoDB&amp;keyfile=Paul&amp;network=jsonfiles&amp;repository=test</v>
      </c>
      <c r="U1027" s="1" t="str">
        <f t="shared" si="31"/>
        <v>{"name":"In Casa #864",_x000D_
"symbol":"COR22D864",_x000D_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7" s="1" t="str">
        <f>formatRow(Tokens!C$2:I$2,Tokens!C1027:I1027)</f>
        <v>"name":"In Casa #864",_x000D_
"symbol":"COR22D864",_x000D_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7" s="1" t="str">
        <f>formatRow(Tokens!J$2:AV$2,Tokens!J1027:AV1027,2,"attributes")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7" s="1" t="str">
        <f>formatRow(Tokens!AX$2:BC$2,Tokens!AX1027:BC1027,2,"creators")</f>
        <v>"creators":[{"address":"paul",_x000D_
"share":10},{"address":"sophie",_x000D_
"share":90}]</v>
      </c>
      <c r="Y1027" s="1" t="str">
        <f>formatRow(Tokens!BD$2:BI$2,Tokens!BD1027:BI1027,2,"files")</f>
        <v>"files":[]</v>
      </c>
      <c r="Z1027" s="1"/>
      <c r="AA1027" s="1"/>
      <c r="AB1027" s="1"/>
      <c r="AC1027" s="1" t="str">
        <f>formatRow(Tokens!BJ$2:BK$2,Tokens!BJ1027:BK1027,0,"collection")</f>
        <v>"collection":{"name":"In Casa",_x000D_
"family":"Calvi On The Rocks"}</v>
      </c>
    </row>
    <row r="1028" spans="5:29" ht="14.25" customHeight="1" x14ac:dyDescent="0.25">
      <c r="E1028" s="17" t="str">
        <f>IF(Tokens!C1028="","",Tokens!C1028)</f>
        <v>In Casa #865</v>
      </c>
      <c r="F1028" s="56"/>
      <c r="G1028" t="s">
        <v>164</v>
      </c>
      <c r="H1028" s="57" t="s">
        <v>165</v>
      </c>
      <c r="I1028" s="2" t="s">
        <v>166</v>
      </c>
      <c r="J1028" s="2" t="s">
        <v>167</v>
      </c>
      <c r="M1028" s="15"/>
      <c r="N1028">
        <v>6.9258811930000004</v>
      </c>
      <c r="O1028" s="15">
        <f t="shared" ref="O1028:O1091" si="32">IF(AND(ISNUMBER(N1027),ISNUMBER(N1028)),(N1028-N1027)*$O$1,"_")</f>
        <v>0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1" t="str">
        <f>"owner=" &amp; Tokens!BS1028 &amp; "&amp;filename_for_metadata=" &amp; Tokens!BT1028 &amp; "&amp;offchaindata_platform=" &amp; $B$17 &amp; "&amp;keyfile=" &amp; $B$5 &amp; "&amp;network=" &amp; LOWER($B$8) &amp; "&amp;repository=" &amp; $B$18</f>
        <v>owner=thomas&amp;filename_for_metadata=InCasa_COR22D865&amp;offchaindata_platform=MongoDB&amp;keyfile=Paul&amp;network=jsonfiles&amp;repository=test</v>
      </c>
      <c r="U1028" s="1" t="str">
        <f t="shared" si="31"/>
        <v>{"name":"In Casa #865",_x000D_
"symbol":"COR22D865",_x000D_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8" s="1" t="str">
        <f>formatRow(Tokens!C$2:I$2,Tokens!C1028:I1028)</f>
        <v>"name":"In Casa #865",_x000D_
"symbol":"COR22D865",_x000D_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8" s="1" t="str">
        <f>formatRow(Tokens!J$2:AV$2,Tokens!J1028:AV1028,2,"attributes")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8" s="1" t="str">
        <f>formatRow(Tokens!AX$2:BC$2,Tokens!AX1028:BC1028,2,"creators")</f>
        <v>"creators":[{"address":"paul",_x000D_
"share":10},{"address":"sophie",_x000D_
"share":90}]</v>
      </c>
      <c r="Y1028" s="1" t="str">
        <f>formatRow(Tokens!BD$2:BI$2,Tokens!BD1028:BI1028,2,"files")</f>
        <v>"files":[]</v>
      </c>
      <c r="Z1028" s="1"/>
      <c r="AA1028" s="1"/>
      <c r="AB1028" s="1"/>
      <c r="AC1028" s="1" t="str">
        <f>formatRow(Tokens!BJ$2:BK$2,Tokens!BJ1028:BK1028,0,"collection")</f>
        <v>"collection":{"name":"In Casa",_x000D_
"family":"Calvi On The Rocks"}</v>
      </c>
    </row>
    <row r="1029" spans="5:29" ht="14.25" customHeight="1" x14ac:dyDescent="0.25">
      <c r="E1029" s="17" t="str">
        <f>IF(Tokens!C1029="","",Tokens!C1029)</f>
        <v>In Casa #866</v>
      </c>
      <c r="F1029" s="56"/>
      <c r="G1029" t="s">
        <v>164</v>
      </c>
      <c r="H1029" s="57" t="s">
        <v>165</v>
      </c>
      <c r="I1029" s="2" t="s">
        <v>166</v>
      </c>
      <c r="J1029" s="2" t="s">
        <v>167</v>
      </c>
      <c r="M1029" s="15"/>
      <c r="N1029">
        <v>6.9258811930000004</v>
      </c>
      <c r="O1029" s="15">
        <f t="shared" si="32"/>
        <v>0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1" t="str">
        <f>"owner=" &amp; Tokens!BS1029 &amp; "&amp;filename_for_metadata=" &amp; Tokens!BT1029 &amp; "&amp;offchaindata_platform=" &amp; $B$17 &amp; "&amp;keyfile=" &amp; $B$5 &amp; "&amp;network=" &amp; LOWER($B$8) &amp; "&amp;repository=" &amp; $B$18</f>
        <v>owner=thomas&amp;filename_for_metadata=InCasa_COR22D866&amp;offchaindata_platform=MongoDB&amp;keyfile=Paul&amp;network=jsonfiles&amp;repository=test</v>
      </c>
      <c r="U1029" s="1" t="str">
        <f t="shared" ref="U1029:U1092" si="33">"{" &amp; V1029 &amp; "," &amp; W1029 &amp; "," &amp; """properties"":{" &amp; X1029 &amp; "," &amp; Y1029 &amp; "}," &amp; AC1029 &amp; "}"</f>
        <v>{"name":"In Casa #866",_x000D_
"symbol":"COR22D866",_x000D_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29" s="1" t="str">
        <f>formatRow(Tokens!C$2:I$2,Tokens!C1029:I1029)</f>
        <v>"name":"In Casa #866",_x000D_
"symbol":"COR22D866",_x000D_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29" s="1" t="str">
        <f>formatRow(Tokens!J$2:AV$2,Tokens!J1029:AV1029,2,"attributes")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29" s="1" t="str">
        <f>formatRow(Tokens!AX$2:BC$2,Tokens!AX1029:BC1029,2,"creators")</f>
        <v>"creators":[{"address":"paul",_x000D_
"share":10},{"address":"sophie",_x000D_
"share":90}]</v>
      </c>
      <c r="Y1029" s="1" t="str">
        <f>formatRow(Tokens!BD$2:BI$2,Tokens!BD1029:BI1029,2,"files")</f>
        <v>"files":[]</v>
      </c>
      <c r="Z1029" s="1"/>
      <c r="AA1029" s="1"/>
      <c r="AB1029" s="1"/>
      <c r="AC1029" s="1" t="str">
        <f>formatRow(Tokens!BJ$2:BK$2,Tokens!BJ1029:BK1029,0,"collection")</f>
        <v>"collection":{"name":"In Casa",_x000D_
"family":"Calvi On The Rocks"}</v>
      </c>
    </row>
    <row r="1030" spans="5:29" ht="14.25" customHeight="1" x14ac:dyDescent="0.25">
      <c r="E1030" s="17" t="str">
        <f>IF(Tokens!C1030="","",Tokens!C1030)</f>
        <v>In Casa #867</v>
      </c>
      <c r="F1030" s="56"/>
      <c r="G1030" t="s">
        <v>164</v>
      </c>
      <c r="H1030" s="57" t="s">
        <v>165</v>
      </c>
      <c r="I1030" s="2" t="s">
        <v>166</v>
      </c>
      <c r="J1030" s="2" t="s">
        <v>167</v>
      </c>
      <c r="M1030" s="15"/>
      <c r="N1030">
        <v>6.9258811930000004</v>
      </c>
      <c r="O1030" s="15">
        <f t="shared" si="32"/>
        <v>0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1" t="str">
        <f>"owner=" &amp; Tokens!BS1030 &amp; "&amp;filename_for_metadata=" &amp; Tokens!BT1030 &amp; "&amp;offchaindata_platform=" &amp; $B$17 &amp; "&amp;keyfile=" &amp; $B$5 &amp; "&amp;network=" &amp; LOWER($B$8) &amp; "&amp;repository=" &amp; $B$18</f>
        <v>owner=thomas&amp;filename_for_metadata=InCasa_COR22D867&amp;offchaindata_platform=MongoDB&amp;keyfile=Paul&amp;network=jsonfiles&amp;repository=test</v>
      </c>
      <c r="U1030" s="1" t="str">
        <f t="shared" si="33"/>
        <v>{"name":"In Casa #867",_x000D_
"symbol":"COR22D867",_x000D_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0" s="1" t="str">
        <f>formatRow(Tokens!C$2:I$2,Tokens!C1030:I1030)</f>
        <v>"name":"In Casa #867",_x000D_
"symbol":"COR22D867",_x000D_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0" s="1" t="str">
        <f>formatRow(Tokens!J$2:AV$2,Tokens!J1030:AV1030,2,"attributes")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0" s="1" t="str">
        <f>formatRow(Tokens!AX$2:BC$2,Tokens!AX1030:BC1030,2,"creators")</f>
        <v>"creators":[{"address":"paul",_x000D_
"share":10},{"address":"sophie",_x000D_
"share":90}]</v>
      </c>
      <c r="Y1030" s="1" t="str">
        <f>formatRow(Tokens!BD$2:BI$2,Tokens!BD1030:BI1030,2,"files")</f>
        <v>"files":[]</v>
      </c>
      <c r="Z1030" s="1"/>
      <c r="AA1030" s="1"/>
      <c r="AB1030" s="1"/>
      <c r="AC1030" s="1" t="str">
        <f>formatRow(Tokens!BJ$2:BK$2,Tokens!BJ1030:BK1030,0,"collection")</f>
        <v>"collection":{"name":"In Casa",_x000D_
"family":"Calvi On The Rocks"}</v>
      </c>
    </row>
    <row r="1031" spans="5:29" ht="14.25" customHeight="1" x14ac:dyDescent="0.25">
      <c r="E1031" s="17" t="str">
        <f>IF(Tokens!C1031="","",Tokens!C1031)</f>
        <v>In Casa #868</v>
      </c>
      <c r="F1031" s="56"/>
      <c r="G1031" t="s">
        <v>164</v>
      </c>
      <c r="H1031" s="57" t="s">
        <v>165</v>
      </c>
      <c r="I1031" s="2" t="s">
        <v>166</v>
      </c>
      <c r="J1031" s="2" t="s">
        <v>167</v>
      </c>
      <c r="M1031" s="15"/>
      <c r="N1031">
        <v>6.9258811930000004</v>
      </c>
      <c r="O1031" s="15">
        <f t="shared" si="32"/>
        <v>0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1" t="str">
        <f>"owner=" &amp; Tokens!BS1031 &amp; "&amp;filename_for_metadata=" &amp; Tokens!BT1031 &amp; "&amp;offchaindata_platform=" &amp; $B$17 &amp; "&amp;keyfile=" &amp; $B$5 &amp; "&amp;network=" &amp; LOWER($B$8) &amp; "&amp;repository=" &amp; $B$18</f>
        <v>owner=thomas&amp;filename_for_metadata=InCasa_COR22D868&amp;offchaindata_platform=MongoDB&amp;keyfile=Paul&amp;network=jsonfiles&amp;repository=test</v>
      </c>
      <c r="U1031" s="1" t="str">
        <f t="shared" si="33"/>
        <v>{"name":"In Casa #868",_x000D_
"symbol":"COR22D868",_x000D_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1" s="1" t="str">
        <f>formatRow(Tokens!C$2:I$2,Tokens!C1031:I1031)</f>
        <v>"name":"In Casa #868",_x000D_
"symbol":"COR22D868",_x000D_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1" s="1" t="str">
        <f>formatRow(Tokens!J$2:AV$2,Tokens!J1031:AV1031,2,"attributes")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1" s="1" t="str">
        <f>formatRow(Tokens!AX$2:BC$2,Tokens!AX1031:BC1031,2,"creators")</f>
        <v>"creators":[{"address":"paul",_x000D_
"share":10},{"address":"sophie",_x000D_
"share":90}]</v>
      </c>
      <c r="Y1031" s="1" t="str">
        <f>formatRow(Tokens!BD$2:BI$2,Tokens!BD1031:BI1031,2,"files")</f>
        <v>"files":[]</v>
      </c>
      <c r="Z1031" s="1"/>
      <c r="AA1031" s="1"/>
      <c r="AB1031" s="1"/>
      <c r="AC1031" s="1" t="str">
        <f>formatRow(Tokens!BJ$2:BK$2,Tokens!BJ1031:BK1031,0,"collection")</f>
        <v>"collection":{"name":"In Casa",_x000D_
"family":"Calvi On The Rocks"}</v>
      </c>
    </row>
    <row r="1032" spans="5:29" ht="14.25" customHeight="1" x14ac:dyDescent="0.25">
      <c r="E1032" s="17" t="str">
        <f>IF(Tokens!C1032="","",Tokens!C1032)</f>
        <v>In Casa #869</v>
      </c>
      <c r="F1032" s="56"/>
      <c r="G1032" t="s">
        <v>164</v>
      </c>
      <c r="H1032" s="57" t="s">
        <v>165</v>
      </c>
      <c r="I1032" s="2" t="s">
        <v>166</v>
      </c>
      <c r="J1032" s="2" t="s">
        <v>167</v>
      </c>
      <c r="M1032" s="15"/>
      <c r="N1032">
        <v>6.9258811930000004</v>
      </c>
      <c r="O1032" s="15">
        <f t="shared" si="32"/>
        <v>0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1" t="str">
        <f>"owner=" &amp; Tokens!BS1032 &amp; "&amp;filename_for_metadata=" &amp; Tokens!BT1032 &amp; "&amp;offchaindata_platform=" &amp; $B$17 &amp; "&amp;keyfile=" &amp; $B$5 &amp; "&amp;network=" &amp; LOWER($B$8) &amp; "&amp;repository=" &amp; $B$18</f>
        <v>owner=thomas&amp;filename_for_metadata=InCasa_COR22D869&amp;offchaindata_platform=MongoDB&amp;keyfile=Paul&amp;network=jsonfiles&amp;repository=test</v>
      </c>
      <c r="U1032" s="1" t="str">
        <f t="shared" si="33"/>
        <v>{"name":"In Casa #869",_x000D_
"symbol":"COR22D869",_x000D_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2" s="1" t="str">
        <f>formatRow(Tokens!C$2:I$2,Tokens!C1032:I1032)</f>
        <v>"name":"In Casa #869",_x000D_
"symbol":"COR22D869",_x000D_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2" s="1" t="str">
        <f>formatRow(Tokens!J$2:AV$2,Tokens!J1032:AV1032,2,"attributes")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2" s="1" t="str">
        <f>formatRow(Tokens!AX$2:BC$2,Tokens!AX1032:BC1032,2,"creators")</f>
        <v>"creators":[{"address":"paul",_x000D_
"share":10},{"address":"sophie",_x000D_
"share":90}]</v>
      </c>
      <c r="Y1032" s="1" t="str">
        <f>formatRow(Tokens!BD$2:BI$2,Tokens!BD1032:BI1032,2,"files")</f>
        <v>"files":[]</v>
      </c>
      <c r="Z1032" s="1"/>
      <c r="AA1032" s="1"/>
      <c r="AB1032" s="1"/>
      <c r="AC1032" s="1" t="str">
        <f>formatRow(Tokens!BJ$2:BK$2,Tokens!BJ1032:BK1032,0,"collection")</f>
        <v>"collection":{"name":"In Casa",_x000D_
"family":"Calvi On The Rocks"}</v>
      </c>
    </row>
    <row r="1033" spans="5:29" ht="14.25" customHeight="1" x14ac:dyDescent="0.25">
      <c r="E1033" s="17" t="str">
        <f>IF(Tokens!C1033="","",Tokens!C1033)</f>
        <v>In Casa #870</v>
      </c>
      <c r="F1033" s="56"/>
      <c r="G1033" t="s">
        <v>164</v>
      </c>
      <c r="H1033" s="57" t="s">
        <v>165</v>
      </c>
      <c r="I1033" s="2" t="s">
        <v>166</v>
      </c>
      <c r="J1033" s="2" t="s">
        <v>167</v>
      </c>
      <c r="M1033" s="15"/>
      <c r="N1033">
        <v>6.9258811930000004</v>
      </c>
      <c r="O1033" s="15">
        <f t="shared" si="32"/>
        <v>0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1" t="str">
        <f>"owner=" &amp; Tokens!BS1033 &amp; "&amp;filename_for_metadata=" &amp; Tokens!BT1033 &amp; "&amp;offchaindata_platform=" &amp; $B$17 &amp; "&amp;keyfile=" &amp; $B$5 &amp; "&amp;network=" &amp; LOWER($B$8) &amp; "&amp;repository=" &amp; $B$18</f>
        <v>owner=thomas&amp;filename_for_metadata=InCasa_COR22D870&amp;offchaindata_platform=MongoDB&amp;keyfile=Paul&amp;network=jsonfiles&amp;repository=test</v>
      </c>
      <c r="U1033" s="1" t="str">
        <f t="shared" si="33"/>
        <v>{"name":"In Casa #870",_x000D_
"symbol":"COR22D870",_x000D_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3" s="1" t="str">
        <f>formatRow(Tokens!C$2:I$2,Tokens!C1033:I1033)</f>
        <v>"name":"In Casa #870",_x000D_
"symbol":"COR22D870",_x000D_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3" s="1" t="str">
        <f>formatRow(Tokens!J$2:AV$2,Tokens!J1033:AV1033,2,"attributes")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3" s="1" t="str">
        <f>formatRow(Tokens!AX$2:BC$2,Tokens!AX1033:BC1033,2,"creators")</f>
        <v>"creators":[{"address":"paul",_x000D_
"share":10},{"address":"sophie",_x000D_
"share":90}]</v>
      </c>
      <c r="Y1033" s="1" t="str">
        <f>formatRow(Tokens!BD$2:BI$2,Tokens!BD1033:BI1033,2,"files")</f>
        <v>"files":[]</v>
      </c>
      <c r="Z1033" s="1"/>
      <c r="AA1033" s="1"/>
      <c r="AB1033" s="1"/>
      <c r="AC1033" s="1" t="str">
        <f>formatRow(Tokens!BJ$2:BK$2,Tokens!BJ1033:BK1033,0,"collection")</f>
        <v>"collection":{"name":"In Casa",_x000D_
"family":"Calvi On The Rocks"}</v>
      </c>
    </row>
    <row r="1034" spans="5:29" ht="14.25" customHeight="1" x14ac:dyDescent="0.25">
      <c r="E1034" s="17" t="str">
        <f>IF(Tokens!C1034="","",Tokens!C1034)</f>
        <v>In Casa #871</v>
      </c>
      <c r="F1034" s="56"/>
      <c r="G1034" t="s">
        <v>164</v>
      </c>
      <c r="H1034" s="57" t="s">
        <v>165</v>
      </c>
      <c r="I1034" s="2" t="s">
        <v>166</v>
      </c>
      <c r="J1034" s="2" t="s">
        <v>167</v>
      </c>
      <c r="M1034" s="15"/>
      <c r="N1034">
        <v>6.9258811930000004</v>
      </c>
      <c r="O1034" s="15">
        <f t="shared" si="32"/>
        <v>0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1" t="str">
        <f>"owner=" &amp; Tokens!BS1034 &amp; "&amp;filename_for_metadata=" &amp; Tokens!BT1034 &amp; "&amp;offchaindata_platform=" &amp; $B$17 &amp; "&amp;keyfile=" &amp; $B$5 &amp; "&amp;network=" &amp; LOWER($B$8) &amp; "&amp;repository=" &amp; $B$18</f>
        <v>owner=thomas&amp;filename_for_metadata=InCasa_COR22D871&amp;offchaindata_platform=MongoDB&amp;keyfile=Paul&amp;network=jsonfiles&amp;repository=test</v>
      </c>
      <c r="U1034" s="1" t="str">
        <f t="shared" si="33"/>
        <v>{"name":"In Casa #871",_x000D_
"symbol":"COR22D871",_x000D_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4" s="1" t="str">
        <f>formatRow(Tokens!C$2:I$2,Tokens!C1034:I1034)</f>
        <v>"name":"In Casa #871",_x000D_
"symbol":"COR22D871",_x000D_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4" s="1" t="str">
        <f>formatRow(Tokens!J$2:AV$2,Tokens!J1034:AV1034,2,"attributes")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4" s="1" t="str">
        <f>formatRow(Tokens!AX$2:BC$2,Tokens!AX1034:BC1034,2,"creators")</f>
        <v>"creators":[{"address":"paul",_x000D_
"share":10},{"address":"sophie",_x000D_
"share":90}]</v>
      </c>
      <c r="Y1034" s="1" t="str">
        <f>formatRow(Tokens!BD$2:BI$2,Tokens!BD1034:BI1034,2,"files")</f>
        <v>"files":[]</v>
      </c>
      <c r="Z1034" s="1"/>
      <c r="AA1034" s="1"/>
      <c r="AB1034" s="1"/>
      <c r="AC1034" s="1" t="str">
        <f>formatRow(Tokens!BJ$2:BK$2,Tokens!BJ1034:BK1034,0,"collection")</f>
        <v>"collection":{"name":"In Casa",_x000D_
"family":"Calvi On The Rocks"}</v>
      </c>
    </row>
    <row r="1035" spans="5:29" ht="14.25" customHeight="1" x14ac:dyDescent="0.25">
      <c r="E1035" s="17" t="str">
        <f>IF(Tokens!C1035="","",Tokens!C1035)</f>
        <v>In Casa #872</v>
      </c>
      <c r="F1035" s="56"/>
      <c r="G1035" t="s">
        <v>164</v>
      </c>
      <c r="H1035" s="57" t="s">
        <v>165</v>
      </c>
      <c r="I1035" s="2" t="s">
        <v>166</v>
      </c>
      <c r="J1035" s="2" t="s">
        <v>167</v>
      </c>
      <c r="M1035" s="15"/>
      <c r="N1035">
        <v>6.9258811930000004</v>
      </c>
      <c r="O1035" s="15">
        <f t="shared" si="32"/>
        <v>0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1" t="str">
        <f>"owner=" &amp; Tokens!BS1035 &amp; "&amp;filename_for_metadata=" &amp; Tokens!BT1035 &amp; "&amp;offchaindata_platform=" &amp; $B$17 &amp; "&amp;keyfile=" &amp; $B$5 &amp; "&amp;network=" &amp; LOWER($B$8) &amp; "&amp;repository=" &amp; $B$18</f>
        <v>owner=thomas&amp;filename_for_metadata=InCasa_COR22D872&amp;offchaindata_platform=MongoDB&amp;keyfile=Paul&amp;network=jsonfiles&amp;repository=test</v>
      </c>
      <c r="U1035" s="1" t="str">
        <f t="shared" si="33"/>
        <v>{"name":"In Casa #872",_x000D_
"symbol":"COR22D872",_x000D_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5" s="1" t="str">
        <f>formatRow(Tokens!C$2:I$2,Tokens!C1035:I1035)</f>
        <v>"name":"In Casa #872",_x000D_
"symbol":"COR22D872",_x000D_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5" s="1" t="str">
        <f>formatRow(Tokens!J$2:AV$2,Tokens!J1035:AV1035,2,"attributes")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5" s="1" t="str">
        <f>formatRow(Tokens!AX$2:BC$2,Tokens!AX1035:BC1035,2,"creators")</f>
        <v>"creators":[{"address":"paul",_x000D_
"share":10},{"address":"sophie",_x000D_
"share":90}]</v>
      </c>
      <c r="Y1035" s="1" t="str">
        <f>formatRow(Tokens!BD$2:BI$2,Tokens!BD1035:BI1035,2,"files")</f>
        <v>"files":[]</v>
      </c>
      <c r="Z1035" s="1"/>
      <c r="AA1035" s="1"/>
      <c r="AB1035" s="1"/>
      <c r="AC1035" s="1" t="str">
        <f>formatRow(Tokens!BJ$2:BK$2,Tokens!BJ1035:BK1035,0,"collection")</f>
        <v>"collection":{"name":"In Casa",_x000D_
"family":"Calvi On The Rocks"}</v>
      </c>
    </row>
    <row r="1036" spans="5:29" ht="14.25" customHeight="1" x14ac:dyDescent="0.25">
      <c r="E1036" s="17" t="str">
        <f>IF(Tokens!C1036="","",Tokens!C1036)</f>
        <v>In Casa #873</v>
      </c>
      <c r="F1036" s="56"/>
      <c r="G1036" t="s">
        <v>164</v>
      </c>
      <c r="H1036" s="57" t="s">
        <v>165</v>
      </c>
      <c r="I1036" s="2" t="s">
        <v>166</v>
      </c>
      <c r="J1036" s="2" t="s">
        <v>167</v>
      </c>
      <c r="M1036" s="15"/>
      <c r="N1036">
        <v>6.9258811930000004</v>
      </c>
      <c r="O1036" s="15">
        <f t="shared" si="32"/>
        <v>0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1" t="str">
        <f>"owner=" &amp; Tokens!BS1036 &amp; "&amp;filename_for_metadata=" &amp; Tokens!BT1036 &amp; "&amp;offchaindata_platform=" &amp; $B$17 &amp; "&amp;keyfile=" &amp; $B$5 &amp; "&amp;network=" &amp; LOWER($B$8) &amp; "&amp;repository=" &amp; $B$18</f>
        <v>owner=thomas&amp;filename_for_metadata=InCasa_COR22D873&amp;offchaindata_platform=MongoDB&amp;keyfile=Paul&amp;network=jsonfiles&amp;repository=test</v>
      </c>
      <c r="U1036" s="1" t="str">
        <f t="shared" si="33"/>
        <v>{"name":"In Casa #873",_x000D_
"symbol":"COR22D873",_x000D_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6" s="1" t="str">
        <f>formatRow(Tokens!C$2:I$2,Tokens!C1036:I1036)</f>
        <v>"name":"In Casa #873",_x000D_
"symbol":"COR22D873",_x000D_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6" s="1" t="str">
        <f>formatRow(Tokens!J$2:AV$2,Tokens!J1036:AV1036,2,"attributes")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6" s="1" t="str">
        <f>formatRow(Tokens!AX$2:BC$2,Tokens!AX1036:BC1036,2,"creators")</f>
        <v>"creators":[{"address":"paul",_x000D_
"share":10},{"address":"sophie",_x000D_
"share":90}]</v>
      </c>
      <c r="Y1036" s="1" t="str">
        <f>formatRow(Tokens!BD$2:BI$2,Tokens!BD1036:BI1036,2,"files")</f>
        <v>"files":[]</v>
      </c>
      <c r="Z1036" s="1"/>
      <c r="AA1036" s="1"/>
      <c r="AB1036" s="1"/>
      <c r="AC1036" s="1" t="str">
        <f>formatRow(Tokens!BJ$2:BK$2,Tokens!BJ1036:BK1036,0,"collection")</f>
        <v>"collection":{"name":"In Casa",_x000D_
"family":"Calvi On The Rocks"}</v>
      </c>
    </row>
    <row r="1037" spans="5:29" ht="14.25" customHeight="1" x14ac:dyDescent="0.25">
      <c r="E1037" s="17" t="str">
        <f>IF(Tokens!C1037="","",Tokens!C1037)</f>
        <v>In Casa #874</v>
      </c>
      <c r="F1037" s="56"/>
      <c r="G1037" t="s">
        <v>164</v>
      </c>
      <c r="H1037" s="57" t="s">
        <v>165</v>
      </c>
      <c r="I1037" s="2" t="s">
        <v>166</v>
      </c>
      <c r="J1037" s="2" t="s">
        <v>167</v>
      </c>
      <c r="M1037" s="15"/>
      <c r="N1037">
        <v>6.9258811930000004</v>
      </c>
      <c r="O1037" s="15">
        <f t="shared" si="32"/>
        <v>0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1" t="str">
        <f>"owner=" &amp; Tokens!BS1037 &amp; "&amp;filename_for_metadata=" &amp; Tokens!BT1037 &amp; "&amp;offchaindata_platform=" &amp; $B$17 &amp; "&amp;keyfile=" &amp; $B$5 &amp; "&amp;network=" &amp; LOWER($B$8) &amp; "&amp;repository=" &amp; $B$18</f>
        <v>owner=thomas&amp;filename_for_metadata=InCasa_COR22D874&amp;offchaindata_platform=MongoDB&amp;keyfile=Paul&amp;network=jsonfiles&amp;repository=test</v>
      </c>
      <c r="U1037" s="1" t="str">
        <f t="shared" si="33"/>
        <v>{"name":"In Casa #874",_x000D_
"symbol":"COR22D874",_x000D_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7" s="1" t="str">
        <f>formatRow(Tokens!C$2:I$2,Tokens!C1037:I1037)</f>
        <v>"name":"In Casa #874",_x000D_
"symbol":"COR22D874",_x000D_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7" s="1" t="str">
        <f>formatRow(Tokens!J$2:AV$2,Tokens!J1037:AV1037,2,"attributes")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7" s="1" t="str">
        <f>formatRow(Tokens!AX$2:BC$2,Tokens!AX1037:BC1037,2,"creators")</f>
        <v>"creators":[{"address":"paul",_x000D_
"share":10},{"address":"sophie",_x000D_
"share":90}]</v>
      </c>
      <c r="Y1037" s="1" t="str">
        <f>formatRow(Tokens!BD$2:BI$2,Tokens!BD1037:BI1037,2,"files")</f>
        <v>"files":[]</v>
      </c>
      <c r="Z1037" s="1"/>
      <c r="AA1037" s="1"/>
      <c r="AB1037" s="1"/>
      <c r="AC1037" s="1" t="str">
        <f>formatRow(Tokens!BJ$2:BK$2,Tokens!BJ1037:BK1037,0,"collection")</f>
        <v>"collection":{"name":"In Casa",_x000D_
"family":"Calvi On The Rocks"}</v>
      </c>
    </row>
    <row r="1038" spans="5:29" ht="14.25" customHeight="1" x14ac:dyDescent="0.25">
      <c r="E1038" s="17" t="str">
        <f>IF(Tokens!C1038="","",Tokens!C1038)</f>
        <v>In Casa #875</v>
      </c>
      <c r="F1038" s="56"/>
      <c r="G1038" t="s">
        <v>164</v>
      </c>
      <c r="H1038" s="57" t="s">
        <v>165</v>
      </c>
      <c r="I1038" s="2" t="s">
        <v>166</v>
      </c>
      <c r="J1038" s="2" t="s">
        <v>167</v>
      </c>
      <c r="M1038" s="15"/>
      <c r="N1038">
        <v>6.9258811930000004</v>
      </c>
      <c r="O1038" s="15">
        <f t="shared" si="32"/>
        <v>0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1" t="str">
        <f>"owner=" &amp; Tokens!BS1038 &amp; "&amp;filename_for_metadata=" &amp; Tokens!BT1038 &amp; "&amp;offchaindata_platform=" &amp; $B$17 &amp; "&amp;keyfile=" &amp; $B$5 &amp; "&amp;network=" &amp; LOWER($B$8) &amp; "&amp;repository=" &amp; $B$18</f>
        <v>owner=thomas&amp;filename_for_metadata=InCasa_COR22D875&amp;offchaindata_platform=MongoDB&amp;keyfile=Paul&amp;network=jsonfiles&amp;repository=test</v>
      </c>
      <c r="U1038" s="1" t="str">
        <f t="shared" si="33"/>
        <v>{"name":"In Casa #875",_x000D_
"symbol":"COR22D875",_x000D_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8" s="1" t="str">
        <f>formatRow(Tokens!C$2:I$2,Tokens!C1038:I1038)</f>
        <v>"name":"In Casa #875",_x000D_
"symbol":"COR22D875",_x000D_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8" s="1" t="str">
        <f>formatRow(Tokens!J$2:AV$2,Tokens!J1038:AV1038,2,"attributes")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8" s="1" t="str">
        <f>formatRow(Tokens!AX$2:BC$2,Tokens!AX1038:BC1038,2,"creators")</f>
        <v>"creators":[{"address":"paul",_x000D_
"share":10},{"address":"sophie",_x000D_
"share":90}]</v>
      </c>
      <c r="Y1038" s="1" t="str">
        <f>formatRow(Tokens!BD$2:BI$2,Tokens!BD1038:BI1038,2,"files")</f>
        <v>"files":[]</v>
      </c>
      <c r="Z1038" s="1"/>
      <c r="AA1038" s="1"/>
      <c r="AB1038" s="1"/>
      <c r="AC1038" s="1" t="str">
        <f>formatRow(Tokens!BJ$2:BK$2,Tokens!BJ1038:BK1038,0,"collection")</f>
        <v>"collection":{"name":"In Casa",_x000D_
"family":"Calvi On The Rocks"}</v>
      </c>
    </row>
    <row r="1039" spans="5:29" ht="14.25" customHeight="1" x14ac:dyDescent="0.25">
      <c r="E1039" s="17" t="str">
        <f>IF(Tokens!C1039="","",Tokens!C1039)</f>
        <v>In Casa #876</v>
      </c>
      <c r="F1039" s="56"/>
      <c r="G1039" t="s">
        <v>164</v>
      </c>
      <c r="H1039" s="57" t="s">
        <v>165</v>
      </c>
      <c r="I1039" s="2" t="s">
        <v>166</v>
      </c>
      <c r="J1039" s="2" t="s">
        <v>167</v>
      </c>
      <c r="M1039" s="15"/>
      <c r="N1039">
        <v>6.9258811930000004</v>
      </c>
      <c r="O1039" s="15">
        <f t="shared" si="32"/>
        <v>0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1" t="str">
        <f>"owner=" &amp; Tokens!BS1039 &amp; "&amp;filename_for_metadata=" &amp; Tokens!BT1039 &amp; "&amp;offchaindata_platform=" &amp; $B$17 &amp; "&amp;keyfile=" &amp; $B$5 &amp; "&amp;network=" &amp; LOWER($B$8) &amp; "&amp;repository=" &amp; $B$18</f>
        <v>owner=thomas&amp;filename_for_metadata=InCasa_COR22D876&amp;offchaindata_platform=MongoDB&amp;keyfile=Paul&amp;network=jsonfiles&amp;repository=test</v>
      </c>
      <c r="U1039" s="1" t="str">
        <f t="shared" si="33"/>
        <v>{"name":"In Casa #876",_x000D_
"symbol":"COR22D876",_x000D_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39" s="1" t="str">
        <f>formatRow(Tokens!C$2:I$2,Tokens!C1039:I1039)</f>
        <v>"name":"In Casa #876",_x000D_
"symbol":"COR22D876",_x000D_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39" s="1" t="str">
        <f>formatRow(Tokens!J$2:AV$2,Tokens!J1039:AV1039,2,"attributes")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39" s="1" t="str">
        <f>formatRow(Tokens!AX$2:BC$2,Tokens!AX1039:BC1039,2,"creators")</f>
        <v>"creators":[{"address":"paul",_x000D_
"share":10},{"address":"sophie",_x000D_
"share":90}]</v>
      </c>
      <c r="Y1039" s="1" t="str">
        <f>formatRow(Tokens!BD$2:BI$2,Tokens!BD1039:BI1039,2,"files")</f>
        <v>"files":[]</v>
      </c>
      <c r="Z1039" s="1"/>
      <c r="AA1039" s="1"/>
      <c r="AB1039" s="1"/>
      <c r="AC1039" s="1" t="str">
        <f>formatRow(Tokens!BJ$2:BK$2,Tokens!BJ1039:BK1039,0,"collection")</f>
        <v>"collection":{"name":"In Casa",_x000D_
"family":"Calvi On The Rocks"}</v>
      </c>
    </row>
    <row r="1040" spans="5:29" ht="14.25" customHeight="1" x14ac:dyDescent="0.25">
      <c r="E1040" s="17" t="str">
        <f>IF(Tokens!C1040="","",Tokens!C1040)</f>
        <v>In Casa #877</v>
      </c>
      <c r="F1040" s="56"/>
      <c r="G1040" t="s">
        <v>164</v>
      </c>
      <c r="H1040" s="57" t="s">
        <v>165</v>
      </c>
      <c r="I1040" s="2" t="s">
        <v>166</v>
      </c>
      <c r="J1040" s="2" t="s">
        <v>167</v>
      </c>
      <c r="M1040" s="15"/>
      <c r="N1040">
        <v>6.9258811930000004</v>
      </c>
      <c r="O1040" s="15">
        <f t="shared" si="32"/>
        <v>0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1" t="str">
        <f>"owner=" &amp; Tokens!BS1040 &amp; "&amp;filename_for_metadata=" &amp; Tokens!BT1040 &amp; "&amp;offchaindata_platform=" &amp; $B$17 &amp; "&amp;keyfile=" &amp; $B$5 &amp; "&amp;network=" &amp; LOWER($B$8) &amp; "&amp;repository=" &amp; $B$18</f>
        <v>owner=thomas&amp;filename_for_metadata=InCasa_COR22D877&amp;offchaindata_platform=MongoDB&amp;keyfile=Paul&amp;network=jsonfiles&amp;repository=test</v>
      </c>
      <c r="U1040" s="1" t="str">
        <f t="shared" si="33"/>
        <v>{"name":"In Casa #877",_x000D_
"symbol":"COR22D877",_x000D_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0" s="1" t="str">
        <f>formatRow(Tokens!C$2:I$2,Tokens!C1040:I1040)</f>
        <v>"name":"In Casa #877",_x000D_
"symbol":"COR22D877",_x000D_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0" s="1" t="str">
        <f>formatRow(Tokens!J$2:AV$2,Tokens!J1040:AV1040,2,"attributes")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0" s="1" t="str">
        <f>formatRow(Tokens!AX$2:BC$2,Tokens!AX1040:BC1040,2,"creators")</f>
        <v>"creators":[{"address":"paul",_x000D_
"share":10},{"address":"sophie",_x000D_
"share":90}]</v>
      </c>
      <c r="Y1040" s="1" t="str">
        <f>formatRow(Tokens!BD$2:BI$2,Tokens!BD1040:BI1040,2,"files")</f>
        <v>"files":[]</v>
      </c>
      <c r="Z1040" s="1"/>
      <c r="AA1040" s="1"/>
      <c r="AB1040" s="1"/>
      <c r="AC1040" s="1" t="str">
        <f>formatRow(Tokens!BJ$2:BK$2,Tokens!BJ1040:BK1040,0,"collection")</f>
        <v>"collection":{"name":"In Casa",_x000D_
"family":"Calvi On The Rocks"}</v>
      </c>
    </row>
    <row r="1041" spans="5:29" ht="14.25" customHeight="1" x14ac:dyDescent="0.25">
      <c r="E1041" s="17" t="str">
        <f>IF(Tokens!C1041="","",Tokens!C1041)</f>
        <v>In Casa #878</v>
      </c>
      <c r="F1041" s="56"/>
      <c r="G1041" t="s">
        <v>164</v>
      </c>
      <c r="H1041" s="57" t="s">
        <v>165</v>
      </c>
      <c r="I1041" s="2" t="s">
        <v>166</v>
      </c>
      <c r="J1041" s="2" t="s">
        <v>167</v>
      </c>
      <c r="M1041" s="15"/>
      <c r="N1041">
        <v>6.9258811930000004</v>
      </c>
      <c r="O1041" s="15">
        <f t="shared" si="32"/>
        <v>0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1" t="str">
        <f>"owner=" &amp; Tokens!BS1041 &amp; "&amp;filename_for_metadata=" &amp; Tokens!BT1041 &amp; "&amp;offchaindata_platform=" &amp; $B$17 &amp; "&amp;keyfile=" &amp; $B$5 &amp; "&amp;network=" &amp; LOWER($B$8) &amp; "&amp;repository=" &amp; $B$18</f>
        <v>owner=thomas&amp;filename_for_metadata=InCasa_COR22D878&amp;offchaindata_platform=MongoDB&amp;keyfile=Paul&amp;network=jsonfiles&amp;repository=test</v>
      </c>
      <c r="U1041" s="1" t="str">
        <f t="shared" si="33"/>
        <v>{"name":"In Casa #878",_x000D_
"symbol":"COR22D878",_x000D_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1" s="1" t="str">
        <f>formatRow(Tokens!C$2:I$2,Tokens!C1041:I1041)</f>
        <v>"name":"In Casa #878",_x000D_
"symbol":"COR22D878",_x000D_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1" s="1" t="str">
        <f>formatRow(Tokens!J$2:AV$2,Tokens!J1041:AV1041,2,"attributes")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1" s="1" t="str">
        <f>formatRow(Tokens!AX$2:BC$2,Tokens!AX1041:BC1041,2,"creators")</f>
        <v>"creators":[{"address":"paul",_x000D_
"share":10},{"address":"sophie",_x000D_
"share":90}]</v>
      </c>
      <c r="Y1041" s="1" t="str">
        <f>formatRow(Tokens!BD$2:BI$2,Tokens!BD1041:BI1041,2,"files")</f>
        <v>"files":[]</v>
      </c>
      <c r="Z1041" s="1"/>
      <c r="AA1041" s="1"/>
      <c r="AB1041" s="1"/>
      <c r="AC1041" s="1" t="str">
        <f>formatRow(Tokens!BJ$2:BK$2,Tokens!BJ1041:BK1041,0,"collection")</f>
        <v>"collection":{"name":"In Casa",_x000D_
"family":"Calvi On The Rocks"}</v>
      </c>
    </row>
    <row r="1042" spans="5:29" ht="14.25" customHeight="1" x14ac:dyDescent="0.25">
      <c r="E1042" s="17" t="str">
        <f>IF(Tokens!C1042="","",Tokens!C1042)</f>
        <v>In Casa #879</v>
      </c>
      <c r="F1042" s="56"/>
      <c r="G1042" t="s">
        <v>164</v>
      </c>
      <c r="H1042" s="57" t="s">
        <v>165</v>
      </c>
      <c r="I1042" s="2" t="s">
        <v>166</v>
      </c>
      <c r="J1042" s="2" t="s">
        <v>167</v>
      </c>
      <c r="M1042" s="15"/>
      <c r="N1042">
        <v>6.9258811930000004</v>
      </c>
      <c r="O1042" s="15">
        <f t="shared" si="32"/>
        <v>0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1" t="str">
        <f>"owner=" &amp; Tokens!BS1042 &amp; "&amp;filename_for_metadata=" &amp; Tokens!BT1042 &amp; "&amp;offchaindata_platform=" &amp; $B$17 &amp; "&amp;keyfile=" &amp; $B$5 &amp; "&amp;network=" &amp; LOWER($B$8) &amp; "&amp;repository=" &amp; $B$18</f>
        <v>owner=thomas&amp;filename_for_metadata=InCasa_COR22D879&amp;offchaindata_platform=MongoDB&amp;keyfile=Paul&amp;network=jsonfiles&amp;repository=test</v>
      </c>
      <c r="U1042" s="1" t="str">
        <f t="shared" si="33"/>
        <v>{"name":"In Casa #879",_x000D_
"symbol":"COR22D879",_x000D_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2" s="1" t="str">
        <f>formatRow(Tokens!C$2:I$2,Tokens!C1042:I1042)</f>
        <v>"name":"In Casa #879",_x000D_
"symbol":"COR22D879",_x000D_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2" s="1" t="str">
        <f>formatRow(Tokens!J$2:AV$2,Tokens!J1042:AV1042,2,"attributes")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2" s="1" t="str">
        <f>formatRow(Tokens!AX$2:BC$2,Tokens!AX1042:BC1042,2,"creators")</f>
        <v>"creators":[{"address":"paul",_x000D_
"share":10},{"address":"sophie",_x000D_
"share":90}]</v>
      </c>
      <c r="Y1042" s="1" t="str">
        <f>formatRow(Tokens!BD$2:BI$2,Tokens!BD1042:BI1042,2,"files")</f>
        <v>"files":[]</v>
      </c>
      <c r="Z1042" s="1"/>
      <c r="AA1042" s="1"/>
      <c r="AB1042" s="1"/>
      <c r="AC1042" s="1" t="str">
        <f>formatRow(Tokens!BJ$2:BK$2,Tokens!BJ1042:BK1042,0,"collection")</f>
        <v>"collection":{"name":"In Casa",_x000D_
"family":"Calvi On The Rocks"}</v>
      </c>
    </row>
    <row r="1043" spans="5:29" ht="14.25" customHeight="1" x14ac:dyDescent="0.25">
      <c r="E1043" s="17" t="str">
        <f>IF(Tokens!C1043="","",Tokens!C1043)</f>
        <v>In Casa #880</v>
      </c>
      <c r="F1043" s="56"/>
      <c r="G1043" t="s">
        <v>164</v>
      </c>
      <c r="H1043" s="57" t="s">
        <v>165</v>
      </c>
      <c r="I1043" s="2" t="s">
        <v>166</v>
      </c>
      <c r="J1043" s="2" t="s">
        <v>167</v>
      </c>
      <c r="M1043" s="15"/>
      <c r="N1043">
        <v>6.9258811930000004</v>
      </c>
      <c r="O1043" s="15">
        <f t="shared" si="32"/>
        <v>0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1" t="str">
        <f>"owner=" &amp; Tokens!BS1043 &amp; "&amp;filename_for_metadata=" &amp; Tokens!BT1043 &amp; "&amp;offchaindata_platform=" &amp; $B$17 &amp; "&amp;keyfile=" &amp; $B$5 &amp; "&amp;network=" &amp; LOWER($B$8) &amp; "&amp;repository=" &amp; $B$18</f>
        <v>owner=thomas&amp;filename_for_metadata=InCasa_COR22D880&amp;offchaindata_platform=MongoDB&amp;keyfile=Paul&amp;network=jsonfiles&amp;repository=test</v>
      </c>
      <c r="U1043" s="1" t="str">
        <f t="shared" si="33"/>
        <v>{"name":"In Casa #880",_x000D_
"symbol":"COR22D880",_x000D_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3" s="1" t="str">
        <f>formatRow(Tokens!C$2:I$2,Tokens!C1043:I1043)</f>
        <v>"name":"In Casa #880",_x000D_
"symbol":"COR22D880",_x000D_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3" s="1" t="str">
        <f>formatRow(Tokens!J$2:AV$2,Tokens!J1043:AV1043,2,"attributes")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3" s="1" t="str">
        <f>formatRow(Tokens!AX$2:BC$2,Tokens!AX1043:BC1043,2,"creators")</f>
        <v>"creators":[{"address":"paul",_x000D_
"share":10},{"address":"sophie",_x000D_
"share":90}]</v>
      </c>
      <c r="Y1043" s="1" t="str">
        <f>formatRow(Tokens!BD$2:BI$2,Tokens!BD1043:BI1043,2,"files")</f>
        <v>"files":[]</v>
      </c>
      <c r="Z1043" s="1"/>
      <c r="AA1043" s="1"/>
      <c r="AB1043" s="1"/>
      <c r="AC1043" s="1" t="str">
        <f>formatRow(Tokens!BJ$2:BK$2,Tokens!BJ1043:BK1043,0,"collection")</f>
        <v>"collection":{"name":"In Casa",_x000D_
"family":"Calvi On The Rocks"}</v>
      </c>
    </row>
    <row r="1044" spans="5:29" ht="14.25" customHeight="1" x14ac:dyDescent="0.25">
      <c r="E1044" s="17" t="str">
        <f>IF(Tokens!C1044="","",Tokens!C1044)</f>
        <v>In Casa #881</v>
      </c>
      <c r="F1044" s="56"/>
      <c r="G1044" t="s">
        <v>164</v>
      </c>
      <c r="H1044" s="57" t="s">
        <v>165</v>
      </c>
      <c r="I1044" s="2" t="s">
        <v>166</v>
      </c>
      <c r="J1044" s="2" t="s">
        <v>167</v>
      </c>
      <c r="M1044" s="15"/>
      <c r="N1044">
        <v>6.9258811930000004</v>
      </c>
      <c r="O1044" s="15">
        <f t="shared" si="32"/>
        <v>0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1" t="str">
        <f>"owner=" &amp; Tokens!BS1044 &amp; "&amp;filename_for_metadata=" &amp; Tokens!BT1044 &amp; "&amp;offchaindata_platform=" &amp; $B$17 &amp; "&amp;keyfile=" &amp; $B$5 &amp; "&amp;network=" &amp; LOWER($B$8) &amp; "&amp;repository=" &amp; $B$18</f>
        <v>owner=thomas&amp;filename_for_metadata=InCasa_COR22D881&amp;offchaindata_platform=MongoDB&amp;keyfile=Paul&amp;network=jsonfiles&amp;repository=test</v>
      </c>
      <c r="U1044" s="1" t="str">
        <f t="shared" si="33"/>
        <v>{"name":"In Casa #881",_x000D_
"symbol":"COR22D881",_x000D_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4" s="1" t="str">
        <f>formatRow(Tokens!C$2:I$2,Tokens!C1044:I1044)</f>
        <v>"name":"In Casa #881",_x000D_
"symbol":"COR22D881",_x000D_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4" s="1" t="str">
        <f>formatRow(Tokens!J$2:AV$2,Tokens!J1044:AV1044,2,"attributes")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4" s="1" t="str">
        <f>formatRow(Tokens!AX$2:BC$2,Tokens!AX1044:BC1044,2,"creators")</f>
        <v>"creators":[{"address":"paul",_x000D_
"share":10},{"address":"sophie",_x000D_
"share":90}]</v>
      </c>
      <c r="Y1044" s="1" t="str">
        <f>formatRow(Tokens!BD$2:BI$2,Tokens!BD1044:BI1044,2,"files")</f>
        <v>"files":[]</v>
      </c>
      <c r="Z1044" s="1"/>
      <c r="AA1044" s="1"/>
      <c r="AB1044" s="1"/>
      <c r="AC1044" s="1" t="str">
        <f>formatRow(Tokens!BJ$2:BK$2,Tokens!BJ1044:BK1044,0,"collection")</f>
        <v>"collection":{"name":"In Casa",_x000D_
"family":"Calvi On The Rocks"}</v>
      </c>
    </row>
    <row r="1045" spans="5:29" ht="14.25" customHeight="1" x14ac:dyDescent="0.25">
      <c r="E1045" s="17" t="str">
        <f>IF(Tokens!C1045="","",Tokens!C1045)</f>
        <v>In Casa #882</v>
      </c>
      <c r="F1045" s="56"/>
      <c r="G1045" t="s">
        <v>164</v>
      </c>
      <c r="H1045" s="57" t="s">
        <v>165</v>
      </c>
      <c r="I1045" s="2" t="s">
        <v>166</v>
      </c>
      <c r="J1045" s="2" t="s">
        <v>167</v>
      </c>
      <c r="M1045" s="15"/>
      <c r="N1045">
        <v>6.9258811930000004</v>
      </c>
      <c r="O1045" s="15">
        <f t="shared" si="32"/>
        <v>0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1" t="str">
        <f>"owner=" &amp; Tokens!BS1045 &amp; "&amp;filename_for_metadata=" &amp; Tokens!BT1045 &amp; "&amp;offchaindata_platform=" &amp; $B$17 &amp; "&amp;keyfile=" &amp; $B$5 &amp; "&amp;network=" &amp; LOWER($B$8) &amp; "&amp;repository=" &amp; $B$18</f>
        <v>owner=thomas&amp;filename_for_metadata=InCasa_COR22D882&amp;offchaindata_platform=MongoDB&amp;keyfile=Paul&amp;network=jsonfiles&amp;repository=test</v>
      </c>
      <c r="U1045" s="1" t="str">
        <f t="shared" si="33"/>
        <v>{"name":"In Casa #882",_x000D_
"symbol":"COR22D882",_x000D_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5" s="1" t="str">
        <f>formatRow(Tokens!C$2:I$2,Tokens!C1045:I1045)</f>
        <v>"name":"In Casa #882",_x000D_
"symbol":"COR22D882",_x000D_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5" s="1" t="str">
        <f>formatRow(Tokens!J$2:AV$2,Tokens!J1045:AV1045,2,"attributes")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5" s="1" t="str">
        <f>formatRow(Tokens!AX$2:BC$2,Tokens!AX1045:BC1045,2,"creators")</f>
        <v>"creators":[{"address":"paul",_x000D_
"share":10},{"address":"sophie",_x000D_
"share":90}]</v>
      </c>
      <c r="Y1045" s="1" t="str">
        <f>formatRow(Tokens!BD$2:BI$2,Tokens!BD1045:BI1045,2,"files")</f>
        <v>"files":[]</v>
      </c>
      <c r="Z1045" s="1"/>
      <c r="AA1045" s="1"/>
      <c r="AB1045" s="1"/>
      <c r="AC1045" s="1" t="str">
        <f>formatRow(Tokens!BJ$2:BK$2,Tokens!BJ1045:BK1045,0,"collection")</f>
        <v>"collection":{"name":"In Casa",_x000D_
"family":"Calvi On The Rocks"}</v>
      </c>
    </row>
    <row r="1046" spans="5:29" ht="14.25" customHeight="1" x14ac:dyDescent="0.25">
      <c r="E1046" s="17" t="str">
        <f>IF(Tokens!C1046="","",Tokens!C1046)</f>
        <v>In Casa #883</v>
      </c>
      <c r="F1046" s="56"/>
      <c r="G1046" t="s">
        <v>164</v>
      </c>
      <c r="H1046" s="57" t="s">
        <v>165</v>
      </c>
      <c r="I1046" s="2" t="s">
        <v>166</v>
      </c>
      <c r="J1046" s="2" t="s">
        <v>167</v>
      </c>
      <c r="M1046" s="15"/>
      <c r="N1046">
        <v>6.9258811930000004</v>
      </c>
      <c r="O1046" s="15">
        <f t="shared" si="32"/>
        <v>0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1" t="str">
        <f>"owner=" &amp; Tokens!BS1046 &amp; "&amp;filename_for_metadata=" &amp; Tokens!BT1046 &amp; "&amp;offchaindata_platform=" &amp; $B$17 &amp; "&amp;keyfile=" &amp; $B$5 &amp; "&amp;network=" &amp; LOWER($B$8) &amp; "&amp;repository=" &amp; $B$18</f>
        <v>owner=thomas&amp;filename_for_metadata=InCasa_COR22D883&amp;offchaindata_platform=MongoDB&amp;keyfile=Paul&amp;network=jsonfiles&amp;repository=test</v>
      </c>
      <c r="U1046" s="1" t="str">
        <f t="shared" si="33"/>
        <v>{"name":"In Casa #883",_x000D_
"symbol":"COR22D883",_x000D_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6" s="1" t="str">
        <f>formatRow(Tokens!C$2:I$2,Tokens!C1046:I1046)</f>
        <v>"name":"In Casa #883",_x000D_
"symbol":"COR22D883",_x000D_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6" s="1" t="str">
        <f>formatRow(Tokens!J$2:AV$2,Tokens!J1046:AV1046,2,"attributes")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6" s="1" t="str">
        <f>formatRow(Tokens!AX$2:BC$2,Tokens!AX1046:BC1046,2,"creators")</f>
        <v>"creators":[{"address":"paul",_x000D_
"share":10},{"address":"sophie",_x000D_
"share":90}]</v>
      </c>
      <c r="Y1046" s="1" t="str">
        <f>formatRow(Tokens!BD$2:BI$2,Tokens!BD1046:BI1046,2,"files")</f>
        <v>"files":[]</v>
      </c>
      <c r="Z1046" s="1"/>
      <c r="AA1046" s="1"/>
      <c r="AB1046" s="1"/>
      <c r="AC1046" s="1" t="str">
        <f>formatRow(Tokens!BJ$2:BK$2,Tokens!BJ1046:BK1046,0,"collection")</f>
        <v>"collection":{"name":"In Casa",_x000D_
"family":"Calvi On The Rocks"}</v>
      </c>
    </row>
    <row r="1047" spans="5:29" ht="14.25" customHeight="1" x14ac:dyDescent="0.25">
      <c r="E1047" s="17" t="str">
        <f>IF(Tokens!C1047="","",Tokens!C1047)</f>
        <v>In Casa #884</v>
      </c>
      <c r="F1047" s="56"/>
      <c r="G1047" t="s">
        <v>164</v>
      </c>
      <c r="H1047" s="57" t="s">
        <v>165</v>
      </c>
      <c r="I1047" s="2" t="s">
        <v>166</v>
      </c>
      <c r="J1047" s="2" t="s">
        <v>167</v>
      </c>
      <c r="M1047" s="15"/>
      <c r="N1047">
        <v>6.9258811930000004</v>
      </c>
      <c r="O1047" s="15">
        <f t="shared" si="32"/>
        <v>0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1" t="str">
        <f>"owner=" &amp; Tokens!BS1047 &amp; "&amp;filename_for_metadata=" &amp; Tokens!BT1047 &amp; "&amp;offchaindata_platform=" &amp; $B$17 &amp; "&amp;keyfile=" &amp; $B$5 &amp; "&amp;network=" &amp; LOWER($B$8) &amp; "&amp;repository=" &amp; $B$18</f>
        <v>owner=thomas&amp;filename_for_metadata=InCasa_COR22D884&amp;offchaindata_platform=MongoDB&amp;keyfile=Paul&amp;network=jsonfiles&amp;repository=test</v>
      </c>
      <c r="U1047" s="1" t="str">
        <f t="shared" si="33"/>
        <v>{"name":"In Casa #884",_x000D_
"symbol":"COR22D884",_x000D_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7" s="1" t="str">
        <f>formatRow(Tokens!C$2:I$2,Tokens!C1047:I1047)</f>
        <v>"name":"In Casa #884",_x000D_
"symbol":"COR22D884",_x000D_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7" s="1" t="str">
        <f>formatRow(Tokens!J$2:AV$2,Tokens!J1047:AV1047,2,"attributes")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7" s="1" t="str">
        <f>formatRow(Tokens!AX$2:BC$2,Tokens!AX1047:BC1047,2,"creators")</f>
        <v>"creators":[{"address":"paul",_x000D_
"share":10},{"address":"sophie",_x000D_
"share":90}]</v>
      </c>
      <c r="Y1047" s="1" t="str">
        <f>formatRow(Tokens!BD$2:BI$2,Tokens!BD1047:BI1047,2,"files")</f>
        <v>"files":[]</v>
      </c>
      <c r="Z1047" s="1"/>
      <c r="AA1047" s="1"/>
      <c r="AB1047" s="1"/>
      <c r="AC1047" s="1" t="str">
        <f>formatRow(Tokens!BJ$2:BK$2,Tokens!BJ1047:BK1047,0,"collection")</f>
        <v>"collection":{"name":"In Casa",_x000D_
"family":"Calvi On The Rocks"}</v>
      </c>
    </row>
    <row r="1048" spans="5:29" ht="14.25" customHeight="1" x14ac:dyDescent="0.25">
      <c r="E1048" s="17" t="str">
        <f>IF(Tokens!C1048="","",Tokens!C1048)</f>
        <v>In Casa #885</v>
      </c>
      <c r="F1048" s="56"/>
      <c r="G1048" t="s">
        <v>164</v>
      </c>
      <c r="H1048" s="57" t="s">
        <v>165</v>
      </c>
      <c r="I1048" s="2" t="s">
        <v>166</v>
      </c>
      <c r="J1048" s="2" t="s">
        <v>167</v>
      </c>
      <c r="M1048" s="15"/>
      <c r="N1048">
        <v>6.9258811930000004</v>
      </c>
      <c r="O1048" s="15">
        <f t="shared" si="32"/>
        <v>0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1" t="str">
        <f>"owner=" &amp; Tokens!BS1048 &amp; "&amp;filename_for_metadata=" &amp; Tokens!BT1048 &amp; "&amp;offchaindata_platform=" &amp; $B$17 &amp; "&amp;keyfile=" &amp; $B$5 &amp; "&amp;network=" &amp; LOWER($B$8) &amp; "&amp;repository=" &amp; $B$18</f>
        <v>owner=thomas&amp;filename_for_metadata=InCasa_COR22D885&amp;offchaindata_platform=MongoDB&amp;keyfile=Paul&amp;network=jsonfiles&amp;repository=test</v>
      </c>
      <c r="U1048" s="1" t="str">
        <f t="shared" si="33"/>
        <v>{"name":"In Casa #885",_x000D_
"symbol":"COR22D885",_x000D_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8" s="1" t="str">
        <f>formatRow(Tokens!C$2:I$2,Tokens!C1048:I1048)</f>
        <v>"name":"In Casa #885",_x000D_
"symbol":"COR22D885",_x000D_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8" s="1" t="str">
        <f>formatRow(Tokens!J$2:AV$2,Tokens!J1048:AV1048,2,"attributes")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8" s="1" t="str">
        <f>formatRow(Tokens!AX$2:BC$2,Tokens!AX1048:BC1048,2,"creators")</f>
        <v>"creators":[{"address":"paul",_x000D_
"share":10},{"address":"sophie",_x000D_
"share":90}]</v>
      </c>
      <c r="Y1048" s="1" t="str">
        <f>formatRow(Tokens!BD$2:BI$2,Tokens!BD1048:BI1048,2,"files")</f>
        <v>"files":[]</v>
      </c>
      <c r="Z1048" s="1"/>
      <c r="AA1048" s="1"/>
      <c r="AB1048" s="1"/>
      <c r="AC1048" s="1" t="str">
        <f>formatRow(Tokens!BJ$2:BK$2,Tokens!BJ1048:BK1048,0,"collection")</f>
        <v>"collection":{"name":"In Casa",_x000D_
"family":"Calvi On The Rocks"}</v>
      </c>
    </row>
    <row r="1049" spans="5:29" ht="14.25" customHeight="1" x14ac:dyDescent="0.25">
      <c r="E1049" s="17" t="str">
        <f>IF(Tokens!C1049="","",Tokens!C1049)</f>
        <v>In Casa #886</v>
      </c>
      <c r="F1049" s="56"/>
      <c r="G1049" t="s">
        <v>164</v>
      </c>
      <c r="H1049" s="57" t="s">
        <v>165</v>
      </c>
      <c r="I1049" s="2" t="s">
        <v>166</v>
      </c>
      <c r="J1049" s="2" t="s">
        <v>167</v>
      </c>
      <c r="M1049" s="15"/>
      <c r="N1049">
        <v>6.9258811930000004</v>
      </c>
      <c r="O1049" s="15">
        <f t="shared" si="32"/>
        <v>0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1" t="str">
        <f>"owner=" &amp; Tokens!BS1049 &amp; "&amp;filename_for_metadata=" &amp; Tokens!BT1049 &amp; "&amp;offchaindata_platform=" &amp; $B$17 &amp; "&amp;keyfile=" &amp; $B$5 &amp; "&amp;network=" &amp; LOWER($B$8) &amp; "&amp;repository=" &amp; $B$18</f>
        <v>owner=thomas&amp;filename_for_metadata=InCasa_COR22D886&amp;offchaindata_platform=MongoDB&amp;keyfile=Paul&amp;network=jsonfiles&amp;repository=test</v>
      </c>
      <c r="U1049" s="1" t="str">
        <f t="shared" si="33"/>
        <v>{"name":"In Casa #886",_x000D_
"symbol":"COR22D886",_x000D_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49" s="1" t="str">
        <f>formatRow(Tokens!C$2:I$2,Tokens!C1049:I1049)</f>
        <v>"name":"In Casa #886",_x000D_
"symbol":"COR22D886",_x000D_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49" s="1" t="str">
        <f>formatRow(Tokens!J$2:AV$2,Tokens!J1049:AV1049,2,"attributes")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49" s="1" t="str">
        <f>formatRow(Tokens!AX$2:BC$2,Tokens!AX1049:BC1049,2,"creators")</f>
        <v>"creators":[{"address":"paul",_x000D_
"share":10},{"address":"sophie",_x000D_
"share":90}]</v>
      </c>
      <c r="Y1049" s="1" t="str">
        <f>formatRow(Tokens!BD$2:BI$2,Tokens!BD1049:BI1049,2,"files")</f>
        <v>"files":[]</v>
      </c>
      <c r="Z1049" s="1"/>
      <c r="AA1049" s="1"/>
      <c r="AB1049" s="1"/>
      <c r="AC1049" s="1" t="str">
        <f>formatRow(Tokens!BJ$2:BK$2,Tokens!BJ1049:BK1049,0,"collection")</f>
        <v>"collection":{"name":"In Casa",_x000D_
"family":"Calvi On The Rocks"}</v>
      </c>
    </row>
    <row r="1050" spans="5:29" ht="14.25" customHeight="1" x14ac:dyDescent="0.25">
      <c r="E1050" s="17" t="str">
        <f>IF(Tokens!C1050="","",Tokens!C1050)</f>
        <v>In Casa #887</v>
      </c>
      <c r="F1050" s="56"/>
      <c r="G1050" t="s">
        <v>164</v>
      </c>
      <c r="H1050" s="57" t="s">
        <v>165</v>
      </c>
      <c r="I1050" s="2" t="s">
        <v>166</v>
      </c>
      <c r="J1050" s="2" t="s">
        <v>167</v>
      </c>
      <c r="M1050" s="15"/>
      <c r="N1050">
        <v>6.9258811930000004</v>
      </c>
      <c r="O1050" s="15">
        <f t="shared" si="32"/>
        <v>0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1" t="str">
        <f>"owner=" &amp; Tokens!BS1050 &amp; "&amp;filename_for_metadata=" &amp; Tokens!BT1050 &amp; "&amp;offchaindata_platform=" &amp; $B$17 &amp; "&amp;keyfile=" &amp; $B$5 &amp; "&amp;network=" &amp; LOWER($B$8) &amp; "&amp;repository=" &amp; $B$18</f>
        <v>owner=thomas&amp;filename_for_metadata=InCasa_COR22D887&amp;offchaindata_platform=MongoDB&amp;keyfile=Paul&amp;network=jsonfiles&amp;repository=test</v>
      </c>
      <c r="U1050" s="1" t="str">
        <f t="shared" si="33"/>
        <v>{"name":"In Casa #887",_x000D_
"symbol":"COR22D887",_x000D_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0" s="1" t="str">
        <f>formatRow(Tokens!C$2:I$2,Tokens!C1050:I1050)</f>
        <v>"name":"In Casa #887",_x000D_
"symbol":"COR22D887",_x000D_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0" s="1" t="str">
        <f>formatRow(Tokens!J$2:AV$2,Tokens!J1050:AV1050,2,"attributes")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0" s="1" t="str">
        <f>formatRow(Tokens!AX$2:BC$2,Tokens!AX1050:BC1050,2,"creators")</f>
        <v>"creators":[{"address":"paul",_x000D_
"share":10},{"address":"sophie",_x000D_
"share":90}]</v>
      </c>
      <c r="Y1050" s="1" t="str">
        <f>formatRow(Tokens!BD$2:BI$2,Tokens!BD1050:BI1050,2,"files")</f>
        <v>"files":[]</v>
      </c>
      <c r="Z1050" s="1"/>
      <c r="AA1050" s="1"/>
      <c r="AB1050" s="1"/>
      <c r="AC1050" s="1" t="str">
        <f>formatRow(Tokens!BJ$2:BK$2,Tokens!BJ1050:BK1050,0,"collection")</f>
        <v>"collection":{"name":"In Casa",_x000D_
"family":"Calvi On The Rocks"}</v>
      </c>
    </row>
    <row r="1051" spans="5:29" ht="14.25" customHeight="1" x14ac:dyDescent="0.25">
      <c r="E1051" s="17" t="str">
        <f>IF(Tokens!C1051="","",Tokens!C1051)</f>
        <v>In Casa #888</v>
      </c>
      <c r="F1051" s="56"/>
      <c r="G1051" t="s">
        <v>164</v>
      </c>
      <c r="H1051" s="57" t="s">
        <v>165</v>
      </c>
      <c r="I1051" s="2" t="s">
        <v>166</v>
      </c>
      <c r="J1051" s="2" t="s">
        <v>167</v>
      </c>
      <c r="M1051" s="15"/>
      <c r="N1051">
        <v>6.9258811930000004</v>
      </c>
      <c r="O1051" s="15">
        <f t="shared" si="32"/>
        <v>0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1" t="str">
        <f>"owner=" &amp; Tokens!BS1051 &amp; "&amp;filename_for_metadata=" &amp; Tokens!BT1051 &amp; "&amp;offchaindata_platform=" &amp; $B$17 &amp; "&amp;keyfile=" &amp; $B$5 &amp; "&amp;network=" &amp; LOWER($B$8) &amp; "&amp;repository=" &amp; $B$18</f>
        <v>owner=thomas&amp;filename_for_metadata=InCasa_COR22D888&amp;offchaindata_platform=MongoDB&amp;keyfile=Paul&amp;network=jsonfiles&amp;repository=test</v>
      </c>
      <c r="U1051" s="1" t="str">
        <f t="shared" si="33"/>
        <v>{"name":"In Casa #888",_x000D_
"symbol":"COR22D888",_x000D_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1" s="1" t="str">
        <f>formatRow(Tokens!C$2:I$2,Tokens!C1051:I1051)</f>
        <v>"name":"In Casa #888",_x000D_
"symbol":"COR22D888",_x000D_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1" s="1" t="str">
        <f>formatRow(Tokens!J$2:AV$2,Tokens!J1051:AV1051,2,"attributes")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1" s="1" t="str">
        <f>formatRow(Tokens!AX$2:BC$2,Tokens!AX1051:BC1051,2,"creators")</f>
        <v>"creators":[{"address":"paul",_x000D_
"share":10},{"address":"sophie",_x000D_
"share":90}]</v>
      </c>
      <c r="Y1051" s="1" t="str">
        <f>formatRow(Tokens!BD$2:BI$2,Tokens!BD1051:BI1051,2,"files")</f>
        <v>"files":[]</v>
      </c>
      <c r="Z1051" s="1"/>
      <c r="AA1051" s="1"/>
      <c r="AB1051" s="1"/>
      <c r="AC1051" s="1" t="str">
        <f>formatRow(Tokens!BJ$2:BK$2,Tokens!BJ1051:BK1051,0,"collection")</f>
        <v>"collection":{"name":"In Casa",_x000D_
"family":"Calvi On The Rocks"}</v>
      </c>
    </row>
    <row r="1052" spans="5:29" ht="14.25" customHeight="1" x14ac:dyDescent="0.25">
      <c r="E1052" s="17" t="str">
        <f>IF(Tokens!C1052="","",Tokens!C1052)</f>
        <v>In Casa #889</v>
      </c>
      <c r="F1052" s="56"/>
      <c r="G1052" t="s">
        <v>164</v>
      </c>
      <c r="H1052" s="57" t="s">
        <v>165</v>
      </c>
      <c r="I1052" s="2" t="s">
        <v>166</v>
      </c>
      <c r="J1052" s="2" t="s">
        <v>167</v>
      </c>
      <c r="M1052" s="15"/>
      <c r="N1052">
        <v>6.9258811930000004</v>
      </c>
      <c r="O1052" s="15">
        <f t="shared" si="32"/>
        <v>0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1" t="str">
        <f>"owner=" &amp; Tokens!BS1052 &amp; "&amp;filename_for_metadata=" &amp; Tokens!BT1052 &amp; "&amp;offchaindata_platform=" &amp; $B$17 &amp; "&amp;keyfile=" &amp; $B$5 &amp; "&amp;network=" &amp; LOWER($B$8) &amp; "&amp;repository=" &amp; $B$18</f>
        <v>owner=thomas&amp;filename_for_metadata=InCasa_COR22D889&amp;offchaindata_platform=MongoDB&amp;keyfile=Paul&amp;network=jsonfiles&amp;repository=test</v>
      </c>
      <c r="U1052" s="1" t="str">
        <f t="shared" si="33"/>
        <v>{"name":"In Casa #889",_x000D_
"symbol":"COR22D889",_x000D_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2" s="1" t="str">
        <f>formatRow(Tokens!C$2:I$2,Tokens!C1052:I1052)</f>
        <v>"name":"In Casa #889",_x000D_
"symbol":"COR22D889",_x000D_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2" s="1" t="str">
        <f>formatRow(Tokens!J$2:AV$2,Tokens!J1052:AV1052,2,"attributes")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2" s="1" t="str">
        <f>formatRow(Tokens!AX$2:BC$2,Tokens!AX1052:BC1052,2,"creators")</f>
        <v>"creators":[{"address":"paul",_x000D_
"share":10},{"address":"sophie",_x000D_
"share":90}]</v>
      </c>
      <c r="Y1052" s="1" t="str">
        <f>formatRow(Tokens!BD$2:BI$2,Tokens!BD1052:BI1052,2,"files")</f>
        <v>"files":[]</v>
      </c>
      <c r="Z1052" s="1"/>
      <c r="AA1052" s="1"/>
      <c r="AB1052" s="1"/>
      <c r="AC1052" s="1" t="str">
        <f>formatRow(Tokens!BJ$2:BK$2,Tokens!BJ1052:BK1052,0,"collection")</f>
        <v>"collection":{"name":"In Casa",_x000D_
"family":"Calvi On The Rocks"}</v>
      </c>
    </row>
    <row r="1053" spans="5:29" ht="14.25" customHeight="1" x14ac:dyDescent="0.25">
      <c r="E1053" s="17" t="str">
        <f>IF(Tokens!C1053="","",Tokens!C1053)</f>
        <v>In Casa #890</v>
      </c>
      <c r="F1053" s="56"/>
      <c r="G1053" t="s">
        <v>164</v>
      </c>
      <c r="H1053" s="57" t="s">
        <v>165</v>
      </c>
      <c r="I1053" s="2" t="s">
        <v>166</v>
      </c>
      <c r="J1053" s="2" t="s">
        <v>167</v>
      </c>
      <c r="M1053" s="15"/>
      <c r="N1053">
        <v>6.9258811930000004</v>
      </c>
      <c r="O1053" s="15">
        <f t="shared" si="32"/>
        <v>0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1" t="str">
        <f>"owner=" &amp; Tokens!BS1053 &amp; "&amp;filename_for_metadata=" &amp; Tokens!BT1053 &amp; "&amp;offchaindata_platform=" &amp; $B$17 &amp; "&amp;keyfile=" &amp; $B$5 &amp; "&amp;network=" &amp; LOWER($B$8) &amp; "&amp;repository=" &amp; $B$18</f>
        <v>owner=thomas&amp;filename_for_metadata=InCasa_COR22D890&amp;offchaindata_platform=MongoDB&amp;keyfile=Paul&amp;network=jsonfiles&amp;repository=test</v>
      </c>
      <c r="U1053" s="1" t="str">
        <f t="shared" si="33"/>
        <v>{"name":"In Casa #890",_x000D_
"symbol":"COR22D890",_x000D_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3" s="1" t="str">
        <f>formatRow(Tokens!C$2:I$2,Tokens!C1053:I1053)</f>
        <v>"name":"In Casa #890",_x000D_
"symbol":"COR22D890",_x000D_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3" s="1" t="str">
        <f>formatRow(Tokens!J$2:AV$2,Tokens!J1053:AV1053,2,"attributes")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3" s="1" t="str">
        <f>formatRow(Tokens!AX$2:BC$2,Tokens!AX1053:BC1053,2,"creators")</f>
        <v>"creators":[{"address":"paul",_x000D_
"share":10},{"address":"sophie",_x000D_
"share":90}]</v>
      </c>
      <c r="Y1053" s="1" t="str">
        <f>formatRow(Tokens!BD$2:BI$2,Tokens!BD1053:BI1053,2,"files")</f>
        <v>"files":[]</v>
      </c>
      <c r="Z1053" s="1"/>
      <c r="AA1053" s="1"/>
      <c r="AB1053" s="1"/>
      <c r="AC1053" s="1" t="str">
        <f>formatRow(Tokens!BJ$2:BK$2,Tokens!BJ1053:BK1053,0,"collection")</f>
        <v>"collection":{"name":"In Casa",_x000D_
"family":"Calvi On The Rocks"}</v>
      </c>
    </row>
    <row r="1054" spans="5:29" ht="14.25" customHeight="1" x14ac:dyDescent="0.25">
      <c r="E1054" s="17" t="str">
        <f>IF(Tokens!C1054="","",Tokens!C1054)</f>
        <v>In Casa #891</v>
      </c>
      <c r="F1054" s="56"/>
      <c r="G1054" t="s">
        <v>164</v>
      </c>
      <c r="H1054" s="57" t="s">
        <v>165</v>
      </c>
      <c r="I1054" s="2" t="s">
        <v>166</v>
      </c>
      <c r="J1054" s="2" t="s">
        <v>167</v>
      </c>
      <c r="M1054" s="15"/>
      <c r="N1054">
        <v>6.9258811930000004</v>
      </c>
      <c r="O1054" s="15">
        <f t="shared" si="32"/>
        <v>0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1" t="str">
        <f>"owner=" &amp; Tokens!BS1054 &amp; "&amp;filename_for_metadata=" &amp; Tokens!BT1054 &amp; "&amp;offchaindata_platform=" &amp; $B$17 &amp; "&amp;keyfile=" &amp; $B$5 &amp; "&amp;network=" &amp; LOWER($B$8) &amp; "&amp;repository=" &amp; $B$18</f>
        <v>owner=thomas&amp;filename_for_metadata=InCasa_COR22D891&amp;offchaindata_platform=MongoDB&amp;keyfile=Paul&amp;network=jsonfiles&amp;repository=test</v>
      </c>
      <c r="U1054" s="1" t="str">
        <f t="shared" si="33"/>
        <v>{"name":"In Casa #891",_x000D_
"symbol":"COR22D891",_x000D_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4" s="1" t="str">
        <f>formatRow(Tokens!C$2:I$2,Tokens!C1054:I1054)</f>
        <v>"name":"In Casa #891",_x000D_
"symbol":"COR22D891",_x000D_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4" s="1" t="str">
        <f>formatRow(Tokens!J$2:AV$2,Tokens!J1054:AV1054,2,"attributes")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4" s="1" t="str">
        <f>formatRow(Tokens!AX$2:BC$2,Tokens!AX1054:BC1054,2,"creators")</f>
        <v>"creators":[{"address":"paul",_x000D_
"share":10},{"address":"sophie",_x000D_
"share":90}]</v>
      </c>
      <c r="Y1054" s="1" t="str">
        <f>formatRow(Tokens!BD$2:BI$2,Tokens!BD1054:BI1054,2,"files")</f>
        <v>"files":[]</v>
      </c>
      <c r="Z1054" s="1"/>
      <c r="AA1054" s="1"/>
      <c r="AB1054" s="1"/>
      <c r="AC1054" s="1" t="str">
        <f>formatRow(Tokens!BJ$2:BK$2,Tokens!BJ1054:BK1054,0,"collection")</f>
        <v>"collection":{"name":"In Casa",_x000D_
"family":"Calvi On The Rocks"}</v>
      </c>
    </row>
    <row r="1055" spans="5:29" ht="14.25" customHeight="1" x14ac:dyDescent="0.25">
      <c r="E1055" s="17" t="str">
        <f>IF(Tokens!C1055="","",Tokens!C1055)</f>
        <v>In Casa #892</v>
      </c>
      <c r="F1055" s="56"/>
      <c r="G1055" t="s">
        <v>164</v>
      </c>
      <c r="H1055" s="57" t="s">
        <v>165</v>
      </c>
      <c r="I1055" s="2" t="s">
        <v>166</v>
      </c>
      <c r="J1055" s="2" t="s">
        <v>167</v>
      </c>
      <c r="M1055" s="15"/>
      <c r="N1055">
        <v>6.9258811930000004</v>
      </c>
      <c r="O1055" s="15">
        <f t="shared" si="32"/>
        <v>0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1" t="str">
        <f>"owner=" &amp; Tokens!BS1055 &amp; "&amp;filename_for_metadata=" &amp; Tokens!BT1055 &amp; "&amp;offchaindata_platform=" &amp; $B$17 &amp; "&amp;keyfile=" &amp; $B$5 &amp; "&amp;network=" &amp; LOWER($B$8) &amp; "&amp;repository=" &amp; $B$18</f>
        <v>owner=thomas&amp;filename_for_metadata=InCasa_COR22D892&amp;offchaindata_platform=MongoDB&amp;keyfile=Paul&amp;network=jsonfiles&amp;repository=test</v>
      </c>
      <c r="U1055" s="1" t="str">
        <f t="shared" si="33"/>
        <v>{"name":"In Casa #892",_x000D_
"symbol":"COR22D892",_x000D_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5" s="1" t="str">
        <f>formatRow(Tokens!C$2:I$2,Tokens!C1055:I1055)</f>
        <v>"name":"In Casa #892",_x000D_
"symbol":"COR22D892",_x000D_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5" s="1" t="str">
        <f>formatRow(Tokens!J$2:AV$2,Tokens!J1055:AV1055,2,"attributes")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5" s="1" t="str">
        <f>formatRow(Tokens!AX$2:BC$2,Tokens!AX1055:BC1055,2,"creators")</f>
        <v>"creators":[{"address":"paul",_x000D_
"share":10},{"address":"sophie",_x000D_
"share":90}]</v>
      </c>
      <c r="Y1055" s="1" t="str">
        <f>formatRow(Tokens!BD$2:BI$2,Tokens!BD1055:BI1055,2,"files")</f>
        <v>"files":[]</v>
      </c>
      <c r="Z1055" s="1"/>
      <c r="AA1055" s="1"/>
      <c r="AB1055" s="1"/>
      <c r="AC1055" s="1" t="str">
        <f>formatRow(Tokens!BJ$2:BK$2,Tokens!BJ1055:BK1055,0,"collection")</f>
        <v>"collection":{"name":"In Casa",_x000D_
"family":"Calvi On The Rocks"}</v>
      </c>
    </row>
    <row r="1056" spans="5:29" ht="14.25" customHeight="1" x14ac:dyDescent="0.25">
      <c r="E1056" s="17" t="str">
        <f>IF(Tokens!C1056="","",Tokens!C1056)</f>
        <v>In Casa #893</v>
      </c>
      <c r="F1056" s="56"/>
      <c r="G1056" t="s">
        <v>164</v>
      </c>
      <c r="H1056" s="57" t="s">
        <v>165</v>
      </c>
      <c r="I1056" s="2" t="s">
        <v>166</v>
      </c>
      <c r="J1056" s="2" t="s">
        <v>167</v>
      </c>
      <c r="M1056" s="15"/>
      <c r="N1056">
        <v>6.9258811930000004</v>
      </c>
      <c r="O1056" s="15">
        <f t="shared" si="32"/>
        <v>0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1" t="str">
        <f>"owner=" &amp; Tokens!BS1056 &amp; "&amp;filename_for_metadata=" &amp; Tokens!BT1056 &amp; "&amp;offchaindata_platform=" &amp; $B$17 &amp; "&amp;keyfile=" &amp; $B$5 &amp; "&amp;network=" &amp; LOWER($B$8) &amp; "&amp;repository=" &amp; $B$18</f>
        <v>owner=thomas&amp;filename_for_metadata=InCasa_COR22D893&amp;offchaindata_platform=MongoDB&amp;keyfile=Paul&amp;network=jsonfiles&amp;repository=test</v>
      </c>
      <c r="U1056" s="1" t="str">
        <f t="shared" si="33"/>
        <v>{"name":"In Casa #893",_x000D_
"symbol":"COR22D893",_x000D_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6" s="1" t="str">
        <f>formatRow(Tokens!C$2:I$2,Tokens!C1056:I1056)</f>
        <v>"name":"In Casa #893",_x000D_
"symbol":"COR22D893",_x000D_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6" s="1" t="str">
        <f>formatRow(Tokens!J$2:AV$2,Tokens!J1056:AV1056,2,"attributes")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6" s="1" t="str">
        <f>formatRow(Tokens!AX$2:BC$2,Tokens!AX1056:BC1056,2,"creators")</f>
        <v>"creators":[{"address":"paul",_x000D_
"share":10},{"address":"sophie",_x000D_
"share":90}]</v>
      </c>
      <c r="Y1056" s="1" t="str">
        <f>formatRow(Tokens!BD$2:BI$2,Tokens!BD1056:BI1056,2,"files")</f>
        <v>"files":[]</v>
      </c>
      <c r="Z1056" s="1"/>
      <c r="AA1056" s="1"/>
      <c r="AB1056" s="1"/>
      <c r="AC1056" s="1" t="str">
        <f>formatRow(Tokens!BJ$2:BK$2,Tokens!BJ1056:BK1056,0,"collection")</f>
        <v>"collection":{"name":"In Casa",_x000D_
"family":"Calvi On The Rocks"}</v>
      </c>
    </row>
    <row r="1057" spans="5:29" ht="14.25" customHeight="1" x14ac:dyDescent="0.25">
      <c r="E1057" s="17" t="str">
        <f>IF(Tokens!C1057="","",Tokens!C1057)</f>
        <v>In Casa #894</v>
      </c>
      <c r="F1057" s="56"/>
      <c r="G1057" t="s">
        <v>164</v>
      </c>
      <c r="H1057" s="57" t="s">
        <v>165</v>
      </c>
      <c r="I1057" s="2" t="s">
        <v>166</v>
      </c>
      <c r="J1057" s="2" t="s">
        <v>167</v>
      </c>
      <c r="M1057" s="15"/>
      <c r="N1057">
        <v>6.9258811930000004</v>
      </c>
      <c r="O1057" s="15">
        <f t="shared" si="32"/>
        <v>0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1" t="str">
        <f>"owner=" &amp; Tokens!BS1057 &amp; "&amp;filename_for_metadata=" &amp; Tokens!BT1057 &amp; "&amp;offchaindata_platform=" &amp; $B$17 &amp; "&amp;keyfile=" &amp; $B$5 &amp; "&amp;network=" &amp; LOWER($B$8) &amp; "&amp;repository=" &amp; $B$18</f>
        <v>owner=thomas&amp;filename_for_metadata=InCasa_COR22D894&amp;offchaindata_platform=MongoDB&amp;keyfile=Paul&amp;network=jsonfiles&amp;repository=test</v>
      </c>
      <c r="U1057" s="1" t="str">
        <f t="shared" si="33"/>
        <v>{"name":"In Casa #894",_x000D_
"symbol":"COR22D894",_x000D_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7" s="1" t="str">
        <f>formatRow(Tokens!C$2:I$2,Tokens!C1057:I1057)</f>
        <v>"name":"In Casa #894",_x000D_
"symbol":"COR22D894",_x000D_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7" s="1" t="str">
        <f>formatRow(Tokens!J$2:AV$2,Tokens!J1057:AV1057,2,"attributes")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7" s="1" t="str">
        <f>formatRow(Tokens!AX$2:BC$2,Tokens!AX1057:BC1057,2,"creators")</f>
        <v>"creators":[{"address":"paul",_x000D_
"share":10},{"address":"sophie",_x000D_
"share":90}]</v>
      </c>
      <c r="Y1057" s="1" t="str">
        <f>formatRow(Tokens!BD$2:BI$2,Tokens!BD1057:BI1057,2,"files")</f>
        <v>"files":[]</v>
      </c>
      <c r="Z1057" s="1"/>
      <c r="AA1057" s="1"/>
      <c r="AB1057" s="1"/>
      <c r="AC1057" s="1" t="str">
        <f>formatRow(Tokens!BJ$2:BK$2,Tokens!BJ1057:BK1057,0,"collection")</f>
        <v>"collection":{"name":"In Casa",_x000D_
"family":"Calvi On The Rocks"}</v>
      </c>
    </row>
    <row r="1058" spans="5:29" ht="14.25" customHeight="1" x14ac:dyDescent="0.25">
      <c r="E1058" s="17" t="str">
        <f>IF(Tokens!C1058="","",Tokens!C1058)</f>
        <v>In Casa #895</v>
      </c>
      <c r="F1058" s="56"/>
      <c r="G1058" t="s">
        <v>164</v>
      </c>
      <c r="H1058" s="57" t="s">
        <v>165</v>
      </c>
      <c r="I1058" s="2" t="s">
        <v>166</v>
      </c>
      <c r="J1058" s="2" t="s">
        <v>167</v>
      </c>
      <c r="M1058" s="15"/>
      <c r="N1058">
        <v>6.9258811930000004</v>
      </c>
      <c r="O1058" s="15">
        <f t="shared" si="32"/>
        <v>0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1" t="str">
        <f>"owner=" &amp; Tokens!BS1058 &amp; "&amp;filename_for_metadata=" &amp; Tokens!BT1058 &amp; "&amp;offchaindata_platform=" &amp; $B$17 &amp; "&amp;keyfile=" &amp; $B$5 &amp; "&amp;network=" &amp; LOWER($B$8) &amp; "&amp;repository=" &amp; $B$18</f>
        <v>owner=thomas&amp;filename_for_metadata=InCasa_COR22D895&amp;offchaindata_platform=MongoDB&amp;keyfile=Paul&amp;network=jsonfiles&amp;repository=test</v>
      </c>
      <c r="U1058" s="1" t="str">
        <f t="shared" si="33"/>
        <v>{"name":"In Casa #895",_x000D_
"symbol":"COR22D895",_x000D_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8" s="1" t="str">
        <f>formatRow(Tokens!C$2:I$2,Tokens!C1058:I1058)</f>
        <v>"name":"In Casa #895",_x000D_
"symbol":"COR22D895",_x000D_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8" s="1" t="str">
        <f>formatRow(Tokens!J$2:AV$2,Tokens!J1058:AV1058,2,"attributes")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8" s="1" t="str">
        <f>formatRow(Tokens!AX$2:BC$2,Tokens!AX1058:BC1058,2,"creators")</f>
        <v>"creators":[{"address":"paul",_x000D_
"share":10},{"address":"sophie",_x000D_
"share":90}]</v>
      </c>
      <c r="Y1058" s="1" t="str">
        <f>formatRow(Tokens!BD$2:BI$2,Tokens!BD1058:BI1058,2,"files")</f>
        <v>"files":[]</v>
      </c>
      <c r="Z1058" s="1"/>
      <c r="AA1058" s="1"/>
      <c r="AB1058" s="1"/>
      <c r="AC1058" s="1" t="str">
        <f>formatRow(Tokens!BJ$2:BK$2,Tokens!BJ1058:BK1058,0,"collection")</f>
        <v>"collection":{"name":"In Casa",_x000D_
"family":"Calvi On The Rocks"}</v>
      </c>
    </row>
    <row r="1059" spans="5:29" ht="14.25" customHeight="1" x14ac:dyDescent="0.25">
      <c r="E1059" s="17" t="str">
        <f>IF(Tokens!C1059="","",Tokens!C1059)</f>
        <v>In Casa #896</v>
      </c>
      <c r="F1059" s="56"/>
      <c r="G1059" t="s">
        <v>164</v>
      </c>
      <c r="H1059" s="57" t="s">
        <v>165</v>
      </c>
      <c r="I1059" s="2" t="s">
        <v>166</v>
      </c>
      <c r="J1059" s="2" t="s">
        <v>167</v>
      </c>
      <c r="M1059" s="15"/>
      <c r="N1059">
        <v>6.9258811930000004</v>
      </c>
      <c r="O1059" s="15">
        <f t="shared" si="32"/>
        <v>0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1" t="str">
        <f>"owner=" &amp; Tokens!BS1059 &amp; "&amp;filename_for_metadata=" &amp; Tokens!BT1059 &amp; "&amp;offchaindata_platform=" &amp; $B$17 &amp; "&amp;keyfile=" &amp; $B$5 &amp; "&amp;network=" &amp; LOWER($B$8) &amp; "&amp;repository=" &amp; $B$18</f>
        <v>owner=thomas&amp;filename_for_metadata=InCasa_COR22D896&amp;offchaindata_platform=MongoDB&amp;keyfile=Paul&amp;network=jsonfiles&amp;repository=test</v>
      </c>
      <c r="U1059" s="1" t="str">
        <f t="shared" si="33"/>
        <v>{"name":"In Casa #896",_x000D_
"symbol":"COR22D896",_x000D_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59" s="1" t="str">
        <f>formatRow(Tokens!C$2:I$2,Tokens!C1059:I1059)</f>
        <v>"name":"In Casa #896",_x000D_
"symbol":"COR22D896",_x000D_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59" s="1" t="str">
        <f>formatRow(Tokens!J$2:AV$2,Tokens!J1059:AV1059,2,"attributes")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59" s="1" t="str">
        <f>formatRow(Tokens!AX$2:BC$2,Tokens!AX1059:BC1059,2,"creators")</f>
        <v>"creators":[{"address":"paul",_x000D_
"share":10},{"address":"sophie",_x000D_
"share":90}]</v>
      </c>
      <c r="Y1059" s="1" t="str">
        <f>formatRow(Tokens!BD$2:BI$2,Tokens!BD1059:BI1059,2,"files")</f>
        <v>"files":[]</v>
      </c>
      <c r="Z1059" s="1"/>
      <c r="AA1059" s="1"/>
      <c r="AB1059" s="1"/>
      <c r="AC1059" s="1" t="str">
        <f>formatRow(Tokens!BJ$2:BK$2,Tokens!BJ1059:BK1059,0,"collection")</f>
        <v>"collection":{"name":"In Casa",_x000D_
"family":"Calvi On The Rocks"}</v>
      </c>
    </row>
    <row r="1060" spans="5:29" ht="14.25" customHeight="1" x14ac:dyDescent="0.25">
      <c r="E1060" s="17" t="str">
        <f>IF(Tokens!C1060="","",Tokens!C1060)</f>
        <v>In Casa #897</v>
      </c>
      <c r="F1060" s="56"/>
      <c r="G1060" t="s">
        <v>164</v>
      </c>
      <c r="H1060" s="57" t="s">
        <v>165</v>
      </c>
      <c r="I1060" s="2" t="s">
        <v>166</v>
      </c>
      <c r="J1060" s="2" t="s">
        <v>167</v>
      </c>
      <c r="M1060" s="15"/>
      <c r="N1060">
        <v>6.9258811930000004</v>
      </c>
      <c r="O1060" s="15">
        <f t="shared" si="32"/>
        <v>0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1" t="str">
        <f>"owner=" &amp; Tokens!BS1060 &amp; "&amp;filename_for_metadata=" &amp; Tokens!BT1060 &amp; "&amp;offchaindata_platform=" &amp; $B$17 &amp; "&amp;keyfile=" &amp; $B$5 &amp; "&amp;network=" &amp; LOWER($B$8) &amp; "&amp;repository=" &amp; $B$18</f>
        <v>owner=thomas&amp;filename_for_metadata=InCasa_COR22D897&amp;offchaindata_platform=MongoDB&amp;keyfile=Paul&amp;network=jsonfiles&amp;repository=test</v>
      </c>
      <c r="U1060" s="1" t="str">
        <f t="shared" si="33"/>
        <v>{"name":"In Casa #897",_x000D_
"symbol":"COR22D897",_x000D_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0" s="1" t="str">
        <f>formatRow(Tokens!C$2:I$2,Tokens!C1060:I1060)</f>
        <v>"name":"In Casa #897",_x000D_
"symbol":"COR22D897",_x000D_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0" s="1" t="str">
        <f>formatRow(Tokens!J$2:AV$2,Tokens!J1060:AV1060,2,"attributes")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0" s="1" t="str">
        <f>formatRow(Tokens!AX$2:BC$2,Tokens!AX1060:BC1060,2,"creators")</f>
        <v>"creators":[{"address":"paul",_x000D_
"share":10},{"address":"sophie",_x000D_
"share":90}]</v>
      </c>
      <c r="Y1060" s="1" t="str">
        <f>formatRow(Tokens!BD$2:BI$2,Tokens!BD1060:BI1060,2,"files")</f>
        <v>"files":[]</v>
      </c>
      <c r="Z1060" s="1"/>
      <c r="AA1060" s="1"/>
      <c r="AB1060" s="1"/>
      <c r="AC1060" s="1" t="str">
        <f>formatRow(Tokens!BJ$2:BK$2,Tokens!BJ1060:BK1060,0,"collection")</f>
        <v>"collection":{"name":"In Casa",_x000D_
"family":"Calvi On The Rocks"}</v>
      </c>
    </row>
    <row r="1061" spans="5:29" ht="14.25" customHeight="1" x14ac:dyDescent="0.25">
      <c r="E1061" s="17" t="str">
        <f>IF(Tokens!C1061="","",Tokens!C1061)</f>
        <v>In Casa #898</v>
      </c>
      <c r="F1061" s="56"/>
      <c r="G1061" t="s">
        <v>164</v>
      </c>
      <c r="H1061" s="57" t="s">
        <v>165</v>
      </c>
      <c r="I1061" s="2" t="s">
        <v>166</v>
      </c>
      <c r="J1061" s="2" t="s">
        <v>167</v>
      </c>
      <c r="M1061" s="15"/>
      <c r="N1061">
        <v>6.9258811930000004</v>
      </c>
      <c r="O1061" s="15">
        <f t="shared" si="32"/>
        <v>0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1" t="str">
        <f>"owner=" &amp; Tokens!BS1061 &amp; "&amp;filename_for_metadata=" &amp; Tokens!BT1061 &amp; "&amp;offchaindata_platform=" &amp; $B$17 &amp; "&amp;keyfile=" &amp; $B$5 &amp; "&amp;network=" &amp; LOWER($B$8) &amp; "&amp;repository=" &amp; $B$18</f>
        <v>owner=thomas&amp;filename_for_metadata=InCasa_COR22D898&amp;offchaindata_platform=MongoDB&amp;keyfile=Paul&amp;network=jsonfiles&amp;repository=test</v>
      </c>
      <c r="U1061" s="1" t="str">
        <f t="shared" si="33"/>
        <v>{"name":"In Casa #898",_x000D_
"symbol":"COR22D898",_x000D_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1" s="1" t="str">
        <f>formatRow(Tokens!C$2:I$2,Tokens!C1061:I1061)</f>
        <v>"name":"In Casa #898",_x000D_
"symbol":"COR22D898",_x000D_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1" s="1" t="str">
        <f>formatRow(Tokens!J$2:AV$2,Tokens!J1061:AV1061,2,"attributes")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1" s="1" t="str">
        <f>formatRow(Tokens!AX$2:BC$2,Tokens!AX1061:BC1061,2,"creators")</f>
        <v>"creators":[{"address":"paul",_x000D_
"share":10},{"address":"sophie",_x000D_
"share":90}]</v>
      </c>
      <c r="Y1061" s="1" t="str">
        <f>formatRow(Tokens!BD$2:BI$2,Tokens!BD1061:BI1061,2,"files")</f>
        <v>"files":[]</v>
      </c>
      <c r="Z1061" s="1"/>
      <c r="AA1061" s="1"/>
      <c r="AB1061" s="1"/>
      <c r="AC1061" s="1" t="str">
        <f>formatRow(Tokens!BJ$2:BK$2,Tokens!BJ1061:BK1061,0,"collection")</f>
        <v>"collection":{"name":"In Casa",_x000D_
"family":"Calvi On The Rocks"}</v>
      </c>
    </row>
    <row r="1062" spans="5:29" ht="14.25" customHeight="1" x14ac:dyDescent="0.25">
      <c r="E1062" s="17" t="str">
        <f>IF(Tokens!C1062="","",Tokens!C1062)</f>
        <v>In Casa #899</v>
      </c>
      <c r="F1062" s="56"/>
      <c r="G1062" t="s">
        <v>164</v>
      </c>
      <c r="H1062" s="57" t="s">
        <v>165</v>
      </c>
      <c r="I1062" s="2" t="s">
        <v>166</v>
      </c>
      <c r="J1062" s="2" t="s">
        <v>167</v>
      </c>
      <c r="M1062" s="15"/>
      <c r="N1062">
        <v>6.9258811930000004</v>
      </c>
      <c r="O1062" s="15">
        <f t="shared" si="32"/>
        <v>0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1" t="str">
        <f>"owner=" &amp; Tokens!BS1062 &amp; "&amp;filename_for_metadata=" &amp; Tokens!BT1062 &amp; "&amp;offchaindata_platform=" &amp; $B$17 &amp; "&amp;keyfile=" &amp; $B$5 &amp; "&amp;network=" &amp; LOWER($B$8) &amp; "&amp;repository=" &amp; $B$18</f>
        <v>owner=thomas&amp;filename_for_metadata=InCasa_COR22D899&amp;offchaindata_platform=MongoDB&amp;keyfile=Paul&amp;network=jsonfiles&amp;repository=test</v>
      </c>
      <c r="U1062" s="1" t="str">
        <f t="shared" si="33"/>
        <v>{"name":"In Casa #899",_x000D_
"symbol":"COR22D899",_x000D_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2" s="1" t="str">
        <f>formatRow(Tokens!C$2:I$2,Tokens!C1062:I1062)</f>
        <v>"name":"In Casa #899",_x000D_
"symbol":"COR22D899",_x000D_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2" s="1" t="str">
        <f>formatRow(Tokens!J$2:AV$2,Tokens!J1062:AV1062,2,"attributes")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2" s="1" t="str">
        <f>formatRow(Tokens!AX$2:BC$2,Tokens!AX1062:BC1062,2,"creators")</f>
        <v>"creators":[{"address":"paul",_x000D_
"share":10},{"address":"sophie",_x000D_
"share":90}]</v>
      </c>
      <c r="Y1062" s="1" t="str">
        <f>formatRow(Tokens!BD$2:BI$2,Tokens!BD1062:BI1062,2,"files")</f>
        <v>"files":[]</v>
      </c>
      <c r="Z1062" s="1"/>
      <c r="AA1062" s="1"/>
      <c r="AB1062" s="1"/>
      <c r="AC1062" s="1" t="str">
        <f>formatRow(Tokens!BJ$2:BK$2,Tokens!BJ1062:BK1062,0,"collection")</f>
        <v>"collection":{"name":"In Casa",_x000D_
"family":"Calvi On The Rocks"}</v>
      </c>
    </row>
    <row r="1063" spans="5:29" ht="14.25" customHeight="1" x14ac:dyDescent="0.25">
      <c r="E1063" s="17" t="str">
        <f>IF(Tokens!C1063="","",Tokens!C1063)</f>
        <v>In Casa #900</v>
      </c>
      <c r="F1063" s="56"/>
      <c r="G1063" t="s">
        <v>164</v>
      </c>
      <c r="H1063" s="57" t="s">
        <v>165</v>
      </c>
      <c r="I1063" s="2" t="s">
        <v>166</v>
      </c>
      <c r="J1063" s="2" t="s">
        <v>167</v>
      </c>
      <c r="M1063" s="15"/>
      <c r="N1063">
        <v>6.9258811930000004</v>
      </c>
      <c r="O1063" s="15">
        <f t="shared" si="32"/>
        <v>0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1" t="str">
        <f>"owner=" &amp; Tokens!BS1063 &amp; "&amp;filename_for_metadata=" &amp; Tokens!BT1063 &amp; "&amp;offchaindata_platform=" &amp; $B$17 &amp; "&amp;keyfile=" &amp; $B$5 &amp; "&amp;network=" &amp; LOWER($B$8) &amp; "&amp;repository=" &amp; $B$18</f>
        <v>owner=thomas&amp;filename_for_metadata=InCasa_COR22D900&amp;offchaindata_platform=MongoDB&amp;keyfile=Paul&amp;network=jsonfiles&amp;repository=test</v>
      </c>
      <c r="U1063" s="1" t="str">
        <f t="shared" si="33"/>
        <v>{"name":"In Casa #900",_x000D_
"symbol":"COR22D900",_x000D_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3" s="1" t="str">
        <f>formatRow(Tokens!C$2:I$2,Tokens!C1063:I1063)</f>
        <v>"name":"In Casa #900",_x000D_
"symbol":"COR22D900",_x000D_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3" s="1" t="str">
        <f>formatRow(Tokens!J$2:AV$2,Tokens!J1063:AV1063,2,"attributes")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3" s="1" t="str">
        <f>formatRow(Tokens!AX$2:BC$2,Tokens!AX1063:BC1063,2,"creators")</f>
        <v>"creators":[{"address":"paul",_x000D_
"share":10},{"address":"sophie",_x000D_
"share":90}]</v>
      </c>
      <c r="Y1063" s="1" t="str">
        <f>formatRow(Tokens!BD$2:BI$2,Tokens!BD1063:BI1063,2,"files")</f>
        <v>"files":[]</v>
      </c>
      <c r="Z1063" s="1"/>
      <c r="AA1063" s="1"/>
      <c r="AB1063" s="1"/>
      <c r="AC1063" s="1" t="str">
        <f>formatRow(Tokens!BJ$2:BK$2,Tokens!BJ1063:BK1063,0,"collection")</f>
        <v>"collection":{"name":"In Casa",_x000D_
"family":"Calvi On The Rocks"}</v>
      </c>
    </row>
    <row r="1064" spans="5:29" ht="14.25" customHeight="1" x14ac:dyDescent="0.25">
      <c r="E1064" s="17" t="str">
        <f>IF(Tokens!C1064="","",Tokens!C1064)</f>
        <v>In Casa #901</v>
      </c>
      <c r="F1064" s="56"/>
      <c r="G1064" t="s">
        <v>164</v>
      </c>
      <c r="H1064" s="57" t="s">
        <v>165</v>
      </c>
      <c r="I1064" s="2" t="s">
        <v>166</v>
      </c>
      <c r="J1064" s="2" t="s">
        <v>167</v>
      </c>
      <c r="M1064" s="15"/>
      <c r="N1064">
        <v>6.9258811930000004</v>
      </c>
      <c r="O1064" s="15">
        <f t="shared" si="32"/>
        <v>0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1" t="str">
        <f>"owner=" &amp; Tokens!BS1064 &amp; "&amp;filename_for_metadata=" &amp; Tokens!BT1064 &amp; "&amp;offchaindata_platform=" &amp; $B$17 &amp; "&amp;keyfile=" &amp; $B$5 &amp; "&amp;network=" &amp; LOWER($B$8) &amp; "&amp;repository=" &amp; $B$18</f>
        <v>owner=thomas&amp;filename_for_metadata=InCasa_COR22D901&amp;offchaindata_platform=MongoDB&amp;keyfile=Paul&amp;network=jsonfiles&amp;repository=test</v>
      </c>
      <c r="U1064" s="1" t="str">
        <f t="shared" si="33"/>
        <v>{"name":"In Casa #901",_x000D_
"symbol":"COR22D901",_x000D_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4" s="1" t="str">
        <f>formatRow(Tokens!C$2:I$2,Tokens!C1064:I1064)</f>
        <v>"name":"In Casa #901",_x000D_
"symbol":"COR22D901",_x000D_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4" s="1" t="str">
        <f>formatRow(Tokens!J$2:AV$2,Tokens!J1064:AV1064,2,"attributes")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4" s="1" t="str">
        <f>formatRow(Tokens!AX$2:BC$2,Tokens!AX1064:BC1064,2,"creators")</f>
        <v>"creators":[{"address":"paul",_x000D_
"share":10},{"address":"sophie",_x000D_
"share":90}]</v>
      </c>
      <c r="Y1064" s="1" t="str">
        <f>formatRow(Tokens!BD$2:BI$2,Tokens!BD1064:BI1064,2,"files")</f>
        <v>"files":[]</v>
      </c>
      <c r="Z1064" s="1"/>
      <c r="AA1064" s="1"/>
      <c r="AB1064" s="1"/>
      <c r="AC1064" s="1" t="str">
        <f>formatRow(Tokens!BJ$2:BK$2,Tokens!BJ1064:BK1064,0,"collection")</f>
        <v>"collection":{"name":"In Casa",_x000D_
"family":"Calvi On The Rocks"}</v>
      </c>
    </row>
    <row r="1065" spans="5:29" ht="14.25" customHeight="1" x14ac:dyDescent="0.25">
      <c r="E1065" s="17" t="str">
        <f>IF(Tokens!C1065="","",Tokens!C1065)</f>
        <v>In Casa #902</v>
      </c>
      <c r="F1065" s="56"/>
      <c r="G1065" t="s">
        <v>164</v>
      </c>
      <c r="H1065" s="57" t="s">
        <v>165</v>
      </c>
      <c r="I1065" s="2" t="s">
        <v>166</v>
      </c>
      <c r="J1065" s="2" t="s">
        <v>167</v>
      </c>
      <c r="M1065" s="15"/>
      <c r="N1065">
        <v>6.9258811930000004</v>
      </c>
      <c r="O1065" s="15">
        <f t="shared" si="32"/>
        <v>0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1" t="str">
        <f>"owner=" &amp; Tokens!BS1065 &amp; "&amp;filename_for_metadata=" &amp; Tokens!BT1065 &amp; "&amp;offchaindata_platform=" &amp; $B$17 &amp; "&amp;keyfile=" &amp; $B$5 &amp; "&amp;network=" &amp; LOWER($B$8) &amp; "&amp;repository=" &amp; $B$18</f>
        <v>owner=thomas&amp;filename_for_metadata=InCasa_COR22D902&amp;offchaindata_platform=MongoDB&amp;keyfile=Paul&amp;network=jsonfiles&amp;repository=test</v>
      </c>
      <c r="U1065" s="1" t="str">
        <f t="shared" si="33"/>
        <v>{"name":"In Casa #902",_x000D_
"symbol":"COR22D902",_x000D_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5" s="1" t="str">
        <f>formatRow(Tokens!C$2:I$2,Tokens!C1065:I1065)</f>
        <v>"name":"In Casa #902",_x000D_
"symbol":"COR22D902",_x000D_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5" s="1" t="str">
        <f>formatRow(Tokens!J$2:AV$2,Tokens!J1065:AV1065,2,"attributes")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5" s="1" t="str">
        <f>formatRow(Tokens!AX$2:BC$2,Tokens!AX1065:BC1065,2,"creators")</f>
        <v>"creators":[{"address":"paul",_x000D_
"share":10},{"address":"sophie",_x000D_
"share":90}]</v>
      </c>
      <c r="Y1065" s="1" t="str">
        <f>formatRow(Tokens!BD$2:BI$2,Tokens!BD1065:BI1065,2,"files")</f>
        <v>"files":[]</v>
      </c>
      <c r="Z1065" s="1"/>
      <c r="AA1065" s="1"/>
      <c r="AB1065" s="1"/>
      <c r="AC1065" s="1" t="str">
        <f>formatRow(Tokens!BJ$2:BK$2,Tokens!BJ1065:BK1065,0,"collection")</f>
        <v>"collection":{"name":"In Casa",_x000D_
"family":"Calvi On The Rocks"}</v>
      </c>
    </row>
    <row r="1066" spans="5:29" ht="14.25" customHeight="1" x14ac:dyDescent="0.25">
      <c r="E1066" s="17" t="str">
        <f>IF(Tokens!C1066="","",Tokens!C1066)</f>
        <v>In Casa #903</v>
      </c>
      <c r="F1066" s="56"/>
      <c r="G1066" t="s">
        <v>164</v>
      </c>
      <c r="H1066" s="57" t="s">
        <v>165</v>
      </c>
      <c r="I1066" s="2" t="s">
        <v>166</v>
      </c>
      <c r="J1066" s="2" t="s">
        <v>167</v>
      </c>
      <c r="M1066" s="15"/>
      <c r="N1066">
        <v>6.9258811930000004</v>
      </c>
      <c r="O1066" s="15">
        <f t="shared" si="32"/>
        <v>0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1" t="str">
        <f>"owner=" &amp; Tokens!BS1066 &amp; "&amp;filename_for_metadata=" &amp; Tokens!BT1066 &amp; "&amp;offchaindata_platform=" &amp; $B$17 &amp; "&amp;keyfile=" &amp; $B$5 &amp; "&amp;network=" &amp; LOWER($B$8) &amp; "&amp;repository=" &amp; $B$18</f>
        <v>owner=thomas&amp;filename_for_metadata=InCasa_COR22D903&amp;offchaindata_platform=MongoDB&amp;keyfile=Paul&amp;network=jsonfiles&amp;repository=test</v>
      </c>
      <c r="U1066" s="1" t="str">
        <f t="shared" si="33"/>
        <v>{"name":"In Casa #903",_x000D_
"symbol":"COR22D903",_x000D_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6" s="1" t="str">
        <f>formatRow(Tokens!C$2:I$2,Tokens!C1066:I1066)</f>
        <v>"name":"In Casa #903",_x000D_
"symbol":"COR22D903",_x000D_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6" s="1" t="str">
        <f>formatRow(Tokens!J$2:AV$2,Tokens!J1066:AV1066,2,"attributes")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6" s="1" t="str">
        <f>formatRow(Tokens!AX$2:BC$2,Tokens!AX1066:BC1066,2,"creators")</f>
        <v>"creators":[{"address":"paul",_x000D_
"share":10},{"address":"sophie",_x000D_
"share":90}]</v>
      </c>
      <c r="Y1066" s="1" t="str">
        <f>formatRow(Tokens!BD$2:BI$2,Tokens!BD1066:BI1066,2,"files")</f>
        <v>"files":[]</v>
      </c>
      <c r="Z1066" s="1"/>
      <c r="AA1066" s="1"/>
      <c r="AB1066" s="1"/>
      <c r="AC1066" s="1" t="str">
        <f>formatRow(Tokens!BJ$2:BK$2,Tokens!BJ1066:BK1066,0,"collection")</f>
        <v>"collection":{"name":"In Casa",_x000D_
"family":"Calvi On The Rocks"}</v>
      </c>
    </row>
    <row r="1067" spans="5:29" ht="14.25" customHeight="1" x14ac:dyDescent="0.25">
      <c r="E1067" s="17" t="str">
        <f>IF(Tokens!C1067="","",Tokens!C1067)</f>
        <v>In Casa #904</v>
      </c>
      <c r="F1067" s="56"/>
      <c r="G1067" t="s">
        <v>164</v>
      </c>
      <c r="H1067" s="57" t="s">
        <v>165</v>
      </c>
      <c r="I1067" s="2" t="s">
        <v>166</v>
      </c>
      <c r="J1067" s="2" t="s">
        <v>167</v>
      </c>
      <c r="M1067" s="15"/>
      <c r="N1067">
        <v>6.9258811930000004</v>
      </c>
      <c r="O1067" s="15">
        <f t="shared" si="32"/>
        <v>0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1" t="str">
        <f>"owner=" &amp; Tokens!BS1067 &amp; "&amp;filename_for_metadata=" &amp; Tokens!BT1067 &amp; "&amp;offchaindata_platform=" &amp; $B$17 &amp; "&amp;keyfile=" &amp; $B$5 &amp; "&amp;network=" &amp; LOWER($B$8) &amp; "&amp;repository=" &amp; $B$18</f>
        <v>owner=thomas&amp;filename_for_metadata=InCasa_COR22D904&amp;offchaindata_platform=MongoDB&amp;keyfile=Paul&amp;network=jsonfiles&amp;repository=test</v>
      </c>
      <c r="U1067" s="1" t="str">
        <f t="shared" si="33"/>
        <v>{"name":"In Casa #904",_x000D_
"symbol":"COR22D904",_x000D_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7" s="1" t="str">
        <f>formatRow(Tokens!C$2:I$2,Tokens!C1067:I1067)</f>
        <v>"name":"In Casa #904",_x000D_
"symbol":"COR22D904",_x000D_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7" s="1" t="str">
        <f>formatRow(Tokens!J$2:AV$2,Tokens!J1067:AV1067,2,"attributes")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7" s="1" t="str">
        <f>formatRow(Tokens!AX$2:BC$2,Tokens!AX1067:BC1067,2,"creators")</f>
        <v>"creators":[{"address":"paul",_x000D_
"share":10},{"address":"sophie",_x000D_
"share":90}]</v>
      </c>
      <c r="Y1067" s="1" t="str">
        <f>formatRow(Tokens!BD$2:BI$2,Tokens!BD1067:BI1067,2,"files")</f>
        <v>"files":[]</v>
      </c>
      <c r="Z1067" s="1"/>
      <c r="AA1067" s="1"/>
      <c r="AB1067" s="1"/>
      <c r="AC1067" s="1" t="str">
        <f>formatRow(Tokens!BJ$2:BK$2,Tokens!BJ1067:BK1067,0,"collection")</f>
        <v>"collection":{"name":"In Casa",_x000D_
"family":"Calvi On The Rocks"}</v>
      </c>
    </row>
    <row r="1068" spans="5:29" ht="14.25" customHeight="1" x14ac:dyDescent="0.25">
      <c r="E1068" s="17" t="str">
        <f>IF(Tokens!C1068="","",Tokens!C1068)</f>
        <v>In Casa #905</v>
      </c>
      <c r="F1068" s="56"/>
      <c r="G1068" t="s">
        <v>164</v>
      </c>
      <c r="H1068" s="57" t="s">
        <v>165</v>
      </c>
      <c r="I1068" s="2" t="s">
        <v>166</v>
      </c>
      <c r="J1068" s="2" t="s">
        <v>167</v>
      </c>
      <c r="M1068" s="15"/>
      <c r="N1068">
        <v>6.9258811930000004</v>
      </c>
      <c r="O1068" s="15">
        <f t="shared" si="32"/>
        <v>0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1" t="str">
        <f>"owner=" &amp; Tokens!BS1068 &amp; "&amp;filename_for_metadata=" &amp; Tokens!BT1068 &amp; "&amp;offchaindata_platform=" &amp; $B$17 &amp; "&amp;keyfile=" &amp; $B$5 &amp; "&amp;network=" &amp; LOWER($B$8) &amp; "&amp;repository=" &amp; $B$18</f>
        <v>owner=thomas&amp;filename_for_metadata=InCasa_COR22D905&amp;offchaindata_platform=MongoDB&amp;keyfile=Paul&amp;network=jsonfiles&amp;repository=test</v>
      </c>
      <c r="U1068" s="1" t="str">
        <f t="shared" si="33"/>
        <v>{"name":"In Casa #905",_x000D_
"symbol":"COR22D905",_x000D_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8" s="1" t="str">
        <f>formatRow(Tokens!C$2:I$2,Tokens!C1068:I1068)</f>
        <v>"name":"In Casa #905",_x000D_
"symbol":"COR22D905",_x000D_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8" s="1" t="str">
        <f>formatRow(Tokens!J$2:AV$2,Tokens!J1068:AV1068,2,"attributes")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8" s="1" t="str">
        <f>formatRow(Tokens!AX$2:BC$2,Tokens!AX1068:BC1068,2,"creators")</f>
        <v>"creators":[{"address":"paul",_x000D_
"share":10},{"address":"sophie",_x000D_
"share":90}]</v>
      </c>
      <c r="Y1068" s="1" t="str">
        <f>formatRow(Tokens!BD$2:BI$2,Tokens!BD1068:BI1068,2,"files")</f>
        <v>"files":[]</v>
      </c>
      <c r="Z1068" s="1"/>
      <c r="AA1068" s="1"/>
      <c r="AB1068" s="1"/>
      <c r="AC1068" s="1" t="str">
        <f>formatRow(Tokens!BJ$2:BK$2,Tokens!BJ1068:BK1068,0,"collection")</f>
        <v>"collection":{"name":"In Casa",_x000D_
"family":"Calvi On The Rocks"}</v>
      </c>
    </row>
    <row r="1069" spans="5:29" ht="14.25" customHeight="1" x14ac:dyDescent="0.25">
      <c r="E1069" s="17" t="str">
        <f>IF(Tokens!C1069="","",Tokens!C1069)</f>
        <v>In Casa #906</v>
      </c>
      <c r="F1069" s="56"/>
      <c r="G1069" t="s">
        <v>164</v>
      </c>
      <c r="H1069" s="57" t="s">
        <v>165</v>
      </c>
      <c r="I1069" s="2" t="s">
        <v>166</v>
      </c>
      <c r="J1069" s="2" t="s">
        <v>167</v>
      </c>
      <c r="M1069" s="15"/>
      <c r="N1069">
        <v>6.9258811930000004</v>
      </c>
      <c r="O1069" s="15">
        <f t="shared" si="32"/>
        <v>0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1" t="str">
        <f>"owner=" &amp; Tokens!BS1069 &amp; "&amp;filename_for_metadata=" &amp; Tokens!BT1069 &amp; "&amp;offchaindata_platform=" &amp; $B$17 &amp; "&amp;keyfile=" &amp; $B$5 &amp; "&amp;network=" &amp; LOWER($B$8) &amp; "&amp;repository=" &amp; $B$18</f>
        <v>owner=thomas&amp;filename_for_metadata=InCasa_COR22D906&amp;offchaindata_platform=MongoDB&amp;keyfile=Paul&amp;network=jsonfiles&amp;repository=test</v>
      </c>
      <c r="U1069" s="1" t="str">
        <f t="shared" si="33"/>
        <v>{"name":"In Casa #906",_x000D_
"symbol":"COR22D906",_x000D_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69" s="1" t="str">
        <f>formatRow(Tokens!C$2:I$2,Tokens!C1069:I1069)</f>
        <v>"name":"In Casa #906",_x000D_
"symbol":"COR22D906",_x000D_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69" s="1" t="str">
        <f>formatRow(Tokens!J$2:AV$2,Tokens!J1069:AV1069,2,"attributes")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69" s="1" t="str">
        <f>formatRow(Tokens!AX$2:BC$2,Tokens!AX1069:BC1069,2,"creators")</f>
        <v>"creators":[{"address":"paul",_x000D_
"share":10},{"address":"sophie",_x000D_
"share":90}]</v>
      </c>
      <c r="Y1069" s="1" t="str">
        <f>formatRow(Tokens!BD$2:BI$2,Tokens!BD1069:BI1069,2,"files")</f>
        <v>"files":[]</v>
      </c>
      <c r="Z1069" s="1"/>
      <c r="AA1069" s="1"/>
      <c r="AB1069" s="1"/>
      <c r="AC1069" s="1" t="str">
        <f>formatRow(Tokens!BJ$2:BK$2,Tokens!BJ1069:BK1069,0,"collection")</f>
        <v>"collection":{"name":"In Casa",_x000D_
"family":"Calvi On The Rocks"}</v>
      </c>
    </row>
    <row r="1070" spans="5:29" ht="14.25" customHeight="1" x14ac:dyDescent="0.25">
      <c r="E1070" s="17" t="str">
        <f>IF(Tokens!C1070="","",Tokens!C1070)</f>
        <v>In Casa #907</v>
      </c>
      <c r="F1070" s="56"/>
      <c r="G1070" t="s">
        <v>164</v>
      </c>
      <c r="H1070" s="57" t="s">
        <v>165</v>
      </c>
      <c r="I1070" s="2" t="s">
        <v>166</v>
      </c>
      <c r="J1070" s="2" t="s">
        <v>167</v>
      </c>
      <c r="M1070" s="15"/>
      <c r="N1070">
        <v>6.9258811930000004</v>
      </c>
      <c r="O1070" s="15">
        <f t="shared" si="32"/>
        <v>0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1" t="str">
        <f>"owner=" &amp; Tokens!BS1070 &amp; "&amp;filename_for_metadata=" &amp; Tokens!BT1070 &amp; "&amp;offchaindata_platform=" &amp; $B$17 &amp; "&amp;keyfile=" &amp; $B$5 &amp; "&amp;network=" &amp; LOWER($B$8) &amp; "&amp;repository=" &amp; $B$18</f>
        <v>owner=thomas&amp;filename_for_metadata=InCasa_COR22D907&amp;offchaindata_platform=MongoDB&amp;keyfile=Paul&amp;network=jsonfiles&amp;repository=test</v>
      </c>
      <c r="U1070" s="1" t="str">
        <f t="shared" si="33"/>
        <v>{"name":"In Casa #907",_x000D_
"symbol":"COR22D907",_x000D_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0" s="1" t="str">
        <f>formatRow(Tokens!C$2:I$2,Tokens!C1070:I1070)</f>
        <v>"name":"In Casa #907",_x000D_
"symbol":"COR22D907",_x000D_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0" s="1" t="str">
        <f>formatRow(Tokens!J$2:AV$2,Tokens!J1070:AV1070,2,"attributes")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0" s="1" t="str">
        <f>formatRow(Tokens!AX$2:BC$2,Tokens!AX1070:BC1070,2,"creators")</f>
        <v>"creators":[{"address":"paul",_x000D_
"share":10},{"address":"sophie",_x000D_
"share":90}]</v>
      </c>
      <c r="Y1070" s="1" t="str">
        <f>formatRow(Tokens!BD$2:BI$2,Tokens!BD1070:BI1070,2,"files")</f>
        <v>"files":[]</v>
      </c>
      <c r="Z1070" s="1"/>
      <c r="AA1070" s="1"/>
      <c r="AB1070" s="1"/>
      <c r="AC1070" s="1" t="str">
        <f>formatRow(Tokens!BJ$2:BK$2,Tokens!BJ1070:BK1070,0,"collection")</f>
        <v>"collection":{"name":"In Casa",_x000D_
"family":"Calvi On The Rocks"}</v>
      </c>
    </row>
    <row r="1071" spans="5:29" ht="14.25" customHeight="1" x14ac:dyDescent="0.25">
      <c r="E1071" s="17" t="str">
        <f>IF(Tokens!C1071="","",Tokens!C1071)</f>
        <v>In Casa #908</v>
      </c>
      <c r="F1071" s="56"/>
      <c r="G1071" t="s">
        <v>164</v>
      </c>
      <c r="H1071" s="57" t="s">
        <v>165</v>
      </c>
      <c r="I1071" s="2" t="s">
        <v>166</v>
      </c>
      <c r="J1071" s="2" t="s">
        <v>167</v>
      </c>
      <c r="M1071" s="15"/>
      <c r="N1071">
        <v>6.9258811930000004</v>
      </c>
      <c r="O1071" s="15">
        <f t="shared" si="32"/>
        <v>0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1" t="str">
        <f>"owner=" &amp; Tokens!BS1071 &amp; "&amp;filename_for_metadata=" &amp; Tokens!BT1071 &amp; "&amp;offchaindata_platform=" &amp; $B$17 &amp; "&amp;keyfile=" &amp; $B$5 &amp; "&amp;network=" &amp; LOWER($B$8) &amp; "&amp;repository=" &amp; $B$18</f>
        <v>owner=thomas&amp;filename_for_metadata=InCasa_COR22D908&amp;offchaindata_platform=MongoDB&amp;keyfile=Paul&amp;network=jsonfiles&amp;repository=test</v>
      </c>
      <c r="U1071" s="1" t="str">
        <f t="shared" si="33"/>
        <v>{"name":"In Casa #908",_x000D_
"symbol":"COR22D908",_x000D_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1" s="1" t="str">
        <f>formatRow(Tokens!C$2:I$2,Tokens!C1071:I1071)</f>
        <v>"name":"In Casa #908",_x000D_
"symbol":"COR22D908",_x000D_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1" s="1" t="str">
        <f>formatRow(Tokens!J$2:AV$2,Tokens!J1071:AV1071,2,"attributes")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1" s="1" t="str">
        <f>formatRow(Tokens!AX$2:BC$2,Tokens!AX1071:BC1071,2,"creators")</f>
        <v>"creators":[{"address":"paul",_x000D_
"share":10},{"address":"sophie",_x000D_
"share":90}]</v>
      </c>
      <c r="Y1071" s="1" t="str">
        <f>formatRow(Tokens!BD$2:BI$2,Tokens!BD1071:BI1071,2,"files")</f>
        <v>"files":[]</v>
      </c>
      <c r="Z1071" s="1"/>
      <c r="AA1071" s="1"/>
      <c r="AB1071" s="1"/>
      <c r="AC1071" s="1" t="str">
        <f>formatRow(Tokens!BJ$2:BK$2,Tokens!BJ1071:BK1071,0,"collection")</f>
        <v>"collection":{"name":"In Casa",_x000D_
"family":"Calvi On The Rocks"}</v>
      </c>
    </row>
    <row r="1072" spans="5:29" ht="14.25" customHeight="1" x14ac:dyDescent="0.25">
      <c r="E1072" s="17" t="str">
        <f>IF(Tokens!C1072="","",Tokens!C1072)</f>
        <v>In Casa #909</v>
      </c>
      <c r="F1072" s="56"/>
      <c r="G1072" t="s">
        <v>164</v>
      </c>
      <c r="H1072" s="57" t="s">
        <v>165</v>
      </c>
      <c r="I1072" s="2" t="s">
        <v>166</v>
      </c>
      <c r="J1072" s="2" t="s">
        <v>167</v>
      </c>
      <c r="M1072" s="15"/>
      <c r="N1072">
        <v>6.9258811930000004</v>
      </c>
      <c r="O1072" s="15">
        <f t="shared" si="32"/>
        <v>0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1" t="str">
        <f>"owner=" &amp; Tokens!BS1072 &amp; "&amp;filename_for_metadata=" &amp; Tokens!BT1072 &amp; "&amp;offchaindata_platform=" &amp; $B$17 &amp; "&amp;keyfile=" &amp; $B$5 &amp; "&amp;network=" &amp; LOWER($B$8) &amp; "&amp;repository=" &amp; $B$18</f>
        <v>owner=thomas&amp;filename_for_metadata=InCasa_COR22D909&amp;offchaindata_platform=MongoDB&amp;keyfile=Paul&amp;network=jsonfiles&amp;repository=test</v>
      </c>
      <c r="U1072" s="1" t="str">
        <f t="shared" si="33"/>
        <v>{"name":"In Casa #909",_x000D_
"symbol":"COR22D909",_x000D_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2" s="1" t="str">
        <f>formatRow(Tokens!C$2:I$2,Tokens!C1072:I1072)</f>
        <v>"name":"In Casa #909",_x000D_
"symbol":"COR22D909",_x000D_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2" s="1" t="str">
        <f>formatRow(Tokens!J$2:AV$2,Tokens!J1072:AV1072,2,"attributes")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2" s="1" t="str">
        <f>formatRow(Tokens!AX$2:BC$2,Tokens!AX1072:BC1072,2,"creators")</f>
        <v>"creators":[{"address":"paul",_x000D_
"share":10},{"address":"sophie",_x000D_
"share":90}]</v>
      </c>
      <c r="Y1072" s="1" t="str">
        <f>formatRow(Tokens!BD$2:BI$2,Tokens!BD1072:BI1072,2,"files")</f>
        <v>"files":[]</v>
      </c>
      <c r="Z1072" s="1"/>
      <c r="AA1072" s="1"/>
      <c r="AB1072" s="1"/>
      <c r="AC1072" s="1" t="str">
        <f>formatRow(Tokens!BJ$2:BK$2,Tokens!BJ1072:BK1072,0,"collection")</f>
        <v>"collection":{"name":"In Casa",_x000D_
"family":"Calvi On The Rocks"}</v>
      </c>
    </row>
    <row r="1073" spans="5:29" ht="14.25" customHeight="1" x14ac:dyDescent="0.25">
      <c r="E1073" s="17" t="str">
        <f>IF(Tokens!C1073="","",Tokens!C1073)</f>
        <v>In Casa #910</v>
      </c>
      <c r="F1073" s="56"/>
      <c r="G1073" t="s">
        <v>164</v>
      </c>
      <c r="H1073" s="57" t="s">
        <v>165</v>
      </c>
      <c r="I1073" s="2" t="s">
        <v>166</v>
      </c>
      <c r="J1073" s="2" t="s">
        <v>167</v>
      </c>
      <c r="M1073" s="15"/>
      <c r="N1073">
        <v>6.9258811930000004</v>
      </c>
      <c r="O1073" s="15">
        <f t="shared" si="32"/>
        <v>0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1" t="str">
        <f>"owner=" &amp; Tokens!BS1073 &amp; "&amp;filename_for_metadata=" &amp; Tokens!BT1073 &amp; "&amp;offchaindata_platform=" &amp; $B$17 &amp; "&amp;keyfile=" &amp; $B$5 &amp; "&amp;network=" &amp; LOWER($B$8) &amp; "&amp;repository=" &amp; $B$18</f>
        <v>owner=thomas&amp;filename_for_metadata=InCasa_COR22D910&amp;offchaindata_platform=MongoDB&amp;keyfile=Paul&amp;network=jsonfiles&amp;repository=test</v>
      </c>
      <c r="U1073" s="1" t="str">
        <f t="shared" si="33"/>
        <v>{"name":"In Casa #910",_x000D_
"symbol":"COR22D910",_x000D_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3" s="1" t="str">
        <f>formatRow(Tokens!C$2:I$2,Tokens!C1073:I1073)</f>
        <v>"name":"In Casa #910",_x000D_
"symbol":"COR22D910",_x000D_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3" s="1" t="str">
        <f>formatRow(Tokens!J$2:AV$2,Tokens!J1073:AV1073,2,"attributes")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3" s="1" t="str">
        <f>formatRow(Tokens!AX$2:BC$2,Tokens!AX1073:BC1073,2,"creators")</f>
        <v>"creators":[{"address":"paul",_x000D_
"share":10},{"address":"sophie",_x000D_
"share":90}]</v>
      </c>
      <c r="Y1073" s="1" t="str">
        <f>formatRow(Tokens!BD$2:BI$2,Tokens!BD1073:BI1073,2,"files")</f>
        <v>"files":[]</v>
      </c>
      <c r="Z1073" s="1"/>
      <c r="AA1073" s="1"/>
      <c r="AB1073" s="1"/>
      <c r="AC1073" s="1" t="str">
        <f>formatRow(Tokens!BJ$2:BK$2,Tokens!BJ1073:BK1073,0,"collection")</f>
        <v>"collection":{"name":"In Casa",_x000D_
"family":"Calvi On The Rocks"}</v>
      </c>
    </row>
    <row r="1074" spans="5:29" ht="14.25" customHeight="1" x14ac:dyDescent="0.25">
      <c r="E1074" s="17" t="str">
        <f>IF(Tokens!C1074="","",Tokens!C1074)</f>
        <v>In Casa #911</v>
      </c>
      <c r="F1074" s="56"/>
      <c r="G1074" t="s">
        <v>164</v>
      </c>
      <c r="H1074" s="57" t="s">
        <v>165</v>
      </c>
      <c r="I1074" s="2" t="s">
        <v>166</v>
      </c>
      <c r="J1074" s="2" t="s">
        <v>167</v>
      </c>
      <c r="M1074" s="15"/>
      <c r="N1074">
        <v>6.9258811930000004</v>
      </c>
      <c r="O1074" s="15">
        <f t="shared" si="32"/>
        <v>0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1" t="str">
        <f>"owner=" &amp; Tokens!BS1074 &amp; "&amp;filename_for_metadata=" &amp; Tokens!BT1074 &amp; "&amp;offchaindata_platform=" &amp; $B$17 &amp; "&amp;keyfile=" &amp; $B$5 &amp; "&amp;network=" &amp; LOWER($B$8) &amp; "&amp;repository=" &amp; $B$18</f>
        <v>owner=thomas&amp;filename_for_metadata=InCasa_COR22D911&amp;offchaindata_platform=MongoDB&amp;keyfile=Paul&amp;network=jsonfiles&amp;repository=test</v>
      </c>
      <c r="U1074" s="1" t="str">
        <f t="shared" si="33"/>
        <v>{"name":"In Casa #911",_x000D_
"symbol":"COR22D911",_x000D_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4" s="1" t="str">
        <f>formatRow(Tokens!C$2:I$2,Tokens!C1074:I1074)</f>
        <v>"name":"In Casa #911",_x000D_
"symbol":"COR22D911",_x000D_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4" s="1" t="str">
        <f>formatRow(Tokens!J$2:AV$2,Tokens!J1074:AV1074,2,"attributes")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4" s="1" t="str">
        <f>formatRow(Tokens!AX$2:BC$2,Tokens!AX1074:BC1074,2,"creators")</f>
        <v>"creators":[{"address":"paul",_x000D_
"share":10},{"address":"sophie",_x000D_
"share":90}]</v>
      </c>
      <c r="Y1074" s="1" t="str">
        <f>formatRow(Tokens!BD$2:BI$2,Tokens!BD1074:BI1074,2,"files")</f>
        <v>"files":[]</v>
      </c>
      <c r="Z1074" s="1"/>
      <c r="AA1074" s="1"/>
      <c r="AB1074" s="1"/>
      <c r="AC1074" s="1" t="str">
        <f>formatRow(Tokens!BJ$2:BK$2,Tokens!BJ1074:BK1074,0,"collection")</f>
        <v>"collection":{"name":"In Casa",_x000D_
"family":"Calvi On The Rocks"}</v>
      </c>
    </row>
    <row r="1075" spans="5:29" ht="14.25" customHeight="1" x14ac:dyDescent="0.25">
      <c r="E1075" s="17" t="str">
        <f>IF(Tokens!C1075="","",Tokens!C1075)</f>
        <v>In Casa #912</v>
      </c>
      <c r="F1075" s="56"/>
      <c r="G1075" t="s">
        <v>164</v>
      </c>
      <c r="H1075" s="57" t="s">
        <v>165</v>
      </c>
      <c r="I1075" s="2" t="s">
        <v>166</v>
      </c>
      <c r="J1075" s="2" t="s">
        <v>167</v>
      </c>
      <c r="M1075" s="15"/>
      <c r="N1075">
        <v>6.9258811930000004</v>
      </c>
      <c r="O1075" s="15">
        <f t="shared" si="32"/>
        <v>0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1" t="str">
        <f>"owner=" &amp; Tokens!BS1075 &amp; "&amp;filename_for_metadata=" &amp; Tokens!BT1075 &amp; "&amp;offchaindata_platform=" &amp; $B$17 &amp; "&amp;keyfile=" &amp; $B$5 &amp; "&amp;network=" &amp; LOWER($B$8) &amp; "&amp;repository=" &amp; $B$18</f>
        <v>owner=thomas&amp;filename_for_metadata=InCasa_COR22D912&amp;offchaindata_platform=MongoDB&amp;keyfile=Paul&amp;network=jsonfiles&amp;repository=test</v>
      </c>
      <c r="U1075" s="1" t="str">
        <f t="shared" si="33"/>
        <v>{"name":"In Casa #912",_x000D_
"symbol":"COR22D912",_x000D_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5" s="1" t="str">
        <f>formatRow(Tokens!C$2:I$2,Tokens!C1075:I1075)</f>
        <v>"name":"In Casa #912",_x000D_
"symbol":"COR22D912",_x000D_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5" s="1" t="str">
        <f>formatRow(Tokens!J$2:AV$2,Tokens!J1075:AV1075,2,"attributes")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5" s="1" t="str">
        <f>formatRow(Tokens!AX$2:BC$2,Tokens!AX1075:BC1075,2,"creators")</f>
        <v>"creators":[{"address":"paul",_x000D_
"share":10},{"address":"sophie",_x000D_
"share":90}]</v>
      </c>
      <c r="Y1075" s="1" t="str">
        <f>formatRow(Tokens!BD$2:BI$2,Tokens!BD1075:BI1075,2,"files")</f>
        <v>"files":[]</v>
      </c>
      <c r="Z1075" s="1"/>
      <c r="AA1075" s="1"/>
      <c r="AB1075" s="1"/>
      <c r="AC1075" s="1" t="str">
        <f>formatRow(Tokens!BJ$2:BK$2,Tokens!BJ1075:BK1075,0,"collection")</f>
        <v>"collection":{"name":"In Casa",_x000D_
"family":"Calvi On The Rocks"}</v>
      </c>
    </row>
    <row r="1076" spans="5:29" ht="14.25" customHeight="1" x14ac:dyDescent="0.25">
      <c r="E1076" s="17" t="str">
        <f>IF(Tokens!C1076="","",Tokens!C1076)</f>
        <v>In Casa #913</v>
      </c>
      <c r="F1076" s="56"/>
      <c r="G1076" t="s">
        <v>164</v>
      </c>
      <c r="H1076" s="57" t="s">
        <v>165</v>
      </c>
      <c r="I1076" s="2" t="s">
        <v>166</v>
      </c>
      <c r="J1076" s="2" t="s">
        <v>167</v>
      </c>
      <c r="M1076" s="15"/>
      <c r="N1076">
        <v>6.9258811930000004</v>
      </c>
      <c r="O1076" s="15">
        <f t="shared" si="32"/>
        <v>0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1" t="str">
        <f>"owner=" &amp; Tokens!BS1076 &amp; "&amp;filename_for_metadata=" &amp; Tokens!BT1076 &amp; "&amp;offchaindata_platform=" &amp; $B$17 &amp; "&amp;keyfile=" &amp; $B$5 &amp; "&amp;network=" &amp; LOWER($B$8) &amp; "&amp;repository=" &amp; $B$18</f>
        <v>owner=thomas&amp;filename_for_metadata=InCasa_COR22D913&amp;offchaindata_platform=MongoDB&amp;keyfile=Paul&amp;network=jsonfiles&amp;repository=test</v>
      </c>
      <c r="U1076" s="1" t="str">
        <f t="shared" si="33"/>
        <v>{"name":"In Casa #913",_x000D_
"symbol":"COR22D913",_x000D_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6" s="1" t="str">
        <f>formatRow(Tokens!C$2:I$2,Tokens!C1076:I1076)</f>
        <v>"name":"In Casa #913",_x000D_
"symbol":"COR22D913",_x000D_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6" s="1" t="str">
        <f>formatRow(Tokens!J$2:AV$2,Tokens!J1076:AV1076,2,"attributes")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6" s="1" t="str">
        <f>formatRow(Tokens!AX$2:BC$2,Tokens!AX1076:BC1076,2,"creators")</f>
        <v>"creators":[{"address":"paul",_x000D_
"share":10},{"address":"sophie",_x000D_
"share":90}]</v>
      </c>
      <c r="Y1076" s="1" t="str">
        <f>formatRow(Tokens!BD$2:BI$2,Tokens!BD1076:BI1076,2,"files")</f>
        <v>"files":[]</v>
      </c>
      <c r="Z1076" s="1"/>
      <c r="AA1076" s="1"/>
      <c r="AB1076" s="1"/>
      <c r="AC1076" s="1" t="str">
        <f>formatRow(Tokens!BJ$2:BK$2,Tokens!BJ1076:BK1076,0,"collection")</f>
        <v>"collection":{"name":"In Casa",_x000D_
"family":"Calvi On The Rocks"}</v>
      </c>
    </row>
    <row r="1077" spans="5:29" ht="14.25" customHeight="1" x14ac:dyDescent="0.25">
      <c r="E1077" s="17" t="str">
        <f>IF(Tokens!C1077="","",Tokens!C1077)</f>
        <v>In Casa #914</v>
      </c>
      <c r="F1077" s="56"/>
      <c r="G1077" t="s">
        <v>164</v>
      </c>
      <c r="H1077" s="57" t="s">
        <v>165</v>
      </c>
      <c r="I1077" s="2" t="s">
        <v>166</v>
      </c>
      <c r="J1077" s="2" t="s">
        <v>167</v>
      </c>
      <c r="M1077" s="15"/>
      <c r="N1077">
        <v>6.9258811930000004</v>
      </c>
      <c r="O1077" s="15">
        <f t="shared" si="32"/>
        <v>0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1" t="str">
        <f>"owner=" &amp; Tokens!BS1077 &amp; "&amp;filename_for_metadata=" &amp; Tokens!BT1077 &amp; "&amp;offchaindata_platform=" &amp; $B$17 &amp; "&amp;keyfile=" &amp; $B$5 &amp; "&amp;network=" &amp; LOWER($B$8) &amp; "&amp;repository=" &amp; $B$18</f>
        <v>owner=thomas&amp;filename_for_metadata=InCasa_COR22D914&amp;offchaindata_platform=MongoDB&amp;keyfile=Paul&amp;network=jsonfiles&amp;repository=test</v>
      </c>
      <c r="U1077" s="1" t="str">
        <f t="shared" si="33"/>
        <v>{"name":"In Casa #914",_x000D_
"symbol":"COR22D914",_x000D_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7" s="1" t="str">
        <f>formatRow(Tokens!C$2:I$2,Tokens!C1077:I1077)</f>
        <v>"name":"In Casa #914",_x000D_
"symbol":"COR22D914",_x000D_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7" s="1" t="str">
        <f>formatRow(Tokens!J$2:AV$2,Tokens!J1077:AV1077,2,"attributes")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7" s="1" t="str">
        <f>formatRow(Tokens!AX$2:BC$2,Tokens!AX1077:BC1077,2,"creators")</f>
        <v>"creators":[{"address":"paul",_x000D_
"share":10},{"address":"sophie",_x000D_
"share":90}]</v>
      </c>
      <c r="Y1077" s="1" t="str">
        <f>formatRow(Tokens!BD$2:BI$2,Tokens!BD1077:BI1077,2,"files")</f>
        <v>"files":[]</v>
      </c>
      <c r="Z1077" s="1"/>
      <c r="AA1077" s="1"/>
      <c r="AB1077" s="1"/>
      <c r="AC1077" s="1" t="str">
        <f>formatRow(Tokens!BJ$2:BK$2,Tokens!BJ1077:BK1077,0,"collection")</f>
        <v>"collection":{"name":"In Casa",_x000D_
"family":"Calvi On The Rocks"}</v>
      </c>
    </row>
    <row r="1078" spans="5:29" ht="14.25" customHeight="1" x14ac:dyDescent="0.25">
      <c r="E1078" s="17" t="str">
        <f>IF(Tokens!C1078="","",Tokens!C1078)</f>
        <v>In Casa #915</v>
      </c>
      <c r="F1078" s="56"/>
      <c r="G1078" t="s">
        <v>164</v>
      </c>
      <c r="H1078" s="57" t="s">
        <v>165</v>
      </c>
      <c r="I1078" s="2" t="s">
        <v>166</v>
      </c>
      <c r="J1078" s="2" t="s">
        <v>167</v>
      </c>
      <c r="M1078" s="15"/>
      <c r="N1078">
        <v>6.9258811930000004</v>
      </c>
      <c r="O1078" s="15">
        <f t="shared" si="32"/>
        <v>0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1" t="str">
        <f>"owner=" &amp; Tokens!BS1078 &amp; "&amp;filename_for_metadata=" &amp; Tokens!BT1078 &amp; "&amp;offchaindata_platform=" &amp; $B$17 &amp; "&amp;keyfile=" &amp; $B$5 &amp; "&amp;network=" &amp; LOWER($B$8) &amp; "&amp;repository=" &amp; $B$18</f>
        <v>owner=thomas&amp;filename_for_metadata=InCasa_COR22D915&amp;offchaindata_platform=MongoDB&amp;keyfile=Paul&amp;network=jsonfiles&amp;repository=test</v>
      </c>
      <c r="U1078" s="1" t="str">
        <f t="shared" si="33"/>
        <v>{"name":"In Casa #915",_x000D_
"symbol":"COR22D915",_x000D_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8" s="1" t="str">
        <f>formatRow(Tokens!C$2:I$2,Tokens!C1078:I1078)</f>
        <v>"name":"In Casa #915",_x000D_
"symbol":"COR22D915",_x000D_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8" s="1" t="str">
        <f>formatRow(Tokens!J$2:AV$2,Tokens!J1078:AV1078,2,"attributes")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8" s="1" t="str">
        <f>formatRow(Tokens!AX$2:BC$2,Tokens!AX1078:BC1078,2,"creators")</f>
        <v>"creators":[{"address":"paul",_x000D_
"share":10},{"address":"sophie",_x000D_
"share":90}]</v>
      </c>
      <c r="Y1078" s="1" t="str">
        <f>formatRow(Tokens!BD$2:BI$2,Tokens!BD1078:BI1078,2,"files")</f>
        <v>"files":[]</v>
      </c>
      <c r="Z1078" s="1"/>
      <c r="AA1078" s="1"/>
      <c r="AB1078" s="1"/>
      <c r="AC1078" s="1" t="str">
        <f>formatRow(Tokens!BJ$2:BK$2,Tokens!BJ1078:BK1078,0,"collection")</f>
        <v>"collection":{"name":"In Casa",_x000D_
"family":"Calvi On The Rocks"}</v>
      </c>
    </row>
    <row r="1079" spans="5:29" ht="14.25" customHeight="1" x14ac:dyDescent="0.25">
      <c r="E1079" s="17" t="str">
        <f>IF(Tokens!C1079="","",Tokens!C1079)</f>
        <v>In Casa #916</v>
      </c>
      <c r="F1079" s="56"/>
      <c r="G1079" t="s">
        <v>164</v>
      </c>
      <c r="H1079" s="57" t="s">
        <v>165</v>
      </c>
      <c r="I1079" s="2" t="s">
        <v>166</v>
      </c>
      <c r="J1079" s="2" t="s">
        <v>167</v>
      </c>
      <c r="M1079" s="15"/>
      <c r="N1079">
        <v>6.9258811930000004</v>
      </c>
      <c r="O1079" s="15">
        <f t="shared" si="32"/>
        <v>0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1" t="str">
        <f>"owner=" &amp; Tokens!BS1079 &amp; "&amp;filename_for_metadata=" &amp; Tokens!BT1079 &amp; "&amp;offchaindata_platform=" &amp; $B$17 &amp; "&amp;keyfile=" &amp; $B$5 &amp; "&amp;network=" &amp; LOWER($B$8) &amp; "&amp;repository=" &amp; $B$18</f>
        <v>owner=thomas&amp;filename_for_metadata=InCasa_COR22D916&amp;offchaindata_platform=MongoDB&amp;keyfile=Paul&amp;network=jsonfiles&amp;repository=test</v>
      </c>
      <c r="U1079" s="1" t="str">
        <f t="shared" si="33"/>
        <v>{"name":"In Casa #916",_x000D_
"symbol":"COR22D916",_x000D_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79" s="1" t="str">
        <f>formatRow(Tokens!C$2:I$2,Tokens!C1079:I1079)</f>
        <v>"name":"In Casa #916",_x000D_
"symbol":"COR22D916",_x000D_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79" s="1" t="str">
        <f>formatRow(Tokens!J$2:AV$2,Tokens!J1079:AV1079,2,"attributes")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79" s="1" t="str">
        <f>formatRow(Tokens!AX$2:BC$2,Tokens!AX1079:BC1079,2,"creators")</f>
        <v>"creators":[{"address":"paul",_x000D_
"share":10},{"address":"sophie",_x000D_
"share":90}]</v>
      </c>
      <c r="Y1079" s="1" t="str">
        <f>formatRow(Tokens!BD$2:BI$2,Tokens!BD1079:BI1079,2,"files")</f>
        <v>"files":[]</v>
      </c>
      <c r="Z1079" s="1"/>
      <c r="AA1079" s="1"/>
      <c r="AB1079" s="1"/>
      <c r="AC1079" s="1" t="str">
        <f>formatRow(Tokens!BJ$2:BK$2,Tokens!BJ1079:BK1079,0,"collection")</f>
        <v>"collection":{"name":"In Casa",_x000D_
"family":"Calvi On The Rocks"}</v>
      </c>
    </row>
    <row r="1080" spans="5:29" ht="14.25" customHeight="1" x14ac:dyDescent="0.25">
      <c r="E1080" s="17" t="str">
        <f>IF(Tokens!C1080="","",Tokens!C1080)</f>
        <v>In Casa #917</v>
      </c>
      <c r="F1080" s="56"/>
      <c r="G1080" t="s">
        <v>164</v>
      </c>
      <c r="H1080" s="57" t="s">
        <v>165</v>
      </c>
      <c r="I1080" s="2" t="s">
        <v>166</v>
      </c>
      <c r="J1080" s="2" t="s">
        <v>167</v>
      </c>
      <c r="M1080" s="15"/>
      <c r="N1080">
        <v>6.9258811930000004</v>
      </c>
      <c r="O1080" s="15">
        <f t="shared" si="32"/>
        <v>0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1" t="str">
        <f>"owner=" &amp; Tokens!BS1080 &amp; "&amp;filename_for_metadata=" &amp; Tokens!BT1080 &amp; "&amp;offchaindata_platform=" &amp; $B$17 &amp; "&amp;keyfile=" &amp; $B$5 &amp; "&amp;network=" &amp; LOWER($B$8) &amp; "&amp;repository=" &amp; $B$18</f>
        <v>owner=thomas&amp;filename_for_metadata=InCasa_COR22D917&amp;offchaindata_platform=MongoDB&amp;keyfile=Paul&amp;network=jsonfiles&amp;repository=test</v>
      </c>
      <c r="U1080" s="1" t="str">
        <f t="shared" si="33"/>
        <v>{"name":"In Casa #917",_x000D_
"symbol":"COR22D917",_x000D_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0" s="1" t="str">
        <f>formatRow(Tokens!C$2:I$2,Tokens!C1080:I1080)</f>
        <v>"name":"In Casa #917",_x000D_
"symbol":"COR22D917",_x000D_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0" s="1" t="str">
        <f>formatRow(Tokens!J$2:AV$2,Tokens!J1080:AV1080,2,"attributes")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0" s="1" t="str">
        <f>formatRow(Tokens!AX$2:BC$2,Tokens!AX1080:BC1080,2,"creators")</f>
        <v>"creators":[{"address":"paul",_x000D_
"share":10},{"address":"sophie",_x000D_
"share":90}]</v>
      </c>
      <c r="Y1080" s="1" t="str">
        <f>formatRow(Tokens!BD$2:BI$2,Tokens!BD1080:BI1080,2,"files")</f>
        <v>"files":[]</v>
      </c>
      <c r="Z1080" s="1"/>
      <c r="AA1080" s="1"/>
      <c r="AB1080" s="1"/>
      <c r="AC1080" s="1" t="str">
        <f>formatRow(Tokens!BJ$2:BK$2,Tokens!BJ1080:BK1080,0,"collection")</f>
        <v>"collection":{"name":"In Casa",_x000D_
"family":"Calvi On The Rocks"}</v>
      </c>
    </row>
    <row r="1081" spans="5:29" ht="14.25" customHeight="1" x14ac:dyDescent="0.25">
      <c r="E1081" s="17" t="str">
        <f>IF(Tokens!C1081="","",Tokens!C1081)</f>
        <v>In Casa #918</v>
      </c>
      <c r="F1081" s="56"/>
      <c r="G1081" t="s">
        <v>164</v>
      </c>
      <c r="H1081" s="57" t="s">
        <v>165</v>
      </c>
      <c r="I1081" s="2" t="s">
        <v>166</v>
      </c>
      <c r="J1081" s="2" t="s">
        <v>167</v>
      </c>
      <c r="M1081" s="15"/>
      <c r="N1081">
        <v>6.9258811930000004</v>
      </c>
      <c r="O1081" s="15">
        <f t="shared" si="32"/>
        <v>0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1" t="str">
        <f>"owner=" &amp; Tokens!BS1081 &amp; "&amp;filename_for_metadata=" &amp; Tokens!BT1081 &amp; "&amp;offchaindata_platform=" &amp; $B$17 &amp; "&amp;keyfile=" &amp; $B$5 &amp; "&amp;network=" &amp; LOWER($B$8) &amp; "&amp;repository=" &amp; $B$18</f>
        <v>owner=thomas&amp;filename_for_metadata=InCasa_COR22D918&amp;offchaindata_platform=MongoDB&amp;keyfile=Paul&amp;network=jsonfiles&amp;repository=test</v>
      </c>
      <c r="U1081" s="1" t="str">
        <f t="shared" si="33"/>
        <v>{"name":"In Casa #918",_x000D_
"symbol":"COR22D918",_x000D_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1" s="1" t="str">
        <f>formatRow(Tokens!C$2:I$2,Tokens!C1081:I1081)</f>
        <v>"name":"In Casa #918",_x000D_
"symbol":"COR22D918",_x000D_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1" s="1" t="str">
        <f>formatRow(Tokens!J$2:AV$2,Tokens!J1081:AV1081,2,"attributes")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1" s="1" t="str">
        <f>formatRow(Tokens!AX$2:BC$2,Tokens!AX1081:BC1081,2,"creators")</f>
        <v>"creators":[{"address":"paul",_x000D_
"share":10},{"address":"sophie",_x000D_
"share":90}]</v>
      </c>
      <c r="Y1081" s="1" t="str">
        <f>formatRow(Tokens!BD$2:BI$2,Tokens!BD1081:BI1081,2,"files")</f>
        <v>"files":[]</v>
      </c>
      <c r="Z1081" s="1"/>
      <c r="AA1081" s="1"/>
      <c r="AB1081" s="1"/>
      <c r="AC1081" s="1" t="str">
        <f>formatRow(Tokens!BJ$2:BK$2,Tokens!BJ1081:BK1081,0,"collection")</f>
        <v>"collection":{"name":"In Casa",_x000D_
"family":"Calvi On The Rocks"}</v>
      </c>
    </row>
    <row r="1082" spans="5:29" ht="14.25" customHeight="1" x14ac:dyDescent="0.25">
      <c r="E1082" s="17" t="str">
        <f>IF(Tokens!C1082="","",Tokens!C1082)</f>
        <v>In Casa #919</v>
      </c>
      <c r="F1082" s="56"/>
      <c r="G1082" t="s">
        <v>164</v>
      </c>
      <c r="H1082" s="57" t="s">
        <v>165</v>
      </c>
      <c r="I1082" s="2" t="s">
        <v>166</v>
      </c>
      <c r="J1082" s="2" t="s">
        <v>167</v>
      </c>
      <c r="M1082" s="15"/>
      <c r="N1082">
        <v>6.9258811930000004</v>
      </c>
      <c r="O1082" s="15">
        <f t="shared" si="32"/>
        <v>0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1" t="str">
        <f>"owner=" &amp; Tokens!BS1082 &amp; "&amp;filename_for_metadata=" &amp; Tokens!BT1082 &amp; "&amp;offchaindata_platform=" &amp; $B$17 &amp; "&amp;keyfile=" &amp; $B$5 &amp; "&amp;network=" &amp; LOWER($B$8) &amp; "&amp;repository=" &amp; $B$18</f>
        <v>owner=thomas&amp;filename_for_metadata=InCasa_COR22D919&amp;offchaindata_platform=MongoDB&amp;keyfile=Paul&amp;network=jsonfiles&amp;repository=test</v>
      </c>
      <c r="U1082" s="1" t="str">
        <f t="shared" si="33"/>
        <v>{"name":"In Casa #919",_x000D_
"symbol":"COR22D919",_x000D_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2" s="1" t="str">
        <f>formatRow(Tokens!C$2:I$2,Tokens!C1082:I1082)</f>
        <v>"name":"In Casa #919",_x000D_
"symbol":"COR22D919",_x000D_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2" s="1" t="str">
        <f>formatRow(Tokens!J$2:AV$2,Tokens!J1082:AV1082,2,"attributes")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2" s="1" t="str">
        <f>formatRow(Tokens!AX$2:BC$2,Tokens!AX1082:BC1082,2,"creators")</f>
        <v>"creators":[{"address":"paul",_x000D_
"share":10},{"address":"sophie",_x000D_
"share":90}]</v>
      </c>
      <c r="Y1082" s="1" t="str">
        <f>formatRow(Tokens!BD$2:BI$2,Tokens!BD1082:BI1082,2,"files")</f>
        <v>"files":[]</v>
      </c>
      <c r="Z1082" s="1"/>
      <c r="AA1082" s="1"/>
      <c r="AB1082" s="1"/>
      <c r="AC1082" s="1" t="str">
        <f>formatRow(Tokens!BJ$2:BK$2,Tokens!BJ1082:BK1082,0,"collection")</f>
        <v>"collection":{"name":"In Casa",_x000D_
"family":"Calvi On The Rocks"}</v>
      </c>
    </row>
    <row r="1083" spans="5:29" ht="14.25" customHeight="1" x14ac:dyDescent="0.25">
      <c r="E1083" s="17" t="str">
        <f>IF(Tokens!C1083="","",Tokens!C1083)</f>
        <v>In Casa #920</v>
      </c>
      <c r="F1083" s="56"/>
      <c r="G1083" t="s">
        <v>164</v>
      </c>
      <c r="H1083" s="57" t="s">
        <v>165</v>
      </c>
      <c r="I1083" s="2" t="s">
        <v>166</v>
      </c>
      <c r="J1083" s="2" t="s">
        <v>167</v>
      </c>
      <c r="M1083" s="15"/>
      <c r="N1083">
        <v>6.9258811930000004</v>
      </c>
      <c r="O1083" s="15">
        <f t="shared" si="32"/>
        <v>0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1" t="str">
        <f>"owner=" &amp; Tokens!BS1083 &amp; "&amp;filename_for_metadata=" &amp; Tokens!BT1083 &amp; "&amp;offchaindata_platform=" &amp; $B$17 &amp; "&amp;keyfile=" &amp; $B$5 &amp; "&amp;network=" &amp; LOWER($B$8) &amp; "&amp;repository=" &amp; $B$18</f>
        <v>owner=thomas&amp;filename_for_metadata=InCasa_COR22D920&amp;offchaindata_platform=MongoDB&amp;keyfile=Paul&amp;network=jsonfiles&amp;repository=test</v>
      </c>
      <c r="U1083" s="1" t="str">
        <f t="shared" si="33"/>
        <v>{"name":"In Casa #920",_x000D_
"symbol":"COR22D920",_x000D_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3" s="1" t="str">
        <f>formatRow(Tokens!C$2:I$2,Tokens!C1083:I1083)</f>
        <v>"name":"In Casa #920",_x000D_
"symbol":"COR22D920",_x000D_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3" s="1" t="str">
        <f>formatRow(Tokens!J$2:AV$2,Tokens!J1083:AV1083,2,"attributes")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3" s="1" t="str">
        <f>formatRow(Tokens!AX$2:BC$2,Tokens!AX1083:BC1083,2,"creators")</f>
        <v>"creators":[{"address":"paul",_x000D_
"share":10},{"address":"sophie",_x000D_
"share":90}]</v>
      </c>
      <c r="Y1083" s="1" t="str">
        <f>formatRow(Tokens!BD$2:BI$2,Tokens!BD1083:BI1083,2,"files")</f>
        <v>"files":[]</v>
      </c>
      <c r="Z1083" s="1"/>
      <c r="AA1083" s="1"/>
      <c r="AB1083" s="1"/>
      <c r="AC1083" s="1" t="str">
        <f>formatRow(Tokens!BJ$2:BK$2,Tokens!BJ1083:BK1083,0,"collection")</f>
        <v>"collection":{"name":"In Casa",_x000D_
"family":"Calvi On The Rocks"}</v>
      </c>
    </row>
    <row r="1084" spans="5:29" ht="14.25" customHeight="1" x14ac:dyDescent="0.25">
      <c r="E1084" s="17" t="str">
        <f>IF(Tokens!C1084="","",Tokens!C1084)</f>
        <v>In Casa #921</v>
      </c>
      <c r="F1084" s="56"/>
      <c r="G1084" t="s">
        <v>164</v>
      </c>
      <c r="H1084" s="57" t="s">
        <v>165</v>
      </c>
      <c r="I1084" s="2" t="s">
        <v>166</v>
      </c>
      <c r="J1084" s="2" t="s">
        <v>167</v>
      </c>
      <c r="M1084" s="15"/>
      <c r="N1084">
        <v>6.9258811930000004</v>
      </c>
      <c r="O1084" s="15">
        <f t="shared" si="32"/>
        <v>0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1" t="str">
        <f>"owner=" &amp; Tokens!BS1084 &amp; "&amp;filename_for_metadata=" &amp; Tokens!BT1084 &amp; "&amp;offchaindata_platform=" &amp; $B$17 &amp; "&amp;keyfile=" &amp; $B$5 &amp; "&amp;network=" &amp; LOWER($B$8) &amp; "&amp;repository=" &amp; $B$18</f>
        <v>owner=thomas&amp;filename_for_metadata=InCasa_COR22D921&amp;offchaindata_platform=MongoDB&amp;keyfile=Paul&amp;network=jsonfiles&amp;repository=test</v>
      </c>
      <c r="U1084" s="1" t="str">
        <f t="shared" si="33"/>
        <v>{"name":"In Casa #921",_x000D_
"symbol":"COR22D921",_x000D_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4" s="1" t="str">
        <f>formatRow(Tokens!C$2:I$2,Tokens!C1084:I1084)</f>
        <v>"name":"In Casa #921",_x000D_
"symbol":"COR22D921",_x000D_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4" s="1" t="str">
        <f>formatRow(Tokens!J$2:AV$2,Tokens!J1084:AV1084,2,"attributes")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4" s="1" t="str">
        <f>formatRow(Tokens!AX$2:BC$2,Tokens!AX1084:BC1084,2,"creators")</f>
        <v>"creators":[{"address":"paul",_x000D_
"share":10},{"address":"sophie",_x000D_
"share":90}]</v>
      </c>
      <c r="Y1084" s="1" t="str">
        <f>formatRow(Tokens!BD$2:BI$2,Tokens!BD1084:BI1084,2,"files")</f>
        <v>"files":[]</v>
      </c>
      <c r="Z1084" s="1"/>
      <c r="AA1084" s="1"/>
      <c r="AB1084" s="1"/>
      <c r="AC1084" s="1" t="str">
        <f>formatRow(Tokens!BJ$2:BK$2,Tokens!BJ1084:BK1084,0,"collection")</f>
        <v>"collection":{"name":"In Casa",_x000D_
"family":"Calvi On The Rocks"}</v>
      </c>
    </row>
    <row r="1085" spans="5:29" ht="14.25" customHeight="1" x14ac:dyDescent="0.25">
      <c r="E1085" s="17" t="str">
        <f>IF(Tokens!C1085="","",Tokens!C1085)</f>
        <v>In Casa #922</v>
      </c>
      <c r="F1085" s="56"/>
      <c r="G1085" t="s">
        <v>164</v>
      </c>
      <c r="H1085" s="57" t="s">
        <v>165</v>
      </c>
      <c r="I1085" s="2" t="s">
        <v>166</v>
      </c>
      <c r="J1085" s="2" t="s">
        <v>167</v>
      </c>
      <c r="M1085" s="15"/>
      <c r="N1085">
        <v>6.9258811930000004</v>
      </c>
      <c r="O1085" s="15">
        <f t="shared" si="32"/>
        <v>0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1" t="str">
        <f>"owner=" &amp; Tokens!BS1085 &amp; "&amp;filename_for_metadata=" &amp; Tokens!BT1085 &amp; "&amp;offchaindata_platform=" &amp; $B$17 &amp; "&amp;keyfile=" &amp; $B$5 &amp; "&amp;network=" &amp; LOWER($B$8) &amp; "&amp;repository=" &amp; $B$18</f>
        <v>owner=thomas&amp;filename_for_metadata=InCasa_COR22D922&amp;offchaindata_platform=MongoDB&amp;keyfile=Paul&amp;network=jsonfiles&amp;repository=test</v>
      </c>
      <c r="U1085" s="1" t="str">
        <f t="shared" si="33"/>
        <v>{"name":"In Casa #922",_x000D_
"symbol":"COR22D922",_x000D_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5" s="1" t="str">
        <f>formatRow(Tokens!C$2:I$2,Tokens!C1085:I1085)</f>
        <v>"name":"In Casa #922",_x000D_
"symbol":"COR22D922",_x000D_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5" s="1" t="str">
        <f>formatRow(Tokens!J$2:AV$2,Tokens!J1085:AV1085,2,"attributes")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5" s="1" t="str">
        <f>formatRow(Tokens!AX$2:BC$2,Tokens!AX1085:BC1085,2,"creators")</f>
        <v>"creators":[{"address":"paul",_x000D_
"share":10},{"address":"sophie",_x000D_
"share":90}]</v>
      </c>
      <c r="Y1085" s="1" t="str">
        <f>formatRow(Tokens!BD$2:BI$2,Tokens!BD1085:BI1085,2,"files")</f>
        <v>"files":[]</v>
      </c>
      <c r="Z1085" s="1"/>
      <c r="AA1085" s="1"/>
      <c r="AB1085" s="1"/>
      <c r="AC1085" s="1" t="str">
        <f>formatRow(Tokens!BJ$2:BK$2,Tokens!BJ1085:BK1085,0,"collection")</f>
        <v>"collection":{"name":"In Casa",_x000D_
"family":"Calvi On The Rocks"}</v>
      </c>
    </row>
    <row r="1086" spans="5:29" ht="14.25" customHeight="1" x14ac:dyDescent="0.25">
      <c r="E1086" s="17" t="str">
        <f>IF(Tokens!C1086="","",Tokens!C1086)</f>
        <v>In Casa #923</v>
      </c>
      <c r="F1086" s="56"/>
      <c r="G1086" t="s">
        <v>164</v>
      </c>
      <c r="H1086" s="57" t="s">
        <v>165</v>
      </c>
      <c r="I1086" s="2" t="s">
        <v>166</v>
      </c>
      <c r="J1086" s="2" t="s">
        <v>167</v>
      </c>
      <c r="M1086" s="15"/>
      <c r="N1086">
        <v>6.9258811930000004</v>
      </c>
      <c r="O1086" s="15">
        <f t="shared" si="32"/>
        <v>0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1" t="str">
        <f>"owner=" &amp; Tokens!BS1086 &amp; "&amp;filename_for_metadata=" &amp; Tokens!BT1086 &amp; "&amp;offchaindata_platform=" &amp; $B$17 &amp; "&amp;keyfile=" &amp; $B$5 &amp; "&amp;network=" &amp; LOWER($B$8) &amp; "&amp;repository=" &amp; $B$18</f>
        <v>owner=thomas&amp;filename_for_metadata=InCasa_COR22D923&amp;offchaindata_platform=MongoDB&amp;keyfile=Paul&amp;network=jsonfiles&amp;repository=test</v>
      </c>
      <c r="U1086" s="1" t="str">
        <f t="shared" si="33"/>
        <v>{"name":"In Casa #923",_x000D_
"symbol":"COR22D923",_x000D_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6" s="1" t="str">
        <f>formatRow(Tokens!C$2:I$2,Tokens!C1086:I1086)</f>
        <v>"name":"In Casa #923",_x000D_
"symbol":"COR22D923",_x000D_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6" s="1" t="str">
        <f>formatRow(Tokens!J$2:AV$2,Tokens!J1086:AV1086,2,"attributes")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6" s="1" t="str">
        <f>formatRow(Tokens!AX$2:BC$2,Tokens!AX1086:BC1086,2,"creators")</f>
        <v>"creators":[{"address":"paul",_x000D_
"share":10},{"address":"sophie",_x000D_
"share":90}]</v>
      </c>
      <c r="Y1086" s="1" t="str">
        <f>formatRow(Tokens!BD$2:BI$2,Tokens!BD1086:BI1086,2,"files")</f>
        <v>"files":[]</v>
      </c>
      <c r="Z1086" s="1"/>
      <c r="AA1086" s="1"/>
      <c r="AB1086" s="1"/>
      <c r="AC1086" s="1" t="str">
        <f>formatRow(Tokens!BJ$2:BK$2,Tokens!BJ1086:BK1086,0,"collection")</f>
        <v>"collection":{"name":"In Casa",_x000D_
"family":"Calvi On The Rocks"}</v>
      </c>
    </row>
    <row r="1087" spans="5:29" ht="14.25" customHeight="1" x14ac:dyDescent="0.25">
      <c r="E1087" s="17" t="str">
        <f>IF(Tokens!C1087="","",Tokens!C1087)</f>
        <v>In Casa #924</v>
      </c>
      <c r="F1087" s="56"/>
      <c r="G1087" t="s">
        <v>164</v>
      </c>
      <c r="H1087" s="57" t="s">
        <v>165</v>
      </c>
      <c r="I1087" s="2" t="s">
        <v>166</v>
      </c>
      <c r="J1087" s="2" t="s">
        <v>167</v>
      </c>
      <c r="M1087" s="15"/>
      <c r="N1087">
        <v>6.9258811930000004</v>
      </c>
      <c r="O1087" s="15">
        <f t="shared" si="32"/>
        <v>0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1" t="str">
        <f>"owner=" &amp; Tokens!BS1087 &amp; "&amp;filename_for_metadata=" &amp; Tokens!BT1087 &amp; "&amp;offchaindata_platform=" &amp; $B$17 &amp; "&amp;keyfile=" &amp; $B$5 &amp; "&amp;network=" &amp; LOWER($B$8) &amp; "&amp;repository=" &amp; $B$18</f>
        <v>owner=thomas&amp;filename_for_metadata=InCasa_COR22D924&amp;offchaindata_platform=MongoDB&amp;keyfile=Paul&amp;network=jsonfiles&amp;repository=test</v>
      </c>
      <c r="U1087" s="1" t="str">
        <f t="shared" si="33"/>
        <v>{"name":"In Casa #924",_x000D_
"symbol":"COR22D924",_x000D_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7" s="1" t="str">
        <f>formatRow(Tokens!C$2:I$2,Tokens!C1087:I1087)</f>
        <v>"name":"In Casa #924",_x000D_
"symbol":"COR22D924",_x000D_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7" s="1" t="str">
        <f>formatRow(Tokens!J$2:AV$2,Tokens!J1087:AV1087,2,"attributes")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7" s="1" t="str">
        <f>formatRow(Tokens!AX$2:BC$2,Tokens!AX1087:BC1087,2,"creators")</f>
        <v>"creators":[{"address":"paul",_x000D_
"share":10},{"address":"sophie",_x000D_
"share":90}]</v>
      </c>
      <c r="Y1087" s="1" t="str">
        <f>formatRow(Tokens!BD$2:BI$2,Tokens!BD1087:BI1087,2,"files")</f>
        <v>"files":[]</v>
      </c>
      <c r="Z1087" s="1"/>
      <c r="AA1087" s="1"/>
      <c r="AB1087" s="1"/>
      <c r="AC1087" s="1" t="str">
        <f>formatRow(Tokens!BJ$2:BK$2,Tokens!BJ1087:BK1087,0,"collection")</f>
        <v>"collection":{"name":"In Casa",_x000D_
"family":"Calvi On The Rocks"}</v>
      </c>
    </row>
    <row r="1088" spans="5:29" ht="14.25" customHeight="1" x14ac:dyDescent="0.25">
      <c r="E1088" s="17" t="str">
        <f>IF(Tokens!C1088="","",Tokens!C1088)</f>
        <v>In Casa #925</v>
      </c>
      <c r="F1088" s="56"/>
      <c r="G1088" t="s">
        <v>164</v>
      </c>
      <c r="H1088" s="57" t="s">
        <v>165</v>
      </c>
      <c r="I1088" s="2" t="s">
        <v>166</v>
      </c>
      <c r="J1088" s="2" t="s">
        <v>167</v>
      </c>
      <c r="M1088" s="15"/>
      <c r="N1088">
        <v>6.9258811930000004</v>
      </c>
      <c r="O1088" s="15">
        <f t="shared" si="32"/>
        <v>0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1" t="str">
        <f>"owner=" &amp; Tokens!BS1088 &amp; "&amp;filename_for_metadata=" &amp; Tokens!BT1088 &amp; "&amp;offchaindata_platform=" &amp; $B$17 &amp; "&amp;keyfile=" &amp; $B$5 &amp; "&amp;network=" &amp; LOWER($B$8) &amp; "&amp;repository=" &amp; $B$18</f>
        <v>owner=thomas&amp;filename_for_metadata=InCasa_COR22D925&amp;offchaindata_platform=MongoDB&amp;keyfile=Paul&amp;network=jsonfiles&amp;repository=test</v>
      </c>
      <c r="U1088" s="1" t="str">
        <f t="shared" si="33"/>
        <v>{"name":"In Casa #925",_x000D_
"symbol":"COR22D925",_x000D_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8" s="1" t="str">
        <f>formatRow(Tokens!C$2:I$2,Tokens!C1088:I1088)</f>
        <v>"name":"In Casa #925",_x000D_
"symbol":"COR22D925",_x000D_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8" s="1" t="str">
        <f>formatRow(Tokens!J$2:AV$2,Tokens!J1088:AV1088,2,"attributes")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8" s="1" t="str">
        <f>formatRow(Tokens!AX$2:BC$2,Tokens!AX1088:BC1088,2,"creators")</f>
        <v>"creators":[{"address":"paul",_x000D_
"share":10},{"address":"sophie",_x000D_
"share":90}]</v>
      </c>
      <c r="Y1088" s="1" t="str">
        <f>formatRow(Tokens!BD$2:BI$2,Tokens!BD1088:BI1088,2,"files")</f>
        <v>"files":[]</v>
      </c>
      <c r="Z1088" s="1"/>
      <c r="AA1088" s="1"/>
      <c r="AB1088" s="1"/>
      <c r="AC1088" s="1" t="str">
        <f>formatRow(Tokens!BJ$2:BK$2,Tokens!BJ1088:BK1088,0,"collection")</f>
        <v>"collection":{"name":"In Casa",_x000D_
"family":"Calvi On The Rocks"}</v>
      </c>
    </row>
    <row r="1089" spans="5:29" ht="14.25" customHeight="1" x14ac:dyDescent="0.25">
      <c r="E1089" s="17" t="str">
        <f>IF(Tokens!C1089="","",Tokens!C1089)</f>
        <v>In Casa #926</v>
      </c>
      <c r="F1089" s="56"/>
      <c r="G1089" t="s">
        <v>164</v>
      </c>
      <c r="H1089" s="57" t="s">
        <v>165</v>
      </c>
      <c r="I1089" s="2" t="s">
        <v>166</v>
      </c>
      <c r="J1089" s="2" t="s">
        <v>167</v>
      </c>
      <c r="M1089" s="15"/>
      <c r="N1089">
        <v>6.9258811930000004</v>
      </c>
      <c r="O1089" s="15">
        <f t="shared" si="32"/>
        <v>0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1" t="str">
        <f>"owner=" &amp; Tokens!BS1089 &amp; "&amp;filename_for_metadata=" &amp; Tokens!BT1089 &amp; "&amp;offchaindata_platform=" &amp; $B$17 &amp; "&amp;keyfile=" &amp; $B$5 &amp; "&amp;network=" &amp; LOWER($B$8) &amp; "&amp;repository=" &amp; $B$18</f>
        <v>owner=thomas&amp;filename_for_metadata=InCasa_COR22D926&amp;offchaindata_platform=MongoDB&amp;keyfile=Paul&amp;network=jsonfiles&amp;repository=test</v>
      </c>
      <c r="U1089" s="1" t="str">
        <f t="shared" si="33"/>
        <v>{"name":"In Casa #926",_x000D_
"symbol":"COR22D926",_x000D_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89" s="1" t="str">
        <f>formatRow(Tokens!C$2:I$2,Tokens!C1089:I1089)</f>
        <v>"name":"In Casa #926",_x000D_
"symbol":"COR22D926",_x000D_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89" s="1" t="str">
        <f>formatRow(Tokens!J$2:AV$2,Tokens!J1089:AV1089,2,"attributes")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89" s="1" t="str">
        <f>formatRow(Tokens!AX$2:BC$2,Tokens!AX1089:BC1089,2,"creators")</f>
        <v>"creators":[{"address":"paul",_x000D_
"share":10},{"address":"sophie",_x000D_
"share":90}]</v>
      </c>
      <c r="Y1089" s="1" t="str">
        <f>formatRow(Tokens!BD$2:BI$2,Tokens!BD1089:BI1089,2,"files")</f>
        <v>"files":[]</v>
      </c>
      <c r="Z1089" s="1"/>
      <c r="AA1089" s="1"/>
      <c r="AB1089" s="1"/>
      <c r="AC1089" s="1" t="str">
        <f>formatRow(Tokens!BJ$2:BK$2,Tokens!BJ1089:BK1089,0,"collection")</f>
        <v>"collection":{"name":"In Casa",_x000D_
"family":"Calvi On The Rocks"}</v>
      </c>
    </row>
    <row r="1090" spans="5:29" ht="14.25" customHeight="1" x14ac:dyDescent="0.25">
      <c r="E1090" s="17" t="str">
        <f>IF(Tokens!C1090="","",Tokens!C1090)</f>
        <v>In Casa #927</v>
      </c>
      <c r="F1090" s="56"/>
      <c r="G1090" t="s">
        <v>164</v>
      </c>
      <c r="H1090" s="57" t="s">
        <v>165</v>
      </c>
      <c r="I1090" s="2" t="s">
        <v>166</v>
      </c>
      <c r="J1090" s="2" t="s">
        <v>167</v>
      </c>
      <c r="M1090" s="15"/>
      <c r="N1090">
        <v>6.9258811930000004</v>
      </c>
      <c r="O1090" s="15">
        <f t="shared" si="32"/>
        <v>0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1" t="str">
        <f>"owner=" &amp; Tokens!BS1090 &amp; "&amp;filename_for_metadata=" &amp; Tokens!BT1090 &amp; "&amp;offchaindata_platform=" &amp; $B$17 &amp; "&amp;keyfile=" &amp; $B$5 &amp; "&amp;network=" &amp; LOWER($B$8) &amp; "&amp;repository=" &amp; $B$18</f>
        <v>owner=thomas&amp;filename_for_metadata=InCasa_COR22D927&amp;offchaindata_platform=MongoDB&amp;keyfile=Paul&amp;network=jsonfiles&amp;repository=test</v>
      </c>
      <c r="U1090" s="1" t="str">
        <f t="shared" si="33"/>
        <v>{"name":"In Casa #927",_x000D_
"symbol":"COR22D927",_x000D_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0" s="1" t="str">
        <f>formatRow(Tokens!C$2:I$2,Tokens!C1090:I1090)</f>
        <v>"name":"In Casa #927",_x000D_
"symbol":"COR22D927",_x000D_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0" s="1" t="str">
        <f>formatRow(Tokens!J$2:AV$2,Tokens!J1090:AV1090,2,"attributes")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0" s="1" t="str">
        <f>formatRow(Tokens!AX$2:BC$2,Tokens!AX1090:BC1090,2,"creators")</f>
        <v>"creators":[{"address":"paul",_x000D_
"share":10},{"address":"sophie",_x000D_
"share":90}]</v>
      </c>
      <c r="Y1090" s="1" t="str">
        <f>formatRow(Tokens!BD$2:BI$2,Tokens!BD1090:BI1090,2,"files")</f>
        <v>"files":[]</v>
      </c>
      <c r="Z1090" s="1"/>
      <c r="AA1090" s="1"/>
      <c r="AB1090" s="1"/>
      <c r="AC1090" s="1" t="str">
        <f>formatRow(Tokens!BJ$2:BK$2,Tokens!BJ1090:BK1090,0,"collection")</f>
        <v>"collection":{"name":"In Casa",_x000D_
"family":"Calvi On The Rocks"}</v>
      </c>
    </row>
    <row r="1091" spans="5:29" ht="14.25" customHeight="1" x14ac:dyDescent="0.25">
      <c r="E1091" s="17" t="str">
        <f>IF(Tokens!C1091="","",Tokens!C1091)</f>
        <v>In Casa #928</v>
      </c>
      <c r="F1091" s="56"/>
      <c r="G1091" t="s">
        <v>164</v>
      </c>
      <c r="H1091" s="57" t="s">
        <v>165</v>
      </c>
      <c r="I1091" s="2" t="s">
        <v>166</v>
      </c>
      <c r="J1091" s="2" t="s">
        <v>167</v>
      </c>
      <c r="M1091" s="15"/>
      <c r="N1091">
        <v>6.9258811930000004</v>
      </c>
      <c r="O1091" s="15">
        <f t="shared" si="32"/>
        <v>0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1" t="str">
        <f>"owner=" &amp; Tokens!BS1091 &amp; "&amp;filename_for_metadata=" &amp; Tokens!BT1091 &amp; "&amp;offchaindata_platform=" &amp; $B$17 &amp; "&amp;keyfile=" &amp; $B$5 &amp; "&amp;network=" &amp; LOWER($B$8) &amp; "&amp;repository=" &amp; $B$18</f>
        <v>owner=thomas&amp;filename_for_metadata=InCasa_COR22D928&amp;offchaindata_platform=MongoDB&amp;keyfile=Paul&amp;network=jsonfiles&amp;repository=test</v>
      </c>
      <c r="U1091" s="1" t="str">
        <f t="shared" si="33"/>
        <v>{"name":"In Casa #928",_x000D_
"symbol":"COR22D928",_x000D_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1" s="1" t="str">
        <f>formatRow(Tokens!C$2:I$2,Tokens!C1091:I1091)</f>
        <v>"name":"In Casa #928",_x000D_
"symbol":"COR22D928",_x000D_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1" s="1" t="str">
        <f>formatRow(Tokens!J$2:AV$2,Tokens!J1091:AV1091,2,"attributes")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1" s="1" t="str">
        <f>formatRow(Tokens!AX$2:BC$2,Tokens!AX1091:BC1091,2,"creators")</f>
        <v>"creators":[{"address":"paul",_x000D_
"share":10},{"address":"sophie",_x000D_
"share":90}]</v>
      </c>
      <c r="Y1091" s="1" t="str">
        <f>formatRow(Tokens!BD$2:BI$2,Tokens!BD1091:BI1091,2,"files")</f>
        <v>"files":[]</v>
      </c>
      <c r="Z1091" s="1"/>
      <c r="AA1091" s="1"/>
      <c r="AB1091" s="1"/>
      <c r="AC1091" s="1" t="str">
        <f>formatRow(Tokens!BJ$2:BK$2,Tokens!BJ1091:BK1091,0,"collection")</f>
        <v>"collection":{"name":"In Casa",_x000D_
"family":"Calvi On The Rocks"}</v>
      </c>
    </row>
    <row r="1092" spans="5:29" ht="14.25" customHeight="1" x14ac:dyDescent="0.25">
      <c r="E1092" s="17" t="str">
        <f>IF(Tokens!C1092="","",Tokens!C1092)</f>
        <v>In Casa #929</v>
      </c>
      <c r="F1092" s="56"/>
      <c r="G1092" t="s">
        <v>164</v>
      </c>
      <c r="H1092" s="57" t="s">
        <v>165</v>
      </c>
      <c r="I1092" s="2" t="s">
        <v>166</v>
      </c>
      <c r="J1092" s="2" t="s">
        <v>167</v>
      </c>
      <c r="M1092" s="15"/>
      <c r="N1092">
        <v>6.9258811930000004</v>
      </c>
      <c r="O1092" s="15">
        <f t="shared" ref="O1092:O1155" si="34">IF(AND(ISNUMBER(N1091),ISNUMBER(N1092)),(N1092-N1091)*$O$1,"_")</f>
        <v>0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1" t="str">
        <f>"owner=" &amp; Tokens!BS1092 &amp; "&amp;filename_for_metadata=" &amp; Tokens!BT1092 &amp; "&amp;offchaindata_platform=" &amp; $B$17 &amp; "&amp;keyfile=" &amp; $B$5 &amp; "&amp;network=" &amp; LOWER($B$8) &amp; "&amp;repository=" &amp; $B$18</f>
        <v>owner=thomas&amp;filename_for_metadata=InCasa_COR22D929&amp;offchaindata_platform=MongoDB&amp;keyfile=Paul&amp;network=jsonfiles&amp;repository=test</v>
      </c>
      <c r="U1092" s="1" t="str">
        <f t="shared" si="33"/>
        <v>{"name":"In Casa #929",_x000D_
"symbol":"COR22D929",_x000D_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2" s="1" t="str">
        <f>formatRow(Tokens!C$2:I$2,Tokens!C1092:I1092)</f>
        <v>"name":"In Casa #929",_x000D_
"symbol":"COR22D929",_x000D_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2" s="1" t="str">
        <f>formatRow(Tokens!J$2:AV$2,Tokens!J1092:AV1092,2,"attributes")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2" s="1" t="str">
        <f>formatRow(Tokens!AX$2:BC$2,Tokens!AX1092:BC1092,2,"creators")</f>
        <v>"creators":[{"address":"paul",_x000D_
"share":10},{"address":"sophie",_x000D_
"share":90}]</v>
      </c>
      <c r="Y1092" s="1" t="str">
        <f>formatRow(Tokens!BD$2:BI$2,Tokens!BD1092:BI1092,2,"files")</f>
        <v>"files":[]</v>
      </c>
      <c r="Z1092" s="1"/>
      <c r="AA1092" s="1"/>
      <c r="AB1092" s="1"/>
      <c r="AC1092" s="1" t="str">
        <f>formatRow(Tokens!BJ$2:BK$2,Tokens!BJ1092:BK1092,0,"collection")</f>
        <v>"collection":{"name":"In Casa",_x000D_
"family":"Calvi On The Rocks"}</v>
      </c>
    </row>
    <row r="1093" spans="5:29" ht="14.25" customHeight="1" x14ac:dyDescent="0.25">
      <c r="E1093" s="17" t="str">
        <f>IF(Tokens!C1093="","",Tokens!C1093)</f>
        <v>In Casa #930</v>
      </c>
      <c r="F1093" s="56"/>
      <c r="G1093" t="s">
        <v>164</v>
      </c>
      <c r="H1093" s="57" t="s">
        <v>165</v>
      </c>
      <c r="I1093" s="2" t="s">
        <v>166</v>
      </c>
      <c r="J1093" s="2" t="s">
        <v>167</v>
      </c>
      <c r="M1093" s="15"/>
      <c r="N1093">
        <v>6.9258811930000004</v>
      </c>
      <c r="O1093" s="15">
        <f t="shared" si="34"/>
        <v>0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1" t="str">
        <f>"owner=" &amp; Tokens!BS1093 &amp; "&amp;filename_for_metadata=" &amp; Tokens!BT1093 &amp; "&amp;offchaindata_platform=" &amp; $B$17 &amp; "&amp;keyfile=" &amp; $B$5 &amp; "&amp;network=" &amp; LOWER($B$8) &amp; "&amp;repository=" &amp; $B$18</f>
        <v>owner=thomas&amp;filename_for_metadata=InCasa_COR22D930&amp;offchaindata_platform=MongoDB&amp;keyfile=Paul&amp;network=jsonfiles&amp;repository=test</v>
      </c>
      <c r="U1093" s="1" t="str">
        <f t="shared" ref="U1093:U1156" si="35">"{" &amp; V1093 &amp; "," &amp; W1093 &amp; "," &amp; """properties"":{" &amp; X1093 &amp; "," &amp; Y1093 &amp; "}," &amp; AC1093 &amp; "}"</f>
        <v>{"name":"In Casa #930",_x000D_
"symbol":"COR22D930",_x000D_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3" s="1" t="str">
        <f>formatRow(Tokens!C$2:I$2,Tokens!C1093:I1093)</f>
        <v>"name":"In Casa #930",_x000D_
"symbol":"COR22D930",_x000D_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3" s="1" t="str">
        <f>formatRow(Tokens!J$2:AV$2,Tokens!J1093:AV1093,2,"attributes")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3" s="1" t="str">
        <f>formatRow(Tokens!AX$2:BC$2,Tokens!AX1093:BC1093,2,"creators")</f>
        <v>"creators":[{"address":"paul",_x000D_
"share":10},{"address":"sophie",_x000D_
"share":90}]</v>
      </c>
      <c r="Y1093" s="1" t="str">
        <f>formatRow(Tokens!BD$2:BI$2,Tokens!BD1093:BI1093,2,"files")</f>
        <v>"files":[]</v>
      </c>
      <c r="Z1093" s="1"/>
      <c r="AA1093" s="1"/>
      <c r="AB1093" s="1"/>
      <c r="AC1093" s="1" t="str">
        <f>formatRow(Tokens!BJ$2:BK$2,Tokens!BJ1093:BK1093,0,"collection")</f>
        <v>"collection":{"name":"In Casa",_x000D_
"family":"Calvi On The Rocks"}</v>
      </c>
    </row>
    <row r="1094" spans="5:29" ht="14.25" customHeight="1" x14ac:dyDescent="0.25">
      <c r="E1094" s="17" t="str">
        <f>IF(Tokens!C1094="","",Tokens!C1094)</f>
        <v>In Casa #931</v>
      </c>
      <c r="F1094" s="56"/>
      <c r="G1094" t="s">
        <v>164</v>
      </c>
      <c r="H1094" s="57" t="s">
        <v>165</v>
      </c>
      <c r="I1094" s="2" t="s">
        <v>166</v>
      </c>
      <c r="J1094" s="2" t="s">
        <v>167</v>
      </c>
      <c r="M1094" s="15"/>
      <c r="N1094">
        <v>6.9258811930000004</v>
      </c>
      <c r="O1094" s="15">
        <f t="shared" si="34"/>
        <v>0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1" t="str">
        <f>"owner=" &amp; Tokens!BS1094 &amp; "&amp;filename_for_metadata=" &amp; Tokens!BT1094 &amp; "&amp;offchaindata_platform=" &amp; $B$17 &amp; "&amp;keyfile=" &amp; $B$5 &amp; "&amp;network=" &amp; LOWER($B$8) &amp; "&amp;repository=" &amp; $B$18</f>
        <v>owner=thomas&amp;filename_for_metadata=InCasa_COR22D931&amp;offchaindata_platform=MongoDB&amp;keyfile=Paul&amp;network=jsonfiles&amp;repository=test</v>
      </c>
      <c r="U1094" s="1" t="str">
        <f t="shared" si="35"/>
        <v>{"name":"In Casa #931",_x000D_
"symbol":"COR22D931",_x000D_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4" s="1" t="str">
        <f>formatRow(Tokens!C$2:I$2,Tokens!C1094:I1094)</f>
        <v>"name":"In Casa #931",_x000D_
"symbol":"COR22D931",_x000D_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4" s="1" t="str">
        <f>formatRow(Tokens!J$2:AV$2,Tokens!J1094:AV1094,2,"attributes")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4" s="1" t="str">
        <f>formatRow(Tokens!AX$2:BC$2,Tokens!AX1094:BC1094,2,"creators")</f>
        <v>"creators":[{"address":"paul",_x000D_
"share":10},{"address":"sophie",_x000D_
"share":90}]</v>
      </c>
      <c r="Y1094" s="1" t="str">
        <f>formatRow(Tokens!BD$2:BI$2,Tokens!BD1094:BI1094,2,"files")</f>
        <v>"files":[]</v>
      </c>
      <c r="Z1094" s="1"/>
      <c r="AA1094" s="1"/>
      <c r="AB1094" s="1"/>
      <c r="AC1094" s="1" t="str">
        <f>formatRow(Tokens!BJ$2:BK$2,Tokens!BJ1094:BK1094,0,"collection")</f>
        <v>"collection":{"name":"In Casa",_x000D_
"family":"Calvi On The Rocks"}</v>
      </c>
    </row>
    <row r="1095" spans="5:29" ht="14.25" customHeight="1" x14ac:dyDescent="0.25">
      <c r="E1095" s="17" t="str">
        <f>IF(Tokens!C1095="","",Tokens!C1095)</f>
        <v>In Casa #932</v>
      </c>
      <c r="F1095" s="56"/>
      <c r="G1095" t="s">
        <v>164</v>
      </c>
      <c r="H1095" s="57" t="s">
        <v>165</v>
      </c>
      <c r="I1095" s="2" t="s">
        <v>166</v>
      </c>
      <c r="J1095" s="2" t="s">
        <v>167</v>
      </c>
      <c r="M1095" s="15"/>
      <c r="N1095">
        <v>6.9258811930000004</v>
      </c>
      <c r="O1095" s="15">
        <f t="shared" si="34"/>
        <v>0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1" t="str">
        <f>"owner=" &amp; Tokens!BS1095 &amp; "&amp;filename_for_metadata=" &amp; Tokens!BT1095 &amp; "&amp;offchaindata_platform=" &amp; $B$17 &amp; "&amp;keyfile=" &amp; $B$5 &amp; "&amp;network=" &amp; LOWER($B$8) &amp; "&amp;repository=" &amp; $B$18</f>
        <v>owner=thomas&amp;filename_for_metadata=InCasa_COR22D932&amp;offchaindata_platform=MongoDB&amp;keyfile=Paul&amp;network=jsonfiles&amp;repository=test</v>
      </c>
      <c r="U1095" s="1" t="str">
        <f t="shared" si="35"/>
        <v>{"name":"In Casa #932",_x000D_
"symbol":"COR22D932",_x000D_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5" s="1" t="str">
        <f>formatRow(Tokens!C$2:I$2,Tokens!C1095:I1095)</f>
        <v>"name":"In Casa #932",_x000D_
"symbol":"COR22D932",_x000D_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5" s="1" t="str">
        <f>formatRow(Tokens!J$2:AV$2,Tokens!J1095:AV1095,2,"attributes")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5" s="1" t="str">
        <f>formatRow(Tokens!AX$2:BC$2,Tokens!AX1095:BC1095,2,"creators")</f>
        <v>"creators":[{"address":"paul",_x000D_
"share":10},{"address":"sophie",_x000D_
"share":90}]</v>
      </c>
      <c r="Y1095" s="1" t="str">
        <f>formatRow(Tokens!BD$2:BI$2,Tokens!BD1095:BI1095,2,"files")</f>
        <v>"files":[]</v>
      </c>
      <c r="Z1095" s="1"/>
      <c r="AA1095" s="1"/>
      <c r="AB1095" s="1"/>
      <c r="AC1095" s="1" t="str">
        <f>formatRow(Tokens!BJ$2:BK$2,Tokens!BJ1095:BK1095,0,"collection")</f>
        <v>"collection":{"name":"In Casa",_x000D_
"family":"Calvi On The Rocks"}</v>
      </c>
    </row>
    <row r="1096" spans="5:29" ht="14.25" customHeight="1" x14ac:dyDescent="0.25">
      <c r="E1096" s="17" t="str">
        <f>IF(Tokens!C1096="","",Tokens!C1096)</f>
        <v>In Casa #933</v>
      </c>
      <c r="F1096" s="56"/>
      <c r="G1096" t="s">
        <v>164</v>
      </c>
      <c r="H1096" s="57" t="s">
        <v>165</v>
      </c>
      <c r="I1096" s="2" t="s">
        <v>166</v>
      </c>
      <c r="J1096" s="2" t="s">
        <v>167</v>
      </c>
      <c r="M1096" s="15"/>
      <c r="N1096">
        <v>6.9258811930000004</v>
      </c>
      <c r="O1096" s="15">
        <f t="shared" si="34"/>
        <v>0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1" t="str">
        <f>"owner=" &amp; Tokens!BS1096 &amp; "&amp;filename_for_metadata=" &amp; Tokens!BT1096 &amp; "&amp;offchaindata_platform=" &amp; $B$17 &amp; "&amp;keyfile=" &amp; $B$5 &amp; "&amp;network=" &amp; LOWER($B$8) &amp; "&amp;repository=" &amp; $B$18</f>
        <v>owner=thomas&amp;filename_for_metadata=InCasa_COR22D933&amp;offchaindata_platform=MongoDB&amp;keyfile=Paul&amp;network=jsonfiles&amp;repository=test</v>
      </c>
      <c r="U1096" s="1" t="str">
        <f t="shared" si="35"/>
        <v>{"name":"In Casa #933",_x000D_
"symbol":"COR22D933",_x000D_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6" s="1" t="str">
        <f>formatRow(Tokens!C$2:I$2,Tokens!C1096:I1096)</f>
        <v>"name":"In Casa #933",_x000D_
"symbol":"COR22D933",_x000D_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6" s="1" t="str">
        <f>formatRow(Tokens!J$2:AV$2,Tokens!J1096:AV1096,2,"attributes")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6" s="1" t="str">
        <f>formatRow(Tokens!AX$2:BC$2,Tokens!AX1096:BC1096,2,"creators")</f>
        <v>"creators":[{"address":"paul",_x000D_
"share":10},{"address":"sophie",_x000D_
"share":90}]</v>
      </c>
      <c r="Y1096" s="1" t="str">
        <f>formatRow(Tokens!BD$2:BI$2,Tokens!BD1096:BI1096,2,"files")</f>
        <v>"files":[]</v>
      </c>
      <c r="Z1096" s="1"/>
      <c r="AA1096" s="1"/>
      <c r="AB1096" s="1"/>
      <c r="AC1096" s="1" t="str">
        <f>formatRow(Tokens!BJ$2:BK$2,Tokens!BJ1096:BK1096,0,"collection")</f>
        <v>"collection":{"name":"In Casa",_x000D_
"family":"Calvi On The Rocks"}</v>
      </c>
    </row>
    <row r="1097" spans="5:29" ht="14.25" customHeight="1" x14ac:dyDescent="0.25">
      <c r="E1097" s="17" t="str">
        <f>IF(Tokens!C1097="","",Tokens!C1097)</f>
        <v>In Casa #934</v>
      </c>
      <c r="F1097" s="56"/>
      <c r="G1097" t="s">
        <v>164</v>
      </c>
      <c r="H1097" s="57" t="s">
        <v>165</v>
      </c>
      <c r="I1097" s="2" t="s">
        <v>166</v>
      </c>
      <c r="J1097" s="2" t="s">
        <v>167</v>
      </c>
      <c r="M1097" s="15"/>
      <c r="N1097">
        <v>6.9258811930000004</v>
      </c>
      <c r="O1097" s="15">
        <f t="shared" si="34"/>
        <v>0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1" t="str">
        <f>"owner=" &amp; Tokens!BS1097 &amp; "&amp;filename_for_metadata=" &amp; Tokens!BT1097 &amp; "&amp;offchaindata_platform=" &amp; $B$17 &amp; "&amp;keyfile=" &amp; $B$5 &amp; "&amp;network=" &amp; LOWER($B$8) &amp; "&amp;repository=" &amp; $B$18</f>
        <v>owner=thomas&amp;filename_for_metadata=InCasa_COR22D934&amp;offchaindata_platform=MongoDB&amp;keyfile=Paul&amp;network=jsonfiles&amp;repository=test</v>
      </c>
      <c r="U1097" s="1" t="str">
        <f t="shared" si="35"/>
        <v>{"name":"In Casa #934",_x000D_
"symbol":"COR22D934",_x000D_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7" s="1" t="str">
        <f>formatRow(Tokens!C$2:I$2,Tokens!C1097:I1097)</f>
        <v>"name":"In Casa #934",_x000D_
"symbol":"COR22D934",_x000D_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7" s="1" t="str">
        <f>formatRow(Tokens!J$2:AV$2,Tokens!J1097:AV1097,2,"attributes")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7" s="1" t="str">
        <f>formatRow(Tokens!AX$2:BC$2,Tokens!AX1097:BC1097,2,"creators")</f>
        <v>"creators":[{"address":"paul",_x000D_
"share":10},{"address":"sophie",_x000D_
"share":90}]</v>
      </c>
      <c r="Y1097" s="1" t="str">
        <f>formatRow(Tokens!BD$2:BI$2,Tokens!BD1097:BI1097,2,"files")</f>
        <v>"files":[]</v>
      </c>
      <c r="Z1097" s="1"/>
      <c r="AA1097" s="1"/>
      <c r="AB1097" s="1"/>
      <c r="AC1097" s="1" t="str">
        <f>formatRow(Tokens!BJ$2:BK$2,Tokens!BJ1097:BK1097,0,"collection")</f>
        <v>"collection":{"name":"In Casa",_x000D_
"family":"Calvi On The Rocks"}</v>
      </c>
    </row>
    <row r="1098" spans="5:29" ht="14.25" customHeight="1" x14ac:dyDescent="0.25">
      <c r="E1098" s="17" t="str">
        <f>IF(Tokens!C1098="","",Tokens!C1098)</f>
        <v>In Casa #935</v>
      </c>
      <c r="F1098" s="56"/>
      <c r="G1098" t="s">
        <v>164</v>
      </c>
      <c r="H1098" s="57" t="s">
        <v>165</v>
      </c>
      <c r="I1098" s="2" t="s">
        <v>166</v>
      </c>
      <c r="J1098" s="2" t="s">
        <v>167</v>
      </c>
      <c r="M1098" s="15"/>
      <c r="N1098">
        <v>6.9258811930000004</v>
      </c>
      <c r="O1098" s="15">
        <f t="shared" si="34"/>
        <v>0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1" t="str">
        <f>"owner=" &amp; Tokens!BS1098 &amp; "&amp;filename_for_metadata=" &amp; Tokens!BT1098 &amp; "&amp;offchaindata_platform=" &amp; $B$17 &amp; "&amp;keyfile=" &amp; $B$5 &amp; "&amp;network=" &amp; LOWER($B$8) &amp; "&amp;repository=" &amp; $B$18</f>
        <v>owner=thomas&amp;filename_for_metadata=InCasa_COR22D935&amp;offchaindata_platform=MongoDB&amp;keyfile=Paul&amp;network=jsonfiles&amp;repository=test</v>
      </c>
      <c r="U1098" s="1" t="str">
        <f t="shared" si="35"/>
        <v>{"name":"In Casa #935",_x000D_
"symbol":"COR22D935",_x000D_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8" s="1" t="str">
        <f>formatRow(Tokens!C$2:I$2,Tokens!C1098:I1098)</f>
        <v>"name":"In Casa #935",_x000D_
"symbol":"COR22D935",_x000D_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8" s="1" t="str">
        <f>formatRow(Tokens!J$2:AV$2,Tokens!J1098:AV1098,2,"attributes")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8" s="1" t="str">
        <f>formatRow(Tokens!AX$2:BC$2,Tokens!AX1098:BC1098,2,"creators")</f>
        <v>"creators":[{"address":"paul",_x000D_
"share":10},{"address":"sophie",_x000D_
"share":90}]</v>
      </c>
      <c r="Y1098" s="1" t="str">
        <f>formatRow(Tokens!BD$2:BI$2,Tokens!BD1098:BI1098,2,"files")</f>
        <v>"files":[]</v>
      </c>
      <c r="Z1098" s="1"/>
      <c r="AA1098" s="1"/>
      <c r="AB1098" s="1"/>
      <c r="AC1098" s="1" t="str">
        <f>formatRow(Tokens!BJ$2:BK$2,Tokens!BJ1098:BK1098,0,"collection")</f>
        <v>"collection":{"name":"In Casa",_x000D_
"family":"Calvi On The Rocks"}</v>
      </c>
    </row>
    <row r="1099" spans="5:29" ht="14.25" customHeight="1" x14ac:dyDescent="0.25">
      <c r="E1099" s="17" t="str">
        <f>IF(Tokens!C1099="","",Tokens!C1099)</f>
        <v>In Casa #936</v>
      </c>
      <c r="F1099" s="56"/>
      <c r="G1099" t="s">
        <v>164</v>
      </c>
      <c r="H1099" s="57" t="s">
        <v>165</v>
      </c>
      <c r="I1099" s="2" t="s">
        <v>166</v>
      </c>
      <c r="J1099" s="2" t="s">
        <v>167</v>
      </c>
      <c r="M1099" s="15"/>
      <c r="N1099">
        <v>6.9258811930000004</v>
      </c>
      <c r="O1099" s="15">
        <f t="shared" si="34"/>
        <v>0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1" t="str">
        <f>"owner=" &amp; Tokens!BS1099 &amp; "&amp;filename_for_metadata=" &amp; Tokens!BT1099 &amp; "&amp;offchaindata_platform=" &amp; $B$17 &amp; "&amp;keyfile=" &amp; $B$5 &amp; "&amp;network=" &amp; LOWER($B$8) &amp; "&amp;repository=" &amp; $B$18</f>
        <v>owner=thomas&amp;filename_for_metadata=InCasa_COR22D936&amp;offchaindata_platform=MongoDB&amp;keyfile=Paul&amp;network=jsonfiles&amp;repository=test</v>
      </c>
      <c r="U1099" s="1" t="str">
        <f t="shared" si="35"/>
        <v>{"name":"In Casa #936",_x000D_
"symbol":"COR22D936",_x000D_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099" s="1" t="str">
        <f>formatRow(Tokens!C$2:I$2,Tokens!C1099:I1099)</f>
        <v>"name":"In Casa #936",_x000D_
"symbol":"COR22D936",_x000D_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099" s="1" t="str">
        <f>formatRow(Tokens!J$2:AV$2,Tokens!J1099:AV1099,2,"attributes")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099" s="1" t="str">
        <f>formatRow(Tokens!AX$2:BC$2,Tokens!AX1099:BC1099,2,"creators")</f>
        <v>"creators":[{"address":"paul",_x000D_
"share":10},{"address":"sophie",_x000D_
"share":90}]</v>
      </c>
      <c r="Y1099" s="1" t="str">
        <f>formatRow(Tokens!BD$2:BI$2,Tokens!BD1099:BI1099,2,"files")</f>
        <v>"files":[]</v>
      </c>
      <c r="Z1099" s="1"/>
      <c r="AA1099" s="1"/>
      <c r="AB1099" s="1"/>
      <c r="AC1099" s="1" t="str">
        <f>formatRow(Tokens!BJ$2:BK$2,Tokens!BJ1099:BK1099,0,"collection")</f>
        <v>"collection":{"name":"In Casa",_x000D_
"family":"Calvi On The Rocks"}</v>
      </c>
    </row>
    <row r="1100" spans="5:29" ht="14.25" customHeight="1" x14ac:dyDescent="0.25">
      <c r="E1100" s="17" t="str">
        <f>IF(Tokens!C1100="","",Tokens!C1100)</f>
        <v>In Casa #937</v>
      </c>
      <c r="F1100" s="56"/>
      <c r="G1100" t="s">
        <v>164</v>
      </c>
      <c r="H1100" s="57" t="s">
        <v>165</v>
      </c>
      <c r="I1100" s="2" t="s">
        <v>166</v>
      </c>
      <c r="J1100" s="2" t="s">
        <v>167</v>
      </c>
      <c r="M1100" s="15"/>
      <c r="N1100">
        <v>6.9258811930000004</v>
      </c>
      <c r="O1100" s="15">
        <f t="shared" si="34"/>
        <v>0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1" t="str">
        <f>"owner=" &amp; Tokens!BS1100 &amp; "&amp;filename_for_metadata=" &amp; Tokens!BT1100 &amp; "&amp;offchaindata_platform=" &amp; $B$17 &amp; "&amp;keyfile=" &amp; $B$5 &amp; "&amp;network=" &amp; LOWER($B$8) &amp; "&amp;repository=" &amp; $B$18</f>
        <v>owner=thomas&amp;filename_for_metadata=InCasa_COR22D937&amp;offchaindata_platform=MongoDB&amp;keyfile=Paul&amp;network=jsonfiles&amp;repository=test</v>
      </c>
      <c r="U1100" s="1" t="str">
        <f t="shared" si="35"/>
        <v>{"name":"In Casa #937",_x000D_
"symbol":"COR22D937",_x000D_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0" s="1" t="str">
        <f>formatRow(Tokens!C$2:I$2,Tokens!C1100:I1100)</f>
        <v>"name":"In Casa #937",_x000D_
"symbol":"COR22D937",_x000D_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0" s="1" t="str">
        <f>formatRow(Tokens!J$2:AV$2,Tokens!J1100:AV1100,2,"attributes")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0" s="1" t="str">
        <f>formatRow(Tokens!AX$2:BC$2,Tokens!AX1100:BC1100,2,"creators")</f>
        <v>"creators":[{"address":"paul",_x000D_
"share":10},{"address":"sophie",_x000D_
"share":90}]</v>
      </c>
      <c r="Y1100" s="1" t="str">
        <f>formatRow(Tokens!BD$2:BI$2,Tokens!BD1100:BI1100,2,"files")</f>
        <v>"files":[]</v>
      </c>
      <c r="Z1100" s="1"/>
      <c r="AA1100" s="1"/>
      <c r="AB1100" s="1"/>
      <c r="AC1100" s="1" t="str">
        <f>formatRow(Tokens!BJ$2:BK$2,Tokens!BJ1100:BK1100,0,"collection")</f>
        <v>"collection":{"name":"In Casa",_x000D_
"family":"Calvi On The Rocks"}</v>
      </c>
    </row>
    <row r="1101" spans="5:29" ht="14.25" customHeight="1" x14ac:dyDescent="0.25">
      <c r="E1101" s="17" t="str">
        <f>IF(Tokens!C1101="","",Tokens!C1101)</f>
        <v>In Casa #938</v>
      </c>
      <c r="F1101" s="56"/>
      <c r="G1101" t="s">
        <v>164</v>
      </c>
      <c r="H1101" s="57" t="s">
        <v>165</v>
      </c>
      <c r="I1101" s="2" t="s">
        <v>166</v>
      </c>
      <c r="J1101" s="2" t="s">
        <v>167</v>
      </c>
      <c r="M1101" s="15"/>
      <c r="N1101">
        <v>6.9258811930000004</v>
      </c>
      <c r="O1101" s="15">
        <f t="shared" si="34"/>
        <v>0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1" t="str">
        <f>"owner=" &amp; Tokens!BS1101 &amp; "&amp;filename_for_metadata=" &amp; Tokens!BT1101 &amp; "&amp;offchaindata_platform=" &amp; $B$17 &amp; "&amp;keyfile=" &amp; $B$5 &amp; "&amp;network=" &amp; LOWER($B$8) &amp; "&amp;repository=" &amp; $B$18</f>
        <v>owner=thomas&amp;filename_for_metadata=InCasa_COR22D938&amp;offchaindata_platform=MongoDB&amp;keyfile=Paul&amp;network=jsonfiles&amp;repository=test</v>
      </c>
      <c r="U1101" s="1" t="str">
        <f t="shared" si="35"/>
        <v>{"name":"In Casa #938",_x000D_
"symbol":"COR22D938",_x000D_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1" s="1" t="str">
        <f>formatRow(Tokens!C$2:I$2,Tokens!C1101:I1101)</f>
        <v>"name":"In Casa #938",_x000D_
"symbol":"COR22D938",_x000D_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1" s="1" t="str">
        <f>formatRow(Tokens!J$2:AV$2,Tokens!J1101:AV1101,2,"attributes")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1" s="1" t="str">
        <f>formatRow(Tokens!AX$2:BC$2,Tokens!AX1101:BC1101,2,"creators")</f>
        <v>"creators":[{"address":"paul",_x000D_
"share":10},{"address":"sophie",_x000D_
"share":90}]</v>
      </c>
      <c r="Y1101" s="1" t="str">
        <f>formatRow(Tokens!BD$2:BI$2,Tokens!BD1101:BI1101,2,"files")</f>
        <v>"files":[]</v>
      </c>
      <c r="Z1101" s="1"/>
      <c r="AA1101" s="1"/>
      <c r="AB1101" s="1"/>
      <c r="AC1101" s="1" t="str">
        <f>formatRow(Tokens!BJ$2:BK$2,Tokens!BJ1101:BK1101,0,"collection")</f>
        <v>"collection":{"name":"In Casa",_x000D_
"family":"Calvi On The Rocks"}</v>
      </c>
    </row>
    <row r="1102" spans="5:29" ht="14.25" customHeight="1" x14ac:dyDescent="0.25">
      <c r="E1102" s="17" t="str">
        <f>IF(Tokens!C1102="","",Tokens!C1102)</f>
        <v>In Casa #939</v>
      </c>
      <c r="F1102" s="56"/>
      <c r="G1102" t="s">
        <v>164</v>
      </c>
      <c r="H1102" s="57" t="s">
        <v>165</v>
      </c>
      <c r="I1102" s="2" t="s">
        <v>166</v>
      </c>
      <c r="J1102" s="2" t="s">
        <v>167</v>
      </c>
      <c r="M1102" s="15"/>
      <c r="N1102">
        <v>6.9258811930000004</v>
      </c>
      <c r="O1102" s="15">
        <f t="shared" si="34"/>
        <v>0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1" t="str">
        <f>"owner=" &amp; Tokens!BS1102 &amp; "&amp;filename_for_metadata=" &amp; Tokens!BT1102 &amp; "&amp;offchaindata_platform=" &amp; $B$17 &amp; "&amp;keyfile=" &amp; $B$5 &amp; "&amp;network=" &amp; LOWER($B$8) &amp; "&amp;repository=" &amp; $B$18</f>
        <v>owner=thomas&amp;filename_for_metadata=InCasa_COR22D939&amp;offchaindata_platform=MongoDB&amp;keyfile=Paul&amp;network=jsonfiles&amp;repository=test</v>
      </c>
      <c r="U1102" s="1" t="str">
        <f t="shared" si="35"/>
        <v>{"name":"In Casa #939",_x000D_
"symbol":"COR22D939",_x000D_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2" s="1" t="str">
        <f>formatRow(Tokens!C$2:I$2,Tokens!C1102:I1102)</f>
        <v>"name":"In Casa #939",_x000D_
"symbol":"COR22D939",_x000D_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2" s="1" t="str">
        <f>formatRow(Tokens!J$2:AV$2,Tokens!J1102:AV1102,2,"attributes")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2" s="1" t="str">
        <f>formatRow(Tokens!AX$2:BC$2,Tokens!AX1102:BC1102,2,"creators")</f>
        <v>"creators":[{"address":"paul",_x000D_
"share":10},{"address":"sophie",_x000D_
"share":90}]</v>
      </c>
      <c r="Y1102" s="1" t="str">
        <f>formatRow(Tokens!BD$2:BI$2,Tokens!BD1102:BI1102,2,"files")</f>
        <v>"files":[]</v>
      </c>
      <c r="Z1102" s="1"/>
      <c r="AA1102" s="1"/>
      <c r="AB1102" s="1"/>
      <c r="AC1102" s="1" t="str">
        <f>formatRow(Tokens!BJ$2:BK$2,Tokens!BJ1102:BK1102,0,"collection")</f>
        <v>"collection":{"name":"In Casa",_x000D_
"family":"Calvi On The Rocks"}</v>
      </c>
    </row>
    <row r="1103" spans="5:29" ht="14.25" customHeight="1" x14ac:dyDescent="0.25">
      <c r="E1103" s="17" t="str">
        <f>IF(Tokens!C1103="","",Tokens!C1103)</f>
        <v>In Casa #940</v>
      </c>
      <c r="F1103" s="56"/>
      <c r="G1103" t="s">
        <v>164</v>
      </c>
      <c r="H1103" s="57" t="s">
        <v>165</v>
      </c>
      <c r="I1103" s="2" t="s">
        <v>166</v>
      </c>
      <c r="J1103" s="2" t="s">
        <v>167</v>
      </c>
      <c r="M1103" s="15"/>
      <c r="N1103">
        <v>6.9258811930000004</v>
      </c>
      <c r="O1103" s="15">
        <f t="shared" si="34"/>
        <v>0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1" t="str">
        <f>"owner=" &amp; Tokens!BS1103 &amp; "&amp;filename_for_metadata=" &amp; Tokens!BT1103 &amp; "&amp;offchaindata_platform=" &amp; $B$17 &amp; "&amp;keyfile=" &amp; $B$5 &amp; "&amp;network=" &amp; LOWER($B$8) &amp; "&amp;repository=" &amp; $B$18</f>
        <v>owner=thomas&amp;filename_for_metadata=InCasa_COR22D940&amp;offchaindata_platform=MongoDB&amp;keyfile=Paul&amp;network=jsonfiles&amp;repository=test</v>
      </c>
      <c r="U1103" s="1" t="str">
        <f t="shared" si="35"/>
        <v>{"name":"In Casa #940",_x000D_
"symbol":"COR22D940",_x000D_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3" s="1" t="str">
        <f>formatRow(Tokens!C$2:I$2,Tokens!C1103:I1103)</f>
        <v>"name":"In Casa #940",_x000D_
"symbol":"COR22D940",_x000D_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3" s="1" t="str">
        <f>formatRow(Tokens!J$2:AV$2,Tokens!J1103:AV1103,2,"attributes")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3" s="1" t="str">
        <f>formatRow(Tokens!AX$2:BC$2,Tokens!AX1103:BC1103,2,"creators")</f>
        <v>"creators":[{"address":"paul",_x000D_
"share":10},{"address":"sophie",_x000D_
"share":90}]</v>
      </c>
      <c r="Y1103" s="1" t="str">
        <f>formatRow(Tokens!BD$2:BI$2,Tokens!BD1103:BI1103,2,"files")</f>
        <v>"files":[]</v>
      </c>
      <c r="Z1103" s="1"/>
      <c r="AA1103" s="1"/>
      <c r="AB1103" s="1"/>
      <c r="AC1103" s="1" t="str">
        <f>formatRow(Tokens!BJ$2:BK$2,Tokens!BJ1103:BK1103,0,"collection")</f>
        <v>"collection":{"name":"In Casa",_x000D_
"family":"Calvi On The Rocks"}</v>
      </c>
    </row>
    <row r="1104" spans="5:29" ht="14.25" customHeight="1" x14ac:dyDescent="0.25">
      <c r="E1104" s="17" t="str">
        <f>IF(Tokens!C1104="","",Tokens!C1104)</f>
        <v>In Casa #941</v>
      </c>
      <c r="F1104" s="56"/>
      <c r="G1104" t="s">
        <v>164</v>
      </c>
      <c r="H1104" s="57" t="s">
        <v>165</v>
      </c>
      <c r="I1104" s="2" t="s">
        <v>166</v>
      </c>
      <c r="J1104" s="2" t="s">
        <v>167</v>
      </c>
      <c r="M1104" s="15"/>
      <c r="N1104">
        <v>6.9258811930000004</v>
      </c>
      <c r="O1104" s="15">
        <f t="shared" si="34"/>
        <v>0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1" t="str">
        <f>"owner=" &amp; Tokens!BS1104 &amp; "&amp;filename_for_metadata=" &amp; Tokens!BT1104 &amp; "&amp;offchaindata_platform=" &amp; $B$17 &amp; "&amp;keyfile=" &amp; $B$5 &amp; "&amp;network=" &amp; LOWER($B$8) &amp; "&amp;repository=" &amp; $B$18</f>
        <v>owner=thomas&amp;filename_for_metadata=InCasa_COR22D941&amp;offchaindata_platform=MongoDB&amp;keyfile=Paul&amp;network=jsonfiles&amp;repository=test</v>
      </c>
      <c r="U1104" s="1" t="str">
        <f t="shared" si="35"/>
        <v>{"name":"In Casa #941",_x000D_
"symbol":"COR22D941",_x000D_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4" s="1" t="str">
        <f>formatRow(Tokens!C$2:I$2,Tokens!C1104:I1104)</f>
        <v>"name":"In Casa #941",_x000D_
"symbol":"COR22D941",_x000D_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4" s="1" t="str">
        <f>formatRow(Tokens!J$2:AV$2,Tokens!J1104:AV1104,2,"attributes")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4" s="1" t="str">
        <f>formatRow(Tokens!AX$2:BC$2,Tokens!AX1104:BC1104,2,"creators")</f>
        <v>"creators":[{"address":"paul",_x000D_
"share":10},{"address":"sophie",_x000D_
"share":90}]</v>
      </c>
      <c r="Y1104" s="1" t="str">
        <f>formatRow(Tokens!BD$2:BI$2,Tokens!BD1104:BI1104,2,"files")</f>
        <v>"files":[]</v>
      </c>
      <c r="Z1104" s="1"/>
      <c r="AA1104" s="1"/>
      <c r="AB1104" s="1"/>
      <c r="AC1104" s="1" t="str">
        <f>formatRow(Tokens!BJ$2:BK$2,Tokens!BJ1104:BK1104,0,"collection")</f>
        <v>"collection":{"name":"In Casa",_x000D_
"family":"Calvi On The Rocks"}</v>
      </c>
    </row>
    <row r="1105" spans="5:29" ht="14.25" customHeight="1" x14ac:dyDescent="0.25">
      <c r="E1105" s="17" t="str">
        <f>IF(Tokens!C1105="","",Tokens!C1105)</f>
        <v>In Casa #942</v>
      </c>
      <c r="F1105" s="56"/>
      <c r="G1105" t="s">
        <v>164</v>
      </c>
      <c r="H1105" s="57" t="s">
        <v>165</v>
      </c>
      <c r="I1105" s="2" t="s">
        <v>166</v>
      </c>
      <c r="J1105" s="2" t="s">
        <v>167</v>
      </c>
      <c r="M1105" s="15"/>
      <c r="N1105">
        <v>6.9258811930000004</v>
      </c>
      <c r="O1105" s="15">
        <f t="shared" si="34"/>
        <v>0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1" t="str">
        <f>"owner=" &amp; Tokens!BS1105 &amp; "&amp;filename_for_metadata=" &amp; Tokens!BT1105 &amp; "&amp;offchaindata_platform=" &amp; $B$17 &amp; "&amp;keyfile=" &amp; $B$5 &amp; "&amp;network=" &amp; LOWER($B$8) &amp; "&amp;repository=" &amp; $B$18</f>
        <v>owner=thomas&amp;filename_for_metadata=InCasa_COR22D942&amp;offchaindata_platform=MongoDB&amp;keyfile=Paul&amp;network=jsonfiles&amp;repository=test</v>
      </c>
      <c r="U1105" s="1" t="str">
        <f t="shared" si="35"/>
        <v>{"name":"In Casa #942",_x000D_
"symbol":"COR22D942",_x000D_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5" s="1" t="str">
        <f>formatRow(Tokens!C$2:I$2,Tokens!C1105:I1105)</f>
        <v>"name":"In Casa #942",_x000D_
"symbol":"COR22D942",_x000D_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5" s="1" t="str">
        <f>formatRow(Tokens!J$2:AV$2,Tokens!J1105:AV1105,2,"attributes")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5" s="1" t="str">
        <f>formatRow(Tokens!AX$2:BC$2,Tokens!AX1105:BC1105,2,"creators")</f>
        <v>"creators":[{"address":"paul",_x000D_
"share":10},{"address":"sophie",_x000D_
"share":90}]</v>
      </c>
      <c r="Y1105" s="1" t="str">
        <f>formatRow(Tokens!BD$2:BI$2,Tokens!BD1105:BI1105,2,"files")</f>
        <v>"files":[]</v>
      </c>
      <c r="Z1105" s="1"/>
      <c r="AA1105" s="1"/>
      <c r="AB1105" s="1"/>
      <c r="AC1105" s="1" t="str">
        <f>formatRow(Tokens!BJ$2:BK$2,Tokens!BJ1105:BK1105,0,"collection")</f>
        <v>"collection":{"name":"In Casa",_x000D_
"family":"Calvi On The Rocks"}</v>
      </c>
    </row>
    <row r="1106" spans="5:29" ht="14.25" customHeight="1" x14ac:dyDescent="0.25">
      <c r="E1106" s="17" t="str">
        <f>IF(Tokens!C1106="","",Tokens!C1106)</f>
        <v>In Casa #943</v>
      </c>
      <c r="F1106" s="56"/>
      <c r="G1106" t="s">
        <v>164</v>
      </c>
      <c r="H1106" s="57" t="s">
        <v>165</v>
      </c>
      <c r="I1106" s="2" t="s">
        <v>166</v>
      </c>
      <c r="J1106" s="2" t="s">
        <v>167</v>
      </c>
      <c r="M1106" s="15"/>
      <c r="N1106">
        <v>6.9258811930000004</v>
      </c>
      <c r="O1106" s="15">
        <f t="shared" si="34"/>
        <v>0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1" t="str">
        <f>"owner=" &amp; Tokens!BS1106 &amp; "&amp;filename_for_metadata=" &amp; Tokens!BT1106 &amp; "&amp;offchaindata_platform=" &amp; $B$17 &amp; "&amp;keyfile=" &amp; $B$5 &amp; "&amp;network=" &amp; LOWER($B$8) &amp; "&amp;repository=" &amp; $B$18</f>
        <v>owner=thomas&amp;filename_for_metadata=InCasa_COR22D943&amp;offchaindata_platform=MongoDB&amp;keyfile=Paul&amp;network=jsonfiles&amp;repository=test</v>
      </c>
      <c r="U1106" s="1" t="str">
        <f t="shared" si="35"/>
        <v>{"name":"In Casa #943",_x000D_
"symbol":"COR22D943",_x000D_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6" s="1" t="str">
        <f>formatRow(Tokens!C$2:I$2,Tokens!C1106:I1106)</f>
        <v>"name":"In Casa #943",_x000D_
"symbol":"COR22D943",_x000D_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6" s="1" t="str">
        <f>formatRow(Tokens!J$2:AV$2,Tokens!J1106:AV1106,2,"attributes")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6" s="1" t="str">
        <f>formatRow(Tokens!AX$2:BC$2,Tokens!AX1106:BC1106,2,"creators")</f>
        <v>"creators":[{"address":"paul",_x000D_
"share":10},{"address":"sophie",_x000D_
"share":90}]</v>
      </c>
      <c r="Y1106" s="1" t="str">
        <f>formatRow(Tokens!BD$2:BI$2,Tokens!BD1106:BI1106,2,"files")</f>
        <v>"files":[]</v>
      </c>
      <c r="Z1106" s="1"/>
      <c r="AA1106" s="1"/>
      <c r="AB1106" s="1"/>
      <c r="AC1106" s="1" t="str">
        <f>formatRow(Tokens!BJ$2:BK$2,Tokens!BJ1106:BK1106,0,"collection")</f>
        <v>"collection":{"name":"In Casa",_x000D_
"family":"Calvi On The Rocks"}</v>
      </c>
    </row>
    <row r="1107" spans="5:29" ht="14.25" customHeight="1" x14ac:dyDescent="0.25">
      <c r="E1107" s="17" t="str">
        <f>IF(Tokens!C1107="","",Tokens!C1107)</f>
        <v>In Casa #944</v>
      </c>
      <c r="F1107" s="56"/>
      <c r="G1107" t="s">
        <v>164</v>
      </c>
      <c r="H1107" s="57" t="s">
        <v>165</v>
      </c>
      <c r="I1107" s="2" t="s">
        <v>166</v>
      </c>
      <c r="J1107" s="2" t="s">
        <v>167</v>
      </c>
      <c r="M1107" s="15"/>
      <c r="N1107">
        <v>6.9258811930000004</v>
      </c>
      <c r="O1107" s="15">
        <f t="shared" si="34"/>
        <v>0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1" t="str">
        <f>"owner=" &amp; Tokens!BS1107 &amp; "&amp;filename_for_metadata=" &amp; Tokens!BT1107 &amp; "&amp;offchaindata_platform=" &amp; $B$17 &amp; "&amp;keyfile=" &amp; $B$5 &amp; "&amp;network=" &amp; LOWER($B$8) &amp; "&amp;repository=" &amp; $B$18</f>
        <v>owner=thomas&amp;filename_for_metadata=InCasa_COR22D944&amp;offchaindata_platform=MongoDB&amp;keyfile=Paul&amp;network=jsonfiles&amp;repository=test</v>
      </c>
      <c r="U1107" s="1" t="str">
        <f t="shared" si="35"/>
        <v>{"name":"In Casa #944",_x000D_
"symbol":"COR22D944",_x000D_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7" s="1" t="str">
        <f>formatRow(Tokens!C$2:I$2,Tokens!C1107:I1107)</f>
        <v>"name":"In Casa #944",_x000D_
"symbol":"COR22D944",_x000D_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7" s="1" t="str">
        <f>formatRow(Tokens!J$2:AV$2,Tokens!J1107:AV1107,2,"attributes")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7" s="1" t="str">
        <f>formatRow(Tokens!AX$2:BC$2,Tokens!AX1107:BC1107,2,"creators")</f>
        <v>"creators":[{"address":"paul",_x000D_
"share":10},{"address":"sophie",_x000D_
"share":90}]</v>
      </c>
      <c r="Y1107" s="1" t="str">
        <f>formatRow(Tokens!BD$2:BI$2,Tokens!BD1107:BI1107,2,"files")</f>
        <v>"files":[]</v>
      </c>
      <c r="Z1107" s="1"/>
      <c r="AA1107" s="1"/>
      <c r="AB1107" s="1"/>
      <c r="AC1107" s="1" t="str">
        <f>formatRow(Tokens!BJ$2:BK$2,Tokens!BJ1107:BK1107,0,"collection")</f>
        <v>"collection":{"name":"In Casa",_x000D_
"family":"Calvi On The Rocks"}</v>
      </c>
    </row>
    <row r="1108" spans="5:29" ht="14.25" customHeight="1" x14ac:dyDescent="0.25">
      <c r="E1108" s="17" t="str">
        <f>IF(Tokens!C1108="","",Tokens!C1108)</f>
        <v>In Casa #945</v>
      </c>
      <c r="F1108" s="56"/>
      <c r="G1108" t="s">
        <v>164</v>
      </c>
      <c r="H1108" s="57" t="s">
        <v>165</v>
      </c>
      <c r="I1108" s="2" t="s">
        <v>166</v>
      </c>
      <c r="J1108" s="2" t="s">
        <v>167</v>
      </c>
      <c r="M1108" s="15"/>
      <c r="N1108">
        <v>6.9258811930000004</v>
      </c>
      <c r="O1108" s="15">
        <f t="shared" si="34"/>
        <v>0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1" t="str">
        <f>"owner=" &amp; Tokens!BS1108 &amp; "&amp;filename_for_metadata=" &amp; Tokens!BT1108 &amp; "&amp;offchaindata_platform=" &amp; $B$17 &amp; "&amp;keyfile=" &amp; $B$5 &amp; "&amp;network=" &amp; LOWER($B$8) &amp; "&amp;repository=" &amp; $B$18</f>
        <v>owner=thomas&amp;filename_for_metadata=InCasa_COR22D945&amp;offchaindata_platform=MongoDB&amp;keyfile=Paul&amp;network=jsonfiles&amp;repository=test</v>
      </c>
      <c r="U1108" s="1" t="str">
        <f t="shared" si="35"/>
        <v>{"name":"In Casa #945",_x000D_
"symbol":"COR22D945",_x000D_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8" s="1" t="str">
        <f>formatRow(Tokens!C$2:I$2,Tokens!C1108:I1108)</f>
        <v>"name":"In Casa #945",_x000D_
"symbol":"COR22D945",_x000D_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8" s="1" t="str">
        <f>formatRow(Tokens!J$2:AV$2,Tokens!J1108:AV1108,2,"attributes")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8" s="1" t="str">
        <f>formatRow(Tokens!AX$2:BC$2,Tokens!AX1108:BC1108,2,"creators")</f>
        <v>"creators":[{"address":"paul",_x000D_
"share":10},{"address":"sophie",_x000D_
"share":90}]</v>
      </c>
      <c r="Y1108" s="1" t="str">
        <f>formatRow(Tokens!BD$2:BI$2,Tokens!BD1108:BI1108,2,"files")</f>
        <v>"files":[]</v>
      </c>
      <c r="Z1108" s="1"/>
      <c r="AA1108" s="1"/>
      <c r="AB1108" s="1"/>
      <c r="AC1108" s="1" t="str">
        <f>formatRow(Tokens!BJ$2:BK$2,Tokens!BJ1108:BK1108,0,"collection")</f>
        <v>"collection":{"name":"In Casa",_x000D_
"family":"Calvi On The Rocks"}</v>
      </c>
    </row>
    <row r="1109" spans="5:29" ht="14.25" customHeight="1" x14ac:dyDescent="0.25">
      <c r="E1109" s="17" t="str">
        <f>IF(Tokens!C1109="","",Tokens!C1109)</f>
        <v>In Casa #946</v>
      </c>
      <c r="F1109" s="56"/>
      <c r="G1109" t="s">
        <v>164</v>
      </c>
      <c r="H1109" s="57" t="s">
        <v>165</v>
      </c>
      <c r="I1109" s="2" t="s">
        <v>166</v>
      </c>
      <c r="J1109" s="2" t="s">
        <v>167</v>
      </c>
      <c r="M1109" s="15"/>
      <c r="N1109">
        <v>6.9258811930000004</v>
      </c>
      <c r="O1109" s="15">
        <f t="shared" si="34"/>
        <v>0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1" t="str">
        <f>"owner=" &amp; Tokens!BS1109 &amp; "&amp;filename_for_metadata=" &amp; Tokens!BT1109 &amp; "&amp;offchaindata_platform=" &amp; $B$17 &amp; "&amp;keyfile=" &amp; $B$5 &amp; "&amp;network=" &amp; LOWER($B$8) &amp; "&amp;repository=" &amp; $B$18</f>
        <v>owner=thomas&amp;filename_for_metadata=InCasa_COR22D946&amp;offchaindata_platform=MongoDB&amp;keyfile=Paul&amp;network=jsonfiles&amp;repository=test</v>
      </c>
      <c r="U1109" s="1" t="str">
        <f t="shared" si="35"/>
        <v>{"name":"In Casa #946",_x000D_
"symbol":"COR22D946",_x000D_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09" s="1" t="str">
        <f>formatRow(Tokens!C$2:I$2,Tokens!C1109:I1109)</f>
        <v>"name":"In Casa #946",_x000D_
"symbol":"COR22D946",_x000D_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09" s="1" t="str">
        <f>formatRow(Tokens!J$2:AV$2,Tokens!J1109:AV1109,2,"attributes")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09" s="1" t="str">
        <f>formatRow(Tokens!AX$2:BC$2,Tokens!AX1109:BC1109,2,"creators")</f>
        <v>"creators":[{"address":"paul",_x000D_
"share":10},{"address":"sophie",_x000D_
"share":90}]</v>
      </c>
      <c r="Y1109" s="1" t="str">
        <f>formatRow(Tokens!BD$2:BI$2,Tokens!BD1109:BI1109,2,"files")</f>
        <v>"files":[]</v>
      </c>
      <c r="Z1109" s="1"/>
      <c r="AA1109" s="1"/>
      <c r="AB1109" s="1"/>
      <c r="AC1109" s="1" t="str">
        <f>formatRow(Tokens!BJ$2:BK$2,Tokens!BJ1109:BK1109,0,"collection")</f>
        <v>"collection":{"name":"In Casa",_x000D_
"family":"Calvi On The Rocks"}</v>
      </c>
    </row>
    <row r="1110" spans="5:29" ht="14.25" customHeight="1" x14ac:dyDescent="0.25">
      <c r="E1110" s="17" t="str">
        <f>IF(Tokens!C1110="","",Tokens!C1110)</f>
        <v>In Casa #947</v>
      </c>
      <c r="F1110" s="56"/>
      <c r="G1110" t="s">
        <v>164</v>
      </c>
      <c r="H1110" s="57" t="s">
        <v>165</v>
      </c>
      <c r="I1110" s="2" t="s">
        <v>166</v>
      </c>
      <c r="J1110" s="2" t="s">
        <v>167</v>
      </c>
      <c r="M1110" s="15"/>
      <c r="N1110">
        <v>6.9258811930000004</v>
      </c>
      <c r="O1110" s="15">
        <f t="shared" si="34"/>
        <v>0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1" t="str">
        <f>"owner=" &amp; Tokens!BS1110 &amp; "&amp;filename_for_metadata=" &amp; Tokens!BT1110 &amp; "&amp;offchaindata_platform=" &amp; $B$17 &amp; "&amp;keyfile=" &amp; $B$5 &amp; "&amp;network=" &amp; LOWER($B$8) &amp; "&amp;repository=" &amp; $B$18</f>
        <v>owner=thomas&amp;filename_for_metadata=InCasa_COR22D947&amp;offchaindata_platform=MongoDB&amp;keyfile=Paul&amp;network=jsonfiles&amp;repository=test</v>
      </c>
      <c r="U1110" s="1" t="str">
        <f t="shared" si="35"/>
        <v>{"name":"In Casa #947",_x000D_
"symbol":"COR22D947",_x000D_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0" s="1" t="str">
        <f>formatRow(Tokens!C$2:I$2,Tokens!C1110:I1110)</f>
        <v>"name":"In Casa #947",_x000D_
"symbol":"COR22D947",_x000D_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0" s="1" t="str">
        <f>formatRow(Tokens!J$2:AV$2,Tokens!J1110:AV1110,2,"attributes")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0" s="1" t="str">
        <f>formatRow(Tokens!AX$2:BC$2,Tokens!AX1110:BC1110,2,"creators")</f>
        <v>"creators":[{"address":"paul",_x000D_
"share":10},{"address":"sophie",_x000D_
"share":90}]</v>
      </c>
      <c r="Y1110" s="1" t="str">
        <f>formatRow(Tokens!BD$2:BI$2,Tokens!BD1110:BI1110,2,"files")</f>
        <v>"files":[]</v>
      </c>
      <c r="Z1110" s="1"/>
      <c r="AA1110" s="1"/>
      <c r="AB1110" s="1"/>
      <c r="AC1110" s="1" t="str">
        <f>formatRow(Tokens!BJ$2:BK$2,Tokens!BJ1110:BK1110,0,"collection")</f>
        <v>"collection":{"name":"In Casa",_x000D_
"family":"Calvi On The Rocks"}</v>
      </c>
    </row>
    <row r="1111" spans="5:29" ht="14.25" customHeight="1" x14ac:dyDescent="0.25">
      <c r="E1111" s="17" t="str">
        <f>IF(Tokens!C1111="","",Tokens!C1111)</f>
        <v>In Casa #948</v>
      </c>
      <c r="F1111" s="56"/>
      <c r="G1111" t="s">
        <v>164</v>
      </c>
      <c r="H1111" s="57" t="s">
        <v>165</v>
      </c>
      <c r="I1111" s="2" t="s">
        <v>166</v>
      </c>
      <c r="J1111" s="2" t="s">
        <v>167</v>
      </c>
      <c r="M1111" s="15"/>
      <c r="N1111">
        <v>6.9258811930000004</v>
      </c>
      <c r="O1111" s="15">
        <f t="shared" si="34"/>
        <v>0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1" t="str">
        <f>"owner=" &amp; Tokens!BS1111 &amp; "&amp;filename_for_metadata=" &amp; Tokens!BT1111 &amp; "&amp;offchaindata_platform=" &amp; $B$17 &amp; "&amp;keyfile=" &amp; $B$5 &amp; "&amp;network=" &amp; LOWER($B$8) &amp; "&amp;repository=" &amp; $B$18</f>
        <v>owner=thomas&amp;filename_for_metadata=InCasa_COR22D948&amp;offchaindata_platform=MongoDB&amp;keyfile=Paul&amp;network=jsonfiles&amp;repository=test</v>
      </c>
      <c r="U1111" s="1" t="str">
        <f t="shared" si="35"/>
        <v>{"name":"In Casa #948",_x000D_
"symbol":"COR22D948",_x000D_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1" s="1" t="str">
        <f>formatRow(Tokens!C$2:I$2,Tokens!C1111:I1111)</f>
        <v>"name":"In Casa #948",_x000D_
"symbol":"COR22D948",_x000D_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1" s="1" t="str">
        <f>formatRow(Tokens!J$2:AV$2,Tokens!J1111:AV1111,2,"attributes")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1" s="1" t="str">
        <f>formatRow(Tokens!AX$2:BC$2,Tokens!AX1111:BC1111,2,"creators")</f>
        <v>"creators":[{"address":"paul",_x000D_
"share":10},{"address":"sophie",_x000D_
"share":90}]</v>
      </c>
      <c r="Y1111" s="1" t="str">
        <f>formatRow(Tokens!BD$2:BI$2,Tokens!BD1111:BI1111,2,"files")</f>
        <v>"files":[]</v>
      </c>
      <c r="Z1111" s="1"/>
      <c r="AA1111" s="1"/>
      <c r="AB1111" s="1"/>
      <c r="AC1111" s="1" t="str">
        <f>formatRow(Tokens!BJ$2:BK$2,Tokens!BJ1111:BK1111,0,"collection")</f>
        <v>"collection":{"name":"In Casa",_x000D_
"family":"Calvi On The Rocks"}</v>
      </c>
    </row>
    <row r="1112" spans="5:29" ht="14.25" customHeight="1" x14ac:dyDescent="0.25">
      <c r="E1112" s="17" t="str">
        <f>IF(Tokens!C1112="","",Tokens!C1112)</f>
        <v>In Casa #949</v>
      </c>
      <c r="F1112" s="56"/>
      <c r="G1112" t="s">
        <v>164</v>
      </c>
      <c r="H1112" s="57" t="s">
        <v>165</v>
      </c>
      <c r="I1112" s="2" t="s">
        <v>166</v>
      </c>
      <c r="J1112" s="2" t="s">
        <v>167</v>
      </c>
      <c r="M1112" s="15"/>
      <c r="N1112">
        <v>6.9258811930000004</v>
      </c>
      <c r="O1112" s="15">
        <f t="shared" si="34"/>
        <v>0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1" t="str">
        <f>"owner=" &amp; Tokens!BS1112 &amp; "&amp;filename_for_metadata=" &amp; Tokens!BT1112 &amp; "&amp;offchaindata_platform=" &amp; $B$17 &amp; "&amp;keyfile=" &amp; $B$5 &amp; "&amp;network=" &amp; LOWER($B$8) &amp; "&amp;repository=" &amp; $B$18</f>
        <v>owner=thomas&amp;filename_for_metadata=InCasa_COR22D949&amp;offchaindata_platform=MongoDB&amp;keyfile=Paul&amp;network=jsonfiles&amp;repository=test</v>
      </c>
      <c r="U1112" s="1" t="str">
        <f t="shared" si="35"/>
        <v>{"name":"In Casa #949",_x000D_
"symbol":"COR22D949",_x000D_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2" s="1" t="str">
        <f>formatRow(Tokens!C$2:I$2,Tokens!C1112:I1112)</f>
        <v>"name":"In Casa #949",_x000D_
"symbol":"COR22D949",_x000D_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2" s="1" t="str">
        <f>formatRow(Tokens!J$2:AV$2,Tokens!J1112:AV1112,2,"attributes")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2" s="1" t="str">
        <f>formatRow(Tokens!AX$2:BC$2,Tokens!AX1112:BC1112,2,"creators")</f>
        <v>"creators":[{"address":"paul",_x000D_
"share":10},{"address":"sophie",_x000D_
"share":90}]</v>
      </c>
      <c r="Y1112" s="1" t="str">
        <f>formatRow(Tokens!BD$2:BI$2,Tokens!BD1112:BI1112,2,"files")</f>
        <v>"files":[]</v>
      </c>
      <c r="Z1112" s="1"/>
      <c r="AA1112" s="1"/>
      <c r="AB1112" s="1"/>
      <c r="AC1112" s="1" t="str">
        <f>formatRow(Tokens!BJ$2:BK$2,Tokens!BJ1112:BK1112,0,"collection")</f>
        <v>"collection":{"name":"In Casa",_x000D_
"family":"Calvi On The Rocks"}</v>
      </c>
    </row>
    <row r="1113" spans="5:29" ht="14.25" customHeight="1" x14ac:dyDescent="0.25">
      <c r="E1113" s="17" t="str">
        <f>IF(Tokens!C1113="","",Tokens!C1113)</f>
        <v>In Casa #950</v>
      </c>
      <c r="F1113" s="56"/>
      <c r="G1113" t="s">
        <v>164</v>
      </c>
      <c r="H1113" s="57" t="s">
        <v>165</v>
      </c>
      <c r="I1113" s="2" t="s">
        <v>166</v>
      </c>
      <c r="J1113" s="2" t="s">
        <v>167</v>
      </c>
      <c r="M1113" s="15"/>
      <c r="N1113">
        <v>6.9258811930000004</v>
      </c>
      <c r="O1113" s="15">
        <f t="shared" si="34"/>
        <v>0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1" t="str">
        <f>"owner=" &amp; Tokens!BS1113 &amp; "&amp;filename_for_metadata=" &amp; Tokens!BT1113 &amp; "&amp;offchaindata_platform=" &amp; $B$17 &amp; "&amp;keyfile=" &amp; $B$5 &amp; "&amp;network=" &amp; LOWER($B$8) &amp; "&amp;repository=" &amp; $B$18</f>
        <v>owner=thomas&amp;filename_for_metadata=InCasa_COR22D950&amp;offchaindata_platform=MongoDB&amp;keyfile=Paul&amp;network=jsonfiles&amp;repository=test</v>
      </c>
      <c r="U1113" s="1" t="str">
        <f t="shared" si="35"/>
        <v>{"name":"In Casa #950",_x000D_
"symbol":"COR22D950",_x000D_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3" s="1" t="str">
        <f>formatRow(Tokens!C$2:I$2,Tokens!C1113:I1113)</f>
        <v>"name":"In Casa #950",_x000D_
"symbol":"COR22D950",_x000D_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3" s="1" t="str">
        <f>formatRow(Tokens!J$2:AV$2,Tokens!J1113:AV1113,2,"attributes")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3" s="1" t="str">
        <f>formatRow(Tokens!AX$2:BC$2,Tokens!AX1113:BC1113,2,"creators")</f>
        <v>"creators":[{"address":"paul",_x000D_
"share":10},{"address":"sophie",_x000D_
"share":90}]</v>
      </c>
      <c r="Y1113" s="1" t="str">
        <f>formatRow(Tokens!BD$2:BI$2,Tokens!BD1113:BI1113,2,"files")</f>
        <v>"files":[]</v>
      </c>
      <c r="Z1113" s="1"/>
      <c r="AA1113" s="1"/>
      <c r="AB1113" s="1"/>
      <c r="AC1113" s="1" t="str">
        <f>formatRow(Tokens!BJ$2:BK$2,Tokens!BJ1113:BK1113,0,"collection")</f>
        <v>"collection":{"name":"In Casa",_x000D_
"family":"Calvi On The Rocks"}</v>
      </c>
    </row>
    <row r="1114" spans="5:29" ht="14.25" customHeight="1" x14ac:dyDescent="0.25">
      <c r="E1114" s="17" t="str">
        <f>IF(Tokens!C1114="","",Tokens!C1114)</f>
        <v>In Casa #951</v>
      </c>
      <c r="F1114" s="56"/>
      <c r="G1114" t="s">
        <v>164</v>
      </c>
      <c r="H1114" s="57" t="s">
        <v>165</v>
      </c>
      <c r="I1114" s="2" t="s">
        <v>166</v>
      </c>
      <c r="J1114" s="2" t="s">
        <v>167</v>
      </c>
      <c r="M1114" s="15"/>
      <c r="N1114">
        <v>6.9258811930000004</v>
      </c>
      <c r="O1114" s="15">
        <f t="shared" si="34"/>
        <v>0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1" t="str">
        <f>"owner=" &amp; Tokens!BS1114 &amp; "&amp;filename_for_metadata=" &amp; Tokens!BT1114 &amp; "&amp;offchaindata_platform=" &amp; $B$17 &amp; "&amp;keyfile=" &amp; $B$5 &amp; "&amp;network=" &amp; LOWER($B$8) &amp; "&amp;repository=" &amp; $B$18</f>
        <v>owner=thomas&amp;filename_for_metadata=InCasa_COR22D951&amp;offchaindata_platform=MongoDB&amp;keyfile=Paul&amp;network=jsonfiles&amp;repository=test</v>
      </c>
      <c r="U1114" s="1" t="str">
        <f t="shared" si="35"/>
        <v>{"name":"In Casa #951",_x000D_
"symbol":"COR22D951",_x000D_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4" s="1" t="str">
        <f>formatRow(Tokens!C$2:I$2,Tokens!C1114:I1114)</f>
        <v>"name":"In Casa #951",_x000D_
"symbol":"COR22D951",_x000D_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4" s="1" t="str">
        <f>formatRow(Tokens!J$2:AV$2,Tokens!J1114:AV1114,2,"attributes")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4" s="1" t="str">
        <f>formatRow(Tokens!AX$2:BC$2,Tokens!AX1114:BC1114,2,"creators")</f>
        <v>"creators":[{"address":"paul",_x000D_
"share":10},{"address":"sophie",_x000D_
"share":90}]</v>
      </c>
      <c r="Y1114" s="1" t="str">
        <f>formatRow(Tokens!BD$2:BI$2,Tokens!BD1114:BI1114,2,"files")</f>
        <v>"files":[]</v>
      </c>
      <c r="Z1114" s="1"/>
      <c r="AA1114" s="1"/>
      <c r="AB1114" s="1"/>
      <c r="AC1114" s="1" t="str">
        <f>formatRow(Tokens!BJ$2:BK$2,Tokens!BJ1114:BK1114,0,"collection")</f>
        <v>"collection":{"name":"In Casa",_x000D_
"family":"Calvi On The Rocks"}</v>
      </c>
    </row>
    <row r="1115" spans="5:29" ht="14.25" customHeight="1" x14ac:dyDescent="0.25">
      <c r="E1115" s="17" t="str">
        <f>IF(Tokens!C1115="","",Tokens!C1115)</f>
        <v>In Casa #952</v>
      </c>
      <c r="F1115" s="56"/>
      <c r="G1115" t="s">
        <v>164</v>
      </c>
      <c r="H1115" s="57" t="s">
        <v>165</v>
      </c>
      <c r="I1115" s="2" t="s">
        <v>166</v>
      </c>
      <c r="J1115" s="2" t="s">
        <v>167</v>
      </c>
      <c r="M1115" s="15"/>
      <c r="N1115">
        <v>6.9258811930000004</v>
      </c>
      <c r="O1115" s="15">
        <f t="shared" si="34"/>
        <v>0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1" t="str">
        <f>"owner=" &amp; Tokens!BS1115 &amp; "&amp;filename_for_metadata=" &amp; Tokens!BT1115 &amp; "&amp;offchaindata_platform=" &amp; $B$17 &amp; "&amp;keyfile=" &amp; $B$5 &amp; "&amp;network=" &amp; LOWER($B$8) &amp; "&amp;repository=" &amp; $B$18</f>
        <v>owner=thomas&amp;filename_for_metadata=InCasa_COR22D952&amp;offchaindata_platform=MongoDB&amp;keyfile=Paul&amp;network=jsonfiles&amp;repository=test</v>
      </c>
      <c r="U1115" s="1" t="str">
        <f t="shared" si="35"/>
        <v>{"name":"In Casa #952",_x000D_
"symbol":"COR22D952",_x000D_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5" s="1" t="str">
        <f>formatRow(Tokens!C$2:I$2,Tokens!C1115:I1115)</f>
        <v>"name":"In Casa #952",_x000D_
"symbol":"COR22D952",_x000D_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5" s="1" t="str">
        <f>formatRow(Tokens!J$2:AV$2,Tokens!J1115:AV1115,2,"attributes")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5" s="1" t="str">
        <f>formatRow(Tokens!AX$2:BC$2,Tokens!AX1115:BC1115,2,"creators")</f>
        <v>"creators":[{"address":"paul",_x000D_
"share":10},{"address":"sophie",_x000D_
"share":90}]</v>
      </c>
      <c r="Y1115" s="1" t="str">
        <f>formatRow(Tokens!BD$2:BI$2,Tokens!BD1115:BI1115,2,"files")</f>
        <v>"files":[]</v>
      </c>
      <c r="Z1115" s="1"/>
      <c r="AA1115" s="1"/>
      <c r="AB1115" s="1"/>
      <c r="AC1115" s="1" t="str">
        <f>formatRow(Tokens!BJ$2:BK$2,Tokens!BJ1115:BK1115,0,"collection")</f>
        <v>"collection":{"name":"In Casa",_x000D_
"family":"Calvi On The Rocks"}</v>
      </c>
    </row>
    <row r="1116" spans="5:29" ht="14.25" customHeight="1" x14ac:dyDescent="0.25">
      <c r="E1116" s="17" t="str">
        <f>IF(Tokens!C1116="","",Tokens!C1116)</f>
        <v>In Casa #953</v>
      </c>
      <c r="F1116" s="56"/>
      <c r="G1116" t="s">
        <v>164</v>
      </c>
      <c r="H1116" s="57" t="s">
        <v>165</v>
      </c>
      <c r="I1116" s="2" t="s">
        <v>166</v>
      </c>
      <c r="J1116" s="2" t="s">
        <v>167</v>
      </c>
      <c r="M1116" s="15"/>
      <c r="N1116">
        <v>6.9258811930000004</v>
      </c>
      <c r="O1116" s="15">
        <f t="shared" si="34"/>
        <v>0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1" t="str">
        <f>"owner=" &amp; Tokens!BS1116 &amp; "&amp;filename_for_metadata=" &amp; Tokens!BT1116 &amp; "&amp;offchaindata_platform=" &amp; $B$17 &amp; "&amp;keyfile=" &amp; $B$5 &amp; "&amp;network=" &amp; LOWER($B$8) &amp; "&amp;repository=" &amp; $B$18</f>
        <v>owner=thomas&amp;filename_for_metadata=InCasa_COR22D953&amp;offchaindata_platform=MongoDB&amp;keyfile=Paul&amp;network=jsonfiles&amp;repository=test</v>
      </c>
      <c r="U1116" s="1" t="str">
        <f t="shared" si="35"/>
        <v>{"name":"In Casa #953",_x000D_
"symbol":"COR22D953",_x000D_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6" s="1" t="str">
        <f>formatRow(Tokens!C$2:I$2,Tokens!C1116:I1116)</f>
        <v>"name":"In Casa #953",_x000D_
"symbol":"COR22D953",_x000D_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6" s="1" t="str">
        <f>formatRow(Tokens!J$2:AV$2,Tokens!J1116:AV1116,2,"attributes")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6" s="1" t="str">
        <f>formatRow(Tokens!AX$2:BC$2,Tokens!AX1116:BC1116,2,"creators")</f>
        <v>"creators":[{"address":"paul",_x000D_
"share":10},{"address":"sophie",_x000D_
"share":90}]</v>
      </c>
      <c r="Y1116" s="1" t="str">
        <f>formatRow(Tokens!BD$2:BI$2,Tokens!BD1116:BI1116,2,"files")</f>
        <v>"files":[]</v>
      </c>
      <c r="Z1116" s="1"/>
      <c r="AA1116" s="1"/>
      <c r="AB1116" s="1"/>
      <c r="AC1116" s="1" t="str">
        <f>formatRow(Tokens!BJ$2:BK$2,Tokens!BJ1116:BK1116,0,"collection")</f>
        <v>"collection":{"name":"In Casa",_x000D_
"family":"Calvi On The Rocks"}</v>
      </c>
    </row>
    <row r="1117" spans="5:29" ht="14.25" customHeight="1" x14ac:dyDescent="0.25">
      <c r="E1117" s="17" t="str">
        <f>IF(Tokens!C1117="","",Tokens!C1117)</f>
        <v>In Casa #954</v>
      </c>
      <c r="F1117" s="56"/>
      <c r="G1117" t="s">
        <v>164</v>
      </c>
      <c r="H1117" s="57" t="s">
        <v>165</v>
      </c>
      <c r="I1117" s="2" t="s">
        <v>166</v>
      </c>
      <c r="J1117" s="2" t="s">
        <v>167</v>
      </c>
      <c r="M1117" s="15"/>
      <c r="N1117">
        <v>6.9258811930000004</v>
      </c>
      <c r="O1117" s="15">
        <f t="shared" si="34"/>
        <v>0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1" t="str">
        <f>"owner=" &amp; Tokens!BS1117 &amp; "&amp;filename_for_metadata=" &amp; Tokens!BT1117 &amp; "&amp;offchaindata_platform=" &amp; $B$17 &amp; "&amp;keyfile=" &amp; $B$5 &amp; "&amp;network=" &amp; LOWER($B$8) &amp; "&amp;repository=" &amp; $B$18</f>
        <v>owner=thomas&amp;filename_for_metadata=InCasa_COR22D954&amp;offchaindata_platform=MongoDB&amp;keyfile=Paul&amp;network=jsonfiles&amp;repository=test</v>
      </c>
      <c r="U1117" s="1" t="str">
        <f t="shared" si="35"/>
        <v>{"name":"In Casa #954",_x000D_
"symbol":"COR22D954",_x000D_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7" s="1" t="str">
        <f>formatRow(Tokens!C$2:I$2,Tokens!C1117:I1117)</f>
        <v>"name":"In Casa #954",_x000D_
"symbol":"COR22D954",_x000D_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7" s="1" t="str">
        <f>formatRow(Tokens!J$2:AV$2,Tokens!J1117:AV1117,2,"attributes")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7" s="1" t="str">
        <f>formatRow(Tokens!AX$2:BC$2,Tokens!AX1117:BC1117,2,"creators")</f>
        <v>"creators":[{"address":"paul",_x000D_
"share":10},{"address":"sophie",_x000D_
"share":90}]</v>
      </c>
      <c r="Y1117" s="1" t="str">
        <f>formatRow(Tokens!BD$2:BI$2,Tokens!BD1117:BI1117,2,"files")</f>
        <v>"files":[]</v>
      </c>
      <c r="Z1117" s="1"/>
      <c r="AA1117" s="1"/>
      <c r="AB1117" s="1"/>
      <c r="AC1117" s="1" t="str">
        <f>formatRow(Tokens!BJ$2:BK$2,Tokens!BJ1117:BK1117,0,"collection")</f>
        <v>"collection":{"name":"In Casa",_x000D_
"family":"Calvi On The Rocks"}</v>
      </c>
    </row>
    <row r="1118" spans="5:29" ht="14.25" customHeight="1" x14ac:dyDescent="0.25">
      <c r="E1118" s="17" t="str">
        <f>IF(Tokens!C1118="","",Tokens!C1118)</f>
        <v>In Casa #955</v>
      </c>
      <c r="F1118" s="56"/>
      <c r="G1118" t="s">
        <v>164</v>
      </c>
      <c r="H1118" s="57" t="s">
        <v>165</v>
      </c>
      <c r="I1118" s="2" t="s">
        <v>166</v>
      </c>
      <c r="J1118" s="2" t="s">
        <v>167</v>
      </c>
      <c r="M1118" s="15"/>
      <c r="N1118">
        <v>6.9258811930000004</v>
      </c>
      <c r="O1118" s="15">
        <f t="shared" si="34"/>
        <v>0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1" t="str">
        <f>"owner=" &amp; Tokens!BS1118 &amp; "&amp;filename_for_metadata=" &amp; Tokens!BT1118 &amp; "&amp;offchaindata_platform=" &amp; $B$17 &amp; "&amp;keyfile=" &amp; $B$5 &amp; "&amp;network=" &amp; LOWER($B$8) &amp; "&amp;repository=" &amp; $B$18</f>
        <v>owner=thomas&amp;filename_for_metadata=InCasa_COR22D955&amp;offchaindata_platform=MongoDB&amp;keyfile=Paul&amp;network=jsonfiles&amp;repository=test</v>
      </c>
      <c r="U1118" s="1" t="str">
        <f t="shared" si="35"/>
        <v>{"name":"In Casa #955",_x000D_
"symbol":"COR22D955",_x000D_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8" s="1" t="str">
        <f>formatRow(Tokens!C$2:I$2,Tokens!C1118:I1118)</f>
        <v>"name":"In Casa #955",_x000D_
"symbol":"COR22D955",_x000D_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8" s="1" t="str">
        <f>formatRow(Tokens!J$2:AV$2,Tokens!J1118:AV1118,2,"attributes")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8" s="1" t="str">
        <f>formatRow(Tokens!AX$2:BC$2,Tokens!AX1118:BC1118,2,"creators")</f>
        <v>"creators":[{"address":"paul",_x000D_
"share":10},{"address":"sophie",_x000D_
"share":90}]</v>
      </c>
      <c r="Y1118" s="1" t="str">
        <f>formatRow(Tokens!BD$2:BI$2,Tokens!BD1118:BI1118,2,"files")</f>
        <v>"files":[]</v>
      </c>
      <c r="Z1118" s="1"/>
      <c r="AA1118" s="1"/>
      <c r="AB1118" s="1"/>
      <c r="AC1118" s="1" t="str">
        <f>formatRow(Tokens!BJ$2:BK$2,Tokens!BJ1118:BK1118,0,"collection")</f>
        <v>"collection":{"name":"In Casa",_x000D_
"family":"Calvi On The Rocks"}</v>
      </c>
    </row>
    <row r="1119" spans="5:29" ht="14.25" customHeight="1" x14ac:dyDescent="0.25">
      <c r="E1119" s="17" t="str">
        <f>IF(Tokens!C1119="","",Tokens!C1119)</f>
        <v>In Casa #956</v>
      </c>
      <c r="F1119" s="56"/>
      <c r="G1119" t="s">
        <v>164</v>
      </c>
      <c r="H1119" s="57" t="s">
        <v>165</v>
      </c>
      <c r="I1119" s="2" t="s">
        <v>166</v>
      </c>
      <c r="J1119" s="2" t="s">
        <v>167</v>
      </c>
      <c r="M1119" s="15"/>
      <c r="N1119">
        <v>6.9258811930000004</v>
      </c>
      <c r="O1119" s="15">
        <f t="shared" si="34"/>
        <v>0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1" t="str">
        <f>"owner=" &amp; Tokens!BS1119 &amp; "&amp;filename_for_metadata=" &amp; Tokens!BT1119 &amp; "&amp;offchaindata_platform=" &amp; $B$17 &amp; "&amp;keyfile=" &amp; $B$5 &amp; "&amp;network=" &amp; LOWER($B$8) &amp; "&amp;repository=" &amp; $B$18</f>
        <v>owner=thomas&amp;filename_for_metadata=InCasa_COR22D956&amp;offchaindata_platform=MongoDB&amp;keyfile=Paul&amp;network=jsonfiles&amp;repository=test</v>
      </c>
      <c r="U1119" s="1" t="str">
        <f t="shared" si="35"/>
        <v>{"name":"In Casa #956",_x000D_
"symbol":"COR22D956",_x000D_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19" s="1" t="str">
        <f>formatRow(Tokens!C$2:I$2,Tokens!C1119:I1119)</f>
        <v>"name":"In Casa #956",_x000D_
"symbol":"COR22D956",_x000D_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19" s="1" t="str">
        <f>formatRow(Tokens!J$2:AV$2,Tokens!J1119:AV1119,2,"attributes")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19" s="1" t="str">
        <f>formatRow(Tokens!AX$2:BC$2,Tokens!AX1119:BC1119,2,"creators")</f>
        <v>"creators":[{"address":"paul",_x000D_
"share":10},{"address":"sophie",_x000D_
"share":90}]</v>
      </c>
      <c r="Y1119" s="1" t="str">
        <f>formatRow(Tokens!BD$2:BI$2,Tokens!BD1119:BI1119,2,"files")</f>
        <v>"files":[]</v>
      </c>
      <c r="Z1119" s="1"/>
      <c r="AA1119" s="1"/>
      <c r="AB1119" s="1"/>
      <c r="AC1119" s="1" t="str">
        <f>formatRow(Tokens!BJ$2:BK$2,Tokens!BJ1119:BK1119,0,"collection")</f>
        <v>"collection":{"name":"In Casa",_x000D_
"family":"Calvi On The Rocks"}</v>
      </c>
    </row>
    <row r="1120" spans="5:29" ht="14.25" customHeight="1" x14ac:dyDescent="0.25">
      <c r="E1120" s="17" t="str">
        <f>IF(Tokens!C1120="","",Tokens!C1120)</f>
        <v>In Casa #957</v>
      </c>
      <c r="F1120" s="56"/>
      <c r="G1120" t="s">
        <v>164</v>
      </c>
      <c r="H1120" s="57" t="s">
        <v>165</v>
      </c>
      <c r="I1120" s="2" t="s">
        <v>166</v>
      </c>
      <c r="J1120" s="2" t="s">
        <v>167</v>
      </c>
      <c r="M1120" s="15"/>
      <c r="N1120">
        <v>6.9258811930000004</v>
      </c>
      <c r="O1120" s="15">
        <f t="shared" si="34"/>
        <v>0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1" t="str">
        <f>"owner=" &amp; Tokens!BS1120 &amp; "&amp;filename_for_metadata=" &amp; Tokens!BT1120 &amp; "&amp;offchaindata_platform=" &amp; $B$17 &amp; "&amp;keyfile=" &amp; $B$5 &amp; "&amp;network=" &amp; LOWER($B$8) &amp; "&amp;repository=" &amp; $B$18</f>
        <v>owner=thomas&amp;filename_for_metadata=InCasa_COR22D957&amp;offchaindata_platform=MongoDB&amp;keyfile=Paul&amp;network=jsonfiles&amp;repository=test</v>
      </c>
      <c r="U1120" s="1" t="str">
        <f t="shared" si="35"/>
        <v>{"name":"In Casa #957",_x000D_
"symbol":"COR22D957",_x000D_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0" s="1" t="str">
        <f>formatRow(Tokens!C$2:I$2,Tokens!C1120:I1120)</f>
        <v>"name":"In Casa #957",_x000D_
"symbol":"COR22D957",_x000D_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0" s="1" t="str">
        <f>formatRow(Tokens!J$2:AV$2,Tokens!J1120:AV1120,2,"attributes")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0" s="1" t="str">
        <f>formatRow(Tokens!AX$2:BC$2,Tokens!AX1120:BC1120,2,"creators")</f>
        <v>"creators":[{"address":"paul",_x000D_
"share":10},{"address":"sophie",_x000D_
"share":90}]</v>
      </c>
      <c r="Y1120" s="1" t="str">
        <f>formatRow(Tokens!BD$2:BI$2,Tokens!BD1120:BI1120,2,"files")</f>
        <v>"files":[]</v>
      </c>
      <c r="Z1120" s="1"/>
      <c r="AA1120" s="1"/>
      <c r="AB1120" s="1"/>
      <c r="AC1120" s="1" t="str">
        <f>formatRow(Tokens!BJ$2:BK$2,Tokens!BJ1120:BK1120,0,"collection")</f>
        <v>"collection":{"name":"In Casa",_x000D_
"family":"Calvi On The Rocks"}</v>
      </c>
    </row>
    <row r="1121" spans="5:29" ht="14.25" customHeight="1" x14ac:dyDescent="0.25">
      <c r="E1121" s="17" t="str">
        <f>IF(Tokens!C1121="","",Tokens!C1121)</f>
        <v>In Casa #958</v>
      </c>
      <c r="F1121" s="56"/>
      <c r="G1121" t="s">
        <v>164</v>
      </c>
      <c r="H1121" s="57" t="s">
        <v>165</v>
      </c>
      <c r="I1121" s="2" t="s">
        <v>166</v>
      </c>
      <c r="J1121" s="2" t="s">
        <v>167</v>
      </c>
      <c r="M1121" s="15"/>
      <c r="N1121">
        <v>6.9258811930000004</v>
      </c>
      <c r="O1121" s="15">
        <f t="shared" si="34"/>
        <v>0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1" t="str">
        <f>"owner=" &amp; Tokens!BS1121 &amp; "&amp;filename_for_metadata=" &amp; Tokens!BT1121 &amp; "&amp;offchaindata_platform=" &amp; $B$17 &amp; "&amp;keyfile=" &amp; $B$5 &amp; "&amp;network=" &amp; LOWER($B$8) &amp; "&amp;repository=" &amp; $B$18</f>
        <v>owner=thomas&amp;filename_for_metadata=InCasa_COR22D958&amp;offchaindata_platform=MongoDB&amp;keyfile=Paul&amp;network=jsonfiles&amp;repository=test</v>
      </c>
      <c r="U1121" s="1" t="str">
        <f t="shared" si="35"/>
        <v>{"name":"In Casa #958",_x000D_
"symbol":"COR22D958",_x000D_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1" s="1" t="str">
        <f>formatRow(Tokens!C$2:I$2,Tokens!C1121:I1121)</f>
        <v>"name":"In Casa #958",_x000D_
"symbol":"COR22D958",_x000D_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1" s="1" t="str">
        <f>formatRow(Tokens!J$2:AV$2,Tokens!J1121:AV1121,2,"attributes")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1" s="1" t="str">
        <f>formatRow(Tokens!AX$2:BC$2,Tokens!AX1121:BC1121,2,"creators")</f>
        <v>"creators":[{"address":"paul",_x000D_
"share":10},{"address":"sophie",_x000D_
"share":90}]</v>
      </c>
      <c r="Y1121" s="1" t="str">
        <f>formatRow(Tokens!BD$2:BI$2,Tokens!BD1121:BI1121,2,"files")</f>
        <v>"files":[]</v>
      </c>
      <c r="Z1121" s="1"/>
      <c r="AA1121" s="1"/>
      <c r="AB1121" s="1"/>
      <c r="AC1121" s="1" t="str">
        <f>formatRow(Tokens!BJ$2:BK$2,Tokens!BJ1121:BK1121,0,"collection")</f>
        <v>"collection":{"name":"In Casa",_x000D_
"family":"Calvi On The Rocks"}</v>
      </c>
    </row>
    <row r="1122" spans="5:29" ht="14.25" customHeight="1" x14ac:dyDescent="0.25">
      <c r="E1122" s="17" t="str">
        <f>IF(Tokens!C1122="","",Tokens!C1122)</f>
        <v>In Casa #959</v>
      </c>
      <c r="F1122" s="56"/>
      <c r="G1122" t="s">
        <v>164</v>
      </c>
      <c r="H1122" s="57" t="s">
        <v>165</v>
      </c>
      <c r="I1122" s="2" t="s">
        <v>166</v>
      </c>
      <c r="J1122" s="2" t="s">
        <v>167</v>
      </c>
      <c r="M1122" s="15"/>
      <c r="N1122">
        <v>6.9258811930000004</v>
      </c>
      <c r="O1122" s="15">
        <f t="shared" si="34"/>
        <v>0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1" t="str">
        <f>"owner=" &amp; Tokens!BS1122 &amp; "&amp;filename_for_metadata=" &amp; Tokens!BT1122 &amp; "&amp;offchaindata_platform=" &amp; $B$17 &amp; "&amp;keyfile=" &amp; $B$5 &amp; "&amp;network=" &amp; LOWER($B$8) &amp; "&amp;repository=" &amp; $B$18</f>
        <v>owner=thomas&amp;filename_for_metadata=InCasa_COR22D959&amp;offchaindata_platform=MongoDB&amp;keyfile=Paul&amp;network=jsonfiles&amp;repository=test</v>
      </c>
      <c r="U1122" s="1" t="str">
        <f t="shared" si="35"/>
        <v>{"name":"In Casa #959",_x000D_
"symbol":"COR22D959",_x000D_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2" s="1" t="str">
        <f>formatRow(Tokens!C$2:I$2,Tokens!C1122:I1122)</f>
        <v>"name":"In Casa #959",_x000D_
"symbol":"COR22D959",_x000D_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2" s="1" t="str">
        <f>formatRow(Tokens!J$2:AV$2,Tokens!J1122:AV1122,2,"attributes")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2" s="1" t="str">
        <f>formatRow(Tokens!AX$2:BC$2,Tokens!AX1122:BC1122,2,"creators")</f>
        <v>"creators":[{"address":"paul",_x000D_
"share":10},{"address":"sophie",_x000D_
"share":90}]</v>
      </c>
      <c r="Y1122" s="1" t="str">
        <f>formatRow(Tokens!BD$2:BI$2,Tokens!BD1122:BI1122,2,"files")</f>
        <v>"files":[]</v>
      </c>
      <c r="Z1122" s="1"/>
      <c r="AA1122" s="1"/>
      <c r="AB1122" s="1"/>
      <c r="AC1122" s="1" t="str">
        <f>formatRow(Tokens!BJ$2:BK$2,Tokens!BJ1122:BK1122,0,"collection")</f>
        <v>"collection":{"name":"In Casa",_x000D_
"family":"Calvi On The Rocks"}</v>
      </c>
    </row>
    <row r="1123" spans="5:29" ht="14.25" customHeight="1" x14ac:dyDescent="0.25">
      <c r="E1123" s="17" t="str">
        <f>IF(Tokens!C1123="","",Tokens!C1123)</f>
        <v>In Casa #960</v>
      </c>
      <c r="F1123" s="56"/>
      <c r="G1123" t="s">
        <v>164</v>
      </c>
      <c r="H1123" s="57" t="s">
        <v>165</v>
      </c>
      <c r="I1123" s="2" t="s">
        <v>166</v>
      </c>
      <c r="J1123" s="2" t="s">
        <v>167</v>
      </c>
      <c r="M1123" s="15"/>
      <c r="N1123">
        <v>6.9258811930000004</v>
      </c>
      <c r="O1123" s="15">
        <f t="shared" si="34"/>
        <v>0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1" t="str">
        <f>"owner=" &amp; Tokens!BS1123 &amp; "&amp;filename_for_metadata=" &amp; Tokens!BT1123 &amp; "&amp;offchaindata_platform=" &amp; $B$17 &amp; "&amp;keyfile=" &amp; $B$5 &amp; "&amp;network=" &amp; LOWER($B$8) &amp; "&amp;repository=" &amp; $B$18</f>
        <v>owner=thomas&amp;filename_for_metadata=InCasa_COR22D960&amp;offchaindata_platform=MongoDB&amp;keyfile=Paul&amp;network=jsonfiles&amp;repository=test</v>
      </c>
      <c r="U1123" s="1" t="str">
        <f t="shared" si="35"/>
        <v>{"name":"In Casa #960",_x000D_
"symbol":"COR22D960",_x000D_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3" s="1" t="str">
        <f>formatRow(Tokens!C$2:I$2,Tokens!C1123:I1123)</f>
        <v>"name":"In Casa #960",_x000D_
"symbol":"COR22D960",_x000D_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3" s="1" t="str">
        <f>formatRow(Tokens!J$2:AV$2,Tokens!J1123:AV1123,2,"attributes")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3" s="1" t="str">
        <f>formatRow(Tokens!AX$2:BC$2,Tokens!AX1123:BC1123,2,"creators")</f>
        <v>"creators":[{"address":"paul",_x000D_
"share":10},{"address":"sophie",_x000D_
"share":90}]</v>
      </c>
      <c r="Y1123" s="1" t="str">
        <f>formatRow(Tokens!BD$2:BI$2,Tokens!BD1123:BI1123,2,"files")</f>
        <v>"files":[]</v>
      </c>
      <c r="Z1123" s="1"/>
      <c r="AA1123" s="1"/>
      <c r="AB1123" s="1"/>
      <c r="AC1123" s="1" t="str">
        <f>formatRow(Tokens!BJ$2:BK$2,Tokens!BJ1123:BK1123,0,"collection")</f>
        <v>"collection":{"name":"In Casa",_x000D_
"family":"Calvi On The Rocks"}</v>
      </c>
    </row>
    <row r="1124" spans="5:29" ht="14.25" customHeight="1" x14ac:dyDescent="0.25">
      <c r="E1124" s="17" t="str">
        <f>IF(Tokens!C1124="","",Tokens!C1124)</f>
        <v>In Casa #961</v>
      </c>
      <c r="F1124" s="56"/>
      <c r="G1124" t="s">
        <v>164</v>
      </c>
      <c r="H1124" s="57" t="s">
        <v>165</v>
      </c>
      <c r="I1124" s="2" t="s">
        <v>166</v>
      </c>
      <c r="J1124" s="2" t="s">
        <v>167</v>
      </c>
      <c r="M1124" s="15"/>
      <c r="N1124">
        <v>6.9258811930000004</v>
      </c>
      <c r="O1124" s="15">
        <f t="shared" si="34"/>
        <v>0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1" t="str">
        <f>"owner=" &amp; Tokens!BS1124 &amp; "&amp;filename_for_metadata=" &amp; Tokens!BT1124 &amp; "&amp;offchaindata_platform=" &amp; $B$17 &amp; "&amp;keyfile=" &amp; $B$5 &amp; "&amp;network=" &amp; LOWER($B$8) &amp; "&amp;repository=" &amp; $B$18</f>
        <v>owner=thomas&amp;filename_for_metadata=InCasa_COR22D961&amp;offchaindata_platform=MongoDB&amp;keyfile=Paul&amp;network=jsonfiles&amp;repository=test</v>
      </c>
      <c r="U1124" s="1" t="str">
        <f t="shared" si="35"/>
        <v>{"name":"In Casa #961",_x000D_
"symbol":"COR22D961",_x000D_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4" s="1" t="str">
        <f>formatRow(Tokens!C$2:I$2,Tokens!C1124:I1124)</f>
        <v>"name":"In Casa #961",_x000D_
"symbol":"COR22D961",_x000D_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4" s="1" t="str">
        <f>formatRow(Tokens!J$2:AV$2,Tokens!J1124:AV1124,2,"attributes")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4" s="1" t="str">
        <f>formatRow(Tokens!AX$2:BC$2,Tokens!AX1124:BC1124,2,"creators")</f>
        <v>"creators":[{"address":"paul",_x000D_
"share":10},{"address":"sophie",_x000D_
"share":90}]</v>
      </c>
      <c r="Y1124" s="1" t="str">
        <f>formatRow(Tokens!BD$2:BI$2,Tokens!BD1124:BI1124,2,"files")</f>
        <v>"files":[]</v>
      </c>
      <c r="Z1124" s="1"/>
      <c r="AA1124" s="1"/>
      <c r="AB1124" s="1"/>
      <c r="AC1124" s="1" t="str">
        <f>formatRow(Tokens!BJ$2:BK$2,Tokens!BJ1124:BK1124,0,"collection")</f>
        <v>"collection":{"name":"In Casa",_x000D_
"family":"Calvi On The Rocks"}</v>
      </c>
    </row>
    <row r="1125" spans="5:29" ht="14.25" customHeight="1" x14ac:dyDescent="0.25">
      <c r="E1125" s="17" t="str">
        <f>IF(Tokens!C1125="","",Tokens!C1125)</f>
        <v>In Casa #962</v>
      </c>
      <c r="F1125" s="56"/>
      <c r="G1125" t="s">
        <v>164</v>
      </c>
      <c r="H1125" s="57" t="s">
        <v>165</v>
      </c>
      <c r="I1125" s="2" t="s">
        <v>166</v>
      </c>
      <c r="J1125" s="2" t="s">
        <v>167</v>
      </c>
      <c r="M1125" s="15"/>
      <c r="N1125">
        <v>6.9258811930000004</v>
      </c>
      <c r="O1125" s="15">
        <f t="shared" si="34"/>
        <v>0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1" t="str">
        <f>"owner=" &amp; Tokens!BS1125 &amp; "&amp;filename_for_metadata=" &amp; Tokens!BT1125 &amp; "&amp;offchaindata_platform=" &amp; $B$17 &amp; "&amp;keyfile=" &amp; $B$5 &amp; "&amp;network=" &amp; LOWER($B$8) &amp; "&amp;repository=" &amp; $B$18</f>
        <v>owner=thomas&amp;filename_for_metadata=InCasa_COR22D962&amp;offchaindata_platform=MongoDB&amp;keyfile=Paul&amp;network=jsonfiles&amp;repository=test</v>
      </c>
      <c r="U1125" s="1" t="str">
        <f t="shared" si="35"/>
        <v>{"name":"In Casa #962",_x000D_
"symbol":"COR22D962",_x000D_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5" s="1" t="str">
        <f>formatRow(Tokens!C$2:I$2,Tokens!C1125:I1125)</f>
        <v>"name":"In Casa #962",_x000D_
"symbol":"COR22D962",_x000D_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5" s="1" t="str">
        <f>formatRow(Tokens!J$2:AV$2,Tokens!J1125:AV1125,2,"attributes")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5" s="1" t="str">
        <f>formatRow(Tokens!AX$2:BC$2,Tokens!AX1125:BC1125,2,"creators")</f>
        <v>"creators":[{"address":"paul",_x000D_
"share":10},{"address":"sophie",_x000D_
"share":90}]</v>
      </c>
      <c r="Y1125" s="1" t="str">
        <f>formatRow(Tokens!BD$2:BI$2,Tokens!BD1125:BI1125,2,"files")</f>
        <v>"files":[]</v>
      </c>
      <c r="Z1125" s="1"/>
      <c r="AA1125" s="1"/>
      <c r="AB1125" s="1"/>
      <c r="AC1125" s="1" t="str">
        <f>formatRow(Tokens!BJ$2:BK$2,Tokens!BJ1125:BK1125,0,"collection")</f>
        <v>"collection":{"name":"In Casa",_x000D_
"family":"Calvi On The Rocks"}</v>
      </c>
    </row>
    <row r="1126" spans="5:29" ht="14.25" customHeight="1" x14ac:dyDescent="0.25">
      <c r="E1126" s="17" t="str">
        <f>IF(Tokens!C1126="","",Tokens!C1126)</f>
        <v>In Casa #963</v>
      </c>
      <c r="F1126" s="56"/>
      <c r="G1126" t="s">
        <v>164</v>
      </c>
      <c r="H1126" s="57" t="s">
        <v>165</v>
      </c>
      <c r="I1126" s="2" t="s">
        <v>166</v>
      </c>
      <c r="J1126" s="2" t="s">
        <v>167</v>
      </c>
      <c r="M1126" s="15"/>
      <c r="N1126">
        <v>6.9258811930000004</v>
      </c>
      <c r="O1126" s="15">
        <f t="shared" si="34"/>
        <v>0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1" t="str">
        <f>"owner=" &amp; Tokens!BS1126 &amp; "&amp;filename_for_metadata=" &amp; Tokens!BT1126 &amp; "&amp;offchaindata_platform=" &amp; $B$17 &amp; "&amp;keyfile=" &amp; $B$5 &amp; "&amp;network=" &amp; LOWER($B$8) &amp; "&amp;repository=" &amp; $B$18</f>
        <v>owner=thomas&amp;filename_for_metadata=InCasa_COR22D963&amp;offchaindata_platform=MongoDB&amp;keyfile=Paul&amp;network=jsonfiles&amp;repository=test</v>
      </c>
      <c r="U1126" s="1" t="str">
        <f t="shared" si="35"/>
        <v>{"name":"In Casa #963",_x000D_
"symbol":"COR22D963",_x000D_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6" s="1" t="str">
        <f>formatRow(Tokens!C$2:I$2,Tokens!C1126:I1126)</f>
        <v>"name":"In Casa #963",_x000D_
"symbol":"COR22D963",_x000D_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6" s="1" t="str">
        <f>formatRow(Tokens!J$2:AV$2,Tokens!J1126:AV1126,2,"attributes")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6" s="1" t="str">
        <f>formatRow(Tokens!AX$2:BC$2,Tokens!AX1126:BC1126,2,"creators")</f>
        <v>"creators":[{"address":"paul",_x000D_
"share":10},{"address":"sophie",_x000D_
"share":90}]</v>
      </c>
      <c r="Y1126" s="1" t="str">
        <f>formatRow(Tokens!BD$2:BI$2,Tokens!BD1126:BI1126,2,"files")</f>
        <v>"files":[]</v>
      </c>
      <c r="Z1126" s="1"/>
      <c r="AA1126" s="1"/>
      <c r="AB1126" s="1"/>
      <c r="AC1126" s="1" t="str">
        <f>formatRow(Tokens!BJ$2:BK$2,Tokens!BJ1126:BK1126,0,"collection")</f>
        <v>"collection":{"name":"In Casa",_x000D_
"family":"Calvi On The Rocks"}</v>
      </c>
    </row>
    <row r="1127" spans="5:29" ht="14.25" customHeight="1" x14ac:dyDescent="0.25">
      <c r="E1127" s="17" t="str">
        <f>IF(Tokens!C1127="","",Tokens!C1127)</f>
        <v>In Casa #964</v>
      </c>
      <c r="F1127" s="56"/>
      <c r="G1127" t="s">
        <v>164</v>
      </c>
      <c r="H1127" s="57" t="s">
        <v>165</v>
      </c>
      <c r="I1127" s="2" t="s">
        <v>166</v>
      </c>
      <c r="J1127" s="2" t="s">
        <v>167</v>
      </c>
      <c r="M1127" s="15"/>
      <c r="N1127">
        <v>6.9258811930000004</v>
      </c>
      <c r="O1127" s="15">
        <f t="shared" si="34"/>
        <v>0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1" t="str">
        <f>"owner=" &amp; Tokens!BS1127 &amp; "&amp;filename_for_metadata=" &amp; Tokens!BT1127 &amp; "&amp;offchaindata_platform=" &amp; $B$17 &amp; "&amp;keyfile=" &amp; $B$5 &amp; "&amp;network=" &amp; LOWER($B$8) &amp; "&amp;repository=" &amp; $B$18</f>
        <v>owner=thomas&amp;filename_for_metadata=InCasa_COR22D964&amp;offchaindata_platform=MongoDB&amp;keyfile=Paul&amp;network=jsonfiles&amp;repository=test</v>
      </c>
      <c r="U1127" s="1" t="str">
        <f t="shared" si="35"/>
        <v>{"name":"In Casa #964",_x000D_
"symbol":"COR22D964",_x000D_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7" s="1" t="str">
        <f>formatRow(Tokens!C$2:I$2,Tokens!C1127:I1127)</f>
        <v>"name":"In Casa #964",_x000D_
"symbol":"COR22D964",_x000D_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7" s="1" t="str">
        <f>formatRow(Tokens!J$2:AV$2,Tokens!J1127:AV1127,2,"attributes")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7" s="1" t="str">
        <f>formatRow(Tokens!AX$2:BC$2,Tokens!AX1127:BC1127,2,"creators")</f>
        <v>"creators":[{"address":"paul",_x000D_
"share":10},{"address":"sophie",_x000D_
"share":90}]</v>
      </c>
      <c r="Y1127" s="1" t="str">
        <f>formatRow(Tokens!BD$2:BI$2,Tokens!BD1127:BI1127,2,"files")</f>
        <v>"files":[]</v>
      </c>
      <c r="Z1127" s="1"/>
      <c r="AA1127" s="1"/>
      <c r="AB1127" s="1"/>
      <c r="AC1127" s="1" t="str">
        <f>formatRow(Tokens!BJ$2:BK$2,Tokens!BJ1127:BK1127,0,"collection")</f>
        <v>"collection":{"name":"In Casa",_x000D_
"family":"Calvi On The Rocks"}</v>
      </c>
    </row>
    <row r="1128" spans="5:29" ht="14.25" customHeight="1" x14ac:dyDescent="0.25">
      <c r="E1128" s="17" t="str">
        <f>IF(Tokens!C1128="","",Tokens!C1128)</f>
        <v>In Casa #965</v>
      </c>
      <c r="F1128" s="56"/>
      <c r="G1128" t="s">
        <v>164</v>
      </c>
      <c r="H1128" s="57" t="s">
        <v>165</v>
      </c>
      <c r="I1128" s="2" t="s">
        <v>166</v>
      </c>
      <c r="J1128" s="2" t="s">
        <v>167</v>
      </c>
      <c r="M1128" s="15"/>
      <c r="N1128">
        <v>6.9258811930000004</v>
      </c>
      <c r="O1128" s="15">
        <f t="shared" si="34"/>
        <v>0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1" t="str">
        <f>"owner=" &amp; Tokens!BS1128 &amp; "&amp;filename_for_metadata=" &amp; Tokens!BT1128 &amp; "&amp;offchaindata_platform=" &amp; $B$17 &amp; "&amp;keyfile=" &amp; $B$5 &amp; "&amp;network=" &amp; LOWER($B$8) &amp; "&amp;repository=" &amp; $B$18</f>
        <v>owner=thomas&amp;filename_for_metadata=InCasa_COR22D965&amp;offchaindata_platform=MongoDB&amp;keyfile=Paul&amp;network=jsonfiles&amp;repository=test</v>
      </c>
      <c r="U1128" s="1" t="str">
        <f t="shared" si="35"/>
        <v>{"name":"In Casa #965",_x000D_
"symbol":"COR22D965",_x000D_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8" s="1" t="str">
        <f>formatRow(Tokens!C$2:I$2,Tokens!C1128:I1128)</f>
        <v>"name":"In Casa #965",_x000D_
"symbol":"COR22D965",_x000D_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8" s="1" t="str">
        <f>formatRow(Tokens!J$2:AV$2,Tokens!J1128:AV1128,2,"attributes")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8" s="1" t="str">
        <f>formatRow(Tokens!AX$2:BC$2,Tokens!AX1128:BC1128,2,"creators")</f>
        <v>"creators":[{"address":"paul",_x000D_
"share":10},{"address":"sophie",_x000D_
"share":90}]</v>
      </c>
      <c r="Y1128" s="1" t="str">
        <f>formatRow(Tokens!BD$2:BI$2,Tokens!BD1128:BI1128,2,"files")</f>
        <v>"files":[]</v>
      </c>
      <c r="Z1128" s="1"/>
      <c r="AA1128" s="1"/>
      <c r="AB1128" s="1"/>
      <c r="AC1128" s="1" t="str">
        <f>formatRow(Tokens!BJ$2:BK$2,Tokens!BJ1128:BK1128,0,"collection")</f>
        <v>"collection":{"name":"In Casa",_x000D_
"family":"Calvi On The Rocks"}</v>
      </c>
    </row>
    <row r="1129" spans="5:29" ht="14.25" customHeight="1" x14ac:dyDescent="0.25">
      <c r="E1129" s="17" t="str">
        <f>IF(Tokens!C1129="","",Tokens!C1129)</f>
        <v>In Casa #966</v>
      </c>
      <c r="F1129" s="56"/>
      <c r="G1129" t="s">
        <v>164</v>
      </c>
      <c r="H1129" s="57" t="s">
        <v>165</v>
      </c>
      <c r="I1129" s="2" t="s">
        <v>166</v>
      </c>
      <c r="J1129" s="2" t="s">
        <v>167</v>
      </c>
      <c r="M1129" s="15"/>
      <c r="N1129">
        <v>6.9258811930000004</v>
      </c>
      <c r="O1129" s="15">
        <f t="shared" si="34"/>
        <v>0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1" t="str">
        <f>"owner=" &amp; Tokens!BS1129 &amp; "&amp;filename_for_metadata=" &amp; Tokens!BT1129 &amp; "&amp;offchaindata_platform=" &amp; $B$17 &amp; "&amp;keyfile=" &amp; $B$5 &amp; "&amp;network=" &amp; LOWER($B$8) &amp; "&amp;repository=" &amp; $B$18</f>
        <v>owner=thomas&amp;filename_for_metadata=InCasa_COR22D966&amp;offchaindata_platform=MongoDB&amp;keyfile=Paul&amp;network=jsonfiles&amp;repository=test</v>
      </c>
      <c r="U1129" s="1" t="str">
        <f t="shared" si="35"/>
        <v>{"name":"In Casa #966",_x000D_
"symbol":"COR22D966",_x000D_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29" s="1" t="str">
        <f>formatRow(Tokens!C$2:I$2,Tokens!C1129:I1129)</f>
        <v>"name":"In Casa #966",_x000D_
"symbol":"COR22D966",_x000D_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29" s="1" t="str">
        <f>formatRow(Tokens!J$2:AV$2,Tokens!J1129:AV1129,2,"attributes")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29" s="1" t="str">
        <f>formatRow(Tokens!AX$2:BC$2,Tokens!AX1129:BC1129,2,"creators")</f>
        <v>"creators":[{"address":"paul",_x000D_
"share":10},{"address":"sophie",_x000D_
"share":90}]</v>
      </c>
      <c r="Y1129" s="1" t="str">
        <f>formatRow(Tokens!BD$2:BI$2,Tokens!BD1129:BI1129,2,"files")</f>
        <v>"files":[]</v>
      </c>
      <c r="Z1129" s="1"/>
      <c r="AA1129" s="1"/>
      <c r="AB1129" s="1"/>
      <c r="AC1129" s="1" t="str">
        <f>formatRow(Tokens!BJ$2:BK$2,Tokens!BJ1129:BK1129,0,"collection")</f>
        <v>"collection":{"name":"In Casa",_x000D_
"family":"Calvi On The Rocks"}</v>
      </c>
    </row>
    <row r="1130" spans="5:29" ht="14.25" customHeight="1" x14ac:dyDescent="0.25">
      <c r="E1130" s="17" t="str">
        <f>IF(Tokens!C1130="","",Tokens!C1130)</f>
        <v>In Casa #967</v>
      </c>
      <c r="F1130" s="56"/>
      <c r="G1130" t="s">
        <v>164</v>
      </c>
      <c r="H1130" s="57" t="s">
        <v>165</v>
      </c>
      <c r="I1130" s="2" t="s">
        <v>166</v>
      </c>
      <c r="J1130" s="2" t="s">
        <v>167</v>
      </c>
      <c r="M1130" s="15"/>
      <c r="N1130">
        <v>6.9258811930000004</v>
      </c>
      <c r="O1130" s="15">
        <f t="shared" si="34"/>
        <v>0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1" t="str">
        <f>"owner=" &amp; Tokens!BS1130 &amp; "&amp;filename_for_metadata=" &amp; Tokens!BT1130 &amp; "&amp;offchaindata_platform=" &amp; $B$17 &amp; "&amp;keyfile=" &amp; $B$5 &amp; "&amp;network=" &amp; LOWER($B$8) &amp; "&amp;repository=" &amp; $B$18</f>
        <v>owner=thomas&amp;filename_for_metadata=InCasa_COR22D967&amp;offchaindata_platform=MongoDB&amp;keyfile=Paul&amp;network=jsonfiles&amp;repository=test</v>
      </c>
      <c r="U1130" s="1" t="str">
        <f t="shared" si="35"/>
        <v>{"name":"In Casa #967",_x000D_
"symbol":"COR22D967",_x000D_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0" s="1" t="str">
        <f>formatRow(Tokens!C$2:I$2,Tokens!C1130:I1130)</f>
        <v>"name":"In Casa #967",_x000D_
"symbol":"COR22D967",_x000D_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0" s="1" t="str">
        <f>formatRow(Tokens!J$2:AV$2,Tokens!J1130:AV1130,2,"attributes")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0" s="1" t="str">
        <f>formatRow(Tokens!AX$2:BC$2,Tokens!AX1130:BC1130,2,"creators")</f>
        <v>"creators":[{"address":"paul",_x000D_
"share":10},{"address":"sophie",_x000D_
"share":90}]</v>
      </c>
      <c r="Y1130" s="1" t="str">
        <f>formatRow(Tokens!BD$2:BI$2,Tokens!BD1130:BI1130,2,"files")</f>
        <v>"files":[]</v>
      </c>
      <c r="Z1130" s="1"/>
      <c r="AA1130" s="1"/>
      <c r="AB1130" s="1"/>
      <c r="AC1130" s="1" t="str">
        <f>formatRow(Tokens!BJ$2:BK$2,Tokens!BJ1130:BK1130,0,"collection")</f>
        <v>"collection":{"name":"In Casa",_x000D_
"family":"Calvi On The Rocks"}</v>
      </c>
    </row>
    <row r="1131" spans="5:29" ht="14.25" customHeight="1" x14ac:dyDescent="0.25">
      <c r="E1131" s="17" t="str">
        <f>IF(Tokens!C1131="","",Tokens!C1131)</f>
        <v>In Casa #968</v>
      </c>
      <c r="F1131" s="56"/>
      <c r="G1131" t="s">
        <v>164</v>
      </c>
      <c r="H1131" s="57" t="s">
        <v>165</v>
      </c>
      <c r="I1131" s="2" t="s">
        <v>166</v>
      </c>
      <c r="J1131" s="2" t="s">
        <v>167</v>
      </c>
      <c r="M1131" s="15"/>
      <c r="N1131">
        <v>6.9258811930000004</v>
      </c>
      <c r="O1131" s="15">
        <f t="shared" si="34"/>
        <v>0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1" t="str">
        <f>"owner=" &amp; Tokens!BS1131 &amp; "&amp;filename_for_metadata=" &amp; Tokens!BT1131 &amp; "&amp;offchaindata_platform=" &amp; $B$17 &amp; "&amp;keyfile=" &amp; $B$5 &amp; "&amp;network=" &amp; LOWER($B$8) &amp; "&amp;repository=" &amp; $B$18</f>
        <v>owner=thomas&amp;filename_for_metadata=InCasa_COR22D968&amp;offchaindata_platform=MongoDB&amp;keyfile=Paul&amp;network=jsonfiles&amp;repository=test</v>
      </c>
      <c r="U1131" s="1" t="str">
        <f t="shared" si="35"/>
        <v>{"name":"In Casa #968",_x000D_
"symbol":"COR22D968",_x000D_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1" s="1" t="str">
        <f>formatRow(Tokens!C$2:I$2,Tokens!C1131:I1131)</f>
        <v>"name":"In Casa #968",_x000D_
"symbol":"COR22D968",_x000D_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1" s="1" t="str">
        <f>formatRow(Tokens!J$2:AV$2,Tokens!J1131:AV1131,2,"attributes")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1" s="1" t="str">
        <f>formatRow(Tokens!AX$2:BC$2,Tokens!AX1131:BC1131,2,"creators")</f>
        <v>"creators":[{"address":"paul",_x000D_
"share":10},{"address":"sophie",_x000D_
"share":90}]</v>
      </c>
      <c r="Y1131" s="1" t="str">
        <f>formatRow(Tokens!BD$2:BI$2,Tokens!BD1131:BI1131,2,"files")</f>
        <v>"files":[]</v>
      </c>
      <c r="Z1131" s="1"/>
      <c r="AA1131" s="1"/>
      <c r="AB1131" s="1"/>
      <c r="AC1131" s="1" t="str">
        <f>formatRow(Tokens!BJ$2:BK$2,Tokens!BJ1131:BK1131,0,"collection")</f>
        <v>"collection":{"name":"In Casa",_x000D_
"family":"Calvi On The Rocks"}</v>
      </c>
    </row>
    <row r="1132" spans="5:29" ht="14.25" customHeight="1" x14ac:dyDescent="0.25">
      <c r="E1132" s="17" t="str">
        <f>IF(Tokens!C1132="","",Tokens!C1132)</f>
        <v>In Casa #969</v>
      </c>
      <c r="F1132" s="56"/>
      <c r="G1132" t="s">
        <v>164</v>
      </c>
      <c r="H1132" s="57" t="s">
        <v>165</v>
      </c>
      <c r="I1132" s="2" t="s">
        <v>166</v>
      </c>
      <c r="J1132" s="2" t="s">
        <v>167</v>
      </c>
      <c r="M1132" s="15"/>
      <c r="N1132">
        <v>6.9258811930000004</v>
      </c>
      <c r="O1132" s="15">
        <f t="shared" si="34"/>
        <v>0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1" t="str">
        <f>"owner=" &amp; Tokens!BS1132 &amp; "&amp;filename_for_metadata=" &amp; Tokens!BT1132 &amp; "&amp;offchaindata_platform=" &amp; $B$17 &amp; "&amp;keyfile=" &amp; $B$5 &amp; "&amp;network=" &amp; LOWER($B$8) &amp; "&amp;repository=" &amp; $B$18</f>
        <v>owner=thomas&amp;filename_for_metadata=InCasa_COR22D969&amp;offchaindata_platform=MongoDB&amp;keyfile=Paul&amp;network=jsonfiles&amp;repository=test</v>
      </c>
      <c r="U1132" s="1" t="str">
        <f t="shared" si="35"/>
        <v>{"name":"In Casa #969",_x000D_
"symbol":"COR22D969",_x000D_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2" s="1" t="str">
        <f>formatRow(Tokens!C$2:I$2,Tokens!C1132:I1132)</f>
        <v>"name":"In Casa #969",_x000D_
"symbol":"COR22D969",_x000D_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2" s="1" t="str">
        <f>formatRow(Tokens!J$2:AV$2,Tokens!J1132:AV1132,2,"attributes")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2" s="1" t="str">
        <f>formatRow(Tokens!AX$2:BC$2,Tokens!AX1132:BC1132,2,"creators")</f>
        <v>"creators":[{"address":"paul",_x000D_
"share":10},{"address":"sophie",_x000D_
"share":90}]</v>
      </c>
      <c r="Y1132" s="1" t="str">
        <f>formatRow(Tokens!BD$2:BI$2,Tokens!BD1132:BI1132,2,"files")</f>
        <v>"files":[]</v>
      </c>
      <c r="Z1132" s="1"/>
      <c r="AA1132" s="1"/>
      <c r="AB1132" s="1"/>
      <c r="AC1132" s="1" t="str">
        <f>formatRow(Tokens!BJ$2:BK$2,Tokens!BJ1132:BK1132,0,"collection")</f>
        <v>"collection":{"name":"In Casa",_x000D_
"family":"Calvi On The Rocks"}</v>
      </c>
    </row>
    <row r="1133" spans="5:29" ht="14.25" customHeight="1" x14ac:dyDescent="0.25">
      <c r="E1133" s="17" t="str">
        <f>IF(Tokens!C1133="","",Tokens!C1133)</f>
        <v>In Casa #970</v>
      </c>
      <c r="F1133" s="56"/>
      <c r="G1133" t="s">
        <v>164</v>
      </c>
      <c r="H1133" s="57" t="s">
        <v>165</v>
      </c>
      <c r="I1133" s="2" t="s">
        <v>166</v>
      </c>
      <c r="J1133" s="2" t="s">
        <v>167</v>
      </c>
      <c r="M1133" s="15"/>
      <c r="N1133">
        <v>6.9258811930000004</v>
      </c>
      <c r="O1133" s="15">
        <f t="shared" si="34"/>
        <v>0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1" t="str">
        <f>"owner=" &amp; Tokens!BS1133 &amp; "&amp;filename_for_metadata=" &amp; Tokens!BT1133 &amp; "&amp;offchaindata_platform=" &amp; $B$17 &amp; "&amp;keyfile=" &amp; $B$5 &amp; "&amp;network=" &amp; LOWER($B$8) &amp; "&amp;repository=" &amp; $B$18</f>
        <v>owner=thomas&amp;filename_for_metadata=InCasa_COR22D970&amp;offchaindata_platform=MongoDB&amp;keyfile=Paul&amp;network=jsonfiles&amp;repository=test</v>
      </c>
      <c r="U1133" s="1" t="str">
        <f t="shared" si="35"/>
        <v>{"name":"In Casa #970",_x000D_
"symbol":"COR22D970",_x000D_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3" s="1" t="str">
        <f>formatRow(Tokens!C$2:I$2,Tokens!C1133:I1133)</f>
        <v>"name":"In Casa #970",_x000D_
"symbol":"COR22D970",_x000D_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3" s="1" t="str">
        <f>formatRow(Tokens!J$2:AV$2,Tokens!J1133:AV1133,2,"attributes")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3" s="1" t="str">
        <f>formatRow(Tokens!AX$2:BC$2,Tokens!AX1133:BC1133,2,"creators")</f>
        <v>"creators":[{"address":"paul",_x000D_
"share":10},{"address":"sophie",_x000D_
"share":90}]</v>
      </c>
      <c r="Y1133" s="1" t="str">
        <f>formatRow(Tokens!BD$2:BI$2,Tokens!BD1133:BI1133,2,"files")</f>
        <v>"files":[]</v>
      </c>
      <c r="Z1133" s="1"/>
      <c r="AA1133" s="1"/>
      <c r="AB1133" s="1"/>
      <c r="AC1133" s="1" t="str">
        <f>formatRow(Tokens!BJ$2:BK$2,Tokens!BJ1133:BK1133,0,"collection")</f>
        <v>"collection":{"name":"In Casa",_x000D_
"family":"Calvi On The Rocks"}</v>
      </c>
    </row>
    <row r="1134" spans="5:29" ht="14.25" customHeight="1" x14ac:dyDescent="0.25">
      <c r="E1134" s="17" t="str">
        <f>IF(Tokens!C1134="","",Tokens!C1134)</f>
        <v>In Casa #971</v>
      </c>
      <c r="F1134" s="56"/>
      <c r="G1134" t="s">
        <v>164</v>
      </c>
      <c r="H1134" s="57" t="s">
        <v>165</v>
      </c>
      <c r="I1134" s="2" t="s">
        <v>166</v>
      </c>
      <c r="J1134" s="2" t="s">
        <v>167</v>
      </c>
      <c r="M1134" s="15"/>
      <c r="N1134">
        <v>6.9258811930000004</v>
      </c>
      <c r="O1134" s="15">
        <f t="shared" si="34"/>
        <v>0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1" t="str">
        <f>"owner=" &amp; Tokens!BS1134 &amp; "&amp;filename_for_metadata=" &amp; Tokens!BT1134 &amp; "&amp;offchaindata_platform=" &amp; $B$17 &amp; "&amp;keyfile=" &amp; $B$5 &amp; "&amp;network=" &amp; LOWER($B$8) &amp; "&amp;repository=" &amp; $B$18</f>
        <v>owner=thomas&amp;filename_for_metadata=InCasa_COR22D971&amp;offchaindata_platform=MongoDB&amp;keyfile=Paul&amp;network=jsonfiles&amp;repository=test</v>
      </c>
      <c r="U1134" s="1" t="str">
        <f t="shared" si="35"/>
        <v>{"name":"In Casa #971",_x000D_
"symbol":"COR22D971",_x000D_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4" s="1" t="str">
        <f>formatRow(Tokens!C$2:I$2,Tokens!C1134:I1134)</f>
        <v>"name":"In Casa #971",_x000D_
"symbol":"COR22D971",_x000D_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4" s="1" t="str">
        <f>formatRow(Tokens!J$2:AV$2,Tokens!J1134:AV1134,2,"attributes")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4" s="1" t="str">
        <f>formatRow(Tokens!AX$2:BC$2,Tokens!AX1134:BC1134,2,"creators")</f>
        <v>"creators":[{"address":"paul",_x000D_
"share":10},{"address":"sophie",_x000D_
"share":90}]</v>
      </c>
      <c r="Y1134" s="1" t="str">
        <f>formatRow(Tokens!BD$2:BI$2,Tokens!BD1134:BI1134,2,"files")</f>
        <v>"files":[]</v>
      </c>
      <c r="Z1134" s="1"/>
      <c r="AA1134" s="1"/>
      <c r="AB1134" s="1"/>
      <c r="AC1134" s="1" t="str">
        <f>formatRow(Tokens!BJ$2:BK$2,Tokens!BJ1134:BK1134,0,"collection")</f>
        <v>"collection":{"name":"In Casa",_x000D_
"family":"Calvi On The Rocks"}</v>
      </c>
    </row>
    <row r="1135" spans="5:29" ht="14.25" customHeight="1" x14ac:dyDescent="0.25">
      <c r="E1135" s="17" t="str">
        <f>IF(Tokens!C1135="","",Tokens!C1135)</f>
        <v>In Casa #972</v>
      </c>
      <c r="F1135" s="56"/>
      <c r="G1135" t="s">
        <v>164</v>
      </c>
      <c r="H1135" s="57" t="s">
        <v>165</v>
      </c>
      <c r="I1135" s="2" t="s">
        <v>166</v>
      </c>
      <c r="J1135" s="2" t="s">
        <v>167</v>
      </c>
      <c r="M1135" s="15"/>
      <c r="N1135">
        <v>6.9258811930000004</v>
      </c>
      <c r="O1135" s="15">
        <f t="shared" si="34"/>
        <v>0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1" t="str">
        <f>"owner=" &amp; Tokens!BS1135 &amp; "&amp;filename_for_metadata=" &amp; Tokens!BT1135 &amp; "&amp;offchaindata_platform=" &amp; $B$17 &amp; "&amp;keyfile=" &amp; $B$5 &amp; "&amp;network=" &amp; LOWER($B$8) &amp; "&amp;repository=" &amp; $B$18</f>
        <v>owner=thomas&amp;filename_for_metadata=InCasa_COR22D972&amp;offchaindata_platform=MongoDB&amp;keyfile=Paul&amp;network=jsonfiles&amp;repository=test</v>
      </c>
      <c r="U1135" s="1" t="str">
        <f t="shared" si="35"/>
        <v>{"name":"In Casa #972",_x000D_
"symbol":"COR22D972",_x000D_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5" s="1" t="str">
        <f>formatRow(Tokens!C$2:I$2,Tokens!C1135:I1135)</f>
        <v>"name":"In Casa #972",_x000D_
"symbol":"COR22D972",_x000D_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5" s="1" t="str">
        <f>formatRow(Tokens!J$2:AV$2,Tokens!J1135:AV1135,2,"attributes")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5" s="1" t="str">
        <f>formatRow(Tokens!AX$2:BC$2,Tokens!AX1135:BC1135,2,"creators")</f>
        <v>"creators":[{"address":"paul",_x000D_
"share":10},{"address":"sophie",_x000D_
"share":90}]</v>
      </c>
      <c r="Y1135" s="1" t="str">
        <f>formatRow(Tokens!BD$2:BI$2,Tokens!BD1135:BI1135,2,"files")</f>
        <v>"files":[]</v>
      </c>
      <c r="Z1135" s="1"/>
      <c r="AA1135" s="1"/>
      <c r="AB1135" s="1"/>
      <c r="AC1135" s="1" t="str">
        <f>formatRow(Tokens!BJ$2:BK$2,Tokens!BJ1135:BK1135,0,"collection")</f>
        <v>"collection":{"name":"In Casa",_x000D_
"family":"Calvi On The Rocks"}</v>
      </c>
    </row>
    <row r="1136" spans="5:29" ht="14.25" customHeight="1" x14ac:dyDescent="0.25">
      <c r="E1136" s="17" t="str">
        <f>IF(Tokens!C1136="","",Tokens!C1136)</f>
        <v>In Casa #973</v>
      </c>
      <c r="F1136" s="56"/>
      <c r="G1136" t="s">
        <v>164</v>
      </c>
      <c r="H1136" s="57" t="s">
        <v>165</v>
      </c>
      <c r="I1136" s="2" t="s">
        <v>166</v>
      </c>
      <c r="J1136" s="2" t="s">
        <v>167</v>
      </c>
      <c r="M1136" s="15"/>
      <c r="N1136">
        <v>6.9258811930000004</v>
      </c>
      <c r="O1136" s="15">
        <f t="shared" si="34"/>
        <v>0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1" t="str">
        <f>"owner=" &amp; Tokens!BS1136 &amp; "&amp;filename_for_metadata=" &amp; Tokens!BT1136 &amp; "&amp;offchaindata_platform=" &amp; $B$17 &amp; "&amp;keyfile=" &amp; $B$5 &amp; "&amp;network=" &amp; LOWER($B$8) &amp; "&amp;repository=" &amp; $B$18</f>
        <v>owner=thomas&amp;filename_for_metadata=InCasa_COR22D973&amp;offchaindata_platform=MongoDB&amp;keyfile=Paul&amp;network=jsonfiles&amp;repository=test</v>
      </c>
      <c r="U1136" s="1" t="str">
        <f t="shared" si="35"/>
        <v>{"name":"In Casa #973",_x000D_
"symbol":"COR22D973",_x000D_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6" s="1" t="str">
        <f>formatRow(Tokens!C$2:I$2,Tokens!C1136:I1136)</f>
        <v>"name":"In Casa #973",_x000D_
"symbol":"COR22D973",_x000D_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6" s="1" t="str">
        <f>formatRow(Tokens!J$2:AV$2,Tokens!J1136:AV1136,2,"attributes")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6" s="1" t="str">
        <f>formatRow(Tokens!AX$2:BC$2,Tokens!AX1136:BC1136,2,"creators")</f>
        <v>"creators":[{"address":"paul",_x000D_
"share":10},{"address":"sophie",_x000D_
"share":90}]</v>
      </c>
      <c r="Y1136" s="1" t="str">
        <f>formatRow(Tokens!BD$2:BI$2,Tokens!BD1136:BI1136,2,"files")</f>
        <v>"files":[]</v>
      </c>
      <c r="Z1136" s="1"/>
      <c r="AA1136" s="1"/>
      <c r="AB1136" s="1"/>
      <c r="AC1136" s="1" t="str">
        <f>formatRow(Tokens!BJ$2:BK$2,Tokens!BJ1136:BK1136,0,"collection")</f>
        <v>"collection":{"name":"In Casa",_x000D_
"family":"Calvi On The Rocks"}</v>
      </c>
    </row>
    <row r="1137" spans="5:29" ht="14.25" customHeight="1" x14ac:dyDescent="0.25">
      <c r="E1137" s="17" t="str">
        <f>IF(Tokens!C1137="","",Tokens!C1137)</f>
        <v>In Casa #974</v>
      </c>
      <c r="F1137" s="56"/>
      <c r="G1137" t="s">
        <v>164</v>
      </c>
      <c r="H1137" s="57" t="s">
        <v>165</v>
      </c>
      <c r="I1137" s="2" t="s">
        <v>166</v>
      </c>
      <c r="J1137" s="2" t="s">
        <v>167</v>
      </c>
      <c r="M1137" s="15"/>
      <c r="N1137">
        <v>6.9258811930000004</v>
      </c>
      <c r="O1137" s="15">
        <f t="shared" si="34"/>
        <v>0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1" t="str">
        <f>"owner=" &amp; Tokens!BS1137 &amp; "&amp;filename_for_metadata=" &amp; Tokens!BT1137 &amp; "&amp;offchaindata_platform=" &amp; $B$17 &amp; "&amp;keyfile=" &amp; $B$5 &amp; "&amp;network=" &amp; LOWER($B$8) &amp; "&amp;repository=" &amp; $B$18</f>
        <v>owner=thomas&amp;filename_for_metadata=InCasa_COR22D974&amp;offchaindata_platform=MongoDB&amp;keyfile=Paul&amp;network=jsonfiles&amp;repository=test</v>
      </c>
      <c r="U1137" s="1" t="str">
        <f t="shared" si="35"/>
        <v>{"name":"In Casa #974",_x000D_
"symbol":"COR22D974",_x000D_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7" s="1" t="str">
        <f>formatRow(Tokens!C$2:I$2,Tokens!C1137:I1137)</f>
        <v>"name":"In Casa #974",_x000D_
"symbol":"COR22D974",_x000D_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7" s="1" t="str">
        <f>formatRow(Tokens!J$2:AV$2,Tokens!J1137:AV1137,2,"attributes")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7" s="1" t="str">
        <f>formatRow(Tokens!AX$2:BC$2,Tokens!AX1137:BC1137,2,"creators")</f>
        <v>"creators":[{"address":"paul",_x000D_
"share":10},{"address":"sophie",_x000D_
"share":90}]</v>
      </c>
      <c r="Y1137" s="1" t="str">
        <f>formatRow(Tokens!BD$2:BI$2,Tokens!BD1137:BI1137,2,"files")</f>
        <v>"files":[]</v>
      </c>
      <c r="Z1137" s="1"/>
      <c r="AA1137" s="1"/>
      <c r="AB1137" s="1"/>
      <c r="AC1137" s="1" t="str">
        <f>formatRow(Tokens!BJ$2:BK$2,Tokens!BJ1137:BK1137,0,"collection")</f>
        <v>"collection":{"name":"In Casa",_x000D_
"family":"Calvi On The Rocks"}</v>
      </c>
    </row>
    <row r="1138" spans="5:29" ht="14.25" customHeight="1" x14ac:dyDescent="0.25">
      <c r="E1138" s="17" t="str">
        <f>IF(Tokens!C1138="","",Tokens!C1138)</f>
        <v>In Casa #975</v>
      </c>
      <c r="F1138" s="56"/>
      <c r="G1138" t="s">
        <v>164</v>
      </c>
      <c r="H1138" s="57" t="s">
        <v>165</v>
      </c>
      <c r="I1138" s="2" t="s">
        <v>166</v>
      </c>
      <c r="J1138" s="2" t="s">
        <v>167</v>
      </c>
      <c r="M1138" s="15"/>
      <c r="N1138">
        <v>6.9258811930000004</v>
      </c>
      <c r="O1138" s="15">
        <f t="shared" si="34"/>
        <v>0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1" t="str">
        <f>"owner=" &amp; Tokens!BS1138 &amp; "&amp;filename_for_metadata=" &amp; Tokens!BT1138 &amp; "&amp;offchaindata_platform=" &amp; $B$17 &amp; "&amp;keyfile=" &amp; $B$5 &amp; "&amp;network=" &amp; LOWER($B$8) &amp; "&amp;repository=" &amp; $B$18</f>
        <v>owner=thomas&amp;filename_for_metadata=InCasa_COR22D975&amp;offchaindata_platform=MongoDB&amp;keyfile=Paul&amp;network=jsonfiles&amp;repository=test</v>
      </c>
      <c r="U1138" s="1" t="str">
        <f t="shared" si="35"/>
        <v>{"name":"In Casa #975",_x000D_
"symbol":"COR22D975",_x000D_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8" s="1" t="str">
        <f>formatRow(Tokens!C$2:I$2,Tokens!C1138:I1138)</f>
        <v>"name":"In Casa #975",_x000D_
"symbol":"COR22D975",_x000D_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8" s="1" t="str">
        <f>formatRow(Tokens!J$2:AV$2,Tokens!J1138:AV1138,2,"attributes")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8" s="1" t="str">
        <f>formatRow(Tokens!AX$2:BC$2,Tokens!AX1138:BC1138,2,"creators")</f>
        <v>"creators":[{"address":"paul",_x000D_
"share":10},{"address":"sophie",_x000D_
"share":90}]</v>
      </c>
      <c r="Y1138" s="1" t="str">
        <f>formatRow(Tokens!BD$2:BI$2,Tokens!BD1138:BI1138,2,"files")</f>
        <v>"files":[]</v>
      </c>
      <c r="Z1138" s="1"/>
      <c r="AA1138" s="1"/>
      <c r="AB1138" s="1"/>
      <c r="AC1138" s="1" t="str">
        <f>formatRow(Tokens!BJ$2:BK$2,Tokens!BJ1138:BK1138,0,"collection")</f>
        <v>"collection":{"name":"In Casa",_x000D_
"family":"Calvi On The Rocks"}</v>
      </c>
    </row>
    <row r="1139" spans="5:29" ht="14.25" customHeight="1" x14ac:dyDescent="0.25">
      <c r="E1139" s="17" t="str">
        <f>IF(Tokens!C1139="","",Tokens!C1139)</f>
        <v>In Casa #976</v>
      </c>
      <c r="F1139" s="56"/>
      <c r="G1139" t="s">
        <v>164</v>
      </c>
      <c r="H1139" s="57" t="s">
        <v>165</v>
      </c>
      <c r="I1139" s="2" t="s">
        <v>166</v>
      </c>
      <c r="J1139" s="2" t="s">
        <v>167</v>
      </c>
      <c r="M1139" s="15"/>
      <c r="N1139">
        <v>6.9258811930000004</v>
      </c>
      <c r="O1139" s="15">
        <f t="shared" si="34"/>
        <v>0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1" t="str">
        <f>"owner=" &amp; Tokens!BS1139 &amp; "&amp;filename_for_metadata=" &amp; Tokens!BT1139 &amp; "&amp;offchaindata_platform=" &amp; $B$17 &amp; "&amp;keyfile=" &amp; $B$5 &amp; "&amp;network=" &amp; LOWER($B$8) &amp; "&amp;repository=" &amp; $B$18</f>
        <v>owner=thomas&amp;filename_for_metadata=InCasa_COR22D976&amp;offchaindata_platform=MongoDB&amp;keyfile=Paul&amp;network=jsonfiles&amp;repository=test</v>
      </c>
      <c r="U1139" s="1" t="str">
        <f t="shared" si="35"/>
        <v>{"name":"In Casa #976",_x000D_
"symbol":"COR22D976",_x000D_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39" s="1" t="str">
        <f>formatRow(Tokens!C$2:I$2,Tokens!C1139:I1139)</f>
        <v>"name":"In Casa #976",_x000D_
"symbol":"COR22D976",_x000D_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39" s="1" t="str">
        <f>formatRow(Tokens!J$2:AV$2,Tokens!J1139:AV1139,2,"attributes")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39" s="1" t="str">
        <f>formatRow(Tokens!AX$2:BC$2,Tokens!AX1139:BC1139,2,"creators")</f>
        <v>"creators":[{"address":"paul",_x000D_
"share":10},{"address":"sophie",_x000D_
"share":90}]</v>
      </c>
      <c r="Y1139" s="1" t="str">
        <f>formatRow(Tokens!BD$2:BI$2,Tokens!BD1139:BI1139,2,"files")</f>
        <v>"files":[]</v>
      </c>
      <c r="Z1139" s="1"/>
      <c r="AA1139" s="1"/>
      <c r="AB1139" s="1"/>
      <c r="AC1139" s="1" t="str">
        <f>formatRow(Tokens!BJ$2:BK$2,Tokens!BJ1139:BK1139,0,"collection")</f>
        <v>"collection":{"name":"In Casa",_x000D_
"family":"Calvi On The Rocks"}</v>
      </c>
    </row>
    <row r="1140" spans="5:29" ht="14.25" customHeight="1" x14ac:dyDescent="0.25">
      <c r="E1140" s="17" t="str">
        <f>IF(Tokens!C1140="","",Tokens!C1140)</f>
        <v>In Casa #977</v>
      </c>
      <c r="F1140" s="56"/>
      <c r="G1140" t="s">
        <v>164</v>
      </c>
      <c r="H1140" s="57" t="s">
        <v>165</v>
      </c>
      <c r="I1140" s="2" t="s">
        <v>166</v>
      </c>
      <c r="J1140" s="2" t="s">
        <v>167</v>
      </c>
      <c r="M1140" s="15"/>
      <c r="N1140">
        <v>6.9258811930000004</v>
      </c>
      <c r="O1140" s="15">
        <f t="shared" si="34"/>
        <v>0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1" t="str">
        <f>"owner=" &amp; Tokens!BS1140 &amp; "&amp;filename_for_metadata=" &amp; Tokens!BT1140 &amp; "&amp;offchaindata_platform=" &amp; $B$17 &amp; "&amp;keyfile=" &amp; $B$5 &amp; "&amp;network=" &amp; LOWER($B$8) &amp; "&amp;repository=" &amp; $B$18</f>
        <v>owner=thomas&amp;filename_for_metadata=InCasa_COR22D977&amp;offchaindata_platform=MongoDB&amp;keyfile=Paul&amp;network=jsonfiles&amp;repository=test</v>
      </c>
      <c r="U1140" s="1" t="str">
        <f t="shared" si="35"/>
        <v>{"name":"In Casa #977",_x000D_
"symbol":"COR22D977",_x000D_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0" s="1" t="str">
        <f>formatRow(Tokens!C$2:I$2,Tokens!C1140:I1140)</f>
        <v>"name":"In Casa #977",_x000D_
"symbol":"COR22D977",_x000D_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0" s="1" t="str">
        <f>formatRow(Tokens!J$2:AV$2,Tokens!J1140:AV1140,2,"attributes")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0" s="1" t="str">
        <f>formatRow(Tokens!AX$2:BC$2,Tokens!AX1140:BC1140,2,"creators")</f>
        <v>"creators":[{"address":"paul",_x000D_
"share":10},{"address":"sophie",_x000D_
"share":90}]</v>
      </c>
      <c r="Y1140" s="1" t="str">
        <f>formatRow(Tokens!BD$2:BI$2,Tokens!BD1140:BI1140,2,"files")</f>
        <v>"files":[]</v>
      </c>
      <c r="Z1140" s="1"/>
      <c r="AA1140" s="1"/>
      <c r="AB1140" s="1"/>
      <c r="AC1140" s="1" t="str">
        <f>formatRow(Tokens!BJ$2:BK$2,Tokens!BJ1140:BK1140,0,"collection")</f>
        <v>"collection":{"name":"In Casa",_x000D_
"family":"Calvi On The Rocks"}</v>
      </c>
    </row>
    <row r="1141" spans="5:29" ht="14.25" customHeight="1" x14ac:dyDescent="0.25">
      <c r="E1141" s="17" t="str">
        <f>IF(Tokens!C1141="","",Tokens!C1141)</f>
        <v>In Casa #978</v>
      </c>
      <c r="F1141" s="56"/>
      <c r="G1141" t="s">
        <v>164</v>
      </c>
      <c r="H1141" s="57" t="s">
        <v>165</v>
      </c>
      <c r="I1141" s="2" t="s">
        <v>166</v>
      </c>
      <c r="J1141" s="2" t="s">
        <v>167</v>
      </c>
      <c r="M1141" s="15"/>
      <c r="N1141">
        <v>6.9258811930000004</v>
      </c>
      <c r="O1141" s="15">
        <f t="shared" si="34"/>
        <v>0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1" t="str">
        <f>"owner=" &amp; Tokens!BS1141 &amp; "&amp;filename_for_metadata=" &amp; Tokens!BT1141 &amp; "&amp;offchaindata_platform=" &amp; $B$17 &amp; "&amp;keyfile=" &amp; $B$5 &amp; "&amp;network=" &amp; LOWER($B$8) &amp; "&amp;repository=" &amp; $B$18</f>
        <v>owner=thomas&amp;filename_for_metadata=InCasa_COR22D978&amp;offchaindata_platform=MongoDB&amp;keyfile=Paul&amp;network=jsonfiles&amp;repository=test</v>
      </c>
      <c r="U1141" s="1" t="str">
        <f t="shared" si="35"/>
        <v>{"name":"In Casa #978",_x000D_
"symbol":"COR22D978",_x000D_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1" s="1" t="str">
        <f>formatRow(Tokens!C$2:I$2,Tokens!C1141:I1141)</f>
        <v>"name":"In Casa #978",_x000D_
"symbol":"COR22D978",_x000D_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1" s="1" t="str">
        <f>formatRow(Tokens!J$2:AV$2,Tokens!J1141:AV1141,2,"attributes")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1" s="1" t="str">
        <f>formatRow(Tokens!AX$2:BC$2,Tokens!AX1141:BC1141,2,"creators")</f>
        <v>"creators":[{"address":"paul",_x000D_
"share":10},{"address":"sophie",_x000D_
"share":90}]</v>
      </c>
      <c r="Y1141" s="1" t="str">
        <f>formatRow(Tokens!BD$2:BI$2,Tokens!BD1141:BI1141,2,"files")</f>
        <v>"files":[]</v>
      </c>
      <c r="Z1141" s="1"/>
      <c r="AA1141" s="1"/>
      <c r="AB1141" s="1"/>
      <c r="AC1141" s="1" t="str">
        <f>formatRow(Tokens!BJ$2:BK$2,Tokens!BJ1141:BK1141,0,"collection")</f>
        <v>"collection":{"name":"In Casa",_x000D_
"family":"Calvi On The Rocks"}</v>
      </c>
    </row>
    <row r="1142" spans="5:29" ht="14.25" customHeight="1" x14ac:dyDescent="0.25">
      <c r="E1142" s="17" t="str">
        <f>IF(Tokens!C1142="","",Tokens!C1142)</f>
        <v>In Casa #979</v>
      </c>
      <c r="F1142" s="56"/>
      <c r="G1142" t="s">
        <v>164</v>
      </c>
      <c r="H1142" s="57" t="s">
        <v>165</v>
      </c>
      <c r="I1142" s="2" t="s">
        <v>166</v>
      </c>
      <c r="J1142" s="2" t="s">
        <v>167</v>
      </c>
      <c r="M1142" s="15"/>
      <c r="N1142">
        <v>6.9258811930000004</v>
      </c>
      <c r="O1142" s="15">
        <f t="shared" si="34"/>
        <v>0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1" t="str">
        <f>"owner=" &amp; Tokens!BS1142 &amp; "&amp;filename_for_metadata=" &amp; Tokens!BT1142 &amp; "&amp;offchaindata_platform=" &amp; $B$17 &amp; "&amp;keyfile=" &amp; $B$5 &amp; "&amp;network=" &amp; LOWER($B$8) &amp; "&amp;repository=" &amp; $B$18</f>
        <v>owner=thomas&amp;filename_for_metadata=InCasa_COR22D979&amp;offchaindata_platform=MongoDB&amp;keyfile=Paul&amp;network=jsonfiles&amp;repository=test</v>
      </c>
      <c r="U1142" s="1" t="str">
        <f t="shared" si="35"/>
        <v>{"name":"In Casa #979",_x000D_
"symbol":"COR22D979",_x000D_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2" s="1" t="str">
        <f>formatRow(Tokens!C$2:I$2,Tokens!C1142:I1142)</f>
        <v>"name":"In Casa #979",_x000D_
"symbol":"COR22D979",_x000D_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2" s="1" t="str">
        <f>formatRow(Tokens!J$2:AV$2,Tokens!J1142:AV1142,2,"attributes")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2" s="1" t="str">
        <f>formatRow(Tokens!AX$2:BC$2,Tokens!AX1142:BC1142,2,"creators")</f>
        <v>"creators":[{"address":"paul",_x000D_
"share":10},{"address":"sophie",_x000D_
"share":90}]</v>
      </c>
      <c r="Y1142" s="1" t="str">
        <f>formatRow(Tokens!BD$2:BI$2,Tokens!BD1142:BI1142,2,"files")</f>
        <v>"files":[]</v>
      </c>
      <c r="Z1142" s="1"/>
      <c r="AA1142" s="1"/>
      <c r="AB1142" s="1"/>
      <c r="AC1142" s="1" t="str">
        <f>formatRow(Tokens!BJ$2:BK$2,Tokens!BJ1142:BK1142,0,"collection")</f>
        <v>"collection":{"name":"In Casa",_x000D_
"family":"Calvi On The Rocks"}</v>
      </c>
    </row>
    <row r="1143" spans="5:29" ht="14.25" customHeight="1" x14ac:dyDescent="0.25">
      <c r="E1143" s="17" t="str">
        <f>IF(Tokens!C1143="","",Tokens!C1143)</f>
        <v>In Casa #980</v>
      </c>
      <c r="F1143" s="56"/>
      <c r="G1143" t="s">
        <v>164</v>
      </c>
      <c r="H1143" s="57" t="s">
        <v>165</v>
      </c>
      <c r="I1143" s="2" t="s">
        <v>166</v>
      </c>
      <c r="J1143" s="2" t="s">
        <v>167</v>
      </c>
      <c r="M1143" s="15"/>
      <c r="N1143">
        <v>6.9258811930000004</v>
      </c>
      <c r="O1143" s="15">
        <f t="shared" si="34"/>
        <v>0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1" t="str">
        <f>"owner=" &amp; Tokens!BS1143 &amp; "&amp;filename_for_metadata=" &amp; Tokens!BT1143 &amp; "&amp;offchaindata_platform=" &amp; $B$17 &amp; "&amp;keyfile=" &amp; $B$5 &amp; "&amp;network=" &amp; LOWER($B$8) &amp; "&amp;repository=" &amp; $B$18</f>
        <v>owner=thomas&amp;filename_for_metadata=InCasa_COR22D980&amp;offchaindata_platform=MongoDB&amp;keyfile=Paul&amp;network=jsonfiles&amp;repository=test</v>
      </c>
      <c r="U1143" s="1" t="str">
        <f t="shared" si="35"/>
        <v>{"name":"In Casa #980",_x000D_
"symbol":"COR22D980",_x000D_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3" s="1" t="str">
        <f>formatRow(Tokens!C$2:I$2,Tokens!C1143:I1143)</f>
        <v>"name":"In Casa #980",_x000D_
"symbol":"COR22D980",_x000D_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3" s="1" t="str">
        <f>formatRow(Tokens!J$2:AV$2,Tokens!J1143:AV1143,2,"attributes")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3" s="1" t="str">
        <f>formatRow(Tokens!AX$2:BC$2,Tokens!AX1143:BC1143,2,"creators")</f>
        <v>"creators":[{"address":"paul",_x000D_
"share":10},{"address":"sophie",_x000D_
"share":90}]</v>
      </c>
      <c r="Y1143" s="1" t="str">
        <f>formatRow(Tokens!BD$2:BI$2,Tokens!BD1143:BI1143,2,"files")</f>
        <v>"files":[]</v>
      </c>
      <c r="Z1143" s="1"/>
      <c r="AA1143" s="1"/>
      <c r="AB1143" s="1"/>
      <c r="AC1143" s="1" t="str">
        <f>formatRow(Tokens!BJ$2:BK$2,Tokens!BJ1143:BK1143,0,"collection")</f>
        <v>"collection":{"name":"In Casa",_x000D_
"family":"Calvi On The Rocks"}</v>
      </c>
    </row>
    <row r="1144" spans="5:29" ht="14.25" customHeight="1" x14ac:dyDescent="0.25">
      <c r="E1144" s="17" t="str">
        <f>IF(Tokens!C1144="","",Tokens!C1144)</f>
        <v>In Casa #981</v>
      </c>
      <c r="F1144" s="56"/>
      <c r="G1144" t="s">
        <v>164</v>
      </c>
      <c r="H1144" s="57" t="s">
        <v>165</v>
      </c>
      <c r="I1144" s="2" t="s">
        <v>166</v>
      </c>
      <c r="J1144" s="2" t="s">
        <v>167</v>
      </c>
      <c r="M1144" s="15"/>
      <c r="N1144">
        <v>6.9258811930000004</v>
      </c>
      <c r="O1144" s="15">
        <f t="shared" si="34"/>
        <v>0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1" t="str">
        <f>"owner=" &amp; Tokens!BS1144 &amp; "&amp;filename_for_metadata=" &amp; Tokens!BT1144 &amp; "&amp;offchaindata_platform=" &amp; $B$17 &amp; "&amp;keyfile=" &amp; $B$5 &amp; "&amp;network=" &amp; LOWER($B$8) &amp; "&amp;repository=" &amp; $B$18</f>
        <v>owner=thomas&amp;filename_for_metadata=InCasa_COR22D981&amp;offchaindata_platform=MongoDB&amp;keyfile=Paul&amp;network=jsonfiles&amp;repository=test</v>
      </c>
      <c r="U1144" s="1" t="str">
        <f t="shared" si="35"/>
        <v>{"name":"In Casa #981",_x000D_
"symbol":"COR22D981",_x000D_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4" s="1" t="str">
        <f>formatRow(Tokens!C$2:I$2,Tokens!C1144:I1144)</f>
        <v>"name":"In Casa #981",_x000D_
"symbol":"COR22D981",_x000D_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4" s="1" t="str">
        <f>formatRow(Tokens!J$2:AV$2,Tokens!J1144:AV1144,2,"attributes")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4" s="1" t="str">
        <f>formatRow(Tokens!AX$2:BC$2,Tokens!AX1144:BC1144,2,"creators")</f>
        <v>"creators":[{"address":"paul",_x000D_
"share":10},{"address":"sophie",_x000D_
"share":90}]</v>
      </c>
      <c r="Y1144" s="1" t="str">
        <f>formatRow(Tokens!BD$2:BI$2,Tokens!BD1144:BI1144,2,"files")</f>
        <v>"files":[]</v>
      </c>
      <c r="Z1144" s="1"/>
      <c r="AA1144" s="1"/>
      <c r="AB1144" s="1"/>
      <c r="AC1144" s="1" t="str">
        <f>formatRow(Tokens!BJ$2:BK$2,Tokens!BJ1144:BK1144,0,"collection")</f>
        <v>"collection":{"name":"In Casa",_x000D_
"family":"Calvi On The Rocks"}</v>
      </c>
    </row>
    <row r="1145" spans="5:29" ht="14.25" customHeight="1" x14ac:dyDescent="0.25">
      <c r="E1145" s="17" t="str">
        <f>IF(Tokens!C1145="","",Tokens!C1145)</f>
        <v>In Casa #982</v>
      </c>
      <c r="F1145" s="56"/>
      <c r="G1145" t="s">
        <v>164</v>
      </c>
      <c r="H1145" s="57" t="s">
        <v>165</v>
      </c>
      <c r="I1145" s="2" t="s">
        <v>166</v>
      </c>
      <c r="J1145" s="2" t="s">
        <v>167</v>
      </c>
      <c r="M1145" s="15"/>
      <c r="N1145">
        <v>6.9258811930000004</v>
      </c>
      <c r="O1145" s="15">
        <f t="shared" si="34"/>
        <v>0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1" t="str">
        <f>"owner=" &amp; Tokens!BS1145 &amp; "&amp;filename_for_metadata=" &amp; Tokens!BT1145 &amp; "&amp;offchaindata_platform=" &amp; $B$17 &amp; "&amp;keyfile=" &amp; $B$5 &amp; "&amp;network=" &amp; LOWER($B$8) &amp; "&amp;repository=" &amp; $B$18</f>
        <v>owner=thomas&amp;filename_for_metadata=InCasa_COR22D982&amp;offchaindata_platform=MongoDB&amp;keyfile=Paul&amp;network=jsonfiles&amp;repository=test</v>
      </c>
      <c r="U1145" s="1" t="str">
        <f t="shared" si="35"/>
        <v>{"name":"In Casa #982",_x000D_
"symbol":"COR22D982",_x000D_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5" s="1" t="str">
        <f>formatRow(Tokens!C$2:I$2,Tokens!C1145:I1145)</f>
        <v>"name":"In Casa #982",_x000D_
"symbol":"COR22D982",_x000D_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5" s="1" t="str">
        <f>formatRow(Tokens!J$2:AV$2,Tokens!J1145:AV1145,2,"attributes")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5" s="1" t="str">
        <f>formatRow(Tokens!AX$2:BC$2,Tokens!AX1145:BC1145,2,"creators")</f>
        <v>"creators":[{"address":"paul",_x000D_
"share":10},{"address":"sophie",_x000D_
"share":90}]</v>
      </c>
      <c r="Y1145" s="1" t="str">
        <f>formatRow(Tokens!BD$2:BI$2,Tokens!BD1145:BI1145,2,"files")</f>
        <v>"files":[]</v>
      </c>
      <c r="Z1145" s="1"/>
      <c r="AA1145" s="1"/>
      <c r="AB1145" s="1"/>
      <c r="AC1145" s="1" t="str">
        <f>formatRow(Tokens!BJ$2:BK$2,Tokens!BJ1145:BK1145,0,"collection")</f>
        <v>"collection":{"name":"In Casa",_x000D_
"family":"Calvi On The Rocks"}</v>
      </c>
    </row>
    <row r="1146" spans="5:29" ht="14.25" customHeight="1" x14ac:dyDescent="0.25">
      <c r="E1146" s="17" t="str">
        <f>IF(Tokens!C1146="","",Tokens!C1146)</f>
        <v>In Casa #983</v>
      </c>
      <c r="F1146" s="56"/>
      <c r="G1146" t="s">
        <v>164</v>
      </c>
      <c r="H1146" s="57" t="s">
        <v>165</v>
      </c>
      <c r="I1146" s="2" t="s">
        <v>166</v>
      </c>
      <c r="J1146" s="2" t="s">
        <v>167</v>
      </c>
      <c r="M1146" s="15"/>
      <c r="N1146">
        <v>6.9258811930000004</v>
      </c>
      <c r="O1146" s="15">
        <f t="shared" si="34"/>
        <v>0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1" t="str">
        <f>"owner=" &amp; Tokens!BS1146 &amp; "&amp;filename_for_metadata=" &amp; Tokens!BT1146 &amp; "&amp;offchaindata_platform=" &amp; $B$17 &amp; "&amp;keyfile=" &amp; $B$5 &amp; "&amp;network=" &amp; LOWER($B$8) &amp; "&amp;repository=" &amp; $B$18</f>
        <v>owner=thomas&amp;filename_for_metadata=InCasa_COR22D983&amp;offchaindata_platform=MongoDB&amp;keyfile=Paul&amp;network=jsonfiles&amp;repository=test</v>
      </c>
      <c r="U1146" s="1" t="str">
        <f t="shared" si="35"/>
        <v>{"name":"In Casa #983",_x000D_
"symbol":"COR22D983",_x000D_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6" s="1" t="str">
        <f>formatRow(Tokens!C$2:I$2,Tokens!C1146:I1146)</f>
        <v>"name":"In Casa #983",_x000D_
"symbol":"COR22D983",_x000D_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6" s="1" t="str">
        <f>formatRow(Tokens!J$2:AV$2,Tokens!J1146:AV1146,2,"attributes")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6" s="1" t="str">
        <f>formatRow(Tokens!AX$2:BC$2,Tokens!AX1146:BC1146,2,"creators")</f>
        <v>"creators":[{"address":"paul",_x000D_
"share":10},{"address":"sophie",_x000D_
"share":90}]</v>
      </c>
      <c r="Y1146" s="1" t="str">
        <f>formatRow(Tokens!BD$2:BI$2,Tokens!BD1146:BI1146,2,"files")</f>
        <v>"files":[]</v>
      </c>
      <c r="Z1146" s="1"/>
      <c r="AA1146" s="1"/>
      <c r="AB1146" s="1"/>
      <c r="AC1146" s="1" t="str">
        <f>formatRow(Tokens!BJ$2:BK$2,Tokens!BJ1146:BK1146,0,"collection")</f>
        <v>"collection":{"name":"In Casa",_x000D_
"family":"Calvi On The Rocks"}</v>
      </c>
    </row>
    <row r="1147" spans="5:29" ht="14.25" customHeight="1" x14ac:dyDescent="0.25">
      <c r="E1147" s="17" t="str">
        <f>IF(Tokens!C1147="","",Tokens!C1147)</f>
        <v>In Casa #984</v>
      </c>
      <c r="F1147" s="56"/>
      <c r="G1147" t="s">
        <v>164</v>
      </c>
      <c r="H1147" s="57" t="s">
        <v>165</v>
      </c>
      <c r="I1147" s="2" t="s">
        <v>166</v>
      </c>
      <c r="J1147" s="2" t="s">
        <v>167</v>
      </c>
      <c r="M1147" s="15"/>
      <c r="N1147">
        <v>6.9258811930000004</v>
      </c>
      <c r="O1147" s="15">
        <f t="shared" si="34"/>
        <v>0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1" t="str">
        <f>"owner=" &amp; Tokens!BS1147 &amp; "&amp;filename_for_metadata=" &amp; Tokens!BT1147 &amp; "&amp;offchaindata_platform=" &amp; $B$17 &amp; "&amp;keyfile=" &amp; $B$5 &amp; "&amp;network=" &amp; LOWER($B$8) &amp; "&amp;repository=" &amp; $B$18</f>
        <v>owner=thomas&amp;filename_for_metadata=InCasa_COR22D984&amp;offchaindata_platform=MongoDB&amp;keyfile=Paul&amp;network=jsonfiles&amp;repository=test</v>
      </c>
      <c r="U1147" s="1" t="str">
        <f t="shared" si="35"/>
        <v>{"name":"In Casa #984",_x000D_
"symbol":"COR22D984",_x000D_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7" s="1" t="str">
        <f>formatRow(Tokens!C$2:I$2,Tokens!C1147:I1147)</f>
        <v>"name":"In Casa #984",_x000D_
"symbol":"COR22D984",_x000D_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7" s="1" t="str">
        <f>formatRow(Tokens!J$2:AV$2,Tokens!J1147:AV1147,2,"attributes")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7" s="1" t="str">
        <f>formatRow(Tokens!AX$2:BC$2,Tokens!AX1147:BC1147,2,"creators")</f>
        <v>"creators":[{"address":"paul",_x000D_
"share":10},{"address":"sophie",_x000D_
"share":90}]</v>
      </c>
      <c r="Y1147" s="1" t="str">
        <f>formatRow(Tokens!BD$2:BI$2,Tokens!BD1147:BI1147,2,"files")</f>
        <v>"files":[]</v>
      </c>
      <c r="Z1147" s="1"/>
      <c r="AA1147" s="1"/>
      <c r="AB1147" s="1"/>
      <c r="AC1147" s="1" t="str">
        <f>formatRow(Tokens!BJ$2:BK$2,Tokens!BJ1147:BK1147,0,"collection")</f>
        <v>"collection":{"name":"In Casa",_x000D_
"family":"Calvi On The Rocks"}</v>
      </c>
    </row>
    <row r="1148" spans="5:29" ht="14.25" customHeight="1" x14ac:dyDescent="0.25">
      <c r="E1148" s="17" t="str">
        <f>IF(Tokens!C1148="","",Tokens!C1148)</f>
        <v>In Casa #985</v>
      </c>
      <c r="F1148" s="56"/>
      <c r="G1148" t="s">
        <v>164</v>
      </c>
      <c r="H1148" s="57" t="s">
        <v>165</v>
      </c>
      <c r="I1148" s="2" t="s">
        <v>166</v>
      </c>
      <c r="J1148" s="2" t="s">
        <v>167</v>
      </c>
      <c r="M1148" s="15"/>
      <c r="N1148">
        <v>6.9258811930000004</v>
      </c>
      <c r="O1148" s="15">
        <f t="shared" si="34"/>
        <v>0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1" t="str">
        <f>"owner=" &amp; Tokens!BS1148 &amp; "&amp;filename_for_metadata=" &amp; Tokens!BT1148 &amp; "&amp;offchaindata_platform=" &amp; $B$17 &amp; "&amp;keyfile=" &amp; $B$5 &amp; "&amp;network=" &amp; LOWER($B$8) &amp; "&amp;repository=" &amp; $B$18</f>
        <v>owner=thomas&amp;filename_for_metadata=InCasa_COR22D985&amp;offchaindata_platform=MongoDB&amp;keyfile=Paul&amp;network=jsonfiles&amp;repository=test</v>
      </c>
      <c r="U1148" s="1" t="str">
        <f t="shared" si="35"/>
        <v>{"name":"In Casa #985",_x000D_
"symbol":"COR22D985",_x000D_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8" s="1" t="str">
        <f>formatRow(Tokens!C$2:I$2,Tokens!C1148:I1148)</f>
        <v>"name":"In Casa #985",_x000D_
"symbol":"COR22D985",_x000D_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8" s="1" t="str">
        <f>formatRow(Tokens!J$2:AV$2,Tokens!J1148:AV1148,2,"attributes")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8" s="1" t="str">
        <f>formatRow(Tokens!AX$2:BC$2,Tokens!AX1148:BC1148,2,"creators")</f>
        <v>"creators":[{"address":"paul",_x000D_
"share":10},{"address":"sophie",_x000D_
"share":90}]</v>
      </c>
      <c r="Y1148" s="1" t="str">
        <f>formatRow(Tokens!BD$2:BI$2,Tokens!BD1148:BI1148,2,"files")</f>
        <v>"files":[]</v>
      </c>
      <c r="Z1148" s="1"/>
      <c r="AA1148" s="1"/>
      <c r="AB1148" s="1"/>
      <c r="AC1148" s="1" t="str">
        <f>formatRow(Tokens!BJ$2:BK$2,Tokens!BJ1148:BK1148,0,"collection")</f>
        <v>"collection":{"name":"In Casa",_x000D_
"family":"Calvi On The Rocks"}</v>
      </c>
    </row>
    <row r="1149" spans="5:29" ht="14.25" customHeight="1" x14ac:dyDescent="0.25">
      <c r="E1149" s="17" t="str">
        <f>IF(Tokens!C1149="","",Tokens!C1149)</f>
        <v>In Casa #986</v>
      </c>
      <c r="F1149" s="56"/>
      <c r="G1149" t="s">
        <v>164</v>
      </c>
      <c r="H1149" s="57" t="s">
        <v>165</v>
      </c>
      <c r="I1149" s="2" t="s">
        <v>166</v>
      </c>
      <c r="J1149" s="2" t="s">
        <v>167</v>
      </c>
      <c r="M1149" s="15"/>
      <c r="N1149">
        <v>6.9258811930000004</v>
      </c>
      <c r="O1149" s="15">
        <f t="shared" si="34"/>
        <v>0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1" t="str">
        <f>"owner=" &amp; Tokens!BS1149 &amp; "&amp;filename_for_metadata=" &amp; Tokens!BT1149 &amp; "&amp;offchaindata_platform=" &amp; $B$17 &amp; "&amp;keyfile=" &amp; $B$5 &amp; "&amp;network=" &amp; LOWER($B$8) &amp; "&amp;repository=" &amp; $B$18</f>
        <v>owner=thomas&amp;filename_for_metadata=InCasa_COR22D986&amp;offchaindata_platform=MongoDB&amp;keyfile=Paul&amp;network=jsonfiles&amp;repository=test</v>
      </c>
      <c r="U1149" s="1" t="str">
        <f t="shared" si="35"/>
        <v>{"name":"In Casa #986",_x000D_
"symbol":"COR22D986",_x000D_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49" s="1" t="str">
        <f>formatRow(Tokens!C$2:I$2,Tokens!C1149:I1149)</f>
        <v>"name":"In Casa #986",_x000D_
"symbol":"COR22D986",_x000D_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49" s="1" t="str">
        <f>formatRow(Tokens!J$2:AV$2,Tokens!J1149:AV1149,2,"attributes")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49" s="1" t="str">
        <f>formatRow(Tokens!AX$2:BC$2,Tokens!AX1149:BC1149,2,"creators")</f>
        <v>"creators":[{"address":"paul",_x000D_
"share":10},{"address":"sophie",_x000D_
"share":90}]</v>
      </c>
      <c r="Y1149" s="1" t="str">
        <f>formatRow(Tokens!BD$2:BI$2,Tokens!BD1149:BI1149,2,"files")</f>
        <v>"files":[]</v>
      </c>
      <c r="Z1149" s="1"/>
      <c r="AA1149" s="1"/>
      <c r="AB1149" s="1"/>
      <c r="AC1149" s="1" t="str">
        <f>formatRow(Tokens!BJ$2:BK$2,Tokens!BJ1149:BK1149,0,"collection")</f>
        <v>"collection":{"name":"In Casa",_x000D_
"family":"Calvi On The Rocks"}</v>
      </c>
    </row>
    <row r="1150" spans="5:29" ht="14.25" customHeight="1" x14ac:dyDescent="0.25">
      <c r="E1150" s="17" t="str">
        <f>IF(Tokens!C1150="","",Tokens!C1150)</f>
        <v>In Casa #987</v>
      </c>
      <c r="F1150" s="56"/>
      <c r="G1150" t="s">
        <v>164</v>
      </c>
      <c r="H1150" s="57" t="s">
        <v>165</v>
      </c>
      <c r="I1150" s="2" t="s">
        <v>166</v>
      </c>
      <c r="J1150" s="2" t="s">
        <v>167</v>
      </c>
      <c r="M1150" s="15"/>
      <c r="N1150">
        <v>6.9258811930000004</v>
      </c>
      <c r="O1150" s="15">
        <f t="shared" si="34"/>
        <v>0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1" t="str">
        <f>"owner=" &amp; Tokens!BS1150 &amp; "&amp;filename_for_metadata=" &amp; Tokens!BT1150 &amp; "&amp;offchaindata_platform=" &amp; $B$17 &amp; "&amp;keyfile=" &amp; $B$5 &amp; "&amp;network=" &amp; LOWER($B$8) &amp; "&amp;repository=" &amp; $B$18</f>
        <v>owner=thomas&amp;filename_for_metadata=InCasa_COR22D987&amp;offchaindata_platform=MongoDB&amp;keyfile=Paul&amp;network=jsonfiles&amp;repository=test</v>
      </c>
      <c r="U1150" s="1" t="str">
        <f t="shared" si="35"/>
        <v>{"name":"In Casa #987",_x000D_
"symbol":"COR22D987",_x000D_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0" s="1" t="str">
        <f>formatRow(Tokens!C$2:I$2,Tokens!C1150:I1150)</f>
        <v>"name":"In Casa #987",_x000D_
"symbol":"COR22D987",_x000D_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0" s="1" t="str">
        <f>formatRow(Tokens!J$2:AV$2,Tokens!J1150:AV1150,2,"attributes")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0" s="1" t="str">
        <f>formatRow(Tokens!AX$2:BC$2,Tokens!AX1150:BC1150,2,"creators")</f>
        <v>"creators":[{"address":"paul",_x000D_
"share":10},{"address":"sophie",_x000D_
"share":90}]</v>
      </c>
      <c r="Y1150" s="1" t="str">
        <f>formatRow(Tokens!BD$2:BI$2,Tokens!BD1150:BI1150,2,"files")</f>
        <v>"files":[]</v>
      </c>
      <c r="Z1150" s="1"/>
      <c r="AA1150" s="1"/>
      <c r="AB1150" s="1"/>
      <c r="AC1150" s="1" t="str">
        <f>formatRow(Tokens!BJ$2:BK$2,Tokens!BJ1150:BK1150,0,"collection")</f>
        <v>"collection":{"name":"In Casa",_x000D_
"family":"Calvi On The Rocks"}</v>
      </c>
    </row>
    <row r="1151" spans="5:29" ht="14.25" customHeight="1" x14ac:dyDescent="0.25">
      <c r="E1151" s="17" t="str">
        <f>IF(Tokens!C1151="","",Tokens!C1151)</f>
        <v>In Casa #988</v>
      </c>
      <c r="F1151" s="56"/>
      <c r="G1151" t="s">
        <v>164</v>
      </c>
      <c r="H1151" s="57" t="s">
        <v>165</v>
      </c>
      <c r="I1151" s="2" t="s">
        <v>166</v>
      </c>
      <c r="J1151" s="2" t="s">
        <v>167</v>
      </c>
      <c r="M1151" s="15"/>
      <c r="N1151">
        <v>6.9258811930000004</v>
      </c>
      <c r="O1151" s="15">
        <f t="shared" si="34"/>
        <v>0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1" t="str">
        <f>"owner=" &amp; Tokens!BS1151 &amp; "&amp;filename_for_metadata=" &amp; Tokens!BT1151 &amp; "&amp;offchaindata_platform=" &amp; $B$17 &amp; "&amp;keyfile=" &amp; $B$5 &amp; "&amp;network=" &amp; LOWER($B$8) &amp; "&amp;repository=" &amp; $B$18</f>
        <v>owner=thomas&amp;filename_for_metadata=InCasa_COR22D988&amp;offchaindata_platform=MongoDB&amp;keyfile=Paul&amp;network=jsonfiles&amp;repository=test</v>
      </c>
      <c r="U1151" s="1" t="str">
        <f t="shared" si="35"/>
        <v>{"name":"In Casa #988",_x000D_
"symbol":"COR22D988",_x000D_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1" s="1" t="str">
        <f>formatRow(Tokens!C$2:I$2,Tokens!C1151:I1151)</f>
        <v>"name":"In Casa #988",_x000D_
"symbol":"COR22D988",_x000D_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1" s="1" t="str">
        <f>formatRow(Tokens!J$2:AV$2,Tokens!J1151:AV1151,2,"attributes")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1" s="1" t="str">
        <f>formatRow(Tokens!AX$2:BC$2,Tokens!AX1151:BC1151,2,"creators")</f>
        <v>"creators":[{"address":"paul",_x000D_
"share":10},{"address":"sophie",_x000D_
"share":90}]</v>
      </c>
      <c r="Y1151" s="1" t="str">
        <f>formatRow(Tokens!BD$2:BI$2,Tokens!BD1151:BI1151,2,"files")</f>
        <v>"files":[]</v>
      </c>
      <c r="Z1151" s="1"/>
      <c r="AA1151" s="1"/>
      <c r="AB1151" s="1"/>
      <c r="AC1151" s="1" t="str">
        <f>formatRow(Tokens!BJ$2:BK$2,Tokens!BJ1151:BK1151,0,"collection")</f>
        <v>"collection":{"name":"In Casa",_x000D_
"family":"Calvi On The Rocks"}</v>
      </c>
    </row>
    <row r="1152" spans="5:29" ht="14.25" customHeight="1" x14ac:dyDescent="0.25">
      <c r="E1152" s="17" t="str">
        <f>IF(Tokens!C1152="","",Tokens!C1152)</f>
        <v>In Casa #989</v>
      </c>
      <c r="F1152" s="56"/>
      <c r="G1152" t="s">
        <v>164</v>
      </c>
      <c r="H1152" s="57" t="s">
        <v>165</v>
      </c>
      <c r="I1152" s="2" t="s">
        <v>166</v>
      </c>
      <c r="J1152" s="2" t="s">
        <v>167</v>
      </c>
      <c r="M1152" s="15"/>
      <c r="N1152">
        <v>6.9258811930000004</v>
      </c>
      <c r="O1152" s="15">
        <f t="shared" si="34"/>
        <v>0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1" t="str">
        <f>"owner=" &amp; Tokens!BS1152 &amp; "&amp;filename_for_metadata=" &amp; Tokens!BT1152 &amp; "&amp;offchaindata_platform=" &amp; $B$17 &amp; "&amp;keyfile=" &amp; $B$5 &amp; "&amp;network=" &amp; LOWER($B$8) &amp; "&amp;repository=" &amp; $B$18</f>
        <v>owner=thomas&amp;filename_for_metadata=InCasa_COR22D989&amp;offchaindata_platform=MongoDB&amp;keyfile=Paul&amp;network=jsonfiles&amp;repository=test</v>
      </c>
      <c r="U1152" s="1" t="str">
        <f t="shared" si="35"/>
        <v>{"name":"In Casa #989",_x000D_
"symbol":"COR22D989",_x000D_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2" s="1" t="str">
        <f>formatRow(Tokens!C$2:I$2,Tokens!C1152:I1152)</f>
        <v>"name":"In Casa #989",_x000D_
"symbol":"COR22D989",_x000D_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2" s="1" t="str">
        <f>formatRow(Tokens!J$2:AV$2,Tokens!J1152:AV1152,2,"attributes")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2" s="1" t="str">
        <f>formatRow(Tokens!AX$2:BC$2,Tokens!AX1152:BC1152,2,"creators")</f>
        <v>"creators":[{"address":"paul",_x000D_
"share":10},{"address":"sophie",_x000D_
"share":90}]</v>
      </c>
      <c r="Y1152" s="1" t="str">
        <f>formatRow(Tokens!BD$2:BI$2,Tokens!BD1152:BI1152,2,"files")</f>
        <v>"files":[]</v>
      </c>
      <c r="Z1152" s="1"/>
      <c r="AA1152" s="1"/>
      <c r="AB1152" s="1"/>
      <c r="AC1152" s="1" t="str">
        <f>formatRow(Tokens!BJ$2:BK$2,Tokens!BJ1152:BK1152,0,"collection")</f>
        <v>"collection":{"name":"In Casa",_x000D_
"family":"Calvi On The Rocks"}</v>
      </c>
    </row>
    <row r="1153" spans="5:29" ht="14.25" customHeight="1" x14ac:dyDescent="0.25">
      <c r="E1153" s="17" t="str">
        <f>IF(Tokens!C1153="","",Tokens!C1153)</f>
        <v>In Casa #990</v>
      </c>
      <c r="F1153" s="56"/>
      <c r="G1153" t="s">
        <v>164</v>
      </c>
      <c r="H1153" s="57" t="s">
        <v>165</v>
      </c>
      <c r="I1153" s="2" t="s">
        <v>166</v>
      </c>
      <c r="J1153" s="2" t="s">
        <v>167</v>
      </c>
      <c r="M1153" s="15"/>
      <c r="N1153">
        <v>6.9258811930000004</v>
      </c>
      <c r="O1153" s="15">
        <f t="shared" si="34"/>
        <v>0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1" t="str">
        <f>"owner=" &amp; Tokens!BS1153 &amp; "&amp;filename_for_metadata=" &amp; Tokens!BT1153 &amp; "&amp;offchaindata_platform=" &amp; $B$17 &amp; "&amp;keyfile=" &amp; $B$5 &amp; "&amp;network=" &amp; LOWER($B$8) &amp; "&amp;repository=" &amp; $B$18</f>
        <v>owner=thomas&amp;filename_for_metadata=InCasa_COR22D990&amp;offchaindata_platform=MongoDB&amp;keyfile=Paul&amp;network=jsonfiles&amp;repository=test</v>
      </c>
      <c r="U1153" s="1" t="str">
        <f t="shared" si="35"/>
        <v>{"name":"In Casa #990",_x000D_
"symbol":"COR22D990",_x000D_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3" s="1" t="str">
        <f>formatRow(Tokens!C$2:I$2,Tokens!C1153:I1153)</f>
        <v>"name":"In Casa #990",_x000D_
"symbol":"COR22D990",_x000D_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3" s="1" t="str">
        <f>formatRow(Tokens!J$2:AV$2,Tokens!J1153:AV1153,2,"attributes")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3" s="1" t="str">
        <f>formatRow(Tokens!AX$2:BC$2,Tokens!AX1153:BC1153,2,"creators")</f>
        <v>"creators":[{"address":"paul",_x000D_
"share":10},{"address":"sophie",_x000D_
"share":90}]</v>
      </c>
      <c r="Y1153" s="1" t="str">
        <f>formatRow(Tokens!BD$2:BI$2,Tokens!BD1153:BI1153,2,"files")</f>
        <v>"files":[]</v>
      </c>
      <c r="Z1153" s="1"/>
      <c r="AA1153" s="1"/>
      <c r="AB1153" s="1"/>
      <c r="AC1153" s="1" t="str">
        <f>formatRow(Tokens!BJ$2:BK$2,Tokens!BJ1153:BK1153,0,"collection")</f>
        <v>"collection":{"name":"In Casa",_x000D_
"family":"Calvi On The Rocks"}</v>
      </c>
    </row>
    <row r="1154" spans="5:29" ht="14.25" customHeight="1" x14ac:dyDescent="0.25">
      <c r="E1154" s="17" t="str">
        <f>IF(Tokens!C1154="","",Tokens!C1154)</f>
        <v>In Casa #991</v>
      </c>
      <c r="F1154" s="56"/>
      <c r="G1154" t="s">
        <v>164</v>
      </c>
      <c r="H1154" s="57" t="s">
        <v>165</v>
      </c>
      <c r="I1154" s="2" t="s">
        <v>166</v>
      </c>
      <c r="J1154" s="2" t="s">
        <v>167</v>
      </c>
      <c r="M1154" s="15"/>
      <c r="N1154">
        <v>6.9258811930000004</v>
      </c>
      <c r="O1154" s="15">
        <f t="shared" si="34"/>
        <v>0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1" t="str">
        <f>"owner=" &amp; Tokens!BS1154 &amp; "&amp;filename_for_metadata=" &amp; Tokens!BT1154 &amp; "&amp;offchaindata_platform=" &amp; $B$17 &amp; "&amp;keyfile=" &amp; $B$5 &amp; "&amp;network=" &amp; LOWER($B$8) &amp; "&amp;repository=" &amp; $B$18</f>
        <v>owner=thomas&amp;filename_for_metadata=InCasa_COR22D991&amp;offchaindata_platform=MongoDB&amp;keyfile=Paul&amp;network=jsonfiles&amp;repository=test</v>
      </c>
      <c r="U1154" s="1" t="str">
        <f t="shared" si="35"/>
        <v>{"name":"In Casa #991",_x000D_
"symbol":"COR22D991",_x000D_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4" s="1" t="str">
        <f>formatRow(Tokens!C$2:I$2,Tokens!C1154:I1154)</f>
        <v>"name":"In Casa #991",_x000D_
"symbol":"COR22D991",_x000D_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4" s="1" t="str">
        <f>formatRow(Tokens!J$2:AV$2,Tokens!J1154:AV1154,2,"attributes")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4" s="1" t="str">
        <f>formatRow(Tokens!AX$2:BC$2,Tokens!AX1154:BC1154,2,"creators")</f>
        <v>"creators":[{"address":"paul",_x000D_
"share":10},{"address":"sophie",_x000D_
"share":90}]</v>
      </c>
      <c r="Y1154" s="1" t="str">
        <f>formatRow(Tokens!BD$2:BI$2,Tokens!BD1154:BI1154,2,"files")</f>
        <v>"files":[]</v>
      </c>
      <c r="Z1154" s="1"/>
      <c r="AA1154" s="1"/>
      <c r="AB1154" s="1"/>
      <c r="AC1154" s="1" t="str">
        <f>formatRow(Tokens!BJ$2:BK$2,Tokens!BJ1154:BK1154,0,"collection")</f>
        <v>"collection":{"name":"In Casa",_x000D_
"family":"Calvi On The Rocks"}</v>
      </c>
    </row>
    <row r="1155" spans="5:29" ht="14.25" customHeight="1" x14ac:dyDescent="0.25">
      <c r="E1155" s="17" t="str">
        <f>IF(Tokens!C1155="","",Tokens!C1155)</f>
        <v>In Casa #992</v>
      </c>
      <c r="F1155" s="56"/>
      <c r="G1155" t="s">
        <v>164</v>
      </c>
      <c r="H1155" s="57" t="s">
        <v>165</v>
      </c>
      <c r="I1155" s="2" t="s">
        <v>166</v>
      </c>
      <c r="J1155" s="2" t="s">
        <v>167</v>
      </c>
      <c r="M1155" s="15"/>
      <c r="N1155">
        <v>6.9258811930000004</v>
      </c>
      <c r="O1155" s="15">
        <f t="shared" si="34"/>
        <v>0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1" t="str">
        <f>"owner=" &amp; Tokens!BS1155 &amp; "&amp;filename_for_metadata=" &amp; Tokens!BT1155 &amp; "&amp;offchaindata_platform=" &amp; $B$17 &amp; "&amp;keyfile=" &amp; $B$5 &amp; "&amp;network=" &amp; LOWER($B$8) &amp; "&amp;repository=" &amp; $B$18</f>
        <v>owner=thomas&amp;filename_for_metadata=InCasa_COR22D992&amp;offchaindata_platform=MongoDB&amp;keyfile=Paul&amp;network=jsonfiles&amp;repository=test</v>
      </c>
      <c r="U1155" s="1" t="str">
        <f t="shared" si="35"/>
        <v>{"name":"In Casa #992",_x000D_
"symbol":"COR22D992",_x000D_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5" s="1" t="str">
        <f>formatRow(Tokens!C$2:I$2,Tokens!C1155:I1155)</f>
        <v>"name":"In Casa #992",_x000D_
"symbol":"COR22D992",_x000D_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5" s="1" t="str">
        <f>formatRow(Tokens!J$2:AV$2,Tokens!J1155:AV1155,2,"attributes")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5" s="1" t="str">
        <f>formatRow(Tokens!AX$2:BC$2,Tokens!AX1155:BC1155,2,"creators")</f>
        <v>"creators":[{"address":"paul",_x000D_
"share":10},{"address":"sophie",_x000D_
"share":90}]</v>
      </c>
      <c r="Y1155" s="1" t="str">
        <f>formatRow(Tokens!BD$2:BI$2,Tokens!BD1155:BI1155,2,"files")</f>
        <v>"files":[]</v>
      </c>
      <c r="Z1155" s="1"/>
      <c r="AA1155" s="1"/>
      <c r="AB1155" s="1"/>
      <c r="AC1155" s="1" t="str">
        <f>formatRow(Tokens!BJ$2:BK$2,Tokens!BJ1155:BK1155,0,"collection")</f>
        <v>"collection":{"name":"In Casa",_x000D_
"family":"Calvi On The Rocks"}</v>
      </c>
    </row>
    <row r="1156" spans="5:29" ht="14.25" customHeight="1" x14ac:dyDescent="0.25">
      <c r="E1156" s="17" t="str">
        <f>IF(Tokens!C1156="","",Tokens!C1156)</f>
        <v>In Casa #993</v>
      </c>
      <c r="F1156" s="56"/>
      <c r="G1156" t="s">
        <v>164</v>
      </c>
      <c r="H1156" s="57" t="s">
        <v>165</v>
      </c>
      <c r="I1156" s="2" t="s">
        <v>166</v>
      </c>
      <c r="J1156" s="2" t="s">
        <v>167</v>
      </c>
      <c r="M1156" s="15"/>
      <c r="N1156">
        <v>6.9258811930000004</v>
      </c>
      <c r="O1156" s="15">
        <f t="shared" ref="O1156:O1219" si="36">IF(AND(ISNUMBER(N1155),ISNUMBER(N1156)),(N1156-N1155)*$O$1,"_")</f>
        <v>0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1" t="str">
        <f>"owner=" &amp; Tokens!BS1156 &amp; "&amp;filename_for_metadata=" &amp; Tokens!BT1156 &amp; "&amp;offchaindata_platform=" &amp; $B$17 &amp; "&amp;keyfile=" &amp; $B$5 &amp; "&amp;network=" &amp; LOWER($B$8) &amp; "&amp;repository=" &amp; $B$18</f>
        <v>owner=thomas&amp;filename_for_metadata=InCasa_COR22D993&amp;offchaindata_platform=MongoDB&amp;keyfile=Paul&amp;network=jsonfiles&amp;repository=test</v>
      </c>
      <c r="U1156" s="1" t="str">
        <f t="shared" si="35"/>
        <v>{"name":"In Casa #993",_x000D_
"symbol":"COR22D993",_x000D_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6" s="1" t="str">
        <f>formatRow(Tokens!C$2:I$2,Tokens!C1156:I1156)</f>
        <v>"name":"In Casa #993",_x000D_
"symbol":"COR22D993",_x000D_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6" s="1" t="str">
        <f>formatRow(Tokens!J$2:AV$2,Tokens!J1156:AV1156,2,"attributes")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6" s="1" t="str">
        <f>formatRow(Tokens!AX$2:BC$2,Tokens!AX1156:BC1156,2,"creators")</f>
        <v>"creators":[{"address":"paul",_x000D_
"share":10},{"address":"sophie",_x000D_
"share":90}]</v>
      </c>
      <c r="Y1156" s="1" t="str">
        <f>formatRow(Tokens!BD$2:BI$2,Tokens!BD1156:BI1156,2,"files")</f>
        <v>"files":[]</v>
      </c>
      <c r="Z1156" s="1"/>
      <c r="AA1156" s="1"/>
      <c r="AB1156" s="1"/>
      <c r="AC1156" s="1" t="str">
        <f>formatRow(Tokens!BJ$2:BK$2,Tokens!BJ1156:BK1156,0,"collection")</f>
        <v>"collection":{"name":"In Casa",_x000D_
"family":"Calvi On The Rocks"}</v>
      </c>
    </row>
    <row r="1157" spans="5:29" ht="14.25" customHeight="1" x14ac:dyDescent="0.25">
      <c r="E1157" s="17" t="str">
        <f>IF(Tokens!C1157="","",Tokens!C1157)</f>
        <v>In Casa #994</v>
      </c>
      <c r="F1157" s="56"/>
      <c r="G1157" t="s">
        <v>164</v>
      </c>
      <c r="H1157" s="57" t="s">
        <v>165</v>
      </c>
      <c r="I1157" s="2" t="s">
        <v>166</v>
      </c>
      <c r="J1157" s="2" t="s">
        <v>167</v>
      </c>
      <c r="M1157" s="15"/>
      <c r="N1157">
        <v>6.9258811930000004</v>
      </c>
      <c r="O1157" s="15">
        <f t="shared" si="36"/>
        <v>0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1" t="str">
        <f>"owner=" &amp; Tokens!BS1157 &amp; "&amp;filename_for_metadata=" &amp; Tokens!BT1157 &amp; "&amp;offchaindata_platform=" &amp; $B$17 &amp; "&amp;keyfile=" &amp; $B$5 &amp; "&amp;network=" &amp; LOWER($B$8) &amp; "&amp;repository=" &amp; $B$18</f>
        <v>owner=thomas&amp;filename_for_metadata=InCasa_COR22D994&amp;offchaindata_platform=MongoDB&amp;keyfile=Paul&amp;network=jsonfiles&amp;repository=test</v>
      </c>
      <c r="U1157" s="1" t="str">
        <f t="shared" ref="U1157:U1220" si="37">"{" &amp; V1157 &amp; "," &amp; W1157 &amp; "," &amp; """properties"":{" &amp; X1157 &amp; "," &amp; Y1157 &amp; "}," &amp; AC1157 &amp; "}"</f>
        <v>{"name":"In Casa #994",_x000D_
"symbol":"COR22D994",_x000D_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7" s="1" t="str">
        <f>formatRow(Tokens!C$2:I$2,Tokens!C1157:I1157)</f>
        <v>"name":"In Casa #994",_x000D_
"symbol":"COR22D994",_x000D_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7" s="1" t="str">
        <f>formatRow(Tokens!J$2:AV$2,Tokens!J1157:AV1157,2,"attributes")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7" s="1" t="str">
        <f>formatRow(Tokens!AX$2:BC$2,Tokens!AX1157:BC1157,2,"creators")</f>
        <v>"creators":[{"address":"paul",_x000D_
"share":10},{"address":"sophie",_x000D_
"share":90}]</v>
      </c>
      <c r="Y1157" s="1" t="str">
        <f>formatRow(Tokens!BD$2:BI$2,Tokens!BD1157:BI1157,2,"files")</f>
        <v>"files":[]</v>
      </c>
      <c r="Z1157" s="1"/>
      <c r="AA1157" s="1"/>
      <c r="AB1157" s="1"/>
      <c r="AC1157" s="1" t="str">
        <f>formatRow(Tokens!BJ$2:BK$2,Tokens!BJ1157:BK1157,0,"collection")</f>
        <v>"collection":{"name":"In Casa",_x000D_
"family":"Calvi On The Rocks"}</v>
      </c>
    </row>
    <row r="1158" spans="5:29" ht="14.25" customHeight="1" x14ac:dyDescent="0.25">
      <c r="E1158" s="17" t="str">
        <f>IF(Tokens!C1158="","",Tokens!C1158)</f>
        <v>In Casa #995</v>
      </c>
      <c r="F1158" s="56"/>
      <c r="G1158" t="s">
        <v>164</v>
      </c>
      <c r="H1158" s="57" t="s">
        <v>165</v>
      </c>
      <c r="I1158" s="2" t="s">
        <v>166</v>
      </c>
      <c r="J1158" s="2" t="s">
        <v>167</v>
      </c>
      <c r="M1158" s="15"/>
      <c r="N1158">
        <v>6.9258811930000004</v>
      </c>
      <c r="O1158" s="15">
        <f t="shared" si="36"/>
        <v>0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1" t="str">
        <f>"owner=" &amp; Tokens!BS1158 &amp; "&amp;filename_for_metadata=" &amp; Tokens!BT1158 &amp; "&amp;offchaindata_platform=" &amp; $B$17 &amp; "&amp;keyfile=" &amp; $B$5 &amp; "&amp;network=" &amp; LOWER($B$8) &amp; "&amp;repository=" &amp; $B$18</f>
        <v>owner=thomas&amp;filename_for_metadata=InCasa_COR22D995&amp;offchaindata_platform=MongoDB&amp;keyfile=Paul&amp;network=jsonfiles&amp;repository=test</v>
      </c>
      <c r="U1158" s="1" t="str">
        <f t="shared" si="37"/>
        <v>{"name":"In Casa #995",_x000D_
"symbol":"COR22D995",_x000D_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8" s="1" t="str">
        <f>formatRow(Tokens!C$2:I$2,Tokens!C1158:I1158)</f>
        <v>"name":"In Casa #995",_x000D_
"symbol":"COR22D995",_x000D_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8" s="1" t="str">
        <f>formatRow(Tokens!J$2:AV$2,Tokens!J1158:AV1158,2,"attributes")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8" s="1" t="str">
        <f>formatRow(Tokens!AX$2:BC$2,Tokens!AX1158:BC1158,2,"creators")</f>
        <v>"creators":[{"address":"paul",_x000D_
"share":10},{"address":"sophie",_x000D_
"share":90}]</v>
      </c>
      <c r="Y1158" s="1" t="str">
        <f>formatRow(Tokens!BD$2:BI$2,Tokens!BD1158:BI1158,2,"files")</f>
        <v>"files":[]</v>
      </c>
      <c r="Z1158" s="1"/>
      <c r="AA1158" s="1"/>
      <c r="AB1158" s="1"/>
      <c r="AC1158" s="1" t="str">
        <f>formatRow(Tokens!BJ$2:BK$2,Tokens!BJ1158:BK1158,0,"collection")</f>
        <v>"collection":{"name":"In Casa",_x000D_
"family":"Calvi On The Rocks"}</v>
      </c>
    </row>
    <row r="1159" spans="5:29" ht="14.25" customHeight="1" x14ac:dyDescent="0.25">
      <c r="E1159" s="17" t="str">
        <f>IF(Tokens!C1159="","",Tokens!C1159)</f>
        <v>In Casa #996</v>
      </c>
      <c r="F1159" s="56"/>
      <c r="G1159" t="s">
        <v>164</v>
      </c>
      <c r="H1159" s="57" t="s">
        <v>165</v>
      </c>
      <c r="I1159" s="2" t="s">
        <v>166</v>
      </c>
      <c r="J1159" s="2" t="s">
        <v>167</v>
      </c>
      <c r="M1159" s="15"/>
      <c r="N1159">
        <v>6.9258811930000004</v>
      </c>
      <c r="O1159" s="15">
        <f t="shared" si="36"/>
        <v>0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1" t="str">
        <f>"owner=" &amp; Tokens!BS1159 &amp; "&amp;filename_for_metadata=" &amp; Tokens!BT1159 &amp; "&amp;offchaindata_platform=" &amp; $B$17 &amp; "&amp;keyfile=" &amp; $B$5 &amp; "&amp;network=" &amp; LOWER($B$8) &amp; "&amp;repository=" &amp; $B$18</f>
        <v>owner=thomas&amp;filename_for_metadata=InCasa_COR22D996&amp;offchaindata_platform=MongoDB&amp;keyfile=Paul&amp;network=jsonfiles&amp;repository=test</v>
      </c>
      <c r="U1159" s="1" t="str">
        <f t="shared" si="37"/>
        <v>{"name":"In Casa #996",_x000D_
"symbol":"COR22D996",_x000D_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59" s="1" t="str">
        <f>formatRow(Tokens!C$2:I$2,Tokens!C1159:I1159)</f>
        <v>"name":"In Casa #996",_x000D_
"symbol":"COR22D996",_x000D_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59" s="1" t="str">
        <f>formatRow(Tokens!J$2:AV$2,Tokens!J1159:AV1159,2,"attributes")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59" s="1" t="str">
        <f>formatRow(Tokens!AX$2:BC$2,Tokens!AX1159:BC1159,2,"creators")</f>
        <v>"creators":[{"address":"paul",_x000D_
"share":10},{"address":"sophie",_x000D_
"share":90}]</v>
      </c>
      <c r="Y1159" s="1" t="str">
        <f>formatRow(Tokens!BD$2:BI$2,Tokens!BD1159:BI1159,2,"files")</f>
        <v>"files":[]</v>
      </c>
      <c r="Z1159" s="1"/>
      <c r="AA1159" s="1"/>
      <c r="AB1159" s="1"/>
      <c r="AC1159" s="1" t="str">
        <f>formatRow(Tokens!BJ$2:BK$2,Tokens!BJ1159:BK1159,0,"collection")</f>
        <v>"collection":{"name":"In Casa",_x000D_
"family":"Calvi On The Rocks"}</v>
      </c>
    </row>
    <row r="1160" spans="5:29" ht="14.25" customHeight="1" x14ac:dyDescent="0.25">
      <c r="E1160" s="17" t="str">
        <f>IF(Tokens!C1160="","",Tokens!C1160)</f>
        <v>In Casa #997</v>
      </c>
      <c r="F1160" s="56"/>
      <c r="G1160" t="s">
        <v>164</v>
      </c>
      <c r="H1160" s="57" t="s">
        <v>165</v>
      </c>
      <c r="I1160" s="2" t="s">
        <v>166</v>
      </c>
      <c r="J1160" s="2" t="s">
        <v>167</v>
      </c>
      <c r="M1160" s="15"/>
      <c r="N1160">
        <v>6.9258811930000004</v>
      </c>
      <c r="O1160" s="15">
        <f t="shared" si="36"/>
        <v>0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1" t="str">
        <f>"owner=" &amp; Tokens!BS1160 &amp; "&amp;filename_for_metadata=" &amp; Tokens!BT1160 &amp; "&amp;offchaindata_platform=" &amp; $B$17 &amp; "&amp;keyfile=" &amp; $B$5 &amp; "&amp;network=" &amp; LOWER($B$8) &amp; "&amp;repository=" &amp; $B$18</f>
        <v>owner=thomas&amp;filename_for_metadata=InCasa_COR22D997&amp;offchaindata_platform=MongoDB&amp;keyfile=Paul&amp;network=jsonfiles&amp;repository=test</v>
      </c>
      <c r="U1160" s="1" t="str">
        <f t="shared" si="37"/>
        <v>{"name":"In Casa #997",_x000D_
"symbol":"COR22D997",_x000D_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0" s="1" t="str">
        <f>formatRow(Tokens!C$2:I$2,Tokens!C1160:I1160)</f>
        <v>"name":"In Casa #997",_x000D_
"symbol":"COR22D997",_x000D_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0" s="1" t="str">
        <f>formatRow(Tokens!J$2:AV$2,Tokens!J1160:AV1160,2,"attributes")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0" s="1" t="str">
        <f>formatRow(Tokens!AX$2:BC$2,Tokens!AX1160:BC1160,2,"creators")</f>
        <v>"creators":[{"address":"paul",_x000D_
"share":10},{"address":"sophie",_x000D_
"share":90}]</v>
      </c>
      <c r="Y1160" s="1" t="str">
        <f>formatRow(Tokens!BD$2:BI$2,Tokens!BD1160:BI1160,2,"files")</f>
        <v>"files":[]</v>
      </c>
      <c r="Z1160" s="1"/>
      <c r="AA1160" s="1"/>
      <c r="AB1160" s="1"/>
      <c r="AC1160" s="1" t="str">
        <f>formatRow(Tokens!BJ$2:BK$2,Tokens!BJ1160:BK1160,0,"collection")</f>
        <v>"collection":{"name":"In Casa",_x000D_
"family":"Calvi On The Rocks"}</v>
      </c>
    </row>
    <row r="1161" spans="5:29" ht="14.25" customHeight="1" x14ac:dyDescent="0.25">
      <c r="E1161" s="17" t="str">
        <f>IF(Tokens!C1161="","",Tokens!C1161)</f>
        <v>In Casa #998</v>
      </c>
      <c r="F1161" s="56"/>
      <c r="G1161" t="s">
        <v>164</v>
      </c>
      <c r="H1161" s="57" t="s">
        <v>165</v>
      </c>
      <c r="I1161" s="2" t="s">
        <v>166</v>
      </c>
      <c r="J1161" s="2" t="s">
        <v>167</v>
      </c>
      <c r="M1161" s="15"/>
      <c r="N1161">
        <v>6.9258811930000004</v>
      </c>
      <c r="O1161" s="15">
        <f t="shared" si="36"/>
        <v>0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1" t="str">
        <f>"owner=" &amp; Tokens!BS1161 &amp; "&amp;filename_for_metadata=" &amp; Tokens!BT1161 &amp; "&amp;offchaindata_platform=" &amp; $B$17 &amp; "&amp;keyfile=" &amp; $B$5 &amp; "&amp;network=" &amp; LOWER($B$8) &amp; "&amp;repository=" &amp; $B$18</f>
        <v>owner=thomas&amp;filename_for_metadata=InCasa_COR22D998&amp;offchaindata_platform=MongoDB&amp;keyfile=Paul&amp;network=jsonfiles&amp;repository=test</v>
      </c>
      <c r="U1161" s="1" t="str">
        <f t="shared" si="37"/>
        <v>{"name":"In Casa #998",_x000D_
"symbol":"COR22D998",_x000D_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1" s="1" t="str">
        <f>formatRow(Tokens!C$2:I$2,Tokens!C1161:I1161)</f>
        <v>"name":"In Casa #998",_x000D_
"symbol":"COR22D998",_x000D_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1" s="1" t="str">
        <f>formatRow(Tokens!J$2:AV$2,Tokens!J1161:AV1161,2,"attributes")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1" s="1" t="str">
        <f>formatRow(Tokens!AX$2:BC$2,Tokens!AX1161:BC1161,2,"creators")</f>
        <v>"creators":[{"address":"paul",_x000D_
"share":10},{"address":"sophie",_x000D_
"share":90}]</v>
      </c>
      <c r="Y1161" s="1" t="str">
        <f>formatRow(Tokens!BD$2:BI$2,Tokens!BD1161:BI1161,2,"files")</f>
        <v>"files":[]</v>
      </c>
      <c r="Z1161" s="1"/>
      <c r="AA1161" s="1"/>
      <c r="AB1161" s="1"/>
      <c r="AC1161" s="1" t="str">
        <f>formatRow(Tokens!BJ$2:BK$2,Tokens!BJ1161:BK1161,0,"collection")</f>
        <v>"collection":{"name":"In Casa",_x000D_
"family":"Calvi On The Rocks"}</v>
      </c>
    </row>
    <row r="1162" spans="5:29" ht="14.25" customHeight="1" x14ac:dyDescent="0.25">
      <c r="E1162" s="17" t="str">
        <f>IF(Tokens!C1162="","",Tokens!C1162)</f>
        <v>In Casa #999</v>
      </c>
      <c r="F1162" s="56"/>
      <c r="G1162" t="s">
        <v>164</v>
      </c>
      <c r="H1162" s="57" t="s">
        <v>165</v>
      </c>
      <c r="I1162" s="2" t="s">
        <v>166</v>
      </c>
      <c r="J1162" s="2" t="s">
        <v>167</v>
      </c>
      <c r="M1162" s="15"/>
      <c r="N1162">
        <v>6.9258811930000004</v>
      </c>
      <c r="O1162" s="15">
        <f t="shared" si="36"/>
        <v>0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1" t="str">
        <f>"owner=" &amp; Tokens!BS1162 &amp; "&amp;filename_for_metadata=" &amp; Tokens!BT1162 &amp; "&amp;offchaindata_platform=" &amp; $B$17 &amp; "&amp;keyfile=" &amp; $B$5 &amp; "&amp;network=" &amp; LOWER($B$8) &amp; "&amp;repository=" &amp; $B$18</f>
        <v>owner=thomas&amp;filename_for_metadata=InCasa_COR22D999&amp;offchaindata_platform=MongoDB&amp;keyfile=Paul&amp;network=jsonfiles&amp;repository=test</v>
      </c>
      <c r="U1162" s="1" t="str">
        <f t="shared" si="37"/>
        <v>{"name":"In Casa #999",_x000D_
"symbol":"COR22D999",_x000D_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2" s="1" t="str">
        <f>formatRow(Tokens!C$2:I$2,Tokens!C1162:I1162)</f>
        <v>"name":"In Casa #999",_x000D_
"symbol":"COR22D999",_x000D_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2" s="1" t="str">
        <f>formatRow(Tokens!J$2:AV$2,Tokens!J1162:AV1162,2,"attributes")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2" s="1" t="str">
        <f>formatRow(Tokens!AX$2:BC$2,Tokens!AX1162:BC1162,2,"creators")</f>
        <v>"creators":[{"address":"paul",_x000D_
"share":10},{"address":"sophie",_x000D_
"share":90}]</v>
      </c>
      <c r="Y1162" s="1" t="str">
        <f>formatRow(Tokens!BD$2:BI$2,Tokens!BD1162:BI1162,2,"files")</f>
        <v>"files":[]</v>
      </c>
      <c r="Z1162" s="1"/>
      <c r="AA1162" s="1"/>
      <c r="AB1162" s="1"/>
      <c r="AC1162" s="1" t="str">
        <f>formatRow(Tokens!BJ$2:BK$2,Tokens!BJ1162:BK1162,0,"collection")</f>
        <v>"collection":{"name":"In Casa",_x000D_
"family":"Calvi On The Rocks"}</v>
      </c>
    </row>
    <row r="1163" spans="5:29" ht="14.25" customHeight="1" x14ac:dyDescent="0.25">
      <c r="E1163" s="17" t="str">
        <f>IF(Tokens!C1163="","",Tokens!C1163)</f>
        <v>In Casa #1000</v>
      </c>
      <c r="F1163" s="56"/>
      <c r="G1163" t="s">
        <v>164</v>
      </c>
      <c r="H1163" s="57" t="s">
        <v>165</v>
      </c>
      <c r="I1163" s="2" t="s">
        <v>166</v>
      </c>
      <c r="J1163" s="2" t="s">
        <v>167</v>
      </c>
      <c r="M1163" s="15"/>
      <c r="N1163">
        <v>6.9258811930000004</v>
      </c>
      <c r="O1163" s="15">
        <f t="shared" si="36"/>
        <v>0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1" t="str">
        <f>"owner=" &amp; Tokens!BS1163 &amp; "&amp;filename_for_metadata=" &amp; Tokens!BT1163 &amp; "&amp;offchaindata_platform=" &amp; $B$17 &amp; "&amp;keyfile=" &amp; $B$5 &amp; "&amp;network=" &amp; LOWER($B$8) &amp; "&amp;repository=" &amp; $B$18</f>
        <v>owner=thomas&amp;filename_for_metadata=InCasa_COR22D1000&amp;offchaindata_platform=MongoDB&amp;keyfile=Paul&amp;network=jsonfiles&amp;repository=test</v>
      </c>
      <c r="U1163" s="1" t="str">
        <f t="shared" si="37"/>
        <v>{"name":"In Casa #1000",_x000D_
"symbol":"COR22D1000",_x000D_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"external_url":"","attributes":[{"trait_type":"Pass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hasard)"},{"trait_type":"Validation"}],"properties":{"creators":[{"address":"paul",_x000D_
"share":10},{"address":"sophie",_x000D_
"share":90}],"files":[]},"collection":{"name":"In Casa",_x000D_
"family":"Calvi On The Rocks"}}</v>
      </c>
      <c r="V1163" s="1" t="str">
        <f>formatRow(Tokens!C$2:I$2,Tokens!C1163:I1163)</f>
        <v>"name":"In Casa #1000",_x000D_
"symbol":"COR22D1000",_x000D_
"description":"In Casa, 1 an - Pass NFT 1 jour pour 1 personne, valable pour 1 édition Calvi On The Rocks de votre choix.",_x000D_
"seller_fee_basis_points":1000,_x000D_
"image":"https://bafybeig7g2jprwxrb5gmuw5nagpe5eifjz2w2zpktcfv7rbmzl5rjtsplu.ipfs.nftstorage.link?image_100.png",_x000D_
"Issuer":"NfluenT for Calvi On The rocks",_x000D_
"external_url":""</v>
      </c>
      <c r="W1163" s="1" t="str">
        <f>formatRow(Tokens!J$2:AV$2,Tokens!J1163:AV1163,2,"attributes")</f>
        <v>"attributes":[{"trait_type":"Pass festival",_x000D_
"value":"pour une(1) personne"},{"trait_type":"Edition1",_x000D_
"value":2},{"trait_type":"Dernière utilisation"},{"trait_type":"avantage1",_x000D_
"value":"1 affiche numérotée (quelques unes seront signées au hasard)"},{"trait_type":"Validation"}]</v>
      </c>
      <c r="X1163" s="1" t="str">
        <f>formatRow(Tokens!AX$2:BC$2,Tokens!AX1163:BC1163,2,"creators")</f>
        <v>"creators":[{"address":"paul",_x000D_
"share":10},{"address":"sophie",_x000D_
"share":90}]</v>
      </c>
      <c r="Y1163" s="1" t="str">
        <f>formatRow(Tokens!BD$2:BI$2,Tokens!BD1163:BI1163,2,"files")</f>
        <v>"files":[]</v>
      </c>
      <c r="Z1163" s="1"/>
      <c r="AA1163" s="1"/>
      <c r="AB1163" s="1"/>
      <c r="AC1163" s="1" t="str">
        <f>formatRow(Tokens!BJ$2:BK$2,Tokens!BJ1163:BK1163,0,"collection")</f>
        <v>"collection":{"name":"In Casa",_x000D_
"family":"Calvi On The Rocks"}</v>
      </c>
    </row>
    <row r="1164" spans="5:29" ht="14.25" customHeight="1" x14ac:dyDescent="0.25">
      <c r="E1164" s="17" t="str">
        <f>IF(Tokens!C1164="","",Tokens!C1164)</f>
        <v/>
      </c>
      <c r="F1164" s="56"/>
      <c r="G1164" t="s">
        <v>164</v>
      </c>
      <c r="H1164" s="57" t="s">
        <v>165</v>
      </c>
      <c r="I1164" s="2" t="s">
        <v>166</v>
      </c>
      <c r="J1164" s="2" t="s">
        <v>167</v>
      </c>
      <c r="M1164" s="15"/>
      <c r="N1164">
        <v>6.9258811930000004</v>
      </c>
      <c r="O1164" s="15">
        <f t="shared" si="36"/>
        <v>0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1" t="str">
        <f>"owner=" &amp; Tokens!BS1164 &amp; "&amp;filename_for_metadata=" &amp; Tokens!BT1164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6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4" s="1" t="str">
        <f>formatRow(Tokens!C$2:I$2,Tokens!C1164:I1164)</f>
        <v>"name":"",_x000D_
"symbol":"",_x000D_
"description":"",_x000D_
"seller_fee_basis_points":"",_x000D_
"image":"",_x000D_
"Issuer":"",_x000D_
"external_url":""</v>
      </c>
      <c r="W1164" s="1" t="str">
        <f>formatRow(Tokens!J$2:AV$2,Tokens!J1164:AV1164,2,"attributes")</f>
        <v>"attributes":[]</v>
      </c>
      <c r="X1164" s="1" t="str">
        <f>formatRow(Tokens!AX$2:BC$2,Tokens!AX1164:BC1164,2,"creators")</f>
        <v>"creators":[]</v>
      </c>
      <c r="Y1164" s="1" t="str">
        <f>formatRow(Tokens!BD$2:BI$2,Tokens!BD1164:BI1164,2,"files")</f>
        <v>"files":[]</v>
      </c>
      <c r="Z1164" s="1"/>
      <c r="AA1164" s="1"/>
      <c r="AB1164" s="1"/>
      <c r="AC1164" s="1" t="str">
        <f>formatRow(Tokens!BJ$2:BK$2,Tokens!BJ1164:BK1164,0,"collection")</f>
        <v>"collection":{"name":"",_x000D_
"family":""}</v>
      </c>
    </row>
    <row r="1165" spans="5:29" ht="14.25" customHeight="1" x14ac:dyDescent="0.25">
      <c r="E1165" s="17" t="str">
        <f>IF(Tokens!C1165="","",Tokens!C1165)</f>
        <v/>
      </c>
      <c r="F1165" s="56"/>
      <c r="G1165" t="s">
        <v>164</v>
      </c>
      <c r="H1165" s="57" t="s">
        <v>165</v>
      </c>
      <c r="I1165" s="2" t="s">
        <v>166</v>
      </c>
      <c r="J1165" s="2" t="s">
        <v>167</v>
      </c>
      <c r="M1165" s="15"/>
      <c r="N1165">
        <v>6.9258811930000004</v>
      </c>
      <c r="O1165" s="15">
        <f t="shared" si="36"/>
        <v>0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1" t="str">
        <f>"owner=" &amp; Tokens!BS1165 &amp; "&amp;filename_for_metadata=" &amp; Tokens!BT1165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6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5" s="1" t="str">
        <f>formatRow(Tokens!C$2:I$2,Tokens!C1165:I1165)</f>
        <v>"name":"",_x000D_
"symbol":"",_x000D_
"description":"",_x000D_
"seller_fee_basis_points":"",_x000D_
"image":"",_x000D_
"Issuer":"",_x000D_
"external_url":""</v>
      </c>
      <c r="W1165" s="1" t="str">
        <f>formatRow(Tokens!J$2:AV$2,Tokens!J1165:AV1165,2,"attributes")</f>
        <v>"attributes":[]</v>
      </c>
      <c r="X1165" s="1" t="str">
        <f>formatRow(Tokens!AX$2:BC$2,Tokens!AX1165:BC1165,2,"creators")</f>
        <v>"creators":[]</v>
      </c>
      <c r="Y1165" s="1" t="str">
        <f>formatRow(Tokens!BD$2:BI$2,Tokens!BD1165:BI1165,2,"files")</f>
        <v>"files":[]</v>
      </c>
      <c r="Z1165" s="1"/>
      <c r="AA1165" s="1"/>
      <c r="AB1165" s="1"/>
      <c r="AC1165" s="1" t="str">
        <f>formatRow(Tokens!BJ$2:BK$2,Tokens!BJ1165:BK1165,0,"collection")</f>
        <v>"collection":{"name":"",_x000D_
"family":""}</v>
      </c>
    </row>
    <row r="1166" spans="5:29" ht="14.25" customHeight="1" x14ac:dyDescent="0.25">
      <c r="E1166" s="17" t="str">
        <f>IF(Tokens!C1166="","",Tokens!C1166)</f>
        <v/>
      </c>
      <c r="F1166" s="56"/>
      <c r="G1166" t="s">
        <v>164</v>
      </c>
      <c r="H1166" s="57" t="s">
        <v>165</v>
      </c>
      <c r="I1166" s="2" t="s">
        <v>166</v>
      </c>
      <c r="J1166" s="2" t="s">
        <v>167</v>
      </c>
      <c r="M1166" s="15"/>
      <c r="N1166">
        <v>6.9258811930000004</v>
      </c>
      <c r="O1166" s="15">
        <f t="shared" si="36"/>
        <v>0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1" t="str">
        <f>"owner=" &amp; Tokens!BS1166 &amp; "&amp;filename_for_metadata=" &amp; Tokens!BT1166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6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6" s="1" t="str">
        <f>formatRow(Tokens!C$2:I$2,Tokens!C1166:I1166)</f>
        <v>"name":"",_x000D_
"symbol":"",_x000D_
"description":"",_x000D_
"seller_fee_basis_points":"",_x000D_
"image":"",_x000D_
"Issuer":"",_x000D_
"external_url":""</v>
      </c>
      <c r="W1166" s="1" t="str">
        <f>formatRow(Tokens!J$2:AV$2,Tokens!J1166:AV1166,2,"attributes")</f>
        <v>"attributes":[]</v>
      </c>
      <c r="X1166" s="1" t="str">
        <f>formatRow(Tokens!AX$2:BC$2,Tokens!AX1166:BC1166,2,"creators")</f>
        <v>"creators":[]</v>
      </c>
      <c r="Y1166" s="1" t="str">
        <f>formatRow(Tokens!BD$2:BI$2,Tokens!BD1166:BI1166,2,"files")</f>
        <v>"files":[]</v>
      </c>
      <c r="Z1166" s="1"/>
      <c r="AA1166" s="1"/>
      <c r="AB1166" s="1"/>
      <c r="AC1166" s="1" t="str">
        <f>formatRow(Tokens!BJ$2:BK$2,Tokens!BJ1166:BK1166,0,"collection")</f>
        <v>"collection":{"name":"",_x000D_
"family":""}</v>
      </c>
    </row>
    <row r="1167" spans="5:29" ht="14.25" customHeight="1" x14ac:dyDescent="0.25">
      <c r="E1167" s="17" t="str">
        <f>IF(Tokens!C1167="","",Tokens!C1167)</f>
        <v/>
      </c>
      <c r="F1167" s="56"/>
      <c r="G1167" t="s">
        <v>164</v>
      </c>
      <c r="H1167" s="57" t="s">
        <v>165</v>
      </c>
      <c r="I1167" s="2" t="s">
        <v>166</v>
      </c>
      <c r="J1167" s="2" t="s">
        <v>167</v>
      </c>
      <c r="M1167" s="15"/>
      <c r="N1167">
        <v>6.9258811930000004</v>
      </c>
      <c r="O1167" s="15">
        <f t="shared" si="36"/>
        <v>0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1" t="str">
        <f>"owner=" &amp; Tokens!BS1167 &amp; "&amp;filename_for_metadata=" &amp; Tokens!BT1167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6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7" s="1" t="str">
        <f>formatRow(Tokens!C$2:I$2,Tokens!C1167:I1167)</f>
        <v>"name":"",_x000D_
"symbol":"",_x000D_
"description":"",_x000D_
"seller_fee_basis_points":"",_x000D_
"image":"",_x000D_
"Issuer":"",_x000D_
"external_url":""</v>
      </c>
      <c r="W1167" s="1" t="str">
        <f>formatRow(Tokens!J$2:AV$2,Tokens!J1167:AV1167,2,"attributes")</f>
        <v>"attributes":[]</v>
      </c>
      <c r="X1167" s="1" t="str">
        <f>formatRow(Tokens!AX$2:BC$2,Tokens!AX1167:BC1167,2,"creators")</f>
        <v>"creators":[]</v>
      </c>
      <c r="Y1167" s="1" t="str">
        <f>formatRow(Tokens!BD$2:BI$2,Tokens!BD1167:BI1167,2,"files")</f>
        <v>"files":[]</v>
      </c>
      <c r="Z1167" s="1"/>
      <c r="AA1167" s="1"/>
      <c r="AB1167" s="1"/>
      <c r="AC1167" s="1" t="str">
        <f>formatRow(Tokens!BJ$2:BK$2,Tokens!BJ1167:BK1167,0,"collection")</f>
        <v>"collection":{"name":"",_x000D_
"family":""}</v>
      </c>
    </row>
    <row r="1168" spans="5:29" ht="14.25" customHeight="1" x14ac:dyDescent="0.25">
      <c r="E1168" s="17" t="str">
        <f>IF(Tokens!C1168="","",Tokens!C1168)</f>
        <v/>
      </c>
      <c r="F1168" s="56"/>
      <c r="G1168" t="s">
        <v>164</v>
      </c>
      <c r="H1168" s="57" t="s">
        <v>165</v>
      </c>
      <c r="I1168" s="2" t="s">
        <v>166</v>
      </c>
      <c r="J1168" s="2" t="s">
        <v>167</v>
      </c>
      <c r="M1168" s="15"/>
      <c r="N1168">
        <v>6.9258811930000004</v>
      </c>
      <c r="O1168" s="15">
        <f t="shared" si="36"/>
        <v>0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1" t="str">
        <f>"owner=" &amp; Tokens!BS1168 &amp; "&amp;filename_for_metadata=" &amp; Tokens!BT1168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6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8" s="1" t="str">
        <f>formatRow(Tokens!C$2:I$2,Tokens!C1168:I1168)</f>
        <v>"name":"",_x000D_
"symbol":"",_x000D_
"description":"",_x000D_
"seller_fee_basis_points":"",_x000D_
"image":"",_x000D_
"Issuer":"",_x000D_
"external_url":""</v>
      </c>
      <c r="W1168" s="1" t="str">
        <f>formatRow(Tokens!J$2:AV$2,Tokens!J1168:AV1168,2,"attributes")</f>
        <v>"attributes":[]</v>
      </c>
      <c r="X1168" s="1" t="str">
        <f>formatRow(Tokens!AX$2:BC$2,Tokens!AX1168:BC1168,2,"creators")</f>
        <v>"creators":[]</v>
      </c>
      <c r="Y1168" s="1" t="str">
        <f>formatRow(Tokens!BD$2:BI$2,Tokens!BD1168:BI1168,2,"files")</f>
        <v>"files":[]</v>
      </c>
      <c r="Z1168" s="1"/>
      <c r="AA1168" s="1"/>
      <c r="AB1168" s="1"/>
      <c r="AC1168" s="1" t="str">
        <f>formatRow(Tokens!BJ$2:BK$2,Tokens!BJ1168:BK1168,0,"collection")</f>
        <v>"collection":{"name":"",_x000D_
"family":""}</v>
      </c>
    </row>
    <row r="1169" spans="5:29" ht="14.25" customHeight="1" x14ac:dyDescent="0.25">
      <c r="E1169" s="17" t="str">
        <f>IF(Tokens!C1169="","",Tokens!C1169)</f>
        <v/>
      </c>
      <c r="F1169" s="56"/>
      <c r="G1169" t="s">
        <v>164</v>
      </c>
      <c r="H1169" s="57" t="s">
        <v>165</v>
      </c>
      <c r="I1169" s="2" t="s">
        <v>166</v>
      </c>
      <c r="J1169" s="2" t="s">
        <v>167</v>
      </c>
      <c r="M1169" s="15"/>
      <c r="N1169">
        <v>6.9258811930000004</v>
      </c>
      <c r="O1169" s="15">
        <f t="shared" si="36"/>
        <v>0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1" t="str">
        <f>"owner=" &amp; Tokens!BS1169 &amp; "&amp;filename_for_metadata=" &amp; Tokens!BT1169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6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69" s="1" t="str">
        <f>formatRow(Tokens!C$2:I$2,Tokens!C1169:I1169)</f>
        <v>"name":"",_x000D_
"symbol":"",_x000D_
"description":"",_x000D_
"seller_fee_basis_points":"",_x000D_
"image":"",_x000D_
"Issuer":"",_x000D_
"external_url":""</v>
      </c>
      <c r="W1169" s="1" t="str">
        <f>formatRow(Tokens!J$2:AV$2,Tokens!J1169:AV1169,2,"attributes")</f>
        <v>"attributes":[]</v>
      </c>
      <c r="X1169" s="1" t="str">
        <f>formatRow(Tokens!AX$2:BC$2,Tokens!AX1169:BC1169,2,"creators")</f>
        <v>"creators":[]</v>
      </c>
      <c r="Y1169" s="1" t="str">
        <f>formatRow(Tokens!BD$2:BI$2,Tokens!BD1169:BI1169,2,"files")</f>
        <v>"files":[]</v>
      </c>
      <c r="Z1169" s="1"/>
      <c r="AA1169" s="1"/>
      <c r="AB1169" s="1"/>
      <c r="AC1169" s="1" t="str">
        <f>formatRow(Tokens!BJ$2:BK$2,Tokens!BJ1169:BK1169,0,"collection")</f>
        <v>"collection":{"name":"",_x000D_
"family":""}</v>
      </c>
    </row>
    <row r="1170" spans="5:29" ht="14.25" customHeight="1" x14ac:dyDescent="0.25">
      <c r="E1170" s="17" t="str">
        <f>IF(Tokens!C1170="","",Tokens!C1170)</f>
        <v/>
      </c>
      <c r="F1170" s="56"/>
      <c r="G1170" t="s">
        <v>164</v>
      </c>
      <c r="H1170" s="57" t="s">
        <v>165</v>
      </c>
      <c r="I1170" s="2" t="s">
        <v>166</v>
      </c>
      <c r="J1170" s="2" t="s">
        <v>167</v>
      </c>
      <c r="M1170" s="15"/>
      <c r="N1170">
        <v>6.9258811930000004</v>
      </c>
      <c r="O1170" s="15">
        <f t="shared" si="36"/>
        <v>0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1" t="str">
        <f>"owner=" &amp; Tokens!BS1170 &amp; "&amp;filename_for_metadata=" &amp; Tokens!BT1170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0" s="1" t="str">
        <f>formatRow(Tokens!C$2:I$2,Tokens!C1170:I1170)</f>
        <v>"name":"",_x000D_
"symbol":"",_x000D_
"description":"",_x000D_
"seller_fee_basis_points":"",_x000D_
"image":"",_x000D_
"Issuer":"",_x000D_
"external_url":""</v>
      </c>
      <c r="W1170" s="1" t="str">
        <f>formatRow(Tokens!J$2:AV$2,Tokens!J1170:AV1170,2,"attributes")</f>
        <v>"attributes":[]</v>
      </c>
      <c r="X1170" s="1" t="str">
        <f>formatRow(Tokens!AX$2:BC$2,Tokens!AX1170:BC1170,2,"creators")</f>
        <v>"creators":[]</v>
      </c>
      <c r="Y1170" s="1" t="str">
        <f>formatRow(Tokens!BD$2:BI$2,Tokens!BD1170:BI1170,2,"files")</f>
        <v>"files":[]</v>
      </c>
      <c r="Z1170" s="1"/>
      <c r="AA1170" s="1"/>
      <c r="AB1170" s="1"/>
      <c r="AC1170" s="1" t="str">
        <f>formatRow(Tokens!BJ$2:BK$2,Tokens!BJ1170:BK1170,0,"collection")</f>
        <v>"collection":{"name":"",_x000D_
"family":""}</v>
      </c>
    </row>
    <row r="1171" spans="5:29" ht="14.25" customHeight="1" x14ac:dyDescent="0.25">
      <c r="E1171" s="17" t="str">
        <f>IF(Tokens!C1171="","",Tokens!C1171)</f>
        <v/>
      </c>
      <c r="F1171" s="56"/>
      <c r="G1171" t="s">
        <v>164</v>
      </c>
      <c r="H1171" s="57" t="s">
        <v>165</v>
      </c>
      <c r="I1171" s="2" t="s">
        <v>166</v>
      </c>
      <c r="J1171" s="2" t="s">
        <v>167</v>
      </c>
      <c r="M1171" s="15"/>
      <c r="N1171">
        <v>6.9258811930000004</v>
      </c>
      <c r="O1171" s="15">
        <f t="shared" si="36"/>
        <v>0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1" t="str">
        <f>"owner=" &amp; Tokens!BS1171 &amp; "&amp;filename_for_metadata=" &amp; Tokens!BT1171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1" s="1" t="str">
        <f>formatRow(Tokens!C$2:I$2,Tokens!C1171:I1171)</f>
        <v>"name":"",_x000D_
"symbol":"",_x000D_
"description":"",_x000D_
"seller_fee_basis_points":"",_x000D_
"image":"",_x000D_
"Issuer":"",_x000D_
"external_url":""</v>
      </c>
      <c r="W1171" s="1" t="str">
        <f>formatRow(Tokens!J$2:AV$2,Tokens!J1171:AV1171,2,"attributes")</f>
        <v>"attributes":[]</v>
      </c>
      <c r="X1171" s="1" t="str">
        <f>formatRow(Tokens!AX$2:BC$2,Tokens!AX1171:BC1171,2,"creators")</f>
        <v>"creators":[]</v>
      </c>
      <c r="Y1171" s="1" t="str">
        <f>formatRow(Tokens!BD$2:BI$2,Tokens!BD1171:BI1171,2,"files")</f>
        <v>"files":[]</v>
      </c>
      <c r="Z1171" s="1"/>
      <c r="AA1171" s="1"/>
      <c r="AB1171" s="1"/>
      <c r="AC1171" s="1" t="str">
        <f>formatRow(Tokens!BJ$2:BK$2,Tokens!BJ1171:BK1171,0,"collection")</f>
        <v>"collection":{"name":"",_x000D_
"family":""}</v>
      </c>
    </row>
    <row r="1172" spans="5:29" ht="14.25" customHeight="1" x14ac:dyDescent="0.25">
      <c r="E1172" s="17" t="str">
        <f>IF(Tokens!C1172="","",Tokens!C1172)</f>
        <v/>
      </c>
      <c r="F1172" s="56"/>
      <c r="G1172" t="s">
        <v>164</v>
      </c>
      <c r="H1172" s="57" t="s">
        <v>165</v>
      </c>
      <c r="I1172" s="2" t="s">
        <v>166</v>
      </c>
      <c r="J1172" s="2" t="s">
        <v>167</v>
      </c>
      <c r="M1172" s="15"/>
      <c r="N1172">
        <v>6.9258811930000004</v>
      </c>
      <c r="O1172" s="15">
        <f t="shared" si="36"/>
        <v>0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1" t="str">
        <f>"owner=" &amp; Tokens!BS1172 &amp; "&amp;filename_for_metadata=" &amp; Tokens!BT1172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2" s="1" t="str">
        <f>formatRow(Tokens!C$2:I$2,Tokens!C1172:I1172)</f>
        <v>"name":"",_x000D_
"symbol":"",_x000D_
"description":"",_x000D_
"seller_fee_basis_points":"",_x000D_
"image":"",_x000D_
"Issuer":"",_x000D_
"external_url":""</v>
      </c>
      <c r="W1172" s="1" t="str">
        <f>formatRow(Tokens!J$2:AV$2,Tokens!J1172:AV1172,2,"attributes")</f>
        <v>"attributes":[]</v>
      </c>
      <c r="X1172" s="1" t="str">
        <f>formatRow(Tokens!AX$2:BC$2,Tokens!AX1172:BC1172,2,"creators")</f>
        <v>"creators":[]</v>
      </c>
      <c r="Y1172" s="1" t="str">
        <f>formatRow(Tokens!BD$2:BI$2,Tokens!BD1172:BI1172,2,"files")</f>
        <v>"files":[]</v>
      </c>
      <c r="Z1172" s="1"/>
      <c r="AA1172" s="1"/>
      <c r="AB1172" s="1"/>
      <c r="AC1172" s="1" t="str">
        <f>formatRow(Tokens!BJ$2:BK$2,Tokens!BJ1172:BK1172,0,"collection")</f>
        <v>"collection":{"name":"",_x000D_
"family":""}</v>
      </c>
    </row>
    <row r="1173" spans="5:29" ht="14.25" customHeight="1" x14ac:dyDescent="0.25">
      <c r="E1173" s="17" t="str">
        <f>IF(Tokens!C1173="","",Tokens!C1173)</f>
        <v/>
      </c>
      <c r="F1173" s="56"/>
      <c r="G1173" t="s">
        <v>164</v>
      </c>
      <c r="H1173" s="57" t="s">
        <v>165</v>
      </c>
      <c r="I1173" s="2" t="s">
        <v>166</v>
      </c>
      <c r="J1173" s="2" t="s">
        <v>167</v>
      </c>
      <c r="M1173" s="15"/>
      <c r="N1173">
        <v>6.9258811930000004</v>
      </c>
      <c r="O1173" s="15">
        <f t="shared" si="36"/>
        <v>0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1" t="str">
        <f>"owner=" &amp; Tokens!BS1173 &amp; "&amp;filename_for_metadata=" &amp; Tokens!BT1173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3" s="1" t="str">
        <f>formatRow(Tokens!C$2:I$2,Tokens!C1173:I1173)</f>
        <v>"name":"",_x000D_
"symbol":"",_x000D_
"description":"",_x000D_
"seller_fee_basis_points":"",_x000D_
"image":"",_x000D_
"Issuer":"",_x000D_
"external_url":""</v>
      </c>
      <c r="W1173" s="1" t="str">
        <f>formatRow(Tokens!J$2:AV$2,Tokens!J1173:AV1173,2,"attributes")</f>
        <v>"attributes":[]</v>
      </c>
      <c r="X1173" s="1" t="str">
        <f>formatRow(Tokens!AX$2:BC$2,Tokens!AX1173:BC1173,2,"creators")</f>
        <v>"creators":[]</v>
      </c>
      <c r="Y1173" s="1" t="str">
        <f>formatRow(Tokens!BD$2:BI$2,Tokens!BD1173:BI1173,2,"files")</f>
        <v>"files":[]</v>
      </c>
      <c r="Z1173" s="1"/>
      <c r="AA1173" s="1"/>
      <c r="AB1173" s="1"/>
      <c r="AC1173" s="1" t="str">
        <f>formatRow(Tokens!BJ$2:BK$2,Tokens!BJ1173:BK1173,0,"collection")</f>
        <v>"collection":{"name":"",_x000D_
"family":""}</v>
      </c>
    </row>
    <row r="1174" spans="5:29" ht="14.25" customHeight="1" x14ac:dyDescent="0.25">
      <c r="E1174" s="17" t="str">
        <f>IF(Tokens!C1174="","",Tokens!C1174)</f>
        <v/>
      </c>
      <c r="F1174" s="56"/>
      <c r="G1174" t="s">
        <v>164</v>
      </c>
      <c r="H1174" s="57" t="s">
        <v>165</v>
      </c>
      <c r="I1174" s="2" t="s">
        <v>166</v>
      </c>
      <c r="J1174" s="2" t="s">
        <v>167</v>
      </c>
      <c r="M1174" s="15"/>
      <c r="N1174">
        <v>6.9258811930000004</v>
      </c>
      <c r="O1174" s="15">
        <f t="shared" si="36"/>
        <v>0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1" t="str">
        <f>"owner=" &amp; Tokens!BS1174 &amp; "&amp;filename_for_metadata=" &amp; Tokens!BT1174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4" s="1" t="str">
        <f>formatRow(Tokens!C$2:I$2,Tokens!C1174:I1174)</f>
        <v>"name":"",_x000D_
"symbol":"",_x000D_
"description":"",_x000D_
"seller_fee_basis_points":"",_x000D_
"image":"",_x000D_
"Issuer":"",_x000D_
"external_url":""</v>
      </c>
      <c r="W1174" s="1" t="str">
        <f>formatRow(Tokens!J$2:AV$2,Tokens!J1174:AV1174,2,"attributes")</f>
        <v>"attributes":[]</v>
      </c>
      <c r="X1174" s="1" t="str">
        <f>formatRow(Tokens!AX$2:BC$2,Tokens!AX1174:BC1174,2,"creators")</f>
        <v>"creators":[]</v>
      </c>
      <c r="Y1174" s="1" t="str">
        <f>formatRow(Tokens!BD$2:BI$2,Tokens!BD1174:BI1174,2,"files")</f>
        <v>"files":[]</v>
      </c>
      <c r="Z1174" s="1"/>
      <c r="AA1174" s="1"/>
      <c r="AB1174" s="1"/>
      <c r="AC1174" s="1" t="str">
        <f>formatRow(Tokens!BJ$2:BK$2,Tokens!BJ1174:BK1174,0,"collection")</f>
        <v>"collection":{"name":"",_x000D_
"family":""}</v>
      </c>
    </row>
    <row r="1175" spans="5:29" ht="14.25" customHeight="1" x14ac:dyDescent="0.25">
      <c r="E1175" s="17" t="str">
        <f>IF(Tokens!C1175="","",Tokens!C1175)</f>
        <v/>
      </c>
      <c r="F1175" s="56"/>
      <c r="G1175" t="s">
        <v>164</v>
      </c>
      <c r="H1175" s="57" t="s">
        <v>165</v>
      </c>
      <c r="I1175" s="2" t="s">
        <v>166</v>
      </c>
      <c r="J1175" s="2" t="s">
        <v>167</v>
      </c>
      <c r="M1175" s="15"/>
      <c r="N1175">
        <v>6.9258811930000004</v>
      </c>
      <c r="O1175" s="15">
        <f t="shared" si="36"/>
        <v>0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1" t="str">
        <f>"owner=" &amp; Tokens!BS1175 &amp; "&amp;filename_for_metadata=" &amp; Tokens!BT1175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5" s="1" t="str">
        <f>formatRow(Tokens!C$2:I$2,Tokens!C1175:I1175)</f>
        <v>"name":"",_x000D_
"symbol":"",_x000D_
"description":"",_x000D_
"seller_fee_basis_points":"",_x000D_
"image":"",_x000D_
"Issuer":"",_x000D_
"external_url":""</v>
      </c>
      <c r="W1175" s="1" t="str">
        <f>formatRow(Tokens!J$2:AV$2,Tokens!J1175:AV1175,2,"attributes")</f>
        <v>"attributes":[]</v>
      </c>
      <c r="X1175" s="1" t="str">
        <f>formatRow(Tokens!AX$2:BC$2,Tokens!AX1175:BC1175,2,"creators")</f>
        <v>"creators":[]</v>
      </c>
      <c r="Y1175" s="1" t="str">
        <f>formatRow(Tokens!BD$2:BI$2,Tokens!BD1175:BI1175,2,"files")</f>
        <v>"files":[]</v>
      </c>
      <c r="Z1175" s="1"/>
      <c r="AA1175" s="1"/>
      <c r="AB1175" s="1"/>
      <c r="AC1175" s="1" t="str">
        <f>formatRow(Tokens!BJ$2:BK$2,Tokens!BJ1175:BK1175,0,"collection")</f>
        <v>"collection":{"name":"",_x000D_
"family":""}</v>
      </c>
    </row>
    <row r="1176" spans="5:29" ht="14.25" customHeight="1" x14ac:dyDescent="0.25">
      <c r="E1176" s="17" t="str">
        <f>IF(Tokens!C1176="","",Tokens!C1176)</f>
        <v/>
      </c>
      <c r="F1176" s="56"/>
      <c r="G1176" t="s">
        <v>164</v>
      </c>
      <c r="H1176" s="57" t="s">
        <v>165</v>
      </c>
      <c r="I1176" s="2" t="s">
        <v>166</v>
      </c>
      <c r="J1176" s="2" t="s">
        <v>167</v>
      </c>
      <c r="M1176" s="15"/>
      <c r="N1176">
        <v>6.9258811930000004</v>
      </c>
      <c r="O1176" s="15">
        <f t="shared" si="36"/>
        <v>0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1" t="str">
        <f>"owner=" &amp; Tokens!BS1176 &amp; "&amp;filename_for_metadata=" &amp; Tokens!BT1176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6" s="1" t="str">
        <f>formatRow(Tokens!C$2:I$2,Tokens!C1176:I1176)</f>
        <v>"name":"",_x000D_
"symbol":"",_x000D_
"description":"",_x000D_
"seller_fee_basis_points":"",_x000D_
"image":"",_x000D_
"Issuer":"",_x000D_
"external_url":""</v>
      </c>
      <c r="W1176" s="1" t="str">
        <f>formatRow(Tokens!J$2:AV$2,Tokens!J1176:AV1176,2,"attributes")</f>
        <v>"attributes":[]</v>
      </c>
      <c r="X1176" s="1" t="str">
        <f>formatRow(Tokens!AX$2:BC$2,Tokens!AX1176:BC1176,2,"creators")</f>
        <v>"creators":[]</v>
      </c>
      <c r="Y1176" s="1" t="str">
        <f>formatRow(Tokens!BD$2:BI$2,Tokens!BD1176:BI1176,2,"files")</f>
        <v>"files":[]</v>
      </c>
      <c r="Z1176" s="1"/>
      <c r="AA1176" s="1"/>
      <c r="AB1176" s="1"/>
      <c r="AC1176" s="1" t="str">
        <f>formatRow(Tokens!BJ$2:BK$2,Tokens!BJ1176:BK1176,0,"collection")</f>
        <v>"collection":{"name":"",_x000D_
"family":""}</v>
      </c>
    </row>
    <row r="1177" spans="5:29" ht="14.25" customHeight="1" x14ac:dyDescent="0.25">
      <c r="E1177" s="17" t="str">
        <f>IF(Tokens!C1177="","",Tokens!C1177)</f>
        <v/>
      </c>
      <c r="F1177" s="56"/>
      <c r="G1177" t="s">
        <v>164</v>
      </c>
      <c r="H1177" s="57" t="s">
        <v>165</v>
      </c>
      <c r="I1177" s="2" t="s">
        <v>166</v>
      </c>
      <c r="J1177" s="2" t="s">
        <v>167</v>
      </c>
      <c r="M1177" s="15"/>
      <c r="N1177">
        <v>6.9258811930000004</v>
      </c>
      <c r="O1177" s="15">
        <f t="shared" si="36"/>
        <v>0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1" t="str">
        <f>"owner=" &amp; Tokens!BS1177 &amp; "&amp;filename_for_metadata=" &amp; Tokens!BT1177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7" s="1" t="str">
        <f>formatRow(Tokens!C$2:I$2,Tokens!C1177:I1177)</f>
        <v>"name":"",_x000D_
"symbol":"",_x000D_
"description":"",_x000D_
"seller_fee_basis_points":"",_x000D_
"image":"",_x000D_
"Issuer":"",_x000D_
"external_url":""</v>
      </c>
      <c r="W1177" s="1" t="str">
        <f>formatRow(Tokens!J$2:AV$2,Tokens!J1177:AV1177,2,"attributes")</f>
        <v>"attributes":[]</v>
      </c>
      <c r="X1177" s="1" t="str">
        <f>formatRow(Tokens!AX$2:BC$2,Tokens!AX1177:BC1177,2,"creators")</f>
        <v>"creators":[]</v>
      </c>
      <c r="Y1177" s="1" t="str">
        <f>formatRow(Tokens!BD$2:BI$2,Tokens!BD1177:BI1177,2,"files")</f>
        <v>"files":[]</v>
      </c>
      <c r="Z1177" s="1"/>
      <c r="AA1177" s="1"/>
      <c r="AB1177" s="1"/>
      <c r="AC1177" s="1" t="str">
        <f>formatRow(Tokens!BJ$2:BK$2,Tokens!BJ1177:BK1177,0,"collection")</f>
        <v>"collection":{"name":"",_x000D_
"family":""}</v>
      </c>
    </row>
    <row r="1178" spans="5:29" ht="14.25" customHeight="1" x14ac:dyDescent="0.25">
      <c r="E1178" s="17" t="str">
        <f>IF(Tokens!C1178="","",Tokens!C1178)</f>
        <v/>
      </c>
      <c r="F1178" s="56"/>
      <c r="G1178" t="s">
        <v>164</v>
      </c>
      <c r="H1178" s="57" t="s">
        <v>165</v>
      </c>
      <c r="I1178" s="2" t="s">
        <v>166</v>
      </c>
      <c r="J1178" s="2" t="s">
        <v>167</v>
      </c>
      <c r="M1178" s="15"/>
      <c r="N1178">
        <v>6.9258811930000004</v>
      </c>
      <c r="O1178" s="15">
        <f t="shared" si="36"/>
        <v>0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1" t="str">
        <f>"owner=" &amp; Tokens!BS1178 &amp; "&amp;filename_for_metadata=" &amp; Tokens!BT1178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8" s="1" t="str">
        <f>formatRow(Tokens!C$2:I$2,Tokens!C1178:I1178)</f>
        <v>"name":"",_x000D_
"symbol":"",_x000D_
"description":"",_x000D_
"seller_fee_basis_points":"",_x000D_
"image":"",_x000D_
"Issuer":"",_x000D_
"external_url":""</v>
      </c>
      <c r="W1178" s="1" t="str">
        <f>formatRow(Tokens!J$2:AV$2,Tokens!J1178:AV1178,2,"attributes")</f>
        <v>"attributes":[]</v>
      </c>
      <c r="X1178" s="1" t="str">
        <f>formatRow(Tokens!AX$2:BC$2,Tokens!AX1178:BC1178,2,"creators")</f>
        <v>"creators":[]</v>
      </c>
      <c r="Y1178" s="1" t="str">
        <f>formatRow(Tokens!BD$2:BI$2,Tokens!BD1178:BI1178,2,"files")</f>
        <v>"files":[]</v>
      </c>
      <c r="Z1178" s="1"/>
      <c r="AA1178" s="1"/>
      <c r="AB1178" s="1"/>
      <c r="AC1178" s="1" t="str">
        <f>formatRow(Tokens!BJ$2:BK$2,Tokens!BJ1178:BK1178,0,"collection")</f>
        <v>"collection":{"name":"",_x000D_
"family":""}</v>
      </c>
    </row>
    <row r="1179" spans="5:29" ht="14.25" customHeight="1" x14ac:dyDescent="0.25">
      <c r="E1179" s="17" t="str">
        <f>IF(Tokens!C1179="","",Tokens!C1179)</f>
        <v/>
      </c>
      <c r="F1179" s="56"/>
      <c r="G1179" t="s">
        <v>164</v>
      </c>
      <c r="H1179" s="57" t="s">
        <v>165</v>
      </c>
      <c r="I1179" s="2" t="s">
        <v>166</v>
      </c>
      <c r="J1179" s="2" t="s">
        <v>167</v>
      </c>
      <c r="M1179" s="15"/>
      <c r="N1179">
        <v>6.9258811930000004</v>
      </c>
      <c r="O1179" s="15">
        <f t="shared" si="36"/>
        <v>0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1" t="str">
        <f>"owner=" &amp; Tokens!BS1179 &amp; "&amp;filename_for_metadata=" &amp; Tokens!BT1179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7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79" s="1" t="str">
        <f>formatRow(Tokens!C$2:I$2,Tokens!C1179:I1179)</f>
        <v>"name":"",_x000D_
"symbol":"",_x000D_
"description":"",_x000D_
"seller_fee_basis_points":"",_x000D_
"image":"",_x000D_
"Issuer":"",_x000D_
"external_url":""</v>
      </c>
      <c r="W1179" s="1" t="str">
        <f>formatRow(Tokens!J$2:AV$2,Tokens!J1179:AV1179,2,"attributes")</f>
        <v>"attributes":[]</v>
      </c>
      <c r="X1179" s="1" t="str">
        <f>formatRow(Tokens!AX$2:BC$2,Tokens!AX1179:BC1179,2,"creators")</f>
        <v>"creators":[]</v>
      </c>
      <c r="Y1179" s="1" t="str">
        <f>formatRow(Tokens!BD$2:BI$2,Tokens!BD1179:BI1179,2,"files")</f>
        <v>"files":[]</v>
      </c>
      <c r="Z1179" s="1"/>
      <c r="AA1179" s="1"/>
      <c r="AB1179" s="1"/>
      <c r="AC1179" s="1" t="str">
        <f>formatRow(Tokens!BJ$2:BK$2,Tokens!BJ1179:BK1179,0,"collection")</f>
        <v>"collection":{"name":"",_x000D_
"family":""}</v>
      </c>
    </row>
    <row r="1180" spans="5:29" ht="14.25" customHeight="1" x14ac:dyDescent="0.25">
      <c r="E1180" s="17" t="str">
        <f>IF(Tokens!C1180="","",Tokens!C1180)</f>
        <v/>
      </c>
      <c r="F1180" s="56"/>
      <c r="G1180" t="s">
        <v>164</v>
      </c>
      <c r="H1180" s="57" t="s">
        <v>165</v>
      </c>
      <c r="I1180" s="2" t="s">
        <v>166</v>
      </c>
      <c r="J1180" s="2" t="s">
        <v>167</v>
      </c>
      <c r="M1180" s="15"/>
      <c r="N1180">
        <v>6.9258811930000004</v>
      </c>
      <c r="O1180" s="15">
        <f t="shared" si="36"/>
        <v>0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1" t="str">
        <f>"owner=" &amp; Tokens!BS1180 &amp; "&amp;filename_for_metadata=" &amp; Tokens!BT1180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0" s="1" t="str">
        <f>formatRow(Tokens!C$2:I$2,Tokens!C1180:I1180)</f>
        <v>"name":"",_x000D_
"symbol":"",_x000D_
"description":"",_x000D_
"seller_fee_basis_points":"",_x000D_
"image":"",_x000D_
"Issuer":"",_x000D_
"external_url":""</v>
      </c>
      <c r="W1180" s="1" t="str">
        <f>formatRow(Tokens!J$2:AV$2,Tokens!J1180:AV1180,2,"attributes")</f>
        <v>"attributes":[]</v>
      </c>
      <c r="X1180" s="1" t="str">
        <f>formatRow(Tokens!AX$2:BC$2,Tokens!AX1180:BC1180,2,"creators")</f>
        <v>"creators":[]</v>
      </c>
      <c r="Y1180" s="1" t="str">
        <f>formatRow(Tokens!BD$2:BI$2,Tokens!BD1180:BI1180,2,"files")</f>
        <v>"files":[]</v>
      </c>
      <c r="Z1180" s="1"/>
      <c r="AA1180" s="1"/>
      <c r="AB1180" s="1"/>
      <c r="AC1180" s="1" t="str">
        <f>formatRow(Tokens!BJ$2:BK$2,Tokens!BJ1180:BK1180,0,"collection")</f>
        <v>"collection":{"name":"",_x000D_
"family":""}</v>
      </c>
    </row>
    <row r="1181" spans="5:29" ht="14.25" customHeight="1" x14ac:dyDescent="0.25">
      <c r="E1181" s="17" t="str">
        <f>IF(Tokens!C1181="","",Tokens!C1181)</f>
        <v/>
      </c>
      <c r="F1181" s="56"/>
      <c r="G1181" t="s">
        <v>164</v>
      </c>
      <c r="H1181" s="57" t="s">
        <v>165</v>
      </c>
      <c r="I1181" s="2" t="s">
        <v>166</v>
      </c>
      <c r="J1181" s="2" t="s">
        <v>167</v>
      </c>
      <c r="M1181" s="15"/>
      <c r="N1181">
        <v>6.9258811930000004</v>
      </c>
      <c r="O1181" s="15">
        <f t="shared" si="36"/>
        <v>0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1" t="str">
        <f>"owner=" &amp; Tokens!BS1181 &amp; "&amp;filename_for_metadata=" &amp; Tokens!BT1181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1" s="1" t="str">
        <f>formatRow(Tokens!C$2:I$2,Tokens!C1181:I1181)</f>
        <v>"name":"",_x000D_
"symbol":"",_x000D_
"description":"",_x000D_
"seller_fee_basis_points":"",_x000D_
"image":"",_x000D_
"Issuer":"",_x000D_
"external_url":""</v>
      </c>
      <c r="W1181" s="1" t="str">
        <f>formatRow(Tokens!J$2:AV$2,Tokens!J1181:AV1181,2,"attributes")</f>
        <v>"attributes":[]</v>
      </c>
      <c r="X1181" s="1" t="str">
        <f>formatRow(Tokens!AX$2:BC$2,Tokens!AX1181:BC1181,2,"creators")</f>
        <v>"creators":[]</v>
      </c>
      <c r="Y1181" s="1" t="str">
        <f>formatRow(Tokens!BD$2:BI$2,Tokens!BD1181:BI1181,2,"files")</f>
        <v>"files":[]</v>
      </c>
      <c r="Z1181" s="1"/>
      <c r="AA1181" s="1"/>
      <c r="AB1181" s="1"/>
      <c r="AC1181" s="1" t="str">
        <f>formatRow(Tokens!BJ$2:BK$2,Tokens!BJ1181:BK1181,0,"collection")</f>
        <v>"collection":{"name":"",_x000D_
"family":""}</v>
      </c>
    </row>
    <row r="1182" spans="5:29" ht="14.25" customHeight="1" x14ac:dyDescent="0.25">
      <c r="E1182" s="17" t="str">
        <f>IF(Tokens!C1182="","",Tokens!C1182)</f>
        <v/>
      </c>
      <c r="F1182" s="56"/>
      <c r="G1182" t="s">
        <v>164</v>
      </c>
      <c r="H1182" s="57" t="s">
        <v>165</v>
      </c>
      <c r="I1182" s="2" t="s">
        <v>166</v>
      </c>
      <c r="J1182" s="2" t="s">
        <v>167</v>
      </c>
      <c r="M1182" s="15"/>
      <c r="N1182">
        <v>6.9258811930000004</v>
      </c>
      <c r="O1182" s="15">
        <f t="shared" si="36"/>
        <v>0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1" t="str">
        <f>"owner=" &amp; Tokens!BS1182 &amp; "&amp;filename_for_metadata=" &amp; Tokens!BT1182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2" s="1" t="str">
        <f>formatRow(Tokens!C$2:I$2,Tokens!C1182:I1182)</f>
        <v>"name":"",_x000D_
"symbol":"",_x000D_
"description":"",_x000D_
"seller_fee_basis_points":"",_x000D_
"image":"",_x000D_
"Issuer":"",_x000D_
"external_url":""</v>
      </c>
      <c r="W1182" s="1" t="str">
        <f>formatRow(Tokens!J$2:AV$2,Tokens!J1182:AV1182,2,"attributes")</f>
        <v>"attributes":[]</v>
      </c>
      <c r="X1182" s="1" t="str">
        <f>formatRow(Tokens!AX$2:BC$2,Tokens!AX1182:BC1182,2,"creators")</f>
        <v>"creators":[]</v>
      </c>
      <c r="Y1182" s="1" t="str">
        <f>formatRow(Tokens!BD$2:BI$2,Tokens!BD1182:BI1182,2,"files")</f>
        <v>"files":[]</v>
      </c>
      <c r="Z1182" s="1"/>
      <c r="AA1182" s="1"/>
      <c r="AB1182" s="1"/>
      <c r="AC1182" s="1" t="str">
        <f>formatRow(Tokens!BJ$2:BK$2,Tokens!BJ1182:BK1182,0,"collection")</f>
        <v>"collection":{"name":"",_x000D_
"family":""}</v>
      </c>
    </row>
    <row r="1183" spans="5:29" ht="14.25" customHeight="1" x14ac:dyDescent="0.25">
      <c r="E1183" s="17" t="str">
        <f>IF(Tokens!C1183="","",Tokens!C1183)</f>
        <v/>
      </c>
      <c r="F1183" s="56"/>
      <c r="G1183" t="s">
        <v>164</v>
      </c>
      <c r="H1183" s="57" t="s">
        <v>165</v>
      </c>
      <c r="I1183" s="2" t="s">
        <v>166</v>
      </c>
      <c r="J1183" s="2" t="s">
        <v>167</v>
      </c>
      <c r="M1183" s="15"/>
      <c r="N1183">
        <v>6.9258811930000004</v>
      </c>
      <c r="O1183" s="15">
        <f t="shared" si="36"/>
        <v>0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1" t="str">
        <f>"owner=" &amp; Tokens!BS1183 &amp; "&amp;filename_for_metadata=" &amp; Tokens!BT1183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3" s="1" t="str">
        <f>formatRow(Tokens!C$2:I$2,Tokens!C1183:I1183)</f>
        <v>"name":"",_x000D_
"symbol":"",_x000D_
"description":"",_x000D_
"seller_fee_basis_points":"",_x000D_
"image":"",_x000D_
"Issuer":"",_x000D_
"external_url":""</v>
      </c>
      <c r="W1183" s="1" t="str">
        <f>formatRow(Tokens!J$2:AV$2,Tokens!J1183:AV1183,2,"attributes")</f>
        <v>"attributes":[]</v>
      </c>
      <c r="X1183" s="1" t="str">
        <f>formatRow(Tokens!AX$2:BC$2,Tokens!AX1183:BC1183,2,"creators")</f>
        <v>"creators":[]</v>
      </c>
      <c r="Y1183" s="1" t="str">
        <f>formatRow(Tokens!BD$2:BI$2,Tokens!BD1183:BI1183,2,"files")</f>
        <v>"files":[]</v>
      </c>
      <c r="Z1183" s="1"/>
      <c r="AA1183" s="1"/>
      <c r="AB1183" s="1"/>
      <c r="AC1183" s="1" t="str">
        <f>formatRow(Tokens!BJ$2:BK$2,Tokens!BJ1183:BK1183,0,"collection")</f>
        <v>"collection":{"name":"",_x000D_
"family":""}</v>
      </c>
    </row>
    <row r="1184" spans="5:29" ht="14.25" customHeight="1" x14ac:dyDescent="0.25">
      <c r="E1184" s="17" t="str">
        <f>IF(Tokens!C1184="","",Tokens!C1184)</f>
        <v/>
      </c>
      <c r="F1184" s="56"/>
      <c r="G1184" t="s">
        <v>164</v>
      </c>
      <c r="H1184" s="57" t="s">
        <v>165</v>
      </c>
      <c r="I1184" s="2" t="s">
        <v>166</v>
      </c>
      <c r="J1184" s="2" t="s">
        <v>167</v>
      </c>
      <c r="M1184" s="15"/>
      <c r="N1184">
        <v>6.9258811930000004</v>
      </c>
      <c r="O1184" s="15">
        <f t="shared" si="36"/>
        <v>0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1" t="str">
        <f>"owner=" &amp; Tokens!BS1184 &amp; "&amp;filename_for_metadata=" &amp; Tokens!BT1184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4" s="1" t="str">
        <f>formatRow(Tokens!C$2:I$2,Tokens!C1184:I1184)</f>
        <v>"name":"",_x000D_
"symbol":"",_x000D_
"description":"",_x000D_
"seller_fee_basis_points":"",_x000D_
"image":"",_x000D_
"Issuer":"",_x000D_
"external_url":""</v>
      </c>
      <c r="W1184" s="1" t="str">
        <f>formatRow(Tokens!J$2:AV$2,Tokens!J1184:AV1184,2,"attributes")</f>
        <v>"attributes":[]</v>
      </c>
      <c r="X1184" s="1" t="str">
        <f>formatRow(Tokens!AX$2:BC$2,Tokens!AX1184:BC1184,2,"creators")</f>
        <v>"creators":[]</v>
      </c>
      <c r="Y1184" s="1" t="str">
        <f>formatRow(Tokens!BD$2:BI$2,Tokens!BD1184:BI1184,2,"files")</f>
        <v>"files":[]</v>
      </c>
      <c r="Z1184" s="1"/>
      <c r="AA1184" s="1"/>
      <c r="AB1184" s="1"/>
      <c r="AC1184" s="1" t="str">
        <f>formatRow(Tokens!BJ$2:BK$2,Tokens!BJ1184:BK1184,0,"collection")</f>
        <v>"collection":{"name":"",_x000D_
"family":""}</v>
      </c>
    </row>
    <row r="1185" spans="5:29" ht="14.25" customHeight="1" x14ac:dyDescent="0.25">
      <c r="E1185" s="17" t="str">
        <f>IF(Tokens!C1185="","",Tokens!C1185)</f>
        <v/>
      </c>
      <c r="F1185" s="56"/>
      <c r="G1185" t="s">
        <v>164</v>
      </c>
      <c r="H1185" s="57" t="s">
        <v>165</v>
      </c>
      <c r="I1185" s="2" t="s">
        <v>166</v>
      </c>
      <c r="J1185" s="2" t="s">
        <v>167</v>
      </c>
      <c r="M1185" s="15"/>
      <c r="N1185">
        <v>6.9258811930000004</v>
      </c>
      <c r="O1185" s="15">
        <f t="shared" si="36"/>
        <v>0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1" t="str">
        <f>"owner=" &amp; Tokens!BS1185 &amp; "&amp;filename_for_metadata=" &amp; Tokens!BT1185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5" s="1" t="str">
        <f>formatRow(Tokens!C$2:I$2,Tokens!C1185:I1185)</f>
        <v>"name":"",_x000D_
"symbol":"",_x000D_
"description":"",_x000D_
"seller_fee_basis_points":"",_x000D_
"image":"",_x000D_
"Issuer":"",_x000D_
"external_url":""</v>
      </c>
      <c r="W1185" s="1" t="str">
        <f>formatRow(Tokens!J$2:AV$2,Tokens!J1185:AV1185,2,"attributes")</f>
        <v>"attributes":[]</v>
      </c>
      <c r="X1185" s="1" t="str">
        <f>formatRow(Tokens!AX$2:BC$2,Tokens!AX1185:BC1185,2,"creators")</f>
        <v>"creators":[]</v>
      </c>
      <c r="Y1185" s="1" t="str">
        <f>formatRow(Tokens!BD$2:BI$2,Tokens!BD1185:BI1185,2,"files")</f>
        <v>"files":[]</v>
      </c>
      <c r="Z1185" s="1"/>
      <c r="AA1185" s="1"/>
      <c r="AB1185" s="1"/>
      <c r="AC1185" s="1" t="str">
        <f>formatRow(Tokens!BJ$2:BK$2,Tokens!BJ1185:BK1185,0,"collection")</f>
        <v>"collection":{"name":"",_x000D_
"family":""}</v>
      </c>
    </row>
    <row r="1186" spans="5:29" ht="14.25" customHeight="1" x14ac:dyDescent="0.25">
      <c r="E1186" s="17" t="str">
        <f>IF(Tokens!C1186="","",Tokens!C1186)</f>
        <v/>
      </c>
      <c r="F1186" s="56"/>
      <c r="G1186" t="s">
        <v>164</v>
      </c>
      <c r="H1186" s="57" t="s">
        <v>165</v>
      </c>
      <c r="I1186" s="2" t="s">
        <v>166</v>
      </c>
      <c r="J1186" s="2" t="s">
        <v>167</v>
      </c>
      <c r="M1186" s="15"/>
      <c r="N1186">
        <v>6.9258811930000004</v>
      </c>
      <c r="O1186" s="15">
        <f t="shared" si="36"/>
        <v>0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1" t="str">
        <f>"owner=" &amp; Tokens!BS1186 &amp; "&amp;filename_for_metadata=" &amp; Tokens!BT1186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6" s="1" t="str">
        <f>formatRow(Tokens!C$2:I$2,Tokens!C1186:I1186)</f>
        <v>"name":"",_x000D_
"symbol":"",_x000D_
"description":"",_x000D_
"seller_fee_basis_points":"",_x000D_
"image":"",_x000D_
"Issuer":"",_x000D_
"external_url":""</v>
      </c>
      <c r="W1186" s="1" t="str">
        <f>formatRow(Tokens!J$2:AV$2,Tokens!J1186:AV1186,2,"attributes")</f>
        <v>"attributes":[]</v>
      </c>
      <c r="X1186" s="1" t="str">
        <f>formatRow(Tokens!AX$2:BC$2,Tokens!AX1186:BC1186,2,"creators")</f>
        <v>"creators":[]</v>
      </c>
      <c r="Y1186" s="1" t="str">
        <f>formatRow(Tokens!BD$2:BI$2,Tokens!BD1186:BI1186,2,"files")</f>
        <v>"files":[]</v>
      </c>
      <c r="Z1186" s="1"/>
      <c r="AA1186" s="1"/>
      <c r="AB1186" s="1"/>
      <c r="AC1186" s="1" t="str">
        <f>formatRow(Tokens!BJ$2:BK$2,Tokens!BJ1186:BK1186,0,"collection")</f>
        <v>"collection":{"name":"",_x000D_
"family":""}</v>
      </c>
    </row>
    <row r="1187" spans="5:29" ht="14.25" customHeight="1" x14ac:dyDescent="0.25">
      <c r="E1187" s="17" t="str">
        <f>IF(Tokens!C1187="","",Tokens!C1187)</f>
        <v/>
      </c>
      <c r="F1187" s="56"/>
      <c r="G1187" t="s">
        <v>164</v>
      </c>
      <c r="H1187" s="57" t="s">
        <v>165</v>
      </c>
      <c r="I1187" s="2" t="s">
        <v>166</v>
      </c>
      <c r="J1187" s="2" t="s">
        <v>167</v>
      </c>
      <c r="M1187" s="15"/>
      <c r="N1187">
        <v>6.9258811930000004</v>
      </c>
      <c r="O1187" s="15">
        <f t="shared" si="36"/>
        <v>0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1" t="str">
        <f>"owner=" &amp; Tokens!BS1187 &amp; "&amp;filename_for_metadata=" &amp; Tokens!BT1187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7" s="1" t="str">
        <f>formatRow(Tokens!C$2:I$2,Tokens!C1187:I1187)</f>
        <v>"name":"",_x000D_
"symbol":"",_x000D_
"description":"",_x000D_
"seller_fee_basis_points":"",_x000D_
"image":"",_x000D_
"Issuer":"",_x000D_
"external_url":""</v>
      </c>
      <c r="W1187" s="1" t="str">
        <f>formatRow(Tokens!J$2:AV$2,Tokens!J1187:AV1187,2,"attributes")</f>
        <v>"attributes":[]</v>
      </c>
      <c r="X1187" s="1" t="str">
        <f>formatRow(Tokens!AX$2:BC$2,Tokens!AX1187:BC1187,2,"creators")</f>
        <v>"creators":[]</v>
      </c>
      <c r="Y1187" s="1" t="str">
        <f>formatRow(Tokens!BD$2:BI$2,Tokens!BD1187:BI1187,2,"files")</f>
        <v>"files":[]</v>
      </c>
      <c r="Z1187" s="1"/>
      <c r="AA1187" s="1"/>
      <c r="AB1187" s="1"/>
      <c r="AC1187" s="1" t="str">
        <f>formatRow(Tokens!BJ$2:BK$2,Tokens!BJ1187:BK1187,0,"collection")</f>
        <v>"collection":{"name":"",_x000D_
"family":""}</v>
      </c>
    </row>
    <row r="1188" spans="5:29" ht="14.25" customHeight="1" x14ac:dyDescent="0.25">
      <c r="E1188" s="17" t="str">
        <f>IF(Tokens!C1188="","",Tokens!C1188)</f>
        <v/>
      </c>
      <c r="F1188" s="56"/>
      <c r="G1188" t="s">
        <v>164</v>
      </c>
      <c r="H1188" s="57" t="s">
        <v>165</v>
      </c>
      <c r="I1188" s="2" t="s">
        <v>166</v>
      </c>
      <c r="J1188" s="2" t="s">
        <v>167</v>
      </c>
      <c r="M1188" s="15"/>
      <c r="N1188">
        <v>6.9258811930000004</v>
      </c>
      <c r="O1188" s="15">
        <f t="shared" si="36"/>
        <v>0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1" t="str">
        <f>"owner=" &amp; Tokens!BS1188 &amp; "&amp;filename_for_metadata=" &amp; Tokens!BT1188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8" s="1" t="str">
        <f>formatRow(Tokens!C$2:I$2,Tokens!C1188:I1188)</f>
        <v>"name":"",_x000D_
"symbol":"",_x000D_
"description":"",_x000D_
"seller_fee_basis_points":"",_x000D_
"image":"",_x000D_
"Issuer":"",_x000D_
"external_url":""</v>
      </c>
      <c r="W1188" s="1" t="str">
        <f>formatRow(Tokens!J$2:AV$2,Tokens!J1188:AV1188,2,"attributes")</f>
        <v>"attributes":[]</v>
      </c>
      <c r="X1188" s="1" t="str">
        <f>formatRow(Tokens!AX$2:BC$2,Tokens!AX1188:BC1188,2,"creators")</f>
        <v>"creators":[]</v>
      </c>
      <c r="Y1188" s="1" t="str">
        <f>formatRow(Tokens!BD$2:BI$2,Tokens!BD1188:BI1188,2,"files")</f>
        <v>"files":[]</v>
      </c>
      <c r="Z1188" s="1"/>
      <c r="AA1188" s="1"/>
      <c r="AB1188" s="1"/>
      <c r="AC1188" s="1" t="str">
        <f>formatRow(Tokens!BJ$2:BK$2,Tokens!BJ1188:BK1188,0,"collection")</f>
        <v>"collection":{"name":"",_x000D_
"family":""}</v>
      </c>
    </row>
    <row r="1189" spans="5:29" ht="14.25" customHeight="1" x14ac:dyDescent="0.25">
      <c r="E1189" s="17" t="str">
        <f>IF(Tokens!C1189="","",Tokens!C1189)</f>
        <v/>
      </c>
      <c r="F1189" s="56"/>
      <c r="G1189" t="s">
        <v>164</v>
      </c>
      <c r="H1189" s="57" t="s">
        <v>165</v>
      </c>
      <c r="I1189" s="2" t="s">
        <v>166</v>
      </c>
      <c r="J1189" s="2" t="s">
        <v>167</v>
      </c>
      <c r="M1189" s="15"/>
      <c r="N1189">
        <v>6.9258811930000004</v>
      </c>
      <c r="O1189" s="15">
        <f t="shared" si="36"/>
        <v>0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1" t="str">
        <f>"owner=" &amp; Tokens!BS1189 &amp; "&amp;filename_for_metadata=" &amp; Tokens!BT1189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8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89" s="1" t="str">
        <f>formatRow(Tokens!C$2:I$2,Tokens!C1189:I1189)</f>
        <v>"name":"",_x000D_
"symbol":"",_x000D_
"description":"",_x000D_
"seller_fee_basis_points":"",_x000D_
"image":"",_x000D_
"Issuer":"",_x000D_
"external_url":""</v>
      </c>
      <c r="W1189" s="1" t="str">
        <f>formatRow(Tokens!J$2:AV$2,Tokens!J1189:AV1189,2,"attributes")</f>
        <v>"attributes":[]</v>
      </c>
      <c r="X1189" s="1" t="str">
        <f>formatRow(Tokens!AX$2:BC$2,Tokens!AX1189:BC1189,2,"creators")</f>
        <v>"creators":[]</v>
      </c>
      <c r="Y1189" s="1" t="str">
        <f>formatRow(Tokens!BD$2:BI$2,Tokens!BD1189:BI1189,2,"files")</f>
        <v>"files":[]</v>
      </c>
      <c r="Z1189" s="1"/>
      <c r="AA1189" s="1"/>
      <c r="AB1189" s="1"/>
      <c r="AC1189" s="1" t="str">
        <f>formatRow(Tokens!BJ$2:BK$2,Tokens!BJ1189:BK1189,0,"collection")</f>
        <v>"collection":{"name":"",_x000D_
"family":""}</v>
      </c>
    </row>
    <row r="1190" spans="5:29" ht="14.25" customHeight="1" x14ac:dyDescent="0.25">
      <c r="E1190" s="17" t="str">
        <f>IF(Tokens!C1190="","",Tokens!C1190)</f>
        <v/>
      </c>
      <c r="F1190" s="56"/>
      <c r="G1190" t="s">
        <v>164</v>
      </c>
      <c r="H1190" s="57" t="s">
        <v>165</v>
      </c>
      <c r="I1190" s="2" t="s">
        <v>166</v>
      </c>
      <c r="J1190" s="2" t="s">
        <v>167</v>
      </c>
      <c r="M1190" s="15"/>
      <c r="N1190">
        <v>6.9258811930000004</v>
      </c>
      <c r="O1190" s="15">
        <f t="shared" si="36"/>
        <v>0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1" t="str">
        <f>"owner=" &amp; Tokens!BS1190 &amp; "&amp;filename_for_metadata=" &amp; Tokens!BT1190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0" s="1" t="str">
        <f>formatRow(Tokens!C$2:I$2,Tokens!C1190:I1190)</f>
        <v>"name":"",_x000D_
"symbol":"",_x000D_
"description":"",_x000D_
"seller_fee_basis_points":"",_x000D_
"image":"",_x000D_
"Issuer":"",_x000D_
"external_url":""</v>
      </c>
      <c r="W1190" s="1" t="str">
        <f>formatRow(Tokens!J$2:AV$2,Tokens!J1190:AV1190,2,"attributes")</f>
        <v>"attributes":[]</v>
      </c>
      <c r="X1190" s="1" t="str">
        <f>formatRow(Tokens!AX$2:BC$2,Tokens!AX1190:BC1190,2,"creators")</f>
        <v>"creators":[]</v>
      </c>
      <c r="Y1190" s="1" t="str">
        <f>formatRow(Tokens!BD$2:BI$2,Tokens!BD1190:BI1190,2,"files")</f>
        <v>"files":[]</v>
      </c>
      <c r="Z1190" s="1"/>
      <c r="AA1190" s="1"/>
      <c r="AB1190" s="1"/>
      <c r="AC1190" s="1" t="str">
        <f>formatRow(Tokens!BJ$2:BK$2,Tokens!BJ1190:BK1190,0,"collection")</f>
        <v>"collection":{"name":"",_x000D_
"family":""}</v>
      </c>
    </row>
    <row r="1191" spans="5:29" ht="14.25" customHeight="1" x14ac:dyDescent="0.25">
      <c r="E1191" s="17" t="str">
        <f>IF(Tokens!C1191="","",Tokens!C1191)</f>
        <v/>
      </c>
      <c r="F1191" s="56"/>
      <c r="G1191" t="s">
        <v>164</v>
      </c>
      <c r="H1191" s="57" t="s">
        <v>165</v>
      </c>
      <c r="I1191" s="2" t="s">
        <v>166</v>
      </c>
      <c r="J1191" s="2" t="s">
        <v>167</v>
      </c>
      <c r="M1191" s="15"/>
      <c r="N1191">
        <v>6.9258811930000004</v>
      </c>
      <c r="O1191" s="15">
        <f t="shared" si="36"/>
        <v>0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1" t="str">
        <f>"owner=" &amp; Tokens!BS1191 &amp; "&amp;filename_for_metadata=" &amp; Tokens!BT1191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1" s="1" t="str">
        <f>formatRow(Tokens!C$2:I$2,Tokens!C1191:I1191)</f>
        <v>"name":"",_x000D_
"symbol":"",_x000D_
"description":"",_x000D_
"seller_fee_basis_points":"",_x000D_
"image":"",_x000D_
"Issuer":"",_x000D_
"external_url":""</v>
      </c>
      <c r="W1191" s="1" t="str">
        <f>formatRow(Tokens!J$2:AV$2,Tokens!J1191:AV1191,2,"attributes")</f>
        <v>"attributes":[]</v>
      </c>
      <c r="X1191" s="1" t="str">
        <f>formatRow(Tokens!AX$2:BC$2,Tokens!AX1191:BC1191,2,"creators")</f>
        <v>"creators":[]</v>
      </c>
      <c r="Y1191" s="1" t="str">
        <f>formatRow(Tokens!BD$2:BI$2,Tokens!BD1191:BI1191,2,"files")</f>
        <v>"files":[]</v>
      </c>
      <c r="Z1191" s="1"/>
      <c r="AA1191" s="1"/>
      <c r="AB1191" s="1"/>
      <c r="AC1191" s="1" t="str">
        <f>formatRow(Tokens!BJ$2:BK$2,Tokens!BJ1191:BK1191,0,"collection")</f>
        <v>"collection":{"name":"",_x000D_
"family":""}</v>
      </c>
    </row>
    <row r="1192" spans="5:29" ht="14.25" customHeight="1" x14ac:dyDescent="0.25">
      <c r="E1192" s="17" t="str">
        <f>IF(Tokens!C1192="","",Tokens!C1192)</f>
        <v/>
      </c>
      <c r="F1192" s="56"/>
      <c r="G1192" t="s">
        <v>164</v>
      </c>
      <c r="H1192" s="57" t="s">
        <v>165</v>
      </c>
      <c r="I1192" s="2" t="s">
        <v>166</v>
      </c>
      <c r="J1192" s="2" t="s">
        <v>167</v>
      </c>
      <c r="M1192" s="15"/>
      <c r="N1192">
        <v>6.9258811930000004</v>
      </c>
      <c r="O1192" s="15">
        <f t="shared" si="36"/>
        <v>0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1" t="str">
        <f>"owner=" &amp; Tokens!BS1192 &amp; "&amp;filename_for_metadata=" &amp; Tokens!BT1192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2" s="1" t="str">
        <f>formatRow(Tokens!C$2:I$2,Tokens!C1192:I1192)</f>
        <v>"name":"",_x000D_
"symbol":"",_x000D_
"description":"",_x000D_
"seller_fee_basis_points":"",_x000D_
"image":"",_x000D_
"Issuer":"",_x000D_
"external_url":""</v>
      </c>
      <c r="W1192" s="1" t="str">
        <f>formatRow(Tokens!J$2:AV$2,Tokens!J1192:AV1192,2,"attributes")</f>
        <v>"attributes":[]</v>
      </c>
      <c r="X1192" s="1" t="str">
        <f>formatRow(Tokens!AX$2:BC$2,Tokens!AX1192:BC1192,2,"creators")</f>
        <v>"creators":[]</v>
      </c>
      <c r="Y1192" s="1" t="str">
        <f>formatRow(Tokens!BD$2:BI$2,Tokens!BD1192:BI1192,2,"files")</f>
        <v>"files":[]</v>
      </c>
      <c r="Z1192" s="1"/>
      <c r="AA1192" s="1"/>
      <c r="AB1192" s="1"/>
      <c r="AC1192" s="1" t="str">
        <f>formatRow(Tokens!BJ$2:BK$2,Tokens!BJ1192:BK1192,0,"collection")</f>
        <v>"collection":{"name":"",_x000D_
"family":""}</v>
      </c>
    </row>
    <row r="1193" spans="5:29" ht="14.25" customHeight="1" x14ac:dyDescent="0.25">
      <c r="E1193" s="17" t="str">
        <f>IF(Tokens!C1193="","",Tokens!C1193)</f>
        <v/>
      </c>
      <c r="F1193" s="56"/>
      <c r="G1193" t="s">
        <v>164</v>
      </c>
      <c r="H1193" s="57" t="s">
        <v>165</v>
      </c>
      <c r="I1193" s="2" t="s">
        <v>166</v>
      </c>
      <c r="J1193" s="2" t="s">
        <v>167</v>
      </c>
      <c r="M1193" s="15"/>
      <c r="N1193">
        <v>6.9258811930000004</v>
      </c>
      <c r="O1193" s="15">
        <f t="shared" si="36"/>
        <v>0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1" t="str">
        <f>"owner=" &amp; Tokens!BS1193 &amp; "&amp;filename_for_metadata=" &amp; Tokens!BT1193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3" s="1" t="str">
        <f>formatRow(Tokens!C$2:I$2,Tokens!C1193:I1193)</f>
        <v>"name":"",_x000D_
"symbol":"",_x000D_
"description":"",_x000D_
"seller_fee_basis_points":"",_x000D_
"image":"",_x000D_
"Issuer":"",_x000D_
"external_url":""</v>
      </c>
      <c r="W1193" s="1" t="str">
        <f>formatRow(Tokens!J$2:AV$2,Tokens!J1193:AV1193,2,"attributes")</f>
        <v>"attributes":[]</v>
      </c>
      <c r="X1193" s="1" t="str">
        <f>formatRow(Tokens!AX$2:BC$2,Tokens!AX1193:BC1193,2,"creators")</f>
        <v>"creators":[]</v>
      </c>
      <c r="Y1193" s="1" t="str">
        <f>formatRow(Tokens!BD$2:BI$2,Tokens!BD1193:BI1193,2,"files")</f>
        <v>"files":[]</v>
      </c>
      <c r="Z1193" s="1"/>
      <c r="AA1193" s="1"/>
      <c r="AB1193" s="1"/>
      <c r="AC1193" s="1" t="str">
        <f>formatRow(Tokens!BJ$2:BK$2,Tokens!BJ1193:BK1193,0,"collection")</f>
        <v>"collection":{"name":"",_x000D_
"family":""}</v>
      </c>
    </row>
    <row r="1194" spans="5:29" ht="14.25" customHeight="1" x14ac:dyDescent="0.25">
      <c r="E1194" s="17" t="str">
        <f>IF(Tokens!C1194="","",Tokens!C1194)</f>
        <v/>
      </c>
      <c r="F1194" s="56"/>
      <c r="G1194" t="s">
        <v>164</v>
      </c>
      <c r="H1194" s="57" t="s">
        <v>165</v>
      </c>
      <c r="I1194" s="2" t="s">
        <v>166</v>
      </c>
      <c r="J1194" s="2" t="s">
        <v>167</v>
      </c>
      <c r="M1194" s="15"/>
      <c r="N1194">
        <v>6.9258811930000004</v>
      </c>
      <c r="O1194" s="15">
        <f t="shared" si="36"/>
        <v>0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1" t="str">
        <f>"owner=" &amp; Tokens!BS1194 &amp; "&amp;filename_for_metadata=" &amp; Tokens!BT1194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4" s="1" t="str">
        <f>formatRow(Tokens!C$2:I$2,Tokens!C1194:I1194)</f>
        <v>"name":"",_x000D_
"symbol":"",_x000D_
"description":"",_x000D_
"seller_fee_basis_points":"",_x000D_
"image":"",_x000D_
"Issuer":"",_x000D_
"external_url":""</v>
      </c>
      <c r="W1194" s="1" t="str">
        <f>formatRow(Tokens!J$2:AV$2,Tokens!J1194:AV1194,2,"attributes")</f>
        <v>"attributes":[]</v>
      </c>
      <c r="X1194" s="1" t="str">
        <f>formatRow(Tokens!AX$2:BC$2,Tokens!AX1194:BC1194,2,"creators")</f>
        <v>"creators":[]</v>
      </c>
      <c r="Y1194" s="1" t="str">
        <f>formatRow(Tokens!BD$2:BI$2,Tokens!BD1194:BI1194,2,"files")</f>
        <v>"files":[]</v>
      </c>
      <c r="Z1194" s="1"/>
      <c r="AA1194" s="1"/>
      <c r="AB1194" s="1"/>
      <c r="AC1194" s="1" t="str">
        <f>formatRow(Tokens!BJ$2:BK$2,Tokens!BJ1194:BK1194,0,"collection")</f>
        <v>"collection":{"name":"",_x000D_
"family":""}</v>
      </c>
    </row>
    <row r="1195" spans="5:29" ht="14.25" customHeight="1" x14ac:dyDescent="0.25">
      <c r="E1195" s="17" t="str">
        <f>IF(Tokens!C1195="","",Tokens!C1195)</f>
        <v/>
      </c>
      <c r="F1195" s="56"/>
      <c r="G1195" t="s">
        <v>164</v>
      </c>
      <c r="H1195" s="57" t="s">
        <v>165</v>
      </c>
      <c r="I1195" s="2" t="s">
        <v>166</v>
      </c>
      <c r="J1195" s="2" t="s">
        <v>167</v>
      </c>
      <c r="M1195" s="15"/>
      <c r="N1195">
        <v>6.9258811930000004</v>
      </c>
      <c r="O1195" s="15">
        <f t="shared" si="36"/>
        <v>0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1" t="str">
        <f>"owner=" &amp; Tokens!BS1195 &amp; "&amp;filename_for_metadata=" &amp; Tokens!BT1195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5" s="1" t="str">
        <f>formatRow(Tokens!C$2:I$2,Tokens!C1195:I1195)</f>
        <v>"name":"",_x000D_
"symbol":"",_x000D_
"description":"",_x000D_
"seller_fee_basis_points":"",_x000D_
"image":"",_x000D_
"Issuer":"",_x000D_
"external_url":""</v>
      </c>
      <c r="W1195" s="1" t="str">
        <f>formatRow(Tokens!J$2:AV$2,Tokens!J1195:AV1195,2,"attributes")</f>
        <v>"attributes":[]</v>
      </c>
      <c r="X1195" s="1" t="str">
        <f>formatRow(Tokens!AX$2:BC$2,Tokens!AX1195:BC1195,2,"creators")</f>
        <v>"creators":[]</v>
      </c>
      <c r="Y1195" s="1" t="str">
        <f>formatRow(Tokens!BD$2:BI$2,Tokens!BD1195:BI1195,2,"files")</f>
        <v>"files":[]</v>
      </c>
      <c r="Z1195" s="1"/>
      <c r="AA1195" s="1"/>
      <c r="AB1195" s="1"/>
      <c r="AC1195" s="1" t="str">
        <f>formatRow(Tokens!BJ$2:BK$2,Tokens!BJ1195:BK1195,0,"collection")</f>
        <v>"collection":{"name":"",_x000D_
"family":""}</v>
      </c>
    </row>
    <row r="1196" spans="5:29" ht="14.25" customHeight="1" x14ac:dyDescent="0.25">
      <c r="E1196" s="17" t="str">
        <f>IF(Tokens!C1196="","",Tokens!C1196)</f>
        <v/>
      </c>
      <c r="F1196" s="56"/>
      <c r="G1196" t="s">
        <v>164</v>
      </c>
      <c r="H1196" s="57" t="s">
        <v>165</v>
      </c>
      <c r="I1196" s="2" t="s">
        <v>166</v>
      </c>
      <c r="J1196" s="2" t="s">
        <v>167</v>
      </c>
      <c r="M1196" s="15"/>
      <c r="N1196">
        <v>6.9258811930000004</v>
      </c>
      <c r="O1196" s="15">
        <f t="shared" si="36"/>
        <v>0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1" t="str">
        <f>"owner=" &amp; Tokens!BS1196 &amp; "&amp;filename_for_metadata=" &amp; Tokens!BT1196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6" s="1" t="str">
        <f>formatRow(Tokens!C$2:I$2,Tokens!C1196:I1196)</f>
        <v>"name":"",_x000D_
"symbol":"",_x000D_
"description":"",_x000D_
"seller_fee_basis_points":"",_x000D_
"image":"",_x000D_
"Issuer":"",_x000D_
"external_url":""</v>
      </c>
      <c r="W1196" s="1" t="str">
        <f>formatRow(Tokens!J$2:AV$2,Tokens!J1196:AV1196,2,"attributes")</f>
        <v>"attributes":[]</v>
      </c>
      <c r="X1196" s="1" t="str">
        <f>formatRow(Tokens!AX$2:BC$2,Tokens!AX1196:BC1196,2,"creators")</f>
        <v>"creators":[]</v>
      </c>
      <c r="Y1196" s="1" t="str">
        <f>formatRow(Tokens!BD$2:BI$2,Tokens!BD1196:BI1196,2,"files")</f>
        <v>"files":[]</v>
      </c>
      <c r="Z1196" s="1"/>
      <c r="AA1196" s="1"/>
      <c r="AB1196" s="1"/>
      <c r="AC1196" s="1" t="str">
        <f>formatRow(Tokens!BJ$2:BK$2,Tokens!BJ1196:BK1196,0,"collection")</f>
        <v>"collection":{"name":"",_x000D_
"family":""}</v>
      </c>
    </row>
    <row r="1197" spans="5:29" ht="14.25" customHeight="1" x14ac:dyDescent="0.25">
      <c r="E1197" s="17" t="str">
        <f>IF(Tokens!C1197="","",Tokens!C1197)</f>
        <v/>
      </c>
      <c r="F1197" s="56"/>
      <c r="G1197" t="s">
        <v>164</v>
      </c>
      <c r="H1197" s="57" t="s">
        <v>165</v>
      </c>
      <c r="I1197" s="2" t="s">
        <v>166</v>
      </c>
      <c r="J1197" s="2" t="s">
        <v>167</v>
      </c>
      <c r="M1197" s="15"/>
      <c r="N1197">
        <v>6.9258811930000004</v>
      </c>
      <c r="O1197" s="15">
        <f t="shared" si="36"/>
        <v>0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1" t="str">
        <f>"owner=" &amp; Tokens!BS1197 &amp; "&amp;filename_for_metadata=" &amp; Tokens!BT1197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7" s="1" t="str">
        <f>formatRow(Tokens!C$2:I$2,Tokens!C1197:I1197)</f>
        <v>"name":"",_x000D_
"symbol":"",_x000D_
"description":"",_x000D_
"seller_fee_basis_points":"",_x000D_
"image":"",_x000D_
"Issuer":"",_x000D_
"external_url":""</v>
      </c>
      <c r="W1197" s="1" t="str">
        <f>formatRow(Tokens!J$2:AV$2,Tokens!J1197:AV1197,2,"attributes")</f>
        <v>"attributes":[]</v>
      </c>
      <c r="X1197" s="1" t="str">
        <f>formatRow(Tokens!AX$2:BC$2,Tokens!AX1197:BC1197,2,"creators")</f>
        <v>"creators":[]</v>
      </c>
      <c r="Y1197" s="1" t="str">
        <f>formatRow(Tokens!BD$2:BI$2,Tokens!BD1197:BI1197,2,"files")</f>
        <v>"files":[]</v>
      </c>
      <c r="Z1197" s="1"/>
      <c r="AA1197" s="1"/>
      <c r="AB1197" s="1"/>
      <c r="AC1197" s="1" t="str">
        <f>formatRow(Tokens!BJ$2:BK$2,Tokens!BJ1197:BK1197,0,"collection")</f>
        <v>"collection":{"name":"",_x000D_
"family":""}</v>
      </c>
    </row>
    <row r="1198" spans="5:29" ht="14.25" customHeight="1" x14ac:dyDescent="0.25">
      <c r="E1198" s="17" t="str">
        <f>IF(Tokens!C1198="","",Tokens!C1198)</f>
        <v/>
      </c>
      <c r="F1198" s="56"/>
      <c r="G1198" t="s">
        <v>164</v>
      </c>
      <c r="H1198" s="57" t="s">
        <v>165</v>
      </c>
      <c r="I1198" s="2" t="s">
        <v>166</v>
      </c>
      <c r="J1198" s="2" t="s">
        <v>167</v>
      </c>
      <c r="M1198" s="15"/>
      <c r="N1198">
        <v>6.9258811930000004</v>
      </c>
      <c r="O1198" s="15">
        <f t="shared" si="36"/>
        <v>0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1" t="str">
        <f>"owner=" &amp; Tokens!BS1198 &amp; "&amp;filename_for_metadata=" &amp; Tokens!BT1198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8" s="1" t="str">
        <f>formatRow(Tokens!C$2:I$2,Tokens!C1198:I1198)</f>
        <v>"name":"",_x000D_
"symbol":"",_x000D_
"description":"",_x000D_
"seller_fee_basis_points":"",_x000D_
"image":"",_x000D_
"Issuer":"",_x000D_
"external_url":""</v>
      </c>
      <c r="W1198" s="1" t="str">
        <f>formatRow(Tokens!J$2:AV$2,Tokens!J1198:AV1198,2,"attributes")</f>
        <v>"attributes":[]</v>
      </c>
      <c r="X1198" s="1" t="str">
        <f>formatRow(Tokens!AX$2:BC$2,Tokens!AX1198:BC1198,2,"creators")</f>
        <v>"creators":[]</v>
      </c>
      <c r="Y1198" s="1" t="str">
        <f>formatRow(Tokens!BD$2:BI$2,Tokens!BD1198:BI1198,2,"files")</f>
        <v>"files":[]</v>
      </c>
      <c r="Z1198" s="1"/>
      <c r="AA1198" s="1"/>
      <c r="AB1198" s="1"/>
      <c r="AC1198" s="1" t="str">
        <f>formatRow(Tokens!BJ$2:BK$2,Tokens!BJ1198:BK1198,0,"collection")</f>
        <v>"collection":{"name":"",_x000D_
"family":""}</v>
      </c>
    </row>
    <row r="1199" spans="5:29" ht="14.25" customHeight="1" x14ac:dyDescent="0.25">
      <c r="E1199" s="17" t="str">
        <f>IF(Tokens!C1199="","",Tokens!C1199)</f>
        <v/>
      </c>
      <c r="F1199" s="56"/>
      <c r="G1199" t="s">
        <v>164</v>
      </c>
      <c r="H1199" s="57" t="s">
        <v>165</v>
      </c>
      <c r="I1199" s="2" t="s">
        <v>166</v>
      </c>
      <c r="J1199" s="2" t="s">
        <v>167</v>
      </c>
      <c r="M1199" s="15"/>
      <c r="N1199">
        <v>6.9258811930000004</v>
      </c>
      <c r="O1199" s="15">
        <f t="shared" si="36"/>
        <v>0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1" t="str">
        <f>"owner=" &amp; Tokens!BS1199 &amp; "&amp;filename_for_metadata=" &amp; Tokens!BT1199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19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199" s="1" t="str">
        <f>formatRow(Tokens!C$2:I$2,Tokens!C1199:I1199)</f>
        <v>"name":"",_x000D_
"symbol":"",_x000D_
"description":"",_x000D_
"seller_fee_basis_points":"",_x000D_
"image":"",_x000D_
"Issuer":"",_x000D_
"external_url":""</v>
      </c>
      <c r="W1199" s="1" t="str">
        <f>formatRow(Tokens!J$2:AV$2,Tokens!J1199:AV1199,2,"attributes")</f>
        <v>"attributes":[]</v>
      </c>
      <c r="X1199" s="1" t="str">
        <f>formatRow(Tokens!AX$2:BC$2,Tokens!AX1199:BC1199,2,"creators")</f>
        <v>"creators":[]</v>
      </c>
      <c r="Y1199" s="1" t="str">
        <f>formatRow(Tokens!BD$2:BI$2,Tokens!BD1199:BI1199,2,"files")</f>
        <v>"files":[]</v>
      </c>
      <c r="Z1199" s="1"/>
      <c r="AA1199" s="1"/>
      <c r="AB1199" s="1"/>
      <c r="AC1199" s="1" t="str">
        <f>formatRow(Tokens!BJ$2:BK$2,Tokens!BJ1199:BK1199,0,"collection")</f>
        <v>"collection":{"name":"",_x000D_
"family":""}</v>
      </c>
    </row>
    <row r="1200" spans="5:29" ht="14.25" customHeight="1" x14ac:dyDescent="0.25">
      <c r="E1200" s="17" t="str">
        <f>IF(Tokens!C1200="","",Tokens!C1200)</f>
        <v/>
      </c>
      <c r="F1200" s="56"/>
      <c r="G1200" t="s">
        <v>164</v>
      </c>
      <c r="H1200" s="57" t="s">
        <v>165</v>
      </c>
      <c r="I1200" s="2" t="s">
        <v>166</v>
      </c>
      <c r="J1200" s="2" t="s">
        <v>167</v>
      </c>
      <c r="M1200" s="15"/>
      <c r="N1200">
        <v>6.9258811930000004</v>
      </c>
      <c r="O1200" s="15">
        <f t="shared" si="36"/>
        <v>0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1" t="str">
        <f>"owner=" &amp; Tokens!BS1200 &amp; "&amp;filename_for_metadata=" &amp; Tokens!BT1200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0" s="1" t="str">
        <f>formatRow(Tokens!C$2:I$2,Tokens!C1200:I1200)</f>
        <v>"name":"",_x000D_
"symbol":"",_x000D_
"description":"",_x000D_
"seller_fee_basis_points":"",_x000D_
"image":"",_x000D_
"Issuer":"",_x000D_
"external_url":""</v>
      </c>
      <c r="W1200" s="1" t="str">
        <f>formatRow(Tokens!J$2:AV$2,Tokens!J1200:AV1200,2,"attributes")</f>
        <v>"attributes":[]</v>
      </c>
      <c r="X1200" s="1" t="str">
        <f>formatRow(Tokens!AX$2:BC$2,Tokens!AX1200:BC1200,2,"creators")</f>
        <v>"creators":[]</v>
      </c>
      <c r="Y1200" s="1" t="str">
        <f>formatRow(Tokens!BD$2:BI$2,Tokens!BD1200:BI1200,2,"files")</f>
        <v>"files":[]</v>
      </c>
      <c r="Z1200" s="1"/>
      <c r="AA1200" s="1"/>
      <c r="AB1200" s="1"/>
      <c r="AC1200" s="1" t="str">
        <f>formatRow(Tokens!BJ$2:BK$2,Tokens!BJ1200:BK1200,0,"collection")</f>
        <v>"collection":{"name":"",_x000D_
"family":""}</v>
      </c>
    </row>
    <row r="1201" spans="5:29" ht="14.25" customHeight="1" x14ac:dyDescent="0.25">
      <c r="E1201" s="17" t="str">
        <f>IF(Tokens!C1201="","",Tokens!C1201)</f>
        <v/>
      </c>
      <c r="F1201" s="56"/>
      <c r="G1201" t="s">
        <v>164</v>
      </c>
      <c r="H1201" s="57" t="s">
        <v>165</v>
      </c>
      <c r="I1201" s="2" t="s">
        <v>166</v>
      </c>
      <c r="J1201" s="2" t="s">
        <v>167</v>
      </c>
      <c r="M1201" s="15"/>
      <c r="N1201">
        <v>6.9258811930000004</v>
      </c>
      <c r="O1201" s="15">
        <f t="shared" si="36"/>
        <v>0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1" t="str">
        <f>"owner=" &amp; Tokens!BS1201 &amp; "&amp;filename_for_metadata=" &amp; Tokens!BT1201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1" s="1" t="str">
        <f>formatRow(Tokens!C$2:I$2,Tokens!C1201:I1201)</f>
        <v>"name":"",_x000D_
"symbol":"",_x000D_
"description":"",_x000D_
"seller_fee_basis_points":"",_x000D_
"image":"",_x000D_
"Issuer":"",_x000D_
"external_url":""</v>
      </c>
      <c r="W1201" s="1" t="str">
        <f>formatRow(Tokens!J$2:AV$2,Tokens!J1201:AV1201,2,"attributes")</f>
        <v>"attributes":[]</v>
      </c>
      <c r="X1201" s="1" t="str">
        <f>formatRow(Tokens!AX$2:BC$2,Tokens!AX1201:BC1201,2,"creators")</f>
        <v>"creators":[]</v>
      </c>
      <c r="Y1201" s="1" t="str">
        <f>formatRow(Tokens!BD$2:BI$2,Tokens!BD1201:BI1201,2,"files")</f>
        <v>"files":[]</v>
      </c>
      <c r="Z1201" s="1"/>
      <c r="AA1201" s="1"/>
      <c r="AB1201" s="1"/>
      <c r="AC1201" s="1" t="str">
        <f>formatRow(Tokens!BJ$2:BK$2,Tokens!BJ1201:BK1201,0,"collection")</f>
        <v>"collection":{"name":"",_x000D_
"family":""}</v>
      </c>
    </row>
    <row r="1202" spans="5:29" ht="14.25" customHeight="1" x14ac:dyDescent="0.25">
      <c r="E1202" s="17" t="str">
        <f>IF(Tokens!C1202="","",Tokens!C1202)</f>
        <v/>
      </c>
      <c r="F1202" s="56"/>
      <c r="G1202" t="s">
        <v>164</v>
      </c>
      <c r="H1202" s="57" t="s">
        <v>165</v>
      </c>
      <c r="I1202" s="2" t="s">
        <v>166</v>
      </c>
      <c r="J1202" s="2" t="s">
        <v>167</v>
      </c>
      <c r="M1202" s="15"/>
      <c r="N1202">
        <v>6.9258811930000004</v>
      </c>
      <c r="O1202" s="15">
        <f t="shared" si="36"/>
        <v>0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1" t="str">
        <f>"owner=" &amp; Tokens!BS1202 &amp; "&amp;filename_for_metadata=" &amp; Tokens!BT1202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2" s="1" t="str">
        <f>formatRow(Tokens!C$2:I$2,Tokens!C1202:I1202)</f>
        <v>"name":"",_x000D_
"symbol":"",_x000D_
"description":"",_x000D_
"seller_fee_basis_points":"",_x000D_
"image":"",_x000D_
"Issuer":"",_x000D_
"external_url":""</v>
      </c>
      <c r="W1202" s="1" t="str">
        <f>formatRow(Tokens!J$2:AV$2,Tokens!J1202:AV1202,2,"attributes")</f>
        <v>"attributes":[]</v>
      </c>
      <c r="X1202" s="1" t="str">
        <f>formatRow(Tokens!AX$2:BC$2,Tokens!AX1202:BC1202,2,"creators")</f>
        <v>"creators":[]</v>
      </c>
      <c r="Y1202" s="1" t="str">
        <f>formatRow(Tokens!BD$2:BI$2,Tokens!BD1202:BI1202,2,"files")</f>
        <v>"files":[]</v>
      </c>
      <c r="Z1202" s="1"/>
      <c r="AA1202" s="1"/>
      <c r="AB1202" s="1"/>
      <c r="AC1202" s="1" t="str">
        <f>formatRow(Tokens!BJ$2:BK$2,Tokens!BJ1202:BK1202,0,"collection")</f>
        <v>"collection":{"name":"",_x000D_
"family":""}</v>
      </c>
    </row>
    <row r="1203" spans="5:29" ht="14.25" customHeight="1" x14ac:dyDescent="0.25">
      <c r="E1203" s="17" t="str">
        <f>IF(Tokens!C1203="","",Tokens!C1203)</f>
        <v/>
      </c>
      <c r="F1203" s="56"/>
      <c r="G1203" t="s">
        <v>164</v>
      </c>
      <c r="H1203" s="57" t="s">
        <v>165</v>
      </c>
      <c r="I1203" s="2" t="s">
        <v>166</v>
      </c>
      <c r="J1203" s="2" t="s">
        <v>167</v>
      </c>
      <c r="M1203" s="15"/>
      <c r="N1203">
        <v>6.9258811930000004</v>
      </c>
      <c r="O1203" s="15">
        <f t="shared" si="36"/>
        <v>0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1" t="str">
        <f>"owner=" &amp; Tokens!BS1203 &amp; "&amp;filename_for_metadata=" &amp; Tokens!BT1203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3" s="1" t="str">
        <f>formatRow(Tokens!C$2:I$2,Tokens!C1203:I1203)</f>
        <v>"name":"",_x000D_
"symbol":"",_x000D_
"description":"",_x000D_
"seller_fee_basis_points":"",_x000D_
"image":"",_x000D_
"Issuer":"",_x000D_
"external_url":""</v>
      </c>
      <c r="W1203" s="1" t="str">
        <f>formatRow(Tokens!J$2:AV$2,Tokens!J1203:AV1203,2,"attributes")</f>
        <v>"attributes":[]</v>
      </c>
      <c r="X1203" s="1" t="str">
        <f>formatRow(Tokens!AX$2:BC$2,Tokens!AX1203:BC1203,2,"creators")</f>
        <v>"creators":[]</v>
      </c>
      <c r="Y1203" s="1" t="str">
        <f>formatRow(Tokens!BD$2:BI$2,Tokens!BD1203:BI1203,2,"files")</f>
        <v>"files":[]</v>
      </c>
      <c r="Z1203" s="1"/>
      <c r="AA1203" s="1"/>
      <c r="AB1203" s="1"/>
      <c r="AC1203" s="1" t="str">
        <f>formatRow(Tokens!BJ$2:BK$2,Tokens!BJ1203:BK1203,0,"collection")</f>
        <v>"collection":{"name":"",_x000D_
"family":""}</v>
      </c>
    </row>
    <row r="1204" spans="5:29" ht="14.25" customHeight="1" x14ac:dyDescent="0.25">
      <c r="E1204" s="17" t="str">
        <f>IF(Tokens!C1204="","",Tokens!C1204)</f>
        <v/>
      </c>
      <c r="F1204" s="56"/>
      <c r="G1204" t="s">
        <v>164</v>
      </c>
      <c r="H1204" s="57" t="s">
        <v>165</v>
      </c>
      <c r="I1204" s="2" t="s">
        <v>166</v>
      </c>
      <c r="J1204" s="2" t="s">
        <v>167</v>
      </c>
      <c r="M1204" s="15"/>
      <c r="N1204">
        <v>6.9258811930000004</v>
      </c>
      <c r="O1204" s="15">
        <f t="shared" si="36"/>
        <v>0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1" t="str">
        <f>"owner=" &amp; Tokens!BS1204 &amp; "&amp;filename_for_metadata=" &amp; Tokens!BT1204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4" s="1" t="str">
        <f>formatRow(Tokens!C$2:I$2,Tokens!C1204:I1204)</f>
        <v>"name":"",_x000D_
"symbol":"",_x000D_
"description":"",_x000D_
"seller_fee_basis_points":"",_x000D_
"image":"",_x000D_
"Issuer":"",_x000D_
"external_url":""</v>
      </c>
      <c r="W1204" s="1" t="str">
        <f>formatRow(Tokens!J$2:AV$2,Tokens!J1204:AV1204,2,"attributes")</f>
        <v>"attributes":[]</v>
      </c>
      <c r="X1204" s="1" t="str">
        <f>formatRow(Tokens!AX$2:BC$2,Tokens!AX1204:BC1204,2,"creators")</f>
        <v>"creators":[]</v>
      </c>
      <c r="Y1204" s="1" t="str">
        <f>formatRow(Tokens!BD$2:BI$2,Tokens!BD1204:BI1204,2,"files")</f>
        <v>"files":[]</v>
      </c>
      <c r="Z1204" s="1"/>
      <c r="AA1204" s="1"/>
      <c r="AB1204" s="1"/>
      <c r="AC1204" s="1" t="str">
        <f>formatRow(Tokens!BJ$2:BK$2,Tokens!BJ1204:BK1204,0,"collection")</f>
        <v>"collection":{"name":"",_x000D_
"family":""}</v>
      </c>
    </row>
    <row r="1205" spans="5:29" ht="14.25" customHeight="1" x14ac:dyDescent="0.25">
      <c r="E1205" s="17" t="str">
        <f>IF(Tokens!C1205="","",Tokens!C1205)</f>
        <v/>
      </c>
      <c r="F1205" s="56"/>
      <c r="G1205" t="s">
        <v>164</v>
      </c>
      <c r="H1205" s="57" t="s">
        <v>165</v>
      </c>
      <c r="I1205" s="2" t="s">
        <v>166</v>
      </c>
      <c r="J1205" s="2" t="s">
        <v>167</v>
      </c>
      <c r="M1205" s="15"/>
      <c r="N1205">
        <v>6.9258811930000004</v>
      </c>
      <c r="O1205" s="15">
        <f t="shared" si="36"/>
        <v>0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1" t="str">
        <f>"owner=" &amp; Tokens!BS1205 &amp; "&amp;filename_for_metadata=" &amp; Tokens!BT1205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5" s="1" t="str">
        <f>formatRow(Tokens!C$2:I$2,Tokens!C1205:I1205)</f>
        <v>"name":"",_x000D_
"symbol":"",_x000D_
"description":"",_x000D_
"seller_fee_basis_points":"",_x000D_
"image":"",_x000D_
"Issuer":"",_x000D_
"external_url":""</v>
      </c>
      <c r="W1205" s="1" t="str">
        <f>formatRow(Tokens!J$2:AV$2,Tokens!J1205:AV1205,2,"attributes")</f>
        <v>"attributes":[]</v>
      </c>
      <c r="X1205" s="1" t="str">
        <f>formatRow(Tokens!AX$2:BC$2,Tokens!AX1205:BC1205,2,"creators")</f>
        <v>"creators":[]</v>
      </c>
      <c r="Y1205" s="1" t="str">
        <f>formatRow(Tokens!BD$2:BI$2,Tokens!BD1205:BI1205,2,"files")</f>
        <v>"files":[]</v>
      </c>
      <c r="Z1205" s="1"/>
      <c r="AA1205" s="1"/>
      <c r="AB1205" s="1"/>
      <c r="AC1205" s="1" t="str">
        <f>formatRow(Tokens!BJ$2:BK$2,Tokens!BJ1205:BK1205,0,"collection")</f>
        <v>"collection":{"name":"",_x000D_
"family":""}</v>
      </c>
    </row>
    <row r="1206" spans="5:29" ht="14.25" customHeight="1" x14ac:dyDescent="0.25">
      <c r="E1206" s="17" t="str">
        <f>IF(Tokens!C1206="","",Tokens!C1206)</f>
        <v/>
      </c>
      <c r="F1206" s="56"/>
      <c r="G1206" t="s">
        <v>164</v>
      </c>
      <c r="H1206" s="57" t="s">
        <v>165</v>
      </c>
      <c r="I1206" s="2" t="s">
        <v>166</v>
      </c>
      <c r="J1206" s="2" t="s">
        <v>167</v>
      </c>
      <c r="M1206" s="15"/>
      <c r="N1206">
        <v>6.9258811930000004</v>
      </c>
      <c r="O1206" s="15">
        <f t="shared" si="36"/>
        <v>0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1" t="str">
        <f>"owner=" &amp; Tokens!BS1206 &amp; "&amp;filename_for_metadata=" &amp; Tokens!BT1206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6" s="1" t="str">
        <f>formatRow(Tokens!C$2:I$2,Tokens!C1206:I1206)</f>
        <v>"name":"",_x000D_
"symbol":"",_x000D_
"description":"",_x000D_
"seller_fee_basis_points":"",_x000D_
"image":"",_x000D_
"Issuer":"",_x000D_
"external_url":""</v>
      </c>
      <c r="W1206" s="1" t="str">
        <f>formatRow(Tokens!J$2:AV$2,Tokens!J1206:AV1206,2,"attributes")</f>
        <v>"attributes":[]</v>
      </c>
      <c r="X1206" s="1" t="str">
        <f>formatRow(Tokens!AX$2:BC$2,Tokens!AX1206:BC1206,2,"creators")</f>
        <v>"creators":[]</v>
      </c>
      <c r="Y1206" s="1" t="str">
        <f>formatRow(Tokens!BD$2:BI$2,Tokens!BD1206:BI1206,2,"files")</f>
        <v>"files":[]</v>
      </c>
      <c r="Z1206" s="1"/>
      <c r="AA1206" s="1"/>
      <c r="AB1206" s="1"/>
      <c r="AC1206" s="1" t="str">
        <f>formatRow(Tokens!BJ$2:BK$2,Tokens!BJ1206:BK1206,0,"collection")</f>
        <v>"collection":{"name":"",_x000D_
"family":""}</v>
      </c>
    </row>
    <row r="1207" spans="5:29" ht="14.25" customHeight="1" x14ac:dyDescent="0.25">
      <c r="E1207" s="17" t="str">
        <f>IF(Tokens!C1207="","",Tokens!C1207)</f>
        <v/>
      </c>
      <c r="F1207" s="56"/>
      <c r="G1207" t="s">
        <v>164</v>
      </c>
      <c r="H1207" s="57" t="s">
        <v>165</v>
      </c>
      <c r="I1207" s="2" t="s">
        <v>166</v>
      </c>
      <c r="J1207" s="2" t="s">
        <v>167</v>
      </c>
      <c r="M1207" s="15"/>
      <c r="N1207">
        <v>6.9258811930000004</v>
      </c>
      <c r="O1207" s="15">
        <f t="shared" si="36"/>
        <v>0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1" t="str">
        <f>"owner=" &amp; Tokens!BS1207 &amp; "&amp;filename_for_metadata=" &amp; Tokens!BT1207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7" s="1" t="str">
        <f>formatRow(Tokens!C$2:I$2,Tokens!C1207:I1207)</f>
        <v>"name":"",_x000D_
"symbol":"",_x000D_
"description":"",_x000D_
"seller_fee_basis_points":"",_x000D_
"image":"",_x000D_
"Issuer":"",_x000D_
"external_url":""</v>
      </c>
      <c r="W1207" s="1" t="str">
        <f>formatRow(Tokens!J$2:AV$2,Tokens!J1207:AV1207,2,"attributes")</f>
        <v>"attributes":[]</v>
      </c>
      <c r="X1207" s="1" t="str">
        <f>formatRow(Tokens!AX$2:BC$2,Tokens!AX1207:BC1207,2,"creators")</f>
        <v>"creators":[]</v>
      </c>
      <c r="Y1207" s="1" t="str">
        <f>formatRow(Tokens!BD$2:BI$2,Tokens!BD1207:BI1207,2,"files")</f>
        <v>"files":[]</v>
      </c>
      <c r="Z1207" s="1"/>
      <c r="AA1207" s="1"/>
      <c r="AB1207" s="1"/>
      <c r="AC1207" s="1" t="str">
        <f>formatRow(Tokens!BJ$2:BK$2,Tokens!BJ1207:BK1207,0,"collection")</f>
        <v>"collection":{"name":"",_x000D_
"family":""}</v>
      </c>
    </row>
    <row r="1208" spans="5:29" ht="14.25" customHeight="1" x14ac:dyDescent="0.25">
      <c r="E1208" s="17" t="str">
        <f>IF(Tokens!C1208="","",Tokens!C1208)</f>
        <v/>
      </c>
      <c r="F1208" s="56"/>
      <c r="G1208" t="s">
        <v>164</v>
      </c>
      <c r="H1208" s="57" t="s">
        <v>165</v>
      </c>
      <c r="I1208" s="2" t="s">
        <v>166</v>
      </c>
      <c r="J1208" s="2" t="s">
        <v>167</v>
      </c>
      <c r="M1208" s="15"/>
      <c r="N1208">
        <v>6.9258811930000004</v>
      </c>
      <c r="O1208" s="15">
        <f t="shared" si="36"/>
        <v>0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1" t="str">
        <f>"owner=" &amp; Tokens!BS1208 &amp; "&amp;filename_for_metadata=" &amp; Tokens!BT1208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8" s="1" t="str">
        <f>formatRow(Tokens!C$2:I$2,Tokens!C1208:I1208)</f>
        <v>"name":"",_x000D_
"symbol":"",_x000D_
"description":"",_x000D_
"seller_fee_basis_points":"",_x000D_
"image":"",_x000D_
"Issuer":"",_x000D_
"external_url":""</v>
      </c>
      <c r="W1208" s="1" t="str">
        <f>formatRow(Tokens!J$2:AV$2,Tokens!J1208:AV1208,2,"attributes")</f>
        <v>"attributes":[]</v>
      </c>
      <c r="X1208" s="1" t="str">
        <f>formatRow(Tokens!AX$2:BC$2,Tokens!AX1208:BC1208,2,"creators")</f>
        <v>"creators":[]</v>
      </c>
      <c r="Y1208" s="1" t="str">
        <f>formatRow(Tokens!BD$2:BI$2,Tokens!BD1208:BI1208,2,"files")</f>
        <v>"files":[]</v>
      </c>
      <c r="Z1208" s="1"/>
      <c r="AA1208" s="1"/>
      <c r="AB1208" s="1"/>
      <c r="AC1208" s="1" t="str">
        <f>formatRow(Tokens!BJ$2:BK$2,Tokens!BJ1208:BK1208,0,"collection")</f>
        <v>"collection":{"name":"",_x000D_
"family":""}</v>
      </c>
    </row>
    <row r="1209" spans="5:29" ht="14.25" customHeight="1" x14ac:dyDescent="0.25">
      <c r="E1209" s="17" t="str">
        <f>IF(Tokens!C1209="","",Tokens!C1209)</f>
        <v/>
      </c>
      <c r="F1209" s="56"/>
      <c r="G1209" t="s">
        <v>164</v>
      </c>
      <c r="H1209" s="57" t="s">
        <v>165</v>
      </c>
      <c r="I1209" s="2" t="s">
        <v>166</v>
      </c>
      <c r="J1209" s="2" t="s">
        <v>167</v>
      </c>
      <c r="M1209" s="15"/>
      <c r="N1209">
        <v>6.9258811930000004</v>
      </c>
      <c r="O1209" s="15">
        <f t="shared" si="36"/>
        <v>0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1" t="str">
        <f>"owner=" &amp; Tokens!BS1209 &amp; "&amp;filename_for_metadata=" &amp; Tokens!BT1209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0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09" s="1" t="str">
        <f>formatRow(Tokens!C$2:I$2,Tokens!C1209:I1209)</f>
        <v>"name":"",_x000D_
"symbol":"",_x000D_
"description":"",_x000D_
"seller_fee_basis_points":"",_x000D_
"image":"",_x000D_
"Issuer":"",_x000D_
"external_url":""</v>
      </c>
      <c r="W1209" s="1" t="str">
        <f>formatRow(Tokens!J$2:AV$2,Tokens!J1209:AV1209,2,"attributes")</f>
        <v>"attributes":[]</v>
      </c>
      <c r="X1209" s="1" t="str">
        <f>formatRow(Tokens!AX$2:BC$2,Tokens!AX1209:BC1209,2,"creators")</f>
        <v>"creators":[]</v>
      </c>
      <c r="Y1209" s="1" t="str">
        <f>formatRow(Tokens!BD$2:BI$2,Tokens!BD1209:BI1209,2,"files")</f>
        <v>"files":[]</v>
      </c>
      <c r="Z1209" s="1"/>
      <c r="AA1209" s="1"/>
      <c r="AB1209" s="1"/>
      <c r="AC1209" s="1" t="str">
        <f>formatRow(Tokens!BJ$2:BK$2,Tokens!BJ1209:BK1209,0,"collection")</f>
        <v>"collection":{"name":"",_x000D_
"family":""}</v>
      </c>
    </row>
    <row r="1210" spans="5:29" ht="14.25" customHeight="1" x14ac:dyDescent="0.25">
      <c r="E1210" s="17" t="str">
        <f>IF(Tokens!C1210="","",Tokens!C1210)</f>
        <v/>
      </c>
      <c r="F1210" s="56"/>
      <c r="G1210" t="s">
        <v>164</v>
      </c>
      <c r="H1210" s="57" t="s">
        <v>165</v>
      </c>
      <c r="I1210" s="2" t="s">
        <v>166</v>
      </c>
      <c r="J1210" s="2" t="s">
        <v>167</v>
      </c>
      <c r="M1210" s="15"/>
      <c r="N1210">
        <v>6.9258811930000004</v>
      </c>
      <c r="O1210" s="15">
        <f t="shared" si="36"/>
        <v>0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1" t="str">
        <f>"owner=" &amp; Tokens!BS1210 &amp; "&amp;filename_for_metadata=" &amp; Tokens!BT1210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0" s="1" t="str">
        <f>formatRow(Tokens!C$2:I$2,Tokens!C1210:I1210)</f>
        <v>"name":"",_x000D_
"symbol":"",_x000D_
"description":"",_x000D_
"seller_fee_basis_points":"",_x000D_
"image":"",_x000D_
"Issuer":"",_x000D_
"external_url":""</v>
      </c>
      <c r="W1210" s="1" t="str">
        <f>formatRow(Tokens!J$2:AV$2,Tokens!J1210:AV1210,2,"attributes")</f>
        <v>"attributes":[]</v>
      </c>
      <c r="X1210" s="1" t="str">
        <f>formatRow(Tokens!AX$2:BC$2,Tokens!AX1210:BC1210,2,"creators")</f>
        <v>"creators":[]</v>
      </c>
      <c r="Y1210" s="1" t="str">
        <f>formatRow(Tokens!BD$2:BI$2,Tokens!BD1210:BI1210,2,"files")</f>
        <v>"files":[]</v>
      </c>
      <c r="Z1210" s="1"/>
      <c r="AA1210" s="1"/>
      <c r="AB1210" s="1"/>
      <c r="AC1210" s="1" t="str">
        <f>formatRow(Tokens!BJ$2:BK$2,Tokens!BJ1210:BK1210,0,"collection")</f>
        <v>"collection":{"name":"",_x000D_
"family":""}</v>
      </c>
    </row>
    <row r="1211" spans="5:29" ht="14.25" customHeight="1" x14ac:dyDescent="0.25">
      <c r="E1211" s="17" t="str">
        <f>IF(Tokens!C1211="","",Tokens!C1211)</f>
        <v/>
      </c>
      <c r="F1211" s="56"/>
      <c r="G1211" t="s">
        <v>164</v>
      </c>
      <c r="H1211" s="57" t="s">
        <v>165</v>
      </c>
      <c r="I1211" s="2" t="s">
        <v>166</v>
      </c>
      <c r="J1211" s="2" t="s">
        <v>167</v>
      </c>
      <c r="M1211" s="15"/>
      <c r="N1211">
        <v>6.9258811930000004</v>
      </c>
      <c r="O1211" s="15">
        <f t="shared" si="36"/>
        <v>0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1" t="str">
        <f>"owner=" &amp; Tokens!BS1211 &amp; "&amp;filename_for_metadata=" &amp; Tokens!BT1211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1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1" s="1" t="str">
        <f>formatRow(Tokens!C$2:I$2,Tokens!C1211:I1211)</f>
        <v>"name":"",_x000D_
"symbol":"",_x000D_
"description":"",_x000D_
"seller_fee_basis_points":"",_x000D_
"image":"",_x000D_
"Issuer":"",_x000D_
"external_url":""</v>
      </c>
      <c r="W1211" s="1" t="str">
        <f>formatRow(Tokens!J$2:AV$2,Tokens!J1211:AV1211,2,"attributes")</f>
        <v>"attributes":[]</v>
      </c>
      <c r="X1211" s="1" t="str">
        <f>formatRow(Tokens!AX$2:BC$2,Tokens!AX1211:BC1211,2,"creators")</f>
        <v>"creators":[]</v>
      </c>
      <c r="Y1211" s="1" t="str">
        <f>formatRow(Tokens!BD$2:BI$2,Tokens!BD1211:BI1211,2,"files")</f>
        <v>"files":[]</v>
      </c>
      <c r="Z1211" s="1"/>
      <c r="AA1211" s="1"/>
      <c r="AB1211" s="1"/>
      <c r="AC1211" s="1" t="str">
        <f>formatRow(Tokens!BJ$2:BK$2,Tokens!BJ1211:BK1211,0,"collection")</f>
        <v>"collection":{"name":"",_x000D_
"family":""}</v>
      </c>
    </row>
    <row r="1212" spans="5:29" ht="14.25" customHeight="1" x14ac:dyDescent="0.25">
      <c r="E1212" s="17" t="str">
        <f>IF(Tokens!C1212="","",Tokens!C1212)</f>
        <v/>
      </c>
      <c r="F1212" s="56"/>
      <c r="G1212" t="s">
        <v>164</v>
      </c>
      <c r="H1212" s="57" t="s">
        <v>165</v>
      </c>
      <c r="I1212" s="2" t="s">
        <v>166</v>
      </c>
      <c r="J1212" s="2" t="s">
        <v>167</v>
      </c>
      <c r="M1212" s="15"/>
      <c r="N1212">
        <v>6.9258811930000004</v>
      </c>
      <c r="O1212" s="15">
        <f t="shared" si="36"/>
        <v>0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1" t="str">
        <f>"owner=" &amp; Tokens!BS1212 &amp; "&amp;filename_for_metadata=" &amp; Tokens!BT1212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2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2" s="1" t="str">
        <f>formatRow(Tokens!C$2:I$2,Tokens!C1212:I1212)</f>
        <v>"name":"",_x000D_
"symbol":"",_x000D_
"description":"",_x000D_
"seller_fee_basis_points":"",_x000D_
"image":"",_x000D_
"Issuer":"",_x000D_
"external_url":""</v>
      </c>
      <c r="W1212" s="1" t="str">
        <f>formatRow(Tokens!J$2:AV$2,Tokens!J1212:AV1212,2,"attributes")</f>
        <v>"attributes":[]</v>
      </c>
      <c r="X1212" s="1" t="str">
        <f>formatRow(Tokens!AX$2:BC$2,Tokens!AX1212:BC1212,2,"creators")</f>
        <v>"creators":[]</v>
      </c>
      <c r="Y1212" s="1" t="str">
        <f>formatRow(Tokens!BD$2:BI$2,Tokens!BD1212:BI1212,2,"files")</f>
        <v>"files":[]</v>
      </c>
      <c r="Z1212" s="1"/>
      <c r="AA1212" s="1"/>
      <c r="AB1212" s="1"/>
      <c r="AC1212" s="1" t="str">
        <f>formatRow(Tokens!BJ$2:BK$2,Tokens!BJ1212:BK1212,0,"collection")</f>
        <v>"collection":{"name":"",_x000D_
"family":""}</v>
      </c>
    </row>
    <row r="1213" spans="5:29" ht="14.25" customHeight="1" x14ac:dyDescent="0.25">
      <c r="E1213" s="17" t="str">
        <f>IF(Tokens!C1213="","",Tokens!C1213)</f>
        <v/>
      </c>
      <c r="F1213" s="56"/>
      <c r="G1213" t="s">
        <v>164</v>
      </c>
      <c r="H1213" s="57" t="s">
        <v>165</v>
      </c>
      <c r="I1213" s="2" t="s">
        <v>166</v>
      </c>
      <c r="J1213" s="2" t="s">
        <v>167</v>
      </c>
      <c r="M1213" s="15"/>
      <c r="N1213">
        <v>6.9258811930000004</v>
      </c>
      <c r="O1213" s="15">
        <f t="shared" si="36"/>
        <v>0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1" t="str">
        <f>"owner=" &amp; Tokens!BS1213 &amp; "&amp;filename_for_metadata=" &amp; Tokens!BT1213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3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3" s="1" t="str">
        <f>formatRow(Tokens!C$2:I$2,Tokens!C1213:I1213)</f>
        <v>"name":"",_x000D_
"symbol":"",_x000D_
"description":"",_x000D_
"seller_fee_basis_points":"",_x000D_
"image":"",_x000D_
"Issuer":"",_x000D_
"external_url":""</v>
      </c>
      <c r="W1213" s="1" t="str">
        <f>formatRow(Tokens!J$2:AV$2,Tokens!J1213:AV1213,2,"attributes")</f>
        <v>"attributes":[]</v>
      </c>
      <c r="X1213" s="1" t="str">
        <f>formatRow(Tokens!AX$2:BC$2,Tokens!AX1213:BC1213,2,"creators")</f>
        <v>"creators":[]</v>
      </c>
      <c r="Y1213" s="1" t="str">
        <f>formatRow(Tokens!BD$2:BI$2,Tokens!BD1213:BI1213,2,"files")</f>
        <v>"files":[]</v>
      </c>
      <c r="Z1213" s="1"/>
      <c r="AA1213" s="1"/>
      <c r="AB1213" s="1"/>
      <c r="AC1213" s="1" t="str">
        <f>formatRow(Tokens!BJ$2:BK$2,Tokens!BJ1213:BK1213,0,"collection")</f>
        <v>"collection":{"name":"",_x000D_
"family":""}</v>
      </c>
    </row>
    <row r="1214" spans="5:29" ht="14.25" customHeight="1" x14ac:dyDescent="0.25">
      <c r="E1214" s="17" t="str">
        <f>IF(Tokens!C1214="","",Tokens!C1214)</f>
        <v/>
      </c>
      <c r="F1214" s="56"/>
      <c r="G1214" t="s">
        <v>164</v>
      </c>
      <c r="H1214" s="57" t="s">
        <v>165</v>
      </c>
      <c r="I1214" s="2" t="s">
        <v>166</v>
      </c>
      <c r="J1214" s="2" t="s">
        <v>167</v>
      </c>
      <c r="M1214" s="15"/>
      <c r="N1214">
        <v>6.9258811930000004</v>
      </c>
      <c r="O1214" s="15">
        <f t="shared" si="36"/>
        <v>0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1" t="str">
        <f>"owner=" &amp; Tokens!BS1214 &amp; "&amp;filename_for_metadata=" &amp; Tokens!BT1214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4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4" s="1" t="str">
        <f>formatRow(Tokens!C$2:I$2,Tokens!C1214:I1214)</f>
        <v>"name":"",_x000D_
"symbol":"",_x000D_
"description":"",_x000D_
"seller_fee_basis_points":"",_x000D_
"image":"",_x000D_
"Issuer":"",_x000D_
"external_url":""</v>
      </c>
      <c r="W1214" s="1" t="str">
        <f>formatRow(Tokens!J$2:AV$2,Tokens!J1214:AV1214,2,"attributes")</f>
        <v>"attributes":[]</v>
      </c>
      <c r="X1214" s="1" t="str">
        <f>formatRow(Tokens!AX$2:BC$2,Tokens!AX1214:BC1214,2,"creators")</f>
        <v>"creators":[]</v>
      </c>
      <c r="Y1214" s="1" t="str">
        <f>formatRow(Tokens!BD$2:BI$2,Tokens!BD1214:BI1214,2,"files")</f>
        <v>"files":[]</v>
      </c>
      <c r="Z1214" s="1"/>
      <c r="AA1214" s="1"/>
      <c r="AB1214" s="1"/>
      <c r="AC1214" s="1" t="str">
        <f>formatRow(Tokens!BJ$2:BK$2,Tokens!BJ1214:BK1214,0,"collection")</f>
        <v>"collection":{"name":"",_x000D_
"family":""}</v>
      </c>
    </row>
    <row r="1215" spans="5:29" ht="14.25" customHeight="1" x14ac:dyDescent="0.25">
      <c r="E1215" s="17" t="str">
        <f>IF(Tokens!C1215="","",Tokens!C1215)</f>
        <v/>
      </c>
      <c r="F1215" s="56"/>
      <c r="G1215" t="s">
        <v>164</v>
      </c>
      <c r="H1215" s="57" t="s">
        <v>165</v>
      </c>
      <c r="I1215" s="2" t="s">
        <v>166</v>
      </c>
      <c r="J1215" s="2" t="s">
        <v>167</v>
      </c>
      <c r="M1215" s="15"/>
      <c r="N1215">
        <v>6.9258811930000004</v>
      </c>
      <c r="O1215" s="15">
        <f t="shared" si="36"/>
        <v>0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1" t="str">
        <f>"owner=" &amp; Tokens!BS1215 &amp; "&amp;filename_for_metadata=" &amp; Tokens!BT1215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5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5" s="1" t="str">
        <f>formatRow(Tokens!C$2:I$2,Tokens!C1215:I1215)</f>
        <v>"name":"",_x000D_
"symbol":"",_x000D_
"description":"",_x000D_
"seller_fee_basis_points":"",_x000D_
"image":"",_x000D_
"Issuer":"",_x000D_
"external_url":""</v>
      </c>
      <c r="W1215" s="1" t="str">
        <f>formatRow(Tokens!J$2:AV$2,Tokens!J1215:AV1215,2,"attributes")</f>
        <v>"attributes":[]</v>
      </c>
      <c r="X1215" s="1" t="str">
        <f>formatRow(Tokens!AX$2:BC$2,Tokens!AX1215:BC1215,2,"creators")</f>
        <v>"creators":[]</v>
      </c>
      <c r="Y1215" s="1" t="str">
        <f>formatRow(Tokens!BD$2:BI$2,Tokens!BD1215:BI1215,2,"files")</f>
        <v>"files":[]</v>
      </c>
      <c r="Z1215" s="1"/>
      <c r="AA1215" s="1"/>
      <c r="AB1215" s="1"/>
      <c r="AC1215" s="1" t="str">
        <f>formatRow(Tokens!BJ$2:BK$2,Tokens!BJ1215:BK1215,0,"collection")</f>
        <v>"collection":{"name":"",_x000D_
"family":""}</v>
      </c>
    </row>
    <row r="1216" spans="5:29" ht="14.25" customHeight="1" x14ac:dyDescent="0.25">
      <c r="E1216" s="17" t="str">
        <f>IF(Tokens!C1216="","",Tokens!C1216)</f>
        <v/>
      </c>
      <c r="F1216" s="56"/>
      <c r="G1216" t="s">
        <v>164</v>
      </c>
      <c r="H1216" s="57" t="s">
        <v>165</v>
      </c>
      <c r="I1216" s="2" t="s">
        <v>166</v>
      </c>
      <c r="J1216" s="2" t="s">
        <v>167</v>
      </c>
      <c r="M1216" s="15"/>
      <c r="N1216">
        <v>6.9258811930000004</v>
      </c>
      <c r="O1216" s="15">
        <f t="shared" si="36"/>
        <v>0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1" t="str">
        <f>"owner=" &amp; Tokens!BS1216 &amp; "&amp;filename_for_metadata=" &amp; Tokens!BT1216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6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6" s="1" t="str">
        <f>formatRow(Tokens!C$2:I$2,Tokens!C1216:I1216)</f>
        <v>"name":"",_x000D_
"symbol":"",_x000D_
"description":"",_x000D_
"seller_fee_basis_points":"",_x000D_
"image":"",_x000D_
"Issuer":"",_x000D_
"external_url":""</v>
      </c>
      <c r="W1216" s="1" t="str">
        <f>formatRow(Tokens!J$2:AV$2,Tokens!J1216:AV1216,2,"attributes")</f>
        <v>"attributes":[]</v>
      </c>
      <c r="X1216" s="1" t="str">
        <f>formatRow(Tokens!AX$2:BC$2,Tokens!AX1216:BC1216,2,"creators")</f>
        <v>"creators":[]</v>
      </c>
      <c r="Y1216" s="1" t="str">
        <f>formatRow(Tokens!BD$2:BI$2,Tokens!BD1216:BI1216,2,"files")</f>
        <v>"files":[]</v>
      </c>
      <c r="Z1216" s="1"/>
      <c r="AA1216" s="1"/>
      <c r="AB1216" s="1"/>
      <c r="AC1216" s="1" t="str">
        <f>formatRow(Tokens!BJ$2:BK$2,Tokens!BJ1216:BK1216,0,"collection")</f>
        <v>"collection":{"name":"",_x000D_
"family":""}</v>
      </c>
    </row>
    <row r="1217" spans="5:29" ht="14.25" customHeight="1" x14ac:dyDescent="0.25">
      <c r="E1217" s="17" t="str">
        <f>IF(Tokens!C1217="","",Tokens!C1217)</f>
        <v/>
      </c>
      <c r="F1217" s="56"/>
      <c r="G1217" t="s">
        <v>164</v>
      </c>
      <c r="H1217" s="57" t="s">
        <v>165</v>
      </c>
      <c r="I1217" s="2" t="s">
        <v>166</v>
      </c>
      <c r="J1217" s="2" t="s">
        <v>167</v>
      </c>
      <c r="M1217" s="15"/>
      <c r="N1217">
        <v>6.9258811930000004</v>
      </c>
      <c r="O1217" s="15">
        <f t="shared" si="36"/>
        <v>0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1" t="str">
        <f>"owner=" &amp; Tokens!BS1217 &amp; "&amp;filename_for_metadata=" &amp; Tokens!BT1217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7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7" s="1" t="str">
        <f>formatRow(Tokens!C$2:I$2,Tokens!C1217:I1217)</f>
        <v>"name":"",_x000D_
"symbol":"",_x000D_
"description":"",_x000D_
"seller_fee_basis_points":"",_x000D_
"image":"",_x000D_
"Issuer":"",_x000D_
"external_url":""</v>
      </c>
      <c r="W1217" s="1" t="str">
        <f>formatRow(Tokens!J$2:AV$2,Tokens!J1217:AV1217,2,"attributes")</f>
        <v>"attributes":[]</v>
      </c>
      <c r="X1217" s="1" t="str">
        <f>formatRow(Tokens!AX$2:BC$2,Tokens!AX1217:BC1217,2,"creators")</f>
        <v>"creators":[]</v>
      </c>
      <c r="Y1217" s="1" t="str">
        <f>formatRow(Tokens!BD$2:BI$2,Tokens!BD1217:BI1217,2,"files")</f>
        <v>"files":[]</v>
      </c>
      <c r="Z1217" s="1"/>
      <c r="AA1217" s="1"/>
      <c r="AB1217" s="1"/>
      <c r="AC1217" s="1" t="str">
        <f>formatRow(Tokens!BJ$2:BK$2,Tokens!BJ1217:BK1217,0,"collection")</f>
        <v>"collection":{"name":"",_x000D_
"family":""}</v>
      </c>
    </row>
    <row r="1218" spans="5:29" ht="14.25" customHeight="1" x14ac:dyDescent="0.25">
      <c r="E1218" s="17" t="str">
        <f>IF(Tokens!C1218="","",Tokens!C1218)</f>
        <v/>
      </c>
      <c r="F1218" s="56"/>
      <c r="G1218" t="s">
        <v>164</v>
      </c>
      <c r="H1218" s="57" t="s">
        <v>165</v>
      </c>
      <c r="I1218" s="2" t="s">
        <v>166</v>
      </c>
      <c r="J1218" s="2" t="s">
        <v>167</v>
      </c>
      <c r="M1218" s="15"/>
      <c r="N1218">
        <v>6.9258811930000004</v>
      </c>
      <c r="O1218" s="15">
        <f t="shared" si="36"/>
        <v>0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1" t="str">
        <f>"owner=" &amp; Tokens!BS1218 &amp; "&amp;filename_for_metadata=" &amp; Tokens!BT1218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8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8" s="1" t="str">
        <f>formatRow(Tokens!C$2:I$2,Tokens!C1218:I1218)</f>
        <v>"name":"",_x000D_
"symbol":"",_x000D_
"description":"",_x000D_
"seller_fee_basis_points":"",_x000D_
"image":"",_x000D_
"Issuer":"",_x000D_
"external_url":""</v>
      </c>
      <c r="W1218" s="1" t="str">
        <f>formatRow(Tokens!J$2:AV$2,Tokens!J1218:AV1218,2,"attributes")</f>
        <v>"attributes":[]</v>
      </c>
      <c r="X1218" s="1" t="str">
        <f>formatRow(Tokens!AX$2:BC$2,Tokens!AX1218:BC1218,2,"creators")</f>
        <v>"creators":[]</v>
      </c>
      <c r="Y1218" s="1" t="str">
        <f>formatRow(Tokens!BD$2:BI$2,Tokens!BD1218:BI1218,2,"files")</f>
        <v>"files":[]</v>
      </c>
      <c r="Z1218" s="1"/>
      <c r="AA1218" s="1"/>
      <c r="AB1218" s="1"/>
      <c r="AC1218" s="1" t="str">
        <f>formatRow(Tokens!BJ$2:BK$2,Tokens!BJ1218:BK1218,0,"collection")</f>
        <v>"collection":{"name":"",_x000D_
"family":""}</v>
      </c>
    </row>
    <row r="1219" spans="5:29" ht="14.25" customHeight="1" x14ac:dyDescent="0.25">
      <c r="E1219" s="17" t="str">
        <f>IF(Tokens!C1219="","",Tokens!C1219)</f>
        <v/>
      </c>
      <c r="F1219" s="56"/>
      <c r="G1219" t="s">
        <v>164</v>
      </c>
      <c r="H1219" s="57" t="s">
        <v>165</v>
      </c>
      <c r="I1219" s="2" t="s">
        <v>166</v>
      </c>
      <c r="J1219" s="2" t="s">
        <v>167</v>
      </c>
      <c r="M1219" s="15"/>
      <c r="N1219">
        <v>6.9258811930000004</v>
      </c>
      <c r="O1219" s="15">
        <f t="shared" si="36"/>
        <v>0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1" t="str">
        <f>"owner=" &amp; Tokens!BS1219 &amp; "&amp;filename_for_metadata=" &amp; Tokens!BT1219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19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19" s="1" t="str">
        <f>formatRow(Tokens!C$2:I$2,Tokens!C1219:I1219)</f>
        <v>"name":"",_x000D_
"symbol":"",_x000D_
"description":"",_x000D_
"seller_fee_basis_points":"",_x000D_
"image":"",_x000D_
"Issuer":"",_x000D_
"external_url":""</v>
      </c>
      <c r="W1219" s="1" t="str">
        <f>formatRow(Tokens!J$2:AV$2,Tokens!J1219:AV1219,2,"attributes")</f>
        <v>"attributes":[]</v>
      </c>
      <c r="X1219" s="1" t="str">
        <f>formatRow(Tokens!AX$2:BC$2,Tokens!AX1219:BC1219,2,"creators")</f>
        <v>"creators":[]</v>
      </c>
      <c r="Y1219" s="1" t="str">
        <f>formatRow(Tokens!BD$2:BI$2,Tokens!BD1219:BI1219,2,"files")</f>
        <v>"files":[]</v>
      </c>
      <c r="Z1219" s="1"/>
      <c r="AA1219" s="1"/>
      <c r="AB1219" s="1"/>
      <c r="AC1219" s="1" t="str">
        <f>formatRow(Tokens!BJ$2:BK$2,Tokens!BJ1219:BK1219,0,"collection")</f>
        <v>"collection":{"name":"",_x000D_
"family":""}</v>
      </c>
    </row>
    <row r="1220" spans="5:29" ht="14.25" customHeight="1" x14ac:dyDescent="0.25">
      <c r="E1220" s="17" t="str">
        <f>IF(Tokens!C1220="","",Tokens!C1220)</f>
        <v/>
      </c>
      <c r="F1220" s="56"/>
      <c r="G1220" t="s">
        <v>164</v>
      </c>
      <c r="H1220" s="57" t="s">
        <v>165</v>
      </c>
      <c r="I1220" s="2" t="s">
        <v>166</v>
      </c>
      <c r="J1220" s="2" t="s">
        <v>167</v>
      </c>
      <c r="M1220" s="15"/>
      <c r="N1220">
        <v>6.9258811930000004</v>
      </c>
      <c r="O1220" s="15">
        <f t="shared" ref="O1220:O1283" si="38">IF(AND(ISNUMBER(N1219),ISNUMBER(N1220)),(N1220-N1219)*$O$1,"_")</f>
        <v>0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1" t="str">
        <f>"owner=" &amp; Tokens!BS1220 &amp; "&amp;filename_for_metadata=" &amp; Tokens!BT1220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0" s="1" t="str">
        <f t="shared" si="3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0" s="1" t="str">
        <f>formatRow(Tokens!C$2:I$2,Tokens!C1220:I1220)</f>
        <v>"name":"",_x000D_
"symbol":"",_x000D_
"description":"",_x000D_
"seller_fee_basis_points":"",_x000D_
"image":"",_x000D_
"Issuer":"",_x000D_
"external_url":""</v>
      </c>
      <c r="W1220" s="1" t="str">
        <f>formatRow(Tokens!J$2:AV$2,Tokens!J1220:AV1220,2,"attributes")</f>
        <v>"attributes":[]</v>
      </c>
      <c r="X1220" s="1" t="str">
        <f>formatRow(Tokens!AX$2:BC$2,Tokens!AX1220:BC1220,2,"creators")</f>
        <v>"creators":[]</v>
      </c>
      <c r="Y1220" s="1" t="str">
        <f>formatRow(Tokens!BD$2:BI$2,Tokens!BD1220:BI1220,2,"files")</f>
        <v>"files":[]</v>
      </c>
      <c r="Z1220" s="1"/>
      <c r="AA1220" s="1"/>
      <c r="AB1220" s="1"/>
      <c r="AC1220" s="1" t="str">
        <f>formatRow(Tokens!BJ$2:BK$2,Tokens!BJ1220:BK1220,0,"collection")</f>
        <v>"collection":{"name":"",_x000D_
"family":""}</v>
      </c>
    </row>
    <row r="1221" spans="5:29" ht="14.25" customHeight="1" x14ac:dyDescent="0.25">
      <c r="E1221" s="17" t="str">
        <f>IF(Tokens!C1221="","",Tokens!C1221)</f>
        <v/>
      </c>
      <c r="F1221" s="56"/>
      <c r="G1221" t="s">
        <v>164</v>
      </c>
      <c r="H1221" s="57" t="s">
        <v>165</v>
      </c>
      <c r="I1221" s="2" t="s">
        <v>166</v>
      </c>
      <c r="J1221" s="2" t="s">
        <v>167</v>
      </c>
      <c r="M1221" s="15"/>
      <c r="N1221">
        <v>6.9258811930000004</v>
      </c>
      <c r="O1221" s="15">
        <f t="shared" si="38"/>
        <v>0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1" t="str">
        <f>"owner=" &amp; Tokens!BS1221 &amp; "&amp;filename_for_metadata=" &amp; Tokens!BT1221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1" s="1" t="str">
        <f t="shared" ref="U1221:U1284" si="39">"{" &amp; V1221 &amp; "," &amp; W1221 &amp; "," &amp; """properties"":{" &amp; X1221 &amp; "," &amp; Y1221 &amp; "}," &amp; AC1221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1" s="1" t="str">
        <f>formatRow(Tokens!C$2:I$2,Tokens!C1221:I1221)</f>
        <v>"name":"",_x000D_
"symbol":"",_x000D_
"description":"",_x000D_
"seller_fee_basis_points":"",_x000D_
"image":"",_x000D_
"Issuer":"",_x000D_
"external_url":""</v>
      </c>
      <c r="W1221" s="1" t="str">
        <f>formatRow(Tokens!J$2:AV$2,Tokens!J1221:AV1221,2,"attributes")</f>
        <v>"attributes":[]</v>
      </c>
      <c r="X1221" s="1" t="str">
        <f>formatRow(Tokens!AX$2:BC$2,Tokens!AX1221:BC1221,2,"creators")</f>
        <v>"creators":[]</v>
      </c>
      <c r="Y1221" s="1" t="str">
        <f>formatRow(Tokens!BD$2:BI$2,Tokens!BD1221:BI1221,2,"files")</f>
        <v>"files":[]</v>
      </c>
      <c r="Z1221" s="1"/>
      <c r="AA1221" s="1"/>
      <c r="AB1221" s="1"/>
      <c r="AC1221" s="1" t="str">
        <f>formatRow(Tokens!BJ$2:BK$2,Tokens!BJ1221:BK1221,0,"collection")</f>
        <v>"collection":{"name":"",_x000D_
"family":""}</v>
      </c>
    </row>
    <row r="1222" spans="5:29" ht="14.25" customHeight="1" x14ac:dyDescent="0.25">
      <c r="E1222" s="17" t="str">
        <f>IF(Tokens!C1222="","",Tokens!C1222)</f>
        <v/>
      </c>
      <c r="F1222" s="56"/>
      <c r="G1222" t="s">
        <v>164</v>
      </c>
      <c r="H1222" s="57" t="s">
        <v>165</v>
      </c>
      <c r="I1222" s="2" t="s">
        <v>166</v>
      </c>
      <c r="J1222" s="2" t="s">
        <v>167</v>
      </c>
      <c r="M1222" s="15"/>
      <c r="N1222">
        <v>6.9258811930000004</v>
      </c>
      <c r="O1222" s="15">
        <f t="shared" si="38"/>
        <v>0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1" t="str">
        <f>"owner=" &amp; Tokens!BS1222 &amp; "&amp;filename_for_metadata=" &amp; Tokens!BT1222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2" s="1" t="str">
        <f>formatRow(Tokens!C$2:I$2,Tokens!C1222:I1222)</f>
        <v>"name":"",_x000D_
"symbol":"",_x000D_
"description":"",_x000D_
"seller_fee_basis_points":"",_x000D_
"image":"",_x000D_
"Issuer":"",_x000D_
"external_url":""</v>
      </c>
      <c r="W1222" s="1" t="str">
        <f>formatRow(Tokens!J$2:AV$2,Tokens!J1222:AV1222,2,"attributes")</f>
        <v>"attributes":[]</v>
      </c>
      <c r="X1222" s="1" t="str">
        <f>formatRow(Tokens!AX$2:BC$2,Tokens!AX1222:BC1222,2,"creators")</f>
        <v>"creators":[]</v>
      </c>
      <c r="Y1222" s="1" t="str">
        <f>formatRow(Tokens!BD$2:BI$2,Tokens!BD1222:BI1222,2,"files")</f>
        <v>"files":[]</v>
      </c>
      <c r="Z1222" s="1"/>
      <c r="AA1222" s="1"/>
      <c r="AB1222" s="1"/>
      <c r="AC1222" s="1" t="str">
        <f>formatRow(Tokens!BJ$2:BK$2,Tokens!BJ1222:BK1222,0,"collection")</f>
        <v>"collection":{"name":"",_x000D_
"family":""}</v>
      </c>
    </row>
    <row r="1223" spans="5:29" ht="14.25" customHeight="1" x14ac:dyDescent="0.25">
      <c r="E1223" s="17" t="str">
        <f>IF(Tokens!C1223="","",Tokens!C1223)</f>
        <v/>
      </c>
      <c r="F1223" s="56"/>
      <c r="G1223" t="s">
        <v>164</v>
      </c>
      <c r="H1223" s="57" t="s">
        <v>165</v>
      </c>
      <c r="I1223" s="2" t="s">
        <v>166</v>
      </c>
      <c r="J1223" s="2" t="s">
        <v>167</v>
      </c>
      <c r="M1223" s="15"/>
      <c r="N1223">
        <v>6.9258811930000004</v>
      </c>
      <c r="O1223" s="15">
        <f t="shared" si="38"/>
        <v>0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1" t="str">
        <f>"owner=" &amp; Tokens!BS1223 &amp; "&amp;filename_for_metadata=" &amp; Tokens!BT1223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3" s="1" t="str">
        <f>formatRow(Tokens!C$2:I$2,Tokens!C1223:I1223)</f>
        <v>"name":"",_x000D_
"symbol":"",_x000D_
"description":"",_x000D_
"seller_fee_basis_points":"",_x000D_
"image":"",_x000D_
"Issuer":"",_x000D_
"external_url":""</v>
      </c>
      <c r="W1223" s="1" t="str">
        <f>formatRow(Tokens!J$2:AV$2,Tokens!J1223:AV1223,2,"attributes")</f>
        <v>"attributes":[]</v>
      </c>
      <c r="X1223" s="1" t="str">
        <f>formatRow(Tokens!AX$2:BC$2,Tokens!AX1223:BC1223,2,"creators")</f>
        <v>"creators":[]</v>
      </c>
      <c r="Y1223" s="1" t="str">
        <f>formatRow(Tokens!BD$2:BI$2,Tokens!BD1223:BI1223,2,"files")</f>
        <v>"files":[]</v>
      </c>
      <c r="Z1223" s="1"/>
      <c r="AA1223" s="1"/>
      <c r="AB1223" s="1"/>
      <c r="AC1223" s="1" t="str">
        <f>formatRow(Tokens!BJ$2:BK$2,Tokens!BJ1223:BK1223,0,"collection")</f>
        <v>"collection":{"name":"",_x000D_
"family":""}</v>
      </c>
    </row>
    <row r="1224" spans="5:29" ht="14.25" customHeight="1" x14ac:dyDescent="0.25">
      <c r="E1224" s="17" t="str">
        <f>IF(Tokens!C1224="","",Tokens!C1224)</f>
        <v/>
      </c>
      <c r="F1224" s="56"/>
      <c r="G1224" t="s">
        <v>164</v>
      </c>
      <c r="H1224" s="57" t="s">
        <v>165</v>
      </c>
      <c r="I1224" s="2" t="s">
        <v>166</v>
      </c>
      <c r="J1224" s="2" t="s">
        <v>167</v>
      </c>
      <c r="M1224" s="15"/>
      <c r="N1224">
        <v>6.9258811930000004</v>
      </c>
      <c r="O1224" s="15">
        <f t="shared" si="38"/>
        <v>0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1" t="str">
        <f>"owner=" &amp; Tokens!BS1224 &amp; "&amp;filename_for_metadata=" &amp; Tokens!BT1224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4" s="1" t="str">
        <f>formatRow(Tokens!C$2:I$2,Tokens!C1224:I1224)</f>
        <v>"name":"",_x000D_
"symbol":"",_x000D_
"description":"",_x000D_
"seller_fee_basis_points":"",_x000D_
"image":"",_x000D_
"Issuer":"",_x000D_
"external_url":""</v>
      </c>
      <c r="W1224" s="1" t="str">
        <f>formatRow(Tokens!J$2:AV$2,Tokens!J1224:AV1224,2,"attributes")</f>
        <v>"attributes":[]</v>
      </c>
      <c r="X1224" s="1" t="str">
        <f>formatRow(Tokens!AX$2:BC$2,Tokens!AX1224:BC1224,2,"creators")</f>
        <v>"creators":[]</v>
      </c>
      <c r="Y1224" s="1" t="str">
        <f>formatRow(Tokens!BD$2:BI$2,Tokens!BD1224:BI1224,2,"files")</f>
        <v>"files":[]</v>
      </c>
      <c r="Z1224" s="1"/>
      <c r="AA1224" s="1"/>
      <c r="AB1224" s="1"/>
      <c r="AC1224" s="1" t="str">
        <f>formatRow(Tokens!BJ$2:BK$2,Tokens!BJ1224:BK1224,0,"collection")</f>
        <v>"collection":{"name":"",_x000D_
"family":""}</v>
      </c>
    </row>
    <row r="1225" spans="5:29" ht="14.25" customHeight="1" x14ac:dyDescent="0.25">
      <c r="E1225" s="17" t="str">
        <f>IF(Tokens!C1225="","",Tokens!C1225)</f>
        <v/>
      </c>
      <c r="F1225" s="56"/>
      <c r="G1225" t="s">
        <v>164</v>
      </c>
      <c r="H1225" s="57" t="s">
        <v>165</v>
      </c>
      <c r="I1225" s="2" t="s">
        <v>166</v>
      </c>
      <c r="J1225" s="2" t="s">
        <v>167</v>
      </c>
      <c r="M1225" s="15"/>
      <c r="N1225">
        <v>6.9258811930000004</v>
      </c>
      <c r="O1225" s="15">
        <f t="shared" si="38"/>
        <v>0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1" t="str">
        <f>"owner=" &amp; Tokens!BS1225 &amp; "&amp;filename_for_metadata=" &amp; Tokens!BT1225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5" s="1" t="str">
        <f>formatRow(Tokens!C$2:I$2,Tokens!C1225:I1225)</f>
        <v>"name":"",_x000D_
"symbol":"",_x000D_
"description":"",_x000D_
"seller_fee_basis_points":"",_x000D_
"image":"",_x000D_
"Issuer":"",_x000D_
"external_url":""</v>
      </c>
      <c r="W1225" s="1" t="str">
        <f>formatRow(Tokens!J$2:AV$2,Tokens!J1225:AV1225,2,"attributes")</f>
        <v>"attributes":[]</v>
      </c>
      <c r="X1225" s="1" t="str">
        <f>formatRow(Tokens!AX$2:BC$2,Tokens!AX1225:BC1225,2,"creators")</f>
        <v>"creators":[]</v>
      </c>
      <c r="Y1225" s="1" t="str">
        <f>formatRow(Tokens!BD$2:BI$2,Tokens!BD1225:BI1225,2,"files")</f>
        <v>"files":[]</v>
      </c>
      <c r="Z1225" s="1"/>
      <c r="AA1225" s="1"/>
      <c r="AB1225" s="1"/>
      <c r="AC1225" s="1" t="str">
        <f>formatRow(Tokens!BJ$2:BK$2,Tokens!BJ1225:BK1225,0,"collection")</f>
        <v>"collection":{"name":"",_x000D_
"family":""}</v>
      </c>
    </row>
    <row r="1226" spans="5:29" ht="14.25" customHeight="1" x14ac:dyDescent="0.25">
      <c r="E1226" s="17" t="str">
        <f>IF(Tokens!C1226="","",Tokens!C1226)</f>
        <v/>
      </c>
      <c r="F1226" s="56"/>
      <c r="G1226" t="s">
        <v>164</v>
      </c>
      <c r="H1226" s="57" t="s">
        <v>165</v>
      </c>
      <c r="I1226" s="2" t="s">
        <v>166</v>
      </c>
      <c r="J1226" s="2" t="s">
        <v>167</v>
      </c>
      <c r="M1226" s="15"/>
      <c r="N1226">
        <v>6.9258811930000004</v>
      </c>
      <c r="O1226" s="15">
        <f t="shared" si="38"/>
        <v>0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1" t="str">
        <f>"owner=" &amp; Tokens!BS1226 &amp; "&amp;filename_for_metadata=" &amp; Tokens!BT1226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6" s="1" t="str">
        <f>formatRow(Tokens!C$2:I$2,Tokens!C1226:I1226)</f>
        <v>"name":"",_x000D_
"symbol":"",_x000D_
"description":"",_x000D_
"seller_fee_basis_points":"",_x000D_
"image":"",_x000D_
"Issuer":"",_x000D_
"external_url":""</v>
      </c>
      <c r="W1226" s="1" t="str">
        <f>formatRow(Tokens!J$2:AV$2,Tokens!J1226:AV1226,2,"attributes")</f>
        <v>"attributes":[]</v>
      </c>
      <c r="X1226" s="1" t="str">
        <f>formatRow(Tokens!AX$2:BC$2,Tokens!AX1226:BC1226,2,"creators")</f>
        <v>"creators":[]</v>
      </c>
      <c r="Y1226" s="1" t="str">
        <f>formatRow(Tokens!BD$2:BI$2,Tokens!BD1226:BI1226,2,"files")</f>
        <v>"files":[]</v>
      </c>
      <c r="Z1226" s="1"/>
      <c r="AA1226" s="1"/>
      <c r="AB1226" s="1"/>
      <c r="AC1226" s="1" t="str">
        <f>formatRow(Tokens!BJ$2:BK$2,Tokens!BJ1226:BK1226,0,"collection")</f>
        <v>"collection":{"name":"",_x000D_
"family":""}</v>
      </c>
    </row>
    <row r="1227" spans="5:29" ht="14.25" customHeight="1" x14ac:dyDescent="0.25">
      <c r="E1227" s="17" t="str">
        <f>IF(Tokens!C1227="","",Tokens!C1227)</f>
        <v/>
      </c>
      <c r="F1227" s="56"/>
      <c r="G1227" t="s">
        <v>164</v>
      </c>
      <c r="H1227" s="57" t="s">
        <v>165</v>
      </c>
      <c r="I1227" s="2" t="s">
        <v>166</v>
      </c>
      <c r="J1227" s="2" t="s">
        <v>167</v>
      </c>
      <c r="M1227" s="15"/>
      <c r="N1227">
        <v>6.9258811930000004</v>
      </c>
      <c r="O1227" s="15">
        <f t="shared" si="38"/>
        <v>0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1" t="str">
        <f>"owner=" &amp; Tokens!BS1227 &amp; "&amp;filename_for_metadata=" &amp; Tokens!BT1227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7" s="1" t="str">
        <f>formatRow(Tokens!C$2:I$2,Tokens!C1227:I1227)</f>
        <v>"name":"",_x000D_
"symbol":"",_x000D_
"description":"",_x000D_
"seller_fee_basis_points":"",_x000D_
"image":"",_x000D_
"Issuer":"",_x000D_
"external_url":""</v>
      </c>
      <c r="W1227" s="1" t="str">
        <f>formatRow(Tokens!J$2:AV$2,Tokens!J1227:AV1227,2,"attributes")</f>
        <v>"attributes":[]</v>
      </c>
      <c r="X1227" s="1" t="str">
        <f>formatRow(Tokens!AX$2:BC$2,Tokens!AX1227:BC1227,2,"creators")</f>
        <v>"creators":[]</v>
      </c>
      <c r="Y1227" s="1" t="str">
        <f>formatRow(Tokens!BD$2:BI$2,Tokens!BD1227:BI1227,2,"files")</f>
        <v>"files":[]</v>
      </c>
      <c r="Z1227" s="1"/>
      <c r="AA1227" s="1"/>
      <c r="AB1227" s="1"/>
      <c r="AC1227" s="1" t="str">
        <f>formatRow(Tokens!BJ$2:BK$2,Tokens!BJ1227:BK1227,0,"collection")</f>
        <v>"collection":{"name":"",_x000D_
"family":""}</v>
      </c>
    </row>
    <row r="1228" spans="5:29" ht="14.25" customHeight="1" x14ac:dyDescent="0.25">
      <c r="E1228" s="17" t="str">
        <f>IF(Tokens!C1228="","",Tokens!C1228)</f>
        <v/>
      </c>
      <c r="F1228" s="56"/>
      <c r="G1228" t="s">
        <v>164</v>
      </c>
      <c r="H1228" s="57" t="s">
        <v>165</v>
      </c>
      <c r="I1228" s="2" t="s">
        <v>166</v>
      </c>
      <c r="J1228" s="2" t="s">
        <v>167</v>
      </c>
      <c r="M1228" s="15"/>
      <c r="N1228">
        <v>6.9258811930000004</v>
      </c>
      <c r="O1228" s="15">
        <f t="shared" si="38"/>
        <v>0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1" t="str">
        <f>"owner=" &amp; Tokens!BS1228 &amp; "&amp;filename_for_metadata=" &amp; Tokens!BT1228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8" s="1" t="str">
        <f>formatRow(Tokens!C$2:I$2,Tokens!C1228:I1228)</f>
        <v>"name":"",_x000D_
"symbol":"",_x000D_
"description":"",_x000D_
"seller_fee_basis_points":"",_x000D_
"image":"",_x000D_
"Issuer":"",_x000D_
"external_url":""</v>
      </c>
      <c r="W1228" s="1" t="str">
        <f>formatRow(Tokens!J$2:AV$2,Tokens!J1228:AV1228,2,"attributes")</f>
        <v>"attributes":[]</v>
      </c>
      <c r="X1228" s="1" t="str">
        <f>formatRow(Tokens!AX$2:BC$2,Tokens!AX1228:BC1228,2,"creators")</f>
        <v>"creators":[]</v>
      </c>
      <c r="Y1228" s="1" t="str">
        <f>formatRow(Tokens!BD$2:BI$2,Tokens!BD1228:BI1228,2,"files")</f>
        <v>"files":[]</v>
      </c>
      <c r="Z1228" s="1"/>
      <c r="AA1228" s="1"/>
      <c r="AB1228" s="1"/>
      <c r="AC1228" s="1" t="str">
        <f>formatRow(Tokens!BJ$2:BK$2,Tokens!BJ1228:BK1228,0,"collection")</f>
        <v>"collection":{"name":"",_x000D_
"family":""}</v>
      </c>
    </row>
    <row r="1229" spans="5:29" ht="14.25" customHeight="1" x14ac:dyDescent="0.25">
      <c r="E1229" s="17" t="str">
        <f>IF(Tokens!C1229="","",Tokens!C1229)</f>
        <v/>
      </c>
      <c r="F1229" s="56"/>
      <c r="G1229" t="s">
        <v>164</v>
      </c>
      <c r="H1229" s="57" t="s">
        <v>165</v>
      </c>
      <c r="I1229" s="2" t="s">
        <v>166</v>
      </c>
      <c r="J1229" s="2" t="s">
        <v>167</v>
      </c>
      <c r="M1229" s="15"/>
      <c r="N1229">
        <v>6.9258811930000004</v>
      </c>
      <c r="O1229" s="15">
        <f t="shared" si="38"/>
        <v>0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1" t="str">
        <f>"owner=" &amp; Tokens!BS1229 &amp; "&amp;filename_for_metadata=" &amp; Tokens!BT1229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2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29" s="1" t="str">
        <f>formatRow(Tokens!C$2:I$2,Tokens!C1229:I1229)</f>
        <v>"name":"",_x000D_
"symbol":"",_x000D_
"description":"",_x000D_
"seller_fee_basis_points":"",_x000D_
"image":"",_x000D_
"Issuer":"",_x000D_
"external_url":""</v>
      </c>
      <c r="W1229" s="1" t="str">
        <f>formatRow(Tokens!J$2:AV$2,Tokens!J1229:AV1229,2,"attributes")</f>
        <v>"attributes":[]</v>
      </c>
      <c r="X1229" s="1" t="str">
        <f>formatRow(Tokens!AX$2:BC$2,Tokens!AX1229:BC1229,2,"creators")</f>
        <v>"creators":[]</v>
      </c>
      <c r="Y1229" s="1" t="str">
        <f>formatRow(Tokens!BD$2:BI$2,Tokens!BD1229:BI1229,2,"files")</f>
        <v>"files":[]</v>
      </c>
      <c r="Z1229" s="1"/>
      <c r="AA1229" s="1"/>
      <c r="AB1229" s="1"/>
      <c r="AC1229" s="1" t="str">
        <f>formatRow(Tokens!BJ$2:BK$2,Tokens!BJ1229:BK1229,0,"collection")</f>
        <v>"collection":{"name":"",_x000D_
"family":""}</v>
      </c>
    </row>
    <row r="1230" spans="5:29" ht="14.25" customHeight="1" x14ac:dyDescent="0.25">
      <c r="E1230" s="17" t="str">
        <f>IF(Tokens!C1230="","",Tokens!C1230)</f>
        <v/>
      </c>
      <c r="F1230" s="56"/>
      <c r="G1230" t="s">
        <v>164</v>
      </c>
      <c r="H1230" s="57" t="s">
        <v>165</v>
      </c>
      <c r="I1230" s="2" t="s">
        <v>166</v>
      </c>
      <c r="J1230" s="2" t="s">
        <v>167</v>
      </c>
      <c r="M1230" s="15"/>
      <c r="N1230">
        <v>6.9258811930000004</v>
      </c>
      <c r="O1230" s="15">
        <f t="shared" si="38"/>
        <v>0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1" t="str">
        <f>"owner=" &amp; Tokens!BS1230 &amp; "&amp;filename_for_metadata=" &amp; Tokens!BT1230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0" s="1" t="str">
        <f>formatRow(Tokens!C$2:I$2,Tokens!C1230:I1230)</f>
        <v>"name":"",_x000D_
"symbol":"",_x000D_
"description":"",_x000D_
"seller_fee_basis_points":"",_x000D_
"image":"",_x000D_
"Issuer":"",_x000D_
"external_url":""</v>
      </c>
      <c r="W1230" s="1" t="str">
        <f>formatRow(Tokens!J$2:AV$2,Tokens!J1230:AV1230,2,"attributes")</f>
        <v>"attributes":[]</v>
      </c>
      <c r="X1230" s="1" t="str">
        <f>formatRow(Tokens!AX$2:BC$2,Tokens!AX1230:BC1230,2,"creators")</f>
        <v>"creators":[]</v>
      </c>
      <c r="Y1230" s="1" t="str">
        <f>formatRow(Tokens!BD$2:BI$2,Tokens!BD1230:BI1230,2,"files")</f>
        <v>"files":[]</v>
      </c>
      <c r="Z1230" s="1"/>
      <c r="AA1230" s="1"/>
      <c r="AB1230" s="1"/>
      <c r="AC1230" s="1" t="str">
        <f>formatRow(Tokens!BJ$2:BK$2,Tokens!BJ1230:BK1230,0,"collection")</f>
        <v>"collection":{"name":"",_x000D_
"family":""}</v>
      </c>
    </row>
    <row r="1231" spans="5:29" ht="14.25" customHeight="1" x14ac:dyDescent="0.25">
      <c r="E1231" s="17" t="str">
        <f>IF(Tokens!C1231="","",Tokens!C1231)</f>
        <v/>
      </c>
      <c r="F1231" s="56"/>
      <c r="G1231" t="s">
        <v>164</v>
      </c>
      <c r="H1231" s="57" t="s">
        <v>165</v>
      </c>
      <c r="I1231" s="2" t="s">
        <v>166</v>
      </c>
      <c r="J1231" s="2" t="s">
        <v>167</v>
      </c>
      <c r="M1231" s="15"/>
      <c r="N1231">
        <v>6.9258811930000004</v>
      </c>
      <c r="O1231" s="15">
        <f t="shared" si="38"/>
        <v>0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1" t="str">
        <f>"owner=" &amp; Tokens!BS1231 &amp; "&amp;filename_for_metadata=" &amp; Tokens!BT1231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1" s="1" t="str">
        <f>formatRow(Tokens!C$2:I$2,Tokens!C1231:I1231)</f>
        <v>"name":"",_x000D_
"symbol":"",_x000D_
"description":"",_x000D_
"seller_fee_basis_points":"",_x000D_
"image":"",_x000D_
"Issuer":"",_x000D_
"external_url":""</v>
      </c>
      <c r="W1231" s="1" t="str">
        <f>formatRow(Tokens!J$2:AV$2,Tokens!J1231:AV1231,2,"attributes")</f>
        <v>"attributes":[]</v>
      </c>
      <c r="X1231" s="1" t="str">
        <f>formatRow(Tokens!AX$2:BC$2,Tokens!AX1231:BC1231,2,"creators")</f>
        <v>"creators":[]</v>
      </c>
      <c r="Y1231" s="1" t="str">
        <f>formatRow(Tokens!BD$2:BI$2,Tokens!BD1231:BI1231,2,"files")</f>
        <v>"files":[]</v>
      </c>
      <c r="Z1231" s="1"/>
      <c r="AA1231" s="1"/>
      <c r="AB1231" s="1"/>
      <c r="AC1231" s="1" t="str">
        <f>formatRow(Tokens!BJ$2:BK$2,Tokens!BJ1231:BK1231,0,"collection")</f>
        <v>"collection":{"name":"",_x000D_
"family":""}</v>
      </c>
    </row>
    <row r="1232" spans="5:29" ht="14.25" customHeight="1" x14ac:dyDescent="0.25">
      <c r="E1232" s="17" t="str">
        <f>IF(Tokens!C1232="","",Tokens!C1232)</f>
        <v/>
      </c>
      <c r="F1232" s="56"/>
      <c r="G1232" t="s">
        <v>164</v>
      </c>
      <c r="H1232" s="57" t="s">
        <v>165</v>
      </c>
      <c r="I1232" s="2" t="s">
        <v>166</v>
      </c>
      <c r="J1232" s="2" t="s">
        <v>167</v>
      </c>
      <c r="M1232" s="15"/>
      <c r="N1232">
        <v>6.9258811930000004</v>
      </c>
      <c r="O1232" s="15">
        <f t="shared" si="38"/>
        <v>0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1" t="str">
        <f>"owner=" &amp; Tokens!BS1232 &amp; "&amp;filename_for_metadata=" &amp; Tokens!BT1232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2" s="1" t="str">
        <f>formatRow(Tokens!C$2:I$2,Tokens!C1232:I1232)</f>
        <v>"name":"",_x000D_
"symbol":"",_x000D_
"description":"",_x000D_
"seller_fee_basis_points":"",_x000D_
"image":"",_x000D_
"Issuer":"",_x000D_
"external_url":""</v>
      </c>
      <c r="W1232" s="1" t="str">
        <f>formatRow(Tokens!J$2:AV$2,Tokens!J1232:AV1232,2,"attributes")</f>
        <v>"attributes":[]</v>
      </c>
      <c r="X1232" s="1" t="str">
        <f>formatRow(Tokens!AX$2:BC$2,Tokens!AX1232:BC1232,2,"creators")</f>
        <v>"creators":[]</v>
      </c>
      <c r="Y1232" s="1" t="str">
        <f>formatRow(Tokens!BD$2:BI$2,Tokens!BD1232:BI1232,2,"files")</f>
        <v>"files":[]</v>
      </c>
      <c r="Z1232" s="1"/>
      <c r="AA1232" s="1"/>
      <c r="AB1232" s="1"/>
      <c r="AC1232" s="1" t="str">
        <f>formatRow(Tokens!BJ$2:BK$2,Tokens!BJ1232:BK1232,0,"collection")</f>
        <v>"collection":{"name":"",_x000D_
"family":""}</v>
      </c>
    </row>
    <row r="1233" spans="5:29" ht="14.25" customHeight="1" x14ac:dyDescent="0.25">
      <c r="E1233" s="17" t="str">
        <f>IF(Tokens!C1233="","",Tokens!C1233)</f>
        <v/>
      </c>
      <c r="F1233" s="56"/>
      <c r="G1233" t="s">
        <v>164</v>
      </c>
      <c r="H1233" s="57" t="s">
        <v>165</v>
      </c>
      <c r="I1233" s="2" t="s">
        <v>166</v>
      </c>
      <c r="J1233" s="2" t="s">
        <v>167</v>
      </c>
      <c r="M1233" s="15"/>
      <c r="N1233">
        <v>6.9258811930000004</v>
      </c>
      <c r="O1233" s="15">
        <f t="shared" si="38"/>
        <v>0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1" t="str">
        <f>"owner=" &amp; Tokens!BS1233 &amp; "&amp;filename_for_metadata=" &amp; Tokens!BT1233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3" s="1" t="str">
        <f>formatRow(Tokens!C$2:I$2,Tokens!C1233:I1233)</f>
        <v>"name":"",_x000D_
"symbol":"",_x000D_
"description":"",_x000D_
"seller_fee_basis_points":"",_x000D_
"image":"",_x000D_
"Issuer":"",_x000D_
"external_url":""</v>
      </c>
      <c r="W1233" s="1" t="str">
        <f>formatRow(Tokens!J$2:AV$2,Tokens!J1233:AV1233,2,"attributes")</f>
        <v>"attributes":[]</v>
      </c>
      <c r="X1233" s="1" t="str">
        <f>formatRow(Tokens!AX$2:BC$2,Tokens!AX1233:BC1233,2,"creators")</f>
        <v>"creators":[]</v>
      </c>
      <c r="Y1233" s="1" t="str">
        <f>formatRow(Tokens!BD$2:BI$2,Tokens!BD1233:BI1233,2,"files")</f>
        <v>"files":[]</v>
      </c>
      <c r="Z1233" s="1"/>
      <c r="AA1233" s="1"/>
      <c r="AB1233" s="1"/>
      <c r="AC1233" s="1" t="str">
        <f>formatRow(Tokens!BJ$2:BK$2,Tokens!BJ1233:BK1233,0,"collection")</f>
        <v>"collection":{"name":"",_x000D_
"family":""}</v>
      </c>
    </row>
    <row r="1234" spans="5:29" ht="14.25" customHeight="1" x14ac:dyDescent="0.25">
      <c r="E1234" s="17" t="str">
        <f>IF(Tokens!C1234="","",Tokens!C1234)</f>
        <v/>
      </c>
      <c r="F1234" s="56"/>
      <c r="G1234" t="s">
        <v>164</v>
      </c>
      <c r="H1234" s="57" t="s">
        <v>165</v>
      </c>
      <c r="I1234" s="2" t="s">
        <v>166</v>
      </c>
      <c r="J1234" s="2" t="s">
        <v>167</v>
      </c>
      <c r="M1234" s="15"/>
      <c r="N1234">
        <v>6.9258811930000004</v>
      </c>
      <c r="O1234" s="15">
        <f t="shared" si="38"/>
        <v>0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1" t="str">
        <f>"owner=" &amp; Tokens!BS1234 &amp; "&amp;filename_for_metadata=" &amp; Tokens!BT1234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4" s="1" t="str">
        <f>formatRow(Tokens!C$2:I$2,Tokens!C1234:I1234)</f>
        <v>"name":"",_x000D_
"symbol":"",_x000D_
"description":"",_x000D_
"seller_fee_basis_points":"",_x000D_
"image":"",_x000D_
"Issuer":"",_x000D_
"external_url":""</v>
      </c>
      <c r="W1234" s="1" t="str">
        <f>formatRow(Tokens!J$2:AV$2,Tokens!J1234:AV1234,2,"attributes")</f>
        <v>"attributes":[]</v>
      </c>
      <c r="X1234" s="1" t="str">
        <f>formatRow(Tokens!AX$2:BC$2,Tokens!AX1234:BC1234,2,"creators")</f>
        <v>"creators":[]</v>
      </c>
      <c r="Y1234" s="1" t="str">
        <f>formatRow(Tokens!BD$2:BI$2,Tokens!BD1234:BI1234,2,"files")</f>
        <v>"files":[]</v>
      </c>
      <c r="Z1234" s="1"/>
      <c r="AA1234" s="1"/>
      <c r="AB1234" s="1"/>
      <c r="AC1234" s="1" t="str">
        <f>formatRow(Tokens!BJ$2:BK$2,Tokens!BJ1234:BK1234,0,"collection")</f>
        <v>"collection":{"name":"",_x000D_
"family":""}</v>
      </c>
    </row>
    <row r="1235" spans="5:29" ht="14.25" customHeight="1" x14ac:dyDescent="0.25">
      <c r="E1235" s="17" t="str">
        <f>IF(Tokens!C1235="","",Tokens!C1235)</f>
        <v/>
      </c>
      <c r="F1235" s="56"/>
      <c r="G1235" t="s">
        <v>164</v>
      </c>
      <c r="H1235" s="57" t="s">
        <v>165</v>
      </c>
      <c r="I1235" s="2" t="s">
        <v>166</v>
      </c>
      <c r="J1235" s="2" t="s">
        <v>167</v>
      </c>
      <c r="M1235" s="15"/>
      <c r="N1235">
        <v>6.9258811930000004</v>
      </c>
      <c r="O1235" s="15">
        <f t="shared" si="38"/>
        <v>0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1" t="str">
        <f>"owner=" &amp; Tokens!BS1235 &amp; "&amp;filename_for_metadata=" &amp; Tokens!BT1235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5" s="1" t="str">
        <f>formatRow(Tokens!C$2:I$2,Tokens!C1235:I1235)</f>
        <v>"name":"",_x000D_
"symbol":"",_x000D_
"description":"",_x000D_
"seller_fee_basis_points":"",_x000D_
"image":"",_x000D_
"Issuer":"",_x000D_
"external_url":""</v>
      </c>
      <c r="W1235" s="1" t="str">
        <f>formatRow(Tokens!J$2:AV$2,Tokens!J1235:AV1235,2,"attributes")</f>
        <v>"attributes":[]</v>
      </c>
      <c r="X1235" s="1" t="str">
        <f>formatRow(Tokens!AX$2:BC$2,Tokens!AX1235:BC1235,2,"creators")</f>
        <v>"creators":[]</v>
      </c>
      <c r="Y1235" s="1" t="str">
        <f>formatRow(Tokens!BD$2:BI$2,Tokens!BD1235:BI1235,2,"files")</f>
        <v>"files":[]</v>
      </c>
      <c r="Z1235" s="1"/>
      <c r="AA1235" s="1"/>
      <c r="AB1235" s="1"/>
      <c r="AC1235" s="1" t="str">
        <f>formatRow(Tokens!BJ$2:BK$2,Tokens!BJ1235:BK1235,0,"collection")</f>
        <v>"collection":{"name":"",_x000D_
"family":""}</v>
      </c>
    </row>
    <row r="1236" spans="5:29" ht="14.25" customHeight="1" x14ac:dyDescent="0.25">
      <c r="E1236" s="17" t="str">
        <f>IF(Tokens!C1236="","",Tokens!C1236)</f>
        <v/>
      </c>
      <c r="F1236" s="56"/>
      <c r="G1236" t="s">
        <v>164</v>
      </c>
      <c r="H1236" s="57" t="s">
        <v>165</v>
      </c>
      <c r="I1236" s="2" t="s">
        <v>166</v>
      </c>
      <c r="J1236" s="2" t="s">
        <v>167</v>
      </c>
      <c r="M1236" s="15"/>
      <c r="N1236">
        <v>6.9258811930000004</v>
      </c>
      <c r="O1236" s="15">
        <f t="shared" si="38"/>
        <v>0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1" t="str">
        <f>"owner=" &amp; Tokens!BS1236 &amp; "&amp;filename_for_metadata=" &amp; Tokens!BT1236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6" s="1" t="str">
        <f>formatRow(Tokens!C$2:I$2,Tokens!C1236:I1236)</f>
        <v>"name":"",_x000D_
"symbol":"",_x000D_
"description":"",_x000D_
"seller_fee_basis_points":"",_x000D_
"image":"",_x000D_
"Issuer":"",_x000D_
"external_url":""</v>
      </c>
      <c r="W1236" s="1" t="str">
        <f>formatRow(Tokens!J$2:AV$2,Tokens!J1236:AV1236,2,"attributes")</f>
        <v>"attributes":[]</v>
      </c>
      <c r="X1236" s="1" t="str">
        <f>formatRow(Tokens!AX$2:BC$2,Tokens!AX1236:BC1236,2,"creators")</f>
        <v>"creators":[]</v>
      </c>
      <c r="Y1236" s="1" t="str">
        <f>formatRow(Tokens!BD$2:BI$2,Tokens!BD1236:BI1236,2,"files")</f>
        <v>"files":[]</v>
      </c>
      <c r="Z1236" s="1"/>
      <c r="AA1236" s="1"/>
      <c r="AB1236" s="1"/>
      <c r="AC1236" s="1" t="str">
        <f>formatRow(Tokens!BJ$2:BK$2,Tokens!BJ1236:BK1236,0,"collection")</f>
        <v>"collection":{"name":"",_x000D_
"family":""}</v>
      </c>
    </row>
    <row r="1237" spans="5:29" ht="14.25" customHeight="1" x14ac:dyDescent="0.25">
      <c r="E1237" s="17" t="str">
        <f>IF(Tokens!C1237="","",Tokens!C1237)</f>
        <v/>
      </c>
      <c r="F1237" s="56"/>
      <c r="G1237" t="s">
        <v>164</v>
      </c>
      <c r="H1237" s="57" t="s">
        <v>165</v>
      </c>
      <c r="I1237" s="2" t="s">
        <v>166</v>
      </c>
      <c r="J1237" s="2" t="s">
        <v>167</v>
      </c>
      <c r="M1237" s="15"/>
      <c r="N1237">
        <v>6.9258811930000004</v>
      </c>
      <c r="O1237" s="15">
        <f t="shared" si="38"/>
        <v>0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1" t="str">
        <f>"owner=" &amp; Tokens!BS1237 &amp; "&amp;filename_for_metadata=" &amp; Tokens!BT1237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7" s="1" t="str">
        <f>formatRow(Tokens!C$2:I$2,Tokens!C1237:I1237)</f>
        <v>"name":"",_x000D_
"symbol":"",_x000D_
"description":"",_x000D_
"seller_fee_basis_points":"",_x000D_
"image":"",_x000D_
"Issuer":"",_x000D_
"external_url":""</v>
      </c>
      <c r="W1237" s="1" t="str">
        <f>formatRow(Tokens!J$2:AV$2,Tokens!J1237:AV1237,2,"attributes")</f>
        <v>"attributes":[]</v>
      </c>
      <c r="X1237" s="1" t="str">
        <f>formatRow(Tokens!AX$2:BC$2,Tokens!AX1237:BC1237,2,"creators")</f>
        <v>"creators":[]</v>
      </c>
      <c r="Y1237" s="1" t="str">
        <f>formatRow(Tokens!BD$2:BI$2,Tokens!BD1237:BI1237,2,"files")</f>
        <v>"files":[]</v>
      </c>
      <c r="Z1237" s="1"/>
      <c r="AA1237" s="1"/>
      <c r="AB1237" s="1"/>
      <c r="AC1237" s="1" t="str">
        <f>formatRow(Tokens!BJ$2:BK$2,Tokens!BJ1237:BK1237,0,"collection")</f>
        <v>"collection":{"name":"",_x000D_
"family":""}</v>
      </c>
    </row>
    <row r="1238" spans="5:29" ht="14.25" customHeight="1" x14ac:dyDescent="0.25">
      <c r="E1238" s="17" t="str">
        <f>IF(Tokens!C1238="","",Tokens!C1238)</f>
        <v/>
      </c>
      <c r="F1238" s="56"/>
      <c r="G1238" t="s">
        <v>164</v>
      </c>
      <c r="H1238" s="57" t="s">
        <v>165</v>
      </c>
      <c r="I1238" s="2" t="s">
        <v>166</v>
      </c>
      <c r="J1238" s="2" t="s">
        <v>167</v>
      </c>
      <c r="M1238" s="15"/>
      <c r="N1238">
        <v>6.9258811930000004</v>
      </c>
      <c r="O1238" s="15">
        <f t="shared" si="38"/>
        <v>0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1" t="str">
        <f>"owner=" &amp; Tokens!BS1238 &amp; "&amp;filename_for_metadata=" &amp; Tokens!BT1238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8" s="1" t="str">
        <f>formatRow(Tokens!C$2:I$2,Tokens!C1238:I1238)</f>
        <v>"name":"",_x000D_
"symbol":"",_x000D_
"description":"",_x000D_
"seller_fee_basis_points":"",_x000D_
"image":"",_x000D_
"Issuer":"",_x000D_
"external_url":""</v>
      </c>
      <c r="W1238" s="1" t="str">
        <f>formatRow(Tokens!J$2:AV$2,Tokens!J1238:AV1238,2,"attributes")</f>
        <v>"attributes":[]</v>
      </c>
      <c r="X1238" s="1" t="str">
        <f>formatRow(Tokens!AX$2:BC$2,Tokens!AX1238:BC1238,2,"creators")</f>
        <v>"creators":[]</v>
      </c>
      <c r="Y1238" s="1" t="str">
        <f>formatRow(Tokens!BD$2:BI$2,Tokens!BD1238:BI1238,2,"files")</f>
        <v>"files":[]</v>
      </c>
      <c r="Z1238" s="1"/>
      <c r="AA1238" s="1"/>
      <c r="AB1238" s="1"/>
      <c r="AC1238" s="1" t="str">
        <f>formatRow(Tokens!BJ$2:BK$2,Tokens!BJ1238:BK1238,0,"collection")</f>
        <v>"collection":{"name":"",_x000D_
"family":""}</v>
      </c>
    </row>
    <row r="1239" spans="5:29" ht="14.25" customHeight="1" x14ac:dyDescent="0.25">
      <c r="E1239" s="17" t="str">
        <f>IF(Tokens!C1239="","",Tokens!C1239)</f>
        <v/>
      </c>
      <c r="F1239" s="56"/>
      <c r="G1239" t="s">
        <v>164</v>
      </c>
      <c r="H1239" s="57" t="s">
        <v>165</v>
      </c>
      <c r="I1239" s="2" t="s">
        <v>166</v>
      </c>
      <c r="J1239" s="2" t="s">
        <v>167</v>
      </c>
      <c r="M1239" s="15"/>
      <c r="N1239">
        <v>6.9258811930000004</v>
      </c>
      <c r="O1239" s="15">
        <f t="shared" si="38"/>
        <v>0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1" t="str">
        <f>"owner=" &amp; Tokens!BS1239 &amp; "&amp;filename_for_metadata=" &amp; Tokens!BT1239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3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39" s="1" t="str">
        <f>formatRow(Tokens!C$2:I$2,Tokens!C1239:I1239)</f>
        <v>"name":"",_x000D_
"symbol":"",_x000D_
"description":"",_x000D_
"seller_fee_basis_points":"",_x000D_
"image":"",_x000D_
"Issuer":"",_x000D_
"external_url":""</v>
      </c>
      <c r="W1239" s="1" t="str">
        <f>formatRow(Tokens!J$2:AV$2,Tokens!J1239:AV1239,2,"attributes")</f>
        <v>"attributes":[]</v>
      </c>
      <c r="X1239" s="1" t="str">
        <f>formatRow(Tokens!AX$2:BC$2,Tokens!AX1239:BC1239,2,"creators")</f>
        <v>"creators":[]</v>
      </c>
      <c r="Y1239" s="1" t="str">
        <f>formatRow(Tokens!BD$2:BI$2,Tokens!BD1239:BI1239,2,"files")</f>
        <v>"files":[]</v>
      </c>
      <c r="Z1239" s="1"/>
      <c r="AA1239" s="1"/>
      <c r="AB1239" s="1"/>
      <c r="AC1239" s="1" t="str">
        <f>formatRow(Tokens!BJ$2:BK$2,Tokens!BJ1239:BK1239,0,"collection")</f>
        <v>"collection":{"name":"",_x000D_
"family":""}</v>
      </c>
    </row>
    <row r="1240" spans="5:29" ht="14.25" customHeight="1" x14ac:dyDescent="0.25">
      <c r="E1240" s="17" t="str">
        <f>IF(Tokens!C1240="","",Tokens!C1240)</f>
        <v/>
      </c>
      <c r="F1240" s="56"/>
      <c r="G1240" t="s">
        <v>164</v>
      </c>
      <c r="H1240" s="57" t="s">
        <v>165</v>
      </c>
      <c r="I1240" s="2" t="s">
        <v>166</v>
      </c>
      <c r="J1240" s="2" t="s">
        <v>167</v>
      </c>
      <c r="M1240" s="15"/>
      <c r="N1240">
        <v>6.9258811930000004</v>
      </c>
      <c r="O1240" s="15">
        <f t="shared" si="38"/>
        <v>0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1" t="str">
        <f>"owner=" &amp; Tokens!BS1240 &amp; "&amp;filename_for_metadata=" &amp; Tokens!BT1240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0" s="1" t="str">
        <f>formatRow(Tokens!C$2:I$2,Tokens!C1240:I1240)</f>
        <v>"name":"",_x000D_
"symbol":"",_x000D_
"description":"",_x000D_
"seller_fee_basis_points":"",_x000D_
"image":"",_x000D_
"Issuer":"",_x000D_
"external_url":""</v>
      </c>
      <c r="W1240" s="1" t="str">
        <f>formatRow(Tokens!J$2:AV$2,Tokens!J1240:AV1240,2,"attributes")</f>
        <v>"attributes":[]</v>
      </c>
      <c r="X1240" s="1" t="str">
        <f>formatRow(Tokens!AX$2:BC$2,Tokens!AX1240:BC1240,2,"creators")</f>
        <v>"creators":[]</v>
      </c>
      <c r="Y1240" s="1" t="str">
        <f>formatRow(Tokens!BD$2:BI$2,Tokens!BD1240:BI1240,2,"files")</f>
        <v>"files":[]</v>
      </c>
      <c r="Z1240" s="1"/>
      <c r="AA1240" s="1"/>
      <c r="AB1240" s="1"/>
      <c r="AC1240" s="1" t="str">
        <f>formatRow(Tokens!BJ$2:BK$2,Tokens!BJ1240:BK1240,0,"collection")</f>
        <v>"collection":{"name":"",_x000D_
"family":""}</v>
      </c>
    </row>
    <row r="1241" spans="5:29" ht="14.25" customHeight="1" x14ac:dyDescent="0.25">
      <c r="E1241" s="17" t="str">
        <f>IF(Tokens!C1241="","",Tokens!C1241)</f>
        <v/>
      </c>
      <c r="F1241" s="56"/>
      <c r="G1241" t="s">
        <v>164</v>
      </c>
      <c r="H1241" s="57" t="s">
        <v>165</v>
      </c>
      <c r="I1241" s="2" t="s">
        <v>166</v>
      </c>
      <c r="J1241" s="2" t="s">
        <v>167</v>
      </c>
      <c r="M1241" s="15"/>
      <c r="N1241">
        <v>6.9258811930000004</v>
      </c>
      <c r="O1241" s="15">
        <f t="shared" si="38"/>
        <v>0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1" t="str">
        <f>"owner=" &amp; Tokens!BS1241 &amp; "&amp;filename_for_metadata=" &amp; Tokens!BT1241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1" s="1" t="str">
        <f>formatRow(Tokens!C$2:I$2,Tokens!C1241:I1241)</f>
        <v>"name":"",_x000D_
"symbol":"",_x000D_
"description":"",_x000D_
"seller_fee_basis_points":"",_x000D_
"image":"",_x000D_
"Issuer":"",_x000D_
"external_url":""</v>
      </c>
      <c r="W1241" s="1" t="str">
        <f>formatRow(Tokens!J$2:AV$2,Tokens!J1241:AV1241,2,"attributes")</f>
        <v>"attributes":[]</v>
      </c>
      <c r="X1241" s="1" t="str">
        <f>formatRow(Tokens!AX$2:BC$2,Tokens!AX1241:BC1241,2,"creators")</f>
        <v>"creators":[]</v>
      </c>
      <c r="Y1241" s="1" t="str">
        <f>formatRow(Tokens!BD$2:BI$2,Tokens!BD1241:BI1241,2,"files")</f>
        <v>"files":[]</v>
      </c>
      <c r="Z1241" s="1"/>
      <c r="AA1241" s="1"/>
      <c r="AB1241" s="1"/>
      <c r="AC1241" s="1" t="str">
        <f>formatRow(Tokens!BJ$2:BK$2,Tokens!BJ1241:BK1241,0,"collection")</f>
        <v>"collection":{"name":"",_x000D_
"family":""}</v>
      </c>
    </row>
    <row r="1242" spans="5:29" ht="14.25" customHeight="1" x14ac:dyDescent="0.25">
      <c r="E1242" s="17" t="str">
        <f>IF(Tokens!C1242="","",Tokens!C1242)</f>
        <v/>
      </c>
      <c r="F1242" s="56"/>
      <c r="G1242" t="s">
        <v>164</v>
      </c>
      <c r="H1242" s="57" t="s">
        <v>165</v>
      </c>
      <c r="I1242" s="2" t="s">
        <v>166</v>
      </c>
      <c r="J1242" s="2" t="s">
        <v>167</v>
      </c>
      <c r="M1242" s="15"/>
      <c r="N1242">
        <v>6.9258811930000004</v>
      </c>
      <c r="O1242" s="15">
        <f t="shared" si="38"/>
        <v>0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1" t="str">
        <f>"owner=" &amp; Tokens!BS1242 &amp; "&amp;filename_for_metadata=" &amp; Tokens!BT1242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2" s="1" t="str">
        <f>formatRow(Tokens!C$2:I$2,Tokens!C1242:I1242)</f>
        <v>"name":"",_x000D_
"symbol":"",_x000D_
"description":"",_x000D_
"seller_fee_basis_points":"",_x000D_
"image":"",_x000D_
"Issuer":"",_x000D_
"external_url":""</v>
      </c>
      <c r="W1242" s="1" t="str">
        <f>formatRow(Tokens!J$2:AV$2,Tokens!J1242:AV1242,2,"attributes")</f>
        <v>"attributes":[]</v>
      </c>
      <c r="X1242" s="1" t="str">
        <f>formatRow(Tokens!AX$2:BC$2,Tokens!AX1242:BC1242,2,"creators")</f>
        <v>"creators":[]</v>
      </c>
      <c r="Y1242" s="1" t="str">
        <f>formatRow(Tokens!BD$2:BI$2,Tokens!BD1242:BI1242,2,"files")</f>
        <v>"files":[]</v>
      </c>
      <c r="Z1242" s="1"/>
      <c r="AA1242" s="1"/>
      <c r="AB1242" s="1"/>
      <c r="AC1242" s="1" t="str">
        <f>formatRow(Tokens!BJ$2:BK$2,Tokens!BJ1242:BK1242,0,"collection")</f>
        <v>"collection":{"name":"",_x000D_
"family":""}</v>
      </c>
    </row>
    <row r="1243" spans="5:29" ht="14.25" customHeight="1" x14ac:dyDescent="0.25">
      <c r="E1243" s="17" t="str">
        <f>IF(Tokens!C1243="","",Tokens!C1243)</f>
        <v/>
      </c>
      <c r="F1243" s="56"/>
      <c r="G1243" t="s">
        <v>164</v>
      </c>
      <c r="H1243" s="57" t="s">
        <v>165</v>
      </c>
      <c r="I1243" s="2" t="s">
        <v>166</v>
      </c>
      <c r="J1243" s="2" t="s">
        <v>167</v>
      </c>
      <c r="M1243" s="15"/>
      <c r="N1243">
        <v>6.9258811930000004</v>
      </c>
      <c r="O1243" s="15">
        <f t="shared" si="38"/>
        <v>0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1" t="str">
        <f>"owner=" &amp; Tokens!BS1243 &amp; "&amp;filename_for_metadata=" &amp; Tokens!BT1243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3" s="1" t="str">
        <f>formatRow(Tokens!C$2:I$2,Tokens!C1243:I1243)</f>
        <v>"name":"",_x000D_
"symbol":"",_x000D_
"description":"",_x000D_
"seller_fee_basis_points":"",_x000D_
"image":"",_x000D_
"Issuer":"",_x000D_
"external_url":""</v>
      </c>
      <c r="W1243" s="1" t="str">
        <f>formatRow(Tokens!J$2:AV$2,Tokens!J1243:AV1243,2,"attributes")</f>
        <v>"attributes":[]</v>
      </c>
      <c r="X1243" s="1" t="str">
        <f>formatRow(Tokens!AX$2:BC$2,Tokens!AX1243:BC1243,2,"creators")</f>
        <v>"creators":[]</v>
      </c>
      <c r="Y1243" s="1" t="str">
        <f>formatRow(Tokens!BD$2:BI$2,Tokens!BD1243:BI1243,2,"files")</f>
        <v>"files":[]</v>
      </c>
      <c r="Z1243" s="1"/>
      <c r="AA1243" s="1"/>
      <c r="AB1243" s="1"/>
      <c r="AC1243" s="1" t="str">
        <f>formatRow(Tokens!BJ$2:BK$2,Tokens!BJ1243:BK1243,0,"collection")</f>
        <v>"collection":{"name":"",_x000D_
"family":""}</v>
      </c>
    </row>
    <row r="1244" spans="5:29" ht="14.25" customHeight="1" x14ac:dyDescent="0.25">
      <c r="E1244" s="17" t="str">
        <f>IF(Tokens!C1244="","",Tokens!C1244)</f>
        <v/>
      </c>
      <c r="F1244" s="56"/>
      <c r="G1244" t="s">
        <v>164</v>
      </c>
      <c r="H1244" s="57" t="s">
        <v>165</v>
      </c>
      <c r="I1244" s="2" t="s">
        <v>166</v>
      </c>
      <c r="J1244" s="2" t="s">
        <v>167</v>
      </c>
      <c r="M1244" s="15"/>
      <c r="N1244">
        <v>6.9258811930000004</v>
      </c>
      <c r="O1244" s="15">
        <f t="shared" si="38"/>
        <v>0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1" t="str">
        <f>"owner=" &amp; Tokens!BS1244 &amp; "&amp;filename_for_metadata=" &amp; Tokens!BT1244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4" s="1" t="str">
        <f>formatRow(Tokens!C$2:I$2,Tokens!C1244:I1244)</f>
        <v>"name":"",_x000D_
"symbol":"",_x000D_
"description":"",_x000D_
"seller_fee_basis_points":"",_x000D_
"image":"",_x000D_
"Issuer":"",_x000D_
"external_url":""</v>
      </c>
      <c r="W1244" s="1" t="str">
        <f>formatRow(Tokens!J$2:AV$2,Tokens!J1244:AV1244,2,"attributes")</f>
        <v>"attributes":[]</v>
      </c>
      <c r="X1244" s="1" t="str">
        <f>formatRow(Tokens!AX$2:BC$2,Tokens!AX1244:BC1244,2,"creators")</f>
        <v>"creators":[]</v>
      </c>
      <c r="Y1244" s="1" t="str">
        <f>formatRow(Tokens!BD$2:BI$2,Tokens!BD1244:BI1244,2,"files")</f>
        <v>"files":[]</v>
      </c>
      <c r="Z1244" s="1"/>
      <c r="AA1244" s="1"/>
      <c r="AB1244" s="1"/>
      <c r="AC1244" s="1" t="str">
        <f>formatRow(Tokens!BJ$2:BK$2,Tokens!BJ1244:BK1244,0,"collection")</f>
        <v>"collection":{"name":"",_x000D_
"family":""}</v>
      </c>
    </row>
    <row r="1245" spans="5:29" ht="14.25" customHeight="1" x14ac:dyDescent="0.25">
      <c r="E1245" s="17" t="str">
        <f>IF(Tokens!C1245="","",Tokens!C1245)</f>
        <v/>
      </c>
      <c r="F1245" s="56"/>
      <c r="G1245" t="s">
        <v>164</v>
      </c>
      <c r="H1245" s="57" t="s">
        <v>165</v>
      </c>
      <c r="I1245" s="2" t="s">
        <v>166</v>
      </c>
      <c r="J1245" s="2" t="s">
        <v>167</v>
      </c>
      <c r="M1245" s="15"/>
      <c r="N1245">
        <v>6.9258811930000004</v>
      </c>
      <c r="O1245" s="15">
        <f t="shared" si="38"/>
        <v>0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1" t="str">
        <f>"owner=" &amp; Tokens!BS1245 &amp; "&amp;filename_for_metadata=" &amp; Tokens!BT1245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5" s="1" t="str">
        <f>formatRow(Tokens!C$2:I$2,Tokens!C1245:I1245)</f>
        <v>"name":"",_x000D_
"symbol":"",_x000D_
"description":"",_x000D_
"seller_fee_basis_points":"",_x000D_
"image":"",_x000D_
"Issuer":"",_x000D_
"external_url":""</v>
      </c>
      <c r="W1245" s="1" t="str">
        <f>formatRow(Tokens!J$2:AV$2,Tokens!J1245:AV1245,2,"attributes")</f>
        <v>"attributes":[]</v>
      </c>
      <c r="X1245" s="1" t="str">
        <f>formatRow(Tokens!AX$2:BC$2,Tokens!AX1245:BC1245,2,"creators")</f>
        <v>"creators":[]</v>
      </c>
      <c r="Y1245" s="1" t="str">
        <f>formatRow(Tokens!BD$2:BI$2,Tokens!BD1245:BI1245,2,"files")</f>
        <v>"files":[]</v>
      </c>
      <c r="Z1245" s="1"/>
      <c r="AA1245" s="1"/>
      <c r="AB1245" s="1"/>
      <c r="AC1245" s="1" t="str">
        <f>formatRow(Tokens!BJ$2:BK$2,Tokens!BJ1245:BK1245,0,"collection")</f>
        <v>"collection":{"name":"",_x000D_
"family":""}</v>
      </c>
    </row>
    <row r="1246" spans="5:29" ht="14.25" customHeight="1" x14ac:dyDescent="0.25">
      <c r="E1246" s="17" t="str">
        <f>IF(Tokens!C1246="","",Tokens!C1246)</f>
        <v/>
      </c>
      <c r="F1246" s="56"/>
      <c r="G1246" t="s">
        <v>164</v>
      </c>
      <c r="H1246" s="57" t="s">
        <v>165</v>
      </c>
      <c r="I1246" s="2" t="s">
        <v>166</v>
      </c>
      <c r="J1246" s="2" t="s">
        <v>167</v>
      </c>
      <c r="M1246" s="15"/>
      <c r="N1246">
        <v>6.9258811930000004</v>
      </c>
      <c r="O1246" s="15">
        <f t="shared" si="38"/>
        <v>0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1" t="str">
        <f>"owner=" &amp; Tokens!BS1246 &amp; "&amp;filename_for_metadata=" &amp; Tokens!BT1246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6" s="1" t="str">
        <f>formatRow(Tokens!C$2:I$2,Tokens!C1246:I1246)</f>
        <v>"name":"",_x000D_
"symbol":"",_x000D_
"description":"",_x000D_
"seller_fee_basis_points":"",_x000D_
"image":"",_x000D_
"Issuer":"",_x000D_
"external_url":""</v>
      </c>
      <c r="W1246" s="1" t="str">
        <f>formatRow(Tokens!J$2:AV$2,Tokens!J1246:AV1246,2,"attributes")</f>
        <v>"attributes":[]</v>
      </c>
      <c r="X1246" s="1" t="str">
        <f>formatRow(Tokens!AX$2:BC$2,Tokens!AX1246:BC1246,2,"creators")</f>
        <v>"creators":[]</v>
      </c>
      <c r="Y1246" s="1" t="str">
        <f>formatRow(Tokens!BD$2:BI$2,Tokens!BD1246:BI1246,2,"files")</f>
        <v>"files":[]</v>
      </c>
      <c r="Z1246" s="1"/>
      <c r="AA1246" s="1"/>
      <c r="AB1246" s="1"/>
      <c r="AC1246" s="1" t="str">
        <f>formatRow(Tokens!BJ$2:BK$2,Tokens!BJ1246:BK1246,0,"collection")</f>
        <v>"collection":{"name":"",_x000D_
"family":""}</v>
      </c>
    </row>
    <row r="1247" spans="5:29" ht="14.25" customHeight="1" x14ac:dyDescent="0.25">
      <c r="E1247" s="17" t="str">
        <f>IF(Tokens!C1247="","",Tokens!C1247)</f>
        <v/>
      </c>
      <c r="F1247" s="56"/>
      <c r="G1247" t="s">
        <v>164</v>
      </c>
      <c r="H1247" s="57" t="s">
        <v>165</v>
      </c>
      <c r="I1247" s="2" t="s">
        <v>166</v>
      </c>
      <c r="J1247" s="2" t="s">
        <v>167</v>
      </c>
      <c r="M1247" s="15"/>
      <c r="N1247">
        <v>6.9258811930000004</v>
      </c>
      <c r="O1247" s="15">
        <f t="shared" si="38"/>
        <v>0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1" t="str">
        <f>"owner=" &amp; Tokens!BS1247 &amp; "&amp;filename_for_metadata=" &amp; Tokens!BT1247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7" s="1" t="str">
        <f>formatRow(Tokens!C$2:I$2,Tokens!C1247:I1247)</f>
        <v>"name":"",_x000D_
"symbol":"",_x000D_
"description":"",_x000D_
"seller_fee_basis_points":"",_x000D_
"image":"",_x000D_
"Issuer":"",_x000D_
"external_url":""</v>
      </c>
      <c r="W1247" s="1" t="str">
        <f>formatRow(Tokens!J$2:AV$2,Tokens!J1247:AV1247,2,"attributes")</f>
        <v>"attributes":[]</v>
      </c>
      <c r="X1247" s="1" t="str">
        <f>formatRow(Tokens!AX$2:BC$2,Tokens!AX1247:BC1247,2,"creators")</f>
        <v>"creators":[]</v>
      </c>
      <c r="Y1247" s="1" t="str">
        <f>formatRow(Tokens!BD$2:BI$2,Tokens!BD1247:BI1247,2,"files")</f>
        <v>"files":[]</v>
      </c>
      <c r="Z1247" s="1"/>
      <c r="AA1247" s="1"/>
      <c r="AB1247" s="1"/>
      <c r="AC1247" s="1" t="str">
        <f>formatRow(Tokens!BJ$2:BK$2,Tokens!BJ1247:BK1247,0,"collection")</f>
        <v>"collection":{"name":"",_x000D_
"family":""}</v>
      </c>
    </row>
    <row r="1248" spans="5:29" ht="14.25" customHeight="1" x14ac:dyDescent="0.25">
      <c r="E1248" s="17" t="str">
        <f>IF(Tokens!C1248="","",Tokens!C1248)</f>
        <v/>
      </c>
      <c r="F1248" s="56"/>
      <c r="G1248" t="s">
        <v>164</v>
      </c>
      <c r="H1248" s="57" t="s">
        <v>165</v>
      </c>
      <c r="I1248" s="2" t="s">
        <v>166</v>
      </c>
      <c r="J1248" s="2" t="s">
        <v>167</v>
      </c>
      <c r="M1248" s="15"/>
      <c r="N1248">
        <v>6.9258811930000004</v>
      </c>
      <c r="O1248" s="15">
        <f t="shared" si="38"/>
        <v>0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1" t="str">
        <f>"owner=" &amp; Tokens!BS1248 &amp; "&amp;filename_for_metadata=" &amp; Tokens!BT1248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8" s="1" t="str">
        <f>formatRow(Tokens!C$2:I$2,Tokens!C1248:I1248)</f>
        <v>"name":"",_x000D_
"symbol":"",_x000D_
"description":"",_x000D_
"seller_fee_basis_points":"",_x000D_
"image":"",_x000D_
"Issuer":"",_x000D_
"external_url":""</v>
      </c>
      <c r="W1248" s="1" t="str">
        <f>formatRow(Tokens!J$2:AV$2,Tokens!J1248:AV1248,2,"attributes")</f>
        <v>"attributes":[]</v>
      </c>
      <c r="X1248" s="1" t="str">
        <f>formatRow(Tokens!AX$2:BC$2,Tokens!AX1248:BC1248,2,"creators")</f>
        <v>"creators":[]</v>
      </c>
      <c r="Y1248" s="1" t="str">
        <f>formatRow(Tokens!BD$2:BI$2,Tokens!BD1248:BI1248,2,"files")</f>
        <v>"files":[]</v>
      </c>
      <c r="Z1248" s="1"/>
      <c r="AA1248" s="1"/>
      <c r="AB1248" s="1"/>
      <c r="AC1248" s="1" t="str">
        <f>formatRow(Tokens!BJ$2:BK$2,Tokens!BJ1248:BK1248,0,"collection")</f>
        <v>"collection":{"name":"",_x000D_
"family":""}</v>
      </c>
    </row>
    <row r="1249" spans="5:29" ht="14.25" customHeight="1" x14ac:dyDescent="0.25">
      <c r="E1249" s="17" t="str">
        <f>IF(Tokens!C1249="","",Tokens!C1249)</f>
        <v/>
      </c>
      <c r="F1249" s="56"/>
      <c r="G1249" t="s">
        <v>164</v>
      </c>
      <c r="H1249" s="57" t="s">
        <v>165</v>
      </c>
      <c r="I1249" s="2" t="s">
        <v>166</v>
      </c>
      <c r="J1249" s="2" t="s">
        <v>167</v>
      </c>
      <c r="M1249" s="15"/>
      <c r="N1249">
        <v>6.9258811930000004</v>
      </c>
      <c r="O1249" s="15">
        <f t="shared" si="38"/>
        <v>0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1" t="str">
        <f>"owner=" &amp; Tokens!BS1249 &amp; "&amp;filename_for_metadata=" &amp; Tokens!BT1249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4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49" s="1" t="str">
        <f>formatRow(Tokens!C$2:I$2,Tokens!C1249:I1249)</f>
        <v>"name":"",_x000D_
"symbol":"",_x000D_
"description":"",_x000D_
"seller_fee_basis_points":"",_x000D_
"image":"",_x000D_
"Issuer":"",_x000D_
"external_url":""</v>
      </c>
      <c r="W1249" s="1" t="str">
        <f>formatRow(Tokens!J$2:AV$2,Tokens!J1249:AV1249,2,"attributes")</f>
        <v>"attributes":[]</v>
      </c>
      <c r="X1249" s="1" t="str">
        <f>formatRow(Tokens!AX$2:BC$2,Tokens!AX1249:BC1249,2,"creators")</f>
        <v>"creators":[]</v>
      </c>
      <c r="Y1249" s="1" t="str">
        <f>formatRow(Tokens!BD$2:BI$2,Tokens!BD1249:BI1249,2,"files")</f>
        <v>"files":[]</v>
      </c>
      <c r="Z1249" s="1"/>
      <c r="AA1249" s="1"/>
      <c r="AB1249" s="1"/>
      <c r="AC1249" s="1" t="str">
        <f>formatRow(Tokens!BJ$2:BK$2,Tokens!BJ1249:BK1249,0,"collection")</f>
        <v>"collection":{"name":"",_x000D_
"family":""}</v>
      </c>
    </row>
    <row r="1250" spans="5:29" ht="14.25" customHeight="1" x14ac:dyDescent="0.25">
      <c r="E1250" s="17" t="str">
        <f>IF(Tokens!C1250="","",Tokens!C1250)</f>
        <v/>
      </c>
      <c r="F1250" s="56"/>
      <c r="G1250" t="s">
        <v>164</v>
      </c>
      <c r="H1250" s="57" t="s">
        <v>165</v>
      </c>
      <c r="I1250" s="2" t="s">
        <v>166</v>
      </c>
      <c r="J1250" s="2" t="s">
        <v>167</v>
      </c>
      <c r="M1250" s="15"/>
      <c r="N1250">
        <v>6.9258811930000004</v>
      </c>
      <c r="O1250" s="15">
        <f t="shared" si="38"/>
        <v>0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1" t="str">
        <f>"owner=" &amp; Tokens!BS1250 &amp; "&amp;filename_for_metadata=" &amp; Tokens!BT1250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0" s="1" t="str">
        <f>formatRow(Tokens!C$2:I$2,Tokens!C1250:I1250)</f>
        <v>"name":"",_x000D_
"symbol":"",_x000D_
"description":"",_x000D_
"seller_fee_basis_points":"",_x000D_
"image":"",_x000D_
"Issuer":"",_x000D_
"external_url":""</v>
      </c>
      <c r="W1250" s="1" t="str">
        <f>formatRow(Tokens!J$2:AV$2,Tokens!J1250:AV1250,2,"attributes")</f>
        <v>"attributes":[]</v>
      </c>
      <c r="X1250" s="1" t="str">
        <f>formatRow(Tokens!AX$2:BC$2,Tokens!AX1250:BC1250,2,"creators")</f>
        <v>"creators":[]</v>
      </c>
      <c r="Y1250" s="1" t="str">
        <f>formatRow(Tokens!BD$2:BI$2,Tokens!BD1250:BI1250,2,"files")</f>
        <v>"files":[]</v>
      </c>
      <c r="Z1250" s="1"/>
      <c r="AA1250" s="1"/>
      <c r="AB1250" s="1"/>
      <c r="AC1250" s="1" t="str">
        <f>formatRow(Tokens!BJ$2:BK$2,Tokens!BJ1250:BK1250,0,"collection")</f>
        <v>"collection":{"name":"",_x000D_
"family":""}</v>
      </c>
    </row>
    <row r="1251" spans="5:29" ht="14.25" customHeight="1" x14ac:dyDescent="0.25">
      <c r="E1251" s="17" t="str">
        <f>IF(Tokens!C1251="","",Tokens!C1251)</f>
        <v/>
      </c>
      <c r="F1251" s="56"/>
      <c r="G1251" t="s">
        <v>164</v>
      </c>
      <c r="H1251" s="57" t="s">
        <v>165</v>
      </c>
      <c r="I1251" s="2" t="s">
        <v>166</v>
      </c>
      <c r="J1251" s="2" t="s">
        <v>167</v>
      </c>
      <c r="M1251" s="15"/>
      <c r="N1251">
        <v>6.9258811930000004</v>
      </c>
      <c r="O1251" s="15">
        <f t="shared" si="38"/>
        <v>0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1" t="str">
        <f>"owner=" &amp; Tokens!BS1251 &amp; "&amp;filename_for_metadata=" &amp; Tokens!BT1251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1" s="1" t="str">
        <f>formatRow(Tokens!C$2:I$2,Tokens!C1251:I1251)</f>
        <v>"name":"",_x000D_
"symbol":"",_x000D_
"description":"",_x000D_
"seller_fee_basis_points":"",_x000D_
"image":"",_x000D_
"Issuer":"",_x000D_
"external_url":""</v>
      </c>
      <c r="W1251" s="1" t="str">
        <f>formatRow(Tokens!J$2:AV$2,Tokens!J1251:AV1251,2,"attributes")</f>
        <v>"attributes":[]</v>
      </c>
      <c r="X1251" s="1" t="str">
        <f>formatRow(Tokens!AX$2:BC$2,Tokens!AX1251:BC1251,2,"creators")</f>
        <v>"creators":[]</v>
      </c>
      <c r="Y1251" s="1" t="str">
        <f>formatRow(Tokens!BD$2:BI$2,Tokens!BD1251:BI1251,2,"files")</f>
        <v>"files":[]</v>
      </c>
      <c r="Z1251" s="1"/>
      <c r="AA1251" s="1"/>
      <c r="AB1251" s="1"/>
      <c r="AC1251" s="1" t="str">
        <f>formatRow(Tokens!BJ$2:BK$2,Tokens!BJ1251:BK1251,0,"collection")</f>
        <v>"collection":{"name":"",_x000D_
"family":""}</v>
      </c>
    </row>
    <row r="1252" spans="5:29" ht="14.25" customHeight="1" x14ac:dyDescent="0.25">
      <c r="E1252" s="17" t="str">
        <f>IF(Tokens!C1252="","",Tokens!C1252)</f>
        <v/>
      </c>
      <c r="F1252" s="56"/>
      <c r="G1252" t="s">
        <v>164</v>
      </c>
      <c r="H1252" s="57" t="s">
        <v>165</v>
      </c>
      <c r="I1252" s="2" t="s">
        <v>166</v>
      </c>
      <c r="J1252" s="2" t="s">
        <v>167</v>
      </c>
      <c r="M1252" s="15"/>
      <c r="N1252">
        <v>6.9258811930000004</v>
      </c>
      <c r="O1252" s="15">
        <f t="shared" si="38"/>
        <v>0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1" t="str">
        <f>"owner=" &amp; Tokens!BS1252 &amp; "&amp;filename_for_metadata=" &amp; Tokens!BT1252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2" s="1" t="str">
        <f>formatRow(Tokens!C$2:I$2,Tokens!C1252:I1252)</f>
        <v>"name":"",_x000D_
"symbol":"",_x000D_
"description":"",_x000D_
"seller_fee_basis_points":"",_x000D_
"image":"",_x000D_
"Issuer":"",_x000D_
"external_url":""</v>
      </c>
      <c r="W1252" s="1" t="str">
        <f>formatRow(Tokens!J$2:AV$2,Tokens!J1252:AV1252,2,"attributes")</f>
        <v>"attributes":[]</v>
      </c>
      <c r="X1252" s="1" t="str">
        <f>formatRow(Tokens!AX$2:BC$2,Tokens!AX1252:BC1252,2,"creators")</f>
        <v>"creators":[]</v>
      </c>
      <c r="Y1252" s="1" t="str">
        <f>formatRow(Tokens!BD$2:BI$2,Tokens!BD1252:BI1252,2,"files")</f>
        <v>"files":[]</v>
      </c>
      <c r="Z1252" s="1"/>
      <c r="AA1252" s="1"/>
      <c r="AB1252" s="1"/>
      <c r="AC1252" s="1" t="str">
        <f>formatRow(Tokens!BJ$2:BK$2,Tokens!BJ1252:BK1252,0,"collection")</f>
        <v>"collection":{"name":"",_x000D_
"family":""}</v>
      </c>
    </row>
    <row r="1253" spans="5:29" ht="14.25" customHeight="1" x14ac:dyDescent="0.25">
      <c r="E1253" s="17" t="str">
        <f>IF(Tokens!C1253="","",Tokens!C1253)</f>
        <v/>
      </c>
      <c r="F1253" s="56"/>
      <c r="G1253" t="s">
        <v>164</v>
      </c>
      <c r="H1253" s="57" t="s">
        <v>165</v>
      </c>
      <c r="I1253" s="2" t="s">
        <v>166</v>
      </c>
      <c r="J1253" s="2" t="s">
        <v>167</v>
      </c>
      <c r="M1253" s="15"/>
      <c r="N1253">
        <v>6.9258811930000004</v>
      </c>
      <c r="O1253" s="15">
        <f t="shared" si="38"/>
        <v>0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1" t="str">
        <f>"owner=" &amp; Tokens!BS1253 &amp; "&amp;filename_for_metadata=" &amp; Tokens!BT1253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3" s="1" t="str">
        <f>formatRow(Tokens!C$2:I$2,Tokens!C1253:I1253)</f>
        <v>"name":"",_x000D_
"symbol":"",_x000D_
"description":"",_x000D_
"seller_fee_basis_points":"",_x000D_
"image":"",_x000D_
"Issuer":"",_x000D_
"external_url":""</v>
      </c>
      <c r="W1253" s="1" t="str">
        <f>formatRow(Tokens!J$2:AV$2,Tokens!J1253:AV1253,2,"attributes")</f>
        <v>"attributes":[]</v>
      </c>
      <c r="X1253" s="1" t="str">
        <f>formatRow(Tokens!AX$2:BC$2,Tokens!AX1253:BC1253,2,"creators")</f>
        <v>"creators":[]</v>
      </c>
      <c r="Y1253" s="1" t="str">
        <f>formatRow(Tokens!BD$2:BI$2,Tokens!BD1253:BI1253,2,"files")</f>
        <v>"files":[]</v>
      </c>
      <c r="Z1253" s="1"/>
      <c r="AA1253" s="1"/>
      <c r="AB1253" s="1"/>
      <c r="AC1253" s="1" t="str">
        <f>formatRow(Tokens!BJ$2:BK$2,Tokens!BJ1253:BK1253,0,"collection")</f>
        <v>"collection":{"name":"",_x000D_
"family":""}</v>
      </c>
    </row>
    <row r="1254" spans="5:29" ht="14.25" customHeight="1" x14ac:dyDescent="0.25">
      <c r="E1254" s="17" t="str">
        <f>IF(Tokens!C1254="","",Tokens!C1254)</f>
        <v/>
      </c>
      <c r="F1254" s="56"/>
      <c r="G1254" t="s">
        <v>164</v>
      </c>
      <c r="H1254" s="57" t="s">
        <v>165</v>
      </c>
      <c r="I1254" s="2" t="s">
        <v>166</v>
      </c>
      <c r="J1254" s="2" t="s">
        <v>167</v>
      </c>
      <c r="M1254" s="15"/>
      <c r="N1254">
        <v>6.9258811930000004</v>
      </c>
      <c r="O1254" s="15">
        <f t="shared" si="38"/>
        <v>0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1" t="str">
        <f>"owner=" &amp; Tokens!BS1254 &amp; "&amp;filename_for_metadata=" &amp; Tokens!BT1254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4" s="1" t="str">
        <f>formatRow(Tokens!C$2:I$2,Tokens!C1254:I1254)</f>
        <v>"name":"",_x000D_
"symbol":"",_x000D_
"description":"",_x000D_
"seller_fee_basis_points":"",_x000D_
"image":"",_x000D_
"Issuer":"",_x000D_
"external_url":""</v>
      </c>
      <c r="W1254" s="1" t="str">
        <f>formatRow(Tokens!J$2:AV$2,Tokens!J1254:AV1254,2,"attributes")</f>
        <v>"attributes":[]</v>
      </c>
      <c r="X1254" s="1" t="str">
        <f>formatRow(Tokens!AX$2:BC$2,Tokens!AX1254:BC1254,2,"creators")</f>
        <v>"creators":[]</v>
      </c>
      <c r="Y1254" s="1" t="str">
        <f>formatRow(Tokens!BD$2:BI$2,Tokens!BD1254:BI1254,2,"files")</f>
        <v>"files":[]</v>
      </c>
      <c r="Z1254" s="1"/>
      <c r="AA1254" s="1"/>
      <c r="AB1254" s="1"/>
      <c r="AC1254" s="1" t="str">
        <f>formatRow(Tokens!BJ$2:BK$2,Tokens!BJ1254:BK1254,0,"collection")</f>
        <v>"collection":{"name":"",_x000D_
"family":""}</v>
      </c>
    </row>
    <row r="1255" spans="5:29" ht="14.25" customHeight="1" x14ac:dyDescent="0.25">
      <c r="E1255" s="17" t="str">
        <f>IF(Tokens!C1255="","",Tokens!C1255)</f>
        <v/>
      </c>
      <c r="F1255" s="56"/>
      <c r="G1255" t="s">
        <v>164</v>
      </c>
      <c r="H1255" s="57" t="s">
        <v>165</v>
      </c>
      <c r="I1255" s="2" t="s">
        <v>166</v>
      </c>
      <c r="J1255" s="2" t="s">
        <v>167</v>
      </c>
      <c r="M1255" s="15"/>
      <c r="N1255">
        <v>6.9258811930000004</v>
      </c>
      <c r="O1255" s="15">
        <f t="shared" si="38"/>
        <v>0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1" t="str">
        <f>"owner=" &amp; Tokens!BS1255 &amp; "&amp;filename_for_metadata=" &amp; Tokens!BT1255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5" s="1" t="str">
        <f>formatRow(Tokens!C$2:I$2,Tokens!C1255:I1255)</f>
        <v>"name":"",_x000D_
"symbol":"",_x000D_
"description":"",_x000D_
"seller_fee_basis_points":"",_x000D_
"image":"",_x000D_
"Issuer":"",_x000D_
"external_url":""</v>
      </c>
      <c r="W1255" s="1" t="str">
        <f>formatRow(Tokens!J$2:AV$2,Tokens!J1255:AV1255,2,"attributes")</f>
        <v>"attributes":[]</v>
      </c>
      <c r="X1255" s="1" t="str">
        <f>formatRow(Tokens!AX$2:BC$2,Tokens!AX1255:BC1255,2,"creators")</f>
        <v>"creators":[]</v>
      </c>
      <c r="Y1255" s="1" t="str">
        <f>formatRow(Tokens!BD$2:BI$2,Tokens!BD1255:BI1255,2,"files")</f>
        <v>"files":[]</v>
      </c>
      <c r="Z1255" s="1"/>
      <c r="AA1255" s="1"/>
      <c r="AB1255" s="1"/>
      <c r="AC1255" s="1" t="str">
        <f>formatRow(Tokens!BJ$2:BK$2,Tokens!BJ1255:BK1255,0,"collection")</f>
        <v>"collection":{"name":"",_x000D_
"family":""}</v>
      </c>
    </row>
    <row r="1256" spans="5:29" ht="14.25" customHeight="1" x14ac:dyDescent="0.25">
      <c r="E1256" s="17" t="str">
        <f>IF(Tokens!C1256="","",Tokens!C1256)</f>
        <v/>
      </c>
      <c r="F1256" s="56"/>
      <c r="G1256" t="s">
        <v>164</v>
      </c>
      <c r="H1256" s="57" t="s">
        <v>165</v>
      </c>
      <c r="I1256" s="2" t="s">
        <v>166</v>
      </c>
      <c r="J1256" s="2" t="s">
        <v>167</v>
      </c>
      <c r="M1256" s="15"/>
      <c r="N1256">
        <v>6.9258811930000004</v>
      </c>
      <c r="O1256" s="15">
        <f t="shared" si="38"/>
        <v>0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1" t="str">
        <f>"owner=" &amp; Tokens!BS1256 &amp; "&amp;filename_for_metadata=" &amp; Tokens!BT1256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6" s="1" t="str">
        <f>formatRow(Tokens!C$2:I$2,Tokens!C1256:I1256)</f>
        <v>"name":"",_x000D_
"symbol":"",_x000D_
"description":"",_x000D_
"seller_fee_basis_points":"",_x000D_
"image":"",_x000D_
"Issuer":"",_x000D_
"external_url":""</v>
      </c>
      <c r="W1256" s="1" t="str">
        <f>formatRow(Tokens!J$2:AV$2,Tokens!J1256:AV1256,2,"attributes")</f>
        <v>"attributes":[]</v>
      </c>
      <c r="X1256" s="1" t="str">
        <f>formatRow(Tokens!AX$2:BC$2,Tokens!AX1256:BC1256,2,"creators")</f>
        <v>"creators":[]</v>
      </c>
      <c r="Y1256" s="1" t="str">
        <f>formatRow(Tokens!BD$2:BI$2,Tokens!BD1256:BI1256,2,"files")</f>
        <v>"files":[]</v>
      </c>
      <c r="Z1256" s="1"/>
      <c r="AA1256" s="1"/>
      <c r="AB1256" s="1"/>
      <c r="AC1256" s="1" t="str">
        <f>formatRow(Tokens!BJ$2:BK$2,Tokens!BJ1256:BK1256,0,"collection")</f>
        <v>"collection":{"name":"",_x000D_
"family":""}</v>
      </c>
    </row>
    <row r="1257" spans="5:29" ht="14.25" customHeight="1" x14ac:dyDescent="0.25">
      <c r="E1257" s="17" t="str">
        <f>IF(Tokens!C1257="","",Tokens!C1257)</f>
        <v/>
      </c>
      <c r="F1257" s="56"/>
      <c r="G1257" t="s">
        <v>164</v>
      </c>
      <c r="H1257" s="57" t="s">
        <v>165</v>
      </c>
      <c r="I1257" s="2" t="s">
        <v>166</v>
      </c>
      <c r="J1257" s="2" t="s">
        <v>167</v>
      </c>
      <c r="M1257" s="15"/>
      <c r="N1257">
        <v>6.9258811930000004</v>
      </c>
      <c r="O1257" s="15">
        <f t="shared" si="38"/>
        <v>0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1" t="str">
        <f>"owner=" &amp; Tokens!BS1257 &amp; "&amp;filename_for_metadata=" &amp; Tokens!BT1257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7" s="1" t="str">
        <f>formatRow(Tokens!C$2:I$2,Tokens!C1257:I1257)</f>
        <v>"name":"",_x000D_
"symbol":"",_x000D_
"description":"",_x000D_
"seller_fee_basis_points":"",_x000D_
"image":"",_x000D_
"Issuer":"",_x000D_
"external_url":""</v>
      </c>
      <c r="W1257" s="1" t="str">
        <f>formatRow(Tokens!J$2:AV$2,Tokens!J1257:AV1257,2,"attributes")</f>
        <v>"attributes":[]</v>
      </c>
      <c r="X1257" s="1" t="str">
        <f>formatRow(Tokens!AX$2:BC$2,Tokens!AX1257:BC1257,2,"creators")</f>
        <v>"creators":[]</v>
      </c>
      <c r="Y1257" s="1" t="str">
        <f>formatRow(Tokens!BD$2:BI$2,Tokens!BD1257:BI1257,2,"files")</f>
        <v>"files":[]</v>
      </c>
      <c r="Z1257" s="1"/>
      <c r="AA1257" s="1"/>
      <c r="AB1257" s="1"/>
      <c r="AC1257" s="1" t="str">
        <f>formatRow(Tokens!BJ$2:BK$2,Tokens!BJ1257:BK1257,0,"collection")</f>
        <v>"collection":{"name":"",_x000D_
"family":""}</v>
      </c>
    </row>
    <row r="1258" spans="5:29" ht="14.25" customHeight="1" x14ac:dyDescent="0.25">
      <c r="E1258" s="17" t="str">
        <f>IF(Tokens!C1258="","",Tokens!C1258)</f>
        <v/>
      </c>
      <c r="F1258" s="56"/>
      <c r="G1258" t="s">
        <v>164</v>
      </c>
      <c r="H1258" s="57" t="s">
        <v>165</v>
      </c>
      <c r="I1258" s="2" t="s">
        <v>166</v>
      </c>
      <c r="J1258" s="2" t="s">
        <v>167</v>
      </c>
      <c r="M1258" s="15"/>
      <c r="N1258">
        <v>6.9258811930000004</v>
      </c>
      <c r="O1258" s="15">
        <f t="shared" si="38"/>
        <v>0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1" t="str">
        <f>"owner=" &amp; Tokens!BS1258 &amp; "&amp;filename_for_metadata=" &amp; Tokens!BT1258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8" s="1" t="str">
        <f>formatRow(Tokens!C$2:I$2,Tokens!C1258:I1258)</f>
        <v>"name":"",_x000D_
"symbol":"",_x000D_
"description":"",_x000D_
"seller_fee_basis_points":"",_x000D_
"image":"",_x000D_
"Issuer":"",_x000D_
"external_url":""</v>
      </c>
      <c r="W1258" s="1" t="str">
        <f>formatRow(Tokens!J$2:AV$2,Tokens!J1258:AV1258,2,"attributes")</f>
        <v>"attributes":[]</v>
      </c>
      <c r="X1258" s="1" t="str">
        <f>formatRow(Tokens!AX$2:BC$2,Tokens!AX1258:BC1258,2,"creators")</f>
        <v>"creators":[]</v>
      </c>
      <c r="Y1258" s="1" t="str">
        <f>formatRow(Tokens!BD$2:BI$2,Tokens!BD1258:BI1258,2,"files")</f>
        <v>"files":[]</v>
      </c>
      <c r="Z1258" s="1"/>
      <c r="AA1258" s="1"/>
      <c r="AB1258" s="1"/>
      <c r="AC1258" s="1" t="str">
        <f>formatRow(Tokens!BJ$2:BK$2,Tokens!BJ1258:BK1258,0,"collection")</f>
        <v>"collection":{"name":"",_x000D_
"family":""}</v>
      </c>
    </row>
    <row r="1259" spans="5:29" ht="14.25" customHeight="1" x14ac:dyDescent="0.25">
      <c r="E1259" s="17" t="str">
        <f>IF(Tokens!C1259="","",Tokens!C1259)</f>
        <v/>
      </c>
      <c r="F1259" s="56"/>
      <c r="G1259" t="s">
        <v>164</v>
      </c>
      <c r="H1259" s="57" t="s">
        <v>165</v>
      </c>
      <c r="I1259" s="2" t="s">
        <v>166</v>
      </c>
      <c r="J1259" s="2" t="s">
        <v>167</v>
      </c>
      <c r="M1259" s="15"/>
      <c r="N1259">
        <v>6.9258811930000004</v>
      </c>
      <c r="O1259" s="15">
        <f t="shared" si="38"/>
        <v>0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1" t="str">
        <f>"owner=" &amp; Tokens!BS1259 &amp; "&amp;filename_for_metadata=" &amp; Tokens!BT1259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5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59" s="1" t="str">
        <f>formatRow(Tokens!C$2:I$2,Tokens!C1259:I1259)</f>
        <v>"name":"",_x000D_
"symbol":"",_x000D_
"description":"",_x000D_
"seller_fee_basis_points":"",_x000D_
"image":"",_x000D_
"Issuer":"",_x000D_
"external_url":""</v>
      </c>
      <c r="W1259" s="1" t="str">
        <f>formatRow(Tokens!J$2:AV$2,Tokens!J1259:AV1259,2,"attributes")</f>
        <v>"attributes":[]</v>
      </c>
      <c r="X1259" s="1" t="str">
        <f>formatRow(Tokens!AX$2:BC$2,Tokens!AX1259:BC1259,2,"creators")</f>
        <v>"creators":[]</v>
      </c>
      <c r="Y1259" s="1" t="str">
        <f>formatRow(Tokens!BD$2:BI$2,Tokens!BD1259:BI1259,2,"files")</f>
        <v>"files":[]</v>
      </c>
      <c r="Z1259" s="1"/>
      <c r="AA1259" s="1"/>
      <c r="AB1259" s="1"/>
      <c r="AC1259" s="1" t="str">
        <f>formatRow(Tokens!BJ$2:BK$2,Tokens!BJ1259:BK1259,0,"collection")</f>
        <v>"collection":{"name":"",_x000D_
"family":""}</v>
      </c>
    </row>
    <row r="1260" spans="5:29" ht="14.25" customHeight="1" x14ac:dyDescent="0.25">
      <c r="E1260" s="17" t="str">
        <f>IF(Tokens!C1260="","",Tokens!C1260)</f>
        <v/>
      </c>
      <c r="F1260" s="56"/>
      <c r="G1260" t="s">
        <v>164</v>
      </c>
      <c r="H1260" s="57" t="s">
        <v>165</v>
      </c>
      <c r="I1260" s="2" t="s">
        <v>166</v>
      </c>
      <c r="J1260" s="2" t="s">
        <v>167</v>
      </c>
      <c r="M1260" s="15"/>
      <c r="N1260">
        <v>6.9258811930000004</v>
      </c>
      <c r="O1260" s="15">
        <f t="shared" si="38"/>
        <v>0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1" t="str">
        <f>"owner=" &amp; Tokens!BS1260 &amp; "&amp;filename_for_metadata=" &amp; Tokens!BT1260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0" s="1" t="str">
        <f>formatRow(Tokens!C$2:I$2,Tokens!C1260:I1260)</f>
        <v>"name":"",_x000D_
"symbol":"",_x000D_
"description":"",_x000D_
"seller_fee_basis_points":"",_x000D_
"image":"",_x000D_
"Issuer":"",_x000D_
"external_url":""</v>
      </c>
      <c r="W1260" s="1" t="str">
        <f>formatRow(Tokens!J$2:AV$2,Tokens!J1260:AV1260,2,"attributes")</f>
        <v>"attributes":[]</v>
      </c>
      <c r="X1260" s="1" t="str">
        <f>formatRow(Tokens!AX$2:BC$2,Tokens!AX1260:BC1260,2,"creators")</f>
        <v>"creators":[]</v>
      </c>
      <c r="Y1260" s="1" t="str">
        <f>formatRow(Tokens!BD$2:BI$2,Tokens!BD1260:BI1260,2,"files")</f>
        <v>"files":[]</v>
      </c>
      <c r="Z1260" s="1"/>
      <c r="AA1260" s="1"/>
      <c r="AB1260" s="1"/>
      <c r="AC1260" s="1" t="str">
        <f>formatRow(Tokens!BJ$2:BK$2,Tokens!BJ1260:BK1260,0,"collection")</f>
        <v>"collection":{"name":"",_x000D_
"family":""}</v>
      </c>
    </row>
    <row r="1261" spans="5:29" ht="14.25" customHeight="1" x14ac:dyDescent="0.25">
      <c r="E1261" s="17" t="str">
        <f>IF(Tokens!C1261="","",Tokens!C1261)</f>
        <v/>
      </c>
      <c r="F1261" s="56"/>
      <c r="G1261" t="s">
        <v>164</v>
      </c>
      <c r="H1261" s="57" t="s">
        <v>165</v>
      </c>
      <c r="I1261" s="2" t="s">
        <v>166</v>
      </c>
      <c r="J1261" s="2" t="s">
        <v>167</v>
      </c>
      <c r="M1261" s="15"/>
      <c r="N1261">
        <v>6.9258811930000004</v>
      </c>
      <c r="O1261" s="15">
        <f t="shared" si="38"/>
        <v>0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1" t="str">
        <f>"owner=" &amp; Tokens!BS1261 &amp; "&amp;filename_for_metadata=" &amp; Tokens!BT1261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1" s="1" t="str">
        <f>formatRow(Tokens!C$2:I$2,Tokens!C1261:I1261)</f>
        <v>"name":"",_x000D_
"symbol":"",_x000D_
"description":"",_x000D_
"seller_fee_basis_points":"",_x000D_
"image":"",_x000D_
"Issuer":"",_x000D_
"external_url":""</v>
      </c>
      <c r="W1261" s="1" t="str">
        <f>formatRow(Tokens!J$2:AV$2,Tokens!J1261:AV1261,2,"attributes")</f>
        <v>"attributes":[]</v>
      </c>
      <c r="X1261" s="1" t="str">
        <f>formatRow(Tokens!AX$2:BC$2,Tokens!AX1261:BC1261,2,"creators")</f>
        <v>"creators":[]</v>
      </c>
      <c r="Y1261" s="1" t="str">
        <f>formatRow(Tokens!BD$2:BI$2,Tokens!BD1261:BI1261,2,"files")</f>
        <v>"files":[]</v>
      </c>
      <c r="Z1261" s="1"/>
      <c r="AA1261" s="1"/>
      <c r="AB1261" s="1"/>
      <c r="AC1261" s="1" t="str">
        <f>formatRow(Tokens!BJ$2:BK$2,Tokens!BJ1261:BK1261,0,"collection")</f>
        <v>"collection":{"name":"",_x000D_
"family":""}</v>
      </c>
    </row>
    <row r="1262" spans="5:29" ht="14.25" customHeight="1" x14ac:dyDescent="0.25">
      <c r="E1262" s="17" t="str">
        <f>IF(Tokens!C1262="","",Tokens!C1262)</f>
        <v/>
      </c>
      <c r="F1262" s="56"/>
      <c r="G1262" t="s">
        <v>164</v>
      </c>
      <c r="H1262" s="57" t="s">
        <v>165</v>
      </c>
      <c r="I1262" s="2" t="s">
        <v>166</v>
      </c>
      <c r="J1262" s="2" t="s">
        <v>167</v>
      </c>
      <c r="M1262" s="15"/>
      <c r="N1262">
        <v>6.9258811930000004</v>
      </c>
      <c r="O1262" s="15">
        <f t="shared" si="38"/>
        <v>0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1" t="str">
        <f>"owner=" &amp; Tokens!BS1262 &amp; "&amp;filename_for_metadata=" &amp; Tokens!BT1262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2" s="1" t="str">
        <f>formatRow(Tokens!C$2:I$2,Tokens!C1262:I1262)</f>
        <v>"name":"",_x000D_
"symbol":"",_x000D_
"description":"",_x000D_
"seller_fee_basis_points":"",_x000D_
"image":"",_x000D_
"Issuer":"",_x000D_
"external_url":""</v>
      </c>
      <c r="W1262" s="1" t="str">
        <f>formatRow(Tokens!J$2:AV$2,Tokens!J1262:AV1262,2,"attributes")</f>
        <v>"attributes":[]</v>
      </c>
      <c r="X1262" s="1" t="str">
        <f>formatRow(Tokens!AX$2:BC$2,Tokens!AX1262:BC1262,2,"creators")</f>
        <v>"creators":[]</v>
      </c>
      <c r="Y1262" s="1" t="str">
        <f>formatRow(Tokens!BD$2:BI$2,Tokens!BD1262:BI1262,2,"files")</f>
        <v>"files":[]</v>
      </c>
      <c r="Z1262" s="1"/>
      <c r="AA1262" s="1"/>
      <c r="AB1262" s="1"/>
      <c r="AC1262" s="1" t="str">
        <f>formatRow(Tokens!BJ$2:BK$2,Tokens!BJ1262:BK1262,0,"collection")</f>
        <v>"collection":{"name":"",_x000D_
"family":""}</v>
      </c>
    </row>
    <row r="1263" spans="5:29" ht="14.25" customHeight="1" x14ac:dyDescent="0.25">
      <c r="E1263" s="17" t="str">
        <f>IF(Tokens!C1263="","",Tokens!C1263)</f>
        <v/>
      </c>
      <c r="F1263" s="56"/>
      <c r="G1263" t="s">
        <v>164</v>
      </c>
      <c r="H1263" s="57" t="s">
        <v>165</v>
      </c>
      <c r="I1263" s="2" t="s">
        <v>166</v>
      </c>
      <c r="J1263" s="2" t="s">
        <v>167</v>
      </c>
      <c r="M1263" s="15"/>
      <c r="N1263">
        <v>6.9258811930000004</v>
      </c>
      <c r="O1263" s="15">
        <f t="shared" si="38"/>
        <v>0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1" t="str">
        <f>"owner=" &amp; Tokens!BS1263 &amp; "&amp;filename_for_metadata=" &amp; Tokens!BT1263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3" s="1" t="str">
        <f>formatRow(Tokens!C$2:I$2,Tokens!C1263:I1263)</f>
        <v>"name":"",_x000D_
"symbol":"",_x000D_
"description":"",_x000D_
"seller_fee_basis_points":"",_x000D_
"image":"",_x000D_
"Issuer":"",_x000D_
"external_url":""</v>
      </c>
      <c r="W1263" s="1" t="str">
        <f>formatRow(Tokens!J$2:AV$2,Tokens!J1263:AV1263,2,"attributes")</f>
        <v>"attributes":[]</v>
      </c>
      <c r="X1263" s="1" t="str">
        <f>formatRow(Tokens!AX$2:BC$2,Tokens!AX1263:BC1263,2,"creators")</f>
        <v>"creators":[]</v>
      </c>
      <c r="Y1263" s="1" t="str">
        <f>formatRow(Tokens!BD$2:BI$2,Tokens!BD1263:BI1263,2,"files")</f>
        <v>"files":[]</v>
      </c>
      <c r="Z1263" s="1"/>
      <c r="AA1263" s="1"/>
      <c r="AB1263" s="1"/>
      <c r="AC1263" s="1" t="str">
        <f>formatRow(Tokens!BJ$2:BK$2,Tokens!BJ1263:BK1263,0,"collection")</f>
        <v>"collection":{"name":"",_x000D_
"family":""}</v>
      </c>
    </row>
    <row r="1264" spans="5:29" ht="14.25" customHeight="1" x14ac:dyDescent="0.25">
      <c r="E1264" s="17" t="str">
        <f>IF(Tokens!C1264="","",Tokens!C1264)</f>
        <v/>
      </c>
      <c r="F1264" s="56"/>
      <c r="G1264" t="s">
        <v>164</v>
      </c>
      <c r="H1264" s="57" t="s">
        <v>165</v>
      </c>
      <c r="I1264" s="2" t="s">
        <v>166</v>
      </c>
      <c r="J1264" s="2" t="s">
        <v>167</v>
      </c>
      <c r="M1264" s="15"/>
      <c r="N1264">
        <v>6.9258811930000004</v>
      </c>
      <c r="O1264" s="15">
        <f t="shared" si="38"/>
        <v>0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1" t="str">
        <f>"owner=" &amp; Tokens!BS1264 &amp; "&amp;filename_for_metadata=" &amp; Tokens!BT1264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4" s="1" t="str">
        <f>formatRow(Tokens!C$2:I$2,Tokens!C1264:I1264)</f>
        <v>"name":"",_x000D_
"symbol":"",_x000D_
"description":"",_x000D_
"seller_fee_basis_points":"",_x000D_
"image":"",_x000D_
"Issuer":"",_x000D_
"external_url":""</v>
      </c>
      <c r="W1264" s="1" t="str">
        <f>formatRow(Tokens!J$2:AV$2,Tokens!J1264:AV1264,2,"attributes")</f>
        <v>"attributes":[]</v>
      </c>
      <c r="X1264" s="1" t="str">
        <f>formatRow(Tokens!AX$2:BC$2,Tokens!AX1264:BC1264,2,"creators")</f>
        <v>"creators":[]</v>
      </c>
      <c r="Y1264" s="1" t="str">
        <f>formatRow(Tokens!BD$2:BI$2,Tokens!BD1264:BI1264,2,"files")</f>
        <v>"files":[]</v>
      </c>
      <c r="Z1264" s="1"/>
      <c r="AA1264" s="1"/>
      <c r="AB1264" s="1"/>
      <c r="AC1264" s="1" t="str">
        <f>formatRow(Tokens!BJ$2:BK$2,Tokens!BJ1264:BK1264,0,"collection")</f>
        <v>"collection":{"name":"",_x000D_
"family":""}</v>
      </c>
    </row>
    <row r="1265" spans="5:29" ht="14.25" customHeight="1" x14ac:dyDescent="0.25">
      <c r="E1265" s="17" t="str">
        <f>IF(Tokens!C1265="","",Tokens!C1265)</f>
        <v/>
      </c>
      <c r="F1265" s="56"/>
      <c r="G1265" t="s">
        <v>164</v>
      </c>
      <c r="H1265" s="57" t="s">
        <v>165</v>
      </c>
      <c r="I1265" s="2" t="s">
        <v>166</v>
      </c>
      <c r="J1265" s="2" t="s">
        <v>167</v>
      </c>
      <c r="M1265" s="15"/>
      <c r="N1265">
        <v>6.9258811930000004</v>
      </c>
      <c r="O1265" s="15">
        <f t="shared" si="38"/>
        <v>0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1" t="str">
        <f>"owner=" &amp; Tokens!BS1265 &amp; "&amp;filename_for_metadata=" &amp; Tokens!BT1265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5" s="1" t="str">
        <f>formatRow(Tokens!C$2:I$2,Tokens!C1265:I1265)</f>
        <v>"name":"",_x000D_
"symbol":"",_x000D_
"description":"",_x000D_
"seller_fee_basis_points":"",_x000D_
"image":"",_x000D_
"Issuer":"",_x000D_
"external_url":""</v>
      </c>
      <c r="W1265" s="1" t="str">
        <f>formatRow(Tokens!J$2:AV$2,Tokens!J1265:AV1265,2,"attributes")</f>
        <v>"attributes":[]</v>
      </c>
      <c r="X1265" s="1" t="str">
        <f>formatRow(Tokens!AX$2:BC$2,Tokens!AX1265:BC1265,2,"creators")</f>
        <v>"creators":[]</v>
      </c>
      <c r="Y1265" s="1" t="str">
        <f>formatRow(Tokens!BD$2:BI$2,Tokens!BD1265:BI1265,2,"files")</f>
        <v>"files":[]</v>
      </c>
      <c r="Z1265" s="1"/>
      <c r="AA1265" s="1"/>
      <c r="AB1265" s="1"/>
      <c r="AC1265" s="1" t="str">
        <f>formatRow(Tokens!BJ$2:BK$2,Tokens!BJ1265:BK1265,0,"collection")</f>
        <v>"collection":{"name":"",_x000D_
"family":""}</v>
      </c>
    </row>
    <row r="1266" spans="5:29" ht="14.25" customHeight="1" x14ac:dyDescent="0.25">
      <c r="E1266" s="17" t="str">
        <f>IF(Tokens!C1266="","",Tokens!C1266)</f>
        <v/>
      </c>
      <c r="F1266" s="56"/>
      <c r="G1266" t="s">
        <v>164</v>
      </c>
      <c r="H1266" s="57" t="s">
        <v>165</v>
      </c>
      <c r="I1266" s="2" t="s">
        <v>166</v>
      </c>
      <c r="J1266" s="2" t="s">
        <v>167</v>
      </c>
      <c r="M1266" s="15"/>
      <c r="N1266">
        <v>6.9258811930000004</v>
      </c>
      <c r="O1266" s="15">
        <f t="shared" si="38"/>
        <v>0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1" t="str">
        <f>"owner=" &amp; Tokens!BS1266 &amp; "&amp;filename_for_metadata=" &amp; Tokens!BT1266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6" s="1" t="str">
        <f>formatRow(Tokens!C$2:I$2,Tokens!C1266:I1266)</f>
        <v>"name":"",_x000D_
"symbol":"",_x000D_
"description":"",_x000D_
"seller_fee_basis_points":"",_x000D_
"image":"",_x000D_
"Issuer":"",_x000D_
"external_url":""</v>
      </c>
      <c r="W1266" s="1" t="str">
        <f>formatRow(Tokens!J$2:AV$2,Tokens!J1266:AV1266,2,"attributes")</f>
        <v>"attributes":[]</v>
      </c>
      <c r="X1266" s="1" t="str">
        <f>formatRow(Tokens!AX$2:BC$2,Tokens!AX1266:BC1266,2,"creators")</f>
        <v>"creators":[]</v>
      </c>
      <c r="Y1266" s="1" t="str">
        <f>formatRow(Tokens!BD$2:BI$2,Tokens!BD1266:BI1266,2,"files")</f>
        <v>"files":[]</v>
      </c>
      <c r="Z1266" s="1"/>
      <c r="AA1266" s="1"/>
      <c r="AB1266" s="1"/>
      <c r="AC1266" s="1" t="str">
        <f>formatRow(Tokens!BJ$2:BK$2,Tokens!BJ1266:BK1266,0,"collection")</f>
        <v>"collection":{"name":"",_x000D_
"family":""}</v>
      </c>
    </row>
    <row r="1267" spans="5:29" ht="14.25" customHeight="1" x14ac:dyDescent="0.25">
      <c r="E1267" s="17" t="str">
        <f>IF(Tokens!C1267="","",Tokens!C1267)</f>
        <v/>
      </c>
      <c r="F1267" s="56"/>
      <c r="G1267" t="s">
        <v>164</v>
      </c>
      <c r="H1267" s="57" t="s">
        <v>165</v>
      </c>
      <c r="I1267" s="2" t="s">
        <v>166</v>
      </c>
      <c r="J1267" s="2" t="s">
        <v>167</v>
      </c>
      <c r="M1267" s="15"/>
      <c r="N1267">
        <v>6.9258811930000004</v>
      </c>
      <c r="O1267" s="15">
        <f t="shared" si="38"/>
        <v>0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1" t="str">
        <f>"owner=" &amp; Tokens!BS1267 &amp; "&amp;filename_for_metadata=" &amp; Tokens!BT1267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7" s="1" t="str">
        <f>formatRow(Tokens!C$2:I$2,Tokens!C1267:I1267)</f>
        <v>"name":"",_x000D_
"symbol":"",_x000D_
"description":"",_x000D_
"seller_fee_basis_points":"",_x000D_
"image":"",_x000D_
"Issuer":"",_x000D_
"external_url":""</v>
      </c>
      <c r="W1267" s="1" t="str">
        <f>formatRow(Tokens!J$2:AV$2,Tokens!J1267:AV1267,2,"attributes")</f>
        <v>"attributes":[]</v>
      </c>
      <c r="X1267" s="1" t="str">
        <f>formatRow(Tokens!AX$2:BC$2,Tokens!AX1267:BC1267,2,"creators")</f>
        <v>"creators":[]</v>
      </c>
      <c r="Y1267" s="1" t="str">
        <f>formatRow(Tokens!BD$2:BI$2,Tokens!BD1267:BI1267,2,"files")</f>
        <v>"files":[]</v>
      </c>
      <c r="Z1267" s="1"/>
      <c r="AA1267" s="1"/>
      <c r="AB1267" s="1"/>
      <c r="AC1267" s="1" t="str">
        <f>formatRow(Tokens!BJ$2:BK$2,Tokens!BJ1267:BK1267,0,"collection")</f>
        <v>"collection":{"name":"",_x000D_
"family":""}</v>
      </c>
    </row>
    <row r="1268" spans="5:29" ht="14.25" customHeight="1" x14ac:dyDescent="0.25">
      <c r="E1268" s="17" t="str">
        <f>IF(Tokens!C1268="","",Tokens!C1268)</f>
        <v/>
      </c>
      <c r="F1268" s="56"/>
      <c r="G1268" t="s">
        <v>164</v>
      </c>
      <c r="H1268" s="57" t="s">
        <v>165</v>
      </c>
      <c r="I1268" s="2" t="s">
        <v>166</v>
      </c>
      <c r="J1268" s="2" t="s">
        <v>167</v>
      </c>
      <c r="M1268" s="15"/>
      <c r="N1268">
        <v>6.9258811930000004</v>
      </c>
      <c r="O1268" s="15">
        <f t="shared" si="38"/>
        <v>0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1" t="str">
        <f>"owner=" &amp; Tokens!BS1268 &amp; "&amp;filename_for_metadata=" &amp; Tokens!BT1268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8" s="1" t="str">
        <f>formatRow(Tokens!C$2:I$2,Tokens!C1268:I1268)</f>
        <v>"name":"",_x000D_
"symbol":"",_x000D_
"description":"",_x000D_
"seller_fee_basis_points":"",_x000D_
"image":"",_x000D_
"Issuer":"",_x000D_
"external_url":""</v>
      </c>
      <c r="W1268" s="1" t="str">
        <f>formatRow(Tokens!J$2:AV$2,Tokens!J1268:AV1268,2,"attributes")</f>
        <v>"attributes":[]</v>
      </c>
      <c r="X1268" s="1" t="str">
        <f>formatRow(Tokens!AX$2:BC$2,Tokens!AX1268:BC1268,2,"creators")</f>
        <v>"creators":[]</v>
      </c>
      <c r="Y1268" s="1" t="str">
        <f>formatRow(Tokens!BD$2:BI$2,Tokens!BD1268:BI1268,2,"files")</f>
        <v>"files":[]</v>
      </c>
      <c r="Z1268" s="1"/>
      <c r="AA1268" s="1"/>
      <c r="AB1268" s="1"/>
      <c r="AC1268" s="1" t="str">
        <f>formatRow(Tokens!BJ$2:BK$2,Tokens!BJ1268:BK1268,0,"collection")</f>
        <v>"collection":{"name":"",_x000D_
"family":""}</v>
      </c>
    </row>
    <row r="1269" spans="5:29" ht="14.25" customHeight="1" x14ac:dyDescent="0.25">
      <c r="E1269" s="17" t="str">
        <f>IF(Tokens!C1269="","",Tokens!C1269)</f>
        <v/>
      </c>
      <c r="F1269" s="56"/>
      <c r="G1269" t="s">
        <v>164</v>
      </c>
      <c r="H1269" s="57" t="s">
        <v>165</v>
      </c>
      <c r="I1269" s="2" t="s">
        <v>166</v>
      </c>
      <c r="J1269" s="2" t="s">
        <v>167</v>
      </c>
      <c r="M1269" s="15"/>
      <c r="N1269">
        <v>6.9258811930000004</v>
      </c>
      <c r="O1269" s="15">
        <f t="shared" si="38"/>
        <v>0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1" t="str">
        <f>"owner=" &amp; Tokens!BS1269 &amp; "&amp;filename_for_metadata=" &amp; Tokens!BT1269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6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69" s="1" t="str">
        <f>formatRow(Tokens!C$2:I$2,Tokens!C1269:I1269)</f>
        <v>"name":"",_x000D_
"symbol":"",_x000D_
"description":"",_x000D_
"seller_fee_basis_points":"",_x000D_
"image":"",_x000D_
"Issuer":"",_x000D_
"external_url":""</v>
      </c>
      <c r="W1269" s="1" t="str">
        <f>formatRow(Tokens!J$2:AV$2,Tokens!J1269:AV1269,2,"attributes")</f>
        <v>"attributes":[]</v>
      </c>
      <c r="X1269" s="1" t="str">
        <f>formatRow(Tokens!AX$2:BC$2,Tokens!AX1269:BC1269,2,"creators")</f>
        <v>"creators":[]</v>
      </c>
      <c r="Y1269" s="1" t="str">
        <f>formatRow(Tokens!BD$2:BI$2,Tokens!BD1269:BI1269,2,"files")</f>
        <v>"files":[]</v>
      </c>
      <c r="Z1269" s="1"/>
      <c r="AA1269" s="1"/>
      <c r="AB1269" s="1"/>
      <c r="AC1269" s="1" t="str">
        <f>formatRow(Tokens!BJ$2:BK$2,Tokens!BJ1269:BK1269,0,"collection")</f>
        <v>"collection":{"name":"",_x000D_
"family":""}</v>
      </c>
    </row>
    <row r="1270" spans="5:29" ht="14.25" customHeight="1" x14ac:dyDescent="0.25">
      <c r="E1270" s="17" t="str">
        <f>IF(Tokens!C1270="","",Tokens!C1270)</f>
        <v/>
      </c>
      <c r="F1270" s="56"/>
      <c r="G1270" t="s">
        <v>164</v>
      </c>
      <c r="H1270" s="57" t="s">
        <v>165</v>
      </c>
      <c r="I1270" s="2" t="s">
        <v>166</v>
      </c>
      <c r="J1270" s="2" t="s">
        <v>167</v>
      </c>
      <c r="M1270" s="15"/>
      <c r="N1270">
        <v>6.9258811930000004</v>
      </c>
      <c r="O1270" s="15">
        <f t="shared" si="38"/>
        <v>0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1" t="str">
        <f>"owner=" &amp; Tokens!BS1270 &amp; "&amp;filename_for_metadata=" &amp; Tokens!BT1270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0" s="1" t="str">
        <f>formatRow(Tokens!C$2:I$2,Tokens!C1270:I1270)</f>
        <v>"name":"",_x000D_
"symbol":"",_x000D_
"description":"",_x000D_
"seller_fee_basis_points":"",_x000D_
"image":"",_x000D_
"Issuer":"",_x000D_
"external_url":""</v>
      </c>
      <c r="W1270" s="1" t="str">
        <f>formatRow(Tokens!J$2:AV$2,Tokens!J1270:AV1270,2,"attributes")</f>
        <v>"attributes":[]</v>
      </c>
      <c r="X1270" s="1" t="str">
        <f>formatRow(Tokens!AX$2:BC$2,Tokens!AX1270:BC1270,2,"creators")</f>
        <v>"creators":[]</v>
      </c>
      <c r="Y1270" s="1" t="str">
        <f>formatRow(Tokens!BD$2:BI$2,Tokens!BD1270:BI1270,2,"files")</f>
        <v>"files":[]</v>
      </c>
      <c r="Z1270" s="1"/>
      <c r="AA1270" s="1"/>
      <c r="AB1270" s="1"/>
      <c r="AC1270" s="1" t="str">
        <f>formatRow(Tokens!BJ$2:BK$2,Tokens!BJ1270:BK1270,0,"collection")</f>
        <v>"collection":{"name":"",_x000D_
"family":""}</v>
      </c>
    </row>
    <row r="1271" spans="5:29" ht="14.25" customHeight="1" x14ac:dyDescent="0.25">
      <c r="E1271" s="17" t="str">
        <f>IF(Tokens!C1271="","",Tokens!C1271)</f>
        <v/>
      </c>
      <c r="F1271" s="56"/>
      <c r="G1271" t="s">
        <v>164</v>
      </c>
      <c r="H1271" s="57" t="s">
        <v>165</v>
      </c>
      <c r="I1271" s="2" t="s">
        <v>166</v>
      </c>
      <c r="J1271" s="2" t="s">
        <v>167</v>
      </c>
      <c r="M1271" s="15"/>
      <c r="N1271">
        <v>6.9258811930000004</v>
      </c>
      <c r="O1271" s="15">
        <f t="shared" si="38"/>
        <v>0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1" t="str">
        <f>"owner=" &amp; Tokens!BS1271 &amp; "&amp;filename_for_metadata=" &amp; Tokens!BT1271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1" s="1" t="str">
        <f>formatRow(Tokens!C$2:I$2,Tokens!C1271:I1271)</f>
        <v>"name":"",_x000D_
"symbol":"",_x000D_
"description":"",_x000D_
"seller_fee_basis_points":"",_x000D_
"image":"",_x000D_
"Issuer":"",_x000D_
"external_url":""</v>
      </c>
      <c r="W1271" s="1" t="str">
        <f>formatRow(Tokens!J$2:AV$2,Tokens!J1271:AV1271,2,"attributes")</f>
        <v>"attributes":[]</v>
      </c>
      <c r="X1271" s="1" t="str">
        <f>formatRow(Tokens!AX$2:BC$2,Tokens!AX1271:BC1271,2,"creators")</f>
        <v>"creators":[]</v>
      </c>
      <c r="Y1271" s="1" t="str">
        <f>formatRow(Tokens!BD$2:BI$2,Tokens!BD1271:BI1271,2,"files")</f>
        <v>"files":[]</v>
      </c>
      <c r="Z1271" s="1"/>
      <c r="AA1271" s="1"/>
      <c r="AB1271" s="1"/>
      <c r="AC1271" s="1" t="str">
        <f>formatRow(Tokens!BJ$2:BK$2,Tokens!BJ1271:BK1271,0,"collection")</f>
        <v>"collection":{"name":"",_x000D_
"family":""}</v>
      </c>
    </row>
    <row r="1272" spans="5:29" ht="14.25" customHeight="1" x14ac:dyDescent="0.25">
      <c r="E1272" s="17" t="str">
        <f>IF(Tokens!C1272="","",Tokens!C1272)</f>
        <v/>
      </c>
      <c r="F1272" s="56"/>
      <c r="G1272" t="s">
        <v>164</v>
      </c>
      <c r="H1272" s="57" t="s">
        <v>165</v>
      </c>
      <c r="I1272" s="2" t="s">
        <v>166</v>
      </c>
      <c r="J1272" s="2" t="s">
        <v>167</v>
      </c>
      <c r="M1272" s="15"/>
      <c r="N1272">
        <v>6.9258811930000004</v>
      </c>
      <c r="O1272" s="15">
        <f t="shared" si="38"/>
        <v>0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1" t="str">
        <f>"owner=" &amp; Tokens!BS1272 &amp; "&amp;filename_for_metadata=" &amp; Tokens!BT1272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2" s="1" t="str">
        <f>formatRow(Tokens!C$2:I$2,Tokens!C1272:I1272)</f>
        <v>"name":"",_x000D_
"symbol":"",_x000D_
"description":"",_x000D_
"seller_fee_basis_points":"",_x000D_
"image":"",_x000D_
"Issuer":"",_x000D_
"external_url":""</v>
      </c>
      <c r="W1272" s="1" t="str">
        <f>formatRow(Tokens!J$2:AV$2,Tokens!J1272:AV1272,2,"attributes")</f>
        <v>"attributes":[]</v>
      </c>
      <c r="X1272" s="1" t="str">
        <f>formatRow(Tokens!AX$2:BC$2,Tokens!AX1272:BC1272,2,"creators")</f>
        <v>"creators":[]</v>
      </c>
      <c r="Y1272" s="1" t="str">
        <f>formatRow(Tokens!BD$2:BI$2,Tokens!BD1272:BI1272,2,"files")</f>
        <v>"files":[]</v>
      </c>
      <c r="Z1272" s="1"/>
      <c r="AA1272" s="1"/>
      <c r="AB1272" s="1"/>
      <c r="AC1272" s="1" t="str">
        <f>formatRow(Tokens!BJ$2:BK$2,Tokens!BJ1272:BK1272,0,"collection")</f>
        <v>"collection":{"name":"",_x000D_
"family":""}</v>
      </c>
    </row>
    <row r="1273" spans="5:29" ht="14.25" customHeight="1" x14ac:dyDescent="0.25">
      <c r="E1273" s="17" t="str">
        <f>IF(Tokens!C1273="","",Tokens!C1273)</f>
        <v/>
      </c>
      <c r="F1273" s="56"/>
      <c r="G1273" t="s">
        <v>164</v>
      </c>
      <c r="H1273" s="57" t="s">
        <v>165</v>
      </c>
      <c r="I1273" s="2" t="s">
        <v>166</v>
      </c>
      <c r="J1273" s="2" t="s">
        <v>167</v>
      </c>
      <c r="M1273" s="15"/>
      <c r="N1273">
        <v>6.9258811930000004</v>
      </c>
      <c r="O1273" s="15">
        <f t="shared" si="38"/>
        <v>0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1" t="str">
        <f>"owner=" &amp; Tokens!BS1273 &amp; "&amp;filename_for_metadata=" &amp; Tokens!BT1273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3" s="1" t="str">
        <f>formatRow(Tokens!C$2:I$2,Tokens!C1273:I1273)</f>
        <v>"name":"",_x000D_
"symbol":"",_x000D_
"description":"",_x000D_
"seller_fee_basis_points":"",_x000D_
"image":"",_x000D_
"Issuer":"",_x000D_
"external_url":""</v>
      </c>
      <c r="W1273" s="1" t="str">
        <f>formatRow(Tokens!J$2:AV$2,Tokens!J1273:AV1273,2,"attributes")</f>
        <v>"attributes":[]</v>
      </c>
      <c r="X1273" s="1" t="str">
        <f>formatRow(Tokens!AX$2:BC$2,Tokens!AX1273:BC1273,2,"creators")</f>
        <v>"creators":[]</v>
      </c>
      <c r="Y1273" s="1" t="str">
        <f>formatRow(Tokens!BD$2:BI$2,Tokens!BD1273:BI1273,2,"files")</f>
        <v>"files":[]</v>
      </c>
      <c r="Z1273" s="1"/>
      <c r="AA1273" s="1"/>
      <c r="AB1273" s="1"/>
      <c r="AC1273" s="1" t="str">
        <f>formatRow(Tokens!BJ$2:BK$2,Tokens!BJ1273:BK1273,0,"collection")</f>
        <v>"collection":{"name":"",_x000D_
"family":""}</v>
      </c>
    </row>
    <row r="1274" spans="5:29" ht="14.25" customHeight="1" x14ac:dyDescent="0.25">
      <c r="E1274" s="17" t="str">
        <f>IF(Tokens!C1274="","",Tokens!C1274)</f>
        <v/>
      </c>
      <c r="F1274" s="56"/>
      <c r="G1274" t="s">
        <v>164</v>
      </c>
      <c r="H1274" s="57" t="s">
        <v>165</v>
      </c>
      <c r="I1274" s="2" t="s">
        <v>166</v>
      </c>
      <c r="J1274" s="2" t="s">
        <v>167</v>
      </c>
      <c r="M1274" s="15"/>
      <c r="N1274">
        <v>6.9258811930000004</v>
      </c>
      <c r="O1274" s="15">
        <f t="shared" si="38"/>
        <v>0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1" t="str">
        <f>"owner=" &amp; Tokens!BS1274 &amp; "&amp;filename_for_metadata=" &amp; Tokens!BT1274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4" s="1" t="str">
        <f>formatRow(Tokens!C$2:I$2,Tokens!C1274:I1274)</f>
        <v>"name":"",_x000D_
"symbol":"",_x000D_
"description":"",_x000D_
"seller_fee_basis_points":"",_x000D_
"image":"",_x000D_
"Issuer":"",_x000D_
"external_url":""</v>
      </c>
      <c r="W1274" s="1" t="str">
        <f>formatRow(Tokens!J$2:AV$2,Tokens!J1274:AV1274,2,"attributes")</f>
        <v>"attributes":[]</v>
      </c>
      <c r="X1274" s="1" t="str">
        <f>formatRow(Tokens!AX$2:BC$2,Tokens!AX1274:BC1274,2,"creators")</f>
        <v>"creators":[]</v>
      </c>
      <c r="Y1274" s="1" t="str">
        <f>formatRow(Tokens!BD$2:BI$2,Tokens!BD1274:BI1274,2,"files")</f>
        <v>"files":[]</v>
      </c>
      <c r="Z1274" s="1"/>
      <c r="AA1274" s="1"/>
      <c r="AB1274" s="1"/>
      <c r="AC1274" s="1" t="str">
        <f>formatRow(Tokens!BJ$2:BK$2,Tokens!BJ1274:BK1274,0,"collection")</f>
        <v>"collection":{"name":"",_x000D_
"family":""}</v>
      </c>
    </row>
    <row r="1275" spans="5:29" ht="14.25" customHeight="1" x14ac:dyDescent="0.25">
      <c r="E1275" s="17" t="str">
        <f>IF(Tokens!C1275="","",Tokens!C1275)</f>
        <v/>
      </c>
      <c r="F1275" s="56"/>
      <c r="G1275" t="s">
        <v>164</v>
      </c>
      <c r="H1275" s="57" t="s">
        <v>165</v>
      </c>
      <c r="I1275" s="2" t="s">
        <v>166</v>
      </c>
      <c r="J1275" s="2" t="s">
        <v>167</v>
      </c>
      <c r="M1275" s="15"/>
      <c r="N1275">
        <v>6.9258811930000004</v>
      </c>
      <c r="O1275" s="15">
        <f t="shared" si="38"/>
        <v>0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1" t="str">
        <f>"owner=" &amp; Tokens!BS1275 &amp; "&amp;filename_for_metadata=" &amp; Tokens!BT1275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5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5" s="1" t="str">
        <f>formatRow(Tokens!C$2:I$2,Tokens!C1275:I1275)</f>
        <v>"name":"",_x000D_
"symbol":"",_x000D_
"description":"",_x000D_
"seller_fee_basis_points":"",_x000D_
"image":"",_x000D_
"Issuer":"",_x000D_
"external_url":""</v>
      </c>
      <c r="W1275" s="1" t="str">
        <f>formatRow(Tokens!J$2:AV$2,Tokens!J1275:AV1275,2,"attributes")</f>
        <v>"attributes":[]</v>
      </c>
      <c r="X1275" s="1" t="str">
        <f>formatRow(Tokens!AX$2:BC$2,Tokens!AX1275:BC1275,2,"creators")</f>
        <v>"creators":[]</v>
      </c>
      <c r="Y1275" s="1" t="str">
        <f>formatRow(Tokens!BD$2:BI$2,Tokens!BD1275:BI1275,2,"files")</f>
        <v>"files":[]</v>
      </c>
      <c r="Z1275" s="1"/>
      <c r="AA1275" s="1"/>
      <c r="AB1275" s="1"/>
      <c r="AC1275" s="1" t="str">
        <f>formatRow(Tokens!BJ$2:BK$2,Tokens!BJ1275:BK1275,0,"collection")</f>
        <v>"collection":{"name":"",_x000D_
"family":""}</v>
      </c>
    </row>
    <row r="1276" spans="5:29" ht="14.25" customHeight="1" x14ac:dyDescent="0.25">
      <c r="E1276" s="17" t="str">
        <f>IF(Tokens!C1276="","",Tokens!C1276)</f>
        <v/>
      </c>
      <c r="F1276" s="56"/>
      <c r="G1276" t="s">
        <v>164</v>
      </c>
      <c r="H1276" s="57" t="s">
        <v>165</v>
      </c>
      <c r="I1276" s="2" t="s">
        <v>166</v>
      </c>
      <c r="J1276" s="2" t="s">
        <v>167</v>
      </c>
      <c r="M1276" s="15"/>
      <c r="N1276">
        <v>6.9258811930000004</v>
      </c>
      <c r="O1276" s="15">
        <f t="shared" si="38"/>
        <v>0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1" t="str">
        <f>"owner=" &amp; Tokens!BS1276 &amp; "&amp;filename_for_metadata=" &amp; Tokens!BT1276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6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6" s="1" t="str">
        <f>formatRow(Tokens!C$2:I$2,Tokens!C1276:I1276)</f>
        <v>"name":"",_x000D_
"symbol":"",_x000D_
"description":"",_x000D_
"seller_fee_basis_points":"",_x000D_
"image":"",_x000D_
"Issuer":"",_x000D_
"external_url":""</v>
      </c>
      <c r="W1276" s="1" t="str">
        <f>formatRow(Tokens!J$2:AV$2,Tokens!J1276:AV1276,2,"attributes")</f>
        <v>"attributes":[]</v>
      </c>
      <c r="X1276" s="1" t="str">
        <f>formatRow(Tokens!AX$2:BC$2,Tokens!AX1276:BC1276,2,"creators")</f>
        <v>"creators":[]</v>
      </c>
      <c r="Y1276" s="1" t="str">
        <f>formatRow(Tokens!BD$2:BI$2,Tokens!BD1276:BI1276,2,"files")</f>
        <v>"files":[]</v>
      </c>
      <c r="Z1276" s="1"/>
      <c r="AA1276" s="1"/>
      <c r="AB1276" s="1"/>
      <c r="AC1276" s="1" t="str">
        <f>formatRow(Tokens!BJ$2:BK$2,Tokens!BJ1276:BK1276,0,"collection")</f>
        <v>"collection":{"name":"",_x000D_
"family":""}</v>
      </c>
    </row>
    <row r="1277" spans="5:29" ht="14.25" customHeight="1" x14ac:dyDescent="0.25">
      <c r="E1277" s="17" t="str">
        <f>IF(Tokens!C1277="","",Tokens!C1277)</f>
        <v/>
      </c>
      <c r="F1277" s="56"/>
      <c r="G1277" t="s">
        <v>164</v>
      </c>
      <c r="H1277" s="57" t="s">
        <v>165</v>
      </c>
      <c r="I1277" s="2" t="s">
        <v>166</v>
      </c>
      <c r="J1277" s="2" t="s">
        <v>167</v>
      </c>
      <c r="M1277" s="15"/>
      <c r="N1277">
        <v>6.9258811930000004</v>
      </c>
      <c r="O1277" s="15">
        <f t="shared" si="38"/>
        <v>0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1" t="str">
        <f>"owner=" &amp; Tokens!BS1277 &amp; "&amp;filename_for_metadata=" &amp; Tokens!BT1277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7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7" s="1" t="str">
        <f>formatRow(Tokens!C$2:I$2,Tokens!C1277:I1277)</f>
        <v>"name":"",_x000D_
"symbol":"",_x000D_
"description":"",_x000D_
"seller_fee_basis_points":"",_x000D_
"image":"",_x000D_
"Issuer":"",_x000D_
"external_url":""</v>
      </c>
      <c r="W1277" s="1" t="str">
        <f>formatRow(Tokens!J$2:AV$2,Tokens!J1277:AV1277,2,"attributes")</f>
        <v>"attributes":[]</v>
      </c>
      <c r="X1277" s="1" t="str">
        <f>formatRow(Tokens!AX$2:BC$2,Tokens!AX1277:BC1277,2,"creators")</f>
        <v>"creators":[]</v>
      </c>
      <c r="Y1277" s="1" t="str">
        <f>formatRow(Tokens!BD$2:BI$2,Tokens!BD1277:BI1277,2,"files")</f>
        <v>"files":[]</v>
      </c>
      <c r="Z1277" s="1"/>
      <c r="AA1277" s="1"/>
      <c r="AB1277" s="1"/>
      <c r="AC1277" s="1" t="str">
        <f>formatRow(Tokens!BJ$2:BK$2,Tokens!BJ1277:BK1277,0,"collection")</f>
        <v>"collection":{"name":"",_x000D_
"family":""}</v>
      </c>
    </row>
    <row r="1278" spans="5:29" ht="14.25" customHeight="1" x14ac:dyDescent="0.25">
      <c r="E1278" s="17" t="str">
        <f>IF(Tokens!C1278="","",Tokens!C1278)</f>
        <v/>
      </c>
      <c r="F1278" s="56"/>
      <c r="G1278" t="s">
        <v>164</v>
      </c>
      <c r="H1278" s="57" t="s">
        <v>165</v>
      </c>
      <c r="I1278" s="2" t="s">
        <v>166</v>
      </c>
      <c r="J1278" s="2" t="s">
        <v>167</v>
      </c>
      <c r="M1278" s="15"/>
      <c r="N1278">
        <v>6.9258811930000004</v>
      </c>
      <c r="O1278" s="15">
        <f t="shared" si="38"/>
        <v>0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1" t="str">
        <f>"owner=" &amp; Tokens!BS1278 &amp; "&amp;filename_for_metadata=" &amp; Tokens!BT1278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8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8" s="1" t="str">
        <f>formatRow(Tokens!C$2:I$2,Tokens!C1278:I1278)</f>
        <v>"name":"",_x000D_
"symbol":"",_x000D_
"description":"",_x000D_
"seller_fee_basis_points":"",_x000D_
"image":"",_x000D_
"Issuer":"",_x000D_
"external_url":""</v>
      </c>
      <c r="W1278" s="1" t="str">
        <f>formatRow(Tokens!J$2:AV$2,Tokens!J1278:AV1278,2,"attributes")</f>
        <v>"attributes":[]</v>
      </c>
      <c r="X1278" s="1" t="str">
        <f>formatRow(Tokens!AX$2:BC$2,Tokens!AX1278:BC1278,2,"creators")</f>
        <v>"creators":[]</v>
      </c>
      <c r="Y1278" s="1" t="str">
        <f>formatRow(Tokens!BD$2:BI$2,Tokens!BD1278:BI1278,2,"files")</f>
        <v>"files":[]</v>
      </c>
      <c r="Z1278" s="1"/>
      <c r="AA1278" s="1"/>
      <c r="AB1278" s="1"/>
      <c r="AC1278" s="1" t="str">
        <f>formatRow(Tokens!BJ$2:BK$2,Tokens!BJ1278:BK1278,0,"collection")</f>
        <v>"collection":{"name":"",_x000D_
"family":""}</v>
      </c>
    </row>
    <row r="1279" spans="5:29" ht="14.25" customHeight="1" x14ac:dyDescent="0.25">
      <c r="E1279" s="17" t="str">
        <f>IF(Tokens!C1279="","",Tokens!C1279)</f>
        <v/>
      </c>
      <c r="F1279" s="56"/>
      <c r="G1279" t="s">
        <v>164</v>
      </c>
      <c r="H1279" s="57" t="s">
        <v>165</v>
      </c>
      <c r="I1279" s="2" t="s">
        <v>166</v>
      </c>
      <c r="J1279" s="2" t="s">
        <v>167</v>
      </c>
      <c r="M1279" s="15"/>
      <c r="N1279">
        <v>6.9258811930000004</v>
      </c>
      <c r="O1279" s="15">
        <f t="shared" si="38"/>
        <v>0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1" t="str">
        <f>"owner=" &amp; Tokens!BS1279 &amp; "&amp;filename_for_metadata=" &amp; Tokens!BT1279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79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79" s="1" t="str">
        <f>formatRow(Tokens!C$2:I$2,Tokens!C1279:I1279)</f>
        <v>"name":"",_x000D_
"symbol":"",_x000D_
"description":"",_x000D_
"seller_fee_basis_points":"",_x000D_
"image":"",_x000D_
"Issuer":"",_x000D_
"external_url":""</v>
      </c>
      <c r="W1279" s="1" t="str">
        <f>formatRow(Tokens!J$2:AV$2,Tokens!J1279:AV1279,2,"attributes")</f>
        <v>"attributes":[]</v>
      </c>
      <c r="X1279" s="1" t="str">
        <f>formatRow(Tokens!AX$2:BC$2,Tokens!AX1279:BC1279,2,"creators")</f>
        <v>"creators":[]</v>
      </c>
      <c r="Y1279" s="1" t="str">
        <f>formatRow(Tokens!BD$2:BI$2,Tokens!BD1279:BI1279,2,"files")</f>
        <v>"files":[]</v>
      </c>
      <c r="Z1279" s="1"/>
      <c r="AA1279" s="1"/>
      <c r="AB1279" s="1"/>
      <c r="AC1279" s="1" t="str">
        <f>formatRow(Tokens!BJ$2:BK$2,Tokens!BJ1279:BK1279,0,"collection")</f>
        <v>"collection":{"name":"",_x000D_
"family":""}</v>
      </c>
    </row>
    <row r="1280" spans="5:29" ht="14.25" customHeight="1" x14ac:dyDescent="0.25">
      <c r="E1280" s="17" t="str">
        <f>IF(Tokens!C1280="","",Tokens!C1280)</f>
        <v/>
      </c>
      <c r="F1280" s="56"/>
      <c r="G1280" t="s">
        <v>164</v>
      </c>
      <c r="H1280" s="57" t="s">
        <v>165</v>
      </c>
      <c r="I1280" s="2" t="s">
        <v>166</v>
      </c>
      <c r="J1280" s="2" t="s">
        <v>167</v>
      </c>
      <c r="M1280" s="15"/>
      <c r="N1280">
        <v>6.9258811930000004</v>
      </c>
      <c r="O1280" s="15">
        <f t="shared" si="38"/>
        <v>0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1" t="str">
        <f>"owner=" &amp; Tokens!BS1280 &amp; "&amp;filename_for_metadata=" &amp; Tokens!BT1280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0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0" s="1" t="str">
        <f>formatRow(Tokens!C$2:I$2,Tokens!C1280:I1280)</f>
        <v>"name":"",_x000D_
"symbol":"",_x000D_
"description":"",_x000D_
"seller_fee_basis_points":"",_x000D_
"image":"",_x000D_
"Issuer":"",_x000D_
"external_url":""</v>
      </c>
      <c r="W1280" s="1" t="str">
        <f>formatRow(Tokens!J$2:AV$2,Tokens!J1280:AV1280,2,"attributes")</f>
        <v>"attributes":[]</v>
      </c>
      <c r="X1280" s="1" t="str">
        <f>formatRow(Tokens!AX$2:BC$2,Tokens!AX1280:BC1280,2,"creators")</f>
        <v>"creators":[]</v>
      </c>
      <c r="Y1280" s="1" t="str">
        <f>formatRow(Tokens!BD$2:BI$2,Tokens!BD1280:BI1280,2,"files")</f>
        <v>"files":[]</v>
      </c>
      <c r="Z1280" s="1"/>
      <c r="AA1280" s="1"/>
      <c r="AB1280" s="1"/>
      <c r="AC1280" s="1" t="str">
        <f>formatRow(Tokens!BJ$2:BK$2,Tokens!BJ1280:BK1280,0,"collection")</f>
        <v>"collection":{"name":"",_x000D_
"family":""}</v>
      </c>
    </row>
    <row r="1281" spans="5:29" ht="14.25" customHeight="1" x14ac:dyDescent="0.25">
      <c r="E1281" s="17" t="str">
        <f>IF(Tokens!C1281="","",Tokens!C1281)</f>
        <v/>
      </c>
      <c r="F1281" s="56"/>
      <c r="G1281" t="s">
        <v>164</v>
      </c>
      <c r="H1281" s="57" t="s">
        <v>165</v>
      </c>
      <c r="I1281" s="2" t="s">
        <v>166</v>
      </c>
      <c r="J1281" s="2" t="s">
        <v>167</v>
      </c>
      <c r="M1281" s="15"/>
      <c r="N1281">
        <v>6.9258811930000004</v>
      </c>
      <c r="O1281" s="15">
        <f t="shared" si="38"/>
        <v>0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1" t="str">
        <f>"owner=" &amp; Tokens!BS1281 &amp; "&amp;filename_for_metadata=" &amp; Tokens!BT1281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1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1" s="1" t="str">
        <f>formatRow(Tokens!C$2:I$2,Tokens!C1281:I1281)</f>
        <v>"name":"",_x000D_
"symbol":"",_x000D_
"description":"",_x000D_
"seller_fee_basis_points":"",_x000D_
"image":"",_x000D_
"Issuer":"",_x000D_
"external_url":""</v>
      </c>
      <c r="W1281" s="1" t="str">
        <f>formatRow(Tokens!J$2:AV$2,Tokens!J1281:AV1281,2,"attributes")</f>
        <v>"attributes":[]</v>
      </c>
      <c r="X1281" s="1" t="str">
        <f>formatRow(Tokens!AX$2:BC$2,Tokens!AX1281:BC1281,2,"creators")</f>
        <v>"creators":[]</v>
      </c>
      <c r="Y1281" s="1" t="str">
        <f>formatRow(Tokens!BD$2:BI$2,Tokens!BD1281:BI1281,2,"files")</f>
        <v>"files":[]</v>
      </c>
      <c r="Z1281" s="1"/>
      <c r="AA1281" s="1"/>
      <c r="AB1281" s="1"/>
      <c r="AC1281" s="1" t="str">
        <f>formatRow(Tokens!BJ$2:BK$2,Tokens!BJ1281:BK1281,0,"collection")</f>
        <v>"collection":{"name":"",_x000D_
"family":""}</v>
      </c>
    </row>
    <row r="1282" spans="5:29" ht="14.25" customHeight="1" x14ac:dyDescent="0.25">
      <c r="E1282" s="17" t="str">
        <f>IF(Tokens!C1282="","",Tokens!C1282)</f>
        <v/>
      </c>
      <c r="F1282" s="56"/>
      <c r="G1282" t="s">
        <v>164</v>
      </c>
      <c r="H1282" s="57" t="s">
        <v>165</v>
      </c>
      <c r="I1282" s="2" t="s">
        <v>166</v>
      </c>
      <c r="J1282" s="2" t="s">
        <v>167</v>
      </c>
      <c r="M1282" s="15"/>
      <c r="N1282">
        <v>6.9258811930000004</v>
      </c>
      <c r="O1282" s="15">
        <f t="shared" si="38"/>
        <v>0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1" t="str">
        <f>"owner=" &amp; Tokens!BS1282 &amp; "&amp;filename_for_metadata=" &amp; Tokens!BT1282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2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2" s="1" t="str">
        <f>formatRow(Tokens!C$2:I$2,Tokens!C1282:I1282)</f>
        <v>"name":"",_x000D_
"symbol":"",_x000D_
"description":"",_x000D_
"seller_fee_basis_points":"",_x000D_
"image":"",_x000D_
"Issuer":"",_x000D_
"external_url":""</v>
      </c>
      <c r="W1282" s="1" t="str">
        <f>formatRow(Tokens!J$2:AV$2,Tokens!J1282:AV1282,2,"attributes")</f>
        <v>"attributes":[]</v>
      </c>
      <c r="X1282" s="1" t="str">
        <f>formatRow(Tokens!AX$2:BC$2,Tokens!AX1282:BC1282,2,"creators")</f>
        <v>"creators":[]</v>
      </c>
      <c r="Y1282" s="1" t="str">
        <f>formatRow(Tokens!BD$2:BI$2,Tokens!BD1282:BI1282,2,"files")</f>
        <v>"files":[]</v>
      </c>
      <c r="Z1282" s="1"/>
      <c r="AA1282" s="1"/>
      <c r="AB1282" s="1"/>
      <c r="AC1282" s="1" t="str">
        <f>formatRow(Tokens!BJ$2:BK$2,Tokens!BJ1282:BK1282,0,"collection")</f>
        <v>"collection":{"name":"",_x000D_
"family":""}</v>
      </c>
    </row>
    <row r="1283" spans="5:29" ht="14.25" customHeight="1" x14ac:dyDescent="0.25">
      <c r="E1283" s="17" t="str">
        <f>IF(Tokens!C1283="","",Tokens!C1283)</f>
        <v/>
      </c>
      <c r="F1283" s="56"/>
      <c r="G1283" t="s">
        <v>164</v>
      </c>
      <c r="H1283" s="57" t="s">
        <v>165</v>
      </c>
      <c r="I1283" s="2" t="s">
        <v>166</v>
      </c>
      <c r="J1283" s="2" t="s">
        <v>167</v>
      </c>
      <c r="M1283" s="15"/>
      <c r="N1283">
        <v>6.9258811930000004</v>
      </c>
      <c r="O1283" s="15">
        <f t="shared" si="38"/>
        <v>0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1" t="str">
        <f>"owner=" &amp; Tokens!BS1283 &amp; "&amp;filename_for_metadata=" &amp; Tokens!BT1283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3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3" s="1" t="str">
        <f>formatRow(Tokens!C$2:I$2,Tokens!C1283:I1283)</f>
        <v>"name":"",_x000D_
"symbol":"",_x000D_
"description":"",_x000D_
"seller_fee_basis_points":"",_x000D_
"image":"",_x000D_
"Issuer":"",_x000D_
"external_url":""</v>
      </c>
      <c r="W1283" s="1" t="str">
        <f>formatRow(Tokens!J$2:AV$2,Tokens!J1283:AV1283,2,"attributes")</f>
        <v>"attributes":[]</v>
      </c>
      <c r="X1283" s="1" t="str">
        <f>formatRow(Tokens!AX$2:BC$2,Tokens!AX1283:BC1283,2,"creators")</f>
        <v>"creators":[]</v>
      </c>
      <c r="Y1283" s="1" t="str">
        <f>formatRow(Tokens!BD$2:BI$2,Tokens!BD1283:BI1283,2,"files")</f>
        <v>"files":[]</v>
      </c>
      <c r="Z1283" s="1"/>
      <c r="AA1283" s="1"/>
      <c r="AB1283" s="1"/>
      <c r="AC1283" s="1" t="str">
        <f>formatRow(Tokens!BJ$2:BK$2,Tokens!BJ1283:BK1283,0,"collection")</f>
        <v>"collection":{"name":"",_x000D_
"family":""}</v>
      </c>
    </row>
    <row r="1284" spans="5:29" ht="14.25" customHeight="1" x14ac:dyDescent="0.25">
      <c r="E1284" s="17" t="str">
        <f>IF(Tokens!C1284="","",Tokens!C1284)</f>
        <v/>
      </c>
      <c r="F1284" s="56"/>
      <c r="G1284" t="s">
        <v>164</v>
      </c>
      <c r="H1284" s="57" t="s">
        <v>165</v>
      </c>
      <c r="I1284" s="2" t="s">
        <v>166</v>
      </c>
      <c r="J1284" s="2" t="s">
        <v>167</v>
      </c>
      <c r="M1284" s="15"/>
      <c r="N1284">
        <v>6.9258811930000004</v>
      </c>
      <c r="O1284" s="15">
        <f t="shared" ref="O1284:O1347" si="40">IF(AND(ISNUMBER(N1283),ISNUMBER(N1284)),(N1284-N1283)*$O$1,"_")</f>
        <v>0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1" t="str">
        <f>"owner=" &amp; Tokens!BS1284 &amp; "&amp;filename_for_metadata=" &amp; Tokens!BT1284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4" s="1" t="str">
        <f t="shared" si="39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4" s="1" t="str">
        <f>formatRow(Tokens!C$2:I$2,Tokens!C1284:I1284)</f>
        <v>"name":"",_x000D_
"symbol":"",_x000D_
"description":"",_x000D_
"seller_fee_basis_points":"",_x000D_
"image":"",_x000D_
"Issuer":"",_x000D_
"external_url":""</v>
      </c>
      <c r="W1284" s="1" t="str">
        <f>formatRow(Tokens!J$2:AV$2,Tokens!J1284:AV1284,2,"attributes")</f>
        <v>"attributes":[]</v>
      </c>
      <c r="X1284" s="1" t="str">
        <f>formatRow(Tokens!AX$2:BC$2,Tokens!AX1284:BC1284,2,"creators")</f>
        <v>"creators":[]</v>
      </c>
      <c r="Y1284" s="1" t="str">
        <f>formatRow(Tokens!BD$2:BI$2,Tokens!BD1284:BI1284,2,"files")</f>
        <v>"files":[]</v>
      </c>
      <c r="Z1284" s="1"/>
      <c r="AA1284" s="1"/>
      <c r="AB1284" s="1"/>
      <c r="AC1284" s="1" t="str">
        <f>formatRow(Tokens!BJ$2:BK$2,Tokens!BJ1284:BK1284,0,"collection")</f>
        <v>"collection":{"name":"",_x000D_
"family":""}</v>
      </c>
    </row>
    <row r="1285" spans="5:29" ht="14.25" customHeight="1" x14ac:dyDescent="0.25">
      <c r="E1285" s="17" t="str">
        <f>IF(Tokens!C1285="","",Tokens!C1285)</f>
        <v/>
      </c>
      <c r="F1285" s="56"/>
      <c r="G1285" t="s">
        <v>164</v>
      </c>
      <c r="H1285" s="57" t="s">
        <v>165</v>
      </c>
      <c r="I1285" s="2" t="s">
        <v>166</v>
      </c>
      <c r="J1285" s="2" t="s">
        <v>167</v>
      </c>
      <c r="M1285" s="15"/>
      <c r="N1285">
        <v>6.9258811930000004</v>
      </c>
      <c r="O1285" s="15">
        <f t="shared" si="40"/>
        <v>0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1" t="str">
        <f>"owner=" &amp; Tokens!BS1285 &amp; "&amp;filename_for_metadata=" &amp; Tokens!BT1285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5" s="1" t="str">
        <f t="shared" ref="U1285:U1348" si="41">"{" &amp; V1285 &amp; "," &amp; W1285 &amp; "," &amp; """properties"":{" &amp; X1285 &amp; "," &amp; Y1285 &amp; "}," &amp; AC1285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5" s="1" t="str">
        <f>formatRow(Tokens!C$2:I$2,Tokens!C1285:I1285)</f>
        <v>"name":"",_x000D_
"symbol":"",_x000D_
"description":"",_x000D_
"seller_fee_basis_points":"",_x000D_
"image":"",_x000D_
"Issuer":"",_x000D_
"external_url":""</v>
      </c>
      <c r="W1285" s="1" t="str">
        <f>formatRow(Tokens!J$2:AV$2,Tokens!J1285:AV1285,2,"attributes")</f>
        <v>"attributes":[]</v>
      </c>
      <c r="X1285" s="1" t="str">
        <f>formatRow(Tokens!AX$2:BC$2,Tokens!AX1285:BC1285,2,"creators")</f>
        <v>"creators":[]</v>
      </c>
      <c r="Y1285" s="1" t="str">
        <f>formatRow(Tokens!BD$2:BI$2,Tokens!BD1285:BI1285,2,"files")</f>
        <v>"files":[]</v>
      </c>
      <c r="Z1285" s="1"/>
      <c r="AA1285" s="1"/>
      <c r="AB1285" s="1"/>
      <c r="AC1285" s="1" t="str">
        <f>formatRow(Tokens!BJ$2:BK$2,Tokens!BJ1285:BK1285,0,"collection")</f>
        <v>"collection":{"name":"",_x000D_
"family":""}</v>
      </c>
    </row>
    <row r="1286" spans="5:29" ht="14.25" customHeight="1" x14ac:dyDescent="0.25">
      <c r="E1286" s="17" t="str">
        <f>IF(Tokens!C1286="","",Tokens!C1286)</f>
        <v/>
      </c>
      <c r="F1286" s="56"/>
      <c r="G1286" t="s">
        <v>164</v>
      </c>
      <c r="H1286" s="57" t="s">
        <v>165</v>
      </c>
      <c r="I1286" s="2" t="s">
        <v>166</v>
      </c>
      <c r="J1286" s="2" t="s">
        <v>167</v>
      </c>
      <c r="M1286" s="15"/>
      <c r="N1286">
        <v>6.9258811930000004</v>
      </c>
      <c r="O1286" s="15">
        <f t="shared" si="40"/>
        <v>0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1" t="str">
        <f>"owner=" &amp; Tokens!BS1286 &amp; "&amp;filename_for_metadata=" &amp; Tokens!BT1286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6" s="1" t="str">
        <f>formatRow(Tokens!C$2:I$2,Tokens!C1286:I1286)</f>
        <v>"name":"",_x000D_
"symbol":"",_x000D_
"description":"",_x000D_
"seller_fee_basis_points":"",_x000D_
"image":"",_x000D_
"Issuer":"",_x000D_
"external_url":""</v>
      </c>
      <c r="W1286" s="1" t="str">
        <f>formatRow(Tokens!J$2:AV$2,Tokens!J1286:AV1286,2,"attributes")</f>
        <v>"attributes":[]</v>
      </c>
      <c r="X1286" s="1" t="str">
        <f>formatRow(Tokens!AX$2:BC$2,Tokens!AX1286:BC1286,2,"creators")</f>
        <v>"creators":[]</v>
      </c>
      <c r="Y1286" s="1" t="str">
        <f>formatRow(Tokens!BD$2:BI$2,Tokens!BD1286:BI1286,2,"files")</f>
        <v>"files":[]</v>
      </c>
      <c r="Z1286" s="1"/>
      <c r="AA1286" s="1"/>
      <c r="AB1286" s="1"/>
      <c r="AC1286" s="1" t="str">
        <f>formatRow(Tokens!BJ$2:BK$2,Tokens!BJ1286:BK1286,0,"collection")</f>
        <v>"collection":{"name":"",_x000D_
"family":""}</v>
      </c>
    </row>
    <row r="1287" spans="5:29" ht="14.25" customHeight="1" x14ac:dyDescent="0.25">
      <c r="E1287" s="17" t="str">
        <f>IF(Tokens!C1287="","",Tokens!C1287)</f>
        <v/>
      </c>
      <c r="F1287" s="56"/>
      <c r="G1287" t="s">
        <v>164</v>
      </c>
      <c r="H1287" s="57" t="s">
        <v>165</v>
      </c>
      <c r="I1287" s="2" t="s">
        <v>166</v>
      </c>
      <c r="J1287" s="2" t="s">
        <v>167</v>
      </c>
      <c r="M1287" s="15"/>
      <c r="N1287">
        <v>6.9258811930000004</v>
      </c>
      <c r="O1287" s="15">
        <f t="shared" si="40"/>
        <v>0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1" t="str">
        <f>"owner=" &amp; Tokens!BS1287 &amp; "&amp;filename_for_metadata=" &amp; Tokens!BT1287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7" s="1" t="str">
        <f>formatRow(Tokens!C$2:I$2,Tokens!C1287:I1287)</f>
        <v>"name":"",_x000D_
"symbol":"",_x000D_
"description":"",_x000D_
"seller_fee_basis_points":"",_x000D_
"image":"",_x000D_
"Issuer":"",_x000D_
"external_url":""</v>
      </c>
      <c r="W1287" s="1" t="str">
        <f>formatRow(Tokens!J$2:AV$2,Tokens!J1287:AV1287,2,"attributes")</f>
        <v>"attributes":[]</v>
      </c>
      <c r="X1287" s="1" t="str">
        <f>formatRow(Tokens!AX$2:BC$2,Tokens!AX1287:BC1287,2,"creators")</f>
        <v>"creators":[]</v>
      </c>
      <c r="Y1287" s="1" t="str">
        <f>formatRow(Tokens!BD$2:BI$2,Tokens!BD1287:BI1287,2,"files")</f>
        <v>"files":[]</v>
      </c>
      <c r="Z1287" s="1"/>
      <c r="AA1287" s="1"/>
      <c r="AB1287" s="1"/>
      <c r="AC1287" s="1" t="str">
        <f>formatRow(Tokens!BJ$2:BK$2,Tokens!BJ1287:BK1287,0,"collection")</f>
        <v>"collection":{"name":"",_x000D_
"family":""}</v>
      </c>
    </row>
    <row r="1288" spans="5:29" ht="14.25" customHeight="1" x14ac:dyDescent="0.25">
      <c r="E1288" s="17" t="str">
        <f>IF(Tokens!C1288="","",Tokens!C1288)</f>
        <v/>
      </c>
      <c r="F1288" s="56"/>
      <c r="G1288" t="s">
        <v>164</v>
      </c>
      <c r="H1288" s="57" t="s">
        <v>165</v>
      </c>
      <c r="I1288" s="2" t="s">
        <v>166</v>
      </c>
      <c r="J1288" s="2" t="s">
        <v>167</v>
      </c>
      <c r="M1288" s="15"/>
      <c r="N1288">
        <v>6.9258811930000004</v>
      </c>
      <c r="O1288" s="15">
        <f t="shared" si="40"/>
        <v>0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1" t="str">
        <f>"owner=" &amp; Tokens!BS1288 &amp; "&amp;filename_for_metadata=" &amp; Tokens!BT1288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8" s="1" t="str">
        <f>formatRow(Tokens!C$2:I$2,Tokens!C1288:I1288)</f>
        <v>"name":"",_x000D_
"symbol":"",_x000D_
"description":"",_x000D_
"seller_fee_basis_points":"",_x000D_
"image":"",_x000D_
"Issuer":"",_x000D_
"external_url":""</v>
      </c>
      <c r="W1288" s="1" t="str">
        <f>formatRow(Tokens!J$2:AV$2,Tokens!J1288:AV1288,2,"attributes")</f>
        <v>"attributes":[]</v>
      </c>
      <c r="X1288" s="1" t="str">
        <f>formatRow(Tokens!AX$2:BC$2,Tokens!AX1288:BC1288,2,"creators")</f>
        <v>"creators":[]</v>
      </c>
      <c r="Y1288" s="1" t="str">
        <f>formatRow(Tokens!BD$2:BI$2,Tokens!BD1288:BI1288,2,"files")</f>
        <v>"files":[]</v>
      </c>
      <c r="Z1288" s="1"/>
      <c r="AA1288" s="1"/>
      <c r="AB1288" s="1"/>
      <c r="AC1288" s="1" t="str">
        <f>formatRow(Tokens!BJ$2:BK$2,Tokens!BJ1288:BK1288,0,"collection")</f>
        <v>"collection":{"name":"",_x000D_
"family":""}</v>
      </c>
    </row>
    <row r="1289" spans="5:29" ht="14.25" customHeight="1" x14ac:dyDescent="0.25">
      <c r="E1289" s="17" t="str">
        <f>IF(Tokens!C1289="","",Tokens!C1289)</f>
        <v/>
      </c>
      <c r="F1289" s="56"/>
      <c r="G1289" t="s">
        <v>164</v>
      </c>
      <c r="H1289" s="57" t="s">
        <v>165</v>
      </c>
      <c r="I1289" s="2" t="s">
        <v>166</v>
      </c>
      <c r="J1289" s="2" t="s">
        <v>167</v>
      </c>
      <c r="M1289" s="15"/>
      <c r="N1289">
        <v>6.9258811930000004</v>
      </c>
      <c r="O1289" s="15">
        <f t="shared" si="40"/>
        <v>0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1" t="str">
        <f>"owner=" &amp; Tokens!BS1289 &amp; "&amp;filename_for_metadata=" &amp; Tokens!BT1289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8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89" s="1" t="str">
        <f>formatRow(Tokens!C$2:I$2,Tokens!C1289:I1289)</f>
        <v>"name":"",_x000D_
"symbol":"",_x000D_
"description":"",_x000D_
"seller_fee_basis_points":"",_x000D_
"image":"",_x000D_
"Issuer":"",_x000D_
"external_url":""</v>
      </c>
      <c r="W1289" s="1" t="str">
        <f>formatRow(Tokens!J$2:AV$2,Tokens!J1289:AV1289,2,"attributes")</f>
        <v>"attributes":[]</v>
      </c>
      <c r="X1289" s="1" t="str">
        <f>formatRow(Tokens!AX$2:BC$2,Tokens!AX1289:BC1289,2,"creators")</f>
        <v>"creators":[]</v>
      </c>
      <c r="Y1289" s="1" t="str">
        <f>formatRow(Tokens!BD$2:BI$2,Tokens!BD1289:BI1289,2,"files")</f>
        <v>"files":[]</v>
      </c>
      <c r="Z1289" s="1"/>
      <c r="AA1289" s="1"/>
      <c r="AB1289" s="1"/>
      <c r="AC1289" s="1" t="str">
        <f>formatRow(Tokens!BJ$2:BK$2,Tokens!BJ1289:BK1289,0,"collection")</f>
        <v>"collection":{"name":"",_x000D_
"family":""}</v>
      </c>
    </row>
    <row r="1290" spans="5:29" ht="14.25" customHeight="1" x14ac:dyDescent="0.25">
      <c r="E1290" s="17" t="str">
        <f>IF(Tokens!C1290="","",Tokens!C1290)</f>
        <v/>
      </c>
      <c r="F1290" s="56"/>
      <c r="G1290" t="s">
        <v>164</v>
      </c>
      <c r="H1290" s="57" t="s">
        <v>165</v>
      </c>
      <c r="I1290" s="2" t="s">
        <v>166</v>
      </c>
      <c r="J1290" s="2" t="s">
        <v>167</v>
      </c>
      <c r="M1290" s="15"/>
      <c r="N1290">
        <v>6.9258811930000004</v>
      </c>
      <c r="O1290" s="15">
        <f t="shared" si="40"/>
        <v>0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1" t="str">
        <f>"owner=" &amp; Tokens!BS1290 &amp; "&amp;filename_for_metadata=" &amp; Tokens!BT1290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0" s="1" t="str">
        <f>formatRow(Tokens!C$2:I$2,Tokens!C1290:I1290)</f>
        <v>"name":"",_x000D_
"symbol":"",_x000D_
"description":"",_x000D_
"seller_fee_basis_points":"",_x000D_
"image":"",_x000D_
"Issuer":"",_x000D_
"external_url":""</v>
      </c>
      <c r="W1290" s="1" t="str">
        <f>formatRow(Tokens!J$2:AV$2,Tokens!J1290:AV1290,2,"attributes")</f>
        <v>"attributes":[]</v>
      </c>
      <c r="X1290" s="1" t="str">
        <f>formatRow(Tokens!AX$2:BC$2,Tokens!AX1290:BC1290,2,"creators")</f>
        <v>"creators":[]</v>
      </c>
      <c r="Y1290" s="1" t="str">
        <f>formatRow(Tokens!BD$2:BI$2,Tokens!BD1290:BI1290,2,"files")</f>
        <v>"files":[]</v>
      </c>
      <c r="Z1290" s="1"/>
      <c r="AA1290" s="1"/>
      <c r="AB1290" s="1"/>
      <c r="AC1290" s="1" t="str">
        <f>formatRow(Tokens!BJ$2:BK$2,Tokens!BJ1290:BK1290,0,"collection")</f>
        <v>"collection":{"name":"",_x000D_
"family":""}</v>
      </c>
    </row>
    <row r="1291" spans="5:29" ht="14.25" customHeight="1" x14ac:dyDescent="0.25">
      <c r="E1291" s="17" t="str">
        <f>IF(Tokens!C1291="","",Tokens!C1291)</f>
        <v/>
      </c>
      <c r="F1291" s="56"/>
      <c r="G1291" t="s">
        <v>164</v>
      </c>
      <c r="H1291" s="57" t="s">
        <v>165</v>
      </c>
      <c r="I1291" s="2" t="s">
        <v>166</v>
      </c>
      <c r="J1291" s="2" t="s">
        <v>167</v>
      </c>
      <c r="M1291" s="15"/>
      <c r="N1291">
        <v>6.9258811930000004</v>
      </c>
      <c r="O1291" s="15">
        <f t="shared" si="40"/>
        <v>0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1" t="str">
        <f>"owner=" &amp; Tokens!BS1291 &amp; "&amp;filename_for_metadata=" &amp; Tokens!BT1291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1" s="1" t="str">
        <f>formatRow(Tokens!C$2:I$2,Tokens!C1291:I1291)</f>
        <v>"name":"",_x000D_
"symbol":"",_x000D_
"description":"",_x000D_
"seller_fee_basis_points":"",_x000D_
"image":"",_x000D_
"Issuer":"",_x000D_
"external_url":""</v>
      </c>
      <c r="W1291" s="1" t="str">
        <f>formatRow(Tokens!J$2:AV$2,Tokens!J1291:AV1291,2,"attributes")</f>
        <v>"attributes":[]</v>
      </c>
      <c r="X1291" s="1" t="str">
        <f>formatRow(Tokens!AX$2:BC$2,Tokens!AX1291:BC1291,2,"creators")</f>
        <v>"creators":[]</v>
      </c>
      <c r="Y1291" s="1" t="str">
        <f>formatRow(Tokens!BD$2:BI$2,Tokens!BD1291:BI1291,2,"files")</f>
        <v>"files":[]</v>
      </c>
      <c r="Z1291" s="1"/>
      <c r="AA1291" s="1"/>
      <c r="AB1291" s="1"/>
      <c r="AC1291" s="1" t="str">
        <f>formatRow(Tokens!BJ$2:BK$2,Tokens!BJ1291:BK1291,0,"collection")</f>
        <v>"collection":{"name":"",_x000D_
"family":""}</v>
      </c>
    </row>
    <row r="1292" spans="5:29" ht="14.25" customHeight="1" x14ac:dyDescent="0.25">
      <c r="E1292" s="17" t="str">
        <f>IF(Tokens!C1292="","",Tokens!C1292)</f>
        <v/>
      </c>
      <c r="F1292" s="56"/>
      <c r="G1292" t="s">
        <v>164</v>
      </c>
      <c r="H1292" s="57" t="s">
        <v>165</v>
      </c>
      <c r="I1292" s="2" t="s">
        <v>166</v>
      </c>
      <c r="J1292" s="2" t="s">
        <v>167</v>
      </c>
      <c r="M1292" s="15"/>
      <c r="N1292">
        <v>6.9258811930000004</v>
      </c>
      <c r="O1292" s="15">
        <f t="shared" si="40"/>
        <v>0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1" t="str">
        <f>"owner=" &amp; Tokens!BS1292 &amp; "&amp;filename_for_metadata=" &amp; Tokens!BT1292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2" s="1" t="str">
        <f>formatRow(Tokens!C$2:I$2,Tokens!C1292:I1292)</f>
        <v>"name":"",_x000D_
"symbol":"",_x000D_
"description":"",_x000D_
"seller_fee_basis_points":"",_x000D_
"image":"",_x000D_
"Issuer":"",_x000D_
"external_url":""</v>
      </c>
      <c r="W1292" s="1" t="str">
        <f>formatRow(Tokens!J$2:AV$2,Tokens!J1292:AV1292,2,"attributes")</f>
        <v>"attributes":[]</v>
      </c>
      <c r="X1292" s="1" t="str">
        <f>formatRow(Tokens!AX$2:BC$2,Tokens!AX1292:BC1292,2,"creators")</f>
        <v>"creators":[]</v>
      </c>
      <c r="Y1292" s="1" t="str">
        <f>formatRow(Tokens!BD$2:BI$2,Tokens!BD1292:BI1292,2,"files")</f>
        <v>"files":[]</v>
      </c>
      <c r="Z1292" s="1"/>
      <c r="AA1292" s="1"/>
      <c r="AB1292" s="1"/>
      <c r="AC1292" s="1" t="str">
        <f>formatRow(Tokens!BJ$2:BK$2,Tokens!BJ1292:BK1292,0,"collection")</f>
        <v>"collection":{"name":"",_x000D_
"family":""}</v>
      </c>
    </row>
    <row r="1293" spans="5:29" ht="14.25" customHeight="1" x14ac:dyDescent="0.25">
      <c r="E1293" s="17" t="str">
        <f>IF(Tokens!C1293="","",Tokens!C1293)</f>
        <v/>
      </c>
      <c r="F1293" s="56"/>
      <c r="G1293" t="s">
        <v>164</v>
      </c>
      <c r="H1293" s="57" t="s">
        <v>165</v>
      </c>
      <c r="I1293" s="2" t="s">
        <v>166</v>
      </c>
      <c r="J1293" s="2" t="s">
        <v>167</v>
      </c>
      <c r="M1293" s="15"/>
      <c r="N1293">
        <v>6.9258811930000004</v>
      </c>
      <c r="O1293" s="15">
        <f t="shared" si="40"/>
        <v>0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1" t="str">
        <f>"owner=" &amp; Tokens!BS1293 &amp; "&amp;filename_for_metadata=" &amp; Tokens!BT1293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3" s="1" t="str">
        <f>formatRow(Tokens!C$2:I$2,Tokens!C1293:I1293)</f>
        <v>"name":"",_x000D_
"symbol":"",_x000D_
"description":"",_x000D_
"seller_fee_basis_points":"",_x000D_
"image":"",_x000D_
"Issuer":"",_x000D_
"external_url":""</v>
      </c>
      <c r="W1293" s="1" t="str">
        <f>formatRow(Tokens!J$2:AV$2,Tokens!J1293:AV1293,2,"attributes")</f>
        <v>"attributes":[]</v>
      </c>
      <c r="X1293" s="1" t="str">
        <f>formatRow(Tokens!AX$2:BC$2,Tokens!AX1293:BC1293,2,"creators")</f>
        <v>"creators":[]</v>
      </c>
      <c r="Y1293" s="1" t="str">
        <f>formatRow(Tokens!BD$2:BI$2,Tokens!BD1293:BI1293,2,"files")</f>
        <v>"files":[]</v>
      </c>
      <c r="Z1293" s="1"/>
      <c r="AA1293" s="1"/>
      <c r="AB1293" s="1"/>
      <c r="AC1293" s="1" t="str">
        <f>formatRow(Tokens!BJ$2:BK$2,Tokens!BJ1293:BK1293,0,"collection")</f>
        <v>"collection":{"name":"",_x000D_
"family":""}</v>
      </c>
    </row>
    <row r="1294" spans="5:29" ht="14.25" customHeight="1" x14ac:dyDescent="0.25">
      <c r="E1294" s="17" t="str">
        <f>IF(Tokens!C1294="","",Tokens!C1294)</f>
        <v/>
      </c>
      <c r="F1294" s="56"/>
      <c r="G1294" t="s">
        <v>164</v>
      </c>
      <c r="H1294" s="57" t="s">
        <v>165</v>
      </c>
      <c r="I1294" s="2" t="s">
        <v>166</v>
      </c>
      <c r="J1294" s="2" t="s">
        <v>167</v>
      </c>
      <c r="M1294" s="15"/>
      <c r="N1294">
        <v>6.9258811930000004</v>
      </c>
      <c r="O1294" s="15">
        <f t="shared" si="40"/>
        <v>0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1" t="str">
        <f>"owner=" &amp; Tokens!BS1294 &amp; "&amp;filename_for_metadata=" &amp; Tokens!BT1294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4" s="1" t="str">
        <f>formatRow(Tokens!C$2:I$2,Tokens!C1294:I1294)</f>
        <v>"name":"",_x000D_
"symbol":"",_x000D_
"description":"",_x000D_
"seller_fee_basis_points":"",_x000D_
"image":"",_x000D_
"Issuer":"",_x000D_
"external_url":""</v>
      </c>
      <c r="W1294" s="1" t="str">
        <f>formatRow(Tokens!J$2:AV$2,Tokens!J1294:AV1294,2,"attributes")</f>
        <v>"attributes":[]</v>
      </c>
      <c r="X1294" s="1" t="str">
        <f>formatRow(Tokens!AX$2:BC$2,Tokens!AX1294:BC1294,2,"creators")</f>
        <v>"creators":[]</v>
      </c>
      <c r="Y1294" s="1" t="str">
        <f>formatRow(Tokens!BD$2:BI$2,Tokens!BD1294:BI1294,2,"files")</f>
        <v>"files":[]</v>
      </c>
      <c r="Z1294" s="1"/>
      <c r="AA1294" s="1"/>
      <c r="AB1294" s="1"/>
      <c r="AC1294" s="1" t="str">
        <f>formatRow(Tokens!BJ$2:BK$2,Tokens!BJ1294:BK1294,0,"collection")</f>
        <v>"collection":{"name":"",_x000D_
"family":""}</v>
      </c>
    </row>
    <row r="1295" spans="5:29" ht="14.25" customHeight="1" x14ac:dyDescent="0.25">
      <c r="E1295" s="17" t="str">
        <f>IF(Tokens!C1295="","",Tokens!C1295)</f>
        <v/>
      </c>
      <c r="F1295" s="56"/>
      <c r="G1295" t="s">
        <v>164</v>
      </c>
      <c r="H1295" s="57" t="s">
        <v>165</v>
      </c>
      <c r="I1295" s="2" t="s">
        <v>166</v>
      </c>
      <c r="J1295" s="2" t="s">
        <v>167</v>
      </c>
      <c r="M1295" s="15"/>
      <c r="N1295">
        <v>6.9258811930000004</v>
      </c>
      <c r="O1295" s="15">
        <f t="shared" si="40"/>
        <v>0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1" t="str">
        <f>"owner=" &amp; Tokens!BS1295 &amp; "&amp;filename_for_metadata=" &amp; Tokens!BT1295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5" s="1" t="str">
        <f>formatRow(Tokens!C$2:I$2,Tokens!C1295:I1295)</f>
        <v>"name":"",_x000D_
"symbol":"",_x000D_
"description":"",_x000D_
"seller_fee_basis_points":"",_x000D_
"image":"",_x000D_
"Issuer":"",_x000D_
"external_url":""</v>
      </c>
      <c r="W1295" s="1" t="str">
        <f>formatRow(Tokens!J$2:AV$2,Tokens!J1295:AV1295,2,"attributes")</f>
        <v>"attributes":[]</v>
      </c>
      <c r="X1295" s="1" t="str">
        <f>formatRow(Tokens!AX$2:BC$2,Tokens!AX1295:BC1295,2,"creators")</f>
        <v>"creators":[]</v>
      </c>
      <c r="Y1295" s="1" t="str">
        <f>formatRow(Tokens!BD$2:BI$2,Tokens!BD1295:BI1295,2,"files")</f>
        <v>"files":[]</v>
      </c>
      <c r="Z1295" s="1"/>
      <c r="AA1295" s="1"/>
      <c r="AB1295" s="1"/>
      <c r="AC1295" s="1" t="str">
        <f>formatRow(Tokens!BJ$2:BK$2,Tokens!BJ1295:BK1295,0,"collection")</f>
        <v>"collection":{"name":"",_x000D_
"family":""}</v>
      </c>
    </row>
    <row r="1296" spans="5:29" ht="14.25" customHeight="1" x14ac:dyDescent="0.25">
      <c r="E1296" s="17" t="str">
        <f>IF(Tokens!C1296="","",Tokens!C1296)</f>
        <v/>
      </c>
      <c r="F1296" s="56"/>
      <c r="G1296" t="s">
        <v>164</v>
      </c>
      <c r="H1296" s="57" t="s">
        <v>165</v>
      </c>
      <c r="I1296" s="2" t="s">
        <v>166</v>
      </c>
      <c r="J1296" s="2" t="s">
        <v>167</v>
      </c>
      <c r="M1296" s="15"/>
      <c r="N1296">
        <v>6.9258811930000004</v>
      </c>
      <c r="O1296" s="15">
        <f t="shared" si="40"/>
        <v>0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1" t="str">
        <f>"owner=" &amp; Tokens!BS1296 &amp; "&amp;filename_for_metadata=" &amp; Tokens!BT1296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6" s="1" t="str">
        <f>formatRow(Tokens!C$2:I$2,Tokens!C1296:I1296)</f>
        <v>"name":"",_x000D_
"symbol":"",_x000D_
"description":"",_x000D_
"seller_fee_basis_points":"",_x000D_
"image":"",_x000D_
"Issuer":"",_x000D_
"external_url":""</v>
      </c>
      <c r="W1296" s="1" t="str">
        <f>formatRow(Tokens!J$2:AV$2,Tokens!J1296:AV1296,2,"attributes")</f>
        <v>"attributes":[]</v>
      </c>
      <c r="X1296" s="1" t="str">
        <f>formatRow(Tokens!AX$2:BC$2,Tokens!AX1296:BC1296,2,"creators")</f>
        <v>"creators":[]</v>
      </c>
      <c r="Y1296" s="1" t="str">
        <f>formatRow(Tokens!BD$2:BI$2,Tokens!BD1296:BI1296,2,"files")</f>
        <v>"files":[]</v>
      </c>
      <c r="Z1296" s="1"/>
      <c r="AA1296" s="1"/>
      <c r="AB1296" s="1"/>
      <c r="AC1296" s="1" t="str">
        <f>formatRow(Tokens!BJ$2:BK$2,Tokens!BJ1296:BK1296,0,"collection")</f>
        <v>"collection":{"name":"",_x000D_
"family":""}</v>
      </c>
    </row>
    <row r="1297" spans="5:29" ht="14.25" customHeight="1" x14ac:dyDescent="0.25">
      <c r="E1297" s="17" t="str">
        <f>IF(Tokens!C1297="","",Tokens!C1297)</f>
        <v/>
      </c>
      <c r="F1297" s="56"/>
      <c r="G1297" t="s">
        <v>164</v>
      </c>
      <c r="H1297" s="57" t="s">
        <v>165</v>
      </c>
      <c r="I1297" s="2" t="s">
        <v>166</v>
      </c>
      <c r="J1297" s="2" t="s">
        <v>167</v>
      </c>
      <c r="M1297" s="15"/>
      <c r="N1297">
        <v>6.9258811930000004</v>
      </c>
      <c r="O1297" s="15">
        <f t="shared" si="40"/>
        <v>0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1" t="str">
        <f>"owner=" &amp; Tokens!BS1297 &amp; "&amp;filename_for_metadata=" &amp; Tokens!BT1297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7" s="1" t="str">
        <f>formatRow(Tokens!C$2:I$2,Tokens!C1297:I1297)</f>
        <v>"name":"",_x000D_
"symbol":"",_x000D_
"description":"",_x000D_
"seller_fee_basis_points":"",_x000D_
"image":"",_x000D_
"Issuer":"",_x000D_
"external_url":""</v>
      </c>
      <c r="W1297" s="1" t="str">
        <f>formatRow(Tokens!J$2:AV$2,Tokens!J1297:AV1297,2,"attributes")</f>
        <v>"attributes":[]</v>
      </c>
      <c r="X1297" s="1" t="str">
        <f>formatRow(Tokens!AX$2:BC$2,Tokens!AX1297:BC1297,2,"creators")</f>
        <v>"creators":[]</v>
      </c>
      <c r="Y1297" s="1" t="str">
        <f>formatRow(Tokens!BD$2:BI$2,Tokens!BD1297:BI1297,2,"files")</f>
        <v>"files":[]</v>
      </c>
      <c r="Z1297" s="1"/>
      <c r="AA1297" s="1"/>
      <c r="AB1297" s="1"/>
      <c r="AC1297" s="1" t="str">
        <f>formatRow(Tokens!BJ$2:BK$2,Tokens!BJ1297:BK1297,0,"collection")</f>
        <v>"collection":{"name":"",_x000D_
"family":""}</v>
      </c>
    </row>
    <row r="1298" spans="5:29" ht="14.25" customHeight="1" x14ac:dyDescent="0.25">
      <c r="E1298" s="17" t="str">
        <f>IF(Tokens!C1298="","",Tokens!C1298)</f>
        <v/>
      </c>
      <c r="F1298" s="56"/>
      <c r="G1298" t="s">
        <v>164</v>
      </c>
      <c r="H1298" s="57" t="s">
        <v>165</v>
      </c>
      <c r="I1298" s="2" t="s">
        <v>166</v>
      </c>
      <c r="J1298" s="2" t="s">
        <v>167</v>
      </c>
      <c r="M1298" s="15"/>
      <c r="N1298">
        <v>6.9258811930000004</v>
      </c>
      <c r="O1298" s="15">
        <f t="shared" si="40"/>
        <v>0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1" t="str">
        <f>"owner=" &amp; Tokens!BS1298 &amp; "&amp;filename_for_metadata=" &amp; Tokens!BT1298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8" s="1" t="str">
        <f>formatRow(Tokens!C$2:I$2,Tokens!C1298:I1298)</f>
        <v>"name":"",_x000D_
"symbol":"",_x000D_
"description":"",_x000D_
"seller_fee_basis_points":"",_x000D_
"image":"",_x000D_
"Issuer":"",_x000D_
"external_url":""</v>
      </c>
      <c r="W1298" s="1" t="str">
        <f>formatRow(Tokens!J$2:AV$2,Tokens!J1298:AV1298,2,"attributes")</f>
        <v>"attributes":[]</v>
      </c>
      <c r="X1298" s="1" t="str">
        <f>formatRow(Tokens!AX$2:BC$2,Tokens!AX1298:BC1298,2,"creators")</f>
        <v>"creators":[]</v>
      </c>
      <c r="Y1298" s="1" t="str">
        <f>formatRow(Tokens!BD$2:BI$2,Tokens!BD1298:BI1298,2,"files")</f>
        <v>"files":[]</v>
      </c>
      <c r="Z1298" s="1"/>
      <c r="AA1298" s="1"/>
      <c r="AB1298" s="1"/>
      <c r="AC1298" s="1" t="str">
        <f>formatRow(Tokens!BJ$2:BK$2,Tokens!BJ1298:BK1298,0,"collection")</f>
        <v>"collection":{"name":"",_x000D_
"family":""}</v>
      </c>
    </row>
    <row r="1299" spans="5:29" ht="14.25" customHeight="1" x14ac:dyDescent="0.25">
      <c r="E1299" s="17" t="str">
        <f>IF(Tokens!C1299="","",Tokens!C1299)</f>
        <v/>
      </c>
      <c r="F1299" s="56"/>
      <c r="G1299" t="s">
        <v>164</v>
      </c>
      <c r="H1299" s="57" t="s">
        <v>165</v>
      </c>
      <c r="I1299" s="2" t="s">
        <v>166</v>
      </c>
      <c r="J1299" s="2" t="s">
        <v>167</v>
      </c>
      <c r="M1299" s="15"/>
      <c r="N1299">
        <v>6.9258811930000004</v>
      </c>
      <c r="O1299" s="15">
        <f t="shared" si="40"/>
        <v>0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1" t="str">
        <f>"owner=" &amp; Tokens!BS1299 &amp; "&amp;filename_for_metadata=" &amp; Tokens!BT1299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29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299" s="1" t="str">
        <f>formatRow(Tokens!C$2:I$2,Tokens!C1299:I1299)</f>
        <v>"name":"",_x000D_
"symbol":"",_x000D_
"description":"",_x000D_
"seller_fee_basis_points":"",_x000D_
"image":"",_x000D_
"Issuer":"",_x000D_
"external_url":""</v>
      </c>
      <c r="W1299" s="1" t="str">
        <f>formatRow(Tokens!J$2:AV$2,Tokens!J1299:AV1299,2,"attributes")</f>
        <v>"attributes":[]</v>
      </c>
      <c r="X1299" s="1" t="str">
        <f>formatRow(Tokens!AX$2:BC$2,Tokens!AX1299:BC1299,2,"creators")</f>
        <v>"creators":[]</v>
      </c>
      <c r="Y1299" s="1" t="str">
        <f>formatRow(Tokens!BD$2:BI$2,Tokens!BD1299:BI1299,2,"files")</f>
        <v>"files":[]</v>
      </c>
      <c r="Z1299" s="1"/>
      <c r="AA1299" s="1"/>
      <c r="AB1299" s="1"/>
      <c r="AC1299" s="1" t="str">
        <f>formatRow(Tokens!BJ$2:BK$2,Tokens!BJ1299:BK1299,0,"collection")</f>
        <v>"collection":{"name":"",_x000D_
"family":""}</v>
      </c>
    </row>
    <row r="1300" spans="5:29" ht="14.25" customHeight="1" x14ac:dyDescent="0.25">
      <c r="E1300" s="17" t="str">
        <f>IF(Tokens!C1300="","",Tokens!C1300)</f>
        <v/>
      </c>
      <c r="F1300" s="56"/>
      <c r="G1300" t="s">
        <v>164</v>
      </c>
      <c r="H1300" s="57" t="s">
        <v>165</v>
      </c>
      <c r="I1300" s="2" t="s">
        <v>166</v>
      </c>
      <c r="J1300" s="2" t="s">
        <v>167</v>
      </c>
      <c r="M1300" s="15"/>
      <c r="N1300">
        <v>6.9258811930000004</v>
      </c>
      <c r="O1300" s="15">
        <f t="shared" si="40"/>
        <v>0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1" t="str">
        <f>"owner=" &amp; Tokens!BS1300 &amp; "&amp;filename_for_metadata=" &amp; Tokens!BT1300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0" s="1" t="str">
        <f>formatRow(Tokens!C$2:I$2,Tokens!C1300:I1300)</f>
        <v>"name":"",_x000D_
"symbol":"",_x000D_
"description":"",_x000D_
"seller_fee_basis_points":"",_x000D_
"image":"",_x000D_
"Issuer":"",_x000D_
"external_url":""</v>
      </c>
      <c r="W1300" s="1" t="str">
        <f>formatRow(Tokens!J$2:AV$2,Tokens!J1300:AV1300,2,"attributes")</f>
        <v>"attributes":[]</v>
      </c>
      <c r="X1300" s="1" t="str">
        <f>formatRow(Tokens!AX$2:BC$2,Tokens!AX1300:BC1300,2,"creators")</f>
        <v>"creators":[]</v>
      </c>
      <c r="Y1300" s="1" t="str">
        <f>formatRow(Tokens!BD$2:BI$2,Tokens!BD1300:BI1300,2,"files")</f>
        <v>"files":[]</v>
      </c>
      <c r="Z1300" s="1"/>
      <c r="AA1300" s="1"/>
      <c r="AB1300" s="1"/>
      <c r="AC1300" s="1" t="str">
        <f>formatRow(Tokens!BJ$2:BK$2,Tokens!BJ1300:BK1300,0,"collection")</f>
        <v>"collection":{"name":"",_x000D_
"family":""}</v>
      </c>
    </row>
    <row r="1301" spans="5:29" ht="14.25" customHeight="1" x14ac:dyDescent="0.25">
      <c r="E1301" s="17" t="str">
        <f>IF(Tokens!C1301="","",Tokens!C1301)</f>
        <v/>
      </c>
      <c r="F1301" s="56"/>
      <c r="G1301" t="s">
        <v>164</v>
      </c>
      <c r="H1301" s="57" t="s">
        <v>165</v>
      </c>
      <c r="I1301" s="2" t="s">
        <v>166</v>
      </c>
      <c r="J1301" s="2" t="s">
        <v>167</v>
      </c>
      <c r="M1301" s="15"/>
      <c r="N1301">
        <v>6.9258811930000004</v>
      </c>
      <c r="O1301" s="15">
        <f t="shared" si="40"/>
        <v>0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1" t="str">
        <f>"owner=" &amp; Tokens!BS1301 &amp; "&amp;filename_for_metadata=" &amp; Tokens!BT1301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1" s="1" t="str">
        <f>formatRow(Tokens!C$2:I$2,Tokens!C1301:I1301)</f>
        <v>"name":"",_x000D_
"symbol":"",_x000D_
"description":"",_x000D_
"seller_fee_basis_points":"",_x000D_
"image":"",_x000D_
"Issuer":"",_x000D_
"external_url":""</v>
      </c>
      <c r="W1301" s="1" t="str">
        <f>formatRow(Tokens!J$2:AV$2,Tokens!J1301:AV1301,2,"attributes")</f>
        <v>"attributes":[]</v>
      </c>
      <c r="X1301" s="1" t="str">
        <f>formatRow(Tokens!AX$2:BC$2,Tokens!AX1301:BC1301,2,"creators")</f>
        <v>"creators":[]</v>
      </c>
      <c r="Y1301" s="1" t="str">
        <f>formatRow(Tokens!BD$2:BI$2,Tokens!BD1301:BI1301,2,"files")</f>
        <v>"files":[]</v>
      </c>
      <c r="Z1301" s="1"/>
      <c r="AA1301" s="1"/>
      <c r="AB1301" s="1"/>
      <c r="AC1301" s="1" t="str">
        <f>formatRow(Tokens!BJ$2:BK$2,Tokens!BJ1301:BK1301,0,"collection")</f>
        <v>"collection":{"name":"",_x000D_
"family":""}</v>
      </c>
    </row>
    <row r="1302" spans="5:29" ht="14.25" customHeight="1" x14ac:dyDescent="0.25">
      <c r="E1302" s="17" t="str">
        <f>IF(Tokens!C1302="","",Tokens!C1302)</f>
        <v/>
      </c>
      <c r="F1302" s="56"/>
      <c r="G1302" t="s">
        <v>164</v>
      </c>
      <c r="H1302" s="57" t="s">
        <v>165</v>
      </c>
      <c r="I1302" s="2" t="s">
        <v>166</v>
      </c>
      <c r="J1302" s="2" t="s">
        <v>167</v>
      </c>
      <c r="M1302" s="15"/>
      <c r="N1302">
        <v>6.9258811930000004</v>
      </c>
      <c r="O1302" s="15">
        <f t="shared" si="40"/>
        <v>0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1" t="str">
        <f>"owner=" &amp; Tokens!BS1302 &amp; "&amp;filename_for_metadata=" &amp; Tokens!BT1302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2" s="1" t="str">
        <f>formatRow(Tokens!C$2:I$2,Tokens!C1302:I1302)</f>
        <v>"name":"",_x000D_
"symbol":"",_x000D_
"description":"",_x000D_
"seller_fee_basis_points":"",_x000D_
"image":"",_x000D_
"Issuer":"",_x000D_
"external_url":""</v>
      </c>
      <c r="W1302" s="1" t="str">
        <f>formatRow(Tokens!J$2:AV$2,Tokens!J1302:AV1302,2,"attributes")</f>
        <v>"attributes":[]</v>
      </c>
      <c r="X1302" s="1" t="str">
        <f>formatRow(Tokens!AX$2:BC$2,Tokens!AX1302:BC1302,2,"creators")</f>
        <v>"creators":[]</v>
      </c>
      <c r="Y1302" s="1" t="str">
        <f>formatRow(Tokens!BD$2:BI$2,Tokens!BD1302:BI1302,2,"files")</f>
        <v>"files":[]</v>
      </c>
      <c r="Z1302" s="1"/>
      <c r="AA1302" s="1"/>
      <c r="AB1302" s="1"/>
      <c r="AC1302" s="1" t="str">
        <f>formatRow(Tokens!BJ$2:BK$2,Tokens!BJ1302:BK1302,0,"collection")</f>
        <v>"collection":{"name":"",_x000D_
"family":""}</v>
      </c>
    </row>
    <row r="1303" spans="5:29" ht="14.25" customHeight="1" x14ac:dyDescent="0.25">
      <c r="E1303" s="17" t="str">
        <f>IF(Tokens!C1303="","",Tokens!C1303)</f>
        <v/>
      </c>
      <c r="F1303" s="56"/>
      <c r="G1303" t="s">
        <v>164</v>
      </c>
      <c r="H1303" s="57" t="s">
        <v>165</v>
      </c>
      <c r="I1303" s="2" t="s">
        <v>166</v>
      </c>
      <c r="J1303" s="2" t="s">
        <v>167</v>
      </c>
      <c r="M1303" s="15"/>
      <c r="N1303">
        <v>6.9258811930000004</v>
      </c>
      <c r="O1303" s="15">
        <f t="shared" si="40"/>
        <v>0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1" t="str">
        <f>"owner=" &amp; Tokens!BS1303 &amp; "&amp;filename_for_metadata=" &amp; Tokens!BT1303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3" s="1" t="str">
        <f>formatRow(Tokens!C$2:I$2,Tokens!C1303:I1303)</f>
        <v>"name":"",_x000D_
"symbol":"",_x000D_
"description":"",_x000D_
"seller_fee_basis_points":"",_x000D_
"image":"",_x000D_
"Issuer":"",_x000D_
"external_url":""</v>
      </c>
      <c r="W1303" s="1" t="str">
        <f>formatRow(Tokens!J$2:AV$2,Tokens!J1303:AV1303,2,"attributes")</f>
        <v>"attributes":[]</v>
      </c>
      <c r="X1303" s="1" t="str">
        <f>formatRow(Tokens!AX$2:BC$2,Tokens!AX1303:BC1303,2,"creators")</f>
        <v>"creators":[]</v>
      </c>
      <c r="Y1303" s="1" t="str">
        <f>formatRow(Tokens!BD$2:BI$2,Tokens!BD1303:BI1303,2,"files")</f>
        <v>"files":[]</v>
      </c>
      <c r="Z1303" s="1"/>
      <c r="AA1303" s="1"/>
      <c r="AB1303" s="1"/>
      <c r="AC1303" s="1" t="str">
        <f>formatRow(Tokens!BJ$2:BK$2,Tokens!BJ1303:BK1303,0,"collection")</f>
        <v>"collection":{"name":"",_x000D_
"family":""}</v>
      </c>
    </row>
    <row r="1304" spans="5:29" ht="14.25" customHeight="1" x14ac:dyDescent="0.25">
      <c r="E1304" s="17" t="str">
        <f>IF(Tokens!C1304="","",Tokens!C1304)</f>
        <v/>
      </c>
      <c r="F1304" s="56"/>
      <c r="G1304" t="s">
        <v>164</v>
      </c>
      <c r="H1304" s="57" t="s">
        <v>165</v>
      </c>
      <c r="I1304" s="2" t="s">
        <v>166</v>
      </c>
      <c r="J1304" s="2" t="s">
        <v>167</v>
      </c>
      <c r="M1304" s="15"/>
      <c r="N1304">
        <v>6.9258811930000004</v>
      </c>
      <c r="O1304" s="15">
        <f t="shared" si="40"/>
        <v>0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1" t="str">
        <f>"owner=" &amp; Tokens!BS1304 &amp; "&amp;filename_for_metadata=" &amp; Tokens!BT1304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4" s="1" t="str">
        <f>formatRow(Tokens!C$2:I$2,Tokens!C1304:I1304)</f>
        <v>"name":"",_x000D_
"symbol":"",_x000D_
"description":"",_x000D_
"seller_fee_basis_points":"",_x000D_
"image":"",_x000D_
"Issuer":"",_x000D_
"external_url":""</v>
      </c>
      <c r="W1304" s="1" t="str">
        <f>formatRow(Tokens!J$2:AV$2,Tokens!J1304:AV1304,2,"attributes")</f>
        <v>"attributes":[]</v>
      </c>
      <c r="X1304" s="1" t="str">
        <f>formatRow(Tokens!AX$2:BC$2,Tokens!AX1304:BC1304,2,"creators")</f>
        <v>"creators":[]</v>
      </c>
      <c r="Y1304" s="1" t="str">
        <f>formatRow(Tokens!BD$2:BI$2,Tokens!BD1304:BI1304,2,"files")</f>
        <v>"files":[]</v>
      </c>
      <c r="Z1304" s="1"/>
      <c r="AA1304" s="1"/>
      <c r="AB1304" s="1"/>
      <c r="AC1304" s="1" t="str">
        <f>formatRow(Tokens!BJ$2:BK$2,Tokens!BJ1304:BK1304,0,"collection")</f>
        <v>"collection":{"name":"",_x000D_
"family":""}</v>
      </c>
    </row>
    <row r="1305" spans="5:29" ht="14.25" customHeight="1" x14ac:dyDescent="0.25">
      <c r="E1305" s="17" t="str">
        <f>IF(Tokens!C1305="","",Tokens!C1305)</f>
        <v/>
      </c>
      <c r="F1305" s="56"/>
      <c r="G1305" t="s">
        <v>164</v>
      </c>
      <c r="H1305" s="57" t="s">
        <v>165</v>
      </c>
      <c r="I1305" s="2" t="s">
        <v>166</v>
      </c>
      <c r="J1305" s="2" t="s">
        <v>167</v>
      </c>
      <c r="M1305" s="15"/>
      <c r="N1305">
        <v>6.9258811930000004</v>
      </c>
      <c r="O1305" s="15">
        <f t="shared" si="40"/>
        <v>0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/>
      </c>
      <c r="Q1305" s="2"/>
      <c r="R1305" s="2"/>
      <c r="S1305" s="11"/>
      <c r="T1305" s="1" t="str">
        <f>"owner=" &amp; Tokens!BS1305 &amp; "&amp;filename_for_metadata=" &amp; Tokens!BT1305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5" s="1" t="str">
        <f>formatRow(Tokens!C$2:I$2,Tokens!C1305:I1305)</f>
        <v>"name":"",_x000D_
"symbol":"",_x000D_
"description":"",_x000D_
"seller_fee_basis_points":"",_x000D_
"image":"",_x000D_
"Issuer":"",_x000D_
"external_url":""</v>
      </c>
      <c r="W1305" s="1" t="str">
        <f>formatRow(Tokens!J$2:AV$2,Tokens!J1305:AV1305,2,"attributes")</f>
        <v>"attributes":[]</v>
      </c>
      <c r="X1305" s="1" t="str">
        <f>formatRow(Tokens!AX$2:BC$2,Tokens!AX1305:BC1305,2,"creators")</f>
        <v>"creators":[]</v>
      </c>
      <c r="Y1305" s="1" t="str">
        <f>formatRow(Tokens!BD$2:BI$2,Tokens!BD1305:BI1305,2,"files")</f>
        <v>"files":[]</v>
      </c>
      <c r="Z1305" s="1"/>
      <c r="AA1305" s="1"/>
      <c r="AB1305" s="1"/>
      <c r="AC1305" s="1" t="str">
        <f>formatRow(Tokens!BJ$2:BK$2,Tokens!BJ1305:BK1305,0,"collection")</f>
        <v>"collection":{"name":"",_x000D_
"family":""}</v>
      </c>
    </row>
    <row r="1306" spans="5:29" ht="14.25" customHeight="1" x14ac:dyDescent="0.25">
      <c r="E1306" s="17" t="str">
        <f>IF(Tokens!C1306="","",Tokens!C1306)</f>
        <v/>
      </c>
      <c r="F1306" s="56"/>
      <c r="G1306" t="s">
        <v>164</v>
      </c>
      <c r="H1306" s="57" t="s">
        <v>165</v>
      </c>
      <c r="I1306" s="2" t="s">
        <v>166</v>
      </c>
      <c r="J1306" s="2" t="s">
        <v>167</v>
      </c>
      <c r="M1306" s="15"/>
      <c r="N1306">
        <v>6.9258811930000004</v>
      </c>
      <c r="O1306" s="15">
        <f t="shared" si="40"/>
        <v>0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/>
      </c>
      <c r="Q1306" s="2"/>
      <c r="R1306" s="2"/>
      <c r="S1306" s="11"/>
      <c r="T1306" s="1" t="str">
        <f>"owner=" &amp; Tokens!BS1306 &amp; "&amp;filename_for_metadata=" &amp; Tokens!BT1306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6" s="1" t="str">
        <f>formatRow(Tokens!C$2:I$2,Tokens!C1306:I1306)</f>
        <v>"name":"",_x000D_
"symbol":"",_x000D_
"description":"",_x000D_
"seller_fee_basis_points":"",_x000D_
"image":"",_x000D_
"Issuer":"",_x000D_
"external_url":""</v>
      </c>
      <c r="W1306" s="1" t="str">
        <f>formatRow(Tokens!J$2:AV$2,Tokens!J1306:AV1306,2,"attributes")</f>
        <v>"attributes":[]</v>
      </c>
      <c r="X1306" s="1" t="str">
        <f>formatRow(Tokens!AX$2:BC$2,Tokens!AX1306:BC1306,2,"creators")</f>
        <v>"creators":[]</v>
      </c>
      <c r="Y1306" s="1" t="str">
        <f>formatRow(Tokens!BD$2:BI$2,Tokens!BD1306:BI1306,2,"files")</f>
        <v>"files":[]</v>
      </c>
      <c r="Z1306" s="1"/>
      <c r="AA1306" s="1"/>
      <c r="AB1306" s="1"/>
      <c r="AC1306" s="1" t="str">
        <f>formatRow(Tokens!BJ$2:BK$2,Tokens!BJ1306:BK1306,0,"collection")</f>
        <v>"collection":{"name":"",_x000D_
"family":""}</v>
      </c>
    </row>
    <row r="1307" spans="5:29" ht="14.25" customHeight="1" x14ac:dyDescent="0.25">
      <c r="E1307" s="17" t="str">
        <f>IF(Tokens!C1307="","",Tokens!C1307)</f>
        <v/>
      </c>
      <c r="F1307" s="56"/>
      <c r="G1307" t="s">
        <v>164</v>
      </c>
      <c r="H1307" s="57" t="s">
        <v>165</v>
      </c>
      <c r="I1307" s="2" t="s">
        <v>166</v>
      </c>
      <c r="J1307" s="2" t="s">
        <v>167</v>
      </c>
      <c r="M1307" s="15"/>
      <c r="N1307">
        <v>6.9258811930000004</v>
      </c>
      <c r="O1307" s="15">
        <f t="shared" si="40"/>
        <v>0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/>
      </c>
      <c r="Q1307" s="2"/>
      <c r="R1307" s="2"/>
      <c r="S1307" s="11"/>
      <c r="T1307" s="1" t="str">
        <f>"owner=" &amp; Tokens!BS1307 &amp; "&amp;filename_for_metadata=" &amp; Tokens!BT1307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7" s="1" t="str">
        <f>formatRow(Tokens!C$2:I$2,Tokens!C1307:I1307)</f>
        <v>"name":"",_x000D_
"symbol":"",_x000D_
"description":"",_x000D_
"seller_fee_basis_points":"",_x000D_
"image":"",_x000D_
"Issuer":"",_x000D_
"external_url":""</v>
      </c>
      <c r="W1307" s="1" t="str">
        <f>formatRow(Tokens!J$2:AV$2,Tokens!J1307:AV1307,2,"attributes")</f>
        <v>"attributes":[]</v>
      </c>
      <c r="X1307" s="1" t="str">
        <f>formatRow(Tokens!AX$2:BC$2,Tokens!AX1307:BC1307,2,"creators")</f>
        <v>"creators":[]</v>
      </c>
      <c r="Y1307" s="1" t="str">
        <f>formatRow(Tokens!BD$2:BI$2,Tokens!BD1307:BI1307,2,"files")</f>
        <v>"files":[]</v>
      </c>
      <c r="Z1307" s="1"/>
      <c r="AA1307" s="1"/>
      <c r="AB1307" s="1"/>
      <c r="AC1307" s="1" t="str">
        <f>formatRow(Tokens!BJ$2:BK$2,Tokens!BJ1307:BK1307,0,"collection")</f>
        <v>"collection":{"name":"",_x000D_
"family":""}</v>
      </c>
    </row>
    <row r="1308" spans="5:29" ht="14.25" customHeight="1" x14ac:dyDescent="0.25">
      <c r="E1308" s="17" t="str">
        <f>IF(Tokens!C1308="","",Tokens!C1308)</f>
        <v/>
      </c>
      <c r="F1308" s="56"/>
      <c r="G1308" t="s">
        <v>164</v>
      </c>
      <c r="H1308" s="57" t="s">
        <v>165</v>
      </c>
      <c r="I1308" s="2" t="s">
        <v>166</v>
      </c>
      <c r="J1308" s="2" t="s">
        <v>167</v>
      </c>
      <c r="M1308" s="15"/>
      <c r="N1308">
        <v>6.9258811930000004</v>
      </c>
      <c r="O1308" s="15">
        <f t="shared" si="40"/>
        <v>0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/>
      </c>
      <c r="Q1308" s="2"/>
      <c r="R1308" s="2"/>
      <c r="S1308" s="11"/>
      <c r="T1308" s="1" t="str">
        <f>"owner=" &amp; Tokens!BS1308 &amp; "&amp;filename_for_metadata=" &amp; Tokens!BT1308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8" s="1" t="str">
        <f>formatRow(Tokens!C$2:I$2,Tokens!C1308:I1308)</f>
        <v>"name":"",_x000D_
"symbol":"",_x000D_
"description":"",_x000D_
"seller_fee_basis_points":"",_x000D_
"image":"",_x000D_
"Issuer":"",_x000D_
"external_url":""</v>
      </c>
      <c r="W1308" s="1" t="str">
        <f>formatRow(Tokens!J$2:AV$2,Tokens!J1308:AV1308,2,"attributes")</f>
        <v>"attributes":[]</v>
      </c>
      <c r="X1308" s="1" t="str">
        <f>formatRow(Tokens!AX$2:BC$2,Tokens!AX1308:BC1308,2,"creators")</f>
        <v>"creators":[]</v>
      </c>
      <c r="Y1308" s="1" t="str">
        <f>formatRow(Tokens!BD$2:BI$2,Tokens!BD1308:BI1308,2,"files")</f>
        <v>"files":[]</v>
      </c>
      <c r="Z1308" s="1"/>
      <c r="AA1308" s="1"/>
      <c r="AB1308" s="1"/>
      <c r="AC1308" s="1" t="str">
        <f>formatRow(Tokens!BJ$2:BK$2,Tokens!BJ1308:BK1308,0,"collection")</f>
        <v>"collection":{"name":"",_x000D_
"family":""}</v>
      </c>
    </row>
    <row r="1309" spans="5:29" ht="14.25" customHeight="1" x14ac:dyDescent="0.25">
      <c r="E1309" s="17" t="str">
        <f>IF(Tokens!C1309="","",Tokens!C1309)</f>
        <v/>
      </c>
      <c r="F1309" s="56"/>
      <c r="G1309" t="s">
        <v>164</v>
      </c>
      <c r="H1309" s="57" t="s">
        <v>165</v>
      </c>
      <c r="I1309" s="2" t="s">
        <v>166</v>
      </c>
      <c r="J1309" s="2" t="s">
        <v>167</v>
      </c>
      <c r="M1309" s="15"/>
      <c r="N1309">
        <v>6.9258811930000004</v>
      </c>
      <c r="O1309" s="15">
        <f t="shared" si="40"/>
        <v>0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/>
      </c>
      <c r="Q1309" s="2"/>
      <c r="R1309" s="2"/>
      <c r="S1309" s="11"/>
      <c r="T1309" s="1" t="str">
        <f>"owner=" &amp; Tokens!BS1309 &amp; "&amp;filename_for_metadata=" &amp; Tokens!BT1309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0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09" s="1" t="str">
        <f>formatRow(Tokens!C$2:I$2,Tokens!C1309:I1309)</f>
        <v>"name":"",_x000D_
"symbol":"",_x000D_
"description":"",_x000D_
"seller_fee_basis_points":"",_x000D_
"image":"",_x000D_
"Issuer":"",_x000D_
"external_url":""</v>
      </c>
      <c r="W1309" s="1" t="str">
        <f>formatRow(Tokens!J$2:AV$2,Tokens!J1309:AV1309,2,"attributes")</f>
        <v>"attributes":[]</v>
      </c>
      <c r="X1309" s="1" t="str">
        <f>formatRow(Tokens!AX$2:BC$2,Tokens!AX1309:BC1309,2,"creators")</f>
        <v>"creators":[]</v>
      </c>
      <c r="Y1309" s="1" t="str">
        <f>formatRow(Tokens!BD$2:BI$2,Tokens!BD1309:BI1309,2,"files")</f>
        <v>"files":[]</v>
      </c>
      <c r="Z1309" s="1"/>
      <c r="AA1309" s="1"/>
      <c r="AB1309" s="1"/>
      <c r="AC1309" s="1" t="str">
        <f>formatRow(Tokens!BJ$2:BK$2,Tokens!BJ1309:BK1309,0,"collection")</f>
        <v>"collection":{"name":"",_x000D_
"family":""}</v>
      </c>
    </row>
    <row r="1310" spans="5:29" ht="14.25" customHeight="1" x14ac:dyDescent="0.25">
      <c r="E1310" s="17" t="str">
        <f>IF(Tokens!C1310="","",Tokens!C1310)</f>
        <v/>
      </c>
      <c r="F1310" s="56"/>
      <c r="G1310" t="s">
        <v>164</v>
      </c>
      <c r="H1310" s="57" t="s">
        <v>165</v>
      </c>
      <c r="I1310" s="2" t="s">
        <v>166</v>
      </c>
      <c r="J1310" s="2" t="s">
        <v>167</v>
      </c>
      <c r="M1310" s="15"/>
      <c r="N1310">
        <v>6.9258811930000004</v>
      </c>
      <c r="O1310" s="15">
        <f t="shared" si="40"/>
        <v>0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/>
      </c>
      <c r="Q1310" s="2"/>
      <c r="R1310" s="2"/>
      <c r="S1310" s="11"/>
      <c r="T1310" s="1" t="str">
        <f>"owner=" &amp; Tokens!BS1310 &amp; "&amp;filename_for_metadata=" &amp; Tokens!BT1310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0" s="1" t="str">
        <f>formatRow(Tokens!C$2:I$2,Tokens!C1310:I1310)</f>
        <v>"name":"",_x000D_
"symbol":"",_x000D_
"description":"",_x000D_
"seller_fee_basis_points":"",_x000D_
"image":"",_x000D_
"Issuer":"",_x000D_
"external_url":""</v>
      </c>
      <c r="W1310" s="1" t="str">
        <f>formatRow(Tokens!J$2:AV$2,Tokens!J1310:AV1310,2,"attributes")</f>
        <v>"attributes":[]</v>
      </c>
      <c r="X1310" s="1" t="str">
        <f>formatRow(Tokens!AX$2:BC$2,Tokens!AX1310:BC1310,2,"creators")</f>
        <v>"creators":[]</v>
      </c>
      <c r="Y1310" s="1" t="str">
        <f>formatRow(Tokens!BD$2:BI$2,Tokens!BD1310:BI1310,2,"files")</f>
        <v>"files":[]</v>
      </c>
      <c r="Z1310" s="1"/>
      <c r="AA1310" s="1"/>
      <c r="AB1310" s="1"/>
      <c r="AC1310" s="1" t="str">
        <f>formatRow(Tokens!BJ$2:BK$2,Tokens!BJ1310:BK1310,0,"collection")</f>
        <v>"collection":{"name":"",_x000D_
"family":""}</v>
      </c>
    </row>
    <row r="1311" spans="5:29" ht="14.25" customHeight="1" x14ac:dyDescent="0.25">
      <c r="E1311" s="17" t="str">
        <f>IF(Tokens!C1311="","",Tokens!C1311)</f>
        <v/>
      </c>
      <c r="F1311" s="56"/>
      <c r="G1311" t="s">
        <v>164</v>
      </c>
      <c r="H1311" s="57" t="s">
        <v>165</v>
      </c>
      <c r="I1311" s="2" t="s">
        <v>166</v>
      </c>
      <c r="J1311" s="2" t="s">
        <v>167</v>
      </c>
      <c r="M1311" s="15"/>
      <c r="N1311">
        <v>6.9258811930000004</v>
      </c>
      <c r="O1311" s="15">
        <f t="shared" si="40"/>
        <v>0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/>
      </c>
      <c r="Q1311" s="2"/>
      <c r="R1311" s="2"/>
      <c r="S1311" s="11"/>
      <c r="T1311" s="1" t="str">
        <f>"owner=" &amp; Tokens!BS1311 &amp; "&amp;filename_for_metadata=" &amp; Tokens!BT1311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1" s="1" t="str">
        <f>formatRow(Tokens!C$2:I$2,Tokens!C1311:I1311)</f>
        <v>"name":"",_x000D_
"symbol":"",_x000D_
"description":"",_x000D_
"seller_fee_basis_points":"",_x000D_
"image":"",_x000D_
"Issuer":"",_x000D_
"external_url":""</v>
      </c>
      <c r="W1311" s="1" t="str">
        <f>formatRow(Tokens!J$2:AV$2,Tokens!J1311:AV1311,2,"attributes")</f>
        <v>"attributes":[]</v>
      </c>
      <c r="X1311" s="1" t="str">
        <f>formatRow(Tokens!AX$2:BC$2,Tokens!AX1311:BC1311,2,"creators")</f>
        <v>"creators":[]</v>
      </c>
      <c r="Y1311" s="1" t="str">
        <f>formatRow(Tokens!BD$2:BI$2,Tokens!BD1311:BI1311,2,"files")</f>
        <v>"files":[]</v>
      </c>
      <c r="Z1311" s="1"/>
      <c r="AA1311" s="1"/>
      <c r="AB1311" s="1"/>
      <c r="AC1311" s="1" t="str">
        <f>formatRow(Tokens!BJ$2:BK$2,Tokens!BJ1311:BK1311,0,"collection")</f>
        <v>"collection":{"name":"",_x000D_
"family":""}</v>
      </c>
    </row>
    <row r="1312" spans="5:29" ht="14.25" customHeight="1" x14ac:dyDescent="0.25">
      <c r="E1312" s="17" t="str">
        <f>IF(Tokens!C1312="","",Tokens!C1312)</f>
        <v/>
      </c>
      <c r="F1312" s="56"/>
      <c r="G1312" t="s">
        <v>164</v>
      </c>
      <c r="H1312" s="57" t="s">
        <v>165</v>
      </c>
      <c r="I1312" s="2" t="s">
        <v>166</v>
      </c>
      <c r="J1312" s="2" t="s">
        <v>167</v>
      </c>
      <c r="M1312" s="15"/>
      <c r="N1312">
        <v>6.9258811930000004</v>
      </c>
      <c r="O1312" s="15">
        <f t="shared" si="40"/>
        <v>0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/>
      </c>
      <c r="Q1312" s="2"/>
      <c r="R1312" s="2"/>
      <c r="S1312" s="11"/>
      <c r="T1312" s="1" t="str">
        <f>"owner=" &amp; Tokens!BS1312 &amp; "&amp;filename_for_metadata=" &amp; Tokens!BT1312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2" s="1" t="str">
        <f>formatRow(Tokens!C$2:I$2,Tokens!C1312:I1312)</f>
        <v>"name":"",_x000D_
"symbol":"",_x000D_
"description":"",_x000D_
"seller_fee_basis_points":"",_x000D_
"image":"",_x000D_
"Issuer":"",_x000D_
"external_url":""</v>
      </c>
      <c r="W1312" s="1" t="str">
        <f>formatRow(Tokens!J$2:AV$2,Tokens!J1312:AV1312,2,"attributes")</f>
        <v>"attributes":[]</v>
      </c>
      <c r="X1312" s="1" t="str">
        <f>formatRow(Tokens!AX$2:BC$2,Tokens!AX1312:BC1312,2,"creators")</f>
        <v>"creators":[]</v>
      </c>
      <c r="Y1312" s="1" t="str">
        <f>formatRow(Tokens!BD$2:BI$2,Tokens!BD1312:BI1312,2,"files")</f>
        <v>"files":[]</v>
      </c>
      <c r="Z1312" s="1"/>
      <c r="AA1312" s="1"/>
      <c r="AB1312" s="1"/>
      <c r="AC1312" s="1" t="str">
        <f>formatRow(Tokens!BJ$2:BK$2,Tokens!BJ1312:BK1312,0,"collection")</f>
        <v>"collection":{"name":"",_x000D_
"family":""}</v>
      </c>
    </row>
    <row r="1313" spans="5:29" ht="14.25" customHeight="1" x14ac:dyDescent="0.25">
      <c r="E1313" s="17" t="str">
        <f>IF(Tokens!C1313="","",Tokens!C1313)</f>
        <v/>
      </c>
      <c r="F1313" s="56"/>
      <c r="G1313" t="s">
        <v>164</v>
      </c>
      <c r="H1313" s="57" t="s">
        <v>165</v>
      </c>
      <c r="I1313" s="2" t="s">
        <v>166</v>
      </c>
      <c r="J1313" s="2" t="s">
        <v>167</v>
      </c>
      <c r="M1313" s="15"/>
      <c r="N1313">
        <v>6.9258811930000004</v>
      </c>
      <c r="O1313" s="15">
        <f t="shared" si="40"/>
        <v>0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/>
      </c>
      <c r="Q1313" s="2"/>
      <c r="R1313" s="2"/>
      <c r="S1313" s="11"/>
      <c r="T1313" s="1" t="str">
        <f>"owner=" &amp; Tokens!BS1313 &amp; "&amp;filename_for_metadata=" &amp; Tokens!BT1313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3" s="1" t="str">
        <f>formatRow(Tokens!C$2:I$2,Tokens!C1313:I1313)</f>
        <v>"name":"",_x000D_
"symbol":"",_x000D_
"description":"",_x000D_
"seller_fee_basis_points":"",_x000D_
"image":"",_x000D_
"Issuer":"",_x000D_
"external_url":""</v>
      </c>
      <c r="W1313" s="1" t="str">
        <f>formatRow(Tokens!J$2:AV$2,Tokens!J1313:AV1313,2,"attributes")</f>
        <v>"attributes":[]</v>
      </c>
      <c r="X1313" s="1" t="str">
        <f>formatRow(Tokens!AX$2:BC$2,Tokens!AX1313:BC1313,2,"creators")</f>
        <v>"creators":[]</v>
      </c>
      <c r="Y1313" s="1" t="str">
        <f>formatRow(Tokens!BD$2:BI$2,Tokens!BD1313:BI1313,2,"files")</f>
        <v>"files":[]</v>
      </c>
      <c r="Z1313" s="1"/>
      <c r="AA1313" s="1"/>
      <c r="AB1313" s="1"/>
      <c r="AC1313" s="1" t="str">
        <f>formatRow(Tokens!BJ$2:BK$2,Tokens!BJ1313:BK1313,0,"collection")</f>
        <v>"collection":{"name":"",_x000D_
"family":""}</v>
      </c>
    </row>
    <row r="1314" spans="5:29" ht="14.25" customHeight="1" x14ac:dyDescent="0.25">
      <c r="E1314" s="17" t="str">
        <f>IF(Tokens!C1314="","",Tokens!C1314)</f>
        <v/>
      </c>
      <c r="F1314" s="56"/>
      <c r="G1314" t="s">
        <v>164</v>
      </c>
      <c r="H1314" s="57" t="s">
        <v>165</v>
      </c>
      <c r="I1314" s="2" t="s">
        <v>166</v>
      </c>
      <c r="J1314" s="2" t="s">
        <v>167</v>
      </c>
      <c r="M1314" s="15"/>
      <c r="N1314">
        <v>6.9258811930000004</v>
      </c>
      <c r="O1314" s="15">
        <f t="shared" si="40"/>
        <v>0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/>
      </c>
      <c r="Q1314" s="2"/>
      <c r="R1314" s="2"/>
      <c r="S1314" s="11"/>
      <c r="T1314" s="1" t="str">
        <f>"owner=" &amp; Tokens!BS1314 &amp; "&amp;filename_for_metadata=" &amp; Tokens!BT1314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4" s="1" t="str">
        <f>formatRow(Tokens!C$2:I$2,Tokens!C1314:I1314)</f>
        <v>"name":"",_x000D_
"symbol":"",_x000D_
"description":"",_x000D_
"seller_fee_basis_points":"",_x000D_
"image":"",_x000D_
"Issuer":"",_x000D_
"external_url":""</v>
      </c>
      <c r="W1314" s="1" t="str">
        <f>formatRow(Tokens!J$2:AV$2,Tokens!J1314:AV1314,2,"attributes")</f>
        <v>"attributes":[]</v>
      </c>
      <c r="X1314" s="1" t="str">
        <f>formatRow(Tokens!AX$2:BC$2,Tokens!AX1314:BC1314,2,"creators")</f>
        <v>"creators":[]</v>
      </c>
      <c r="Y1314" s="1" t="str">
        <f>formatRow(Tokens!BD$2:BI$2,Tokens!BD1314:BI1314,2,"files")</f>
        <v>"files":[]</v>
      </c>
      <c r="Z1314" s="1"/>
      <c r="AA1314" s="1"/>
      <c r="AB1314" s="1"/>
      <c r="AC1314" s="1" t="str">
        <f>formatRow(Tokens!BJ$2:BK$2,Tokens!BJ1314:BK1314,0,"collection")</f>
        <v>"collection":{"name":"",_x000D_
"family":""}</v>
      </c>
    </row>
    <row r="1315" spans="5:29" ht="14.25" customHeight="1" x14ac:dyDescent="0.25">
      <c r="E1315" s="17" t="str">
        <f>IF(Tokens!C1315="","",Tokens!C1315)</f>
        <v/>
      </c>
      <c r="F1315" s="56"/>
      <c r="G1315" t="s">
        <v>164</v>
      </c>
      <c r="H1315" s="57" t="s">
        <v>165</v>
      </c>
      <c r="I1315" s="2" t="s">
        <v>166</v>
      </c>
      <c r="J1315" s="2" t="s">
        <v>167</v>
      </c>
      <c r="M1315" s="15"/>
      <c r="N1315">
        <v>6.9258811930000004</v>
      </c>
      <c r="O1315" s="15">
        <f t="shared" si="40"/>
        <v>0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/>
      </c>
      <c r="Q1315" s="2"/>
      <c r="R1315" s="2"/>
      <c r="S1315" s="11"/>
      <c r="T1315" s="1" t="str">
        <f>"owner=" &amp; Tokens!BS1315 &amp; "&amp;filename_for_metadata=" &amp; Tokens!BT1315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5" s="1" t="str">
        <f>formatRow(Tokens!C$2:I$2,Tokens!C1315:I1315)</f>
        <v>"name":"",_x000D_
"symbol":"",_x000D_
"description":"",_x000D_
"seller_fee_basis_points":"",_x000D_
"image":"",_x000D_
"Issuer":"",_x000D_
"external_url":""</v>
      </c>
      <c r="W1315" s="1" t="str">
        <f>formatRow(Tokens!J$2:AV$2,Tokens!J1315:AV1315,2,"attributes")</f>
        <v>"attributes":[]</v>
      </c>
      <c r="X1315" s="1" t="str">
        <f>formatRow(Tokens!AX$2:BC$2,Tokens!AX1315:BC1315,2,"creators")</f>
        <v>"creators":[]</v>
      </c>
      <c r="Y1315" s="1" t="str">
        <f>formatRow(Tokens!BD$2:BI$2,Tokens!BD1315:BI1315,2,"files")</f>
        <v>"files":[]</v>
      </c>
      <c r="Z1315" s="1"/>
      <c r="AA1315" s="1"/>
      <c r="AB1315" s="1"/>
      <c r="AC1315" s="1" t="str">
        <f>formatRow(Tokens!BJ$2:BK$2,Tokens!BJ1315:BK1315,0,"collection")</f>
        <v>"collection":{"name":"",_x000D_
"family":""}</v>
      </c>
    </row>
    <row r="1316" spans="5:29" ht="14.25" customHeight="1" x14ac:dyDescent="0.25">
      <c r="E1316" s="17" t="str">
        <f>IF(Tokens!C1316="","",Tokens!C1316)</f>
        <v/>
      </c>
      <c r="F1316" s="56"/>
      <c r="G1316" t="s">
        <v>164</v>
      </c>
      <c r="H1316" s="57" t="s">
        <v>165</v>
      </c>
      <c r="I1316" s="2" t="s">
        <v>166</v>
      </c>
      <c r="J1316" s="2" t="s">
        <v>167</v>
      </c>
      <c r="M1316" s="15"/>
      <c r="N1316">
        <v>6.9258811930000004</v>
      </c>
      <c r="O1316" s="15">
        <f t="shared" si="40"/>
        <v>0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/>
      </c>
      <c r="Q1316" s="2"/>
      <c r="R1316" s="2"/>
      <c r="S1316" s="11"/>
      <c r="T1316" s="1" t="str">
        <f>"owner=" &amp; Tokens!BS1316 &amp; "&amp;filename_for_metadata=" &amp; Tokens!BT1316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6" s="1" t="str">
        <f>formatRow(Tokens!C$2:I$2,Tokens!C1316:I1316)</f>
        <v>"name":"",_x000D_
"symbol":"",_x000D_
"description":"",_x000D_
"seller_fee_basis_points":"",_x000D_
"image":"",_x000D_
"Issuer":"",_x000D_
"external_url":""</v>
      </c>
      <c r="W1316" s="1" t="str">
        <f>formatRow(Tokens!J$2:AV$2,Tokens!J1316:AV1316,2,"attributes")</f>
        <v>"attributes":[]</v>
      </c>
      <c r="X1316" s="1" t="str">
        <f>formatRow(Tokens!AX$2:BC$2,Tokens!AX1316:BC1316,2,"creators")</f>
        <v>"creators":[]</v>
      </c>
      <c r="Y1316" s="1" t="str">
        <f>formatRow(Tokens!BD$2:BI$2,Tokens!BD1316:BI1316,2,"files")</f>
        <v>"files":[]</v>
      </c>
      <c r="Z1316" s="1"/>
      <c r="AA1316" s="1"/>
      <c r="AB1316" s="1"/>
      <c r="AC1316" s="1" t="str">
        <f>formatRow(Tokens!BJ$2:BK$2,Tokens!BJ1316:BK1316,0,"collection")</f>
        <v>"collection":{"name":"",_x000D_
"family":""}</v>
      </c>
    </row>
    <row r="1317" spans="5:29" ht="14.25" customHeight="1" x14ac:dyDescent="0.25">
      <c r="E1317" s="17" t="str">
        <f>IF(Tokens!C1317="","",Tokens!C1317)</f>
        <v/>
      </c>
      <c r="F1317" s="56"/>
      <c r="G1317" t="s">
        <v>164</v>
      </c>
      <c r="H1317" s="57" t="s">
        <v>165</v>
      </c>
      <c r="I1317" s="2" t="s">
        <v>166</v>
      </c>
      <c r="J1317" s="2" t="s">
        <v>167</v>
      </c>
      <c r="M1317" s="15"/>
      <c r="N1317">
        <v>6.9258811930000004</v>
      </c>
      <c r="O1317" s="15">
        <f t="shared" si="40"/>
        <v>0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/>
      </c>
      <c r="Q1317" s="2"/>
      <c r="R1317" s="2"/>
      <c r="S1317" s="11"/>
      <c r="T1317" s="1" t="str">
        <f>"owner=" &amp; Tokens!BS1317 &amp; "&amp;filename_for_metadata=" &amp; Tokens!BT1317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7" s="1" t="str">
        <f>formatRow(Tokens!C$2:I$2,Tokens!C1317:I1317)</f>
        <v>"name":"",_x000D_
"symbol":"",_x000D_
"description":"",_x000D_
"seller_fee_basis_points":"",_x000D_
"image":"",_x000D_
"Issuer":"",_x000D_
"external_url":""</v>
      </c>
      <c r="W1317" s="1" t="str">
        <f>formatRow(Tokens!J$2:AV$2,Tokens!J1317:AV1317,2,"attributes")</f>
        <v>"attributes":[]</v>
      </c>
      <c r="X1317" s="1" t="str">
        <f>formatRow(Tokens!AX$2:BC$2,Tokens!AX1317:BC1317,2,"creators")</f>
        <v>"creators":[]</v>
      </c>
      <c r="Y1317" s="1" t="str">
        <f>formatRow(Tokens!BD$2:BI$2,Tokens!BD1317:BI1317,2,"files")</f>
        <v>"files":[]</v>
      </c>
      <c r="Z1317" s="1"/>
      <c r="AA1317" s="1"/>
      <c r="AB1317" s="1"/>
      <c r="AC1317" s="1" t="str">
        <f>formatRow(Tokens!BJ$2:BK$2,Tokens!BJ1317:BK1317,0,"collection")</f>
        <v>"collection":{"name":"",_x000D_
"family":""}</v>
      </c>
    </row>
    <row r="1318" spans="5:29" ht="14.25" customHeight="1" x14ac:dyDescent="0.25">
      <c r="E1318" s="17" t="str">
        <f>IF(Tokens!C1318="","",Tokens!C1318)</f>
        <v/>
      </c>
      <c r="F1318" s="56"/>
      <c r="G1318" t="s">
        <v>164</v>
      </c>
      <c r="H1318" s="57" t="s">
        <v>165</v>
      </c>
      <c r="I1318" s="2" t="s">
        <v>166</v>
      </c>
      <c r="J1318" s="2" t="s">
        <v>167</v>
      </c>
      <c r="M1318" s="15"/>
      <c r="N1318">
        <v>6.9258811930000004</v>
      </c>
      <c r="O1318" s="15">
        <f t="shared" si="40"/>
        <v>0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/>
      </c>
      <c r="Q1318" s="2"/>
      <c r="R1318" s="2"/>
      <c r="S1318" s="11"/>
      <c r="T1318" s="1" t="str">
        <f>"owner=" &amp; Tokens!BS1318 &amp; "&amp;filename_for_metadata=" &amp; Tokens!BT1318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8" s="1" t="str">
        <f>formatRow(Tokens!C$2:I$2,Tokens!C1318:I1318)</f>
        <v>"name":"",_x000D_
"symbol":"",_x000D_
"description":"",_x000D_
"seller_fee_basis_points":"",_x000D_
"image":"",_x000D_
"Issuer":"",_x000D_
"external_url":""</v>
      </c>
      <c r="W1318" s="1" t="str">
        <f>formatRow(Tokens!J$2:AV$2,Tokens!J1318:AV1318,2,"attributes")</f>
        <v>"attributes":[]</v>
      </c>
      <c r="X1318" s="1" t="str">
        <f>formatRow(Tokens!AX$2:BC$2,Tokens!AX1318:BC1318,2,"creators")</f>
        <v>"creators":[]</v>
      </c>
      <c r="Y1318" s="1" t="str">
        <f>formatRow(Tokens!BD$2:BI$2,Tokens!BD1318:BI1318,2,"files")</f>
        <v>"files":[]</v>
      </c>
      <c r="Z1318" s="1"/>
      <c r="AA1318" s="1"/>
      <c r="AB1318" s="1"/>
      <c r="AC1318" s="1" t="str">
        <f>formatRow(Tokens!BJ$2:BK$2,Tokens!BJ1318:BK1318,0,"collection")</f>
        <v>"collection":{"name":"",_x000D_
"family":""}</v>
      </c>
    </row>
    <row r="1319" spans="5:29" ht="14.25" customHeight="1" x14ac:dyDescent="0.25">
      <c r="E1319" s="17" t="str">
        <f>IF(Tokens!C1319="","",Tokens!C1319)</f>
        <v/>
      </c>
      <c r="F1319" s="56"/>
      <c r="G1319" t="s">
        <v>164</v>
      </c>
      <c r="H1319" s="57" t="s">
        <v>165</v>
      </c>
      <c r="I1319" s="2" t="s">
        <v>166</v>
      </c>
      <c r="J1319" s="2" t="s">
        <v>167</v>
      </c>
      <c r="M1319" s="15"/>
      <c r="N1319">
        <v>6.9258811930000004</v>
      </c>
      <c r="O1319" s="15">
        <f t="shared" si="40"/>
        <v>0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/>
      </c>
      <c r="Q1319" s="2"/>
      <c r="R1319" s="2"/>
      <c r="S1319" s="11"/>
      <c r="T1319" s="1" t="str">
        <f>"owner=" &amp; Tokens!BS1319 &amp; "&amp;filename_for_metadata=" &amp; Tokens!BT1319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1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19" s="1" t="str">
        <f>formatRow(Tokens!C$2:I$2,Tokens!C1319:I1319)</f>
        <v>"name":"",_x000D_
"symbol":"",_x000D_
"description":"",_x000D_
"seller_fee_basis_points":"",_x000D_
"image":"",_x000D_
"Issuer":"",_x000D_
"external_url":""</v>
      </c>
      <c r="W1319" s="1" t="str">
        <f>formatRow(Tokens!J$2:AV$2,Tokens!J1319:AV1319,2,"attributes")</f>
        <v>"attributes":[]</v>
      </c>
      <c r="X1319" s="1" t="str">
        <f>formatRow(Tokens!AX$2:BC$2,Tokens!AX1319:BC1319,2,"creators")</f>
        <v>"creators":[]</v>
      </c>
      <c r="Y1319" s="1" t="str">
        <f>formatRow(Tokens!BD$2:BI$2,Tokens!BD1319:BI1319,2,"files")</f>
        <v>"files":[]</v>
      </c>
      <c r="Z1319" s="1"/>
      <c r="AA1319" s="1"/>
      <c r="AB1319" s="1"/>
      <c r="AC1319" s="1" t="str">
        <f>formatRow(Tokens!BJ$2:BK$2,Tokens!BJ1319:BK1319,0,"collection")</f>
        <v>"collection":{"name":"",_x000D_
"family":""}</v>
      </c>
    </row>
    <row r="1320" spans="5:29" ht="14.25" customHeight="1" x14ac:dyDescent="0.25">
      <c r="E1320" s="17" t="str">
        <f>IF(Tokens!C1320="","",Tokens!C1320)</f>
        <v/>
      </c>
      <c r="F1320" s="56"/>
      <c r="G1320" t="s">
        <v>164</v>
      </c>
      <c r="H1320" s="57" t="s">
        <v>165</v>
      </c>
      <c r="I1320" s="2" t="s">
        <v>166</v>
      </c>
      <c r="J1320" s="2" t="s">
        <v>167</v>
      </c>
      <c r="M1320" s="15"/>
      <c r="N1320">
        <v>6.9258811930000004</v>
      </c>
      <c r="O1320" s="15">
        <f t="shared" si="40"/>
        <v>0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/>
      </c>
      <c r="Q1320" s="2"/>
      <c r="R1320" s="2"/>
      <c r="S1320" s="11"/>
      <c r="T1320" s="1" t="str">
        <f>"owner=" &amp; Tokens!BS1320 &amp; "&amp;filename_for_metadata=" &amp; Tokens!BT1320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0" s="1" t="str">
        <f>formatRow(Tokens!C$2:I$2,Tokens!C1320:I1320)</f>
        <v>"name":"",_x000D_
"symbol":"",_x000D_
"description":"",_x000D_
"seller_fee_basis_points":"",_x000D_
"image":"",_x000D_
"Issuer":"",_x000D_
"external_url":""</v>
      </c>
      <c r="W1320" s="1" t="str">
        <f>formatRow(Tokens!J$2:AV$2,Tokens!J1320:AV1320,2,"attributes")</f>
        <v>"attributes":[]</v>
      </c>
      <c r="X1320" s="1" t="str">
        <f>formatRow(Tokens!AX$2:BC$2,Tokens!AX1320:BC1320,2,"creators")</f>
        <v>"creators":[]</v>
      </c>
      <c r="Y1320" s="1" t="str">
        <f>formatRow(Tokens!BD$2:BI$2,Tokens!BD1320:BI1320,2,"files")</f>
        <v>"files":[]</v>
      </c>
      <c r="Z1320" s="1"/>
      <c r="AA1320" s="1"/>
      <c r="AB1320" s="1"/>
      <c r="AC1320" s="1" t="str">
        <f>formatRow(Tokens!BJ$2:BK$2,Tokens!BJ1320:BK1320,0,"collection")</f>
        <v>"collection":{"name":"",_x000D_
"family":""}</v>
      </c>
    </row>
    <row r="1321" spans="5:29" ht="14.25" customHeight="1" x14ac:dyDescent="0.25">
      <c r="E1321" s="17" t="str">
        <f>IF(Tokens!C1321="","",Tokens!C1321)</f>
        <v/>
      </c>
      <c r="F1321" s="56"/>
      <c r="G1321" t="s">
        <v>164</v>
      </c>
      <c r="H1321" s="57" t="s">
        <v>165</v>
      </c>
      <c r="I1321" s="2" t="s">
        <v>166</v>
      </c>
      <c r="J1321" s="2" t="s">
        <v>167</v>
      </c>
      <c r="M1321" s="15"/>
      <c r="N1321">
        <v>6.9258811930000004</v>
      </c>
      <c r="O1321" s="15">
        <f t="shared" si="40"/>
        <v>0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/>
      </c>
      <c r="Q1321" s="2"/>
      <c r="R1321" s="2"/>
      <c r="S1321" s="11"/>
      <c r="T1321" s="1" t="str">
        <f>"owner=" &amp; Tokens!BS1321 &amp; "&amp;filename_for_metadata=" &amp; Tokens!BT1321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1" s="1" t="str">
        <f>formatRow(Tokens!C$2:I$2,Tokens!C1321:I1321)</f>
        <v>"name":"",_x000D_
"symbol":"",_x000D_
"description":"",_x000D_
"seller_fee_basis_points":"",_x000D_
"image":"",_x000D_
"Issuer":"",_x000D_
"external_url":""</v>
      </c>
      <c r="W1321" s="1" t="str">
        <f>formatRow(Tokens!J$2:AV$2,Tokens!J1321:AV1321,2,"attributes")</f>
        <v>"attributes":[]</v>
      </c>
      <c r="X1321" s="1" t="str">
        <f>formatRow(Tokens!AX$2:BC$2,Tokens!AX1321:BC1321,2,"creators")</f>
        <v>"creators":[]</v>
      </c>
      <c r="Y1321" s="1" t="str">
        <f>formatRow(Tokens!BD$2:BI$2,Tokens!BD1321:BI1321,2,"files")</f>
        <v>"files":[]</v>
      </c>
      <c r="Z1321" s="1"/>
      <c r="AA1321" s="1"/>
      <c r="AB1321" s="1"/>
      <c r="AC1321" s="1" t="str">
        <f>formatRow(Tokens!BJ$2:BK$2,Tokens!BJ1321:BK1321,0,"collection")</f>
        <v>"collection":{"name":"",_x000D_
"family":""}</v>
      </c>
    </row>
    <row r="1322" spans="5:29" ht="14.25" customHeight="1" x14ac:dyDescent="0.25">
      <c r="E1322" s="17" t="str">
        <f>IF(Tokens!C1322="","",Tokens!C1322)</f>
        <v/>
      </c>
      <c r="F1322" s="56"/>
      <c r="G1322" t="s">
        <v>164</v>
      </c>
      <c r="H1322" s="57" t="s">
        <v>165</v>
      </c>
      <c r="I1322" s="2" t="s">
        <v>166</v>
      </c>
      <c r="J1322" s="2" t="s">
        <v>167</v>
      </c>
      <c r="M1322" s="15"/>
      <c r="N1322">
        <v>6.9258811930000004</v>
      </c>
      <c r="O1322" s="15">
        <f t="shared" si="40"/>
        <v>0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/>
      </c>
      <c r="Q1322" s="2"/>
      <c r="R1322" s="2"/>
      <c r="S1322" s="11"/>
      <c r="T1322" s="1" t="str">
        <f>"owner=" &amp; Tokens!BS1322 &amp; "&amp;filename_for_metadata=" &amp; Tokens!BT1322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2" s="1" t="str">
        <f>formatRow(Tokens!C$2:I$2,Tokens!C1322:I1322)</f>
        <v>"name":"",_x000D_
"symbol":"",_x000D_
"description":"",_x000D_
"seller_fee_basis_points":"",_x000D_
"image":"",_x000D_
"Issuer":"",_x000D_
"external_url":""</v>
      </c>
      <c r="W1322" s="1" t="str">
        <f>formatRow(Tokens!J$2:AV$2,Tokens!J1322:AV1322,2,"attributes")</f>
        <v>"attributes":[]</v>
      </c>
      <c r="X1322" s="1" t="str">
        <f>formatRow(Tokens!AX$2:BC$2,Tokens!AX1322:BC1322,2,"creators")</f>
        <v>"creators":[]</v>
      </c>
      <c r="Y1322" s="1" t="str">
        <f>formatRow(Tokens!BD$2:BI$2,Tokens!BD1322:BI1322,2,"files")</f>
        <v>"files":[]</v>
      </c>
      <c r="Z1322" s="1"/>
      <c r="AA1322" s="1"/>
      <c r="AB1322" s="1"/>
      <c r="AC1322" s="1" t="str">
        <f>formatRow(Tokens!BJ$2:BK$2,Tokens!BJ1322:BK1322,0,"collection")</f>
        <v>"collection":{"name":"",_x000D_
"family":""}</v>
      </c>
    </row>
    <row r="1323" spans="5:29" ht="14.25" customHeight="1" x14ac:dyDescent="0.25">
      <c r="E1323" s="17" t="str">
        <f>IF(Tokens!C1323="","",Tokens!C1323)</f>
        <v/>
      </c>
      <c r="F1323" s="56"/>
      <c r="G1323" t="s">
        <v>164</v>
      </c>
      <c r="H1323" s="57" t="s">
        <v>165</v>
      </c>
      <c r="I1323" s="2" t="s">
        <v>166</v>
      </c>
      <c r="J1323" s="2" t="s">
        <v>167</v>
      </c>
      <c r="M1323" s="15"/>
      <c r="N1323">
        <v>6.9258811930000004</v>
      </c>
      <c r="O1323" s="15">
        <f t="shared" si="40"/>
        <v>0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/>
      </c>
      <c r="Q1323" s="2"/>
      <c r="R1323" s="2"/>
      <c r="S1323" s="11"/>
      <c r="T1323" s="1" t="str">
        <f>"owner=" &amp; Tokens!BS1323 &amp; "&amp;filename_for_metadata=" &amp; Tokens!BT1323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3" s="1" t="str">
        <f>formatRow(Tokens!C$2:I$2,Tokens!C1323:I1323)</f>
        <v>"name":"",_x000D_
"symbol":"",_x000D_
"description":"",_x000D_
"seller_fee_basis_points":"",_x000D_
"image":"",_x000D_
"Issuer":"",_x000D_
"external_url":""</v>
      </c>
      <c r="W1323" s="1" t="str">
        <f>formatRow(Tokens!J$2:AV$2,Tokens!J1323:AV1323,2,"attributes")</f>
        <v>"attributes":[]</v>
      </c>
      <c r="X1323" s="1" t="str">
        <f>formatRow(Tokens!AX$2:BC$2,Tokens!AX1323:BC1323,2,"creators")</f>
        <v>"creators":[]</v>
      </c>
      <c r="Y1323" s="1" t="str">
        <f>formatRow(Tokens!BD$2:BI$2,Tokens!BD1323:BI1323,2,"files")</f>
        <v>"files":[]</v>
      </c>
      <c r="Z1323" s="1"/>
      <c r="AA1323" s="1"/>
      <c r="AB1323" s="1"/>
      <c r="AC1323" s="1" t="str">
        <f>formatRow(Tokens!BJ$2:BK$2,Tokens!BJ1323:BK1323,0,"collection")</f>
        <v>"collection":{"name":"",_x000D_
"family":""}</v>
      </c>
    </row>
    <row r="1324" spans="5:29" ht="14.25" customHeight="1" x14ac:dyDescent="0.25">
      <c r="E1324" s="17" t="str">
        <f>IF(Tokens!C1324="","",Tokens!C1324)</f>
        <v/>
      </c>
      <c r="F1324" s="56"/>
      <c r="G1324" t="s">
        <v>164</v>
      </c>
      <c r="H1324" s="57" t="s">
        <v>165</v>
      </c>
      <c r="I1324" s="2" t="s">
        <v>166</v>
      </c>
      <c r="J1324" s="2" t="s">
        <v>167</v>
      </c>
      <c r="M1324" s="15"/>
      <c r="N1324">
        <v>6.9258811930000004</v>
      </c>
      <c r="O1324" s="15">
        <f t="shared" si="40"/>
        <v>0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/>
      </c>
      <c r="Q1324" s="2"/>
      <c r="R1324" s="2"/>
      <c r="S1324" s="11"/>
      <c r="T1324" s="1" t="str">
        <f>"owner=" &amp; Tokens!BS1324 &amp; "&amp;filename_for_metadata=" &amp; Tokens!BT1324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4" s="1" t="str">
        <f>formatRow(Tokens!C$2:I$2,Tokens!C1324:I1324)</f>
        <v>"name":"",_x000D_
"symbol":"",_x000D_
"description":"",_x000D_
"seller_fee_basis_points":"",_x000D_
"image":"",_x000D_
"Issuer":"",_x000D_
"external_url":""</v>
      </c>
      <c r="W1324" s="1" t="str">
        <f>formatRow(Tokens!J$2:AV$2,Tokens!J1324:AV1324,2,"attributes")</f>
        <v>"attributes":[]</v>
      </c>
      <c r="X1324" s="1" t="str">
        <f>formatRow(Tokens!AX$2:BC$2,Tokens!AX1324:BC1324,2,"creators")</f>
        <v>"creators":[]</v>
      </c>
      <c r="Y1324" s="1" t="str">
        <f>formatRow(Tokens!BD$2:BI$2,Tokens!BD1324:BI1324,2,"files")</f>
        <v>"files":[]</v>
      </c>
      <c r="Z1324" s="1"/>
      <c r="AA1324" s="1"/>
      <c r="AB1324" s="1"/>
      <c r="AC1324" s="1" t="str">
        <f>formatRow(Tokens!BJ$2:BK$2,Tokens!BJ1324:BK1324,0,"collection")</f>
        <v>"collection":{"name":"",_x000D_
"family":""}</v>
      </c>
    </row>
    <row r="1325" spans="5:29" ht="14.25" customHeight="1" x14ac:dyDescent="0.25">
      <c r="E1325" s="17" t="str">
        <f>IF(Tokens!C1325="","",Tokens!C1325)</f>
        <v/>
      </c>
      <c r="F1325" s="56"/>
      <c r="G1325" t="s">
        <v>164</v>
      </c>
      <c r="H1325" s="57" t="s">
        <v>165</v>
      </c>
      <c r="I1325" s="2" t="s">
        <v>166</v>
      </c>
      <c r="J1325" s="2" t="s">
        <v>167</v>
      </c>
      <c r="M1325" s="15"/>
      <c r="N1325">
        <v>6.9258811930000004</v>
      </c>
      <c r="O1325" s="15">
        <f t="shared" si="40"/>
        <v>0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/>
      </c>
      <c r="Q1325" s="2"/>
      <c r="R1325" s="2"/>
      <c r="S1325" s="11"/>
      <c r="T1325" s="1" t="str">
        <f>"owner=" &amp; Tokens!BS1325 &amp; "&amp;filename_for_metadata=" &amp; Tokens!BT1325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5" s="1" t="str">
        <f>formatRow(Tokens!C$2:I$2,Tokens!C1325:I1325)</f>
        <v>"name":"",_x000D_
"symbol":"",_x000D_
"description":"",_x000D_
"seller_fee_basis_points":"",_x000D_
"image":"",_x000D_
"Issuer":"",_x000D_
"external_url":""</v>
      </c>
      <c r="W1325" s="1" t="str">
        <f>formatRow(Tokens!J$2:AV$2,Tokens!J1325:AV1325,2,"attributes")</f>
        <v>"attributes":[]</v>
      </c>
      <c r="X1325" s="1" t="str">
        <f>formatRow(Tokens!AX$2:BC$2,Tokens!AX1325:BC1325,2,"creators")</f>
        <v>"creators":[]</v>
      </c>
      <c r="Y1325" s="1" t="str">
        <f>formatRow(Tokens!BD$2:BI$2,Tokens!BD1325:BI1325,2,"files")</f>
        <v>"files":[]</v>
      </c>
      <c r="Z1325" s="1"/>
      <c r="AA1325" s="1"/>
      <c r="AB1325" s="1"/>
      <c r="AC1325" s="1" t="str">
        <f>formatRow(Tokens!BJ$2:BK$2,Tokens!BJ1325:BK1325,0,"collection")</f>
        <v>"collection":{"name":"",_x000D_
"family":""}</v>
      </c>
    </row>
    <row r="1326" spans="5:29" ht="14.25" customHeight="1" x14ac:dyDescent="0.25">
      <c r="E1326" s="17" t="str">
        <f>IF(Tokens!C1326="","",Tokens!C1326)</f>
        <v/>
      </c>
      <c r="F1326" s="56"/>
      <c r="G1326" t="s">
        <v>164</v>
      </c>
      <c r="H1326" s="57" t="s">
        <v>165</v>
      </c>
      <c r="I1326" s="2" t="s">
        <v>166</v>
      </c>
      <c r="J1326" s="2" t="s">
        <v>167</v>
      </c>
      <c r="M1326" s="15"/>
      <c r="N1326">
        <v>6.9258811930000004</v>
      </c>
      <c r="O1326" s="15">
        <f t="shared" si="40"/>
        <v>0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/>
      </c>
      <c r="Q1326" s="2"/>
      <c r="R1326" s="2"/>
      <c r="S1326" s="11"/>
      <c r="T1326" s="1" t="str">
        <f>"owner=" &amp; Tokens!BS1326 &amp; "&amp;filename_for_metadata=" &amp; Tokens!BT1326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6" s="1" t="str">
        <f>formatRow(Tokens!C$2:I$2,Tokens!C1326:I1326)</f>
        <v>"name":"",_x000D_
"symbol":"",_x000D_
"description":"",_x000D_
"seller_fee_basis_points":"",_x000D_
"image":"",_x000D_
"Issuer":"",_x000D_
"external_url":""</v>
      </c>
      <c r="W1326" s="1" t="str">
        <f>formatRow(Tokens!J$2:AV$2,Tokens!J1326:AV1326,2,"attributes")</f>
        <v>"attributes":[]</v>
      </c>
      <c r="X1326" s="1" t="str">
        <f>formatRow(Tokens!AX$2:BC$2,Tokens!AX1326:BC1326,2,"creators")</f>
        <v>"creators":[]</v>
      </c>
      <c r="Y1326" s="1" t="str">
        <f>formatRow(Tokens!BD$2:BI$2,Tokens!BD1326:BI1326,2,"files")</f>
        <v>"files":[]</v>
      </c>
      <c r="Z1326" s="1"/>
      <c r="AA1326" s="1"/>
      <c r="AB1326" s="1"/>
      <c r="AC1326" s="1" t="str">
        <f>formatRow(Tokens!BJ$2:BK$2,Tokens!BJ1326:BK1326,0,"collection")</f>
        <v>"collection":{"name":"",_x000D_
"family":""}</v>
      </c>
    </row>
    <row r="1327" spans="5:29" ht="14.25" customHeight="1" x14ac:dyDescent="0.25">
      <c r="E1327" s="17" t="str">
        <f>IF(Tokens!C1327="","",Tokens!C1327)</f>
        <v/>
      </c>
      <c r="F1327" s="56"/>
      <c r="G1327" t="s">
        <v>164</v>
      </c>
      <c r="H1327" s="57" t="s">
        <v>165</v>
      </c>
      <c r="I1327" s="2" t="s">
        <v>166</v>
      </c>
      <c r="J1327" s="2" t="s">
        <v>167</v>
      </c>
      <c r="M1327" s="15"/>
      <c r="N1327">
        <v>6.9258811930000004</v>
      </c>
      <c r="O1327" s="15">
        <f t="shared" si="40"/>
        <v>0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/>
      </c>
      <c r="Q1327" s="2"/>
      <c r="R1327" s="2"/>
      <c r="S1327" s="11"/>
      <c r="T1327" s="1" t="str">
        <f>"owner=" &amp; Tokens!BS1327 &amp; "&amp;filename_for_metadata=" &amp; Tokens!BT1327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7" s="1" t="str">
        <f>formatRow(Tokens!C$2:I$2,Tokens!C1327:I1327)</f>
        <v>"name":"",_x000D_
"symbol":"",_x000D_
"description":"",_x000D_
"seller_fee_basis_points":"",_x000D_
"image":"",_x000D_
"Issuer":"",_x000D_
"external_url":""</v>
      </c>
      <c r="W1327" s="1" t="str">
        <f>formatRow(Tokens!J$2:AV$2,Tokens!J1327:AV1327,2,"attributes")</f>
        <v>"attributes":[]</v>
      </c>
      <c r="X1327" s="1" t="str">
        <f>formatRow(Tokens!AX$2:BC$2,Tokens!AX1327:BC1327,2,"creators")</f>
        <v>"creators":[]</v>
      </c>
      <c r="Y1327" s="1" t="str">
        <f>formatRow(Tokens!BD$2:BI$2,Tokens!BD1327:BI1327,2,"files")</f>
        <v>"files":[]</v>
      </c>
      <c r="Z1327" s="1"/>
      <c r="AA1327" s="1"/>
      <c r="AB1327" s="1"/>
      <c r="AC1327" s="1" t="str">
        <f>formatRow(Tokens!BJ$2:BK$2,Tokens!BJ1327:BK1327,0,"collection")</f>
        <v>"collection":{"name":"",_x000D_
"family":""}</v>
      </c>
    </row>
    <row r="1328" spans="5:29" ht="14.25" customHeight="1" x14ac:dyDescent="0.25">
      <c r="E1328" s="17" t="str">
        <f>IF(Tokens!C1328="","",Tokens!C1328)</f>
        <v/>
      </c>
      <c r="F1328" s="56"/>
      <c r="G1328" t="s">
        <v>164</v>
      </c>
      <c r="H1328" s="57" t="s">
        <v>165</v>
      </c>
      <c r="I1328" s="2" t="s">
        <v>166</v>
      </c>
      <c r="J1328" s="2" t="s">
        <v>167</v>
      </c>
      <c r="M1328" s="15"/>
      <c r="N1328">
        <v>6.9258811930000004</v>
      </c>
      <c r="O1328" s="15">
        <f t="shared" si="40"/>
        <v>0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/>
      </c>
      <c r="Q1328" s="2"/>
      <c r="R1328" s="2"/>
      <c r="S1328" s="11"/>
      <c r="T1328" s="1" t="str">
        <f>"owner=" &amp; Tokens!BS1328 &amp; "&amp;filename_for_metadata=" &amp; Tokens!BT1328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8" s="1" t="str">
        <f>formatRow(Tokens!C$2:I$2,Tokens!C1328:I1328)</f>
        <v>"name":"",_x000D_
"symbol":"",_x000D_
"description":"",_x000D_
"seller_fee_basis_points":"",_x000D_
"image":"",_x000D_
"Issuer":"",_x000D_
"external_url":""</v>
      </c>
      <c r="W1328" s="1" t="str">
        <f>formatRow(Tokens!J$2:AV$2,Tokens!J1328:AV1328,2,"attributes")</f>
        <v>"attributes":[]</v>
      </c>
      <c r="X1328" s="1" t="str">
        <f>formatRow(Tokens!AX$2:BC$2,Tokens!AX1328:BC1328,2,"creators")</f>
        <v>"creators":[]</v>
      </c>
      <c r="Y1328" s="1" t="str">
        <f>formatRow(Tokens!BD$2:BI$2,Tokens!BD1328:BI1328,2,"files")</f>
        <v>"files":[]</v>
      </c>
      <c r="Z1328" s="1"/>
      <c r="AA1328" s="1"/>
      <c r="AB1328" s="1"/>
      <c r="AC1328" s="1" t="str">
        <f>formatRow(Tokens!BJ$2:BK$2,Tokens!BJ1328:BK1328,0,"collection")</f>
        <v>"collection":{"name":"",_x000D_
"family":""}</v>
      </c>
    </row>
    <row r="1329" spans="5:29" ht="14.25" customHeight="1" x14ac:dyDescent="0.25">
      <c r="E1329" s="17" t="str">
        <f>IF(Tokens!C1329="","",Tokens!C1329)</f>
        <v/>
      </c>
      <c r="F1329" s="56"/>
      <c r="G1329" t="s">
        <v>164</v>
      </c>
      <c r="H1329" s="57" t="s">
        <v>165</v>
      </c>
      <c r="I1329" s="2" t="s">
        <v>166</v>
      </c>
      <c r="J1329" s="2" t="s">
        <v>167</v>
      </c>
      <c r="M1329" s="15"/>
      <c r="N1329">
        <v>6.9258811930000004</v>
      </c>
      <c r="O1329" s="15">
        <f t="shared" si="40"/>
        <v>0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/>
      </c>
      <c r="Q1329" s="2"/>
      <c r="R1329" s="2"/>
      <c r="S1329" s="11"/>
      <c r="T1329" s="1" t="str">
        <f>"owner=" &amp; Tokens!BS1329 &amp; "&amp;filename_for_metadata=" &amp; Tokens!BT1329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2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29" s="1" t="str">
        <f>formatRow(Tokens!C$2:I$2,Tokens!C1329:I1329)</f>
        <v>"name":"",_x000D_
"symbol":"",_x000D_
"description":"",_x000D_
"seller_fee_basis_points":"",_x000D_
"image":"",_x000D_
"Issuer":"",_x000D_
"external_url":""</v>
      </c>
      <c r="W1329" s="1" t="str">
        <f>formatRow(Tokens!J$2:AV$2,Tokens!J1329:AV1329,2,"attributes")</f>
        <v>"attributes":[]</v>
      </c>
      <c r="X1329" s="1" t="str">
        <f>formatRow(Tokens!AX$2:BC$2,Tokens!AX1329:BC1329,2,"creators")</f>
        <v>"creators":[]</v>
      </c>
      <c r="Y1329" s="1" t="str">
        <f>formatRow(Tokens!BD$2:BI$2,Tokens!BD1329:BI1329,2,"files")</f>
        <v>"files":[]</v>
      </c>
      <c r="Z1329" s="1"/>
      <c r="AA1329" s="1"/>
      <c r="AB1329" s="1"/>
      <c r="AC1329" s="1" t="str">
        <f>formatRow(Tokens!BJ$2:BK$2,Tokens!BJ1329:BK1329,0,"collection")</f>
        <v>"collection":{"name":"",_x000D_
"family":""}</v>
      </c>
    </row>
    <row r="1330" spans="5:29" ht="14.25" customHeight="1" x14ac:dyDescent="0.25">
      <c r="E1330" s="17" t="str">
        <f>IF(Tokens!C1330="","",Tokens!C1330)</f>
        <v/>
      </c>
      <c r="F1330" s="56"/>
      <c r="G1330" t="s">
        <v>164</v>
      </c>
      <c r="H1330" s="57" t="s">
        <v>165</v>
      </c>
      <c r="I1330" s="2" t="s">
        <v>166</v>
      </c>
      <c r="J1330" s="2" t="s">
        <v>167</v>
      </c>
      <c r="M1330" s="15"/>
      <c r="N1330">
        <v>6.9258811930000004</v>
      </c>
      <c r="O1330" s="15">
        <f t="shared" si="40"/>
        <v>0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/>
      </c>
      <c r="Q1330" s="2"/>
      <c r="R1330" s="2"/>
      <c r="S1330" s="11"/>
      <c r="T1330" s="1" t="str">
        <f>"owner=" &amp; Tokens!BS1330 &amp; "&amp;filename_for_metadata=" &amp; Tokens!BT1330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0" s="1" t="str">
        <f>formatRow(Tokens!C$2:I$2,Tokens!C1330:I1330)</f>
        <v>"name":"",_x000D_
"symbol":"",_x000D_
"description":"",_x000D_
"seller_fee_basis_points":"",_x000D_
"image":"",_x000D_
"Issuer":"",_x000D_
"external_url":""</v>
      </c>
      <c r="W1330" s="1" t="str">
        <f>formatRow(Tokens!J$2:AV$2,Tokens!J1330:AV1330,2,"attributes")</f>
        <v>"attributes":[]</v>
      </c>
      <c r="X1330" s="1" t="str">
        <f>formatRow(Tokens!AX$2:BC$2,Tokens!AX1330:BC1330,2,"creators")</f>
        <v>"creators":[]</v>
      </c>
      <c r="Y1330" s="1" t="str">
        <f>formatRow(Tokens!BD$2:BI$2,Tokens!BD1330:BI1330,2,"files")</f>
        <v>"files":[]</v>
      </c>
      <c r="Z1330" s="1"/>
      <c r="AA1330" s="1"/>
      <c r="AB1330" s="1"/>
      <c r="AC1330" s="1" t="str">
        <f>formatRow(Tokens!BJ$2:BK$2,Tokens!BJ1330:BK1330,0,"collection")</f>
        <v>"collection":{"name":"",_x000D_
"family":""}</v>
      </c>
    </row>
    <row r="1331" spans="5:29" ht="14.25" customHeight="1" x14ac:dyDescent="0.25">
      <c r="E1331" s="17" t="str">
        <f>IF(Tokens!C1331="","",Tokens!C1331)</f>
        <v/>
      </c>
      <c r="F1331" s="56"/>
      <c r="G1331" t="s">
        <v>164</v>
      </c>
      <c r="H1331" s="57" t="s">
        <v>165</v>
      </c>
      <c r="I1331" s="2" t="s">
        <v>166</v>
      </c>
      <c r="J1331" s="2" t="s">
        <v>167</v>
      </c>
      <c r="M1331" s="15"/>
      <c r="N1331">
        <v>6.9258811930000004</v>
      </c>
      <c r="O1331" s="15">
        <f t="shared" si="40"/>
        <v>0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/>
      </c>
      <c r="Q1331" s="2"/>
      <c r="R1331" s="2"/>
      <c r="S1331" s="11"/>
      <c r="T1331" s="1" t="str">
        <f>"owner=" &amp; Tokens!BS1331 &amp; "&amp;filename_for_metadata=" &amp; Tokens!BT1331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1" s="1" t="str">
        <f>formatRow(Tokens!C$2:I$2,Tokens!C1331:I1331)</f>
        <v>"name":"",_x000D_
"symbol":"",_x000D_
"description":"",_x000D_
"seller_fee_basis_points":"",_x000D_
"image":"",_x000D_
"Issuer":"",_x000D_
"external_url":""</v>
      </c>
      <c r="W1331" s="1" t="str">
        <f>formatRow(Tokens!J$2:AV$2,Tokens!J1331:AV1331,2,"attributes")</f>
        <v>"attributes":[]</v>
      </c>
      <c r="X1331" s="1" t="str">
        <f>formatRow(Tokens!AX$2:BC$2,Tokens!AX1331:BC1331,2,"creators")</f>
        <v>"creators":[]</v>
      </c>
      <c r="Y1331" s="1" t="str">
        <f>formatRow(Tokens!BD$2:BI$2,Tokens!BD1331:BI1331,2,"files")</f>
        <v>"files":[]</v>
      </c>
      <c r="Z1331" s="1"/>
      <c r="AA1331" s="1"/>
      <c r="AB1331" s="1"/>
      <c r="AC1331" s="1" t="str">
        <f>formatRow(Tokens!BJ$2:BK$2,Tokens!BJ1331:BK1331,0,"collection")</f>
        <v>"collection":{"name":"",_x000D_
"family":""}</v>
      </c>
    </row>
    <row r="1332" spans="5:29" ht="14.25" customHeight="1" x14ac:dyDescent="0.25">
      <c r="E1332" s="17" t="str">
        <f>IF(Tokens!C1332="","",Tokens!C1332)</f>
        <v/>
      </c>
      <c r="F1332" s="56"/>
      <c r="G1332" t="s">
        <v>164</v>
      </c>
      <c r="H1332" s="57" t="s">
        <v>165</v>
      </c>
      <c r="I1332" s="2" t="s">
        <v>166</v>
      </c>
      <c r="J1332" s="2" t="s">
        <v>167</v>
      </c>
      <c r="M1332" s="15"/>
      <c r="N1332">
        <v>6.9258811930000004</v>
      </c>
      <c r="O1332" s="15">
        <f t="shared" si="40"/>
        <v>0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/>
      </c>
      <c r="Q1332" s="2"/>
      <c r="R1332" s="2"/>
      <c r="S1332" s="11"/>
      <c r="T1332" s="1" t="str">
        <f>"owner=" &amp; Tokens!BS1332 &amp; "&amp;filename_for_metadata=" &amp; Tokens!BT1332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2" s="1" t="str">
        <f>formatRow(Tokens!C$2:I$2,Tokens!C1332:I1332)</f>
        <v>"name":"",_x000D_
"symbol":"",_x000D_
"description":"",_x000D_
"seller_fee_basis_points":"",_x000D_
"image":"",_x000D_
"Issuer":"",_x000D_
"external_url":""</v>
      </c>
      <c r="W1332" s="1" t="str">
        <f>formatRow(Tokens!J$2:AV$2,Tokens!J1332:AV1332,2,"attributes")</f>
        <v>"attributes":[]</v>
      </c>
      <c r="X1332" s="1" t="str">
        <f>formatRow(Tokens!AX$2:BC$2,Tokens!AX1332:BC1332,2,"creators")</f>
        <v>"creators":[]</v>
      </c>
      <c r="Y1332" s="1" t="str">
        <f>formatRow(Tokens!BD$2:BI$2,Tokens!BD1332:BI1332,2,"files")</f>
        <v>"files":[]</v>
      </c>
      <c r="Z1332" s="1"/>
      <c r="AA1332" s="1"/>
      <c r="AB1332" s="1"/>
      <c r="AC1332" s="1" t="str">
        <f>formatRow(Tokens!BJ$2:BK$2,Tokens!BJ1332:BK1332,0,"collection")</f>
        <v>"collection":{"name":"",_x000D_
"family":""}</v>
      </c>
    </row>
    <row r="1333" spans="5:29" ht="14.25" customHeight="1" x14ac:dyDescent="0.25">
      <c r="E1333" s="17" t="str">
        <f>IF(Tokens!C1333="","",Tokens!C1333)</f>
        <v/>
      </c>
      <c r="F1333" s="56"/>
      <c r="G1333" t="s">
        <v>164</v>
      </c>
      <c r="H1333" s="57" t="s">
        <v>165</v>
      </c>
      <c r="I1333" s="2" t="s">
        <v>166</v>
      </c>
      <c r="J1333" s="2" t="s">
        <v>167</v>
      </c>
      <c r="M1333" s="15"/>
      <c r="N1333">
        <v>6.9258811930000004</v>
      </c>
      <c r="O1333" s="15">
        <f t="shared" si="40"/>
        <v>0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/>
      </c>
      <c r="Q1333" s="2"/>
      <c r="R1333" s="2"/>
      <c r="S1333" s="11"/>
      <c r="T1333" s="1" t="str">
        <f>"owner=" &amp; Tokens!BS1333 &amp; "&amp;filename_for_metadata=" &amp; Tokens!BT1333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3" s="1" t="str">
        <f>formatRow(Tokens!C$2:I$2,Tokens!C1333:I1333)</f>
        <v>"name":"",_x000D_
"symbol":"",_x000D_
"description":"",_x000D_
"seller_fee_basis_points":"",_x000D_
"image":"",_x000D_
"Issuer":"",_x000D_
"external_url":""</v>
      </c>
      <c r="W1333" s="1" t="str">
        <f>formatRow(Tokens!J$2:AV$2,Tokens!J1333:AV1333,2,"attributes")</f>
        <v>"attributes":[]</v>
      </c>
      <c r="X1333" s="1" t="str">
        <f>formatRow(Tokens!AX$2:BC$2,Tokens!AX1333:BC1333,2,"creators")</f>
        <v>"creators":[]</v>
      </c>
      <c r="Y1333" s="1" t="str">
        <f>formatRow(Tokens!BD$2:BI$2,Tokens!BD1333:BI1333,2,"files")</f>
        <v>"files":[]</v>
      </c>
      <c r="Z1333" s="1"/>
      <c r="AA1333" s="1"/>
      <c r="AB1333" s="1"/>
      <c r="AC1333" s="1" t="str">
        <f>formatRow(Tokens!BJ$2:BK$2,Tokens!BJ1333:BK1333,0,"collection")</f>
        <v>"collection":{"name":"",_x000D_
"family":""}</v>
      </c>
    </row>
    <row r="1334" spans="5:29" ht="14.25" customHeight="1" x14ac:dyDescent="0.25">
      <c r="E1334" s="17" t="str">
        <f>IF(Tokens!C1334="","",Tokens!C1334)</f>
        <v/>
      </c>
      <c r="F1334" s="56"/>
      <c r="G1334" t="s">
        <v>164</v>
      </c>
      <c r="H1334" s="57" t="s">
        <v>165</v>
      </c>
      <c r="I1334" s="2" t="s">
        <v>166</v>
      </c>
      <c r="J1334" s="2" t="s">
        <v>167</v>
      </c>
      <c r="M1334" s="15"/>
      <c r="N1334">
        <v>6.9258811930000004</v>
      </c>
      <c r="O1334" s="15">
        <f t="shared" si="40"/>
        <v>0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/>
      </c>
      <c r="Q1334" s="2"/>
      <c r="R1334" s="2"/>
      <c r="S1334" s="11"/>
      <c r="T1334" s="1" t="str">
        <f>"owner=" &amp; Tokens!BS1334 &amp; "&amp;filename_for_metadata=" &amp; Tokens!BT1334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4" s="1" t="str">
        <f>formatRow(Tokens!C$2:I$2,Tokens!C1334:I1334)</f>
        <v>"name":"",_x000D_
"symbol":"",_x000D_
"description":"",_x000D_
"seller_fee_basis_points":"",_x000D_
"image":"",_x000D_
"Issuer":"",_x000D_
"external_url":""</v>
      </c>
      <c r="W1334" s="1" t="str">
        <f>formatRow(Tokens!J$2:AV$2,Tokens!J1334:AV1334,2,"attributes")</f>
        <v>"attributes":[]</v>
      </c>
      <c r="X1334" s="1" t="str">
        <f>formatRow(Tokens!AX$2:BC$2,Tokens!AX1334:BC1334,2,"creators")</f>
        <v>"creators":[]</v>
      </c>
      <c r="Y1334" s="1" t="str">
        <f>formatRow(Tokens!BD$2:BI$2,Tokens!BD1334:BI1334,2,"files")</f>
        <v>"files":[]</v>
      </c>
      <c r="Z1334" s="1"/>
      <c r="AA1334" s="1"/>
      <c r="AB1334" s="1"/>
      <c r="AC1334" s="1" t="str">
        <f>formatRow(Tokens!BJ$2:BK$2,Tokens!BJ1334:BK1334,0,"collection")</f>
        <v>"collection":{"name":"",_x000D_
"family":""}</v>
      </c>
    </row>
    <row r="1335" spans="5:29" ht="14.25" customHeight="1" x14ac:dyDescent="0.25">
      <c r="E1335" s="17" t="str">
        <f>IF(Tokens!C1335="","",Tokens!C1335)</f>
        <v/>
      </c>
      <c r="F1335" s="56"/>
      <c r="G1335" t="s">
        <v>164</v>
      </c>
      <c r="H1335" s="57" t="s">
        <v>165</v>
      </c>
      <c r="I1335" s="2" t="s">
        <v>166</v>
      </c>
      <c r="J1335" s="2" t="s">
        <v>167</v>
      </c>
      <c r="M1335" s="15"/>
      <c r="N1335">
        <v>6.9258811930000004</v>
      </c>
      <c r="O1335" s="15">
        <f t="shared" si="40"/>
        <v>0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/>
      </c>
      <c r="Q1335" s="2"/>
      <c r="R1335" s="2"/>
      <c r="S1335" s="11"/>
      <c r="T1335" s="1" t="str">
        <f>"owner=" &amp; Tokens!BS1335 &amp; "&amp;filename_for_metadata=" &amp; Tokens!BT1335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5" s="1" t="str">
        <f>formatRow(Tokens!C$2:I$2,Tokens!C1335:I1335)</f>
        <v>"name":"",_x000D_
"symbol":"",_x000D_
"description":"",_x000D_
"seller_fee_basis_points":"",_x000D_
"image":"",_x000D_
"Issuer":"",_x000D_
"external_url":""</v>
      </c>
      <c r="W1335" s="1" t="str">
        <f>formatRow(Tokens!J$2:AV$2,Tokens!J1335:AV1335,2,"attributes")</f>
        <v>"attributes":[]</v>
      </c>
      <c r="X1335" s="1" t="str">
        <f>formatRow(Tokens!AX$2:BC$2,Tokens!AX1335:BC1335,2,"creators")</f>
        <v>"creators":[]</v>
      </c>
      <c r="Y1335" s="1" t="str">
        <f>formatRow(Tokens!BD$2:BI$2,Tokens!BD1335:BI1335,2,"files")</f>
        <v>"files":[]</v>
      </c>
      <c r="Z1335" s="1"/>
      <c r="AA1335" s="1"/>
      <c r="AB1335" s="1"/>
      <c r="AC1335" s="1" t="str">
        <f>formatRow(Tokens!BJ$2:BK$2,Tokens!BJ1335:BK1335,0,"collection")</f>
        <v>"collection":{"name":"",_x000D_
"family":""}</v>
      </c>
    </row>
    <row r="1336" spans="5:29" ht="14.25" customHeight="1" x14ac:dyDescent="0.25">
      <c r="E1336" s="17" t="str">
        <f>IF(Tokens!C1336="","",Tokens!C1336)</f>
        <v/>
      </c>
      <c r="F1336" s="56"/>
      <c r="G1336" t="s">
        <v>164</v>
      </c>
      <c r="H1336" s="57" t="s">
        <v>165</v>
      </c>
      <c r="I1336" s="2" t="s">
        <v>166</v>
      </c>
      <c r="J1336" s="2" t="s">
        <v>167</v>
      </c>
      <c r="M1336" s="15"/>
      <c r="N1336">
        <v>6.9258811930000004</v>
      </c>
      <c r="O1336" s="15">
        <f t="shared" si="40"/>
        <v>0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/>
      </c>
      <c r="Q1336" s="2"/>
      <c r="R1336" s="2"/>
      <c r="S1336" s="11"/>
      <c r="T1336" s="1" t="str">
        <f>"owner=" &amp; Tokens!BS1336 &amp; "&amp;filename_for_metadata=" &amp; Tokens!BT1336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6" s="1" t="str">
        <f>formatRow(Tokens!C$2:I$2,Tokens!C1336:I1336)</f>
        <v>"name":"",_x000D_
"symbol":"",_x000D_
"description":"",_x000D_
"seller_fee_basis_points":"",_x000D_
"image":"",_x000D_
"Issuer":"",_x000D_
"external_url":""</v>
      </c>
      <c r="W1336" s="1" t="str">
        <f>formatRow(Tokens!J$2:AV$2,Tokens!J1336:AV1336,2,"attributes")</f>
        <v>"attributes":[]</v>
      </c>
      <c r="X1336" s="1" t="str">
        <f>formatRow(Tokens!AX$2:BC$2,Tokens!AX1336:BC1336,2,"creators")</f>
        <v>"creators":[]</v>
      </c>
      <c r="Y1336" s="1" t="str">
        <f>formatRow(Tokens!BD$2:BI$2,Tokens!BD1336:BI1336,2,"files")</f>
        <v>"files":[]</v>
      </c>
      <c r="Z1336" s="1"/>
      <c r="AA1336" s="1"/>
      <c r="AB1336" s="1"/>
      <c r="AC1336" s="1" t="str">
        <f>formatRow(Tokens!BJ$2:BK$2,Tokens!BJ1336:BK1336,0,"collection")</f>
        <v>"collection":{"name":"",_x000D_
"family":""}</v>
      </c>
    </row>
    <row r="1337" spans="5:29" ht="14.25" customHeight="1" x14ac:dyDescent="0.25">
      <c r="E1337" s="17" t="str">
        <f>IF(Tokens!C1337="","",Tokens!C1337)</f>
        <v/>
      </c>
      <c r="F1337" s="56"/>
      <c r="G1337" t="s">
        <v>164</v>
      </c>
      <c r="H1337" s="57" t="s">
        <v>165</v>
      </c>
      <c r="I1337" s="2" t="s">
        <v>166</v>
      </c>
      <c r="J1337" s="2" t="s">
        <v>167</v>
      </c>
      <c r="M1337" s="15"/>
      <c r="N1337">
        <v>6.9258811930000004</v>
      </c>
      <c r="O1337" s="15">
        <f t="shared" si="40"/>
        <v>0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/>
      </c>
      <c r="Q1337" s="2"/>
      <c r="R1337" s="2"/>
      <c r="S1337" s="11"/>
      <c r="T1337" s="1" t="str">
        <f>"owner=" &amp; Tokens!BS1337 &amp; "&amp;filename_for_metadata=" &amp; Tokens!BT1337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7" s="1" t="str">
        <f>formatRow(Tokens!C$2:I$2,Tokens!C1337:I1337)</f>
        <v>"name":"",_x000D_
"symbol":"",_x000D_
"description":"",_x000D_
"seller_fee_basis_points":"",_x000D_
"image":"",_x000D_
"Issuer":"",_x000D_
"external_url":""</v>
      </c>
      <c r="W1337" s="1" t="str">
        <f>formatRow(Tokens!J$2:AV$2,Tokens!J1337:AV1337,2,"attributes")</f>
        <v>"attributes":[]</v>
      </c>
      <c r="X1337" s="1" t="str">
        <f>formatRow(Tokens!AX$2:BC$2,Tokens!AX1337:BC1337,2,"creators")</f>
        <v>"creators":[]</v>
      </c>
      <c r="Y1337" s="1" t="str">
        <f>formatRow(Tokens!BD$2:BI$2,Tokens!BD1337:BI1337,2,"files")</f>
        <v>"files":[]</v>
      </c>
      <c r="Z1337" s="1"/>
      <c r="AA1337" s="1"/>
      <c r="AB1337" s="1"/>
      <c r="AC1337" s="1" t="str">
        <f>formatRow(Tokens!BJ$2:BK$2,Tokens!BJ1337:BK1337,0,"collection")</f>
        <v>"collection":{"name":"",_x000D_
"family":""}</v>
      </c>
    </row>
    <row r="1338" spans="5:29" ht="14.25" customHeight="1" x14ac:dyDescent="0.25">
      <c r="E1338" s="17" t="str">
        <f>IF(Tokens!C1338="","",Tokens!C1338)</f>
        <v/>
      </c>
      <c r="F1338" s="56"/>
      <c r="G1338" t="s">
        <v>164</v>
      </c>
      <c r="H1338" s="57" t="s">
        <v>165</v>
      </c>
      <c r="I1338" s="2" t="s">
        <v>166</v>
      </c>
      <c r="J1338" s="2" t="s">
        <v>167</v>
      </c>
      <c r="M1338" s="15"/>
      <c r="N1338">
        <v>6.9258811930000004</v>
      </c>
      <c r="O1338" s="15">
        <f t="shared" si="40"/>
        <v>0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/>
      </c>
      <c r="Q1338" s="2"/>
      <c r="R1338" s="2"/>
      <c r="S1338" s="11"/>
      <c r="T1338" s="1" t="str">
        <f>"owner=" &amp; Tokens!BS1338 &amp; "&amp;filename_for_metadata=" &amp; Tokens!BT1338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8" s="1" t="str">
        <f>formatRow(Tokens!C$2:I$2,Tokens!C1338:I1338)</f>
        <v>"name":"",_x000D_
"symbol":"",_x000D_
"description":"",_x000D_
"seller_fee_basis_points":"",_x000D_
"image":"",_x000D_
"Issuer":"",_x000D_
"external_url":""</v>
      </c>
      <c r="W1338" s="1" t="str">
        <f>formatRow(Tokens!J$2:AV$2,Tokens!J1338:AV1338,2,"attributes")</f>
        <v>"attributes":[]</v>
      </c>
      <c r="X1338" s="1" t="str">
        <f>formatRow(Tokens!AX$2:BC$2,Tokens!AX1338:BC1338,2,"creators")</f>
        <v>"creators":[]</v>
      </c>
      <c r="Y1338" s="1" t="str">
        <f>formatRow(Tokens!BD$2:BI$2,Tokens!BD1338:BI1338,2,"files")</f>
        <v>"files":[]</v>
      </c>
      <c r="Z1338" s="1"/>
      <c r="AA1338" s="1"/>
      <c r="AB1338" s="1"/>
      <c r="AC1338" s="1" t="str">
        <f>formatRow(Tokens!BJ$2:BK$2,Tokens!BJ1338:BK1338,0,"collection")</f>
        <v>"collection":{"name":"",_x000D_
"family":""}</v>
      </c>
    </row>
    <row r="1339" spans="5:29" ht="14.25" customHeight="1" x14ac:dyDescent="0.25">
      <c r="E1339" s="17" t="str">
        <f>IF(Tokens!C1339="","",Tokens!C1339)</f>
        <v/>
      </c>
      <c r="F1339" s="56"/>
      <c r="G1339" t="s">
        <v>164</v>
      </c>
      <c r="H1339" s="57" t="s">
        <v>165</v>
      </c>
      <c r="I1339" s="2" t="s">
        <v>166</v>
      </c>
      <c r="J1339" s="2" t="s">
        <v>167</v>
      </c>
      <c r="M1339" s="15"/>
      <c r="N1339">
        <v>6.9258811930000004</v>
      </c>
      <c r="O1339" s="15">
        <f t="shared" si="40"/>
        <v>0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/>
      </c>
      <c r="Q1339" s="2"/>
      <c r="R1339" s="2"/>
      <c r="S1339" s="11"/>
      <c r="T1339" s="1" t="str">
        <f>"owner=" &amp; Tokens!BS1339 &amp; "&amp;filename_for_metadata=" &amp; Tokens!BT1339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39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39" s="1" t="str">
        <f>formatRow(Tokens!C$2:I$2,Tokens!C1339:I1339)</f>
        <v>"name":"",_x000D_
"symbol":"",_x000D_
"description":"",_x000D_
"seller_fee_basis_points":"",_x000D_
"image":"",_x000D_
"Issuer":"",_x000D_
"external_url":""</v>
      </c>
      <c r="W1339" s="1" t="str">
        <f>formatRow(Tokens!J$2:AV$2,Tokens!J1339:AV1339,2,"attributes")</f>
        <v>"attributes":[]</v>
      </c>
      <c r="X1339" s="1" t="str">
        <f>formatRow(Tokens!AX$2:BC$2,Tokens!AX1339:BC1339,2,"creators")</f>
        <v>"creators":[]</v>
      </c>
      <c r="Y1339" s="1" t="str">
        <f>formatRow(Tokens!BD$2:BI$2,Tokens!BD1339:BI1339,2,"files")</f>
        <v>"files":[]</v>
      </c>
      <c r="Z1339" s="1"/>
      <c r="AA1339" s="1"/>
      <c r="AB1339" s="1"/>
      <c r="AC1339" s="1" t="str">
        <f>formatRow(Tokens!BJ$2:BK$2,Tokens!BJ1339:BK1339,0,"collection")</f>
        <v>"collection":{"name":"",_x000D_
"family":""}</v>
      </c>
    </row>
    <row r="1340" spans="5:29" ht="14.25" customHeight="1" x14ac:dyDescent="0.25">
      <c r="E1340" s="17" t="str">
        <f>IF(Tokens!C1340="","",Tokens!C1340)</f>
        <v/>
      </c>
      <c r="F1340" s="56"/>
      <c r="G1340" t="s">
        <v>164</v>
      </c>
      <c r="H1340" s="57" t="s">
        <v>165</v>
      </c>
      <c r="I1340" s="2" t="s">
        <v>166</v>
      </c>
      <c r="J1340" s="2" t="s">
        <v>167</v>
      </c>
      <c r="M1340" s="15"/>
      <c r="N1340">
        <v>6.9258811930000004</v>
      </c>
      <c r="O1340" s="15">
        <f t="shared" si="40"/>
        <v>0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/>
      </c>
      <c r="Q1340" s="2"/>
      <c r="R1340" s="2"/>
      <c r="S1340" s="11"/>
      <c r="T1340" s="1" t="str">
        <f>"owner=" &amp; Tokens!BS1340 &amp; "&amp;filename_for_metadata=" &amp; Tokens!BT1340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0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0" s="1" t="str">
        <f>formatRow(Tokens!C$2:I$2,Tokens!C1340:I1340)</f>
        <v>"name":"",_x000D_
"symbol":"",_x000D_
"description":"",_x000D_
"seller_fee_basis_points":"",_x000D_
"image":"",_x000D_
"Issuer":"",_x000D_
"external_url":""</v>
      </c>
      <c r="W1340" s="1" t="str">
        <f>formatRow(Tokens!J$2:AV$2,Tokens!J1340:AV1340,2,"attributes")</f>
        <v>"attributes":[]</v>
      </c>
      <c r="X1340" s="1" t="str">
        <f>formatRow(Tokens!AX$2:BC$2,Tokens!AX1340:BC1340,2,"creators")</f>
        <v>"creators":[]</v>
      </c>
      <c r="Y1340" s="1" t="str">
        <f>formatRow(Tokens!BD$2:BI$2,Tokens!BD1340:BI1340,2,"files")</f>
        <v>"files":[]</v>
      </c>
      <c r="Z1340" s="1"/>
      <c r="AA1340" s="1"/>
      <c r="AB1340" s="1"/>
      <c r="AC1340" s="1" t="str">
        <f>formatRow(Tokens!BJ$2:BK$2,Tokens!BJ1340:BK1340,0,"collection")</f>
        <v>"collection":{"name":"",_x000D_
"family":""}</v>
      </c>
    </row>
    <row r="1341" spans="5:29" ht="14.25" customHeight="1" x14ac:dyDescent="0.25">
      <c r="E1341" s="17" t="str">
        <f>IF(Tokens!C1341="","",Tokens!C1341)</f>
        <v/>
      </c>
      <c r="F1341" s="56"/>
      <c r="G1341" t="s">
        <v>164</v>
      </c>
      <c r="H1341" s="57" t="s">
        <v>165</v>
      </c>
      <c r="I1341" s="2" t="s">
        <v>166</v>
      </c>
      <c r="J1341" s="2" t="s">
        <v>167</v>
      </c>
      <c r="M1341" s="15"/>
      <c r="N1341">
        <v>6.9258811930000004</v>
      </c>
      <c r="O1341" s="15">
        <f t="shared" si="40"/>
        <v>0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/>
      </c>
      <c r="Q1341" s="2"/>
      <c r="R1341" s="2"/>
      <c r="S1341" s="11"/>
      <c r="T1341" s="1" t="str">
        <f>"owner=" &amp; Tokens!BS1341 &amp; "&amp;filename_for_metadata=" &amp; Tokens!BT1341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1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1" s="1" t="str">
        <f>formatRow(Tokens!C$2:I$2,Tokens!C1341:I1341)</f>
        <v>"name":"",_x000D_
"symbol":"",_x000D_
"description":"",_x000D_
"seller_fee_basis_points":"",_x000D_
"image":"",_x000D_
"Issuer":"",_x000D_
"external_url":""</v>
      </c>
      <c r="W1341" s="1" t="str">
        <f>formatRow(Tokens!J$2:AV$2,Tokens!J1341:AV1341,2,"attributes")</f>
        <v>"attributes":[]</v>
      </c>
      <c r="X1341" s="1" t="str">
        <f>formatRow(Tokens!AX$2:BC$2,Tokens!AX1341:BC1341,2,"creators")</f>
        <v>"creators":[]</v>
      </c>
      <c r="Y1341" s="1" t="str">
        <f>formatRow(Tokens!BD$2:BI$2,Tokens!BD1341:BI1341,2,"files")</f>
        <v>"files":[]</v>
      </c>
      <c r="Z1341" s="1"/>
      <c r="AA1341" s="1"/>
      <c r="AB1341" s="1"/>
      <c r="AC1341" s="1" t="str">
        <f>formatRow(Tokens!BJ$2:BK$2,Tokens!BJ1341:BK1341,0,"collection")</f>
        <v>"collection":{"name":"",_x000D_
"family":""}</v>
      </c>
    </row>
    <row r="1342" spans="5:29" ht="14.25" customHeight="1" x14ac:dyDescent="0.25">
      <c r="E1342" s="17" t="str">
        <f>IF(Tokens!C1342="","",Tokens!C1342)</f>
        <v/>
      </c>
      <c r="F1342" s="56"/>
      <c r="G1342" t="s">
        <v>164</v>
      </c>
      <c r="H1342" s="57" t="s">
        <v>165</v>
      </c>
      <c r="I1342" s="2" t="s">
        <v>166</v>
      </c>
      <c r="J1342" s="2" t="s">
        <v>167</v>
      </c>
      <c r="M1342" s="15"/>
      <c r="N1342">
        <v>6.9258811930000004</v>
      </c>
      <c r="O1342" s="15">
        <f t="shared" si="40"/>
        <v>0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/>
      </c>
      <c r="Q1342" s="2"/>
      <c r="R1342" s="2"/>
      <c r="S1342" s="11"/>
      <c r="T1342" s="1" t="str">
        <f>"owner=" &amp; Tokens!BS1342 &amp; "&amp;filename_for_metadata=" &amp; Tokens!BT1342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2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2" s="1" t="str">
        <f>formatRow(Tokens!C$2:I$2,Tokens!C1342:I1342)</f>
        <v>"name":"",_x000D_
"symbol":"",_x000D_
"description":"",_x000D_
"seller_fee_basis_points":"",_x000D_
"image":"",_x000D_
"Issuer":"",_x000D_
"external_url":""</v>
      </c>
      <c r="W1342" s="1" t="str">
        <f>formatRow(Tokens!J$2:AV$2,Tokens!J1342:AV1342,2,"attributes")</f>
        <v>"attributes":[]</v>
      </c>
      <c r="X1342" s="1" t="str">
        <f>formatRow(Tokens!AX$2:BC$2,Tokens!AX1342:BC1342,2,"creators")</f>
        <v>"creators":[]</v>
      </c>
      <c r="Y1342" s="1" t="str">
        <f>formatRow(Tokens!BD$2:BI$2,Tokens!BD1342:BI1342,2,"files")</f>
        <v>"files":[]</v>
      </c>
      <c r="Z1342" s="1"/>
      <c r="AA1342" s="1"/>
      <c r="AB1342" s="1"/>
      <c r="AC1342" s="1" t="str">
        <f>formatRow(Tokens!BJ$2:BK$2,Tokens!BJ1342:BK1342,0,"collection")</f>
        <v>"collection":{"name":"",_x000D_
"family":""}</v>
      </c>
    </row>
    <row r="1343" spans="5:29" ht="14.25" customHeight="1" x14ac:dyDescent="0.25">
      <c r="E1343" s="17" t="str">
        <f>IF(Tokens!C1343="","",Tokens!C1343)</f>
        <v/>
      </c>
      <c r="F1343" s="56"/>
      <c r="G1343" t="s">
        <v>164</v>
      </c>
      <c r="H1343" s="57" t="s">
        <v>165</v>
      </c>
      <c r="I1343" s="2" t="s">
        <v>166</v>
      </c>
      <c r="J1343" s="2" t="s">
        <v>167</v>
      </c>
      <c r="M1343" s="15"/>
      <c r="N1343">
        <v>6.9258811930000004</v>
      </c>
      <c r="O1343" s="15">
        <f t="shared" si="40"/>
        <v>0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/>
      </c>
      <c r="Q1343" s="2"/>
      <c r="R1343" s="2"/>
      <c r="S1343" s="11"/>
      <c r="T1343" s="1" t="str">
        <f>"owner=" &amp; Tokens!BS1343 &amp; "&amp;filename_for_metadata=" &amp; Tokens!BT1343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3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3" s="1" t="str">
        <f>formatRow(Tokens!C$2:I$2,Tokens!C1343:I1343)</f>
        <v>"name":"",_x000D_
"symbol":"",_x000D_
"description":"",_x000D_
"seller_fee_basis_points":"",_x000D_
"image":"",_x000D_
"Issuer":"",_x000D_
"external_url":""</v>
      </c>
      <c r="W1343" s="1" t="str">
        <f>formatRow(Tokens!J$2:AV$2,Tokens!J1343:AV1343,2,"attributes")</f>
        <v>"attributes":[]</v>
      </c>
      <c r="X1343" s="1" t="str">
        <f>formatRow(Tokens!AX$2:BC$2,Tokens!AX1343:BC1343,2,"creators")</f>
        <v>"creators":[]</v>
      </c>
      <c r="Y1343" s="1" t="str">
        <f>formatRow(Tokens!BD$2:BI$2,Tokens!BD1343:BI1343,2,"files")</f>
        <v>"files":[]</v>
      </c>
      <c r="Z1343" s="1"/>
      <c r="AA1343" s="1"/>
      <c r="AB1343" s="1"/>
      <c r="AC1343" s="1" t="str">
        <f>formatRow(Tokens!BJ$2:BK$2,Tokens!BJ1343:BK1343,0,"collection")</f>
        <v>"collection":{"name":"",_x000D_
"family":""}</v>
      </c>
    </row>
    <row r="1344" spans="5:29" ht="14.25" customHeight="1" x14ac:dyDescent="0.25">
      <c r="E1344" s="17" t="str">
        <f>IF(Tokens!C1344="","",Tokens!C1344)</f>
        <v/>
      </c>
      <c r="F1344" s="56"/>
      <c r="G1344" t="s">
        <v>164</v>
      </c>
      <c r="H1344" s="57" t="s">
        <v>165</v>
      </c>
      <c r="I1344" s="2" t="s">
        <v>166</v>
      </c>
      <c r="J1344" s="2" t="s">
        <v>167</v>
      </c>
      <c r="M1344" s="15"/>
      <c r="N1344">
        <v>6.9258811930000004</v>
      </c>
      <c r="O1344" s="15">
        <f t="shared" si="40"/>
        <v>0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/>
      </c>
      <c r="Q1344" s="2"/>
      <c r="R1344" s="2"/>
      <c r="S1344" s="11"/>
      <c r="T1344" s="1" t="str">
        <f>"owner=" &amp; Tokens!BS1344 &amp; "&amp;filename_for_metadata=" &amp; Tokens!BT1344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4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4" s="1" t="str">
        <f>formatRow(Tokens!C$2:I$2,Tokens!C1344:I1344)</f>
        <v>"name":"",_x000D_
"symbol":"",_x000D_
"description":"",_x000D_
"seller_fee_basis_points":"",_x000D_
"image":"",_x000D_
"Issuer":"",_x000D_
"external_url":""</v>
      </c>
      <c r="W1344" s="1" t="str">
        <f>formatRow(Tokens!J$2:AV$2,Tokens!J1344:AV1344,2,"attributes")</f>
        <v>"attributes":[]</v>
      </c>
      <c r="X1344" s="1" t="str">
        <f>formatRow(Tokens!AX$2:BC$2,Tokens!AX1344:BC1344,2,"creators")</f>
        <v>"creators":[]</v>
      </c>
      <c r="Y1344" s="1" t="str">
        <f>formatRow(Tokens!BD$2:BI$2,Tokens!BD1344:BI1344,2,"files")</f>
        <v>"files":[]</v>
      </c>
      <c r="Z1344" s="1"/>
      <c r="AA1344" s="1"/>
      <c r="AB1344" s="1"/>
      <c r="AC1344" s="1" t="str">
        <f>formatRow(Tokens!BJ$2:BK$2,Tokens!BJ1344:BK1344,0,"collection")</f>
        <v>"collection":{"name":"",_x000D_
"family":""}</v>
      </c>
    </row>
    <row r="1345" spans="5:29" ht="14.25" customHeight="1" x14ac:dyDescent="0.25">
      <c r="E1345" s="17" t="str">
        <f>IF(Tokens!C1345="","",Tokens!C1345)</f>
        <v/>
      </c>
      <c r="F1345" s="56"/>
      <c r="G1345" t="s">
        <v>164</v>
      </c>
      <c r="H1345" s="57" t="s">
        <v>165</v>
      </c>
      <c r="I1345" s="2" t="s">
        <v>166</v>
      </c>
      <c r="J1345" s="2" t="s">
        <v>167</v>
      </c>
      <c r="M1345" s="15"/>
      <c r="N1345">
        <v>6.9258811930000004</v>
      </c>
      <c r="O1345" s="15">
        <f t="shared" si="40"/>
        <v>0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/>
      </c>
      <c r="Q1345" s="2"/>
      <c r="R1345" s="2"/>
      <c r="S1345" s="11"/>
      <c r="T1345" s="1" t="str">
        <f>"owner=" &amp; Tokens!BS1345 &amp; "&amp;filename_for_metadata=" &amp; Tokens!BT1345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5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5" s="1" t="str">
        <f>formatRow(Tokens!C$2:I$2,Tokens!C1345:I1345)</f>
        <v>"name":"",_x000D_
"symbol":"",_x000D_
"description":"",_x000D_
"seller_fee_basis_points":"",_x000D_
"image":"",_x000D_
"Issuer":"",_x000D_
"external_url":""</v>
      </c>
      <c r="W1345" s="1" t="str">
        <f>formatRow(Tokens!J$2:AV$2,Tokens!J1345:AV1345,2,"attributes")</f>
        <v>"attributes":[]</v>
      </c>
      <c r="X1345" s="1" t="str">
        <f>formatRow(Tokens!AX$2:BC$2,Tokens!AX1345:BC1345,2,"creators")</f>
        <v>"creators":[]</v>
      </c>
      <c r="Y1345" s="1" t="str">
        <f>formatRow(Tokens!BD$2:BI$2,Tokens!BD1345:BI1345,2,"files")</f>
        <v>"files":[]</v>
      </c>
      <c r="Z1345" s="1"/>
      <c r="AA1345" s="1"/>
      <c r="AB1345" s="1"/>
      <c r="AC1345" s="1" t="str">
        <f>formatRow(Tokens!BJ$2:BK$2,Tokens!BJ1345:BK1345,0,"collection")</f>
        <v>"collection":{"name":"",_x000D_
"family":""}</v>
      </c>
    </row>
    <row r="1346" spans="5:29" ht="14.25" customHeight="1" x14ac:dyDescent="0.25">
      <c r="E1346" s="17" t="str">
        <f>IF(Tokens!C1346="","",Tokens!C1346)</f>
        <v/>
      </c>
      <c r="F1346" s="56"/>
      <c r="G1346" t="s">
        <v>164</v>
      </c>
      <c r="H1346" s="57" t="s">
        <v>165</v>
      </c>
      <c r="I1346" s="2" t="s">
        <v>166</v>
      </c>
      <c r="J1346" s="2" t="s">
        <v>167</v>
      </c>
      <c r="M1346" s="15"/>
      <c r="N1346">
        <v>6.9258811930000004</v>
      </c>
      <c r="O1346" s="15">
        <f t="shared" si="40"/>
        <v>0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/>
      </c>
      <c r="Q1346" s="2"/>
      <c r="R1346" s="2"/>
      <c r="S1346" s="11"/>
      <c r="T1346" s="1" t="str">
        <f>"owner=" &amp; Tokens!BS1346 &amp; "&amp;filename_for_metadata=" &amp; Tokens!BT1346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6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6" s="1" t="str">
        <f>formatRow(Tokens!C$2:I$2,Tokens!C1346:I1346)</f>
        <v>"name":"",_x000D_
"symbol":"",_x000D_
"description":"",_x000D_
"seller_fee_basis_points":"",_x000D_
"image":"",_x000D_
"Issuer":"",_x000D_
"external_url":""</v>
      </c>
      <c r="W1346" s="1" t="str">
        <f>formatRow(Tokens!J$2:AV$2,Tokens!J1346:AV1346,2,"attributes")</f>
        <v>"attributes":[]</v>
      </c>
      <c r="X1346" s="1" t="str">
        <f>formatRow(Tokens!AX$2:BC$2,Tokens!AX1346:BC1346,2,"creators")</f>
        <v>"creators":[]</v>
      </c>
      <c r="Y1346" s="1" t="str">
        <f>formatRow(Tokens!BD$2:BI$2,Tokens!BD1346:BI1346,2,"files")</f>
        <v>"files":[]</v>
      </c>
      <c r="Z1346" s="1"/>
      <c r="AA1346" s="1"/>
      <c r="AB1346" s="1"/>
      <c r="AC1346" s="1" t="str">
        <f>formatRow(Tokens!BJ$2:BK$2,Tokens!BJ1346:BK1346,0,"collection")</f>
        <v>"collection":{"name":"",_x000D_
"family":""}</v>
      </c>
    </row>
    <row r="1347" spans="5:29" ht="14.25" customHeight="1" x14ac:dyDescent="0.25">
      <c r="E1347" s="17" t="str">
        <f>IF(Tokens!C1347="","",Tokens!C1347)</f>
        <v/>
      </c>
      <c r="F1347" s="56"/>
      <c r="G1347" t="s">
        <v>164</v>
      </c>
      <c r="H1347" s="57" t="s">
        <v>165</v>
      </c>
      <c r="I1347" s="2" t="s">
        <v>166</v>
      </c>
      <c r="J1347" s="2" t="s">
        <v>167</v>
      </c>
      <c r="M1347" s="15"/>
      <c r="N1347">
        <v>6.9258811930000004</v>
      </c>
      <c r="O1347" s="15">
        <f t="shared" si="40"/>
        <v>0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/>
      </c>
      <c r="Q1347" s="2"/>
      <c r="R1347" s="2"/>
      <c r="S1347" s="11"/>
      <c r="T1347" s="1" t="str">
        <f>"owner=" &amp; Tokens!BS1347 &amp; "&amp;filename_for_metadata=" &amp; Tokens!BT1347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7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7" s="1" t="str">
        <f>formatRow(Tokens!C$2:I$2,Tokens!C1347:I1347)</f>
        <v>"name":"",_x000D_
"symbol":"",_x000D_
"description":"",_x000D_
"seller_fee_basis_points":"",_x000D_
"image":"",_x000D_
"Issuer":"",_x000D_
"external_url":""</v>
      </c>
      <c r="W1347" s="1" t="str">
        <f>formatRow(Tokens!J$2:AV$2,Tokens!J1347:AV1347,2,"attributes")</f>
        <v>"attributes":[]</v>
      </c>
      <c r="X1347" s="1" t="str">
        <f>formatRow(Tokens!AX$2:BC$2,Tokens!AX1347:BC1347,2,"creators")</f>
        <v>"creators":[]</v>
      </c>
      <c r="Y1347" s="1" t="str">
        <f>formatRow(Tokens!BD$2:BI$2,Tokens!BD1347:BI1347,2,"files")</f>
        <v>"files":[]</v>
      </c>
      <c r="Z1347" s="1"/>
      <c r="AA1347" s="1"/>
      <c r="AB1347" s="1"/>
      <c r="AC1347" s="1" t="str">
        <f>formatRow(Tokens!BJ$2:BK$2,Tokens!BJ1347:BK1347,0,"collection")</f>
        <v>"collection":{"name":"",_x000D_
"family":""}</v>
      </c>
    </row>
    <row r="1348" spans="5:29" ht="14.25" customHeight="1" x14ac:dyDescent="0.25">
      <c r="E1348" s="17" t="str">
        <f>IF(Tokens!C1348="","",Tokens!C1348)</f>
        <v/>
      </c>
      <c r="F1348" s="56"/>
      <c r="G1348" t="s">
        <v>164</v>
      </c>
      <c r="H1348" s="57" t="s">
        <v>165</v>
      </c>
      <c r="I1348" s="2" t="s">
        <v>166</v>
      </c>
      <c r="J1348" s="2" t="s">
        <v>167</v>
      </c>
      <c r="M1348" s="15"/>
      <c r="N1348">
        <v>6.9258811930000004</v>
      </c>
      <c r="O1348" s="15">
        <f t="shared" ref="O1348:O1411" si="42">IF(AND(ISNUMBER(N1347),ISNUMBER(N1348)),(N1348-N1347)*$O$1,"_")</f>
        <v>0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/>
      </c>
      <c r="Q1348" s="2"/>
      <c r="R1348" s="2"/>
      <c r="S1348" s="11"/>
      <c r="T1348" s="1" t="str">
        <f>"owner=" &amp; Tokens!BS1348 &amp; "&amp;filename_for_metadata=" &amp; Tokens!BT1348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8" s="1" t="str">
        <f t="shared" si="4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8" s="1" t="str">
        <f>formatRow(Tokens!C$2:I$2,Tokens!C1348:I1348)</f>
        <v>"name":"",_x000D_
"symbol":"",_x000D_
"description":"",_x000D_
"seller_fee_basis_points":"",_x000D_
"image":"",_x000D_
"Issuer":"",_x000D_
"external_url":""</v>
      </c>
      <c r="W1348" s="1" t="str">
        <f>formatRow(Tokens!J$2:AV$2,Tokens!J1348:AV1348,2,"attributes")</f>
        <v>"attributes":[]</v>
      </c>
      <c r="X1348" s="1" t="str">
        <f>formatRow(Tokens!AX$2:BC$2,Tokens!AX1348:BC1348,2,"creators")</f>
        <v>"creators":[]</v>
      </c>
      <c r="Y1348" s="1" t="str">
        <f>formatRow(Tokens!BD$2:BI$2,Tokens!BD1348:BI1348,2,"files")</f>
        <v>"files":[]</v>
      </c>
      <c r="Z1348" s="1"/>
      <c r="AA1348" s="1"/>
      <c r="AB1348" s="1"/>
      <c r="AC1348" s="1" t="str">
        <f>formatRow(Tokens!BJ$2:BK$2,Tokens!BJ1348:BK1348,0,"collection")</f>
        <v>"collection":{"name":"",_x000D_
"family":""}</v>
      </c>
    </row>
    <row r="1349" spans="5:29" ht="14.25" customHeight="1" x14ac:dyDescent="0.25">
      <c r="E1349" s="17" t="str">
        <f>IF(Tokens!C1349="","",Tokens!C1349)</f>
        <v/>
      </c>
      <c r="F1349" s="56"/>
      <c r="G1349" t="s">
        <v>164</v>
      </c>
      <c r="H1349" s="57" t="s">
        <v>165</v>
      </c>
      <c r="I1349" s="2" t="s">
        <v>166</v>
      </c>
      <c r="J1349" s="2" t="s">
        <v>167</v>
      </c>
      <c r="M1349" s="15"/>
      <c r="N1349">
        <v>6.9258811930000004</v>
      </c>
      <c r="O1349" s="15">
        <f t="shared" si="42"/>
        <v>0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/>
      </c>
      <c r="Q1349" s="2"/>
      <c r="R1349" s="2"/>
      <c r="S1349" s="11"/>
      <c r="T1349" s="1" t="str">
        <f>"owner=" &amp; Tokens!BS1349 &amp; "&amp;filename_for_metadata=" &amp; Tokens!BT1349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49" s="1" t="str">
        <f t="shared" ref="U1349:U1412" si="43">"{" &amp; V1349 &amp; "," &amp; W1349 &amp; "," &amp; """properties"":{" &amp; X1349 &amp; "," &amp; Y1349 &amp; "}," &amp; AC1349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49" s="1" t="str">
        <f>formatRow(Tokens!C$2:I$2,Tokens!C1349:I1349)</f>
        <v>"name":"",_x000D_
"symbol":"",_x000D_
"description":"",_x000D_
"seller_fee_basis_points":"",_x000D_
"image":"",_x000D_
"Issuer":"",_x000D_
"external_url":""</v>
      </c>
      <c r="W1349" s="1" t="str">
        <f>formatRow(Tokens!J$2:AV$2,Tokens!J1349:AV1349,2,"attributes")</f>
        <v>"attributes":[]</v>
      </c>
      <c r="X1349" s="1" t="str">
        <f>formatRow(Tokens!AX$2:BC$2,Tokens!AX1349:BC1349,2,"creators")</f>
        <v>"creators":[]</v>
      </c>
      <c r="Y1349" s="1" t="str">
        <f>formatRow(Tokens!BD$2:BI$2,Tokens!BD1349:BI1349,2,"files")</f>
        <v>"files":[]</v>
      </c>
      <c r="Z1349" s="1"/>
      <c r="AA1349" s="1"/>
      <c r="AB1349" s="1"/>
      <c r="AC1349" s="1" t="str">
        <f>formatRow(Tokens!BJ$2:BK$2,Tokens!BJ1349:BK1349,0,"collection")</f>
        <v>"collection":{"name":"",_x000D_
"family":""}</v>
      </c>
    </row>
    <row r="1350" spans="5:29" ht="14.25" customHeight="1" x14ac:dyDescent="0.25">
      <c r="E1350" s="17" t="str">
        <f>IF(Tokens!C1350="","",Tokens!C1350)</f>
        <v/>
      </c>
      <c r="F1350" s="56"/>
      <c r="G1350" t="s">
        <v>164</v>
      </c>
      <c r="H1350" s="57" t="s">
        <v>165</v>
      </c>
      <c r="I1350" s="2" t="s">
        <v>166</v>
      </c>
      <c r="J1350" s="2" t="s">
        <v>167</v>
      </c>
      <c r="M1350" s="15"/>
      <c r="N1350">
        <v>6.9258811930000004</v>
      </c>
      <c r="O1350" s="15">
        <f t="shared" si="42"/>
        <v>0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/>
      </c>
      <c r="Q1350" s="2"/>
      <c r="R1350" s="2"/>
      <c r="S1350" s="11"/>
      <c r="T1350" s="1" t="str">
        <f>"owner=" &amp; Tokens!BS1350 &amp; "&amp;filename_for_metadata=" &amp; Tokens!BT1350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0" s="1" t="str">
        <f>formatRow(Tokens!C$2:I$2,Tokens!C1350:I1350)</f>
        <v>"name":"",_x000D_
"symbol":"",_x000D_
"description":"",_x000D_
"seller_fee_basis_points":"",_x000D_
"image":"",_x000D_
"Issuer":"",_x000D_
"external_url":""</v>
      </c>
      <c r="W1350" s="1" t="str">
        <f>formatRow(Tokens!J$2:AV$2,Tokens!J1350:AV1350,2,"attributes")</f>
        <v>"attributes":[]</v>
      </c>
      <c r="X1350" s="1" t="str">
        <f>formatRow(Tokens!AX$2:BC$2,Tokens!AX1350:BC1350,2,"creators")</f>
        <v>"creators":[]</v>
      </c>
      <c r="Y1350" s="1" t="str">
        <f>formatRow(Tokens!BD$2:BI$2,Tokens!BD1350:BI1350,2,"files")</f>
        <v>"files":[]</v>
      </c>
      <c r="Z1350" s="1"/>
      <c r="AA1350" s="1"/>
      <c r="AB1350" s="1"/>
      <c r="AC1350" s="1" t="str">
        <f>formatRow(Tokens!BJ$2:BK$2,Tokens!BJ1350:BK1350,0,"collection")</f>
        <v>"collection":{"name":"",_x000D_
"family":""}</v>
      </c>
    </row>
    <row r="1351" spans="5:29" ht="14.25" customHeight="1" x14ac:dyDescent="0.25">
      <c r="E1351" s="17" t="str">
        <f>IF(Tokens!C1351="","",Tokens!C1351)</f>
        <v/>
      </c>
      <c r="F1351" s="56"/>
      <c r="G1351" t="s">
        <v>164</v>
      </c>
      <c r="H1351" s="57" t="s">
        <v>165</v>
      </c>
      <c r="I1351" s="2" t="s">
        <v>166</v>
      </c>
      <c r="J1351" s="2" t="s">
        <v>167</v>
      </c>
      <c r="M1351" s="15"/>
      <c r="N1351">
        <v>6.9258811930000004</v>
      </c>
      <c r="O1351" s="15">
        <f t="shared" si="42"/>
        <v>0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/>
      </c>
      <c r="Q1351" s="2"/>
      <c r="R1351" s="2"/>
      <c r="S1351" s="11"/>
      <c r="T1351" s="1" t="str">
        <f>"owner=" &amp; Tokens!BS1351 &amp; "&amp;filename_for_metadata=" &amp; Tokens!BT1351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1" s="1" t="str">
        <f>formatRow(Tokens!C$2:I$2,Tokens!C1351:I1351)</f>
        <v>"name":"",_x000D_
"symbol":"",_x000D_
"description":"",_x000D_
"seller_fee_basis_points":"",_x000D_
"image":"",_x000D_
"Issuer":"",_x000D_
"external_url":""</v>
      </c>
      <c r="W1351" s="1" t="str">
        <f>formatRow(Tokens!J$2:AV$2,Tokens!J1351:AV1351,2,"attributes")</f>
        <v>"attributes":[]</v>
      </c>
      <c r="X1351" s="1" t="str">
        <f>formatRow(Tokens!AX$2:BC$2,Tokens!AX1351:BC1351,2,"creators")</f>
        <v>"creators":[]</v>
      </c>
      <c r="Y1351" s="1" t="str">
        <f>formatRow(Tokens!BD$2:BI$2,Tokens!BD1351:BI1351,2,"files")</f>
        <v>"files":[]</v>
      </c>
      <c r="Z1351" s="1"/>
      <c r="AA1351" s="1"/>
      <c r="AB1351" s="1"/>
      <c r="AC1351" s="1" t="str">
        <f>formatRow(Tokens!BJ$2:BK$2,Tokens!BJ1351:BK1351,0,"collection")</f>
        <v>"collection":{"name":"",_x000D_
"family":""}</v>
      </c>
    </row>
    <row r="1352" spans="5:29" ht="14.25" customHeight="1" x14ac:dyDescent="0.25">
      <c r="E1352" s="17" t="str">
        <f>IF(Tokens!C1352="","",Tokens!C1352)</f>
        <v/>
      </c>
      <c r="F1352" s="56"/>
      <c r="G1352" t="s">
        <v>164</v>
      </c>
      <c r="H1352" s="57" t="s">
        <v>165</v>
      </c>
      <c r="I1352" s="2" t="s">
        <v>166</v>
      </c>
      <c r="J1352" s="2" t="s">
        <v>167</v>
      </c>
      <c r="M1352" s="15"/>
      <c r="N1352">
        <v>6.9258811930000004</v>
      </c>
      <c r="O1352" s="15">
        <f t="shared" si="42"/>
        <v>0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/>
      </c>
      <c r="Q1352" s="2"/>
      <c r="R1352" s="2"/>
      <c r="S1352" s="11"/>
      <c r="T1352" s="1" t="str">
        <f>"owner=" &amp; Tokens!BS1352 &amp; "&amp;filename_for_metadata=" &amp; Tokens!BT1352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2" s="1" t="str">
        <f>formatRow(Tokens!C$2:I$2,Tokens!C1352:I1352)</f>
        <v>"name":"",_x000D_
"symbol":"",_x000D_
"description":"",_x000D_
"seller_fee_basis_points":"",_x000D_
"image":"",_x000D_
"Issuer":"",_x000D_
"external_url":""</v>
      </c>
      <c r="W1352" s="1" t="str">
        <f>formatRow(Tokens!J$2:AV$2,Tokens!J1352:AV1352,2,"attributes")</f>
        <v>"attributes":[]</v>
      </c>
      <c r="X1352" s="1" t="str">
        <f>formatRow(Tokens!AX$2:BC$2,Tokens!AX1352:BC1352,2,"creators")</f>
        <v>"creators":[]</v>
      </c>
      <c r="Y1352" s="1" t="str">
        <f>formatRow(Tokens!BD$2:BI$2,Tokens!BD1352:BI1352,2,"files")</f>
        <v>"files":[]</v>
      </c>
      <c r="Z1352" s="1"/>
      <c r="AA1352" s="1"/>
      <c r="AB1352" s="1"/>
      <c r="AC1352" s="1" t="str">
        <f>formatRow(Tokens!BJ$2:BK$2,Tokens!BJ1352:BK1352,0,"collection")</f>
        <v>"collection":{"name":"",_x000D_
"family":""}</v>
      </c>
    </row>
    <row r="1353" spans="5:29" ht="14.25" customHeight="1" x14ac:dyDescent="0.25">
      <c r="E1353" s="17" t="str">
        <f>IF(Tokens!C1353="","",Tokens!C1353)</f>
        <v/>
      </c>
      <c r="F1353" s="56"/>
      <c r="G1353" t="s">
        <v>164</v>
      </c>
      <c r="H1353" s="57" t="s">
        <v>165</v>
      </c>
      <c r="I1353" s="2" t="s">
        <v>166</v>
      </c>
      <c r="J1353" s="2" t="s">
        <v>167</v>
      </c>
      <c r="M1353" s="15"/>
      <c r="N1353">
        <v>6.9258811930000004</v>
      </c>
      <c r="O1353" s="15">
        <f t="shared" si="42"/>
        <v>0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/>
      </c>
      <c r="Q1353" s="2"/>
      <c r="R1353" s="2"/>
      <c r="S1353" s="11"/>
      <c r="T1353" s="1" t="str">
        <f>"owner=" &amp; Tokens!BS1353 &amp; "&amp;filename_for_metadata=" &amp; Tokens!BT1353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3" s="1" t="str">
        <f>formatRow(Tokens!C$2:I$2,Tokens!C1353:I1353)</f>
        <v>"name":"",_x000D_
"symbol":"",_x000D_
"description":"",_x000D_
"seller_fee_basis_points":"",_x000D_
"image":"",_x000D_
"Issuer":"",_x000D_
"external_url":""</v>
      </c>
      <c r="W1353" s="1" t="str">
        <f>formatRow(Tokens!J$2:AV$2,Tokens!J1353:AV1353,2,"attributes")</f>
        <v>"attributes":[]</v>
      </c>
      <c r="X1353" s="1" t="str">
        <f>formatRow(Tokens!AX$2:BC$2,Tokens!AX1353:BC1353,2,"creators")</f>
        <v>"creators":[]</v>
      </c>
      <c r="Y1353" s="1" t="str">
        <f>formatRow(Tokens!BD$2:BI$2,Tokens!BD1353:BI1353,2,"files")</f>
        <v>"files":[]</v>
      </c>
      <c r="Z1353" s="1"/>
      <c r="AA1353" s="1"/>
      <c r="AB1353" s="1"/>
      <c r="AC1353" s="1" t="str">
        <f>formatRow(Tokens!BJ$2:BK$2,Tokens!BJ1353:BK1353,0,"collection")</f>
        <v>"collection":{"name":"",_x000D_
"family":""}</v>
      </c>
    </row>
    <row r="1354" spans="5:29" ht="14.25" customHeight="1" x14ac:dyDescent="0.25">
      <c r="E1354" s="17" t="str">
        <f>IF(Tokens!C1354="","",Tokens!C1354)</f>
        <v/>
      </c>
      <c r="F1354" s="56"/>
      <c r="G1354" t="s">
        <v>164</v>
      </c>
      <c r="H1354" s="57" t="s">
        <v>165</v>
      </c>
      <c r="I1354" s="2" t="s">
        <v>166</v>
      </c>
      <c r="J1354" s="2" t="s">
        <v>167</v>
      </c>
      <c r="M1354" s="15"/>
      <c r="N1354">
        <v>6.9258811930000004</v>
      </c>
      <c r="O1354" s="15">
        <f t="shared" si="42"/>
        <v>0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/>
      </c>
      <c r="Q1354" s="2"/>
      <c r="R1354" s="2"/>
      <c r="S1354" s="11"/>
      <c r="T1354" s="1" t="str">
        <f>"owner=" &amp; Tokens!BS1354 &amp; "&amp;filename_for_metadata=" &amp; Tokens!BT1354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4" s="1" t="str">
        <f>formatRow(Tokens!C$2:I$2,Tokens!C1354:I1354)</f>
        <v>"name":"",_x000D_
"symbol":"",_x000D_
"description":"",_x000D_
"seller_fee_basis_points":"",_x000D_
"image":"",_x000D_
"Issuer":"",_x000D_
"external_url":""</v>
      </c>
      <c r="W1354" s="1" t="str">
        <f>formatRow(Tokens!J$2:AV$2,Tokens!J1354:AV1354,2,"attributes")</f>
        <v>"attributes":[]</v>
      </c>
      <c r="X1354" s="1" t="str">
        <f>formatRow(Tokens!AX$2:BC$2,Tokens!AX1354:BC1354,2,"creators")</f>
        <v>"creators":[]</v>
      </c>
      <c r="Y1354" s="1" t="str">
        <f>formatRow(Tokens!BD$2:BI$2,Tokens!BD1354:BI1354,2,"files")</f>
        <v>"files":[]</v>
      </c>
      <c r="Z1354" s="1"/>
      <c r="AA1354" s="1"/>
      <c r="AB1354" s="1"/>
      <c r="AC1354" s="1" t="str">
        <f>formatRow(Tokens!BJ$2:BK$2,Tokens!BJ1354:BK1354,0,"collection")</f>
        <v>"collection":{"name":"",_x000D_
"family":""}</v>
      </c>
    </row>
    <row r="1355" spans="5:29" ht="14.25" customHeight="1" x14ac:dyDescent="0.25">
      <c r="E1355" s="17" t="str">
        <f>IF(Tokens!C1355="","",Tokens!C1355)</f>
        <v/>
      </c>
      <c r="F1355" s="56"/>
      <c r="G1355" t="s">
        <v>164</v>
      </c>
      <c r="H1355" s="57" t="s">
        <v>165</v>
      </c>
      <c r="I1355" s="2" t="s">
        <v>166</v>
      </c>
      <c r="J1355" s="2" t="s">
        <v>167</v>
      </c>
      <c r="M1355" s="15"/>
      <c r="N1355">
        <v>6.9258811930000004</v>
      </c>
      <c r="O1355" s="15">
        <f t="shared" si="42"/>
        <v>0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/>
      </c>
      <c r="Q1355" s="2"/>
      <c r="R1355" s="2"/>
      <c r="S1355" s="11"/>
      <c r="T1355" s="1" t="str">
        <f>"owner=" &amp; Tokens!BS1355 &amp; "&amp;filename_for_metadata=" &amp; Tokens!BT1355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5" s="1" t="str">
        <f>formatRow(Tokens!C$2:I$2,Tokens!C1355:I1355)</f>
        <v>"name":"",_x000D_
"symbol":"",_x000D_
"description":"",_x000D_
"seller_fee_basis_points":"",_x000D_
"image":"",_x000D_
"Issuer":"",_x000D_
"external_url":""</v>
      </c>
      <c r="W1355" s="1" t="str">
        <f>formatRow(Tokens!J$2:AV$2,Tokens!J1355:AV1355,2,"attributes")</f>
        <v>"attributes":[]</v>
      </c>
      <c r="X1355" s="1" t="str">
        <f>formatRow(Tokens!AX$2:BC$2,Tokens!AX1355:BC1355,2,"creators")</f>
        <v>"creators":[]</v>
      </c>
      <c r="Y1355" s="1" t="str">
        <f>formatRow(Tokens!BD$2:BI$2,Tokens!BD1355:BI1355,2,"files")</f>
        <v>"files":[]</v>
      </c>
      <c r="Z1355" s="1"/>
      <c r="AA1355" s="1"/>
      <c r="AB1355" s="1"/>
      <c r="AC1355" s="1" t="str">
        <f>formatRow(Tokens!BJ$2:BK$2,Tokens!BJ1355:BK1355,0,"collection")</f>
        <v>"collection":{"name":"",_x000D_
"family":""}</v>
      </c>
    </row>
    <row r="1356" spans="5:29" ht="14.25" customHeight="1" x14ac:dyDescent="0.25">
      <c r="E1356" s="17" t="str">
        <f>IF(Tokens!C1356="","",Tokens!C1356)</f>
        <v/>
      </c>
      <c r="F1356" s="56"/>
      <c r="G1356" t="s">
        <v>164</v>
      </c>
      <c r="H1356" s="57" t="s">
        <v>165</v>
      </c>
      <c r="I1356" s="2" t="s">
        <v>166</v>
      </c>
      <c r="J1356" s="2" t="s">
        <v>167</v>
      </c>
      <c r="M1356" s="15"/>
      <c r="N1356">
        <v>6.9258811930000004</v>
      </c>
      <c r="O1356" s="15">
        <f t="shared" si="42"/>
        <v>0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/>
      </c>
      <c r="Q1356" s="2"/>
      <c r="R1356" s="2"/>
      <c r="S1356" s="11"/>
      <c r="T1356" s="1" t="str">
        <f>"owner=" &amp; Tokens!BS1356 &amp; "&amp;filename_for_metadata=" &amp; Tokens!BT1356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6" s="1" t="str">
        <f>formatRow(Tokens!C$2:I$2,Tokens!C1356:I1356)</f>
        <v>"name":"",_x000D_
"symbol":"",_x000D_
"description":"",_x000D_
"seller_fee_basis_points":"",_x000D_
"image":"",_x000D_
"Issuer":"",_x000D_
"external_url":""</v>
      </c>
      <c r="W1356" s="1" t="str">
        <f>formatRow(Tokens!J$2:AV$2,Tokens!J1356:AV1356,2,"attributes")</f>
        <v>"attributes":[]</v>
      </c>
      <c r="X1356" s="1" t="str">
        <f>formatRow(Tokens!AX$2:BC$2,Tokens!AX1356:BC1356,2,"creators")</f>
        <v>"creators":[]</v>
      </c>
      <c r="Y1356" s="1" t="str">
        <f>formatRow(Tokens!BD$2:BI$2,Tokens!BD1356:BI1356,2,"files")</f>
        <v>"files":[]</v>
      </c>
      <c r="Z1356" s="1"/>
      <c r="AA1356" s="1"/>
      <c r="AB1356" s="1"/>
      <c r="AC1356" s="1" t="str">
        <f>formatRow(Tokens!BJ$2:BK$2,Tokens!BJ1356:BK1356,0,"collection")</f>
        <v>"collection":{"name":"",_x000D_
"family":""}</v>
      </c>
    </row>
    <row r="1357" spans="5:29" ht="14.25" customHeight="1" x14ac:dyDescent="0.25">
      <c r="E1357" s="17" t="str">
        <f>IF(Tokens!C1357="","",Tokens!C1357)</f>
        <v/>
      </c>
      <c r="F1357" s="56"/>
      <c r="G1357" t="s">
        <v>164</v>
      </c>
      <c r="H1357" s="57" t="s">
        <v>165</v>
      </c>
      <c r="I1357" s="2" t="s">
        <v>166</v>
      </c>
      <c r="J1357" s="2" t="s">
        <v>167</v>
      </c>
      <c r="M1357" s="15"/>
      <c r="N1357">
        <v>6.9258811930000004</v>
      </c>
      <c r="O1357" s="15">
        <f t="shared" si="42"/>
        <v>0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/>
      </c>
      <c r="Q1357" s="2"/>
      <c r="R1357" s="2"/>
      <c r="S1357" s="11"/>
      <c r="T1357" s="1" t="str">
        <f>"owner=" &amp; Tokens!BS1357 &amp; "&amp;filename_for_metadata=" &amp; Tokens!BT1357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7" s="1" t="str">
        <f>formatRow(Tokens!C$2:I$2,Tokens!C1357:I1357)</f>
        <v>"name":"",_x000D_
"symbol":"",_x000D_
"description":"",_x000D_
"seller_fee_basis_points":"",_x000D_
"image":"",_x000D_
"Issuer":"",_x000D_
"external_url":""</v>
      </c>
      <c r="W1357" s="1" t="str">
        <f>formatRow(Tokens!J$2:AV$2,Tokens!J1357:AV1357,2,"attributes")</f>
        <v>"attributes":[]</v>
      </c>
      <c r="X1357" s="1" t="str">
        <f>formatRow(Tokens!AX$2:BC$2,Tokens!AX1357:BC1357,2,"creators")</f>
        <v>"creators":[]</v>
      </c>
      <c r="Y1357" s="1" t="str">
        <f>formatRow(Tokens!BD$2:BI$2,Tokens!BD1357:BI1357,2,"files")</f>
        <v>"files":[]</v>
      </c>
      <c r="Z1357" s="1"/>
      <c r="AA1357" s="1"/>
      <c r="AB1357" s="1"/>
      <c r="AC1357" s="1" t="str">
        <f>formatRow(Tokens!BJ$2:BK$2,Tokens!BJ1357:BK1357,0,"collection")</f>
        <v>"collection":{"name":"",_x000D_
"family":""}</v>
      </c>
    </row>
    <row r="1358" spans="5:29" ht="14.25" customHeight="1" x14ac:dyDescent="0.25">
      <c r="E1358" s="17" t="str">
        <f>IF(Tokens!C1358="","",Tokens!C1358)</f>
        <v/>
      </c>
      <c r="F1358" s="56"/>
      <c r="G1358" t="s">
        <v>164</v>
      </c>
      <c r="H1358" s="57" t="s">
        <v>165</v>
      </c>
      <c r="I1358" s="2" t="s">
        <v>166</v>
      </c>
      <c r="J1358" s="2" t="s">
        <v>167</v>
      </c>
      <c r="M1358" s="15"/>
      <c r="N1358">
        <v>6.9258811930000004</v>
      </c>
      <c r="O1358" s="15">
        <f t="shared" si="42"/>
        <v>0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/>
      </c>
      <c r="Q1358" s="2"/>
      <c r="R1358" s="2"/>
      <c r="S1358" s="11"/>
      <c r="T1358" s="1" t="str">
        <f>"owner=" &amp; Tokens!BS1358 &amp; "&amp;filename_for_metadata=" &amp; Tokens!BT1358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8" s="1" t="str">
        <f>formatRow(Tokens!C$2:I$2,Tokens!C1358:I1358)</f>
        <v>"name":"",_x000D_
"symbol":"",_x000D_
"description":"",_x000D_
"seller_fee_basis_points":"",_x000D_
"image":"",_x000D_
"Issuer":"",_x000D_
"external_url":""</v>
      </c>
      <c r="W1358" s="1" t="str">
        <f>formatRow(Tokens!J$2:AV$2,Tokens!J1358:AV1358,2,"attributes")</f>
        <v>"attributes":[]</v>
      </c>
      <c r="X1358" s="1" t="str">
        <f>formatRow(Tokens!AX$2:BC$2,Tokens!AX1358:BC1358,2,"creators")</f>
        <v>"creators":[]</v>
      </c>
      <c r="Y1358" s="1" t="str">
        <f>formatRow(Tokens!BD$2:BI$2,Tokens!BD1358:BI1358,2,"files")</f>
        <v>"files":[]</v>
      </c>
      <c r="Z1358" s="1"/>
      <c r="AA1358" s="1"/>
      <c r="AB1358" s="1"/>
      <c r="AC1358" s="1" t="str">
        <f>formatRow(Tokens!BJ$2:BK$2,Tokens!BJ1358:BK1358,0,"collection")</f>
        <v>"collection":{"name":"",_x000D_
"family":""}</v>
      </c>
    </row>
    <row r="1359" spans="5:29" ht="14.25" customHeight="1" x14ac:dyDescent="0.25">
      <c r="E1359" s="17" t="str">
        <f>IF(Tokens!C1359="","",Tokens!C1359)</f>
        <v/>
      </c>
      <c r="F1359" s="56"/>
      <c r="G1359" t="s">
        <v>164</v>
      </c>
      <c r="H1359" s="57" t="s">
        <v>165</v>
      </c>
      <c r="I1359" s="2" t="s">
        <v>166</v>
      </c>
      <c r="J1359" s="2" t="s">
        <v>167</v>
      </c>
      <c r="M1359" s="15"/>
      <c r="N1359">
        <v>6.9258811930000004</v>
      </c>
      <c r="O1359" s="15">
        <f t="shared" si="42"/>
        <v>0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/>
      </c>
      <c r="Q1359" s="2"/>
      <c r="R1359" s="2"/>
      <c r="S1359" s="11"/>
      <c r="T1359" s="1" t="str">
        <f>"owner=" &amp; Tokens!BS1359 &amp; "&amp;filename_for_metadata=" &amp; Tokens!BT1359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5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59" s="1" t="str">
        <f>formatRow(Tokens!C$2:I$2,Tokens!C1359:I1359)</f>
        <v>"name":"",_x000D_
"symbol":"",_x000D_
"description":"",_x000D_
"seller_fee_basis_points":"",_x000D_
"image":"",_x000D_
"Issuer":"",_x000D_
"external_url":""</v>
      </c>
      <c r="W1359" s="1" t="str">
        <f>formatRow(Tokens!J$2:AV$2,Tokens!J1359:AV1359,2,"attributes")</f>
        <v>"attributes":[]</v>
      </c>
      <c r="X1359" s="1" t="str">
        <f>formatRow(Tokens!AX$2:BC$2,Tokens!AX1359:BC1359,2,"creators")</f>
        <v>"creators":[]</v>
      </c>
      <c r="Y1359" s="1" t="str">
        <f>formatRow(Tokens!BD$2:BI$2,Tokens!BD1359:BI1359,2,"files")</f>
        <v>"files":[]</v>
      </c>
      <c r="Z1359" s="1"/>
      <c r="AA1359" s="1"/>
      <c r="AB1359" s="1"/>
      <c r="AC1359" s="1" t="str">
        <f>formatRow(Tokens!BJ$2:BK$2,Tokens!BJ1359:BK1359,0,"collection")</f>
        <v>"collection":{"name":"",_x000D_
"family":""}</v>
      </c>
    </row>
    <row r="1360" spans="5:29" ht="14.25" customHeight="1" x14ac:dyDescent="0.25">
      <c r="E1360" s="17" t="str">
        <f>IF(Tokens!C1360="","",Tokens!C1360)</f>
        <v/>
      </c>
      <c r="F1360" s="56"/>
      <c r="G1360" t="s">
        <v>164</v>
      </c>
      <c r="H1360" s="57" t="s">
        <v>165</v>
      </c>
      <c r="I1360" s="2" t="s">
        <v>166</v>
      </c>
      <c r="J1360" s="2" t="s">
        <v>167</v>
      </c>
      <c r="M1360" s="15"/>
      <c r="N1360">
        <v>6.9258811930000004</v>
      </c>
      <c r="O1360" s="15">
        <f t="shared" si="42"/>
        <v>0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/>
      </c>
      <c r="Q1360" s="2"/>
      <c r="R1360" s="2"/>
      <c r="S1360" s="11"/>
      <c r="T1360" s="1" t="str">
        <f>"owner=" &amp; Tokens!BS1360 &amp; "&amp;filename_for_metadata=" &amp; Tokens!BT1360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0" s="1" t="str">
        <f>formatRow(Tokens!C$2:I$2,Tokens!C1360:I1360)</f>
        <v>"name":"",_x000D_
"symbol":"",_x000D_
"description":"",_x000D_
"seller_fee_basis_points":"",_x000D_
"image":"",_x000D_
"Issuer":"",_x000D_
"external_url":""</v>
      </c>
      <c r="W1360" s="1" t="str">
        <f>formatRow(Tokens!J$2:AV$2,Tokens!J1360:AV1360,2,"attributes")</f>
        <v>"attributes":[]</v>
      </c>
      <c r="X1360" s="1" t="str">
        <f>formatRow(Tokens!AX$2:BC$2,Tokens!AX1360:BC1360,2,"creators")</f>
        <v>"creators":[]</v>
      </c>
      <c r="Y1360" s="1" t="str">
        <f>formatRow(Tokens!BD$2:BI$2,Tokens!BD1360:BI1360,2,"files")</f>
        <v>"files":[]</v>
      </c>
      <c r="Z1360" s="1"/>
      <c r="AA1360" s="1"/>
      <c r="AB1360" s="1"/>
      <c r="AC1360" s="1" t="str">
        <f>formatRow(Tokens!BJ$2:BK$2,Tokens!BJ1360:BK1360,0,"collection")</f>
        <v>"collection":{"name":"",_x000D_
"family":""}</v>
      </c>
    </row>
    <row r="1361" spans="5:29" ht="14.25" customHeight="1" x14ac:dyDescent="0.25">
      <c r="E1361" s="17" t="str">
        <f>IF(Tokens!C1361="","",Tokens!C1361)</f>
        <v/>
      </c>
      <c r="F1361" s="56"/>
      <c r="G1361" t="s">
        <v>164</v>
      </c>
      <c r="H1361" s="57" t="s">
        <v>165</v>
      </c>
      <c r="I1361" s="2" t="s">
        <v>166</v>
      </c>
      <c r="J1361" s="2" t="s">
        <v>167</v>
      </c>
      <c r="M1361" s="15"/>
      <c r="N1361">
        <v>6.9258811930000004</v>
      </c>
      <c r="O1361" s="15">
        <f t="shared" si="42"/>
        <v>0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/>
      </c>
      <c r="Q1361" s="2"/>
      <c r="R1361" s="2"/>
      <c r="S1361" s="11"/>
      <c r="T1361" s="1" t="str">
        <f>"owner=" &amp; Tokens!BS1361 &amp; "&amp;filename_for_metadata=" &amp; Tokens!BT1361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1" s="1" t="str">
        <f>formatRow(Tokens!C$2:I$2,Tokens!C1361:I1361)</f>
        <v>"name":"",_x000D_
"symbol":"",_x000D_
"description":"",_x000D_
"seller_fee_basis_points":"",_x000D_
"image":"",_x000D_
"Issuer":"",_x000D_
"external_url":""</v>
      </c>
      <c r="W1361" s="1" t="str">
        <f>formatRow(Tokens!J$2:AV$2,Tokens!J1361:AV1361,2,"attributes")</f>
        <v>"attributes":[]</v>
      </c>
      <c r="X1361" s="1" t="str">
        <f>formatRow(Tokens!AX$2:BC$2,Tokens!AX1361:BC1361,2,"creators")</f>
        <v>"creators":[]</v>
      </c>
      <c r="Y1361" s="1" t="str">
        <f>formatRow(Tokens!BD$2:BI$2,Tokens!BD1361:BI1361,2,"files")</f>
        <v>"files":[]</v>
      </c>
      <c r="Z1361" s="1"/>
      <c r="AA1361" s="1"/>
      <c r="AB1361" s="1"/>
      <c r="AC1361" s="1" t="str">
        <f>formatRow(Tokens!BJ$2:BK$2,Tokens!BJ1361:BK1361,0,"collection")</f>
        <v>"collection":{"name":"",_x000D_
"family":""}</v>
      </c>
    </row>
    <row r="1362" spans="5:29" ht="14.25" customHeight="1" x14ac:dyDescent="0.25">
      <c r="E1362" s="17" t="str">
        <f>IF(Tokens!C1362="","",Tokens!C1362)</f>
        <v/>
      </c>
      <c r="F1362" s="56"/>
      <c r="G1362" t="s">
        <v>164</v>
      </c>
      <c r="H1362" s="57" t="s">
        <v>165</v>
      </c>
      <c r="I1362" s="2" t="s">
        <v>166</v>
      </c>
      <c r="J1362" s="2" t="s">
        <v>167</v>
      </c>
      <c r="M1362" s="15"/>
      <c r="N1362">
        <v>6.9258811930000004</v>
      </c>
      <c r="O1362" s="15">
        <f t="shared" si="42"/>
        <v>0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/>
      </c>
      <c r="Q1362" s="2"/>
      <c r="R1362" s="2"/>
      <c r="S1362" s="11"/>
      <c r="T1362" s="1" t="str">
        <f>"owner=" &amp; Tokens!BS1362 &amp; "&amp;filename_for_metadata=" &amp; Tokens!BT1362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2" s="1" t="str">
        <f>formatRow(Tokens!C$2:I$2,Tokens!C1362:I1362)</f>
        <v>"name":"",_x000D_
"symbol":"",_x000D_
"description":"",_x000D_
"seller_fee_basis_points":"",_x000D_
"image":"",_x000D_
"Issuer":"",_x000D_
"external_url":""</v>
      </c>
      <c r="W1362" s="1" t="str">
        <f>formatRow(Tokens!J$2:AV$2,Tokens!J1362:AV1362,2,"attributes")</f>
        <v>"attributes":[]</v>
      </c>
      <c r="X1362" s="1" t="str">
        <f>formatRow(Tokens!AX$2:BC$2,Tokens!AX1362:BC1362,2,"creators")</f>
        <v>"creators":[]</v>
      </c>
      <c r="Y1362" s="1" t="str">
        <f>formatRow(Tokens!BD$2:BI$2,Tokens!BD1362:BI1362,2,"files")</f>
        <v>"files":[]</v>
      </c>
      <c r="Z1362" s="1"/>
      <c r="AA1362" s="1"/>
      <c r="AB1362" s="1"/>
      <c r="AC1362" s="1" t="str">
        <f>formatRow(Tokens!BJ$2:BK$2,Tokens!BJ1362:BK1362,0,"collection")</f>
        <v>"collection":{"name":"",_x000D_
"family":""}</v>
      </c>
    </row>
    <row r="1363" spans="5:29" ht="14.25" customHeight="1" x14ac:dyDescent="0.25">
      <c r="E1363" s="17" t="str">
        <f>IF(Tokens!C1363="","",Tokens!C1363)</f>
        <v/>
      </c>
      <c r="F1363" s="56"/>
      <c r="G1363" t="s">
        <v>164</v>
      </c>
      <c r="H1363" s="57" t="s">
        <v>165</v>
      </c>
      <c r="I1363" s="2" t="s">
        <v>166</v>
      </c>
      <c r="J1363" s="2" t="s">
        <v>167</v>
      </c>
      <c r="M1363" s="15"/>
      <c r="N1363">
        <v>6.9258811930000004</v>
      </c>
      <c r="O1363" s="15">
        <f t="shared" si="42"/>
        <v>0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/>
      </c>
      <c r="Q1363" s="2"/>
      <c r="R1363" s="2"/>
      <c r="S1363" s="11"/>
      <c r="T1363" s="1" t="str">
        <f>"owner=" &amp; Tokens!BS1363 &amp; "&amp;filename_for_metadata=" &amp; Tokens!BT1363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3" s="1" t="str">
        <f>formatRow(Tokens!C$2:I$2,Tokens!C1363:I1363)</f>
        <v>"name":"",_x000D_
"symbol":"",_x000D_
"description":"",_x000D_
"seller_fee_basis_points":"",_x000D_
"image":"",_x000D_
"Issuer":"",_x000D_
"external_url":""</v>
      </c>
      <c r="W1363" s="1" t="str">
        <f>formatRow(Tokens!J$2:AV$2,Tokens!J1363:AV1363,2,"attributes")</f>
        <v>"attributes":[]</v>
      </c>
      <c r="X1363" s="1" t="str">
        <f>formatRow(Tokens!AX$2:BC$2,Tokens!AX1363:BC1363,2,"creators")</f>
        <v>"creators":[]</v>
      </c>
      <c r="Y1363" s="1" t="str">
        <f>formatRow(Tokens!BD$2:BI$2,Tokens!BD1363:BI1363,2,"files")</f>
        <v>"files":[]</v>
      </c>
      <c r="Z1363" s="1"/>
      <c r="AA1363" s="1"/>
      <c r="AB1363" s="1"/>
      <c r="AC1363" s="1" t="str">
        <f>formatRow(Tokens!BJ$2:BK$2,Tokens!BJ1363:BK1363,0,"collection")</f>
        <v>"collection":{"name":"",_x000D_
"family":""}</v>
      </c>
    </row>
    <row r="1364" spans="5:29" ht="14.25" customHeight="1" x14ac:dyDescent="0.25">
      <c r="E1364" s="17" t="str">
        <f>IF(Tokens!C1364="","",Tokens!C1364)</f>
        <v/>
      </c>
      <c r="F1364" s="56"/>
      <c r="G1364" t="s">
        <v>164</v>
      </c>
      <c r="H1364" s="57" t="s">
        <v>165</v>
      </c>
      <c r="I1364" s="2" t="s">
        <v>166</v>
      </c>
      <c r="J1364" s="2" t="s">
        <v>167</v>
      </c>
      <c r="M1364" s="15"/>
      <c r="N1364">
        <v>6.9258811930000004</v>
      </c>
      <c r="O1364" s="15">
        <f t="shared" si="42"/>
        <v>0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/>
      </c>
      <c r="Q1364" s="2"/>
      <c r="R1364" s="2"/>
      <c r="S1364" s="11"/>
      <c r="T1364" s="1" t="str">
        <f>"owner=" &amp; Tokens!BS1364 &amp; "&amp;filename_for_metadata=" &amp; Tokens!BT1364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4" s="1" t="str">
        <f>formatRow(Tokens!C$2:I$2,Tokens!C1364:I1364)</f>
        <v>"name":"",_x000D_
"symbol":"",_x000D_
"description":"",_x000D_
"seller_fee_basis_points":"",_x000D_
"image":"",_x000D_
"Issuer":"",_x000D_
"external_url":""</v>
      </c>
      <c r="W1364" s="1" t="str">
        <f>formatRow(Tokens!J$2:AV$2,Tokens!J1364:AV1364,2,"attributes")</f>
        <v>"attributes":[]</v>
      </c>
      <c r="X1364" s="1" t="str">
        <f>formatRow(Tokens!AX$2:BC$2,Tokens!AX1364:BC1364,2,"creators")</f>
        <v>"creators":[]</v>
      </c>
      <c r="Y1364" s="1" t="str">
        <f>formatRow(Tokens!BD$2:BI$2,Tokens!BD1364:BI1364,2,"files")</f>
        <v>"files":[]</v>
      </c>
      <c r="Z1364" s="1"/>
      <c r="AA1364" s="1"/>
      <c r="AB1364" s="1"/>
      <c r="AC1364" s="1" t="str">
        <f>formatRow(Tokens!BJ$2:BK$2,Tokens!BJ1364:BK1364,0,"collection")</f>
        <v>"collection":{"name":"",_x000D_
"family":""}</v>
      </c>
    </row>
    <row r="1365" spans="5:29" ht="14.25" customHeight="1" x14ac:dyDescent="0.25">
      <c r="E1365" s="17" t="str">
        <f>IF(Tokens!C1365="","",Tokens!C1365)</f>
        <v/>
      </c>
      <c r="F1365" s="56"/>
      <c r="G1365" t="s">
        <v>164</v>
      </c>
      <c r="H1365" s="57" t="s">
        <v>165</v>
      </c>
      <c r="I1365" s="2" t="s">
        <v>166</v>
      </c>
      <c r="J1365" s="2" t="s">
        <v>167</v>
      </c>
      <c r="M1365" s="15"/>
      <c r="N1365">
        <v>6.9258811930000004</v>
      </c>
      <c r="O1365" s="15">
        <f t="shared" si="42"/>
        <v>0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/>
      </c>
      <c r="Q1365" s="2"/>
      <c r="R1365" s="2"/>
      <c r="S1365" s="11"/>
      <c r="T1365" s="1" t="str">
        <f>"owner=" &amp; Tokens!BS1365 &amp; "&amp;filename_for_metadata=" &amp; Tokens!BT1365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5" s="1" t="str">
        <f>formatRow(Tokens!C$2:I$2,Tokens!C1365:I1365)</f>
        <v>"name":"",_x000D_
"symbol":"",_x000D_
"description":"",_x000D_
"seller_fee_basis_points":"",_x000D_
"image":"",_x000D_
"Issuer":"",_x000D_
"external_url":""</v>
      </c>
      <c r="W1365" s="1" t="str">
        <f>formatRow(Tokens!J$2:AV$2,Tokens!J1365:AV1365,2,"attributes")</f>
        <v>"attributes":[]</v>
      </c>
      <c r="X1365" s="1" t="str">
        <f>formatRow(Tokens!AX$2:BC$2,Tokens!AX1365:BC1365,2,"creators")</f>
        <v>"creators":[]</v>
      </c>
      <c r="Y1365" s="1" t="str">
        <f>formatRow(Tokens!BD$2:BI$2,Tokens!BD1365:BI1365,2,"files")</f>
        <v>"files":[]</v>
      </c>
      <c r="Z1365" s="1"/>
      <c r="AA1365" s="1"/>
      <c r="AB1365" s="1"/>
      <c r="AC1365" s="1" t="str">
        <f>formatRow(Tokens!BJ$2:BK$2,Tokens!BJ1365:BK1365,0,"collection")</f>
        <v>"collection":{"name":"",_x000D_
"family":""}</v>
      </c>
    </row>
    <row r="1366" spans="5:29" ht="14.25" customHeight="1" x14ac:dyDescent="0.25">
      <c r="E1366" s="17" t="str">
        <f>IF(Tokens!C1366="","",Tokens!C1366)</f>
        <v/>
      </c>
      <c r="F1366" s="56"/>
      <c r="G1366" t="s">
        <v>164</v>
      </c>
      <c r="H1366" s="57" t="s">
        <v>165</v>
      </c>
      <c r="I1366" s="2" t="s">
        <v>166</v>
      </c>
      <c r="J1366" s="2" t="s">
        <v>167</v>
      </c>
      <c r="M1366" s="15"/>
      <c r="N1366">
        <v>6.9258811930000004</v>
      </c>
      <c r="O1366" s="15">
        <f t="shared" si="42"/>
        <v>0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/>
      </c>
      <c r="Q1366" s="2"/>
      <c r="R1366" s="2"/>
      <c r="S1366" s="11"/>
      <c r="T1366" s="1" t="str">
        <f>"owner=" &amp; Tokens!BS1366 &amp; "&amp;filename_for_metadata=" &amp; Tokens!BT1366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6" s="1" t="str">
        <f>formatRow(Tokens!C$2:I$2,Tokens!C1366:I1366)</f>
        <v>"name":"",_x000D_
"symbol":"",_x000D_
"description":"",_x000D_
"seller_fee_basis_points":"",_x000D_
"image":"",_x000D_
"Issuer":"",_x000D_
"external_url":""</v>
      </c>
      <c r="W1366" s="1" t="str">
        <f>formatRow(Tokens!J$2:AV$2,Tokens!J1366:AV1366,2,"attributes")</f>
        <v>"attributes":[]</v>
      </c>
      <c r="X1366" s="1" t="str">
        <f>formatRow(Tokens!AX$2:BC$2,Tokens!AX1366:BC1366,2,"creators")</f>
        <v>"creators":[]</v>
      </c>
      <c r="Y1366" s="1" t="str">
        <f>formatRow(Tokens!BD$2:BI$2,Tokens!BD1366:BI1366,2,"files")</f>
        <v>"files":[]</v>
      </c>
      <c r="Z1366" s="1"/>
      <c r="AA1366" s="1"/>
      <c r="AB1366" s="1"/>
      <c r="AC1366" s="1" t="str">
        <f>formatRow(Tokens!BJ$2:BK$2,Tokens!BJ1366:BK1366,0,"collection")</f>
        <v>"collection":{"name":"",_x000D_
"family":""}</v>
      </c>
    </row>
    <row r="1367" spans="5:29" ht="14.25" customHeight="1" x14ac:dyDescent="0.25">
      <c r="E1367" s="17" t="str">
        <f>IF(Tokens!C1367="","",Tokens!C1367)</f>
        <v/>
      </c>
      <c r="F1367" s="56"/>
      <c r="G1367" t="s">
        <v>164</v>
      </c>
      <c r="H1367" s="57" t="s">
        <v>165</v>
      </c>
      <c r="I1367" s="2" t="s">
        <v>166</v>
      </c>
      <c r="J1367" s="2" t="s">
        <v>167</v>
      </c>
      <c r="M1367" s="15"/>
      <c r="N1367">
        <v>6.9258811930000004</v>
      </c>
      <c r="O1367" s="15">
        <f t="shared" si="42"/>
        <v>0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/>
      </c>
      <c r="Q1367" s="2"/>
      <c r="R1367" s="2"/>
      <c r="S1367" s="11"/>
      <c r="T1367" s="1" t="str">
        <f>"owner=" &amp; Tokens!BS1367 &amp; "&amp;filename_for_metadata=" &amp; Tokens!BT1367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7" s="1" t="str">
        <f>formatRow(Tokens!C$2:I$2,Tokens!C1367:I1367)</f>
        <v>"name":"",_x000D_
"symbol":"",_x000D_
"description":"",_x000D_
"seller_fee_basis_points":"",_x000D_
"image":"",_x000D_
"Issuer":"",_x000D_
"external_url":""</v>
      </c>
      <c r="W1367" s="1" t="str">
        <f>formatRow(Tokens!J$2:AV$2,Tokens!J1367:AV1367,2,"attributes")</f>
        <v>"attributes":[]</v>
      </c>
      <c r="X1367" s="1" t="str">
        <f>formatRow(Tokens!AX$2:BC$2,Tokens!AX1367:BC1367,2,"creators")</f>
        <v>"creators":[]</v>
      </c>
      <c r="Y1367" s="1" t="str">
        <f>formatRow(Tokens!BD$2:BI$2,Tokens!BD1367:BI1367,2,"files")</f>
        <v>"files":[]</v>
      </c>
      <c r="Z1367" s="1"/>
      <c r="AA1367" s="1"/>
      <c r="AB1367" s="1"/>
      <c r="AC1367" s="1" t="str">
        <f>formatRow(Tokens!BJ$2:BK$2,Tokens!BJ1367:BK1367,0,"collection")</f>
        <v>"collection":{"name":"",_x000D_
"family":""}</v>
      </c>
    </row>
    <row r="1368" spans="5:29" ht="14.25" customHeight="1" x14ac:dyDescent="0.25">
      <c r="E1368" s="17" t="str">
        <f>IF(Tokens!C1368="","",Tokens!C1368)</f>
        <v/>
      </c>
      <c r="F1368" s="56"/>
      <c r="G1368" t="s">
        <v>164</v>
      </c>
      <c r="H1368" s="57" t="s">
        <v>165</v>
      </c>
      <c r="I1368" s="2" t="s">
        <v>166</v>
      </c>
      <c r="J1368" s="2" t="s">
        <v>167</v>
      </c>
      <c r="M1368" s="15"/>
      <c r="N1368">
        <v>6.9258811930000004</v>
      </c>
      <c r="O1368" s="15">
        <f t="shared" si="42"/>
        <v>0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/>
      </c>
      <c r="Q1368" s="2"/>
      <c r="R1368" s="2"/>
      <c r="S1368" s="11"/>
      <c r="T1368" s="1" t="str">
        <f>"owner=" &amp; Tokens!BS1368 &amp; "&amp;filename_for_metadata=" &amp; Tokens!BT1368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8" s="1" t="str">
        <f>formatRow(Tokens!C$2:I$2,Tokens!C1368:I1368)</f>
        <v>"name":"",_x000D_
"symbol":"",_x000D_
"description":"",_x000D_
"seller_fee_basis_points":"",_x000D_
"image":"",_x000D_
"Issuer":"",_x000D_
"external_url":""</v>
      </c>
      <c r="W1368" s="1" t="str">
        <f>formatRow(Tokens!J$2:AV$2,Tokens!J1368:AV1368,2,"attributes")</f>
        <v>"attributes":[]</v>
      </c>
      <c r="X1368" s="1" t="str">
        <f>formatRow(Tokens!AX$2:BC$2,Tokens!AX1368:BC1368,2,"creators")</f>
        <v>"creators":[]</v>
      </c>
      <c r="Y1368" s="1" t="str">
        <f>formatRow(Tokens!BD$2:BI$2,Tokens!BD1368:BI1368,2,"files")</f>
        <v>"files":[]</v>
      </c>
      <c r="Z1368" s="1"/>
      <c r="AA1368" s="1"/>
      <c r="AB1368" s="1"/>
      <c r="AC1368" s="1" t="str">
        <f>formatRow(Tokens!BJ$2:BK$2,Tokens!BJ1368:BK1368,0,"collection")</f>
        <v>"collection":{"name":"",_x000D_
"family":""}</v>
      </c>
    </row>
    <row r="1369" spans="5:29" ht="14.25" customHeight="1" x14ac:dyDescent="0.25">
      <c r="E1369" s="17" t="str">
        <f>IF(Tokens!C1369="","",Tokens!C1369)</f>
        <v/>
      </c>
      <c r="F1369" s="56"/>
      <c r="G1369" t="s">
        <v>164</v>
      </c>
      <c r="H1369" s="57" t="s">
        <v>165</v>
      </c>
      <c r="I1369" s="2" t="s">
        <v>166</v>
      </c>
      <c r="J1369" s="2" t="s">
        <v>167</v>
      </c>
      <c r="M1369" s="15"/>
      <c r="N1369">
        <v>6.9258811930000004</v>
      </c>
      <c r="O1369" s="15">
        <f t="shared" si="42"/>
        <v>0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/>
      </c>
      <c r="Q1369" s="2"/>
      <c r="R1369" s="2"/>
      <c r="S1369" s="11"/>
      <c r="T1369" s="1" t="str">
        <f>"owner=" &amp; Tokens!BS1369 &amp; "&amp;filename_for_metadata=" &amp; Tokens!BT1369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6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69" s="1" t="str">
        <f>formatRow(Tokens!C$2:I$2,Tokens!C1369:I1369)</f>
        <v>"name":"",_x000D_
"symbol":"",_x000D_
"description":"",_x000D_
"seller_fee_basis_points":"",_x000D_
"image":"",_x000D_
"Issuer":"",_x000D_
"external_url":""</v>
      </c>
      <c r="W1369" s="1" t="str">
        <f>formatRow(Tokens!J$2:AV$2,Tokens!J1369:AV1369,2,"attributes")</f>
        <v>"attributes":[]</v>
      </c>
      <c r="X1369" s="1" t="str">
        <f>formatRow(Tokens!AX$2:BC$2,Tokens!AX1369:BC1369,2,"creators")</f>
        <v>"creators":[]</v>
      </c>
      <c r="Y1369" s="1" t="str">
        <f>formatRow(Tokens!BD$2:BI$2,Tokens!BD1369:BI1369,2,"files")</f>
        <v>"files":[]</v>
      </c>
      <c r="Z1369" s="1"/>
      <c r="AA1369" s="1"/>
      <c r="AB1369" s="1"/>
      <c r="AC1369" s="1" t="str">
        <f>formatRow(Tokens!BJ$2:BK$2,Tokens!BJ1369:BK1369,0,"collection")</f>
        <v>"collection":{"name":"",_x000D_
"family":""}</v>
      </c>
    </row>
    <row r="1370" spans="5:29" ht="14.25" customHeight="1" x14ac:dyDescent="0.25">
      <c r="E1370" s="17" t="str">
        <f>IF(Tokens!C1370="","",Tokens!C1370)</f>
        <v/>
      </c>
      <c r="F1370" s="56"/>
      <c r="G1370" t="s">
        <v>164</v>
      </c>
      <c r="H1370" s="57" t="s">
        <v>165</v>
      </c>
      <c r="I1370" s="2" t="s">
        <v>166</v>
      </c>
      <c r="J1370" s="2" t="s">
        <v>167</v>
      </c>
      <c r="M1370" s="15"/>
      <c r="N1370">
        <v>6.9258811930000004</v>
      </c>
      <c r="O1370" s="15">
        <f t="shared" si="42"/>
        <v>0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/>
      </c>
      <c r="Q1370" s="2"/>
      <c r="R1370" s="2"/>
      <c r="S1370" s="11"/>
      <c r="T1370" s="1" t="str">
        <f>"owner=" &amp; Tokens!BS1370 &amp; "&amp;filename_for_metadata=" &amp; Tokens!BT1370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0" s="1" t="str">
        <f>formatRow(Tokens!C$2:I$2,Tokens!C1370:I1370)</f>
        <v>"name":"",_x000D_
"symbol":"",_x000D_
"description":"",_x000D_
"seller_fee_basis_points":"",_x000D_
"image":"",_x000D_
"Issuer":"",_x000D_
"external_url":""</v>
      </c>
      <c r="W1370" s="1" t="str">
        <f>formatRow(Tokens!J$2:AV$2,Tokens!J1370:AV1370,2,"attributes")</f>
        <v>"attributes":[]</v>
      </c>
      <c r="X1370" s="1" t="str">
        <f>formatRow(Tokens!AX$2:BC$2,Tokens!AX1370:BC1370,2,"creators")</f>
        <v>"creators":[]</v>
      </c>
      <c r="Y1370" s="1" t="str">
        <f>formatRow(Tokens!BD$2:BI$2,Tokens!BD1370:BI1370,2,"files")</f>
        <v>"files":[]</v>
      </c>
      <c r="Z1370" s="1"/>
      <c r="AA1370" s="1"/>
      <c r="AB1370" s="1"/>
      <c r="AC1370" s="1" t="str">
        <f>formatRow(Tokens!BJ$2:BK$2,Tokens!BJ1370:BK1370,0,"collection")</f>
        <v>"collection":{"name":"",_x000D_
"family":""}</v>
      </c>
    </row>
    <row r="1371" spans="5:29" ht="14.25" customHeight="1" x14ac:dyDescent="0.25">
      <c r="E1371" s="17" t="str">
        <f>IF(Tokens!C1371="","",Tokens!C1371)</f>
        <v/>
      </c>
      <c r="F1371" s="56"/>
      <c r="G1371" t="s">
        <v>164</v>
      </c>
      <c r="H1371" s="57" t="s">
        <v>165</v>
      </c>
      <c r="I1371" s="2" t="s">
        <v>166</v>
      </c>
      <c r="J1371" s="2" t="s">
        <v>167</v>
      </c>
      <c r="M1371" s="15"/>
      <c r="N1371">
        <v>6.9258811930000004</v>
      </c>
      <c r="O1371" s="15">
        <f t="shared" si="42"/>
        <v>0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/>
      </c>
      <c r="Q1371" s="2"/>
      <c r="R1371" s="2"/>
      <c r="S1371" s="11"/>
      <c r="T1371" s="1" t="str">
        <f>"owner=" &amp; Tokens!BS1371 &amp; "&amp;filename_for_metadata=" &amp; Tokens!BT1371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1" s="1" t="str">
        <f>formatRow(Tokens!C$2:I$2,Tokens!C1371:I1371)</f>
        <v>"name":"",_x000D_
"symbol":"",_x000D_
"description":"",_x000D_
"seller_fee_basis_points":"",_x000D_
"image":"",_x000D_
"Issuer":"",_x000D_
"external_url":""</v>
      </c>
      <c r="W1371" s="1" t="str">
        <f>formatRow(Tokens!J$2:AV$2,Tokens!J1371:AV1371,2,"attributes")</f>
        <v>"attributes":[]</v>
      </c>
      <c r="X1371" s="1" t="str">
        <f>formatRow(Tokens!AX$2:BC$2,Tokens!AX1371:BC1371,2,"creators")</f>
        <v>"creators":[]</v>
      </c>
      <c r="Y1371" s="1" t="str">
        <f>formatRow(Tokens!BD$2:BI$2,Tokens!BD1371:BI1371,2,"files")</f>
        <v>"files":[]</v>
      </c>
      <c r="Z1371" s="1"/>
      <c r="AA1371" s="1"/>
      <c r="AB1371" s="1"/>
      <c r="AC1371" s="1" t="str">
        <f>formatRow(Tokens!BJ$2:BK$2,Tokens!BJ1371:BK1371,0,"collection")</f>
        <v>"collection":{"name":"",_x000D_
"family":""}</v>
      </c>
    </row>
    <row r="1372" spans="5:29" ht="14.25" customHeight="1" x14ac:dyDescent="0.25">
      <c r="E1372" s="17" t="str">
        <f>IF(Tokens!C1372="","",Tokens!C1372)</f>
        <v/>
      </c>
      <c r="F1372" s="56"/>
      <c r="G1372" t="s">
        <v>164</v>
      </c>
      <c r="H1372" s="57" t="s">
        <v>165</v>
      </c>
      <c r="I1372" s="2" t="s">
        <v>166</v>
      </c>
      <c r="J1372" s="2" t="s">
        <v>167</v>
      </c>
      <c r="M1372" s="15"/>
      <c r="N1372">
        <v>6.9258811930000004</v>
      </c>
      <c r="O1372" s="15">
        <f t="shared" si="42"/>
        <v>0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/>
      </c>
      <c r="Q1372" s="2"/>
      <c r="R1372" s="2"/>
      <c r="S1372" s="11"/>
      <c r="T1372" s="1" t="str">
        <f>"owner=" &amp; Tokens!BS1372 &amp; "&amp;filename_for_metadata=" &amp; Tokens!BT1372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2" s="1" t="str">
        <f>formatRow(Tokens!C$2:I$2,Tokens!C1372:I1372)</f>
        <v>"name":"",_x000D_
"symbol":"",_x000D_
"description":"",_x000D_
"seller_fee_basis_points":"",_x000D_
"image":"",_x000D_
"Issuer":"",_x000D_
"external_url":""</v>
      </c>
      <c r="W1372" s="1" t="str">
        <f>formatRow(Tokens!J$2:AV$2,Tokens!J1372:AV1372,2,"attributes")</f>
        <v>"attributes":[]</v>
      </c>
      <c r="X1372" s="1" t="str">
        <f>formatRow(Tokens!AX$2:BC$2,Tokens!AX1372:BC1372,2,"creators")</f>
        <v>"creators":[]</v>
      </c>
      <c r="Y1372" s="1" t="str">
        <f>formatRow(Tokens!BD$2:BI$2,Tokens!BD1372:BI1372,2,"files")</f>
        <v>"files":[]</v>
      </c>
      <c r="Z1372" s="1"/>
      <c r="AA1372" s="1"/>
      <c r="AB1372" s="1"/>
      <c r="AC1372" s="1" t="str">
        <f>formatRow(Tokens!BJ$2:BK$2,Tokens!BJ1372:BK1372,0,"collection")</f>
        <v>"collection":{"name":"",_x000D_
"family":""}</v>
      </c>
    </row>
    <row r="1373" spans="5:29" ht="14.25" customHeight="1" x14ac:dyDescent="0.25">
      <c r="E1373" s="17" t="str">
        <f>IF(Tokens!C1373="","",Tokens!C1373)</f>
        <v/>
      </c>
      <c r="F1373" s="56"/>
      <c r="G1373" t="s">
        <v>164</v>
      </c>
      <c r="H1373" s="57" t="s">
        <v>165</v>
      </c>
      <c r="I1373" s="2" t="s">
        <v>166</v>
      </c>
      <c r="J1373" s="2" t="s">
        <v>167</v>
      </c>
      <c r="M1373" s="15"/>
      <c r="N1373">
        <v>6.9258811930000004</v>
      </c>
      <c r="O1373" s="15">
        <f t="shared" si="42"/>
        <v>0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/>
      </c>
      <c r="Q1373" s="2"/>
      <c r="R1373" s="2"/>
      <c r="S1373" s="11"/>
      <c r="T1373" s="1" t="str">
        <f>"owner=" &amp; Tokens!BS1373 &amp; "&amp;filename_for_metadata=" &amp; Tokens!BT1373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3" s="1" t="str">
        <f>formatRow(Tokens!C$2:I$2,Tokens!C1373:I1373)</f>
        <v>"name":"",_x000D_
"symbol":"",_x000D_
"description":"",_x000D_
"seller_fee_basis_points":"",_x000D_
"image":"",_x000D_
"Issuer":"",_x000D_
"external_url":""</v>
      </c>
      <c r="W1373" s="1" t="str">
        <f>formatRow(Tokens!J$2:AV$2,Tokens!J1373:AV1373,2,"attributes")</f>
        <v>"attributes":[]</v>
      </c>
      <c r="X1373" s="1" t="str">
        <f>formatRow(Tokens!AX$2:BC$2,Tokens!AX1373:BC1373,2,"creators")</f>
        <v>"creators":[]</v>
      </c>
      <c r="Y1373" s="1" t="str">
        <f>formatRow(Tokens!BD$2:BI$2,Tokens!BD1373:BI1373,2,"files")</f>
        <v>"files":[]</v>
      </c>
      <c r="Z1373" s="1"/>
      <c r="AA1373" s="1"/>
      <c r="AB1373" s="1"/>
      <c r="AC1373" s="1" t="str">
        <f>formatRow(Tokens!BJ$2:BK$2,Tokens!BJ1373:BK1373,0,"collection")</f>
        <v>"collection":{"name":"",_x000D_
"family":""}</v>
      </c>
    </row>
    <row r="1374" spans="5:29" ht="14.25" customHeight="1" x14ac:dyDescent="0.25">
      <c r="E1374" s="17" t="str">
        <f>IF(Tokens!C1374="","",Tokens!C1374)</f>
        <v/>
      </c>
      <c r="F1374" s="56"/>
      <c r="G1374" t="s">
        <v>164</v>
      </c>
      <c r="H1374" s="57" t="s">
        <v>165</v>
      </c>
      <c r="I1374" s="2" t="s">
        <v>166</v>
      </c>
      <c r="J1374" s="2" t="s">
        <v>167</v>
      </c>
      <c r="M1374" s="15"/>
      <c r="N1374">
        <v>6.9258811930000004</v>
      </c>
      <c r="O1374" s="15">
        <f t="shared" si="42"/>
        <v>0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/>
      </c>
      <c r="Q1374" s="2"/>
      <c r="R1374" s="2"/>
      <c r="S1374" s="11"/>
      <c r="T1374" s="1" t="str">
        <f>"owner=" &amp; Tokens!BS1374 &amp; "&amp;filename_for_metadata=" &amp; Tokens!BT1374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4" s="1" t="str">
        <f>formatRow(Tokens!C$2:I$2,Tokens!C1374:I1374)</f>
        <v>"name":"",_x000D_
"symbol":"",_x000D_
"description":"",_x000D_
"seller_fee_basis_points":"",_x000D_
"image":"",_x000D_
"Issuer":"",_x000D_
"external_url":""</v>
      </c>
      <c r="W1374" s="1" t="str">
        <f>formatRow(Tokens!J$2:AV$2,Tokens!J1374:AV1374,2,"attributes")</f>
        <v>"attributes":[]</v>
      </c>
      <c r="X1374" s="1" t="str">
        <f>formatRow(Tokens!AX$2:BC$2,Tokens!AX1374:BC1374,2,"creators")</f>
        <v>"creators":[]</v>
      </c>
      <c r="Y1374" s="1" t="str">
        <f>formatRow(Tokens!BD$2:BI$2,Tokens!BD1374:BI1374,2,"files")</f>
        <v>"files":[]</v>
      </c>
      <c r="Z1374" s="1"/>
      <c r="AA1374" s="1"/>
      <c r="AB1374" s="1"/>
      <c r="AC1374" s="1" t="str">
        <f>formatRow(Tokens!BJ$2:BK$2,Tokens!BJ1374:BK1374,0,"collection")</f>
        <v>"collection":{"name":"",_x000D_
"family":""}</v>
      </c>
    </row>
    <row r="1375" spans="5:29" ht="14.25" customHeight="1" x14ac:dyDescent="0.25">
      <c r="E1375" s="17" t="str">
        <f>IF(Tokens!C1375="","",Tokens!C1375)</f>
        <v/>
      </c>
      <c r="F1375" s="56"/>
      <c r="G1375" t="s">
        <v>164</v>
      </c>
      <c r="H1375" s="57" t="s">
        <v>165</v>
      </c>
      <c r="I1375" s="2" t="s">
        <v>166</v>
      </c>
      <c r="J1375" s="2" t="s">
        <v>167</v>
      </c>
      <c r="M1375" s="15"/>
      <c r="N1375">
        <v>6.9258811930000004</v>
      </c>
      <c r="O1375" s="15">
        <f t="shared" si="42"/>
        <v>0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/>
      </c>
      <c r="Q1375" s="2"/>
      <c r="R1375" s="2"/>
      <c r="S1375" s="11"/>
      <c r="T1375" s="1" t="str">
        <f>"owner=" &amp; Tokens!BS1375 &amp; "&amp;filename_for_metadata=" &amp; Tokens!BT1375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5" s="1" t="str">
        <f>formatRow(Tokens!C$2:I$2,Tokens!C1375:I1375)</f>
        <v>"name":"",_x000D_
"symbol":"",_x000D_
"description":"",_x000D_
"seller_fee_basis_points":"",_x000D_
"image":"",_x000D_
"Issuer":"",_x000D_
"external_url":""</v>
      </c>
      <c r="W1375" s="1" t="str">
        <f>formatRow(Tokens!J$2:AV$2,Tokens!J1375:AV1375,2,"attributes")</f>
        <v>"attributes":[]</v>
      </c>
      <c r="X1375" s="1" t="str">
        <f>formatRow(Tokens!AX$2:BC$2,Tokens!AX1375:BC1375,2,"creators")</f>
        <v>"creators":[]</v>
      </c>
      <c r="Y1375" s="1" t="str">
        <f>formatRow(Tokens!BD$2:BI$2,Tokens!BD1375:BI1375,2,"files")</f>
        <v>"files":[]</v>
      </c>
      <c r="Z1375" s="1"/>
      <c r="AA1375" s="1"/>
      <c r="AB1375" s="1"/>
      <c r="AC1375" s="1" t="str">
        <f>formatRow(Tokens!BJ$2:BK$2,Tokens!BJ1375:BK1375,0,"collection")</f>
        <v>"collection":{"name":"",_x000D_
"family":""}</v>
      </c>
    </row>
    <row r="1376" spans="5:29" ht="14.25" customHeight="1" x14ac:dyDescent="0.25">
      <c r="E1376" s="17" t="str">
        <f>IF(Tokens!C1376="","",Tokens!C1376)</f>
        <v/>
      </c>
      <c r="F1376" s="56"/>
      <c r="G1376" t="s">
        <v>164</v>
      </c>
      <c r="H1376" s="57" t="s">
        <v>165</v>
      </c>
      <c r="I1376" s="2" t="s">
        <v>166</v>
      </c>
      <c r="J1376" s="2" t="s">
        <v>167</v>
      </c>
      <c r="M1376" s="15"/>
      <c r="N1376">
        <v>6.9258811930000004</v>
      </c>
      <c r="O1376" s="15">
        <f t="shared" si="42"/>
        <v>0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/>
      </c>
      <c r="Q1376" s="2"/>
      <c r="R1376" s="2"/>
      <c r="S1376" s="11"/>
      <c r="T1376" s="1" t="str">
        <f>"owner=" &amp; Tokens!BS1376 &amp; "&amp;filename_for_metadata=" &amp; Tokens!BT1376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6" s="1" t="str">
        <f>formatRow(Tokens!C$2:I$2,Tokens!C1376:I1376)</f>
        <v>"name":"",_x000D_
"symbol":"",_x000D_
"description":"",_x000D_
"seller_fee_basis_points":"",_x000D_
"image":"",_x000D_
"Issuer":"",_x000D_
"external_url":""</v>
      </c>
      <c r="W1376" s="1" t="str">
        <f>formatRow(Tokens!J$2:AV$2,Tokens!J1376:AV1376,2,"attributes")</f>
        <v>"attributes":[]</v>
      </c>
      <c r="X1376" s="1" t="str">
        <f>formatRow(Tokens!AX$2:BC$2,Tokens!AX1376:BC1376,2,"creators")</f>
        <v>"creators":[]</v>
      </c>
      <c r="Y1376" s="1" t="str">
        <f>formatRow(Tokens!BD$2:BI$2,Tokens!BD1376:BI1376,2,"files")</f>
        <v>"files":[]</v>
      </c>
      <c r="Z1376" s="1"/>
      <c r="AA1376" s="1"/>
      <c r="AB1376" s="1"/>
      <c r="AC1376" s="1" t="str">
        <f>formatRow(Tokens!BJ$2:BK$2,Tokens!BJ1376:BK1376,0,"collection")</f>
        <v>"collection":{"name":"",_x000D_
"family":""}</v>
      </c>
    </row>
    <row r="1377" spans="5:29" ht="14.25" customHeight="1" x14ac:dyDescent="0.25">
      <c r="E1377" s="17" t="str">
        <f>IF(Tokens!C1377="","",Tokens!C1377)</f>
        <v/>
      </c>
      <c r="F1377" s="56"/>
      <c r="G1377" t="s">
        <v>164</v>
      </c>
      <c r="H1377" s="57" t="s">
        <v>165</v>
      </c>
      <c r="I1377" s="2" t="s">
        <v>166</v>
      </c>
      <c r="J1377" s="2" t="s">
        <v>167</v>
      </c>
      <c r="M1377" s="15"/>
      <c r="N1377">
        <v>6.9258811930000004</v>
      </c>
      <c r="O1377" s="15">
        <f t="shared" si="42"/>
        <v>0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/>
      </c>
      <c r="Q1377" s="2"/>
      <c r="R1377" s="2"/>
      <c r="S1377" s="11"/>
      <c r="T1377" s="1" t="str">
        <f>"owner=" &amp; Tokens!BS1377 &amp; "&amp;filename_for_metadata=" &amp; Tokens!BT1377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7" s="1" t="str">
        <f>formatRow(Tokens!C$2:I$2,Tokens!C1377:I1377)</f>
        <v>"name":"",_x000D_
"symbol":"",_x000D_
"description":"",_x000D_
"seller_fee_basis_points":"",_x000D_
"image":"",_x000D_
"Issuer":"",_x000D_
"external_url":""</v>
      </c>
      <c r="W1377" s="1" t="str">
        <f>formatRow(Tokens!J$2:AV$2,Tokens!J1377:AV1377,2,"attributes")</f>
        <v>"attributes":[]</v>
      </c>
      <c r="X1377" s="1" t="str">
        <f>formatRow(Tokens!AX$2:BC$2,Tokens!AX1377:BC1377,2,"creators")</f>
        <v>"creators":[]</v>
      </c>
      <c r="Y1377" s="1" t="str">
        <f>formatRow(Tokens!BD$2:BI$2,Tokens!BD1377:BI1377,2,"files")</f>
        <v>"files":[]</v>
      </c>
      <c r="Z1377" s="1"/>
      <c r="AA1377" s="1"/>
      <c r="AB1377" s="1"/>
      <c r="AC1377" s="1" t="str">
        <f>formatRow(Tokens!BJ$2:BK$2,Tokens!BJ1377:BK1377,0,"collection")</f>
        <v>"collection":{"name":"",_x000D_
"family":""}</v>
      </c>
    </row>
    <row r="1378" spans="5:29" ht="14.25" customHeight="1" x14ac:dyDescent="0.25">
      <c r="E1378" s="17" t="str">
        <f>IF(Tokens!C1378="","",Tokens!C1378)</f>
        <v/>
      </c>
      <c r="F1378" s="56"/>
      <c r="G1378" t="s">
        <v>164</v>
      </c>
      <c r="H1378" s="57" t="s">
        <v>165</v>
      </c>
      <c r="I1378" s="2" t="s">
        <v>166</v>
      </c>
      <c r="J1378" s="2" t="s">
        <v>167</v>
      </c>
      <c r="M1378" s="15"/>
      <c r="N1378">
        <v>6.9258811930000004</v>
      </c>
      <c r="O1378" s="15">
        <f t="shared" si="42"/>
        <v>0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/>
      </c>
      <c r="Q1378" s="2"/>
      <c r="R1378" s="2"/>
      <c r="S1378" s="11"/>
      <c r="T1378" s="1" t="str">
        <f>"owner=" &amp; Tokens!BS1378 &amp; "&amp;filename_for_metadata=" &amp; Tokens!BT1378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8" s="1" t="str">
        <f>formatRow(Tokens!C$2:I$2,Tokens!C1378:I1378)</f>
        <v>"name":"",_x000D_
"symbol":"",_x000D_
"description":"",_x000D_
"seller_fee_basis_points":"",_x000D_
"image":"",_x000D_
"Issuer":"",_x000D_
"external_url":""</v>
      </c>
      <c r="W1378" s="1" t="str">
        <f>formatRow(Tokens!J$2:AV$2,Tokens!J1378:AV1378,2,"attributes")</f>
        <v>"attributes":[]</v>
      </c>
      <c r="X1378" s="1" t="str">
        <f>formatRow(Tokens!AX$2:BC$2,Tokens!AX1378:BC1378,2,"creators")</f>
        <v>"creators":[]</v>
      </c>
      <c r="Y1378" s="1" t="str">
        <f>formatRow(Tokens!BD$2:BI$2,Tokens!BD1378:BI1378,2,"files")</f>
        <v>"files":[]</v>
      </c>
      <c r="Z1378" s="1"/>
      <c r="AA1378" s="1"/>
      <c r="AB1378" s="1"/>
      <c r="AC1378" s="1" t="str">
        <f>formatRow(Tokens!BJ$2:BK$2,Tokens!BJ1378:BK1378,0,"collection")</f>
        <v>"collection":{"name":"",_x000D_
"family":""}</v>
      </c>
    </row>
    <row r="1379" spans="5:29" ht="14.25" customHeight="1" x14ac:dyDescent="0.25">
      <c r="E1379" s="17" t="str">
        <f>IF(Tokens!C1379="","",Tokens!C1379)</f>
        <v/>
      </c>
      <c r="F1379" s="56"/>
      <c r="G1379" t="s">
        <v>164</v>
      </c>
      <c r="H1379" s="57" t="s">
        <v>165</v>
      </c>
      <c r="I1379" s="2" t="s">
        <v>166</v>
      </c>
      <c r="J1379" s="2" t="s">
        <v>167</v>
      </c>
      <c r="M1379" s="15"/>
      <c r="N1379">
        <v>6.9258811930000004</v>
      </c>
      <c r="O1379" s="15">
        <f t="shared" si="42"/>
        <v>0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/>
      </c>
      <c r="Q1379" s="2"/>
      <c r="R1379" s="2"/>
      <c r="S1379" s="11"/>
      <c r="T1379" s="1" t="str">
        <f>"owner=" &amp; Tokens!BS1379 &amp; "&amp;filename_for_metadata=" &amp; Tokens!BT1379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7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79" s="1" t="str">
        <f>formatRow(Tokens!C$2:I$2,Tokens!C1379:I1379)</f>
        <v>"name":"",_x000D_
"symbol":"",_x000D_
"description":"",_x000D_
"seller_fee_basis_points":"",_x000D_
"image":"",_x000D_
"Issuer":"",_x000D_
"external_url":""</v>
      </c>
      <c r="W1379" s="1" t="str">
        <f>formatRow(Tokens!J$2:AV$2,Tokens!J1379:AV1379,2,"attributes")</f>
        <v>"attributes":[]</v>
      </c>
      <c r="X1379" s="1" t="str">
        <f>formatRow(Tokens!AX$2:BC$2,Tokens!AX1379:BC1379,2,"creators")</f>
        <v>"creators":[]</v>
      </c>
      <c r="Y1379" s="1" t="str">
        <f>formatRow(Tokens!BD$2:BI$2,Tokens!BD1379:BI1379,2,"files")</f>
        <v>"files":[]</v>
      </c>
      <c r="Z1379" s="1"/>
      <c r="AA1379" s="1"/>
      <c r="AB1379" s="1"/>
      <c r="AC1379" s="1" t="str">
        <f>formatRow(Tokens!BJ$2:BK$2,Tokens!BJ1379:BK1379,0,"collection")</f>
        <v>"collection":{"name":"",_x000D_
"family":""}</v>
      </c>
    </row>
    <row r="1380" spans="5:29" ht="14.25" customHeight="1" x14ac:dyDescent="0.25">
      <c r="E1380" s="17" t="str">
        <f>IF(Tokens!C1380="","",Tokens!C1380)</f>
        <v/>
      </c>
      <c r="F1380" s="56"/>
      <c r="G1380" t="s">
        <v>164</v>
      </c>
      <c r="H1380" s="57" t="s">
        <v>165</v>
      </c>
      <c r="I1380" s="2" t="s">
        <v>166</v>
      </c>
      <c r="J1380" s="2" t="s">
        <v>167</v>
      </c>
      <c r="M1380" s="15"/>
      <c r="N1380">
        <v>6.9258811930000004</v>
      </c>
      <c r="O1380" s="15">
        <f t="shared" si="42"/>
        <v>0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/>
      </c>
      <c r="Q1380" s="2"/>
      <c r="R1380" s="2"/>
      <c r="S1380" s="11"/>
      <c r="T1380" s="1" t="str">
        <f>"owner=" &amp; Tokens!BS1380 &amp; "&amp;filename_for_metadata=" &amp; Tokens!BT1380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0" s="1" t="str">
        <f>formatRow(Tokens!C$2:I$2,Tokens!C1380:I1380)</f>
        <v>"name":"",_x000D_
"symbol":"",_x000D_
"description":"",_x000D_
"seller_fee_basis_points":"",_x000D_
"image":"",_x000D_
"Issuer":"",_x000D_
"external_url":""</v>
      </c>
      <c r="W1380" s="1" t="str">
        <f>formatRow(Tokens!J$2:AV$2,Tokens!J1380:AV1380,2,"attributes")</f>
        <v>"attributes":[]</v>
      </c>
      <c r="X1380" s="1" t="str">
        <f>formatRow(Tokens!AX$2:BC$2,Tokens!AX1380:BC1380,2,"creators")</f>
        <v>"creators":[]</v>
      </c>
      <c r="Y1380" s="1" t="str">
        <f>formatRow(Tokens!BD$2:BI$2,Tokens!BD1380:BI1380,2,"files")</f>
        <v>"files":[]</v>
      </c>
      <c r="Z1380" s="1"/>
      <c r="AA1380" s="1"/>
      <c r="AB1380" s="1"/>
      <c r="AC1380" s="1" t="str">
        <f>formatRow(Tokens!BJ$2:BK$2,Tokens!BJ1380:BK1380,0,"collection")</f>
        <v>"collection":{"name":"",_x000D_
"family":""}</v>
      </c>
    </row>
    <row r="1381" spans="5:29" ht="14.25" customHeight="1" x14ac:dyDescent="0.25">
      <c r="E1381" s="17" t="str">
        <f>IF(Tokens!C1381="","",Tokens!C1381)</f>
        <v/>
      </c>
      <c r="F1381" s="56"/>
      <c r="G1381" t="s">
        <v>164</v>
      </c>
      <c r="H1381" s="57" t="s">
        <v>165</v>
      </c>
      <c r="I1381" s="2" t="s">
        <v>166</v>
      </c>
      <c r="J1381" s="2" t="s">
        <v>167</v>
      </c>
      <c r="M1381" s="15"/>
      <c r="N1381">
        <v>6.9258811930000004</v>
      </c>
      <c r="O1381" s="15">
        <f t="shared" si="42"/>
        <v>0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/>
      </c>
      <c r="Q1381" s="2"/>
      <c r="R1381" s="2"/>
      <c r="S1381" s="11"/>
      <c r="T1381" s="1" t="str">
        <f>"owner=" &amp; Tokens!BS1381 &amp; "&amp;filename_for_metadata=" &amp; Tokens!BT1381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1" s="1" t="str">
        <f>formatRow(Tokens!C$2:I$2,Tokens!C1381:I1381)</f>
        <v>"name":"",_x000D_
"symbol":"",_x000D_
"description":"",_x000D_
"seller_fee_basis_points":"",_x000D_
"image":"",_x000D_
"Issuer":"",_x000D_
"external_url":""</v>
      </c>
      <c r="W1381" s="1" t="str">
        <f>formatRow(Tokens!J$2:AV$2,Tokens!J1381:AV1381,2,"attributes")</f>
        <v>"attributes":[]</v>
      </c>
      <c r="X1381" s="1" t="str">
        <f>formatRow(Tokens!AX$2:BC$2,Tokens!AX1381:BC1381,2,"creators")</f>
        <v>"creators":[]</v>
      </c>
      <c r="Y1381" s="1" t="str">
        <f>formatRow(Tokens!BD$2:BI$2,Tokens!BD1381:BI1381,2,"files")</f>
        <v>"files":[]</v>
      </c>
      <c r="Z1381" s="1"/>
      <c r="AA1381" s="1"/>
      <c r="AB1381" s="1"/>
      <c r="AC1381" s="1" t="str">
        <f>formatRow(Tokens!BJ$2:BK$2,Tokens!BJ1381:BK1381,0,"collection")</f>
        <v>"collection":{"name":"",_x000D_
"family":""}</v>
      </c>
    </row>
    <row r="1382" spans="5:29" ht="14.25" customHeight="1" x14ac:dyDescent="0.25">
      <c r="E1382" s="17" t="str">
        <f>IF(Tokens!C1382="","",Tokens!C1382)</f>
        <v/>
      </c>
      <c r="F1382" s="56"/>
      <c r="G1382" t="s">
        <v>164</v>
      </c>
      <c r="H1382" s="57" t="s">
        <v>165</v>
      </c>
      <c r="I1382" s="2" t="s">
        <v>166</v>
      </c>
      <c r="J1382" s="2" t="s">
        <v>167</v>
      </c>
      <c r="M1382" s="15"/>
      <c r="N1382">
        <v>6.9258811930000004</v>
      </c>
      <c r="O1382" s="15">
        <f t="shared" si="42"/>
        <v>0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/>
      </c>
      <c r="Q1382" s="2"/>
      <c r="R1382" s="2"/>
      <c r="S1382" s="11"/>
      <c r="T1382" s="1" t="str">
        <f>"owner=" &amp; Tokens!BS1382 &amp; "&amp;filename_for_metadata=" &amp; Tokens!BT1382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2" s="1" t="str">
        <f>formatRow(Tokens!C$2:I$2,Tokens!C1382:I1382)</f>
        <v>"name":"",_x000D_
"symbol":"",_x000D_
"description":"",_x000D_
"seller_fee_basis_points":"",_x000D_
"image":"",_x000D_
"Issuer":"",_x000D_
"external_url":""</v>
      </c>
      <c r="W1382" s="1" t="str">
        <f>formatRow(Tokens!J$2:AV$2,Tokens!J1382:AV1382,2,"attributes")</f>
        <v>"attributes":[]</v>
      </c>
      <c r="X1382" s="1" t="str">
        <f>formatRow(Tokens!AX$2:BC$2,Tokens!AX1382:BC1382,2,"creators")</f>
        <v>"creators":[]</v>
      </c>
      <c r="Y1382" s="1" t="str">
        <f>formatRow(Tokens!BD$2:BI$2,Tokens!BD1382:BI1382,2,"files")</f>
        <v>"files":[]</v>
      </c>
      <c r="Z1382" s="1"/>
      <c r="AA1382" s="1"/>
      <c r="AB1382" s="1"/>
      <c r="AC1382" s="1" t="str">
        <f>formatRow(Tokens!BJ$2:BK$2,Tokens!BJ1382:BK1382,0,"collection")</f>
        <v>"collection":{"name":"",_x000D_
"family":""}</v>
      </c>
    </row>
    <row r="1383" spans="5:29" ht="14.25" customHeight="1" x14ac:dyDescent="0.25">
      <c r="E1383" s="17" t="str">
        <f>IF(Tokens!C1383="","",Tokens!C1383)</f>
        <v/>
      </c>
      <c r="F1383" s="56"/>
      <c r="G1383" t="s">
        <v>164</v>
      </c>
      <c r="H1383" s="57" t="s">
        <v>165</v>
      </c>
      <c r="I1383" s="2" t="s">
        <v>166</v>
      </c>
      <c r="J1383" s="2" t="s">
        <v>167</v>
      </c>
      <c r="M1383" s="15"/>
      <c r="N1383">
        <v>6.9258811930000004</v>
      </c>
      <c r="O1383" s="15">
        <f t="shared" si="42"/>
        <v>0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/>
      </c>
      <c r="Q1383" s="2"/>
      <c r="R1383" s="2"/>
      <c r="S1383" s="11"/>
      <c r="T1383" s="1" t="str">
        <f>"owner=" &amp; Tokens!BS1383 &amp; "&amp;filename_for_metadata=" &amp; Tokens!BT1383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3" s="1" t="str">
        <f>formatRow(Tokens!C$2:I$2,Tokens!C1383:I1383)</f>
        <v>"name":"",_x000D_
"symbol":"",_x000D_
"description":"",_x000D_
"seller_fee_basis_points":"",_x000D_
"image":"",_x000D_
"Issuer":"",_x000D_
"external_url":""</v>
      </c>
      <c r="W1383" s="1" t="str">
        <f>formatRow(Tokens!J$2:AV$2,Tokens!J1383:AV1383,2,"attributes")</f>
        <v>"attributes":[]</v>
      </c>
      <c r="X1383" s="1" t="str">
        <f>formatRow(Tokens!AX$2:BC$2,Tokens!AX1383:BC1383,2,"creators")</f>
        <v>"creators":[]</v>
      </c>
      <c r="Y1383" s="1" t="str">
        <f>formatRow(Tokens!BD$2:BI$2,Tokens!BD1383:BI1383,2,"files")</f>
        <v>"files":[]</v>
      </c>
      <c r="Z1383" s="1"/>
      <c r="AA1383" s="1"/>
      <c r="AB1383" s="1"/>
      <c r="AC1383" s="1" t="str">
        <f>formatRow(Tokens!BJ$2:BK$2,Tokens!BJ1383:BK1383,0,"collection")</f>
        <v>"collection":{"name":"",_x000D_
"family":""}</v>
      </c>
    </row>
    <row r="1384" spans="5:29" ht="14.25" customHeight="1" x14ac:dyDescent="0.25">
      <c r="E1384" s="17" t="str">
        <f>IF(Tokens!C1384="","",Tokens!C1384)</f>
        <v/>
      </c>
      <c r="F1384" s="56"/>
      <c r="G1384" t="s">
        <v>164</v>
      </c>
      <c r="H1384" s="57" t="s">
        <v>165</v>
      </c>
      <c r="I1384" s="2" t="s">
        <v>166</v>
      </c>
      <c r="J1384" s="2" t="s">
        <v>167</v>
      </c>
      <c r="M1384" s="15"/>
      <c r="N1384">
        <v>6.9258811930000004</v>
      </c>
      <c r="O1384" s="15">
        <f t="shared" si="42"/>
        <v>0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/>
      </c>
      <c r="Q1384" s="2"/>
      <c r="R1384" s="2"/>
      <c r="S1384" s="11"/>
      <c r="T1384" s="1" t="str">
        <f>"owner=" &amp; Tokens!BS1384 &amp; "&amp;filename_for_metadata=" &amp; Tokens!BT1384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4" s="1" t="str">
        <f>formatRow(Tokens!C$2:I$2,Tokens!C1384:I1384)</f>
        <v>"name":"",_x000D_
"symbol":"",_x000D_
"description":"",_x000D_
"seller_fee_basis_points":"",_x000D_
"image":"",_x000D_
"Issuer":"",_x000D_
"external_url":""</v>
      </c>
      <c r="W1384" s="1" t="str">
        <f>formatRow(Tokens!J$2:AV$2,Tokens!J1384:AV1384,2,"attributes")</f>
        <v>"attributes":[]</v>
      </c>
      <c r="X1384" s="1" t="str">
        <f>formatRow(Tokens!AX$2:BC$2,Tokens!AX1384:BC1384,2,"creators")</f>
        <v>"creators":[]</v>
      </c>
      <c r="Y1384" s="1" t="str">
        <f>formatRow(Tokens!BD$2:BI$2,Tokens!BD1384:BI1384,2,"files")</f>
        <v>"files":[]</v>
      </c>
      <c r="Z1384" s="1"/>
      <c r="AA1384" s="1"/>
      <c r="AB1384" s="1"/>
      <c r="AC1384" s="1" t="str">
        <f>formatRow(Tokens!BJ$2:BK$2,Tokens!BJ1384:BK1384,0,"collection")</f>
        <v>"collection":{"name":"",_x000D_
"family":""}</v>
      </c>
    </row>
    <row r="1385" spans="5:29" ht="14.25" customHeight="1" x14ac:dyDescent="0.25">
      <c r="E1385" s="17" t="str">
        <f>IF(Tokens!C1385="","",Tokens!C1385)</f>
        <v/>
      </c>
      <c r="F1385" s="56"/>
      <c r="G1385" t="s">
        <v>164</v>
      </c>
      <c r="H1385" s="57" t="s">
        <v>165</v>
      </c>
      <c r="I1385" s="2" t="s">
        <v>166</v>
      </c>
      <c r="J1385" s="2" t="s">
        <v>167</v>
      </c>
      <c r="M1385" s="15"/>
      <c r="N1385">
        <v>6.9258811930000004</v>
      </c>
      <c r="O1385" s="15">
        <f t="shared" si="42"/>
        <v>0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/>
      </c>
      <c r="Q1385" s="2"/>
      <c r="R1385" s="2"/>
      <c r="S1385" s="11"/>
      <c r="T1385" s="1" t="str">
        <f>"owner=" &amp; Tokens!BS1385 &amp; "&amp;filename_for_metadata=" &amp; Tokens!BT1385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5" s="1" t="str">
        <f>formatRow(Tokens!C$2:I$2,Tokens!C1385:I1385)</f>
        <v>"name":"",_x000D_
"symbol":"",_x000D_
"description":"",_x000D_
"seller_fee_basis_points":"",_x000D_
"image":"",_x000D_
"Issuer":"",_x000D_
"external_url":""</v>
      </c>
      <c r="W1385" s="1" t="str">
        <f>formatRow(Tokens!J$2:AV$2,Tokens!J1385:AV1385,2,"attributes")</f>
        <v>"attributes":[]</v>
      </c>
      <c r="X1385" s="1" t="str">
        <f>formatRow(Tokens!AX$2:BC$2,Tokens!AX1385:BC1385,2,"creators")</f>
        <v>"creators":[]</v>
      </c>
      <c r="Y1385" s="1" t="str">
        <f>formatRow(Tokens!BD$2:BI$2,Tokens!BD1385:BI1385,2,"files")</f>
        <v>"files":[]</v>
      </c>
      <c r="Z1385" s="1"/>
      <c r="AA1385" s="1"/>
      <c r="AB1385" s="1"/>
      <c r="AC1385" s="1" t="str">
        <f>formatRow(Tokens!BJ$2:BK$2,Tokens!BJ1385:BK1385,0,"collection")</f>
        <v>"collection":{"name":"",_x000D_
"family":""}</v>
      </c>
    </row>
    <row r="1386" spans="5:29" ht="14.25" customHeight="1" x14ac:dyDescent="0.25">
      <c r="E1386" s="17" t="str">
        <f>IF(Tokens!C1386="","",Tokens!C1386)</f>
        <v/>
      </c>
      <c r="F1386" s="56"/>
      <c r="G1386" t="s">
        <v>164</v>
      </c>
      <c r="H1386" s="57" t="s">
        <v>165</v>
      </c>
      <c r="I1386" s="2" t="s">
        <v>166</v>
      </c>
      <c r="J1386" s="2" t="s">
        <v>167</v>
      </c>
      <c r="M1386" s="15"/>
      <c r="N1386">
        <v>6.9258811930000004</v>
      </c>
      <c r="O1386" s="15">
        <f t="shared" si="42"/>
        <v>0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/>
      </c>
      <c r="Q1386" s="2"/>
      <c r="R1386" s="2"/>
      <c r="S1386" s="11"/>
      <c r="T1386" s="1" t="str">
        <f>"owner=" &amp; Tokens!BS1386 &amp; "&amp;filename_for_metadata=" &amp; Tokens!BT1386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6" s="1" t="str">
        <f>formatRow(Tokens!C$2:I$2,Tokens!C1386:I1386)</f>
        <v>"name":"",_x000D_
"symbol":"",_x000D_
"description":"",_x000D_
"seller_fee_basis_points":"",_x000D_
"image":"",_x000D_
"Issuer":"",_x000D_
"external_url":""</v>
      </c>
      <c r="W1386" s="1" t="str">
        <f>formatRow(Tokens!J$2:AV$2,Tokens!J1386:AV1386,2,"attributes")</f>
        <v>"attributes":[]</v>
      </c>
      <c r="X1386" s="1" t="str">
        <f>formatRow(Tokens!AX$2:BC$2,Tokens!AX1386:BC1386,2,"creators")</f>
        <v>"creators":[]</v>
      </c>
      <c r="Y1386" s="1" t="str">
        <f>formatRow(Tokens!BD$2:BI$2,Tokens!BD1386:BI1386,2,"files")</f>
        <v>"files":[]</v>
      </c>
      <c r="Z1386" s="1"/>
      <c r="AA1386" s="1"/>
      <c r="AB1386" s="1"/>
      <c r="AC1386" s="1" t="str">
        <f>formatRow(Tokens!BJ$2:BK$2,Tokens!BJ1386:BK1386,0,"collection")</f>
        <v>"collection":{"name":"",_x000D_
"family":""}</v>
      </c>
    </row>
    <row r="1387" spans="5:29" ht="14.25" customHeight="1" x14ac:dyDescent="0.25">
      <c r="E1387" s="17" t="str">
        <f>IF(Tokens!C1387="","",Tokens!C1387)</f>
        <v/>
      </c>
      <c r="F1387" s="56"/>
      <c r="G1387" t="s">
        <v>164</v>
      </c>
      <c r="H1387" s="57" t="s">
        <v>165</v>
      </c>
      <c r="I1387" s="2" t="s">
        <v>166</v>
      </c>
      <c r="J1387" s="2" t="s">
        <v>167</v>
      </c>
      <c r="M1387" s="15"/>
      <c r="N1387">
        <v>6.9258811930000004</v>
      </c>
      <c r="O1387" s="15">
        <f t="shared" si="42"/>
        <v>0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/>
      </c>
      <c r="Q1387" s="2"/>
      <c r="R1387" s="2"/>
      <c r="S1387" s="11"/>
      <c r="T1387" s="1" t="str">
        <f>"owner=" &amp; Tokens!BS1387 &amp; "&amp;filename_for_metadata=" &amp; Tokens!BT1387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7" s="1" t="str">
        <f>formatRow(Tokens!C$2:I$2,Tokens!C1387:I1387)</f>
        <v>"name":"",_x000D_
"symbol":"",_x000D_
"description":"",_x000D_
"seller_fee_basis_points":"",_x000D_
"image":"",_x000D_
"Issuer":"",_x000D_
"external_url":""</v>
      </c>
      <c r="W1387" s="1" t="str">
        <f>formatRow(Tokens!J$2:AV$2,Tokens!J1387:AV1387,2,"attributes")</f>
        <v>"attributes":[]</v>
      </c>
      <c r="X1387" s="1" t="str">
        <f>formatRow(Tokens!AX$2:BC$2,Tokens!AX1387:BC1387,2,"creators")</f>
        <v>"creators":[]</v>
      </c>
      <c r="Y1387" s="1" t="str">
        <f>formatRow(Tokens!BD$2:BI$2,Tokens!BD1387:BI1387,2,"files")</f>
        <v>"files":[]</v>
      </c>
      <c r="Z1387" s="1"/>
      <c r="AA1387" s="1"/>
      <c r="AB1387" s="1"/>
      <c r="AC1387" s="1" t="str">
        <f>formatRow(Tokens!BJ$2:BK$2,Tokens!BJ1387:BK1387,0,"collection")</f>
        <v>"collection":{"name":"",_x000D_
"family":""}</v>
      </c>
    </row>
    <row r="1388" spans="5:29" ht="14.25" customHeight="1" x14ac:dyDescent="0.25">
      <c r="E1388" s="17" t="str">
        <f>IF(Tokens!C1388="","",Tokens!C1388)</f>
        <v/>
      </c>
      <c r="F1388" s="56"/>
      <c r="G1388" t="s">
        <v>164</v>
      </c>
      <c r="H1388" s="57" t="s">
        <v>165</v>
      </c>
      <c r="I1388" s="2" t="s">
        <v>166</v>
      </c>
      <c r="J1388" s="2" t="s">
        <v>167</v>
      </c>
      <c r="M1388" s="15"/>
      <c r="N1388">
        <v>6.9258811930000004</v>
      </c>
      <c r="O1388" s="15">
        <f t="shared" si="42"/>
        <v>0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/>
      </c>
      <c r="Q1388" s="2"/>
      <c r="R1388" s="2"/>
      <c r="S1388" s="11"/>
      <c r="T1388" s="1" t="str">
        <f>"owner=" &amp; Tokens!BS1388 &amp; "&amp;filename_for_metadata=" &amp; Tokens!BT1388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8" s="1" t="str">
        <f>formatRow(Tokens!C$2:I$2,Tokens!C1388:I1388)</f>
        <v>"name":"",_x000D_
"symbol":"",_x000D_
"description":"",_x000D_
"seller_fee_basis_points":"",_x000D_
"image":"",_x000D_
"Issuer":"",_x000D_
"external_url":""</v>
      </c>
      <c r="W1388" s="1" t="str">
        <f>formatRow(Tokens!J$2:AV$2,Tokens!J1388:AV1388,2,"attributes")</f>
        <v>"attributes":[]</v>
      </c>
      <c r="X1388" s="1" t="str">
        <f>formatRow(Tokens!AX$2:BC$2,Tokens!AX1388:BC1388,2,"creators")</f>
        <v>"creators":[]</v>
      </c>
      <c r="Y1388" s="1" t="str">
        <f>formatRow(Tokens!BD$2:BI$2,Tokens!BD1388:BI1388,2,"files")</f>
        <v>"files":[]</v>
      </c>
      <c r="Z1388" s="1"/>
      <c r="AA1388" s="1"/>
      <c r="AB1388" s="1"/>
      <c r="AC1388" s="1" t="str">
        <f>formatRow(Tokens!BJ$2:BK$2,Tokens!BJ1388:BK1388,0,"collection")</f>
        <v>"collection":{"name":"",_x000D_
"family":""}</v>
      </c>
    </row>
    <row r="1389" spans="5:29" ht="14.25" customHeight="1" x14ac:dyDescent="0.25">
      <c r="E1389" s="17" t="str">
        <f>IF(Tokens!C1389="","",Tokens!C1389)</f>
        <v/>
      </c>
      <c r="F1389" s="56"/>
      <c r="G1389" t="s">
        <v>164</v>
      </c>
      <c r="H1389" s="57" t="s">
        <v>165</v>
      </c>
      <c r="I1389" s="2" t="s">
        <v>166</v>
      </c>
      <c r="J1389" s="2" t="s">
        <v>167</v>
      </c>
      <c r="M1389" s="15"/>
      <c r="N1389">
        <v>6.9258811930000004</v>
      </c>
      <c r="O1389" s="15">
        <f t="shared" si="42"/>
        <v>0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/>
      </c>
      <c r="Q1389" s="2"/>
      <c r="R1389" s="2"/>
      <c r="S1389" s="11"/>
      <c r="T1389" s="1" t="str">
        <f>"owner=" &amp; Tokens!BS1389 &amp; "&amp;filename_for_metadata=" &amp; Tokens!BT1389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8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89" s="1" t="str">
        <f>formatRow(Tokens!C$2:I$2,Tokens!C1389:I1389)</f>
        <v>"name":"",_x000D_
"symbol":"",_x000D_
"description":"",_x000D_
"seller_fee_basis_points":"",_x000D_
"image":"",_x000D_
"Issuer":"",_x000D_
"external_url":""</v>
      </c>
      <c r="W1389" s="1" t="str">
        <f>formatRow(Tokens!J$2:AV$2,Tokens!J1389:AV1389,2,"attributes")</f>
        <v>"attributes":[]</v>
      </c>
      <c r="X1389" s="1" t="str">
        <f>formatRow(Tokens!AX$2:BC$2,Tokens!AX1389:BC1389,2,"creators")</f>
        <v>"creators":[]</v>
      </c>
      <c r="Y1389" s="1" t="str">
        <f>formatRow(Tokens!BD$2:BI$2,Tokens!BD1389:BI1389,2,"files")</f>
        <v>"files":[]</v>
      </c>
      <c r="Z1389" s="1"/>
      <c r="AA1389" s="1"/>
      <c r="AB1389" s="1"/>
      <c r="AC1389" s="1" t="str">
        <f>formatRow(Tokens!BJ$2:BK$2,Tokens!BJ1389:BK1389,0,"collection")</f>
        <v>"collection":{"name":"",_x000D_
"family":""}</v>
      </c>
    </row>
    <row r="1390" spans="5:29" ht="14.25" customHeight="1" x14ac:dyDescent="0.25">
      <c r="E1390" s="17" t="str">
        <f>IF(Tokens!C1390="","",Tokens!C1390)</f>
        <v/>
      </c>
      <c r="F1390" s="56"/>
      <c r="G1390" t="s">
        <v>164</v>
      </c>
      <c r="H1390" s="57" t="s">
        <v>165</v>
      </c>
      <c r="I1390" s="2" t="s">
        <v>166</v>
      </c>
      <c r="J1390" s="2" t="s">
        <v>167</v>
      </c>
      <c r="M1390" s="15"/>
      <c r="N1390">
        <v>6.9258811930000004</v>
      </c>
      <c r="O1390" s="15">
        <f t="shared" si="42"/>
        <v>0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/>
      </c>
      <c r="Q1390" s="2"/>
      <c r="R1390" s="2"/>
      <c r="S1390" s="11"/>
      <c r="T1390" s="1" t="str">
        <f>"owner=" &amp; Tokens!BS1390 &amp; "&amp;filename_for_metadata=" &amp; Tokens!BT1390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0" s="1" t="str">
        <f>formatRow(Tokens!C$2:I$2,Tokens!C1390:I1390)</f>
        <v>"name":"",_x000D_
"symbol":"",_x000D_
"description":"",_x000D_
"seller_fee_basis_points":"",_x000D_
"image":"",_x000D_
"Issuer":"",_x000D_
"external_url":""</v>
      </c>
      <c r="W1390" s="1" t="str">
        <f>formatRow(Tokens!J$2:AV$2,Tokens!J1390:AV1390,2,"attributes")</f>
        <v>"attributes":[]</v>
      </c>
      <c r="X1390" s="1" t="str">
        <f>formatRow(Tokens!AX$2:BC$2,Tokens!AX1390:BC1390,2,"creators")</f>
        <v>"creators":[]</v>
      </c>
      <c r="Y1390" s="1" t="str">
        <f>formatRow(Tokens!BD$2:BI$2,Tokens!BD1390:BI1390,2,"files")</f>
        <v>"files":[]</v>
      </c>
      <c r="Z1390" s="1"/>
      <c r="AA1390" s="1"/>
      <c r="AB1390" s="1"/>
      <c r="AC1390" s="1" t="str">
        <f>formatRow(Tokens!BJ$2:BK$2,Tokens!BJ1390:BK1390,0,"collection")</f>
        <v>"collection":{"name":"",_x000D_
"family":""}</v>
      </c>
    </row>
    <row r="1391" spans="5:29" ht="14.25" customHeight="1" x14ac:dyDescent="0.25">
      <c r="E1391" s="17" t="str">
        <f>IF(Tokens!C1391="","",Tokens!C1391)</f>
        <v/>
      </c>
      <c r="F1391" s="56"/>
      <c r="G1391" t="s">
        <v>164</v>
      </c>
      <c r="H1391" s="57" t="s">
        <v>165</v>
      </c>
      <c r="I1391" s="2" t="s">
        <v>166</v>
      </c>
      <c r="J1391" s="2" t="s">
        <v>167</v>
      </c>
      <c r="M1391" s="15"/>
      <c r="N1391">
        <v>6.9258811930000004</v>
      </c>
      <c r="O1391" s="15">
        <f t="shared" si="42"/>
        <v>0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/>
      </c>
      <c r="Q1391" s="2"/>
      <c r="R1391" s="2"/>
      <c r="S1391" s="11"/>
      <c r="T1391" s="1" t="str">
        <f>"owner=" &amp; Tokens!BS1391 &amp; "&amp;filename_for_metadata=" &amp; Tokens!BT1391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1" s="1" t="str">
        <f>formatRow(Tokens!C$2:I$2,Tokens!C1391:I1391)</f>
        <v>"name":"",_x000D_
"symbol":"",_x000D_
"description":"",_x000D_
"seller_fee_basis_points":"",_x000D_
"image":"",_x000D_
"Issuer":"",_x000D_
"external_url":""</v>
      </c>
      <c r="W1391" s="1" t="str">
        <f>formatRow(Tokens!J$2:AV$2,Tokens!J1391:AV1391,2,"attributes")</f>
        <v>"attributes":[]</v>
      </c>
      <c r="X1391" s="1" t="str">
        <f>formatRow(Tokens!AX$2:BC$2,Tokens!AX1391:BC1391,2,"creators")</f>
        <v>"creators":[]</v>
      </c>
      <c r="Y1391" s="1" t="str">
        <f>formatRow(Tokens!BD$2:BI$2,Tokens!BD1391:BI1391,2,"files")</f>
        <v>"files":[]</v>
      </c>
      <c r="Z1391" s="1"/>
      <c r="AA1391" s="1"/>
      <c r="AB1391" s="1"/>
      <c r="AC1391" s="1" t="str">
        <f>formatRow(Tokens!BJ$2:BK$2,Tokens!BJ1391:BK1391,0,"collection")</f>
        <v>"collection":{"name":"",_x000D_
"family":""}</v>
      </c>
    </row>
    <row r="1392" spans="5:29" ht="14.25" customHeight="1" x14ac:dyDescent="0.25">
      <c r="E1392" s="17" t="str">
        <f>IF(Tokens!C1392="","",Tokens!C1392)</f>
        <v/>
      </c>
      <c r="F1392" s="56"/>
      <c r="G1392" t="s">
        <v>164</v>
      </c>
      <c r="H1392" s="57" t="s">
        <v>165</v>
      </c>
      <c r="I1392" s="2" t="s">
        <v>166</v>
      </c>
      <c r="J1392" s="2" t="s">
        <v>167</v>
      </c>
      <c r="M1392" s="15"/>
      <c r="N1392">
        <v>6.9258811930000004</v>
      </c>
      <c r="O1392" s="15">
        <f t="shared" si="42"/>
        <v>0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/>
      </c>
      <c r="Q1392" s="2"/>
      <c r="R1392" s="2"/>
      <c r="S1392" s="11"/>
      <c r="T1392" s="1" t="str">
        <f>"owner=" &amp; Tokens!BS1392 &amp; "&amp;filename_for_metadata=" &amp; Tokens!BT1392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2" s="1" t="str">
        <f>formatRow(Tokens!C$2:I$2,Tokens!C1392:I1392)</f>
        <v>"name":"",_x000D_
"symbol":"",_x000D_
"description":"",_x000D_
"seller_fee_basis_points":"",_x000D_
"image":"",_x000D_
"Issuer":"",_x000D_
"external_url":""</v>
      </c>
      <c r="W1392" s="1" t="str">
        <f>formatRow(Tokens!J$2:AV$2,Tokens!J1392:AV1392,2,"attributes")</f>
        <v>"attributes":[]</v>
      </c>
      <c r="X1392" s="1" t="str">
        <f>formatRow(Tokens!AX$2:BC$2,Tokens!AX1392:BC1392,2,"creators")</f>
        <v>"creators":[]</v>
      </c>
      <c r="Y1392" s="1" t="str">
        <f>formatRow(Tokens!BD$2:BI$2,Tokens!BD1392:BI1392,2,"files")</f>
        <v>"files":[]</v>
      </c>
      <c r="Z1392" s="1"/>
      <c r="AA1392" s="1"/>
      <c r="AB1392" s="1"/>
      <c r="AC1392" s="1" t="str">
        <f>formatRow(Tokens!BJ$2:BK$2,Tokens!BJ1392:BK1392,0,"collection")</f>
        <v>"collection":{"name":"",_x000D_
"family":""}</v>
      </c>
    </row>
    <row r="1393" spans="5:29" ht="14.25" customHeight="1" x14ac:dyDescent="0.25">
      <c r="E1393" s="17" t="str">
        <f>IF(Tokens!C1393="","",Tokens!C1393)</f>
        <v/>
      </c>
      <c r="F1393" s="56"/>
      <c r="G1393" t="s">
        <v>164</v>
      </c>
      <c r="H1393" s="57" t="s">
        <v>165</v>
      </c>
      <c r="I1393" s="2" t="s">
        <v>166</v>
      </c>
      <c r="J1393" s="2" t="s">
        <v>167</v>
      </c>
      <c r="M1393" s="15"/>
      <c r="N1393">
        <v>6.9258811930000004</v>
      </c>
      <c r="O1393" s="15">
        <f t="shared" si="42"/>
        <v>0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/>
      </c>
      <c r="Q1393" s="2"/>
      <c r="R1393" s="2"/>
      <c r="S1393" s="11"/>
      <c r="T1393" s="1" t="str">
        <f>"owner=" &amp; Tokens!BS1393 &amp; "&amp;filename_for_metadata=" &amp; Tokens!BT1393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3" s="1" t="str">
        <f>formatRow(Tokens!C$2:I$2,Tokens!C1393:I1393)</f>
        <v>"name":"",_x000D_
"symbol":"",_x000D_
"description":"",_x000D_
"seller_fee_basis_points":"",_x000D_
"image":"",_x000D_
"Issuer":"",_x000D_
"external_url":""</v>
      </c>
      <c r="W1393" s="1" t="str">
        <f>formatRow(Tokens!J$2:AV$2,Tokens!J1393:AV1393,2,"attributes")</f>
        <v>"attributes":[]</v>
      </c>
      <c r="X1393" s="1" t="str">
        <f>formatRow(Tokens!AX$2:BC$2,Tokens!AX1393:BC1393,2,"creators")</f>
        <v>"creators":[]</v>
      </c>
      <c r="Y1393" s="1" t="str">
        <f>formatRow(Tokens!BD$2:BI$2,Tokens!BD1393:BI1393,2,"files")</f>
        <v>"files":[]</v>
      </c>
      <c r="Z1393" s="1"/>
      <c r="AA1393" s="1"/>
      <c r="AB1393" s="1"/>
      <c r="AC1393" s="1" t="str">
        <f>formatRow(Tokens!BJ$2:BK$2,Tokens!BJ1393:BK1393,0,"collection")</f>
        <v>"collection":{"name":"",_x000D_
"family":""}</v>
      </c>
    </row>
    <row r="1394" spans="5:29" ht="14.25" customHeight="1" x14ac:dyDescent="0.25">
      <c r="E1394" s="17" t="str">
        <f>IF(Tokens!C1394="","",Tokens!C1394)</f>
        <v/>
      </c>
      <c r="F1394" s="56"/>
      <c r="G1394" t="s">
        <v>164</v>
      </c>
      <c r="H1394" s="57" t="s">
        <v>165</v>
      </c>
      <c r="I1394" s="2" t="s">
        <v>166</v>
      </c>
      <c r="J1394" s="2" t="s">
        <v>167</v>
      </c>
      <c r="M1394" s="15"/>
      <c r="N1394">
        <v>6.9258811930000004</v>
      </c>
      <c r="O1394" s="15">
        <f t="shared" si="42"/>
        <v>0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/>
      </c>
      <c r="Q1394" s="2"/>
      <c r="R1394" s="2"/>
      <c r="S1394" s="11"/>
      <c r="T1394" s="1" t="str">
        <f>"owner=" &amp; Tokens!BS1394 &amp; "&amp;filename_for_metadata=" &amp; Tokens!BT1394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4" s="1" t="str">
        <f>formatRow(Tokens!C$2:I$2,Tokens!C1394:I1394)</f>
        <v>"name":"",_x000D_
"symbol":"",_x000D_
"description":"",_x000D_
"seller_fee_basis_points":"",_x000D_
"image":"",_x000D_
"Issuer":"",_x000D_
"external_url":""</v>
      </c>
      <c r="W1394" s="1" t="str">
        <f>formatRow(Tokens!J$2:AV$2,Tokens!J1394:AV1394,2,"attributes")</f>
        <v>"attributes":[]</v>
      </c>
      <c r="X1394" s="1" t="str">
        <f>formatRow(Tokens!AX$2:BC$2,Tokens!AX1394:BC1394,2,"creators")</f>
        <v>"creators":[]</v>
      </c>
      <c r="Y1394" s="1" t="str">
        <f>formatRow(Tokens!BD$2:BI$2,Tokens!BD1394:BI1394,2,"files")</f>
        <v>"files":[]</v>
      </c>
      <c r="Z1394" s="1"/>
      <c r="AA1394" s="1"/>
      <c r="AB1394" s="1"/>
      <c r="AC1394" s="1" t="str">
        <f>formatRow(Tokens!BJ$2:BK$2,Tokens!BJ1394:BK1394,0,"collection")</f>
        <v>"collection":{"name":"",_x000D_
"family":""}</v>
      </c>
    </row>
    <row r="1395" spans="5:29" ht="14.25" customHeight="1" x14ac:dyDescent="0.25">
      <c r="E1395" s="17" t="str">
        <f>IF(Tokens!C1395="","",Tokens!C1395)</f>
        <v/>
      </c>
      <c r="F1395" s="56"/>
      <c r="G1395" t="s">
        <v>164</v>
      </c>
      <c r="H1395" s="57" t="s">
        <v>165</v>
      </c>
      <c r="I1395" s="2" t="s">
        <v>166</v>
      </c>
      <c r="J1395" s="2" t="s">
        <v>167</v>
      </c>
      <c r="M1395" s="15"/>
      <c r="N1395">
        <v>6.9258811930000004</v>
      </c>
      <c r="O1395" s="15">
        <f t="shared" si="42"/>
        <v>0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/>
      </c>
      <c r="Q1395" s="2"/>
      <c r="R1395" s="2"/>
      <c r="S1395" s="11"/>
      <c r="T1395" s="1" t="str">
        <f>"owner=" &amp; Tokens!BS1395 &amp; "&amp;filename_for_metadata=" &amp; Tokens!BT1395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5" s="1" t="str">
        <f>formatRow(Tokens!C$2:I$2,Tokens!C1395:I1395)</f>
        <v>"name":"",_x000D_
"symbol":"",_x000D_
"description":"",_x000D_
"seller_fee_basis_points":"",_x000D_
"image":"",_x000D_
"Issuer":"",_x000D_
"external_url":""</v>
      </c>
      <c r="W1395" s="1" t="str">
        <f>formatRow(Tokens!J$2:AV$2,Tokens!J1395:AV1395,2,"attributes")</f>
        <v>"attributes":[]</v>
      </c>
      <c r="X1395" s="1" t="str">
        <f>formatRow(Tokens!AX$2:BC$2,Tokens!AX1395:BC1395,2,"creators")</f>
        <v>"creators":[]</v>
      </c>
      <c r="Y1395" s="1" t="str">
        <f>formatRow(Tokens!BD$2:BI$2,Tokens!BD1395:BI1395,2,"files")</f>
        <v>"files":[]</v>
      </c>
      <c r="Z1395" s="1"/>
      <c r="AA1395" s="1"/>
      <c r="AB1395" s="1"/>
      <c r="AC1395" s="1" t="str">
        <f>formatRow(Tokens!BJ$2:BK$2,Tokens!BJ1395:BK1395,0,"collection")</f>
        <v>"collection":{"name":"",_x000D_
"family":""}</v>
      </c>
    </row>
    <row r="1396" spans="5:29" ht="14.25" customHeight="1" x14ac:dyDescent="0.25">
      <c r="E1396" s="17" t="str">
        <f>IF(Tokens!C1396="","",Tokens!C1396)</f>
        <v/>
      </c>
      <c r="F1396" s="56"/>
      <c r="G1396" t="s">
        <v>164</v>
      </c>
      <c r="H1396" s="57" t="s">
        <v>165</v>
      </c>
      <c r="I1396" s="2" t="s">
        <v>166</v>
      </c>
      <c r="J1396" s="2" t="s">
        <v>167</v>
      </c>
      <c r="M1396" s="15"/>
      <c r="N1396">
        <v>6.9258811930000004</v>
      </c>
      <c r="O1396" s="15">
        <f t="shared" si="42"/>
        <v>0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/>
      </c>
      <c r="Q1396" s="2"/>
      <c r="R1396" s="2"/>
      <c r="S1396" s="11"/>
      <c r="T1396" s="1" t="str">
        <f>"owner=" &amp; Tokens!BS1396 &amp; "&amp;filename_for_metadata=" &amp; Tokens!BT1396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6" s="1" t="str">
        <f>formatRow(Tokens!C$2:I$2,Tokens!C1396:I1396)</f>
        <v>"name":"",_x000D_
"symbol":"",_x000D_
"description":"",_x000D_
"seller_fee_basis_points":"",_x000D_
"image":"",_x000D_
"Issuer":"",_x000D_
"external_url":""</v>
      </c>
      <c r="W1396" s="1" t="str">
        <f>formatRow(Tokens!J$2:AV$2,Tokens!J1396:AV1396,2,"attributes")</f>
        <v>"attributes":[]</v>
      </c>
      <c r="X1396" s="1" t="str">
        <f>formatRow(Tokens!AX$2:BC$2,Tokens!AX1396:BC1396,2,"creators")</f>
        <v>"creators":[]</v>
      </c>
      <c r="Y1396" s="1" t="str">
        <f>formatRow(Tokens!BD$2:BI$2,Tokens!BD1396:BI1396,2,"files")</f>
        <v>"files":[]</v>
      </c>
      <c r="Z1396" s="1"/>
      <c r="AA1396" s="1"/>
      <c r="AB1396" s="1"/>
      <c r="AC1396" s="1" t="str">
        <f>formatRow(Tokens!BJ$2:BK$2,Tokens!BJ1396:BK1396,0,"collection")</f>
        <v>"collection":{"name":"",_x000D_
"family":""}</v>
      </c>
    </row>
    <row r="1397" spans="5:29" ht="14.25" customHeight="1" x14ac:dyDescent="0.25">
      <c r="E1397" s="17" t="str">
        <f>IF(Tokens!C1397="","",Tokens!C1397)</f>
        <v/>
      </c>
      <c r="F1397" s="56"/>
      <c r="G1397" t="s">
        <v>164</v>
      </c>
      <c r="H1397" s="57" t="s">
        <v>165</v>
      </c>
      <c r="I1397" s="2" t="s">
        <v>166</v>
      </c>
      <c r="J1397" s="2" t="s">
        <v>167</v>
      </c>
      <c r="M1397" s="15"/>
      <c r="N1397">
        <v>6.9258811930000004</v>
      </c>
      <c r="O1397" s="15">
        <f t="shared" si="42"/>
        <v>0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/>
      </c>
      <c r="Q1397" s="2"/>
      <c r="R1397" s="2"/>
      <c r="S1397" s="11"/>
      <c r="T1397" s="1" t="str">
        <f>"owner=" &amp; Tokens!BS1397 &amp; "&amp;filename_for_metadata=" &amp; Tokens!BT1397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7" s="1" t="str">
        <f>formatRow(Tokens!C$2:I$2,Tokens!C1397:I1397)</f>
        <v>"name":"",_x000D_
"symbol":"",_x000D_
"description":"",_x000D_
"seller_fee_basis_points":"",_x000D_
"image":"",_x000D_
"Issuer":"",_x000D_
"external_url":""</v>
      </c>
      <c r="W1397" s="1" t="str">
        <f>formatRow(Tokens!J$2:AV$2,Tokens!J1397:AV1397,2,"attributes")</f>
        <v>"attributes":[]</v>
      </c>
      <c r="X1397" s="1" t="str">
        <f>formatRow(Tokens!AX$2:BC$2,Tokens!AX1397:BC1397,2,"creators")</f>
        <v>"creators":[]</v>
      </c>
      <c r="Y1397" s="1" t="str">
        <f>formatRow(Tokens!BD$2:BI$2,Tokens!BD1397:BI1397,2,"files")</f>
        <v>"files":[]</v>
      </c>
      <c r="Z1397" s="1"/>
      <c r="AA1397" s="1"/>
      <c r="AB1397" s="1"/>
      <c r="AC1397" s="1" t="str">
        <f>formatRow(Tokens!BJ$2:BK$2,Tokens!BJ1397:BK1397,0,"collection")</f>
        <v>"collection":{"name":"",_x000D_
"family":""}</v>
      </c>
    </row>
    <row r="1398" spans="5:29" ht="14.25" customHeight="1" x14ac:dyDescent="0.25">
      <c r="E1398" s="17" t="str">
        <f>IF(Tokens!C1398="","",Tokens!C1398)</f>
        <v/>
      </c>
      <c r="F1398" s="56"/>
      <c r="G1398" t="s">
        <v>164</v>
      </c>
      <c r="H1398" s="57" t="s">
        <v>165</v>
      </c>
      <c r="I1398" s="2" t="s">
        <v>166</v>
      </c>
      <c r="J1398" s="2" t="s">
        <v>167</v>
      </c>
      <c r="M1398" s="15"/>
      <c r="N1398">
        <v>6.9258811930000004</v>
      </c>
      <c r="O1398" s="15">
        <f t="shared" si="42"/>
        <v>0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/>
      </c>
      <c r="Q1398" s="2"/>
      <c r="R1398" s="2"/>
      <c r="S1398" s="11"/>
      <c r="T1398" s="1" t="str">
        <f>"owner=" &amp; Tokens!BS1398 &amp; "&amp;filename_for_metadata=" &amp; Tokens!BT1398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8" s="1" t="str">
        <f>formatRow(Tokens!C$2:I$2,Tokens!C1398:I1398)</f>
        <v>"name":"",_x000D_
"symbol":"",_x000D_
"description":"",_x000D_
"seller_fee_basis_points":"",_x000D_
"image":"",_x000D_
"Issuer":"",_x000D_
"external_url":""</v>
      </c>
      <c r="W1398" s="1" t="str">
        <f>formatRow(Tokens!J$2:AV$2,Tokens!J1398:AV1398,2,"attributes")</f>
        <v>"attributes":[]</v>
      </c>
      <c r="X1398" s="1" t="str">
        <f>formatRow(Tokens!AX$2:BC$2,Tokens!AX1398:BC1398,2,"creators")</f>
        <v>"creators":[]</v>
      </c>
      <c r="Y1398" s="1" t="str">
        <f>formatRow(Tokens!BD$2:BI$2,Tokens!BD1398:BI1398,2,"files")</f>
        <v>"files":[]</v>
      </c>
      <c r="Z1398" s="1"/>
      <c r="AA1398" s="1"/>
      <c r="AB1398" s="1"/>
      <c r="AC1398" s="1" t="str">
        <f>formatRow(Tokens!BJ$2:BK$2,Tokens!BJ1398:BK1398,0,"collection")</f>
        <v>"collection":{"name":"",_x000D_
"family":""}</v>
      </c>
    </row>
    <row r="1399" spans="5:29" ht="14.25" customHeight="1" x14ac:dyDescent="0.25">
      <c r="E1399" s="17" t="str">
        <f>IF(Tokens!C1399="","",Tokens!C1399)</f>
        <v/>
      </c>
      <c r="F1399" s="56"/>
      <c r="G1399" t="s">
        <v>164</v>
      </c>
      <c r="H1399" s="57" t="s">
        <v>165</v>
      </c>
      <c r="I1399" s="2" t="s">
        <v>166</v>
      </c>
      <c r="J1399" s="2" t="s">
        <v>167</v>
      </c>
      <c r="M1399" s="15"/>
      <c r="N1399">
        <v>6.9258811930000004</v>
      </c>
      <c r="O1399" s="15">
        <f t="shared" si="42"/>
        <v>0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/>
      </c>
      <c r="Q1399" s="2"/>
      <c r="R1399" s="2"/>
      <c r="S1399" s="11"/>
      <c r="T1399" s="1" t="str">
        <f>"owner=" &amp; Tokens!BS1399 &amp; "&amp;filename_for_metadata=" &amp; Tokens!BT1399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39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399" s="1" t="str">
        <f>formatRow(Tokens!C$2:I$2,Tokens!C1399:I1399)</f>
        <v>"name":"",_x000D_
"symbol":"",_x000D_
"description":"",_x000D_
"seller_fee_basis_points":"",_x000D_
"image":"",_x000D_
"Issuer":"",_x000D_
"external_url":""</v>
      </c>
      <c r="W1399" s="1" t="str">
        <f>formatRow(Tokens!J$2:AV$2,Tokens!J1399:AV1399,2,"attributes")</f>
        <v>"attributes":[]</v>
      </c>
      <c r="X1399" s="1" t="str">
        <f>formatRow(Tokens!AX$2:BC$2,Tokens!AX1399:BC1399,2,"creators")</f>
        <v>"creators":[]</v>
      </c>
      <c r="Y1399" s="1" t="str">
        <f>formatRow(Tokens!BD$2:BI$2,Tokens!BD1399:BI1399,2,"files")</f>
        <v>"files":[]</v>
      </c>
      <c r="Z1399" s="1"/>
      <c r="AA1399" s="1"/>
      <c r="AB1399" s="1"/>
      <c r="AC1399" s="1" t="str">
        <f>formatRow(Tokens!BJ$2:BK$2,Tokens!BJ1399:BK1399,0,"collection")</f>
        <v>"collection":{"name":"",_x000D_
"family":""}</v>
      </c>
    </row>
    <row r="1400" spans="5:29" ht="14.25" customHeight="1" x14ac:dyDescent="0.25">
      <c r="E1400" s="17" t="str">
        <f>IF(Tokens!C1400="","",Tokens!C1400)</f>
        <v/>
      </c>
      <c r="F1400" s="56"/>
      <c r="G1400" t="s">
        <v>164</v>
      </c>
      <c r="H1400" s="57" t="s">
        <v>165</v>
      </c>
      <c r="I1400" s="2" t="s">
        <v>166</v>
      </c>
      <c r="J1400" s="2" t="s">
        <v>167</v>
      </c>
      <c r="M1400" s="15"/>
      <c r="N1400">
        <v>6.9258811930000004</v>
      </c>
      <c r="O1400" s="15">
        <f t="shared" si="42"/>
        <v>0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/>
      </c>
      <c r="Q1400" s="2"/>
      <c r="R1400" s="2"/>
      <c r="S1400" s="11"/>
      <c r="T1400" s="1" t="str">
        <f>"owner=" &amp; Tokens!BS1400 &amp; "&amp;filename_for_metadata=" &amp; Tokens!BT1400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0" s="1" t="str">
        <f>formatRow(Tokens!C$2:I$2,Tokens!C1400:I1400)</f>
        <v>"name":"",_x000D_
"symbol":"",_x000D_
"description":"",_x000D_
"seller_fee_basis_points":"",_x000D_
"image":"",_x000D_
"Issuer":"",_x000D_
"external_url":""</v>
      </c>
      <c r="W1400" s="1" t="str">
        <f>formatRow(Tokens!J$2:AV$2,Tokens!J1400:AV1400,2,"attributes")</f>
        <v>"attributes":[]</v>
      </c>
      <c r="X1400" s="1" t="str">
        <f>formatRow(Tokens!AX$2:BC$2,Tokens!AX1400:BC1400,2,"creators")</f>
        <v>"creators":[]</v>
      </c>
      <c r="Y1400" s="1" t="str">
        <f>formatRow(Tokens!BD$2:BI$2,Tokens!BD1400:BI1400,2,"files")</f>
        <v>"files":[]</v>
      </c>
      <c r="Z1400" s="1"/>
      <c r="AA1400" s="1"/>
      <c r="AB1400" s="1"/>
      <c r="AC1400" s="1" t="str">
        <f>formatRow(Tokens!BJ$2:BK$2,Tokens!BJ1400:BK1400,0,"collection")</f>
        <v>"collection":{"name":"",_x000D_
"family":""}</v>
      </c>
    </row>
    <row r="1401" spans="5:29" ht="14.25" customHeight="1" x14ac:dyDescent="0.25">
      <c r="E1401" s="17" t="str">
        <f>IF(Tokens!C1401="","",Tokens!C1401)</f>
        <v/>
      </c>
      <c r="F1401" s="56"/>
      <c r="G1401" t="s">
        <v>164</v>
      </c>
      <c r="H1401" s="57" t="s">
        <v>165</v>
      </c>
      <c r="I1401" s="2" t="s">
        <v>166</v>
      </c>
      <c r="J1401" s="2" t="s">
        <v>167</v>
      </c>
      <c r="M1401" s="15"/>
      <c r="N1401">
        <v>6.9258811930000004</v>
      </c>
      <c r="O1401" s="15">
        <f t="shared" si="42"/>
        <v>0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/>
      </c>
      <c r="Q1401" s="2"/>
      <c r="R1401" s="2"/>
      <c r="S1401" s="11"/>
      <c r="T1401" s="1" t="str">
        <f>"owner=" &amp; Tokens!BS1401 &amp; "&amp;filename_for_metadata=" &amp; Tokens!BT1401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1" s="1" t="str">
        <f>formatRow(Tokens!C$2:I$2,Tokens!C1401:I1401)</f>
        <v>"name":"",_x000D_
"symbol":"",_x000D_
"description":"",_x000D_
"seller_fee_basis_points":"",_x000D_
"image":"",_x000D_
"Issuer":"",_x000D_
"external_url":""</v>
      </c>
      <c r="W1401" s="1" t="str">
        <f>formatRow(Tokens!J$2:AV$2,Tokens!J1401:AV1401,2,"attributes")</f>
        <v>"attributes":[]</v>
      </c>
      <c r="X1401" s="1" t="str">
        <f>formatRow(Tokens!AX$2:BC$2,Tokens!AX1401:BC1401,2,"creators")</f>
        <v>"creators":[]</v>
      </c>
      <c r="Y1401" s="1" t="str">
        <f>formatRow(Tokens!BD$2:BI$2,Tokens!BD1401:BI1401,2,"files")</f>
        <v>"files":[]</v>
      </c>
      <c r="Z1401" s="1"/>
      <c r="AA1401" s="1"/>
      <c r="AB1401" s="1"/>
      <c r="AC1401" s="1" t="str">
        <f>formatRow(Tokens!BJ$2:BK$2,Tokens!BJ1401:BK1401,0,"collection")</f>
        <v>"collection":{"name":"",_x000D_
"family":""}</v>
      </c>
    </row>
    <row r="1402" spans="5:29" ht="14.25" customHeight="1" x14ac:dyDescent="0.25">
      <c r="E1402" s="17" t="str">
        <f>IF(Tokens!C1402="","",Tokens!C1402)</f>
        <v/>
      </c>
      <c r="F1402" s="56"/>
      <c r="G1402" t="s">
        <v>164</v>
      </c>
      <c r="H1402" s="57" t="s">
        <v>165</v>
      </c>
      <c r="I1402" s="2" t="s">
        <v>166</v>
      </c>
      <c r="J1402" s="2" t="s">
        <v>167</v>
      </c>
      <c r="M1402" s="15"/>
      <c r="N1402">
        <v>6.9258811930000004</v>
      </c>
      <c r="O1402" s="15">
        <f t="shared" si="42"/>
        <v>0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/>
      </c>
      <c r="Q1402" s="2"/>
      <c r="R1402" s="2"/>
      <c r="S1402" s="11"/>
      <c r="T1402" s="1" t="str">
        <f>"owner=" &amp; Tokens!BS1402 &amp; "&amp;filename_for_metadata=" &amp; Tokens!BT1402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2" s="1" t="str">
        <f>formatRow(Tokens!C$2:I$2,Tokens!C1402:I1402)</f>
        <v>"name":"",_x000D_
"symbol":"",_x000D_
"description":"",_x000D_
"seller_fee_basis_points":"",_x000D_
"image":"",_x000D_
"Issuer":"",_x000D_
"external_url":""</v>
      </c>
      <c r="W1402" s="1" t="str">
        <f>formatRow(Tokens!J$2:AV$2,Tokens!J1402:AV1402,2,"attributes")</f>
        <v>"attributes":[]</v>
      </c>
      <c r="X1402" s="1" t="str">
        <f>formatRow(Tokens!AX$2:BC$2,Tokens!AX1402:BC1402,2,"creators")</f>
        <v>"creators":[]</v>
      </c>
      <c r="Y1402" s="1" t="str">
        <f>formatRow(Tokens!BD$2:BI$2,Tokens!BD1402:BI1402,2,"files")</f>
        <v>"files":[]</v>
      </c>
      <c r="Z1402" s="1"/>
      <c r="AA1402" s="1"/>
      <c r="AB1402" s="1"/>
      <c r="AC1402" s="1" t="str">
        <f>formatRow(Tokens!BJ$2:BK$2,Tokens!BJ1402:BK1402,0,"collection")</f>
        <v>"collection":{"name":"",_x000D_
"family":""}</v>
      </c>
    </row>
    <row r="1403" spans="5:29" ht="14.25" customHeight="1" x14ac:dyDescent="0.25">
      <c r="E1403" s="17" t="str">
        <f>IF(Tokens!C1403="","",Tokens!C1403)</f>
        <v/>
      </c>
      <c r="F1403" s="56"/>
      <c r="G1403" t="s">
        <v>164</v>
      </c>
      <c r="H1403" s="57" t="s">
        <v>165</v>
      </c>
      <c r="I1403" s="2" t="s">
        <v>166</v>
      </c>
      <c r="J1403" s="2" t="s">
        <v>167</v>
      </c>
      <c r="M1403" s="15"/>
      <c r="N1403">
        <v>6.9258811930000004</v>
      </c>
      <c r="O1403" s="15">
        <f t="shared" si="42"/>
        <v>0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/>
      </c>
      <c r="Q1403" s="2"/>
      <c r="R1403" s="2"/>
      <c r="S1403" s="11"/>
      <c r="T1403" s="1" t="str">
        <f>"owner=" &amp; Tokens!BS1403 &amp; "&amp;filename_for_metadata=" &amp; Tokens!BT1403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3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3" s="1" t="str">
        <f>formatRow(Tokens!C$2:I$2,Tokens!C1403:I1403)</f>
        <v>"name":"",_x000D_
"symbol":"",_x000D_
"description":"",_x000D_
"seller_fee_basis_points":"",_x000D_
"image":"",_x000D_
"Issuer":"",_x000D_
"external_url":""</v>
      </c>
      <c r="W1403" s="1" t="str">
        <f>formatRow(Tokens!J$2:AV$2,Tokens!J1403:AV1403,2,"attributes")</f>
        <v>"attributes":[]</v>
      </c>
      <c r="X1403" s="1" t="str">
        <f>formatRow(Tokens!AX$2:BC$2,Tokens!AX1403:BC1403,2,"creators")</f>
        <v>"creators":[]</v>
      </c>
      <c r="Y1403" s="1" t="str">
        <f>formatRow(Tokens!BD$2:BI$2,Tokens!BD1403:BI1403,2,"files")</f>
        <v>"files":[]</v>
      </c>
      <c r="Z1403" s="1"/>
      <c r="AA1403" s="1"/>
      <c r="AB1403" s="1"/>
      <c r="AC1403" s="1" t="str">
        <f>formatRow(Tokens!BJ$2:BK$2,Tokens!BJ1403:BK1403,0,"collection")</f>
        <v>"collection":{"name":"",_x000D_
"family":""}</v>
      </c>
    </row>
    <row r="1404" spans="5:29" ht="14.25" customHeight="1" x14ac:dyDescent="0.25">
      <c r="E1404" s="17" t="str">
        <f>IF(Tokens!C1404="","",Tokens!C1404)</f>
        <v/>
      </c>
      <c r="F1404" s="56"/>
      <c r="G1404" t="s">
        <v>164</v>
      </c>
      <c r="H1404" s="57" t="s">
        <v>165</v>
      </c>
      <c r="I1404" s="2" t="s">
        <v>166</v>
      </c>
      <c r="J1404" s="2" t="s">
        <v>167</v>
      </c>
      <c r="M1404" s="15"/>
      <c r="N1404">
        <v>6.9258811930000004</v>
      </c>
      <c r="O1404" s="15">
        <f t="shared" si="42"/>
        <v>0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/>
      </c>
      <c r="Q1404" s="2"/>
      <c r="R1404" s="2"/>
      <c r="S1404" s="11"/>
      <c r="T1404" s="1" t="str">
        <f>"owner=" &amp; Tokens!BS1404 &amp; "&amp;filename_for_metadata=" &amp; Tokens!BT1404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4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4" s="1" t="str">
        <f>formatRow(Tokens!C$2:I$2,Tokens!C1404:I1404)</f>
        <v>"name":"",_x000D_
"symbol":"",_x000D_
"description":"",_x000D_
"seller_fee_basis_points":"",_x000D_
"image":"",_x000D_
"Issuer":"",_x000D_
"external_url":""</v>
      </c>
      <c r="W1404" s="1" t="str">
        <f>formatRow(Tokens!J$2:AV$2,Tokens!J1404:AV1404,2,"attributes")</f>
        <v>"attributes":[]</v>
      </c>
      <c r="X1404" s="1" t="str">
        <f>formatRow(Tokens!AX$2:BC$2,Tokens!AX1404:BC1404,2,"creators")</f>
        <v>"creators":[]</v>
      </c>
      <c r="Y1404" s="1" t="str">
        <f>formatRow(Tokens!BD$2:BI$2,Tokens!BD1404:BI1404,2,"files")</f>
        <v>"files":[]</v>
      </c>
      <c r="Z1404" s="1"/>
      <c r="AA1404" s="1"/>
      <c r="AB1404" s="1"/>
      <c r="AC1404" s="1" t="str">
        <f>formatRow(Tokens!BJ$2:BK$2,Tokens!BJ1404:BK1404,0,"collection")</f>
        <v>"collection":{"name":"",_x000D_
"family":""}</v>
      </c>
    </row>
    <row r="1405" spans="5:29" ht="14.25" customHeight="1" x14ac:dyDescent="0.25">
      <c r="E1405" s="17" t="str">
        <f>IF(Tokens!C1405="","",Tokens!C1405)</f>
        <v/>
      </c>
      <c r="F1405" s="56"/>
      <c r="G1405" t="s">
        <v>164</v>
      </c>
      <c r="H1405" s="57" t="s">
        <v>165</v>
      </c>
      <c r="I1405" s="2" t="s">
        <v>166</v>
      </c>
      <c r="J1405" s="2" t="s">
        <v>167</v>
      </c>
      <c r="M1405" s="15"/>
      <c r="N1405">
        <v>6.9258811930000004</v>
      </c>
      <c r="O1405" s="15">
        <f t="shared" si="42"/>
        <v>0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/>
      </c>
      <c r="Q1405" s="2"/>
      <c r="R1405" s="2"/>
      <c r="S1405" s="11"/>
      <c r="T1405" s="1" t="str">
        <f>"owner=" &amp; Tokens!BS1405 &amp; "&amp;filename_for_metadata=" &amp; Tokens!BT1405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5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5" s="1" t="str">
        <f>formatRow(Tokens!C$2:I$2,Tokens!C1405:I1405)</f>
        <v>"name":"",_x000D_
"symbol":"",_x000D_
"description":"",_x000D_
"seller_fee_basis_points":"",_x000D_
"image":"",_x000D_
"Issuer":"",_x000D_
"external_url":""</v>
      </c>
      <c r="W1405" s="1" t="str">
        <f>formatRow(Tokens!J$2:AV$2,Tokens!J1405:AV1405,2,"attributes")</f>
        <v>"attributes":[]</v>
      </c>
      <c r="X1405" s="1" t="str">
        <f>formatRow(Tokens!AX$2:BC$2,Tokens!AX1405:BC1405,2,"creators")</f>
        <v>"creators":[]</v>
      </c>
      <c r="Y1405" s="1" t="str">
        <f>formatRow(Tokens!BD$2:BI$2,Tokens!BD1405:BI1405,2,"files")</f>
        <v>"files":[]</v>
      </c>
      <c r="Z1405" s="1"/>
      <c r="AA1405" s="1"/>
      <c r="AB1405" s="1"/>
      <c r="AC1405" s="1" t="str">
        <f>formatRow(Tokens!BJ$2:BK$2,Tokens!BJ1405:BK1405,0,"collection")</f>
        <v>"collection":{"name":"",_x000D_
"family":""}</v>
      </c>
    </row>
    <row r="1406" spans="5:29" ht="14.25" customHeight="1" x14ac:dyDescent="0.25">
      <c r="E1406" s="17" t="str">
        <f>IF(Tokens!C1406="","",Tokens!C1406)</f>
        <v/>
      </c>
      <c r="F1406" s="56"/>
      <c r="G1406" t="s">
        <v>164</v>
      </c>
      <c r="H1406" s="57" t="s">
        <v>165</v>
      </c>
      <c r="I1406" s="2" t="s">
        <v>166</v>
      </c>
      <c r="J1406" s="2" t="s">
        <v>167</v>
      </c>
      <c r="M1406" s="15"/>
      <c r="N1406">
        <v>6.9258811930000004</v>
      </c>
      <c r="O1406" s="15">
        <f t="shared" si="42"/>
        <v>0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1" t="str">
        <f>"owner=" &amp; Tokens!BS1406 &amp; "&amp;filename_for_metadata=" &amp; Tokens!BT1406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6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6" s="1" t="str">
        <f>formatRow(Tokens!C$2:I$2,Tokens!C1406:I1406)</f>
        <v>"name":"",_x000D_
"symbol":"",_x000D_
"description":"",_x000D_
"seller_fee_basis_points":"",_x000D_
"image":"",_x000D_
"Issuer":"",_x000D_
"external_url":""</v>
      </c>
      <c r="W1406" s="1" t="str">
        <f>formatRow(Tokens!J$2:AV$2,Tokens!J1406:AV1406,2,"attributes")</f>
        <v>"attributes":[]</v>
      </c>
      <c r="X1406" s="1" t="str">
        <f>formatRow(Tokens!AX$2:BC$2,Tokens!AX1406:BC1406,2,"creators")</f>
        <v>"creators":[]</v>
      </c>
      <c r="Y1406" s="1" t="str">
        <f>formatRow(Tokens!BD$2:BI$2,Tokens!BD1406:BI1406,2,"files")</f>
        <v>"files":[]</v>
      </c>
      <c r="Z1406" s="1"/>
      <c r="AA1406" s="1"/>
      <c r="AB1406" s="1"/>
      <c r="AC1406" s="1" t="str">
        <f>formatRow(Tokens!BJ$2:BK$2,Tokens!BJ1406:BK1406,0,"collection")</f>
        <v>"collection":{"name":"",_x000D_
"family":""}</v>
      </c>
    </row>
    <row r="1407" spans="5:29" ht="14.25" customHeight="1" x14ac:dyDescent="0.25">
      <c r="E1407" s="17" t="str">
        <f>IF(Tokens!C1407="","",Tokens!C1407)</f>
        <v/>
      </c>
      <c r="F1407" s="56"/>
      <c r="G1407" t="s">
        <v>164</v>
      </c>
      <c r="H1407" s="57" t="s">
        <v>165</v>
      </c>
      <c r="I1407" s="2" t="s">
        <v>166</v>
      </c>
      <c r="J1407" s="2" t="s">
        <v>167</v>
      </c>
      <c r="M1407" s="15"/>
      <c r="N1407">
        <v>6.9258811930000004</v>
      </c>
      <c r="O1407" s="15">
        <f t="shared" si="42"/>
        <v>0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1" t="str">
        <f>"owner=" &amp; Tokens!BS1407 &amp; "&amp;filename_for_metadata=" &amp; Tokens!BT1407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7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7" s="1" t="str">
        <f>formatRow(Tokens!C$2:I$2,Tokens!C1407:I1407)</f>
        <v>"name":"",_x000D_
"symbol":"",_x000D_
"description":"",_x000D_
"seller_fee_basis_points":"",_x000D_
"image":"",_x000D_
"Issuer":"",_x000D_
"external_url":""</v>
      </c>
      <c r="W1407" s="1" t="str">
        <f>formatRow(Tokens!J$2:AV$2,Tokens!J1407:AV1407,2,"attributes")</f>
        <v>"attributes":[]</v>
      </c>
      <c r="X1407" s="1" t="str">
        <f>formatRow(Tokens!AX$2:BC$2,Tokens!AX1407:BC1407,2,"creators")</f>
        <v>"creators":[]</v>
      </c>
      <c r="Y1407" s="1" t="str">
        <f>formatRow(Tokens!BD$2:BI$2,Tokens!BD1407:BI1407,2,"files")</f>
        <v>"files":[]</v>
      </c>
      <c r="Z1407" s="1"/>
      <c r="AA1407" s="1"/>
      <c r="AB1407" s="1"/>
      <c r="AC1407" s="1" t="str">
        <f>formatRow(Tokens!BJ$2:BK$2,Tokens!BJ1407:BK1407,0,"collection")</f>
        <v>"collection":{"name":"",_x000D_
"family":""}</v>
      </c>
    </row>
    <row r="1408" spans="5:29" ht="14.25" customHeight="1" x14ac:dyDescent="0.25">
      <c r="E1408" s="17" t="str">
        <f>IF(Tokens!C1408="","",Tokens!C1408)</f>
        <v/>
      </c>
      <c r="F1408" s="56"/>
      <c r="G1408" t="s">
        <v>164</v>
      </c>
      <c r="H1408" s="57" t="s">
        <v>165</v>
      </c>
      <c r="I1408" s="2" t="s">
        <v>166</v>
      </c>
      <c r="J1408" s="2" t="s">
        <v>167</v>
      </c>
      <c r="M1408" s="15"/>
      <c r="N1408">
        <v>6.9258811930000004</v>
      </c>
      <c r="O1408" s="15">
        <f t="shared" si="42"/>
        <v>0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1" t="str">
        <f>"owner=" &amp; Tokens!BS1408 &amp; "&amp;filename_for_metadata=" &amp; Tokens!BT1408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8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8" s="1" t="str">
        <f>formatRow(Tokens!C$2:I$2,Tokens!C1408:I1408)</f>
        <v>"name":"",_x000D_
"symbol":"",_x000D_
"description":"",_x000D_
"seller_fee_basis_points":"",_x000D_
"image":"",_x000D_
"Issuer":"",_x000D_
"external_url":""</v>
      </c>
      <c r="W1408" s="1" t="str">
        <f>formatRow(Tokens!J$2:AV$2,Tokens!J1408:AV1408,2,"attributes")</f>
        <v>"attributes":[]</v>
      </c>
      <c r="X1408" s="1" t="str">
        <f>formatRow(Tokens!AX$2:BC$2,Tokens!AX1408:BC1408,2,"creators")</f>
        <v>"creators":[]</v>
      </c>
      <c r="Y1408" s="1" t="str">
        <f>formatRow(Tokens!BD$2:BI$2,Tokens!BD1408:BI1408,2,"files")</f>
        <v>"files":[]</v>
      </c>
      <c r="Z1408" s="1"/>
      <c r="AA1408" s="1"/>
      <c r="AB1408" s="1"/>
      <c r="AC1408" s="1" t="str">
        <f>formatRow(Tokens!BJ$2:BK$2,Tokens!BJ1408:BK1408,0,"collection")</f>
        <v>"collection":{"name":"",_x000D_
"family":""}</v>
      </c>
    </row>
    <row r="1409" spans="5:29" ht="14.25" customHeight="1" x14ac:dyDescent="0.25">
      <c r="E1409" s="17" t="str">
        <f>IF(Tokens!C1409="","",Tokens!C1409)</f>
        <v/>
      </c>
      <c r="F1409" s="56"/>
      <c r="G1409" t="s">
        <v>164</v>
      </c>
      <c r="H1409" s="57" t="s">
        <v>165</v>
      </c>
      <c r="I1409" s="2" t="s">
        <v>166</v>
      </c>
      <c r="J1409" s="2" t="s">
        <v>167</v>
      </c>
      <c r="M1409" s="15"/>
      <c r="N1409">
        <v>6.9258811930000004</v>
      </c>
      <c r="O1409" s="15">
        <f t="shared" si="42"/>
        <v>0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1" t="str">
        <f>"owner=" &amp; Tokens!BS1409 &amp; "&amp;filename_for_metadata=" &amp; Tokens!BT1409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09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09" s="1" t="str">
        <f>formatRow(Tokens!C$2:I$2,Tokens!C1409:I1409)</f>
        <v>"name":"",_x000D_
"symbol":"",_x000D_
"description":"",_x000D_
"seller_fee_basis_points":"",_x000D_
"image":"",_x000D_
"Issuer":"",_x000D_
"external_url":""</v>
      </c>
      <c r="W1409" s="1" t="str">
        <f>formatRow(Tokens!J$2:AV$2,Tokens!J1409:AV1409,2,"attributes")</f>
        <v>"attributes":[]</v>
      </c>
      <c r="X1409" s="1" t="str">
        <f>formatRow(Tokens!AX$2:BC$2,Tokens!AX1409:BC1409,2,"creators")</f>
        <v>"creators":[]</v>
      </c>
      <c r="Y1409" s="1" t="str">
        <f>formatRow(Tokens!BD$2:BI$2,Tokens!BD1409:BI1409,2,"files")</f>
        <v>"files":[]</v>
      </c>
      <c r="Z1409" s="1"/>
      <c r="AA1409" s="1"/>
      <c r="AB1409" s="1"/>
      <c r="AC1409" s="1" t="str">
        <f>formatRow(Tokens!BJ$2:BK$2,Tokens!BJ1409:BK1409,0,"collection")</f>
        <v>"collection":{"name":"",_x000D_
"family":""}</v>
      </c>
    </row>
    <row r="1410" spans="5:29" ht="14.25" customHeight="1" x14ac:dyDescent="0.25">
      <c r="E1410" s="17" t="str">
        <f>IF(Tokens!C1410="","",Tokens!C1410)</f>
        <v/>
      </c>
      <c r="F1410" s="56"/>
      <c r="G1410" t="s">
        <v>164</v>
      </c>
      <c r="H1410" s="57" t="s">
        <v>165</v>
      </c>
      <c r="I1410" s="2" t="s">
        <v>166</v>
      </c>
      <c r="J1410" s="2" t="s">
        <v>167</v>
      </c>
      <c r="M1410" s="15"/>
      <c r="N1410">
        <v>6.9258811930000004</v>
      </c>
      <c r="O1410" s="15">
        <f t="shared" si="42"/>
        <v>0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1" t="str">
        <f>"owner=" &amp; Tokens!BS1410 &amp; "&amp;filename_for_metadata=" &amp; Tokens!BT1410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0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0" s="1" t="str">
        <f>formatRow(Tokens!C$2:I$2,Tokens!C1410:I1410)</f>
        <v>"name":"",_x000D_
"symbol":"",_x000D_
"description":"",_x000D_
"seller_fee_basis_points":"",_x000D_
"image":"",_x000D_
"Issuer":"",_x000D_
"external_url":""</v>
      </c>
      <c r="W1410" s="1" t="str">
        <f>formatRow(Tokens!J$2:AV$2,Tokens!J1410:AV1410,2,"attributes")</f>
        <v>"attributes":[]</v>
      </c>
      <c r="X1410" s="1" t="str">
        <f>formatRow(Tokens!AX$2:BC$2,Tokens!AX1410:BC1410,2,"creators")</f>
        <v>"creators":[]</v>
      </c>
      <c r="Y1410" s="1" t="str">
        <f>formatRow(Tokens!BD$2:BI$2,Tokens!BD1410:BI1410,2,"files")</f>
        <v>"files":[]</v>
      </c>
      <c r="Z1410" s="1"/>
      <c r="AA1410" s="1"/>
      <c r="AB1410" s="1"/>
      <c r="AC1410" s="1" t="str">
        <f>formatRow(Tokens!BJ$2:BK$2,Tokens!BJ1410:BK1410,0,"collection")</f>
        <v>"collection":{"name":"",_x000D_
"family":""}</v>
      </c>
    </row>
    <row r="1411" spans="5:29" ht="14.25" customHeight="1" x14ac:dyDescent="0.25">
      <c r="E1411" s="17" t="str">
        <f>IF(Tokens!C1411="","",Tokens!C1411)</f>
        <v/>
      </c>
      <c r="F1411" s="56"/>
      <c r="G1411" t="s">
        <v>164</v>
      </c>
      <c r="H1411" s="57" t="s">
        <v>165</v>
      </c>
      <c r="I1411" s="2" t="s">
        <v>166</v>
      </c>
      <c r="J1411" s="2" t="s">
        <v>167</v>
      </c>
      <c r="M1411" s="15"/>
      <c r="N1411">
        <v>6.9258811930000004</v>
      </c>
      <c r="O1411" s="15">
        <f t="shared" si="42"/>
        <v>0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1" t="str">
        <f>"owner=" &amp; Tokens!BS1411 &amp; "&amp;filename_for_metadata=" &amp; Tokens!BT1411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1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1" s="1" t="str">
        <f>formatRow(Tokens!C$2:I$2,Tokens!C1411:I1411)</f>
        <v>"name":"",_x000D_
"symbol":"",_x000D_
"description":"",_x000D_
"seller_fee_basis_points":"",_x000D_
"image":"",_x000D_
"Issuer":"",_x000D_
"external_url":""</v>
      </c>
      <c r="W1411" s="1" t="str">
        <f>formatRow(Tokens!J$2:AV$2,Tokens!J1411:AV1411,2,"attributes")</f>
        <v>"attributes":[]</v>
      </c>
      <c r="X1411" s="1" t="str">
        <f>formatRow(Tokens!AX$2:BC$2,Tokens!AX1411:BC1411,2,"creators")</f>
        <v>"creators":[]</v>
      </c>
      <c r="Y1411" s="1" t="str">
        <f>formatRow(Tokens!BD$2:BI$2,Tokens!BD1411:BI1411,2,"files")</f>
        <v>"files":[]</v>
      </c>
      <c r="Z1411" s="1"/>
      <c r="AA1411" s="1"/>
      <c r="AB1411" s="1"/>
      <c r="AC1411" s="1" t="str">
        <f>formatRow(Tokens!BJ$2:BK$2,Tokens!BJ1411:BK1411,0,"collection")</f>
        <v>"collection":{"name":"",_x000D_
"family":""}</v>
      </c>
    </row>
    <row r="1412" spans="5:29" ht="14.25" customHeight="1" x14ac:dyDescent="0.25">
      <c r="E1412" s="17" t="str">
        <f>IF(Tokens!C1412="","",Tokens!C1412)</f>
        <v/>
      </c>
      <c r="F1412" s="56"/>
      <c r="G1412" t="s">
        <v>164</v>
      </c>
      <c r="H1412" s="57" t="s">
        <v>165</v>
      </c>
      <c r="I1412" s="2" t="s">
        <v>166</v>
      </c>
      <c r="J1412" s="2" t="s">
        <v>167</v>
      </c>
      <c r="M1412" s="15"/>
      <c r="N1412">
        <v>6.9258811930000004</v>
      </c>
      <c r="O1412" s="15">
        <f t="shared" ref="O1412:O1475" si="44">IF(AND(ISNUMBER(N1411),ISNUMBER(N1412)),(N1412-N1411)*$O$1,"_")</f>
        <v>0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1" t="str">
        <f>"owner=" &amp; Tokens!BS1412 &amp; "&amp;filename_for_metadata=" &amp; Tokens!BT1412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2" s="1" t="str">
        <f t="shared" si="4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2" s="1" t="str">
        <f>formatRow(Tokens!C$2:I$2,Tokens!C1412:I1412)</f>
        <v>"name":"",_x000D_
"symbol":"",_x000D_
"description":"",_x000D_
"seller_fee_basis_points":"",_x000D_
"image":"",_x000D_
"Issuer":"",_x000D_
"external_url":""</v>
      </c>
      <c r="W1412" s="1" t="str">
        <f>formatRow(Tokens!J$2:AV$2,Tokens!J1412:AV1412,2,"attributes")</f>
        <v>"attributes":[]</v>
      </c>
      <c r="X1412" s="1" t="str">
        <f>formatRow(Tokens!AX$2:BC$2,Tokens!AX1412:BC1412,2,"creators")</f>
        <v>"creators":[]</v>
      </c>
      <c r="Y1412" s="1" t="str">
        <f>formatRow(Tokens!BD$2:BI$2,Tokens!BD1412:BI1412,2,"files")</f>
        <v>"files":[]</v>
      </c>
      <c r="Z1412" s="1"/>
      <c r="AA1412" s="1"/>
      <c r="AB1412" s="1"/>
      <c r="AC1412" s="1" t="str">
        <f>formatRow(Tokens!BJ$2:BK$2,Tokens!BJ1412:BK1412,0,"collection")</f>
        <v>"collection":{"name":"",_x000D_
"family":""}</v>
      </c>
    </row>
    <row r="1413" spans="5:29" ht="14.25" customHeight="1" x14ac:dyDescent="0.25">
      <c r="E1413" s="17" t="str">
        <f>IF(Tokens!C1413="","",Tokens!C1413)</f>
        <v/>
      </c>
      <c r="F1413" s="56"/>
      <c r="G1413" t="s">
        <v>164</v>
      </c>
      <c r="H1413" s="57" t="s">
        <v>165</v>
      </c>
      <c r="I1413" s="2" t="s">
        <v>166</v>
      </c>
      <c r="J1413" s="2" t="s">
        <v>167</v>
      </c>
      <c r="M1413" s="15"/>
      <c r="N1413">
        <v>6.9258811930000004</v>
      </c>
      <c r="O1413" s="15">
        <f t="shared" si="44"/>
        <v>0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1" t="str">
        <f>"owner=" &amp; Tokens!BS1413 &amp; "&amp;filename_for_metadata=" &amp; Tokens!BT1413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3" s="1" t="str">
        <f t="shared" ref="U1413:U1476" si="45">"{" &amp; V1413 &amp; "," &amp; W1413 &amp; "," &amp; """properties"":{" &amp; X1413 &amp; "," &amp; Y1413 &amp; "}," &amp; AC1413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3" s="1" t="str">
        <f>formatRow(Tokens!C$2:I$2,Tokens!C1413:I1413)</f>
        <v>"name":"",_x000D_
"symbol":"",_x000D_
"description":"",_x000D_
"seller_fee_basis_points":"",_x000D_
"image":"",_x000D_
"Issuer":"",_x000D_
"external_url":""</v>
      </c>
      <c r="W1413" s="1" t="str">
        <f>formatRow(Tokens!J$2:AV$2,Tokens!J1413:AV1413,2,"attributes")</f>
        <v>"attributes":[]</v>
      </c>
      <c r="X1413" s="1" t="str">
        <f>formatRow(Tokens!AX$2:BC$2,Tokens!AX1413:BC1413,2,"creators")</f>
        <v>"creators":[]</v>
      </c>
      <c r="Y1413" s="1" t="str">
        <f>formatRow(Tokens!BD$2:BI$2,Tokens!BD1413:BI1413,2,"files")</f>
        <v>"files":[]</v>
      </c>
      <c r="Z1413" s="1"/>
      <c r="AA1413" s="1"/>
      <c r="AB1413" s="1"/>
      <c r="AC1413" s="1" t="str">
        <f>formatRow(Tokens!BJ$2:BK$2,Tokens!BJ1413:BK1413,0,"collection")</f>
        <v>"collection":{"name":"",_x000D_
"family":""}</v>
      </c>
    </row>
    <row r="1414" spans="5:29" ht="14.25" customHeight="1" x14ac:dyDescent="0.25">
      <c r="E1414" s="17" t="str">
        <f>IF(Tokens!C1414="","",Tokens!C1414)</f>
        <v/>
      </c>
      <c r="F1414" s="56"/>
      <c r="G1414" t="s">
        <v>164</v>
      </c>
      <c r="H1414" s="57" t="s">
        <v>165</v>
      </c>
      <c r="I1414" s="2" t="s">
        <v>166</v>
      </c>
      <c r="J1414" s="2" t="s">
        <v>167</v>
      </c>
      <c r="M1414" s="15"/>
      <c r="N1414">
        <v>6.9258811930000004</v>
      </c>
      <c r="O1414" s="15">
        <f t="shared" si="44"/>
        <v>0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1" t="str">
        <f>"owner=" &amp; Tokens!BS1414 &amp; "&amp;filename_for_metadata=" &amp; Tokens!BT1414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4" s="1" t="str">
        <f>formatRow(Tokens!C$2:I$2,Tokens!C1414:I1414)</f>
        <v>"name":"",_x000D_
"symbol":"",_x000D_
"description":"",_x000D_
"seller_fee_basis_points":"",_x000D_
"image":"",_x000D_
"Issuer":"",_x000D_
"external_url":""</v>
      </c>
      <c r="W1414" s="1" t="str">
        <f>formatRow(Tokens!J$2:AV$2,Tokens!J1414:AV1414,2,"attributes")</f>
        <v>"attributes":[]</v>
      </c>
      <c r="X1414" s="1" t="str">
        <f>formatRow(Tokens!AX$2:BC$2,Tokens!AX1414:BC1414,2,"creators")</f>
        <v>"creators":[]</v>
      </c>
      <c r="Y1414" s="1" t="str">
        <f>formatRow(Tokens!BD$2:BI$2,Tokens!BD1414:BI1414,2,"files")</f>
        <v>"files":[]</v>
      </c>
      <c r="Z1414" s="1"/>
      <c r="AA1414" s="1"/>
      <c r="AB1414" s="1"/>
      <c r="AC1414" s="1" t="str">
        <f>formatRow(Tokens!BJ$2:BK$2,Tokens!BJ1414:BK1414,0,"collection")</f>
        <v>"collection":{"name":"",_x000D_
"family":""}</v>
      </c>
    </row>
    <row r="1415" spans="5:29" ht="14.25" customHeight="1" x14ac:dyDescent="0.25">
      <c r="E1415" s="17" t="str">
        <f>IF(Tokens!C1415="","",Tokens!C1415)</f>
        <v/>
      </c>
      <c r="F1415" s="56"/>
      <c r="G1415" t="s">
        <v>164</v>
      </c>
      <c r="H1415" s="57" t="s">
        <v>165</v>
      </c>
      <c r="I1415" s="2" t="s">
        <v>166</v>
      </c>
      <c r="J1415" s="2" t="s">
        <v>167</v>
      </c>
      <c r="M1415" s="15"/>
      <c r="N1415">
        <v>6.9258811930000004</v>
      </c>
      <c r="O1415" s="15">
        <f t="shared" si="44"/>
        <v>0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1" t="str">
        <f>"owner=" &amp; Tokens!BS1415 &amp; "&amp;filename_for_metadata=" &amp; Tokens!BT1415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5" s="1" t="str">
        <f>formatRow(Tokens!C$2:I$2,Tokens!C1415:I1415)</f>
        <v>"name":"",_x000D_
"symbol":"",_x000D_
"description":"",_x000D_
"seller_fee_basis_points":"",_x000D_
"image":"",_x000D_
"Issuer":"",_x000D_
"external_url":""</v>
      </c>
      <c r="W1415" s="1" t="str">
        <f>formatRow(Tokens!J$2:AV$2,Tokens!J1415:AV1415,2,"attributes")</f>
        <v>"attributes":[]</v>
      </c>
      <c r="X1415" s="1" t="str">
        <f>formatRow(Tokens!AX$2:BC$2,Tokens!AX1415:BC1415,2,"creators")</f>
        <v>"creators":[]</v>
      </c>
      <c r="Y1415" s="1" t="str">
        <f>formatRow(Tokens!BD$2:BI$2,Tokens!BD1415:BI1415,2,"files")</f>
        <v>"files":[]</v>
      </c>
      <c r="Z1415" s="1"/>
      <c r="AA1415" s="1"/>
      <c r="AB1415" s="1"/>
      <c r="AC1415" s="1" t="str">
        <f>formatRow(Tokens!BJ$2:BK$2,Tokens!BJ1415:BK1415,0,"collection")</f>
        <v>"collection":{"name":"",_x000D_
"family":""}</v>
      </c>
    </row>
    <row r="1416" spans="5:29" ht="14.25" customHeight="1" x14ac:dyDescent="0.25">
      <c r="E1416" s="17" t="str">
        <f>IF(Tokens!C1416="","",Tokens!C1416)</f>
        <v/>
      </c>
      <c r="F1416" s="56"/>
      <c r="G1416" t="s">
        <v>164</v>
      </c>
      <c r="H1416" s="57" t="s">
        <v>165</v>
      </c>
      <c r="I1416" s="2" t="s">
        <v>166</v>
      </c>
      <c r="J1416" s="2" t="s">
        <v>167</v>
      </c>
      <c r="M1416" s="15"/>
      <c r="N1416">
        <v>6.9258811930000004</v>
      </c>
      <c r="O1416" s="15">
        <f t="shared" si="44"/>
        <v>0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1" t="str">
        <f>"owner=" &amp; Tokens!BS1416 &amp; "&amp;filename_for_metadata=" &amp; Tokens!BT1416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6" s="1" t="str">
        <f>formatRow(Tokens!C$2:I$2,Tokens!C1416:I1416)</f>
        <v>"name":"",_x000D_
"symbol":"",_x000D_
"description":"",_x000D_
"seller_fee_basis_points":"",_x000D_
"image":"",_x000D_
"Issuer":"",_x000D_
"external_url":""</v>
      </c>
      <c r="W1416" s="1" t="str">
        <f>formatRow(Tokens!J$2:AV$2,Tokens!J1416:AV1416,2,"attributes")</f>
        <v>"attributes":[]</v>
      </c>
      <c r="X1416" s="1" t="str">
        <f>formatRow(Tokens!AX$2:BC$2,Tokens!AX1416:BC1416,2,"creators")</f>
        <v>"creators":[]</v>
      </c>
      <c r="Y1416" s="1" t="str">
        <f>formatRow(Tokens!BD$2:BI$2,Tokens!BD1416:BI1416,2,"files")</f>
        <v>"files":[]</v>
      </c>
      <c r="Z1416" s="1"/>
      <c r="AA1416" s="1"/>
      <c r="AB1416" s="1"/>
      <c r="AC1416" s="1" t="str">
        <f>formatRow(Tokens!BJ$2:BK$2,Tokens!BJ1416:BK1416,0,"collection")</f>
        <v>"collection":{"name":"",_x000D_
"family":""}</v>
      </c>
    </row>
    <row r="1417" spans="5:29" ht="14.25" customHeight="1" x14ac:dyDescent="0.25">
      <c r="E1417" s="17" t="str">
        <f>IF(Tokens!C1417="","",Tokens!C1417)</f>
        <v/>
      </c>
      <c r="F1417" s="56"/>
      <c r="G1417" t="s">
        <v>164</v>
      </c>
      <c r="H1417" s="57" t="s">
        <v>165</v>
      </c>
      <c r="I1417" s="2" t="s">
        <v>166</v>
      </c>
      <c r="J1417" s="2" t="s">
        <v>167</v>
      </c>
      <c r="M1417" s="15"/>
      <c r="N1417">
        <v>6.9258811930000004</v>
      </c>
      <c r="O1417" s="15">
        <f t="shared" si="44"/>
        <v>0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1" t="str">
        <f>"owner=" &amp; Tokens!BS1417 &amp; "&amp;filename_for_metadata=" &amp; Tokens!BT1417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7" s="1" t="str">
        <f>formatRow(Tokens!C$2:I$2,Tokens!C1417:I1417)</f>
        <v>"name":"",_x000D_
"symbol":"",_x000D_
"description":"",_x000D_
"seller_fee_basis_points":"",_x000D_
"image":"",_x000D_
"Issuer":"",_x000D_
"external_url":""</v>
      </c>
      <c r="W1417" s="1" t="str">
        <f>formatRow(Tokens!J$2:AV$2,Tokens!J1417:AV1417,2,"attributes")</f>
        <v>"attributes":[]</v>
      </c>
      <c r="X1417" s="1" t="str">
        <f>formatRow(Tokens!AX$2:BC$2,Tokens!AX1417:BC1417,2,"creators")</f>
        <v>"creators":[]</v>
      </c>
      <c r="Y1417" s="1" t="str">
        <f>formatRow(Tokens!BD$2:BI$2,Tokens!BD1417:BI1417,2,"files")</f>
        <v>"files":[]</v>
      </c>
      <c r="Z1417" s="1"/>
      <c r="AA1417" s="1"/>
      <c r="AB1417" s="1"/>
      <c r="AC1417" s="1" t="str">
        <f>formatRow(Tokens!BJ$2:BK$2,Tokens!BJ1417:BK1417,0,"collection")</f>
        <v>"collection":{"name":"",_x000D_
"family":""}</v>
      </c>
    </row>
    <row r="1418" spans="5:29" ht="14.25" customHeight="1" x14ac:dyDescent="0.25">
      <c r="E1418" s="17" t="str">
        <f>IF(Tokens!C1418="","",Tokens!C1418)</f>
        <v/>
      </c>
      <c r="F1418" s="56"/>
      <c r="G1418" t="s">
        <v>164</v>
      </c>
      <c r="H1418" s="57" t="s">
        <v>165</v>
      </c>
      <c r="I1418" s="2" t="s">
        <v>166</v>
      </c>
      <c r="J1418" s="2" t="s">
        <v>167</v>
      </c>
      <c r="M1418" s="15"/>
      <c r="N1418">
        <v>6.9258811930000004</v>
      </c>
      <c r="O1418" s="15">
        <f t="shared" si="44"/>
        <v>0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1" t="str">
        <f>"owner=" &amp; Tokens!BS1418 &amp; "&amp;filename_for_metadata=" &amp; Tokens!BT1418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8" s="1" t="str">
        <f>formatRow(Tokens!C$2:I$2,Tokens!C1418:I1418)</f>
        <v>"name":"",_x000D_
"symbol":"",_x000D_
"description":"",_x000D_
"seller_fee_basis_points":"",_x000D_
"image":"",_x000D_
"Issuer":"",_x000D_
"external_url":""</v>
      </c>
      <c r="W1418" s="1" t="str">
        <f>formatRow(Tokens!J$2:AV$2,Tokens!J1418:AV1418,2,"attributes")</f>
        <v>"attributes":[]</v>
      </c>
      <c r="X1418" s="1" t="str">
        <f>formatRow(Tokens!AX$2:BC$2,Tokens!AX1418:BC1418,2,"creators")</f>
        <v>"creators":[]</v>
      </c>
      <c r="Y1418" s="1" t="str">
        <f>formatRow(Tokens!BD$2:BI$2,Tokens!BD1418:BI1418,2,"files")</f>
        <v>"files":[]</v>
      </c>
      <c r="Z1418" s="1"/>
      <c r="AA1418" s="1"/>
      <c r="AB1418" s="1"/>
      <c r="AC1418" s="1" t="str">
        <f>formatRow(Tokens!BJ$2:BK$2,Tokens!BJ1418:BK1418,0,"collection")</f>
        <v>"collection":{"name":"",_x000D_
"family":""}</v>
      </c>
    </row>
    <row r="1419" spans="5:29" ht="14.25" customHeight="1" x14ac:dyDescent="0.25">
      <c r="E1419" s="17" t="str">
        <f>IF(Tokens!C1419="","",Tokens!C1419)</f>
        <v/>
      </c>
      <c r="F1419" s="56"/>
      <c r="G1419" t="s">
        <v>164</v>
      </c>
      <c r="H1419" s="57" t="s">
        <v>165</v>
      </c>
      <c r="I1419" s="2" t="s">
        <v>166</v>
      </c>
      <c r="J1419" s="2" t="s">
        <v>167</v>
      </c>
      <c r="M1419" s="15"/>
      <c r="N1419">
        <v>6.9258811930000004</v>
      </c>
      <c r="O1419" s="15">
        <f t="shared" si="44"/>
        <v>0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1" t="str">
        <f>"owner=" &amp; Tokens!BS1419 &amp; "&amp;filename_for_metadata=" &amp; Tokens!BT1419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1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19" s="1" t="str">
        <f>formatRow(Tokens!C$2:I$2,Tokens!C1419:I1419)</f>
        <v>"name":"",_x000D_
"symbol":"",_x000D_
"description":"",_x000D_
"seller_fee_basis_points":"",_x000D_
"image":"",_x000D_
"Issuer":"",_x000D_
"external_url":""</v>
      </c>
      <c r="W1419" s="1" t="str">
        <f>formatRow(Tokens!J$2:AV$2,Tokens!J1419:AV1419,2,"attributes")</f>
        <v>"attributes":[]</v>
      </c>
      <c r="X1419" s="1" t="str">
        <f>formatRow(Tokens!AX$2:BC$2,Tokens!AX1419:BC1419,2,"creators")</f>
        <v>"creators":[]</v>
      </c>
      <c r="Y1419" s="1" t="str">
        <f>formatRow(Tokens!BD$2:BI$2,Tokens!BD1419:BI1419,2,"files")</f>
        <v>"files":[]</v>
      </c>
      <c r="Z1419" s="1"/>
      <c r="AA1419" s="1"/>
      <c r="AB1419" s="1"/>
      <c r="AC1419" s="1" t="str">
        <f>formatRow(Tokens!BJ$2:BK$2,Tokens!BJ1419:BK1419,0,"collection")</f>
        <v>"collection":{"name":"",_x000D_
"family":""}</v>
      </c>
    </row>
    <row r="1420" spans="5:29" ht="14.25" customHeight="1" x14ac:dyDescent="0.25">
      <c r="E1420" s="17" t="str">
        <f>IF(Tokens!C1420="","",Tokens!C1420)</f>
        <v/>
      </c>
      <c r="F1420" s="56"/>
      <c r="G1420" t="s">
        <v>164</v>
      </c>
      <c r="H1420" s="57" t="s">
        <v>165</v>
      </c>
      <c r="I1420" s="2" t="s">
        <v>166</v>
      </c>
      <c r="J1420" s="2" t="s">
        <v>167</v>
      </c>
      <c r="M1420" s="15"/>
      <c r="N1420">
        <v>6.9258811930000004</v>
      </c>
      <c r="O1420" s="15">
        <f t="shared" si="44"/>
        <v>0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1" t="str">
        <f>"owner=" &amp; Tokens!BS1420 &amp; "&amp;filename_for_metadata=" &amp; Tokens!BT1420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0" s="1" t="str">
        <f>formatRow(Tokens!C$2:I$2,Tokens!C1420:I1420)</f>
        <v>"name":"",_x000D_
"symbol":"",_x000D_
"description":"",_x000D_
"seller_fee_basis_points":"",_x000D_
"image":"",_x000D_
"Issuer":"",_x000D_
"external_url":""</v>
      </c>
      <c r="W1420" s="1" t="str">
        <f>formatRow(Tokens!J$2:AV$2,Tokens!J1420:AV1420,2,"attributes")</f>
        <v>"attributes":[]</v>
      </c>
      <c r="X1420" s="1" t="str">
        <f>formatRow(Tokens!AX$2:BC$2,Tokens!AX1420:BC1420,2,"creators")</f>
        <v>"creators":[]</v>
      </c>
      <c r="Y1420" s="1" t="str">
        <f>formatRow(Tokens!BD$2:BI$2,Tokens!BD1420:BI1420,2,"files")</f>
        <v>"files":[]</v>
      </c>
      <c r="Z1420" s="1"/>
      <c r="AA1420" s="1"/>
      <c r="AB1420" s="1"/>
      <c r="AC1420" s="1" t="str">
        <f>formatRow(Tokens!BJ$2:BK$2,Tokens!BJ1420:BK1420,0,"collection")</f>
        <v>"collection":{"name":"",_x000D_
"family":""}</v>
      </c>
    </row>
    <row r="1421" spans="5:29" ht="14.25" customHeight="1" x14ac:dyDescent="0.25">
      <c r="E1421" s="17" t="str">
        <f>IF(Tokens!C1421="","",Tokens!C1421)</f>
        <v/>
      </c>
      <c r="F1421" s="56"/>
      <c r="G1421" t="s">
        <v>164</v>
      </c>
      <c r="H1421" s="57" t="s">
        <v>165</v>
      </c>
      <c r="I1421" s="2" t="s">
        <v>166</v>
      </c>
      <c r="J1421" s="2" t="s">
        <v>167</v>
      </c>
      <c r="M1421" s="15"/>
      <c r="N1421">
        <v>6.9258811930000004</v>
      </c>
      <c r="O1421" s="15">
        <f t="shared" si="44"/>
        <v>0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1" t="str">
        <f>"owner=" &amp; Tokens!BS1421 &amp; "&amp;filename_for_metadata=" &amp; Tokens!BT1421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1" s="1" t="str">
        <f>formatRow(Tokens!C$2:I$2,Tokens!C1421:I1421)</f>
        <v>"name":"",_x000D_
"symbol":"",_x000D_
"description":"",_x000D_
"seller_fee_basis_points":"",_x000D_
"image":"",_x000D_
"Issuer":"",_x000D_
"external_url":""</v>
      </c>
      <c r="W1421" s="1" t="str">
        <f>formatRow(Tokens!J$2:AV$2,Tokens!J1421:AV1421,2,"attributes")</f>
        <v>"attributes":[]</v>
      </c>
      <c r="X1421" s="1" t="str">
        <f>formatRow(Tokens!AX$2:BC$2,Tokens!AX1421:BC1421,2,"creators")</f>
        <v>"creators":[]</v>
      </c>
      <c r="Y1421" s="1" t="str">
        <f>formatRow(Tokens!BD$2:BI$2,Tokens!BD1421:BI1421,2,"files")</f>
        <v>"files":[]</v>
      </c>
      <c r="Z1421" s="1"/>
      <c r="AA1421" s="1"/>
      <c r="AB1421" s="1"/>
      <c r="AC1421" s="1" t="str">
        <f>formatRow(Tokens!BJ$2:BK$2,Tokens!BJ1421:BK1421,0,"collection")</f>
        <v>"collection":{"name":"",_x000D_
"family":""}</v>
      </c>
    </row>
    <row r="1422" spans="5:29" ht="14.25" customHeight="1" x14ac:dyDescent="0.25">
      <c r="E1422" s="17" t="str">
        <f>IF(Tokens!C1422="","",Tokens!C1422)</f>
        <v/>
      </c>
      <c r="F1422" s="56"/>
      <c r="G1422" t="s">
        <v>164</v>
      </c>
      <c r="H1422" s="57" t="s">
        <v>165</v>
      </c>
      <c r="I1422" s="2" t="s">
        <v>166</v>
      </c>
      <c r="J1422" s="2" t="s">
        <v>167</v>
      </c>
      <c r="M1422" s="15"/>
      <c r="N1422">
        <v>6.9258811930000004</v>
      </c>
      <c r="O1422" s="15">
        <f t="shared" si="44"/>
        <v>0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1" t="str">
        <f>"owner=" &amp; Tokens!BS1422 &amp; "&amp;filename_for_metadata=" &amp; Tokens!BT1422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2" s="1" t="str">
        <f>formatRow(Tokens!C$2:I$2,Tokens!C1422:I1422)</f>
        <v>"name":"",_x000D_
"symbol":"",_x000D_
"description":"",_x000D_
"seller_fee_basis_points":"",_x000D_
"image":"",_x000D_
"Issuer":"",_x000D_
"external_url":""</v>
      </c>
      <c r="W1422" s="1" t="str">
        <f>formatRow(Tokens!J$2:AV$2,Tokens!J1422:AV1422,2,"attributes")</f>
        <v>"attributes":[]</v>
      </c>
      <c r="X1422" s="1" t="str">
        <f>formatRow(Tokens!AX$2:BC$2,Tokens!AX1422:BC1422,2,"creators")</f>
        <v>"creators":[]</v>
      </c>
      <c r="Y1422" s="1" t="str">
        <f>formatRow(Tokens!BD$2:BI$2,Tokens!BD1422:BI1422,2,"files")</f>
        <v>"files":[]</v>
      </c>
      <c r="Z1422" s="1"/>
      <c r="AA1422" s="1"/>
      <c r="AB1422" s="1"/>
      <c r="AC1422" s="1" t="str">
        <f>formatRow(Tokens!BJ$2:BK$2,Tokens!BJ1422:BK1422,0,"collection")</f>
        <v>"collection":{"name":"",_x000D_
"family":""}</v>
      </c>
    </row>
    <row r="1423" spans="5:29" ht="14.25" customHeight="1" x14ac:dyDescent="0.25">
      <c r="E1423" s="17" t="str">
        <f>IF(Tokens!C1423="","",Tokens!C1423)</f>
        <v/>
      </c>
      <c r="F1423" s="56"/>
      <c r="G1423" t="s">
        <v>164</v>
      </c>
      <c r="H1423" s="57" t="s">
        <v>165</v>
      </c>
      <c r="I1423" s="2" t="s">
        <v>166</v>
      </c>
      <c r="J1423" s="2" t="s">
        <v>167</v>
      </c>
      <c r="M1423" s="15"/>
      <c r="N1423">
        <v>6.9258811930000004</v>
      </c>
      <c r="O1423" s="15">
        <f t="shared" si="44"/>
        <v>0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1" t="str">
        <f>"owner=" &amp; Tokens!BS1423 &amp; "&amp;filename_for_metadata=" &amp; Tokens!BT1423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3" s="1" t="str">
        <f>formatRow(Tokens!C$2:I$2,Tokens!C1423:I1423)</f>
        <v>"name":"",_x000D_
"symbol":"",_x000D_
"description":"",_x000D_
"seller_fee_basis_points":"",_x000D_
"image":"",_x000D_
"Issuer":"",_x000D_
"external_url":""</v>
      </c>
      <c r="W1423" s="1" t="str">
        <f>formatRow(Tokens!J$2:AV$2,Tokens!J1423:AV1423,2,"attributes")</f>
        <v>"attributes":[]</v>
      </c>
      <c r="X1423" s="1" t="str">
        <f>formatRow(Tokens!AX$2:BC$2,Tokens!AX1423:BC1423,2,"creators")</f>
        <v>"creators":[]</v>
      </c>
      <c r="Y1423" s="1" t="str">
        <f>formatRow(Tokens!BD$2:BI$2,Tokens!BD1423:BI1423,2,"files")</f>
        <v>"files":[]</v>
      </c>
      <c r="Z1423" s="1"/>
      <c r="AA1423" s="1"/>
      <c r="AB1423" s="1"/>
      <c r="AC1423" s="1" t="str">
        <f>formatRow(Tokens!BJ$2:BK$2,Tokens!BJ1423:BK1423,0,"collection")</f>
        <v>"collection":{"name":"",_x000D_
"family":""}</v>
      </c>
    </row>
    <row r="1424" spans="5:29" ht="14.25" customHeight="1" x14ac:dyDescent="0.25">
      <c r="E1424" s="17" t="str">
        <f>IF(Tokens!C1424="","",Tokens!C1424)</f>
        <v/>
      </c>
      <c r="F1424" s="56"/>
      <c r="G1424" t="s">
        <v>164</v>
      </c>
      <c r="H1424" s="57" t="s">
        <v>165</v>
      </c>
      <c r="I1424" s="2" t="s">
        <v>166</v>
      </c>
      <c r="J1424" s="2" t="s">
        <v>167</v>
      </c>
      <c r="M1424" s="15"/>
      <c r="N1424">
        <v>6.9258811930000004</v>
      </c>
      <c r="O1424" s="15">
        <f t="shared" si="44"/>
        <v>0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1" t="str">
        <f>"owner=" &amp; Tokens!BS1424 &amp; "&amp;filename_for_metadata=" &amp; Tokens!BT1424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4" s="1" t="str">
        <f>formatRow(Tokens!C$2:I$2,Tokens!C1424:I1424)</f>
        <v>"name":"",_x000D_
"symbol":"",_x000D_
"description":"",_x000D_
"seller_fee_basis_points":"",_x000D_
"image":"",_x000D_
"Issuer":"",_x000D_
"external_url":""</v>
      </c>
      <c r="W1424" s="1" t="str">
        <f>formatRow(Tokens!J$2:AV$2,Tokens!J1424:AV1424,2,"attributes")</f>
        <v>"attributes":[]</v>
      </c>
      <c r="X1424" s="1" t="str">
        <f>formatRow(Tokens!AX$2:BC$2,Tokens!AX1424:BC1424,2,"creators")</f>
        <v>"creators":[]</v>
      </c>
      <c r="Y1424" s="1" t="str">
        <f>formatRow(Tokens!BD$2:BI$2,Tokens!BD1424:BI1424,2,"files")</f>
        <v>"files":[]</v>
      </c>
      <c r="Z1424" s="1"/>
      <c r="AA1424" s="1"/>
      <c r="AB1424" s="1"/>
      <c r="AC1424" s="1" t="str">
        <f>formatRow(Tokens!BJ$2:BK$2,Tokens!BJ1424:BK1424,0,"collection")</f>
        <v>"collection":{"name":"",_x000D_
"family":""}</v>
      </c>
    </row>
    <row r="1425" spans="5:29" ht="14.25" customHeight="1" x14ac:dyDescent="0.25">
      <c r="E1425" s="17" t="str">
        <f>IF(Tokens!C1425="","",Tokens!C1425)</f>
        <v/>
      </c>
      <c r="F1425" s="56"/>
      <c r="G1425" t="s">
        <v>164</v>
      </c>
      <c r="H1425" s="57" t="s">
        <v>165</v>
      </c>
      <c r="I1425" s="2" t="s">
        <v>166</v>
      </c>
      <c r="J1425" s="2" t="s">
        <v>167</v>
      </c>
      <c r="M1425" s="15"/>
      <c r="N1425">
        <v>6.9258811930000004</v>
      </c>
      <c r="O1425" s="15">
        <f t="shared" si="44"/>
        <v>0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1" t="str">
        <f>"owner=" &amp; Tokens!BS1425 &amp; "&amp;filename_for_metadata=" &amp; Tokens!BT1425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5" s="1" t="str">
        <f>formatRow(Tokens!C$2:I$2,Tokens!C1425:I1425)</f>
        <v>"name":"",_x000D_
"symbol":"",_x000D_
"description":"",_x000D_
"seller_fee_basis_points":"",_x000D_
"image":"",_x000D_
"Issuer":"",_x000D_
"external_url":""</v>
      </c>
      <c r="W1425" s="1" t="str">
        <f>formatRow(Tokens!J$2:AV$2,Tokens!J1425:AV1425,2,"attributes")</f>
        <v>"attributes":[]</v>
      </c>
      <c r="X1425" s="1" t="str">
        <f>formatRow(Tokens!AX$2:BC$2,Tokens!AX1425:BC1425,2,"creators")</f>
        <v>"creators":[]</v>
      </c>
      <c r="Y1425" s="1" t="str">
        <f>formatRow(Tokens!BD$2:BI$2,Tokens!BD1425:BI1425,2,"files")</f>
        <v>"files":[]</v>
      </c>
      <c r="Z1425" s="1"/>
      <c r="AA1425" s="1"/>
      <c r="AB1425" s="1"/>
      <c r="AC1425" s="1" t="str">
        <f>formatRow(Tokens!BJ$2:BK$2,Tokens!BJ1425:BK1425,0,"collection")</f>
        <v>"collection":{"name":"",_x000D_
"family":""}</v>
      </c>
    </row>
    <row r="1426" spans="5:29" ht="14.25" customHeight="1" x14ac:dyDescent="0.25">
      <c r="E1426" s="17" t="str">
        <f>IF(Tokens!C1426="","",Tokens!C1426)</f>
        <v/>
      </c>
      <c r="F1426" s="56"/>
      <c r="G1426" t="s">
        <v>164</v>
      </c>
      <c r="H1426" s="57" t="s">
        <v>165</v>
      </c>
      <c r="I1426" s="2" t="s">
        <v>166</v>
      </c>
      <c r="J1426" s="2" t="s">
        <v>167</v>
      </c>
      <c r="M1426" s="15"/>
      <c r="N1426">
        <v>6.9258811930000004</v>
      </c>
      <c r="O1426" s="15">
        <f t="shared" si="44"/>
        <v>0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1" t="str">
        <f>"owner=" &amp; Tokens!BS1426 &amp; "&amp;filename_for_metadata=" &amp; Tokens!BT1426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6" s="1" t="str">
        <f>formatRow(Tokens!C$2:I$2,Tokens!C1426:I1426)</f>
        <v>"name":"",_x000D_
"symbol":"",_x000D_
"description":"",_x000D_
"seller_fee_basis_points":"",_x000D_
"image":"",_x000D_
"Issuer":"",_x000D_
"external_url":""</v>
      </c>
      <c r="W1426" s="1" t="str">
        <f>formatRow(Tokens!J$2:AV$2,Tokens!J1426:AV1426,2,"attributes")</f>
        <v>"attributes":[]</v>
      </c>
      <c r="X1426" s="1" t="str">
        <f>formatRow(Tokens!AX$2:BC$2,Tokens!AX1426:BC1426,2,"creators")</f>
        <v>"creators":[]</v>
      </c>
      <c r="Y1426" s="1" t="str">
        <f>formatRow(Tokens!BD$2:BI$2,Tokens!BD1426:BI1426,2,"files")</f>
        <v>"files":[]</v>
      </c>
      <c r="Z1426" s="1"/>
      <c r="AA1426" s="1"/>
      <c r="AB1426" s="1"/>
      <c r="AC1426" s="1" t="str">
        <f>formatRow(Tokens!BJ$2:BK$2,Tokens!BJ1426:BK1426,0,"collection")</f>
        <v>"collection":{"name":"",_x000D_
"family":""}</v>
      </c>
    </row>
    <row r="1427" spans="5:29" ht="14.25" customHeight="1" x14ac:dyDescent="0.25">
      <c r="E1427" s="17" t="str">
        <f>IF(Tokens!C1427="","",Tokens!C1427)</f>
        <v/>
      </c>
      <c r="F1427" s="56"/>
      <c r="G1427" t="s">
        <v>164</v>
      </c>
      <c r="H1427" s="57" t="s">
        <v>165</v>
      </c>
      <c r="I1427" s="2" t="s">
        <v>166</v>
      </c>
      <c r="J1427" s="2" t="s">
        <v>167</v>
      </c>
      <c r="M1427" s="15"/>
      <c r="N1427">
        <v>6.9258811930000004</v>
      </c>
      <c r="O1427" s="15">
        <f t="shared" si="44"/>
        <v>0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1" t="str">
        <f>"owner=" &amp; Tokens!BS1427 &amp; "&amp;filename_for_metadata=" &amp; Tokens!BT1427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7" s="1" t="str">
        <f>formatRow(Tokens!C$2:I$2,Tokens!C1427:I1427)</f>
        <v>"name":"",_x000D_
"symbol":"",_x000D_
"description":"",_x000D_
"seller_fee_basis_points":"",_x000D_
"image":"",_x000D_
"Issuer":"",_x000D_
"external_url":""</v>
      </c>
      <c r="W1427" s="1" t="str">
        <f>formatRow(Tokens!J$2:AV$2,Tokens!J1427:AV1427,2,"attributes")</f>
        <v>"attributes":[]</v>
      </c>
      <c r="X1427" s="1" t="str">
        <f>formatRow(Tokens!AX$2:BC$2,Tokens!AX1427:BC1427,2,"creators")</f>
        <v>"creators":[]</v>
      </c>
      <c r="Y1427" s="1" t="str">
        <f>formatRow(Tokens!BD$2:BI$2,Tokens!BD1427:BI1427,2,"files")</f>
        <v>"files":[]</v>
      </c>
      <c r="Z1427" s="1"/>
      <c r="AA1427" s="1"/>
      <c r="AB1427" s="1"/>
      <c r="AC1427" s="1" t="str">
        <f>formatRow(Tokens!BJ$2:BK$2,Tokens!BJ1427:BK1427,0,"collection")</f>
        <v>"collection":{"name":"",_x000D_
"family":""}</v>
      </c>
    </row>
    <row r="1428" spans="5:29" ht="14.25" customHeight="1" x14ac:dyDescent="0.25">
      <c r="E1428" s="17" t="str">
        <f>IF(Tokens!C1428="","",Tokens!C1428)</f>
        <v/>
      </c>
      <c r="F1428" s="56"/>
      <c r="G1428" t="s">
        <v>164</v>
      </c>
      <c r="H1428" s="57" t="s">
        <v>165</v>
      </c>
      <c r="I1428" s="2" t="s">
        <v>166</v>
      </c>
      <c r="J1428" s="2" t="s">
        <v>167</v>
      </c>
      <c r="M1428" s="15"/>
      <c r="N1428">
        <v>6.9258811930000004</v>
      </c>
      <c r="O1428" s="15">
        <f t="shared" si="44"/>
        <v>0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1" t="str">
        <f>"owner=" &amp; Tokens!BS1428 &amp; "&amp;filename_for_metadata=" &amp; Tokens!BT1428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8" s="1" t="str">
        <f>formatRow(Tokens!C$2:I$2,Tokens!C1428:I1428)</f>
        <v>"name":"",_x000D_
"symbol":"",_x000D_
"description":"",_x000D_
"seller_fee_basis_points":"",_x000D_
"image":"",_x000D_
"Issuer":"",_x000D_
"external_url":""</v>
      </c>
      <c r="W1428" s="1" t="str">
        <f>formatRow(Tokens!J$2:AV$2,Tokens!J1428:AV1428,2,"attributes")</f>
        <v>"attributes":[]</v>
      </c>
      <c r="X1428" s="1" t="str">
        <f>formatRow(Tokens!AX$2:BC$2,Tokens!AX1428:BC1428,2,"creators")</f>
        <v>"creators":[]</v>
      </c>
      <c r="Y1428" s="1" t="str">
        <f>formatRow(Tokens!BD$2:BI$2,Tokens!BD1428:BI1428,2,"files")</f>
        <v>"files":[]</v>
      </c>
      <c r="Z1428" s="1"/>
      <c r="AA1428" s="1"/>
      <c r="AB1428" s="1"/>
      <c r="AC1428" s="1" t="str">
        <f>formatRow(Tokens!BJ$2:BK$2,Tokens!BJ1428:BK1428,0,"collection")</f>
        <v>"collection":{"name":"",_x000D_
"family":""}</v>
      </c>
    </row>
    <row r="1429" spans="5:29" ht="14.25" customHeight="1" x14ac:dyDescent="0.25">
      <c r="E1429" s="17" t="str">
        <f>IF(Tokens!C1429="","",Tokens!C1429)</f>
        <v/>
      </c>
      <c r="F1429" s="56"/>
      <c r="G1429" t="s">
        <v>164</v>
      </c>
      <c r="H1429" s="57" t="s">
        <v>165</v>
      </c>
      <c r="I1429" s="2" t="s">
        <v>166</v>
      </c>
      <c r="J1429" s="2" t="s">
        <v>167</v>
      </c>
      <c r="M1429" s="15"/>
      <c r="N1429">
        <v>6.9258811930000004</v>
      </c>
      <c r="O1429" s="15">
        <f t="shared" si="44"/>
        <v>0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1" t="str">
        <f>"owner=" &amp; Tokens!BS1429 &amp; "&amp;filename_for_metadata=" &amp; Tokens!BT1429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2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29" s="1" t="str">
        <f>formatRow(Tokens!C$2:I$2,Tokens!C1429:I1429)</f>
        <v>"name":"",_x000D_
"symbol":"",_x000D_
"description":"",_x000D_
"seller_fee_basis_points":"",_x000D_
"image":"",_x000D_
"Issuer":"",_x000D_
"external_url":""</v>
      </c>
      <c r="W1429" s="1" t="str">
        <f>formatRow(Tokens!J$2:AV$2,Tokens!J1429:AV1429,2,"attributes")</f>
        <v>"attributes":[]</v>
      </c>
      <c r="X1429" s="1" t="str">
        <f>formatRow(Tokens!AX$2:BC$2,Tokens!AX1429:BC1429,2,"creators")</f>
        <v>"creators":[]</v>
      </c>
      <c r="Y1429" s="1" t="str">
        <f>formatRow(Tokens!BD$2:BI$2,Tokens!BD1429:BI1429,2,"files")</f>
        <v>"files":[]</v>
      </c>
      <c r="Z1429" s="1"/>
      <c r="AA1429" s="1"/>
      <c r="AB1429" s="1"/>
      <c r="AC1429" s="1" t="str">
        <f>formatRow(Tokens!BJ$2:BK$2,Tokens!BJ1429:BK1429,0,"collection")</f>
        <v>"collection":{"name":"",_x000D_
"family":""}</v>
      </c>
    </row>
    <row r="1430" spans="5:29" ht="14.25" customHeight="1" x14ac:dyDescent="0.25">
      <c r="E1430" s="17" t="str">
        <f>IF(Tokens!C1430="","",Tokens!C1430)</f>
        <v/>
      </c>
      <c r="F1430" s="56"/>
      <c r="G1430" t="s">
        <v>164</v>
      </c>
      <c r="H1430" s="57" t="s">
        <v>165</v>
      </c>
      <c r="I1430" s="2" t="s">
        <v>166</v>
      </c>
      <c r="J1430" s="2" t="s">
        <v>167</v>
      </c>
      <c r="M1430" s="15"/>
      <c r="N1430">
        <v>6.9258811930000004</v>
      </c>
      <c r="O1430" s="15">
        <f t="shared" si="44"/>
        <v>0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1" t="str">
        <f>"owner=" &amp; Tokens!BS1430 &amp; "&amp;filename_for_metadata=" &amp; Tokens!BT1430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0" s="1" t="str">
        <f>formatRow(Tokens!C$2:I$2,Tokens!C1430:I1430)</f>
        <v>"name":"",_x000D_
"symbol":"",_x000D_
"description":"",_x000D_
"seller_fee_basis_points":"",_x000D_
"image":"",_x000D_
"Issuer":"",_x000D_
"external_url":""</v>
      </c>
      <c r="W1430" s="1" t="str">
        <f>formatRow(Tokens!J$2:AV$2,Tokens!J1430:AV1430,2,"attributes")</f>
        <v>"attributes":[]</v>
      </c>
      <c r="X1430" s="1" t="str">
        <f>formatRow(Tokens!AX$2:BC$2,Tokens!AX1430:BC1430,2,"creators")</f>
        <v>"creators":[]</v>
      </c>
      <c r="Y1430" s="1" t="str">
        <f>formatRow(Tokens!BD$2:BI$2,Tokens!BD1430:BI1430,2,"files")</f>
        <v>"files":[]</v>
      </c>
      <c r="Z1430" s="1"/>
      <c r="AA1430" s="1"/>
      <c r="AB1430" s="1"/>
      <c r="AC1430" s="1" t="str">
        <f>formatRow(Tokens!BJ$2:BK$2,Tokens!BJ1430:BK1430,0,"collection")</f>
        <v>"collection":{"name":"",_x000D_
"family":""}</v>
      </c>
    </row>
    <row r="1431" spans="5:29" ht="14.25" customHeight="1" x14ac:dyDescent="0.25">
      <c r="E1431" s="17" t="str">
        <f>IF(Tokens!C1431="","",Tokens!C1431)</f>
        <v/>
      </c>
      <c r="F1431" s="56"/>
      <c r="G1431" t="s">
        <v>164</v>
      </c>
      <c r="H1431" s="57" t="s">
        <v>165</v>
      </c>
      <c r="I1431" s="2" t="s">
        <v>166</v>
      </c>
      <c r="J1431" s="2" t="s">
        <v>167</v>
      </c>
      <c r="M1431" s="15"/>
      <c r="N1431">
        <v>6.9258811930000004</v>
      </c>
      <c r="O1431" s="15">
        <f t="shared" si="44"/>
        <v>0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1" t="str">
        <f>"owner=" &amp; Tokens!BS1431 &amp; "&amp;filename_for_metadata=" &amp; Tokens!BT1431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1" s="1" t="str">
        <f>formatRow(Tokens!C$2:I$2,Tokens!C1431:I1431)</f>
        <v>"name":"",_x000D_
"symbol":"",_x000D_
"description":"",_x000D_
"seller_fee_basis_points":"",_x000D_
"image":"",_x000D_
"Issuer":"",_x000D_
"external_url":""</v>
      </c>
      <c r="W1431" s="1" t="str">
        <f>formatRow(Tokens!J$2:AV$2,Tokens!J1431:AV1431,2,"attributes")</f>
        <v>"attributes":[]</v>
      </c>
      <c r="X1431" s="1" t="str">
        <f>formatRow(Tokens!AX$2:BC$2,Tokens!AX1431:BC1431,2,"creators")</f>
        <v>"creators":[]</v>
      </c>
      <c r="Y1431" s="1" t="str">
        <f>formatRow(Tokens!BD$2:BI$2,Tokens!BD1431:BI1431,2,"files")</f>
        <v>"files":[]</v>
      </c>
      <c r="Z1431" s="1"/>
      <c r="AA1431" s="1"/>
      <c r="AB1431" s="1"/>
      <c r="AC1431" s="1" t="str">
        <f>formatRow(Tokens!BJ$2:BK$2,Tokens!BJ1431:BK1431,0,"collection")</f>
        <v>"collection":{"name":"",_x000D_
"family":""}</v>
      </c>
    </row>
    <row r="1432" spans="5:29" ht="14.25" customHeight="1" x14ac:dyDescent="0.25">
      <c r="E1432" s="17" t="str">
        <f>IF(Tokens!C1432="","",Tokens!C1432)</f>
        <v/>
      </c>
      <c r="F1432" s="56"/>
      <c r="G1432" t="s">
        <v>164</v>
      </c>
      <c r="H1432" s="57" t="s">
        <v>165</v>
      </c>
      <c r="I1432" s="2" t="s">
        <v>166</v>
      </c>
      <c r="J1432" s="2" t="s">
        <v>167</v>
      </c>
      <c r="M1432" s="15"/>
      <c r="N1432">
        <v>6.9258811930000004</v>
      </c>
      <c r="O1432" s="15">
        <f t="shared" si="44"/>
        <v>0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1" t="str">
        <f>"owner=" &amp; Tokens!BS1432 &amp; "&amp;filename_for_metadata=" &amp; Tokens!BT1432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2" s="1" t="str">
        <f>formatRow(Tokens!C$2:I$2,Tokens!C1432:I1432)</f>
        <v>"name":"",_x000D_
"symbol":"",_x000D_
"description":"",_x000D_
"seller_fee_basis_points":"",_x000D_
"image":"",_x000D_
"Issuer":"",_x000D_
"external_url":""</v>
      </c>
      <c r="W1432" s="1" t="str">
        <f>formatRow(Tokens!J$2:AV$2,Tokens!J1432:AV1432,2,"attributes")</f>
        <v>"attributes":[]</v>
      </c>
      <c r="X1432" s="1" t="str">
        <f>formatRow(Tokens!AX$2:BC$2,Tokens!AX1432:BC1432,2,"creators")</f>
        <v>"creators":[]</v>
      </c>
      <c r="Y1432" s="1" t="str">
        <f>formatRow(Tokens!BD$2:BI$2,Tokens!BD1432:BI1432,2,"files")</f>
        <v>"files":[]</v>
      </c>
      <c r="Z1432" s="1"/>
      <c r="AA1432" s="1"/>
      <c r="AB1432" s="1"/>
      <c r="AC1432" s="1" t="str">
        <f>formatRow(Tokens!BJ$2:BK$2,Tokens!BJ1432:BK1432,0,"collection")</f>
        <v>"collection":{"name":"",_x000D_
"family":""}</v>
      </c>
    </row>
    <row r="1433" spans="5:29" ht="14.25" customHeight="1" x14ac:dyDescent="0.25">
      <c r="E1433" s="17" t="str">
        <f>IF(Tokens!C1433="","",Tokens!C1433)</f>
        <v/>
      </c>
      <c r="F1433" s="56"/>
      <c r="G1433" t="s">
        <v>164</v>
      </c>
      <c r="H1433" s="57" t="s">
        <v>165</v>
      </c>
      <c r="I1433" s="2" t="s">
        <v>166</v>
      </c>
      <c r="J1433" s="2" t="s">
        <v>167</v>
      </c>
      <c r="M1433" s="15"/>
      <c r="N1433">
        <v>6.9258811930000004</v>
      </c>
      <c r="O1433" s="15">
        <f t="shared" si="44"/>
        <v>0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1" t="str">
        <f>"owner=" &amp; Tokens!BS1433 &amp; "&amp;filename_for_metadata=" &amp; Tokens!BT1433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3" s="1" t="str">
        <f>formatRow(Tokens!C$2:I$2,Tokens!C1433:I1433)</f>
        <v>"name":"",_x000D_
"symbol":"",_x000D_
"description":"",_x000D_
"seller_fee_basis_points":"",_x000D_
"image":"",_x000D_
"Issuer":"",_x000D_
"external_url":""</v>
      </c>
      <c r="W1433" s="1" t="str">
        <f>formatRow(Tokens!J$2:AV$2,Tokens!J1433:AV1433,2,"attributes")</f>
        <v>"attributes":[]</v>
      </c>
      <c r="X1433" s="1" t="str">
        <f>formatRow(Tokens!AX$2:BC$2,Tokens!AX1433:BC1433,2,"creators")</f>
        <v>"creators":[]</v>
      </c>
      <c r="Y1433" s="1" t="str">
        <f>formatRow(Tokens!BD$2:BI$2,Tokens!BD1433:BI1433,2,"files")</f>
        <v>"files":[]</v>
      </c>
      <c r="Z1433" s="1"/>
      <c r="AA1433" s="1"/>
      <c r="AB1433" s="1"/>
      <c r="AC1433" s="1" t="str">
        <f>formatRow(Tokens!BJ$2:BK$2,Tokens!BJ1433:BK1433,0,"collection")</f>
        <v>"collection":{"name":"",_x000D_
"family":""}</v>
      </c>
    </row>
    <row r="1434" spans="5:29" ht="14.25" customHeight="1" x14ac:dyDescent="0.25">
      <c r="E1434" s="17" t="str">
        <f>IF(Tokens!C1434="","",Tokens!C1434)</f>
        <v/>
      </c>
      <c r="F1434" s="56"/>
      <c r="G1434" t="s">
        <v>164</v>
      </c>
      <c r="H1434" s="57" t="s">
        <v>165</v>
      </c>
      <c r="I1434" s="2" t="s">
        <v>166</v>
      </c>
      <c r="J1434" s="2" t="s">
        <v>167</v>
      </c>
      <c r="M1434" s="15"/>
      <c r="N1434">
        <v>6.9258811930000004</v>
      </c>
      <c r="O1434" s="15">
        <f t="shared" si="44"/>
        <v>0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1" t="str">
        <f>"owner=" &amp; Tokens!BS1434 &amp; "&amp;filename_for_metadata=" &amp; Tokens!BT1434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4" s="1" t="str">
        <f>formatRow(Tokens!C$2:I$2,Tokens!C1434:I1434)</f>
        <v>"name":"",_x000D_
"symbol":"",_x000D_
"description":"",_x000D_
"seller_fee_basis_points":"",_x000D_
"image":"",_x000D_
"Issuer":"",_x000D_
"external_url":""</v>
      </c>
      <c r="W1434" s="1" t="str">
        <f>formatRow(Tokens!J$2:AV$2,Tokens!J1434:AV1434,2,"attributes")</f>
        <v>"attributes":[]</v>
      </c>
      <c r="X1434" s="1" t="str">
        <f>formatRow(Tokens!AX$2:BC$2,Tokens!AX1434:BC1434,2,"creators")</f>
        <v>"creators":[]</v>
      </c>
      <c r="Y1434" s="1" t="str">
        <f>formatRow(Tokens!BD$2:BI$2,Tokens!BD1434:BI1434,2,"files")</f>
        <v>"files":[]</v>
      </c>
      <c r="Z1434" s="1"/>
      <c r="AA1434" s="1"/>
      <c r="AB1434" s="1"/>
      <c r="AC1434" s="1" t="str">
        <f>formatRow(Tokens!BJ$2:BK$2,Tokens!BJ1434:BK1434,0,"collection")</f>
        <v>"collection":{"name":"",_x000D_
"family":""}</v>
      </c>
    </row>
    <row r="1435" spans="5:29" ht="14.25" customHeight="1" x14ac:dyDescent="0.25">
      <c r="E1435" s="17" t="str">
        <f>IF(Tokens!C1435="","",Tokens!C1435)</f>
        <v/>
      </c>
      <c r="F1435" s="56"/>
      <c r="G1435" t="s">
        <v>164</v>
      </c>
      <c r="H1435" s="57" t="s">
        <v>165</v>
      </c>
      <c r="I1435" s="2" t="s">
        <v>166</v>
      </c>
      <c r="J1435" s="2" t="s">
        <v>167</v>
      </c>
      <c r="M1435" s="15"/>
      <c r="N1435">
        <v>6.9258811930000004</v>
      </c>
      <c r="O1435" s="15">
        <f t="shared" si="44"/>
        <v>0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1" t="str">
        <f>"owner=" &amp; Tokens!BS1435 &amp; "&amp;filename_for_metadata=" &amp; Tokens!BT1435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5" s="1" t="str">
        <f>formatRow(Tokens!C$2:I$2,Tokens!C1435:I1435)</f>
        <v>"name":"",_x000D_
"symbol":"",_x000D_
"description":"",_x000D_
"seller_fee_basis_points":"",_x000D_
"image":"",_x000D_
"Issuer":"",_x000D_
"external_url":""</v>
      </c>
      <c r="W1435" s="1" t="str">
        <f>formatRow(Tokens!J$2:AV$2,Tokens!J1435:AV1435,2,"attributes")</f>
        <v>"attributes":[]</v>
      </c>
      <c r="X1435" s="1" t="str">
        <f>formatRow(Tokens!AX$2:BC$2,Tokens!AX1435:BC1435,2,"creators")</f>
        <v>"creators":[]</v>
      </c>
      <c r="Y1435" s="1" t="str">
        <f>formatRow(Tokens!BD$2:BI$2,Tokens!BD1435:BI1435,2,"files")</f>
        <v>"files":[]</v>
      </c>
      <c r="Z1435" s="1"/>
      <c r="AA1435" s="1"/>
      <c r="AB1435" s="1"/>
      <c r="AC1435" s="1" t="str">
        <f>formatRow(Tokens!BJ$2:BK$2,Tokens!BJ1435:BK1435,0,"collection")</f>
        <v>"collection":{"name":"",_x000D_
"family":""}</v>
      </c>
    </row>
    <row r="1436" spans="5:29" ht="14.25" customHeight="1" x14ac:dyDescent="0.25">
      <c r="E1436" s="17" t="str">
        <f>IF(Tokens!C1436="","",Tokens!C1436)</f>
        <v/>
      </c>
      <c r="F1436" s="56"/>
      <c r="G1436" t="s">
        <v>164</v>
      </c>
      <c r="H1436" s="57" t="s">
        <v>165</v>
      </c>
      <c r="I1436" s="2" t="s">
        <v>166</v>
      </c>
      <c r="J1436" s="2" t="s">
        <v>167</v>
      </c>
      <c r="M1436" s="15"/>
      <c r="N1436">
        <v>6.9258811930000004</v>
      </c>
      <c r="O1436" s="15">
        <f t="shared" si="44"/>
        <v>0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1" t="str">
        <f>"owner=" &amp; Tokens!BS1436 &amp; "&amp;filename_for_metadata=" &amp; Tokens!BT1436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6" s="1" t="str">
        <f>formatRow(Tokens!C$2:I$2,Tokens!C1436:I1436)</f>
        <v>"name":"",_x000D_
"symbol":"",_x000D_
"description":"",_x000D_
"seller_fee_basis_points":"",_x000D_
"image":"",_x000D_
"Issuer":"",_x000D_
"external_url":""</v>
      </c>
      <c r="W1436" s="1" t="str">
        <f>formatRow(Tokens!J$2:AV$2,Tokens!J1436:AV1436,2,"attributes")</f>
        <v>"attributes":[]</v>
      </c>
      <c r="X1436" s="1" t="str">
        <f>formatRow(Tokens!AX$2:BC$2,Tokens!AX1436:BC1436,2,"creators")</f>
        <v>"creators":[]</v>
      </c>
      <c r="Y1436" s="1" t="str">
        <f>formatRow(Tokens!BD$2:BI$2,Tokens!BD1436:BI1436,2,"files")</f>
        <v>"files":[]</v>
      </c>
      <c r="Z1436" s="1"/>
      <c r="AA1436" s="1"/>
      <c r="AB1436" s="1"/>
      <c r="AC1436" s="1" t="str">
        <f>formatRow(Tokens!BJ$2:BK$2,Tokens!BJ1436:BK1436,0,"collection")</f>
        <v>"collection":{"name":"",_x000D_
"family":""}</v>
      </c>
    </row>
    <row r="1437" spans="5:29" ht="14.25" customHeight="1" x14ac:dyDescent="0.25">
      <c r="E1437" s="17" t="str">
        <f>IF(Tokens!C1437="","",Tokens!C1437)</f>
        <v/>
      </c>
      <c r="F1437" s="56"/>
      <c r="G1437" t="s">
        <v>164</v>
      </c>
      <c r="H1437" s="57" t="s">
        <v>165</v>
      </c>
      <c r="I1437" s="2" t="s">
        <v>166</v>
      </c>
      <c r="J1437" s="2" t="s">
        <v>167</v>
      </c>
      <c r="M1437" s="15"/>
      <c r="N1437">
        <v>6.9258811930000004</v>
      </c>
      <c r="O1437" s="15">
        <f t="shared" si="44"/>
        <v>0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1" t="str">
        <f>"owner=" &amp; Tokens!BS1437 &amp; "&amp;filename_for_metadata=" &amp; Tokens!BT1437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7" s="1" t="str">
        <f>formatRow(Tokens!C$2:I$2,Tokens!C1437:I1437)</f>
        <v>"name":"",_x000D_
"symbol":"",_x000D_
"description":"",_x000D_
"seller_fee_basis_points":"",_x000D_
"image":"",_x000D_
"Issuer":"",_x000D_
"external_url":""</v>
      </c>
      <c r="W1437" s="1" t="str">
        <f>formatRow(Tokens!J$2:AV$2,Tokens!J1437:AV1437,2,"attributes")</f>
        <v>"attributes":[]</v>
      </c>
      <c r="X1437" s="1" t="str">
        <f>formatRow(Tokens!AX$2:BC$2,Tokens!AX1437:BC1437,2,"creators")</f>
        <v>"creators":[]</v>
      </c>
      <c r="Y1437" s="1" t="str">
        <f>formatRow(Tokens!BD$2:BI$2,Tokens!BD1437:BI1437,2,"files")</f>
        <v>"files":[]</v>
      </c>
      <c r="Z1437" s="1"/>
      <c r="AA1437" s="1"/>
      <c r="AB1437" s="1"/>
      <c r="AC1437" s="1" t="str">
        <f>formatRow(Tokens!BJ$2:BK$2,Tokens!BJ1437:BK1437,0,"collection")</f>
        <v>"collection":{"name":"",_x000D_
"family":""}</v>
      </c>
    </row>
    <row r="1438" spans="5:29" ht="14.25" customHeight="1" x14ac:dyDescent="0.25">
      <c r="E1438" s="17" t="str">
        <f>IF(Tokens!C1438="","",Tokens!C1438)</f>
        <v/>
      </c>
      <c r="F1438" s="56"/>
      <c r="G1438" t="s">
        <v>164</v>
      </c>
      <c r="H1438" s="57" t="s">
        <v>165</v>
      </c>
      <c r="I1438" s="2" t="s">
        <v>166</v>
      </c>
      <c r="J1438" s="2" t="s">
        <v>167</v>
      </c>
      <c r="M1438" s="15"/>
      <c r="N1438">
        <v>6.9258811930000004</v>
      </c>
      <c r="O1438" s="15">
        <f t="shared" si="44"/>
        <v>0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1" t="str">
        <f>"owner=" &amp; Tokens!BS1438 &amp; "&amp;filename_for_metadata=" &amp; Tokens!BT1438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8" s="1" t="str">
        <f>formatRow(Tokens!C$2:I$2,Tokens!C1438:I1438)</f>
        <v>"name":"",_x000D_
"symbol":"",_x000D_
"description":"",_x000D_
"seller_fee_basis_points":"",_x000D_
"image":"",_x000D_
"Issuer":"",_x000D_
"external_url":""</v>
      </c>
      <c r="W1438" s="1" t="str">
        <f>formatRow(Tokens!J$2:AV$2,Tokens!J1438:AV1438,2,"attributes")</f>
        <v>"attributes":[]</v>
      </c>
      <c r="X1438" s="1" t="str">
        <f>formatRow(Tokens!AX$2:BC$2,Tokens!AX1438:BC1438,2,"creators")</f>
        <v>"creators":[]</v>
      </c>
      <c r="Y1438" s="1" t="str">
        <f>formatRow(Tokens!BD$2:BI$2,Tokens!BD1438:BI1438,2,"files")</f>
        <v>"files":[]</v>
      </c>
      <c r="Z1438" s="1"/>
      <c r="AA1438" s="1"/>
      <c r="AB1438" s="1"/>
      <c r="AC1438" s="1" t="str">
        <f>formatRow(Tokens!BJ$2:BK$2,Tokens!BJ1438:BK1438,0,"collection")</f>
        <v>"collection":{"name":"",_x000D_
"family":""}</v>
      </c>
    </row>
    <row r="1439" spans="5:29" ht="14.25" customHeight="1" x14ac:dyDescent="0.25">
      <c r="E1439" s="17" t="str">
        <f>IF(Tokens!C1439="","",Tokens!C1439)</f>
        <v/>
      </c>
      <c r="F1439" s="56"/>
      <c r="G1439" t="s">
        <v>164</v>
      </c>
      <c r="H1439" s="57" t="s">
        <v>165</v>
      </c>
      <c r="I1439" s="2" t="s">
        <v>166</v>
      </c>
      <c r="J1439" s="2" t="s">
        <v>167</v>
      </c>
      <c r="M1439" s="15"/>
      <c r="N1439">
        <v>6.9258811930000004</v>
      </c>
      <c r="O1439" s="15">
        <f t="shared" si="44"/>
        <v>0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1" t="str">
        <f>"owner=" &amp; Tokens!BS1439 &amp; "&amp;filename_for_metadata=" &amp; Tokens!BT1439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3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39" s="1" t="str">
        <f>formatRow(Tokens!C$2:I$2,Tokens!C1439:I1439)</f>
        <v>"name":"",_x000D_
"symbol":"",_x000D_
"description":"",_x000D_
"seller_fee_basis_points":"",_x000D_
"image":"",_x000D_
"Issuer":"",_x000D_
"external_url":""</v>
      </c>
      <c r="W1439" s="1" t="str">
        <f>formatRow(Tokens!J$2:AV$2,Tokens!J1439:AV1439,2,"attributes")</f>
        <v>"attributes":[]</v>
      </c>
      <c r="X1439" s="1" t="str">
        <f>formatRow(Tokens!AX$2:BC$2,Tokens!AX1439:BC1439,2,"creators")</f>
        <v>"creators":[]</v>
      </c>
      <c r="Y1439" s="1" t="str">
        <f>formatRow(Tokens!BD$2:BI$2,Tokens!BD1439:BI1439,2,"files")</f>
        <v>"files":[]</v>
      </c>
      <c r="Z1439" s="1"/>
      <c r="AA1439" s="1"/>
      <c r="AB1439" s="1"/>
      <c r="AC1439" s="1" t="str">
        <f>formatRow(Tokens!BJ$2:BK$2,Tokens!BJ1439:BK1439,0,"collection")</f>
        <v>"collection":{"name":"",_x000D_
"family":""}</v>
      </c>
    </row>
    <row r="1440" spans="5:29" ht="14.25" customHeight="1" x14ac:dyDescent="0.25">
      <c r="E1440" s="17" t="str">
        <f>IF(Tokens!C1440="","",Tokens!C1440)</f>
        <v/>
      </c>
      <c r="F1440" s="56"/>
      <c r="G1440" t="s">
        <v>164</v>
      </c>
      <c r="H1440" s="57" t="s">
        <v>165</v>
      </c>
      <c r="I1440" s="2" t="s">
        <v>166</v>
      </c>
      <c r="J1440" s="2" t="s">
        <v>167</v>
      </c>
      <c r="M1440" s="15"/>
      <c r="N1440">
        <v>6.9258811930000004</v>
      </c>
      <c r="O1440" s="15">
        <f t="shared" si="44"/>
        <v>0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1" t="str">
        <f>"owner=" &amp; Tokens!BS1440 &amp; "&amp;filename_for_metadata=" &amp; Tokens!BT1440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0" s="1" t="str">
        <f>formatRow(Tokens!C$2:I$2,Tokens!C1440:I1440)</f>
        <v>"name":"",_x000D_
"symbol":"",_x000D_
"description":"",_x000D_
"seller_fee_basis_points":"",_x000D_
"image":"",_x000D_
"Issuer":"",_x000D_
"external_url":""</v>
      </c>
      <c r="W1440" s="1" t="str">
        <f>formatRow(Tokens!J$2:AV$2,Tokens!J1440:AV1440,2,"attributes")</f>
        <v>"attributes":[]</v>
      </c>
      <c r="X1440" s="1" t="str">
        <f>formatRow(Tokens!AX$2:BC$2,Tokens!AX1440:BC1440,2,"creators")</f>
        <v>"creators":[]</v>
      </c>
      <c r="Y1440" s="1" t="str">
        <f>formatRow(Tokens!BD$2:BI$2,Tokens!BD1440:BI1440,2,"files")</f>
        <v>"files":[]</v>
      </c>
      <c r="Z1440" s="1"/>
      <c r="AA1440" s="1"/>
      <c r="AB1440" s="1"/>
      <c r="AC1440" s="1" t="str">
        <f>formatRow(Tokens!BJ$2:BK$2,Tokens!BJ1440:BK1440,0,"collection")</f>
        <v>"collection":{"name":"",_x000D_
"family":""}</v>
      </c>
    </row>
    <row r="1441" spans="5:29" ht="14.25" customHeight="1" x14ac:dyDescent="0.25">
      <c r="E1441" s="17" t="str">
        <f>IF(Tokens!C1441="","",Tokens!C1441)</f>
        <v/>
      </c>
      <c r="F1441" s="56"/>
      <c r="G1441" t="s">
        <v>164</v>
      </c>
      <c r="H1441" s="57" t="s">
        <v>165</v>
      </c>
      <c r="I1441" s="2" t="s">
        <v>166</v>
      </c>
      <c r="J1441" s="2" t="s">
        <v>167</v>
      </c>
      <c r="M1441" s="15"/>
      <c r="N1441">
        <v>6.9258811930000004</v>
      </c>
      <c r="O1441" s="15">
        <f t="shared" si="44"/>
        <v>0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1" t="str">
        <f>"owner=" &amp; Tokens!BS1441 &amp; "&amp;filename_for_metadata=" &amp; Tokens!BT1441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1" s="1" t="str">
        <f>formatRow(Tokens!C$2:I$2,Tokens!C1441:I1441)</f>
        <v>"name":"",_x000D_
"symbol":"",_x000D_
"description":"",_x000D_
"seller_fee_basis_points":"",_x000D_
"image":"",_x000D_
"Issuer":"",_x000D_
"external_url":""</v>
      </c>
      <c r="W1441" s="1" t="str">
        <f>formatRow(Tokens!J$2:AV$2,Tokens!J1441:AV1441,2,"attributes")</f>
        <v>"attributes":[]</v>
      </c>
      <c r="X1441" s="1" t="str">
        <f>formatRow(Tokens!AX$2:BC$2,Tokens!AX1441:BC1441,2,"creators")</f>
        <v>"creators":[]</v>
      </c>
      <c r="Y1441" s="1" t="str">
        <f>formatRow(Tokens!BD$2:BI$2,Tokens!BD1441:BI1441,2,"files")</f>
        <v>"files":[]</v>
      </c>
      <c r="Z1441" s="1"/>
      <c r="AA1441" s="1"/>
      <c r="AB1441" s="1"/>
      <c r="AC1441" s="1" t="str">
        <f>formatRow(Tokens!BJ$2:BK$2,Tokens!BJ1441:BK1441,0,"collection")</f>
        <v>"collection":{"name":"",_x000D_
"family":""}</v>
      </c>
    </row>
    <row r="1442" spans="5:29" ht="14.25" customHeight="1" x14ac:dyDescent="0.25">
      <c r="E1442" s="17" t="str">
        <f>IF(Tokens!C1442="","",Tokens!C1442)</f>
        <v/>
      </c>
      <c r="F1442" s="56"/>
      <c r="G1442" t="s">
        <v>164</v>
      </c>
      <c r="H1442" s="57" t="s">
        <v>165</v>
      </c>
      <c r="I1442" s="2" t="s">
        <v>166</v>
      </c>
      <c r="J1442" s="2" t="s">
        <v>167</v>
      </c>
      <c r="M1442" s="15"/>
      <c r="N1442">
        <v>6.9258811930000004</v>
      </c>
      <c r="O1442" s="15">
        <f t="shared" si="44"/>
        <v>0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1" t="str">
        <f>"owner=" &amp; Tokens!BS1442 &amp; "&amp;filename_for_metadata=" &amp; Tokens!BT1442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2" s="1" t="str">
        <f>formatRow(Tokens!C$2:I$2,Tokens!C1442:I1442)</f>
        <v>"name":"",_x000D_
"symbol":"",_x000D_
"description":"",_x000D_
"seller_fee_basis_points":"",_x000D_
"image":"",_x000D_
"Issuer":"",_x000D_
"external_url":""</v>
      </c>
      <c r="W1442" s="1" t="str">
        <f>formatRow(Tokens!J$2:AV$2,Tokens!J1442:AV1442,2,"attributes")</f>
        <v>"attributes":[]</v>
      </c>
      <c r="X1442" s="1" t="str">
        <f>formatRow(Tokens!AX$2:BC$2,Tokens!AX1442:BC1442,2,"creators")</f>
        <v>"creators":[]</v>
      </c>
      <c r="Y1442" s="1" t="str">
        <f>formatRow(Tokens!BD$2:BI$2,Tokens!BD1442:BI1442,2,"files")</f>
        <v>"files":[]</v>
      </c>
      <c r="Z1442" s="1"/>
      <c r="AA1442" s="1"/>
      <c r="AB1442" s="1"/>
      <c r="AC1442" s="1" t="str">
        <f>formatRow(Tokens!BJ$2:BK$2,Tokens!BJ1442:BK1442,0,"collection")</f>
        <v>"collection":{"name":"",_x000D_
"family":""}</v>
      </c>
    </row>
    <row r="1443" spans="5:29" ht="14.25" customHeight="1" x14ac:dyDescent="0.25">
      <c r="E1443" s="17" t="str">
        <f>IF(Tokens!C1443="","",Tokens!C1443)</f>
        <v/>
      </c>
      <c r="F1443" s="56"/>
      <c r="G1443" t="s">
        <v>164</v>
      </c>
      <c r="H1443" s="57" t="s">
        <v>165</v>
      </c>
      <c r="I1443" s="2" t="s">
        <v>166</v>
      </c>
      <c r="J1443" s="2" t="s">
        <v>167</v>
      </c>
      <c r="M1443" s="15"/>
      <c r="N1443">
        <v>6.9258811930000004</v>
      </c>
      <c r="O1443" s="15">
        <f t="shared" si="44"/>
        <v>0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1" t="str">
        <f>"owner=" &amp; Tokens!BS1443 &amp; "&amp;filename_for_metadata=" &amp; Tokens!BT1443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3" s="1" t="str">
        <f>formatRow(Tokens!C$2:I$2,Tokens!C1443:I1443)</f>
        <v>"name":"",_x000D_
"symbol":"",_x000D_
"description":"",_x000D_
"seller_fee_basis_points":"",_x000D_
"image":"",_x000D_
"Issuer":"",_x000D_
"external_url":""</v>
      </c>
      <c r="W1443" s="1" t="str">
        <f>formatRow(Tokens!J$2:AV$2,Tokens!J1443:AV1443,2,"attributes")</f>
        <v>"attributes":[]</v>
      </c>
      <c r="X1443" s="1" t="str">
        <f>formatRow(Tokens!AX$2:BC$2,Tokens!AX1443:BC1443,2,"creators")</f>
        <v>"creators":[]</v>
      </c>
      <c r="Y1443" s="1" t="str">
        <f>formatRow(Tokens!BD$2:BI$2,Tokens!BD1443:BI1443,2,"files")</f>
        <v>"files":[]</v>
      </c>
      <c r="Z1443" s="1"/>
      <c r="AA1443" s="1"/>
      <c r="AB1443" s="1"/>
      <c r="AC1443" s="1" t="str">
        <f>formatRow(Tokens!BJ$2:BK$2,Tokens!BJ1443:BK1443,0,"collection")</f>
        <v>"collection":{"name":"",_x000D_
"family":""}</v>
      </c>
    </row>
    <row r="1444" spans="5:29" ht="14.25" customHeight="1" x14ac:dyDescent="0.25">
      <c r="E1444" s="17" t="str">
        <f>IF(Tokens!C1444="","",Tokens!C1444)</f>
        <v/>
      </c>
      <c r="F1444" s="56"/>
      <c r="G1444" t="s">
        <v>164</v>
      </c>
      <c r="H1444" s="57" t="s">
        <v>165</v>
      </c>
      <c r="I1444" s="2" t="s">
        <v>166</v>
      </c>
      <c r="J1444" s="2" t="s">
        <v>167</v>
      </c>
      <c r="M1444" s="15"/>
      <c r="N1444">
        <v>6.9258811930000004</v>
      </c>
      <c r="O1444" s="15">
        <f t="shared" si="44"/>
        <v>0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1" t="str">
        <f>"owner=" &amp; Tokens!BS1444 &amp; "&amp;filename_for_metadata=" &amp; Tokens!BT1444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4" s="1" t="str">
        <f>formatRow(Tokens!C$2:I$2,Tokens!C1444:I1444)</f>
        <v>"name":"",_x000D_
"symbol":"",_x000D_
"description":"",_x000D_
"seller_fee_basis_points":"",_x000D_
"image":"",_x000D_
"Issuer":"",_x000D_
"external_url":""</v>
      </c>
      <c r="W1444" s="1" t="str">
        <f>formatRow(Tokens!J$2:AV$2,Tokens!J1444:AV1444,2,"attributes")</f>
        <v>"attributes":[]</v>
      </c>
      <c r="X1444" s="1" t="str">
        <f>formatRow(Tokens!AX$2:BC$2,Tokens!AX1444:BC1444,2,"creators")</f>
        <v>"creators":[]</v>
      </c>
      <c r="Y1444" s="1" t="str">
        <f>formatRow(Tokens!BD$2:BI$2,Tokens!BD1444:BI1444,2,"files")</f>
        <v>"files":[]</v>
      </c>
      <c r="Z1444" s="1"/>
      <c r="AA1444" s="1"/>
      <c r="AB1444" s="1"/>
      <c r="AC1444" s="1" t="str">
        <f>formatRow(Tokens!BJ$2:BK$2,Tokens!BJ1444:BK1444,0,"collection")</f>
        <v>"collection":{"name":"",_x000D_
"family":""}</v>
      </c>
    </row>
    <row r="1445" spans="5:29" ht="14.25" customHeight="1" x14ac:dyDescent="0.25">
      <c r="E1445" s="17" t="str">
        <f>IF(Tokens!C1445="","",Tokens!C1445)</f>
        <v/>
      </c>
      <c r="F1445" s="56"/>
      <c r="G1445" t="s">
        <v>164</v>
      </c>
      <c r="H1445" s="57" t="s">
        <v>165</v>
      </c>
      <c r="I1445" s="2" t="s">
        <v>166</v>
      </c>
      <c r="J1445" s="2" t="s">
        <v>167</v>
      </c>
      <c r="M1445" s="15"/>
      <c r="N1445">
        <v>6.9258811930000004</v>
      </c>
      <c r="O1445" s="15">
        <f t="shared" si="44"/>
        <v>0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1" t="str">
        <f>"owner=" &amp; Tokens!BS1445 &amp; "&amp;filename_for_metadata=" &amp; Tokens!BT1445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5" s="1" t="str">
        <f>formatRow(Tokens!C$2:I$2,Tokens!C1445:I1445)</f>
        <v>"name":"",_x000D_
"symbol":"",_x000D_
"description":"",_x000D_
"seller_fee_basis_points":"",_x000D_
"image":"",_x000D_
"Issuer":"",_x000D_
"external_url":""</v>
      </c>
      <c r="W1445" s="1" t="str">
        <f>formatRow(Tokens!J$2:AV$2,Tokens!J1445:AV1445,2,"attributes")</f>
        <v>"attributes":[]</v>
      </c>
      <c r="X1445" s="1" t="str">
        <f>formatRow(Tokens!AX$2:BC$2,Tokens!AX1445:BC1445,2,"creators")</f>
        <v>"creators":[]</v>
      </c>
      <c r="Y1445" s="1" t="str">
        <f>formatRow(Tokens!BD$2:BI$2,Tokens!BD1445:BI1445,2,"files")</f>
        <v>"files":[]</v>
      </c>
      <c r="Z1445" s="1"/>
      <c r="AA1445" s="1"/>
      <c r="AB1445" s="1"/>
      <c r="AC1445" s="1" t="str">
        <f>formatRow(Tokens!BJ$2:BK$2,Tokens!BJ1445:BK1445,0,"collection")</f>
        <v>"collection":{"name":"",_x000D_
"family":""}</v>
      </c>
    </row>
    <row r="1446" spans="5:29" ht="14.25" customHeight="1" x14ac:dyDescent="0.25">
      <c r="E1446" s="17" t="str">
        <f>IF(Tokens!C1446="","",Tokens!C1446)</f>
        <v/>
      </c>
      <c r="F1446" s="56"/>
      <c r="G1446" t="s">
        <v>164</v>
      </c>
      <c r="H1446" s="57" t="s">
        <v>165</v>
      </c>
      <c r="I1446" s="2" t="s">
        <v>166</v>
      </c>
      <c r="J1446" s="2" t="s">
        <v>167</v>
      </c>
      <c r="M1446" s="15"/>
      <c r="N1446">
        <v>6.9258811930000004</v>
      </c>
      <c r="O1446" s="15">
        <f t="shared" si="44"/>
        <v>0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1" t="str">
        <f>"owner=" &amp; Tokens!BS1446 &amp; "&amp;filename_for_metadata=" &amp; Tokens!BT1446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6" s="1" t="str">
        <f>formatRow(Tokens!C$2:I$2,Tokens!C1446:I1446)</f>
        <v>"name":"",_x000D_
"symbol":"",_x000D_
"description":"",_x000D_
"seller_fee_basis_points":"",_x000D_
"image":"",_x000D_
"Issuer":"",_x000D_
"external_url":""</v>
      </c>
      <c r="W1446" s="1" t="str">
        <f>formatRow(Tokens!J$2:AV$2,Tokens!J1446:AV1446,2,"attributes")</f>
        <v>"attributes":[]</v>
      </c>
      <c r="X1446" s="1" t="str">
        <f>formatRow(Tokens!AX$2:BC$2,Tokens!AX1446:BC1446,2,"creators")</f>
        <v>"creators":[]</v>
      </c>
      <c r="Y1446" s="1" t="str">
        <f>formatRow(Tokens!BD$2:BI$2,Tokens!BD1446:BI1446,2,"files")</f>
        <v>"files":[]</v>
      </c>
      <c r="Z1446" s="1"/>
      <c r="AA1446" s="1"/>
      <c r="AB1446" s="1"/>
      <c r="AC1446" s="1" t="str">
        <f>formatRow(Tokens!BJ$2:BK$2,Tokens!BJ1446:BK1446,0,"collection")</f>
        <v>"collection":{"name":"",_x000D_
"family":""}</v>
      </c>
    </row>
    <row r="1447" spans="5:29" ht="14.25" customHeight="1" x14ac:dyDescent="0.25">
      <c r="E1447" s="17" t="str">
        <f>IF(Tokens!C1447="","",Tokens!C1447)</f>
        <v/>
      </c>
      <c r="F1447" s="56"/>
      <c r="G1447" t="s">
        <v>164</v>
      </c>
      <c r="H1447" s="57" t="s">
        <v>165</v>
      </c>
      <c r="I1447" s="2" t="s">
        <v>166</v>
      </c>
      <c r="J1447" s="2" t="s">
        <v>167</v>
      </c>
      <c r="M1447" s="15"/>
      <c r="N1447">
        <v>6.9258811930000004</v>
      </c>
      <c r="O1447" s="15">
        <f t="shared" si="44"/>
        <v>0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1" t="str">
        <f>"owner=" &amp; Tokens!BS1447 &amp; "&amp;filename_for_metadata=" &amp; Tokens!BT1447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7" s="1" t="str">
        <f>formatRow(Tokens!C$2:I$2,Tokens!C1447:I1447)</f>
        <v>"name":"",_x000D_
"symbol":"",_x000D_
"description":"",_x000D_
"seller_fee_basis_points":"",_x000D_
"image":"",_x000D_
"Issuer":"",_x000D_
"external_url":""</v>
      </c>
      <c r="W1447" s="1" t="str">
        <f>formatRow(Tokens!J$2:AV$2,Tokens!J1447:AV1447,2,"attributes")</f>
        <v>"attributes":[]</v>
      </c>
      <c r="X1447" s="1" t="str">
        <f>formatRow(Tokens!AX$2:BC$2,Tokens!AX1447:BC1447,2,"creators")</f>
        <v>"creators":[]</v>
      </c>
      <c r="Y1447" s="1" t="str">
        <f>formatRow(Tokens!BD$2:BI$2,Tokens!BD1447:BI1447,2,"files")</f>
        <v>"files":[]</v>
      </c>
      <c r="Z1447" s="1"/>
      <c r="AA1447" s="1"/>
      <c r="AB1447" s="1"/>
      <c r="AC1447" s="1" t="str">
        <f>formatRow(Tokens!BJ$2:BK$2,Tokens!BJ1447:BK1447,0,"collection")</f>
        <v>"collection":{"name":"",_x000D_
"family":""}</v>
      </c>
    </row>
    <row r="1448" spans="5:29" ht="14.25" customHeight="1" x14ac:dyDescent="0.25">
      <c r="E1448" s="17" t="str">
        <f>IF(Tokens!C1448="","",Tokens!C1448)</f>
        <v/>
      </c>
      <c r="F1448" s="56"/>
      <c r="G1448" t="s">
        <v>164</v>
      </c>
      <c r="H1448" s="57" t="s">
        <v>165</v>
      </c>
      <c r="I1448" s="2" t="s">
        <v>166</v>
      </c>
      <c r="J1448" s="2" t="s">
        <v>167</v>
      </c>
      <c r="M1448" s="15"/>
      <c r="N1448">
        <v>6.9258811930000004</v>
      </c>
      <c r="O1448" s="15">
        <f t="shared" si="44"/>
        <v>0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1" t="str">
        <f>"owner=" &amp; Tokens!BS1448 &amp; "&amp;filename_for_metadata=" &amp; Tokens!BT1448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8" s="1" t="str">
        <f>formatRow(Tokens!C$2:I$2,Tokens!C1448:I1448)</f>
        <v>"name":"",_x000D_
"symbol":"",_x000D_
"description":"",_x000D_
"seller_fee_basis_points":"",_x000D_
"image":"",_x000D_
"Issuer":"",_x000D_
"external_url":""</v>
      </c>
      <c r="W1448" s="1" t="str">
        <f>formatRow(Tokens!J$2:AV$2,Tokens!J1448:AV1448,2,"attributes")</f>
        <v>"attributes":[]</v>
      </c>
      <c r="X1448" s="1" t="str">
        <f>formatRow(Tokens!AX$2:BC$2,Tokens!AX1448:BC1448,2,"creators")</f>
        <v>"creators":[]</v>
      </c>
      <c r="Y1448" s="1" t="str">
        <f>formatRow(Tokens!BD$2:BI$2,Tokens!BD1448:BI1448,2,"files")</f>
        <v>"files":[]</v>
      </c>
      <c r="Z1448" s="1"/>
      <c r="AA1448" s="1"/>
      <c r="AB1448" s="1"/>
      <c r="AC1448" s="1" t="str">
        <f>formatRow(Tokens!BJ$2:BK$2,Tokens!BJ1448:BK1448,0,"collection")</f>
        <v>"collection":{"name":"",_x000D_
"family":""}</v>
      </c>
    </row>
    <row r="1449" spans="5:29" ht="14.25" customHeight="1" x14ac:dyDescent="0.25">
      <c r="E1449" s="17" t="str">
        <f>IF(Tokens!C1449="","",Tokens!C1449)</f>
        <v/>
      </c>
      <c r="F1449" s="56"/>
      <c r="G1449" t="s">
        <v>164</v>
      </c>
      <c r="H1449" s="57" t="s">
        <v>165</v>
      </c>
      <c r="I1449" s="2" t="s">
        <v>166</v>
      </c>
      <c r="J1449" s="2" t="s">
        <v>167</v>
      </c>
      <c r="M1449" s="15"/>
      <c r="N1449">
        <v>6.9258811930000004</v>
      </c>
      <c r="O1449" s="15">
        <f t="shared" si="44"/>
        <v>0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1" t="str">
        <f>"owner=" &amp; Tokens!BS1449 &amp; "&amp;filename_for_metadata=" &amp; Tokens!BT1449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4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49" s="1" t="str">
        <f>formatRow(Tokens!C$2:I$2,Tokens!C1449:I1449)</f>
        <v>"name":"",_x000D_
"symbol":"",_x000D_
"description":"",_x000D_
"seller_fee_basis_points":"",_x000D_
"image":"",_x000D_
"Issuer":"",_x000D_
"external_url":""</v>
      </c>
      <c r="W1449" s="1" t="str">
        <f>formatRow(Tokens!J$2:AV$2,Tokens!J1449:AV1449,2,"attributes")</f>
        <v>"attributes":[]</v>
      </c>
      <c r="X1449" s="1" t="str">
        <f>formatRow(Tokens!AX$2:BC$2,Tokens!AX1449:BC1449,2,"creators")</f>
        <v>"creators":[]</v>
      </c>
      <c r="Y1449" s="1" t="str">
        <f>formatRow(Tokens!BD$2:BI$2,Tokens!BD1449:BI1449,2,"files")</f>
        <v>"files":[]</v>
      </c>
      <c r="Z1449" s="1"/>
      <c r="AA1449" s="1"/>
      <c r="AB1449" s="1"/>
      <c r="AC1449" s="1" t="str">
        <f>formatRow(Tokens!BJ$2:BK$2,Tokens!BJ1449:BK1449,0,"collection")</f>
        <v>"collection":{"name":"",_x000D_
"family":""}</v>
      </c>
    </row>
    <row r="1450" spans="5:29" ht="14.25" customHeight="1" x14ac:dyDescent="0.25">
      <c r="E1450" s="17" t="str">
        <f>IF(Tokens!C1450="","",Tokens!C1450)</f>
        <v/>
      </c>
      <c r="F1450" s="56"/>
      <c r="G1450" t="s">
        <v>164</v>
      </c>
      <c r="H1450" s="57" t="s">
        <v>165</v>
      </c>
      <c r="I1450" s="2" t="s">
        <v>166</v>
      </c>
      <c r="J1450" s="2" t="s">
        <v>167</v>
      </c>
      <c r="M1450" s="15"/>
      <c r="N1450">
        <v>6.9258811930000004</v>
      </c>
      <c r="O1450" s="15">
        <f t="shared" si="44"/>
        <v>0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1" t="str">
        <f>"owner=" &amp; Tokens!BS1450 &amp; "&amp;filename_for_metadata=" &amp; Tokens!BT1450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0" s="1" t="str">
        <f>formatRow(Tokens!C$2:I$2,Tokens!C1450:I1450)</f>
        <v>"name":"",_x000D_
"symbol":"",_x000D_
"description":"",_x000D_
"seller_fee_basis_points":"",_x000D_
"image":"",_x000D_
"Issuer":"",_x000D_
"external_url":""</v>
      </c>
      <c r="W1450" s="1" t="str">
        <f>formatRow(Tokens!J$2:AV$2,Tokens!J1450:AV1450,2,"attributes")</f>
        <v>"attributes":[]</v>
      </c>
      <c r="X1450" s="1" t="str">
        <f>formatRow(Tokens!AX$2:BC$2,Tokens!AX1450:BC1450,2,"creators")</f>
        <v>"creators":[]</v>
      </c>
      <c r="Y1450" s="1" t="str">
        <f>formatRow(Tokens!BD$2:BI$2,Tokens!BD1450:BI1450,2,"files")</f>
        <v>"files":[]</v>
      </c>
      <c r="Z1450" s="1"/>
      <c r="AA1450" s="1"/>
      <c r="AB1450" s="1"/>
      <c r="AC1450" s="1" t="str">
        <f>formatRow(Tokens!BJ$2:BK$2,Tokens!BJ1450:BK1450,0,"collection")</f>
        <v>"collection":{"name":"",_x000D_
"family":""}</v>
      </c>
    </row>
    <row r="1451" spans="5:29" ht="14.25" customHeight="1" x14ac:dyDescent="0.25">
      <c r="E1451" s="17" t="str">
        <f>IF(Tokens!C1451="","",Tokens!C1451)</f>
        <v/>
      </c>
      <c r="F1451" s="56"/>
      <c r="G1451" t="s">
        <v>164</v>
      </c>
      <c r="H1451" s="57" t="s">
        <v>165</v>
      </c>
      <c r="I1451" s="2" t="s">
        <v>166</v>
      </c>
      <c r="J1451" s="2" t="s">
        <v>167</v>
      </c>
      <c r="M1451" s="15"/>
      <c r="N1451">
        <v>6.9258811930000004</v>
      </c>
      <c r="O1451" s="15">
        <f t="shared" si="44"/>
        <v>0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1" t="str">
        <f>"owner=" &amp; Tokens!BS1451 &amp; "&amp;filename_for_metadata=" &amp; Tokens!BT1451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1" s="1" t="str">
        <f>formatRow(Tokens!C$2:I$2,Tokens!C1451:I1451)</f>
        <v>"name":"",_x000D_
"symbol":"",_x000D_
"description":"",_x000D_
"seller_fee_basis_points":"",_x000D_
"image":"",_x000D_
"Issuer":"",_x000D_
"external_url":""</v>
      </c>
      <c r="W1451" s="1" t="str">
        <f>formatRow(Tokens!J$2:AV$2,Tokens!J1451:AV1451,2,"attributes")</f>
        <v>"attributes":[]</v>
      </c>
      <c r="X1451" s="1" t="str">
        <f>formatRow(Tokens!AX$2:BC$2,Tokens!AX1451:BC1451,2,"creators")</f>
        <v>"creators":[]</v>
      </c>
      <c r="Y1451" s="1" t="str">
        <f>formatRow(Tokens!BD$2:BI$2,Tokens!BD1451:BI1451,2,"files")</f>
        <v>"files":[]</v>
      </c>
      <c r="Z1451" s="1"/>
      <c r="AA1451" s="1"/>
      <c r="AB1451" s="1"/>
      <c r="AC1451" s="1" t="str">
        <f>formatRow(Tokens!BJ$2:BK$2,Tokens!BJ1451:BK1451,0,"collection")</f>
        <v>"collection":{"name":"",_x000D_
"family":""}</v>
      </c>
    </row>
    <row r="1452" spans="5:29" ht="14.25" customHeight="1" x14ac:dyDescent="0.25">
      <c r="E1452" s="17" t="str">
        <f>IF(Tokens!C1452="","",Tokens!C1452)</f>
        <v/>
      </c>
      <c r="F1452" s="56"/>
      <c r="G1452" t="s">
        <v>164</v>
      </c>
      <c r="H1452" s="57" t="s">
        <v>165</v>
      </c>
      <c r="I1452" s="2" t="s">
        <v>166</v>
      </c>
      <c r="J1452" s="2" t="s">
        <v>167</v>
      </c>
      <c r="M1452" s="15"/>
      <c r="N1452">
        <v>6.9258811930000004</v>
      </c>
      <c r="O1452" s="15">
        <f t="shared" si="44"/>
        <v>0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1" t="str">
        <f>"owner=" &amp; Tokens!BS1452 &amp; "&amp;filename_for_metadata=" &amp; Tokens!BT1452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2" s="1" t="str">
        <f>formatRow(Tokens!C$2:I$2,Tokens!C1452:I1452)</f>
        <v>"name":"",_x000D_
"symbol":"",_x000D_
"description":"",_x000D_
"seller_fee_basis_points":"",_x000D_
"image":"",_x000D_
"Issuer":"",_x000D_
"external_url":""</v>
      </c>
      <c r="W1452" s="1" t="str">
        <f>formatRow(Tokens!J$2:AV$2,Tokens!J1452:AV1452,2,"attributes")</f>
        <v>"attributes":[]</v>
      </c>
      <c r="X1452" s="1" t="str">
        <f>formatRow(Tokens!AX$2:BC$2,Tokens!AX1452:BC1452,2,"creators")</f>
        <v>"creators":[]</v>
      </c>
      <c r="Y1452" s="1" t="str">
        <f>formatRow(Tokens!BD$2:BI$2,Tokens!BD1452:BI1452,2,"files")</f>
        <v>"files":[]</v>
      </c>
      <c r="Z1452" s="1"/>
      <c r="AA1452" s="1"/>
      <c r="AB1452" s="1"/>
      <c r="AC1452" s="1" t="str">
        <f>formatRow(Tokens!BJ$2:BK$2,Tokens!BJ1452:BK1452,0,"collection")</f>
        <v>"collection":{"name":"",_x000D_
"family":""}</v>
      </c>
    </row>
    <row r="1453" spans="5:29" ht="14.25" customHeight="1" x14ac:dyDescent="0.25">
      <c r="E1453" s="17" t="str">
        <f>IF(Tokens!C1453="","",Tokens!C1453)</f>
        <v/>
      </c>
      <c r="F1453" s="56"/>
      <c r="G1453" t="s">
        <v>164</v>
      </c>
      <c r="H1453" s="57" t="s">
        <v>165</v>
      </c>
      <c r="I1453" s="2" t="s">
        <v>166</v>
      </c>
      <c r="J1453" s="2" t="s">
        <v>167</v>
      </c>
      <c r="M1453" s="15"/>
      <c r="N1453">
        <v>6.9258811930000004</v>
      </c>
      <c r="O1453" s="15">
        <f t="shared" si="44"/>
        <v>0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1" t="str">
        <f>"owner=" &amp; Tokens!BS1453 &amp; "&amp;filename_for_metadata=" &amp; Tokens!BT1453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3" s="1" t="str">
        <f>formatRow(Tokens!C$2:I$2,Tokens!C1453:I1453)</f>
        <v>"name":"",_x000D_
"symbol":"",_x000D_
"description":"",_x000D_
"seller_fee_basis_points":"",_x000D_
"image":"",_x000D_
"Issuer":"",_x000D_
"external_url":""</v>
      </c>
      <c r="W1453" s="1" t="str">
        <f>formatRow(Tokens!J$2:AV$2,Tokens!J1453:AV1453,2,"attributes")</f>
        <v>"attributes":[]</v>
      </c>
      <c r="X1453" s="1" t="str">
        <f>formatRow(Tokens!AX$2:BC$2,Tokens!AX1453:BC1453,2,"creators")</f>
        <v>"creators":[]</v>
      </c>
      <c r="Y1453" s="1" t="str">
        <f>formatRow(Tokens!BD$2:BI$2,Tokens!BD1453:BI1453,2,"files")</f>
        <v>"files":[]</v>
      </c>
      <c r="Z1453" s="1"/>
      <c r="AA1453" s="1"/>
      <c r="AB1453" s="1"/>
      <c r="AC1453" s="1" t="str">
        <f>formatRow(Tokens!BJ$2:BK$2,Tokens!BJ1453:BK1453,0,"collection")</f>
        <v>"collection":{"name":"",_x000D_
"family":""}</v>
      </c>
    </row>
    <row r="1454" spans="5:29" ht="14.25" customHeight="1" x14ac:dyDescent="0.25">
      <c r="E1454" s="17" t="str">
        <f>IF(Tokens!C1454="","",Tokens!C1454)</f>
        <v/>
      </c>
      <c r="F1454" s="56"/>
      <c r="G1454" t="s">
        <v>164</v>
      </c>
      <c r="H1454" s="57" t="s">
        <v>165</v>
      </c>
      <c r="I1454" s="2" t="s">
        <v>166</v>
      </c>
      <c r="J1454" s="2" t="s">
        <v>167</v>
      </c>
      <c r="M1454" s="15"/>
      <c r="N1454">
        <v>6.9258811930000004</v>
      </c>
      <c r="O1454" s="15">
        <f t="shared" si="44"/>
        <v>0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1" t="str">
        <f>"owner=" &amp; Tokens!BS1454 &amp; "&amp;filename_for_metadata=" &amp; Tokens!BT1454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4" s="1" t="str">
        <f>formatRow(Tokens!C$2:I$2,Tokens!C1454:I1454)</f>
        <v>"name":"",_x000D_
"symbol":"",_x000D_
"description":"",_x000D_
"seller_fee_basis_points":"",_x000D_
"image":"",_x000D_
"Issuer":"",_x000D_
"external_url":""</v>
      </c>
      <c r="W1454" s="1" t="str">
        <f>formatRow(Tokens!J$2:AV$2,Tokens!J1454:AV1454,2,"attributes")</f>
        <v>"attributes":[]</v>
      </c>
      <c r="X1454" s="1" t="str">
        <f>formatRow(Tokens!AX$2:BC$2,Tokens!AX1454:BC1454,2,"creators")</f>
        <v>"creators":[]</v>
      </c>
      <c r="Y1454" s="1" t="str">
        <f>formatRow(Tokens!BD$2:BI$2,Tokens!BD1454:BI1454,2,"files")</f>
        <v>"files":[]</v>
      </c>
      <c r="Z1454" s="1"/>
      <c r="AA1454" s="1"/>
      <c r="AB1454" s="1"/>
      <c r="AC1454" s="1" t="str">
        <f>formatRow(Tokens!BJ$2:BK$2,Tokens!BJ1454:BK1454,0,"collection")</f>
        <v>"collection":{"name":"",_x000D_
"family":""}</v>
      </c>
    </row>
    <row r="1455" spans="5:29" ht="14.25" customHeight="1" x14ac:dyDescent="0.25">
      <c r="E1455" s="17" t="str">
        <f>IF(Tokens!C1455="","",Tokens!C1455)</f>
        <v/>
      </c>
      <c r="F1455" s="56"/>
      <c r="G1455" t="s">
        <v>164</v>
      </c>
      <c r="H1455" s="57" t="s">
        <v>165</v>
      </c>
      <c r="I1455" s="2" t="s">
        <v>166</v>
      </c>
      <c r="J1455" s="2" t="s">
        <v>167</v>
      </c>
      <c r="M1455" s="15"/>
      <c r="N1455">
        <v>6.9258811930000004</v>
      </c>
      <c r="O1455" s="15">
        <f t="shared" si="44"/>
        <v>0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1" t="str">
        <f>"owner=" &amp; Tokens!BS1455 &amp; "&amp;filename_for_metadata=" &amp; Tokens!BT1455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5" s="1" t="str">
        <f>formatRow(Tokens!C$2:I$2,Tokens!C1455:I1455)</f>
        <v>"name":"",_x000D_
"symbol":"",_x000D_
"description":"",_x000D_
"seller_fee_basis_points":"",_x000D_
"image":"",_x000D_
"Issuer":"",_x000D_
"external_url":""</v>
      </c>
      <c r="W1455" s="1" t="str">
        <f>formatRow(Tokens!J$2:AV$2,Tokens!J1455:AV1455,2,"attributes")</f>
        <v>"attributes":[]</v>
      </c>
      <c r="X1455" s="1" t="str">
        <f>formatRow(Tokens!AX$2:BC$2,Tokens!AX1455:BC1455,2,"creators")</f>
        <v>"creators":[]</v>
      </c>
      <c r="Y1455" s="1" t="str">
        <f>formatRow(Tokens!BD$2:BI$2,Tokens!BD1455:BI1455,2,"files")</f>
        <v>"files":[]</v>
      </c>
      <c r="Z1455" s="1"/>
      <c r="AA1455" s="1"/>
      <c r="AB1455" s="1"/>
      <c r="AC1455" s="1" t="str">
        <f>formatRow(Tokens!BJ$2:BK$2,Tokens!BJ1455:BK1455,0,"collection")</f>
        <v>"collection":{"name":"",_x000D_
"family":""}</v>
      </c>
    </row>
    <row r="1456" spans="5:29" ht="14.25" customHeight="1" x14ac:dyDescent="0.25">
      <c r="E1456" s="17" t="str">
        <f>IF(Tokens!C1456="","",Tokens!C1456)</f>
        <v/>
      </c>
      <c r="F1456" s="56"/>
      <c r="G1456" t="s">
        <v>164</v>
      </c>
      <c r="H1456" s="57" t="s">
        <v>165</v>
      </c>
      <c r="I1456" s="2" t="s">
        <v>166</v>
      </c>
      <c r="J1456" s="2" t="s">
        <v>167</v>
      </c>
      <c r="M1456" s="15"/>
      <c r="N1456">
        <v>6.9258811930000004</v>
      </c>
      <c r="O1456" s="15">
        <f t="shared" si="44"/>
        <v>0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1" t="str">
        <f>"owner=" &amp; Tokens!BS1456 &amp; "&amp;filename_for_metadata=" &amp; Tokens!BT1456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6" s="1" t="str">
        <f>formatRow(Tokens!C$2:I$2,Tokens!C1456:I1456)</f>
        <v>"name":"",_x000D_
"symbol":"",_x000D_
"description":"",_x000D_
"seller_fee_basis_points":"",_x000D_
"image":"",_x000D_
"Issuer":"",_x000D_
"external_url":""</v>
      </c>
      <c r="W1456" s="1" t="str">
        <f>formatRow(Tokens!J$2:AV$2,Tokens!J1456:AV1456,2,"attributes")</f>
        <v>"attributes":[]</v>
      </c>
      <c r="X1456" s="1" t="str">
        <f>formatRow(Tokens!AX$2:BC$2,Tokens!AX1456:BC1456,2,"creators")</f>
        <v>"creators":[]</v>
      </c>
      <c r="Y1456" s="1" t="str">
        <f>formatRow(Tokens!BD$2:BI$2,Tokens!BD1456:BI1456,2,"files")</f>
        <v>"files":[]</v>
      </c>
      <c r="Z1456" s="1"/>
      <c r="AA1456" s="1"/>
      <c r="AB1456" s="1"/>
      <c r="AC1456" s="1" t="str">
        <f>formatRow(Tokens!BJ$2:BK$2,Tokens!BJ1456:BK1456,0,"collection")</f>
        <v>"collection":{"name":"",_x000D_
"family":""}</v>
      </c>
    </row>
    <row r="1457" spans="5:29" ht="14.25" customHeight="1" x14ac:dyDescent="0.25">
      <c r="E1457" s="17" t="str">
        <f>IF(Tokens!C1457="","",Tokens!C1457)</f>
        <v/>
      </c>
      <c r="F1457" s="56"/>
      <c r="G1457" t="s">
        <v>164</v>
      </c>
      <c r="H1457" s="57" t="s">
        <v>165</v>
      </c>
      <c r="I1457" s="2" t="s">
        <v>166</v>
      </c>
      <c r="J1457" s="2" t="s">
        <v>167</v>
      </c>
      <c r="M1457" s="15"/>
      <c r="N1457">
        <v>6.9258811930000004</v>
      </c>
      <c r="O1457" s="15">
        <f t="shared" si="44"/>
        <v>0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1" t="str">
        <f>"owner=" &amp; Tokens!BS1457 &amp; "&amp;filename_for_metadata=" &amp; Tokens!BT1457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7" s="1" t="str">
        <f>formatRow(Tokens!C$2:I$2,Tokens!C1457:I1457)</f>
        <v>"name":"",_x000D_
"symbol":"",_x000D_
"description":"",_x000D_
"seller_fee_basis_points":"",_x000D_
"image":"",_x000D_
"Issuer":"",_x000D_
"external_url":""</v>
      </c>
      <c r="W1457" s="1" t="str">
        <f>formatRow(Tokens!J$2:AV$2,Tokens!J1457:AV1457,2,"attributes")</f>
        <v>"attributes":[]</v>
      </c>
      <c r="X1457" s="1" t="str">
        <f>formatRow(Tokens!AX$2:BC$2,Tokens!AX1457:BC1457,2,"creators")</f>
        <v>"creators":[]</v>
      </c>
      <c r="Y1457" s="1" t="str">
        <f>formatRow(Tokens!BD$2:BI$2,Tokens!BD1457:BI1457,2,"files")</f>
        <v>"files":[]</v>
      </c>
      <c r="Z1457" s="1"/>
      <c r="AA1457" s="1"/>
      <c r="AB1457" s="1"/>
      <c r="AC1457" s="1" t="str">
        <f>formatRow(Tokens!BJ$2:BK$2,Tokens!BJ1457:BK1457,0,"collection")</f>
        <v>"collection":{"name":"",_x000D_
"family":""}</v>
      </c>
    </row>
    <row r="1458" spans="5:29" ht="14.25" customHeight="1" x14ac:dyDescent="0.25">
      <c r="E1458" s="17" t="str">
        <f>IF(Tokens!C1458="","",Tokens!C1458)</f>
        <v/>
      </c>
      <c r="F1458" s="56"/>
      <c r="G1458" t="s">
        <v>164</v>
      </c>
      <c r="H1458" s="57" t="s">
        <v>165</v>
      </c>
      <c r="I1458" s="2" t="s">
        <v>166</v>
      </c>
      <c r="J1458" s="2" t="s">
        <v>167</v>
      </c>
      <c r="M1458" s="15"/>
      <c r="N1458">
        <v>6.9258811930000004</v>
      </c>
      <c r="O1458" s="15">
        <f t="shared" si="44"/>
        <v>0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1" t="str">
        <f>"owner=" &amp; Tokens!BS1458 &amp; "&amp;filename_for_metadata=" &amp; Tokens!BT1458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8" s="1" t="str">
        <f>formatRow(Tokens!C$2:I$2,Tokens!C1458:I1458)</f>
        <v>"name":"",_x000D_
"symbol":"",_x000D_
"description":"",_x000D_
"seller_fee_basis_points":"",_x000D_
"image":"",_x000D_
"Issuer":"",_x000D_
"external_url":""</v>
      </c>
      <c r="W1458" s="1" t="str">
        <f>formatRow(Tokens!J$2:AV$2,Tokens!J1458:AV1458,2,"attributes")</f>
        <v>"attributes":[]</v>
      </c>
      <c r="X1458" s="1" t="str">
        <f>formatRow(Tokens!AX$2:BC$2,Tokens!AX1458:BC1458,2,"creators")</f>
        <v>"creators":[]</v>
      </c>
      <c r="Y1458" s="1" t="str">
        <f>formatRow(Tokens!BD$2:BI$2,Tokens!BD1458:BI1458,2,"files")</f>
        <v>"files":[]</v>
      </c>
      <c r="Z1458" s="1"/>
      <c r="AA1458" s="1"/>
      <c r="AB1458" s="1"/>
      <c r="AC1458" s="1" t="str">
        <f>formatRow(Tokens!BJ$2:BK$2,Tokens!BJ1458:BK1458,0,"collection")</f>
        <v>"collection":{"name":"",_x000D_
"family":""}</v>
      </c>
    </row>
    <row r="1459" spans="5:29" ht="14.25" customHeight="1" x14ac:dyDescent="0.25">
      <c r="E1459" s="17" t="str">
        <f>IF(Tokens!C1459="","",Tokens!C1459)</f>
        <v/>
      </c>
      <c r="F1459" s="56"/>
      <c r="G1459" t="s">
        <v>164</v>
      </c>
      <c r="H1459" s="57" t="s">
        <v>165</v>
      </c>
      <c r="I1459" s="2" t="s">
        <v>166</v>
      </c>
      <c r="J1459" s="2" t="s">
        <v>167</v>
      </c>
      <c r="M1459" s="15"/>
      <c r="N1459">
        <v>6.9258811930000004</v>
      </c>
      <c r="O1459" s="15">
        <f t="shared" si="44"/>
        <v>0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1" t="str">
        <f>"owner=" &amp; Tokens!BS1459 &amp; "&amp;filename_for_metadata=" &amp; Tokens!BT1459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5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59" s="1" t="str">
        <f>formatRow(Tokens!C$2:I$2,Tokens!C1459:I1459)</f>
        <v>"name":"",_x000D_
"symbol":"",_x000D_
"description":"",_x000D_
"seller_fee_basis_points":"",_x000D_
"image":"",_x000D_
"Issuer":"",_x000D_
"external_url":""</v>
      </c>
      <c r="W1459" s="1" t="str">
        <f>formatRow(Tokens!J$2:AV$2,Tokens!J1459:AV1459,2,"attributes")</f>
        <v>"attributes":[]</v>
      </c>
      <c r="X1459" s="1" t="str">
        <f>formatRow(Tokens!AX$2:BC$2,Tokens!AX1459:BC1459,2,"creators")</f>
        <v>"creators":[]</v>
      </c>
      <c r="Y1459" s="1" t="str">
        <f>formatRow(Tokens!BD$2:BI$2,Tokens!BD1459:BI1459,2,"files")</f>
        <v>"files":[]</v>
      </c>
      <c r="Z1459" s="1"/>
      <c r="AA1459" s="1"/>
      <c r="AB1459" s="1"/>
      <c r="AC1459" s="1" t="str">
        <f>formatRow(Tokens!BJ$2:BK$2,Tokens!BJ1459:BK1459,0,"collection")</f>
        <v>"collection":{"name":"",_x000D_
"family":""}</v>
      </c>
    </row>
    <row r="1460" spans="5:29" ht="14.25" customHeight="1" x14ac:dyDescent="0.25">
      <c r="E1460" s="17" t="str">
        <f>IF(Tokens!C1460="","",Tokens!C1460)</f>
        <v/>
      </c>
      <c r="F1460" s="56"/>
      <c r="G1460" t="s">
        <v>164</v>
      </c>
      <c r="H1460" s="57" t="s">
        <v>165</v>
      </c>
      <c r="I1460" s="2" t="s">
        <v>166</v>
      </c>
      <c r="J1460" s="2" t="s">
        <v>167</v>
      </c>
      <c r="M1460" s="15"/>
      <c r="N1460">
        <v>6.9258811930000004</v>
      </c>
      <c r="O1460" s="15">
        <f t="shared" si="44"/>
        <v>0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1" t="str">
        <f>"owner=" &amp; Tokens!BS1460 &amp; "&amp;filename_for_metadata=" &amp; Tokens!BT1460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0" s="1" t="str">
        <f>formatRow(Tokens!C$2:I$2,Tokens!C1460:I1460)</f>
        <v>"name":"",_x000D_
"symbol":"",_x000D_
"description":"",_x000D_
"seller_fee_basis_points":"",_x000D_
"image":"",_x000D_
"Issuer":"",_x000D_
"external_url":""</v>
      </c>
      <c r="W1460" s="1" t="str">
        <f>formatRow(Tokens!J$2:AV$2,Tokens!J1460:AV1460,2,"attributes")</f>
        <v>"attributes":[]</v>
      </c>
      <c r="X1460" s="1" t="str">
        <f>formatRow(Tokens!AX$2:BC$2,Tokens!AX1460:BC1460,2,"creators")</f>
        <v>"creators":[]</v>
      </c>
      <c r="Y1460" s="1" t="str">
        <f>formatRow(Tokens!BD$2:BI$2,Tokens!BD1460:BI1460,2,"files")</f>
        <v>"files":[]</v>
      </c>
      <c r="Z1460" s="1"/>
      <c r="AA1460" s="1"/>
      <c r="AB1460" s="1"/>
      <c r="AC1460" s="1" t="str">
        <f>formatRow(Tokens!BJ$2:BK$2,Tokens!BJ1460:BK1460,0,"collection")</f>
        <v>"collection":{"name":"",_x000D_
"family":""}</v>
      </c>
    </row>
    <row r="1461" spans="5:29" ht="14.25" customHeight="1" x14ac:dyDescent="0.25">
      <c r="E1461" s="17" t="str">
        <f>IF(Tokens!C1461="","",Tokens!C1461)</f>
        <v/>
      </c>
      <c r="F1461" s="56"/>
      <c r="G1461" t="s">
        <v>164</v>
      </c>
      <c r="H1461" s="57" t="s">
        <v>165</v>
      </c>
      <c r="I1461" s="2" t="s">
        <v>166</v>
      </c>
      <c r="J1461" s="2" t="s">
        <v>167</v>
      </c>
      <c r="M1461" s="15"/>
      <c r="N1461">
        <v>6.9258811930000004</v>
      </c>
      <c r="O1461" s="15">
        <f t="shared" si="44"/>
        <v>0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1" t="str">
        <f>"owner=" &amp; Tokens!BS1461 &amp; "&amp;filename_for_metadata=" &amp; Tokens!BT1461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1" s="1" t="str">
        <f>formatRow(Tokens!C$2:I$2,Tokens!C1461:I1461)</f>
        <v>"name":"",_x000D_
"symbol":"",_x000D_
"description":"",_x000D_
"seller_fee_basis_points":"",_x000D_
"image":"",_x000D_
"Issuer":"",_x000D_
"external_url":""</v>
      </c>
      <c r="W1461" s="1" t="str">
        <f>formatRow(Tokens!J$2:AV$2,Tokens!J1461:AV1461,2,"attributes")</f>
        <v>"attributes":[]</v>
      </c>
      <c r="X1461" s="1" t="str">
        <f>formatRow(Tokens!AX$2:BC$2,Tokens!AX1461:BC1461,2,"creators")</f>
        <v>"creators":[]</v>
      </c>
      <c r="Y1461" s="1" t="str">
        <f>formatRow(Tokens!BD$2:BI$2,Tokens!BD1461:BI1461,2,"files")</f>
        <v>"files":[]</v>
      </c>
      <c r="Z1461" s="1"/>
      <c r="AA1461" s="1"/>
      <c r="AB1461" s="1"/>
      <c r="AC1461" s="1" t="str">
        <f>formatRow(Tokens!BJ$2:BK$2,Tokens!BJ1461:BK1461,0,"collection")</f>
        <v>"collection":{"name":"",_x000D_
"family":""}</v>
      </c>
    </row>
    <row r="1462" spans="5:29" ht="14.25" customHeight="1" x14ac:dyDescent="0.25">
      <c r="E1462" s="17" t="str">
        <f>IF(Tokens!C1462="","",Tokens!C1462)</f>
        <v/>
      </c>
      <c r="F1462" s="56"/>
      <c r="G1462" t="s">
        <v>164</v>
      </c>
      <c r="H1462" s="57" t="s">
        <v>165</v>
      </c>
      <c r="I1462" s="2" t="s">
        <v>166</v>
      </c>
      <c r="J1462" s="2" t="s">
        <v>167</v>
      </c>
      <c r="M1462" s="15"/>
      <c r="N1462">
        <v>6.9258811930000004</v>
      </c>
      <c r="O1462" s="15">
        <f t="shared" si="44"/>
        <v>0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1" t="str">
        <f>"owner=" &amp; Tokens!BS1462 &amp; "&amp;filename_for_metadata=" &amp; Tokens!BT1462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2" s="1" t="str">
        <f>formatRow(Tokens!C$2:I$2,Tokens!C1462:I1462)</f>
        <v>"name":"",_x000D_
"symbol":"",_x000D_
"description":"",_x000D_
"seller_fee_basis_points":"",_x000D_
"image":"",_x000D_
"Issuer":"",_x000D_
"external_url":""</v>
      </c>
      <c r="W1462" s="1" t="str">
        <f>formatRow(Tokens!J$2:AV$2,Tokens!J1462:AV1462,2,"attributes")</f>
        <v>"attributes":[]</v>
      </c>
      <c r="X1462" s="1" t="str">
        <f>formatRow(Tokens!AX$2:BC$2,Tokens!AX1462:BC1462,2,"creators")</f>
        <v>"creators":[]</v>
      </c>
      <c r="Y1462" s="1" t="str">
        <f>formatRow(Tokens!BD$2:BI$2,Tokens!BD1462:BI1462,2,"files")</f>
        <v>"files":[]</v>
      </c>
      <c r="Z1462" s="1"/>
      <c r="AA1462" s="1"/>
      <c r="AB1462" s="1"/>
      <c r="AC1462" s="1" t="str">
        <f>formatRow(Tokens!BJ$2:BK$2,Tokens!BJ1462:BK1462,0,"collection")</f>
        <v>"collection":{"name":"",_x000D_
"family":""}</v>
      </c>
    </row>
    <row r="1463" spans="5:29" ht="14.25" customHeight="1" x14ac:dyDescent="0.25">
      <c r="E1463" s="17" t="str">
        <f>IF(Tokens!C1463="","",Tokens!C1463)</f>
        <v/>
      </c>
      <c r="F1463" s="56"/>
      <c r="G1463" t="s">
        <v>164</v>
      </c>
      <c r="H1463" s="57" t="s">
        <v>165</v>
      </c>
      <c r="I1463" s="2" t="s">
        <v>166</v>
      </c>
      <c r="J1463" s="2" t="s">
        <v>167</v>
      </c>
      <c r="M1463" s="15"/>
      <c r="N1463">
        <v>6.9258811930000004</v>
      </c>
      <c r="O1463" s="15">
        <f t="shared" si="44"/>
        <v>0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1" t="str">
        <f>"owner=" &amp; Tokens!BS1463 &amp; "&amp;filename_for_metadata=" &amp; Tokens!BT1463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3" s="1" t="str">
        <f>formatRow(Tokens!C$2:I$2,Tokens!C1463:I1463)</f>
        <v>"name":"",_x000D_
"symbol":"",_x000D_
"description":"",_x000D_
"seller_fee_basis_points":"",_x000D_
"image":"",_x000D_
"Issuer":"",_x000D_
"external_url":""</v>
      </c>
      <c r="W1463" s="1" t="str">
        <f>formatRow(Tokens!J$2:AV$2,Tokens!J1463:AV1463,2,"attributes")</f>
        <v>"attributes":[]</v>
      </c>
      <c r="X1463" s="1" t="str">
        <f>formatRow(Tokens!AX$2:BC$2,Tokens!AX1463:BC1463,2,"creators")</f>
        <v>"creators":[]</v>
      </c>
      <c r="Y1463" s="1" t="str">
        <f>formatRow(Tokens!BD$2:BI$2,Tokens!BD1463:BI1463,2,"files")</f>
        <v>"files":[]</v>
      </c>
      <c r="Z1463" s="1"/>
      <c r="AA1463" s="1"/>
      <c r="AB1463" s="1"/>
      <c r="AC1463" s="1" t="str">
        <f>formatRow(Tokens!BJ$2:BK$2,Tokens!BJ1463:BK1463,0,"collection")</f>
        <v>"collection":{"name":"",_x000D_
"family":""}</v>
      </c>
    </row>
    <row r="1464" spans="5:29" ht="14.25" customHeight="1" x14ac:dyDescent="0.25">
      <c r="E1464" s="17" t="str">
        <f>IF(Tokens!C1464="","",Tokens!C1464)</f>
        <v/>
      </c>
      <c r="F1464" s="56"/>
      <c r="G1464" t="s">
        <v>164</v>
      </c>
      <c r="H1464" s="57" t="s">
        <v>165</v>
      </c>
      <c r="I1464" s="2" t="s">
        <v>166</v>
      </c>
      <c r="J1464" s="2" t="s">
        <v>167</v>
      </c>
      <c r="M1464" s="15"/>
      <c r="N1464">
        <v>6.9258811930000004</v>
      </c>
      <c r="O1464" s="15">
        <f t="shared" si="44"/>
        <v>0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1" t="str">
        <f>"owner=" &amp; Tokens!BS1464 &amp; "&amp;filename_for_metadata=" &amp; Tokens!BT1464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4" s="1" t="str">
        <f>formatRow(Tokens!C$2:I$2,Tokens!C1464:I1464)</f>
        <v>"name":"",_x000D_
"symbol":"",_x000D_
"description":"",_x000D_
"seller_fee_basis_points":"",_x000D_
"image":"",_x000D_
"Issuer":"",_x000D_
"external_url":""</v>
      </c>
      <c r="W1464" s="1" t="str">
        <f>formatRow(Tokens!J$2:AV$2,Tokens!J1464:AV1464,2,"attributes")</f>
        <v>"attributes":[]</v>
      </c>
      <c r="X1464" s="1" t="str">
        <f>formatRow(Tokens!AX$2:BC$2,Tokens!AX1464:BC1464,2,"creators")</f>
        <v>"creators":[]</v>
      </c>
      <c r="Y1464" s="1" t="str">
        <f>formatRow(Tokens!BD$2:BI$2,Tokens!BD1464:BI1464,2,"files")</f>
        <v>"files":[]</v>
      </c>
      <c r="Z1464" s="1"/>
      <c r="AA1464" s="1"/>
      <c r="AB1464" s="1"/>
      <c r="AC1464" s="1" t="str">
        <f>formatRow(Tokens!BJ$2:BK$2,Tokens!BJ1464:BK1464,0,"collection")</f>
        <v>"collection":{"name":"",_x000D_
"family":""}</v>
      </c>
    </row>
    <row r="1465" spans="5:29" ht="14.25" customHeight="1" x14ac:dyDescent="0.25">
      <c r="E1465" s="17" t="str">
        <f>IF(Tokens!C1465="","",Tokens!C1465)</f>
        <v/>
      </c>
      <c r="F1465" s="56"/>
      <c r="G1465" t="s">
        <v>164</v>
      </c>
      <c r="H1465" s="57" t="s">
        <v>165</v>
      </c>
      <c r="I1465" s="2" t="s">
        <v>166</v>
      </c>
      <c r="J1465" s="2" t="s">
        <v>167</v>
      </c>
      <c r="M1465" s="15"/>
      <c r="N1465">
        <v>6.9258811930000004</v>
      </c>
      <c r="O1465" s="15">
        <f t="shared" si="44"/>
        <v>0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1" t="str">
        <f>"owner=" &amp; Tokens!BS1465 &amp; "&amp;filename_for_metadata=" &amp; Tokens!BT1465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5" s="1" t="str">
        <f>formatRow(Tokens!C$2:I$2,Tokens!C1465:I1465)</f>
        <v>"name":"",_x000D_
"symbol":"",_x000D_
"description":"",_x000D_
"seller_fee_basis_points":"",_x000D_
"image":"",_x000D_
"Issuer":"",_x000D_
"external_url":""</v>
      </c>
      <c r="W1465" s="1" t="str">
        <f>formatRow(Tokens!J$2:AV$2,Tokens!J1465:AV1465,2,"attributes")</f>
        <v>"attributes":[]</v>
      </c>
      <c r="X1465" s="1" t="str">
        <f>formatRow(Tokens!AX$2:BC$2,Tokens!AX1465:BC1465,2,"creators")</f>
        <v>"creators":[]</v>
      </c>
      <c r="Y1465" s="1" t="str">
        <f>formatRow(Tokens!BD$2:BI$2,Tokens!BD1465:BI1465,2,"files")</f>
        <v>"files":[]</v>
      </c>
      <c r="Z1465" s="1"/>
      <c r="AA1465" s="1"/>
      <c r="AB1465" s="1"/>
      <c r="AC1465" s="1" t="str">
        <f>formatRow(Tokens!BJ$2:BK$2,Tokens!BJ1465:BK1465,0,"collection")</f>
        <v>"collection":{"name":"",_x000D_
"family":""}</v>
      </c>
    </row>
    <row r="1466" spans="5:29" ht="14.25" customHeight="1" x14ac:dyDescent="0.25">
      <c r="E1466" s="17" t="str">
        <f>IF(Tokens!C1466="","",Tokens!C1466)</f>
        <v/>
      </c>
      <c r="F1466" s="56"/>
      <c r="G1466" t="s">
        <v>164</v>
      </c>
      <c r="H1466" s="57" t="s">
        <v>165</v>
      </c>
      <c r="I1466" s="2" t="s">
        <v>166</v>
      </c>
      <c r="J1466" s="2" t="s">
        <v>167</v>
      </c>
      <c r="M1466" s="15"/>
      <c r="N1466">
        <v>6.9258811930000004</v>
      </c>
      <c r="O1466" s="15">
        <f t="shared" si="44"/>
        <v>0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1" t="str">
        <f>"owner=" &amp; Tokens!BS1466 &amp; "&amp;filename_for_metadata=" &amp; Tokens!BT1466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6" s="1" t="str">
        <f>formatRow(Tokens!C$2:I$2,Tokens!C1466:I1466)</f>
        <v>"name":"",_x000D_
"symbol":"",_x000D_
"description":"",_x000D_
"seller_fee_basis_points":"",_x000D_
"image":"",_x000D_
"Issuer":"",_x000D_
"external_url":""</v>
      </c>
      <c r="W1466" s="1" t="str">
        <f>formatRow(Tokens!J$2:AV$2,Tokens!J1466:AV1466,2,"attributes")</f>
        <v>"attributes":[]</v>
      </c>
      <c r="X1466" s="1" t="str">
        <f>formatRow(Tokens!AX$2:BC$2,Tokens!AX1466:BC1466,2,"creators")</f>
        <v>"creators":[]</v>
      </c>
      <c r="Y1466" s="1" t="str">
        <f>formatRow(Tokens!BD$2:BI$2,Tokens!BD1466:BI1466,2,"files")</f>
        <v>"files":[]</v>
      </c>
      <c r="Z1466" s="1"/>
      <c r="AA1466" s="1"/>
      <c r="AB1466" s="1"/>
      <c r="AC1466" s="1" t="str">
        <f>formatRow(Tokens!BJ$2:BK$2,Tokens!BJ1466:BK1466,0,"collection")</f>
        <v>"collection":{"name":"",_x000D_
"family":""}</v>
      </c>
    </row>
    <row r="1467" spans="5:29" ht="14.25" customHeight="1" x14ac:dyDescent="0.25">
      <c r="E1467" s="17" t="str">
        <f>IF(Tokens!C1467="","",Tokens!C1467)</f>
        <v/>
      </c>
      <c r="F1467" s="56"/>
      <c r="G1467" t="s">
        <v>164</v>
      </c>
      <c r="H1467" s="57" t="s">
        <v>165</v>
      </c>
      <c r="I1467" s="2" t="s">
        <v>166</v>
      </c>
      <c r="J1467" s="2" t="s">
        <v>167</v>
      </c>
      <c r="M1467" s="15"/>
      <c r="N1467">
        <v>6.9258811930000004</v>
      </c>
      <c r="O1467" s="15">
        <f t="shared" si="44"/>
        <v>0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1" t="str">
        <f>"owner=" &amp; Tokens!BS1467 &amp; "&amp;filename_for_metadata=" &amp; Tokens!BT1467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7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7" s="1" t="str">
        <f>formatRow(Tokens!C$2:I$2,Tokens!C1467:I1467)</f>
        <v>"name":"",_x000D_
"symbol":"",_x000D_
"description":"",_x000D_
"seller_fee_basis_points":"",_x000D_
"image":"",_x000D_
"Issuer":"",_x000D_
"external_url":""</v>
      </c>
      <c r="W1467" s="1" t="str">
        <f>formatRow(Tokens!J$2:AV$2,Tokens!J1467:AV1467,2,"attributes")</f>
        <v>"attributes":[]</v>
      </c>
      <c r="X1467" s="1" t="str">
        <f>formatRow(Tokens!AX$2:BC$2,Tokens!AX1467:BC1467,2,"creators")</f>
        <v>"creators":[]</v>
      </c>
      <c r="Y1467" s="1" t="str">
        <f>formatRow(Tokens!BD$2:BI$2,Tokens!BD1467:BI1467,2,"files")</f>
        <v>"files":[]</v>
      </c>
      <c r="Z1467" s="1"/>
      <c r="AA1467" s="1"/>
      <c r="AB1467" s="1"/>
      <c r="AC1467" s="1" t="str">
        <f>formatRow(Tokens!BJ$2:BK$2,Tokens!BJ1467:BK1467,0,"collection")</f>
        <v>"collection":{"name":"",_x000D_
"family":""}</v>
      </c>
    </row>
    <row r="1468" spans="5:29" ht="14.25" customHeight="1" x14ac:dyDescent="0.25">
      <c r="E1468" s="17" t="str">
        <f>IF(Tokens!C1468="","",Tokens!C1468)</f>
        <v/>
      </c>
      <c r="F1468" s="56"/>
      <c r="G1468" t="s">
        <v>164</v>
      </c>
      <c r="H1468" s="57" t="s">
        <v>165</v>
      </c>
      <c r="I1468" s="2" t="s">
        <v>166</v>
      </c>
      <c r="J1468" s="2" t="s">
        <v>167</v>
      </c>
      <c r="M1468" s="15"/>
      <c r="N1468">
        <v>6.9258811930000004</v>
      </c>
      <c r="O1468" s="15">
        <f t="shared" si="44"/>
        <v>0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1" t="str">
        <f>"owner=" &amp; Tokens!BS1468 &amp; "&amp;filename_for_metadata=" &amp; Tokens!BT1468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8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8" s="1" t="str">
        <f>formatRow(Tokens!C$2:I$2,Tokens!C1468:I1468)</f>
        <v>"name":"",_x000D_
"symbol":"",_x000D_
"description":"",_x000D_
"seller_fee_basis_points":"",_x000D_
"image":"",_x000D_
"Issuer":"",_x000D_
"external_url":""</v>
      </c>
      <c r="W1468" s="1" t="str">
        <f>formatRow(Tokens!J$2:AV$2,Tokens!J1468:AV1468,2,"attributes")</f>
        <v>"attributes":[]</v>
      </c>
      <c r="X1468" s="1" t="str">
        <f>formatRow(Tokens!AX$2:BC$2,Tokens!AX1468:BC1468,2,"creators")</f>
        <v>"creators":[]</v>
      </c>
      <c r="Y1468" s="1" t="str">
        <f>formatRow(Tokens!BD$2:BI$2,Tokens!BD1468:BI1468,2,"files")</f>
        <v>"files":[]</v>
      </c>
      <c r="Z1468" s="1"/>
      <c r="AA1468" s="1"/>
      <c r="AB1468" s="1"/>
      <c r="AC1468" s="1" t="str">
        <f>formatRow(Tokens!BJ$2:BK$2,Tokens!BJ1468:BK1468,0,"collection")</f>
        <v>"collection":{"name":"",_x000D_
"family":""}</v>
      </c>
    </row>
    <row r="1469" spans="5:29" ht="14.25" customHeight="1" x14ac:dyDescent="0.25">
      <c r="E1469" s="17" t="str">
        <f>IF(Tokens!C1469="","",Tokens!C1469)</f>
        <v/>
      </c>
      <c r="F1469" s="56"/>
      <c r="G1469" t="s">
        <v>164</v>
      </c>
      <c r="H1469" s="57" t="s">
        <v>165</v>
      </c>
      <c r="I1469" s="2" t="s">
        <v>166</v>
      </c>
      <c r="J1469" s="2" t="s">
        <v>167</v>
      </c>
      <c r="M1469" s="15"/>
      <c r="N1469">
        <v>6.9258811930000004</v>
      </c>
      <c r="O1469" s="15">
        <f t="shared" si="44"/>
        <v>0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1" t="str">
        <f>"owner=" &amp; Tokens!BS1469 &amp; "&amp;filename_for_metadata=" &amp; Tokens!BT1469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69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69" s="1" t="str">
        <f>formatRow(Tokens!C$2:I$2,Tokens!C1469:I1469)</f>
        <v>"name":"",_x000D_
"symbol":"",_x000D_
"description":"",_x000D_
"seller_fee_basis_points":"",_x000D_
"image":"",_x000D_
"Issuer":"",_x000D_
"external_url":""</v>
      </c>
      <c r="W1469" s="1" t="str">
        <f>formatRow(Tokens!J$2:AV$2,Tokens!J1469:AV1469,2,"attributes")</f>
        <v>"attributes":[]</v>
      </c>
      <c r="X1469" s="1" t="str">
        <f>formatRow(Tokens!AX$2:BC$2,Tokens!AX1469:BC1469,2,"creators")</f>
        <v>"creators":[]</v>
      </c>
      <c r="Y1469" s="1" t="str">
        <f>formatRow(Tokens!BD$2:BI$2,Tokens!BD1469:BI1469,2,"files")</f>
        <v>"files":[]</v>
      </c>
      <c r="Z1469" s="1"/>
      <c r="AA1469" s="1"/>
      <c r="AB1469" s="1"/>
      <c r="AC1469" s="1" t="str">
        <f>formatRow(Tokens!BJ$2:BK$2,Tokens!BJ1469:BK1469,0,"collection")</f>
        <v>"collection":{"name":"",_x000D_
"family":""}</v>
      </c>
    </row>
    <row r="1470" spans="5:29" ht="14.25" customHeight="1" x14ac:dyDescent="0.25">
      <c r="E1470" s="17" t="str">
        <f>IF(Tokens!C1470="","",Tokens!C1470)</f>
        <v/>
      </c>
      <c r="F1470" s="56"/>
      <c r="G1470" t="s">
        <v>164</v>
      </c>
      <c r="H1470" s="57" t="s">
        <v>165</v>
      </c>
      <c r="I1470" s="2" t="s">
        <v>166</v>
      </c>
      <c r="J1470" s="2" t="s">
        <v>167</v>
      </c>
      <c r="M1470" s="15"/>
      <c r="N1470">
        <v>6.9258811930000004</v>
      </c>
      <c r="O1470" s="15">
        <f t="shared" si="44"/>
        <v>0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1" t="str">
        <f>"owner=" &amp; Tokens!BS1470 &amp; "&amp;filename_for_metadata=" &amp; Tokens!BT1470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0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0" s="1" t="str">
        <f>formatRow(Tokens!C$2:I$2,Tokens!C1470:I1470)</f>
        <v>"name":"",_x000D_
"symbol":"",_x000D_
"description":"",_x000D_
"seller_fee_basis_points":"",_x000D_
"image":"",_x000D_
"Issuer":"",_x000D_
"external_url":""</v>
      </c>
      <c r="W1470" s="1" t="str">
        <f>formatRow(Tokens!J$2:AV$2,Tokens!J1470:AV1470,2,"attributes")</f>
        <v>"attributes":[]</v>
      </c>
      <c r="X1470" s="1" t="str">
        <f>formatRow(Tokens!AX$2:BC$2,Tokens!AX1470:BC1470,2,"creators")</f>
        <v>"creators":[]</v>
      </c>
      <c r="Y1470" s="1" t="str">
        <f>formatRow(Tokens!BD$2:BI$2,Tokens!BD1470:BI1470,2,"files")</f>
        <v>"files":[]</v>
      </c>
      <c r="Z1470" s="1"/>
      <c r="AA1470" s="1"/>
      <c r="AB1470" s="1"/>
      <c r="AC1470" s="1" t="str">
        <f>formatRow(Tokens!BJ$2:BK$2,Tokens!BJ1470:BK1470,0,"collection")</f>
        <v>"collection":{"name":"",_x000D_
"family":""}</v>
      </c>
    </row>
    <row r="1471" spans="5:29" ht="14.25" customHeight="1" x14ac:dyDescent="0.25">
      <c r="E1471" s="17" t="str">
        <f>IF(Tokens!C1471="","",Tokens!C1471)</f>
        <v/>
      </c>
      <c r="F1471" s="56"/>
      <c r="G1471" t="s">
        <v>164</v>
      </c>
      <c r="H1471" s="57" t="s">
        <v>165</v>
      </c>
      <c r="I1471" s="2" t="s">
        <v>166</v>
      </c>
      <c r="J1471" s="2" t="s">
        <v>167</v>
      </c>
      <c r="M1471" s="15"/>
      <c r="N1471">
        <v>6.9258811930000004</v>
      </c>
      <c r="O1471" s="15">
        <f t="shared" si="44"/>
        <v>0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1" t="str">
        <f>"owner=" &amp; Tokens!BS1471 &amp; "&amp;filename_for_metadata=" &amp; Tokens!BT1471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1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1" s="1" t="str">
        <f>formatRow(Tokens!C$2:I$2,Tokens!C1471:I1471)</f>
        <v>"name":"",_x000D_
"symbol":"",_x000D_
"description":"",_x000D_
"seller_fee_basis_points":"",_x000D_
"image":"",_x000D_
"Issuer":"",_x000D_
"external_url":""</v>
      </c>
      <c r="W1471" s="1" t="str">
        <f>formatRow(Tokens!J$2:AV$2,Tokens!J1471:AV1471,2,"attributes")</f>
        <v>"attributes":[]</v>
      </c>
      <c r="X1471" s="1" t="str">
        <f>formatRow(Tokens!AX$2:BC$2,Tokens!AX1471:BC1471,2,"creators")</f>
        <v>"creators":[]</v>
      </c>
      <c r="Y1471" s="1" t="str">
        <f>formatRow(Tokens!BD$2:BI$2,Tokens!BD1471:BI1471,2,"files")</f>
        <v>"files":[]</v>
      </c>
      <c r="Z1471" s="1"/>
      <c r="AA1471" s="1"/>
      <c r="AB1471" s="1"/>
      <c r="AC1471" s="1" t="str">
        <f>formatRow(Tokens!BJ$2:BK$2,Tokens!BJ1471:BK1471,0,"collection")</f>
        <v>"collection":{"name":"",_x000D_
"family":""}</v>
      </c>
    </row>
    <row r="1472" spans="5:29" ht="14.25" customHeight="1" x14ac:dyDescent="0.25">
      <c r="E1472" s="17" t="str">
        <f>IF(Tokens!C1472="","",Tokens!C1472)</f>
        <v/>
      </c>
      <c r="F1472" s="56"/>
      <c r="G1472" t="s">
        <v>164</v>
      </c>
      <c r="H1472" s="57" t="s">
        <v>165</v>
      </c>
      <c r="I1472" s="2" t="s">
        <v>166</v>
      </c>
      <c r="J1472" s="2" t="s">
        <v>167</v>
      </c>
      <c r="M1472" s="15"/>
      <c r="N1472">
        <v>6.9258811930000004</v>
      </c>
      <c r="O1472" s="15">
        <f t="shared" si="44"/>
        <v>0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1" t="str">
        <f>"owner=" &amp; Tokens!BS1472 &amp; "&amp;filename_for_metadata=" &amp; Tokens!BT1472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2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2" s="1" t="str">
        <f>formatRow(Tokens!C$2:I$2,Tokens!C1472:I1472)</f>
        <v>"name":"",_x000D_
"symbol":"",_x000D_
"description":"",_x000D_
"seller_fee_basis_points":"",_x000D_
"image":"",_x000D_
"Issuer":"",_x000D_
"external_url":""</v>
      </c>
      <c r="W1472" s="1" t="str">
        <f>formatRow(Tokens!J$2:AV$2,Tokens!J1472:AV1472,2,"attributes")</f>
        <v>"attributes":[]</v>
      </c>
      <c r="X1472" s="1" t="str">
        <f>formatRow(Tokens!AX$2:BC$2,Tokens!AX1472:BC1472,2,"creators")</f>
        <v>"creators":[]</v>
      </c>
      <c r="Y1472" s="1" t="str">
        <f>formatRow(Tokens!BD$2:BI$2,Tokens!BD1472:BI1472,2,"files")</f>
        <v>"files":[]</v>
      </c>
      <c r="Z1472" s="1"/>
      <c r="AA1472" s="1"/>
      <c r="AB1472" s="1"/>
      <c r="AC1472" s="1" t="str">
        <f>formatRow(Tokens!BJ$2:BK$2,Tokens!BJ1472:BK1472,0,"collection")</f>
        <v>"collection":{"name":"",_x000D_
"family":""}</v>
      </c>
    </row>
    <row r="1473" spans="5:29" ht="14.25" customHeight="1" x14ac:dyDescent="0.25">
      <c r="E1473" s="17" t="str">
        <f>IF(Tokens!C1473="","",Tokens!C1473)</f>
        <v/>
      </c>
      <c r="F1473" s="56"/>
      <c r="G1473" t="s">
        <v>164</v>
      </c>
      <c r="H1473" s="57" t="s">
        <v>165</v>
      </c>
      <c r="I1473" s="2" t="s">
        <v>166</v>
      </c>
      <c r="J1473" s="2" t="s">
        <v>167</v>
      </c>
      <c r="M1473" s="15"/>
      <c r="N1473">
        <v>6.9258811930000004</v>
      </c>
      <c r="O1473" s="15">
        <f t="shared" si="44"/>
        <v>0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1" t="str">
        <f>"owner=" &amp; Tokens!BS1473 &amp; "&amp;filename_for_metadata=" &amp; Tokens!BT1473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3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3" s="1" t="str">
        <f>formatRow(Tokens!C$2:I$2,Tokens!C1473:I1473)</f>
        <v>"name":"",_x000D_
"symbol":"",_x000D_
"description":"",_x000D_
"seller_fee_basis_points":"",_x000D_
"image":"",_x000D_
"Issuer":"",_x000D_
"external_url":""</v>
      </c>
      <c r="W1473" s="1" t="str">
        <f>formatRow(Tokens!J$2:AV$2,Tokens!J1473:AV1473,2,"attributes")</f>
        <v>"attributes":[]</v>
      </c>
      <c r="X1473" s="1" t="str">
        <f>formatRow(Tokens!AX$2:BC$2,Tokens!AX1473:BC1473,2,"creators")</f>
        <v>"creators":[]</v>
      </c>
      <c r="Y1473" s="1" t="str">
        <f>formatRow(Tokens!BD$2:BI$2,Tokens!BD1473:BI1473,2,"files")</f>
        <v>"files":[]</v>
      </c>
      <c r="Z1473" s="1"/>
      <c r="AA1473" s="1"/>
      <c r="AB1473" s="1"/>
      <c r="AC1473" s="1" t="str">
        <f>formatRow(Tokens!BJ$2:BK$2,Tokens!BJ1473:BK1473,0,"collection")</f>
        <v>"collection":{"name":"",_x000D_
"family":""}</v>
      </c>
    </row>
    <row r="1474" spans="5:29" ht="14.25" customHeight="1" x14ac:dyDescent="0.25">
      <c r="E1474" s="17" t="str">
        <f>IF(Tokens!C1474="","",Tokens!C1474)</f>
        <v/>
      </c>
      <c r="F1474" s="56"/>
      <c r="G1474" t="s">
        <v>164</v>
      </c>
      <c r="H1474" s="57" t="s">
        <v>165</v>
      </c>
      <c r="I1474" s="2" t="s">
        <v>166</v>
      </c>
      <c r="J1474" s="2" t="s">
        <v>167</v>
      </c>
      <c r="M1474" s="15"/>
      <c r="N1474">
        <v>6.9258811930000004</v>
      </c>
      <c r="O1474" s="15">
        <f t="shared" si="44"/>
        <v>0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1" t="str">
        <f>"owner=" &amp; Tokens!BS1474 &amp; "&amp;filename_for_metadata=" &amp; Tokens!BT1474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4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4" s="1" t="str">
        <f>formatRow(Tokens!C$2:I$2,Tokens!C1474:I1474)</f>
        <v>"name":"",_x000D_
"symbol":"",_x000D_
"description":"",_x000D_
"seller_fee_basis_points":"",_x000D_
"image":"",_x000D_
"Issuer":"",_x000D_
"external_url":""</v>
      </c>
      <c r="W1474" s="1" t="str">
        <f>formatRow(Tokens!J$2:AV$2,Tokens!J1474:AV1474,2,"attributes")</f>
        <v>"attributes":[]</v>
      </c>
      <c r="X1474" s="1" t="str">
        <f>formatRow(Tokens!AX$2:BC$2,Tokens!AX1474:BC1474,2,"creators")</f>
        <v>"creators":[]</v>
      </c>
      <c r="Y1474" s="1" t="str">
        <f>formatRow(Tokens!BD$2:BI$2,Tokens!BD1474:BI1474,2,"files")</f>
        <v>"files":[]</v>
      </c>
      <c r="Z1474" s="1"/>
      <c r="AA1474" s="1"/>
      <c r="AB1474" s="1"/>
      <c r="AC1474" s="1" t="str">
        <f>formatRow(Tokens!BJ$2:BK$2,Tokens!BJ1474:BK1474,0,"collection")</f>
        <v>"collection":{"name":"",_x000D_
"family":""}</v>
      </c>
    </row>
    <row r="1475" spans="5:29" ht="14.25" customHeight="1" x14ac:dyDescent="0.25">
      <c r="E1475" s="17" t="str">
        <f>IF(Tokens!C1475="","",Tokens!C1475)</f>
        <v/>
      </c>
      <c r="F1475" s="56"/>
      <c r="G1475" t="s">
        <v>164</v>
      </c>
      <c r="H1475" s="57" t="s">
        <v>165</v>
      </c>
      <c r="I1475" s="2" t="s">
        <v>166</v>
      </c>
      <c r="J1475" s="2" t="s">
        <v>167</v>
      </c>
      <c r="M1475" s="15"/>
      <c r="N1475">
        <v>6.9258811930000004</v>
      </c>
      <c r="O1475" s="15">
        <f t="shared" si="44"/>
        <v>0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1" t="str">
        <f>"owner=" &amp; Tokens!BS1475 &amp; "&amp;filename_for_metadata=" &amp; Tokens!BT1475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5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5" s="1" t="str">
        <f>formatRow(Tokens!C$2:I$2,Tokens!C1475:I1475)</f>
        <v>"name":"",_x000D_
"symbol":"",_x000D_
"description":"",_x000D_
"seller_fee_basis_points":"",_x000D_
"image":"",_x000D_
"Issuer":"",_x000D_
"external_url":""</v>
      </c>
      <c r="W1475" s="1" t="str">
        <f>formatRow(Tokens!J$2:AV$2,Tokens!J1475:AV1475,2,"attributes")</f>
        <v>"attributes":[]</v>
      </c>
      <c r="X1475" s="1" t="str">
        <f>formatRow(Tokens!AX$2:BC$2,Tokens!AX1475:BC1475,2,"creators")</f>
        <v>"creators":[]</v>
      </c>
      <c r="Y1475" s="1" t="str">
        <f>formatRow(Tokens!BD$2:BI$2,Tokens!BD1475:BI1475,2,"files")</f>
        <v>"files":[]</v>
      </c>
      <c r="Z1475" s="1"/>
      <c r="AA1475" s="1"/>
      <c r="AB1475" s="1"/>
      <c r="AC1475" s="1" t="str">
        <f>formatRow(Tokens!BJ$2:BK$2,Tokens!BJ1475:BK1475,0,"collection")</f>
        <v>"collection":{"name":"",_x000D_
"family":""}</v>
      </c>
    </row>
    <row r="1476" spans="5:29" ht="14.25" customHeight="1" x14ac:dyDescent="0.25">
      <c r="E1476" s="17" t="str">
        <f>IF(Tokens!C1476="","",Tokens!C1476)</f>
        <v/>
      </c>
      <c r="F1476" s="56"/>
      <c r="G1476" t="s">
        <v>164</v>
      </c>
      <c r="H1476" s="57" t="s">
        <v>165</v>
      </c>
      <c r="I1476" s="2" t="s">
        <v>166</v>
      </c>
      <c r="J1476" s="2" t="s">
        <v>167</v>
      </c>
      <c r="M1476" s="15"/>
      <c r="N1476">
        <v>6.9258811930000004</v>
      </c>
      <c r="O1476" s="15">
        <f t="shared" ref="O1476:O1500" si="46">IF(AND(ISNUMBER(N1475),ISNUMBER(N1476)),(N1476-N1475)*$O$1,"_")</f>
        <v>0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1" t="str">
        <f>"owner=" &amp; Tokens!BS1476 &amp; "&amp;filename_for_metadata=" &amp; Tokens!BT1476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6" s="1" t="str">
        <f t="shared" si="45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6" s="1" t="str">
        <f>formatRow(Tokens!C$2:I$2,Tokens!C1476:I1476)</f>
        <v>"name":"",_x000D_
"symbol":"",_x000D_
"description":"",_x000D_
"seller_fee_basis_points":"",_x000D_
"image":"",_x000D_
"Issuer":"",_x000D_
"external_url":""</v>
      </c>
      <c r="W1476" s="1" t="str">
        <f>formatRow(Tokens!J$2:AV$2,Tokens!J1476:AV1476,2,"attributes")</f>
        <v>"attributes":[]</v>
      </c>
      <c r="X1476" s="1" t="str">
        <f>formatRow(Tokens!AX$2:BC$2,Tokens!AX1476:BC1476,2,"creators")</f>
        <v>"creators":[]</v>
      </c>
      <c r="Y1476" s="1" t="str">
        <f>formatRow(Tokens!BD$2:BI$2,Tokens!BD1476:BI1476,2,"files")</f>
        <v>"files":[]</v>
      </c>
      <c r="Z1476" s="1"/>
      <c r="AA1476" s="1"/>
      <c r="AB1476" s="1"/>
      <c r="AC1476" s="1" t="str">
        <f>formatRow(Tokens!BJ$2:BK$2,Tokens!BJ1476:BK1476,0,"collection")</f>
        <v>"collection":{"name":"",_x000D_
"family":""}</v>
      </c>
    </row>
    <row r="1477" spans="5:29" ht="14.25" customHeight="1" x14ac:dyDescent="0.25">
      <c r="E1477" s="17" t="str">
        <f>IF(Tokens!C1477="","",Tokens!C1477)</f>
        <v/>
      </c>
      <c r="F1477" s="56"/>
      <c r="G1477" t="s">
        <v>164</v>
      </c>
      <c r="H1477" s="57" t="s">
        <v>165</v>
      </c>
      <c r="I1477" s="2" t="s">
        <v>166</v>
      </c>
      <c r="J1477" s="2" t="s">
        <v>167</v>
      </c>
      <c r="M1477" s="15"/>
      <c r="N1477">
        <v>6.9258811930000004</v>
      </c>
      <c r="O1477" s="15">
        <f t="shared" si="46"/>
        <v>0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1" t="str">
        <f>"owner=" &amp; Tokens!BS1477 &amp; "&amp;filename_for_metadata=" &amp; Tokens!BT1477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7" s="1" t="str">
        <f t="shared" ref="U1477:U1500" si="47">"{" &amp; V1477 &amp; "," &amp; W1477 &amp; "," &amp; """properties"":{" &amp; X1477 &amp; "," &amp; Y1477 &amp; "}," &amp; AC1477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7" s="1" t="str">
        <f>formatRow(Tokens!C$2:I$2,Tokens!C1477:I1477)</f>
        <v>"name":"",_x000D_
"symbol":"",_x000D_
"description":"",_x000D_
"seller_fee_basis_points":"",_x000D_
"image":"",_x000D_
"Issuer":"",_x000D_
"external_url":""</v>
      </c>
      <c r="W1477" s="1" t="str">
        <f>formatRow(Tokens!J$2:AV$2,Tokens!J1477:AV1477,2,"attributes")</f>
        <v>"attributes":[]</v>
      </c>
      <c r="X1477" s="1" t="str">
        <f>formatRow(Tokens!AX$2:BC$2,Tokens!AX1477:BC1477,2,"creators")</f>
        <v>"creators":[]</v>
      </c>
      <c r="Y1477" s="1" t="str">
        <f>formatRow(Tokens!BD$2:BI$2,Tokens!BD1477:BI1477,2,"files")</f>
        <v>"files":[]</v>
      </c>
      <c r="Z1477" s="1"/>
      <c r="AA1477" s="1"/>
      <c r="AB1477" s="1"/>
      <c r="AC1477" s="1" t="str">
        <f>formatRow(Tokens!BJ$2:BK$2,Tokens!BJ1477:BK1477,0,"collection")</f>
        <v>"collection":{"name":"",_x000D_
"family":""}</v>
      </c>
    </row>
    <row r="1478" spans="5:29" ht="14.25" customHeight="1" x14ac:dyDescent="0.25">
      <c r="E1478" s="17" t="str">
        <f>IF(Tokens!C1478="","",Tokens!C1478)</f>
        <v/>
      </c>
      <c r="F1478" s="56"/>
      <c r="G1478" t="s">
        <v>164</v>
      </c>
      <c r="H1478" s="57" t="s">
        <v>165</v>
      </c>
      <c r="I1478" s="2" t="s">
        <v>166</v>
      </c>
      <c r="J1478" s="2" t="s">
        <v>167</v>
      </c>
      <c r="M1478" s="15"/>
      <c r="N1478">
        <v>6.9258811930000004</v>
      </c>
      <c r="O1478" s="15">
        <f t="shared" si="46"/>
        <v>0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1" t="str">
        <f>"owner=" &amp; Tokens!BS1478 &amp; "&amp;filename_for_metadata=" &amp; Tokens!BT1478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8" s="1" t="str">
        <f>formatRow(Tokens!C$2:I$2,Tokens!C1478:I1478)</f>
        <v>"name":"",_x000D_
"symbol":"",_x000D_
"description":"",_x000D_
"seller_fee_basis_points":"",_x000D_
"image":"",_x000D_
"Issuer":"",_x000D_
"external_url":""</v>
      </c>
      <c r="W1478" s="1" t="str">
        <f>formatRow(Tokens!J$2:AV$2,Tokens!J1478:AV1478,2,"attributes")</f>
        <v>"attributes":[]</v>
      </c>
      <c r="X1478" s="1" t="str">
        <f>formatRow(Tokens!AX$2:BC$2,Tokens!AX1478:BC1478,2,"creators")</f>
        <v>"creators":[]</v>
      </c>
      <c r="Y1478" s="1" t="str">
        <f>formatRow(Tokens!BD$2:BI$2,Tokens!BD1478:BI1478,2,"files")</f>
        <v>"files":[]</v>
      </c>
      <c r="Z1478" s="1"/>
      <c r="AA1478" s="1"/>
      <c r="AB1478" s="1"/>
      <c r="AC1478" s="1" t="str">
        <f>formatRow(Tokens!BJ$2:BK$2,Tokens!BJ1478:BK1478,0,"collection")</f>
        <v>"collection":{"name":"",_x000D_
"family":""}</v>
      </c>
    </row>
    <row r="1479" spans="5:29" ht="14.25" customHeight="1" x14ac:dyDescent="0.25">
      <c r="E1479" s="17" t="str">
        <f>IF(Tokens!C1479="","",Tokens!C1479)</f>
        <v/>
      </c>
      <c r="F1479" s="56"/>
      <c r="G1479" t="s">
        <v>164</v>
      </c>
      <c r="H1479" s="57" t="s">
        <v>165</v>
      </c>
      <c r="I1479" s="2" t="s">
        <v>166</v>
      </c>
      <c r="J1479" s="2" t="s">
        <v>167</v>
      </c>
      <c r="M1479" s="15"/>
      <c r="N1479">
        <v>6.9258811930000004</v>
      </c>
      <c r="O1479" s="15">
        <f t="shared" si="46"/>
        <v>0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1" t="str">
        <f>"owner=" &amp; Tokens!BS1479 &amp; "&amp;filename_for_metadata=" &amp; Tokens!BT1479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7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79" s="1" t="str">
        <f>formatRow(Tokens!C$2:I$2,Tokens!C1479:I1479)</f>
        <v>"name":"",_x000D_
"symbol":"",_x000D_
"description":"",_x000D_
"seller_fee_basis_points":"",_x000D_
"image":"",_x000D_
"Issuer":"",_x000D_
"external_url":""</v>
      </c>
      <c r="W1479" s="1" t="str">
        <f>formatRow(Tokens!J$2:AV$2,Tokens!J1479:AV1479,2,"attributes")</f>
        <v>"attributes":[]</v>
      </c>
      <c r="X1479" s="1" t="str">
        <f>formatRow(Tokens!AX$2:BC$2,Tokens!AX1479:BC1479,2,"creators")</f>
        <v>"creators":[]</v>
      </c>
      <c r="Y1479" s="1" t="str">
        <f>formatRow(Tokens!BD$2:BI$2,Tokens!BD1479:BI1479,2,"files")</f>
        <v>"files":[]</v>
      </c>
      <c r="Z1479" s="1"/>
      <c r="AA1479" s="1"/>
      <c r="AB1479" s="1"/>
      <c r="AC1479" s="1" t="str">
        <f>formatRow(Tokens!BJ$2:BK$2,Tokens!BJ1479:BK1479,0,"collection")</f>
        <v>"collection":{"name":"",_x000D_
"family":""}</v>
      </c>
    </row>
    <row r="1480" spans="5:29" ht="14.25" customHeight="1" x14ac:dyDescent="0.25">
      <c r="E1480" s="17" t="str">
        <f>IF(Tokens!C1480="","",Tokens!C1480)</f>
        <v/>
      </c>
      <c r="F1480" s="56"/>
      <c r="G1480" t="s">
        <v>164</v>
      </c>
      <c r="H1480" s="57" t="s">
        <v>165</v>
      </c>
      <c r="I1480" s="2" t="s">
        <v>166</v>
      </c>
      <c r="J1480" s="2" t="s">
        <v>167</v>
      </c>
      <c r="M1480" s="15"/>
      <c r="N1480">
        <v>6.9258811930000004</v>
      </c>
      <c r="O1480" s="15">
        <f t="shared" si="46"/>
        <v>0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1" t="str">
        <f>"owner=" &amp; Tokens!BS1480 &amp; "&amp;filename_for_metadata=" &amp; Tokens!BT1480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0" s="1" t="str">
        <f>formatRow(Tokens!C$2:I$2,Tokens!C1480:I1480)</f>
        <v>"name":"",_x000D_
"symbol":"",_x000D_
"description":"",_x000D_
"seller_fee_basis_points":"",_x000D_
"image":"",_x000D_
"Issuer":"",_x000D_
"external_url":""</v>
      </c>
      <c r="W1480" s="1" t="str">
        <f>formatRow(Tokens!J$2:AV$2,Tokens!J1480:AV1480,2,"attributes")</f>
        <v>"attributes":[]</v>
      </c>
      <c r="X1480" s="1" t="str">
        <f>formatRow(Tokens!AX$2:BC$2,Tokens!AX1480:BC1480,2,"creators")</f>
        <v>"creators":[]</v>
      </c>
      <c r="Y1480" s="1" t="str">
        <f>formatRow(Tokens!BD$2:BI$2,Tokens!BD1480:BI1480,2,"files")</f>
        <v>"files":[]</v>
      </c>
      <c r="Z1480" s="1"/>
      <c r="AA1480" s="1"/>
      <c r="AB1480" s="1"/>
      <c r="AC1480" s="1" t="str">
        <f>formatRow(Tokens!BJ$2:BK$2,Tokens!BJ1480:BK1480,0,"collection")</f>
        <v>"collection":{"name":"",_x000D_
"family":""}</v>
      </c>
    </row>
    <row r="1481" spans="5:29" ht="14.25" customHeight="1" x14ac:dyDescent="0.25">
      <c r="E1481" s="17" t="str">
        <f>IF(Tokens!C1481="","",Tokens!C1481)</f>
        <v/>
      </c>
      <c r="F1481" s="56"/>
      <c r="G1481" t="s">
        <v>164</v>
      </c>
      <c r="H1481" s="57" t="s">
        <v>165</v>
      </c>
      <c r="I1481" s="2" t="s">
        <v>166</v>
      </c>
      <c r="J1481" s="2" t="s">
        <v>167</v>
      </c>
      <c r="M1481" s="15"/>
      <c r="N1481">
        <v>6.9258811930000004</v>
      </c>
      <c r="O1481" s="15">
        <f t="shared" si="46"/>
        <v>0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1" t="str">
        <f>"owner=" &amp; Tokens!BS1481 &amp; "&amp;filename_for_metadata=" &amp; Tokens!BT1481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1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1" s="1" t="str">
        <f>formatRow(Tokens!C$2:I$2,Tokens!C1481:I1481)</f>
        <v>"name":"",_x000D_
"symbol":"",_x000D_
"description":"",_x000D_
"seller_fee_basis_points":"",_x000D_
"image":"",_x000D_
"Issuer":"",_x000D_
"external_url":""</v>
      </c>
      <c r="W1481" s="1" t="str">
        <f>formatRow(Tokens!J$2:AV$2,Tokens!J1481:AV1481,2,"attributes")</f>
        <v>"attributes":[]</v>
      </c>
      <c r="X1481" s="1" t="str">
        <f>formatRow(Tokens!AX$2:BC$2,Tokens!AX1481:BC1481,2,"creators")</f>
        <v>"creators":[]</v>
      </c>
      <c r="Y1481" s="1" t="str">
        <f>formatRow(Tokens!BD$2:BI$2,Tokens!BD1481:BI1481,2,"files")</f>
        <v>"files":[]</v>
      </c>
      <c r="Z1481" s="1"/>
      <c r="AA1481" s="1"/>
      <c r="AB1481" s="1"/>
      <c r="AC1481" s="1" t="str">
        <f>formatRow(Tokens!BJ$2:BK$2,Tokens!BJ1481:BK1481,0,"collection")</f>
        <v>"collection":{"name":"",_x000D_
"family":""}</v>
      </c>
    </row>
    <row r="1482" spans="5:29" ht="14.25" customHeight="1" x14ac:dyDescent="0.25">
      <c r="E1482" s="17" t="str">
        <f>IF(Tokens!C1482="","",Tokens!C1482)</f>
        <v/>
      </c>
      <c r="F1482" s="56"/>
      <c r="G1482" t="s">
        <v>164</v>
      </c>
      <c r="H1482" s="57" t="s">
        <v>165</v>
      </c>
      <c r="I1482" s="2" t="s">
        <v>166</v>
      </c>
      <c r="J1482" s="2" t="s">
        <v>167</v>
      </c>
      <c r="M1482" s="15"/>
      <c r="N1482">
        <v>6.9258811930000004</v>
      </c>
      <c r="O1482" s="15">
        <f t="shared" si="46"/>
        <v>0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1" t="str">
        <f>"owner=" &amp; Tokens!BS1482 &amp; "&amp;filename_for_metadata=" &amp; Tokens!BT1482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2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2" s="1" t="str">
        <f>formatRow(Tokens!C$2:I$2,Tokens!C1482:I1482)</f>
        <v>"name":"",_x000D_
"symbol":"",_x000D_
"description":"",_x000D_
"seller_fee_basis_points":"",_x000D_
"image":"",_x000D_
"Issuer":"",_x000D_
"external_url":""</v>
      </c>
      <c r="W1482" s="1" t="str">
        <f>formatRow(Tokens!J$2:AV$2,Tokens!J1482:AV1482,2,"attributes")</f>
        <v>"attributes":[]</v>
      </c>
      <c r="X1482" s="1" t="str">
        <f>formatRow(Tokens!AX$2:BC$2,Tokens!AX1482:BC1482,2,"creators")</f>
        <v>"creators":[]</v>
      </c>
      <c r="Y1482" s="1" t="str">
        <f>formatRow(Tokens!BD$2:BI$2,Tokens!BD1482:BI1482,2,"files")</f>
        <v>"files":[]</v>
      </c>
      <c r="Z1482" s="1"/>
      <c r="AA1482" s="1"/>
      <c r="AB1482" s="1"/>
      <c r="AC1482" s="1" t="str">
        <f>formatRow(Tokens!BJ$2:BK$2,Tokens!BJ1482:BK1482,0,"collection")</f>
        <v>"collection":{"name":"",_x000D_
"family":""}</v>
      </c>
    </row>
    <row r="1483" spans="5:29" ht="14.25" customHeight="1" x14ac:dyDescent="0.25">
      <c r="E1483" s="17" t="str">
        <f>IF(Tokens!C1483="","",Tokens!C1483)</f>
        <v/>
      </c>
      <c r="F1483" s="56"/>
      <c r="G1483" t="s">
        <v>164</v>
      </c>
      <c r="H1483" s="57" t="s">
        <v>165</v>
      </c>
      <c r="I1483" s="2" t="s">
        <v>166</v>
      </c>
      <c r="J1483" s="2" t="s">
        <v>167</v>
      </c>
      <c r="M1483" s="15"/>
      <c r="N1483">
        <v>6.9258811930000004</v>
      </c>
      <c r="O1483" s="15">
        <f t="shared" si="46"/>
        <v>0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1" t="str">
        <f>"owner=" &amp; Tokens!BS1483 &amp; "&amp;filename_for_metadata=" &amp; Tokens!BT1483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3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3" s="1" t="str">
        <f>formatRow(Tokens!C$2:I$2,Tokens!C1483:I1483)</f>
        <v>"name":"",_x000D_
"symbol":"",_x000D_
"description":"",_x000D_
"seller_fee_basis_points":"",_x000D_
"image":"",_x000D_
"Issuer":"",_x000D_
"external_url":""</v>
      </c>
      <c r="W1483" s="1" t="str">
        <f>formatRow(Tokens!J$2:AV$2,Tokens!J1483:AV1483,2,"attributes")</f>
        <v>"attributes":[]</v>
      </c>
      <c r="X1483" s="1" t="str">
        <f>formatRow(Tokens!AX$2:BC$2,Tokens!AX1483:BC1483,2,"creators")</f>
        <v>"creators":[]</v>
      </c>
      <c r="Y1483" s="1" t="str">
        <f>formatRow(Tokens!BD$2:BI$2,Tokens!BD1483:BI1483,2,"files")</f>
        <v>"files":[]</v>
      </c>
      <c r="Z1483" s="1"/>
      <c r="AA1483" s="1"/>
      <c r="AB1483" s="1"/>
      <c r="AC1483" s="1" t="str">
        <f>formatRow(Tokens!BJ$2:BK$2,Tokens!BJ1483:BK1483,0,"collection")</f>
        <v>"collection":{"name":"",_x000D_
"family":""}</v>
      </c>
    </row>
    <row r="1484" spans="5:29" ht="14.25" customHeight="1" x14ac:dyDescent="0.25">
      <c r="E1484" s="17" t="str">
        <f>IF(Tokens!C1484="","",Tokens!C1484)</f>
        <v/>
      </c>
      <c r="F1484" s="56"/>
      <c r="G1484" t="s">
        <v>164</v>
      </c>
      <c r="H1484" s="57" t="s">
        <v>165</v>
      </c>
      <c r="I1484" s="2" t="s">
        <v>166</v>
      </c>
      <c r="J1484" s="2" t="s">
        <v>167</v>
      </c>
      <c r="M1484" s="15"/>
      <c r="N1484">
        <v>6.9258811930000004</v>
      </c>
      <c r="O1484" s="15">
        <f t="shared" si="46"/>
        <v>0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1" t="str">
        <f>"owner=" &amp; Tokens!BS1484 &amp; "&amp;filename_for_metadata=" &amp; Tokens!BT1484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4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4" s="1" t="str">
        <f>formatRow(Tokens!C$2:I$2,Tokens!C1484:I1484)</f>
        <v>"name":"",_x000D_
"symbol":"",_x000D_
"description":"",_x000D_
"seller_fee_basis_points":"",_x000D_
"image":"",_x000D_
"Issuer":"",_x000D_
"external_url":""</v>
      </c>
      <c r="W1484" s="1" t="str">
        <f>formatRow(Tokens!J$2:AV$2,Tokens!J1484:AV1484,2,"attributes")</f>
        <v>"attributes":[]</v>
      </c>
      <c r="X1484" s="1" t="str">
        <f>formatRow(Tokens!AX$2:BC$2,Tokens!AX1484:BC1484,2,"creators")</f>
        <v>"creators":[]</v>
      </c>
      <c r="Y1484" s="1" t="str">
        <f>formatRow(Tokens!BD$2:BI$2,Tokens!BD1484:BI1484,2,"files")</f>
        <v>"files":[]</v>
      </c>
      <c r="Z1484" s="1"/>
      <c r="AA1484" s="1"/>
      <c r="AB1484" s="1"/>
      <c r="AC1484" s="1" t="str">
        <f>formatRow(Tokens!BJ$2:BK$2,Tokens!BJ1484:BK1484,0,"collection")</f>
        <v>"collection":{"name":"",_x000D_
"family":""}</v>
      </c>
    </row>
    <row r="1485" spans="5:29" ht="14.25" customHeight="1" x14ac:dyDescent="0.25">
      <c r="E1485" s="17" t="str">
        <f>IF(Tokens!C1485="","",Tokens!C1485)</f>
        <v/>
      </c>
      <c r="F1485" s="56"/>
      <c r="G1485" t="s">
        <v>164</v>
      </c>
      <c r="H1485" s="57" t="s">
        <v>165</v>
      </c>
      <c r="I1485" s="2" t="s">
        <v>166</v>
      </c>
      <c r="J1485" s="2" t="s">
        <v>167</v>
      </c>
      <c r="M1485" s="15"/>
      <c r="N1485">
        <v>6.9258811930000004</v>
      </c>
      <c r="O1485" s="15">
        <f t="shared" si="46"/>
        <v>0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1" t="str">
        <f>"owner=" &amp; Tokens!BS1485 &amp; "&amp;filename_for_metadata=" &amp; Tokens!BT1485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5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5" s="1" t="str">
        <f>formatRow(Tokens!C$2:I$2,Tokens!C1485:I1485)</f>
        <v>"name":"",_x000D_
"symbol":"",_x000D_
"description":"",_x000D_
"seller_fee_basis_points":"",_x000D_
"image":"",_x000D_
"Issuer":"",_x000D_
"external_url":""</v>
      </c>
      <c r="W1485" s="1" t="str">
        <f>formatRow(Tokens!J$2:AV$2,Tokens!J1485:AV1485,2,"attributes")</f>
        <v>"attributes":[]</v>
      </c>
      <c r="X1485" s="1" t="str">
        <f>formatRow(Tokens!AX$2:BC$2,Tokens!AX1485:BC1485,2,"creators")</f>
        <v>"creators":[]</v>
      </c>
      <c r="Y1485" s="1" t="str">
        <f>formatRow(Tokens!BD$2:BI$2,Tokens!BD1485:BI1485,2,"files")</f>
        <v>"files":[]</v>
      </c>
      <c r="Z1485" s="1"/>
      <c r="AA1485" s="1"/>
      <c r="AB1485" s="1"/>
      <c r="AC1485" s="1" t="str">
        <f>formatRow(Tokens!BJ$2:BK$2,Tokens!BJ1485:BK1485,0,"collection")</f>
        <v>"collection":{"name":"",_x000D_
"family":""}</v>
      </c>
    </row>
    <row r="1486" spans="5:29" ht="14.25" customHeight="1" x14ac:dyDescent="0.25">
      <c r="E1486" s="17" t="str">
        <f>IF(Tokens!C1486="","",Tokens!C1486)</f>
        <v/>
      </c>
      <c r="F1486" s="56"/>
      <c r="G1486" t="s">
        <v>164</v>
      </c>
      <c r="H1486" s="57" t="s">
        <v>165</v>
      </c>
      <c r="I1486" s="2" t="s">
        <v>166</v>
      </c>
      <c r="J1486" s="2" t="s">
        <v>167</v>
      </c>
      <c r="M1486" s="15"/>
      <c r="N1486">
        <v>6.9258811930000004</v>
      </c>
      <c r="O1486" s="15">
        <f t="shared" si="46"/>
        <v>0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1" t="str">
        <f>"owner=" &amp; Tokens!BS1486 &amp; "&amp;filename_for_metadata=" &amp; Tokens!BT1486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6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6" s="1" t="str">
        <f>formatRow(Tokens!C$2:I$2,Tokens!C1486:I1486)</f>
        <v>"name":"",_x000D_
"symbol":"",_x000D_
"description":"",_x000D_
"seller_fee_basis_points":"",_x000D_
"image":"",_x000D_
"Issuer":"",_x000D_
"external_url":""</v>
      </c>
      <c r="W1486" s="1" t="str">
        <f>formatRow(Tokens!J$2:AV$2,Tokens!J1486:AV1486,2,"attributes")</f>
        <v>"attributes":[]</v>
      </c>
      <c r="X1486" s="1" t="str">
        <f>formatRow(Tokens!AX$2:BC$2,Tokens!AX1486:BC1486,2,"creators")</f>
        <v>"creators":[]</v>
      </c>
      <c r="Y1486" s="1" t="str">
        <f>formatRow(Tokens!BD$2:BI$2,Tokens!BD1486:BI1486,2,"files")</f>
        <v>"files":[]</v>
      </c>
      <c r="Z1486" s="1"/>
      <c r="AA1486" s="1"/>
      <c r="AB1486" s="1"/>
      <c r="AC1486" s="1" t="str">
        <f>formatRow(Tokens!BJ$2:BK$2,Tokens!BJ1486:BK1486,0,"collection")</f>
        <v>"collection":{"name":"",_x000D_
"family":""}</v>
      </c>
    </row>
    <row r="1487" spans="5:29" ht="14.25" customHeight="1" x14ac:dyDescent="0.25">
      <c r="E1487" s="17" t="str">
        <f>IF(Tokens!C1487="","",Tokens!C1487)</f>
        <v/>
      </c>
      <c r="F1487" s="56"/>
      <c r="G1487" t="s">
        <v>164</v>
      </c>
      <c r="H1487" s="57" t="s">
        <v>165</v>
      </c>
      <c r="I1487" s="2" t="s">
        <v>166</v>
      </c>
      <c r="J1487" s="2" t="s">
        <v>167</v>
      </c>
      <c r="M1487" s="15"/>
      <c r="N1487">
        <v>6.9258811930000004</v>
      </c>
      <c r="O1487" s="15">
        <f t="shared" si="46"/>
        <v>0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1" t="str">
        <f>"owner=" &amp; Tokens!BS1487 &amp; "&amp;filename_for_metadata=" &amp; Tokens!BT1487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7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7" s="1" t="str">
        <f>formatRow(Tokens!C$2:I$2,Tokens!C1487:I1487)</f>
        <v>"name":"",_x000D_
"symbol":"",_x000D_
"description":"",_x000D_
"seller_fee_basis_points":"",_x000D_
"image":"",_x000D_
"Issuer":"",_x000D_
"external_url":""</v>
      </c>
      <c r="W1487" s="1" t="str">
        <f>formatRow(Tokens!J$2:AV$2,Tokens!J1487:AV1487,2,"attributes")</f>
        <v>"attributes":[]</v>
      </c>
      <c r="X1487" s="1" t="str">
        <f>formatRow(Tokens!AX$2:BC$2,Tokens!AX1487:BC1487,2,"creators")</f>
        <v>"creators":[]</v>
      </c>
      <c r="Y1487" s="1" t="str">
        <f>formatRow(Tokens!BD$2:BI$2,Tokens!BD1487:BI1487,2,"files")</f>
        <v>"files":[]</v>
      </c>
      <c r="Z1487" s="1"/>
      <c r="AA1487" s="1"/>
      <c r="AB1487" s="1"/>
      <c r="AC1487" s="1" t="str">
        <f>formatRow(Tokens!BJ$2:BK$2,Tokens!BJ1487:BK1487,0,"collection")</f>
        <v>"collection":{"name":"",_x000D_
"family":""}</v>
      </c>
    </row>
    <row r="1488" spans="5:29" ht="14.25" customHeight="1" x14ac:dyDescent="0.25">
      <c r="E1488" s="17" t="str">
        <f>IF(Tokens!C1488="","",Tokens!C1488)</f>
        <v/>
      </c>
      <c r="F1488" s="56"/>
      <c r="G1488" t="s">
        <v>164</v>
      </c>
      <c r="H1488" s="57" t="s">
        <v>165</v>
      </c>
      <c r="I1488" s="2" t="s">
        <v>166</v>
      </c>
      <c r="J1488" s="2" t="s">
        <v>167</v>
      </c>
      <c r="M1488" s="15"/>
      <c r="N1488">
        <v>6.9258811930000004</v>
      </c>
      <c r="O1488" s="15">
        <f t="shared" si="46"/>
        <v>0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1" t="str">
        <f>"owner=" &amp; Tokens!BS1488 &amp; "&amp;filename_for_metadata=" &amp; Tokens!BT1488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8" s="1" t="str">
        <f>formatRow(Tokens!C$2:I$2,Tokens!C1488:I1488)</f>
        <v>"name":"",_x000D_
"symbol":"",_x000D_
"description":"",_x000D_
"seller_fee_basis_points":"",_x000D_
"image":"",_x000D_
"Issuer":"",_x000D_
"external_url":""</v>
      </c>
      <c r="W1488" s="1" t="str">
        <f>formatRow(Tokens!J$2:AV$2,Tokens!J1488:AV1488,2,"attributes")</f>
        <v>"attributes":[]</v>
      </c>
      <c r="X1488" s="1" t="str">
        <f>formatRow(Tokens!AX$2:BC$2,Tokens!AX1488:BC1488,2,"creators")</f>
        <v>"creators":[]</v>
      </c>
      <c r="Y1488" s="1" t="str">
        <f>formatRow(Tokens!BD$2:BI$2,Tokens!BD1488:BI1488,2,"files")</f>
        <v>"files":[]</v>
      </c>
      <c r="Z1488" s="1"/>
      <c r="AA1488" s="1"/>
      <c r="AB1488" s="1"/>
      <c r="AC1488" s="1" t="str">
        <f>formatRow(Tokens!BJ$2:BK$2,Tokens!BJ1488:BK1488,0,"collection")</f>
        <v>"collection":{"name":"",_x000D_
"family":""}</v>
      </c>
    </row>
    <row r="1489" spans="5:29" ht="14.25" customHeight="1" x14ac:dyDescent="0.25">
      <c r="E1489" s="17" t="str">
        <f>IF(Tokens!C1489="","",Tokens!C1489)</f>
        <v/>
      </c>
      <c r="F1489" s="56"/>
      <c r="G1489" t="s">
        <v>164</v>
      </c>
      <c r="H1489" s="57" t="s">
        <v>165</v>
      </c>
      <c r="I1489" s="2" t="s">
        <v>166</v>
      </c>
      <c r="J1489" s="2" t="s">
        <v>167</v>
      </c>
      <c r="M1489" s="15"/>
      <c r="N1489">
        <v>6.9258811930000004</v>
      </c>
      <c r="O1489" s="15">
        <f t="shared" si="46"/>
        <v>0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1" t="str">
        <f>"owner=" &amp; Tokens!BS1489 &amp; "&amp;filename_for_metadata=" &amp; Tokens!BT1489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8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89" s="1" t="str">
        <f>formatRow(Tokens!C$2:I$2,Tokens!C1489:I1489)</f>
        <v>"name":"",_x000D_
"symbol":"",_x000D_
"description":"",_x000D_
"seller_fee_basis_points":"",_x000D_
"image":"",_x000D_
"Issuer":"",_x000D_
"external_url":""</v>
      </c>
      <c r="W1489" s="1" t="str">
        <f>formatRow(Tokens!J$2:AV$2,Tokens!J1489:AV1489,2,"attributes")</f>
        <v>"attributes":[]</v>
      </c>
      <c r="X1489" s="1" t="str">
        <f>formatRow(Tokens!AX$2:BC$2,Tokens!AX1489:BC1489,2,"creators")</f>
        <v>"creators":[]</v>
      </c>
      <c r="Y1489" s="1" t="str">
        <f>formatRow(Tokens!BD$2:BI$2,Tokens!BD1489:BI1489,2,"files")</f>
        <v>"files":[]</v>
      </c>
      <c r="Z1489" s="1"/>
      <c r="AA1489" s="1"/>
      <c r="AB1489" s="1"/>
      <c r="AC1489" s="1" t="str">
        <f>formatRow(Tokens!BJ$2:BK$2,Tokens!BJ1489:BK1489,0,"collection")</f>
        <v>"collection":{"name":"",_x000D_
"family":""}</v>
      </c>
    </row>
    <row r="1490" spans="5:29" ht="14.25" customHeight="1" x14ac:dyDescent="0.25">
      <c r="E1490" s="17" t="str">
        <f>IF(Tokens!C1490="","",Tokens!C1490)</f>
        <v/>
      </c>
      <c r="F1490" s="56"/>
      <c r="G1490" t="s">
        <v>164</v>
      </c>
      <c r="H1490" s="57" t="s">
        <v>165</v>
      </c>
      <c r="I1490" s="2" t="s">
        <v>166</v>
      </c>
      <c r="J1490" s="2" t="s">
        <v>167</v>
      </c>
      <c r="M1490" s="15"/>
      <c r="N1490">
        <v>6.9258811930000004</v>
      </c>
      <c r="O1490" s="15">
        <f t="shared" si="46"/>
        <v>0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1" t="str">
        <f>"owner=" &amp; Tokens!BS1490 &amp; "&amp;filename_for_metadata=" &amp; Tokens!BT1490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0" s="1" t="str">
        <f>formatRow(Tokens!C$2:I$2,Tokens!C1490:I1490)</f>
        <v>"name":"",_x000D_
"symbol":"",_x000D_
"description":"",_x000D_
"seller_fee_basis_points":"",_x000D_
"image":"",_x000D_
"Issuer":"",_x000D_
"external_url":""</v>
      </c>
      <c r="W1490" s="1" t="str">
        <f>formatRow(Tokens!J$2:AV$2,Tokens!J1490:AV1490,2,"attributes")</f>
        <v>"attributes":[]</v>
      </c>
      <c r="X1490" s="1" t="str">
        <f>formatRow(Tokens!AX$2:BC$2,Tokens!AX1490:BC1490,2,"creators")</f>
        <v>"creators":[]</v>
      </c>
      <c r="Y1490" s="1" t="str">
        <f>formatRow(Tokens!BD$2:BI$2,Tokens!BD1490:BI1490,2,"files")</f>
        <v>"files":[]</v>
      </c>
      <c r="Z1490" s="1"/>
      <c r="AA1490" s="1"/>
      <c r="AB1490" s="1"/>
      <c r="AC1490" s="1" t="str">
        <f>formatRow(Tokens!BJ$2:BK$2,Tokens!BJ1490:BK1490,0,"collection")</f>
        <v>"collection":{"name":"",_x000D_
"family":""}</v>
      </c>
    </row>
    <row r="1491" spans="5:29" ht="14.25" customHeight="1" x14ac:dyDescent="0.25">
      <c r="E1491" s="17" t="str">
        <f>IF(Tokens!C1491="","",Tokens!C1491)</f>
        <v/>
      </c>
      <c r="F1491" s="56"/>
      <c r="G1491" t="s">
        <v>164</v>
      </c>
      <c r="H1491" s="57" t="s">
        <v>165</v>
      </c>
      <c r="I1491" s="2" t="s">
        <v>166</v>
      </c>
      <c r="J1491" s="2" t="s">
        <v>167</v>
      </c>
      <c r="M1491" s="15"/>
      <c r="N1491">
        <v>6.9258811930000004</v>
      </c>
      <c r="O1491" s="15">
        <f t="shared" si="46"/>
        <v>0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1" t="str">
        <f>"owner=" &amp; Tokens!BS1491 &amp; "&amp;filename_for_metadata=" &amp; Tokens!BT1491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1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1" s="1" t="str">
        <f>formatRow(Tokens!C$2:I$2,Tokens!C1491:I1491)</f>
        <v>"name":"",_x000D_
"symbol":"",_x000D_
"description":"",_x000D_
"seller_fee_basis_points":"",_x000D_
"image":"",_x000D_
"Issuer":"",_x000D_
"external_url":""</v>
      </c>
      <c r="W1491" s="1" t="str">
        <f>formatRow(Tokens!J$2:AV$2,Tokens!J1491:AV1491,2,"attributes")</f>
        <v>"attributes":[]</v>
      </c>
      <c r="X1491" s="1" t="str">
        <f>formatRow(Tokens!AX$2:BC$2,Tokens!AX1491:BC1491,2,"creators")</f>
        <v>"creators":[]</v>
      </c>
      <c r="Y1491" s="1" t="str">
        <f>formatRow(Tokens!BD$2:BI$2,Tokens!BD1491:BI1491,2,"files")</f>
        <v>"files":[]</v>
      </c>
      <c r="Z1491" s="1"/>
      <c r="AA1491" s="1"/>
      <c r="AB1491" s="1"/>
      <c r="AC1491" s="1" t="str">
        <f>formatRow(Tokens!BJ$2:BK$2,Tokens!BJ1491:BK1491,0,"collection")</f>
        <v>"collection":{"name":"",_x000D_
"family":""}</v>
      </c>
    </row>
    <row r="1492" spans="5:29" ht="14.25" customHeight="1" x14ac:dyDescent="0.25">
      <c r="E1492" s="17" t="str">
        <f>IF(Tokens!C1492="","",Tokens!C1492)</f>
        <v/>
      </c>
      <c r="F1492" s="56"/>
      <c r="G1492" t="s">
        <v>164</v>
      </c>
      <c r="H1492" s="57" t="s">
        <v>165</v>
      </c>
      <c r="I1492" s="2" t="s">
        <v>166</v>
      </c>
      <c r="J1492" s="2" t="s">
        <v>167</v>
      </c>
      <c r="M1492" s="15"/>
      <c r="N1492">
        <v>6.9258811930000004</v>
      </c>
      <c r="O1492" s="15">
        <f t="shared" si="46"/>
        <v>0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1" t="str">
        <f>"owner=" &amp; Tokens!BS1492 &amp; "&amp;filename_for_metadata=" &amp; Tokens!BT1492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2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2" s="1" t="str">
        <f>formatRow(Tokens!C$2:I$2,Tokens!C1492:I1492)</f>
        <v>"name":"",_x000D_
"symbol":"",_x000D_
"description":"",_x000D_
"seller_fee_basis_points":"",_x000D_
"image":"",_x000D_
"Issuer":"",_x000D_
"external_url":""</v>
      </c>
      <c r="W1492" s="1" t="str">
        <f>formatRow(Tokens!J$2:AV$2,Tokens!J1492:AV1492,2,"attributes")</f>
        <v>"attributes":[]</v>
      </c>
      <c r="X1492" s="1" t="str">
        <f>formatRow(Tokens!AX$2:BC$2,Tokens!AX1492:BC1492,2,"creators")</f>
        <v>"creators":[]</v>
      </c>
      <c r="Y1492" s="1" t="str">
        <f>formatRow(Tokens!BD$2:BI$2,Tokens!BD1492:BI1492,2,"files")</f>
        <v>"files":[]</v>
      </c>
      <c r="Z1492" s="1"/>
      <c r="AA1492" s="1"/>
      <c r="AB1492" s="1"/>
      <c r="AC1492" s="1" t="str">
        <f>formatRow(Tokens!BJ$2:BK$2,Tokens!BJ1492:BK1492,0,"collection")</f>
        <v>"collection":{"name":"",_x000D_
"family":""}</v>
      </c>
    </row>
    <row r="1493" spans="5:29" ht="14.25" customHeight="1" x14ac:dyDescent="0.25">
      <c r="E1493" s="17" t="str">
        <f>IF(Tokens!C1493="","",Tokens!C1493)</f>
        <v/>
      </c>
      <c r="F1493" s="56"/>
      <c r="G1493" t="s">
        <v>164</v>
      </c>
      <c r="H1493" s="57" t="s">
        <v>165</v>
      </c>
      <c r="I1493" s="2" t="s">
        <v>166</v>
      </c>
      <c r="J1493" s="2" t="s">
        <v>167</v>
      </c>
      <c r="M1493" s="15"/>
      <c r="N1493">
        <v>6.9258811930000004</v>
      </c>
      <c r="O1493" s="15">
        <f t="shared" si="46"/>
        <v>0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1" t="str">
        <f>"owner=" &amp; Tokens!BS1493 &amp; "&amp;filename_for_metadata=" &amp; Tokens!BT1493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3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3" s="1" t="str">
        <f>formatRow(Tokens!C$2:I$2,Tokens!C1493:I1493)</f>
        <v>"name":"",_x000D_
"symbol":"",_x000D_
"description":"",_x000D_
"seller_fee_basis_points":"",_x000D_
"image":"",_x000D_
"Issuer":"",_x000D_
"external_url":""</v>
      </c>
      <c r="W1493" s="1" t="str">
        <f>formatRow(Tokens!J$2:AV$2,Tokens!J1493:AV1493,2,"attributes")</f>
        <v>"attributes":[]</v>
      </c>
      <c r="X1493" s="1" t="str">
        <f>formatRow(Tokens!AX$2:BC$2,Tokens!AX1493:BC1493,2,"creators")</f>
        <v>"creators":[]</v>
      </c>
      <c r="Y1493" s="1" t="str">
        <f>formatRow(Tokens!BD$2:BI$2,Tokens!BD1493:BI1493,2,"files")</f>
        <v>"files":[]</v>
      </c>
      <c r="Z1493" s="1"/>
      <c r="AA1493" s="1"/>
      <c r="AB1493" s="1"/>
      <c r="AC1493" s="1" t="str">
        <f>formatRow(Tokens!BJ$2:BK$2,Tokens!BJ1493:BK1493,0,"collection")</f>
        <v>"collection":{"name":"",_x000D_
"family":""}</v>
      </c>
    </row>
    <row r="1494" spans="5:29" ht="14.25" customHeight="1" x14ac:dyDescent="0.25">
      <c r="E1494" s="17" t="str">
        <f>IF(Tokens!C1494="","",Tokens!C1494)</f>
        <v/>
      </c>
      <c r="F1494" s="56"/>
      <c r="G1494" t="s">
        <v>164</v>
      </c>
      <c r="H1494" s="57" t="s">
        <v>165</v>
      </c>
      <c r="I1494" s="2" t="s">
        <v>166</v>
      </c>
      <c r="J1494" s="2" t="s">
        <v>167</v>
      </c>
      <c r="M1494" s="15"/>
      <c r="N1494">
        <v>6.9258811930000004</v>
      </c>
      <c r="O1494" s="15">
        <f t="shared" si="46"/>
        <v>0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1" t="str">
        <f>"owner=" &amp; Tokens!BS1494 &amp; "&amp;filename_for_metadata=" &amp; Tokens!BT1494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4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4" s="1" t="str">
        <f>formatRow(Tokens!C$2:I$2,Tokens!C1494:I1494)</f>
        <v>"name":"",_x000D_
"symbol":"",_x000D_
"description":"",_x000D_
"seller_fee_basis_points":"",_x000D_
"image":"",_x000D_
"Issuer":"",_x000D_
"external_url":""</v>
      </c>
      <c r="W1494" s="1" t="str">
        <f>formatRow(Tokens!J$2:AV$2,Tokens!J1494:AV1494,2,"attributes")</f>
        <v>"attributes":[]</v>
      </c>
      <c r="X1494" s="1" t="str">
        <f>formatRow(Tokens!AX$2:BC$2,Tokens!AX1494:BC1494,2,"creators")</f>
        <v>"creators":[]</v>
      </c>
      <c r="Y1494" s="1" t="str">
        <f>formatRow(Tokens!BD$2:BI$2,Tokens!BD1494:BI1494,2,"files")</f>
        <v>"files":[]</v>
      </c>
      <c r="Z1494" s="1"/>
      <c r="AA1494" s="1"/>
      <c r="AB1494" s="1"/>
      <c r="AC1494" s="1" t="str">
        <f>formatRow(Tokens!BJ$2:BK$2,Tokens!BJ1494:BK1494,0,"collection")</f>
        <v>"collection":{"name":"",_x000D_
"family":""}</v>
      </c>
    </row>
    <row r="1495" spans="5:29" ht="14.25" customHeight="1" x14ac:dyDescent="0.25">
      <c r="E1495" s="17" t="str">
        <f>IF(Tokens!C1495="","",Tokens!C1495)</f>
        <v/>
      </c>
      <c r="F1495" s="56"/>
      <c r="G1495" t="s">
        <v>164</v>
      </c>
      <c r="H1495" s="57" t="s">
        <v>165</v>
      </c>
      <c r="I1495" s="2" t="s">
        <v>166</v>
      </c>
      <c r="J1495" s="2" t="s">
        <v>167</v>
      </c>
      <c r="M1495" s="15"/>
      <c r="N1495">
        <v>6.9258811930000004</v>
      </c>
      <c r="O1495" s="15">
        <f t="shared" si="46"/>
        <v>0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1" t="str">
        <f>"owner=" &amp; Tokens!BS1495 &amp; "&amp;filename_for_metadata=" &amp; Tokens!BT1495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5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5" s="1" t="str">
        <f>formatRow(Tokens!C$2:I$2,Tokens!C1495:I1495)</f>
        <v>"name":"",_x000D_
"symbol":"",_x000D_
"description":"",_x000D_
"seller_fee_basis_points":"",_x000D_
"image":"",_x000D_
"Issuer":"",_x000D_
"external_url":""</v>
      </c>
      <c r="W1495" s="1" t="str">
        <f>formatRow(Tokens!J$2:AV$2,Tokens!J1495:AV1495,2,"attributes")</f>
        <v>"attributes":[]</v>
      </c>
      <c r="X1495" s="1" t="str">
        <f>formatRow(Tokens!AX$2:BC$2,Tokens!AX1495:BC1495,2,"creators")</f>
        <v>"creators":[]</v>
      </c>
      <c r="Y1495" s="1" t="str">
        <f>formatRow(Tokens!BD$2:BI$2,Tokens!BD1495:BI1495,2,"files")</f>
        <v>"files":[]</v>
      </c>
      <c r="Z1495" s="1"/>
      <c r="AA1495" s="1"/>
      <c r="AB1495" s="1"/>
      <c r="AC1495" s="1" t="str">
        <f>formatRow(Tokens!BJ$2:BK$2,Tokens!BJ1495:BK1495,0,"collection")</f>
        <v>"collection":{"name":"",_x000D_
"family":""}</v>
      </c>
    </row>
    <row r="1496" spans="5:29" ht="14.25" customHeight="1" x14ac:dyDescent="0.25">
      <c r="E1496" s="17" t="str">
        <f>IF(Tokens!C1496="","",Tokens!C1496)</f>
        <v/>
      </c>
      <c r="F1496" s="56"/>
      <c r="G1496" t="s">
        <v>164</v>
      </c>
      <c r="H1496" s="57" t="s">
        <v>165</v>
      </c>
      <c r="I1496" s="2" t="s">
        <v>166</v>
      </c>
      <c r="J1496" s="2" t="s">
        <v>167</v>
      </c>
      <c r="M1496" s="15"/>
      <c r="N1496">
        <v>6.9258811930000004</v>
      </c>
      <c r="O1496" s="15">
        <f t="shared" si="46"/>
        <v>0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1" t="str">
        <f>"owner=" &amp; Tokens!BS1496 &amp; "&amp;filename_for_metadata=" &amp; Tokens!BT1496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6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6" s="1" t="str">
        <f>formatRow(Tokens!C$2:I$2,Tokens!C1496:I1496)</f>
        <v>"name":"",_x000D_
"symbol":"",_x000D_
"description":"",_x000D_
"seller_fee_basis_points":"",_x000D_
"image":"",_x000D_
"Issuer":"",_x000D_
"external_url":""</v>
      </c>
      <c r="W1496" s="1" t="str">
        <f>formatRow(Tokens!J$2:AV$2,Tokens!J1496:AV1496,2,"attributes")</f>
        <v>"attributes":[]</v>
      </c>
      <c r="X1496" s="1" t="str">
        <f>formatRow(Tokens!AX$2:BC$2,Tokens!AX1496:BC1496,2,"creators")</f>
        <v>"creators":[]</v>
      </c>
      <c r="Y1496" s="1" t="str">
        <f>formatRow(Tokens!BD$2:BI$2,Tokens!BD1496:BI1496,2,"files")</f>
        <v>"files":[]</v>
      </c>
      <c r="Z1496" s="1"/>
      <c r="AA1496" s="1"/>
      <c r="AB1496" s="1"/>
      <c r="AC1496" s="1" t="str">
        <f>formatRow(Tokens!BJ$2:BK$2,Tokens!BJ1496:BK1496,0,"collection")</f>
        <v>"collection":{"name":"",_x000D_
"family":""}</v>
      </c>
    </row>
    <row r="1497" spans="5:29" ht="14.25" customHeight="1" x14ac:dyDescent="0.25">
      <c r="E1497" s="17" t="str">
        <f>IF(Tokens!C1497="","",Tokens!C1497)</f>
        <v/>
      </c>
      <c r="F1497" s="56"/>
      <c r="G1497" t="s">
        <v>164</v>
      </c>
      <c r="H1497" s="57" t="s">
        <v>165</v>
      </c>
      <c r="I1497" s="2" t="s">
        <v>166</v>
      </c>
      <c r="J1497" s="2" t="s">
        <v>167</v>
      </c>
      <c r="M1497" s="15"/>
      <c r="N1497">
        <v>6.9258811930000004</v>
      </c>
      <c r="O1497" s="15">
        <f t="shared" si="46"/>
        <v>0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1" t="str">
        <f>"owner=" &amp; Tokens!BS1497 &amp; "&amp;filename_for_metadata=" &amp; Tokens!BT1497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7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7" s="1" t="str">
        <f>formatRow(Tokens!C$2:I$2,Tokens!C1497:I1497)</f>
        <v>"name":"",_x000D_
"symbol":"",_x000D_
"description":"",_x000D_
"seller_fee_basis_points":"",_x000D_
"image":"",_x000D_
"Issuer":"",_x000D_
"external_url":""</v>
      </c>
      <c r="W1497" s="1" t="str">
        <f>formatRow(Tokens!J$2:AV$2,Tokens!J1497:AV1497,2,"attributes")</f>
        <v>"attributes":[]</v>
      </c>
      <c r="X1497" s="1" t="str">
        <f>formatRow(Tokens!AX$2:BC$2,Tokens!AX1497:BC1497,2,"creators")</f>
        <v>"creators":[]</v>
      </c>
      <c r="Y1497" s="1" t="str">
        <f>formatRow(Tokens!BD$2:BI$2,Tokens!BD1497:BI1497,2,"files")</f>
        <v>"files":[]</v>
      </c>
      <c r="Z1497" s="1"/>
      <c r="AA1497" s="1"/>
      <c r="AB1497" s="1"/>
      <c r="AC1497" s="1" t="str">
        <f>formatRow(Tokens!BJ$2:BK$2,Tokens!BJ1497:BK1497,0,"collection")</f>
        <v>"collection":{"name":"",_x000D_
"family":""}</v>
      </c>
    </row>
    <row r="1498" spans="5:29" ht="14.25" customHeight="1" x14ac:dyDescent="0.25">
      <c r="E1498" s="17" t="str">
        <f>IF(Tokens!C1498="","",Tokens!C1498)</f>
        <v/>
      </c>
      <c r="F1498" s="56"/>
      <c r="G1498" t="s">
        <v>164</v>
      </c>
      <c r="H1498" s="57" t="s">
        <v>165</v>
      </c>
      <c r="I1498" s="2" t="s">
        <v>166</v>
      </c>
      <c r="J1498" s="2" t="s">
        <v>167</v>
      </c>
      <c r="M1498" s="15"/>
      <c r="N1498">
        <v>6.9258811930000004</v>
      </c>
      <c r="O1498" s="15">
        <f t="shared" si="46"/>
        <v>0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1" t="str">
        <f>"owner=" &amp; Tokens!BS1498 &amp; "&amp;filename_for_metadata=" &amp; Tokens!BT1498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8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8" s="1" t="str">
        <f>formatRow(Tokens!C$2:I$2,Tokens!C1498:I1498)</f>
        <v>"name":"",_x000D_
"symbol":"",_x000D_
"description":"",_x000D_
"seller_fee_basis_points":"",_x000D_
"image":"",_x000D_
"Issuer":"",_x000D_
"external_url":""</v>
      </c>
      <c r="W1498" s="1" t="str">
        <f>formatRow(Tokens!J$2:AV$2,Tokens!J1498:AV1498,2,"attributes")</f>
        <v>"attributes":[]</v>
      </c>
      <c r="X1498" s="1" t="str">
        <f>formatRow(Tokens!AX$2:BC$2,Tokens!AX1498:BC1498,2,"creators")</f>
        <v>"creators":[]</v>
      </c>
      <c r="Y1498" s="1" t="str">
        <f>formatRow(Tokens!BD$2:BI$2,Tokens!BD1498:BI1498,2,"files")</f>
        <v>"files":[]</v>
      </c>
      <c r="Z1498" s="1"/>
      <c r="AA1498" s="1"/>
      <c r="AB1498" s="1"/>
      <c r="AC1498" s="1" t="str">
        <f>formatRow(Tokens!BJ$2:BK$2,Tokens!BJ1498:BK1498,0,"collection")</f>
        <v>"collection":{"name":"",_x000D_
"family":""}</v>
      </c>
    </row>
    <row r="1499" spans="5:29" ht="14.25" customHeight="1" x14ac:dyDescent="0.25">
      <c r="E1499" s="17" t="str">
        <f>IF(Tokens!C1499="","",Tokens!C1499)</f>
        <v/>
      </c>
      <c r="F1499" s="56"/>
      <c r="G1499" t="s">
        <v>164</v>
      </c>
      <c r="H1499" s="57" t="s">
        <v>165</v>
      </c>
      <c r="I1499" s="2" t="s">
        <v>166</v>
      </c>
      <c r="J1499" s="2" t="s">
        <v>167</v>
      </c>
      <c r="M1499" s="15"/>
      <c r="N1499">
        <v>6.9258811930000004</v>
      </c>
      <c r="O1499" s="15">
        <f t="shared" si="46"/>
        <v>0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1" t="str">
        <f>"owner=" &amp; Tokens!BS1499 &amp; "&amp;filename_for_metadata=" &amp; Tokens!BT1499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499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499" s="1" t="str">
        <f>formatRow(Tokens!C$2:I$2,Tokens!C1499:I1499)</f>
        <v>"name":"",_x000D_
"symbol":"",_x000D_
"description":"",_x000D_
"seller_fee_basis_points":"",_x000D_
"image":"",_x000D_
"Issuer":"",_x000D_
"external_url":""</v>
      </c>
      <c r="W1499" s="1" t="str">
        <f>formatRow(Tokens!J$2:AV$2,Tokens!J1499:AV1499,2,"attributes")</f>
        <v>"attributes":[]</v>
      </c>
      <c r="X1499" s="1" t="str">
        <f>formatRow(Tokens!AX$2:BC$2,Tokens!AX1499:BC1499,2,"creators")</f>
        <v>"creators":[]</v>
      </c>
      <c r="Y1499" s="1" t="str">
        <f>formatRow(Tokens!BD$2:BI$2,Tokens!BD1499:BI1499,2,"files")</f>
        <v>"files":[]</v>
      </c>
      <c r="Z1499" s="1"/>
      <c r="AA1499" s="1"/>
      <c r="AB1499" s="1"/>
      <c r="AC1499" s="1" t="str">
        <f>formatRow(Tokens!BJ$2:BK$2,Tokens!BJ1499:BK1499,0,"collection")</f>
        <v>"collection":{"name":"",_x000D_
"family":""}</v>
      </c>
    </row>
    <row r="1500" spans="5:29" ht="14.25" customHeight="1" x14ac:dyDescent="0.25">
      <c r="E1500" s="17" t="str">
        <f>IF(Tokens!C1500="","",Tokens!C1500)</f>
        <v/>
      </c>
      <c r="F1500" s="56"/>
      <c r="G1500" t="s">
        <v>164</v>
      </c>
      <c r="H1500" s="57" t="s">
        <v>165</v>
      </c>
      <c r="I1500" s="2" t="s">
        <v>166</v>
      </c>
      <c r="J1500" s="2" t="s">
        <v>167</v>
      </c>
      <c r="M1500" s="15"/>
      <c r="N1500">
        <v>6.9258811930000004</v>
      </c>
      <c r="O1500" s="15">
        <f t="shared" si="46"/>
        <v>0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1" t="str">
        <f>"owner=" &amp; Tokens!BS1500 &amp; "&amp;filename_for_metadata=" &amp; Tokens!BT1500 &amp; "&amp;offchaindata_platform=" &amp; $B$17 &amp; "&amp;keyfile=" &amp; $B$5 &amp; "&amp;network=" &amp; LOWER($B$8) &amp; "&amp;repository=" &amp; $B$18</f>
        <v>owner=&amp;filename_for_metadata=&amp;offchaindata_platform=MongoDB&amp;keyfile=Paul&amp;network=jsonfiles&amp;repository=test</v>
      </c>
      <c r="U1500" s="1" t="str">
        <f t="shared" si="47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V1500" s="1" t="str">
        <f>formatRow(Tokens!C$2:I$2,Tokens!C1500:I1500)</f>
        <v>"name":"",_x000D_
"symbol":"",_x000D_
"description":"",_x000D_
"seller_fee_basis_points":"",_x000D_
"image":"",_x000D_
"Issuer":"",_x000D_
"external_url":""</v>
      </c>
      <c r="W1500" s="1" t="str">
        <f>formatRow(Tokens!J$2:AV$2,Tokens!J1500:AV1500,2,"attributes")</f>
        <v>"attributes":[]</v>
      </c>
      <c r="X1500" s="1" t="str">
        <f>formatRow(Tokens!AX$2:BC$2,Tokens!AX1500:BC1500,2,"creators")</f>
        <v>"creators":[]</v>
      </c>
      <c r="Y1500" s="1" t="str">
        <f>formatRow(Tokens!BD$2:BI$2,Tokens!BD1500:BI1500,2,"files")</f>
        <v>"files":[]</v>
      </c>
      <c r="Z1500" s="1"/>
      <c r="AA1500" s="1"/>
      <c r="AB1500" s="1"/>
      <c r="AC1500" s="1" t="str">
        <f>formatRow(Tokens!BJ$2:BK$2,Tokens!BJ1500:BK1500,0,"collection")</f>
        <v>"collection":{"name":"",_x000D_
"family":""}</v>
      </c>
    </row>
  </sheetData>
  <dataValidations count="1">
    <dataValidation type="whole" allowBlank="1" showInputMessage="1" showErrorMessage="1" sqref="C3" xr:uid="{644AE565-CFE5-4C14-9ACE-B9ABD1EFB59D}">
      <formula1>1</formula1>
      <formula2>2000</formula2>
    </dataValidation>
  </dataValidations>
  <hyperlinks>
    <hyperlink ref="N1" r:id="rId1" xr:uid="{68085E72-B424-4B49-A53C-D615D6DA72F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inage">
                <anchor moveWithCells="1" sizeWithCells="1">
                  <from>
                    <xdr:col>1</xdr:col>
                    <xdr:colOff>371475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pload">
                <anchor moveWithCells="1" sizeWithCells="1">
                  <from>
                    <xdr:col>0</xdr:col>
                    <xdr:colOff>942975</xdr:colOff>
                    <xdr:row>11</xdr:row>
                    <xdr:rowOff>9525</xdr:rowOff>
                  </from>
                  <to>
                    <xdr:col>1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  <x14:dataValidation type="list" allowBlank="1" showInputMessage="1" showErrorMessage="1" xr:uid="{ABE31F2F-2998-4572-9767-D7B4468E0EF8}">
          <x14:formula1>
            <xm:f>Settings!$N$2:$N$11</xm:f>
          </x14:formula1>
          <xm:sqref>B18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/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140</v>
      </c>
      <c r="B1" s="22" t="s">
        <v>139</v>
      </c>
      <c r="C1" t="s">
        <v>71</v>
      </c>
      <c r="D1" s="32" t="s">
        <v>72</v>
      </c>
    </row>
    <row r="2" spans="1:4" x14ac:dyDescent="0.25">
      <c r="A2" s="2" t="s">
        <v>141</v>
      </c>
      <c r="B2" s="22" t="s">
        <v>99</v>
      </c>
      <c r="C2" t="s">
        <v>73</v>
      </c>
      <c r="D2" s="32" t="s">
        <v>74</v>
      </c>
    </row>
    <row r="3" spans="1:4" x14ac:dyDescent="0.25">
      <c r="A3" s="2" t="s">
        <v>142</v>
      </c>
      <c r="B3" s="22" t="s">
        <v>100</v>
      </c>
      <c r="C3" t="s">
        <v>76</v>
      </c>
      <c r="D3" s="32" t="s">
        <v>77</v>
      </c>
    </row>
    <row r="4" spans="1:4" x14ac:dyDescent="0.25">
      <c r="A4" s="2" t="s">
        <v>143</v>
      </c>
      <c r="B4" s="22" t="s">
        <v>101</v>
      </c>
      <c r="C4" t="s">
        <v>79</v>
      </c>
      <c r="D4" s="32" t="s">
        <v>80</v>
      </c>
    </row>
    <row r="5" spans="1:4" x14ac:dyDescent="0.25">
      <c r="A5" s="2" t="s">
        <v>144</v>
      </c>
      <c r="B5" s="22" t="s">
        <v>102</v>
      </c>
      <c r="C5" t="s">
        <v>103</v>
      </c>
      <c r="D5" s="32" t="s">
        <v>104</v>
      </c>
    </row>
    <row r="6" spans="1:4" x14ac:dyDescent="0.25">
      <c r="A6" s="2" t="s">
        <v>145</v>
      </c>
      <c r="B6" s="22" t="s">
        <v>105</v>
      </c>
      <c r="C6" t="s">
        <v>106</v>
      </c>
      <c r="D6" s="32" t="s">
        <v>107</v>
      </c>
    </row>
    <row r="7" spans="1:4" x14ac:dyDescent="0.25">
      <c r="A7" s="2" t="s">
        <v>146</v>
      </c>
      <c r="B7" s="22" t="s">
        <v>108</v>
      </c>
      <c r="C7" t="s">
        <v>109</v>
      </c>
      <c r="D7" s="32" t="s">
        <v>110</v>
      </c>
    </row>
    <row r="8" spans="1:4" x14ac:dyDescent="0.25">
      <c r="A8" s="2" t="s">
        <v>147</v>
      </c>
      <c r="B8" s="22" t="s">
        <v>111</v>
      </c>
      <c r="C8" t="s">
        <v>112</v>
      </c>
      <c r="D8" s="32" t="s">
        <v>113</v>
      </c>
    </row>
    <row r="9" spans="1:4" x14ac:dyDescent="0.25">
      <c r="A9" s="2" t="s">
        <v>148</v>
      </c>
      <c r="B9" s="22" t="s">
        <v>114</v>
      </c>
      <c r="C9" t="s">
        <v>115</v>
      </c>
      <c r="D9" s="32" t="s">
        <v>116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D4" sqref="D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18</v>
      </c>
      <c r="D3" s="10" t="s">
        <v>7</v>
      </c>
      <c r="E3" s="10" t="s">
        <v>128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25">
      <c r="C4" t="str">
        <f>Tokens!C4</f>
        <v>La Citadella #1</v>
      </c>
      <c r="D4" t="str">
        <f>Tokens!BJ4</f>
        <v>La Citadella</v>
      </c>
      <c r="E4" t="str">
        <f>IF(ToMint!J4="","",ToMint!J4)</f>
        <v/>
      </c>
      <c r="F4" s="40">
        <f>Tokens!BN4</f>
        <v>20000</v>
      </c>
    </row>
    <row r="5" spans="3:9" x14ac:dyDescent="0.25">
      <c r="C5" t="str">
        <f>Tokens!C5</f>
        <v>La Citadella #2</v>
      </c>
      <c r="D5" t="str">
        <f>Tokens!BJ5</f>
        <v>La Citadella</v>
      </c>
      <c r="E5" t="str">
        <f>IF(ToMint!J5="","",ToMint!J5)</f>
        <v/>
      </c>
      <c r="F5" s="40">
        <f>Tokens!BN5</f>
        <v>20000</v>
      </c>
    </row>
    <row r="6" spans="3:9" x14ac:dyDescent="0.25">
      <c r="C6" t="str">
        <f>Tokens!C6</f>
        <v>La Citadella #3</v>
      </c>
      <c r="D6" t="str">
        <f>Tokens!BJ6</f>
        <v>La Citadella</v>
      </c>
      <c r="E6" t="str">
        <f>IF(ToMint!J6="","",ToMint!J6)</f>
        <v/>
      </c>
      <c r="F6" s="40">
        <f>Tokens!BN6</f>
        <v>20000</v>
      </c>
    </row>
    <row r="7" spans="3:9" x14ac:dyDescent="0.25">
      <c r="C7" t="str">
        <f>Tokens!C7</f>
        <v>La Citadella #4</v>
      </c>
      <c r="D7" t="str">
        <f>Tokens!BJ7</f>
        <v>Dudule</v>
      </c>
      <c r="E7" t="str">
        <f>IF(ToMint!J7="","",ToMint!J7)</f>
        <v/>
      </c>
      <c r="F7" s="40">
        <f>Tokens!BN7</f>
        <v>20000</v>
      </c>
    </row>
    <row r="8" spans="3:9" x14ac:dyDescent="0.25">
      <c r="C8" t="str">
        <f>Tokens!C8</f>
        <v>La Citadella #5</v>
      </c>
      <c r="D8" t="str">
        <f>Tokens!BJ8</f>
        <v>Dudule</v>
      </c>
      <c r="E8" t="str">
        <f>IF(ToMint!J8="","",ToMint!J8)</f>
        <v/>
      </c>
      <c r="F8" s="40">
        <f>Tokens!BN8</f>
        <v>20000</v>
      </c>
    </row>
    <row r="9" spans="3:9" x14ac:dyDescent="0.25">
      <c r="C9" t="str">
        <f>Tokens!C9</f>
        <v>La Citadella #6</v>
      </c>
      <c r="D9" t="str">
        <f>Tokens!BJ9</f>
        <v>Dudule</v>
      </c>
      <c r="E9" t="str">
        <f>IF(ToMint!J9="","",ToMint!J9)</f>
        <v/>
      </c>
      <c r="F9" s="40">
        <f>Tokens!BN9</f>
        <v>20000</v>
      </c>
    </row>
    <row r="10" spans="3:9" x14ac:dyDescent="0.25">
      <c r="C10" t="str">
        <f>Tokens!C10</f>
        <v>La Citadella #7</v>
      </c>
      <c r="D10" t="str">
        <f>Tokens!BJ10</f>
        <v>Dudule</v>
      </c>
      <c r="E10" t="str">
        <f>IF(ToMint!J10="","",ToMint!J10)</f>
        <v/>
      </c>
      <c r="F10" s="40">
        <f>Tokens!BN10</f>
        <v>20000</v>
      </c>
    </row>
    <row r="11" spans="3:9" x14ac:dyDescent="0.25">
      <c r="C11" t="str">
        <f>Tokens!C11</f>
        <v>La Citadella #8</v>
      </c>
      <c r="D11" t="str">
        <f>Tokens!BJ11</f>
        <v>Dudule</v>
      </c>
      <c r="E11" t="str">
        <f>IF(ToMint!J11="","",ToMint!J11)</f>
        <v/>
      </c>
      <c r="F11" s="40">
        <f>Tokens!BN11</f>
        <v>20000</v>
      </c>
    </row>
    <row r="12" spans="3:9" x14ac:dyDescent="0.25">
      <c r="C12" t="str">
        <f>Tokens!C12</f>
        <v>La Citadella #9</v>
      </c>
      <c r="D12" t="str">
        <f>Tokens!BJ12</f>
        <v>Dudule</v>
      </c>
      <c r="E12" t="str">
        <f>IF(ToMint!J12="","",ToMint!J12)</f>
        <v/>
      </c>
      <c r="F12" s="40">
        <f>Tokens!BN12</f>
        <v>20000</v>
      </c>
    </row>
    <row r="13" spans="3:9" x14ac:dyDescent="0.25">
      <c r="C13" t="str">
        <f>Tokens!C13</f>
        <v>La Citadella #10</v>
      </c>
      <c r="D13" t="str">
        <f>Tokens!BJ13</f>
        <v>Dudule</v>
      </c>
      <c r="E13" t="str">
        <f>IF(ToMint!J13="","",ToMint!J13)</f>
        <v/>
      </c>
      <c r="F13" s="40">
        <f>Tokens!BN13</f>
        <v>20000</v>
      </c>
    </row>
    <row r="14" spans="3:9" x14ac:dyDescent="0.25">
      <c r="C14" t="str">
        <f>Tokens!C14</f>
        <v>A Madonna Di A Sierra #11</v>
      </c>
      <c r="D14" t="str">
        <f>Tokens!BJ14</f>
        <v>A Madonna Di A Sierra</v>
      </c>
      <c r="E14" t="str">
        <f>IF(ToMint!J14="","",ToMint!J14)</f>
        <v/>
      </c>
      <c r="F14" s="40">
        <f>Tokens!BN14</f>
        <v>4500</v>
      </c>
    </row>
    <row r="15" spans="3:9" x14ac:dyDescent="0.25">
      <c r="C15" t="str">
        <f>Tokens!C15</f>
        <v>A Madonna Di A Sierra #12</v>
      </c>
      <c r="D15" t="str">
        <f>Tokens!BJ15</f>
        <v>A Madonna Di A Sierra</v>
      </c>
      <c r="E15" t="str">
        <f>IF(ToMint!J15="","",ToMint!J15)</f>
        <v/>
      </c>
      <c r="F15" s="40">
        <f>Tokens!BN15</f>
        <v>4500</v>
      </c>
    </row>
    <row r="16" spans="3:9" x14ac:dyDescent="0.25">
      <c r="C16" t="str">
        <f>Tokens!C16</f>
        <v>A Madonna Di A Sierra #13</v>
      </c>
      <c r="D16" t="str">
        <f>Tokens!BJ16</f>
        <v>A Madonna Di A Sierra</v>
      </c>
      <c r="E16" t="str">
        <f>IF(ToMint!J16="","",ToMint!J16)</f>
        <v/>
      </c>
      <c r="F16" s="40">
        <f>Tokens!BN16</f>
        <v>4500</v>
      </c>
    </row>
    <row r="17" spans="3:6" x14ac:dyDescent="0.25">
      <c r="C17" t="str">
        <f>Tokens!C17</f>
        <v>A Madonna Di A Sierra #14</v>
      </c>
      <c r="D17" t="str">
        <f>Tokens!BJ17</f>
        <v>A Madonna Di A Sierra</v>
      </c>
      <c r="E17" t="str">
        <f>IF(ToMint!J17="","",ToMint!J17)</f>
        <v/>
      </c>
      <c r="F17" s="40">
        <f>Tokens!BN17</f>
        <v>4500</v>
      </c>
    </row>
    <row r="18" spans="3:6" x14ac:dyDescent="0.25">
      <c r="C18" t="str">
        <f>Tokens!C18</f>
        <v>A Madonna Di A Sierra #15</v>
      </c>
      <c r="D18" t="str">
        <f>Tokens!BJ18</f>
        <v>A Madonna Di A Sierra</v>
      </c>
      <c r="E18" t="str">
        <f>IF(ToMint!J18="","",ToMint!J18)</f>
        <v/>
      </c>
      <c r="F18" s="40">
        <f>Tokens!BN18</f>
        <v>4500</v>
      </c>
    </row>
    <row r="19" spans="3:6" x14ac:dyDescent="0.25">
      <c r="C19" t="str">
        <f>Tokens!C19</f>
        <v>A Madonna Di A Sierra #16</v>
      </c>
      <c r="D19" t="str">
        <f>Tokens!BJ19</f>
        <v>A Madonna Di A Sierra</v>
      </c>
      <c r="E19" t="str">
        <f>IF(ToMint!J19="","",ToMint!J19)</f>
        <v/>
      </c>
      <c r="F19" s="40">
        <f>Tokens!BN19</f>
        <v>4500</v>
      </c>
    </row>
    <row r="20" spans="3:6" x14ac:dyDescent="0.25">
      <c r="C20" t="str">
        <f>Tokens!C20</f>
        <v>A Madonna Di A Sierra #17</v>
      </c>
      <c r="D20" t="str">
        <f>Tokens!BJ20</f>
        <v>A Madonna Di A Sierra</v>
      </c>
      <c r="E20" t="str">
        <f>IF(ToMint!J20="","",ToMint!J20)</f>
        <v/>
      </c>
      <c r="F20" s="40">
        <f>Tokens!BN20</f>
        <v>4500</v>
      </c>
    </row>
    <row r="21" spans="3:6" x14ac:dyDescent="0.25">
      <c r="C21" t="str">
        <f>Tokens!C21</f>
        <v>A Madonna Di A Sierra #18</v>
      </c>
      <c r="D21" t="str">
        <f>Tokens!BJ21</f>
        <v>A Madonna Di A Sierra</v>
      </c>
      <c r="E21" t="str">
        <f>IF(ToMint!J21="","",ToMint!J21)</f>
        <v/>
      </c>
      <c r="F21" s="40">
        <f>Tokens!BN21</f>
        <v>4500</v>
      </c>
    </row>
    <row r="22" spans="3:6" x14ac:dyDescent="0.25">
      <c r="C22" t="str">
        <f>Tokens!C22</f>
        <v>A Madonna Di A Sierra #19</v>
      </c>
      <c r="D22" t="str">
        <f>Tokens!BJ22</f>
        <v>A Madonna Di A Sierra</v>
      </c>
      <c r="E22" t="str">
        <f>IF(ToMint!J22="","",ToMint!J22)</f>
        <v/>
      </c>
      <c r="F22" s="40">
        <f>Tokens!BN22</f>
        <v>4500</v>
      </c>
    </row>
    <row r="23" spans="3:6" x14ac:dyDescent="0.25">
      <c r="C23" t="str">
        <f>Tokens!C23</f>
        <v>A Madonna Di A Sierra #20</v>
      </c>
      <c r="D23" t="str">
        <f>Tokens!BJ23</f>
        <v>A Madonna Di A Sierra</v>
      </c>
      <c r="E23" t="str">
        <f>IF(ToMint!J23="","",ToMint!J23)</f>
        <v/>
      </c>
      <c r="F23" s="40">
        <f>Tokens!BN23</f>
        <v>4500</v>
      </c>
    </row>
    <row r="24" spans="3:6" x14ac:dyDescent="0.25">
      <c r="C24" t="str">
        <f>Tokens!C24</f>
        <v>A Madonna Di A Sierra #21</v>
      </c>
      <c r="D24" t="str">
        <f>Tokens!BJ24</f>
        <v>A Madonna Di A Sierra</v>
      </c>
      <c r="E24" t="str">
        <f>IF(ToMint!J24="","",ToMint!J24)</f>
        <v/>
      </c>
      <c r="F24" s="40">
        <f>Tokens!BN24</f>
        <v>4500</v>
      </c>
    </row>
    <row r="25" spans="3:6" x14ac:dyDescent="0.25">
      <c r="C25" t="str">
        <f>Tokens!C25</f>
        <v>A Madonna Di A Sierra #22</v>
      </c>
      <c r="D25" t="str">
        <f>Tokens!BJ25</f>
        <v>A Madonna Di A Sierra</v>
      </c>
      <c r="E25" t="str">
        <f>IF(ToMint!J25="","",ToMint!J25)</f>
        <v/>
      </c>
      <c r="F25" s="40">
        <f>Tokens!BN25</f>
        <v>4500</v>
      </c>
    </row>
    <row r="26" spans="3:6" x14ac:dyDescent="0.25">
      <c r="C26" t="str">
        <f>Tokens!C26</f>
        <v>A Madonna Di A Sierra #23</v>
      </c>
      <c r="D26" t="str">
        <f>Tokens!BJ26</f>
        <v>A Madonna Di A Sierra</v>
      </c>
      <c r="E26" t="str">
        <f>IF(ToMint!J26="","",ToMint!J26)</f>
        <v/>
      </c>
      <c r="F26" s="40">
        <f>Tokens!BN26</f>
        <v>4500</v>
      </c>
    </row>
    <row r="27" spans="3:6" x14ac:dyDescent="0.25">
      <c r="C27" t="str">
        <f>Tokens!C27</f>
        <v>A Madonna Di A Sierra #24</v>
      </c>
      <c r="D27" t="str">
        <f>Tokens!BJ27</f>
        <v>A Madonna Di A Sierra</v>
      </c>
      <c r="E27" t="str">
        <f>IF(ToMint!J27="","",ToMint!J27)</f>
        <v/>
      </c>
      <c r="F27" s="40">
        <f>Tokens!BN27</f>
        <v>4500</v>
      </c>
    </row>
    <row r="28" spans="3:6" x14ac:dyDescent="0.25">
      <c r="C28" t="str">
        <f>Tokens!C28</f>
        <v>A Madonna Di A Sierra #25</v>
      </c>
      <c r="D28" t="str">
        <f>Tokens!BJ28</f>
        <v>A Madonna Di A Sierra</v>
      </c>
      <c r="E28" t="str">
        <f>IF(ToMint!J28="","",ToMint!J28)</f>
        <v/>
      </c>
      <c r="F28" s="40">
        <f>Tokens!BN28</f>
        <v>4500</v>
      </c>
    </row>
    <row r="29" spans="3:6" x14ac:dyDescent="0.25">
      <c r="C29" t="str">
        <f>Tokens!C29</f>
        <v>A Madonna Di A Sierra #26</v>
      </c>
      <c r="D29" t="str">
        <f>Tokens!BJ29</f>
        <v>A Madonna Di A Sierra</v>
      </c>
      <c r="E29" t="str">
        <f>IF(ToMint!J29="","",ToMint!J29)</f>
        <v/>
      </c>
      <c r="F29" s="40">
        <f>Tokens!BN29</f>
        <v>4500</v>
      </c>
    </row>
    <row r="30" spans="3:6" x14ac:dyDescent="0.25">
      <c r="C30" t="str">
        <f>Tokens!C30</f>
        <v>A Madonna Di A Sierra #27</v>
      </c>
      <c r="D30" t="str">
        <f>Tokens!BJ30</f>
        <v>A Madonna Di A Sierra</v>
      </c>
      <c r="E30" t="str">
        <f>IF(ToMint!J30="","",ToMint!J30)</f>
        <v/>
      </c>
      <c r="F30" s="40">
        <f>Tokens!BN30</f>
        <v>4500</v>
      </c>
    </row>
    <row r="31" spans="3:6" x14ac:dyDescent="0.25">
      <c r="C31" t="str">
        <f>Tokens!C31</f>
        <v>A Madonna Di A Sierra #28</v>
      </c>
      <c r="D31" t="str">
        <f>Tokens!BJ31</f>
        <v>A Madonna Di A Sierra</v>
      </c>
      <c r="E31" t="str">
        <f>IF(ToMint!J31="","",ToMint!J31)</f>
        <v/>
      </c>
      <c r="F31" s="40">
        <f>Tokens!BN31</f>
        <v>4500</v>
      </c>
    </row>
    <row r="32" spans="3:6" x14ac:dyDescent="0.25">
      <c r="C32" t="str">
        <f>Tokens!C32</f>
        <v>A Madonna Di A Sierra #29</v>
      </c>
      <c r="D32" t="str">
        <f>Tokens!BJ32</f>
        <v>A Madonna Di A Sierra</v>
      </c>
      <c r="E32" t="str">
        <f>IF(ToMint!J32="","",ToMint!J32)</f>
        <v/>
      </c>
      <c r="F32" s="40">
        <f>Tokens!BN32</f>
        <v>4500</v>
      </c>
    </row>
    <row r="33" spans="3:6" x14ac:dyDescent="0.25">
      <c r="C33" t="str">
        <f>Tokens!C33</f>
        <v>A Madonna Di A Sierra #30</v>
      </c>
      <c r="D33" t="str">
        <f>Tokens!BJ33</f>
        <v>A Madonna Di A Sierra</v>
      </c>
      <c r="E33" t="str">
        <f>IF(ToMint!J33="","",ToMint!J33)</f>
        <v/>
      </c>
      <c r="F33" s="40">
        <f>Tokens!BN33</f>
        <v>4500</v>
      </c>
    </row>
    <row r="34" spans="3:6" x14ac:dyDescent="0.25">
      <c r="C34" t="str">
        <f>Tokens!C34</f>
        <v>A Madonna Di A Sierra #31</v>
      </c>
      <c r="D34" t="str">
        <f>Tokens!BJ34</f>
        <v>A Madonna Di A Sierra</v>
      </c>
      <c r="E34" t="str">
        <f>IF(ToMint!J34="","",ToMint!J34)</f>
        <v/>
      </c>
      <c r="F34" s="40">
        <f>Tokens!BN34</f>
        <v>4500</v>
      </c>
    </row>
    <row r="35" spans="3:6" x14ac:dyDescent="0.25">
      <c r="C35" t="str">
        <f>Tokens!C35</f>
        <v>A Madonna Di A Sierra #32</v>
      </c>
      <c r="D35" t="str">
        <f>Tokens!BJ35</f>
        <v>A Madonna Di A Sierra</v>
      </c>
      <c r="E35" t="str">
        <f>IF(ToMint!J35="","",ToMint!J35)</f>
        <v/>
      </c>
      <c r="F35" s="40">
        <f>Tokens!BN35</f>
        <v>4500</v>
      </c>
    </row>
    <row r="36" spans="3:6" x14ac:dyDescent="0.25">
      <c r="C36" t="str">
        <f>Tokens!C36</f>
        <v>A Madonna Di A Sierra #33</v>
      </c>
      <c r="D36" t="str">
        <f>Tokens!BJ36</f>
        <v>A Madonna Di A Sierra</v>
      </c>
      <c r="E36" t="str">
        <f>IF(ToMint!J36="","",ToMint!J36)</f>
        <v/>
      </c>
      <c r="F36" s="40">
        <f>Tokens!BN36</f>
        <v>4500</v>
      </c>
    </row>
    <row r="37" spans="3:6" x14ac:dyDescent="0.25">
      <c r="C37" t="str">
        <f>Tokens!C37</f>
        <v>A Madonna Di A Sierra #34</v>
      </c>
      <c r="D37" t="str">
        <f>Tokens!BJ37</f>
        <v>A Madonna Di A Sierra</v>
      </c>
      <c r="E37" t="str">
        <f>IF(ToMint!J37="","",ToMint!J37)</f>
        <v/>
      </c>
      <c r="F37" s="40">
        <f>Tokens!BN37</f>
        <v>4500</v>
      </c>
    </row>
    <row r="38" spans="3:6" x14ac:dyDescent="0.25">
      <c r="C38" t="str">
        <f>Tokens!C38</f>
        <v>A Madonna Di A Sierra #35</v>
      </c>
      <c r="D38" t="str">
        <f>Tokens!BJ38</f>
        <v>A Madonna Di A Sierra</v>
      </c>
      <c r="E38" t="str">
        <f>IF(ToMint!J38="","",ToMint!J38)</f>
        <v/>
      </c>
      <c r="F38" s="40">
        <f>Tokens!BN38</f>
        <v>4500</v>
      </c>
    </row>
    <row r="39" spans="3:6" x14ac:dyDescent="0.25">
      <c r="C39" t="str">
        <f>Tokens!C39</f>
        <v>A Madonna Di A Sierra #36</v>
      </c>
      <c r="D39" t="str">
        <f>Tokens!BJ39</f>
        <v>A Madonna Di A Sierra</v>
      </c>
      <c r="E39" t="str">
        <f>IF(ToMint!J39="","",ToMint!J39)</f>
        <v/>
      </c>
      <c r="F39" s="40">
        <f>Tokens!BN39</f>
        <v>4500</v>
      </c>
    </row>
    <row r="40" spans="3:6" x14ac:dyDescent="0.25">
      <c r="C40" t="str">
        <f>Tokens!C40</f>
        <v>A Madonna Di A Sierra #37</v>
      </c>
      <c r="D40" t="str">
        <f>Tokens!BJ40</f>
        <v>A Madonna Di A Sierra</v>
      </c>
      <c r="E40" t="str">
        <f>IF(ToMint!J40="","",ToMint!J40)</f>
        <v/>
      </c>
      <c r="F40" s="40">
        <f>Tokens!BN40</f>
        <v>4500</v>
      </c>
    </row>
    <row r="41" spans="3:6" x14ac:dyDescent="0.25">
      <c r="C41" t="str">
        <f>Tokens!C41</f>
        <v>A Madonna Di A Sierra #38</v>
      </c>
      <c r="D41" t="str">
        <f>Tokens!BJ41</f>
        <v>A Madonna Di A Sierra</v>
      </c>
      <c r="E41" t="str">
        <f>IF(ToMint!J41="","",ToMint!J41)</f>
        <v/>
      </c>
      <c r="F41" s="40">
        <f>Tokens!BN41</f>
        <v>4500</v>
      </c>
    </row>
    <row r="42" spans="3:6" x14ac:dyDescent="0.25">
      <c r="C42" t="str">
        <f>Tokens!C42</f>
        <v>A Madonna Di A Sierra #39</v>
      </c>
      <c r="D42" t="str">
        <f>Tokens!BJ42</f>
        <v>A Madonna Di A Sierra</v>
      </c>
      <c r="E42" t="str">
        <f>IF(ToMint!J42="","",ToMint!J42)</f>
        <v/>
      </c>
      <c r="F42" s="40">
        <f>Tokens!BN42</f>
        <v>4500</v>
      </c>
    </row>
    <row r="43" spans="3:6" x14ac:dyDescent="0.25">
      <c r="C43" t="str">
        <f>Tokens!C43</f>
        <v>A Madonna Di A Sierra #40</v>
      </c>
      <c r="D43" t="str">
        <f>Tokens!BJ43</f>
        <v>A Madonna Di A Sierra</v>
      </c>
      <c r="E43" t="str">
        <f>IF(ToMint!J43="","",ToMint!J43)</f>
        <v/>
      </c>
      <c r="F43" s="40">
        <f>Tokens!BN43</f>
        <v>4500</v>
      </c>
    </row>
    <row r="44" spans="3:6" x14ac:dyDescent="0.25">
      <c r="C44" t="str">
        <f>Tokens!C44</f>
        <v>A Madonna Di A Sierra #41</v>
      </c>
      <c r="D44" t="str">
        <f>Tokens!BJ44</f>
        <v>A Madonna Di A Sierra</v>
      </c>
      <c r="E44" t="str">
        <f>IF(ToMint!J44="","",ToMint!J44)</f>
        <v/>
      </c>
      <c r="F44" s="40">
        <f>Tokens!BN44</f>
        <v>4500</v>
      </c>
    </row>
    <row r="45" spans="3:6" x14ac:dyDescent="0.25">
      <c r="C45" t="str">
        <f>Tokens!C45</f>
        <v>A Madonna Di A Sierra #42</v>
      </c>
      <c r="D45" t="str">
        <f>Tokens!BJ45</f>
        <v>A Madonna Di A Sierra</v>
      </c>
      <c r="E45" t="str">
        <f>IF(ToMint!J45="","",ToMint!J45)</f>
        <v/>
      </c>
      <c r="F45" s="40">
        <f>Tokens!BN45</f>
        <v>4500</v>
      </c>
    </row>
    <row r="46" spans="3:6" x14ac:dyDescent="0.25">
      <c r="C46" t="str">
        <f>Tokens!C46</f>
        <v>A Madonna Di A Sierra #43</v>
      </c>
      <c r="D46" t="str">
        <f>Tokens!BJ46</f>
        <v>A Madonna Di A Sierra</v>
      </c>
      <c r="E46" t="str">
        <f>IF(ToMint!J46="","",ToMint!J46)</f>
        <v/>
      </c>
      <c r="F46" s="40">
        <f>Tokens!BN46</f>
        <v>4500</v>
      </c>
    </row>
    <row r="47" spans="3:6" x14ac:dyDescent="0.25">
      <c r="C47" t="str">
        <f>Tokens!C47</f>
        <v>A Madonna Di A Sierra #44</v>
      </c>
      <c r="D47" t="str">
        <f>Tokens!BJ47</f>
        <v>A Madonna Di A Sierra</v>
      </c>
      <c r="E47" t="str">
        <f>IF(ToMint!J47="","",ToMint!J47)</f>
        <v/>
      </c>
      <c r="F47" s="40">
        <f>Tokens!BN47</f>
        <v>4500</v>
      </c>
    </row>
    <row r="48" spans="3:6" x14ac:dyDescent="0.25">
      <c r="C48" t="str">
        <f>Tokens!C48</f>
        <v>A Madonna Di A Sierra #45</v>
      </c>
      <c r="D48" t="str">
        <f>Tokens!BJ48</f>
        <v>A Madonna Di A Sierra</v>
      </c>
      <c r="E48" t="str">
        <f>IF(ToMint!J48="","",ToMint!J48)</f>
        <v/>
      </c>
      <c r="F48" s="40">
        <f>Tokens!BN48</f>
        <v>4500</v>
      </c>
    </row>
    <row r="49" spans="3:6" x14ac:dyDescent="0.25">
      <c r="C49" t="str">
        <f>Tokens!C49</f>
        <v>A Madonna Di A Sierra #46</v>
      </c>
      <c r="D49" t="str">
        <f>Tokens!BJ49</f>
        <v>A Madonna Di A Sierra</v>
      </c>
      <c r="E49" t="str">
        <f>IF(ToMint!J49="","",ToMint!J49)</f>
        <v/>
      </c>
      <c r="F49" s="40">
        <f>Tokens!BN49</f>
        <v>4500</v>
      </c>
    </row>
    <row r="50" spans="3:6" x14ac:dyDescent="0.25">
      <c r="C50" t="str">
        <f>Tokens!C50</f>
        <v>A Madonna Di A Sierra #47</v>
      </c>
      <c r="D50" t="str">
        <f>Tokens!BJ50</f>
        <v>A Madonna Di A Sierra</v>
      </c>
      <c r="E50" t="str">
        <f>IF(ToMint!J50="","",ToMint!J50)</f>
        <v/>
      </c>
      <c r="F50" s="40">
        <f>Tokens!BN50</f>
        <v>4500</v>
      </c>
    </row>
    <row r="51" spans="3:6" x14ac:dyDescent="0.25">
      <c r="C51" t="str">
        <f>Tokens!C51</f>
        <v>A Madonna Di A Sierra #48</v>
      </c>
      <c r="D51" t="str">
        <f>Tokens!BJ51</f>
        <v>A Madonna Di A Sierra</v>
      </c>
      <c r="E51" t="str">
        <f>IF(ToMint!J51="","",ToMint!J51)</f>
        <v/>
      </c>
      <c r="F51" s="40">
        <f>Tokens!BN51</f>
        <v>4500</v>
      </c>
    </row>
    <row r="52" spans="3:6" x14ac:dyDescent="0.25">
      <c r="C52" t="str">
        <f>Tokens!C52</f>
        <v>A Madonna Di A Sierra #49</v>
      </c>
      <c r="D52" t="str">
        <f>Tokens!BJ52</f>
        <v>A Madonna Di A Sierra</v>
      </c>
      <c r="E52" t="str">
        <f>IF(ToMint!J52="","",ToMint!J52)</f>
        <v/>
      </c>
      <c r="F52" s="40">
        <f>Tokens!BN52</f>
        <v>4500</v>
      </c>
    </row>
    <row r="53" spans="3:6" x14ac:dyDescent="0.25">
      <c r="C53" t="str">
        <f>Tokens!C53</f>
        <v>A Madonna Di A Sierra #50</v>
      </c>
      <c r="D53" t="str">
        <f>Tokens!BJ53</f>
        <v>A Madonna Di A Sierra</v>
      </c>
      <c r="E53" t="str">
        <f>IF(ToMint!J53="","",ToMint!J53)</f>
        <v/>
      </c>
      <c r="F53" s="40">
        <f>Tokens!BN53</f>
        <v>4500</v>
      </c>
    </row>
    <row r="54" spans="3:6" x14ac:dyDescent="0.25">
      <c r="C54" t="str">
        <f>Tokens!C54</f>
        <v>A Madonna Di A Sierra #51</v>
      </c>
      <c r="D54" t="str">
        <f>Tokens!BJ54</f>
        <v>A Madonna Di A Sierra</v>
      </c>
      <c r="E54" t="str">
        <f>IF(ToMint!J54="","",ToMint!J54)</f>
        <v/>
      </c>
      <c r="F54" s="40">
        <f>Tokens!BN54</f>
        <v>4500</v>
      </c>
    </row>
    <row r="55" spans="3:6" x14ac:dyDescent="0.25">
      <c r="C55" t="str">
        <f>Tokens!C55</f>
        <v>A Madonna Di A Sierra #52</v>
      </c>
      <c r="D55" t="str">
        <f>Tokens!BJ55</f>
        <v>A Madonna Di A Sierra</v>
      </c>
      <c r="E55" t="str">
        <f>IF(ToMint!J55="","",ToMint!J55)</f>
        <v/>
      </c>
      <c r="F55" s="40">
        <f>Tokens!BN55</f>
        <v>4500</v>
      </c>
    </row>
    <row r="56" spans="3:6" x14ac:dyDescent="0.25">
      <c r="C56" t="str">
        <f>Tokens!C56</f>
        <v>A Madonna Di A Sierra #53</v>
      </c>
      <c r="D56" t="str">
        <f>Tokens!BJ56</f>
        <v>A Madonna Di A Sierra</v>
      </c>
      <c r="E56" t="str">
        <f>IF(ToMint!J56="","",ToMint!J56)</f>
        <v/>
      </c>
      <c r="F56" s="40">
        <f>Tokens!BN56</f>
        <v>4500</v>
      </c>
    </row>
    <row r="57" spans="3:6" x14ac:dyDescent="0.25">
      <c r="C57" t="str">
        <f>Tokens!C57</f>
        <v>A Madonna Di A Sierra #54</v>
      </c>
      <c r="D57" t="str">
        <f>Tokens!BJ57</f>
        <v>A Madonna Di A Sierra</v>
      </c>
      <c r="E57" t="str">
        <f>IF(ToMint!J57="","",ToMint!J57)</f>
        <v/>
      </c>
      <c r="F57" s="40">
        <f>Tokens!BN57</f>
        <v>4500</v>
      </c>
    </row>
    <row r="58" spans="3:6" x14ac:dyDescent="0.25">
      <c r="C58" t="str">
        <f>Tokens!C58</f>
        <v>A Madonna Di A Sierra #55</v>
      </c>
      <c r="D58" t="str">
        <f>Tokens!BJ58</f>
        <v>A Madonna Di A Sierra</v>
      </c>
      <c r="E58" t="str">
        <f>IF(ToMint!J58="","",ToMint!J58)</f>
        <v/>
      </c>
      <c r="F58" s="40">
        <f>Tokens!BN58</f>
        <v>4500</v>
      </c>
    </row>
    <row r="59" spans="3:6" x14ac:dyDescent="0.25">
      <c r="C59" t="str">
        <f>Tokens!C59</f>
        <v>A Madonna Di A Sierra #56</v>
      </c>
      <c r="D59" t="str">
        <f>Tokens!BJ59</f>
        <v>A Madonna Di A Sierra</v>
      </c>
      <c r="E59" t="str">
        <f>IF(ToMint!J59="","",ToMint!J59)</f>
        <v/>
      </c>
      <c r="F59" s="40">
        <f>Tokens!BN59</f>
        <v>4500</v>
      </c>
    </row>
    <row r="60" spans="3:6" x14ac:dyDescent="0.25">
      <c r="C60" t="str">
        <f>Tokens!C60</f>
        <v>A Madonna Di A Sierra #57</v>
      </c>
      <c r="D60" t="str">
        <f>Tokens!BJ60</f>
        <v>A Madonna Di A Sierra</v>
      </c>
      <c r="E60" t="str">
        <f>IF(ToMint!J60="","",ToMint!J60)</f>
        <v/>
      </c>
      <c r="F60" s="40">
        <f>Tokens!BN60</f>
        <v>4500</v>
      </c>
    </row>
    <row r="61" spans="3:6" x14ac:dyDescent="0.25">
      <c r="C61" t="str">
        <f>Tokens!C61</f>
        <v>A Madonna Di A Sierra #58</v>
      </c>
      <c r="D61" t="str">
        <f>Tokens!BJ61</f>
        <v>A Madonna Di A Sierra</v>
      </c>
      <c r="E61" t="str">
        <f>IF(ToMint!J61="","",ToMint!J61)</f>
        <v/>
      </c>
      <c r="F61" s="40">
        <f>Tokens!BN61</f>
        <v>4500</v>
      </c>
    </row>
    <row r="62" spans="3:6" x14ac:dyDescent="0.25">
      <c r="C62" t="str">
        <f>Tokens!C62</f>
        <v>A Madonna Di A Sierra #59</v>
      </c>
      <c r="D62" t="str">
        <f>Tokens!BJ62</f>
        <v>A Madonna Di A Sierra</v>
      </c>
      <c r="E62" t="str">
        <f>IF(ToMint!J62="","",ToMint!J62)</f>
        <v/>
      </c>
      <c r="F62" s="40">
        <f>Tokens!BN62</f>
        <v>4500</v>
      </c>
    </row>
    <row r="63" spans="3:6" x14ac:dyDescent="0.25">
      <c r="C63" t="str">
        <f>Tokens!C63</f>
        <v>A Madonna Di A Sierra #60</v>
      </c>
      <c r="D63" t="str">
        <f>Tokens!BJ63</f>
        <v>A Madonna Di A Sierra</v>
      </c>
      <c r="E63" t="str">
        <f>IF(ToMint!J63="","",ToMint!J63)</f>
        <v/>
      </c>
      <c r="F63" s="40">
        <f>Tokens!BN63</f>
        <v>4500</v>
      </c>
    </row>
    <row r="64" spans="3:6" x14ac:dyDescent="0.25">
      <c r="C64" t="str">
        <f>Tokens!C64</f>
        <v>La Porteuse D'Eau #1</v>
      </c>
      <c r="D64" t="str">
        <f>Tokens!BJ64</f>
        <v>La Porteuse D'Eau</v>
      </c>
      <c r="E64" t="str">
        <f>IF(ToMint!J64="","",ToMint!J64)</f>
        <v/>
      </c>
      <c r="F64" s="40">
        <f>Tokens!BN64</f>
        <v>3000</v>
      </c>
    </row>
    <row r="65" spans="3:6" x14ac:dyDescent="0.25">
      <c r="C65" t="str">
        <f>Tokens!C65</f>
        <v>La Porteuse D'Eau #2</v>
      </c>
      <c r="D65" t="str">
        <f>Tokens!BJ65</f>
        <v>La Porteuse D'Eau</v>
      </c>
      <c r="E65" t="str">
        <f>IF(ToMint!J65="","",ToMint!J65)</f>
        <v/>
      </c>
      <c r="F65" s="40">
        <f>Tokens!BN65</f>
        <v>3000</v>
      </c>
    </row>
    <row r="66" spans="3:6" x14ac:dyDescent="0.25">
      <c r="C66" t="str">
        <f>Tokens!C66</f>
        <v>La Porteuse D'Eau #3</v>
      </c>
      <c r="D66" t="str">
        <f>Tokens!BJ66</f>
        <v>La Porteuse D'Eau</v>
      </c>
      <c r="E66" t="str">
        <f>IF(ToMint!J66="","",ToMint!J66)</f>
        <v/>
      </c>
      <c r="F66" s="40">
        <f>Tokens!BN66</f>
        <v>3000</v>
      </c>
    </row>
    <row r="67" spans="3:6" x14ac:dyDescent="0.25">
      <c r="C67" t="str">
        <f>Tokens!C67</f>
        <v>La Porteuse D'Eau #4</v>
      </c>
      <c r="D67" t="str">
        <f>Tokens!BJ67</f>
        <v>La Porteuse D'Eau</v>
      </c>
      <c r="E67" t="str">
        <f>IF(ToMint!J67="","",ToMint!J67)</f>
        <v/>
      </c>
      <c r="F67" s="40">
        <f>Tokens!BN67</f>
        <v>3000</v>
      </c>
    </row>
    <row r="68" spans="3:6" x14ac:dyDescent="0.25">
      <c r="C68" t="str">
        <f>Tokens!C68</f>
        <v>La Porteuse D'Eau #5</v>
      </c>
      <c r="D68" t="str">
        <f>Tokens!BJ68</f>
        <v>La Porteuse D'Eau</v>
      </c>
      <c r="E68" t="str">
        <f>IF(ToMint!J68="","",ToMint!J68)</f>
        <v/>
      </c>
      <c r="F68" s="40">
        <f>Tokens!BN68</f>
        <v>3000</v>
      </c>
    </row>
    <row r="69" spans="3:6" x14ac:dyDescent="0.25">
      <c r="C69" t="str">
        <f>Tokens!C69</f>
        <v>La Porteuse D'Eau #6</v>
      </c>
      <c r="D69" t="str">
        <f>Tokens!BJ69</f>
        <v>La Porteuse D'Eau</v>
      </c>
      <c r="E69" t="str">
        <f>IF(ToMint!J69="","",ToMint!J69)</f>
        <v/>
      </c>
      <c r="F69" s="40">
        <f>Tokens!BN69</f>
        <v>3000</v>
      </c>
    </row>
    <row r="70" spans="3:6" x14ac:dyDescent="0.25">
      <c r="C70" t="str">
        <f>Tokens!C70</f>
        <v>La Porteuse D'Eau #7</v>
      </c>
      <c r="D70" t="str">
        <f>Tokens!BJ70</f>
        <v>La Porteuse D'Eau</v>
      </c>
      <c r="E70" t="str">
        <f>IF(ToMint!J70="","",ToMint!J70)</f>
        <v/>
      </c>
      <c r="F70" s="40">
        <f>Tokens!BN70</f>
        <v>3000</v>
      </c>
    </row>
    <row r="71" spans="3:6" x14ac:dyDescent="0.25">
      <c r="C71" t="str">
        <f>Tokens!C71</f>
        <v>La Porteuse D'Eau #8</v>
      </c>
      <c r="D71" t="str">
        <f>Tokens!BJ71</f>
        <v>La Porteuse D'Eau</v>
      </c>
      <c r="E71" t="str">
        <f>IF(ToMint!J71="","",ToMint!J71)</f>
        <v/>
      </c>
      <c r="F71" s="40">
        <f>Tokens!BN71</f>
        <v>3000</v>
      </c>
    </row>
    <row r="72" spans="3:6" x14ac:dyDescent="0.25">
      <c r="C72" t="str">
        <f>Tokens!C72</f>
        <v>La Porteuse D'Eau #9</v>
      </c>
      <c r="D72" t="str">
        <f>Tokens!BJ72</f>
        <v>La Porteuse D'Eau</v>
      </c>
      <c r="E72" t="str">
        <f>IF(ToMint!J72="","",ToMint!J72)</f>
        <v/>
      </c>
      <c r="F72" s="40">
        <f>Tokens!BN72</f>
        <v>3000</v>
      </c>
    </row>
    <row r="73" spans="3:6" x14ac:dyDescent="0.25">
      <c r="C73" t="str">
        <f>Tokens!C73</f>
        <v>La Porteuse D'Eau #10</v>
      </c>
      <c r="D73" t="str">
        <f>Tokens!BJ73</f>
        <v>La Porteuse D'Eau</v>
      </c>
      <c r="E73" t="str">
        <f>IF(ToMint!J73="","",ToMint!J73)</f>
        <v/>
      </c>
      <c r="F73" s="40">
        <f>Tokens!BN73</f>
        <v>3000</v>
      </c>
    </row>
    <row r="74" spans="3:6" x14ac:dyDescent="0.25">
      <c r="C74" t="str">
        <f>Tokens!C74</f>
        <v>La Porteuse D'Eau #11</v>
      </c>
      <c r="D74" t="str">
        <f>Tokens!BJ74</f>
        <v>La Porteuse D'Eau</v>
      </c>
      <c r="E74" t="str">
        <f>IF(ToMint!J74="","",ToMint!J74)</f>
        <v/>
      </c>
      <c r="F74" s="40">
        <f>Tokens!BN74</f>
        <v>3000</v>
      </c>
    </row>
    <row r="75" spans="3:6" x14ac:dyDescent="0.25">
      <c r="C75" t="str">
        <f>Tokens!C75</f>
        <v>La Porteuse D'Eau #12</v>
      </c>
      <c r="D75" t="str">
        <f>Tokens!BJ75</f>
        <v>La Porteuse D'Eau</v>
      </c>
      <c r="E75" t="str">
        <f>IF(ToMint!J75="","",ToMint!J75)</f>
        <v/>
      </c>
      <c r="F75" s="40">
        <f>Tokens!BN75</f>
        <v>3000</v>
      </c>
    </row>
    <row r="76" spans="3:6" x14ac:dyDescent="0.25">
      <c r="C76" t="str">
        <f>Tokens!C76</f>
        <v>La Porteuse D'Eau #13</v>
      </c>
      <c r="D76" t="str">
        <f>Tokens!BJ76</f>
        <v>La Porteuse D'Eau</v>
      </c>
      <c r="E76" t="str">
        <f>IF(ToMint!J76="","",ToMint!J76)</f>
        <v/>
      </c>
      <c r="F76" s="40">
        <f>Tokens!BN76</f>
        <v>3000</v>
      </c>
    </row>
    <row r="77" spans="3:6" x14ac:dyDescent="0.25">
      <c r="C77" t="str">
        <f>Tokens!C77</f>
        <v>La Porteuse D'Eau #14</v>
      </c>
      <c r="D77" t="str">
        <f>Tokens!BJ77</f>
        <v>La Porteuse D'Eau</v>
      </c>
      <c r="E77" t="str">
        <f>IF(ToMint!J77="","",ToMint!J77)</f>
        <v/>
      </c>
      <c r="F77" s="40">
        <f>Tokens!BN77</f>
        <v>3000</v>
      </c>
    </row>
    <row r="78" spans="3:6" x14ac:dyDescent="0.25">
      <c r="C78" t="str">
        <f>Tokens!C78</f>
        <v>La Porteuse D'Eau #15</v>
      </c>
      <c r="D78" t="str">
        <f>Tokens!BJ78</f>
        <v>La Porteuse D'Eau</v>
      </c>
      <c r="E78" t="str">
        <f>IF(ToMint!J78="","",ToMint!J78)</f>
        <v/>
      </c>
      <c r="F78" s="40">
        <f>Tokens!BN78</f>
        <v>3000</v>
      </c>
    </row>
    <row r="79" spans="3:6" x14ac:dyDescent="0.25">
      <c r="C79" t="str">
        <f>Tokens!C79</f>
        <v>La Porteuse D'Eau #16</v>
      </c>
      <c r="D79" t="str">
        <f>Tokens!BJ79</f>
        <v>La Porteuse D'Eau</v>
      </c>
      <c r="E79" t="str">
        <f>IF(ToMint!J79="","",ToMint!J79)</f>
        <v/>
      </c>
      <c r="F79" s="40">
        <f>Tokens!BN79</f>
        <v>3000</v>
      </c>
    </row>
    <row r="80" spans="3:6" x14ac:dyDescent="0.25">
      <c r="C80" t="str">
        <f>Tokens!C80</f>
        <v>La Porteuse D'Eau #17</v>
      </c>
      <c r="D80" t="str">
        <f>Tokens!BJ80</f>
        <v>La Porteuse D'Eau</v>
      </c>
      <c r="E80" t="str">
        <f>IF(ToMint!J80="","",ToMint!J80)</f>
        <v/>
      </c>
      <c r="F80" s="40">
        <f>Tokens!BN80</f>
        <v>3000</v>
      </c>
    </row>
    <row r="81" spans="3:6" x14ac:dyDescent="0.25">
      <c r="C81" t="str">
        <f>Tokens!C81</f>
        <v>La Porteuse D'Eau #18</v>
      </c>
      <c r="D81" t="str">
        <f>Tokens!BJ81</f>
        <v>La Porteuse D'Eau</v>
      </c>
      <c r="E81" t="str">
        <f>IF(ToMint!J81="","",ToMint!J81)</f>
        <v/>
      </c>
      <c r="F81" s="40">
        <f>Tokens!BN81</f>
        <v>3000</v>
      </c>
    </row>
    <row r="82" spans="3:6" x14ac:dyDescent="0.25">
      <c r="C82" t="str">
        <f>Tokens!C82</f>
        <v>La Porteuse D'Eau #19</v>
      </c>
      <c r="D82" t="str">
        <f>Tokens!BJ82</f>
        <v>La Porteuse D'Eau</v>
      </c>
      <c r="E82" t="str">
        <f>IF(ToMint!J82="","",ToMint!J82)</f>
        <v/>
      </c>
      <c r="F82" s="40">
        <f>Tokens!BN82</f>
        <v>3000</v>
      </c>
    </row>
    <row r="83" spans="3:6" x14ac:dyDescent="0.25">
      <c r="C83" t="str">
        <f>Tokens!C83</f>
        <v>La Porteuse D'Eau #20</v>
      </c>
      <c r="D83" t="str">
        <f>Tokens!BJ83</f>
        <v>La Porteuse D'Eau</v>
      </c>
      <c r="E83" t="str">
        <f>IF(ToMint!J83="","",ToMint!J83)</f>
        <v/>
      </c>
      <c r="F83" s="40">
        <f>Tokens!BN83</f>
        <v>3000</v>
      </c>
    </row>
    <row r="84" spans="3:6" x14ac:dyDescent="0.25">
      <c r="C84" t="str">
        <f>Tokens!C84</f>
        <v>La Porteuse D'Eau #21</v>
      </c>
      <c r="D84" t="str">
        <f>Tokens!BJ84</f>
        <v>La Porteuse D'Eau</v>
      </c>
      <c r="E84" t="str">
        <f>IF(ToMint!J84="","",ToMint!J84)</f>
        <v/>
      </c>
      <c r="F84" s="40">
        <f>Tokens!BN84</f>
        <v>3000</v>
      </c>
    </row>
    <row r="85" spans="3:6" x14ac:dyDescent="0.25">
      <c r="C85" t="str">
        <f>Tokens!C85</f>
        <v>La Porteuse D'Eau #22</v>
      </c>
      <c r="D85" t="str">
        <f>Tokens!BJ85</f>
        <v>La Porteuse D'Eau</v>
      </c>
      <c r="E85" t="str">
        <f>IF(ToMint!J85="","",ToMint!J85)</f>
        <v/>
      </c>
      <c r="F85" s="40">
        <f>Tokens!BN85</f>
        <v>3000</v>
      </c>
    </row>
    <row r="86" spans="3:6" x14ac:dyDescent="0.25">
      <c r="C86" t="str">
        <f>Tokens!C86</f>
        <v>La Porteuse D'Eau #23</v>
      </c>
      <c r="D86" t="str">
        <f>Tokens!BJ86</f>
        <v>La Porteuse D'Eau</v>
      </c>
      <c r="E86" t="str">
        <f>IF(ToMint!J86="","",ToMint!J86)</f>
        <v/>
      </c>
      <c r="F86" s="40">
        <f>Tokens!BN86</f>
        <v>3000</v>
      </c>
    </row>
    <row r="87" spans="3:6" x14ac:dyDescent="0.25">
      <c r="C87" t="str">
        <f>Tokens!C87</f>
        <v>La Porteuse D'Eau #24</v>
      </c>
      <c r="D87" t="str">
        <f>Tokens!BJ87</f>
        <v>La Porteuse D'Eau</v>
      </c>
      <c r="E87" t="str">
        <f>IF(ToMint!J87="","",ToMint!J87)</f>
        <v/>
      </c>
      <c r="F87" s="40">
        <f>Tokens!BN87</f>
        <v>3000</v>
      </c>
    </row>
    <row r="88" spans="3:6" x14ac:dyDescent="0.25">
      <c r="C88" t="str">
        <f>Tokens!C88</f>
        <v>La Porteuse D'Eau #25</v>
      </c>
      <c r="D88" t="str">
        <f>Tokens!BJ88</f>
        <v>La Porteuse D'Eau</v>
      </c>
      <c r="E88" t="str">
        <f>IF(ToMint!J88="","",ToMint!J88)</f>
        <v/>
      </c>
      <c r="F88" s="40">
        <f>Tokens!BN88</f>
        <v>3000</v>
      </c>
    </row>
    <row r="89" spans="3:6" x14ac:dyDescent="0.25">
      <c r="C89" t="str">
        <f>Tokens!C89</f>
        <v>La Porteuse D'Eau #26</v>
      </c>
      <c r="D89" t="str">
        <f>Tokens!BJ89</f>
        <v>La Porteuse D'Eau</v>
      </c>
      <c r="E89" t="str">
        <f>IF(ToMint!J89="","",ToMint!J89)</f>
        <v/>
      </c>
      <c r="F89" s="40">
        <f>Tokens!BN89</f>
        <v>3000</v>
      </c>
    </row>
    <row r="90" spans="3:6" x14ac:dyDescent="0.25">
      <c r="C90" t="str">
        <f>Tokens!C90</f>
        <v>La Porteuse D'Eau #27</v>
      </c>
      <c r="D90" t="str">
        <f>Tokens!BJ90</f>
        <v>La Porteuse D'Eau</v>
      </c>
      <c r="E90" t="str">
        <f>IF(ToMint!J90="","",ToMint!J90)</f>
        <v/>
      </c>
      <c r="F90" s="40">
        <f>Tokens!BN90</f>
        <v>3000</v>
      </c>
    </row>
    <row r="91" spans="3:6" x14ac:dyDescent="0.25">
      <c r="C91" t="str">
        <f>Tokens!C91</f>
        <v>La Porteuse D'Eau #28</v>
      </c>
      <c r="D91" t="str">
        <f>Tokens!BJ91</f>
        <v>La Porteuse D'Eau</v>
      </c>
      <c r="E91" t="str">
        <f>IF(ToMint!J91="","",ToMint!J91)</f>
        <v/>
      </c>
      <c r="F91" s="40">
        <f>Tokens!BN91</f>
        <v>3000</v>
      </c>
    </row>
    <row r="92" spans="3:6" x14ac:dyDescent="0.25">
      <c r="C92" t="str">
        <f>Tokens!C92</f>
        <v>La Porteuse D'Eau #29</v>
      </c>
      <c r="D92" t="str">
        <f>Tokens!BJ92</f>
        <v>La Porteuse D'Eau</v>
      </c>
      <c r="E92" t="str">
        <f>IF(ToMint!J92="","",ToMint!J92)</f>
        <v/>
      </c>
      <c r="F92" s="40">
        <f>Tokens!BN92</f>
        <v>3000</v>
      </c>
    </row>
    <row r="93" spans="3:6" x14ac:dyDescent="0.25">
      <c r="C93" t="str">
        <f>Tokens!C93</f>
        <v>La Porteuse D'Eau #30</v>
      </c>
      <c r="D93" t="str">
        <f>Tokens!BJ93</f>
        <v>La Porteuse D'Eau</v>
      </c>
      <c r="E93" t="str">
        <f>IF(ToMint!J93="","",ToMint!J93)</f>
        <v/>
      </c>
      <c r="F93" s="40">
        <f>Tokens!BN93</f>
        <v>3000</v>
      </c>
    </row>
    <row r="94" spans="3:6" x14ac:dyDescent="0.25">
      <c r="C94" t="str">
        <f>Tokens!C94</f>
        <v>La Porteuse D'Eau #31</v>
      </c>
      <c r="D94" t="str">
        <f>Tokens!BJ94</f>
        <v>La Porteuse D'Eau</v>
      </c>
      <c r="E94" t="str">
        <f>IF(ToMint!J94="","",ToMint!J94)</f>
        <v/>
      </c>
      <c r="F94" s="40">
        <f>Tokens!BN94</f>
        <v>3000</v>
      </c>
    </row>
    <row r="95" spans="3:6" x14ac:dyDescent="0.25">
      <c r="C95" t="str">
        <f>Tokens!C95</f>
        <v>La Porteuse D'Eau #32</v>
      </c>
      <c r="D95" t="str">
        <f>Tokens!BJ95</f>
        <v>La Porteuse D'Eau</v>
      </c>
      <c r="E95" t="str">
        <f>IF(ToMint!J95="","",ToMint!J95)</f>
        <v/>
      </c>
      <c r="F95" s="40">
        <f>Tokens!BN95</f>
        <v>3000</v>
      </c>
    </row>
    <row r="96" spans="3:6" x14ac:dyDescent="0.25">
      <c r="C96" t="str">
        <f>Tokens!C96</f>
        <v>La Porteuse D'Eau #33</v>
      </c>
      <c r="D96" t="str">
        <f>Tokens!BJ96</f>
        <v>La Porteuse D'Eau</v>
      </c>
      <c r="E96" t="str">
        <f>IF(ToMint!J96="","",ToMint!J96)</f>
        <v/>
      </c>
      <c r="F96" s="40">
        <f>Tokens!BN96</f>
        <v>3000</v>
      </c>
    </row>
    <row r="97" spans="3:6" x14ac:dyDescent="0.25">
      <c r="C97" t="str">
        <f>Tokens!C97</f>
        <v>La Porteuse D'Eau #34</v>
      </c>
      <c r="D97" t="str">
        <f>Tokens!BJ97</f>
        <v>La Porteuse D'Eau</v>
      </c>
      <c r="E97" t="str">
        <f>IF(ToMint!J97="","",ToMint!J97)</f>
        <v/>
      </c>
      <c r="F97" s="40">
        <f>Tokens!BN97</f>
        <v>3000</v>
      </c>
    </row>
    <row r="98" spans="3:6" x14ac:dyDescent="0.25">
      <c r="C98" t="str">
        <f>Tokens!C98</f>
        <v>La Porteuse D'Eau #35</v>
      </c>
      <c r="D98" t="str">
        <f>Tokens!BJ98</f>
        <v>La Porteuse D'Eau</v>
      </c>
      <c r="E98" t="str">
        <f>IF(ToMint!J98="","",ToMint!J98)</f>
        <v/>
      </c>
      <c r="F98" s="40">
        <f>Tokens!BN98</f>
        <v>3000</v>
      </c>
    </row>
    <row r="99" spans="3:6" x14ac:dyDescent="0.25">
      <c r="C99" t="str">
        <f>Tokens!C99</f>
        <v>La Porteuse D'Eau #36</v>
      </c>
      <c r="D99" t="str">
        <f>Tokens!BJ99</f>
        <v>La Porteuse D'Eau</v>
      </c>
      <c r="E99" t="str">
        <f>IF(ToMint!J99="","",ToMint!J99)</f>
        <v/>
      </c>
      <c r="F99" s="40">
        <f>Tokens!BN99</f>
        <v>3000</v>
      </c>
    </row>
    <row r="100" spans="3:6" x14ac:dyDescent="0.25">
      <c r="C100" t="str">
        <f>Tokens!C100</f>
        <v>La Porteuse D'Eau #37</v>
      </c>
      <c r="D100" t="str">
        <f>Tokens!BJ100</f>
        <v>La Porteuse D'Eau</v>
      </c>
      <c r="E100" t="str">
        <f>IF(ToMint!J100="","",ToMint!J100)</f>
        <v/>
      </c>
      <c r="F100" s="40">
        <f>Tokens!BN100</f>
        <v>3000</v>
      </c>
    </row>
    <row r="101" spans="3:6" x14ac:dyDescent="0.25">
      <c r="C101" t="str">
        <f>Tokens!C101</f>
        <v>La Porteuse D'Eau #38</v>
      </c>
      <c r="D101" t="str">
        <f>Tokens!BJ101</f>
        <v>La Porteuse D'Eau</v>
      </c>
      <c r="E101" t="str">
        <f>IF(ToMint!J101="","",ToMint!J101)</f>
        <v/>
      </c>
      <c r="F101" s="40">
        <f>Tokens!BN101</f>
        <v>3000</v>
      </c>
    </row>
    <row r="102" spans="3:6" x14ac:dyDescent="0.25">
      <c r="C102" t="str">
        <f>Tokens!C102</f>
        <v>La Porteuse D'Eau #39</v>
      </c>
      <c r="D102" t="str">
        <f>Tokens!BJ102</f>
        <v>La Porteuse D'Eau</v>
      </c>
      <c r="E102" t="str">
        <f>IF(ToMint!J102="","",ToMint!J102)</f>
        <v/>
      </c>
      <c r="F102" s="40">
        <f>Tokens!BN102</f>
        <v>3000</v>
      </c>
    </row>
    <row r="103" spans="3:6" x14ac:dyDescent="0.25">
      <c r="C103" t="str">
        <f>Tokens!C103</f>
        <v>La Porteuse D'Eau #40</v>
      </c>
      <c r="D103" t="str">
        <f>Tokens!BJ103</f>
        <v>La Porteuse D'Eau</v>
      </c>
      <c r="E103" t="str">
        <f>IF(ToMint!J103="","",ToMint!J103)</f>
        <v/>
      </c>
      <c r="F103" s="40">
        <f>Tokens!BN103</f>
        <v>3000</v>
      </c>
    </row>
    <row r="104" spans="3:6" x14ac:dyDescent="0.25">
      <c r="C104" t="str">
        <f>Tokens!C104</f>
        <v>La Porteuse D'Eau #41</v>
      </c>
      <c r="D104" t="str">
        <f>Tokens!BJ104</f>
        <v>La Porteuse D'Eau</v>
      </c>
      <c r="E104" t="str">
        <f>IF(ToMint!J104="","",ToMint!J104)</f>
        <v/>
      </c>
      <c r="F104" s="40">
        <f>Tokens!BN104</f>
        <v>3000</v>
      </c>
    </row>
    <row r="105" spans="3:6" x14ac:dyDescent="0.25">
      <c r="C105" t="str">
        <f>Tokens!C105</f>
        <v>La Porteuse D'Eau #42</v>
      </c>
      <c r="D105" t="str">
        <f>Tokens!BJ105</f>
        <v>La Porteuse D'Eau</v>
      </c>
      <c r="E105" t="str">
        <f>IF(ToMint!J105="","",ToMint!J105)</f>
        <v/>
      </c>
      <c r="F105" s="40">
        <f>Tokens!BN105</f>
        <v>3000</v>
      </c>
    </row>
    <row r="106" spans="3:6" x14ac:dyDescent="0.25">
      <c r="C106" t="str">
        <f>Tokens!C106</f>
        <v>La Porteuse D'Eau #43</v>
      </c>
      <c r="D106" t="str">
        <f>Tokens!BJ106</f>
        <v>La Porteuse D'Eau</v>
      </c>
      <c r="E106" t="str">
        <f>IF(ToMint!J106="","",ToMint!J106)</f>
        <v/>
      </c>
      <c r="F106" s="40">
        <f>Tokens!BN106</f>
        <v>3000</v>
      </c>
    </row>
    <row r="107" spans="3:6" x14ac:dyDescent="0.25">
      <c r="C107" t="str">
        <f>Tokens!C107</f>
        <v>La Porteuse D'Eau #44</v>
      </c>
      <c r="D107" t="str">
        <f>Tokens!BJ107</f>
        <v>La Porteuse D'Eau</v>
      </c>
      <c r="E107" t="str">
        <f>IF(ToMint!J107="","",ToMint!J107)</f>
        <v/>
      </c>
      <c r="F107" s="40">
        <f>Tokens!BN107</f>
        <v>3000</v>
      </c>
    </row>
    <row r="108" spans="3:6" x14ac:dyDescent="0.25">
      <c r="C108" t="str">
        <f>Tokens!C108</f>
        <v>La Porteuse D'Eau #45</v>
      </c>
      <c r="D108" t="str">
        <f>Tokens!BJ108</f>
        <v>La Porteuse D'Eau</v>
      </c>
      <c r="E108" t="str">
        <f>IF(ToMint!J108="","",ToMint!J108)</f>
        <v/>
      </c>
      <c r="F108" s="40">
        <f>Tokens!BN108</f>
        <v>3000</v>
      </c>
    </row>
    <row r="109" spans="3:6" x14ac:dyDescent="0.25">
      <c r="C109" t="str">
        <f>Tokens!C109</f>
        <v>La Porteuse D'Eau #46</v>
      </c>
      <c r="D109" t="str">
        <f>Tokens!BJ109</f>
        <v>La Porteuse D'Eau</v>
      </c>
      <c r="E109" t="str">
        <f>IF(ToMint!J109="","",ToMint!J109)</f>
        <v/>
      </c>
      <c r="F109" s="40">
        <f>Tokens!BN109</f>
        <v>3000</v>
      </c>
    </row>
    <row r="110" spans="3:6" x14ac:dyDescent="0.25">
      <c r="C110" t="str">
        <f>Tokens!C110</f>
        <v>La Porteuse D'Eau #47</v>
      </c>
      <c r="D110" t="str">
        <f>Tokens!BJ110</f>
        <v>La Porteuse D'Eau</v>
      </c>
      <c r="E110" t="str">
        <f>IF(ToMint!J110="","",ToMint!J110)</f>
        <v/>
      </c>
      <c r="F110" s="40">
        <f>Tokens!BN110</f>
        <v>3000</v>
      </c>
    </row>
    <row r="111" spans="3:6" x14ac:dyDescent="0.25">
      <c r="C111" t="str">
        <f>Tokens!C111</f>
        <v>La Porteuse D'Eau #48</v>
      </c>
      <c r="D111" t="str">
        <f>Tokens!BJ111</f>
        <v>La Porteuse D'Eau</v>
      </c>
      <c r="E111" t="str">
        <f>IF(ToMint!J111="","",ToMint!J111)</f>
        <v/>
      </c>
      <c r="F111" s="40">
        <f>Tokens!BN111</f>
        <v>3000</v>
      </c>
    </row>
    <row r="112" spans="3:6" x14ac:dyDescent="0.25">
      <c r="C112" t="str">
        <f>Tokens!C112</f>
        <v>La Porteuse D'Eau #49</v>
      </c>
      <c r="D112" t="str">
        <f>Tokens!BJ112</f>
        <v>La Porteuse D'Eau</v>
      </c>
      <c r="E112" t="str">
        <f>IF(ToMint!J112="","",ToMint!J112)</f>
        <v/>
      </c>
      <c r="F112" s="40">
        <f>Tokens!BN112</f>
        <v>3000</v>
      </c>
    </row>
    <row r="113" spans="3:6" x14ac:dyDescent="0.25">
      <c r="C113" t="str">
        <f>Tokens!C113</f>
        <v>La Porteuse D'Eau #50</v>
      </c>
      <c r="D113" t="str">
        <f>Tokens!BJ113</f>
        <v>La Porteuse D'Eau</v>
      </c>
      <c r="E113" t="str">
        <f>IF(ToMint!J113="","",ToMint!J113)</f>
        <v/>
      </c>
      <c r="F113" s="40">
        <f>Tokens!BN113</f>
        <v>3000</v>
      </c>
    </row>
    <row r="114" spans="3:6" x14ac:dyDescent="0.25">
      <c r="C114" t="str">
        <f>Tokens!C114</f>
        <v>La Porteuse D'Eau #51</v>
      </c>
      <c r="D114" t="str">
        <f>Tokens!BJ114</f>
        <v>La Porteuse D'Eau</v>
      </c>
      <c r="E114" t="str">
        <f>IF(ToMint!J114="","",ToMint!J114)</f>
        <v/>
      </c>
      <c r="F114" s="40">
        <f>Tokens!BN114</f>
        <v>3000</v>
      </c>
    </row>
    <row r="115" spans="3:6" x14ac:dyDescent="0.25">
      <c r="C115" t="str">
        <f>Tokens!C115</f>
        <v>La Porteuse D'Eau #52</v>
      </c>
      <c r="D115" t="str">
        <f>Tokens!BJ115</f>
        <v>La Porteuse D'Eau</v>
      </c>
      <c r="E115" t="str">
        <f>IF(ToMint!J115="","",ToMint!J115)</f>
        <v/>
      </c>
      <c r="F115" s="40">
        <f>Tokens!BN115</f>
        <v>3000</v>
      </c>
    </row>
    <row r="116" spans="3:6" x14ac:dyDescent="0.25">
      <c r="C116" t="str">
        <f>Tokens!C116</f>
        <v>La Porteuse D'Eau #53</v>
      </c>
      <c r="D116" t="str">
        <f>Tokens!BJ116</f>
        <v>La Porteuse D'Eau</v>
      </c>
      <c r="E116" t="str">
        <f>IF(ToMint!J116="","",ToMint!J116)</f>
        <v/>
      </c>
      <c r="F116" s="40">
        <f>Tokens!BN116</f>
        <v>3000</v>
      </c>
    </row>
    <row r="117" spans="3:6" x14ac:dyDescent="0.25">
      <c r="C117" t="str">
        <f>Tokens!C117</f>
        <v>La Porteuse D'Eau #54</v>
      </c>
      <c r="D117" t="str">
        <f>Tokens!BJ117</f>
        <v>La Porteuse D'Eau</v>
      </c>
      <c r="E117" t="str">
        <f>IF(ToMint!J117="","",ToMint!J117)</f>
        <v/>
      </c>
      <c r="F117" s="40">
        <f>Tokens!BN117</f>
        <v>3000</v>
      </c>
    </row>
    <row r="118" spans="3:6" x14ac:dyDescent="0.25">
      <c r="C118" t="str">
        <f>Tokens!C118</f>
        <v>La Porteuse D'Eau #55</v>
      </c>
      <c r="D118" t="str">
        <f>Tokens!BJ118</f>
        <v>La Porteuse D'Eau</v>
      </c>
      <c r="E118" t="str">
        <f>IF(ToMint!J118="","",ToMint!J118)</f>
        <v/>
      </c>
      <c r="F118" s="40">
        <f>Tokens!BN118</f>
        <v>3000</v>
      </c>
    </row>
    <row r="119" spans="3:6" x14ac:dyDescent="0.25">
      <c r="C119" t="str">
        <f>Tokens!C119</f>
        <v>La Porteuse D'Eau #56</v>
      </c>
      <c r="D119" t="str">
        <f>Tokens!BJ119</f>
        <v>La Porteuse D'Eau</v>
      </c>
      <c r="E119" t="str">
        <f>IF(ToMint!J119="","",ToMint!J119)</f>
        <v/>
      </c>
      <c r="F119" s="40">
        <f>Tokens!BN119</f>
        <v>3000</v>
      </c>
    </row>
    <row r="120" spans="3:6" x14ac:dyDescent="0.25">
      <c r="C120" t="str">
        <f>Tokens!C120</f>
        <v>La Porteuse D'Eau #57</v>
      </c>
      <c r="D120" t="str">
        <f>Tokens!BJ120</f>
        <v>La Porteuse D'Eau</v>
      </c>
      <c r="E120" t="str">
        <f>IF(ToMint!J120="","",ToMint!J120)</f>
        <v/>
      </c>
      <c r="F120" s="40">
        <f>Tokens!BN120</f>
        <v>3000</v>
      </c>
    </row>
    <row r="121" spans="3:6" x14ac:dyDescent="0.25">
      <c r="C121" t="str">
        <f>Tokens!C121</f>
        <v>La Porteuse D'Eau #58</v>
      </c>
      <c r="D121" t="str">
        <f>Tokens!BJ121</f>
        <v>La Porteuse D'Eau</v>
      </c>
      <c r="E121" t="str">
        <f>IF(ToMint!J121="","",ToMint!J121)</f>
        <v/>
      </c>
      <c r="F121" s="40">
        <f>Tokens!BN121</f>
        <v>3000</v>
      </c>
    </row>
    <row r="122" spans="3:6" x14ac:dyDescent="0.25">
      <c r="C122" t="str">
        <f>Tokens!C122</f>
        <v>La Porteuse D'Eau #59</v>
      </c>
      <c r="D122" t="str">
        <f>Tokens!BJ122</f>
        <v>La Porteuse D'Eau</v>
      </c>
      <c r="E122" t="str">
        <f>IF(ToMint!J122="","",ToMint!J122)</f>
        <v/>
      </c>
      <c r="F122" s="40">
        <f>Tokens!BN122</f>
        <v>3000</v>
      </c>
    </row>
    <row r="123" spans="3:6" x14ac:dyDescent="0.25">
      <c r="C123" t="str">
        <f>Tokens!C123</f>
        <v>La Porteuse D'Eau #60</v>
      </c>
      <c r="D123" t="str">
        <f>Tokens!BJ123</f>
        <v>La Porteuse D'Eau</v>
      </c>
      <c r="E123" t="str">
        <f>IF(ToMint!J123="","",ToMint!J123)</f>
        <v/>
      </c>
      <c r="F123" s="40">
        <f>Tokens!BN123</f>
        <v>3000</v>
      </c>
    </row>
    <row r="124" spans="3:6" x14ac:dyDescent="0.25">
      <c r="C124" t="str">
        <f>Tokens!C124</f>
        <v>La Porteuse D'Eau #61</v>
      </c>
      <c r="D124" t="str">
        <f>Tokens!BJ124</f>
        <v>La Porteuse D'Eau</v>
      </c>
      <c r="E124" t="str">
        <f>IF(ToMint!J124="","",ToMint!J124)</f>
        <v/>
      </c>
      <c r="F124" s="40">
        <f>Tokens!BN124</f>
        <v>3000</v>
      </c>
    </row>
    <row r="125" spans="3:6" x14ac:dyDescent="0.25">
      <c r="C125" t="str">
        <f>Tokens!C125</f>
        <v>La Porteuse D'Eau #62</v>
      </c>
      <c r="D125" t="str">
        <f>Tokens!BJ125</f>
        <v>La Porteuse D'Eau</v>
      </c>
      <c r="E125" t="str">
        <f>IF(ToMint!J125="","",ToMint!J125)</f>
        <v/>
      </c>
      <c r="F125" s="40">
        <f>Tokens!BN125</f>
        <v>3000</v>
      </c>
    </row>
    <row r="126" spans="3:6" x14ac:dyDescent="0.25">
      <c r="C126" t="str">
        <f>Tokens!C126</f>
        <v>La Porteuse D'Eau #63</v>
      </c>
      <c r="D126" t="str">
        <f>Tokens!BJ126</f>
        <v>La Porteuse D'Eau</v>
      </c>
      <c r="E126" t="str">
        <f>IF(ToMint!J126="","",ToMint!J126)</f>
        <v/>
      </c>
      <c r="F126" s="40">
        <f>Tokens!BN126</f>
        <v>3000</v>
      </c>
    </row>
    <row r="127" spans="3:6" x14ac:dyDescent="0.25">
      <c r="C127" t="str">
        <f>Tokens!C127</f>
        <v>La Porteuse D'Eau #64</v>
      </c>
      <c r="D127" t="str">
        <f>Tokens!BJ127</f>
        <v>La Porteuse D'Eau</v>
      </c>
      <c r="E127" t="str">
        <f>IF(ToMint!J127="","",ToMint!J127)</f>
        <v/>
      </c>
      <c r="F127" s="40">
        <f>Tokens!BN127</f>
        <v>3000</v>
      </c>
    </row>
    <row r="128" spans="3:6" x14ac:dyDescent="0.25">
      <c r="C128" t="str">
        <f>Tokens!C128</f>
        <v>La Porteuse D'Eau #65</v>
      </c>
      <c r="D128" t="str">
        <f>Tokens!BJ128</f>
        <v>La Porteuse D'Eau</v>
      </c>
      <c r="E128" t="str">
        <f>IF(ToMint!J128="","",ToMint!J128)</f>
        <v/>
      </c>
      <c r="F128" s="40">
        <f>Tokens!BN128</f>
        <v>3000</v>
      </c>
    </row>
    <row r="129" spans="3:6" x14ac:dyDescent="0.25">
      <c r="C129" t="str">
        <f>Tokens!C129</f>
        <v>La Porteuse D'Eau #66</v>
      </c>
      <c r="D129" t="str">
        <f>Tokens!BJ129</f>
        <v>La Porteuse D'Eau</v>
      </c>
      <c r="E129" t="str">
        <f>IF(ToMint!J129="","",ToMint!J129)</f>
        <v/>
      </c>
      <c r="F129" s="40">
        <f>Tokens!BN129</f>
        <v>3000</v>
      </c>
    </row>
    <row r="130" spans="3:6" x14ac:dyDescent="0.25">
      <c r="C130" t="str">
        <f>Tokens!C130</f>
        <v>La Porteuse D'Eau #67</v>
      </c>
      <c r="D130" t="str">
        <f>Tokens!BJ130</f>
        <v>La Porteuse D'Eau</v>
      </c>
      <c r="E130" t="str">
        <f>IF(ToMint!J130="","",ToMint!J130)</f>
        <v/>
      </c>
      <c r="F130" s="40">
        <f>Tokens!BN130</f>
        <v>3000</v>
      </c>
    </row>
    <row r="131" spans="3:6" x14ac:dyDescent="0.25">
      <c r="C131" t="str">
        <f>Tokens!C131</f>
        <v>La Porteuse D'Eau #68</v>
      </c>
      <c r="D131" t="str">
        <f>Tokens!BJ131</f>
        <v>La Porteuse D'Eau</v>
      </c>
      <c r="E131" t="str">
        <f>IF(ToMint!J131="","",ToMint!J131)</f>
        <v/>
      </c>
      <c r="F131" s="40">
        <f>Tokens!BN131</f>
        <v>3000</v>
      </c>
    </row>
    <row r="132" spans="3:6" x14ac:dyDescent="0.25">
      <c r="C132" t="str">
        <f>Tokens!C132</f>
        <v>La Porteuse D'Eau #69</v>
      </c>
      <c r="D132" t="str">
        <f>Tokens!BJ132</f>
        <v>La Porteuse D'Eau</v>
      </c>
      <c r="E132" t="str">
        <f>IF(ToMint!J132="","",ToMint!J132)</f>
        <v/>
      </c>
      <c r="F132" s="40">
        <f>Tokens!BN132</f>
        <v>3000</v>
      </c>
    </row>
    <row r="133" spans="3:6" x14ac:dyDescent="0.25">
      <c r="C133" t="str">
        <f>Tokens!C133</f>
        <v>La Porteuse D'Eau #70</v>
      </c>
      <c r="D133" t="str">
        <f>Tokens!BJ133</f>
        <v>La Porteuse D'Eau</v>
      </c>
      <c r="E133" t="str">
        <f>IF(ToMint!J133="","",ToMint!J133)</f>
        <v/>
      </c>
      <c r="F133" s="40">
        <f>Tokens!BN133</f>
        <v>3000</v>
      </c>
    </row>
    <row r="134" spans="3:6" x14ac:dyDescent="0.25">
      <c r="C134" t="str">
        <f>Tokens!C134</f>
        <v>La Porteuse D'Eau #71</v>
      </c>
      <c r="D134" t="str">
        <f>Tokens!BJ134</f>
        <v>La Porteuse D'Eau</v>
      </c>
      <c r="E134" t="str">
        <f>IF(ToMint!J134="","",ToMint!J134)</f>
        <v/>
      </c>
      <c r="F134" s="40">
        <f>Tokens!BN134</f>
        <v>3000</v>
      </c>
    </row>
    <row r="135" spans="3:6" x14ac:dyDescent="0.25">
      <c r="C135" t="str">
        <f>Tokens!C135</f>
        <v>La Porteuse D'Eau #72</v>
      </c>
      <c r="D135" t="str">
        <f>Tokens!BJ135</f>
        <v>La Porteuse D'Eau</v>
      </c>
      <c r="E135" t="str">
        <f>IF(ToMint!J135="","",ToMint!J135)</f>
        <v/>
      </c>
      <c r="F135" s="40">
        <f>Tokens!BN135</f>
        <v>3000</v>
      </c>
    </row>
    <row r="136" spans="3:6" x14ac:dyDescent="0.25">
      <c r="C136" t="str">
        <f>Tokens!C136</f>
        <v>La Porteuse D'Eau #73</v>
      </c>
      <c r="D136" t="str">
        <f>Tokens!BJ136</f>
        <v>La Porteuse D'Eau</v>
      </c>
      <c r="E136" t="str">
        <f>IF(ToMint!J136="","",ToMint!J136)</f>
        <v/>
      </c>
      <c r="F136" s="40">
        <f>Tokens!BN136</f>
        <v>3000</v>
      </c>
    </row>
    <row r="137" spans="3:6" x14ac:dyDescent="0.25">
      <c r="C137" t="str">
        <f>Tokens!C137</f>
        <v>La Porteuse D'Eau #74</v>
      </c>
      <c r="D137" t="str">
        <f>Tokens!BJ137</f>
        <v>La Porteuse D'Eau</v>
      </c>
      <c r="E137" t="str">
        <f>IF(ToMint!J137="","",ToMint!J137)</f>
        <v/>
      </c>
      <c r="F137" s="40">
        <f>Tokens!BN137</f>
        <v>3000</v>
      </c>
    </row>
    <row r="138" spans="3:6" x14ac:dyDescent="0.25">
      <c r="C138" t="str">
        <f>Tokens!C138</f>
        <v>La Porteuse D'Eau #75</v>
      </c>
      <c r="D138" t="str">
        <f>Tokens!BJ138</f>
        <v>La Porteuse D'Eau</v>
      </c>
      <c r="E138" t="str">
        <f>IF(ToMint!J138="","",ToMint!J138)</f>
        <v/>
      </c>
      <c r="F138" s="40">
        <f>Tokens!BN138</f>
        <v>3000</v>
      </c>
    </row>
    <row r="139" spans="3:6" x14ac:dyDescent="0.25">
      <c r="C139" t="str">
        <f>Tokens!C139</f>
        <v>La Porteuse D'Eau #76</v>
      </c>
      <c r="D139" t="str">
        <f>Tokens!BJ139</f>
        <v>La Porteuse D'Eau</v>
      </c>
      <c r="E139" t="str">
        <f>IF(ToMint!J139="","",ToMint!J139)</f>
        <v/>
      </c>
      <c r="F139" s="40">
        <f>Tokens!BN139</f>
        <v>3000</v>
      </c>
    </row>
    <row r="140" spans="3:6" x14ac:dyDescent="0.25">
      <c r="C140" t="str">
        <f>Tokens!C140</f>
        <v>La Porteuse D'Eau #77</v>
      </c>
      <c r="D140" t="str">
        <f>Tokens!BJ140</f>
        <v>La Porteuse D'Eau</v>
      </c>
      <c r="E140" t="str">
        <f>IF(ToMint!J140="","",ToMint!J140)</f>
        <v/>
      </c>
      <c r="F140" s="40">
        <f>Tokens!BN140</f>
        <v>3000</v>
      </c>
    </row>
    <row r="141" spans="3:6" x14ac:dyDescent="0.25">
      <c r="C141" t="str">
        <f>Tokens!C141</f>
        <v>La Porteuse D'Eau #78</v>
      </c>
      <c r="D141" t="str">
        <f>Tokens!BJ141</f>
        <v>La Porteuse D'Eau</v>
      </c>
      <c r="E141" t="str">
        <f>IF(ToMint!J141="","",ToMint!J141)</f>
        <v/>
      </c>
      <c r="F141" s="40">
        <f>Tokens!BN141</f>
        <v>3000</v>
      </c>
    </row>
    <row r="142" spans="3:6" x14ac:dyDescent="0.25">
      <c r="C142" t="str">
        <f>Tokens!C142</f>
        <v>La Porteuse D'Eau #79</v>
      </c>
      <c r="D142" t="str">
        <f>Tokens!BJ142</f>
        <v>La Porteuse D'Eau</v>
      </c>
      <c r="E142" t="str">
        <f>IF(ToMint!J142="","",ToMint!J142)</f>
        <v/>
      </c>
      <c r="F142" s="40">
        <f>Tokens!BN142</f>
        <v>3000</v>
      </c>
    </row>
    <row r="143" spans="3:6" x14ac:dyDescent="0.25">
      <c r="C143" t="str">
        <f>Tokens!C143</f>
        <v>La Porteuse D'Eau #80</v>
      </c>
      <c r="D143" t="str">
        <f>Tokens!BJ143</f>
        <v>La Porteuse D'Eau</v>
      </c>
      <c r="E143" t="str">
        <f>IF(ToMint!J143="","",ToMint!J143)</f>
        <v/>
      </c>
      <c r="F143" s="40">
        <f>Tokens!BN143</f>
        <v>3000</v>
      </c>
    </row>
    <row r="144" spans="3:6" x14ac:dyDescent="0.25">
      <c r="C144" t="str">
        <f>Tokens!C144</f>
        <v>La Porteuse D'Eau #81</v>
      </c>
      <c r="D144" t="str">
        <f>Tokens!BJ144</f>
        <v>La Porteuse D'Eau</v>
      </c>
      <c r="E144" t="str">
        <f>IF(ToMint!J144="","",ToMint!J144)</f>
        <v/>
      </c>
      <c r="F144" s="40">
        <f>Tokens!BN144</f>
        <v>3000</v>
      </c>
    </row>
    <row r="145" spans="3:6" x14ac:dyDescent="0.25">
      <c r="C145" t="str">
        <f>Tokens!C145</f>
        <v>La Porteuse D'Eau #82</v>
      </c>
      <c r="D145" t="str">
        <f>Tokens!BJ145</f>
        <v>La Porteuse D'Eau</v>
      </c>
      <c r="E145" t="str">
        <f>IF(ToMint!J145="","",ToMint!J145)</f>
        <v/>
      </c>
      <c r="F145" s="40">
        <f>Tokens!BN145</f>
        <v>3000</v>
      </c>
    </row>
    <row r="146" spans="3:6" x14ac:dyDescent="0.25">
      <c r="C146" t="str">
        <f>Tokens!C146</f>
        <v>La Porteuse D'Eau #83</v>
      </c>
      <c r="D146" t="str">
        <f>Tokens!BJ146</f>
        <v>La Porteuse D'Eau</v>
      </c>
      <c r="E146" t="str">
        <f>IF(ToMint!J146="","",ToMint!J146)</f>
        <v/>
      </c>
      <c r="F146" s="40">
        <f>Tokens!BN146</f>
        <v>3000</v>
      </c>
    </row>
    <row r="147" spans="3:6" x14ac:dyDescent="0.25">
      <c r="C147" t="str">
        <f>Tokens!C147</f>
        <v>La Porteuse D'Eau #84</v>
      </c>
      <c r="D147" t="str">
        <f>Tokens!BJ147</f>
        <v>La Porteuse D'Eau</v>
      </c>
      <c r="E147" t="str">
        <f>IF(ToMint!J147="","",ToMint!J147)</f>
        <v/>
      </c>
      <c r="F147" s="40">
        <f>Tokens!BN147</f>
        <v>3000</v>
      </c>
    </row>
    <row r="148" spans="3:6" x14ac:dyDescent="0.25">
      <c r="C148" t="str">
        <f>Tokens!C148</f>
        <v>La Porteuse D'Eau #85</v>
      </c>
      <c r="D148" t="str">
        <f>Tokens!BJ148</f>
        <v>La Porteuse D'Eau</v>
      </c>
      <c r="E148" t="str">
        <f>IF(ToMint!J148="","",ToMint!J148)</f>
        <v/>
      </c>
      <c r="F148" s="40">
        <f>Tokens!BN148</f>
        <v>3000</v>
      </c>
    </row>
    <row r="149" spans="3:6" x14ac:dyDescent="0.25">
      <c r="C149" t="str">
        <f>Tokens!C149</f>
        <v>La Porteuse D'Eau #86</v>
      </c>
      <c r="D149" t="str">
        <f>Tokens!BJ149</f>
        <v>La Porteuse D'Eau</v>
      </c>
      <c r="E149" t="str">
        <f>IF(ToMint!J149="","",ToMint!J149)</f>
        <v/>
      </c>
      <c r="F149" s="40">
        <f>Tokens!BN149</f>
        <v>3000</v>
      </c>
    </row>
    <row r="150" spans="3:6" x14ac:dyDescent="0.25">
      <c r="C150" t="str">
        <f>Tokens!C150</f>
        <v>La Porteuse D'Eau #87</v>
      </c>
      <c r="D150" t="str">
        <f>Tokens!BJ150</f>
        <v>La Porteuse D'Eau</v>
      </c>
      <c r="E150" t="str">
        <f>IF(ToMint!J150="","",ToMint!J150)</f>
        <v/>
      </c>
      <c r="F150" s="40">
        <f>Tokens!BN150</f>
        <v>3000</v>
      </c>
    </row>
    <row r="151" spans="3:6" x14ac:dyDescent="0.25">
      <c r="C151" t="str">
        <f>Tokens!C151</f>
        <v>La Porteuse D'Eau #88</v>
      </c>
      <c r="D151" t="str">
        <f>Tokens!BJ151</f>
        <v>La Porteuse D'Eau</v>
      </c>
      <c r="E151" t="str">
        <f>IF(ToMint!J151="","",ToMint!J151)</f>
        <v/>
      </c>
      <c r="F151" s="40">
        <f>Tokens!BN151</f>
        <v>3000</v>
      </c>
    </row>
    <row r="152" spans="3:6" x14ac:dyDescent="0.25">
      <c r="C152" t="str">
        <f>Tokens!C152</f>
        <v>La Porteuse D'Eau #89</v>
      </c>
      <c r="D152" t="str">
        <f>Tokens!BJ152</f>
        <v>La Porteuse D'Eau</v>
      </c>
      <c r="E152" t="str">
        <f>IF(ToMint!J152="","",ToMint!J152)</f>
        <v/>
      </c>
      <c r="F152" s="40">
        <f>Tokens!BN152</f>
        <v>3000</v>
      </c>
    </row>
    <row r="153" spans="3:6" x14ac:dyDescent="0.25">
      <c r="C153" t="str">
        <f>Tokens!C153</f>
        <v>La Porteuse D'Eau #90</v>
      </c>
      <c r="D153" t="str">
        <f>Tokens!BJ153</f>
        <v>La Porteuse D'Eau</v>
      </c>
      <c r="E153" t="str">
        <f>IF(ToMint!J153="","",ToMint!J153)</f>
        <v/>
      </c>
      <c r="F153" s="40">
        <f>Tokens!BN153</f>
        <v>3000</v>
      </c>
    </row>
    <row r="154" spans="3:6" x14ac:dyDescent="0.25">
      <c r="C154" t="str">
        <f>Tokens!C154</f>
        <v>La Porteuse D'Eau #91</v>
      </c>
      <c r="D154" t="str">
        <f>Tokens!BJ154</f>
        <v>La Porteuse D'Eau</v>
      </c>
      <c r="E154" t="str">
        <f>IF(ToMint!J154="","",ToMint!J154)</f>
        <v/>
      </c>
      <c r="F154" s="40">
        <f>Tokens!BN154</f>
        <v>3000</v>
      </c>
    </row>
    <row r="155" spans="3:6" x14ac:dyDescent="0.25">
      <c r="C155" t="str">
        <f>Tokens!C155</f>
        <v>La Porteuse D'Eau #92</v>
      </c>
      <c r="D155" t="str">
        <f>Tokens!BJ155</f>
        <v>La Porteuse D'Eau</v>
      </c>
      <c r="E155" t="str">
        <f>IF(ToMint!J155="","",ToMint!J155)</f>
        <v/>
      </c>
      <c r="F155" s="40">
        <f>Tokens!BN155</f>
        <v>3000</v>
      </c>
    </row>
    <row r="156" spans="3:6" x14ac:dyDescent="0.25">
      <c r="C156" t="str">
        <f>Tokens!C156</f>
        <v>La Porteuse D'Eau #93</v>
      </c>
      <c r="D156" t="str">
        <f>Tokens!BJ156</f>
        <v>La Porteuse D'Eau</v>
      </c>
      <c r="E156" t="str">
        <f>IF(ToMint!J156="","",ToMint!J156)</f>
        <v/>
      </c>
      <c r="F156" s="40">
        <f>Tokens!BN156</f>
        <v>3000</v>
      </c>
    </row>
    <row r="157" spans="3:6" x14ac:dyDescent="0.25">
      <c r="C157" t="str">
        <f>Tokens!C157</f>
        <v>La Porteuse D'Eau #94</v>
      </c>
      <c r="D157" t="str">
        <f>Tokens!BJ157</f>
        <v>La Porteuse D'Eau</v>
      </c>
      <c r="E157" t="str">
        <f>IF(ToMint!J157="","",ToMint!J157)</f>
        <v/>
      </c>
      <c r="F157" s="40">
        <f>Tokens!BN157</f>
        <v>3000</v>
      </c>
    </row>
    <row r="158" spans="3:6" x14ac:dyDescent="0.25">
      <c r="C158" t="str">
        <f>Tokens!C158</f>
        <v>La Porteuse D'Eau #95</v>
      </c>
      <c r="D158" t="str">
        <f>Tokens!BJ158</f>
        <v>La Porteuse D'Eau</v>
      </c>
      <c r="E158" t="str">
        <f>IF(ToMint!J158="","",ToMint!J158)</f>
        <v/>
      </c>
      <c r="F158" s="40">
        <f>Tokens!BN158</f>
        <v>3000</v>
      </c>
    </row>
    <row r="159" spans="3:6" x14ac:dyDescent="0.25">
      <c r="C159" t="str">
        <f>Tokens!C159</f>
        <v>La Porteuse D'Eau #96</v>
      </c>
      <c r="D159" t="str">
        <f>Tokens!BJ159</f>
        <v>La Porteuse D'Eau</v>
      </c>
      <c r="E159" t="str">
        <f>IF(ToMint!J159="","",ToMint!J159)</f>
        <v/>
      </c>
      <c r="F159" s="40">
        <f>Tokens!BN159</f>
        <v>3000</v>
      </c>
    </row>
    <row r="160" spans="3:6" x14ac:dyDescent="0.25">
      <c r="C160" t="str">
        <f>Tokens!C160</f>
        <v>La Porteuse D'Eau #97</v>
      </c>
      <c r="D160" t="str">
        <f>Tokens!BJ160</f>
        <v>La Porteuse D'Eau</v>
      </c>
      <c r="E160" t="str">
        <f>IF(ToMint!J160="","",ToMint!J160)</f>
        <v/>
      </c>
      <c r="F160" s="40">
        <f>Tokens!BN160</f>
        <v>3000</v>
      </c>
    </row>
    <row r="161" spans="3:6" x14ac:dyDescent="0.25">
      <c r="C161" t="str">
        <f>Tokens!C161</f>
        <v>La Porteuse D'Eau #98</v>
      </c>
      <c r="D161" t="str">
        <f>Tokens!BJ161</f>
        <v>La Porteuse D'Eau</v>
      </c>
      <c r="E161" t="str">
        <f>IF(ToMint!J161="","",ToMint!J161)</f>
        <v/>
      </c>
      <c r="F161" s="40">
        <f>Tokens!BN161</f>
        <v>3000</v>
      </c>
    </row>
    <row r="162" spans="3:6" x14ac:dyDescent="0.25">
      <c r="C162" t="str">
        <f>Tokens!C162</f>
        <v>La Porteuse D'Eau #99</v>
      </c>
      <c r="D162" t="str">
        <f>Tokens!BJ162</f>
        <v>La Porteuse D'Eau</v>
      </c>
      <c r="E162" t="str">
        <f>IF(ToMint!J162="","",ToMint!J162)</f>
        <v/>
      </c>
      <c r="F162" s="40">
        <f>Tokens!BN162</f>
        <v>3000</v>
      </c>
    </row>
    <row r="163" spans="3:6" x14ac:dyDescent="0.25">
      <c r="C163" t="str">
        <f>Tokens!C163</f>
        <v>La Porteuse D'Eau #100</v>
      </c>
      <c r="D163" t="str">
        <f>Tokens!BJ163</f>
        <v>La Porteuse D'Eau</v>
      </c>
      <c r="E163" t="str">
        <f>IF(ToMint!J163="","",ToMint!J163)</f>
        <v/>
      </c>
      <c r="F163" s="40">
        <f>Tokens!BN163</f>
        <v>3000</v>
      </c>
    </row>
    <row r="164" spans="3:6" x14ac:dyDescent="0.25">
      <c r="C164" t="str">
        <f>Tokens!C164</f>
        <v>In Casa #1</v>
      </c>
      <c r="D164" t="str">
        <f>Tokens!BJ164</f>
        <v>In Casa</v>
      </c>
      <c r="E164" t="str">
        <f>IF(ToMint!J164="","",ToMint!J164)</f>
        <v/>
      </c>
      <c r="F164" s="40">
        <f>Tokens!BN164</f>
        <v>100</v>
      </c>
    </row>
    <row r="165" spans="3:6" x14ac:dyDescent="0.25">
      <c r="C165" t="str">
        <f>Tokens!C165</f>
        <v>In Casa #2</v>
      </c>
      <c r="D165" t="str">
        <f>Tokens!BJ165</f>
        <v>In Casa</v>
      </c>
      <c r="E165" t="str">
        <f>IF(ToMint!J165="","",ToMint!J165)</f>
        <v/>
      </c>
      <c r="F165" s="40">
        <f>Tokens!BN165</f>
        <v>100</v>
      </c>
    </row>
    <row r="166" spans="3:6" x14ac:dyDescent="0.25">
      <c r="C166" t="str">
        <f>Tokens!C166</f>
        <v>In Casa #3</v>
      </c>
      <c r="D166" t="str">
        <f>Tokens!BJ166</f>
        <v>In Casa</v>
      </c>
      <c r="E166" t="str">
        <f>IF(ToMint!J166="","",ToMint!J166)</f>
        <v/>
      </c>
      <c r="F166" s="40">
        <f>Tokens!BN166</f>
        <v>100</v>
      </c>
    </row>
    <row r="167" spans="3:6" x14ac:dyDescent="0.25">
      <c r="C167" t="str">
        <f>Tokens!C167</f>
        <v>In Casa #4</v>
      </c>
      <c r="D167" t="str">
        <f>Tokens!BJ167</f>
        <v>In Casa</v>
      </c>
      <c r="E167" t="str">
        <f>IF(ToMint!J167="","",ToMint!J167)</f>
        <v/>
      </c>
      <c r="F167" s="40">
        <f>Tokens!BN167</f>
        <v>100</v>
      </c>
    </row>
    <row r="168" spans="3:6" x14ac:dyDescent="0.25">
      <c r="C168" t="str">
        <f>Tokens!C168</f>
        <v>In Casa #5</v>
      </c>
      <c r="D168" t="str">
        <f>Tokens!BJ168</f>
        <v>In Casa</v>
      </c>
      <c r="E168" t="str">
        <f>IF(ToMint!J168="","",ToMint!J168)</f>
        <v/>
      </c>
      <c r="F168" s="40">
        <f>Tokens!BN168</f>
        <v>100</v>
      </c>
    </row>
    <row r="169" spans="3:6" x14ac:dyDescent="0.25">
      <c r="C169" t="str">
        <f>Tokens!C169</f>
        <v>In Casa #6</v>
      </c>
      <c r="D169" t="str">
        <f>Tokens!BJ169</f>
        <v>In Casa</v>
      </c>
      <c r="E169" t="str">
        <f>IF(ToMint!J169="","",ToMint!J169)</f>
        <v/>
      </c>
      <c r="F169" s="40">
        <f>Tokens!BN169</f>
        <v>100</v>
      </c>
    </row>
    <row r="170" spans="3:6" x14ac:dyDescent="0.25">
      <c r="C170" t="str">
        <f>Tokens!C170</f>
        <v>In Casa #7</v>
      </c>
      <c r="D170" t="str">
        <f>Tokens!BJ170</f>
        <v>In Casa</v>
      </c>
      <c r="E170" t="str">
        <f>IF(ToMint!J170="","",ToMint!J170)</f>
        <v/>
      </c>
      <c r="F170" s="40">
        <f>Tokens!BN170</f>
        <v>100</v>
      </c>
    </row>
    <row r="171" spans="3:6" x14ac:dyDescent="0.25">
      <c r="C171" t="str">
        <f>Tokens!C171</f>
        <v>In Casa #8</v>
      </c>
      <c r="D171" t="str">
        <f>Tokens!BJ171</f>
        <v>In Casa</v>
      </c>
      <c r="E171" t="str">
        <f>IF(ToMint!J171="","",ToMint!J171)</f>
        <v/>
      </c>
      <c r="F171" s="40">
        <f>Tokens!BN171</f>
        <v>100</v>
      </c>
    </row>
    <row r="172" spans="3:6" x14ac:dyDescent="0.25">
      <c r="C172" t="str">
        <f>Tokens!C172</f>
        <v>In Casa #9</v>
      </c>
      <c r="D172" t="str">
        <f>Tokens!BJ172</f>
        <v>In Casa</v>
      </c>
      <c r="E172" t="str">
        <f>IF(ToMint!J172="","",ToMint!J172)</f>
        <v/>
      </c>
      <c r="F172" s="40">
        <f>Tokens!BN172</f>
        <v>100</v>
      </c>
    </row>
    <row r="173" spans="3:6" x14ac:dyDescent="0.25">
      <c r="C173" t="str">
        <f>Tokens!C173</f>
        <v>In Casa #10</v>
      </c>
      <c r="D173" t="str">
        <f>Tokens!BJ173</f>
        <v>In Casa</v>
      </c>
      <c r="E173" t="str">
        <f>IF(ToMint!J173="","",ToMint!J173)</f>
        <v/>
      </c>
      <c r="F173" s="40">
        <f>Tokens!BN173</f>
        <v>100</v>
      </c>
    </row>
    <row r="174" spans="3:6" x14ac:dyDescent="0.25">
      <c r="C174" t="str">
        <f>Tokens!C174</f>
        <v>In Casa #11</v>
      </c>
      <c r="D174" t="str">
        <f>Tokens!BJ174</f>
        <v>In Casa</v>
      </c>
      <c r="E174" t="str">
        <f>IF(ToMint!J174="","",ToMint!J174)</f>
        <v/>
      </c>
      <c r="F174" s="40">
        <f>Tokens!BN174</f>
        <v>100</v>
      </c>
    </row>
    <row r="175" spans="3:6" x14ac:dyDescent="0.25">
      <c r="C175" t="str">
        <f>Tokens!C175</f>
        <v>In Casa #12</v>
      </c>
      <c r="D175" t="str">
        <f>Tokens!BJ175</f>
        <v>In Casa</v>
      </c>
      <c r="E175" t="str">
        <f>IF(ToMint!J175="","",ToMint!J175)</f>
        <v/>
      </c>
      <c r="F175" s="40">
        <f>Tokens!BN175</f>
        <v>100</v>
      </c>
    </row>
    <row r="176" spans="3:6" x14ac:dyDescent="0.25">
      <c r="C176" t="str">
        <f>Tokens!C176</f>
        <v>In Casa #13</v>
      </c>
      <c r="D176" t="str">
        <f>Tokens!BJ176</f>
        <v>In Casa</v>
      </c>
      <c r="E176" t="str">
        <f>IF(ToMint!J176="","",ToMint!J176)</f>
        <v/>
      </c>
      <c r="F176" s="40">
        <f>Tokens!BN176</f>
        <v>100</v>
      </c>
    </row>
    <row r="177" spans="3:6" x14ac:dyDescent="0.25">
      <c r="C177" t="str">
        <f>Tokens!C177</f>
        <v>In Casa #14</v>
      </c>
      <c r="D177" t="str">
        <f>Tokens!BJ177</f>
        <v>In Casa</v>
      </c>
      <c r="E177" t="str">
        <f>IF(ToMint!J177="","",ToMint!J177)</f>
        <v/>
      </c>
      <c r="F177" s="40">
        <f>Tokens!BN177</f>
        <v>100</v>
      </c>
    </row>
    <row r="178" spans="3:6" x14ac:dyDescent="0.25">
      <c r="C178" t="str">
        <f>Tokens!C178</f>
        <v>In Casa #15</v>
      </c>
      <c r="D178" t="str">
        <f>Tokens!BJ178</f>
        <v>In Casa</v>
      </c>
      <c r="E178" t="str">
        <f>IF(ToMint!J178="","",ToMint!J178)</f>
        <v/>
      </c>
      <c r="F178" s="40">
        <f>Tokens!BN178</f>
        <v>100</v>
      </c>
    </row>
    <row r="179" spans="3:6" x14ac:dyDescent="0.25">
      <c r="C179" t="str">
        <f>Tokens!C179</f>
        <v>In Casa #16</v>
      </c>
      <c r="D179" t="str">
        <f>Tokens!BJ179</f>
        <v>In Casa</v>
      </c>
      <c r="E179" t="str">
        <f>IF(ToMint!J179="","",ToMint!J179)</f>
        <v/>
      </c>
      <c r="F179" s="40">
        <f>Tokens!BN179</f>
        <v>100</v>
      </c>
    </row>
    <row r="180" spans="3:6" x14ac:dyDescent="0.25">
      <c r="C180" t="str">
        <f>Tokens!C180</f>
        <v>In Casa #17</v>
      </c>
      <c r="D180" t="str">
        <f>Tokens!BJ180</f>
        <v>In Casa</v>
      </c>
      <c r="E180" t="str">
        <f>IF(ToMint!J180="","",ToMint!J180)</f>
        <v/>
      </c>
      <c r="F180" s="40">
        <f>Tokens!BN180</f>
        <v>100</v>
      </c>
    </row>
    <row r="181" spans="3:6" x14ac:dyDescent="0.25">
      <c r="C181" t="str">
        <f>Tokens!C181</f>
        <v>In Casa #18</v>
      </c>
      <c r="D181" t="str">
        <f>Tokens!BJ181</f>
        <v>In Casa</v>
      </c>
      <c r="E181" t="str">
        <f>IF(ToMint!J181="","",ToMint!J181)</f>
        <v/>
      </c>
      <c r="F181" s="40">
        <f>Tokens!BN181</f>
        <v>100</v>
      </c>
    </row>
    <row r="182" spans="3:6" x14ac:dyDescent="0.25">
      <c r="C182" t="str">
        <f>Tokens!C182</f>
        <v>In Casa #19</v>
      </c>
      <c r="D182" t="str">
        <f>Tokens!BJ182</f>
        <v>In Casa</v>
      </c>
      <c r="E182" t="str">
        <f>IF(ToMint!J182="","",ToMint!J182)</f>
        <v/>
      </c>
      <c r="F182" s="40">
        <f>Tokens!BN182</f>
        <v>100</v>
      </c>
    </row>
    <row r="183" spans="3:6" x14ac:dyDescent="0.25">
      <c r="C183" t="str">
        <f>Tokens!C183</f>
        <v>In Casa #20</v>
      </c>
      <c r="D183" t="str">
        <f>Tokens!BJ183</f>
        <v>In Casa</v>
      </c>
      <c r="E183" t="str">
        <f>IF(ToMint!J183="","",ToMint!J183)</f>
        <v/>
      </c>
      <c r="F183" s="40">
        <f>Tokens!BN183</f>
        <v>100</v>
      </c>
    </row>
    <row r="184" spans="3:6" x14ac:dyDescent="0.25">
      <c r="C184" t="str">
        <f>Tokens!C184</f>
        <v>In Casa #21</v>
      </c>
      <c r="D184" t="str">
        <f>Tokens!BJ184</f>
        <v>In Casa</v>
      </c>
      <c r="E184" t="str">
        <f>IF(ToMint!J184="","",ToMint!J184)</f>
        <v/>
      </c>
      <c r="F184" s="40">
        <f>Tokens!BN184</f>
        <v>100</v>
      </c>
    </row>
    <row r="185" spans="3:6" x14ac:dyDescent="0.25">
      <c r="C185" t="str">
        <f>Tokens!C185</f>
        <v>In Casa #22</v>
      </c>
      <c r="D185" t="str">
        <f>Tokens!BJ185</f>
        <v>In Casa</v>
      </c>
      <c r="E185" t="str">
        <f>IF(ToMint!J185="","",ToMint!J185)</f>
        <v/>
      </c>
      <c r="F185" s="40">
        <f>Tokens!BN185</f>
        <v>100</v>
      </c>
    </row>
    <row r="186" spans="3:6" x14ac:dyDescent="0.25">
      <c r="C186" t="str">
        <f>Tokens!C186</f>
        <v>In Casa #23</v>
      </c>
      <c r="D186" t="str">
        <f>Tokens!BJ186</f>
        <v>In Casa</v>
      </c>
      <c r="E186" t="str">
        <f>IF(ToMint!J186="","",ToMint!J186)</f>
        <v/>
      </c>
      <c r="F186" s="40">
        <f>Tokens!BN186</f>
        <v>100</v>
      </c>
    </row>
    <row r="187" spans="3:6" x14ac:dyDescent="0.25">
      <c r="C187" t="str">
        <f>Tokens!C187</f>
        <v>In Casa #24</v>
      </c>
      <c r="D187" t="str">
        <f>Tokens!BJ187</f>
        <v>In Casa</v>
      </c>
      <c r="E187" t="str">
        <f>IF(ToMint!J187="","",ToMint!J187)</f>
        <v/>
      </c>
      <c r="F187" s="40">
        <f>Tokens!BN187</f>
        <v>100</v>
      </c>
    </row>
    <row r="188" spans="3:6" x14ac:dyDescent="0.25">
      <c r="C188" t="str">
        <f>Tokens!C188</f>
        <v>In Casa #25</v>
      </c>
      <c r="D188" t="str">
        <f>Tokens!BJ188</f>
        <v>In Casa</v>
      </c>
      <c r="E188" t="str">
        <f>IF(ToMint!J188="","",ToMint!J188)</f>
        <v/>
      </c>
      <c r="F188" s="40">
        <f>Tokens!BN188</f>
        <v>100</v>
      </c>
    </row>
    <row r="189" spans="3:6" x14ac:dyDescent="0.25">
      <c r="C189" t="str">
        <f>Tokens!C189</f>
        <v>In Casa #26</v>
      </c>
      <c r="D189" t="str">
        <f>Tokens!BJ189</f>
        <v>In Casa</v>
      </c>
      <c r="E189" t="str">
        <f>IF(ToMint!J189="","",ToMint!J189)</f>
        <v/>
      </c>
      <c r="F189" s="40">
        <f>Tokens!BN189</f>
        <v>100</v>
      </c>
    </row>
    <row r="190" spans="3:6" x14ac:dyDescent="0.25">
      <c r="C190" t="str">
        <f>Tokens!C190</f>
        <v>In Casa #27</v>
      </c>
      <c r="D190" t="str">
        <f>Tokens!BJ190</f>
        <v>In Casa</v>
      </c>
      <c r="E190" t="str">
        <f>IF(ToMint!J190="","",ToMint!J190)</f>
        <v/>
      </c>
      <c r="F190" s="40">
        <f>Tokens!BN190</f>
        <v>100</v>
      </c>
    </row>
    <row r="191" spans="3:6" x14ac:dyDescent="0.25">
      <c r="C191" t="str">
        <f>Tokens!C191</f>
        <v>In Casa #28</v>
      </c>
      <c r="D191" t="str">
        <f>Tokens!BJ191</f>
        <v>In Casa</v>
      </c>
      <c r="E191" t="str">
        <f>IF(ToMint!J191="","",ToMint!J191)</f>
        <v/>
      </c>
      <c r="F191" s="40">
        <f>Tokens!BN191</f>
        <v>100</v>
      </c>
    </row>
    <row r="192" spans="3:6" x14ac:dyDescent="0.25">
      <c r="C192" t="str">
        <f>Tokens!C192</f>
        <v>In Casa #29</v>
      </c>
      <c r="D192" t="str">
        <f>Tokens!BJ192</f>
        <v>In Casa</v>
      </c>
      <c r="E192" t="str">
        <f>IF(ToMint!J192="","",ToMint!J192)</f>
        <v/>
      </c>
      <c r="F192" s="40">
        <f>Tokens!BN192</f>
        <v>100</v>
      </c>
    </row>
    <row r="193" spans="3:6" x14ac:dyDescent="0.25">
      <c r="C193" t="str">
        <f>Tokens!C193</f>
        <v>In Casa #30</v>
      </c>
      <c r="D193" t="str">
        <f>Tokens!BJ193</f>
        <v>In Casa</v>
      </c>
      <c r="E193" t="str">
        <f>IF(ToMint!J193="","",ToMint!J193)</f>
        <v/>
      </c>
      <c r="F193" s="40">
        <f>Tokens!BN193</f>
        <v>100</v>
      </c>
    </row>
    <row r="194" spans="3:6" x14ac:dyDescent="0.25">
      <c r="C194" t="str">
        <f>Tokens!C194</f>
        <v>In Casa #31</v>
      </c>
      <c r="D194" t="str">
        <f>Tokens!BJ194</f>
        <v>In Casa</v>
      </c>
      <c r="E194" t="str">
        <f>IF(ToMint!J194="","",ToMint!J194)</f>
        <v/>
      </c>
      <c r="F194" s="40">
        <f>Tokens!BN194</f>
        <v>100</v>
      </c>
    </row>
    <row r="195" spans="3:6" x14ac:dyDescent="0.25">
      <c r="C195" t="str">
        <f>Tokens!C195</f>
        <v>In Casa #32</v>
      </c>
      <c r="D195" t="str">
        <f>Tokens!BJ195</f>
        <v>In Casa</v>
      </c>
      <c r="E195" t="str">
        <f>IF(ToMint!J195="","",ToMint!J195)</f>
        <v/>
      </c>
      <c r="F195" s="40">
        <f>Tokens!BN195</f>
        <v>100</v>
      </c>
    </row>
    <row r="196" spans="3:6" x14ac:dyDescent="0.25">
      <c r="C196" t="str">
        <f>Tokens!C196</f>
        <v>In Casa #33</v>
      </c>
      <c r="D196" t="str">
        <f>Tokens!BJ196</f>
        <v>In Casa</v>
      </c>
      <c r="E196" t="str">
        <f>IF(ToMint!J196="","",ToMint!J196)</f>
        <v/>
      </c>
      <c r="F196" s="40">
        <f>Tokens!BN196</f>
        <v>100</v>
      </c>
    </row>
    <row r="197" spans="3:6" x14ac:dyDescent="0.25">
      <c r="C197" t="str">
        <f>Tokens!C197</f>
        <v>In Casa #34</v>
      </c>
      <c r="D197" t="str">
        <f>Tokens!BJ197</f>
        <v>In Casa</v>
      </c>
      <c r="E197" t="str">
        <f>IF(ToMint!J197="","",ToMint!J197)</f>
        <v/>
      </c>
      <c r="F197" s="40">
        <f>Tokens!BN197</f>
        <v>100</v>
      </c>
    </row>
    <row r="198" spans="3:6" x14ac:dyDescent="0.25">
      <c r="C198" t="str">
        <f>Tokens!C198</f>
        <v>In Casa #35</v>
      </c>
      <c r="D198" t="str">
        <f>Tokens!BJ198</f>
        <v>In Casa</v>
      </c>
      <c r="E198" t="str">
        <f>IF(ToMint!J198="","",ToMint!J198)</f>
        <v/>
      </c>
      <c r="F198" s="40">
        <f>Tokens!BN198</f>
        <v>100</v>
      </c>
    </row>
    <row r="199" spans="3:6" x14ac:dyDescent="0.25">
      <c r="C199" t="str">
        <f>Tokens!C199</f>
        <v>In Casa #36</v>
      </c>
      <c r="D199" t="str">
        <f>Tokens!BJ199</f>
        <v>In Casa</v>
      </c>
      <c r="E199" t="str">
        <f>IF(ToMint!J199="","",ToMint!J199)</f>
        <v/>
      </c>
      <c r="F199" s="40">
        <f>Tokens!BN199</f>
        <v>100</v>
      </c>
    </row>
    <row r="200" spans="3:6" x14ac:dyDescent="0.25">
      <c r="C200" t="str">
        <f>Tokens!C200</f>
        <v>In Casa #37</v>
      </c>
      <c r="D200" t="str">
        <f>Tokens!BJ200</f>
        <v>In Casa</v>
      </c>
      <c r="E200" t="str">
        <f>IF(ToMint!J200="","",ToMint!J200)</f>
        <v/>
      </c>
      <c r="F200" s="40">
        <f>Tokens!BN200</f>
        <v>100</v>
      </c>
    </row>
    <row r="201" spans="3:6" x14ac:dyDescent="0.25">
      <c r="C201" t="str">
        <f>Tokens!C201</f>
        <v>In Casa #38</v>
      </c>
      <c r="D201" t="str">
        <f>Tokens!BJ201</f>
        <v>In Casa</v>
      </c>
      <c r="E201" t="str">
        <f>IF(ToMint!J201="","",ToMint!J201)</f>
        <v/>
      </c>
      <c r="F201" s="40">
        <f>Tokens!BN201</f>
        <v>100</v>
      </c>
    </row>
    <row r="202" spans="3:6" x14ac:dyDescent="0.25">
      <c r="C202" t="str">
        <f>Tokens!C202</f>
        <v>In Casa #39</v>
      </c>
      <c r="D202" t="str">
        <f>Tokens!BJ202</f>
        <v>In Casa</v>
      </c>
      <c r="E202" t="str">
        <f>IF(ToMint!J202="","",ToMint!J202)</f>
        <v/>
      </c>
      <c r="F202" s="40">
        <f>Tokens!BN202</f>
        <v>100</v>
      </c>
    </row>
    <row r="203" spans="3:6" x14ac:dyDescent="0.25">
      <c r="C203" t="str">
        <f>Tokens!C203</f>
        <v>In Casa #40</v>
      </c>
      <c r="D203" t="str">
        <f>Tokens!BJ203</f>
        <v>In Casa</v>
      </c>
      <c r="E203" t="str">
        <f>IF(ToMint!J203="","",ToMint!J203)</f>
        <v/>
      </c>
      <c r="F203" s="40">
        <f>Tokens!BN203</f>
        <v>100</v>
      </c>
    </row>
    <row r="204" spans="3:6" x14ac:dyDescent="0.25">
      <c r="C204" t="str">
        <f>Tokens!C204</f>
        <v>In Casa #41</v>
      </c>
      <c r="D204" t="str">
        <f>Tokens!BJ204</f>
        <v>In Casa</v>
      </c>
      <c r="E204" t="str">
        <f>IF(ToMint!J204="","",ToMint!J204)</f>
        <v/>
      </c>
      <c r="F204" s="40">
        <f>Tokens!BN204</f>
        <v>100</v>
      </c>
    </row>
    <row r="205" spans="3:6" x14ac:dyDescent="0.25">
      <c r="C205" t="str">
        <f>Tokens!C205</f>
        <v>In Casa #42</v>
      </c>
      <c r="D205" t="str">
        <f>Tokens!BJ205</f>
        <v>In Casa</v>
      </c>
      <c r="E205" t="str">
        <f>IF(ToMint!J205="","",ToMint!J205)</f>
        <v/>
      </c>
      <c r="F205" s="40">
        <f>Tokens!BN205</f>
        <v>100</v>
      </c>
    </row>
    <row r="206" spans="3:6" x14ac:dyDescent="0.25">
      <c r="C206" t="str">
        <f>Tokens!C206</f>
        <v>In Casa #43</v>
      </c>
      <c r="D206" t="str">
        <f>Tokens!BJ206</f>
        <v>In Casa</v>
      </c>
      <c r="E206" t="str">
        <f>IF(ToMint!J206="","",ToMint!J206)</f>
        <v/>
      </c>
      <c r="F206" s="40">
        <f>Tokens!BN206</f>
        <v>100</v>
      </c>
    </row>
    <row r="207" spans="3:6" x14ac:dyDescent="0.25">
      <c r="C207" t="str">
        <f>Tokens!C207</f>
        <v>In Casa #44</v>
      </c>
      <c r="D207" t="str">
        <f>Tokens!BJ207</f>
        <v>In Casa</v>
      </c>
      <c r="E207" t="str">
        <f>IF(ToMint!J207="","",ToMint!J207)</f>
        <v/>
      </c>
      <c r="F207" s="40">
        <f>Tokens!BN207</f>
        <v>100</v>
      </c>
    </row>
    <row r="208" spans="3:6" x14ac:dyDescent="0.25">
      <c r="C208" t="str">
        <f>Tokens!C208</f>
        <v>In Casa #45</v>
      </c>
      <c r="D208" t="str">
        <f>Tokens!BJ208</f>
        <v>In Casa</v>
      </c>
      <c r="E208" t="str">
        <f>IF(ToMint!J208="","",ToMint!J208)</f>
        <v/>
      </c>
      <c r="F208" s="40">
        <f>Tokens!BN208</f>
        <v>100</v>
      </c>
    </row>
    <row r="209" spans="3:6" x14ac:dyDescent="0.25">
      <c r="C209" t="str">
        <f>Tokens!C209</f>
        <v>In Casa #46</v>
      </c>
      <c r="D209" t="str">
        <f>Tokens!BJ209</f>
        <v>In Casa</v>
      </c>
      <c r="E209" t="str">
        <f>IF(ToMint!J209="","",ToMint!J209)</f>
        <v/>
      </c>
      <c r="F209" s="40">
        <f>Tokens!BN209</f>
        <v>100</v>
      </c>
    </row>
    <row r="210" spans="3:6" x14ac:dyDescent="0.25">
      <c r="C210" t="str">
        <f>Tokens!C210</f>
        <v>In Casa #47</v>
      </c>
      <c r="D210" t="str">
        <f>Tokens!BJ210</f>
        <v>In Casa</v>
      </c>
      <c r="E210" t="str">
        <f>IF(ToMint!J210="","",ToMint!J210)</f>
        <v/>
      </c>
      <c r="F210" s="40">
        <f>Tokens!BN210</f>
        <v>100</v>
      </c>
    </row>
    <row r="211" spans="3:6" x14ac:dyDescent="0.25">
      <c r="C211" t="str">
        <f>Tokens!C211</f>
        <v>In Casa #48</v>
      </c>
      <c r="D211" t="str">
        <f>Tokens!BJ211</f>
        <v>In Casa</v>
      </c>
      <c r="E211" t="str">
        <f>IF(ToMint!J211="","",ToMint!J211)</f>
        <v/>
      </c>
      <c r="F211" s="40">
        <f>Tokens!BN211</f>
        <v>100</v>
      </c>
    </row>
    <row r="212" spans="3:6" x14ac:dyDescent="0.25">
      <c r="C212" t="str">
        <f>Tokens!C212</f>
        <v>In Casa #49</v>
      </c>
      <c r="D212" t="str">
        <f>Tokens!BJ212</f>
        <v>In Casa</v>
      </c>
      <c r="E212" t="str">
        <f>IF(ToMint!J212="","",ToMint!J212)</f>
        <v/>
      </c>
      <c r="F212" s="40">
        <f>Tokens!BN212</f>
        <v>100</v>
      </c>
    </row>
    <row r="213" spans="3:6" x14ac:dyDescent="0.25">
      <c r="C213" t="str">
        <f>Tokens!C213</f>
        <v>In Casa #50</v>
      </c>
      <c r="D213" t="str">
        <f>Tokens!BJ213</f>
        <v>In Casa</v>
      </c>
      <c r="E213" t="str">
        <f>IF(ToMint!J213="","",ToMint!J213)</f>
        <v/>
      </c>
      <c r="F213" s="40">
        <f>Tokens!BN213</f>
        <v>100</v>
      </c>
    </row>
    <row r="214" spans="3:6" x14ac:dyDescent="0.25">
      <c r="C214" t="str">
        <f>Tokens!C214</f>
        <v>In Casa #51</v>
      </c>
      <c r="D214" t="str">
        <f>Tokens!BJ214</f>
        <v>In Casa</v>
      </c>
      <c r="E214" t="str">
        <f>IF(ToMint!J214="","",ToMint!J214)</f>
        <v/>
      </c>
      <c r="F214" s="40">
        <f>Tokens!BN214</f>
        <v>100</v>
      </c>
    </row>
    <row r="215" spans="3:6" x14ac:dyDescent="0.25">
      <c r="C215" t="str">
        <f>Tokens!C215</f>
        <v>In Casa #52</v>
      </c>
      <c r="D215" t="str">
        <f>Tokens!BJ215</f>
        <v>In Casa</v>
      </c>
      <c r="E215" t="str">
        <f>IF(ToMint!J215="","",ToMint!J215)</f>
        <v/>
      </c>
      <c r="F215" s="40">
        <f>Tokens!BN215</f>
        <v>100</v>
      </c>
    </row>
    <row r="216" spans="3:6" x14ac:dyDescent="0.25">
      <c r="C216" t="str">
        <f>Tokens!C216</f>
        <v>In Casa #53</v>
      </c>
      <c r="D216" t="str">
        <f>Tokens!BJ216</f>
        <v>In Casa</v>
      </c>
      <c r="E216" t="str">
        <f>IF(ToMint!J216="","",ToMint!J216)</f>
        <v/>
      </c>
      <c r="F216" s="40">
        <f>Tokens!BN216</f>
        <v>100</v>
      </c>
    </row>
    <row r="217" spans="3:6" x14ac:dyDescent="0.25">
      <c r="C217" t="str">
        <f>Tokens!C217</f>
        <v>In Casa #54</v>
      </c>
      <c r="D217" t="str">
        <f>Tokens!BJ217</f>
        <v>In Casa</v>
      </c>
      <c r="E217" t="str">
        <f>IF(ToMint!J217="","",ToMint!J217)</f>
        <v/>
      </c>
      <c r="F217" s="40">
        <f>Tokens!BN217</f>
        <v>100</v>
      </c>
    </row>
    <row r="218" spans="3:6" x14ac:dyDescent="0.25">
      <c r="C218" t="str">
        <f>Tokens!C218</f>
        <v>In Casa #55</v>
      </c>
      <c r="D218" t="str">
        <f>Tokens!BJ218</f>
        <v>In Casa</v>
      </c>
      <c r="E218" t="str">
        <f>IF(ToMint!J218="","",ToMint!J218)</f>
        <v/>
      </c>
      <c r="F218" s="40">
        <f>Tokens!BN218</f>
        <v>100</v>
      </c>
    </row>
    <row r="219" spans="3:6" x14ac:dyDescent="0.25">
      <c r="C219" t="str">
        <f>Tokens!C219</f>
        <v>In Casa #56</v>
      </c>
      <c r="D219" t="str">
        <f>Tokens!BJ219</f>
        <v>In Casa</v>
      </c>
      <c r="E219" t="str">
        <f>IF(ToMint!J219="","",ToMint!J219)</f>
        <v/>
      </c>
      <c r="F219" s="40">
        <f>Tokens!BN219</f>
        <v>100</v>
      </c>
    </row>
    <row r="220" spans="3:6" x14ac:dyDescent="0.25">
      <c r="C220" t="str">
        <f>Tokens!C220</f>
        <v>In Casa #57</v>
      </c>
      <c r="D220" t="str">
        <f>Tokens!BJ220</f>
        <v>In Casa</v>
      </c>
      <c r="E220" t="str">
        <f>IF(ToMint!J220="","",ToMint!J220)</f>
        <v/>
      </c>
      <c r="F220" s="40">
        <f>Tokens!BN220</f>
        <v>100</v>
      </c>
    </row>
    <row r="221" spans="3:6" x14ac:dyDescent="0.25">
      <c r="C221" t="str">
        <f>Tokens!C221</f>
        <v>In Casa #58</v>
      </c>
      <c r="D221" t="str">
        <f>Tokens!BJ221</f>
        <v>In Casa</v>
      </c>
      <c r="E221" t="str">
        <f>IF(ToMint!J221="","",ToMint!J221)</f>
        <v/>
      </c>
      <c r="F221" s="40">
        <f>Tokens!BN221</f>
        <v>100</v>
      </c>
    </row>
    <row r="222" spans="3:6" x14ac:dyDescent="0.25">
      <c r="C222" t="str">
        <f>Tokens!C222</f>
        <v>In Casa #59</v>
      </c>
      <c r="D222" t="str">
        <f>Tokens!BJ222</f>
        <v>In Casa</v>
      </c>
      <c r="E222" t="str">
        <f>IF(ToMint!J222="","",ToMint!J222)</f>
        <v/>
      </c>
      <c r="F222" s="40">
        <f>Tokens!BN222</f>
        <v>100</v>
      </c>
    </row>
    <row r="223" spans="3:6" x14ac:dyDescent="0.25">
      <c r="C223" t="str">
        <f>Tokens!C223</f>
        <v>In Casa #60</v>
      </c>
      <c r="D223" t="str">
        <f>Tokens!BJ223</f>
        <v>In Casa</v>
      </c>
      <c r="E223" t="str">
        <f>IF(ToMint!J223="","",ToMint!J223)</f>
        <v/>
      </c>
      <c r="F223" s="40">
        <f>Tokens!BN223</f>
        <v>100</v>
      </c>
    </row>
    <row r="224" spans="3:6" x14ac:dyDescent="0.25">
      <c r="C224" t="str">
        <f>Tokens!C224</f>
        <v>In Casa #61</v>
      </c>
      <c r="D224" t="str">
        <f>Tokens!BJ224</f>
        <v>In Casa</v>
      </c>
      <c r="E224" t="str">
        <f>IF(ToMint!J224="","",ToMint!J224)</f>
        <v/>
      </c>
      <c r="F224" s="40">
        <f>Tokens!BN224</f>
        <v>100</v>
      </c>
    </row>
    <row r="225" spans="3:6" x14ac:dyDescent="0.25">
      <c r="C225" t="str">
        <f>Tokens!C225</f>
        <v>In Casa #62</v>
      </c>
      <c r="D225" t="str">
        <f>Tokens!BJ225</f>
        <v>In Casa</v>
      </c>
      <c r="E225" t="str">
        <f>IF(ToMint!J225="","",ToMint!J225)</f>
        <v/>
      </c>
      <c r="F225" s="40">
        <f>Tokens!BN225</f>
        <v>100</v>
      </c>
    </row>
    <row r="226" spans="3:6" x14ac:dyDescent="0.25">
      <c r="C226" t="str">
        <f>Tokens!C226</f>
        <v>In Casa #63</v>
      </c>
      <c r="D226" t="str">
        <f>Tokens!BJ226</f>
        <v>In Casa</v>
      </c>
      <c r="E226" t="str">
        <f>IF(ToMint!J226="","",ToMint!J226)</f>
        <v/>
      </c>
      <c r="F226" s="40">
        <f>Tokens!BN226</f>
        <v>100</v>
      </c>
    </row>
    <row r="227" spans="3:6" x14ac:dyDescent="0.25">
      <c r="C227" t="str">
        <f>Tokens!C227</f>
        <v>In Casa #64</v>
      </c>
      <c r="D227" t="str">
        <f>Tokens!BJ227</f>
        <v>In Casa</v>
      </c>
      <c r="E227" t="str">
        <f>IF(ToMint!J227="","",ToMint!J227)</f>
        <v/>
      </c>
      <c r="F227" s="40">
        <f>Tokens!BN227</f>
        <v>100</v>
      </c>
    </row>
    <row r="228" spans="3:6" x14ac:dyDescent="0.25">
      <c r="C228" t="str">
        <f>Tokens!C228</f>
        <v>In Casa #65</v>
      </c>
      <c r="D228" t="str">
        <f>Tokens!BJ228</f>
        <v>In Casa</v>
      </c>
      <c r="E228" t="str">
        <f>IF(ToMint!J228="","",ToMint!J228)</f>
        <v/>
      </c>
      <c r="F228" s="40">
        <f>Tokens!BN228</f>
        <v>100</v>
      </c>
    </row>
    <row r="229" spans="3:6" x14ac:dyDescent="0.25">
      <c r="C229" t="str">
        <f>Tokens!C229</f>
        <v>In Casa #66</v>
      </c>
      <c r="D229" t="str">
        <f>Tokens!BJ229</f>
        <v>In Casa</v>
      </c>
      <c r="E229" t="str">
        <f>IF(ToMint!J229="","",ToMint!J229)</f>
        <v/>
      </c>
      <c r="F229" s="40">
        <f>Tokens!BN229</f>
        <v>100</v>
      </c>
    </row>
    <row r="230" spans="3:6" x14ac:dyDescent="0.25">
      <c r="C230" t="str">
        <f>Tokens!C230</f>
        <v>In Casa #67</v>
      </c>
      <c r="D230" t="str">
        <f>Tokens!BJ230</f>
        <v>In Casa</v>
      </c>
      <c r="E230" t="str">
        <f>IF(ToMint!J230="","",ToMint!J230)</f>
        <v/>
      </c>
      <c r="F230" s="40">
        <f>Tokens!BN230</f>
        <v>100</v>
      </c>
    </row>
    <row r="231" spans="3:6" x14ac:dyDescent="0.25">
      <c r="C231" t="str">
        <f>Tokens!C231</f>
        <v>In Casa #68</v>
      </c>
      <c r="D231" t="str">
        <f>Tokens!BJ231</f>
        <v>In Casa</v>
      </c>
      <c r="E231" t="str">
        <f>IF(ToMint!J231="","",ToMint!J231)</f>
        <v/>
      </c>
      <c r="F231" s="40">
        <f>Tokens!BN231</f>
        <v>100</v>
      </c>
    </row>
    <row r="232" spans="3:6" x14ac:dyDescent="0.25">
      <c r="C232" t="str">
        <f>Tokens!C232</f>
        <v>In Casa #69</v>
      </c>
      <c r="D232" t="str">
        <f>Tokens!BJ232</f>
        <v>In Casa</v>
      </c>
      <c r="E232" t="str">
        <f>IF(ToMint!J232="","",ToMint!J232)</f>
        <v/>
      </c>
      <c r="F232" s="40">
        <f>Tokens!BN232</f>
        <v>100</v>
      </c>
    </row>
    <row r="233" spans="3:6" x14ac:dyDescent="0.25">
      <c r="C233" t="str">
        <f>Tokens!C233</f>
        <v>In Casa #70</v>
      </c>
      <c r="D233" t="str">
        <f>Tokens!BJ233</f>
        <v>In Casa</v>
      </c>
      <c r="E233" t="str">
        <f>IF(ToMint!J233="","",ToMint!J233)</f>
        <v/>
      </c>
      <c r="F233" s="40">
        <f>Tokens!BN233</f>
        <v>100</v>
      </c>
    </row>
    <row r="234" spans="3:6" x14ac:dyDescent="0.25">
      <c r="C234" t="str">
        <f>Tokens!C234</f>
        <v>In Casa #71</v>
      </c>
      <c r="D234" t="str">
        <f>Tokens!BJ234</f>
        <v>In Casa</v>
      </c>
      <c r="E234" t="str">
        <f>IF(ToMint!J234="","",ToMint!J234)</f>
        <v/>
      </c>
      <c r="F234" s="40">
        <f>Tokens!BN234</f>
        <v>100</v>
      </c>
    </row>
    <row r="235" spans="3:6" x14ac:dyDescent="0.25">
      <c r="C235" t="str">
        <f>Tokens!C235</f>
        <v>In Casa #72</v>
      </c>
      <c r="D235" t="str">
        <f>Tokens!BJ235</f>
        <v>In Casa</v>
      </c>
      <c r="E235" t="str">
        <f>IF(ToMint!J235="","",ToMint!J235)</f>
        <v/>
      </c>
      <c r="F235" s="40">
        <f>Tokens!BN235</f>
        <v>100</v>
      </c>
    </row>
    <row r="236" spans="3:6" x14ac:dyDescent="0.25">
      <c r="C236" t="str">
        <f>Tokens!C236</f>
        <v>In Casa #73</v>
      </c>
      <c r="D236" t="str">
        <f>Tokens!BJ236</f>
        <v>In Casa</v>
      </c>
      <c r="E236" t="str">
        <f>IF(ToMint!J236="","",ToMint!J236)</f>
        <v/>
      </c>
      <c r="F236" s="40">
        <f>Tokens!BN236</f>
        <v>100</v>
      </c>
    </row>
    <row r="237" spans="3:6" x14ac:dyDescent="0.25">
      <c r="C237" t="str">
        <f>Tokens!C237</f>
        <v>In Casa #74</v>
      </c>
      <c r="D237" t="str">
        <f>Tokens!BJ237</f>
        <v>In Casa</v>
      </c>
      <c r="E237" t="str">
        <f>IF(ToMint!J237="","",ToMint!J237)</f>
        <v/>
      </c>
      <c r="F237" s="40">
        <f>Tokens!BN237</f>
        <v>100</v>
      </c>
    </row>
    <row r="238" spans="3:6" x14ac:dyDescent="0.25">
      <c r="C238" t="str">
        <f>Tokens!C238</f>
        <v>In Casa #75</v>
      </c>
      <c r="D238" t="str">
        <f>Tokens!BJ238</f>
        <v>In Casa</v>
      </c>
      <c r="E238" t="str">
        <f>IF(ToMint!J238="","",ToMint!J238)</f>
        <v/>
      </c>
      <c r="F238" s="40">
        <f>Tokens!BN238</f>
        <v>100</v>
      </c>
    </row>
    <row r="239" spans="3:6" x14ac:dyDescent="0.25">
      <c r="C239" t="str">
        <f>Tokens!C239</f>
        <v>In Casa #76</v>
      </c>
      <c r="D239" t="str">
        <f>Tokens!BJ239</f>
        <v>In Casa</v>
      </c>
      <c r="E239" t="str">
        <f>IF(ToMint!J239="","",ToMint!J239)</f>
        <v/>
      </c>
      <c r="F239" s="40">
        <f>Tokens!BN239</f>
        <v>100</v>
      </c>
    </row>
    <row r="240" spans="3:6" x14ac:dyDescent="0.25">
      <c r="C240" t="str">
        <f>Tokens!C240</f>
        <v>In Casa #77</v>
      </c>
      <c r="D240" t="str">
        <f>Tokens!BJ240</f>
        <v>In Casa</v>
      </c>
      <c r="E240" t="str">
        <f>IF(ToMint!J240="","",ToMint!J240)</f>
        <v/>
      </c>
      <c r="F240" s="40">
        <f>Tokens!BN240</f>
        <v>100</v>
      </c>
    </row>
    <row r="241" spans="3:6" x14ac:dyDescent="0.25">
      <c r="C241" t="str">
        <f>Tokens!C241</f>
        <v>In Casa #78</v>
      </c>
      <c r="D241" t="str">
        <f>Tokens!BJ241</f>
        <v>In Casa</v>
      </c>
      <c r="E241" t="str">
        <f>IF(ToMint!J241="","",ToMint!J241)</f>
        <v/>
      </c>
      <c r="F241" s="40">
        <f>Tokens!BN241</f>
        <v>100</v>
      </c>
    </row>
    <row r="242" spans="3:6" x14ac:dyDescent="0.25">
      <c r="C242" t="str">
        <f>Tokens!C242</f>
        <v>In Casa #79</v>
      </c>
      <c r="D242" t="str">
        <f>Tokens!BJ242</f>
        <v>In Casa</v>
      </c>
      <c r="E242" t="str">
        <f>IF(ToMint!J242="","",ToMint!J242)</f>
        <v/>
      </c>
      <c r="F242" s="40">
        <f>Tokens!BN242</f>
        <v>100</v>
      </c>
    </row>
    <row r="243" spans="3:6" x14ac:dyDescent="0.25">
      <c r="C243" t="str">
        <f>Tokens!C243</f>
        <v>In Casa #80</v>
      </c>
      <c r="D243" t="str">
        <f>Tokens!BJ243</f>
        <v>In Casa</v>
      </c>
      <c r="E243" t="str">
        <f>IF(ToMint!J243="","",ToMint!J243)</f>
        <v/>
      </c>
      <c r="F243" s="40">
        <f>Tokens!BN243</f>
        <v>100</v>
      </c>
    </row>
    <row r="244" spans="3:6" x14ac:dyDescent="0.25">
      <c r="C244" t="str">
        <f>Tokens!C244</f>
        <v>In Casa #81</v>
      </c>
      <c r="D244" t="str">
        <f>Tokens!BJ244</f>
        <v>In Casa</v>
      </c>
      <c r="E244" t="str">
        <f>IF(ToMint!J244="","",ToMint!J244)</f>
        <v/>
      </c>
      <c r="F244" s="40">
        <f>Tokens!BN244</f>
        <v>100</v>
      </c>
    </row>
    <row r="245" spans="3:6" x14ac:dyDescent="0.25">
      <c r="C245" t="str">
        <f>Tokens!C245</f>
        <v>In Casa #82</v>
      </c>
      <c r="D245" t="str">
        <f>Tokens!BJ245</f>
        <v>In Casa</v>
      </c>
      <c r="E245" t="str">
        <f>IF(ToMint!J245="","",ToMint!J245)</f>
        <v/>
      </c>
      <c r="F245" s="40">
        <f>Tokens!BN245</f>
        <v>100</v>
      </c>
    </row>
    <row r="246" spans="3:6" x14ac:dyDescent="0.25">
      <c r="C246" t="str">
        <f>Tokens!C246</f>
        <v>In Casa #83</v>
      </c>
      <c r="D246" t="str">
        <f>Tokens!BJ246</f>
        <v>In Casa</v>
      </c>
      <c r="E246" t="str">
        <f>IF(ToMint!J246="","",ToMint!J246)</f>
        <v/>
      </c>
      <c r="F246" s="40">
        <f>Tokens!BN246</f>
        <v>100</v>
      </c>
    </row>
    <row r="247" spans="3:6" x14ac:dyDescent="0.25">
      <c r="C247" t="str">
        <f>Tokens!C247</f>
        <v>In Casa #84</v>
      </c>
      <c r="D247" t="str">
        <f>Tokens!BJ247</f>
        <v>In Casa</v>
      </c>
      <c r="E247" t="str">
        <f>IF(ToMint!J247="","",ToMint!J247)</f>
        <v/>
      </c>
      <c r="F247" s="40">
        <f>Tokens!BN247</f>
        <v>100</v>
      </c>
    </row>
    <row r="248" spans="3:6" x14ac:dyDescent="0.25">
      <c r="C248" t="str">
        <f>Tokens!C248</f>
        <v>In Casa #85</v>
      </c>
      <c r="D248" t="str">
        <f>Tokens!BJ248</f>
        <v>In Casa</v>
      </c>
      <c r="E248" t="str">
        <f>IF(ToMint!J248="","",ToMint!J248)</f>
        <v/>
      </c>
      <c r="F248" s="40">
        <f>Tokens!BN248</f>
        <v>100</v>
      </c>
    </row>
    <row r="249" spans="3:6" x14ac:dyDescent="0.25">
      <c r="C249" t="str">
        <f>Tokens!C249</f>
        <v>In Casa #86</v>
      </c>
      <c r="D249" t="str">
        <f>Tokens!BJ249</f>
        <v>In Casa</v>
      </c>
      <c r="E249" t="str">
        <f>IF(ToMint!J249="","",ToMint!J249)</f>
        <v/>
      </c>
      <c r="F249" s="40">
        <f>Tokens!BN249</f>
        <v>100</v>
      </c>
    </row>
    <row r="250" spans="3:6" x14ac:dyDescent="0.25">
      <c r="C250" t="str">
        <f>Tokens!C250</f>
        <v>In Casa #87</v>
      </c>
      <c r="D250" t="str">
        <f>Tokens!BJ250</f>
        <v>In Casa</v>
      </c>
      <c r="E250" t="str">
        <f>IF(ToMint!J250="","",ToMint!J250)</f>
        <v/>
      </c>
      <c r="F250" s="40">
        <f>Tokens!BN250</f>
        <v>100</v>
      </c>
    </row>
    <row r="251" spans="3:6" x14ac:dyDescent="0.25">
      <c r="C251" t="str">
        <f>Tokens!C251</f>
        <v>In Casa #88</v>
      </c>
      <c r="D251" t="str">
        <f>Tokens!BJ251</f>
        <v>In Casa</v>
      </c>
      <c r="E251" t="str">
        <f>IF(ToMint!J251="","",ToMint!J251)</f>
        <v/>
      </c>
      <c r="F251" s="40">
        <f>Tokens!BN251</f>
        <v>100</v>
      </c>
    </row>
    <row r="252" spans="3:6" x14ac:dyDescent="0.25">
      <c r="C252" t="str">
        <f>Tokens!C252</f>
        <v>In Casa #89</v>
      </c>
      <c r="D252" t="str">
        <f>Tokens!BJ252</f>
        <v>In Casa</v>
      </c>
      <c r="E252" t="str">
        <f>IF(ToMint!J252="","",ToMint!J252)</f>
        <v/>
      </c>
      <c r="F252" s="40">
        <f>Tokens!BN252</f>
        <v>100</v>
      </c>
    </row>
    <row r="253" spans="3:6" x14ac:dyDescent="0.25">
      <c r="C253" t="str">
        <f>Tokens!C253</f>
        <v>In Casa #90</v>
      </c>
      <c r="D253" t="str">
        <f>Tokens!BJ253</f>
        <v>In Casa</v>
      </c>
      <c r="E253" t="str">
        <f>IF(ToMint!J253="","",ToMint!J253)</f>
        <v/>
      </c>
      <c r="F253" s="40">
        <f>Tokens!BN253</f>
        <v>100</v>
      </c>
    </row>
    <row r="254" spans="3:6" x14ac:dyDescent="0.25">
      <c r="C254" t="str">
        <f>Tokens!C254</f>
        <v>In Casa #91</v>
      </c>
      <c r="D254" t="str">
        <f>Tokens!BJ254</f>
        <v>In Casa</v>
      </c>
      <c r="E254" t="str">
        <f>IF(ToMint!J254="","",ToMint!J254)</f>
        <v/>
      </c>
      <c r="F254" s="40">
        <f>Tokens!BN254</f>
        <v>100</v>
      </c>
    </row>
    <row r="255" spans="3:6" x14ac:dyDescent="0.25">
      <c r="C255" t="str">
        <f>Tokens!C255</f>
        <v>In Casa #92</v>
      </c>
      <c r="D255" t="str">
        <f>Tokens!BJ255</f>
        <v>In Casa</v>
      </c>
      <c r="E255" t="str">
        <f>IF(ToMint!J255="","",ToMint!J255)</f>
        <v/>
      </c>
      <c r="F255" s="40">
        <f>Tokens!BN255</f>
        <v>100</v>
      </c>
    </row>
    <row r="256" spans="3:6" x14ac:dyDescent="0.25">
      <c r="C256" t="str">
        <f>Tokens!C256</f>
        <v>In Casa #93</v>
      </c>
      <c r="D256" t="str">
        <f>Tokens!BJ256</f>
        <v>In Casa</v>
      </c>
      <c r="E256" t="str">
        <f>IF(ToMint!J256="","",ToMint!J256)</f>
        <v/>
      </c>
      <c r="F256" s="40">
        <f>Tokens!BN256</f>
        <v>100</v>
      </c>
    </row>
    <row r="257" spans="3:6" x14ac:dyDescent="0.25">
      <c r="C257" t="str">
        <f>Tokens!C257</f>
        <v>In Casa #94</v>
      </c>
      <c r="D257" t="str">
        <f>Tokens!BJ257</f>
        <v>In Casa</v>
      </c>
      <c r="E257" t="str">
        <f>IF(ToMint!J257="","",ToMint!J257)</f>
        <v/>
      </c>
      <c r="F257" s="40">
        <f>Tokens!BN257</f>
        <v>100</v>
      </c>
    </row>
    <row r="258" spans="3:6" x14ac:dyDescent="0.25">
      <c r="C258" t="str">
        <f>Tokens!C258</f>
        <v>In Casa #95</v>
      </c>
      <c r="D258" t="str">
        <f>Tokens!BJ258</f>
        <v>In Casa</v>
      </c>
      <c r="E258" t="str">
        <f>IF(ToMint!J258="","",ToMint!J258)</f>
        <v/>
      </c>
      <c r="F258" s="40">
        <f>Tokens!BN258</f>
        <v>100</v>
      </c>
    </row>
    <row r="259" spans="3:6" x14ac:dyDescent="0.25">
      <c r="C259" t="str">
        <f>Tokens!C259</f>
        <v>In Casa #96</v>
      </c>
      <c r="D259" t="str">
        <f>Tokens!BJ259</f>
        <v>In Casa</v>
      </c>
      <c r="E259" t="str">
        <f>IF(ToMint!J259="","",ToMint!J259)</f>
        <v/>
      </c>
      <c r="F259" s="40">
        <f>Tokens!BN259</f>
        <v>100</v>
      </c>
    </row>
    <row r="260" spans="3:6" x14ac:dyDescent="0.25">
      <c r="C260" t="str">
        <f>Tokens!C260</f>
        <v>In Casa #97</v>
      </c>
      <c r="D260" t="str">
        <f>Tokens!BJ260</f>
        <v>In Casa</v>
      </c>
      <c r="E260" t="str">
        <f>IF(ToMint!J260="","",ToMint!J260)</f>
        <v/>
      </c>
      <c r="F260" s="40">
        <f>Tokens!BN260</f>
        <v>100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N8"/>
  <sheetViews>
    <sheetView workbookViewId="0">
      <selection activeCell="B1" sqref="B1"/>
    </sheetView>
  </sheetViews>
  <sheetFormatPr baseColWidth="10" defaultColWidth="11.42578125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0" width="11.42578125" style="27"/>
    <col min="11" max="11" width="24.85546875" style="27" customWidth="1"/>
    <col min="12" max="12" width="11.42578125" style="27"/>
    <col min="13" max="14" width="18.140625" style="27" bestFit="1" customWidth="1"/>
    <col min="15" max="16384" width="11.42578125" style="27"/>
  </cols>
  <sheetData>
    <row r="1" spans="1:14" x14ac:dyDescent="0.3">
      <c r="A1" s="45" t="s">
        <v>20</v>
      </c>
      <c r="B1" s="28" t="s">
        <v>26</v>
      </c>
      <c r="C1" s="46" t="str">
        <f>HYPERLINK(B1,"Ouvrir")</f>
        <v>Ouvrir</v>
      </c>
      <c r="G1" s="47" t="s">
        <v>68</v>
      </c>
      <c r="H1" s="47" t="s">
        <v>25</v>
      </c>
      <c r="I1" s="47" t="s">
        <v>21</v>
      </c>
      <c r="J1" s="47" t="s">
        <v>28</v>
      </c>
      <c r="K1" s="47" t="s">
        <v>60</v>
      </c>
      <c r="L1" s="47" t="s">
        <v>83</v>
      </c>
      <c r="M1" s="47" t="s">
        <v>358</v>
      </c>
      <c r="N1" s="47" t="s">
        <v>368</v>
      </c>
    </row>
    <row r="2" spans="1:14" x14ac:dyDescent="0.3">
      <c r="A2" s="45"/>
      <c r="G2" s="46" t="s">
        <v>69</v>
      </c>
      <c r="H2" s="46" t="s">
        <v>26</v>
      </c>
      <c r="I2" s="27" t="s">
        <v>158</v>
      </c>
      <c r="J2" s="27" t="s">
        <v>29</v>
      </c>
      <c r="K2" s="27" t="s">
        <v>61</v>
      </c>
      <c r="L2" s="27" t="s">
        <v>82</v>
      </c>
      <c r="M2" s="27" t="s">
        <v>359</v>
      </c>
      <c r="N2" s="27" t="s">
        <v>366</v>
      </c>
    </row>
    <row r="3" spans="1:14" x14ac:dyDescent="0.3">
      <c r="A3" s="45" t="s">
        <v>35</v>
      </c>
      <c r="B3" s="28">
        <v>600000</v>
      </c>
      <c r="G3" s="46" t="s">
        <v>70</v>
      </c>
      <c r="H3" s="46" t="s">
        <v>59</v>
      </c>
      <c r="I3" s="27" t="s">
        <v>159</v>
      </c>
      <c r="J3" s="27" t="s">
        <v>30</v>
      </c>
      <c r="K3" s="27" t="s">
        <v>62</v>
      </c>
      <c r="L3" s="27" t="s">
        <v>36</v>
      </c>
      <c r="M3" s="27" t="s">
        <v>9</v>
      </c>
      <c r="N3" s="27" t="s">
        <v>369</v>
      </c>
    </row>
    <row r="4" spans="1:14" x14ac:dyDescent="0.3">
      <c r="C4" s="46" t="str">
        <f>HYPERLINK("file://" &amp; ToMint!B10,"Ouvrir")</f>
        <v>Ouvrir</v>
      </c>
      <c r="I4" s="27" t="s">
        <v>160</v>
      </c>
      <c r="J4" s="27" t="s">
        <v>22</v>
      </c>
      <c r="K4" s="27" t="s">
        <v>63</v>
      </c>
      <c r="M4" s="27" t="s">
        <v>360</v>
      </c>
      <c r="N4" s="27" t="s">
        <v>370</v>
      </c>
    </row>
    <row r="5" spans="1:14" x14ac:dyDescent="0.3">
      <c r="A5" s="45" t="s">
        <v>67</v>
      </c>
      <c r="B5" s="28" t="s">
        <v>69</v>
      </c>
      <c r="C5" s="46" t="str">
        <f>HYPERLINK(B5,"Ouvrir")</f>
        <v>Ouvrir</v>
      </c>
      <c r="I5" s="27" t="s">
        <v>161</v>
      </c>
      <c r="J5" s="27" t="s">
        <v>31</v>
      </c>
      <c r="K5" s="27" t="s">
        <v>163</v>
      </c>
    </row>
    <row r="6" spans="1:14" x14ac:dyDescent="0.3">
      <c r="A6" s="45" t="s">
        <v>131</v>
      </c>
      <c r="I6" s="27" t="s">
        <v>149</v>
      </c>
      <c r="J6" s="27" t="s">
        <v>32</v>
      </c>
      <c r="K6" s="27" t="s">
        <v>355</v>
      </c>
    </row>
    <row r="7" spans="1:14" x14ac:dyDescent="0.3">
      <c r="I7" s="27" t="s">
        <v>157</v>
      </c>
      <c r="J7" s="27" t="s">
        <v>33</v>
      </c>
      <c r="K7" s="27" t="s">
        <v>357</v>
      </c>
    </row>
    <row r="8" spans="1:14" x14ac:dyDescent="0.3">
      <c r="A8" s="45" t="s">
        <v>387</v>
      </c>
      <c r="B8" s="28" t="s">
        <v>388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96</v>
      </c>
      <c r="F3" s="19" t="s">
        <v>94</v>
      </c>
      <c r="G3" s="19" t="s">
        <v>95</v>
      </c>
      <c r="H3" s="19" t="s">
        <v>97</v>
      </c>
      <c r="I3" s="19" t="s">
        <v>98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27</v>
      </c>
      <c r="B4" t="s">
        <v>29</v>
      </c>
      <c r="E4" t="s">
        <v>85</v>
      </c>
      <c r="F4" t="s">
        <v>89</v>
      </c>
      <c r="G4" t="s">
        <v>93</v>
      </c>
      <c r="H4">
        <v>1</v>
      </c>
      <c r="I4">
        <v>0</v>
      </c>
    </row>
    <row r="5" spans="1:18" x14ac:dyDescent="0.25">
      <c r="E5" t="s">
        <v>86</v>
      </c>
      <c r="F5" t="s">
        <v>90</v>
      </c>
      <c r="G5" t="s">
        <v>93</v>
      </c>
      <c r="H5">
        <v>1</v>
      </c>
      <c r="I5">
        <v>0</v>
      </c>
    </row>
    <row r="6" spans="1:18" x14ac:dyDescent="0.25">
      <c r="E6" t="s">
        <v>87</v>
      </c>
      <c r="F6" t="s">
        <v>91</v>
      </c>
      <c r="G6" t="s">
        <v>93</v>
      </c>
      <c r="H6">
        <v>1</v>
      </c>
      <c r="I6">
        <v>0</v>
      </c>
    </row>
    <row r="7" spans="1:18" x14ac:dyDescent="0.25">
      <c r="E7" t="s">
        <v>88</v>
      </c>
      <c r="F7" t="s">
        <v>92</v>
      </c>
      <c r="G7" t="s">
        <v>93</v>
      </c>
      <c r="H7">
        <v>1</v>
      </c>
      <c r="I7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Tokens</vt:lpstr>
      <vt:lpstr>ToExport</vt:lpstr>
      <vt:lpstr>ToMint</vt:lpstr>
      <vt:lpstr>Validate</vt:lpstr>
      <vt:lpstr>Mise en vente</vt:lpstr>
      <vt:lpstr>Settings</vt:lpstr>
      <vt:lpstr>Explorer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2022-06-03T10:16:21Z</dcterms:modified>
</cp:coreProperties>
</file>
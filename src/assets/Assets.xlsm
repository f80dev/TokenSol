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A1EC1E9A-ECDC-42D5-874B-302DBA3C9C4B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s" sheetId="1" r:id="rId1"/>
    <sheet name="ToMint" sheetId="2" r:id="rId2"/>
    <sheet name="View Token" sheetId="4" r:id="rId3"/>
    <sheet name="Settin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4" i="2" l="1"/>
  <c r="E4" i="2" l="1"/>
  <c r="E7" i="2"/>
  <c r="E12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4" i="2"/>
  <c r="L73" i="2"/>
  <c r="L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W31" i="2"/>
  <c r="Y24" i="2"/>
  <c r="V65" i="2"/>
  <c r="X17" i="2"/>
  <c r="AC8" i="2"/>
  <c r="V71" i="2"/>
  <c r="V15" i="2"/>
  <c r="W54" i="2"/>
  <c r="W17" i="2"/>
  <c r="V53" i="2"/>
  <c r="V59" i="2"/>
  <c r="V51" i="2"/>
  <c r="AC25" i="2"/>
  <c r="X54" i="2"/>
  <c r="X23" i="2"/>
  <c r="X63" i="2"/>
  <c r="W47" i="2"/>
  <c r="X28" i="2"/>
  <c r="Y42" i="2"/>
  <c r="Y41" i="2"/>
  <c r="Y40" i="2"/>
  <c r="W24" i="2"/>
  <c r="V4" i="2"/>
  <c r="AC15" i="2"/>
  <c r="X27" i="2"/>
  <c r="Y15" i="2"/>
  <c r="V63" i="2"/>
  <c r="AC44" i="2"/>
  <c r="X13" i="2"/>
  <c r="Y59" i="2"/>
  <c r="V52" i="2"/>
  <c r="Y61" i="2"/>
  <c r="AC34" i="2"/>
  <c r="V62" i="2"/>
  <c r="Y36" i="2"/>
  <c r="X15" i="2"/>
  <c r="Y52" i="2"/>
  <c r="Y23" i="2"/>
  <c r="Y16" i="2"/>
  <c r="AC53" i="2"/>
  <c r="W63" i="2"/>
  <c r="AC22" i="2"/>
  <c r="V31" i="2"/>
  <c r="Y8" i="2"/>
  <c r="W34" i="2"/>
  <c r="Y38" i="2"/>
  <c r="X43" i="2"/>
  <c r="Y21" i="2"/>
  <c r="Y14" i="2"/>
  <c r="AC64" i="2"/>
  <c r="V37" i="2"/>
  <c r="Y56" i="2"/>
  <c r="X11" i="2"/>
  <c r="Y35" i="2"/>
  <c r="Y20" i="2"/>
  <c r="AC38" i="2"/>
  <c r="X69" i="2"/>
  <c r="V35" i="2"/>
  <c r="W50" i="2"/>
  <c r="Y28" i="2"/>
  <c r="X6" i="2"/>
  <c r="AC6" i="2"/>
  <c r="W40" i="2"/>
  <c r="W70" i="2"/>
  <c r="V21" i="2"/>
  <c r="W22" i="2"/>
  <c r="AC52" i="2"/>
  <c r="Y64" i="2"/>
  <c r="Y57" i="2"/>
  <c r="AC31" i="2"/>
  <c r="W37" i="2"/>
  <c r="X16" i="2"/>
  <c r="W71" i="2"/>
  <c r="V70" i="2"/>
  <c r="W30" i="2"/>
  <c r="X4" i="2"/>
  <c r="W68" i="2"/>
  <c r="Y68" i="2"/>
  <c r="V40" i="2"/>
  <c r="X45" i="2"/>
  <c r="Y33" i="2"/>
  <c r="Y29" i="2"/>
  <c r="W38" i="2"/>
  <c r="X55" i="2"/>
  <c r="AC72" i="2"/>
  <c r="W55" i="2"/>
  <c r="X47" i="2"/>
  <c r="Y48" i="2"/>
  <c r="Y50" i="2"/>
  <c r="V60" i="2"/>
  <c r="V28" i="2"/>
  <c r="X59" i="2"/>
  <c r="V69" i="2"/>
  <c r="W74" i="2"/>
  <c r="X50" i="2"/>
  <c r="AC63" i="2"/>
  <c r="X37" i="2"/>
  <c r="W26" i="2"/>
  <c r="Y30" i="2"/>
  <c r="X62" i="2"/>
  <c r="W42" i="2"/>
  <c r="V34" i="2"/>
  <c r="V72" i="2"/>
  <c r="W35" i="2"/>
  <c r="AC27" i="2"/>
  <c r="V19" i="2"/>
  <c r="Y54" i="2"/>
  <c r="W4" i="2"/>
  <c r="AC28" i="2"/>
  <c r="Y27" i="2"/>
  <c r="Y31" i="2"/>
  <c r="AC46" i="2"/>
  <c r="W23" i="2"/>
  <c r="W41" i="2"/>
  <c r="V68" i="2"/>
  <c r="AC58" i="2"/>
  <c r="V26" i="2"/>
  <c r="X36" i="2"/>
  <c r="X67" i="2"/>
  <c r="W12" i="2"/>
  <c r="X20" i="2"/>
  <c r="Y45" i="2"/>
  <c r="X26" i="2"/>
  <c r="V66" i="2"/>
  <c r="Y7" i="2"/>
  <c r="V74" i="2"/>
  <c r="V12" i="2"/>
  <c r="X44" i="2"/>
  <c r="Y13" i="2"/>
  <c r="W46" i="2"/>
  <c r="X21" i="2"/>
  <c r="V47" i="2"/>
  <c r="Y49" i="2"/>
  <c r="V13" i="2"/>
  <c r="V10" i="2"/>
  <c r="W36" i="2"/>
  <c r="X14" i="2"/>
  <c r="X18" i="2"/>
  <c r="W28" i="2"/>
  <c r="V9" i="2"/>
  <c r="W64" i="2"/>
  <c r="W5" i="2"/>
  <c r="V48" i="2"/>
  <c r="W65" i="2"/>
  <c r="AC39" i="2"/>
  <c r="AC40" i="2"/>
  <c r="V6" i="2"/>
  <c r="AC71" i="2"/>
  <c r="W9" i="2"/>
  <c r="W60" i="2"/>
  <c r="W6" i="2"/>
  <c r="AC4" i="2"/>
  <c r="W15" i="2"/>
  <c r="W43" i="2"/>
  <c r="X48" i="2"/>
  <c r="X32" i="2"/>
  <c r="X31" i="2"/>
  <c r="AC37" i="2"/>
  <c r="X61" i="2"/>
  <c r="AC7" i="2"/>
  <c r="X30" i="2"/>
  <c r="X72" i="2"/>
  <c r="V58" i="2"/>
  <c r="Y9" i="2"/>
  <c r="W72" i="2"/>
  <c r="V42" i="2"/>
  <c r="X64" i="2"/>
  <c r="AC48" i="2"/>
  <c r="X65" i="2"/>
  <c r="AC74" i="2"/>
  <c r="W33" i="2"/>
  <c r="Y67" i="2"/>
  <c r="X58" i="2"/>
  <c r="V44" i="2"/>
  <c r="AC26" i="2"/>
  <c r="AC13" i="2"/>
  <c r="V33" i="2"/>
  <c r="AC41" i="2"/>
  <c r="V25" i="2"/>
  <c r="AC12" i="2"/>
  <c r="Y72" i="2"/>
  <c r="W57" i="2"/>
  <c r="Y53" i="2"/>
  <c r="X41" i="2"/>
  <c r="AC60" i="2"/>
  <c r="V29" i="2"/>
  <c r="AC54" i="2"/>
  <c r="V7" i="2"/>
  <c r="W67" i="2"/>
  <c r="Y51" i="2"/>
  <c r="AC30" i="2"/>
  <c r="X53" i="2"/>
  <c r="X9" i="2"/>
  <c r="AC47" i="2"/>
  <c r="Y39" i="2"/>
  <c r="X33" i="2"/>
  <c r="W45" i="2"/>
  <c r="Y22" i="2"/>
  <c r="Y62" i="2"/>
  <c r="W8" i="2"/>
  <c r="Y34" i="2"/>
  <c r="V32" i="2"/>
  <c r="AC21" i="2"/>
  <c r="X7" i="2"/>
  <c r="V8" i="2"/>
  <c r="Y25" i="2"/>
  <c r="X71" i="2"/>
  <c r="AC65" i="2"/>
  <c r="AC59" i="2"/>
  <c r="W53" i="2"/>
  <c r="X19" i="2"/>
  <c r="Y65" i="2"/>
  <c r="V56" i="2"/>
  <c r="AC18" i="2"/>
  <c r="W48" i="2"/>
  <c r="Y44" i="2"/>
  <c r="AC33" i="2"/>
  <c r="Y18" i="2"/>
  <c r="AC43" i="2"/>
  <c r="V43" i="2"/>
  <c r="W49" i="2"/>
  <c r="Y37" i="2"/>
  <c r="V39" i="2"/>
  <c r="W73" i="2"/>
  <c r="AC55" i="2"/>
  <c r="X73" i="2"/>
  <c r="AC24" i="2"/>
  <c r="AC57" i="2"/>
  <c r="V50" i="2"/>
  <c r="W25" i="2"/>
  <c r="V17" i="2"/>
  <c r="X68" i="2"/>
  <c r="W11" i="2"/>
  <c r="V41" i="2"/>
  <c r="X29" i="2"/>
  <c r="V67" i="2"/>
  <c r="W61" i="2"/>
  <c r="V55" i="2"/>
  <c r="V45" i="2"/>
  <c r="V5" i="2"/>
  <c r="W18" i="2"/>
  <c r="V16" i="2"/>
  <c r="W20" i="2"/>
  <c r="V64" i="2"/>
  <c r="Y5" i="2"/>
  <c r="Y19" i="2"/>
  <c r="AC69" i="2"/>
  <c r="Y69" i="2"/>
  <c r="AC14" i="2"/>
  <c r="Y17" i="2"/>
  <c r="AC56" i="2"/>
  <c r="V46" i="2"/>
  <c r="AC61" i="2"/>
  <c r="AC70" i="2"/>
  <c r="Y58" i="2"/>
  <c r="X46" i="2"/>
  <c r="X51" i="2"/>
  <c r="X40" i="2"/>
  <c r="W13" i="2"/>
  <c r="AC16" i="2"/>
  <c r="Y60" i="2"/>
  <c r="Y55" i="2"/>
  <c r="AC29" i="2"/>
  <c r="W32" i="2"/>
  <c r="V24" i="2"/>
  <c r="X56" i="2"/>
  <c r="X22" i="2"/>
  <c r="V11" i="2"/>
  <c r="Y10" i="2"/>
  <c r="AC19" i="2"/>
  <c r="V73" i="2"/>
  <c r="AC5" i="2"/>
  <c r="Y74" i="2"/>
  <c r="W56" i="2"/>
  <c r="AC11" i="2"/>
  <c r="W58" i="2"/>
  <c r="AC17" i="2"/>
  <c r="AC66" i="2"/>
  <c r="W14" i="2"/>
  <c r="X12" i="2"/>
  <c r="X70" i="2"/>
  <c r="V14" i="2"/>
  <c r="Y47" i="2"/>
  <c r="W29" i="2"/>
  <c r="X39" i="2"/>
  <c r="AC49" i="2"/>
  <c r="V57" i="2"/>
  <c r="W39" i="2"/>
  <c r="Y71" i="2"/>
  <c r="AC67" i="2"/>
  <c r="V20" i="2"/>
  <c r="Y70" i="2"/>
  <c r="X24" i="2"/>
  <c r="W27" i="2"/>
  <c r="AC23" i="2"/>
  <c r="Y73" i="2"/>
  <c r="X35" i="2"/>
  <c r="AC42" i="2"/>
  <c r="V22" i="2"/>
  <c r="Y46" i="2"/>
  <c r="X49" i="2"/>
  <c r="W66" i="2"/>
  <c r="X5" i="2"/>
  <c r="W69" i="2"/>
  <c r="X34" i="2"/>
  <c r="AC68" i="2"/>
  <c r="W7" i="2"/>
  <c r="AC32" i="2"/>
  <c r="AC20" i="2"/>
  <c r="X60" i="2"/>
  <c r="X10" i="2"/>
  <c r="AC50" i="2"/>
  <c r="X52" i="2"/>
  <c r="V49" i="2"/>
  <c r="Y63" i="2"/>
  <c r="W59" i="2"/>
  <c r="X8" i="2"/>
  <c r="X74" i="2"/>
  <c r="Y11" i="2"/>
  <c r="W19" i="2"/>
  <c r="AC10" i="2"/>
  <c r="V27" i="2"/>
  <c r="Y32" i="2"/>
  <c r="X25" i="2"/>
  <c r="V61" i="2"/>
  <c r="X57" i="2"/>
  <c r="W16" i="2"/>
  <c r="X42" i="2"/>
  <c r="W21" i="2"/>
  <c r="W52" i="2"/>
  <c r="W51" i="2"/>
  <c r="Y66" i="2"/>
  <c r="Y4" i="2"/>
  <c r="AC51" i="2"/>
  <c r="Y6" i="2"/>
  <c r="V54" i="2"/>
  <c r="V23" i="2"/>
  <c r="V38" i="2"/>
  <c r="Y26" i="2"/>
  <c r="W62" i="2"/>
  <c r="Y12" i="2"/>
  <c r="X38" i="2"/>
  <c r="AC36" i="2"/>
  <c r="V30" i="2"/>
  <c r="AC35" i="2"/>
  <c r="Y43" i="2"/>
  <c r="AC9" i="2"/>
  <c r="AC62" i="2"/>
  <c r="AC45" i="2"/>
  <c r="AC73" i="2"/>
  <c r="W10" i="2"/>
  <c r="W44" i="2"/>
  <c r="V18" i="2"/>
  <c r="X66" i="2"/>
  <c r="V36" i="2"/>
  <c r="L2" i="2" l="1"/>
  <c r="U63" i="2"/>
  <c r="U47" i="2"/>
  <c r="U39" i="2"/>
  <c r="U31" i="2"/>
  <c r="U23" i="2"/>
  <c r="U15" i="2"/>
  <c r="U7" i="2"/>
  <c r="U55" i="2"/>
  <c r="U26" i="2"/>
  <c r="U60" i="2"/>
  <c r="U52" i="2"/>
  <c r="U44" i="2"/>
  <c r="U36" i="2"/>
  <c r="U28" i="2"/>
  <c r="U20" i="2"/>
  <c r="U12" i="2"/>
  <c r="U58" i="2"/>
  <c r="U10" i="2"/>
  <c r="U71" i="2"/>
  <c r="U65" i="2"/>
  <c r="U57" i="2"/>
  <c r="U49" i="2"/>
  <c r="U41" i="2"/>
  <c r="U33" i="2"/>
  <c r="U25" i="2"/>
  <c r="U17" i="2"/>
  <c r="U9" i="2"/>
  <c r="U34" i="2"/>
  <c r="U68" i="2"/>
  <c r="U73" i="2"/>
  <c r="U70" i="2"/>
  <c r="U62" i="2"/>
  <c r="U54" i="2"/>
  <c r="U46" i="2"/>
  <c r="U38" i="2"/>
  <c r="U30" i="2"/>
  <c r="U22" i="2"/>
  <c r="U14" i="2"/>
  <c r="U6" i="2"/>
  <c r="U50" i="2"/>
  <c r="U18" i="2"/>
  <c r="U35" i="2"/>
  <c r="U27" i="2"/>
  <c r="U19" i="2"/>
  <c r="U11" i="2"/>
  <c r="U66" i="2"/>
  <c r="U43" i="2"/>
  <c r="U74" i="2"/>
  <c r="U42" i="2"/>
  <c r="U64" i="2"/>
  <c r="U56" i="2"/>
  <c r="U48" i="2"/>
  <c r="U40" i="2"/>
  <c r="U32" i="2"/>
  <c r="U24" i="2"/>
  <c r="U16" i="2"/>
  <c r="U8" i="2"/>
  <c r="U67" i="2"/>
  <c r="U51" i="2"/>
  <c r="U72" i="2"/>
  <c r="U69" i="2"/>
  <c r="U61" i="2"/>
  <c r="U53" i="2"/>
  <c r="U45" i="2"/>
  <c r="U37" i="2"/>
  <c r="U29" i="2"/>
  <c r="U21" i="2"/>
  <c r="U13" i="2"/>
  <c r="U5" i="2"/>
  <c r="U59" i="2"/>
  <c r="U4" i="2"/>
</calcChain>
</file>

<file path=xl/sharedStrings.xml><?xml version="1.0" encoding="utf-8"?>
<sst xmlns="http://schemas.openxmlformats.org/spreadsheetml/2006/main" count="137" uniqueCount="95">
  <si>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</si>
  <si>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</si>
  <si>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</si>
  <si>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</si>
  <si>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</si>
  <si>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</si>
  <si>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</si>
  <si>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</si>
  <si>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</si>
  <si>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</si>
  <si>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</si>
  <si>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</si>
  <si>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</si>
  <si>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</si>
  <si>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</si>
  <si>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</si>
  <si>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</si>
  <si>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</si>
  <si>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</si>
  <si>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</si>
  <si>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</si>
  <si>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</si>
  <si>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</si>
  <si>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</si>
  <si>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</si>
  <si>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</si>
  <si>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</si>
  <si>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</si>
  <si>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</si>
  <si>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</si>
  <si>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</si>
  <si>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</si>
  <si>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</si>
  <si>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</si>
  <si>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</si>
  <si>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</si>
  <si>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</si>
  <si>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</si>
  <si>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</si>
  <si>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</si>
  <si>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</si>
  <si>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</si>
  <si>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</si>
  <si>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</si>
  <si>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</si>
  <si>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</si>
  <si>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</si>
  <si>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</si>
  <si>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</si>
  <si>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</si>
  <si>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</si>
  <si>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</si>
  <si>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</si>
  <si>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</si>
  <si>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</si>
  <si>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</si>
  <si>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</si>
  <si>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</si>
  <si>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</si>
  <si>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</si>
  <si>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https://bafybeihvjr73zcwvfbsqzy5odznulrtgntk5fe33b6mhj4d73batj67cxq.ipfs.nftstorage.link?ext=mp4</t>
  </si>
  <si>
    <t>video/mp4</t>
  </si>
  <si>
    <t>Résultat d'execution</t>
  </si>
  <si>
    <t>Elrond_devnet</t>
  </si>
  <si>
    <t>Elrond_mainnet</t>
  </si>
  <si>
    <t>Solde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</si>
  <si>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</si>
  <si>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</si>
  <si>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</si>
  <si>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</si>
  <si>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</si>
  <si>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</si>
  <si>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</si>
  <si>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</si>
  <si>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</si>
  <si>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MaSuperCollec</t>
  </si>
  <si>
    <t>http://127.0.0.1:4242</t>
  </si>
  <si>
    <t>NouveauNFT1</t>
  </si>
  <si>
    <t>platform</t>
  </si>
  <si>
    <t>Platforme</t>
  </si>
  <si>
    <t>IPFS</t>
  </si>
  <si>
    <t>Infura</t>
  </si>
  <si>
    <t>NFT Storage</t>
  </si>
  <si>
    <t>Images directory</t>
  </si>
  <si>
    <t>C:\Users\hhoar\Pictures</t>
  </si>
  <si>
    <t>Adresse du token</t>
  </si>
  <si>
    <t>metaboss.exe mint one  --keypair ./Keys/paul.json -r https://api.devnet.solana.com --nft-data-file ./Temp/to_mint_1651562628.891959.json</t>
  </si>
  <si>
    <t xml:space="preserve">[2022-05-03T07:23:48Z WARN  metaboss] Using a public RPC URL is not recommended for heavy tasks as you will be rate-limited and suffer a performance hit._x000D_
            Please use a private RPC endpoint for best performance results._x000D_
Tx id: 2NH5bXi998phiDMLfq8DKLkhgxv7knoTqHHojXm3PtZKmD7rZMvdGZyeU6VtjWAhZz6HCCP7Vvyn49GP23Fz1Wt_x000D_
Mint account: 2JfG5zbSKqQuwuTf3bySrGaKKVvAnt31v3eM9uDZM1w9_x000D_
Done!_x000D_
</t>
  </si>
  <si>
    <t>2NH5bXi998phiDMLfq8DKLkhgxv7knoTqHHojXm3PtZKmD7rZMvdGZyeU6VtjWAhZz6HCCP7Vvyn49GP23Fz1Wt</t>
  </si>
  <si>
    <t>2JfG5zbSKqQuwuTf3bySrGaKKVvAnt31v3eM9uDZM1w9</t>
  </si>
  <si>
    <t>Edition</t>
  </si>
  <si>
    <t>Server TokenSol</t>
  </si>
  <si>
    <t>TokenSol server</t>
  </si>
  <si>
    <t>https://tokensol.nfluent.io</t>
  </si>
  <si>
    <t>http://127.0.0.1:4200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</si>
</sst>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33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6" fillId="5" borderId="0" xfId="3" applyFont="1" applyAlignment="1">
      <alignment horizontal="center" wrapText="1"/>
    </xf>
    <xf numFmtId="0" fontId="0" fillId="7" borderId="0" xfId="0" applyFill="1" applyAlignment="1">
      <alignment horizontal="right" vertical="center" wrapText="1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wrapText="1"/>
    </xf>
    <xf numFmtId="164" fontId="4" fillId="0" borderId="0" xfId="2" applyNumberFormat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38100</xdr:rowOff>
        </xdr:from>
        <xdr:to>
          <xdr:col>0</xdr:col>
          <xdr:colOff>1600200</xdr:colOff>
          <xdr:row>1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des fichiers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0</xdr:row>
          <xdr:rowOff>504825</xdr:rowOff>
        </xdr:from>
        <xdr:to>
          <xdr:col>4</xdr:col>
          <xdr:colOff>276225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0</xdr:row>
          <xdr:rowOff>514350</xdr:rowOff>
        </xdr:from>
        <xdr:to>
          <xdr:col>1</xdr:col>
          <xdr:colOff>571500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41413</xdr:colOff>
      <xdr:row>1</xdr:row>
      <xdr:rowOff>157369</xdr:rowOff>
    </xdr:from>
    <xdr:to>
      <xdr:col>4</xdr:col>
      <xdr:colOff>132522</xdr:colOff>
      <xdr:row>5</xdr:row>
      <xdr:rowOff>91107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V="1">
          <a:off x="1482587" y="877956"/>
          <a:ext cx="554935" cy="662608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107674</xdr:colOff>
      <xdr:row>0</xdr:row>
      <xdr:rowOff>173934</xdr:rowOff>
    </xdr:from>
    <xdr:to>
      <xdr:col>5</xdr:col>
      <xdr:colOff>1524000</xdr:colOff>
      <xdr:row>2</xdr:row>
      <xdr:rowOff>41413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925957" y="173934"/>
          <a:ext cx="14163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Pour déclencher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le mint, effacer la date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495300</xdr:rowOff>
        </xdr:from>
        <xdr:to>
          <xdr:col>5</xdr:col>
          <xdr:colOff>104775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afybeihvjr73zcwvfbsqzy5odznulrtgntk5fe33b6mhj4d73batj67cxq.ipfs.nftstorage.link/?ext=mp4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https://solscan.io/token/2JfG5zbSKqQuwuTf3bySrGaKKVvAnt31v3eM9uDZM1w9?cluster=devnet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s://solscan.io/tx/2NH5bXi998phiDMLfq8DKLkhgxv7knoTqHHojXm3PtZKmD7rZMvdGZyeU6VtjWAhZz6HCCP7Vvyn49GP23Fz1Wt?cluster=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4" Type="http://schemas.openxmlformats.org/officeDocument/2006/relationships/hyperlink" Target="http://127.0.0.1:420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R9"/>
  <sheetViews>
    <sheetView zoomScale="85" zoomScaleNormal="85" workbookViewId="0">
      <selection activeCell="A3" sqref="A3"/>
    </sheetView>
  </sheetViews>
  <sheetFormatPr baseColWidth="10" defaultRowHeight="15" outlineLevelCol="1" x14ac:dyDescent="0.25"/>
  <cols>
    <col min="1" max="1" width="31.5703125" customWidth="1"/>
    <col min="2" max="2" width="10.5703125" customWidth="1"/>
    <col min="3" max="3" width="13" customWidth="1"/>
    <col min="4" max="4" width="14.5703125" customWidth="1"/>
    <col min="5" max="7" width="23.140625" customWidth="1"/>
    <col min="8" max="8" width="15.5703125" customWidth="1"/>
    <col min="9" max="9" width="21.140625" customWidth="1"/>
    <col min="10" max="10" width="12.85546875" customWidth="1"/>
    <col min="11" max="11" width="21.140625" customWidth="1"/>
    <col min="12" max="12" width="12.7109375" customWidth="1"/>
    <col min="13" max="13" width="21.140625" customWidth="1"/>
    <col min="14" max="27" width="21.140625" hidden="1" customWidth="1" outlineLevel="1"/>
    <col min="28" max="28" width="9.5703125" customWidth="1" collapsed="1"/>
    <col min="29" max="30" width="5.85546875" customWidth="1"/>
    <col min="31" max="31" width="7.85546875" bestFit="1" customWidth="1"/>
    <col min="32" max="32" width="8" bestFit="1" customWidth="1"/>
    <col min="33" max="33" width="5.85546875" bestFit="1" customWidth="1"/>
    <col min="34" max="36" width="8.7109375" customWidth="1"/>
    <col min="37" max="37" width="61.28515625" customWidth="1"/>
    <col min="38" max="42" width="10.28515625" bestFit="1" customWidth="1"/>
    <col min="43" max="43" width="14.85546875" customWidth="1"/>
    <col min="44" max="44" width="22.85546875" customWidth="1"/>
    <col min="45" max="48" width="5.85546875" bestFit="1" customWidth="1"/>
    <col min="49" max="49" width="10" bestFit="1" customWidth="1"/>
    <col min="50" max="50" width="7.85546875" bestFit="1" customWidth="1"/>
  </cols>
  <sheetData>
    <row r="1" spans="1:44" x14ac:dyDescent="0.25">
      <c r="A1" s="30" t="s">
        <v>67</v>
      </c>
      <c r="B1" s="30"/>
      <c r="C1" s="30"/>
      <c r="D1" s="30"/>
      <c r="E1" s="30"/>
      <c r="F1" s="30"/>
      <c r="G1" s="30"/>
      <c r="H1" s="29" t="s">
        <v>69</v>
      </c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4"/>
      <c r="U1" s="4"/>
      <c r="V1" s="4"/>
      <c r="W1" s="4"/>
      <c r="X1" s="4"/>
      <c r="Y1" s="4"/>
      <c r="Z1" s="4"/>
      <c r="AA1" s="4"/>
      <c r="AB1" s="26" t="s">
        <v>15</v>
      </c>
      <c r="AC1" s="26"/>
      <c r="AD1" s="26"/>
      <c r="AE1" s="26"/>
      <c r="AF1" s="26"/>
      <c r="AG1" s="26"/>
      <c r="AH1" s="26"/>
      <c r="AI1" s="26"/>
      <c r="AJ1" s="26"/>
      <c r="AK1" s="27" t="s">
        <v>17</v>
      </c>
      <c r="AL1" s="27"/>
      <c r="AM1" s="27"/>
      <c r="AN1" s="27"/>
      <c r="AO1" s="27"/>
      <c r="AP1" s="27"/>
      <c r="AQ1" s="28" t="s">
        <v>8</v>
      </c>
      <c r="AR1" s="28"/>
    </row>
    <row r="2" spans="1:44" s="10" customFormat="1" ht="33" customHeight="1" x14ac:dyDescent="0.25">
      <c r="A2" s="25" t="s">
        <v>9</v>
      </c>
      <c r="B2" s="5" t="s">
        <v>10</v>
      </c>
      <c r="C2" s="5" t="s">
        <v>11</v>
      </c>
      <c r="D2" s="5" t="s">
        <v>0</v>
      </c>
      <c r="E2" s="5" t="s">
        <v>1</v>
      </c>
      <c r="F2" s="5" t="s">
        <v>68</v>
      </c>
      <c r="G2" s="5" t="s">
        <v>39</v>
      </c>
      <c r="H2" s="6" t="s">
        <v>2</v>
      </c>
      <c r="I2" s="6" t="s">
        <v>3</v>
      </c>
      <c r="J2" s="6" t="s">
        <v>2</v>
      </c>
      <c r="K2" s="6" t="s">
        <v>3</v>
      </c>
      <c r="L2" s="6" t="s">
        <v>2</v>
      </c>
      <c r="M2" s="6" t="s">
        <v>3</v>
      </c>
      <c r="N2" s="6" t="s">
        <v>2</v>
      </c>
      <c r="O2" s="6" t="s">
        <v>3</v>
      </c>
      <c r="P2" s="6" t="s">
        <v>2</v>
      </c>
      <c r="Q2" s="6" t="s">
        <v>3</v>
      </c>
      <c r="R2" s="6" t="s">
        <v>2</v>
      </c>
      <c r="S2" s="6" t="s">
        <v>3</v>
      </c>
      <c r="T2" s="6" t="s">
        <v>2</v>
      </c>
      <c r="U2" s="6" t="s">
        <v>3</v>
      </c>
      <c r="V2" s="6" t="s">
        <v>2</v>
      </c>
      <c r="W2" s="6" t="s">
        <v>3</v>
      </c>
      <c r="X2" s="6" t="s">
        <v>2</v>
      </c>
      <c r="Y2" s="6" t="s">
        <v>3</v>
      </c>
      <c r="Z2" s="6" t="s">
        <v>2</v>
      </c>
      <c r="AA2" s="6" t="s">
        <v>3</v>
      </c>
      <c r="AB2" s="7" t="s">
        <v>4</v>
      </c>
      <c r="AC2" s="7" t="s">
        <v>5</v>
      </c>
      <c r="AD2" s="7" t="s">
        <v>6</v>
      </c>
      <c r="AE2" s="7" t="s">
        <v>4</v>
      </c>
      <c r="AF2" s="7" t="s">
        <v>5</v>
      </c>
      <c r="AG2" s="7" t="s">
        <v>6</v>
      </c>
      <c r="AH2" s="7" t="s">
        <v>4</v>
      </c>
      <c r="AI2" s="7" t="s">
        <v>5</v>
      </c>
      <c r="AJ2" s="7" t="s">
        <v>6</v>
      </c>
      <c r="AK2" s="8" t="s">
        <v>16</v>
      </c>
      <c r="AL2" s="8" t="s">
        <v>7</v>
      </c>
      <c r="AM2" s="8" t="s">
        <v>16</v>
      </c>
      <c r="AN2" s="8" t="s">
        <v>7</v>
      </c>
      <c r="AO2" s="8" t="s">
        <v>16</v>
      </c>
      <c r="AP2" s="8" t="s">
        <v>7</v>
      </c>
      <c r="AQ2" s="9" t="s">
        <v>9</v>
      </c>
      <c r="AR2" s="9" t="s">
        <v>43</v>
      </c>
    </row>
    <row r="3" spans="1:44" ht="18.75" customHeight="1" x14ac:dyDescent="0.25">
      <c r="A3" t="s">
        <v>77</v>
      </c>
      <c r="B3" t="s">
        <v>10</v>
      </c>
      <c r="C3" t="s">
        <v>11</v>
      </c>
      <c r="D3">
        <v>5000</v>
      </c>
      <c r="E3" s="19" t="s">
        <v>60</v>
      </c>
      <c r="F3" s="2" t="s">
        <v>26</v>
      </c>
      <c r="H3" t="s">
        <v>44</v>
      </c>
      <c r="I3" t="s">
        <v>45</v>
      </c>
      <c r="J3" t="s">
        <v>46</v>
      </c>
      <c r="K3" t="s">
        <v>52</v>
      </c>
      <c r="L3" t="s">
        <v>47</v>
      </c>
      <c r="M3" t="s">
        <v>53</v>
      </c>
      <c r="N3" t="s">
        <v>48</v>
      </c>
      <c r="O3" t="s">
        <v>54</v>
      </c>
      <c r="P3" t="s">
        <v>49</v>
      </c>
      <c r="Q3" t="s">
        <v>55</v>
      </c>
      <c r="R3" t="s">
        <v>50</v>
      </c>
      <c r="S3" t="s">
        <v>56</v>
      </c>
      <c r="T3" t="s">
        <v>57</v>
      </c>
      <c r="U3">
        <v>2</v>
      </c>
      <c r="V3" t="s">
        <v>58</v>
      </c>
      <c r="W3">
        <v>2</v>
      </c>
      <c r="X3" t="s">
        <v>59</v>
      </c>
      <c r="Y3">
        <v>2</v>
      </c>
      <c r="Z3" t="s">
        <v>51</v>
      </c>
      <c r="AB3" t="s">
        <v>26</v>
      </c>
      <c r="AC3">
        <v>1</v>
      </c>
      <c r="AD3">
        <v>10</v>
      </c>
      <c r="AE3" t="s">
        <v>27</v>
      </c>
      <c r="AF3">
        <v>0</v>
      </c>
      <c r="AG3">
        <v>60</v>
      </c>
      <c r="AH3" t="s">
        <v>28</v>
      </c>
      <c r="AI3">
        <v>1</v>
      </c>
      <c r="AJ3">
        <v>30</v>
      </c>
      <c r="AK3" s="2" t="s">
        <v>60</v>
      </c>
      <c r="AL3" t="s">
        <v>61</v>
      </c>
      <c r="AM3" s="2"/>
      <c r="AQ3" t="s">
        <v>75</v>
      </c>
      <c r="AR3" t="s">
        <v>74</v>
      </c>
    </row>
    <row r="4" spans="1:44" x14ac:dyDescent="0.25">
      <c r="E4" s="2"/>
      <c r="F4" s="2"/>
      <c r="AK4" s="2"/>
      <c r="AM4" s="2"/>
    </row>
    <row r="5" spans="1:44" x14ac:dyDescent="0.25">
      <c r="E5" s="2"/>
      <c r="F5" s="2"/>
      <c r="AK5" s="2"/>
      <c r="AM5" s="2"/>
    </row>
    <row r="6" spans="1:44" x14ac:dyDescent="0.25">
      <c r="E6" s="2"/>
      <c r="F6" s="2"/>
      <c r="AK6" s="2"/>
      <c r="AM6" s="2"/>
    </row>
    <row r="7" spans="1:44" x14ac:dyDescent="0.25">
      <c r="E7" s="2"/>
      <c r="F7" s="2"/>
      <c r="AK7" s="2"/>
      <c r="AM7" s="2"/>
    </row>
    <row r="8" spans="1:44" x14ac:dyDescent="0.25">
      <c r="E8" s="2"/>
      <c r="F8" s="2"/>
      <c r="AK8" s="2"/>
      <c r="AM8" s="2"/>
    </row>
    <row r="9" spans="1:44" x14ac:dyDescent="0.25">
      <c r="E9" s="2"/>
      <c r="F9" s="2"/>
      <c r="AK9" s="2"/>
      <c r="AM9" s="2"/>
    </row>
  </sheetData>
  <mergeCells count="5">
    <mergeCell ref="AB1:AJ1"/>
    <mergeCell ref="AK1:AP1"/>
    <mergeCell ref="AQ1:AR1"/>
    <mergeCell ref="H1:S1"/>
    <mergeCell ref="A1:G1"/>
  </mergeCells>
  <phoneticPr fontId="1" type="noConversion"/>
  <hyperlinks>
    <hyperlink ref="AK3" r:id="rId1" xr:uid="{61D69628-F08F-44B4-B660-450F37E3607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">
                <anchor moveWithCells="1" sizeWithCells="1">
                  <from>
                    <xdr:col>0</xdr:col>
                    <xdr:colOff>133350</xdr:colOff>
                    <xdr:row>0</xdr:row>
                    <xdr:rowOff>38100</xdr:rowOff>
                  </from>
                  <to>
                    <xdr:col>0</xdr:col>
                    <xdr:colOff>1600200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74"/>
  <sheetViews>
    <sheetView tabSelected="1" zoomScale="115" zoomScaleNormal="115" workbookViewId="0">
      <selection activeCell="P5" sqref="P5"/>
    </sheetView>
  </sheetViews>
  <sheetFormatPr baseColWidth="10" defaultRowHeight="14.25" customHeight="1" x14ac:dyDescent="0.25"/>
  <cols>
    <col min="2" max="2" width="10.140625" customWidth="1"/>
    <col min="3" max="3" width="3.140625" customWidth="1"/>
    <col min="4" max="4" width="3.85546875" customWidth="1"/>
    <col min="5" max="5" width="22.7109375" style="21" customWidth="1"/>
    <col min="6" max="6" width="17.7109375" style="17" customWidth="1"/>
    <col min="7" max="7" width="12.28515625" style="17" customWidth="1"/>
    <col min="8" max="8" width="16.42578125" style="17" customWidth="1"/>
    <col min="9" max="9" width="26.42578125" style="12" customWidth="1"/>
    <col min="10" max="10" width="17" style="12" customWidth="1"/>
    <col min="11" max="11" width="13.140625" style="13" customWidth="1"/>
    <col min="12" max="12" width="9.7109375" style="17" customWidth="1"/>
    <col min="13" max="13" width="11.5703125" style="17" hidden="1" customWidth="1"/>
    <col min="14" max="15" width="9.7109375" style="17" hidden="1" customWidth="1"/>
    <col min="16" max="16" width="9.7109375" style="17" customWidth="1"/>
    <col min="17" max="18" width="16.7109375" style="13" customWidth="1"/>
    <col min="19" max="19" width="15.5703125" style="13" customWidth="1"/>
    <col min="20" max="20" width="18.5703125" customWidth="1"/>
    <col min="21" max="21" width="28.7109375" customWidth="1"/>
    <col min="22" max="22" width="20.28515625" customWidth="1"/>
    <col min="23" max="23" width="49" customWidth="1"/>
    <col min="24" max="24" width="25.5703125" customWidth="1"/>
    <col min="25" max="25" width="50.7109375" customWidth="1"/>
    <col min="26" max="26" width="11.28515625" customWidth="1"/>
    <col min="29" max="29" width="27.42578125" customWidth="1"/>
  </cols>
  <sheetData>
    <row r="1" spans="1:31" ht="57" customHeight="1" x14ac:dyDescent="0.25">
      <c r="K1" s="2" t="s">
        <v>72</v>
      </c>
      <c r="L1" s="20">
        <v>105.25</v>
      </c>
      <c r="M1" s="20"/>
      <c r="N1" s="20"/>
      <c r="O1" s="20"/>
      <c r="P1" s="20"/>
    </row>
    <row r="2" spans="1:31" ht="15.75" customHeight="1" x14ac:dyDescent="0.25">
      <c r="K2" s="13" t="s">
        <v>73</v>
      </c>
      <c r="L2" s="20">
        <f>SUM(L4:L99)</f>
        <v>0</v>
      </c>
      <c r="M2" s="20"/>
      <c r="N2" s="20"/>
      <c r="O2" s="20"/>
      <c r="P2" s="20"/>
    </row>
    <row r="3" spans="1:31" ht="14.25" customHeight="1" x14ac:dyDescent="0.25">
      <c r="E3" s="22" t="s">
        <v>21</v>
      </c>
      <c r="F3" s="14" t="s">
        <v>22</v>
      </c>
      <c r="G3" s="14" t="s">
        <v>70</v>
      </c>
      <c r="H3" s="14" t="s">
        <v>71</v>
      </c>
      <c r="I3" s="24" t="s">
        <v>62</v>
      </c>
      <c r="J3" s="24" t="s">
        <v>85</v>
      </c>
      <c r="K3" s="14" t="s">
        <v>65</v>
      </c>
      <c r="L3" s="14" t="s">
        <v>66</v>
      </c>
      <c r="M3" s="14"/>
      <c r="N3" s="14"/>
      <c r="O3" s="14"/>
      <c r="P3" s="14" t="s">
        <v>90</v>
      </c>
      <c r="S3"/>
      <c r="U3" t="s">
        <v>20</v>
      </c>
      <c r="V3" t="s">
        <v>12</v>
      </c>
      <c r="W3" t="s">
        <v>13</v>
      </c>
      <c r="X3" t="s">
        <v>14</v>
      </c>
      <c r="Y3" t="s">
        <v>18</v>
      </c>
      <c r="AC3" t="s">
        <v>19</v>
      </c>
    </row>
    <row r="4" spans="1:31" s="1" customFormat="1" ht="14.25" customHeight="1" x14ac:dyDescent="0.25">
      <c r="E4" s="23" t="str">
        <f>IF(Tokens!A3="","",Tokens!A3)</f>
        <v>NouveauNFT1</v>
      </c>
      <c r="F4" s="15">
        <v>44684.391597222224</v>
      </c>
      <c r="G4" t="s">
        <v>86</v>
      </c>
      <c r="H4" s="31" t="s">
        <v>87</v>
      </c>
      <c r="I4" s="2" t="s">
        <v>88</v>
      </c>
      <c r="J4" s="2" t="s">
        <v>89</v>
      </c>
      <c r="K4">
        <v>8.3149074729999999</v>
      </c>
      <c r="L4" s="20" t="str">
        <f>IF(AND(ISNUMBER(K3),ISNUMBER(K4)),(K4-K3)*$L$1,"_")</f>
        <v>_</v>
      </c>
      <c r="M4" s="20"/>
      <c r="N4" s="20"/>
      <c r="O4" s="20"/>
      <c r="P4" s="32" t="str">
        <f>IF(F4&lt;&gt;"",HYPERLINK(Settings!B5 &amp; "/manage/?search=token&amp;account=" &amp; ToMint!B6 &amp; "&amp;view=" &amp; ToMint!J4,"TokenSol"),"")</f>
        <v>TokenSol</v>
      </c>
      <c r="Q4" s="2"/>
      <c r="R4" s="2"/>
      <c r="S4" s="12"/>
      <c r="U4" s="1" t="str">
        <f>"{" &amp; V4 &amp; "," &amp; W4 &amp; "," &amp; """properties"":{" &amp; X4 &amp; "," &amp; Y4 &amp; "}," &amp; AC4 &amp; "}"</f>
        <v>{"name":"NouveauNFT1",_x000D_
"symbol":"symbol",_x000D_
"description":"description",_x000D_
"seller_fee_basis_points":5000,_x000D_
"image":"https://bafybeihvjr73zcwvfbsqzy5odznulrtgntk5fe33b6mhj4d73batj67cxq.ipfs.nftstorage.link?ext=mp4",_x000D_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"type":"video/mp4"}]},"collection":{"name":"MaSuperCollec",_x000D_
"family":"NFluentCollection"}}</v>
      </c>
      <c r="V4" s="1" t="str">
        <f>formatRow(Tokens!A$2:G$2,Tokens!A3:G3)</f>
        <v>"name":"NouveauNFT1",_x000D_
"symbol":"symbol",_x000D_
"description":"description",_x000D_
"seller_fee_basis_points":5000,_x000D_
"image":"https://bafybeihvjr73zcwvfbsqzy5odznulrtgntk5fe33b6mhj4d73batj67cxq.ipfs.nftstorage.link?ext=mp4",_x000D_
"Issuer":"paul",_x000D_
"external_url":""</v>
      </c>
      <c r="W4" s="1" t="str">
        <f>formatRow(Tokens!H$2:S$2,Tokens!H3:S3,2,"attributes")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X4" s="1" t="str">
        <f>formatRow(Tokens!AB$2:AJ$2,Tokens!AB3:AJ3,3,"creators")</f>
        <v>"creators":[{"address":"paul",_x000D_
"verified":1,_x000D_
"share":10},{"address":"sophie",_x000D_
"verified":0,_x000D_
"share":60},{"address":"roger",_x000D_
"verified":1,_x000D_
"share":30}]</v>
      </c>
      <c r="Y4" s="1" t="str">
        <f>formatRow(Tokens!AK$2:AP$2,Tokens!AK3:AP3,2,"files")</f>
        <v>"files":[{"files":"https://bafybeihvjr73zcwvfbsqzy5odznulrtgntk5fe33b6mhj4d73batj67cxq.ipfs.nftstorage.link?ext=mp4",_x000D_
"type":"video/mp4"}]</v>
      </c>
      <c r="AC4" s="1" t="str">
        <f>formatRow(Tokens!AQ$2:AR$2,Tokens!AQ3:AR3,0,"collection")</f>
        <v>"collection":{"name":"MaSuperCollec",_x000D_
"family":"NFluentCollection"}</v>
      </c>
    </row>
    <row r="5" spans="1:31" ht="12.75" customHeight="1" x14ac:dyDescent="0.25">
      <c r="E5" s="23" t="str">
        <f>IF(Tokens!A4="","",Tokens!A4)</f>
        <v/>
      </c>
      <c r="F5" s="16"/>
      <c r="G5" s="16"/>
      <c r="H5" s="15"/>
      <c r="I5" s="19"/>
      <c r="J5" s="19"/>
      <c r="L5" s="20" t="str">
        <f t="shared" ref="L5:L68" si="0">IF(AND(ISNUMBER(K4),ISNUMBER(K5)),(K5-K4)*$L$1,"_")</f>
        <v>_</v>
      </c>
      <c r="M5" s="20"/>
      <c r="N5" s="20"/>
      <c r="O5" s="20"/>
      <c r="P5" s="20"/>
      <c r="U5" s="1" t="str">
        <f t="shared" ref="U5:U68" si="1">"{" &amp; V5 &amp; "," &amp; W5 &amp; "," &amp; """properties"":{" &amp; X5 &amp; "," &amp; Y5 &amp; "}," &amp; AC5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" s="1" t="str">
        <f>formatRow(Tokens!A$2:G$2,Tokens!A4:G4)</f>
        <v>"name":"",_x000D_
"symbol":"",_x000D_
"description":"",_x000D_
"seller_fee_basis_points":"",_x000D_
"image":"",_x000D_
"Issuer":"",_x000D_
"external_url":""</v>
      </c>
      <c r="W5" s="1" t="str">
        <f>formatRow(Tokens!H$2:S$2,Tokens!H4:S4,2,"attributes")</f>
        <v>"attributes":[]</v>
      </c>
      <c r="X5" s="1" t="str">
        <f>formatRow(Tokens!AB$2:AJ$2,Tokens!AB4:AJ4,3,"creators")</f>
        <v>"creators":[]</v>
      </c>
      <c r="Y5" s="1" t="str">
        <f>formatRow(Tokens!AK$2:AP$2,Tokens!AK4:AP4,2,"files")</f>
        <v>"files":[]</v>
      </c>
      <c r="Z5" s="1"/>
      <c r="AA5" s="1"/>
      <c r="AB5" s="1"/>
      <c r="AC5" s="1" t="str">
        <f>formatRow(Tokens!AQ$2:AR$2,Tokens!AQ4:AR4,0,"collection")</f>
        <v>"collection":{"name":"",_x000D_
"family":""}</v>
      </c>
      <c r="AD5" s="1"/>
      <c r="AE5" s="1"/>
    </row>
    <row r="6" spans="1:31" ht="15" customHeight="1" x14ac:dyDescent="0.25">
      <c r="A6" s="3" t="s">
        <v>32</v>
      </c>
      <c r="B6" t="s">
        <v>34</v>
      </c>
      <c r="E6" s="23" t="str">
        <f>IF(Tokens!A5="","",Tokens!A5)</f>
        <v/>
      </c>
      <c r="F6" s="16"/>
      <c r="G6" s="16"/>
      <c r="H6" s="15"/>
      <c r="I6" s="19"/>
      <c r="J6" s="19"/>
      <c r="L6" s="20" t="str">
        <f t="shared" si="0"/>
        <v>_</v>
      </c>
      <c r="M6" s="20"/>
      <c r="N6" s="20"/>
      <c r="O6" s="20"/>
      <c r="P6" s="20"/>
      <c r="U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" s="1" t="str">
        <f>formatRow(Tokens!A$2:G$2,Tokens!A5:G5)</f>
        <v>"name":"",_x000D_
"symbol":"",_x000D_
"description":"",_x000D_
"seller_fee_basis_points":"",_x000D_
"image":"",_x000D_
"Issuer":"",_x000D_
"external_url":""</v>
      </c>
      <c r="W6" s="1" t="str">
        <f>formatRow(Tokens!H$2:S$2,Tokens!H5:S5,2,"attributes")</f>
        <v>"attributes":[]</v>
      </c>
      <c r="X6" s="1" t="str">
        <f>formatRow(Tokens!AB$2:AJ$2,Tokens!AB5:AJ5,3,"creators")</f>
        <v>"creators":[]</v>
      </c>
      <c r="Y6" s="1" t="str">
        <f>formatRow(Tokens!AK$2:AP$2,Tokens!AK5:AP5,2,"files")</f>
        <v>"files":[]</v>
      </c>
      <c r="Z6" s="1"/>
      <c r="AA6" s="1"/>
      <c r="AB6" s="1"/>
      <c r="AC6" s="1" t="str">
        <f>formatRow(Tokens!AQ$2:AR$2,Tokens!AQ5:AR5,0,"collection")</f>
        <v>"collection":{"name":"",_x000D_
"family":""}</v>
      </c>
      <c r="AD6" s="1"/>
      <c r="AE6" s="1"/>
    </row>
    <row r="7" spans="1:31" ht="14.25" customHeight="1" x14ac:dyDescent="0.25">
      <c r="A7" s="3" t="s">
        <v>41</v>
      </c>
      <c r="B7" t="s">
        <v>42</v>
      </c>
      <c r="E7" s="23" t="str">
        <f>IF(Tokens!A6="","",Tokens!A6)</f>
        <v/>
      </c>
      <c r="F7" s="16"/>
      <c r="G7" s="16"/>
      <c r="H7" s="15"/>
      <c r="I7" s="19"/>
      <c r="J7" s="19"/>
      <c r="L7" s="20" t="str">
        <f t="shared" si="0"/>
        <v>_</v>
      </c>
      <c r="M7" s="20"/>
      <c r="N7" s="20"/>
      <c r="O7" s="20"/>
      <c r="P7" s="20"/>
      <c r="Q7" s="2"/>
      <c r="R7" s="2"/>
      <c r="U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" s="1" t="str">
        <f>formatRow(Tokens!A$2:G$2,Tokens!A6:G6)</f>
        <v>"name":"",_x000D_
"symbol":"",_x000D_
"description":"",_x000D_
"seller_fee_basis_points":"",_x000D_
"image":"",_x000D_
"Issuer":"",_x000D_
"external_url":""</v>
      </c>
      <c r="W7" s="1" t="str">
        <f>formatRow(Tokens!H$2:S$2,Tokens!H6:S6,2,"attributes")</f>
        <v>"attributes":[]</v>
      </c>
      <c r="X7" s="1" t="str">
        <f>formatRow(Tokens!AB$2:AJ$2,Tokens!AB6:AJ6,3,"creators")</f>
        <v>"creators":[]</v>
      </c>
      <c r="Y7" s="1" t="str">
        <f>formatRow(Tokens!AK$2:AP$2,Tokens!AK6:AP6,2,"files")</f>
        <v>"files":[]</v>
      </c>
      <c r="Z7" s="1"/>
      <c r="AA7" s="1"/>
      <c r="AB7" s="1"/>
      <c r="AC7" s="1" t="str">
        <f>formatRow(Tokens!AQ$2:AR$2,Tokens!AQ6:AR6,0,"collection")</f>
        <v>"collection":{"name":"",_x000D_
"family":""}</v>
      </c>
      <c r="AD7" s="1"/>
      <c r="AE7" s="1"/>
    </row>
    <row r="8" spans="1:31" ht="14.25" customHeight="1" x14ac:dyDescent="0.25">
      <c r="A8" s="3" t="s">
        <v>24</v>
      </c>
      <c r="B8" t="s">
        <v>25</v>
      </c>
      <c r="E8" s="23" t="str">
        <f>IF(Tokens!A7="","",Tokens!A7)</f>
        <v/>
      </c>
      <c r="F8" s="16"/>
      <c r="G8" s="16"/>
      <c r="H8" s="15"/>
      <c r="I8" s="19"/>
      <c r="J8" s="19"/>
      <c r="L8" s="20" t="str">
        <f t="shared" si="0"/>
        <v>_</v>
      </c>
      <c r="M8" s="20"/>
      <c r="N8" s="20"/>
      <c r="O8" s="20"/>
      <c r="P8" s="20"/>
      <c r="Q8" s="2"/>
      <c r="R8" s="2"/>
      <c r="U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" s="1" t="str">
        <f>formatRow(Tokens!A$2:G$2,Tokens!A7:G7)</f>
        <v>"name":"",_x000D_
"symbol":"",_x000D_
"description":"",_x000D_
"seller_fee_basis_points":"",_x000D_
"image":"",_x000D_
"Issuer":"",_x000D_
"external_url":""</v>
      </c>
      <c r="W8" s="1" t="str">
        <f>formatRow(Tokens!H$2:S$2,Tokens!H7:S7,2,"attributes")</f>
        <v>"attributes":[]</v>
      </c>
      <c r="X8" s="1" t="str">
        <f>formatRow(Tokens!AB$2:AJ$2,Tokens!AB7:AJ7,3,"creators")</f>
        <v>"creators":[]</v>
      </c>
      <c r="Y8" s="1" t="str">
        <f>formatRow(Tokens!AK$2:AP$2,Tokens!AK7:AP7,2,"files")</f>
        <v>"files":[]</v>
      </c>
      <c r="Z8" s="1"/>
      <c r="AA8" s="1"/>
      <c r="AB8" s="1"/>
      <c r="AC8" s="1" t="str">
        <f>formatRow(Tokens!AQ$2:AR$2,Tokens!AQ7:AR7,0,"collection")</f>
        <v>"collection":{"name":"",_x000D_
"family":""}</v>
      </c>
      <c r="AD8" s="1"/>
      <c r="AE8" s="1"/>
    </row>
    <row r="9" spans="1:31" ht="14.25" customHeight="1" x14ac:dyDescent="0.25">
      <c r="E9" s="23" t="str">
        <f>IF(Tokens!A8="","",Tokens!A8)</f>
        <v/>
      </c>
      <c r="F9" s="16"/>
      <c r="G9" s="16"/>
      <c r="H9" s="15"/>
      <c r="I9" s="19"/>
      <c r="J9" s="19"/>
      <c r="L9" s="20" t="str">
        <f t="shared" si="0"/>
        <v>_</v>
      </c>
      <c r="M9" s="20"/>
      <c r="N9" s="20"/>
      <c r="O9" s="20"/>
      <c r="P9" s="20"/>
      <c r="U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" s="1" t="str">
        <f>formatRow(Tokens!A$2:G$2,Tokens!A8:G8)</f>
        <v>"name":"",_x000D_
"symbol":"",_x000D_
"description":"",_x000D_
"seller_fee_basis_points":"",_x000D_
"image":"",_x000D_
"Issuer":"",_x000D_
"external_url":""</v>
      </c>
      <c r="W9" s="1" t="str">
        <f>formatRow(Tokens!H$2:S$2,Tokens!H8:S8,2,"attributes")</f>
        <v>"attributes":[]</v>
      </c>
      <c r="X9" s="1" t="str">
        <f>formatRow(Tokens!AB$2:AJ$2,Tokens!AB8:AJ8,3,"creators")</f>
        <v>"creators":[]</v>
      </c>
      <c r="Y9" s="1" t="str">
        <f>formatRow(Tokens!AK$2:AP$2,Tokens!AK8:AP8,2,"files")</f>
        <v>"files":[]</v>
      </c>
      <c r="Z9" s="1"/>
      <c r="AA9" s="1"/>
      <c r="AB9" s="1"/>
      <c r="AC9" s="1" t="str">
        <f>formatRow(Tokens!AQ$2:AR$2,Tokens!AQ8:AR8,0,"collection")</f>
        <v>"collection":{"name":"",_x000D_
"family":""}</v>
      </c>
      <c r="AD9" s="1"/>
      <c r="AE9" s="1"/>
    </row>
    <row r="10" spans="1:31" ht="14.25" customHeight="1" x14ac:dyDescent="0.25">
      <c r="E10" s="23" t="str">
        <f>IF(Tokens!A9="","",Tokens!A9)</f>
        <v/>
      </c>
      <c r="F10" s="16"/>
      <c r="G10" s="16"/>
      <c r="H10" s="15"/>
      <c r="I10" s="19"/>
      <c r="J10" s="19"/>
      <c r="L10" s="20" t="str">
        <f t="shared" si="0"/>
        <v>_</v>
      </c>
      <c r="M10" s="20"/>
      <c r="N10" s="20"/>
      <c r="O10" s="20"/>
      <c r="P10" s="20"/>
      <c r="Q10" s="2"/>
      <c r="R10" s="2"/>
      <c r="U1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" s="1" t="str">
        <f>formatRow(Tokens!A$2:G$2,Tokens!A9:G9)</f>
        <v>"name":"",_x000D_
"symbol":"",_x000D_
"description":"",_x000D_
"seller_fee_basis_points":"",_x000D_
"image":"",_x000D_
"Issuer":"",_x000D_
"external_url":""</v>
      </c>
      <c r="W10" s="1" t="str">
        <f>formatRow(Tokens!H$2:S$2,Tokens!H9:S9,2,"attributes")</f>
        <v>"attributes":[]</v>
      </c>
      <c r="X10" s="1" t="str">
        <f>formatRow(Tokens!AB$2:AJ$2,Tokens!AB9:AJ9,3,"creators")</f>
        <v>"creators":[]</v>
      </c>
      <c r="Y10" s="1" t="str">
        <f>formatRow(Tokens!AK$2:AP$2,Tokens!AK9:AP9,2,"files")</f>
        <v>"files":[]</v>
      </c>
      <c r="Z10" s="1"/>
      <c r="AA10" s="1"/>
      <c r="AB10" s="1"/>
      <c r="AC10" s="1" t="str">
        <f>formatRow(Tokens!AQ$2:AR$2,Tokens!AQ9:AR9,0,"collection")</f>
        <v>"collection":{"name":"",_x000D_
"family":""}</v>
      </c>
      <c r="AD10" s="1"/>
      <c r="AE10" s="1"/>
    </row>
    <row r="11" spans="1:31" ht="14.25" customHeight="1" x14ac:dyDescent="0.25">
      <c r="E11" s="23" t="str">
        <f>IF(Tokens!A10="","",Tokens!A10)</f>
        <v/>
      </c>
      <c r="F11" s="16"/>
      <c r="G11" s="16"/>
      <c r="H11" s="15"/>
      <c r="L11" s="20" t="str">
        <f t="shared" si="0"/>
        <v>_</v>
      </c>
      <c r="M11" s="20"/>
      <c r="N11" s="20"/>
      <c r="O11" s="20"/>
      <c r="P11" s="20"/>
      <c r="U1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" s="1" t="str">
        <f>formatRow(Tokens!A$2:G$2,Tokens!A10:G10)</f>
        <v>"name":"",_x000D_
"symbol":"",_x000D_
"description":"",_x000D_
"seller_fee_basis_points":"",_x000D_
"image":"",_x000D_
"Issuer":"",_x000D_
"external_url":""</v>
      </c>
      <c r="W11" s="1" t="str">
        <f>formatRow(Tokens!H$2:S$2,Tokens!H10:S10,2,"attributes")</f>
        <v>"attributes":[]</v>
      </c>
      <c r="X11" s="1" t="str">
        <f>formatRow(Tokens!AB$2:AJ$2,Tokens!AB10:AJ10,3,"creators")</f>
        <v>"creators":[]</v>
      </c>
      <c r="Y11" s="1" t="str">
        <f>formatRow(Tokens!AK$2:AP$2,Tokens!AK10:AP10,2,"files")</f>
        <v>"files":[]</v>
      </c>
      <c r="Z11" s="1"/>
      <c r="AA11" s="1"/>
      <c r="AB11" s="1"/>
      <c r="AC11" s="1" t="str">
        <f>formatRow(Tokens!AQ$2:AR$2,Tokens!AQ10:AR10,0,"collection")</f>
        <v>"collection":{"name":"",_x000D_
"family":""}</v>
      </c>
      <c r="AD11" s="1"/>
      <c r="AE11" s="1"/>
    </row>
    <row r="12" spans="1:31" ht="14.25" customHeight="1" x14ac:dyDescent="0.25">
      <c r="E12" s="23" t="str">
        <f>IF(Tokens!A11="","",Tokens!A11)</f>
        <v/>
      </c>
      <c r="F12" s="16"/>
      <c r="H12" s="18"/>
      <c r="L12" s="20" t="str">
        <f t="shared" si="0"/>
        <v>_</v>
      </c>
      <c r="M12" s="20"/>
      <c r="N12" s="20"/>
      <c r="O12" s="20"/>
      <c r="P12" s="20"/>
      <c r="U1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" s="1" t="str">
        <f>formatRow(Tokens!A$2:G$2,Tokens!A11:G11)</f>
        <v>"name":"",_x000D_
"symbol":"",_x000D_
"description":"",_x000D_
"seller_fee_basis_points":"",_x000D_
"image":"",_x000D_
"Issuer":"",_x000D_
"external_url":""</v>
      </c>
      <c r="W12" s="1" t="str">
        <f>formatRow(Tokens!H$2:S$2,Tokens!H11:S11,2,"attributes")</f>
        <v>"attributes":[]</v>
      </c>
      <c r="X12" s="1" t="str">
        <f>formatRow(Tokens!AB$2:AJ$2,Tokens!AB11:AJ11,3,"creators")</f>
        <v>"creators":[]</v>
      </c>
      <c r="Y12" s="1" t="str">
        <f>formatRow(Tokens!AK$2:AP$2,Tokens!AK11:AP11,2,"files")</f>
        <v>"files":[]</v>
      </c>
      <c r="Z12" s="1"/>
      <c r="AA12" s="1"/>
      <c r="AB12" s="1"/>
      <c r="AC12" s="1" t="str">
        <f>formatRow(Tokens!AQ$2:AR$2,Tokens!AQ11:AR11,0,"collection")</f>
        <v>"collection":{"name":"",_x000D_
"family":""}</v>
      </c>
      <c r="AD12" s="1"/>
      <c r="AE12" s="1"/>
    </row>
    <row r="13" spans="1:31" ht="14.25" customHeight="1" x14ac:dyDescent="0.25">
      <c r="E13" s="23" t="str">
        <f>IF(Tokens!A12="","",Tokens!A12)</f>
        <v/>
      </c>
      <c r="F13" s="16"/>
      <c r="H13" s="18"/>
      <c r="L13" s="20" t="str">
        <f t="shared" si="0"/>
        <v>_</v>
      </c>
      <c r="M13" s="20"/>
      <c r="N13" s="20"/>
      <c r="O13" s="20"/>
      <c r="P13" s="20"/>
      <c r="U1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" s="1" t="str">
        <f>formatRow(Tokens!A$2:G$2,Tokens!A12:G12)</f>
        <v>"name":"",_x000D_
"symbol":"",_x000D_
"description":"",_x000D_
"seller_fee_basis_points":"",_x000D_
"image":"",_x000D_
"Issuer":"",_x000D_
"external_url":""</v>
      </c>
      <c r="W13" s="1" t="str">
        <f>formatRow(Tokens!H$2:S$2,Tokens!H12:S12,2,"attributes")</f>
        <v>"attributes":[]</v>
      </c>
      <c r="X13" s="1" t="str">
        <f>formatRow(Tokens!AB$2:AJ$2,Tokens!AB12:AJ12,3,"creators")</f>
        <v>"creators":[]</v>
      </c>
      <c r="Y13" s="1" t="str">
        <f>formatRow(Tokens!AK$2:AP$2,Tokens!AK12:AP12,2,"files")</f>
        <v>"files":[]</v>
      </c>
      <c r="Z13" s="1"/>
      <c r="AA13" s="1"/>
      <c r="AB13" s="1"/>
      <c r="AC13" s="1" t="str">
        <f>formatRow(Tokens!AQ$2:AR$2,Tokens!AQ12:AR12,0,"collection")</f>
        <v>"collection":{"name":"",_x000D_
"family":""}</v>
      </c>
      <c r="AD13" s="1"/>
      <c r="AE13" s="1"/>
    </row>
    <row r="14" spans="1:31" ht="14.25" customHeight="1" x14ac:dyDescent="0.25">
      <c r="E14" s="23" t="str">
        <f>IF(Tokens!A13="","",Tokens!A13)</f>
        <v/>
      </c>
      <c r="F14" s="16"/>
      <c r="H14" s="18"/>
      <c r="L14" s="20" t="str">
        <f t="shared" si="0"/>
        <v>_</v>
      </c>
      <c r="M14" s="20"/>
      <c r="N14" s="20"/>
      <c r="O14" s="20"/>
      <c r="P14" s="20"/>
      <c r="U1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" s="1" t="str">
        <f>formatRow(Tokens!A$2:G$2,Tokens!A13:G13)</f>
        <v>"name":"",_x000D_
"symbol":"",_x000D_
"description":"",_x000D_
"seller_fee_basis_points":"",_x000D_
"image":"",_x000D_
"Issuer":"",_x000D_
"external_url":""</v>
      </c>
      <c r="W14" s="1" t="str">
        <f>formatRow(Tokens!H$2:S$2,Tokens!H13:S13,2,"attributes")</f>
        <v>"attributes":[]</v>
      </c>
      <c r="X14" s="1" t="str">
        <f>formatRow(Tokens!AB$2:AJ$2,Tokens!AB13:AJ13,3,"creators")</f>
        <v>"creators":[]</v>
      </c>
      <c r="Y14" s="1" t="str">
        <f>formatRow(Tokens!AK$2:AP$2,Tokens!AK13:AP13,2,"files")</f>
        <v>"files":[]</v>
      </c>
      <c r="Z14" s="1"/>
      <c r="AA14" s="1"/>
      <c r="AB14" s="1"/>
      <c r="AC14" s="1" t="str">
        <f>formatRow(Tokens!AQ$2:AR$2,Tokens!AQ13:AR13,0,"collection")</f>
        <v>"collection":{"name":"",_x000D_
"family":""}</v>
      </c>
      <c r="AD14" s="1"/>
      <c r="AE14" s="1"/>
    </row>
    <row r="15" spans="1:31" ht="14.25" customHeight="1" x14ac:dyDescent="0.25">
      <c r="E15" s="23" t="str">
        <f>IF(Tokens!A14="","",Tokens!A14)</f>
        <v/>
      </c>
      <c r="F15" s="16"/>
      <c r="H15" s="18"/>
      <c r="L15" s="20" t="str">
        <f t="shared" si="0"/>
        <v>_</v>
      </c>
      <c r="M15" s="20"/>
      <c r="N15" s="20"/>
      <c r="O15" s="20"/>
      <c r="P15" s="20"/>
      <c r="U1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" s="1" t="str">
        <f>formatRow(Tokens!A$2:G$2,Tokens!A14:G14)</f>
        <v>"name":"",_x000D_
"symbol":"",_x000D_
"description":"",_x000D_
"seller_fee_basis_points":"",_x000D_
"image":"",_x000D_
"Issuer":"",_x000D_
"external_url":""</v>
      </c>
      <c r="W15" s="1" t="str">
        <f>formatRow(Tokens!H$2:S$2,Tokens!H14:S14,2,"attributes")</f>
        <v>"attributes":[]</v>
      </c>
      <c r="X15" s="1" t="str">
        <f>formatRow(Tokens!AB$2:AJ$2,Tokens!AB14:AJ14,3,"creators")</f>
        <v>"creators":[]</v>
      </c>
      <c r="Y15" s="1" t="str">
        <f>formatRow(Tokens!AK$2:AP$2,Tokens!AK14:AP14,2,"files")</f>
        <v>"files":[]</v>
      </c>
      <c r="Z15" s="1"/>
      <c r="AA15" s="1"/>
      <c r="AB15" s="1"/>
      <c r="AC15" s="1" t="str">
        <f>formatRow(Tokens!AQ$2:AR$2,Tokens!AQ14:AR14,0,"collection")</f>
        <v>"collection":{"name":"",_x000D_
"family":""}</v>
      </c>
      <c r="AD15" s="1"/>
      <c r="AE15" s="1"/>
    </row>
    <row r="16" spans="1:31" ht="14.25" customHeight="1" x14ac:dyDescent="0.25">
      <c r="E16" s="23" t="str">
        <f>IF(Tokens!A15="","",Tokens!A15)</f>
        <v/>
      </c>
      <c r="F16" s="16"/>
      <c r="H16" s="18"/>
      <c r="L16" s="20" t="str">
        <f t="shared" si="0"/>
        <v>_</v>
      </c>
      <c r="M16" s="20"/>
      <c r="N16" s="20"/>
      <c r="O16" s="20"/>
      <c r="P16" s="20"/>
      <c r="U1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6" s="1" t="str">
        <f>formatRow(Tokens!A$2:G$2,Tokens!A15:G15)</f>
        <v>"name":"",_x000D_
"symbol":"",_x000D_
"description":"",_x000D_
"seller_fee_basis_points":"",_x000D_
"image":"",_x000D_
"Issuer":"",_x000D_
"external_url":""</v>
      </c>
      <c r="W16" s="1" t="str">
        <f>formatRow(Tokens!H$2:S$2,Tokens!H15:S15,2,"attributes")</f>
        <v>"attributes":[]</v>
      </c>
      <c r="X16" s="1" t="str">
        <f>formatRow(Tokens!AB$2:AJ$2,Tokens!AB15:AJ15,3,"creators")</f>
        <v>"creators":[]</v>
      </c>
      <c r="Y16" s="1" t="str">
        <f>formatRow(Tokens!AK$2:AP$2,Tokens!AK15:AP15,2,"files")</f>
        <v>"files":[]</v>
      </c>
      <c r="Z16" s="1"/>
      <c r="AA16" s="1"/>
      <c r="AB16" s="1"/>
      <c r="AC16" s="1" t="str">
        <f>formatRow(Tokens!AQ$2:AR$2,Tokens!AQ15:AR15,0,"collection")</f>
        <v>"collection":{"name":"",_x000D_
"family":""}</v>
      </c>
      <c r="AD16" s="1"/>
      <c r="AE16" s="1"/>
    </row>
    <row r="17" spans="5:31" ht="14.25" customHeight="1" x14ac:dyDescent="0.25">
      <c r="E17" s="23" t="str">
        <f>IF(Tokens!A16="","",Tokens!A16)</f>
        <v/>
      </c>
      <c r="F17" s="16"/>
      <c r="H17" s="18"/>
      <c r="L17" s="20" t="str">
        <f t="shared" si="0"/>
        <v>_</v>
      </c>
      <c r="M17" s="20"/>
      <c r="N17" s="20"/>
      <c r="O17" s="20"/>
      <c r="P17" s="20"/>
      <c r="U1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7" s="1" t="str">
        <f>formatRow(Tokens!A$2:G$2,Tokens!A16:G16)</f>
        <v>"name":"",_x000D_
"symbol":"",_x000D_
"description":"",_x000D_
"seller_fee_basis_points":"",_x000D_
"image":"",_x000D_
"Issuer":"",_x000D_
"external_url":""</v>
      </c>
      <c r="W17" s="1" t="str">
        <f>formatRow(Tokens!H$2:S$2,Tokens!H16:S16,2,"attributes")</f>
        <v>"attributes":[]</v>
      </c>
      <c r="X17" s="1" t="str">
        <f>formatRow(Tokens!AB$2:AJ$2,Tokens!AB16:AJ16,3,"creators")</f>
        <v>"creators":[]</v>
      </c>
      <c r="Y17" s="1" t="str">
        <f>formatRow(Tokens!AK$2:AP$2,Tokens!AK16:AP16,2,"files")</f>
        <v>"files":[]</v>
      </c>
      <c r="Z17" s="1"/>
      <c r="AA17" s="1"/>
      <c r="AB17" s="1"/>
      <c r="AC17" s="1" t="str">
        <f>formatRow(Tokens!AQ$2:AR$2,Tokens!AQ16:AR16,0,"collection")</f>
        <v>"collection":{"name":"",_x000D_
"family":""}</v>
      </c>
      <c r="AD17" s="1"/>
      <c r="AE17" s="1"/>
    </row>
    <row r="18" spans="5:31" ht="14.25" customHeight="1" x14ac:dyDescent="0.25">
      <c r="E18" s="23" t="str">
        <f>IF(Tokens!A17="","",Tokens!A17)</f>
        <v/>
      </c>
      <c r="F18" s="16"/>
      <c r="H18" s="18"/>
      <c r="L18" s="20" t="str">
        <f t="shared" si="0"/>
        <v>_</v>
      </c>
      <c r="M18" s="20"/>
      <c r="N18" s="20"/>
      <c r="O18" s="20"/>
      <c r="P18" s="20"/>
      <c r="U1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8" s="1" t="str">
        <f>formatRow(Tokens!A$2:G$2,Tokens!A17:G17)</f>
        <v>"name":"",_x000D_
"symbol":"",_x000D_
"description":"",_x000D_
"seller_fee_basis_points":"",_x000D_
"image":"",_x000D_
"Issuer":"",_x000D_
"external_url":""</v>
      </c>
      <c r="W18" s="1" t="str">
        <f>formatRow(Tokens!H$2:S$2,Tokens!H17:S17,2,"attributes")</f>
        <v>"attributes":[]</v>
      </c>
      <c r="X18" s="1" t="str">
        <f>formatRow(Tokens!AB$2:AJ$2,Tokens!AB17:AJ17,3,"creators")</f>
        <v>"creators":[]</v>
      </c>
      <c r="Y18" s="1" t="str">
        <f>formatRow(Tokens!AK$2:AP$2,Tokens!AK17:AP17,2,"files")</f>
        <v>"files":[]</v>
      </c>
      <c r="Z18" s="1"/>
      <c r="AA18" s="1"/>
      <c r="AB18" s="1"/>
      <c r="AC18" s="1" t="str">
        <f>formatRow(Tokens!AQ$2:AR$2,Tokens!AQ17:AR17,0,"collection")</f>
        <v>"collection":{"name":"",_x000D_
"family":""}</v>
      </c>
      <c r="AD18" s="1"/>
      <c r="AE18" s="1"/>
    </row>
    <row r="19" spans="5:31" ht="14.25" customHeight="1" x14ac:dyDescent="0.25">
      <c r="E19" s="23" t="str">
        <f>IF(Tokens!A18="","",Tokens!A18)</f>
        <v/>
      </c>
      <c r="F19" s="16"/>
      <c r="H19" s="18"/>
      <c r="L19" s="20" t="str">
        <f t="shared" si="0"/>
        <v>_</v>
      </c>
      <c r="M19" s="20"/>
      <c r="N19" s="20"/>
      <c r="O19" s="20"/>
      <c r="P19" s="20"/>
      <c r="U1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9" s="1" t="str">
        <f>formatRow(Tokens!A$2:G$2,Tokens!A18:G18)</f>
        <v>"name":"",_x000D_
"symbol":"",_x000D_
"description":"",_x000D_
"seller_fee_basis_points":"",_x000D_
"image":"",_x000D_
"Issuer":"",_x000D_
"external_url":""</v>
      </c>
      <c r="W19" s="1" t="str">
        <f>formatRow(Tokens!H$2:S$2,Tokens!H18:S18,2,"attributes")</f>
        <v>"attributes":[]</v>
      </c>
      <c r="X19" s="1" t="str">
        <f>formatRow(Tokens!AB$2:AJ$2,Tokens!AB18:AJ18,3,"creators")</f>
        <v>"creators":[]</v>
      </c>
      <c r="Y19" s="1" t="str">
        <f>formatRow(Tokens!AK$2:AP$2,Tokens!AK18:AP18,2,"files")</f>
        <v>"files":[]</v>
      </c>
      <c r="Z19" s="1"/>
      <c r="AA19" s="1"/>
      <c r="AB19" s="1"/>
      <c r="AC19" s="1" t="str">
        <f>formatRow(Tokens!AQ$2:AR$2,Tokens!AQ18:AR18,0,"collection")</f>
        <v>"collection":{"name":"",_x000D_
"family":""}</v>
      </c>
      <c r="AD19" s="1"/>
      <c r="AE19" s="1"/>
    </row>
    <row r="20" spans="5:31" ht="14.25" customHeight="1" x14ac:dyDescent="0.25">
      <c r="E20" s="23" t="str">
        <f>IF(Tokens!A19="","",Tokens!A19)</f>
        <v/>
      </c>
      <c r="L20" s="20" t="str">
        <f t="shared" si="0"/>
        <v>_</v>
      </c>
      <c r="M20" s="20"/>
      <c r="N20" s="20"/>
      <c r="O20" s="20"/>
      <c r="P20" s="20"/>
      <c r="U2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0" s="1" t="str">
        <f>formatRow(Tokens!A$2:G$2,Tokens!A19:G19)</f>
        <v>"name":"",_x000D_
"symbol":"",_x000D_
"description":"",_x000D_
"seller_fee_basis_points":"",_x000D_
"image":"",_x000D_
"Issuer":"",_x000D_
"external_url":""</v>
      </c>
      <c r="W20" s="1" t="str">
        <f>formatRow(Tokens!H$2:S$2,Tokens!H19:S19,2,"attributes")</f>
        <v>"attributes":[]</v>
      </c>
      <c r="X20" s="1" t="str">
        <f>formatRow(Tokens!AB$2:AJ$2,Tokens!AB19:AJ19,3,"creators")</f>
        <v>"creators":[]</v>
      </c>
      <c r="Y20" s="1" t="str">
        <f>formatRow(Tokens!AK$2:AP$2,Tokens!AK19:AP19,2,"files")</f>
        <v>"files":[]</v>
      </c>
      <c r="Z20" s="1"/>
      <c r="AA20" s="1"/>
      <c r="AB20" s="1"/>
      <c r="AC20" s="1" t="str">
        <f>formatRow(Tokens!AQ$2:AR$2,Tokens!AQ19:AR19,0,"collection")</f>
        <v>"collection":{"name":"",_x000D_
"family":""}</v>
      </c>
      <c r="AD20" s="1"/>
      <c r="AE20" s="1"/>
    </row>
    <row r="21" spans="5:31" ht="14.25" customHeight="1" x14ac:dyDescent="0.25">
      <c r="E21" s="23" t="str">
        <f>IF(Tokens!A20="","",Tokens!A20)</f>
        <v/>
      </c>
      <c r="L21" s="20" t="str">
        <f t="shared" si="0"/>
        <v>_</v>
      </c>
      <c r="M21" s="20"/>
      <c r="N21" s="20"/>
      <c r="O21" s="20"/>
      <c r="P21" s="20"/>
      <c r="U2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1" s="1" t="str">
        <f>formatRow(Tokens!A$2:G$2,Tokens!A20:G20)</f>
        <v>"name":"",_x000D_
"symbol":"",_x000D_
"description":"",_x000D_
"seller_fee_basis_points":"",_x000D_
"image":"",_x000D_
"Issuer":"",_x000D_
"external_url":""</v>
      </c>
      <c r="W21" s="1" t="str">
        <f>formatRow(Tokens!H$2:S$2,Tokens!H20:S20,2,"attributes")</f>
        <v>"attributes":[]</v>
      </c>
      <c r="X21" s="1" t="str">
        <f>formatRow(Tokens!AB$2:AJ$2,Tokens!AB20:AJ20,3,"creators")</f>
        <v>"creators":[]</v>
      </c>
      <c r="Y21" s="1" t="str">
        <f>formatRow(Tokens!AK$2:AP$2,Tokens!AK20:AP20,2,"files")</f>
        <v>"files":[]</v>
      </c>
      <c r="Z21" s="1"/>
      <c r="AA21" s="1"/>
      <c r="AB21" s="1"/>
      <c r="AC21" s="1" t="str">
        <f>formatRow(Tokens!AQ$2:AR$2,Tokens!AQ20:AR20,0,"collection")</f>
        <v>"collection":{"name":"",_x000D_
"family":""}</v>
      </c>
      <c r="AD21" s="1"/>
      <c r="AE21" s="1"/>
    </row>
    <row r="22" spans="5:31" ht="14.25" customHeight="1" x14ac:dyDescent="0.25">
      <c r="E22" s="23" t="str">
        <f>IF(Tokens!A21="","",Tokens!A21)</f>
        <v/>
      </c>
      <c r="L22" s="20" t="str">
        <f t="shared" si="0"/>
        <v>_</v>
      </c>
      <c r="M22" s="20"/>
      <c r="N22" s="20"/>
      <c r="O22" s="20"/>
      <c r="P22" s="20"/>
      <c r="U2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2" s="1" t="str">
        <f>formatRow(Tokens!A$2:G$2,Tokens!A21:G21)</f>
        <v>"name":"",_x000D_
"symbol":"",_x000D_
"description":"",_x000D_
"seller_fee_basis_points":"",_x000D_
"image":"",_x000D_
"Issuer":"",_x000D_
"external_url":""</v>
      </c>
      <c r="W22" s="1" t="str">
        <f>formatRow(Tokens!H$2:S$2,Tokens!H21:S21,2,"attributes")</f>
        <v>"attributes":[]</v>
      </c>
      <c r="X22" s="1" t="str">
        <f>formatRow(Tokens!AB$2:AJ$2,Tokens!AB21:AJ21,3,"creators")</f>
        <v>"creators":[]</v>
      </c>
      <c r="Y22" s="1" t="str">
        <f>formatRow(Tokens!AK$2:AP$2,Tokens!AK21:AP21,2,"files")</f>
        <v>"files":[]</v>
      </c>
      <c r="Z22" s="1"/>
      <c r="AA22" s="1"/>
      <c r="AB22" s="1"/>
      <c r="AC22" s="1" t="str">
        <f>formatRow(Tokens!AQ$2:AR$2,Tokens!AQ21:AR21,0,"collection")</f>
        <v>"collection":{"name":"",_x000D_
"family":""}</v>
      </c>
      <c r="AD22" s="1"/>
      <c r="AE22" s="1"/>
    </row>
    <row r="23" spans="5:31" ht="14.25" customHeight="1" x14ac:dyDescent="0.25">
      <c r="E23" s="23" t="str">
        <f>IF(Tokens!A22="","",Tokens!A22)</f>
        <v/>
      </c>
      <c r="L23" s="20" t="str">
        <f t="shared" si="0"/>
        <v>_</v>
      </c>
      <c r="M23" s="20"/>
      <c r="N23" s="20"/>
      <c r="O23" s="20"/>
      <c r="P23" s="20"/>
      <c r="U2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3" s="1" t="str">
        <f>formatRow(Tokens!A$2:G$2,Tokens!A22:G22)</f>
        <v>"name":"",_x000D_
"symbol":"",_x000D_
"description":"",_x000D_
"seller_fee_basis_points":"",_x000D_
"image":"",_x000D_
"Issuer":"",_x000D_
"external_url":""</v>
      </c>
      <c r="W23" s="1" t="str">
        <f>formatRow(Tokens!H$2:S$2,Tokens!H22:S22,2,"attributes")</f>
        <v>"attributes":[]</v>
      </c>
      <c r="X23" s="1" t="str">
        <f>formatRow(Tokens!AB$2:AJ$2,Tokens!AB22:AJ22,3,"creators")</f>
        <v>"creators":[]</v>
      </c>
      <c r="Y23" s="1" t="str">
        <f>formatRow(Tokens!AK$2:AP$2,Tokens!AK22:AP22,2,"files")</f>
        <v>"files":[]</v>
      </c>
      <c r="Z23" s="1"/>
      <c r="AA23" s="1"/>
      <c r="AB23" s="1"/>
      <c r="AC23" s="1" t="str">
        <f>formatRow(Tokens!AQ$2:AR$2,Tokens!AQ22:AR22,0,"collection")</f>
        <v>"collection":{"name":"",_x000D_
"family":""}</v>
      </c>
      <c r="AD23" s="1"/>
      <c r="AE23" s="1"/>
    </row>
    <row r="24" spans="5:31" ht="14.25" customHeight="1" x14ac:dyDescent="0.25">
      <c r="E24" s="23" t="str">
        <f>IF(Tokens!A23="","",Tokens!A23)</f>
        <v/>
      </c>
      <c r="L24" s="20" t="str">
        <f t="shared" si="0"/>
        <v>_</v>
      </c>
      <c r="M24" s="20"/>
      <c r="N24" s="20"/>
      <c r="O24" s="20"/>
      <c r="P24" s="20"/>
      <c r="U2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4" s="1" t="str">
        <f>formatRow(Tokens!A$2:G$2,Tokens!A23:G23)</f>
        <v>"name":"",_x000D_
"symbol":"",_x000D_
"description":"",_x000D_
"seller_fee_basis_points":"",_x000D_
"image":"",_x000D_
"Issuer":"",_x000D_
"external_url":""</v>
      </c>
      <c r="W24" s="1" t="str">
        <f>formatRow(Tokens!H$2:S$2,Tokens!H23:S23,2,"attributes")</f>
        <v>"attributes":[]</v>
      </c>
      <c r="X24" s="1" t="str">
        <f>formatRow(Tokens!AB$2:AJ$2,Tokens!AB23:AJ23,3,"creators")</f>
        <v>"creators":[]</v>
      </c>
      <c r="Y24" s="1" t="str">
        <f>formatRow(Tokens!AK$2:AP$2,Tokens!AK23:AP23,2,"files")</f>
        <v>"files":[]</v>
      </c>
      <c r="Z24" s="1"/>
      <c r="AA24" s="1"/>
      <c r="AB24" s="1"/>
      <c r="AC24" s="1" t="str">
        <f>formatRow(Tokens!AQ$2:AR$2,Tokens!AQ23:AR23,0,"collection")</f>
        <v>"collection":{"name":"",_x000D_
"family":""}</v>
      </c>
      <c r="AD24" s="1"/>
      <c r="AE24" s="1"/>
    </row>
    <row r="25" spans="5:31" ht="14.25" customHeight="1" x14ac:dyDescent="0.25">
      <c r="E25" s="23" t="str">
        <f>IF(Tokens!A24="","",Tokens!A24)</f>
        <v/>
      </c>
      <c r="L25" s="20" t="str">
        <f t="shared" si="0"/>
        <v>_</v>
      </c>
      <c r="M25" s="20"/>
      <c r="N25" s="20"/>
      <c r="O25" s="20"/>
      <c r="P25" s="20"/>
      <c r="U2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5" s="1" t="str">
        <f>formatRow(Tokens!A$2:G$2,Tokens!A24:G24)</f>
        <v>"name":"",_x000D_
"symbol":"",_x000D_
"description":"",_x000D_
"seller_fee_basis_points":"",_x000D_
"image":"",_x000D_
"Issuer":"",_x000D_
"external_url":""</v>
      </c>
      <c r="W25" s="1" t="str">
        <f>formatRow(Tokens!H$2:S$2,Tokens!H24:S24,2,"attributes")</f>
        <v>"attributes":[]</v>
      </c>
      <c r="X25" s="1" t="str">
        <f>formatRow(Tokens!AB$2:AJ$2,Tokens!AB24:AJ24,3,"creators")</f>
        <v>"creators":[]</v>
      </c>
      <c r="Y25" s="1" t="str">
        <f>formatRow(Tokens!AK$2:AP$2,Tokens!AK24:AP24,2,"files")</f>
        <v>"files":[]</v>
      </c>
      <c r="Z25" s="1"/>
      <c r="AA25" s="1"/>
      <c r="AB25" s="1"/>
      <c r="AC25" s="1" t="str">
        <f>formatRow(Tokens!AQ$2:AR$2,Tokens!AQ24:AR24,0,"collection")</f>
        <v>"collection":{"name":"",_x000D_
"family":""}</v>
      </c>
      <c r="AD25" s="1"/>
      <c r="AE25" s="1"/>
    </row>
    <row r="26" spans="5:31" ht="14.25" customHeight="1" x14ac:dyDescent="0.25">
      <c r="E26" s="23" t="str">
        <f>IF(Tokens!A25="","",Tokens!A25)</f>
        <v/>
      </c>
      <c r="L26" s="20" t="str">
        <f t="shared" si="0"/>
        <v>_</v>
      </c>
      <c r="M26" s="20"/>
      <c r="N26" s="20"/>
      <c r="O26" s="20"/>
      <c r="P26" s="20"/>
      <c r="U2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6" s="1" t="str">
        <f>formatRow(Tokens!A$2:G$2,Tokens!A25:G25)</f>
        <v>"name":"",_x000D_
"symbol":"",_x000D_
"description":"",_x000D_
"seller_fee_basis_points":"",_x000D_
"image":"",_x000D_
"Issuer":"",_x000D_
"external_url":""</v>
      </c>
      <c r="W26" s="1" t="str">
        <f>formatRow(Tokens!H$2:S$2,Tokens!H25:S25,2,"attributes")</f>
        <v>"attributes":[]</v>
      </c>
      <c r="X26" s="1" t="str">
        <f>formatRow(Tokens!AB$2:AJ$2,Tokens!AB25:AJ25,3,"creators")</f>
        <v>"creators":[]</v>
      </c>
      <c r="Y26" s="1" t="str">
        <f>formatRow(Tokens!AK$2:AP$2,Tokens!AK25:AP25,2,"files")</f>
        <v>"files":[]</v>
      </c>
      <c r="Z26" s="1"/>
      <c r="AA26" s="1"/>
      <c r="AB26" s="1"/>
      <c r="AC26" s="1" t="str">
        <f>formatRow(Tokens!AQ$2:AR$2,Tokens!AQ25:AR25,0,"collection")</f>
        <v>"collection":{"name":"",_x000D_
"family":""}</v>
      </c>
      <c r="AD26" s="1"/>
      <c r="AE26" s="1"/>
    </row>
    <row r="27" spans="5:31" ht="14.25" customHeight="1" x14ac:dyDescent="0.25">
      <c r="E27" s="23" t="str">
        <f>IF(Tokens!A26="","",Tokens!A26)</f>
        <v/>
      </c>
      <c r="L27" s="20" t="str">
        <f t="shared" si="0"/>
        <v>_</v>
      </c>
      <c r="M27" s="20"/>
      <c r="N27" s="20"/>
      <c r="O27" s="20"/>
      <c r="P27" s="20"/>
      <c r="U2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7" s="1" t="str">
        <f>formatRow(Tokens!A$2:G$2,Tokens!A26:G26)</f>
        <v>"name":"",_x000D_
"symbol":"",_x000D_
"description":"",_x000D_
"seller_fee_basis_points":"",_x000D_
"image":"",_x000D_
"Issuer":"",_x000D_
"external_url":""</v>
      </c>
      <c r="W27" s="1" t="str">
        <f>formatRow(Tokens!H$2:S$2,Tokens!H26:S26,2,"attributes")</f>
        <v>"attributes":[]</v>
      </c>
      <c r="X27" s="1" t="str">
        <f>formatRow(Tokens!AB$2:AJ$2,Tokens!AB26:AJ26,3,"creators")</f>
        <v>"creators":[]</v>
      </c>
      <c r="Y27" s="1" t="str">
        <f>formatRow(Tokens!AK$2:AP$2,Tokens!AK26:AP26,2,"files")</f>
        <v>"files":[]</v>
      </c>
      <c r="Z27" s="1"/>
      <c r="AA27" s="1"/>
      <c r="AB27" s="1"/>
      <c r="AC27" s="1" t="str">
        <f>formatRow(Tokens!AQ$2:AR$2,Tokens!AQ26:AR26,0,"collection")</f>
        <v>"collection":{"name":"",_x000D_
"family":""}</v>
      </c>
      <c r="AD27" s="1"/>
      <c r="AE27" s="1"/>
    </row>
    <row r="28" spans="5:31" ht="14.25" customHeight="1" x14ac:dyDescent="0.25">
      <c r="E28" s="23" t="str">
        <f>IF(Tokens!A27="","",Tokens!A27)</f>
        <v/>
      </c>
      <c r="L28" s="20" t="str">
        <f t="shared" si="0"/>
        <v>_</v>
      </c>
      <c r="M28" s="20"/>
      <c r="N28" s="20"/>
      <c r="O28" s="20"/>
      <c r="P28" s="20"/>
      <c r="U2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8" s="1" t="str">
        <f>formatRow(Tokens!A$2:G$2,Tokens!A27:G27)</f>
        <v>"name":"",_x000D_
"symbol":"",_x000D_
"description":"",_x000D_
"seller_fee_basis_points":"",_x000D_
"image":"",_x000D_
"Issuer":"",_x000D_
"external_url":""</v>
      </c>
      <c r="W28" s="1" t="str">
        <f>formatRow(Tokens!H$2:S$2,Tokens!H27:S27,2,"attributes")</f>
        <v>"attributes":[]</v>
      </c>
      <c r="X28" s="1" t="str">
        <f>formatRow(Tokens!AB$2:AJ$2,Tokens!AB27:AJ27,3,"creators")</f>
        <v>"creators":[]</v>
      </c>
      <c r="Y28" s="1" t="str">
        <f>formatRow(Tokens!AK$2:AP$2,Tokens!AK27:AP27,2,"files")</f>
        <v>"files":[]</v>
      </c>
      <c r="Z28" s="1"/>
      <c r="AA28" s="1"/>
      <c r="AB28" s="1"/>
      <c r="AC28" s="1" t="str">
        <f>formatRow(Tokens!AQ$2:AR$2,Tokens!AQ27:AR27,0,"collection")</f>
        <v>"collection":{"name":"",_x000D_
"family":""}</v>
      </c>
      <c r="AD28" s="1"/>
      <c r="AE28" s="1"/>
    </row>
    <row r="29" spans="5:31" ht="14.25" customHeight="1" x14ac:dyDescent="0.25">
      <c r="E29" s="23" t="str">
        <f>IF(Tokens!A28="","",Tokens!A28)</f>
        <v/>
      </c>
      <c r="L29" s="20" t="str">
        <f t="shared" si="0"/>
        <v>_</v>
      </c>
      <c r="M29" s="20"/>
      <c r="N29" s="20"/>
      <c r="O29" s="20"/>
      <c r="P29" s="20"/>
      <c r="U2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9" s="1" t="str">
        <f>formatRow(Tokens!A$2:G$2,Tokens!A28:G28)</f>
        <v>"name":"",_x000D_
"symbol":"",_x000D_
"description":"",_x000D_
"seller_fee_basis_points":"",_x000D_
"image":"",_x000D_
"Issuer":"",_x000D_
"external_url":""</v>
      </c>
      <c r="W29" s="1" t="str">
        <f>formatRow(Tokens!H$2:S$2,Tokens!H28:S28,2,"attributes")</f>
        <v>"attributes":[]</v>
      </c>
      <c r="X29" s="1" t="str">
        <f>formatRow(Tokens!AB$2:AJ$2,Tokens!AB28:AJ28,3,"creators")</f>
        <v>"creators":[]</v>
      </c>
      <c r="Y29" s="1" t="str">
        <f>formatRow(Tokens!AK$2:AP$2,Tokens!AK28:AP28,2,"files")</f>
        <v>"files":[]</v>
      </c>
      <c r="Z29" s="1"/>
      <c r="AA29" s="1"/>
      <c r="AB29" s="1"/>
      <c r="AC29" s="1" t="str">
        <f>formatRow(Tokens!AQ$2:AR$2,Tokens!AQ28:AR28,0,"collection")</f>
        <v>"collection":{"name":"",_x000D_
"family":""}</v>
      </c>
      <c r="AD29" s="1"/>
      <c r="AE29" s="1"/>
    </row>
    <row r="30" spans="5:31" ht="14.25" customHeight="1" x14ac:dyDescent="0.25">
      <c r="E30" s="23" t="str">
        <f>IF(Tokens!A29="","",Tokens!A29)</f>
        <v/>
      </c>
      <c r="L30" s="20" t="str">
        <f t="shared" si="0"/>
        <v>_</v>
      </c>
      <c r="M30" s="20"/>
      <c r="N30" s="20"/>
      <c r="O30" s="20"/>
      <c r="P30" s="20"/>
      <c r="U3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0" s="1" t="str">
        <f>formatRow(Tokens!A$2:G$2,Tokens!A29:G29)</f>
        <v>"name":"",_x000D_
"symbol":"",_x000D_
"description":"",_x000D_
"seller_fee_basis_points":"",_x000D_
"image":"",_x000D_
"Issuer":"",_x000D_
"external_url":""</v>
      </c>
      <c r="W30" s="1" t="str">
        <f>formatRow(Tokens!H$2:S$2,Tokens!H29:S29,2,"attributes")</f>
        <v>"attributes":[]</v>
      </c>
      <c r="X30" s="1" t="str">
        <f>formatRow(Tokens!AB$2:AJ$2,Tokens!AB29:AJ29,3,"creators")</f>
        <v>"creators":[]</v>
      </c>
      <c r="Y30" s="1" t="str">
        <f>formatRow(Tokens!AK$2:AP$2,Tokens!AK29:AP29,2,"files")</f>
        <v>"files":[]</v>
      </c>
      <c r="Z30" s="1"/>
      <c r="AA30" s="1"/>
      <c r="AB30" s="1"/>
      <c r="AC30" s="1" t="str">
        <f>formatRow(Tokens!AQ$2:AR$2,Tokens!AQ29:AR29,0,"collection")</f>
        <v>"collection":{"name":"",_x000D_
"family":""}</v>
      </c>
      <c r="AD30" s="1"/>
      <c r="AE30" s="1"/>
    </row>
    <row r="31" spans="5:31" ht="14.25" customHeight="1" x14ac:dyDescent="0.25">
      <c r="E31" s="23" t="str">
        <f>IF(Tokens!A30="","",Tokens!A30)</f>
        <v/>
      </c>
      <c r="L31" s="20" t="str">
        <f t="shared" si="0"/>
        <v>_</v>
      </c>
      <c r="M31" s="20"/>
      <c r="N31" s="20"/>
      <c r="O31" s="20"/>
      <c r="P31" s="20"/>
      <c r="U3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1" s="1" t="str">
        <f>formatRow(Tokens!A$2:G$2,Tokens!A30:G30)</f>
        <v>"name":"",_x000D_
"symbol":"",_x000D_
"description":"",_x000D_
"seller_fee_basis_points":"",_x000D_
"image":"",_x000D_
"Issuer":"",_x000D_
"external_url":""</v>
      </c>
      <c r="W31" s="1" t="str">
        <f>formatRow(Tokens!H$2:S$2,Tokens!H30:S30,2,"attributes")</f>
        <v>"attributes":[]</v>
      </c>
      <c r="X31" s="1" t="str">
        <f>formatRow(Tokens!AB$2:AJ$2,Tokens!AB30:AJ30,3,"creators")</f>
        <v>"creators":[]</v>
      </c>
      <c r="Y31" s="1" t="str">
        <f>formatRow(Tokens!AK$2:AP$2,Tokens!AK30:AP30,2,"files")</f>
        <v>"files":[]</v>
      </c>
      <c r="Z31" s="1"/>
      <c r="AA31" s="1"/>
      <c r="AB31" s="1"/>
      <c r="AC31" s="1" t="str">
        <f>formatRow(Tokens!AQ$2:AR$2,Tokens!AQ30:AR30,0,"collection")</f>
        <v>"collection":{"name":"",_x000D_
"family":""}</v>
      </c>
      <c r="AD31" s="1"/>
      <c r="AE31" s="1"/>
    </row>
    <row r="32" spans="5:31" ht="14.25" customHeight="1" x14ac:dyDescent="0.25">
      <c r="E32" s="23" t="str">
        <f>IF(Tokens!A31="","",Tokens!A31)</f>
        <v/>
      </c>
      <c r="L32" s="20" t="str">
        <f t="shared" si="0"/>
        <v>_</v>
      </c>
      <c r="M32" s="20"/>
      <c r="N32" s="20"/>
      <c r="O32" s="20"/>
      <c r="P32" s="20"/>
      <c r="U3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2" s="1" t="str">
        <f>formatRow(Tokens!A$2:G$2,Tokens!A31:G31)</f>
        <v>"name":"",_x000D_
"symbol":"",_x000D_
"description":"",_x000D_
"seller_fee_basis_points":"",_x000D_
"image":"",_x000D_
"Issuer":"",_x000D_
"external_url":""</v>
      </c>
      <c r="W32" s="1" t="str">
        <f>formatRow(Tokens!H$2:S$2,Tokens!H31:S31,2,"attributes")</f>
        <v>"attributes":[]</v>
      </c>
      <c r="X32" s="1" t="str">
        <f>formatRow(Tokens!AB$2:AJ$2,Tokens!AB31:AJ31,3,"creators")</f>
        <v>"creators":[]</v>
      </c>
      <c r="Y32" s="1" t="str">
        <f>formatRow(Tokens!AK$2:AP$2,Tokens!AK31:AP31,2,"files")</f>
        <v>"files":[]</v>
      </c>
      <c r="Z32" s="1"/>
      <c r="AA32" s="1"/>
      <c r="AB32" s="1"/>
      <c r="AC32" s="1" t="str">
        <f>formatRow(Tokens!AQ$2:AR$2,Tokens!AQ31:AR31,0,"collection")</f>
        <v>"collection":{"name":"",_x000D_
"family":""}</v>
      </c>
      <c r="AD32" s="1"/>
      <c r="AE32" s="1"/>
    </row>
    <row r="33" spans="5:31" ht="14.25" customHeight="1" x14ac:dyDescent="0.25">
      <c r="E33" s="23" t="str">
        <f>IF(Tokens!A32="","",Tokens!A32)</f>
        <v/>
      </c>
      <c r="L33" s="20" t="str">
        <f t="shared" si="0"/>
        <v>_</v>
      </c>
      <c r="M33" s="20"/>
      <c r="N33" s="20"/>
      <c r="O33" s="20"/>
      <c r="P33" s="20"/>
      <c r="U3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3" s="1" t="str">
        <f>formatRow(Tokens!A$2:G$2,Tokens!A32:G32)</f>
        <v>"name":"",_x000D_
"symbol":"",_x000D_
"description":"",_x000D_
"seller_fee_basis_points":"",_x000D_
"image":"",_x000D_
"Issuer":"",_x000D_
"external_url":""</v>
      </c>
      <c r="W33" s="1" t="str">
        <f>formatRow(Tokens!H$2:S$2,Tokens!H32:S32,2,"attributes")</f>
        <v>"attributes":[]</v>
      </c>
      <c r="X33" s="1" t="str">
        <f>formatRow(Tokens!AB$2:AJ$2,Tokens!AB32:AJ32,3,"creators")</f>
        <v>"creators":[]</v>
      </c>
      <c r="Y33" s="1" t="str">
        <f>formatRow(Tokens!AK$2:AP$2,Tokens!AK32:AP32,2,"files")</f>
        <v>"files":[]</v>
      </c>
      <c r="Z33" s="1"/>
      <c r="AA33" s="1"/>
      <c r="AB33" s="1"/>
      <c r="AC33" s="1" t="str">
        <f>formatRow(Tokens!AQ$2:AR$2,Tokens!AQ32:AR32,0,"collection")</f>
        <v>"collection":{"name":"",_x000D_
"family":""}</v>
      </c>
      <c r="AD33" s="1"/>
      <c r="AE33" s="1"/>
    </row>
    <row r="34" spans="5:31" ht="14.25" customHeight="1" x14ac:dyDescent="0.25">
      <c r="E34" s="23" t="str">
        <f>IF(Tokens!A33="","",Tokens!A33)</f>
        <v/>
      </c>
      <c r="L34" s="20" t="str">
        <f t="shared" si="0"/>
        <v>_</v>
      </c>
      <c r="M34" s="20"/>
      <c r="N34" s="20"/>
      <c r="O34" s="20"/>
      <c r="P34" s="20"/>
      <c r="U3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4" s="1" t="str">
        <f>formatRow(Tokens!A$2:G$2,Tokens!A33:G33)</f>
        <v>"name":"",_x000D_
"symbol":"",_x000D_
"description":"",_x000D_
"seller_fee_basis_points":"",_x000D_
"image":"",_x000D_
"Issuer":"",_x000D_
"external_url":""</v>
      </c>
      <c r="W34" s="1" t="str">
        <f>formatRow(Tokens!H$2:S$2,Tokens!H33:S33,2,"attributes")</f>
        <v>"attributes":[]</v>
      </c>
      <c r="X34" s="1" t="str">
        <f>formatRow(Tokens!AB$2:AJ$2,Tokens!AB33:AJ33,3,"creators")</f>
        <v>"creators":[]</v>
      </c>
      <c r="Y34" s="1" t="str">
        <f>formatRow(Tokens!AK$2:AP$2,Tokens!AK33:AP33,2,"files")</f>
        <v>"files":[]</v>
      </c>
      <c r="Z34" s="1"/>
      <c r="AA34" s="1"/>
      <c r="AB34" s="1"/>
      <c r="AC34" s="1" t="str">
        <f>formatRow(Tokens!AQ$2:AR$2,Tokens!AQ33:AR33,0,"collection")</f>
        <v>"collection":{"name":"",_x000D_
"family":""}</v>
      </c>
      <c r="AD34" s="1"/>
      <c r="AE34" s="1"/>
    </row>
    <row r="35" spans="5:31" ht="14.25" customHeight="1" x14ac:dyDescent="0.25">
      <c r="E35" s="23" t="str">
        <f>IF(Tokens!A34="","",Tokens!A34)</f>
        <v/>
      </c>
      <c r="L35" s="20" t="str">
        <f t="shared" si="0"/>
        <v>_</v>
      </c>
      <c r="M35" s="20"/>
      <c r="N35" s="20"/>
      <c r="O35" s="20"/>
      <c r="P35" s="20"/>
      <c r="U3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5" s="1" t="str">
        <f>formatRow(Tokens!A$2:G$2,Tokens!A34:G34)</f>
        <v>"name":"",_x000D_
"symbol":"",_x000D_
"description":"",_x000D_
"seller_fee_basis_points":"",_x000D_
"image":"",_x000D_
"Issuer":"",_x000D_
"external_url":""</v>
      </c>
      <c r="W35" s="1" t="str">
        <f>formatRow(Tokens!H$2:S$2,Tokens!H34:S34,2,"attributes")</f>
        <v>"attributes":[]</v>
      </c>
      <c r="X35" s="1" t="str">
        <f>formatRow(Tokens!AB$2:AJ$2,Tokens!AB34:AJ34,3,"creators")</f>
        <v>"creators":[]</v>
      </c>
      <c r="Y35" s="1" t="str">
        <f>formatRow(Tokens!AK$2:AP$2,Tokens!AK34:AP34,2,"files")</f>
        <v>"files":[]</v>
      </c>
      <c r="Z35" s="1"/>
      <c r="AA35" s="1"/>
      <c r="AB35" s="1"/>
      <c r="AC35" s="1" t="str">
        <f>formatRow(Tokens!AQ$2:AR$2,Tokens!AQ34:AR34,0,"collection")</f>
        <v>"collection":{"name":"",_x000D_
"family":""}</v>
      </c>
      <c r="AD35" s="1"/>
      <c r="AE35" s="1"/>
    </row>
    <row r="36" spans="5:31" ht="14.25" customHeight="1" x14ac:dyDescent="0.25">
      <c r="E36" s="23" t="str">
        <f>IF(Tokens!A35="","",Tokens!A35)</f>
        <v/>
      </c>
      <c r="L36" s="20" t="str">
        <f t="shared" si="0"/>
        <v>_</v>
      </c>
      <c r="M36" s="20"/>
      <c r="N36" s="20"/>
      <c r="O36" s="20"/>
      <c r="P36" s="20"/>
      <c r="U3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6" s="1" t="str">
        <f>formatRow(Tokens!A$2:G$2,Tokens!A35:G35)</f>
        <v>"name":"",_x000D_
"symbol":"",_x000D_
"description":"",_x000D_
"seller_fee_basis_points":"",_x000D_
"image":"",_x000D_
"Issuer":"",_x000D_
"external_url":""</v>
      </c>
      <c r="W36" s="1" t="str">
        <f>formatRow(Tokens!H$2:S$2,Tokens!H35:S35,2,"attributes")</f>
        <v>"attributes":[]</v>
      </c>
      <c r="X36" s="1" t="str">
        <f>formatRow(Tokens!AB$2:AJ$2,Tokens!AB35:AJ35,3,"creators")</f>
        <v>"creators":[]</v>
      </c>
      <c r="Y36" s="1" t="str">
        <f>formatRow(Tokens!AK$2:AP$2,Tokens!AK35:AP35,2,"files")</f>
        <v>"files":[]</v>
      </c>
      <c r="Z36" s="1"/>
      <c r="AA36" s="1"/>
      <c r="AB36" s="1"/>
      <c r="AC36" s="1" t="str">
        <f>formatRow(Tokens!AQ$2:AR$2,Tokens!AQ35:AR35,0,"collection")</f>
        <v>"collection":{"name":"",_x000D_
"family":""}</v>
      </c>
      <c r="AD36" s="1"/>
      <c r="AE36" s="1"/>
    </row>
    <row r="37" spans="5:31" ht="14.25" customHeight="1" x14ac:dyDescent="0.25">
      <c r="E37" s="23" t="str">
        <f>IF(Tokens!A36="","",Tokens!A36)</f>
        <v/>
      </c>
      <c r="L37" s="20" t="str">
        <f t="shared" si="0"/>
        <v>_</v>
      </c>
      <c r="M37" s="20"/>
      <c r="N37" s="20"/>
      <c r="O37" s="20"/>
      <c r="P37" s="20"/>
      <c r="U3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7" s="1" t="str">
        <f>formatRow(Tokens!A$2:G$2,Tokens!A36:G36)</f>
        <v>"name":"",_x000D_
"symbol":"",_x000D_
"description":"",_x000D_
"seller_fee_basis_points":"",_x000D_
"image":"",_x000D_
"Issuer":"",_x000D_
"external_url":""</v>
      </c>
      <c r="W37" s="1" t="str">
        <f>formatRow(Tokens!H$2:S$2,Tokens!H36:S36,2,"attributes")</f>
        <v>"attributes":[]</v>
      </c>
      <c r="X37" s="1" t="str">
        <f>formatRow(Tokens!AB$2:AJ$2,Tokens!AB36:AJ36,3,"creators")</f>
        <v>"creators":[]</v>
      </c>
      <c r="Y37" s="1" t="str">
        <f>formatRow(Tokens!AK$2:AP$2,Tokens!AK36:AP36,2,"files")</f>
        <v>"files":[]</v>
      </c>
      <c r="Z37" s="1"/>
      <c r="AA37" s="1"/>
      <c r="AB37" s="1"/>
      <c r="AC37" s="1" t="str">
        <f>formatRow(Tokens!AQ$2:AR$2,Tokens!AQ36:AR36,0,"collection")</f>
        <v>"collection":{"name":"",_x000D_
"family":""}</v>
      </c>
      <c r="AD37" s="1"/>
      <c r="AE37" s="1"/>
    </row>
    <row r="38" spans="5:31" ht="14.25" customHeight="1" x14ac:dyDescent="0.25">
      <c r="E38" s="23" t="str">
        <f>IF(Tokens!A37="","",Tokens!A37)</f>
        <v/>
      </c>
      <c r="L38" s="20" t="str">
        <f t="shared" si="0"/>
        <v>_</v>
      </c>
      <c r="M38" s="20"/>
      <c r="N38" s="20"/>
      <c r="O38" s="20"/>
      <c r="P38" s="20"/>
      <c r="U3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8" s="1" t="str">
        <f>formatRow(Tokens!A$2:G$2,Tokens!A37:G37)</f>
        <v>"name":"",_x000D_
"symbol":"",_x000D_
"description":"",_x000D_
"seller_fee_basis_points":"",_x000D_
"image":"",_x000D_
"Issuer":"",_x000D_
"external_url":""</v>
      </c>
      <c r="W38" s="1" t="str">
        <f>formatRow(Tokens!H$2:S$2,Tokens!H37:S37,2,"attributes")</f>
        <v>"attributes":[]</v>
      </c>
      <c r="X38" s="1" t="str">
        <f>formatRow(Tokens!AB$2:AJ$2,Tokens!AB37:AJ37,3,"creators")</f>
        <v>"creators":[]</v>
      </c>
      <c r="Y38" s="1" t="str">
        <f>formatRow(Tokens!AK$2:AP$2,Tokens!AK37:AP37,2,"files")</f>
        <v>"files":[]</v>
      </c>
      <c r="Z38" s="1"/>
      <c r="AA38" s="1"/>
      <c r="AB38" s="1"/>
      <c r="AC38" s="1" t="str">
        <f>formatRow(Tokens!AQ$2:AR$2,Tokens!AQ37:AR37,0,"collection")</f>
        <v>"collection":{"name":"",_x000D_
"family":""}</v>
      </c>
      <c r="AD38" s="1"/>
      <c r="AE38" s="1"/>
    </row>
    <row r="39" spans="5:31" ht="14.25" customHeight="1" x14ac:dyDescent="0.25">
      <c r="E39" s="23" t="str">
        <f>IF(Tokens!A38="","",Tokens!A38)</f>
        <v/>
      </c>
      <c r="L39" s="20" t="str">
        <f t="shared" si="0"/>
        <v>_</v>
      </c>
      <c r="M39" s="20"/>
      <c r="N39" s="20"/>
      <c r="O39" s="20"/>
      <c r="P39" s="20"/>
      <c r="U3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9" s="1" t="str">
        <f>formatRow(Tokens!A$2:G$2,Tokens!A38:G38)</f>
        <v>"name":"",_x000D_
"symbol":"",_x000D_
"description":"",_x000D_
"seller_fee_basis_points":"",_x000D_
"image":"",_x000D_
"Issuer":"",_x000D_
"external_url":""</v>
      </c>
      <c r="W39" s="1" t="str">
        <f>formatRow(Tokens!H$2:S$2,Tokens!H38:S38,2,"attributes")</f>
        <v>"attributes":[]</v>
      </c>
      <c r="X39" s="1" t="str">
        <f>formatRow(Tokens!AB$2:AJ$2,Tokens!AB38:AJ38,3,"creators")</f>
        <v>"creators":[]</v>
      </c>
      <c r="Y39" s="1" t="str">
        <f>formatRow(Tokens!AK$2:AP$2,Tokens!AK38:AP38,2,"files")</f>
        <v>"files":[]</v>
      </c>
      <c r="Z39" s="1"/>
      <c r="AA39" s="1"/>
      <c r="AB39" s="1"/>
      <c r="AC39" s="1" t="str">
        <f>formatRow(Tokens!AQ$2:AR$2,Tokens!AQ38:AR38,0,"collection")</f>
        <v>"collection":{"name":"",_x000D_
"family":""}</v>
      </c>
      <c r="AD39" s="1"/>
      <c r="AE39" s="1"/>
    </row>
    <row r="40" spans="5:31" ht="14.25" customHeight="1" x14ac:dyDescent="0.25">
      <c r="E40" s="23" t="str">
        <f>IF(Tokens!A39="","",Tokens!A39)</f>
        <v/>
      </c>
      <c r="L40" s="20" t="str">
        <f t="shared" si="0"/>
        <v>_</v>
      </c>
      <c r="M40" s="20"/>
      <c r="N40" s="20"/>
      <c r="O40" s="20"/>
      <c r="P40" s="20"/>
      <c r="U4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0" s="1" t="str">
        <f>formatRow(Tokens!A$2:G$2,Tokens!A39:G39)</f>
        <v>"name":"",_x000D_
"symbol":"",_x000D_
"description":"",_x000D_
"seller_fee_basis_points":"",_x000D_
"image":"",_x000D_
"Issuer":"",_x000D_
"external_url":""</v>
      </c>
      <c r="W40" s="1" t="str">
        <f>formatRow(Tokens!H$2:S$2,Tokens!H39:S39,2,"attributes")</f>
        <v>"attributes":[]</v>
      </c>
      <c r="X40" s="1" t="str">
        <f>formatRow(Tokens!AB$2:AJ$2,Tokens!AB39:AJ39,3,"creators")</f>
        <v>"creators":[]</v>
      </c>
      <c r="Y40" s="1" t="str">
        <f>formatRow(Tokens!AK$2:AP$2,Tokens!AK39:AP39,2,"files")</f>
        <v>"files":[]</v>
      </c>
      <c r="Z40" s="1"/>
      <c r="AA40" s="1"/>
      <c r="AB40" s="1"/>
      <c r="AC40" s="1" t="str">
        <f>formatRow(Tokens!AQ$2:AR$2,Tokens!AQ39:AR39,0,"collection")</f>
        <v>"collection":{"name":"",_x000D_
"family":""}</v>
      </c>
      <c r="AD40" s="1"/>
      <c r="AE40" s="1"/>
    </row>
    <row r="41" spans="5:31" ht="14.25" customHeight="1" x14ac:dyDescent="0.25">
      <c r="E41" s="23" t="str">
        <f>IF(Tokens!A40="","",Tokens!A40)</f>
        <v/>
      </c>
      <c r="L41" s="20" t="str">
        <f t="shared" si="0"/>
        <v>_</v>
      </c>
      <c r="M41" s="20"/>
      <c r="N41" s="20"/>
      <c r="O41" s="20"/>
      <c r="P41" s="20"/>
      <c r="U4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1" s="1" t="str">
        <f>formatRow(Tokens!A$2:G$2,Tokens!A40:G40)</f>
        <v>"name":"",_x000D_
"symbol":"",_x000D_
"description":"",_x000D_
"seller_fee_basis_points":"",_x000D_
"image":"",_x000D_
"Issuer":"",_x000D_
"external_url":""</v>
      </c>
      <c r="W41" s="1" t="str">
        <f>formatRow(Tokens!H$2:S$2,Tokens!H40:S40,2,"attributes")</f>
        <v>"attributes":[]</v>
      </c>
      <c r="X41" s="1" t="str">
        <f>formatRow(Tokens!AB$2:AJ$2,Tokens!AB40:AJ40,3,"creators")</f>
        <v>"creators":[]</v>
      </c>
      <c r="Y41" s="1" t="str">
        <f>formatRow(Tokens!AK$2:AP$2,Tokens!AK40:AP40,2,"files")</f>
        <v>"files":[]</v>
      </c>
      <c r="Z41" s="1"/>
      <c r="AA41" s="1"/>
      <c r="AB41" s="1"/>
      <c r="AC41" s="1" t="str">
        <f>formatRow(Tokens!AQ$2:AR$2,Tokens!AQ40:AR40,0,"collection")</f>
        <v>"collection":{"name":"",_x000D_
"family":""}</v>
      </c>
      <c r="AD41" s="1"/>
      <c r="AE41" s="1"/>
    </row>
    <row r="42" spans="5:31" ht="14.25" customHeight="1" x14ac:dyDescent="0.25">
      <c r="E42" s="23" t="str">
        <f>IF(Tokens!A41="","",Tokens!A41)</f>
        <v/>
      </c>
      <c r="L42" s="20" t="str">
        <f t="shared" si="0"/>
        <v>_</v>
      </c>
      <c r="M42" s="20"/>
      <c r="N42" s="20"/>
      <c r="O42" s="20"/>
      <c r="P42" s="20"/>
      <c r="U4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2" s="1" t="str">
        <f>formatRow(Tokens!A$2:G$2,Tokens!A41:G41)</f>
        <v>"name":"",_x000D_
"symbol":"",_x000D_
"description":"",_x000D_
"seller_fee_basis_points":"",_x000D_
"image":"",_x000D_
"Issuer":"",_x000D_
"external_url":""</v>
      </c>
      <c r="W42" s="1" t="str">
        <f>formatRow(Tokens!H$2:S$2,Tokens!H41:S41,2,"attributes")</f>
        <v>"attributes":[]</v>
      </c>
      <c r="X42" s="1" t="str">
        <f>formatRow(Tokens!AB$2:AJ$2,Tokens!AB41:AJ41,3,"creators")</f>
        <v>"creators":[]</v>
      </c>
      <c r="Y42" s="1" t="str">
        <f>formatRow(Tokens!AK$2:AP$2,Tokens!AK41:AP41,2,"files")</f>
        <v>"files":[]</v>
      </c>
      <c r="Z42" s="1"/>
      <c r="AA42" s="1"/>
      <c r="AB42" s="1"/>
      <c r="AC42" s="1" t="str">
        <f>formatRow(Tokens!AQ$2:AR$2,Tokens!AQ41:AR41,0,"collection")</f>
        <v>"collection":{"name":"",_x000D_
"family":""}</v>
      </c>
      <c r="AD42" s="1"/>
      <c r="AE42" s="1"/>
    </row>
    <row r="43" spans="5:31" ht="14.25" customHeight="1" x14ac:dyDescent="0.25">
      <c r="E43" s="23" t="str">
        <f>IF(Tokens!A42="","",Tokens!A42)</f>
        <v/>
      </c>
      <c r="L43" s="20" t="str">
        <f t="shared" si="0"/>
        <v>_</v>
      </c>
      <c r="M43" s="20"/>
      <c r="N43" s="20"/>
      <c r="O43" s="20"/>
      <c r="P43" s="20"/>
      <c r="U4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3" s="1" t="str">
        <f>formatRow(Tokens!A$2:G$2,Tokens!A42:G42)</f>
        <v>"name":"",_x000D_
"symbol":"",_x000D_
"description":"",_x000D_
"seller_fee_basis_points":"",_x000D_
"image":"",_x000D_
"Issuer":"",_x000D_
"external_url":""</v>
      </c>
      <c r="W43" s="1" t="str">
        <f>formatRow(Tokens!H$2:S$2,Tokens!H42:S42,2,"attributes")</f>
        <v>"attributes":[]</v>
      </c>
      <c r="X43" s="1" t="str">
        <f>formatRow(Tokens!AB$2:AJ$2,Tokens!AB42:AJ42,3,"creators")</f>
        <v>"creators":[]</v>
      </c>
      <c r="Y43" s="1" t="str">
        <f>formatRow(Tokens!AK$2:AP$2,Tokens!AK42:AP42,2,"files")</f>
        <v>"files":[]</v>
      </c>
      <c r="Z43" s="1"/>
      <c r="AA43" s="1"/>
      <c r="AB43" s="1"/>
      <c r="AC43" s="1" t="str">
        <f>formatRow(Tokens!AQ$2:AR$2,Tokens!AQ42:AR42,0,"collection")</f>
        <v>"collection":{"name":"",_x000D_
"family":""}</v>
      </c>
      <c r="AD43" s="1"/>
      <c r="AE43" s="1"/>
    </row>
    <row r="44" spans="5:31" ht="14.25" customHeight="1" x14ac:dyDescent="0.25">
      <c r="E44" s="23" t="str">
        <f>IF(Tokens!A43="","",Tokens!A43)</f>
        <v/>
      </c>
      <c r="L44" s="20" t="str">
        <f t="shared" si="0"/>
        <v>_</v>
      </c>
      <c r="M44" s="20"/>
      <c r="N44" s="20"/>
      <c r="O44" s="20"/>
      <c r="P44" s="20"/>
      <c r="U4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4" s="1" t="str">
        <f>formatRow(Tokens!A$2:G$2,Tokens!A43:G43)</f>
        <v>"name":"",_x000D_
"symbol":"",_x000D_
"description":"",_x000D_
"seller_fee_basis_points":"",_x000D_
"image":"",_x000D_
"Issuer":"",_x000D_
"external_url":""</v>
      </c>
      <c r="W44" s="1" t="str">
        <f>formatRow(Tokens!H$2:S$2,Tokens!H43:S43,2,"attributes")</f>
        <v>"attributes":[]</v>
      </c>
      <c r="X44" s="1" t="str">
        <f>formatRow(Tokens!AB$2:AJ$2,Tokens!AB43:AJ43,3,"creators")</f>
        <v>"creators":[]</v>
      </c>
      <c r="Y44" s="1" t="str">
        <f>formatRow(Tokens!AK$2:AP$2,Tokens!AK43:AP43,2,"files")</f>
        <v>"files":[]</v>
      </c>
      <c r="Z44" s="1"/>
      <c r="AA44" s="1"/>
      <c r="AB44" s="1"/>
      <c r="AC44" s="1" t="str">
        <f>formatRow(Tokens!AQ$2:AR$2,Tokens!AQ43:AR43,0,"collection")</f>
        <v>"collection":{"name":"",_x000D_
"family":""}</v>
      </c>
      <c r="AD44" s="1"/>
      <c r="AE44" s="1"/>
    </row>
    <row r="45" spans="5:31" ht="14.25" customHeight="1" x14ac:dyDescent="0.25">
      <c r="E45" s="23" t="str">
        <f>IF(Tokens!A44="","",Tokens!A44)</f>
        <v/>
      </c>
      <c r="L45" s="20" t="str">
        <f t="shared" si="0"/>
        <v>_</v>
      </c>
      <c r="M45" s="20"/>
      <c r="N45" s="20"/>
      <c r="O45" s="20"/>
      <c r="P45" s="20"/>
      <c r="U4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5" s="1" t="str">
        <f>formatRow(Tokens!A$2:G$2,Tokens!A44:G44)</f>
        <v>"name":"",_x000D_
"symbol":"",_x000D_
"description":"",_x000D_
"seller_fee_basis_points":"",_x000D_
"image":"",_x000D_
"Issuer":"",_x000D_
"external_url":""</v>
      </c>
      <c r="W45" s="1" t="str">
        <f>formatRow(Tokens!H$2:S$2,Tokens!H44:S44,2,"attributes")</f>
        <v>"attributes":[]</v>
      </c>
      <c r="X45" s="1" t="str">
        <f>formatRow(Tokens!AB$2:AJ$2,Tokens!AB44:AJ44,3,"creators")</f>
        <v>"creators":[]</v>
      </c>
      <c r="Y45" s="1" t="str">
        <f>formatRow(Tokens!AK$2:AP$2,Tokens!AK44:AP44,2,"files")</f>
        <v>"files":[]</v>
      </c>
      <c r="Z45" s="1"/>
      <c r="AA45" s="1"/>
      <c r="AB45" s="1"/>
      <c r="AC45" s="1" t="str">
        <f>formatRow(Tokens!AQ$2:AR$2,Tokens!AQ44:AR44,0,"collection")</f>
        <v>"collection":{"name":"",_x000D_
"family":""}</v>
      </c>
      <c r="AD45" s="1"/>
      <c r="AE45" s="1"/>
    </row>
    <row r="46" spans="5:31" ht="14.25" customHeight="1" x14ac:dyDescent="0.25">
      <c r="E46" s="23" t="str">
        <f>IF(Tokens!A45="","",Tokens!A45)</f>
        <v/>
      </c>
      <c r="L46" s="20" t="str">
        <f t="shared" si="0"/>
        <v>_</v>
      </c>
      <c r="M46" s="20"/>
      <c r="N46" s="20"/>
      <c r="O46" s="20"/>
      <c r="P46" s="20"/>
      <c r="U4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6" s="1" t="str">
        <f>formatRow(Tokens!A$2:G$2,Tokens!A45:G45)</f>
        <v>"name":"",_x000D_
"symbol":"",_x000D_
"description":"",_x000D_
"seller_fee_basis_points":"",_x000D_
"image":"",_x000D_
"Issuer":"",_x000D_
"external_url":""</v>
      </c>
      <c r="W46" s="1" t="str">
        <f>formatRow(Tokens!H$2:S$2,Tokens!H45:S45,2,"attributes")</f>
        <v>"attributes":[]</v>
      </c>
      <c r="X46" s="1" t="str">
        <f>formatRow(Tokens!AB$2:AJ$2,Tokens!AB45:AJ45,3,"creators")</f>
        <v>"creators":[]</v>
      </c>
      <c r="Y46" s="1" t="str">
        <f>formatRow(Tokens!AK$2:AP$2,Tokens!AK45:AP45,2,"files")</f>
        <v>"files":[]</v>
      </c>
      <c r="Z46" s="1"/>
      <c r="AA46" s="1"/>
      <c r="AB46" s="1"/>
      <c r="AC46" s="1" t="str">
        <f>formatRow(Tokens!AQ$2:AR$2,Tokens!AQ45:AR45,0,"collection")</f>
        <v>"collection":{"name":"",_x000D_
"family":""}</v>
      </c>
      <c r="AD46" s="1"/>
      <c r="AE46" s="1"/>
    </row>
    <row r="47" spans="5:31" ht="14.25" customHeight="1" x14ac:dyDescent="0.25">
      <c r="E47" s="23" t="str">
        <f>IF(Tokens!A46="","",Tokens!A46)</f>
        <v/>
      </c>
      <c r="L47" s="20" t="str">
        <f t="shared" si="0"/>
        <v>_</v>
      </c>
      <c r="M47" s="20"/>
      <c r="N47" s="20"/>
      <c r="O47" s="20"/>
      <c r="P47" s="20"/>
      <c r="U4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7" s="1" t="str">
        <f>formatRow(Tokens!A$2:G$2,Tokens!A46:G46)</f>
        <v>"name":"",_x000D_
"symbol":"",_x000D_
"description":"",_x000D_
"seller_fee_basis_points":"",_x000D_
"image":"",_x000D_
"Issuer":"",_x000D_
"external_url":""</v>
      </c>
      <c r="W47" s="1" t="str">
        <f>formatRow(Tokens!H$2:S$2,Tokens!H46:S46,2,"attributes")</f>
        <v>"attributes":[]</v>
      </c>
      <c r="X47" s="1" t="str">
        <f>formatRow(Tokens!AB$2:AJ$2,Tokens!AB46:AJ46,3,"creators")</f>
        <v>"creators":[]</v>
      </c>
      <c r="Y47" s="1" t="str">
        <f>formatRow(Tokens!AK$2:AP$2,Tokens!AK46:AP46,2,"files")</f>
        <v>"files":[]</v>
      </c>
      <c r="Z47" s="1"/>
      <c r="AA47" s="1"/>
      <c r="AB47" s="1"/>
      <c r="AC47" s="1" t="str">
        <f>formatRow(Tokens!AQ$2:AR$2,Tokens!AQ46:AR46,0,"collection")</f>
        <v>"collection":{"name":"",_x000D_
"family":""}</v>
      </c>
      <c r="AD47" s="1"/>
      <c r="AE47" s="1"/>
    </row>
    <row r="48" spans="5:31" ht="14.25" customHeight="1" x14ac:dyDescent="0.25">
      <c r="E48" s="23" t="str">
        <f>IF(Tokens!A47="","",Tokens!A47)</f>
        <v/>
      </c>
      <c r="L48" s="20" t="str">
        <f t="shared" si="0"/>
        <v>_</v>
      </c>
      <c r="M48" s="20"/>
      <c r="N48" s="20"/>
      <c r="O48" s="20"/>
      <c r="P48" s="20"/>
      <c r="U4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8" s="1" t="str">
        <f>formatRow(Tokens!A$2:G$2,Tokens!A47:G47)</f>
        <v>"name":"",_x000D_
"symbol":"",_x000D_
"description":"",_x000D_
"seller_fee_basis_points":"",_x000D_
"image":"",_x000D_
"Issuer":"",_x000D_
"external_url":""</v>
      </c>
      <c r="W48" s="1" t="str">
        <f>formatRow(Tokens!H$2:S$2,Tokens!H47:S47,2,"attributes")</f>
        <v>"attributes":[]</v>
      </c>
      <c r="X48" s="1" t="str">
        <f>formatRow(Tokens!AB$2:AJ$2,Tokens!AB47:AJ47,3,"creators")</f>
        <v>"creators":[]</v>
      </c>
      <c r="Y48" s="1" t="str">
        <f>formatRow(Tokens!AK$2:AP$2,Tokens!AK47:AP47,2,"files")</f>
        <v>"files":[]</v>
      </c>
      <c r="Z48" s="1"/>
      <c r="AA48" s="1"/>
      <c r="AB48" s="1"/>
      <c r="AC48" s="1" t="str">
        <f>formatRow(Tokens!AQ$2:AR$2,Tokens!AQ47:AR47,0,"collection")</f>
        <v>"collection":{"name":"",_x000D_
"family":""}</v>
      </c>
      <c r="AD48" s="1"/>
      <c r="AE48" s="1"/>
    </row>
    <row r="49" spans="5:31" ht="14.25" customHeight="1" x14ac:dyDescent="0.25">
      <c r="E49" s="23" t="str">
        <f>IF(Tokens!A48="","",Tokens!A48)</f>
        <v/>
      </c>
      <c r="L49" s="20" t="str">
        <f t="shared" si="0"/>
        <v>_</v>
      </c>
      <c r="M49" s="20"/>
      <c r="N49" s="20"/>
      <c r="O49" s="20"/>
      <c r="P49" s="20"/>
      <c r="U4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9" s="1" t="str">
        <f>formatRow(Tokens!A$2:G$2,Tokens!A48:G48)</f>
        <v>"name":"",_x000D_
"symbol":"",_x000D_
"description":"",_x000D_
"seller_fee_basis_points":"",_x000D_
"image":"",_x000D_
"Issuer":"",_x000D_
"external_url":""</v>
      </c>
      <c r="W49" s="1" t="str">
        <f>formatRow(Tokens!H$2:S$2,Tokens!H48:S48,2,"attributes")</f>
        <v>"attributes":[]</v>
      </c>
      <c r="X49" s="1" t="str">
        <f>formatRow(Tokens!AB$2:AJ$2,Tokens!AB48:AJ48,3,"creators")</f>
        <v>"creators":[]</v>
      </c>
      <c r="Y49" s="1" t="str">
        <f>formatRow(Tokens!AK$2:AP$2,Tokens!AK48:AP48,2,"files")</f>
        <v>"files":[]</v>
      </c>
      <c r="Z49" s="1"/>
      <c r="AA49" s="1"/>
      <c r="AB49" s="1"/>
      <c r="AC49" s="1" t="str">
        <f>formatRow(Tokens!AQ$2:AR$2,Tokens!AQ48:AR48,0,"collection")</f>
        <v>"collection":{"name":"",_x000D_
"family":""}</v>
      </c>
      <c r="AD49" s="1"/>
      <c r="AE49" s="1"/>
    </row>
    <row r="50" spans="5:31" ht="14.25" customHeight="1" x14ac:dyDescent="0.25">
      <c r="E50" s="23" t="str">
        <f>IF(Tokens!A49="","",Tokens!A49)</f>
        <v/>
      </c>
      <c r="L50" s="20" t="str">
        <f t="shared" si="0"/>
        <v>_</v>
      </c>
      <c r="M50" s="20"/>
      <c r="N50" s="20"/>
      <c r="O50" s="20"/>
      <c r="P50" s="20"/>
      <c r="U5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0" s="1" t="str">
        <f>formatRow(Tokens!A$2:G$2,Tokens!A49:G49)</f>
        <v>"name":"",_x000D_
"symbol":"",_x000D_
"description":"",_x000D_
"seller_fee_basis_points":"",_x000D_
"image":"",_x000D_
"Issuer":"",_x000D_
"external_url":""</v>
      </c>
      <c r="W50" s="1" t="str">
        <f>formatRow(Tokens!H$2:S$2,Tokens!H49:S49,2,"attributes")</f>
        <v>"attributes":[]</v>
      </c>
      <c r="X50" s="1" t="str">
        <f>formatRow(Tokens!AB$2:AJ$2,Tokens!AB49:AJ49,3,"creators")</f>
        <v>"creators":[]</v>
      </c>
      <c r="Y50" s="1" t="str">
        <f>formatRow(Tokens!AK$2:AP$2,Tokens!AK49:AP49,2,"files")</f>
        <v>"files":[]</v>
      </c>
      <c r="Z50" s="1"/>
      <c r="AA50" s="1"/>
      <c r="AB50" s="1"/>
      <c r="AC50" s="1" t="str">
        <f>formatRow(Tokens!AQ$2:AR$2,Tokens!AQ49:AR49,0,"collection")</f>
        <v>"collection":{"name":"",_x000D_
"family":""}</v>
      </c>
      <c r="AD50" s="1"/>
      <c r="AE50" s="1"/>
    </row>
    <row r="51" spans="5:31" ht="14.25" customHeight="1" x14ac:dyDescent="0.25">
      <c r="E51" s="23" t="str">
        <f>IF(Tokens!A50="","",Tokens!A50)</f>
        <v/>
      </c>
      <c r="L51" s="20" t="str">
        <f t="shared" si="0"/>
        <v>_</v>
      </c>
      <c r="M51" s="20"/>
      <c r="N51" s="20"/>
      <c r="O51" s="20"/>
      <c r="P51" s="20"/>
      <c r="U5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1" s="1" t="str">
        <f>formatRow(Tokens!A$2:G$2,Tokens!A50:G50)</f>
        <v>"name":"",_x000D_
"symbol":"",_x000D_
"description":"",_x000D_
"seller_fee_basis_points":"",_x000D_
"image":"",_x000D_
"Issuer":"",_x000D_
"external_url":""</v>
      </c>
      <c r="W51" s="1" t="str">
        <f>formatRow(Tokens!H$2:S$2,Tokens!H50:S50,2,"attributes")</f>
        <v>"attributes":[]</v>
      </c>
      <c r="X51" s="1" t="str">
        <f>formatRow(Tokens!AB$2:AJ$2,Tokens!AB50:AJ50,3,"creators")</f>
        <v>"creators":[]</v>
      </c>
      <c r="Y51" s="1" t="str">
        <f>formatRow(Tokens!AK$2:AP$2,Tokens!AK50:AP50,2,"files")</f>
        <v>"files":[]</v>
      </c>
      <c r="Z51" s="1"/>
      <c r="AA51" s="1"/>
      <c r="AB51" s="1"/>
      <c r="AC51" s="1" t="str">
        <f>formatRow(Tokens!AQ$2:AR$2,Tokens!AQ50:AR50,0,"collection")</f>
        <v>"collection":{"name":"",_x000D_
"family":""}</v>
      </c>
    </row>
    <row r="52" spans="5:31" ht="14.25" customHeight="1" x14ac:dyDescent="0.25">
      <c r="E52" s="23" t="str">
        <f>IF(Tokens!A51="","",Tokens!A51)</f>
        <v/>
      </c>
      <c r="L52" s="20" t="str">
        <f t="shared" si="0"/>
        <v>_</v>
      </c>
      <c r="M52" s="20"/>
      <c r="N52" s="20"/>
      <c r="O52" s="20"/>
      <c r="P52" s="20"/>
      <c r="U5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2" s="1" t="str">
        <f>formatRow(Tokens!A$2:G$2,Tokens!A51:G51)</f>
        <v>"name":"",_x000D_
"symbol":"",_x000D_
"description":"",_x000D_
"seller_fee_basis_points":"",_x000D_
"image":"",_x000D_
"Issuer":"",_x000D_
"external_url":""</v>
      </c>
      <c r="W52" s="1" t="str">
        <f>formatRow(Tokens!H$2:S$2,Tokens!H51:S51,2,"attributes")</f>
        <v>"attributes":[]</v>
      </c>
      <c r="X52" s="1" t="str">
        <f>formatRow(Tokens!AB$2:AJ$2,Tokens!AB51:AJ51,3,"creators")</f>
        <v>"creators":[]</v>
      </c>
      <c r="Y52" s="1" t="str">
        <f>formatRow(Tokens!AK$2:AP$2,Tokens!AK51:AP51,2,"files")</f>
        <v>"files":[]</v>
      </c>
      <c r="Z52" s="1"/>
      <c r="AA52" s="1"/>
      <c r="AB52" s="1"/>
      <c r="AC52" s="1" t="str">
        <f>formatRow(Tokens!AQ$2:AR$2,Tokens!AQ51:AR51,0,"collection")</f>
        <v>"collection":{"name":"",_x000D_
"family":""}</v>
      </c>
    </row>
    <row r="53" spans="5:31" ht="14.25" customHeight="1" x14ac:dyDescent="0.25">
      <c r="E53" s="23" t="str">
        <f>IF(Tokens!A52="","",Tokens!A52)</f>
        <v/>
      </c>
      <c r="L53" s="20" t="str">
        <f t="shared" si="0"/>
        <v>_</v>
      </c>
      <c r="M53" s="20"/>
      <c r="N53" s="20"/>
      <c r="O53" s="20"/>
      <c r="P53" s="20"/>
      <c r="U5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3" s="1" t="str">
        <f>formatRow(Tokens!A$2:G$2,Tokens!A52:G52)</f>
        <v>"name":"",_x000D_
"symbol":"",_x000D_
"description":"",_x000D_
"seller_fee_basis_points":"",_x000D_
"image":"",_x000D_
"Issuer":"",_x000D_
"external_url":""</v>
      </c>
      <c r="W53" s="1" t="str">
        <f>formatRow(Tokens!H$2:S$2,Tokens!H52:S52,2,"attributes")</f>
        <v>"attributes":[]</v>
      </c>
      <c r="X53" s="1" t="str">
        <f>formatRow(Tokens!AB$2:AJ$2,Tokens!AB52:AJ52,3,"creators")</f>
        <v>"creators":[]</v>
      </c>
      <c r="Y53" s="1" t="str">
        <f>formatRow(Tokens!AK$2:AP$2,Tokens!AK52:AP52,2,"files")</f>
        <v>"files":[]</v>
      </c>
      <c r="Z53" s="1"/>
      <c r="AA53" s="1"/>
      <c r="AB53" s="1"/>
      <c r="AC53" s="1" t="str">
        <f>formatRow(Tokens!AQ$2:AR$2,Tokens!AQ52:AR52,0,"collection")</f>
        <v>"collection":{"name":"",_x000D_
"family":""}</v>
      </c>
    </row>
    <row r="54" spans="5:31" ht="14.25" customHeight="1" x14ac:dyDescent="0.25">
      <c r="E54" s="23" t="str">
        <f>IF(Tokens!A53="","",Tokens!A53)</f>
        <v/>
      </c>
      <c r="L54" s="20" t="str">
        <f t="shared" si="0"/>
        <v>_</v>
      </c>
      <c r="M54" s="20"/>
      <c r="N54" s="20"/>
      <c r="O54" s="20"/>
      <c r="P54" s="20"/>
      <c r="U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4" s="1" t="str">
        <f>formatRow(Tokens!A$2:G$2,Tokens!A53:G53)</f>
        <v>"name":"",_x000D_
"symbol":"",_x000D_
"description":"",_x000D_
"seller_fee_basis_points":"",_x000D_
"image":"",_x000D_
"Issuer":"",_x000D_
"external_url":""</v>
      </c>
      <c r="W54" s="1" t="str">
        <f>formatRow(Tokens!H$2:S$2,Tokens!H53:S53,2,"attributes")</f>
        <v>"attributes":[]</v>
      </c>
      <c r="X54" s="1" t="str">
        <f>formatRow(Tokens!AB$2:AJ$2,Tokens!AB53:AJ53,3,"creators")</f>
        <v>"creators":[]</v>
      </c>
      <c r="Y54" s="1" t="str">
        <f>formatRow(Tokens!AK$2:AP$2,Tokens!AK53:AP53,2,"files")</f>
        <v>"files":[]</v>
      </c>
      <c r="Z54" s="1"/>
      <c r="AA54" s="1"/>
      <c r="AB54" s="1"/>
      <c r="AC54" s="1" t="str">
        <f>formatRow(Tokens!AQ$2:AR$2,Tokens!AQ53:AR53,0,"collection")</f>
        <v>"collection":{"name":"",_x000D_
"family":""}</v>
      </c>
    </row>
    <row r="55" spans="5:31" ht="14.25" customHeight="1" x14ac:dyDescent="0.25">
      <c r="E55" s="23" t="str">
        <f>IF(Tokens!A54="","",Tokens!A54)</f>
        <v/>
      </c>
      <c r="L55" s="20" t="str">
        <f t="shared" si="0"/>
        <v>_</v>
      </c>
      <c r="M55" s="20"/>
      <c r="N55" s="20"/>
      <c r="O55" s="20"/>
      <c r="P55" s="20"/>
      <c r="U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5" s="1" t="str">
        <f>formatRow(Tokens!A$2:G$2,Tokens!A54:G54)</f>
        <v>"name":"",_x000D_
"symbol":"",_x000D_
"description":"",_x000D_
"seller_fee_basis_points":"",_x000D_
"image":"",_x000D_
"Issuer":"",_x000D_
"external_url":""</v>
      </c>
      <c r="W55" s="1" t="str">
        <f>formatRow(Tokens!H$2:S$2,Tokens!H54:S54,2,"attributes")</f>
        <v>"attributes":[]</v>
      </c>
      <c r="X55" s="1" t="str">
        <f>formatRow(Tokens!AB$2:AJ$2,Tokens!AB54:AJ54,3,"creators")</f>
        <v>"creators":[]</v>
      </c>
      <c r="Y55" s="1" t="str">
        <f>formatRow(Tokens!AK$2:AP$2,Tokens!AK54:AP54,2,"files")</f>
        <v>"files":[]</v>
      </c>
      <c r="Z55" s="1"/>
      <c r="AA55" s="1"/>
      <c r="AB55" s="1"/>
      <c r="AC55" s="1" t="str">
        <f>formatRow(Tokens!AQ$2:AR$2,Tokens!AQ54:AR54,0,"collection")</f>
        <v>"collection":{"name":"",_x000D_
"family":""}</v>
      </c>
    </row>
    <row r="56" spans="5:31" ht="14.25" customHeight="1" x14ac:dyDescent="0.25">
      <c r="E56" s="23" t="str">
        <f>IF(Tokens!A55="","",Tokens!A55)</f>
        <v/>
      </c>
      <c r="L56" s="20" t="str">
        <f t="shared" si="0"/>
        <v>_</v>
      </c>
      <c r="M56" s="20"/>
      <c r="N56" s="20"/>
      <c r="O56" s="20"/>
      <c r="P56" s="20"/>
      <c r="U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6" s="1" t="str">
        <f>formatRow(Tokens!A$2:G$2,Tokens!A55:G55)</f>
        <v>"name":"",_x000D_
"symbol":"",_x000D_
"description":"",_x000D_
"seller_fee_basis_points":"",_x000D_
"image":"",_x000D_
"Issuer":"",_x000D_
"external_url":""</v>
      </c>
      <c r="W56" s="1" t="str">
        <f>formatRow(Tokens!H$2:S$2,Tokens!H55:S55,2,"attributes")</f>
        <v>"attributes":[]</v>
      </c>
      <c r="X56" s="1" t="str">
        <f>formatRow(Tokens!AB$2:AJ$2,Tokens!AB55:AJ55,3,"creators")</f>
        <v>"creators":[]</v>
      </c>
      <c r="Y56" s="1" t="str">
        <f>formatRow(Tokens!AK$2:AP$2,Tokens!AK55:AP55,2,"files")</f>
        <v>"files":[]</v>
      </c>
      <c r="Z56" s="1"/>
      <c r="AA56" s="1"/>
      <c r="AB56" s="1"/>
      <c r="AC56" s="1" t="str">
        <f>formatRow(Tokens!AQ$2:AR$2,Tokens!AQ55:AR55,0,"collection")</f>
        <v>"collection":{"name":"",_x000D_
"family":""}</v>
      </c>
    </row>
    <row r="57" spans="5:31" ht="14.25" customHeight="1" x14ac:dyDescent="0.25">
      <c r="E57" s="23" t="str">
        <f>IF(Tokens!A56="","",Tokens!A56)</f>
        <v/>
      </c>
      <c r="L57" s="20" t="str">
        <f t="shared" si="0"/>
        <v>_</v>
      </c>
      <c r="M57" s="20"/>
      <c r="N57" s="20"/>
      <c r="O57" s="20"/>
      <c r="P57" s="20"/>
      <c r="U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7" s="1" t="str">
        <f>formatRow(Tokens!A$2:G$2,Tokens!A56:G56)</f>
        <v>"name":"",_x000D_
"symbol":"",_x000D_
"description":"",_x000D_
"seller_fee_basis_points":"",_x000D_
"image":"",_x000D_
"Issuer":"",_x000D_
"external_url":""</v>
      </c>
      <c r="W57" s="1" t="str">
        <f>formatRow(Tokens!H$2:S$2,Tokens!H56:S56,2,"attributes")</f>
        <v>"attributes":[]</v>
      </c>
      <c r="X57" s="1" t="str">
        <f>formatRow(Tokens!AB$2:AJ$2,Tokens!AB56:AJ56,3,"creators")</f>
        <v>"creators":[]</v>
      </c>
      <c r="Y57" s="1" t="str">
        <f>formatRow(Tokens!AK$2:AP$2,Tokens!AK56:AP56,2,"files")</f>
        <v>"files":[]</v>
      </c>
      <c r="Z57" s="1"/>
      <c r="AA57" s="1"/>
      <c r="AB57" s="1"/>
      <c r="AC57" s="1" t="str">
        <f>formatRow(Tokens!AQ$2:AR$2,Tokens!AQ56:AR56,0,"collection")</f>
        <v>"collection":{"name":"",_x000D_
"family":""}</v>
      </c>
    </row>
    <row r="58" spans="5:31" ht="14.25" customHeight="1" x14ac:dyDescent="0.25">
      <c r="E58" s="23" t="str">
        <f>IF(Tokens!A57="","",Tokens!A57)</f>
        <v/>
      </c>
      <c r="L58" s="20" t="str">
        <f t="shared" si="0"/>
        <v>_</v>
      </c>
      <c r="M58" s="20"/>
      <c r="N58" s="20"/>
      <c r="O58" s="20"/>
      <c r="P58" s="20"/>
      <c r="U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8" s="1" t="str">
        <f>formatRow(Tokens!A$2:G$2,Tokens!A57:G57)</f>
        <v>"name":"",_x000D_
"symbol":"",_x000D_
"description":"",_x000D_
"seller_fee_basis_points":"",_x000D_
"image":"",_x000D_
"Issuer":"",_x000D_
"external_url":""</v>
      </c>
      <c r="W58" s="1" t="str">
        <f>formatRow(Tokens!H$2:S$2,Tokens!H57:S57,2,"attributes")</f>
        <v>"attributes":[]</v>
      </c>
      <c r="X58" s="1" t="str">
        <f>formatRow(Tokens!AB$2:AJ$2,Tokens!AB57:AJ57,3,"creators")</f>
        <v>"creators":[]</v>
      </c>
      <c r="Y58" s="1" t="str">
        <f>formatRow(Tokens!AK$2:AP$2,Tokens!AK57:AP57,2,"files")</f>
        <v>"files":[]</v>
      </c>
      <c r="Z58" s="1"/>
      <c r="AA58" s="1"/>
      <c r="AB58" s="1"/>
      <c r="AC58" s="1" t="str">
        <f>formatRow(Tokens!AQ$2:AR$2,Tokens!AQ57:AR57,0,"collection")</f>
        <v>"collection":{"name":"",_x000D_
"family":""}</v>
      </c>
    </row>
    <row r="59" spans="5:31" ht="14.25" customHeight="1" x14ac:dyDescent="0.25">
      <c r="E59" s="23" t="str">
        <f>IF(Tokens!A58="","",Tokens!A58)</f>
        <v/>
      </c>
      <c r="L59" s="20" t="str">
        <f t="shared" si="0"/>
        <v>_</v>
      </c>
      <c r="M59" s="20"/>
      <c r="N59" s="20"/>
      <c r="O59" s="20"/>
      <c r="P59" s="20"/>
      <c r="U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9" s="1" t="str">
        <f>formatRow(Tokens!A$2:G$2,Tokens!A58:G58)</f>
        <v>"name":"",_x000D_
"symbol":"",_x000D_
"description":"",_x000D_
"seller_fee_basis_points":"",_x000D_
"image":"",_x000D_
"Issuer":"",_x000D_
"external_url":""</v>
      </c>
      <c r="W59" s="1" t="str">
        <f>formatRow(Tokens!H$2:S$2,Tokens!H58:S58,2,"attributes")</f>
        <v>"attributes":[]</v>
      </c>
      <c r="X59" s="1" t="str">
        <f>formatRow(Tokens!AB$2:AJ$2,Tokens!AB58:AJ58,3,"creators")</f>
        <v>"creators":[]</v>
      </c>
      <c r="Y59" s="1" t="str">
        <f>formatRow(Tokens!AK$2:AP$2,Tokens!AK58:AP58,2,"files")</f>
        <v>"files":[]</v>
      </c>
      <c r="Z59" s="1"/>
      <c r="AA59" s="1"/>
      <c r="AB59" s="1"/>
      <c r="AC59" s="1" t="str">
        <f>formatRow(Tokens!AQ$2:AR$2,Tokens!AQ58:AR58,0,"collection")</f>
        <v>"collection":{"name":"",_x000D_
"family":""}</v>
      </c>
    </row>
    <row r="60" spans="5:31" ht="14.25" customHeight="1" x14ac:dyDescent="0.25">
      <c r="E60" s="23" t="str">
        <f>IF(Tokens!A59="","",Tokens!A59)</f>
        <v/>
      </c>
      <c r="L60" s="20" t="str">
        <f t="shared" si="0"/>
        <v>_</v>
      </c>
      <c r="M60" s="20"/>
      <c r="N60" s="20"/>
      <c r="O60" s="20"/>
      <c r="P60" s="20"/>
      <c r="U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0" s="1" t="str">
        <f>formatRow(Tokens!A$2:G$2,Tokens!A59:G59)</f>
        <v>"name":"",_x000D_
"symbol":"",_x000D_
"description":"",_x000D_
"seller_fee_basis_points":"",_x000D_
"image":"",_x000D_
"Issuer":"",_x000D_
"external_url":""</v>
      </c>
      <c r="W60" s="1" t="str">
        <f>formatRow(Tokens!H$2:S$2,Tokens!H59:S59,2,"attributes")</f>
        <v>"attributes":[]</v>
      </c>
      <c r="X60" s="1" t="str">
        <f>formatRow(Tokens!AB$2:AJ$2,Tokens!AB59:AJ59,3,"creators")</f>
        <v>"creators":[]</v>
      </c>
      <c r="Y60" s="1" t="str">
        <f>formatRow(Tokens!AK$2:AP$2,Tokens!AK59:AP59,2,"files")</f>
        <v>"files":[]</v>
      </c>
      <c r="Z60" s="1"/>
      <c r="AA60" s="1"/>
      <c r="AB60" s="1"/>
      <c r="AC60" s="1" t="str">
        <f>formatRow(Tokens!AQ$2:AR$2,Tokens!AQ59:AR59,0,"collection")</f>
        <v>"collection":{"name":"",_x000D_
"family":""}</v>
      </c>
    </row>
    <row r="61" spans="5:31" ht="14.25" customHeight="1" x14ac:dyDescent="0.25">
      <c r="E61" s="23" t="str">
        <f>IF(Tokens!A60="","",Tokens!A60)</f>
        <v/>
      </c>
      <c r="L61" s="20" t="str">
        <f t="shared" si="0"/>
        <v>_</v>
      </c>
      <c r="M61" s="20"/>
      <c r="N61" s="20"/>
      <c r="O61" s="20"/>
      <c r="P61" s="20"/>
      <c r="U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1" s="1" t="str">
        <f>formatRow(Tokens!A$2:G$2,Tokens!A60:G60)</f>
        <v>"name":"",_x000D_
"symbol":"",_x000D_
"description":"",_x000D_
"seller_fee_basis_points":"",_x000D_
"image":"",_x000D_
"Issuer":"",_x000D_
"external_url":""</v>
      </c>
      <c r="W61" s="1" t="str">
        <f>formatRow(Tokens!H$2:S$2,Tokens!H60:S60,2,"attributes")</f>
        <v>"attributes":[]</v>
      </c>
      <c r="X61" s="1" t="str">
        <f>formatRow(Tokens!AB$2:AJ$2,Tokens!AB60:AJ60,3,"creators")</f>
        <v>"creators":[]</v>
      </c>
      <c r="Y61" s="1" t="str">
        <f>formatRow(Tokens!AK$2:AP$2,Tokens!AK60:AP60,2,"files")</f>
        <v>"files":[]</v>
      </c>
      <c r="Z61" s="1"/>
      <c r="AA61" s="1"/>
      <c r="AB61" s="1"/>
      <c r="AC61" s="1" t="str">
        <f>formatRow(Tokens!AQ$2:AR$2,Tokens!AQ60:AR60,0,"collection")</f>
        <v>"collection":{"name":"",_x000D_
"family":""}</v>
      </c>
    </row>
    <row r="62" spans="5:31" ht="14.25" customHeight="1" x14ac:dyDescent="0.25">
      <c r="E62" s="23" t="str">
        <f>IF(Tokens!A61="","",Tokens!A61)</f>
        <v/>
      </c>
      <c r="L62" s="20" t="str">
        <f t="shared" si="0"/>
        <v>_</v>
      </c>
      <c r="M62" s="20"/>
      <c r="N62" s="20"/>
      <c r="O62" s="20"/>
      <c r="P62" s="20"/>
      <c r="U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2" s="1" t="str">
        <f>formatRow(Tokens!A$2:G$2,Tokens!A61:G61)</f>
        <v>"name":"",_x000D_
"symbol":"",_x000D_
"description":"",_x000D_
"seller_fee_basis_points":"",_x000D_
"image":"",_x000D_
"Issuer":"",_x000D_
"external_url":""</v>
      </c>
      <c r="W62" s="1" t="str">
        <f>formatRow(Tokens!H$2:S$2,Tokens!H61:S61,2,"attributes")</f>
        <v>"attributes":[]</v>
      </c>
      <c r="X62" s="1" t="str">
        <f>formatRow(Tokens!AB$2:AJ$2,Tokens!AB61:AJ61,3,"creators")</f>
        <v>"creators":[]</v>
      </c>
      <c r="Y62" s="1" t="str">
        <f>formatRow(Tokens!AK$2:AP$2,Tokens!AK61:AP61,2,"files")</f>
        <v>"files":[]</v>
      </c>
      <c r="Z62" s="1"/>
      <c r="AA62" s="1"/>
      <c r="AB62" s="1"/>
      <c r="AC62" s="1" t="str">
        <f>formatRow(Tokens!AQ$2:AR$2,Tokens!AQ61:AR61,0,"collection")</f>
        <v>"collection":{"name":"",_x000D_
"family":""}</v>
      </c>
    </row>
    <row r="63" spans="5:31" ht="14.25" customHeight="1" x14ac:dyDescent="0.25">
      <c r="E63" s="23" t="str">
        <f>IF(Tokens!A62="","",Tokens!A62)</f>
        <v/>
      </c>
      <c r="L63" s="20" t="str">
        <f t="shared" si="0"/>
        <v>_</v>
      </c>
      <c r="M63" s="20"/>
      <c r="N63" s="20"/>
      <c r="O63" s="20"/>
      <c r="P63" s="20"/>
      <c r="U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3" s="1" t="str">
        <f>formatRow(Tokens!A$2:G$2,Tokens!A62:G62)</f>
        <v>"name":"",_x000D_
"symbol":"",_x000D_
"description":"",_x000D_
"seller_fee_basis_points":"",_x000D_
"image":"",_x000D_
"Issuer":"",_x000D_
"external_url":""</v>
      </c>
      <c r="W63" s="1" t="str">
        <f>formatRow(Tokens!H$2:S$2,Tokens!H62:S62,2,"attributes")</f>
        <v>"attributes":[]</v>
      </c>
      <c r="X63" s="1" t="str">
        <f>formatRow(Tokens!AB$2:AJ$2,Tokens!AB62:AJ62,3,"creators")</f>
        <v>"creators":[]</v>
      </c>
      <c r="Y63" s="1" t="str">
        <f>formatRow(Tokens!AK$2:AP$2,Tokens!AK62:AP62,2,"files")</f>
        <v>"files":[]</v>
      </c>
      <c r="Z63" s="1"/>
      <c r="AA63" s="1"/>
      <c r="AB63" s="1"/>
      <c r="AC63" s="1" t="str">
        <f>formatRow(Tokens!AQ$2:AR$2,Tokens!AQ62:AR62,0,"collection")</f>
        <v>"collection":{"name":"",_x000D_
"family":""}</v>
      </c>
    </row>
    <row r="64" spans="5:31" ht="14.25" customHeight="1" x14ac:dyDescent="0.25">
      <c r="E64" s="23" t="str">
        <f>IF(Tokens!A63="","",Tokens!A63)</f>
        <v/>
      </c>
      <c r="L64" s="20" t="str">
        <f t="shared" si="0"/>
        <v>_</v>
      </c>
      <c r="M64" s="20"/>
      <c r="N64" s="20"/>
      <c r="O64" s="20"/>
      <c r="P64" s="20"/>
      <c r="U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4" s="1" t="str">
        <f>formatRow(Tokens!A$2:G$2,Tokens!A63:G63)</f>
        <v>"name":"",_x000D_
"symbol":"",_x000D_
"description":"",_x000D_
"seller_fee_basis_points":"",_x000D_
"image":"",_x000D_
"Issuer":"",_x000D_
"external_url":""</v>
      </c>
      <c r="W64" s="1" t="str">
        <f>formatRow(Tokens!H$2:S$2,Tokens!H63:S63,2,"attributes")</f>
        <v>"attributes":[]</v>
      </c>
      <c r="X64" s="1" t="str">
        <f>formatRow(Tokens!AB$2:AJ$2,Tokens!AB63:AJ63,3,"creators")</f>
        <v>"creators":[]</v>
      </c>
      <c r="Y64" s="1" t="str">
        <f>formatRow(Tokens!AK$2:AP$2,Tokens!AK63:AP63,2,"files")</f>
        <v>"files":[]</v>
      </c>
      <c r="Z64" s="1"/>
      <c r="AA64" s="1"/>
      <c r="AB64" s="1"/>
      <c r="AC64" s="1" t="str">
        <f>formatRow(Tokens!AQ$2:AR$2,Tokens!AQ63:AR63,0,"collection")</f>
        <v>"collection":{"name":"",_x000D_
"family":""}</v>
      </c>
    </row>
    <row r="65" spans="5:29" ht="14.25" customHeight="1" x14ac:dyDescent="0.25">
      <c r="E65" s="23" t="str">
        <f>IF(Tokens!A64="","",Tokens!A64)</f>
        <v/>
      </c>
      <c r="L65" s="20" t="str">
        <f t="shared" si="0"/>
        <v>_</v>
      </c>
      <c r="M65" s="20"/>
      <c r="N65" s="20"/>
      <c r="O65" s="20"/>
      <c r="P65" s="20"/>
      <c r="U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5" s="1" t="str">
        <f>formatRow(Tokens!A$2:G$2,Tokens!A64:G64)</f>
        <v>"name":"",_x000D_
"symbol":"",_x000D_
"description":"",_x000D_
"seller_fee_basis_points":"",_x000D_
"image":"",_x000D_
"Issuer":"",_x000D_
"external_url":""</v>
      </c>
      <c r="W65" s="1" t="str">
        <f>formatRow(Tokens!H$2:S$2,Tokens!H64:S64,2,"attributes")</f>
        <v>"attributes":[]</v>
      </c>
      <c r="X65" s="1" t="str">
        <f>formatRow(Tokens!AB$2:AJ$2,Tokens!AB64:AJ64,3,"creators")</f>
        <v>"creators":[]</v>
      </c>
      <c r="Y65" s="1" t="str">
        <f>formatRow(Tokens!AK$2:AP$2,Tokens!AK64:AP64,2,"files")</f>
        <v>"files":[]</v>
      </c>
      <c r="Z65" s="1"/>
      <c r="AA65" s="1"/>
      <c r="AB65" s="1"/>
      <c r="AC65" s="1" t="str">
        <f>formatRow(Tokens!AQ$2:AR$2,Tokens!AQ64:AR64,0,"collection")</f>
        <v>"collection":{"name":"",_x000D_
"family":""}</v>
      </c>
    </row>
    <row r="66" spans="5:29" ht="14.25" customHeight="1" x14ac:dyDescent="0.25">
      <c r="E66" s="23" t="str">
        <f>IF(Tokens!A65="","",Tokens!A65)</f>
        <v/>
      </c>
      <c r="L66" s="20" t="str">
        <f t="shared" si="0"/>
        <v>_</v>
      </c>
      <c r="M66" s="20"/>
      <c r="N66" s="20"/>
      <c r="O66" s="20"/>
      <c r="P66" s="20"/>
      <c r="U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6" s="1" t="str">
        <f>formatRow(Tokens!A$2:G$2,Tokens!A65:G65)</f>
        <v>"name":"",_x000D_
"symbol":"",_x000D_
"description":"",_x000D_
"seller_fee_basis_points":"",_x000D_
"image":"",_x000D_
"Issuer":"",_x000D_
"external_url":""</v>
      </c>
      <c r="W66" s="1" t="str">
        <f>formatRow(Tokens!H$2:S$2,Tokens!H65:S65,2,"attributes")</f>
        <v>"attributes":[]</v>
      </c>
      <c r="X66" s="1" t="str">
        <f>formatRow(Tokens!AB$2:AJ$2,Tokens!AB65:AJ65,3,"creators")</f>
        <v>"creators":[]</v>
      </c>
      <c r="Y66" s="1" t="str">
        <f>formatRow(Tokens!AK$2:AP$2,Tokens!AK65:AP65,2,"files")</f>
        <v>"files":[]</v>
      </c>
      <c r="Z66" s="1"/>
      <c r="AA66" s="1"/>
      <c r="AB66" s="1"/>
      <c r="AC66" s="1" t="str">
        <f>formatRow(Tokens!AQ$2:AR$2,Tokens!AQ65:AR65,0,"collection")</f>
        <v>"collection":{"name":"",_x000D_
"family":""}</v>
      </c>
    </row>
    <row r="67" spans="5:29" ht="14.25" customHeight="1" x14ac:dyDescent="0.25">
      <c r="E67" s="23" t="str">
        <f>IF(Tokens!A66="","",Tokens!A66)</f>
        <v/>
      </c>
      <c r="L67" s="20" t="str">
        <f t="shared" si="0"/>
        <v>_</v>
      </c>
      <c r="M67" s="20"/>
      <c r="N67" s="20"/>
      <c r="O67" s="20"/>
      <c r="P67" s="20"/>
      <c r="U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7" s="1" t="str">
        <f>formatRow(Tokens!A$2:G$2,Tokens!A66:G66)</f>
        <v>"name":"",_x000D_
"symbol":"",_x000D_
"description":"",_x000D_
"seller_fee_basis_points":"",_x000D_
"image":"",_x000D_
"Issuer":"",_x000D_
"external_url":""</v>
      </c>
      <c r="W67" s="1" t="str">
        <f>formatRow(Tokens!H$2:S$2,Tokens!H66:S66,2,"attributes")</f>
        <v>"attributes":[]</v>
      </c>
      <c r="X67" s="1" t="str">
        <f>formatRow(Tokens!AB$2:AJ$2,Tokens!AB66:AJ66,3,"creators")</f>
        <v>"creators":[]</v>
      </c>
      <c r="Y67" s="1" t="str">
        <f>formatRow(Tokens!AK$2:AP$2,Tokens!AK66:AP66,2,"files")</f>
        <v>"files":[]</v>
      </c>
      <c r="Z67" s="1"/>
      <c r="AA67" s="1"/>
      <c r="AB67" s="1"/>
      <c r="AC67" s="1" t="str">
        <f>formatRow(Tokens!AQ$2:AR$2,Tokens!AQ66:AR66,0,"collection")</f>
        <v>"collection":{"name":"",_x000D_
"family":""}</v>
      </c>
    </row>
    <row r="68" spans="5:29" ht="14.25" customHeight="1" x14ac:dyDescent="0.25">
      <c r="E68" s="23" t="str">
        <f>IF(Tokens!A67="","",Tokens!A67)</f>
        <v/>
      </c>
      <c r="L68" s="20" t="str">
        <f t="shared" si="0"/>
        <v>_</v>
      </c>
      <c r="M68" s="20"/>
      <c r="N68" s="20"/>
      <c r="O68" s="20"/>
      <c r="P68" s="20"/>
      <c r="U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8" s="1" t="str">
        <f>formatRow(Tokens!A$2:G$2,Tokens!A67:G67)</f>
        <v>"name":"",_x000D_
"symbol":"",_x000D_
"description":"",_x000D_
"seller_fee_basis_points":"",_x000D_
"image":"",_x000D_
"Issuer":"",_x000D_
"external_url":""</v>
      </c>
      <c r="W68" s="1" t="str">
        <f>formatRow(Tokens!H$2:S$2,Tokens!H67:S67,2,"attributes")</f>
        <v>"attributes":[]</v>
      </c>
      <c r="X68" s="1" t="str">
        <f>formatRow(Tokens!AB$2:AJ$2,Tokens!AB67:AJ67,3,"creators")</f>
        <v>"creators":[]</v>
      </c>
      <c r="Y68" s="1" t="str">
        <f>formatRow(Tokens!AK$2:AP$2,Tokens!AK67:AP67,2,"files")</f>
        <v>"files":[]</v>
      </c>
      <c r="Z68" s="1"/>
      <c r="AA68" s="1"/>
      <c r="AB68" s="1"/>
      <c r="AC68" s="1" t="str">
        <f>formatRow(Tokens!AQ$2:AR$2,Tokens!AQ67:AR67,0,"collection")</f>
        <v>"collection":{"name":"",_x000D_
"family":""}</v>
      </c>
    </row>
    <row r="69" spans="5:29" ht="14.25" customHeight="1" x14ac:dyDescent="0.25">
      <c r="E69" s="23" t="str">
        <f>IF(Tokens!A68="","",Tokens!A68)</f>
        <v/>
      </c>
      <c r="L69" s="20" t="str">
        <f t="shared" ref="L69:L72" si="2">IF(AND(ISNUMBER(K68),ISNUMBER(K69)),(K69-K68)*$L$1,"_")</f>
        <v>_</v>
      </c>
      <c r="M69" s="20"/>
      <c r="N69" s="20"/>
      <c r="O69" s="20"/>
      <c r="P69" s="20"/>
      <c r="U69" s="1" t="str">
        <f t="shared" ref="U69:U74" si="3">"{" &amp; V69 &amp; "," &amp; W69 &amp; "," &amp; """properties"":{" &amp; X69 &amp; "," &amp; Y69 &amp; "}," &amp; AC69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9" s="1" t="str">
        <f>formatRow(Tokens!A$2:G$2,Tokens!A68:G68)</f>
        <v>"name":"",_x000D_
"symbol":"",_x000D_
"description":"",_x000D_
"seller_fee_basis_points":"",_x000D_
"image":"",_x000D_
"Issuer":"",_x000D_
"external_url":""</v>
      </c>
      <c r="W69" s="1" t="str">
        <f>formatRow(Tokens!H$2:S$2,Tokens!H68:S68,2,"attributes")</f>
        <v>"attributes":[]</v>
      </c>
      <c r="X69" s="1" t="str">
        <f>formatRow(Tokens!AB$2:AJ$2,Tokens!AB68:AJ68,3,"creators")</f>
        <v>"creators":[]</v>
      </c>
      <c r="Y69" s="1" t="str">
        <f>formatRow(Tokens!AK$2:AP$2,Tokens!AK68:AP68,2,"files")</f>
        <v>"files":[]</v>
      </c>
      <c r="Z69" s="1"/>
      <c r="AA69" s="1"/>
      <c r="AB69" s="1"/>
      <c r="AC69" s="1" t="str">
        <f>formatRow(Tokens!AQ$2:AR$2,Tokens!AQ68:AR68,0,"collection")</f>
        <v>"collection":{"name":"",_x000D_
"family":""}</v>
      </c>
    </row>
    <row r="70" spans="5:29" ht="14.25" customHeight="1" x14ac:dyDescent="0.25">
      <c r="E70" s="23" t="str">
        <f>IF(Tokens!A69="","",Tokens!A69)</f>
        <v/>
      </c>
      <c r="L70" s="20" t="str">
        <f t="shared" si="2"/>
        <v>_</v>
      </c>
      <c r="M70" s="20"/>
      <c r="N70" s="20"/>
      <c r="O70" s="20"/>
      <c r="P70" s="20"/>
      <c r="U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0" s="1" t="str">
        <f>formatRow(Tokens!A$2:G$2,Tokens!A69:G69)</f>
        <v>"name":"",_x000D_
"symbol":"",_x000D_
"description":"",_x000D_
"seller_fee_basis_points":"",_x000D_
"image":"",_x000D_
"Issuer":"",_x000D_
"external_url":""</v>
      </c>
      <c r="W70" s="1" t="str">
        <f>formatRow(Tokens!H$2:S$2,Tokens!H69:S69,2,"attributes")</f>
        <v>"attributes":[]</v>
      </c>
      <c r="X70" s="1" t="str">
        <f>formatRow(Tokens!AB$2:AJ$2,Tokens!AB69:AJ69,3,"creators")</f>
        <v>"creators":[]</v>
      </c>
      <c r="Y70" s="1" t="str">
        <f>formatRow(Tokens!AK$2:AP$2,Tokens!AK69:AP69,2,"files")</f>
        <v>"files":[]</v>
      </c>
      <c r="Z70" s="1"/>
      <c r="AA70" s="1"/>
      <c r="AB70" s="1"/>
      <c r="AC70" s="1" t="str">
        <f>formatRow(Tokens!AQ$2:AR$2,Tokens!AQ69:AR69,0,"collection")</f>
        <v>"collection":{"name":"",_x000D_
"family":""}</v>
      </c>
    </row>
    <row r="71" spans="5:29" ht="14.25" customHeight="1" x14ac:dyDescent="0.25">
      <c r="E71" s="23" t="str">
        <f>IF(Tokens!A70="","",Tokens!A70)</f>
        <v/>
      </c>
      <c r="L71" s="20" t="str">
        <f t="shared" si="2"/>
        <v>_</v>
      </c>
      <c r="M71" s="20"/>
      <c r="N71" s="20"/>
      <c r="O71" s="20"/>
      <c r="P71" s="20"/>
      <c r="U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1" s="1" t="str">
        <f>formatRow(Tokens!A$2:G$2,Tokens!A70:G70)</f>
        <v>"name":"",_x000D_
"symbol":"",_x000D_
"description":"",_x000D_
"seller_fee_basis_points":"",_x000D_
"image":"",_x000D_
"Issuer":"",_x000D_
"external_url":""</v>
      </c>
      <c r="W71" s="1" t="str">
        <f>formatRow(Tokens!H$2:S$2,Tokens!H70:S70,2,"attributes")</f>
        <v>"attributes":[]</v>
      </c>
      <c r="X71" s="1" t="str">
        <f>formatRow(Tokens!AB$2:AJ$2,Tokens!AB70:AJ70,3,"creators")</f>
        <v>"creators":[]</v>
      </c>
      <c r="Y71" s="1" t="str">
        <f>formatRow(Tokens!AK$2:AP$2,Tokens!AK70:AP70,2,"files")</f>
        <v>"files":[]</v>
      </c>
      <c r="Z71" s="1"/>
      <c r="AA71" s="1"/>
      <c r="AB71" s="1"/>
      <c r="AC71" s="1" t="str">
        <f>formatRow(Tokens!AQ$2:AR$2,Tokens!AQ70:AR70,0,"collection")</f>
        <v>"collection":{"name":"",_x000D_
"family":""}</v>
      </c>
    </row>
    <row r="72" spans="5:29" ht="14.25" customHeight="1" x14ac:dyDescent="0.25">
      <c r="E72" s="23" t="str">
        <f>IF(Tokens!A71="","",Tokens!A71)</f>
        <v/>
      </c>
      <c r="L72" s="20" t="str">
        <f t="shared" si="2"/>
        <v>_</v>
      </c>
      <c r="M72" s="20"/>
      <c r="N72" s="20"/>
      <c r="O72" s="20"/>
      <c r="P72" s="20"/>
      <c r="U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2" s="1" t="str">
        <f>formatRow(Tokens!A$2:G$2,Tokens!A71:G71)</f>
        <v>"name":"",_x000D_
"symbol":"",_x000D_
"description":"",_x000D_
"seller_fee_basis_points":"",_x000D_
"image":"",_x000D_
"Issuer":"",_x000D_
"external_url":""</v>
      </c>
      <c r="W72" s="1" t="str">
        <f>formatRow(Tokens!H$2:S$2,Tokens!H71:S71,2,"attributes")</f>
        <v>"attributes":[]</v>
      </c>
      <c r="X72" s="1" t="str">
        <f>formatRow(Tokens!AB$2:AJ$2,Tokens!AB71:AJ71,3,"creators")</f>
        <v>"creators":[]</v>
      </c>
      <c r="Y72" s="1" t="str">
        <f>formatRow(Tokens!AK$2:AP$2,Tokens!AK71:AP71,2,"files")</f>
        <v>"files":[]</v>
      </c>
      <c r="Z72" s="1"/>
      <c r="AA72" s="1"/>
      <c r="AB72" s="1"/>
      <c r="AC72" s="1" t="str">
        <f>formatRow(Tokens!AQ$2:AR$2,Tokens!AQ71:AR71,0,"collection")</f>
        <v>"collection":{"name":"",_x000D_
"family":""}</v>
      </c>
    </row>
    <row r="73" spans="5:29" ht="14.25" customHeight="1" x14ac:dyDescent="0.25">
      <c r="E73" s="23" t="str">
        <f>IF(Tokens!A63="","",Tokens!A63)</f>
        <v/>
      </c>
      <c r="L73" s="20" t="str">
        <f t="shared" ref="L73:L74" si="4">IF(AND(ISNUMBER(K72),ISNUMBER(K73)),(K73-K72)*$L$1,"")</f>
        <v/>
      </c>
      <c r="M73" s="20"/>
      <c r="N73" s="20"/>
      <c r="O73" s="20"/>
      <c r="P73" s="20"/>
      <c r="U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3" s="1" t="str">
        <f>formatRow(Tokens!A$2:G$2,Tokens!A72:G72)</f>
        <v>"name":"",_x000D_
"symbol":"",_x000D_
"description":"",_x000D_
"seller_fee_basis_points":"",_x000D_
"image":"",_x000D_
"Issuer":"",_x000D_
"external_url":""</v>
      </c>
      <c r="W73" s="1" t="str">
        <f>formatRow(Tokens!H$2:S$2,Tokens!H72:S72,2,"attributes")</f>
        <v>"attributes":[]</v>
      </c>
      <c r="X73" s="1" t="str">
        <f>formatRow(Tokens!AB$2:AJ$2,Tokens!AB72:AJ72,3,"creators")</f>
        <v>"creators":[]</v>
      </c>
      <c r="Y73" s="1" t="str">
        <f>formatRow(Tokens!AK$2:AP$2,Tokens!AK72:AP72,2,"files")</f>
        <v>"files":[]</v>
      </c>
      <c r="Z73" s="1"/>
      <c r="AA73" s="1"/>
      <c r="AB73" s="1"/>
      <c r="AC73" s="1" t="str">
        <f>formatRow(Tokens!AQ$2:AR$2,Tokens!AQ72:AR72,0,"collection")</f>
        <v>"collection":{"name":"",_x000D_
"family":""}</v>
      </c>
    </row>
    <row r="74" spans="5:29" ht="14.25" customHeight="1" x14ac:dyDescent="0.25">
      <c r="E74" s="23" t="str">
        <f>IF(Tokens!A64="","",Tokens!A64)</f>
        <v/>
      </c>
      <c r="L74" s="20" t="str">
        <f t="shared" si="4"/>
        <v/>
      </c>
      <c r="M74" s="20"/>
      <c r="N74" s="20"/>
      <c r="O74" s="20"/>
      <c r="P74" s="20"/>
      <c r="U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4" s="1" t="str">
        <f>formatRow(Tokens!A$2:G$2,Tokens!A73:G73)</f>
        <v>"name":"",_x000D_
"symbol":"",_x000D_
"description":"",_x000D_
"seller_fee_basis_points":"",_x000D_
"image":"",_x000D_
"Issuer":"",_x000D_
"external_url":""</v>
      </c>
      <c r="W74" s="1" t="str">
        <f>formatRow(Tokens!H$2:S$2,Tokens!H73:S73,2,"attributes")</f>
        <v>"attributes":[]</v>
      </c>
      <c r="X74" s="1" t="str">
        <f>formatRow(Tokens!AB$2:AJ$2,Tokens!AB73:AJ73,3,"creators")</f>
        <v>"creators":[]</v>
      </c>
      <c r="Y74" s="1" t="str">
        <f>formatRow(Tokens!AK$2:AP$2,Tokens!AK73:AP73,2,"files")</f>
        <v>"files":[]</v>
      </c>
      <c r="Z74" s="1"/>
      <c r="AA74" s="1"/>
      <c r="AB74" s="1"/>
      <c r="AC74" s="1" t="str">
        <f>formatRow(Tokens!AQ$2:AR$2,Tokens!AQ73:AR73,0,"collection")</f>
        <v>"collection":{"name":"",_x000D_
"family":""}</v>
      </c>
    </row>
  </sheetData>
  <hyperlinks>
    <hyperlink ref="K1" r:id="rId1" xr:uid="{68085E72-B424-4B49-A53C-D615D6DA72FF}"/>
    <hyperlink ref="I4" r:id="rId2" display="https://solscan.io/tx/2NH5bXi998phiDMLfq8DKLkhgxv7knoTqHHojXm3PtZKmD7rZMvdGZyeU6VtjWAhZz6HCCP7Vvyn49GP23Fz1Wt?cluster=devnet" xr:uid="{9F488760-0B7C-474E-90C7-3F87FE8BEC06}"/>
    <hyperlink ref="J4" r:id="rId3" display="https://solscan.io/token/2JfG5zbSKqQuwuTf3bySrGaKKVvAnt31v3eM9uDZM1w9?cluster=devnet" xr:uid="{499C83EB-1732-4BF7-BE71-44F317BFFEBE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inage">
                <anchor moveWithCells="1" sizeWithCells="1">
                  <from>
                    <xdr:col>1</xdr:col>
                    <xdr:colOff>666750</xdr:colOff>
                    <xdr:row>0</xdr:row>
                    <xdr:rowOff>504825</xdr:rowOff>
                  </from>
                  <to>
                    <xdr:col>4</xdr:col>
                    <xdr:colOff>276225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Upload">
                <anchor moveWithCells="1" sizeWithCells="1">
                  <from>
                    <xdr:col>0</xdr:col>
                    <xdr:colOff>400050</xdr:colOff>
                    <xdr:row>0</xdr:row>
                    <xdr:rowOff>514350</xdr:rowOff>
                  </from>
                  <to>
                    <xdr:col>1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333375</xdr:colOff>
                    <xdr:row>0</xdr:row>
                    <xdr:rowOff>495300</xdr:rowOff>
                  </from>
                  <to>
                    <xdr:col>5</xdr:col>
                    <xdr:colOff>104775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4:B4"/>
  <sheetViews>
    <sheetView workbookViewId="0">
      <selection activeCell="B4" sqref="B4"/>
    </sheetView>
  </sheetViews>
  <sheetFormatPr baseColWidth="10" defaultRowHeight="15" x14ac:dyDescent="0.25"/>
  <sheetData>
    <row r="4" spans="1:2" x14ac:dyDescent="0.25">
      <c r="A4" s="3" t="s">
        <v>32</v>
      </c>
      <c r="B4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K7"/>
  <sheetViews>
    <sheetView workbookViewId="0">
      <selection activeCell="B5" sqref="B5"/>
    </sheetView>
  </sheetViews>
  <sheetFormatPr baseColWidth="10" defaultRowHeight="15" x14ac:dyDescent="0.25"/>
  <cols>
    <col min="1" max="1" width="21.5703125" customWidth="1"/>
    <col min="2" max="2" width="35.28515625" customWidth="1"/>
    <col min="7" max="7" width="24.7109375" customWidth="1"/>
    <col min="8" max="8" width="34.42578125" customWidth="1"/>
    <col min="9" max="9" width="22.5703125" customWidth="1"/>
  </cols>
  <sheetData>
    <row r="1" spans="1:11" x14ac:dyDescent="0.25">
      <c r="A1" s="3" t="s">
        <v>23</v>
      </c>
      <c r="B1" t="s">
        <v>76</v>
      </c>
      <c r="G1" s="11" t="s">
        <v>92</v>
      </c>
      <c r="H1" s="11" t="s">
        <v>29</v>
      </c>
      <c r="I1" s="11" t="s">
        <v>24</v>
      </c>
      <c r="J1" s="11" t="s">
        <v>33</v>
      </c>
      <c r="K1" s="11" t="s">
        <v>79</v>
      </c>
    </row>
    <row r="2" spans="1:11" x14ac:dyDescent="0.25">
      <c r="A2" s="3" t="s">
        <v>78</v>
      </c>
      <c r="B2" t="s">
        <v>80</v>
      </c>
      <c r="G2" s="2" t="s">
        <v>93</v>
      </c>
      <c r="H2" s="2" t="s">
        <v>30</v>
      </c>
      <c r="I2" t="s">
        <v>25</v>
      </c>
      <c r="J2" t="s">
        <v>34</v>
      </c>
      <c r="K2" t="s">
        <v>80</v>
      </c>
    </row>
    <row r="3" spans="1:11" x14ac:dyDescent="0.25">
      <c r="A3" s="3" t="s">
        <v>40</v>
      </c>
      <c r="B3">
        <v>600000</v>
      </c>
      <c r="G3" s="2" t="s">
        <v>94</v>
      </c>
      <c r="H3" s="2" t="s">
        <v>76</v>
      </c>
      <c r="I3" t="s">
        <v>31</v>
      </c>
      <c r="J3" t="s">
        <v>35</v>
      </c>
      <c r="K3" t="s">
        <v>81</v>
      </c>
    </row>
    <row r="4" spans="1:11" x14ac:dyDescent="0.25">
      <c r="A4" s="3" t="s">
        <v>83</v>
      </c>
      <c r="B4" t="s">
        <v>84</v>
      </c>
      <c r="I4" t="s">
        <v>63</v>
      </c>
      <c r="J4" t="s">
        <v>25</v>
      </c>
      <c r="K4" t="s">
        <v>82</v>
      </c>
    </row>
    <row r="5" spans="1:11" x14ac:dyDescent="0.25">
      <c r="A5" s="3" t="s">
        <v>91</v>
      </c>
      <c r="B5" t="s">
        <v>94</v>
      </c>
      <c r="I5" t="s">
        <v>64</v>
      </c>
      <c r="J5" t="s">
        <v>36</v>
      </c>
    </row>
    <row r="6" spans="1:11" x14ac:dyDescent="0.25">
      <c r="J6" t="s">
        <v>37</v>
      </c>
    </row>
    <row r="7" spans="1:11" x14ac:dyDescent="0.25">
      <c r="J7" t="s">
        <v>38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Tokens</vt:lpstr>
      <vt:lpstr>ToMint</vt:lpstr>
      <vt:lpstr>View Token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2022-05-03T07:42:30Z</dcterms:modified>
</cp:coreProperties>
</file>
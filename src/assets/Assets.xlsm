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hoar\IdeaProjects\NFTCalvi\src\assets\"/>
    </mc:Choice>
  </mc:AlternateContent>
  <xr:revisionPtr revIDLastSave="0" documentId="13_ncr:1_{3047C735-D864-4F60-8D49-C0B548A6EAB8}" xr6:coauthVersionLast="47" xr6:coauthVersionMax="47" xr10:uidLastSave="{00000000-0000-0000-0000-000000000000}"/>
  <bookViews>
    <workbookView xWindow="28680" yWindow="-120" windowWidth="29040" windowHeight="15840" activeTab="1" xr2:uid="{A46472A9-C1E5-4C6F-87BB-3A30BD91F622}"/>
  </bookViews>
  <sheets>
    <sheet name="Token" sheetId="1" r:id="rId1"/>
    <sheet name="ToMint" sheetId="2" r:id="rId2"/>
    <sheet name="Settin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74" i="2" l="1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4" i="2"/>
  <c r="M29" i="2"/>
  <c r="N29" i="2"/>
  <c r="T42" i="2"/>
  <c r="T5" i="2"/>
  <c r="O48" i="2"/>
  <c r="O27" i="2"/>
  <c r="P35" i="2"/>
  <c r="O38" i="2"/>
  <c r="N41" i="2"/>
  <c r="O41" i="2"/>
  <c r="P40" i="2"/>
  <c r="M47" i="2"/>
  <c r="M10" i="2"/>
  <c r="P7" i="2"/>
  <c r="P4" i="2"/>
  <c r="N37" i="2"/>
  <c r="O8" i="2"/>
  <c r="M30" i="2"/>
  <c r="M41" i="2"/>
  <c r="M44" i="2"/>
  <c r="T49" i="2"/>
  <c r="N10" i="2"/>
  <c r="T6" i="2"/>
  <c r="N15" i="2"/>
  <c r="T17" i="2"/>
  <c r="N27" i="2"/>
  <c r="P28" i="2"/>
  <c r="O24" i="2"/>
  <c r="P38" i="2"/>
  <c r="N21" i="2"/>
  <c r="N43" i="2"/>
  <c r="O30" i="2"/>
  <c r="N4" i="2"/>
  <c r="T31" i="2"/>
  <c r="O34" i="2"/>
  <c r="O5" i="2"/>
  <c r="M48" i="2"/>
  <c r="M11" i="2"/>
  <c r="N11" i="2"/>
  <c r="T32" i="2"/>
  <c r="P43" i="2"/>
  <c r="T43" i="2"/>
  <c r="P42" i="2"/>
  <c r="T46" i="2"/>
  <c r="T9" i="2"/>
  <c r="P12" i="2"/>
  <c r="O15" i="2"/>
  <c r="P15" i="2"/>
  <c r="M8" i="2"/>
  <c r="T50" i="2"/>
  <c r="T13" i="2"/>
  <c r="P16" i="2"/>
  <c r="O35" i="2"/>
  <c r="N46" i="2"/>
  <c r="O46" i="2"/>
  <c r="O12" i="2"/>
  <c r="N18" i="2"/>
  <c r="M12" i="2"/>
  <c r="N23" i="2"/>
  <c r="M16" i="2"/>
  <c r="O43" i="2"/>
  <c r="T14" i="2"/>
  <c r="P17" i="2"/>
  <c r="P31" i="2"/>
  <c r="T47" i="2"/>
  <c r="M46" i="2"/>
  <c r="N20" i="2"/>
  <c r="P36" i="2"/>
  <c r="N34" i="2"/>
  <c r="O39" i="2"/>
  <c r="P5" i="2"/>
  <c r="N17" i="2"/>
  <c r="M42" i="2"/>
  <c r="P26" i="2"/>
  <c r="P19" i="2"/>
  <c r="N47" i="2"/>
  <c r="M37" i="2"/>
  <c r="O23" i="2"/>
  <c r="P21" i="2"/>
  <c r="T11" i="2"/>
  <c r="O20" i="2"/>
  <c r="N24" i="2"/>
  <c r="O14" i="2"/>
  <c r="T28" i="2"/>
  <c r="T16" i="2"/>
  <c r="T30" i="2"/>
  <c r="N8" i="2"/>
  <c r="P22" i="2"/>
  <c r="T39" i="2"/>
  <c r="T10" i="2"/>
  <c r="P13" i="2"/>
  <c r="O16" i="2"/>
  <c r="N19" i="2"/>
  <c r="M38" i="2"/>
  <c r="O6" i="2"/>
  <c r="M49" i="2"/>
  <c r="O9" i="2"/>
  <c r="P9" i="2"/>
  <c r="M15" i="2"/>
  <c r="P20" i="2"/>
  <c r="T20" i="2"/>
  <c r="P23" i="2"/>
  <c r="O13" i="2"/>
  <c r="N16" i="2"/>
  <c r="M19" i="2"/>
  <c r="P24" i="2"/>
  <c r="T40" i="2"/>
  <c r="M9" i="2"/>
  <c r="N9" i="2"/>
  <c r="N26" i="2"/>
  <c r="N25" i="2"/>
  <c r="T18" i="2"/>
  <c r="O17" i="2"/>
  <c r="M32" i="2"/>
  <c r="O36" i="2"/>
  <c r="O33" i="2"/>
  <c r="O42" i="2"/>
  <c r="M45" i="2"/>
  <c r="M5" i="2"/>
  <c r="T7" i="2"/>
  <c r="O50" i="2"/>
  <c r="O21" i="2"/>
  <c r="P29" i="2"/>
  <c r="M27" i="2"/>
  <c r="M6" i="2"/>
  <c r="T48" i="2"/>
  <c r="M17" i="2"/>
  <c r="P46" i="2"/>
  <c r="M20" i="2"/>
  <c r="P25" i="2"/>
  <c r="T25" i="2"/>
  <c r="N39" i="2"/>
  <c r="O31" i="2"/>
  <c r="P39" i="2"/>
  <c r="P10" i="2"/>
  <c r="M24" i="2"/>
  <c r="P37" i="2"/>
  <c r="T29" i="2"/>
  <c r="T8" i="2"/>
  <c r="N30" i="2"/>
  <c r="T19" i="2"/>
  <c r="N45" i="2"/>
  <c r="T22" i="2"/>
  <c r="N28" i="2"/>
  <c r="O28" i="2"/>
  <c r="P44" i="2"/>
  <c r="M34" i="2"/>
  <c r="N42" i="2"/>
  <c r="O29" i="2"/>
  <c r="M14" i="2"/>
  <c r="M25" i="2"/>
  <c r="M28" i="2"/>
  <c r="T33" i="2"/>
  <c r="P50" i="2"/>
  <c r="T27" i="2"/>
  <c r="T34" i="2"/>
  <c r="N35" i="2"/>
  <c r="O10" i="2"/>
  <c r="M13" i="2"/>
  <c r="N13" i="2"/>
  <c r="T26" i="2"/>
  <c r="N40" i="2"/>
  <c r="O32" i="2"/>
  <c r="O11" i="2"/>
  <c r="N6" i="2"/>
  <c r="O22" i="2"/>
  <c r="P6" i="2"/>
  <c r="O25" i="2"/>
  <c r="P33" i="2"/>
  <c r="M31" i="2"/>
  <c r="N50" i="2"/>
  <c r="T36" i="2"/>
  <c r="P47" i="2"/>
  <c r="P18" i="2"/>
  <c r="P45" i="2"/>
  <c r="M35" i="2"/>
  <c r="P11" i="2"/>
  <c r="P14" i="2"/>
  <c r="P41" i="2"/>
  <c r="N7" i="2"/>
  <c r="N14" i="2"/>
  <c r="N31" i="2"/>
  <c r="O19" i="2"/>
  <c r="T44" i="2"/>
  <c r="T15" i="2"/>
  <c r="O18" i="2"/>
  <c r="M21" i="2"/>
  <c r="T23" i="2"/>
  <c r="P34" i="2"/>
  <c r="O37" i="2"/>
  <c r="N32" i="2"/>
  <c r="M43" i="2"/>
  <c r="M22" i="2"/>
  <c r="N22" i="2"/>
  <c r="M33" i="2"/>
  <c r="P30" i="2"/>
  <c r="M36" i="2"/>
  <c r="N36" i="2"/>
  <c r="T41" i="2"/>
  <c r="P32" i="2"/>
  <c r="O47" i="2"/>
  <c r="M4" i="2"/>
  <c r="O26" i="2"/>
  <c r="N5" i="2"/>
  <c r="M40" i="2"/>
  <c r="N48" i="2"/>
  <c r="T45" i="2"/>
  <c r="T24" i="2"/>
  <c r="P27" i="2"/>
  <c r="T35" i="2"/>
  <c r="N33" i="2"/>
  <c r="T38" i="2"/>
  <c r="P49" i="2"/>
  <c r="O44" i="2"/>
  <c r="O7" i="2"/>
  <c r="M50" i="2"/>
  <c r="T4" i="2"/>
  <c r="O45" i="2"/>
  <c r="P8" i="2"/>
  <c r="N38" i="2"/>
  <c r="N49" i="2"/>
  <c r="M7" i="2"/>
  <c r="T12" i="2"/>
  <c r="O4" i="2"/>
  <c r="O49" i="2"/>
  <c r="M18" i="2"/>
  <c r="N12" i="2"/>
  <c r="T21" i="2"/>
  <c r="M26" i="2"/>
  <c r="P48" i="2"/>
  <c r="M23" i="2"/>
  <c r="T37" i="2"/>
  <c r="N44" i="2"/>
  <c r="O40" i="2"/>
  <c r="M39" i="2"/>
  <c r="L50" i="2" l="1"/>
  <c r="L42" i="2"/>
  <c r="L34" i="2"/>
  <c r="L26" i="2"/>
  <c r="L18" i="2"/>
  <c r="L10" i="2"/>
  <c r="L47" i="2"/>
  <c r="L39" i="2"/>
  <c r="L31" i="2"/>
  <c r="L23" i="2"/>
  <c r="L15" i="2"/>
  <c r="L7" i="2"/>
  <c r="L44" i="2"/>
  <c r="L36" i="2"/>
  <c r="L28" i="2"/>
  <c r="L20" i="2"/>
  <c r="L12" i="2"/>
  <c r="L49" i="2"/>
  <c r="L41" i="2"/>
  <c r="L33" i="2"/>
  <c r="L25" i="2"/>
  <c r="L17" i="2"/>
  <c r="L9" i="2"/>
  <c r="L46" i="2"/>
  <c r="L38" i="2"/>
  <c r="L30" i="2"/>
  <c r="L22" i="2"/>
  <c r="L14" i="2"/>
  <c r="L6" i="2"/>
  <c r="L43" i="2"/>
  <c r="L35" i="2"/>
  <c r="L27" i="2"/>
  <c r="L19" i="2"/>
  <c r="L11" i="2"/>
  <c r="L48" i="2"/>
  <c r="L40" i="2"/>
  <c r="L32" i="2"/>
  <c r="L24" i="2"/>
  <c r="L16" i="2"/>
  <c r="L8" i="2"/>
  <c r="L45" i="2"/>
  <c r="L37" i="2"/>
  <c r="L29" i="2"/>
  <c r="L21" i="2"/>
  <c r="L13" i="2"/>
  <c r="L5" i="2"/>
  <c r="L4" i="2"/>
</calcChain>
</file>

<file path=xl/sharedStrings.xml><?xml version="1.0" encoding="utf-8"?>
<sst xmlns="http://schemas.openxmlformats.org/spreadsheetml/2006/main" count="548" uniqueCount="170">
  <si>
    <t>seller_fee_basis_points</t>
  </si>
  <si>
    <t>image</t>
  </si>
  <si>
    <t>trait_type</t>
  </si>
  <si>
    <t>value</t>
  </si>
  <si>
    <t>address</t>
  </si>
  <si>
    <t>verified</t>
  </si>
  <si>
    <t>share</t>
  </si>
  <si>
    <t>type</t>
  </si>
  <si>
    <t>Collection</t>
  </si>
  <si>
    <t>name</t>
  </si>
  <si>
    <t>symbol</t>
  </si>
  <si>
    <t>description</t>
  </si>
  <si>
    <t>Main part</t>
  </si>
  <si>
    <t>Attributes part</t>
  </si>
  <si>
    <t>Creators part</t>
  </si>
  <si>
    <t>Creators</t>
  </si>
  <si>
    <t>files</t>
  </si>
  <si>
    <t>Files</t>
  </si>
  <si>
    <t>Files part</t>
  </si>
  <si>
    <t>Collection part</t>
  </si>
  <si>
    <t>Object</t>
  </si>
  <si>
    <t>Attributes</t>
  </si>
  <si>
    <t>Main</t>
  </si>
  <si>
    <t>Nom du NFT</t>
  </si>
  <si>
    <t>Date de minage</t>
  </si>
  <si>
    <t>Server address</t>
  </si>
  <si>
    <t>Network</t>
  </si>
  <si>
    <t>Devnet</t>
  </si>
  <si>
    <t>paul</t>
  </si>
  <si>
    <t>sophie</t>
  </si>
  <si>
    <t>roger</t>
  </si>
  <si>
    <t>Server possible</t>
  </si>
  <si>
    <t>http://localhost:4242</t>
  </si>
  <si>
    <t>https://server.f80lab.com:4242</t>
  </si>
  <si>
    <t>Mainnet</t>
  </si>
  <si>
    <t>Signature</t>
  </si>
  <si>
    <t>Signatures</t>
  </si>
  <si>
    <t>Paul</t>
  </si>
  <si>
    <t>Roger</t>
  </si>
  <si>
    <t>Herve</t>
  </si>
  <si>
    <t>Thomas</t>
  </si>
  <si>
    <t>Sophie</t>
  </si>
  <si>
    <t>external_url</t>
  </si>
  <si>
    <t>Timeout</t>
  </si>
  <si>
    <t>Signer</t>
  </si>
  <si>
    <t>False</t>
  </si>
  <si>
    <t>family</t>
  </si>
  <si>
    <t>Pass festival</t>
  </si>
  <si>
    <t>pour deux(2) personnes</t>
  </si>
  <si>
    <t>avantage1</t>
  </si>
  <si>
    <t>avantage2</t>
  </si>
  <si>
    <t>avantage3</t>
  </si>
  <si>
    <t>avantage4</t>
  </si>
  <si>
    <t>avantage5</t>
  </si>
  <si>
    <t>avantage9</t>
  </si>
  <si>
    <t>accès pour deux (2) personnes à un (1) événement partenaire officiel de Calvi on the Rocks</t>
  </si>
  <si>
    <t>invitation à la “Soirée off” réservée aux membres NFT pour deux (2) personnes</t>
  </si>
  <si>
    <t>accès membre pour les after party officielles pour deux (2) personnes</t>
  </si>
  <si>
    <t>accès prioritaire et bar dédié (consommation à la charge du festivalier) - tables réservées à l'avance pour les « NFT member » pour deux (2) personnes</t>
  </si>
  <si>
    <t>1 affiche dédicacée et numérotée</t>
  </si>
  <si>
    <t>nombre de Pass2022</t>
  </si>
  <si>
    <t>nombre de Pass2023</t>
  </si>
  <si>
    <t>nombre de Pass2024</t>
  </si>
  <si>
    <t>https://bafkreieo2qhxipegtregxjt6d6ua5izbduybk2serl357r5sjy5cedbzam.ipfs.nftstorage.link?ext=png</t>
  </si>
  <si>
    <t>https://bafybeihvjr73zcwvfbsqzy5odznulrtgntk5fe33b6mhj4d73batj67cxq.ipfs.nftstorage.link?ext=mp4</t>
  </si>
  <si>
    <t>video/mp4</t>
  </si>
  <si>
    <t>https://bafkreidyidc62awpaiemnfgiwevgnjsbgqynfthz6jyj73ui3l22ecxqga.ipfs.nftstorage.link?ext=png</t>
  </si>
  <si>
    <t>image/png</t>
  </si>
  <si>
    <t>NFluenTGallery</t>
  </si>
  <si>
    <t>Résultat d'execution</t>
  </si>
  <si>
    <t>Elrond_devnet</t>
  </si>
  <si>
    <t>Elrond_mainnet</t>
  </si>
  <si>
    <t>TestCollect</t>
  </si>
  <si>
    <t>Test1</t>
  </si>
  <si>
    <t>Test2</t>
  </si>
  <si>
    <t>avantage6</t>
  </si>
  <si>
    <t>2 affiche dédicacée et numérotée</t>
  </si>
  <si>
    <t>nombre de Pass2025</t>
  </si>
  <si>
    <t>avantage10</t>
  </si>
  <si>
    <t>https://bafybeihvjr73zcwvfbsqzy5odznulrtgntk5fe33b6mhj4d73batj67cxq.ipfs.nftstorage.link?ext=mp5</t>
  </si>
  <si>
    <t>video/mp5</t>
  </si>
  <si>
    <t>Test3</t>
  </si>
  <si>
    <t>avantage7</t>
  </si>
  <si>
    <t>3 affiche dédicacée et numérotée</t>
  </si>
  <si>
    <t>nombre de Pass2026</t>
  </si>
  <si>
    <t>avantage11</t>
  </si>
  <si>
    <t>https://bafybeihvjr73zcwvfbsqzy5odznulrtgntk5fe33b6mhj4d73batj67cxq.ipfs.nftstorage.link?ext=mp6</t>
  </si>
  <si>
    <t>video/mp6</t>
  </si>
  <si>
    <t>Test4</t>
  </si>
  <si>
    <t>avantage8</t>
  </si>
  <si>
    <t>4 affiche dédicacée et numérotée</t>
  </si>
  <si>
    <t>nombre de Pass2027</t>
  </si>
  <si>
    <t>avantage12</t>
  </si>
  <si>
    <t>https://bafybeihvjr73zcwvfbsqzy5odznulrtgntk5fe33b6mhj4d73batj67cxq.ipfs.nftstorage.link?ext=mp7</t>
  </si>
  <si>
    <t>video/mp7</t>
  </si>
  <si>
    <t>Test5</t>
  </si>
  <si>
    <t>5 affiche dédicacée et numérotée</t>
  </si>
  <si>
    <t>nombre de Pass2028</t>
  </si>
  <si>
    <t>avantage13</t>
  </si>
  <si>
    <t>https://bafybeihvjr73zcwvfbsqzy5odznulrtgntk5fe33b6mhj4d73batj67cxq.ipfs.nftstorage.link?ext=mp8</t>
  </si>
  <si>
    <t>video/mp8</t>
  </si>
  <si>
    <t>Test6</t>
  </si>
  <si>
    <t>6 affiche dédicacée et numérotée</t>
  </si>
  <si>
    <t>nombre de Pass2029</t>
  </si>
  <si>
    <t>avantage14</t>
  </si>
  <si>
    <t>https://bafybeihvjr73zcwvfbsqzy5odznulrtgntk5fe33b6mhj4d73batj67cxq.ipfs.nftstorage.link?ext=mp9</t>
  </si>
  <si>
    <t>video/mp9</t>
  </si>
  <si>
    <t>Test7</t>
  </si>
  <si>
    <t>7 affiche dédicacée et numérotée</t>
  </si>
  <si>
    <t>nombre de Pass2030</t>
  </si>
  <si>
    <t>avantage15</t>
  </si>
  <si>
    <t>https://bafybeihvjr73zcwvfbsqzy5odznulrtgntk5fe33b6mhj4d73batj67cxq.ipfs.nftstorage.link?ext=mp10</t>
  </si>
  <si>
    <t>video/mp10</t>
  </si>
  <si>
    <t>Test8</t>
  </si>
  <si>
    <t>8 affiche dédicacée et numérotée</t>
  </si>
  <si>
    <t>nombre de Pass2031</t>
  </si>
  <si>
    <t>avantage16</t>
  </si>
  <si>
    <t>https://bafybeihvjr73zcwvfbsqzy5odznulrtgntk5fe33b6mhj4d73batj67cxq.ipfs.nftstorage.link?ext=mp11</t>
  </si>
  <si>
    <t>video/mp11</t>
  </si>
  <si>
    <t>Test9</t>
  </si>
  <si>
    <t>9 affiche dédicacée et numérotée</t>
  </si>
  <si>
    <t>nombre de Pass2032</t>
  </si>
  <si>
    <t>avantage17</t>
  </si>
  <si>
    <t>https://bafybeihvjr73zcwvfbsqzy5odznulrtgntk5fe33b6mhj4d73batj67cxq.ipfs.nftstorage.link?ext=mp12</t>
  </si>
  <si>
    <t>video/mp12</t>
  </si>
  <si>
    <t>Test10</t>
  </si>
  <si>
    <t>10 affiche dédicacée et numérotée</t>
  </si>
  <si>
    <t>nombre de Pass2033</t>
  </si>
  <si>
    <t>avantage18</t>
  </si>
  <si>
    <t>https://bafybeihvjr73zcwvfbsqzy5odznulrtgntk5fe33b6mhj4d73batj67cxq.ipfs.nftstorage.link?ext=mp13</t>
  </si>
  <si>
    <t>video/mp13</t>
  </si>
  <si>
    <t>Test11</t>
  </si>
  <si>
    <t>11 affiche dédicacée et numérotée</t>
  </si>
  <si>
    <t>nombre de Pass2034</t>
  </si>
  <si>
    <t>avantage19</t>
  </si>
  <si>
    <t>https://bafybeihvjr73zcwvfbsqzy5odznulrtgntk5fe33b6mhj4d73batj67cxq.ipfs.nftstorage.link?ext=mp14</t>
  </si>
  <si>
    <t>video/mp14</t>
  </si>
  <si>
    <t>Test12</t>
  </si>
  <si>
    <t>12 affiche dédicacée et numérotée</t>
  </si>
  <si>
    <t>nombre de Pass2035</t>
  </si>
  <si>
    <t>avantage20</t>
  </si>
  <si>
    <t>https://bafybeihvjr73zcwvfbsqzy5odznulrtgntk5fe33b6mhj4d73batj67cxq.ipfs.nftstorage.link?ext=mp15</t>
  </si>
  <si>
    <t>video/mp15</t>
  </si>
  <si>
    <t>Test13</t>
  </si>
  <si>
    <t>13 affiche dédicacée et numérotée</t>
  </si>
  <si>
    <t>nombre de Pass2036</t>
  </si>
  <si>
    <t>avantage21</t>
  </si>
  <si>
    <t>https://bafybeihvjr73zcwvfbsqzy5odznulrtgntk5fe33b6mhj4d73batj67cxq.ipfs.nftstorage.link?ext=mp16</t>
  </si>
  <si>
    <t>video/mp16</t>
  </si>
  <si>
    <t>Test14</t>
  </si>
  <si>
    <t>14 affiche dédicacée et numérotée</t>
  </si>
  <si>
    <t>nombre de Pass2037</t>
  </si>
  <si>
    <t>avantage22</t>
  </si>
  <si>
    <t>https://bafybeihvjr73zcwvfbsqzy5odznulrtgntk5fe33b6mhj4d73batj67cxq.ipfs.nftstorage.link?ext=mp17</t>
  </si>
  <si>
    <t>video/mp17</t>
  </si>
  <si>
    <t>Test15</t>
  </si>
  <si>
    <t>15 affiche dédicacée et numérotée</t>
  </si>
  <si>
    <t>nombre de Pass2038</t>
  </si>
  <si>
    <t>avantage23</t>
  </si>
  <si>
    <t>https://bafybeihvjr73zcwvfbsqzy5odznulrtgntk5fe33b6mhj4d73batj67cxq.ipfs.nftstorage.link?ext=mp18</t>
  </si>
  <si>
    <t>video/mp18</t>
  </si>
  <si>
    <t>Test16</t>
  </si>
  <si>
    <t>16 affiche dédicacée et numérotée</t>
  </si>
  <si>
    <t>nombre de Pass2039</t>
  </si>
  <si>
    <t>avantage24</t>
  </si>
  <si>
    <t>https://bafybeihvjr73zcwvfbsqzy5odznulrtgntk5fe33b6mhj4d73batj67cxq.ipfs.nftstorage.link?ext=mp19</t>
  </si>
  <si>
    <t>video/mp19</t>
  </si>
  <si>
    <t>Solde</t>
  </si>
  <si>
    <t>En cours de traitement</t>
  </si>
  <si>
    <t>Coût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</si>
</sst>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2" fillId="14" borderId="0" applyNumberFormat="0" applyBorder="0" applyAlignment="0" applyProtection="0"/>
  </cellStyleXfs>
  <cellXfs count="2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wrapText="1"/>
    </xf>
    <xf numFmtId="0" fontId="4" fillId="0" borderId="0" xfId="2"/>
    <xf numFmtId="0" fontId="2" fillId="3" borderId="0" xfId="1"/>
    <xf numFmtId="0" fontId="0" fillId="13" borderId="0" xfId="0" applyFill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5" borderId="0" xfId="3" applyAlignment="1">
      <alignment horizontal="center"/>
    </xf>
    <xf numFmtId="0" fontId="0" fillId="0" borderId="0" xfId="0" applyFont="1" applyAlignment="1">
      <alignment horizontal="center" wrapText="1"/>
    </xf>
    <xf numFmtId="0" fontId="2" fillId="14" borderId="0" xfId="4"/>
    <xf numFmtId="0" fontId="7" fillId="0" borderId="0" xfId="0" applyFont="1" applyAlignment="1">
      <alignment wrapText="1"/>
    </xf>
    <xf numFmtId="0" fontId="7" fillId="0" borderId="0" xfId="0" applyFont="1"/>
    <xf numFmtId="0" fontId="6" fillId="5" borderId="0" xfId="3" applyFont="1" applyAlignment="1">
      <alignment horizontal="center"/>
    </xf>
    <xf numFmtId="22" fontId="7" fillId="0" borderId="0" xfId="0" applyNumberFormat="1" applyFont="1" applyAlignment="1">
      <alignment horizontal="center" wrapText="1"/>
    </xf>
    <xf numFmtId="22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0" fillId="11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6" borderId="0" xfId="0" applyFill="1" applyAlignment="1">
      <alignment horizontal="center"/>
    </xf>
  </cellXfs>
  <cellStyles count="5">
    <cellStyle name="Accent1" xfId="3" builtinId="29"/>
    <cellStyle name="Accent2" xfId="4" builtinId="33"/>
    <cellStyle name="Accent3" xfId="1" builtinId="37"/>
    <cellStyle name="Lien hypertexte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714375</xdr:colOff>
          <xdr:row>0</xdr:row>
          <xdr:rowOff>76200</xdr:rowOff>
        </xdr:from>
        <xdr:to>
          <xdr:col>3</xdr:col>
          <xdr:colOff>342900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85725</xdr:rowOff>
        </xdr:from>
        <xdr:to>
          <xdr:col>1</xdr:col>
          <xdr:colOff>542925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bafkreieo2qhxipegtregxjt6d6ua5izbduybk2serl357r5sjy5cedbzam.ipfs.nftstorage.link/?ext=png" TargetMode="External"/><Relationship Id="rId18" Type="http://schemas.openxmlformats.org/officeDocument/2006/relationships/hyperlink" Target="https://bafkreieo2qhxipegtregxjt6d6ua5izbduybk2serl357r5sjy5cedbzam.ipfs.nftstorage.link/?ext=png" TargetMode="External"/><Relationship Id="rId26" Type="http://schemas.openxmlformats.org/officeDocument/2006/relationships/hyperlink" Target="https://bafybeihvjr73zcwvfbsqzy5odznulrtgntk5fe33b6mhj4d73batj67cxq.ipfs.nftstorage.link/?ext=mp4" TargetMode="External"/><Relationship Id="rId39" Type="http://schemas.openxmlformats.org/officeDocument/2006/relationships/hyperlink" Target="https://bafkreidyidc62awpaiemnfgiwevgnjsbgqynfthz6jyj73ui3l22ecxqga.ipfs.nftstorage.link/?ext=png" TargetMode="External"/><Relationship Id="rId21" Type="http://schemas.openxmlformats.org/officeDocument/2006/relationships/hyperlink" Target="https://bafybeihvjr73zcwvfbsqzy5odznulrtgntk5fe33b6mhj4d73batj67cxq.ipfs.nftstorage.link/?ext=mp4" TargetMode="External"/><Relationship Id="rId34" Type="http://schemas.openxmlformats.org/officeDocument/2006/relationships/hyperlink" Target="https://bafkreidyidc62awpaiemnfgiwevgnjsbgqynfthz6jyj73ui3l22ecxqga.ipfs.nftstorage.link/?ext=png" TargetMode="External"/><Relationship Id="rId42" Type="http://schemas.openxmlformats.org/officeDocument/2006/relationships/hyperlink" Target="https://bafkreidyidc62awpaiemnfgiwevgnjsbgqynfthz6jyj73ui3l22ecxqga.ipfs.nftstorage.link/?ext=png" TargetMode="External"/><Relationship Id="rId47" Type="http://schemas.openxmlformats.org/officeDocument/2006/relationships/hyperlink" Target="https://bafkreidyidc62awpaiemnfgiwevgnjsbgqynfthz6jyj73ui3l22ecxqga.ipfs.nftstorage.link/?ext=png" TargetMode="External"/><Relationship Id="rId7" Type="http://schemas.openxmlformats.org/officeDocument/2006/relationships/hyperlink" Target="https://bafkreieo2qhxipegtregxjt6d6ua5izbduybk2serl357r5sjy5cedbzam.ipfs.nftstorage.link/?ext=png" TargetMode="External"/><Relationship Id="rId2" Type="http://schemas.openxmlformats.org/officeDocument/2006/relationships/hyperlink" Target="https://bafybeihvjr73zcwvfbsqzy5odznulrtgntk5fe33b6mhj4d73batj67cxq.ipfs.nftstorage.link/?ext=mp4" TargetMode="External"/><Relationship Id="rId16" Type="http://schemas.openxmlformats.org/officeDocument/2006/relationships/hyperlink" Target="https://bafkreieo2qhxipegtregxjt6d6ua5izbduybk2serl357r5sjy5cedbzam.ipfs.nftstorage.link/?ext=png" TargetMode="External"/><Relationship Id="rId29" Type="http://schemas.openxmlformats.org/officeDocument/2006/relationships/hyperlink" Target="https://bafybeihvjr73zcwvfbsqzy5odznulrtgntk5fe33b6mhj4d73batj67cxq.ipfs.nftstorage.link/?ext=mp4" TargetMode="External"/><Relationship Id="rId1" Type="http://schemas.openxmlformats.org/officeDocument/2006/relationships/hyperlink" Target="https://bafkreieo2qhxipegtregxjt6d6ua5izbduybk2serl357r5sjy5cedbzam.ipfs.nftstorage.link/?ext=png" TargetMode="External"/><Relationship Id="rId6" Type="http://schemas.openxmlformats.org/officeDocument/2006/relationships/hyperlink" Target="https://bafkreieo2qhxipegtregxjt6d6ua5izbduybk2serl357r5sjy5cedbzam.ipfs.nftstorage.link/?ext=png" TargetMode="External"/><Relationship Id="rId11" Type="http://schemas.openxmlformats.org/officeDocument/2006/relationships/hyperlink" Target="https://bafkreieo2qhxipegtregxjt6d6ua5izbduybk2serl357r5sjy5cedbzam.ipfs.nftstorage.link/?ext=png" TargetMode="External"/><Relationship Id="rId24" Type="http://schemas.openxmlformats.org/officeDocument/2006/relationships/hyperlink" Target="https://bafybeihvjr73zcwvfbsqzy5odznulrtgntk5fe33b6mhj4d73batj67cxq.ipfs.nftstorage.link/?ext=mp4" TargetMode="External"/><Relationship Id="rId32" Type="http://schemas.openxmlformats.org/officeDocument/2006/relationships/hyperlink" Target="https://bafybeihvjr73zcwvfbsqzy5odznulrtgntk5fe33b6mhj4d73batj67cxq.ipfs.nftstorage.link/?ext=mp4" TargetMode="External"/><Relationship Id="rId37" Type="http://schemas.openxmlformats.org/officeDocument/2006/relationships/hyperlink" Target="https://bafkreidyidc62awpaiemnfgiwevgnjsbgqynfthz6jyj73ui3l22ecxqga.ipfs.nftstorage.link/?ext=png" TargetMode="External"/><Relationship Id="rId40" Type="http://schemas.openxmlformats.org/officeDocument/2006/relationships/hyperlink" Target="https://bafkreidyidc62awpaiemnfgiwevgnjsbgqynfthz6jyj73ui3l22ecxqga.ipfs.nftstorage.link/?ext=png" TargetMode="External"/><Relationship Id="rId45" Type="http://schemas.openxmlformats.org/officeDocument/2006/relationships/hyperlink" Target="https://bafkreidyidc62awpaiemnfgiwevgnjsbgqynfthz6jyj73ui3l22ecxqga.ipfs.nftstorage.link/?ext=png" TargetMode="External"/><Relationship Id="rId5" Type="http://schemas.openxmlformats.org/officeDocument/2006/relationships/hyperlink" Target="https://bafkreieo2qhxipegtregxjt6d6ua5izbduybk2serl357r5sjy5cedbzam.ipfs.nftstorage.link/?ext=png" TargetMode="External"/><Relationship Id="rId15" Type="http://schemas.openxmlformats.org/officeDocument/2006/relationships/hyperlink" Target="https://bafkreieo2qhxipegtregxjt6d6ua5izbduybk2serl357r5sjy5cedbzam.ipfs.nftstorage.link/?ext=png" TargetMode="External"/><Relationship Id="rId23" Type="http://schemas.openxmlformats.org/officeDocument/2006/relationships/hyperlink" Target="https://bafybeihvjr73zcwvfbsqzy5odznulrtgntk5fe33b6mhj4d73batj67cxq.ipfs.nftstorage.link/?ext=mp4" TargetMode="External"/><Relationship Id="rId28" Type="http://schemas.openxmlformats.org/officeDocument/2006/relationships/hyperlink" Target="https://bafybeihvjr73zcwvfbsqzy5odznulrtgntk5fe33b6mhj4d73batj67cxq.ipfs.nftstorage.link/?ext=mp4" TargetMode="External"/><Relationship Id="rId36" Type="http://schemas.openxmlformats.org/officeDocument/2006/relationships/hyperlink" Target="https://bafkreidyidc62awpaiemnfgiwevgnjsbgqynfthz6jyj73ui3l22ecxqga.ipfs.nftstorage.link/?ext=png" TargetMode="External"/><Relationship Id="rId10" Type="http://schemas.openxmlformats.org/officeDocument/2006/relationships/hyperlink" Target="https://bafkreieo2qhxipegtregxjt6d6ua5izbduybk2serl357r5sjy5cedbzam.ipfs.nftstorage.link/?ext=png" TargetMode="External"/><Relationship Id="rId19" Type="http://schemas.openxmlformats.org/officeDocument/2006/relationships/hyperlink" Target="https://bafybeihvjr73zcwvfbsqzy5odznulrtgntk5fe33b6mhj4d73batj67cxq.ipfs.nftstorage.link/?ext=mp4" TargetMode="External"/><Relationship Id="rId31" Type="http://schemas.openxmlformats.org/officeDocument/2006/relationships/hyperlink" Target="https://bafybeihvjr73zcwvfbsqzy5odznulrtgntk5fe33b6mhj4d73batj67cxq.ipfs.nftstorage.link/?ext=mp4" TargetMode="External"/><Relationship Id="rId44" Type="http://schemas.openxmlformats.org/officeDocument/2006/relationships/hyperlink" Target="https://bafkreidyidc62awpaiemnfgiwevgnjsbgqynfthz6jyj73ui3l22ecxqga.ipfs.nftstorage.link/?ext=png" TargetMode="External"/><Relationship Id="rId4" Type="http://schemas.openxmlformats.org/officeDocument/2006/relationships/hyperlink" Target="https://bafkreieo2qhxipegtregxjt6d6ua5izbduybk2serl357r5sjy5cedbzam.ipfs.nftstorage.link/?ext=png" TargetMode="External"/><Relationship Id="rId9" Type="http://schemas.openxmlformats.org/officeDocument/2006/relationships/hyperlink" Target="https://bafkreieo2qhxipegtregxjt6d6ua5izbduybk2serl357r5sjy5cedbzam.ipfs.nftstorage.link/?ext=png" TargetMode="External"/><Relationship Id="rId14" Type="http://schemas.openxmlformats.org/officeDocument/2006/relationships/hyperlink" Target="https://bafkreieo2qhxipegtregxjt6d6ua5izbduybk2serl357r5sjy5cedbzam.ipfs.nftstorage.link/?ext=png" TargetMode="External"/><Relationship Id="rId22" Type="http://schemas.openxmlformats.org/officeDocument/2006/relationships/hyperlink" Target="https://bafybeihvjr73zcwvfbsqzy5odznulrtgntk5fe33b6mhj4d73batj67cxq.ipfs.nftstorage.link/?ext=mp4" TargetMode="External"/><Relationship Id="rId27" Type="http://schemas.openxmlformats.org/officeDocument/2006/relationships/hyperlink" Target="https://bafybeihvjr73zcwvfbsqzy5odznulrtgntk5fe33b6mhj4d73batj67cxq.ipfs.nftstorage.link/?ext=mp4" TargetMode="External"/><Relationship Id="rId30" Type="http://schemas.openxmlformats.org/officeDocument/2006/relationships/hyperlink" Target="https://bafybeihvjr73zcwvfbsqzy5odznulrtgntk5fe33b6mhj4d73batj67cxq.ipfs.nftstorage.link/?ext=mp4" TargetMode="External"/><Relationship Id="rId35" Type="http://schemas.openxmlformats.org/officeDocument/2006/relationships/hyperlink" Target="https://bafkreidyidc62awpaiemnfgiwevgnjsbgqynfthz6jyj73ui3l22ecxqga.ipfs.nftstorage.link/?ext=png" TargetMode="External"/><Relationship Id="rId43" Type="http://schemas.openxmlformats.org/officeDocument/2006/relationships/hyperlink" Target="https://bafkreidyidc62awpaiemnfgiwevgnjsbgqynfthz6jyj73ui3l22ecxqga.ipfs.nftstorage.link/?ext=png" TargetMode="External"/><Relationship Id="rId48" Type="http://schemas.openxmlformats.org/officeDocument/2006/relationships/hyperlink" Target="https://bafkreidyidc62awpaiemnfgiwevgnjsbgqynfthz6jyj73ui3l22ecxqga.ipfs.nftstorage.link/?ext=png" TargetMode="External"/><Relationship Id="rId8" Type="http://schemas.openxmlformats.org/officeDocument/2006/relationships/hyperlink" Target="https://bafkreieo2qhxipegtregxjt6d6ua5izbduybk2serl357r5sjy5cedbzam.ipfs.nftstorage.link/?ext=png" TargetMode="External"/><Relationship Id="rId3" Type="http://schemas.openxmlformats.org/officeDocument/2006/relationships/hyperlink" Target="https://bafkreidyidc62awpaiemnfgiwevgnjsbgqynfthz6jyj73ui3l22ecxqga.ipfs.nftstorage.link/?ext=png" TargetMode="External"/><Relationship Id="rId12" Type="http://schemas.openxmlformats.org/officeDocument/2006/relationships/hyperlink" Target="https://bafkreieo2qhxipegtregxjt6d6ua5izbduybk2serl357r5sjy5cedbzam.ipfs.nftstorage.link/?ext=png" TargetMode="External"/><Relationship Id="rId17" Type="http://schemas.openxmlformats.org/officeDocument/2006/relationships/hyperlink" Target="https://bafkreieo2qhxipegtregxjt6d6ua5izbduybk2serl357r5sjy5cedbzam.ipfs.nftstorage.link/?ext=png" TargetMode="External"/><Relationship Id="rId25" Type="http://schemas.openxmlformats.org/officeDocument/2006/relationships/hyperlink" Target="https://bafybeihvjr73zcwvfbsqzy5odznulrtgntk5fe33b6mhj4d73batj67cxq.ipfs.nftstorage.link/?ext=mp4" TargetMode="External"/><Relationship Id="rId33" Type="http://schemas.openxmlformats.org/officeDocument/2006/relationships/hyperlink" Target="https://bafybeihvjr73zcwvfbsqzy5odznulrtgntk5fe33b6mhj4d73batj67cxq.ipfs.nftstorage.link/?ext=mp4" TargetMode="External"/><Relationship Id="rId38" Type="http://schemas.openxmlformats.org/officeDocument/2006/relationships/hyperlink" Target="https://bafkreidyidc62awpaiemnfgiwevgnjsbgqynfthz6jyj73ui3l22ecxqga.ipfs.nftstorage.link/?ext=png" TargetMode="External"/><Relationship Id="rId46" Type="http://schemas.openxmlformats.org/officeDocument/2006/relationships/hyperlink" Target="https://bafkreidyidc62awpaiemnfgiwevgnjsbgqynfthz6jyj73ui3l22ecxqga.ipfs.nftstorage.link/?ext=png" TargetMode="External"/><Relationship Id="rId20" Type="http://schemas.openxmlformats.org/officeDocument/2006/relationships/hyperlink" Target="https://bafybeihvjr73zcwvfbsqzy5odznulrtgntk5fe33b6mhj4d73batj67cxq.ipfs.nftstorage.link/?ext=mp4" TargetMode="External"/><Relationship Id="rId41" Type="http://schemas.openxmlformats.org/officeDocument/2006/relationships/hyperlink" Target="https://bafkreidyidc62awpaiemnfgiwevgnjsbgqynfthz6jyj73ui3l22ecxqga.ipfs.nftstorage.link/?ext=png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://localhost:4242/" TargetMode="External"/><Relationship Id="rId1" Type="http://schemas.openxmlformats.org/officeDocument/2006/relationships/hyperlink" Target="https://server.f80lab.com:4242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422A0-FED0-49DC-8BC5-75A8A4B87431}">
  <sheetPr codeName="Feuil1"/>
  <dimension ref="A1:AQ18"/>
  <sheetViews>
    <sheetView zoomScale="85" zoomScaleNormal="85" workbookViewId="0">
      <selection activeCell="B3" sqref="B3"/>
    </sheetView>
  </sheetViews>
  <sheetFormatPr baseColWidth="10" defaultRowHeight="15" x14ac:dyDescent="0.25"/>
  <cols>
    <col min="1" max="1" width="31.42578125" customWidth="1"/>
    <col min="2" max="2" width="7.5703125" bestFit="1" customWidth="1"/>
    <col min="3" max="3" width="13" customWidth="1"/>
    <col min="4" max="4" width="14.5703125" customWidth="1"/>
    <col min="5" max="6" width="23.140625" customWidth="1"/>
    <col min="7" max="7" width="15.5703125" customWidth="1"/>
    <col min="8" max="8" width="21.140625" customWidth="1"/>
    <col min="9" max="9" width="12.85546875" customWidth="1"/>
    <col min="10" max="10" width="21.140625" customWidth="1"/>
    <col min="11" max="11" width="12.7109375" customWidth="1"/>
    <col min="12" max="26" width="21.140625" customWidth="1"/>
    <col min="27" max="27" width="9.5703125" customWidth="1"/>
    <col min="28" max="29" width="5.85546875" customWidth="1"/>
    <col min="30" max="30" width="7.85546875" bestFit="1" customWidth="1"/>
    <col min="31" max="31" width="8" bestFit="1" customWidth="1"/>
    <col min="32" max="32" width="5.85546875" bestFit="1" customWidth="1"/>
    <col min="33" max="35" width="8.7109375" customWidth="1"/>
    <col min="36" max="41" width="10.28515625" bestFit="1" customWidth="1"/>
    <col min="42" max="42" width="14.85546875" customWidth="1"/>
    <col min="43" max="43" width="22.85546875" customWidth="1"/>
    <col min="44" max="47" width="5.85546875" bestFit="1" customWidth="1"/>
    <col min="48" max="48" width="10" bestFit="1" customWidth="1"/>
    <col min="49" max="49" width="7.85546875" bestFit="1" customWidth="1"/>
  </cols>
  <sheetData>
    <row r="1" spans="1:43" x14ac:dyDescent="0.25">
      <c r="A1" s="25" t="s">
        <v>22</v>
      </c>
      <c r="B1" s="25"/>
      <c r="C1" s="25"/>
      <c r="D1" s="25"/>
      <c r="E1" s="25"/>
      <c r="F1" s="25"/>
      <c r="G1" s="24" t="s">
        <v>21</v>
      </c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5"/>
      <c r="T1" s="5"/>
      <c r="U1" s="5"/>
      <c r="V1" s="5"/>
      <c r="W1" s="5"/>
      <c r="X1" s="5"/>
      <c r="Y1" s="5"/>
      <c r="Z1" s="5"/>
      <c r="AA1" s="21" t="s">
        <v>15</v>
      </c>
      <c r="AB1" s="21"/>
      <c r="AC1" s="21"/>
      <c r="AD1" s="21"/>
      <c r="AE1" s="21"/>
      <c r="AF1" s="21"/>
      <c r="AG1" s="21"/>
      <c r="AH1" s="21"/>
      <c r="AI1" s="21"/>
      <c r="AJ1" s="22" t="s">
        <v>17</v>
      </c>
      <c r="AK1" s="22"/>
      <c r="AL1" s="22"/>
      <c r="AM1" s="22"/>
      <c r="AN1" s="22"/>
      <c r="AO1" s="22"/>
      <c r="AP1" s="23" t="s">
        <v>8</v>
      </c>
      <c r="AQ1" s="23"/>
    </row>
    <row r="2" spans="1:43" s="11" customFormat="1" ht="33" customHeight="1" x14ac:dyDescent="0.25">
      <c r="A2" s="6" t="s">
        <v>9</v>
      </c>
      <c r="B2" s="6" t="s">
        <v>10</v>
      </c>
      <c r="C2" s="6" t="s">
        <v>11</v>
      </c>
      <c r="D2" s="6" t="s">
        <v>0</v>
      </c>
      <c r="E2" s="6" t="s">
        <v>1</v>
      </c>
      <c r="F2" s="6" t="s">
        <v>42</v>
      </c>
      <c r="G2" s="7" t="s">
        <v>2</v>
      </c>
      <c r="H2" s="7" t="s">
        <v>3</v>
      </c>
      <c r="I2" s="7" t="s">
        <v>2</v>
      </c>
      <c r="J2" s="7" t="s">
        <v>3</v>
      </c>
      <c r="K2" s="7" t="s">
        <v>2</v>
      </c>
      <c r="L2" s="7" t="s">
        <v>3</v>
      </c>
      <c r="M2" s="7" t="s">
        <v>2</v>
      </c>
      <c r="N2" s="7" t="s">
        <v>3</v>
      </c>
      <c r="O2" s="7" t="s">
        <v>2</v>
      </c>
      <c r="P2" s="7" t="s">
        <v>3</v>
      </c>
      <c r="Q2" s="7" t="s">
        <v>2</v>
      </c>
      <c r="R2" s="7" t="s">
        <v>3</v>
      </c>
      <c r="S2" s="7" t="s">
        <v>2</v>
      </c>
      <c r="T2" s="7" t="s">
        <v>3</v>
      </c>
      <c r="U2" s="7" t="s">
        <v>2</v>
      </c>
      <c r="V2" s="7" t="s">
        <v>3</v>
      </c>
      <c r="W2" s="7" t="s">
        <v>2</v>
      </c>
      <c r="X2" s="7" t="s">
        <v>3</v>
      </c>
      <c r="Y2" s="7" t="s">
        <v>2</v>
      </c>
      <c r="Z2" s="7" t="s">
        <v>3</v>
      </c>
      <c r="AA2" s="8" t="s">
        <v>4</v>
      </c>
      <c r="AB2" s="8" t="s">
        <v>5</v>
      </c>
      <c r="AC2" s="8" t="s">
        <v>6</v>
      </c>
      <c r="AD2" s="8" t="s">
        <v>4</v>
      </c>
      <c r="AE2" s="8" t="s">
        <v>5</v>
      </c>
      <c r="AF2" s="8" t="s">
        <v>6</v>
      </c>
      <c r="AG2" s="8" t="s">
        <v>4</v>
      </c>
      <c r="AH2" s="8" t="s">
        <v>5</v>
      </c>
      <c r="AI2" s="8" t="s">
        <v>6</v>
      </c>
      <c r="AJ2" s="9" t="s">
        <v>16</v>
      </c>
      <c r="AK2" s="9" t="s">
        <v>7</v>
      </c>
      <c r="AL2" s="9" t="s">
        <v>16</v>
      </c>
      <c r="AM2" s="9" t="s">
        <v>7</v>
      </c>
      <c r="AN2" s="9" t="s">
        <v>16</v>
      </c>
      <c r="AO2" s="9" t="s">
        <v>7</v>
      </c>
      <c r="AP2" s="10" t="s">
        <v>9</v>
      </c>
      <c r="AQ2" s="10" t="s">
        <v>46</v>
      </c>
    </row>
    <row r="3" spans="1:43" x14ac:dyDescent="0.25">
      <c r="A3" t="s">
        <v>73</v>
      </c>
      <c r="B3" t="s">
        <v>10</v>
      </c>
      <c r="C3" t="s">
        <v>11</v>
      </c>
      <c r="D3">
        <v>5000</v>
      </c>
      <c r="E3" s="3" t="s">
        <v>63</v>
      </c>
      <c r="G3" t="s">
        <v>47</v>
      </c>
      <c r="H3" t="s">
        <v>48</v>
      </c>
      <c r="I3" t="s">
        <v>49</v>
      </c>
      <c r="J3" t="s">
        <v>55</v>
      </c>
      <c r="K3" t="s">
        <v>50</v>
      </c>
      <c r="L3" t="s">
        <v>56</v>
      </c>
      <c r="M3" t="s">
        <v>51</v>
      </c>
      <c r="N3" t="s">
        <v>57</v>
      </c>
      <c r="O3" t="s">
        <v>52</v>
      </c>
      <c r="P3" t="s">
        <v>58</v>
      </c>
      <c r="Q3" t="s">
        <v>53</v>
      </c>
      <c r="R3" t="s">
        <v>59</v>
      </c>
      <c r="S3" t="s">
        <v>60</v>
      </c>
      <c r="T3">
        <v>2</v>
      </c>
      <c r="U3" t="s">
        <v>61</v>
      </c>
      <c r="V3">
        <v>2</v>
      </c>
      <c r="W3" t="s">
        <v>62</v>
      </c>
      <c r="X3">
        <v>2</v>
      </c>
      <c r="Y3" t="s">
        <v>54</v>
      </c>
      <c r="AA3" t="s">
        <v>28</v>
      </c>
      <c r="AB3">
        <v>1</v>
      </c>
      <c r="AC3">
        <v>10</v>
      </c>
      <c r="AD3" t="s">
        <v>29</v>
      </c>
      <c r="AE3">
        <v>0</v>
      </c>
      <c r="AF3">
        <v>60</v>
      </c>
      <c r="AG3" t="s">
        <v>30</v>
      </c>
      <c r="AH3">
        <v>1</v>
      </c>
      <c r="AI3">
        <v>30</v>
      </c>
      <c r="AJ3" s="3" t="s">
        <v>64</v>
      </c>
      <c r="AK3" t="s">
        <v>65</v>
      </c>
      <c r="AL3" s="3" t="s">
        <v>66</v>
      </c>
      <c r="AM3" t="s">
        <v>67</v>
      </c>
      <c r="AP3" t="s">
        <v>72</v>
      </c>
      <c r="AQ3" t="s">
        <v>68</v>
      </c>
    </row>
    <row r="4" spans="1:43" x14ac:dyDescent="0.25">
      <c r="A4" t="s">
        <v>74</v>
      </c>
      <c r="B4" t="s">
        <v>10</v>
      </c>
      <c r="C4" t="s">
        <v>11</v>
      </c>
      <c r="D4">
        <v>5001</v>
      </c>
      <c r="E4" s="3" t="s">
        <v>63</v>
      </c>
      <c r="G4" t="s">
        <v>47</v>
      </c>
      <c r="H4" t="s">
        <v>48</v>
      </c>
      <c r="I4" t="s">
        <v>50</v>
      </c>
      <c r="J4" t="s">
        <v>55</v>
      </c>
      <c r="K4" t="s">
        <v>51</v>
      </c>
      <c r="L4" t="s">
        <v>56</v>
      </c>
      <c r="M4" t="s">
        <v>52</v>
      </c>
      <c r="N4" t="s">
        <v>57</v>
      </c>
      <c r="O4" t="s">
        <v>53</v>
      </c>
      <c r="P4" t="s">
        <v>58</v>
      </c>
      <c r="Q4" t="s">
        <v>75</v>
      </c>
      <c r="R4" t="s">
        <v>76</v>
      </c>
      <c r="S4" t="s">
        <v>61</v>
      </c>
      <c r="T4">
        <v>3</v>
      </c>
      <c r="U4" t="s">
        <v>62</v>
      </c>
      <c r="V4">
        <v>3</v>
      </c>
      <c r="W4" t="s">
        <v>77</v>
      </c>
      <c r="X4">
        <v>3</v>
      </c>
      <c r="Y4" t="s">
        <v>78</v>
      </c>
      <c r="AA4" t="s">
        <v>28</v>
      </c>
      <c r="AB4">
        <v>1</v>
      </c>
      <c r="AC4">
        <v>10</v>
      </c>
      <c r="AD4" t="s">
        <v>29</v>
      </c>
      <c r="AE4">
        <v>0</v>
      </c>
      <c r="AF4">
        <v>60</v>
      </c>
      <c r="AG4" t="s">
        <v>30</v>
      </c>
      <c r="AH4">
        <v>1</v>
      </c>
      <c r="AI4">
        <v>30</v>
      </c>
      <c r="AJ4" s="3" t="s">
        <v>79</v>
      </c>
      <c r="AK4" t="s">
        <v>80</v>
      </c>
      <c r="AL4" s="3" t="s">
        <v>66</v>
      </c>
      <c r="AM4" t="s">
        <v>67</v>
      </c>
      <c r="AP4" t="s">
        <v>72</v>
      </c>
      <c r="AQ4" t="s">
        <v>68</v>
      </c>
    </row>
    <row r="5" spans="1:43" x14ac:dyDescent="0.25">
      <c r="A5" t="s">
        <v>81</v>
      </c>
      <c r="B5" t="s">
        <v>10</v>
      </c>
      <c r="C5" t="s">
        <v>11</v>
      </c>
      <c r="D5">
        <v>5002</v>
      </c>
      <c r="E5" s="3" t="s">
        <v>63</v>
      </c>
      <c r="G5" t="s">
        <v>47</v>
      </c>
      <c r="H5" t="s">
        <v>48</v>
      </c>
      <c r="I5" t="s">
        <v>51</v>
      </c>
      <c r="J5" t="s">
        <v>55</v>
      </c>
      <c r="K5" t="s">
        <v>52</v>
      </c>
      <c r="L5" t="s">
        <v>56</v>
      </c>
      <c r="M5" t="s">
        <v>53</v>
      </c>
      <c r="N5" t="s">
        <v>57</v>
      </c>
      <c r="O5" t="s">
        <v>75</v>
      </c>
      <c r="P5" t="s">
        <v>58</v>
      </c>
      <c r="Q5" t="s">
        <v>82</v>
      </c>
      <c r="R5" t="s">
        <v>83</v>
      </c>
      <c r="S5" t="s">
        <v>62</v>
      </c>
      <c r="T5">
        <v>4</v>
      </c>
      <c r="U5" t="s">
        <v>77</v>
      </c>
      <c r="V5">
        <v>4</v>
      </c>
      <c r="W5" t="s">
        <v>84</v>
      </c>
      <c r="X5">
        <v>4</v>
      </c>
      <c r="Y5" t="s">
        <v>85</v>
      </c>
      <c r="AA5" t="s">
        <v>28</v>
      </c>
      <c r="AB5">
        <v>1</v>
      </c>
      <c r="AC5">
        <v>10</v>
      </c>
      <c r="AD5" t="s">
        <v>29</v>
      </c>
      <c r="AE5">
        <v>0</v>
      </c>
      <c r="AF5">
        <v>60</v>
      </c>
      <c r="AG5" t="s">
        <v>30</v>
      </c>
      <c r="AH5">
        <v>1</v>
      </c>
      <c r="AI5">
        <v>30</v>
      </c>
      <c r="AJ5" s="3" t="s">
        <v>86</v>
      </c>
      <c r="AK5" t="s">
        <v>87</v>
      </c>
      <c r="AL5" s="3" t="s">
        <v>66</v>
      </c>
      <c r="AM5" t="s">
        <v>67</v>
      </c>
      <c r="AP5" t="s">
        <v>72</v>
      </c>
      <c r="AQ5" t="s">
        <v>68</v>
      </c>
    </row>
    <row r="6" spans="1:43" x14ac:dyDescent="0.25">
      <c r="A6" t="s">
        <v>88</v>
      </c>
      <c r="B6" t="s">
        <v>10</v>
      </c>
      <c r="C6" t="s">
        <v>11</v>
      </c>
      <c r="D6">
        <v>5003</v>
      </c>
      <c r="E6" s="3" t="s">
        <v>63</v>
      </c>
      <c r="G6" t="s">
        <v>47</v>
      </c>
      <c r="H6" t="s">
        <v>48</v>
      </c>
      <c r="I6" t="s">
        <v>52</v>
      </c>
      <c r="J6" t="s">
        <v>55</v>
      </c>
      <c r="K6" t="s">
        <v>53</v>
      </c>
      <c r="L6" t="s">
        <v>56</v>
      </c>
      <c r="M6" t="s">
        <v>75</v>
      </c>
      <c r="N6" t="s">
        <v>57</v>
      </c>
      <c r="O6" t="s">
        <v>82</v>
      </c>
      <c r="P6" t="s">
        <v>58</v>
      </c>
      <c r="Q6" t="s">
        <v>89</v>
      </c>
      <c r="R6" t="s">
        <v>90</v>
      </c>
      <c r="S6" t="s">
        <v>77</v>
      </c>
      <c r="T6">
        <v>5</v>
      </c>
      <c r="U6" t="s">
        <v>84</v>
      </c>
      <c r="V6">
        <v>5</v>
      </c>
      <c r="W6" t="s">
        <v>91</v>
      </c>
      <c r="X6">
        <v>5</v>
      </c>
      <c r="Y6" t="s">
        <v>92</v>
      </c>
      <c r="AA6" t="s">
        <v>28</v>
      </c>
      <c r="AB6">
        <v>1</v>
      </c>
      <c r="AC6">
        <v>10</v>
      </c>
      <c r="AD6" t="s">
        <v>29</v>
      </c>
      <c r="AE6">
        <v>0</v>
      </c>
      <c r="AF6">
        <v>60</v>
      </c>
      <c r="AG6" t="s">
        <v>30</v>
      </c>
      <c r="AH6">
        <v>1</v>
      </c>
      <c r="AI6">
        <v>30</v>
      </c>
      <c r="AJ6" s="3" t="s">
        <v>93</v>
      </c>
      <c r="AK6" t="s">
        <v>94</v>
      </c>
      <c r="AL6" s="3" t="s">
        <v>66</v>
      </c>
      <c r="AM6" t="s">
        <v>67</v>
      </c>
      <c r="AP6" t="s">
        <v>72</v>
      </c>
      <c r="AQ6" t="s">
        <v>68</v>
      </c>
    </row>
    <row r="7" spans="1:43" x14ac:dyDescent="0.25">
      <c r="A7" t="s">
        <v>95</v>
      </c>
      <c r="B7" t="s">
        <v>10</v>
      </c>
      <c r="C7" t="s">
        <v>11</v>
      </c>
      <c r="D7">
        <v>5004</v>
      </c>
      <c r="E7" s="3" t="s">
        <v>63</v>
      </c>
      <c r="G7" t="s">
        <v>47</v>
      </c>
      <c r="H7" t="s">
        <v>48</v>
      </c>
      <c r="I7" t="s">
        <v>53</v>
      </c>
      <c r="J7" t="s">
        <v>55</v>
      </c>
      <c r="K7" t="s">
        <v>75</v>
      </c>
      <c r="L7" t="s">
        <v>56</v>
      </c>
      <c r="M7" t="s">
        <v>82</v>
      </c>
      <c r="N7" t="s">
        <v>57</v>
      </c>
      <c r="O7" t="s">
        <v>89</v>
      </c>
      <c r="P7" t="s">
        <v>58</v>
      </c>
      <c r="Q7" t="s">
        <v>54</v>
      </c>
      <c r="R7" t="s">
        <v>96</v>
      </c>
      <c r="S7" t="s">
        <v>84</v>
      </c>
      <c r="T7">
        <v>6</v>
      </c>
      <c r="U7" t="s">
        <v>91</v>
      </c>
      <c r="V7">
        <v>6</v>
      </c>
      <c r="W7" t="s">
        <v>97</v>
      </c>
      <c r="X7">
        <v>6</v>
      </c>
      <c r="Y7" t="s">
        <v>98</v>
      </c>
      <c r="AA7" t="s">
        <v>28</v>
      </c>
      <c r="AB7">
        <v>1</v>
      </c>
      <c r="AC7">
        <v>10</v>
      </c>
      <c r="AD7" t="s">
        <v>29</v>
      </c>
      <c r="AE7">
        <v>0</v>
      </c>
      <c r="AF7">
        <v>60</v>
      </c>
      <c r="AG7" t="s">
        <v>30</v>
      </c>
      <c r="AH7">
        <v>1</v>
      </c>
      <c r="AI7">
        <v>30</v>
      </c>
      <c r="AJ7" s="3" t="s">
        <v>99</v>
      </c>
      <c r="AK7" t="s">
        <v>100</v>
      </c>
      <c r="AL7" s="3" t="s">
        <v>66</v>
      </c>
      <c r="AM7" t="s">
        <v>67</v>
      </c>
      <c r="AP7" t="s">
        <v>72</v>
      </c>
      <c r="AQ7" t="s">
        <v>68</v>
      </c>
    </row>
    <row r="8" spans="1:43" x14ac:dyDescent="0.25">
      <c r="A8" t="s">
        <v>101</v>
      </c>
      <c r="B8" t="s">
        <v>10</v>
      </c>
      <c r="C8" t="s">
        <v>11</v>
      </c>
      <c r="D8">
        <v>5005</v>
      </c>
      <c r="E8" s="3" t="s">
        <v>63</v>
      </c>
      <c r="G8" t="s">
        <v>47</v>
      </c>
      <c r="H8" t="s">
        <v>48</v>
      </c>
      <c r="I8" t="s">
        <v>75</v>
      </c>
      <c r="J8" t="s">
        <v>55</v>
      </c>
      <c r="K8" t="s">
        <v>82</v>
      </c>
      <c r="L8" t="s">
        <v>56</v>
      </c>
      <c r="M8" t="s">
        <v>89</v>
      </c>
      <c r="N8" t="s">
        <v>57</v>
      </c>
      <c r="O8" t="s">
        <v>54</v>
      </c>
      <c r="P8" t="s">
        <v>58</v>
      </c>
      <c r="Q8" t="s">
        <v>78</v>
      </c>
      <c r="R8" t="s">
        <v>102</v>
      </c>
      <c r="S8" t="s">
        <v>91</v>
      </c>
      <c r="T8">
        <v>7</v>
      </c>
      <c r="U8" t="s">
        <v>97</v>
      </c>
      <c r="V8">
        <v>7</v>
      </c>
      <c r="W8" t="s">
        <v>103</v>
      </c>
      <c r="X8">
        <v>7</v>
      </c>
      <c r="Y8" t="s">
        <v>104</v>
      </c>
      <c r="AA8" t="s">
        <v>28</v>
      </c>
      <c r="AB8">
        <v>1</v>
      </c>
      <c r="AC8">
        <v>10</v>
      </c>
      <c r="AD8" t="s">
        <v>29</v>
      </c>
      <c r="AE8">
        <v>0</v>
      </c>
      <c r="AF8">
        <v>60</v>
      </c>
      <c r="AG8" t="s">
        <v>30</v>
      </c>
      <c r="AH8">
        <v>1</v>
      </c>
      <c r="AI8">
        <v>30</v>
      </c>
      <c r="AJ8" s="3" t="s">
        <v>105</v>
      </c>
      <c r="AK8" t="s">
        <v>106</v>
      </c>
      <c r="AL8" s="3" t="s">
        <v>66</v>
      </c>
      <c r="AM8" t="s">
        <v>67</v>
      </c>
      <c r="AP8" t="s">
        <v>72</v>
      </c>
      <c r="AQ8" t="s">
        <v>68</v>
      </c>
    </row>
    <row r="9" spans="1:43" x14ac:dyDescent="0.25">
      <c r="A9" t="s">
        <v>107</v>
      </c>
      <c r="B9" t="s">
        <v>10</v>
      </c>
      <c r="C9" t="s">
        <v>11</v>
      </c>
      <c r="D9">
        <v>5006</v>
      </c>
      <c r="E9" s="3" t="s">
        <v>63</v>
      </c>
      <c r="G9" t="s">
        <v>47</v>
      </c>
      <c r="H9" t="s">
        <v>48</v>
      </c>
      <c r="I9" t="s">
        <v>82</v>
      </c>
      <c r="J9" t="s">
        <v>55</v>
      </c>
      <c r="K9" t="s">
        <v>89</v>
      </c>
      <c r="L9" t="s">
        <v>56</v>
      </c>
      <c r="M9" t="s">
        <v>54</v>
      </c>
      <c r="N9" t="s">
        <v>57</v>
      </c>
      <c r="O9" t="s">
        <v>78</v>
      </c>
      <c r="P9" t="s">
        <v>58</v>
      </c>
      <c r="Q9" t="s">
        <v>85</v>
      </c>
      <c r="R9" t="s">
        <v>108</v>
      </c>
      <c r="S9" t="s">
        <v>97</v>
      </c>
      <c r="T9">
        <v>8</v>
      </c>
      <c r="U9" t="s">
        <v>103</v>
      </c>
      <c r="V9">
        <v>8</v>
      </c>
      <c r="W9" t="s">
        <v>109</v>
      </c>
      <c r="X9">
        <v>8</v>
      </c>
      <c r="Y9" t="s">
        <v>110</v>
      </c>
      <c r="AA9" t="s">
        <v>28</v>
      </c>
      <c r="AB9">
        <v>1</v>
      </c>
      <c r="AC9">
        <v>10</v>
      </c>
      <c r="AD9" t="s">
        <v>29</v>
      </c>
      <c r="AE9">
        <v>0</v>
      </c>
      <c r="AF9">
        <v>60</v>
      </c>
      <c r="AG9" t="s">
        <v>30</v>
      </c>
      <c r="AH9">
        <v>1</v>
      </c>
      <c r="AI9">
        <v>30</v>
      </c>
      <c r="AJ9" s="3" t="s">
        <v>111</v>
      </c>
      <c r="AK9" t="s">
        <v>112</v>
      </c>
      <c r="AL9" s="3" t="s">
        <v>66</v>
      </c>
      <c r="AM9" t="s">
        <v>67</v>
      </c>
      <c r="AP9" t="s">
        <v>72</v>
      </c>
      <c r="AQ9" t="s">
        <v>68</v>
      </c>
    </row>
    <row r="10" spans="1:43" x14ac:dyDescent="0.25">
      <c r="A10" t="s">
        <v>113</v>
      </c>
      <c r="B10" t="s">
        <v>10</v>
      </c>
      <c r="C10" t="s">
        <v>11</v>
      </c>
      <c r="D10">
        <v>5007</v>
      </c>
      <c r="E10" s="3" t="s">
        <v>63</v>
      </c>
      <c r="G10" t="s">
        <v>47</v>
      </c>
      <c r="H10" t="s">
        <v>48</v>
      </c>
      <c r="I10" t="s">
        <v>89</v>
      </c>
      <c r="J10" t="s">
        <v>55</v>
      </c>
      <c r="K10" t="s">
        <v>54</v>
      </c>
      <c r="L10" t="s">
        <v>56</v>
      </c>
      <c r="M10" t="s">
        <v>78</v>
      </c>
      <c r="N10" t="s">
        <v>57</v>
      </c>
      <c r="O10" t="s">
        <v>85</v>
      </c>
      <c r="P10" t="s">
        <v>58</v>
      </c>
      <c r="Q10" t="s">
        <v>92</v>
      </c>
      <c r="R10" t="s">
        <v>114</v>
      </c>
      <c r="S10" t="s">
        <v>103</v>
      </c>
      <c r="T10">
        <v>9</v>
      </c>
      <c r="U10" t="s">
        <v>109</v>
      </c>
      <c r="V10">
        <v>9</v>
      </c>
      <c r="W10" t="s">
        <v>115</v>
      </c>
      <c r="X10">
        <v>9</v>
      </c>
      <c r="Y10" t="s">
        <v>116</v>
      </c>
      <c r="AA10" t="s">
        <v>28</v>
      </c>
      <c r="AB10">
        <v>1</v>
      </c>
      <c r="AC10">
        <v>10</v>
      </c>
      <c r="AD10" t="s">
        <v>29</v>
      </c>
      <c r="AE10">
        <v>0</v>
      </c>
      <c r="AF10">
        <v>60</v>
      </c>
      <c r="AG10" t="s">
        <v>30</v>
      </c>
      <c r="AH10">
        <v>1</v>
      </c>
      <c r="AI10">
        <v>30</v>
      </c>
      <c r="AJ10" s="3" t="s">
        <v>117</v>
      </c>
      <c r="AK10" t="s">
        <v>118</v>
      </c>
      <c r="AL10" s="3" t="s">
        <v>66</v>
      </c>
      <c r="AM10" t="s">
        <v>67</v>
      </c>
      <c r="AP10" t="s">
        <v>72</v>
      </c>
      <c r="AQ10" t="s">
        <v>68</v>
      </c>
    </row>
    <row r="11" spans="1:43" x14ac:dyDescent="0.25">
      <c r="A11" t="s">
        <v>119</v>
      </c>
      <c r="B11" t="s">
        <v>10</v>
      </c>
      <c r="C11" t="s">
        <v>11</v>
      </c>
      <c r="D11">
        <v>5008</v>
      </c>
      <c r="E11" s="3" t="s">
        <v>63</v>
      </c>
      <c r="G11" t="s">
        <v>47</v>
      </c>
      <c r="H11" t="s">
        <v>48</v>
      </c>
      <c r="I11" t="s">
        <v>54</v>
      </c>
      <c r="J11" t="s">
        <v>55</v>
      </c>
      <c r="K11" t="s">
        <v>78</v>
      </c>
      <c r="L11" t="s">
        <v>56</v>
      </c>
      <c r="M11" t="s">
        <v>85</v>
      </c>
      <c r="N11" t="s">
        <v>57</v>
      </c>
      <c r="O11" t="s">
        <v>92</v>
      </c>
      <c r="P11" t="s">
        <v>58</v>
      </c>
      <c r="Q11" t="s">
        <v>98</v>
      </c>
      <c r="R11" t="s">
        <v>120</v>
      </c>
      <c r="S11" t="s">
        <v>109</v>
      </c>
      <c r="T11">
        <v>10</v>
      </c>
      <c r="U11" t="s">
        <v>115</v>
      </c>
      <c r="V11">
        <v>10</v>
      </c>
      <c r="W11" t="s">
        <v>121</v>
      </c>
      <c r="X11">
        <v>10</v>
      </c>
      <c r="Y11" t="s">
        <v>122</v>
      </c>
      <c r="AA11" t="s">
        <v>28</v>
      </c>
      <c r="AB11">
        <v>1</v>
      </c>
      <c r="AC11">
        <v>10</v>
      </c>
      <c r="AD11" t="s">
        <v>29</v>
      </c>
      <c r="AE11">
        <v>0</v>
      </c>
      <c r="AF11">
        <v>60</v>
      </c>
      <c r="AG11" t="s">
        <v>30</v>
      </c>
      <c r="AH11">
        <v>1</v>
      </c>
      <c r="AI11">
        <v>30</v>
      </c>
      <c r="AJ11" s="3" t="s">
        <v>123</v>
      </c>
      <c r="AK11" t="s">
        <v>124</v>
      </c>
      <c r="AL11" s="3" t="s">
        <v>66</v>
      </c>
      <c r="AM11" t="s">
        <v>67</v>
      </c>
      <c r="AP11" t="s">
        <v>72</v>
      </c>
      <c r="AQ11" t="s">
        <v>68</v>
      </c>
    </row>
    <row r="12" spans="1:43" x14ac:dyDescent="0.25">
      <c r="A12" t="s">
        <v>125</v>
      </c>
      <c r="B12" t="s">
        <v>10</v>
      </c>
      <c r="C12" t="s">
        <v>11</v>
      </c>
      <c r="D12">
        <v>5009</v>
      </c>
      <c r="E12" s="3" t="s">
        <v>63</v>
      </c>
      <c r="G12" t="s">
        <v>47</v>
      </c>
      <c r="H12" t="s">
        <v>48</v>
      </c>
      <c r="I12" t="s">
        <v>78</v>
      </c>
      <c r="J12" t="s">
        <v>55</v>
      </c>
      <c r="K12" t="s">
        <v>85</v>
      </c>
      <c r="L12" t="s">
        <v>56</v>
      </c>
      <c r="M12" t="s">
        <v>92</v>
      </c>
      <c r="N12" t="s">
        <v>57</v>
      </c>
      <c r="O12" t="s">
        <v>98</v>
      </c>
      <c r="P12" t="s">
        <v>58</v>
      </c>
      <c r="Q12" t="s">
        <v>104</v>
      </c>
      <c r="R12" t="s">
        <v>126</v>
      </c>
      <c r="S12" t="s">
        <v>115</v>
      </c>
      <c r="T12">
        <v>11</v>
      </c>
      <c r="U12" t="s">
        <v>121</v>
      </c>
      <c r="V12">
        <v>11</v>
      </c>
      <c r="W12" t="s">
        <v>127</v>
      </c>
      <c r="X12">
        <v>11</v>
      </c>
      <c r="Y12" t="s">
        <v>128</v>
      </c>
      <c r="AA12" t="s">
        <v>28</v>
      </c>
      <c r="AB12">
        <v>1</v>
      </c>
      <c r="AC12">
        <v>10</v>
      </c>
      <c r="AD12" t="s">
        <v>29</v>
      </c>
      <c r="AE12">
        <v>0</v>
      </c>
      <c r="AF12">
        <v>60</v>
      </c>
      <c r="AG12" t="s">
        <v>30</v>
      </c>
      <c r="AH12">
        <v>1</v>
      </c>
      <c r="AI12">
        <v>30</v>
      </c>
      <c r="AJ12" s="3" t="s">
        <v>129</v>
      </c>
      <c r="AK12" t="s">
        <v>130</v>
      </c>
      <c r="AL12" s="3" t="s">
        <v>66</v>
      </c>
      <c r="AM12" t="s">
        <v>67</v>
      </c>
      <c r="AP12" t="s">
        <v>72</v>
      </c>
      <c r="AQ12" t="s">
        <v>68</v>
      </c>
    </row>
    <row r="13" spans="1:43" x14ac:dyDescent="0.25">
      <c r="A13" t="s">
        <v>131</v>
      </c>
      <c r="B13" t="s">
        <v>10</v>
      </c>
      <c r="C13" t="s">
        <v>11</v>
      </c>
      <c r="D13">
        <v>5010</v>
      </c>
      <c r="E13" s="3" t="s">
        <v>63</v>
      </c>
      <c r="G13" t="s">
        <v>47</v>
      </c>
      <c r="H13" t="s">
        <v>48</v>
      </c>
      <c r="I13" t="s">
        <v>85</v>
      </c>
      <c r="J13" t="s">
        <v>55</v>
      </c>
      <c r="K13" t="s">
        <v>92</v>
      </c>
      <c r="L13" t="s">
        <v>56</v>
      </c>
      <c r="M13" t="s">
        <v>98</v>
      </c>
      <c r="N13" t="s">
        <v>57</v>
      </c>
      <c r="O13" t="s">
        <v>104</v>
      </c>
      <c r="P13" t="s">
        <v>58</v>
      </c>
      <c r="Q13" t="s">
        <v>110</v>
      </c>
      <c r="R13" t="s">
        <v>132</v>
      </c>
      <c r="S13" t="s">
        <v>121</v>
      </c>
      <c r="T13">
        <v>12</v>
      </c>
      <c r="U13" t="s">
        <v>127</v>
      </c>
      <c r="V13">
        <v>12</v>
      </c>
      <c r="W13" t="s">
        <v>133</v>
      </c>
      <c r="X13">
        <v>12</v>
      </c>
      <c r="Y13" t="s">
        <v>134</v>
      </c>
      <c r="AA13" t="s">
        <v>28</v>
      </c>
      <c r="AB13">
        <v>1</v>
      </c>
      <c r="AC13">
        <v>10</v>
      </c>
      <c r="AD13" t="s">
        <v>29</v>
      </c>
      <c r="AE13">
        <v>0</v>
      </c>
      <c r="AF13">
        <v>60</v>
      </c>
      <c r="AG13" t="s">
        <v>30</v>
      </c>
      <c r="AH13">
        <v>1</v>
      </c>
      <c r="AI13">
        <v>30</v>
      </c>
      <c r="AJ13" s="3" t="s">
        <v>135</v>
      </c>
      <c r="AK13" t="s">
        <v>136</v>
      </c>
      <c r="AL13" s="3" t="s">
        <v>66</v>
      </c>
      <c r="AM13" t="s">
        <v>67</v>
      </c>
      <c r="AP13" t="s">
        <v>72</v>
      </c>
      <c r="AQ13" t="s">
        <v>68</v>
      </c>
    </row>
    <row r="14" spans="1:43" x14ac:dyDescent="0.25">
      <c r="A14" t="s">
        <v>137</v>
      </c>
      <c r="B14" t="s">
        <v>10</v>
      </c>
      <c r="C14" t="s">
        <v>11</v>
      </c>
      <c r="D14">
        <v>5011</v>
      </c>
      <c r="E14" s="3" t="s">
        <v>63</v>
      </c>
      <c r="G14" t="s">
        <v>47</v>
      </c>
      <c r="H14" t="s">
        <v>48</v>
      </c>
      <c r="I14" t="s">
        <v>92</v>
      </c>
      <c r="J14" t="s">
        <v>55</v>
      </c>
      <c r="K14" t="s">
        <v>98</v>
      </c>
      <c r="L14" t="s">
        <v>56</v>
      </c>
      <c r="M14" t="s">
        <v>104</v>
      </c>
      <c r="N14" t="s">
        <v>57</v>
      </c>
      <c r="O14" t="s">
        <v>110</v>
      </c>
      <c r="P14" t="s">
        <v>58</v>
      </c>
      <c r="Q14" t="s">
        <v>116</v>
      </c>
      <c r="R14" t="s">
        <v>138</v>
      </c>
      <c r="S14" t="s">
        <v>127</v>
      </c>
      <c r="T14">
        <v>13</v>
      </c>
      <c r="U14" t="s">
        <v>133</v>
      </c>
      <c r="V14">
        <v>13</v>
      </c>
      <c r="W14" t="s">
        <v>139</v>
      </c>
      <c r="X14">
        <v>13</v>
      </c>
      <c r="Y14" t="s">
        <v>140</v>
      </c>
      <c r="AA14" t="s">
        <v>28</v>
      </c>
      <c r="AB14">
        <v>1</v>
      </c>
      <c r="AC14">
        <v>10</v>
      </c>
      <c r="AD14" t="s">
        <v>29</v>
      </c>
      <c r="AE14">
        <v>0</v>
      </c>
      <c r="AF14">
        <v>60</v>
      </c>
      <c r="AG14" t="s">
        <v>30</v>
      </c>
      <c r="AH14">
        <v>1</v>
      </c>
      <c r="AI14">
        <v>30</v>
      </c>
      <c r="AJ14" s="3" t="s">
        <v>141</v>
      </c>
      <c r="AK14" t="s">
        <v>142</v>
      </c>
      <c r="AL14" s="3" t="s">
        <v>66</v>
      </c>
      <c r="AM14" t="s">
        <v>67</v>
      </c>
      <c r="AP14" t="s">
        <v>72</v>
      </c>
      <c r="AQ14" t="s">
        <v>68</v>
      </c>
    </row>
    <row r="15" spans="1:43" x14ac:dyDescent="0.25">
      <c r="A15" t="s">
        <v>143</v>
      </c>
      <c r="B15" t="s">
        <v>10</v>
      </c>
      <c r="C15" t="s">
        <v>11</v>
      </c>
      <c r="D15">
        <v>5012</v>
      </c>
      <c r="E15" s="3" t="s">
        <v>63</v>
      </c>
      <c r="G15" t="s">
        <v>47</v>
      </c>
      <c r="H15" t="s">
        <v>48</v>
      </c>
      <c r="I15" t="s">
        <v>98</v>
      </c>
      <c r="J15" t="s">
        <v>55</v>
      </c>
      <c r="K15" t="s">
        <v>104</v>
      </c>
      <c r="L15" t="s">
        <v>56</v>
      </c>
      <c r="M15" t="s">
        <v>110</v>
      </c>
      <c r="N15" t="s">
        <v>57</v>
      </c>
      <c r="O15" t="s">
        <v>116</v>
      </c>
      <c r="P15" t="s">
        <v>58</v>
      </c>
      <c r="Q15" t="s">
        <v>122</v>
      </c>
      <c r="R15" t="s">
        <v>144</v>
      </c>
      <c r="S15" t="s">
        <v>133</v>
      </c>
      <c r="T15">
        <v>14</v>
      </c>
      <c r="U15" t="s">
        <v>139</v>
      </c>
      <c r="V15">
        <v>14</v>
      </c>
      <c r="W15" t="s">
        <v>145</v>
      </c>
      <c r="X15">
        <v>14</v>
      </c>
      <c r="Y15" t="s">
        <v>146</v>
      </c>
      <c r="AA15" t="s">
        <v>28</v>
      </c>
      <c r="AB15">
        <v>1</v>
      </c>
      <c r="AC15">
        <v>10</v>
      </c>
      <c r="AD15" t="s">
        <v>29</v>
      </c>
      <c r="AE15">
        <v>0</v>
      </c>
      <c r="AF15">
        <v>60</v>
      </c>
      <c r="AG15" t="s">
        <v>30</v>
      </c>
      <c r="AH15">
        <v>1</v>
      </c>
      <c r="AI15">
        <v>30</v>
      </c>
      <c r="AJ15" s="3" t="s">
        <v>147</v>
      </c>
      <c r="AK15" t="s">
        <v>148</v>
      </c>
      <c r="AL15" s="3" t="s">
        <v>66</v>
      </c>
      <c r="AM15" t="s">
        <v>67</v>
      </c>
      <c r="AP15" t="s">
        <v>72</v>
      </c>
      <c r="AQ15" t="s">
        <v>68</v>
      </c>
    </row>
    <row r="16" spans="1:43" x14ac:dyDescent="0.25">
      <c r="A16" t="s">
        <v>149</v>
      </c>
      <c r="B16" t="s">
        <v>10</v>
      </c>
      <c r="C16" t="s">
        <v>11</v>
      </c>
      <c r="D16">
        <v>5013</v>
      </c>
      <c r="E16" s="3" t="s">
        <v>63</v>
      </c>
      <c r="G16" t="s">
        <v>47</v>
      </c>
      <c r="H16" t="s">
        <v>48</v>
      </c>
      <c r="I16" t="s">
        <v>104</v>
      </c>
      <c r="J16" t="s">
        <v>55</v>
      </c>
      <c r="K16" t="s">
        <v>110</v>
      </c>
      <c r="L16" t="s">
        <v>56</v>
      </c>
      <c r="M16" t="s">
        <v>116</v>
      </c>
      <c r="N16" t="s">
        <v>57</v>
      </c>
      <c r="O16" t="s">
        <v>122</v>
      </c>
      <c r="P16" t="s">
        <v>58</v>
      </c>
      <c r="Q16" t="s">
        <v>128</v>
      </c>
      <c r="R16" t="s">
        <v>150</v>
      </c>
      <c r="S16" t="s">
        <v>139</v>
      </c>
      <c r="T16">
        <v>15</v>
      </c>
      <c r="U16" t="s">
        <v>145</v>
      </c>
      <c r="V16">
        <v>15</v>
      </c>
      <c r="W16" t="s">
        <v>151</v>
      </c>
      <c r="X16">
        <v>15</v>
      </c>
      <c r="Y16" t="s">
        <v>152</v>
      </c>
      <c r="AA16" t="s">
        <v>28</v>
      </c>
      <c r="AB16">
        <v>1</v>
      </c>
      <c r="AC16">
        <v>10</v>
      </c>
      <c r="AD16" t="s">
        <v>29</v>
      </c>
      <c r="AE16">
        <v>0</v>
      </c>
      <c r="AF16">
        <v>60</v>
      </c>
      <c r="AG16" t="s">
        <v>30</v>
      </c>
      <c r="AH16">
        <v>1</v>
      </c>
      <c r="AI16">
        <v>30</v>
      </c>
      <c r="AJ16" s="3" t="s">
        <v>153</v>
      </c>
      <c r="AK16" t="s">
        <v>154</v>
      </c>
      <c r="AL16" s="3" t="s">
        <v>66</v>
      </c>
      <c r="AM16" t="s">
        <v>67</v>
      </c>
      <c r="AP16" t="s">
        <v>72</v>
      </c>
      <c r="AQ16" t="s">
        <v>68</v>
      </c>
    </row>
    <row r="17" spans="1:43" x14ac:dyDescent="0.25">
      <c r="A17" t="s">
        <v>155</v>
      </c>
      <c r="B17" t="s">
        <v>10</v>
      </c>
      <c r="C17" t="s">
        <v>11</v>
      </c>
      <c r="D17">
        <v>5014</v>
      </c>
      <c r="E17" s="3" t="s">
        <v>63</v>
      </c>
      <c r="G17" t="s">
        <v>47</v>
      </c>
      <c r="H17" t="s">
        <v>48</v>
      </c>
      <c r="I17" t="s">
        <v>110</v>
      </c>
      <c r="J17" t="s">
        <v>55</v>
      </c>
      <c r="K17" t="s">
        <v>116</v>
      </c>
      <c r="L17" t="s">
        <v>56</v>
      </c>
      <c r="M17" t="s">
        <v>122</v>
      </c>
      <c r="N17" t="s">
        <v>57</v>
      </c>
      <c r="O17" t="s">
        <v>128</v>
      </c>
      <c r="P17" t="s">
        <v>58</v>
      </c>
      <c r="Q17" t="s">
        <v>134</v>
      </c>
      <c r="R17" t="s">
        <v>156</v>
      </c>
      <c r="S17" t="s">
        <v>145</v>
      </c>
      <c r="T17">
        <v>16</v>
      </c>
      <c r="U17" t="s">
        <v>151</v>
      </c>
      <c r="V17">
        <v>16</v>
      </c>
      <c r="W17" t="s">
        <v>157</v>
      </c>
      <c r="X17">
        <v>16</v>
      </c>
      <c r="Y17" t="s">
        <v>158</v>
      </c>
      <c r="AA17" t="s">
        <v>28</v>
      </c>
      <c r="AB17">
        <v>1</v>
      </c>
      <c r="AC17">
        <v>10</v>
      </c>
      <c r="AD17" t="s">
        <v>29</v>
      </c>
      <c r="AE17">
        <v>0</v>
      </c>
      <c r="AF17">
        <v>60</v>
      </c>
      <c r="AG17" t="s">
        <v>30</v>
      </c>
      <c r="AH17">
        <v>1</v>
      </c>
      <c r="AI17">
        <v>30</v>
      </c>
      <c r="AJ17" s="3" t="s">
        <v>159</v>
      </c>
      <c r="AK17" t="s">
        <v>160</v>
      </c>
      <c r="AL17" s="3" t="s">
        <v>66</v>
      </c>
      <c r="AM17" t="s">
        <v>67</v>
      </c>
      <c r="AP17" t="s">
        <v>72</v>
      </c>
      <c r="AQ17" t="s">
        <v>68</v>
      </c>
    </row>
    <row r="18" spans="1:43" x14ac:dyDescent="0.25">
      <c r="A18" t="s">
        <v>161</v>
      </c>
      <c r="B18" t="s">
        <v>10</v>
      </c>
      <c r="C18" t="s">
        <v>11</v>
      </c>
      <c r="D18">
        <v>5015</v>
      </c>
      <c r="E18" s="3" t="s">
        <v>63</v>
      </c>
      <c r="G18" t="s">
        <v>47</v>
      </c>
      <c r="H18" t="s">
        <v>48</v>
      </c>
      <c r="I18" t="s">
        <v>116</v>
      </c>
      <c r="J18" t="s">
        <v>55</v>
      </c>
      <c r="K18" t="s">
        <v>122</v>
      </c>
      <c r="L18" t="s">
        <v>56</v>
      </c>
      <c r="M18" t="s">
        <v>128</v>
      </c>
      <c r="N18" t="s">
        <v>57</v>
      </c>
      <c r="O18" t="s">
        <v>134</v>
      </c>
      <c r="P18" t="s">
        <v>58</v>
      </c>
      <c r="Q18" t="s">
        <v>140</v>
      </c>
      <c r="R18" t="s">
        <v>162</v>
      </c>
      <c r="S18" t="s">
        <v>151</v>
      </c>
      <c r="T18">
        <v>17</v>
      </c>
      <c r="U18" t="s">
        <v>157</v>
      </c>
      <c r="V18">
        <v>17</v>
      </c>
      <c r="W18" t="s">
        <v>163</v>
      </c>
      <c r="X18">
        <v>17</v>
      </c>
      <c r="Y18" t="s">
        <v>164</v>
      </c>
      <c r="AA18" t="s">
        <v>28</v>
      </c>
      <c r="AB18">
        <v>1</v>
      </c>
      <c r="AC18">
        <v>10</v>
      </c>
      <c r="AD18" t="s">
        <v>29</v>
      </c>
      <c r="AE18">
        <v>0</v>
      </c>
      <c r="AF18">
        <v>60</v>
      </c>
      <c r="AG18" t="s">
        <v>30</v>
      </c>
      <c r="AH18">
        <v>1</v>
      </c>
      <c r="AI18">
        <v>30</v>
      </c>
      <c r="AJ18" s="3" t="s">
        <v>165</v>
      </c>
      <c r="AK18" t="s">
        <v>166</v>
      </c>
      <c r="AL18" s="3" t="s">
        <v>66</v>
      </c>
      <c r="AM18" t="s">
        <v>67</v>
      </c>
      <c r="AP18" t="s">
        <v>72</v>
      </c>
      <c r="AQ18" t="s">
        <v>68</v>
      </c>
    </row>
  </sheetData>
  <mergeCells count="5">
    <mergeCell ref="AA1:AI1"/>
    <mergeCell ref="AJ1:AO1"/>
    <mergeCell ref="AP1:AQ1"/>
    <mergeCell ref="G1:R1"/>
    <mergeCell ref="A1:F1"/>
  </mergeCells>
  <phoneticPr fontId="1" type="noConversion"/>
  <hyperlinks>
    <hyperlink ref="E3" r:id="rId1" xr:uid="{25D94883-4968-4101-B9BB-9E87D46F68AD}"/>
    <hyperlink ref="AJ3" r:id="rId2" xr:uid="{61D69628-F08F-44B4-B660-450F37E36077}"/>
    <hyperlink ref="AL3" r:id="rId3" xr:uid="{45C8C935-3BB0-4CD1-9BBA-209868D2548A}"/>
    <hyperlink ref="E4" r:id="rId4" xr:uid="{9B833F42-897B-4D5D-A3D6-F532A2DF7F59}"/>
    <hyperlink ref="E5" r:id="rId5" xr:uid="{E716F13F-15A7-47C9-B63C-2551BCABF42C}"/>
    <hyperlink ref="E6" r:id="rId6" xr:uid="{A54C8233-91CF-4631-ADC1-9467F9E2DFA2}"/>
    <hyperlink ref="E7" r:id="rId7" xr:uid="{AA28890C-7985-43A2-8A40-2A1FD8386651}"/>
    <hyperlink ref="E8" r:id="rId8" xr:uid="{B3D85C6E-D1C1-483E-8B69-50280058D779}"/>
    <hyperlink ref="E9" r:id="rId9" xr:uid="{6CDE1789-D25C-425D-876F-5F6CF04AD919}"/>
    <hyperlink ref="E10" r:id="rId10" xr:uid="{3CF96353-4BB0-44BA-9361-2D1554F82C55}"/>
    <hyperlink ref="E11" r:id="rId11" xr:uid="{987D7B7E-E614-420B-90C5-A021D395095A}"/>
    <hyperlink ref="E12" r:id="rId12" xr:uid="{9BE77E46-22CD-466F-AAFE-853B5D58A724}"/>
    <hyperlink ref="E13" r:id="rId13" xr:uid="{1B742DD4-ACBE-4C9C-B804-748179A8079B}"/>
    <hyperlink ref="E14" r:id="rId14" xr:uid="{ACE918C0-A532-4492-80C5-17F6D8565D89}"/>
    <hyperlink ref="E15" r:id="rId15" xr:uid="{E9BAE840-E6AC-4BAF-9F13-30993751D8EB}"/>
    <hyperlink ref="E16" r:id="rId16" xr:uid="{03770D55-8856-46F7-968A-F35A3D7194CD}"/>
    <hyperlink ref="E17" r:id="rId17" xr:uid="{D08D577D-D7C6-49CF-92B9-7E7D2BAA06CD}"/>
    <hyperlink ref="E18" r:id="rId18" xr:uid="{12A9BD57-8155-4839-A176-4DB3A3680489}"/>
    <hyperlink ref="AJ4" r:id="rId19" display="https://bafybeihvjr73zcwvfbsqzy5odznulrtgntk5fe33b6mhj4d73batj67cxq.ipfs.nftstorage.link?ext=mp4" xr:uid="{AF5EE585-CF9F-4380-B5D2-8E267680E3CB}"/>
    <hyperlink ref="AJ5" r:id="rId20" display="https://bafybeihvjr73zcwvfbsqzy5odznulrtgntk5fe33b6mhj4d73batj67cxq.ipfs.nftstorage.link?ext=mp4" xr:uid="{1F0709F9-75BF-4056-85A2-FA87AF7F9DDA}"/>
    <hyperlink ref="AJ6" r:id="rId21" display="https://bafybeihvjr73zcwvfbsqzy5odznulrtgntk5fe33b6mhj4d73batj67cxq.ipfs.nftstorage.link?ext=mp4" xr:uid="{46F9D453-D03E-4D84-82DE-BE48EF5CE70B}"/>
    <hyperlink ref="AJ7" r:id="rId22" display="https://bafybeihvjr73zcwvfbsqzy5odznulrtgntk5fe33b6mhj4d73batj67cxq.ipfs.nftstorage.link?ext=mp4" xr:uid="{8A2E8172-49AA-4624-89D2-2022F9510892}"/>
    <hyperlink ref="AJ8" r:id="rId23" display="https://bafybeihvjr73zcwvfbsqzy5odznulrtgntk5fe33b6mhj4d73batj67cxq.ipfs.nftstorage.link?ext=mp4" xr:uid="{0251123E-D92E-4296-8E67-5A5384B799B4}"/>
    <hyperlink ref="AJ9" r:id="rId24" display="https://bafybeihvjr73zcwvfbsqzy5odznulrtgntk5fe33b6mhj4d73batj67cxq.ipfs.nftstorage.link?ext=mp4" xr:uid="{CF590884-6FF7-4CA2-A96D-9F87D1C63927}"/>
    <hyperlink ref="AJ10" r:id="rId25" display="https://bafybeihvjr73zcwvfbsqzy5odznulrtgntk5fe33b6mhj4d73batj67cxq.ipfs.nftstorage.link?ext=mp4" xr:uid="{FA6B5C6B-BD7E-4316-A58A-A2DE1B12999A}"/>
    <hyperlink ref="AJ11" r:id="rId26" display="https://bafybeihvjr73zcwvfbsqzy5odznulrtgntk5fe33b6mhj4d73batj67cxq.ipfs.nftstorage.link?ext=mp4" xr:uid="{1C1B0193-96C5-46EE-AE79-C48A2F0DEDC0}"/>
    <hyperlink ref="AJ12" r:id="rId27" display="https://bafybeihvjr73zcwvfbsqzy5odznulrtgntk5fe33b6mhj4d73batj67cxq.ipfs.nftstorage.link?ext=mp4" xr:uid="{AD34EC58-4A56-42A5-8DA4-8D4D0B01B8B4}"/>
    <hyperlink ref="AJ13" r:id="rId28" display="https://bafybeihvjr73zcwvfbsqzy5odznulrtgntk5fe33b6mhj4d73batj67cxq.ipfs.nftstorage.link?ext=mp4" xr:uid="{4E3F64D8-5A8D-4F33-B90D-D5FDB899D911}"/>
    <hyperlink ref="AJ14" r:id="rId29" display="https://bafybeihvjr73zcwvfbsqzy5odznulrtgntk5fe33b6mhj4d73batj67cxq.ipfs.nftstorage.link?ext=mp4" xr:uid="{92698CB7-0EAA-4C85-8C54-504D9AE30436}"/>
    <hyperlink ref="AJ15" r:id="rId30" display="https://bafybeihvjr73zcwvfbsqzy5odznulrtgntk5fe33b6mhj4d73batj67cxq.ipfs.nftstorage.link?ext=mp4" xr:uid="{A72FCA4B-C46C-43A7-82D5-080348593F4B}"/>
    <hyperlink ref="AJ16" r:id="rId31" display="https://bafybeihvjr73zcwvfbsqzy5odznulrtgntk5fe33b6mhj4d73batj67cxq.ipfs.nftstorage.link?ext=mp4" xr:uid="{8BE1C460-29BF-4413-8465-3479921646A2}"/>
    <hyperlink ref="AJ17" r:id="rId32" display="https://bafybeihvjr73zcwvfbsqzy5odznulrtgntk5fe33b6mhj4d73batj67cxq.ipfs.nftstorage.link?ext=mp4" xr:uid="{85943CDD-F2BF-4492-BDE5-49D9F15DBC99}"/>
    <hyperlink ref="AJ18" r:id="rId33" display="https://bafybeihvjr73zcwvfbsqzy5odznulrtgntk5fe33b6mhj4d73batj67cxq.ipfs.nftstorage.link?ext=mp4" xr:uid="{080D35CE-60E1-48F5-9BB2-713BCA04E449}"/>
    <hyperlink ref="AL4" r:id="rId34" xr:uid="{E2C08DE2-EB96-4D0F-8103-42BE70A05116}"/>
    <hyperlink ref="AL5" r:id="rId35" xr:uid="{F8BF0970-0318-43CE-BDF3-5D13B96C54A6}"/>
    <hyperlink ref="AL6" r:id="rId36" xr:uid="{4B331419-6A1E-439B-B925-D9B3A82F194D}"/>
    <hyperlink ref="AL7" r:id="rId37" xr:uid="{77B37C75-3FBE-4667-92F7-0FA0964E78F1}"/>
    <hyperlink ref="AL8" r:id="rId38" xr:uid="{40CD308F-E004-4BC9-85EC-03FD4742937E}"/>
    <hyperlink ref="AL9" r:id="rId39" xr:uid="{3086E477-6EB6-4D99-9156-146A9EBE26B1}"/>
    <hyperlink ref="AL10" r:id="rId40" xr:uid="{4A600603-F355-4F84-B8D6-E8021D30598C}"/>
    <hyperlink ref="AL11" r:id="rId41" xr:uid="{3A5167B1-88F5-4C41-912C-3547D699ED1D}"/>
    <hyperlink ref="AL12" r:id="rId42" xr:uid="{1ABB3712-8FE5-4F59-A0ED-EBEA6FFFB3F6}"/>
    <hyperlink ref="AL13" r:id="rId43" xr:uid="{8BA5B9EB-8343-4DA6-B8B2-AEDF090905EC}"/>
    <hyperlink ref="AL14" r:id="rId44" xr:uid="{1835A859-E735-4205-A5B1-06A2565F802C}"/>
    <hyperlink ref="AL15" r:id="rId45" xr:uid="{7A5FC37F-63DB-4766-B0E9-E10C22A337F9}"/>
    <hyperlink ref="AL16" r:id="rId46" xr:uid="{88AF4477-BD6F-48B2-9BDF-0356E4B90E4F}"/>
    <hyperlink ref="AL17" r:id="rId47" xr:uid="{6BE45BFF-CDE5-423D-9508-1260C639CF49}"/>
    <hyperlink ref="AL18" r:id="rId48" xr:uid="{2BA35A8D-AE35-4E77-A2D2-11EB4927377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C41E7-6EA9-4665-B53D-705526693294}">
  <sheetPr codeName="Feuil2"/>
  <dimension ref="A3:V74"/>
  <sheetViews>
    <sheetView tabSelected="1" zoomScale="115" zoomScaleNormal="115" workbookViewId="0">
      <selection activeCell="C7" sqref="C7"/>
    </sheetView>
  </sheetViews>
  <sheetFormatPr baseColWidth="10" defaultRowHeight="14.25" customHeight="1" x14ac:dyDescent="0.25"/>
  <cols>
    <col min="5" max="5" width="29" style="1" customWidth="1"/>
    <col min="6" max="6" width="22.28515625" style="20" customWidth="1"/>
    <col min="7" max="7" width="36.140625" style="16" customWidth="1"/>
    <col min="8" max="8" width="9.42578125" style="16" customWidth="1"/>
    <col min="9" max="9" width="16.7109375" style="16" customWidth="1"/>
    <col min="10" max="10" width="15.5703125" style="16" customWidth="1"/>
    <col min="11" max="11" width="18.5703125" customWidth="1"/>
    <col min="12" max="12" width="130.28515625" customWidth="1"/>
    <col min="13" max="13" width="68.140625" customWidth="1"/>
    <col min="14" max="14" width="149.5703125" customWidth="1"/>
    <col min="15" max="15" width="135.42578125" customWidth="1"/>
    <col min="16" max="16" width="50.7109375" customWidth="1"/>
    <col min="17" max="17" width="25.28515625" customWidth="1"/>
    <col min="20" max="20" width="27.42578125" customWidth="1"/>
  </cols>
  <sheetData>
    <row r="3" spans="1:22" ht="14.25" customHeight="1" x14ac:dyDescent="0.25">
      <c r="E3" s="12" t="s">
        <v>23</v>
      </c>
      <c r="F3" s="17" t="s">
        <v>24</v>
      </c>
      <c r="G3" s="17" t="s">
        <v>69</v>
      </c>
      <c r="H3" s="17" t="s">
        <v>167</v>
      </c>
      <c r="I3" s="17" t="s">
        <v>169</v>
      </c>
      <c r="J3"/>
      <c r="L3" t="s">
        <v>20</v>
      </c>
      <c r="M3" t="s">
        <v>12</v>
      </c>
      <c r="N3" t="s">
        <v>13</v>
      </c>
      <c r="O3" t="s">
        <v>14</v>
      </c>
      <c r="P3" t="s">
        <v>18</v>
      </c>
      <c r="T3" t="s">
        <v>19</v>
      </c>
    </row>
    <row r="4" spans="1:22" s="2" customFormat="1" ht="15" customHeight="1" x14ac:dyDescent="0.25">
      <c r="E4" s="13" t="str">
        <f>IF(Token!A3="","",Token!A3)</f>
        <v>Test1</v>
      </c>
      <c r="F4" s="18"/>
      <c r="G4" s="15" t="s">
        <v>168</v>
      </c>
      <c r="H4" s="15"/>
      <c r="I4" s="16"/>
      <c r="J4" s="15"/>
      <c r="L4" s="2" t="str">
        <f>"{" &amp; M4 &amp; "," &amp; N4 &amp; "," &amp; """properties"":{" &amp; O4 &amp; "," &amp; P4 &amp; "}," &amp; T4 &amp; "}"</f>
        <v>{"name":"Test1",_x000D_
"symbol":"symbol",_x000D_
"description":"description",_x000D_
"seller_fee_basis_points":5000,_x000D_
"image":"https://bafkreieo2qhxipegtregxjt6d6ua5izbduybk2serl357r5sjy5cedbzam.ipfs.nftstorage.link?ext=png",_x000D_
"external_url":"","attributes":[{"trait_type":"Pass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"share":30}],"files":[{"files":"https://bafybeihvjr73zcwvfbsqzy5odznulrtgntk5fe33b6mhj4d73batj67cxq.ipfs.nftstorage.link?ext=mp4",_x000D_
"type":"video/mp4"},{"files":"https://bafkreidyidc62awpaiemnfgiwevgnjsbgqynfthz6jyj73ui3l22ecxqga.ipfs.nftstorage.link?ext=png",_x000D_
"type":"image/png"}]},"collection":{"name":"TestCollect",_x000D_
"family":"NFluenTGallery"}}</v>
      </c>
      <c r="M4" s="2" t="str">
        <f>formatRow(Token!A$2:F$2,Token!A3:F3)</f>
        <v>"name":"Test1",_x000D_
"symbol":"symbol",_x000D_
"description":"description",_x000D_
"seller_fee_basis_points":5000,_x000D_
"image":"https://bafkreieo2qhxipegtregxjt6d6ua5izbduybk2serl357r5sjy5cedbzam.ipfs.nftstorage.link?ext=png",_x000D_
"external_url":""</v>
      </c>
      <c r="N4" s="2" t="str">
        <f>formatRow(Token!G$2:R$2,Token!G3:R3,2,"attributes")</f>
        <v>"attributes":[{"trait_type":"Pass festival",_x000D_
"value":"pour deux(2) personnes"},{"trait_type":"avantage1",_x000D_
"value":"accès pour deux (2) personnes à un (1) événement partenaire officiel de Calvi on the Rocks"},{"trait_type":"avantage2",_x000D_
"value":"invitation à la “Soirée off” réservée aux membres NFT pour deux (2) personnes"},{"trait_type":"avantage3",_x000D_
"value":"accès membre pour les after party officielles pour deux (2) personnes"},{"trait_type":"avantage4",_x000D_
"value":"accès prioritaire et bar dédié (consommation à la charge du festivalier) - tables réservées à l'avance pour les « NFT member » pour deux (2) personnes"},{"trait_type":"avantage5",_x000D_
"value":"1 affiche dédicacée et numérotée"}]</v>
      </c>
      <c r="O4" s="2" t="str">
        <f>formatRow(Token!AA$2:AI$2,Token!AA3:AI3,3,"creators")</f>
        <v>"creators":[{"address":"paul",_x000D_
"verified":1,_x000D_
"share":10},{"address":"sophie",_x000D_
"verified":0,_x000D_
"share":60},{"address":"roger",_x000D_
"verified":1,_x000D_
"share":30}]</v>
      </c>
      <c r="P4" s="2" t="str">
        <f>formatRow(Token!AJ$2:AO$2,Token!AJ3:AO3,2,"files")</f>
        <v>"files":[{"files":"https://bafybeihvjr73zcwvfbsqzy5odznulrtgntk5fe33b6mhj4d73batj67cxq.ipfs.nftstorage.link?ext=mp4",_x000D_
"type":"video/mp4"},{"files":"https://bafkreidyidc62awpaiemnfgiwevgnjsbgqynfthz6jyj73ui3l22ecxqga.ipfs.nftstorage.link?ext=png",_x000D_
"type":"image/png"}]</v>
      </c>
      <c r="T4" s="2" t="str">
        <f>formatRow(Token!AP$2:AQ$2,Token!AP3:AQ3,0,"collection")</f>
        <v>"collection":{"name":"TestCollect",_x000D_
"family":"NFluenTGallery"}</v>
      </c>
    </row>
    <row r="5" spans="1:22" ht="14.25" customHeight="1" x14ac:dyDescent="0.25">
      <c r="E5" s="13" t="str">
        <f>IF(Token!A4="","",Token!A4)</f>
        <v>Test2</v>
      </c>
      <c r="F5" s="19"/>
      <c r="L5" s="2" t="str">
        <f t="shared" ref="L5:L50" si="0">"{" &amp; M5 &amp; "," &amp; N5 &amp; "," &amp; """properties"":{" &amp; O5 &amp; "," &amp; P5 &amp; "}," &amp; T5 &amp; "}"</f>
        <v>{"name":"Test2",_x000D_
"symbol":"symbol",_x000D_
"description":"description",_x000D_
"seller_fee_basis_points":5001,_x000D_
"image":"https://bafkreieo2qhxipegtregxjt6d6ua5izbduybk2serl357r5sjy5cedbzam.ipfs.nftstorage.link?ext=png",_x000D_
"external_url":"","attributes":[{"trait_type":"Pass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"share":30}],"files":[{"files":"https://bafybeihvjr73zcwvfbsqzy5odznulrtgntk5fe33b6mhj4d73batj67cxq.ipfs.nftstorage.link?ext=mp5",_x000D_
"type":"video/mp5"},{"files":"https://bafkreidyidc62awpaiemnfgiwevgnjsbgqynfthz6jyj73ui3l22ecxqga.ipfs.nftstorage.link?ext=png",_x000D_
"type":"image/png"}]},"collection":{"name":"TestCollect",_x000D_
"family":"NFluenTGallery"}}</v>
      </c>
      <c r="M5" s="2" t="str">
        <f>formatRow(Token!A$2:F$2,Token!A4:F4)</f>
        <v>"name":"Test2",_x000D_
"symbol":"symbol",_x000D_
"description":"description",_x000D_
"seller_fee_basis_points":5001,_x000D_
"image":"https://bafkreieo2qhxipegtregxjt6d6ua5izbduybk2serl357r5sjy5cedbzam.ipfs.nftstorage.link?ext=png",_x000D_
"external_url":""</v>
      </c>
      <c r="N5" s="2" t="str">
        <f>formatRow(Token!G$2:R$2,Token!G4:R4,2,"attributes")</f>
        <v>"attributes":[{"trait_type":"Pass festival",_x000D_
"value":"pour deux(2) personnes"},{"trait_type":"avantage2",_x000D_
"value":"accès pour deux (2) personnes à un (1) événement partenaire officiel de Calvi on the Rocks"},{"trait_type":"avantage3",_x000D_
"value":"invitation à la “Soirée off” réservée aux membres NFT pour deux (2) personnes"},{"trait_type":"avantage4",_x000D_
"value":"accès membre pour les after party officielles pour deux (2) personnes"},{"trait_type":"avantage5",_x000D_
"value":"accès prioritaire et bar dédié (consommation à la charge du festivalier) - tables réservées à l'avance pour les « NFT member » pour deux (2) personnes"},{"trait_type":"avantage6",_x000D_
"value":"2 affiche dédicacée et numérotée"}]</v>
      </c>
      <c r="O5" s="2" t="str">
        <f>formatRow(Token!AA$2:AI$2,Token!AA4:AI4,3,"creators")</f>
        <v>"creators":[{"address":"paul",_x000D_
"verified":1,_x000D_
"share":10},{"address":"sophie",_x000D_
"verified":0,_x000D_
"share":60},{"address":"roger",_x000D_
"verified":1,_x000D_
"share":30}]</v>
      </c>
      <c r="P5" s="2" t="str">
        <f>formatRow(Token!AJ$2:AO$2,Token!AJ4:AO4,2,"files")</f>
        <v>"files":[{"files":"https://bafybeihvjr73zcwvfbsqzy5odznulrtgntk5fe33b6mhj4d73batj67cxq.ipfs.nftstorage.link?ext=mp5",_x000D_
"type":"video/mp5"},{"files":"https://bafkreidyidc62awpaiemnfgiwevgnjsbgqynfthz6jyj73ui3l22ecxqga.ipfs.nftstorage.link?ext=png",_x000D_
"type":"image/png"}]</v>
      </c>
      <c r="Q5" s="2"/>
      <c r="R5" s="2"/>
      <c r="S5" s="2"/>
      <c r="T5" s="2" t="str">
        <f>formatRow(Token!AP$2:AQ$2,Token!AP4:AQ4,0,"collection")</f>
        <v>"collection":{"name":"TestCollect",_x000D_
"family":"NFluenTGallery"}</v>
      </c>
      <c r="U5" s="2"/>
      <c r="V5" s="2"/>
    </row>
    <row r="6" spans="1:22" ht="15" customHeight="1" x14ac:dyDescent="0.25">
      <c r="A6" s="4" t="s">
        <v>35</v>
      </c>
      <c r="B6" t="s">
        <v>37</v>
      </c>
      <c r="E6" s="13" t="str">
        <f>IF(Token!A5="","",Token!A5)</f>
        <v>Test3</v>
      </c>
      <c r="F6" s="19"/>
      <c r="L6" s="2" t="str">
        <f t="shared" si="0"/>
        <v>{"name":"Test3",_x000D_
"symbol":"symbol",_x000D_
"description":"description",_x000D_
"seller_fee_basis_points":5002,_x000D_
"image":"https://bafkreieo2qhxipegtregxjt6d6ua5izbduybk2serl357r5sjy5cedbzam.ipfs.nftstorage.link?ext=png",_x000D_
"external_url":"","attributes":[{"trait_type":"Pass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"share":30}],"files":[{"files":"https://bafybeihvjr73zcwvfbsqzy5odznulrtgntk5fe33b6mhj4d73batj67cxq.ipfs.nftstorage.link?ext=mp6",_x000D_
"type":"video/mp6"},{"files":"https://bafkreidyidc62awpaiemnfgiwevgnjsbgqynfthz6jyj73ui3l22ecxqga.ipfs.nftstorage.link?ext=png",_x000D_
"type":"image/png"}]},"collection":{"name":"TestCollect",_x000D_
"family":"NFluenTGallery"}}</v>
      </c>
      <c r="M6" s="2" t="str">
        <f>formatRow(Token!A$2:F$2,Token!A5:F5)</f>
        <v>"name":"Test3",_x000D_
"symbol":"symbol",_x000D_
"description":"description",_x000D_
"seller_fee_basis_points":5002,_x000D_
"image":"https://bafkreieo2qhxipegtregxjt6d6ua5izbduybk2serl357r5sjy5cedbzam.ipfs.nftstorage.link?ext=png",_x000D_
"external_url":""</v>
      </c>
      <c r="N6" s="2" t="str">
        <f>formatRow(Token!G$2:R$2,Token!G5:R5,2,"attributes")</f>
        <v>"attributes":[{"trait_type":"Pass festival",_x000D_
"value":"pour deux(2) personnes"},{"trait_type":"avantage3",_x000D_
"value":"accès pour deux (2) personnes à un (1) événement partenaire officiel de Calvi on the Rocks"},{"trait_type":"avantage4",_x000D_
"value":"invitation à la “Soirée off” réservée aux membres NFT pour deux (2) personnes"},{"trait_type":"avantage5",_x000D_
"value":"accès membre pour les after party officielles pour deux (2) personnes"},{"trait_type":"avantage6",_x000D_
"value":"accès prioritaire et bar dédié (consommation à la charge du festivalier) - tables réservées à l'avance pour les « NFT member » pour deux (2) personnes"},{"trait_type":"avantage7",_x000D_
"value":"3 affiche dédicacée et numérotée"}]</v>
      </c>
      <c r="O6" s="2" t="str">
        <f>formatRow(Token!AA$2:AI$2,Token!AA5:AI5,3,"creators")</f>
        <v>"creators":[{"address":"paul",_x000D_
"verified":1,_x000D_
"share":10},{"address":"sophie",_x000D_
"verified":0,_x000D_
"share":60},{"address":"roger",_x000D_
"verified":1,_x000D_
"share":30}]</v>
      </c>
      <c r="P6" s="2" t="str">
        <f>formatRow(Token!AJ$2:AO$2,Token!AJ5:AO5,2,"files")</f>
        <v>"files":[{"files":"https://bafybeihvjr73zcwvfbsqzy5odznulrtgntk5fe33b6mhj4d73batj67cxq.ipfs.nftstorage.link?ext=mp6",_x000D_
"type":"video/mp6"},{"files":"https://bafkreidyidc62awpaiemnfgiwevgnjsbgqynfthz6jyj73ui3l22ecxqga.ipfs.nftstorage.link?ext=png",_x000D_
"type":"image/png"}]</v>
      </c>
      <c r="Q6" s="2"/>
      <c r="R6" s="2"/>
      <c r="S6" s="2"/>
      <c r="T6" s="2" t="str">
        <f>formatRow(Token!AP$2:AQ$2,Token!AP5:AQ5,0,"collection")</f>
        <v>"collection":{"name":"TestCollect",_x000D_
"family":"NFluenTGallery"}</v>
      </c>
      <c r="U6" s="2"/>
      <c r="V6" s="2"/>
    </row>
    <row r="7" spans="1:22" ht="14.25" customHeight="1" x14ac:dyDescent="0.25">
      <c r="A7" s="4" t="s">
        <v>44</v>
      </c>
      <c r="B7" t="s">
        <v>45</v>
      </c>
      <c r="E7" s="13" t="str">
        <f>IF(Token!A6="","",Token!A6)</f>
        <v>Test4</v>
      </c>
      <c r="F7" s="19"/>
      <c r="L7" s="2" t="str">
        <f t="shared" si="0"/>
        <v>{"name":"Test4",_x000D_
"symbol":"symbol",_x000D_
"description":"description",_x000D_
"seller_fee_basis_points":5003,_x000D_
"image":"https://bafkreieo2qhxipegtregxjt6d6ua5izbduybk2serl357r5sjy5cedbzam.ipfs.nftstorage.link?ext=png",_x000D_
"external_url":"","attributes":[{"trait_type":"Pass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"share":30}],"files":[{"files":"https://bafybeihvjr73zcwvfbsqzy5odznulrtgntk5fe33b6mhj4d73batj67cxq.ipfs.nftstorage.link?ext=mp7",_x000D_
"type":"video/mp7"},{"files":"https://bafkreidyidc62awpaiemnfgiwevgnjsbgqynfthz6jyj73ui3l22ecxqga.ipfs.nftstorage.link?ext=png",_x000D_
"type":"image/png"}]},"collection":{"name":"TestCollect",_x000D_
"family":"NFluenTGallery"}}</v>
      </c>
      <c r="M7" s="2" t="str">
        <f>formatRow(Token!A$2:F$2,Token!A6:F6)</f>
        <v>"name":"Test4",_x000D_
"symbol":"symbol",_x000D_
"description":"description",_x000D_
"seller_fee_basis_points":5003,_x000D_
"image":"https://bafkreieo2qhxipegtregxjt6d6ua5izbduybk2serl357r5sjy5cedbzam.ipfs.nftstorage.link?ext=png",_x000D_
"external_url":""</v>
      </c>
      <c r="N7" s="2" t="str">
        <f>formatRow(Token!G$2:R$2,Token!G6:R6,2,"attributes")</f>
        <v>"attributes":[{"trait_type":"Pass festival",_x000D_
"value":"pour deux(2) personnes"},{"trait_type":"avantage4",_x000D_
"value":"accès pour deux (2) personnes à un (1) événement partenaire officiel de Calvi on the Rocks"},{"trait_type":"avantage5",_x000D_
"value":"invitation à la “Soirée off” réservée aux membres NFT pour deux (2) personnes"},{"trait_type":"avantage6",_x000D_
"value":"accès membre pour les after party officielles pour deux (2) personnes"},{"trait_type":"avantage7",_x000D_
"value":"accès prioritaire et bar dédié (consommation à la charge du festivalier) - tables réservées à l'avance pour les « NFT member » pour deux (2) personnes"},{"trait_type":"avantage8",_x000D_
"value":"4 affiche dédicacée et numérotée"}]</v>
      </c>
      <c r="O7" s="2" t="str">
        <f>formatRow(Token!AA$2:AI$2,Token!AA6:AI6,3,"creators")</f>
        <v>"creators":[{"address":"paul",_x000D_
"verified":1,_x000D_
"share":10},{"address":"sophie",_x000D_
"verified":0,_x000D_
"share":60},{"address":"roger",_x000D_
"verified":1,_x000D_
"share":30}]</v>
      </c>
      <c r="P7" s="2" t="str">
        <f>formatRow(Token!AJ$2:AO$2,Token!AJ6:AO6,2,"files")</f>
        <v>"files":[{"files":"https://bafybeihvjr73zcwvfbsqzy5odznulrtgntk5fe33b6mhj4d73batj67cxq.ipfs.nftstorage.link?ext=mp7",_x000D_
"type":"video/mp7"},{"files":"https://bafkreidyidc62awpaiemnfgiwevgnjsbgqynfthz6jyj73ui3l22ecxqga.ipfs.nftstorage.link?ext=png",_x000D_
"type":"image/png"}]</v>
      </c>
      <c r="Q7" s="2"/>
      <c r="R7" s="2"/>
      <c r="S7" s="2"/>
      <c r="T7" s="2" t="str">
        <f>formatRow(Token!AP$2:AQ$2,Token!AP6:AQ6,0,"collection")</f>
        <v>"collection":{"name":"TestCollect",_x000D_
"family":"NFluenTGallery"}</v>
      </c>
      <c r="U7" s="2"/>
      <c r="V7" s="2"/>
    </row>
    <row r="8" spans="1:22" ht="14.25" customHeight="1" x14ac:dyDescent="0.25">
      <c r="E8" s="13" t="str">
        <f>IF(Token!A7="","",Token!A7)</f>
        <v>Test5</v>
      </c>
      <c r="F8" s="19"/>
      <c r="L8" s="2" t="str">
        <f t="shared" si="0"/>
        <v>{"name":"Test5",_x000D_
"symbol":"symbol",_x000D_
"description":"description",_x000D_
"seller_fee_basis_points":5004,_x000D_
"image":"https://bafkreieo2qhxipegtregxjt6d6ua5izbduybk2serl357r5sjy5cedbzam.ipfs.nftstorage.link?ext=png",_x000D_
"external_url":"","attributes":[{"trait_type":"Pass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"share":30}],"files":[{"files":"https://bafybeihvjr73zcwvfbsqzy5odznulrtgntk5fe33b6mhj4d73batj67cxq.ipfs.nftstorage.link?ext=mp8",_x000D_
"type":"video/mp8"},{"files":"https://bafkreidyidc62awpaiemnfgiwevgnjsbgqynfthz6jyj73ui3l22ecxqga.ipfs.nftstorage.link?ext=png",_x000D_
"type":"image/png"}]},"collection":{"name":"TestCollect",_x000D_
"family":"NFluenTGallery"}}</v>
      </c>
      <c r="M8" s="2" t="str">
        <f>formatRow(Token!A$2:F$2,Token!A7:F7)</f>
        <v>"name":"Test5",_x000D_
"symbol":"symbol",_x000D_
"description":"description",_x000D_
"seller_fee_basis_points":5004,_x000D_
"image":"https://bafkreieo2qhxipegtregxjt6d6ua5izbduybk2serl357r5sjy5cedbzam.ipfs.nftstorage.link?ext=png",_x000D_
"external_url":""</v>
      </c>
      <c r="N8" s="2" t="str">
        <f>formatRow(Token!G$2:R$2,Token!G7:R7,2,"attributes")</f>
        <v>"attributes":[{"trait_type":"Pass festival",_x000D_
"value":"pour deux(2) personnes"},{"trait_type":"avantage5",_x000D_
"value":"accès pour deux (2) personnes à un (1) événement partenaire officiel de Calvi on the Rocks"},{"trait_type":"avantage6",_x000D_
"value":"invitation à la “Soirée off” réservée aux membres NFT pour deux (2) personnes"},{"trait_type":"avantage7",_x000D_
"value":"accès membre pour les after party officielles pour deux (2) personnes"},{"trait_type":"avantage8",_x000D_
"value":"accès prioritaire et bar dédié (consommation à la charge du festivalier) - tables réservées à l'avance pour les « NFT member » pour deux (2) personnes"},{"trait_type":"avantage9",_x000D_
"value":"5 affiche dédicacée et numérotée"}]</v>
      </c>
      <c r="O8" s="2" t="str">
        <f>formatRow(Token!AA$2:AI$2,Token!AA7:AI7,3,"creators")</f>
        <v>"creators":[{"address":"paul",_x000D_
"verified":1,_x000D_
"share":10},{"address":"sophie",_x000D_
"verified":0,_x000D_
"share":60},{"address":"roger",_x000D_
"verified":1,_x000D_
"share":30}]</v>
      </c>
      <c r="P8" s="2" t="str">
        <f>formatRow(Token!AJ$2:AO$2,Token!AJ7:AO7,2,"files")</f>
        <v>"files":[{"files":"https://bafybeihvjr73zcwvfbsqzy5odznulrtgntk5fe33b6mhj4d73batj67cxq.ipfs.nftstorage.link?ext=mp8",_x000D_
"type":"video/mp8"},{"files":"https://bafkreidyidc62awpaiemnfgiwevgnjsbgqynfthz6jyj73ui3l22ecxqga.ipfs.nftstorage.link?ext=png",_x000D_
"type":"image/png"}]</v>
      </c>
      <c r="Q8" s="2"/>
      <c r="R8" s="2"/>
      <c r="S8" s="2"/>
      <c r="T8" s="2" t="str">
        <f>formatRow(Token!AP$2:AQ$2,Token!AP7:AQ7,0,"collection")</f>
        <v>"collection":{"name":"TestCollect",_x000D_
"family":"NFluenTGallery"}</v>
      </c>
      <c r="U8" s="2"/>
      <c r="V8" s="2"/>
    </row>
    <row r="9" spans="1:22" ht="14.25" customHeight="1" x14ac:dyDescent="0.25">
      <c r="E9" s="13" t="str">
        <f>IF(Token!A8="","",Token!A8)</f>
        <v>Test6</v>
      </c>
      <c r="F9" s="19"/>
      <c r="L9" s="2" t="str">
        <f t="shared" si="0"/>
        <v>{"name":"Test6",_x000D_
"symbol":"symbol",_x000D_
"description":"description",_x000D_
"seller_fee_basis_points":5005,_x000D_
"image":"https://bafkreieo2qhxipegtregxjt6d6ua5izbduybk2serl357r5sjy5cedbzam.ipfs.nftstorage.link?ext=png",_x000D_
"external_url":"","attributes":[{"trait_type":"Pass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"share":30}],"files":[{"files":"https://bafybeihvjr73zcwvfbsqzy5odznulrtgntk5fe33b6mhj4d73batj67cxq.ipfs.nftstorage.link?ext=mp9",_x000D_
"type":"video/mp9"},{"files":"https://bafkreidyidc62awpaiemnfgiwevgnjsbgqynfthz6jyj73ui3l22ecxqga.ipfs.nftstorage.link?ext=png",_x000D_
"type":"image/png"}]},"collection":{"name":"TestCollect",_x000D_
"family":"NFluenTGallery"}}</v>
      </c>
      <c r="M9" s="2" t="str">
        <f>formatRow(Token!A$2:F$2,Token!A8:F8)</f>
        <v>"name":"Test6",_x000D_
"symbol":"symbol",_x000D_
"description":"description",_x000D_
"seller_fee_basis_points":5005,_x000D_
"image":"https://bafkreieo2qhxipegtregxjt6d6ua5izbduybk2serl357r5sjy5cedbzam.ipfs.nftstorage.link?ext=png",_x000D_
"external_url":""</v>
      </c>
      <c r="N9" s="2" t="str">
        <f>formatRow(Token!G$2:R$2,Token!G8:R8,2,"attributes")</f>
        <v>"attributes":[{"trait_type":"Pass festival",_x000D_
"value":"pour deux(2) personnes"},{"trait_type":"avantage6",_x000D_
"value":"accès pour deux (2) personnes à un (1) événement partenaire officiel de Calvi on the Rocks"},{"trait_type":"avantage7",_x000D_
"value":"invitation à la “Soirée off” réservée aux membres NFT pour deux (2) personnes"},{"trait_type":"avantage8",_x000D_
"value":"accès membre pour les after party officielles pour deux (2) personnes"},{"trait_type":"avantage9",_x000D_
"value":"accès prioritaire et bar dédié (consommation à la charge du festivalier) - tables réservées à l'avance pour les « NFT member » pour deux (2) personnes"},{"trait_type":"avantage10",_x000D_
"value":"6 affiche dédicacée et numérotée"}]</v>
      </c>
      <c r="O9" s="2" t="str">
        <f>formatRow(Token!AA$2:AI$2,Token!AA8:AI8,3,"creators")</f>
        <v>"creators":[{"address":"paul",_x000D_
"verified":1,_x000D_
"share":10},{"address":"sophie",_x000D_
"verified":0,_x000D_
"share":60},{"address":"roger",_x000D_
"verified":1,_x000D_
"share":30}]</v>
      </c>
      <c r="P9" s="2" t="str">
        <f>formatRow(Token!AJ$2:AO$2,Token!AJ8:AO8,2,"files")</f>
        <v>"files":[{"files":"https://bafybeihvjr73zcwvfbsqzy5odznulrtgntk5fe33b6mhj4d73batj67cxq.ipfs.nftstorage.link?ext=mp9",_x000D_
"type":"video/mp9"},{"files":"https://bafkreidyidc62awpaiemnfgiwevgnjsbgqynfthz6jyj73ui3l22ecxqga.ipfs.nftstorage.link?ext=png",_x000D_
"type":"image/png"}]</v>
      </c>
      <c r="Q9" s="2"/>
      <c r="R9" s="2"/>
      <c r="S9" s="2"/>
      <c r="T9" s="2" t="str">
        <f>formatRow(Token!AP$2:AQ$2,Token!AP8:AQ8,0,"collection")</f>
        <v>"collection":{"name":"TestCollect",_x000D_
"family":"NFluenTGallery"}</v>
      </c>
      <c r="U9" s="2"/>
      <c r="V9" s="2"/>
    </row>
    <row r="10" spans="1:22" ht="14.25" customHeight="1" x14ac:dyDescent="0.25">
      <c r="E10" s="13" t="str">
        <f>IF(Token!A9="","",Token!A9)</f>
        <v>Test7</v>
      </c>
      <c r="F10" s="19"/>
      <c r="L10" s="2" t="str">
        <f t="shared" si="0"/>
        <v>{"name":"Test7",_x000D_
"symbol":"symbol",_x000D_
"description":"description",_x000D_
"seller_fee_basis_points":5006,_x000D_
"image":"https://bafkreieo2qhxipegtregxjt6d6ua5izbduybk2serl357r5sjy5cedbzam.ipfs.nftstorage.link?ext=png",_x000D_
"external_url":"","attributes":[{"trait_type":"Pass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"share":30}],"files":[{"files":"https://bafybeihvjr73zcwvfbsqzy5odznulrtgntk5fe33b6mhj4d73batj67cxq.ipfs.nftstorage.link?ext=mp10",_x000D_
"type":"video/mp10"},{"files":"https://bafkreidyidc62awpaiemnfgiwevgnjsbgqynfthz6jyj73ui3l22ecxqga.ipfs.nftstorage.link?ext=png",_x000D_
"type":"image/png"}]},"collection":{"name":"TestCollect",_x000D_
"family":"NFluenTGallery"}}</v>
      </c>
      <c r="M10" s="2" t="str">
        <f>formatRow(Token!A$2:F$2,Token!A9:F9)</f>
        <v>"name":"Test7",_x000D_
"symbol":"symbol",_x000D_
"description":"description",_x000D_
"seller_fee_basis_points":5006,_x000D_
"image":"https://bafkreieo2qhxipegtregxjt6d6ua5izbduybk2serl357r5sjy5cedbzam.ipfs.nftstorage.link?ext=png",_x000D_
"external_url":""</v>
      </c>
      <c r="N10" s="2" t="str">
        <f>formatRow(Token!G$2:R$2,Token!G9:R9,2,"attributes")</f>
        <v>"attributes":[{"trait_type":"Pass festival",_x000D_
"value":"pour deux(2) personnes"},{"trait_type":"avantage7",_x000D_
"value":"accès pour deux (2) personnes à un (1) événement partenaire officiel de Calvi on the Rocks"},{"trait_type":"avantage8",_x000D_
"value":"invitation à la “Soirée off” réservée aux membres NFT pour deux (2) personnes"},{"trait_type":"avantage9",_x000D_
"value":"accès membre pour les after party officielles pour deux (2) personnes"},{"trait_type":"avantage10",_x000D_
"value":"accès prioritaire et bar dédié (consommation à la charge du festivalier) - tables réservées à l'avance pour les « NFT member » pour deux (2) personnes"},{"trait_type":"avantage11",_x000D_
"value":"7 affiche dédicacée et numérotée"}]</v>
      </c>
      <c r="O10" s="2" t="str">
        <f>formatRow(Token!AA$2:AI$2,Token!AA9:AI9,3,"creators")</f>
        <v>"creators":[{"address":"paul",_x000D_
"verified":1,_x000D_
"share":10},{"address":"sophie",_x000D_
"verified":0,_x000D_
"share":60},{"address":"roger",_x000D_
"verified":1,_x000D_
"share":30}]</v>
      </c>
      <c r="P10" s="2" t="str">
        <f>formatRow(Token!AJ$2:AO$2,Token!AJ9:AO9,2,"files")</f>
        <v>"files":[{"files":"https://bafybeihvjr73zcwvfbsqzy5odznulrtgntk5fe33b6mhj4d73batj67cxq.ipfs.nftstorage.link?ext=mp10",_x000D_
"type":"video/mp10"},{"files":"https://bafkreidyidc62awpaiemnfgiwevgnjsbgqynfthz6jyj73ui3l22ecxqga.ipfs.nftstorage.link?ext=png",_x000D_
"type":"image/png"}]</v>
      </c>
      <c r="Q10" s="2"/>
      <c r="R10" s="2"/>
      <c r="S10" s="2"/>
      <c r="T10" s="2" t="str">
        <f>formatRow(Token!AP$2:AQ$2,Token!AP9:AQ9,0,"collection")</f>
        <v>"collection":{"name":"TestCollect",_x000D_
"family":"NFluenTGallery"}</v>
      </c>
      <c r="U10" s="2"/>
      <c r="V10" s="2"/>
    </row>
    <row r="11" spans="1:22" ht="14.25" customHeight="1" x14ac:dyDescent="0.25">
      <c r="E11" s="13" t="str">
        <f>IF(Token!A10="","",Token!A10)</f>
        <v>Test8</v>
      </c>
      <c r="F11" s="19"/>
      <c r="L11" s="2" t="str">
        <f t="shared" si="0"/>
        <v>{"name":"Test8",_x000D_
"symbol":"symbol",_x000D_
"description":"description",_x000D_
"seller_fee_basis_points":5007,_x000D_
"image":"https://bafkreieo2qhxipegtregxjt6d6ua5izbduybk2serl357r5sjy5cedbzam.ipfs.nftstorage.link?ext=png",_x000D_
"external_url":"","attributes":[{"trait_type":"Pass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"share":30}],"files":[{"files":"https://bafybeihvjr73zcwvfbsqzy5odznulrtgntk5fe33b6mhj4d73batj67cxq.ipfs.nftstorage.link?ext=mp11",_x000D_
"type":"video/mp11"},{"files":"https://bafkreidyidc62awpaiemnfgiwevgnjsbgqynfthz6jyj73ui3l22ecxqga.ipfs.nftstorage.link?ext=png",_x000D_
"type":"image/png"}]},"collection":{"name":"TestCollect",_x000D_
"family":"NFluenTGallery"}}</v>
      </c>
      <c r="M11" s="2" t="str">
        <f>formatRow(Token!A$2:F$2,Token!A10:F10)</f>
        <v>"name":"Test8",_x000D_
"symbol":"symbol",_x000D_
"description":"description",_x000D_
"seller_fee_basis_points":5007,_x000D_
"image":"https://bafkreieo2qhxipegtregxjt6d6ua5izbduybk2serl357r5sjy5cedbzam.ipfs.nftstorage.link?ext=png",_x000D_
"external_url":""</v>
      </c>
      <c r="N11" s="2" t="str">
        <f>formatRow(Token!G$2:R$2,Token!G10:R10,2,"attributes")</f>
        <v>"attributes":[{"trait_type":"Pass festival",_x000D_
"value":"pour deux(2) personnes"},{"trait_type":"avantage8",_x000D_
"value":"accès pour deux (2) personnes à un (1) événement partenaire officiel de Calvi on the Rocks"},{"trait_type":"avantage9",_x000D_
"value":"invitation à la “Soirée off” réservée aux membres NFT pour deux (2) personnes"},{"trait_type":"avantage10",_x000D_
"value":"accès membre pour les after party officielles pour deux (2) personnes"},{"trait_type":"avantage11",_x000D_
"value":"accès prioritaire et bar dédié (consommation à la charge du festivalier) - tables réservées à l'avance pour les « NFT member » pour deux (2) personnes"},{"trait_type":"avantage12",_x000D_
"value":"8 affiche dédicacée et numérotée"}]</v>
      </c>
      <c r="O11" s="2" t="str">
        <f>formatRow(Token!AA$2:AI$2,Token!AA10:AI10,3,"creators")</f>
        <v>"creators":[{"address":"paul",_x000D_
"verified":1,_x000D_
"share":10},{"address":"sophie",_x000D_
"verified":0,_x000D_
"share":60},{"address":"roger",_x000D_
"verified":1,_x000D_
"share":30}]</v>
      </c>
      <c r="P11" s="2" t="str">
        <f>formatRow(Token!AJ$2:AO$2,Token!AJ10:AO10,2,"files")</f>
        <v>"files":[{"files":"https://bafybeihvjr73zcwvfbsqzy5odznulrtgntk5fe33b6mhj4d73batj67cxq.ipfs.nftstorage.link?ext=mp11",_x000D_
"type":"video/mp11"},{"files":"https://bafkreidyidc62awpaiemnfgiwevgnjsbgqynfthz6jyj73ui3l22ecxqga.ipfs.nftstorage.link?ext=png",_x000D_
"type":"image/png"}]</v>
      </c>
      <c r="Q11" s="2"/>
      <c r="R11" s="2"/>
      <c r="S11" s="2"/>
      <c r="T11" s="2" t="str">
        <f>formatRow(Token!AP$2:AQ$2,Token!AP10:AQ10,0,"collection")</f>
        <v>"collection":{"name":"TestCollect",_x000D_
"family":"NFluenTGallery"}</v>
      </c>
      <c r="U11" s="2"/>
      <c r="V11" s="2"/>
    </row>
    <row r="12" spans="1:22" ht="14.25" customHeight="1" x14ac:dyDescent="0.25">
      <c r="E12" s="13" t="str">
        <f>IF(Token!A11="","",Token!A11)</f>
        <v>Test9</v>
      </c>
      <c r="L12" s="2" t="str">
        <f t="shared" si="0"/>
        <v>{"name":"Test9",_x000D_
"symbol":"symbol",_x000D_
"description":"description",_x000D_
"seller_fee_basis_points":5008,_x000D_
"image":"https://bafkreieo2qhxipegtregxjt6d6ua5izbduybk2serl357r5sjy5cedbzam.ipfs.nftstorage.link?ext=png",_x000D_
"external_url":"","attributes":[{"trait_type":"Pass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"share":30}],"files":[{"files":"https://bafybeihvjr73zcwvfbsqzy5odznulrtgntk5fe33b6mhj4d73batj67cxq.ipfs.nftstorage.link?ext=mp12",_x000D_
"type":"video/mp12"},{"files":"https://bafkreidyidc62awpaiemnfgiwevgnjsbgqynfthz6jyj73ui3l22ecxqga.ipfs.nftstorage.link?ext=png",_x000D_
"type":"image/png"}]},"collection":{"name":"TestCollect",_x000D_
"family":"NFluenTGallery"}}</v>
      </c>
      <c r="M12" s="2" t="str">
        <f>formatRow(Token!A$2:F$2,Token!A11:F11)</f>
        <v>"name":"Test9",_x000D_
"symbol":"symbol",_x000D_
"description":"description",_x000D_
"seller_fee_basis_points":5008,_x000D_
"image":"https://bafkreieo2qhxipegtregxjt6d6ua5izbduybk2serl357r5sjy5cedbzam.ipfs.nftstorage.link?ext=png",_x000D_
"external_url":""</v>
      </c>
      <c r="N12" s="2" t="str">
        <f>formatRow(Token!G$2:R$2,Token!G11:R11,2,"attributes")</f>
        <v>"attributes":[{"trait_type":"Pass festival",_x000D_
"value":"pour deux(2) personnes"},{"trait_type":"avantage9",_x000D_
"value":"accès pour deux (2) personnes à un (1) événement partenaire officiel de Calvi on the Rocks"},{"trait_type":"avantage10",_x000D_
"value":"invitation à la “Soirée off” réservée aux membres NFT pour deux (2) personnes"},{"trait_type":"avantage11",_x000D_
"value":"accès membre pour les after party officielles pour deux (2) personnes"},{"trait_type":"avantage12",_x000D_
"value":"accès prioritaire et bar dédié (consommation à la charge du festivalier) - tables réservées à l'avance pour les « NFT member » pour deux (2) personnes"},{"trait_type":"avantage13",_x000D_
"value":"9 affiche dédicacée et numérotée"}]</v>
      </c>
      <c r="O12" s="2" t="str">
        <f>formatRow(Token!AA$2:AI$2,Token!AA11:AI11,3,"creators")</f>
        <v>"creators":[{"address":"paul",_x000D_
"verified":1,_x000D_
"share":10},{"address":"sophie",_x000D_
"verified":0,_x000D_
"share":60},{"address":"roger",_x000D_
"verified":1,_x000D_
"share":30}]</v>
      </c>
      <c r="P12" s="2" t="str">
        <f>formatRow(Token!AJ$2:AO$2,Token!AJ11:AO11,2,"files")</f>
        <v>"files":[{"files":"https://bafybeihvjr73zcwvfbsqzy5odznulrtgntk5fe33b6mhj4d73batj67cxq.ipfs.nftstorage.link?ext=mp12",_x000D_
"type":"video/mp12"},{"files":"https://bafkreidyidc62awpaiemnfgiwevgnjsbgqynfthz6jyj73ui3l22ecxqga.ipfs.nftstorage.link?ext=png",_x000D_
"type":"image/png"}]</v>
      </c>
      <c r="Q12" s="2"/>
      <c r="R12" s="2"/>
      <c r="S12" s="2"/>
      <c r="T12" s="2" t="str">
        <f>formatRow(Token!AP$2:AQ$2,Token!AP11:AQ11,0,"collection")</f>
        <v>"collection":{"name":"TestCollect",_x000D_
"family":"NFluenTGallery"}</v>
      </c>
      <c r="U12" s="2"/>
      <c r="V12" s="2"/>
    </row>
    <row r="13" spans="1:22" ht="14.25" customHeight="1" x14ac:dyDescent="0.25">
      <c r="E13" s="13" t="str">
        <f>IF(Token!A12="","",Token!A12)</f>
        <v>Test10</v>
      </c>
      <c r="L13" s="2" t="str">
        <f t="shared" si="0"/>
        <v>{"name":"Test10",_x000D_
"symbol":"symbol",_x000D_
"description":"description",_x000D_
"seller_fee_basis_points":5009,_x000D_
"image":"https://bafkreieo2qhxipegtregxjt6d6ua5izbduybk2serl357r5sjy5cedbzam.ipfs.nftstorage.link?ext=png",_x000D_
"external_url":"","attributes":[{"trait_type":"Pass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"share":30}],"files":[{"files":"https://bafybeihvjr73zcwvfbsqzy5odznulrtgntk5fe33b6mhj4d73batj67cxq.ipfs.nftstorage.link?ext=mp13",_x000D_
"type":"video/mp13"},{"files":"https://bafkreidyidc62awpaiemnfgiwevgnjsbgqynfthz6jyj73ui3l22ecxqga.ipfs.nftstorage.link?ext=png",_x000D_
"type":"image/png"}]},"collection":{"name":"TestCollect",_x000D_
"family":"NFluenTGallery"}}</v>
      </c>
      <c r="M13" s="2" t="str">
        <f>formatRow(Token!A$2:F$2,Token!A12:F12)</f>
        <v>"name":"Test10",_x000D_
"symbol":"symbol",_x000D_
"description":"description",_x000D_
"seller_fee_basis_points":5009,_x000D_
"image":"https://bafkreieo2qhxipegtregxjt6d6ua5izbduybk2serl357r5sjy5cedbzam.ipfs.nftstorage.link?ext=png",_x000D_
"external_url":""</v>
      </c>
      <c r="N13" s="2" t="str">
        <f>formatRow(Token!G$2:R$2,Token!G12:R12,2,"attributes")</f>
        <v>"attributes":[{"trait_type":"Pass festival",_x000D_
"value":"pour deux(2) personnes"},{"trait_type":"avantage10",_x000D_
"value":"accès pour deux (2) personnes à un (1) événement partenaire officiel de Calvi on the Rocks"},{"trait_type":"avantage11",_x000D_
"value":"invitation à la “Soirée off” réservée aux membres NFT pour deux (2) personnes"},{"trait_type":"avantage12",_x000D_
"value":"accès membre pour les after party officielles pour deux (2) personnes"},{"trait_type":"avantage13",_x000D_
"value":"accès prioritaire et bar dédié (consommation à la charge du festivalier) - tables réservées à l'avance pour les « NFT member » pour deux (2) personnes"},{"trait_type":"avantage14",_x000D_
"value":"10 affiche dédicacée et numérotée"}]</v>
      </c>
      <c r="O13" s="2" t="str">
        <f>formatRow(Token!AA$2:AI$2,Token!AA12:AI12,3,"creators")</f>
        <v>"creators":[{"address":"paul",_x000D_
"verified":1,_x000D_
"share":10},{"address":"sophie",_x000D_
"verified":0,_x000D_
"share":60},{"address":"roger",_x000D_
"verified":1,_x000D_
"share":30}]</v>
      </c>
      <c r="P13" s="2" t="str">
        <f>formatRow(Token!AJ$2:AO$2,Token!AJ12:AO12,2,"files")</f>
        <v>"files":[{"files":"https://bafybeihvjr73zcwvfbsqzy5odznulrtgntk5fe33b6mhj4d73batj67cxq.ipfs.nftstorage.link?ext=mp13",_x000D_
"type":"video/mp13"},{"files":"https://bafkreidyidc62awpaiemnfgiwevgnjsbgqynfthz6jyj73ui3l22ecxqga.ipfs.nftstorage.link?ext=png",_x000D_
"type":"image/png"}]</v>
      </c>
      <c r="Q13" s="2"/>
      <c r="R13" s="2"/>
      <c r="S13" s="2"/>
      <c r="T13" s="2" t="str">
        <f>formatRow(Token!AP$2:AQ$2,Token!AP12:AQ12,0,"collection")</f>
        <v>"collection":{"name":"TestCollect",_x000D_
"family":"NFluenTGallery"}</v>
      </c>
      <c r="U13" s="2"/>
      <c r="V13" s="2"/>
    </row>
    <row r="14" spans="1:22" ht="14.25" customHeight="1" x14ac:dyDescent="0.25">
      <c r="E14" s="13" t="str">
        <f>IF(Token!A13="","",Token!A13)</f>
        <v>Test11</v>
      </c>
      <c r="L14" s="2" t="str">
        <f t="shared" si="0"/>
        <v>{"name":"Test11",_x000D_
"symbol":"symbol",_x000D_
"description":"description",_x000D_
"seller_fee_basis_points":5010,_x000D_
"image":"https://bafkreieo2qhxipegtregxjt6d6ua5izbduybk2serl357r5sjy5cedbzam.ipfs.nftstorage.link?ext=png",_x000D_
"external_url":"","attributes":[{"trait_type":"Pass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"share":30}],"files":[{"files":"https://bafybeihvjr73zcwvfbsqzy5odznulrtgntk5fe33b6mhj4d73batj67cxq.ipfs.nftstorage.link?ext=mp14",_x000D_
"type":"video/mp14"},{"files":"https://bafkreidyidc62awpaiemnfgiwevgnjsbgqynfthz6jyj73ui3l22ecxqga.ipfs.nftstorage.link?ext=png",_x000D_
"type":"image/png"}]},"collection":{"name":"TestCollect",_x000D_
"family":"NFluenTGallery"}}</v>
      </c>
      <c r="M14" s="2" t="str">
        <f>formatRow(Token!A$2:F$2,Token!A13:F13)</f>
        <v>"name":"Test11",_x000D_
"symbol":"symbol",_x000D_
"description":"description",_x000D_
"seller_fee_basis_points":5010,_x000D_
"image":"https://bafkreieo2qhxipegtregxjt6d6ua5izbduybk2serl357r5sjy5cedbzam.ipfs.nftstorage.link?ext=png",_x000D_
"external_url":""</v>
      </c>
      <c r="N14" s="2" t="str">
        <f>formatRow(Token!G$2:R$2,Token!G13:R13,2,"attributes")</f>
        <v>"attributes":[{"trait_type":"Pass festival",_x000D_
"value":"pour deux(2) personnes"},{"trait_type":"avantage11",_x000D_
"value":"accès pour deux (2) personnes à un (1) événement partenaire officiel de Calvi on the Rocks"},{"trait_type":"avantage12",_x000D_
"value":"invitation à la “Soirée off” réservée aux membres NFT pour deux (2) personnes"},{"trait_type":"avantage13",_x000D_
"value":"accès membre pour les after party officielles pour deux (2) personnes"},{"trait_type":"avantage14",_x000D_
"value":"accès prioritaire et bar dédié (consommation à la charge du festivalier) - tables réservées à l'avance pour les « NFT member » pour deux (2) personnes"},{"trait_type":"avantage15",_x000D_
"value":"11 affiche dédicacée et numérotée"}]</v>
      </c>
      <c r="O14" s="2" t="str">
        <f>formatRow(Token!AA$2:AI$2,Token!AA13:AI13,3,"creators")</f>
        <v>"creators":[{"address":"paul",_x000D_
"verified":1,_x000D_
"share":10},{"address":"sophie",_x000D_
"verified":0,_x000D_
"share":60},{"address":"roger",_x000D_
"verified":1,_x000D_
"share":30}]</v>
      </c>
      <c r="P14" s="2" t="str">
        <f>formatRow(Token!AJ$2:AO$2,Token!AJ13:AO13,2,"files")</f>
        <v>"files":[{"files":"https://bafybeihvjr73zcwvfbsqzy5odznulrtgntk5fe33b6mhj4d73batj67cxq.ipfs.nftstorage.link?ext=mp14",_x000D_
"type":"video/mp14"},{"files":"https://bafkreidyidc62awpaiemnfgiwevgnjsbgqynfthz6jyj73ui3l22ecxqga.ipfs.nftstorage.link?ext=png",_x000D_
"type":"image/png"}]</v>
      </c>
      <c r="Q14" s="2"/>
      <c r="R14" s="2"/>
      <c r="S14" s="2"/>
      <c r="T14" s="2" t="str">
        <f>formatRow(Token!AP$2:AQ$2,Token!AP13:AQ13,0,"collection")</f>
        <v>"collection":{"name":"TestCollect",_x000D_
"family":"NFluenTGallery"}</v>
      </c>
      <c r="U14" s="2"/>
      <c r="V14" s="2"/>
    </row>
    <row r="15" spans="1:22" ht="14.25" customHeight="1" x14ac:dyDescent="0.25">
      <c r="E15" s="13" t="str">
        <f>IF(Token!A14="","",Token!A14)</f>
        <v>Test12</v>
      </c>
      <c r="L15" s="2" t="str">
        <f t="shared" si="0"/>
        <v>{"name":"Test12",_x000D_
"symbol":"symbol",_x000D_
"description":"description",_x000D_
"seller_fee_basis_points":5011,_x000D_
"image":"https://bafkreieo2qhxipegtregxjt6d6ua5izbduybk2serl357r5sjy5cedbzam.ipfs.nftstorage.link?ext=png",_x000D_
"external_url":"","attributes":[{"trait_type":"Pass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"share":30}],"files":[{"files":"https://bafybeihvjr73zcwvfbsqzy5odznulrtgntk5fe33b6mhj4d73batj67cxq.ipfs.nftstorage.link?ext=mp15",_x000D_
"type":"video/mp15"},{"files":"https://bafkreidyidc62awpaiemnfgiwevgnjsbgqynfthz6jyj73ui3l22ecxqga.ipfs.nftstorage.link?ext=png",_x000D_
"type":"image/png"}]},"collection":{"name":"TestCollect",_x000D_
"family":"NFluenTGallery"}}</v>
      </c>
      <c r="M15" s="2" t="str">
        <f>formatRow(Token!A$2:F$2,Token!A14:F14)</f>
        <v>"name":"Test12",_x000D_
"symbol":"symbol",_x000D_
"description":"description",_x000D_
"seller_fee_basis_points":5011,_x000D_
"image":"https://bafkreieo2qhxipegtregxjt6d6ua5izbduybk2serl357r5sjy5cedbzam.ipfs.nftstorage.link?ext=png",_x000D_
"external_url":""</v>
      </c>
      <c r="N15" s="2" t="str">
        <f>formatRow(Token!G$2:R$2,Token!G14:R14,2,"attributes")</f>
        <v>"attributes":[{"trait_type":"Pass festival",_x000D_
"value":"pour deux(2) personnes"},{"trait_type":"avantage12",_x000D_
"value":"accès pour deux (2) personnes à un (1) événement partenaire officiel de Calvi on the Rocks"},{"trait_type":"avantage13",_x000D_
"value":"invitation à la “Soirée off” réservée aux membres NFT pour deux (2) personnes"},{"trait_type":"avantage14",_x000D_
"value":"accès membre pour les after party officielles pour deux (2) personnes"},{"trait_type":"avantage15",_x000D_
"value":"accès prioritaire et bar dédié (consommation à la charge du festivalier) - tables réservées à l'avance pour les « NFT member » pour deux (2) personnes"},{"trait_type":"avantage16",_x000D_
"value":"12 affiche dédicacée et numérotée"}]</v>
      </c>
      <c r="O15" s="2" t="str">
        <f>formatRow(Token!AA$2:AI$2,Token!AA14:AI14,3,"creators")</f>
        <v>"creators":[{"address":"paul",_x000D_
"verified":1,_x000D_
"share":10},{"address":"sophie",_x000D_
"verified":0,_x000D_
"share":60},{"address":"roger",_x000D_
"verified":1,_x000D_
"share":30}]</v>
      </c>
      <c r="P15" s="2" t="str">
        <f>formatRow(Token!AJ$2:AO$2,Token!AJ14:AO14,2,"files")</f>
        <v>"files":[{"files":"https://bafybeihvjr73zcwvfbsqzy5odznulrtgntk5fe33b6mhj4d73batj67cxq.ipfs.nftstorage.link?ext=mp15",_x000D_
"type":"video/mp15"},{"files":"https://bafkreidyidc62awpaiemnfgiwevgnjsbgqynfthz6jyj73ui3l22ecxqga.ipfs.nftstorage.link?ext=png",_x000D_
"type":"image/png"}]</v>
      </c>
      <c r="Q15" s="2"/>
      <c r="R15" s="2"/>
      <c r="S15" s="2"/>
      <c r="T15" s="2" t="str">
        <f>formatRow(Token!AP$2:AQ$2,Token!AP14:AQ14,0,"collection")</f>
        <v>"collection":{"name":"TestCollect",_x000D_
"family":"NFluenTGallery"}</v>
      </c>
      <c r="U15" s="2"/>
      <c r="V15" s="2"/>
    </row>
    <row r="16" spans="1:22" ht="14.25" customHeight="1" x14ac:dyDescent="0.25">
      <c r="E16" s="13" t="str">
        <f>IF(Token!A15="","",Token!A15)</f>
        <v>Test13</v>
      </c>
      <c r="L16" s="2" t="str">
        <f t="shared" si="0"/>
        <v>{"name":"Test13",_x000D_
"symbol":"symbol",_x000D_
"description":"description",_x000D_
"seller_fee_basis_points":5012,_x000D_
"image":"https://bafkreieo2qhxipegtregxjt6d6ua5izbduybk2serl357r5sjy5cedbzam.ipfs.nftstorage.link?ext=png",_x000D_
"external_url":"","attributes":[{"trait_type":"Pass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"share":30}],"files":[{"files":"https://bafybeihvjr73zcwvfbsqzy5odznulrtgntk5fe33b6mhj4d73batj67cxq.ipfs.nftstorage.link?ext=mp16",_x000D_
"type":"video/mp16"},{"files":"https://bafkreidyidc62awpaiemnfgiwevgnjsbgqynfthz6jyj73ui3l22ecxqga.ipfs.nftstorage.link?ext=png",_x000D_
"type":"image/png"}]},"collection":{"name":"TestCollect",_x000D_
"family":"NFluenTGallery"}}</v>
      </c>
      <c r="M16" s="2" t="str">
        <f>formatRow(Token!A$2:F$2,Token!A15:F15)</f>
        <v>"name":"Test13",_x000D_
"symbol":"symbol",_x000D_
"description":"description",_x000D_
"seller_fee_basis_points":5012,_x000D_
"image":"https://bafkreieo2qhxipegtregxjt6d6ua5izbduybk2serl357r5sjy5cedbzam.ipfs.nftstorage.link?ext=png",_x000D_
"external_url":""</v>
      </c>
      <c r="N16" s="2" t="str">
        <f>formatRow(Token!G$2:R$2,Token!G15:R15,2,"attributes")</f>
        <v>"attributes":[{"trait_type":"Pass festival",_x000D_
"value":"pour deux(2) personnes"},{"trait_type":"avantage13",_x000D_
"value":"accès pour deux (2) personnes à un (1) événement partenaire officiel de Calvi on the Rocks"},{"trait_type":"avantage14",_x000D_
"value":"invitation à la “Soirée off” réservée aux membres NFT pour deux (2) personnes"},{"trait_type":"avantage15",_x000D_
"value":"accès membre pour les after party officielles pour deux (2) personnes"},{"trait_type":"avantage16",_x000D_
"value":"accès prioritaire et bar dédié (consommation à la charge du festivalier) - tables réservées à l'avance pour les « NFT member » pour deux (2) personnes"},{"trait_type":"avantage17",_x000D_
"value":"13 affiche dédicacée et numérotée"}]</v>
      </c>
      <c r="O16" s="2" t="str">
        <f>formatRow(Token!AA$2:AI$2,Token!AA15:AI15,3,"creators")</f>
        <v>"creators":[{"address":"paul",_x000D_
"verified":1,_x000D_
"share":10},{"address":"sophie",_x000D_
"verified":0,_x000D_
"share":60},{"address":"roger",_x000D_
"verified":1,_x000D_
"share":30}]</v>
      </c>
      <c r="P16" s="2" t="str">
        <f>formatRow(Token!AJ$2:AO$2,Token!AJ15:AO15,2,"files")</f>
        <v>"files":[{"files":"https://bafybeihvjr73zcwvfbsqzy5odznulrtgntk5fe33b6mhj4d73batj67cxq.ipfs.nftstorage.link?ext=mp16",_x000D_
"type":"video/mp16"},{"files":"https://bafkreidyidc62awpaiemnfgiwevgnjsbgqynfthz6jyj73ui3l22ecxqga.ipfs.nftstorage.link?ext=png",_x000D_
"type":"image/png"}]</v>
      </c>
      <c r="Q16" s="2"/>
      <c r="R16" s="2"/>
      <c r="S16" s="2"/>
      <c r="T16" s="2" t="str">
        <f>formatRow(Token!AP$2:AQ$2,Token!AP15:AQ15,0,"collection")</f>
        <v>"collection":{"name":"TestCollect",_x000D_
"family":"NFluenTGallery"}</v>
      </c>
      <c r="U16" s="2"/>
      <c r="V16" s="2"/>
    </row>
    <row r="17" spans="5:22" ht="14.25" customHeight="1" x14ac:dyDescent="0.25">
      <c r="E17" s="13" t="str">
        <f>IF(Token!A16="","",Token!A16)</f>
        <v>Test14</v>
      </c>
      <c r="L17" s="2" t="str">
        <f t="shared" si="0"/>
        <v>{"name":"Test14",_x000D_
"symbol":"symbol",_x000D_
"description":"description",_x000D_
"seller_fee_basis_points":5013,_x000D_
"image":"https://bafkreieo2qhxipegtregxjt6d6ua5izbduybk2serl357r5sjy5cedbzam.ipfs.nftstorage.link?ext=png",_x000D_
"external_url":"","attributes":[{"trait_type":"Pass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"share":30}],"files":[{"files":"https://bafybeihvjr73zcwvfbsqzy5odznulrtgntk5fe33b6mhj4d73batj67cxq.ipfs.nftstorage.link?ext=mp17",_x000D_
"type":"video/mp17"},{"files":"https://bafkreidyidc62awpaiemnfgiwevgnjsbgqynfthz6jyj73ui3l22ecxqga.ipfs.nftstorage.link?ext=png",_x000D_
"type":"image/png"}]},"collection":{"name":"TestCollect",_x000D_
"family":"NFluenTGallery"}}</v>
      </c>
      <c r="M17" s="2" t="str">
        <f>formatRow(Token!A$2:F$2,Token!A16:F16)</f>
        <v>"name":"Test14",_x000D_
"symbol":"symbol",_x000D_
"description":"description",_x000D_
"seller_fee_basis_points":5013,_x000D_
"image":"https://bafkreieo2qhxipegtregxjt6d6ua5izbduybk2serl357r5sjy5cedbzam.ipfs.nftstorage.link?ext=png",_x000D_
"external_url":""</v>
      </c>
      <c r="N17" s="2" t="str">
        <f>formatRow(Token!G$2:R$2,Token!G16:R16,2,"attributes")</f>
        <v>"attributes":[{"trait_type":"Pass festival",_x000D_
"value":"pour deux(2) personnes"},{"trait_type":"avantage14",_x000D_
"value":"accès pour deux (2) personnes à un (1) événement partenaire officiel de Calvi on the Rocks"},{"trait_type":"avantage15",_x000D_
"value":"invitation à la “Soirée off” réservée aux membres NFT pour deux (2) personnes"},{"trait_type":"avantage16",_x000D_
"value":"accès membre pour les after party officielles pour deux (2) personnes"},{"trait_type":"avantage17",_x000D_
"value":"accès prioritaire et bar dédié (consommation à la charge du festivalier) - tables réservées à l'avance pour les « NFT member » pour deux (2) personnes"},{"trait_type":"avantage18",_x000D_
"value":"14 affiche dédicacée et numérotée"}]</v>
      </c>
      <c r="O17" s="2" t="str">
        <f>formatRow(Token!AA$2:AI$2,Token!AA16:AI16,3,"creators")</f>
        <v>"creators":[{"address":"paul",_x000D_
"verified":1,_x000D_
"share":10},{"address":"sophie",_x000D_
"verified":0,_x000D_
"share":60},{"address":"roger",_x000D_
"verified":1,_x000D_
"share":30}]</v>
      </c>
      <c r="P17" s="2" t="str">
        <f>formatRow(Token!AJ$2:AO$2,Token!AJ16:AO16,2,"files")</f>
        <v>"files":[{"files":"https://bafybeihvjr73zcwvfbsqzy5odznulrtgntk5fe33b6mhj4d73batj67cxq.ipfs.nftstorage.link?ext=mp17",_x000D_
"type":"video/mp17"},{"files":"https://bafkreidyidc62awpaiemnfgiwevgnjsbgqynfthz6jyj73ui3l22ecxqga.ipfs.nftstorage.link?ext=png",_x000D_
"type":"image/png"}]</v>
      </c>
      <c r="Q17" s="2"/>
      <c r="R17" s="2"/>
      <c r="S17" s="2"/>
      <c r="T17" s="2" t="str">
        <f>formatRow(Token!AP$2:AQ$2,Token!AP16:AQ16,0,"collection")</f>
        <v>"collection":{"name":"TestCollect",_x000D_
"family":"NFluenTGallery"}</v>
      </c>
      <c r="U17" s="2"/>
      <c r="V17" s="2"/>
    </row>
    <row r="18" spans="5:22" ht="14.25" customHeight="1" x14ac:dyDescent="0.25">
      <c r="E18" s="13" t="str">
        <f>IF(Token!A17="","",Token!A17)</f>
        <v>Test15</v>
      </c>
      <c r="L18" s="2" t="str">
        <f t="shared" si="0"/>
        <v>{"name":"Test15",_x000D_
"symbol":"symbol",_x000D_
"description":"description",_x000D_
"seller_fee_basis_points":5014,_x000D_
"image":"https://bafkreieo2qhxipegtregxjt6d6ua5izbduybk2serl357r5sjy5cedbzam.ipfs.nftstorage.link?ext=png",_x000D_
"external_url":"","attributes":[{"trait_type":"Pass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"share":30}],"files":[{"files":"https://bafybeihvjr73zcwvfbsqzy5odznulrtgntk5fe33b6mhj4d73batj67cxq.ipfs.nftstorage.link?ext=mp18",_x000D_
"type":"video/mp18"},{"files":"https://bafkreidyidc62awpaiemnfgiwevgnjsbgqynfthz6jyj73ui3l22ecxqga.ipfs.nftstorage.link?ext=png",_x000D_
"type":"image/png"}]},"collection":{"name":"TestCollect",_x000D_
"family":"NFluenTGallery"}}</v>
      </c>
      <c r="M18" s="2" t="str">
        <f>formatRow(Token!A$2:F$2,Token!A17:F17)</f>
        <v>"name":"Test15",_x000D_
"symbol":"symbol",_x000D_
"description":"description",_x000D_
"seller_fee_basis_points":5014,_x000D_
"image":"https://bafkreieo2qhxipegtregxjt6d6ua5izbduybk2serl357r5sjy5cedbzam.ipfs.nftstorage.link?ext=png",_x000D_
"external_url":""</v>
      </c>
      <c r="N18" s="2" t="str">
        <f>formatRow(Token!G$2:R$2,Token!G17:R17,2,"attributes")</f>
        <v>"attributes":[{"trait_type":"Pass festival",_x000D_
"value":"pour deux(2) personnes"},{"trait_type":"avantage15",_x000D_
"value":"accès pour deux (2) personnes à un (1) événement partenaire officiel de Calvi on the Rocks"},{"trait_type":"avantage16",_x000D_
"value":"invitation à la “Soirée off” réservée aux membres NFT pour deux (2) personnes"},{"trait_type":"avantage17",_x000D_
"value":"accès membre pour les after party officielles pour deux (2) personnes"},{"trait_type":"avantage18",_x000D_
"value":"accès prioritaire et bar dédié (consommation à la charge du festivalier) - tables réservées à l'avance pour les « NFT member » pour deux (2) personnes"},{"trait_type":"avantage19",_x000D_
"value":"15 affiche dédicacée et numérotée"}]</v>
      </c>
      <c r="O18" s="2" t="str">
        <f>formatRow(Token!AA$2:AI$2,Token!AA17:AI17,3,"creators")</f>
        <v>"creators":[{"address":"paul",_x000D_
"verified":1,_x000D_
"share":10},{"address":"sophie",_x000D_
"verified":0,_x000D_
"share":60},{"address":"roger",_x000D_
"verified":1,_x000D_
"share":30}]</v>
      </c>
      <c r="P18" s="2" t="str">
        <f>formatRow(Token!AJ$2:AO$2,Token!AJ17:AO17,2,"files")</f>
        <v>"files":[{"files":"https://bafybeihvjr73zcwvfbsqzy5odznulrtgntk5fe33b6mhj4d73batj67cxq.ipfs.nftstorage.link?ext=mp18",_x000D_
"type":"video/mp18"},{"files":"https://bafkreidyidc62awpaiemnfgiwevgnjsbgqynfthz6jyj73ui3l22ecxqga.ipfs.nftstorage.link?ext=png",_x000D_
"type":"image/png"}]</v>
      </c>
      <c r="Q18" s="2"/>
      <c r="R18" s="2"/>
      <c r="S18" s="2"/>
      <c r="T18" s="2" t="str">
        <f>formatRow(Token!AP$2:AQ$2,Token!AP17:AQ17,0,"collection")</f>
        <v>"collection":{"name":"TestCollect",_x000D_
"family":"NFluenTGallery"}</v>
      </c>
      <c r="U18" s="2"/>
      <c r="V18" s="2"/>
    </row>
    <row r="19" spans="5:22" ht="14.25" customHeight="1" x14ac:dyDescent="0.25">
      <c r="E19" s="13" t="str">
        <f>IF(Token!A18="","",Token!A18)</f>
        <v>Test16</v>
      </c>
      <c r="L19" s="2" t="str">
        <f t="shared" si="0"/>
        <v>{"name":"Test16",_x000D_
"symbol":"symbol",_x000D_
"description":"description",_x000D_
"seller_fee_basis_points":5015,_x000D_
"image":"https://bafkreieo2qhxipegtregxjt6d6ua5izbduybk2serl357r5sjy5cedbzam.ipfs.nftstorage.link?ext=png",_x000D_
"external_url":"","attributes":[{"trait_type":"Pass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numérotée"}],"properties":{"creators":[{"address":"paul",_x000D_
"verified":1,_x000D_
"share":10},{"address":"sophie",_x000D_
"verified":0,_x000D_
"share":60},{"address":"roger",_x000D_
"verified":1,_x000D_
"share":30}],"files":[{"files":"https://bafybeihvjr73zcwvfbsqzy5odznulrtgntk5fe33b6mhj4d73batj67cxq.ipfs.nftstorage.link?ext=mp19",_x000D_
"type":"video/mp19"},{"files":"https://bafkreidyidc62awpaiemnfgiwevgnjsbgqynfthz6jyj73ui3l22ecxqga.ipfs.nftstorage.link?ext=png",_x000D_
"type":"image/png"}]},"collection":{"name":"TestCollect",_x000D_
"family":"NFluenTGallery"}}</v>
      </c>
      <c r="M19" s="2" t="str">
        <f>formatRow(Token!A$2:F$2,Token!A18:F18)</f>
        <v>"name":"Test16",_x000D_
"symbol":"symbol",_x000D_
"description":"description",_x000D_
"seller_fee_basis_points":5015,_x000D_
"image":"https://bafkreieo2qhxipegtregxjt6d6ua5izbduybk2serl357r5sjy5cedbzam.ipfs.nftstorage.link?ext=png",_x000D_
"external_url":""</v>
      </c>
      <c r="N19" s="2" t="str">
        <f>formatRow(Token!G$2:R$2,Token!G18:R18,2,"attributes")</f>
        <v>"attributes":[{"trait_type":"Pass festival",_x000D_
"value":"pour deux(2) personnes"},{"trait_type":"avantage16",_x000D_
"value":"accès pour deux (2) personnes à un (1) événement partenaire officiel de Calvi on the Rocks"},{"trait_type":"avantage17",_x000D_
"value":"invitation à la “Soirée off” réservée aux membres NFT pour deux (2) personnes"},{"trait_type":"avantage18",_x000D_
"value":"accès membre pour les after party officielles pour deux (2) personnes"},{"trait_type":"avantage19",_x000D_
"value":"accès prioritaire et bar dédié (consommation à la charge du festivalier) - tables réservées à l'avance pour les « NFT member » pour deux (2) personnes"},{"trait_type":"avantage20",_x000D_
"value":"16 affiche dédicacée et numérotée"}]</v>
      </c>
      <c r="O19" s="2" t="str">
        <f>formatRow(Token!AA$2:AI$2,Token!AA18:AI18,3,"creators")</f>
        <v>"creators":[{"address":"paul",_x000D_
"verified":1,_x000D_
"share":10},{"address":"sophie",_x000D_
"verified":0,_x000D_
"share":60},{"address":"roger",_x000D_
"verified":1,_x000D_
"share":30}]</v>
      </c>
      <c r="P19" s="2" t="str">
        <f>formatRow(Token!AJ$2:AO$2,Token!AJ18:AO18,2,"files")</f>
        <v>"files":[{"files":"https://bafybeihvjr73zcwvfbsqzy5odznulrtgntk5fe33b6mhj4d73batj67cxq.ipfs.nftstorage.link?ext=mp19",_x000D_
"type":"video/mp19"},{"files":"https://bafkreidyidc62awpaiemnfgiwevgnjsbgqynfthz6jyj73ui3l22ecxqga.ipfs.nftstorage.link?ext=png",_x000D_
"type":"image/png"}]</v>
      </c>
      <c r="Q19" s="2"/>
      <c r="R19" s="2"/>
      <c r="S19" s="2"/>
      <c r="T19" s="2" t="str">
        <f>formatRow(Token!AP$2:AQ$2,Token!AP18:AQ18,0,"collection")</f>
        <v>"collection":{"name":"TestCollect",_x000D_
"family":"NFluenTGallery"}</v>
      </c>
      <c r="U19" s="2"/>
      <c r="V19" s="2"/>
    </row>
    <row r="20" spans="5:22" ht="14.25" customHeight="1" x14ac:dyDescent="0.25">
      <c r="E20" s="13" t="str">
        <f>IF(Token!A19="","",Token!A19)</f>
        <v/>
      </c>
      <c r="L20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0" s="2" t="str">
        <f>formatRow(Token!A$2:F$2,Token!A19:F19)</f>
        <v>"name":"",_x000D_
"symbol":"",_x000D_
"description":"",_x000D_
"seller_fee_basis_points":"",_x000D_
"image":"",_x000D_
"external_url":""</v>
      </c>
      <c r="N20" s="2" t="str">
        <f>formatRow(Token!G$2:R$2,Token!G19:R19,2,"attributes")</f>
        <v>"attributes":[]</v>
      </c>
      <c r="O20" s="2" t="str">
        <f>formatRow(Token!AA$2:AI$2,Token!AA19:AI19,3,"creators")</f>
        <v>"creators":[]</v>
      </c>
      <c r="P20" s="2" t="str">
        <f>formatRow(Token!AJ$2:AO$2,Token!AJ19:AO19,2,"files")</f>
        <v>"files":[]</v>
      </c>
      <c r="Q20" s="2"/>
      <c r="R20" s="2"/>
      <c r="S20" s="2"/>
      <c r="T20" s="2" t="str">
        <f>formatRow(Token!AP$2:AQ$2,Token!AP19:AQ19,0,"collection")</f>
        <v>"collection":{"name":"",_x000D_
"family":""}</v>
      </c>
      <c r="U20" s="2"/>
      <c r="V20" s="2"/>
    </row>
    <row r="21" spans="5:22" ht="14.25" customHeight="1" x14ac:dyDescent="0.25">
      <c r="E21" s="13" t="str">
        <f>IF(Token!A20="","",Token!A20)</f>
        <v/>
      </c>
      <c r="L21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1" s="2" t="str">
        <f>formatRow(Token!A$2:F$2,Token!A20:F20)</f>
        <v>"name":"",_x000D_
"symbol":"",_x000D_
"description":"",_x000D_
"seller_fee_basis_points":"",_x000D_
"image":"",_x000D_
"external_url":""</v>
      </c>
      <c r="N21" s="2" t="str">
        <f>formatRow(Token!G$2:R$2,Token!G20:R20,2,"attributes")</f>
        <v>"attributes":[]</v>
      </c>
      <c r="O21" s="2" t="str">
        <f>formatRow(Token!AA$2:AI$2,Token!AA20:AI20,3,"creators")</f>
        <v>"creators":[]</v>
      </c>
      <c r="P21" s="2" t="str">
        <f>formatRow(Token!AJ$2:AO$2,Token!AJ20:AO20,2,"files")</f>
        <v>"files":[]</v>
      </c>
      <c r="Q21" s="2"/>
      <c r="R21" s="2"/>
      <c r="S21" s="2"/>
      <c r="T21" s="2" t="str">
        <f>formatRow(Token!AP$2:AQ$2,Token!AP20:AQ20,0,"collection")</f>
        <v>"collection":{"name":"",_x000D_
"family":""}</v>
      </c>
      <c r="U21" s="2"/>
      <c r="V21" s="2"/>
    </row>
    <row r="22" spans="5:22" ht="14.25" customHeight="1" x14ac:dyDescent="0.25">
      <c r="E22" s="13" t="str">
        <f>IF(Token!A21="","",Token!A21)</f>
        <v/>
      </c>
      <c r="L22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2" s="2" t="str">
        <f>formatRow(Token!A$2:F$2,Token!A21:F21)</f>
        <v>"name":"",_x000D_
"symbol":"",_x000D_
"description":"",_x000D_
"seller_fee_basis_points":"",_x000D_
"image":"",_x000D_
"external_url":""</v>
      </c>
      <c r="N22" s="2" t="str">
        <f>formatRow(Token!G$2:R$2,Token!G21:R21,2,"attributes")</f>
        <v>"attributes":[]</v>
      </c>
      <c r="O22" s="2" t="str">
        <f>formatRow(Token!AA$2:AI$2,Token!AA21:AI21,3,"creators")</f>
        <v>"creators":[]</v>
      </c>
      <c r="P22" s="2" t="str">
        <f>formatRow(Token!AJ$2:AO$2,Token!AJ21:AO21,2,"files")</f>
        <v>"files":[]</v>
      </c>
      <c r="Q22" s="2"/>
      <c r="R22" s="2"/>
      <c r="S22" s="2"/>
      <c r="T22" s="2" t="str">
        <f>formatRow(Token!AP$2:AQ$2,Token!AP21:AQ21,0,"collection")</f>
        <v>"collection":{"name":"",_x000D_
"family":""}</v>
      </c>
      <c r="U22" s="2"/>
      <c r="V22" s="2"/>
    </row>
    <row r="23" spans="5:22" ht="14.25" customHeight="1" x14ac:dyDescent="0.25">
      <c r="E23" s="13" t="str">
        <f>IF(Token!A22="","",Token!A22)</f>
        <v/>
      </c>
      <c r="L23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3" s="2" t="str">
        <f>formatRow(Token!A$2:F$2,Token!A22:F22)</f>
        <v>"name":"",_x000D_
"symbol":"",_x000D_
"description":"",_x000D_
"seller_fee_basis_points":"",_x000D_
"image":"",_x000D_
"external_url":""</v>
      </c>
      <c r="N23" s="2" t="str">
        <f>formatRow(Token!G$2:R$2,Token!G22:R22,2,"attributes")</f>
        <v>"attributes":[]</v>
      </c>
      <c r="O23" s="2" t="str">
        <f>formatRow(Token!AA$2:AI$2,Token!AA22:AI22,3,"creators")</f>
        <v>"creators":[]</v>
      </c>
      <c r="P23" s="2" t="str">
        <f>formatRow(Token!AJ$2:AO$2,Token!AJ22:AO22,2,"files")</f>
        <v>"files":[]</v>
      </c>
      <c r="Q23" s="2"/>
      <c r="R23" s="2"/>
      <c r="S23" s="2"/>
      <c r="T23" s="2" t="str">
        <f>formatRow(Token!AP$2:AQ$2,Token!AP22:AQ22,0,"collection")</f>
        <v>"collection":{"name":"",_x000D_
"family":""}</v>
      </c>
      <c r="U23" s="2"/>
      <c r="V23" s="2"/>
    </row>
    <row r="24" spans="5:22" ht="14.25" customHeight="1" x14ac:dyDescent="0.25">
      <c r="E24" s="13" t="str">
        <f>IF(Token!A23="","",Token!A23)</f>
        <v/>
      </c>
      <c r="L24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4" s="2" t="str">
        <f>formatRow(Token!A$2:F$2,Token!A23:F23)</f>
        <v>"name":"",_x000D_
"symbol":"",_x000D_
"description":"",_x000D_
"seller_fee_basis_points":"",_x000D_
"image":"",_x000D_
"external_url":""</v>
      </c>
      <c r="N24" s="2" t="str">
        <f>formatRow(Token!G$2:R$2,Token!G23:R23,2,"attributes")</f>
        <v>"attributes":[]</v>
      </c>
      <c r="O24" s="2" t="str">
        <f>formatRow(Token!AA$2:AI$2,Token!AA23:AI23,3,"creators")</f>
        <v>"creators":[]</v>
      </c>
      <c r="P24" s="2" t="str">
        <f>formatRow(Token!AJ$2:AO$2,Token!AJ23:AO23,2,"files")</f>
        <v>"files":[]</v>
      </c>
      <c r="Q24" s="2"/>
      <c r="R24" s="2"/>
      <c r="S24" s="2"/>
      <c r="T24" s="2" t="str">
        <f>formatRow(Token!AP$2:AQ$2,Token!AP23:AQ23,0,"collection")</f>
        <v>"collection":{"name":"",_x000D_
"family":""}</v>
      </c>
      <c r="U24" s="2"/>
      <c r="V24" s="2"/>
    </row>
    <row r="25" spans="5:22" ht="14.25" customHeight="1" x14ac:dyDescent="0.25">
      <c r="E25" s="13" t="str">
        <f>IF(Token!A24="","",Token!A24)</f>
        <v/>
      </c>
      <c r="L25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5" s="2" t="str">
        <f>formatRow(Token!A$2:F$2,Token!A24:F24)</f>
        <v>"name":"",_x000D_
"symbol":"",_x000D_
"description":"",_x000D_
"seller_fee_basis_points":"",_x000D_
"image":"",_x000D_
"external_url":""</v>
      </c>
      <c r="N25" s="2" t="str">
        <f>formatRow(Token!G$2:R$2,Token!G24:R24,2,"attributes")</f>
        <v>"attributes":[]</v>
      </c>
      <c r="O25" s="2" t="str">
        <f>formatRow(Token!AA$2:AI$2,Token!AA24:AI24,3,"creators")</f>
        <v>"creators":[]</v>
      </c>
      <c r="P25" s="2" t="str">
        <f>formatRow(Token!AJ$2:AO$2,Token!AJ24:AO24,2,"files")</f>
        <v>"files":[]</v>
      </c>
      <c r="Q25" s="2"/>
      <c r="R25" s="2"/>
      <c r="S25" s="2"/>
      <c r="T25" s="2" t="str">
        <f>formatRow(Token!AP$2:AQ$2,Token!AP24:AQ24,0,"collection")</f>
        <v>"collection":{"name":"",_x000D_
"family":""}</v>
      </c>
      <c r="U25" s="2"/>
      <c r="V25" s="2"/>
    </row>
    <row r="26" spans="5:22" ht="14.25" customHeight="1" x14ac:dyDescent="0.25">
      <c r="E26" s="13" t="str">
        <f>IF(Token!A25="","",Token!A25)</f>
        <v/>
      </c>
      <c r="L26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6" s="2" t="str">
        <f>formatRow(Token!A$2:F$2,Token!A25:F25)</f>
        <v>"name":"",_x000D_
"symbol":"",_x000D_
"description":"",_x000D_
"seller_fee_basis_points":"",_x000D_
"image":"",_x000D_
"external_url":""</v>
      </c>
      <c r="N26" s="2" t="str">
        <f>formatRow(Token!G$2:R$2,Token!G25:R25,2,"attributes")</f>
        <v>"attributes":[]</v>
      </c>
      <c r="O26" s="2" t="str">
        <f>formatRow(Token!AA$2:AI$2,Token!AA25:AI25,3,"creators")</f>
        <v>"creators":[]</v>
      </c>
      <c r="P26" s="2" t="str">
        <f>formatRow(Token!AJ$2:AO$2,Token!AJ25:AO25,2,"files")</f>
        <v>"files":[]</v>
      </c>
      <c r="Q26" s="2"/>
      <c r="R26" s="2"/>
      <c r="S26" s="2"/>
      <c r="T26" s="2" t="str">
        <f>formatRow(Token!AP$2:AQ$2,Token!AP25:AQ25,0,"collection")</f>
        <v>"collection":{"name":"",_x000D_
"family":""}</v>
      </c>
      <c r="U26" s="2"/>
      <c r="V26" s="2"/>
    </row>
    <row r="27" spans="5:22" ht="14.25" customHeight="1" x14ac:dyDescent="0.25">
      <c r="E27" s="13" t="str">
        <f>IF(Token!A26="","",Token!A26)</f>
        <v/>
      </c>
      <c r="L27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7" s="2" t="str">
        <f>formatRow(Token!A$2:F$2,Token!A26:F26)</f>
        <v>"name":"",_x000D_
"symbol":"",_x000D_
"description":"",_x000D_
"seller_fee_basis_points":"",_x000D_
"image":"",_x000D_
"external_url":""</v>
      </c>
      <c r="N27" s="2" t="str">
        <f>formatRow(Token!G$2:R$2,Token!G26:R26,2,"attributes")</f>
        <v>"attributes":[]</v>
      </c>
      <c r="O27" s="2" t="str">
        <f>formatRow(Token!AA$2:AI$2,Token!AA26:AI26,3,"creators")</f>
        <v>"creators":[]</v>
      </c>
      <c r="P27" s="2" t="str">
        <f>formatRow(Token!AJ$2:AO$2,Token!AJ26:AO26,2,"files")</f>
        <v>"files":[]</v>
      </c>
      <c r="Q27" s="2"/>
      <c r="R27" s="2"/>
      <c r="S27" s="2"/>
      <c r="T27" s="2" t="str">
        <f>formatRow(Token!AP$2:AQ$2,Token!AP26:AQ26,0,"collection")</f>
        <v>"collection":{"name":"",_x000D_
"family":""}</v>
      </c>
      <c r="U27" s="2"/>
      <c r="V27" s="2"/>
    </row>
    <row r="28" spans="5:22" ht="14.25" customHeight="1" x14ac:dyDescent="0.25">
      <c r="E28" s="13" t="str">
        <f>IF(Token!A27="","",Token!A27)</f>
        <v/>
      </c>
      <c r="L28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8" s="2" t="str">
        <f>formatRow(Token!A$2:F$2,Token!A27:F27)</f>
        <v>"name":"",_x000D_
"symbol":"",_x000D_
"description":"",_x000D_
"seller_fee_basis_points":"",_x000D_
"image":"",_x000D_
"external_url":""</v>
      </c>
      <c r="N28" s="2" t="str">
        <f>formatRow(Token!G$2:R$2,Token!G27:R27,2,"attributes")</f>
        <v>"attributes":[]</v>
      </c>
      <c r="O28" s="2" t="str">
        <f>formatRow(Token!AA$2:AI$2,Token!AA27:AI27,3,"creators")</f>
        <v>"creators":[]</v>
      </c>
      <c r="P28" s="2" t="str">
        <f>formatRow(Token!AJ$2:AO$2,Token!AJ27:AO27,2,"files")</f>
        <v>"files":[]</v>
      </c>
      <c r="Q28" s="2"/>
      <c r="R28" s="2"/>
      <c r="S28" s="2"/>
      <c r="T28" s="2" t="str">
        <f>formatRow(Token!AP$2:AQ$2,Token!AP27:AQ27,0,"collection")</f>
        <v>"collection":{"name":"",_x000D_
"family":""}</v>
      </c>
      <c r="U28" s="2"/>
      <c r="V28" s="2"/>
    </row>
    <row r="29" spans="5:22" ht="14.25" customHeight="1" x14ac:dyDescent="0.25">
      <c r="E29" s="13" t="str">
        <f>IF(Token!A28="","",Token!A28)</f>
        <v/>
      </c>
      <c r="L29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29" s="2" t="str">
        <f>formatRow(Token!A$2:F$2,Token!A28:F28)</f>
        <v>"name":"",_x000D_
"symbol":"",_x000D_
"description":"",_x000D_
"seller_fee_basis_points":"",_x000D_
"image":"",_x000D_
"external_url":""</v>
      </c>
      <c r="N29" s="2" t="str">
        <f>formatRow(Token!G$2:R$2,Token!G28:R28,2,"attributes")</f>
        <v>"attributes":[]</v>
      </c>
      <c r="O29" s="2" t="str">
        <f>formatRow(Token!AA$2:AI$2,Token!AA28:AI28,3,"creators")</f>
        <v>"creators":[]</v>
      </c>
      <c r="P29" s="2" t="str">
        <f>formatRow(Token!AJ$2:AO$2,Token!AJ28:AO28,2,"files")</f>
        <v>"files":[]</v>
      </c>
      <c r="Q29" s="2"/>
      <c r="R29" s="2"/>
      <c r="S29" s="2"/>
      <c r="T29" s="2" t="str">
        <f>formatRow(Token!AP$2:AQ$2,Token!AP28:AQ28,0,"collection")</f>
        <v>"collection":{"name":"",_x000D_
"family":""}</v>
      </c>
      <c r="U29" s="2"/>
      <c r="V29" s="2"/>
    </row>
    <row r="30" spans="5:22" ht="14.25" customHeight="1" x14ac:dyDescent="0.25">
      <c r="E30" s="13" t="str">
        <f>IF(Token!A29="","",Token!A29)</f>
        <v/>
      </c>
      <c r="L30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0" s="2" t="str">
        <f>formatRow(Token!A$2:F$2,Token!A29:F29)</f>
        <v>"name":"",_x000D_
"symbol":"",_x000D_
"description":"",_x000D_
"seller_fee_basis_points":"",_x000D_
"image":"",_x000D_
"external_url":""</v>
      </c>
      <c r="N30" s="2" t="str">
        <f>formatRow(Token!G$2:R$2,Token!G29:R29,2,"attributes")</f>
        <v>"attributes":[]</v>
      </c>
      <c r="O30" s="2" t="str">
        <f>formatRow(Token!AA$2:AI$2,Token!AA29:AI29,3,"creators")</f>
        <v>"creators":[]</v>
      </c>
      <c r="P30" s="2" t="str">
        <f>formatRow(Token!AJ$2:AO$2,Token!AJ29:AO29,2,"files")</f>
        <v>"files":[]</v>
      </c>
      <c r="Q30" s="2"/>
      <c r="R30" s="2"/>
      <c r="S30" s="2"/>
      <c r="T30" s="2" t="str">
        <f>formatRow(Token!AP$2:AQ$2,Token!AP29:AQ29,0,"collection")</f>
        <v>"collection":{"name":"",_x000D_
"family":""}</v>
      </c>
      <c r="U30" s="2"/>
      <c r="V30" s="2"/>
    </row>
    <row r="31" spans="5:22" ht="14.25" customHeight="1" x14ac:dyDescent="0.25">
      <c r="E31" s="13" t="str">
        <f>IF(Token!A30="","",Token!A30)</f>
        <v/>
      </c>
      <c r="L31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1" s="2" t="str">
        <f>formatRow(Token!A$2:F$2,Token!A30:F30)</f>
        <v>"name":"",_x000D_
"symbol":"",_x000D_
"description":"",_x000D_
"seller_fee_basis_points":"",_x000D_
"image":"",_x000D_
"external_url":""</v>
      </c>
      <c r="N31" s="2" t="str">
        <f>formatRow(Token!G$2:R$2,Token!G30:R30,2,"attributes")</f>
        <v>"attributes":[]</v>
      </c>
      <c r="O31" s="2" t="str">
        <f>formatRow(Token!AA$2:AI$2,Token!AA30:AI30,3,"creators")</f>
        <v>"creators":[]</v>
      </c>
      <c r="P31" s="2" t="str">
        <f>formatRow(Token!AJ$2:AO$2,Token!AJ30:AO30,2,"files")</f>
        <v>"files":[]</v>
      </c>
      <c r="Q31" s="2"/>
      <c r="R31" s="2"/>
      <c r="S31" s="2"/>
      <c r="T31" s="2" t="str">
        <f>formatRow(Token!AP$2:AQ$2,Token!AP30:AQ30,0,"collection")</f>
        <v>"collection":{"name":"",_x000D_
"family":""}</v>
      </c>
      <c r="U31" s="2"/>
      <c r="V31" s="2"/>
    </row>
    <row r="32" spans="5:22" ht="14.25" customHeight="1" x14ac:dyDescent="0.25">
      <c r="E32" s="13" t="str">
        <f>IF(Token!A31="","",Token!A31)</f>
        <v/>
      </c>
      <c r="L32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2" s="2" t="str">
        <f>formatRow(Token!A$2:F$2,Token!A31:F31)</f>
        <v>"name":"",_x000D_
"symbol":"",_x000D_
"description":"",_x000D_
"seller_fee_basis_points":"",_x000D_
"image":"",_x000D_
"external_url":""</v>
      </c>
      <c r="N32" s="2" t="str">
        <f>formatRow(Token!G$2:R$2,Token!G31:R31,2,"attributes")</f>
        <v>"attributes":[]</v>
      </c>
      <c r="O32" s="2" t="str">
        <f>formatRow(Token!AA$2:AI$2,Token!AA31:AI31,3,"creators")</f>
        <v>"creators":[]</v>
      </c>
      <c r="P32" s="2" t="str">
        <f>formatRow(Token!AJ$2:AO$2,Token!AJ31:AO31,2,"files")</f>
        <v>"files":[]</v>
      </c>
      <c r="Q32" s="2"/>
      <c r="R32" s="2"/>
      <c r="S32" s="2"/>
      <c r="T32" s="2" t="str">
        <f>formatRow(Token!AP$2:AQ$2,Token!AP31:AQ31,0,"collection")</f>
        <v>"collection":{"name":"",_x000D_
"family":""}</v>
      </c>
      <c r="U32" s="2"/>
      <c r="V32" s="2"/>
    </row>
    <row r="33" spans="5:22" ht="14.25" customHeight="1" x14ac:dyDescent="0.25">
      <c r="E33" s="13" t="str">
        <f>IF(Token!A32="","",Token!A32)</f>
        <v/>
      </c>
      <c r="L33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3" s="2" t="str">
        <f>formatRow(Token!A$2:F$2,Token!A32:F32)</f>
        <v>"name":"",_x000D_
"symbol":"",_x000D_
"description":"",_x000D_
"seller_fee_basis_points":"",_x000D_
"image":"",_x000D_
"external_url":""</v>
      </c>
      <c r="N33" s="2" t="str">
        <f>formatRow(Token!G$2:R$2,Token!G32:R32,2,"attributes")</f>
        <v>"attributes":[]</v>
      </c>
      <c r="O33" s="2" t="str">
        <f>formatRow(Token!AA$2:AI$2,Token!AA32:AI32,3,"creators")</f>
        <v>"creators":[]</v>
      </c>
      <c r="P33" s="2" t="str">
        <f>formatRow(Token!AJ$2:AO$2,Token!AJ32:AO32,2,"files")</f>
        <v>"files":[]</v>
      </c>
      <c r="Q33" s="2"/>
      <c r="R33" s="2"/>
      <c r="S33" s="2"/>
      <c r="T33" s="2" t="str">
        <f>formatRow(Token!AP$2:AQ$2,Token!AP32:AQ32,0,"collection")</f>
        <v>"collection":{"name":"",_x000D_
"family":""}</v>
      </c>
      <c r="U33" s="2"/>
      <c r="V33" s="2"/>
    </row>
    <row r="34" spans="5:22" ht="14.25" customHeight="1" x14ac:dyDescent="0.25">
      <c r="E34" s="13" t="str">
        <f>IF(Token!A33="","",Token!A33)</f>
        <v/>
      </c>
      <c r="L34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4" s="2" t="str">
        <f>formatRow(Token!A$2:F$2,Token!A33:F33)</f>
        <v>"name":"",_x000D_
"symbol":"",_x000D_
"description":"",_x000D_
"seller_fee_basis_points":"",_x000D_
"image":"",_x000D_
"external_url":""</v>
      </c>
      <c r="N34" s="2" t="str">
        <f>formatRow(Token!G$2:R$2,Token!G33:R33,2,"attributes")</f>
        <v>"attributes":[]</v>
      </c>
      <c r="O34" s="2" t="str">
        <f>formatRow(Token!AA$2:AI$2,Token!AA33:AI33,3,"creators")</f>
        <v>"creators":[]</v>
      </c>
      <c r="P34" s="2" t="str">
        <f>formatRow(Token!AJ$2:AO$2,Token!AJ33:AO33,2,"files")</f>
        <v>"files":[]</v>
      </c>
      <c r="Q34" s="2"/>
      <c r="R34" s="2"/>
      <c r="S34" s="2"/>
      <c r="T34" s="2" t="str">
        <f>formatRow(Token!AP$2:AQ$2,Token!AP33:AQ33,0,"collection")</f>
        <v>"collection":{"name":"",_x000D_
"family":""}</v>
      </c>
      <c r="U34" s="2"/>
      <c r="V34" s="2"/>
    </row>
    <row r="35" spans="5:22" ht="14.25" customHeight="1" x14ac:dyDescent="0.25">
      <c r="E35" s="13" t="str">
        <f>IF(Token!A34="","",Token!A34)</f>
        <v/>
      </c>
      <c r="L35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5" s="2" t="str">
        <f>formatRow(Token!A$2:F$2,Token!A34:F34)</f>
        <v>"name":"",_x000D_
"symbol":"",_x000D_
"description":"",_x000D_
"seller_fee_basis_points":"",_x000D_
"image":"",_x000D_
"external_url":""</v>
      </c>
      <c r="N35" s="2" t="str">
        <f>formatRow(Token!G$2:R$2,Token!G34:R34,2,"attributes")</f>
        <v>"attributes":[]</v>
      </c>
      <c r="O35" s="2" t="str">
        <f>formatRow(Token!AA$2:AI$2,Token!AA34:AI34,3,"creators")</f>
        <v>"creators":[]</v>
      </c>
      <c r="P35" s="2" t="str">
        <f>formatRow(Token!AJ$2:AO$2,Token!AJ34:AO34,2,"files")</f>
        <v>"files":[]</v>
      </c>
      <c r="Q35" s="2"/>
      <c r="R35" s="2"/>
      <c r="S35" s="2"/>
      <c r="T35" s="2" t="str">
        <f>formatRow(Token!AP$2:AQ$2,Token!AP34:AQ34,0,"collection")</f>
        <v>"collection":{"name":"",_x000D_
"family":""}</v>
      </c>
      <c r="U35" s="2"/>
      <c r="V35" s="2"/>
    </row>
    <row r="36" spans="5:22" ht="14.25" customHeight="1" x14ac:dyDescent="0.25">
      <c r="E36" s="13" t="str">
        <f>IF(Token!A35="","",Token!A35)</f>
        <v/>
      </c>
      <c r="L36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6" s="2" t="str">
        <f>formatRow(Token!A$2:F$2,Token!A35:F35)</f>
        <v>"name":"",_x000D_
"symbol":"",_x000D_
"description":"",_x000D_
"seller_fee_basis_points":"",_x000D_
"image":"",_x000D_
"external_url":""</v>
      </c>
      <c r="N36" s="2" t="str">
        <f>formatRow(Token!G$2:R$2,Token!G35:R35,2,"attributes")</f>
        <v>"attributes":[]</v>
      </c>
      <c r="O36" s="2" t="str">
        <f>formatRow(Token!AA$2:AI$2,Token!AA35:AI35,3,"creators")</f>
        <v>"creators":[]</v>
      </c>
      <c r="P36" s="2" t="str">
        <f>formatRow(Token!AJ$2:AO$2,Token!AJ35:AO35,2,"files")</f>
        <v>"files":[]</v>
      </c>
      <c r="Q36" s="2"/>
      <c r="R36" s="2"/>
      <c r="S36" s="2"/>
      <c r="T36" s="2" t="str">
        <f>formatRow(Token!AP$2:AQ$2,Token!AP35:AQ35,0,"collection")</f>
        <v>"collection":{"name":"",_x000D_
"family":""}</v>
      </c>
      <c r="U36" s="2"/>
      <c r="V36" s="2"/>
    </row>
    <row r="37" spans="5:22" ht="14.25" customHeight="1" x14ac:dyDescent="0.25">
      <c r="E37" s="13" t="str">
        <f>IF(Token!A36="","",Token!A36)</f>
        <v/>
      </c>
      <c r="L37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7" s="2" t="str">
        <f>formatRow(Token!A$2:F$2,Token!A36:F36)</f>
        <v>"name":"",_x000D_
"symbol":"",_x000D_
"description":"",_x000D_
"seller_fee_basis_points":"",_x000D_
"image":"",_x000D_
"external_url":""</v>
      </c>
      <c r="N37" s="2" t="str">
        <f>formatRow(Token!G$2:R$2,Token!G36:R36,2,"attributes")</f>
        <v>"attributes":[]</v>
      </c>
      <c r="O37" s="2" t="str">
        <f>formatRow(Token!AA$2:AI$2,Token!AA36:AI36,3,"creators")</f>
        <v>"creators":[]</v>
      </c>
      <c r="P37" s="2" t="str">
        <f>formatRow(Token!AJ$2:AO$2,Token!AJ36:AO36,2,"files")</f>
        <v>"files":[]</v>
      </c>
      <c r="Q37" s="2"/>
      <c r="R37" s="2"/>
      <c r="S37" s="2"/>
      <c r="T37" s="2" t="str">
        <f>formatRow(Token!AP$2:AQ$2,Token!AP36:AQ36,0,"collection")</f>
        <v>"collection":{"name":"",_x000D_
"family":""}</v>
      </c>
      <c r="U37" s="2"/>
      <c r="V37" s="2"/>
    </row>
    <row r="38" spans="5:22" ht="14.25" customHeight="1" x14ac:dyDescent="0.25">
      <c r="E38" s="13" t="str">
        <f>IF(Token!A37="","",Token!A37)</f>
        <v/>
      </c>
      <c r="L38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8" s="2" t="str">
        <f>formatRow(Token!A$2:F$2,Token!A37:F37)</f>
        <v>"name":"",_x000D_
"symbol":"",_x000D_
"description":"",_x000D_
"seller_fee_basis_points":"",_x000D_
"image":"",_x000D_
"external_url":""</v>
      </c>
      <c r="N38" s="2" t="str">
        <f>formatRow(Token!G$2:R$2,Token!G37:R37,2,"attributes")</f>
        <v>"attributes":[]</v>
      </c>
      <c r="O38" s="2" t="str">
        <f>formatRow(Token!AA$2:AI$2,Token!AA37:AI37,3,"creators")</f>
        <v>"creators":[]</v>
      </c>
      <c r="P38" s="2" t="str">
        <f>formatRow(Token!AJ$2:AO$2,Token!AJ37:AO37,2,"files")</f>
        <v>"files":[]</v>
      </c>
      <c r="Q38" s="2"/>
      <c r="R38" s="2"/>
      <c r="S38" s="2"/>
      <c r="T38" s="2" t="str">
        <f>formatRow(Token!AP$2:AQ$2,Token!AP37:AQ37,0,"collection")</f>
        <v>"collection":{"name":"",_x000D_
"family":""}</v>
      </c>
      <c r="U38" s="2"/>
      <c r="V38" s="2"/>
    </row>
    <row r="39" spans="5:22" ht="14.25" customHeight="1" x14ac:dyDescent="0.25">
      <c r="E39" s="13" t="str">
        <f>IF(Token!A38="","",Token!A38)</f>
        <v/>
      </c>
      <c r="L39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39" s="2" t="str">
        <f>formatRow(Token!A$2:F$2,Token!A38:F38)</f>
        <v>"name":"",_x000D_
"symbol":"",_x000D_
"description":"",_x000D_
"seller_fee_basis_points":"",_x000D_
"image":"",_x000D_
"external_url":""</v>
      </c>
      <c r="N39" s="2" t="str">
        <f>formatRow(Token!G$2:R$2,Token!G38:R38,2,"attributes")</f>
        <v>"attributes":[]</v>
      </c>
      <c r="O39" s="2" t="str">
        <f>formatRow(Token!AA$2:AI$2,Token!AA38:AI38,3,"creators")</f>
        <v>"creators":[]</v>
      </c>
      <c r="P39" s="2" t="str">
        <f>formatRow(Token!AJ$2:AO$2,Token!AJ38:AO38,2,"files")</f>
        <v>"files":[]</v>
      </c>
      <c r="Q39" s="2"/>
      <c r="R39" s="2"/>
      <c r="S39" s="2"/>
      <c r="T39" s="2" t="str">
        <f>formatRow(Token!AP$2:AQ$2,Token!AP38:AQ38,0,"collection")</f>
        <v>"collection":{"name":"",_x000D_
"family":""}</v>
      </c>
      <c r="U39" s="2"/>
      <c r="V39" s="2"/>
    </row>
    <row r="40" spans="5:22" ht="14.25" customHeight="1" x14ac:dyDescent="0.25">
      <c r="E40" s="13" t="str">
        <f>IF(Token!A39="","",Token!A39)</f>
        <v/>
      </c>
      <c r="L40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0" s="2" t="str">
        <f>formatRow(Token!A$2:F$2,Token!A39:F39)</f>
        <v>"name":"",_x000D_
"symbol":"",_x000D_
"description":"",_x000D_
"seller_fee_basis_points":"",_x000D_
"image":"",_x000D_
"external_url":""</v>
      </c>
      <c r="N40" s="2" t="str">
        <f>formatRow(Token!G$2:R$2,Token!G39:R39,2,"attributes")</f>
        <v>"attributes":[]</v>
      </c>
      <c r="O40" s="2" t="str">
        <f>formatRow(Token!AA$2:AI$2,Token!AA39:AI39,3,"creators")</f>
        <v>"creators":[]</v>
      </c>
      <c r="P40" s="2" t="str">
        <f>formatRow(Token!AJ$2:AO$2,Token!AJ39:AO39,2,"files")</f>
        <v>"files":[]</v>
      </c>
      <c r="Q40" s="2"/>
      <c r="R40" s="2"/>
      <c r="S40" s="2"/>
      <c r="T40" s="2" t="str">
        <f>formatRow(Token!AP$2:AQ$2,Token!AP39:AQ39,0,"collection")</f>
        <v>"collection":{"name":"",_x000D_
"family":""}</v>
      </c>
      <c r="U40" s="2"/>
      <c r="V40" s="2"/>
    </row>
    <row r="41" spans="5:22" ht="14.25" customHeight="1" x14ac:dyDescent="0.25">
      <c r="E41" s="13" t="str">
        <f>IF(Token!A40="","",Token!A40)</f>
        <v/>
      </c>
      <c r="L41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1" s="2" t="str">
        <f>formatRow(Token!A$2:F$2,Token!A40:F40)</f>
        <v>"name":"",_x000D_
"symbol":"",_x000D_
"description":"",_x000D_
"seller_fee_basis_points":"",_x000D_
"image":"",_x000D_
"external_url":""</v>
      </c>
      <c r="N41" s="2" t="str">
        <f>formatRow(Token!G$2:R$2,Token!G40:R40,2,"attributes")</f>
        <v>"attributes":[]</v>
      </c>
      <c r="O41" s="2" t="str">
        <f>formatRow(Token!AA$2:AI$2,Token!AA40:AI40,3,"creators")</f>
        <v>"creators":[]</v>
      </c>
      <c r="P41" s="2" t="str">
        <f>formatRow(Token!AJ$2:AO$2,Token!AJ40:AO40,2,"files")</f>
        <v>"files":[]</v>
      </c>
      <c r="Q41" s="2"/>
      <c r="R41" s="2"/>
      <c r="S41" s="2"/>
      <c r="T41" s="2" t="str">
        <f>formatRow(Token!AP$2:AQ$2,Token!AP40:AQ40,0,"collection")</f>
        <v>"collection":{"name":"",_x000D_
"family":""}</v>
      </c>
      <c r="U41" s="2"/>
      <c r="V41" s="2"/>
    </row>
    <row r="42" spans="5:22" ht="14.25" customHeight="1" x14ac:dyDescent="0.25">
      <c r="E42" s="13" t="str">
        <f>IF(Token!A41="","",Token!A41)</f>
        <v/>
      </c>
      <c r="L42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2" s="2" t="str">
        <f>formatRow(Token!A$2:F$2,Token!A41:F41)</f>
        <v>"name":"",_x000D_
"symbol":"",_x000D_
"description":"",_x000D_
"seller_fee_basis_points":"",_x000D_
"image":"",_x000D_
"external_url":""</v>
      </c>
      <c r="N42" s="2" t="str">
        <f>formatRow(Token!G$2:R$2,Token!G41:R41,2,"attributes")</f>
        <v>"attributes":[]</v>
      </c>
      <c r="O42" s="2" t="str">
        <f>formatRow(Token!AA$2:AI$2,Token!AA41:AI41,3,"creators")</f>
        <v>"creators":[]</v>
      </c>
      <c r="P42" s="2" t="str">
        <f>formatRow(Token!AJ$2:AO$2,Token!AJ41:AO41,2,"files")</f>
        <v>"files":[]</v>
      </c>
      <c r="Q42" s="2"/>
      <c r="R42" s="2"/>
      <c r="S42" s="2"/>
      <c r="T42" s="2" t="str">
        <f>formatRow(Token!AP$2:AQ$2,Token!AP41:AQ41,0,"collection")</f>
        <v>"collection":{"name":"",_x000D_
"family":""}</v>
      </c>
      <c r="U42" s="2"/>
      <c r="V42" s="2"/>
    </row>
    <row r="43" spans="5:22" ht="14.25" customHeight="1" x14ac:dyDescent="0.25">
      <c r="E43" s="13" t="str">
        <f>IF(Token!A42="","",Token!A42)</f>
        <v/>
      </c>
      <c r="L43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3" s="2" t="str">
        <f>formatRow(Token!A$2:F$2,Token!A42:F42)</f>
        <v>"name":"",_x000D_
"symbol":"",_x000D_
"description":"",_x000D_
"seller_fee_basis_points":"",_x000D_
"image":"",_x000D_
"external_url":""</v>
      </c>
      <c r="N43" s="2" t="str">
        <f>formatRow(Token!G$2:R$2,Token!G42:R42,2,"attributes")</f>
        <v>"attributes":[]</v>
      </c>
      <c r="O43" s="2" t="str">
        <f>formatRow(Token!AA$2:AI$2,Token!AA42:AI42,3,"creators")</f>
        <v>"creators":[]</v>
      </c>
      <c r="P43" s="2" t="str">
        <f>formatRow(Token!AJ$2:AO$2,Token!AJ42:AO42,2,"files")</f>
        <v>"files":[]</v>
      </c>
      <c r="Q43" s="2"/>
      <c r="R43" s="2"/>
      <c r="S43" s="2"/>
      <c r="T43" s="2" t="str">
        <f>formatRow(Token!AP$2:AQ$2,Token!AP42:AQ42,0,"collection")</f>
        <v>"collection":{"name":"",_x000D_
"family":""}</v>
      </c>
      <c r="U43" s="2"/>
      <c r="V43" s="2"/>
    </row>
    <row r="44" spans="5:22" ht="14.25" customHeight="1" x14ac:dyDescent="0.25">
      <c r="E44" s="13" t="str">
        <f>IF(Token!A43="","",Token!A43)</f>
        <v/>
      </c>
      <c r="L44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4" s="2" t="str">
        <f>formatRow(Token!A$2:F$2,Token!A43:F43)</f>
        <v>"name":"",_x000D_
"symbol":"",_x000D_
"description":"",_x000D_
"seller_fee_basis_points":"",_x000D_
"image":"",_x000D_
"external_url":""</v>
      </c>
      <c r="N44" s="2" t="str">
        <f>formatRow(Token!G$2:R$2,Token!G43:R43,2,"attributes")</f>
        <v>"attributes":[]</v>
      </c>
      <c r="O44" s="2" t="str">
        <f>formatRow(Token!AA$2:AI$2,Token!AA43:AI43,3,"creators")</f>
        <v>"creators":[]</v>
      </c>
      <c r="P44" s="2" t="str">
        <f>formatRow(Token!AJ$2:AO$2,Token!AJ43:AO43,2,"files")</f>
        <v>"files":[]</v>
      </c>
      <c r="Q44" s="2"/>
      <c r="R44" s="2"/>
      <c r="S44" s="2"/>
      <c r="T44" s="2" t="str">
        <f>formatRow(Token!AP$2:AQ$2,Token!AP43:AQ43,0,"collection")</f>
        <v>"collection":{"name":"",_x000D_
"family":""}</v>
      </c>
      <c r="U44" s="2"/>
      <c r="V44" s="2"/>
    </row>
    <row r="45" spans="5:22" ht="14.25" customHeight="1" x14ac:dyDescent="0.25">
      <c r="E45" s="13" t="str">
        <f>IF(Token!A44="","",Token!A44)</f>
        <v/>
      </c>
      <c r="L45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5" s="2" t="str">
        <f>formatRow(Token!A$2:F$2,Token!A44:F44)</f>
        <v>"name":"",_x000D_
"symbol":"",_x000D_
"description":"",_x000D_
"seller_fee_basis_points":"",_x000D_
"image":"",_x000D_
"external_url":""</v>
      </c>
      <c r="N45" s="2" t="str">
        <f>formatRow(Token!G$2:R$2,Token!G44:R44,2,"attributes")</f>
        <v>"attributes":[]</v>
      </c>
      <c r="O45" s="2" t="str">
        <f>formatRow(Token!AA$2:AI$2,Token!AA44:AI44,3,"creators")</f>
        <v>"creators":[]</v>
      </c>
      <c r="P45" s="2" t="str">
        <f>formatRow(Token!AJ$2:AO$2,Token!AJ44:AO44,2,"files")</f>
        <v>"files":[]</v>
      </c>
      <c r="Q45" s="2"/>
      <c r="R45" s="2"/>
      <c r="S45" s="2"/>
      <c r="T45" s="2" t="str">
        <f>formatRow(Token!AP$2:AQ$2,Token!AP44:AQ44,0,"collection")</f>
        <v>"collection":{"name":"",_x000D_
"family":""}</v>
      </c>
      <c r="U45" s="2"/>
      <c r="V45" s="2"/>
    </row>
    <row r="46" spans="5:22" ht="14.25" customHeight="1" x14ac:dyDescent="0.25">
      <c r="E46" s="13" t="str">
        <f>IF(Token!A45="","",Token!A45)</f>
        <v/>
      </c>
      <c r="L46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6" s="2" t="str">
        <f>formatRow(Token!A$2:F$2,Token!A45:F45)</f>
        <v>"name":"",_x000D_
"symbol":"",_x000D_
"description":"",_x000D_
"seller_fee_basis_points":"",_x000D_
"image":"",_x000D_
"external_url":""</v>
      </c>
      <c r="N46" s="2" t="str">
        <f>formatRow(Token!G$2:R$2,Token!G45:R45,2,"attributes")</f>
        <v>"attributes":[]</v>
      </c>
      <c r="O46" s="2" t="str">
        <f>formatRow(Token!AA$2:AI$2,Token!AA45:AI45,3,"creators")</f>
        <v>"creators":[]</v>
      </c>
      <c r="P46" s="2" t="str">
        <f>formatRow(Token!AJ$2:AO$2,Token!AJ45:AO45,2,"files")</f>
        <v>"files":[]</v>
      </c>
      <c r="Q46" s="2"/>
      <c r="R46" s="2"/>
      <c r="S46" s="2"/>
      <c r="T46" s="2" t="str">
        <f>formatRow(Token!AP$2:AQ$2,Token!AP45:AQ45,0,"collection")</f>
        <v>"collection":{"name":"",_x000D_
"family":""}</v>
      </c>
      <c r="U46" s="2"/>
      <c r="V46" s="2"/>
    </row>
    <row r="47" spans="5:22" ht="14.25" customHeight="1" x14ac:dyDescent="0.25">
      <c r="E47" s="13" t="str">
        <f>IF(Token!A46="","",Token!A46)</f>
        <v/>
      </c>
      <c r="L47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7" s="2" t="str">
        <f>formatRow(Token!A$2:F$2,Token!A46:F46)</f>
        <v>"name":"",_x000D_
"symbol":"",_x000D_
"description":"",_x000D_
"seller_fee_basis_points":"",_x000D_
"image":"",_x000D_
"external_url":""</v>
      </c>
      <c r="N47" s="2" t="str">
        <f>formatRow(Token!G$2:R$2,Token!G46:R46,2,"attributes")</f>
        <v>"attributes":[]</v>
      </c>
      <c r="O47" s="2" t="str">
        <f>formatRow(Token!AA$2:AI$2,Token!AA46:AI46,3,"creators")</f>
        <v>"creators":[]</v>
      </c>
      <c r="P47" s="2" t="str">
        <f>formatRow(Token!AJ$2:AO$2,Token!AJ46:AO46,2,"files")</f>
        <v>"files":[]</v>
      </c>
      <c r="Q47" s="2"/>
      <c r="R47" s="2"/>
      <c r="S47" s="2"/>
      <c r="T47" s="2" t="str">
        <f>formatRow(Token!AP$2:AQ$2,Token!AP46:AQ46,0,"collection")</f>
        <v>"collection":{"name":"",_x000D_
"family":""}</v>
      </c>
      <c r="U47" s="2"/>
      <c r="V47" s="2"/>
    </row>
    <row r="48" spans="5:22" ht="14.25" customHeight="1" x14ac:dyDescent="0.25">
      <c r="E48" s="13" t="str">
        <f>IF(Token!A47="","",Token!A47)</f>
        <v/>
      </c>
      <c r="L48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8" s="2" t="str">
        <f>formatRow(Token!A$2:F$2,Token!A47:F47)</f>
        <v>"name":"",_x000D_
"symbol":"",_x000D_
"description":"",_x000D_
"seller_fee_basis_points":"",_x000D_
"image":"",_x000D_
"external_url":""</v>
      </c>
      <c r="N48" s="2" t="str">
        <f>formatRow(Token!G$2:R$2,Token!G47:R47,2,"attributes")</f>
        <v>"attributes":[]</v>
      </c>
      <c r="O48" s="2" t="str">
        <f>formatRow(Token!AA$2:AI$2,Token!AA47:AI47,3,"creators")</f>
        <v>"creators":[]</v>
      </c>
      <c r="P48" s="2" t="str">
        <f>formatRow(Token!AJ$2:AO$2,Token!AJ47:AO47,2,"files")</f>
        <v>"files":[]</v>
      </c>
      <c r="Q48" s="2"/>
      <c r="R48" s="2"/>
      <c r="S48" s="2"/>
      <c r="T48" s="2" t="str">
        <f>formatRow(Token!AP$2:AQ$2,Token!AP47:AQ47,0,"collection")</f>
        <v>"collection":{"name":"",_x000D_
"family":""}</v>
      </c>
      <c r="U48" s="2"/>
      <c r="V48" s="2"/>
    </row>
    <row r="49" spans="5:22" ht="14.25" customHeight="1" x14ac:dyDescent="0.25">
      <c r="E49" s="13" t="str">
        <f>IF(Token!A48="","",Token!A48)</f>
        <v/>
      </c>
      <c r="L49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49" s="2" t="str">
        <f>formatRow(Token!A$2:F$2,Token!A48:F48)</f>
        <v>"name":"",_x000D_
"symbol":"",_x000D_
"description":"",_x000D_
"seller_fee_basis_points":"",_x000D_
"image":"",_x000D_
"external_url":""</v>
      </c>
      <c r="N49" s="2" t="str">
        <f>formatRow(Token!G$2:R$2,Token!G48:R48,2,"attributes")</f>
        <v>"attributes":[]</v>
      </c>
      <c r="O49" s="2" t="str">
        <f>formatRow(Token!AA$2:AI$2,Token!AA48:AI48,3,"creators")</f>
        <v>"creators":[]</v>
      </c>
      <c r="P49" s="2" t="str">
        <f>formatRow(Token!AJ$2:AO$2,Token!AJ48:AO48,2,"files")</f>
        <v>"files":[]</v>
      </c>
      <c r="Q49" s="2"/>
      <c r="R49" s="2"/>
      <c r="S49" s="2"/>
      <c r="T49" s="2" t="str">
        <f>formatRow(Token!AP$2:AQ$2,Token!AP48:AQ48,0,"collection")</f>
        <v>"collection":{"name":"",_x000D_
"family":""}</v>
      </c>
      <c r="U49" s="2"/>
      <c r="V49" s="2"/>
    </row>
    <row r="50" spans="5:22" ht="14.25" customHeight="1" x14ac:dyDescent="0.25">
      <c r="E50" s="13" t="str">
        <f>IF(Token!A49="","",Token!A49)</f>
        <v/>
      </c>
      <c r="L50" s="2" t="str">
        <f t="shared" si="0"/>
        <v>{"name":"",_x000D_
"symbol":"",_x000D_
"description":"",_x000D_
"seller_fee_basis_points":"",_x000D_
"image":"",_x000D_
"external_url":"","attributes":[],"properties":{"creators":[],"files":[]},"collection":{"name":"",_x000D_
"family":""}}</v>
      </c>
      <c r="M50" s="2" t="str">
        <f>formatRow(Token!A$2:F$2,Token!A49:F49)</f>
        <v>"name":"",_x000D_
"symbol":"",_x000D_
"description":"",_x000D_
"seller_fee_basis_points":"",_x000D_
"image":"",_x000D_
"external_url":""</v>
      </c>
      <c r="N50" s="2" t="str">
        <f>formatRow(Token!G$2:R$2,Token!G49:R49,2,"attributes")</f>
        <v>"attributes":[]</v>
      </c>
      <c r="O50" s="2" t="str">
        <f>formatRow(Token!AA$2:AI$2,Token!AA49:AI49,3,"creators")</f>
        <v>"creators":[]</v>
      </c>
      <c r="P50" s="2" t="str">
        <f>formatRow(Token!AJ$2:AO$2,Token!AJ49:AO49,2,"files")</f>
        <v>"files":[]</v>
      </c>
      <c r="Q50" s="2"/>
      <c r="R50" s="2"/>
      <c r="S50" s="2"/>
      <c r="T50" s="2" t="str">
        <f>formatRow(Token!AP$2:AQ$2,Token!AP49:AQ49,0,"collection")</f>
        <v>"collection":{"name":"",_x000D_
"family":""}</v>
      </c>
      <c r="U50" s="2"/>
      <c r="V50" s="2"/>
    </row>
    <row r="51" spans="5:22" ht="14.25" customHeight="1" x14ac:dyDescent="0.25">
      <c r="E51" s="13" t="str">
        <f>IF(Token!A50="","",Token!A50)</f>
        <v/>
      </c>
    </row>
    <row r="52" spans="5:22" ht="14.25" customHeight="1" x14ac:dyDescent="0.25">
      <c r="E52" s="13" t="str">
        <f>IF(Token!A51="","",Token!A51)</f>
        <v/>
      </c>
    </row>
    <row r="53" spans="5:22" ht="14.25" customHeight="1" x14ac:dyDescent="0.25">
      <c r="E53" s="13" t="str">
        <f>IF(Token!A52="","",Token!A52)</f>
        <v/>
      </c>
    </row>
    <row r="54" spans="5:22" ht="14.25" customHeight="1" x14ac:dyDescent="0.25">
      <c r="E54" s="13" t="str">
        <f>IF(Token!A53="","",Token!A53)</f>
        <v/>
      </c>
    </row>
    <row r="55" spans="5:22" ht="14.25" customHeight="1" x14ac:dyDescent="0.25">
      <c r="E55" s="13" t="str">
        <f>IF(Token!A54="","",Token!A54)</f>
        <v/>
      </c>
    </row>
    <row r="56" spans="5:22" ht="14.25" customHeight="1" x14ac:dyDescent="0.25">
      <c r="E56" s="13" t="str">
        <f>IF(Token!A55="","",Token!A55)</f>
        <v/>
      </c>
    </row>
    <row r="57" spans="5:22" ht="14.25" customHeight="1" x14ac:dyDescent="0.25">
      <c r="E57" s="13" t="str">
        <f>IF(Token!A56="","",Token!A56)</f>
        <v/>
      </c>
    </row>
    <row r="58" spans="5:22" ht="14.25" customHeight="1" x14ac:dyDescent="0.25">
      <c r="E58" s="13" t="str">
        <f>IF(Token!A57="","",Token!A57)</f>
        <v/>
      </c>
    </row>
    <row r="59" spans="5:22" ht="14.25" customHeight="1" x14ac:dyDescent="0.25">
      <c r="E59" s="13" t="str">
        <f>IF(Token!A58="","",Token!A58)</f>
        <v/>
      </c>
    </row>
    <row r="60" spans="5:22" ht="14.25" customHeight="1" x14ac:dyDescent="0.25">
      <c r="E60" s="13" t="str">
        <f>IF(Token!A59="","",Token!A59)</f>
        <v/>
      </c>
    </row>
    <row r="61" spans="5:22" ht="14.25" customHeight="1" x14ac:dyDescent="0.25">
      <c r="E61" s="13" t="str">
        <f>IF(Token!A60="","",Token!A60)</f>
        <v/>
      </c>
    </row>
    <row r="62" spans="5:22" ht="14.25" customHeight="1" x14ac:dyDescent="0.25">
      <c r="E62" s="13" t="str">
        <f>IF(Token!A61="","",Token!A61)</f>
        <v/>
      </c>
    </row>
    <row r="63" spans="5:22" ht="14.25" customHeight="1" x14ac:dyDescent="0.25">
      <c r="E63" s="13" t="str">
        <f>IF(Token!A62="","",Token!A62)</f>
        <v/>
      </c>
    </row>
    <row r="64" spans="5:22" ht="14.25" customHeight="1" x14ac:dyDescent="0.25">
      <c r="E64" s="13" t="str">
        <f>IF(Token!A63="","",Token!A63)</f>
        <v/>
      </c>
    </row>
    <row r="65" spans="5:5" ht="14.25" customHeight="1" x14ac:dyDescent="0.25">
      <c r="E65" s="13" t="str">
        <f>IF(Token!A64="","",Token!A64)</f>
        <v/>
      </c>
    </row>
    <row r="66" spans="5:5" ht="14.25" customHeight="1" x14ac:dyDescent="0.25">
      <c r="E66" s="13" t="str">
        <f>IF(Token!A65="","",Token!A65)</f>
        <v/>
      </c>
    </row>
    <row r="67" spans="5:5" ht="14.25" customHeight="1" x14ac:dyDescent="0.25">
      <c r="E67" s="13" t="str">
        <f>IF(Token!A66="","",Token!A66)</f>
        <v/>
      </c>
    </row>
    <row r="68" spans="5:5" ht="14.25" customHeight="1" x14ac:dyDescent="0.25">
      <c r="E68" s="13" t="str">
        <f>IF(Token!A67="","",Token!A67)</f>
        <v/>
      </c>
    </row>
    <row r="69" spans="5:5" ht="14.25" customHeight="1" x14ac:dyDescent="0.25">
      <c r="E69" s="13" t="str">
        <f>IF(Token!A68="","",Token!A68)</f>
        <v/>
      </c>
    </row>
    <row r="70" spans="5:5" ht="14.25" customHeight="1" x14ac:dyDescent="0.25">
      <c r="E70" s="13" t="str">
        <f>IF(Token!A69="","",Token!A69)</f>
        <v/>
      </c>
    </row>
    <row r="71" spans="5:5" ht="14.25" customHeight="1" x14ac:dyDescent="0.25">
      <c r="E71" s="13" t="str">
        <f>IF(Token!A70="","",Token!A70)</f>
        <v/>
      </c>
    </row>
    <row r="72" spans="5:5" ht="14.25" customHeight="1" x14ac:dyDescent="0.25">
      <c r="E72" s="13" t="str">
        <f>IF(Token!A71="","",Token!A71)</f>
        <v/>
      </c>
    </row>
    <row r="73" spans="5:5" ht="14.25" customHeight="1" x14ac:dyDescent="0.25">
      <c r="E73" s="13" t="str">
        <f>IF(Token!A72="","",Token!A72)</f>
        <v/>
      </c>
    </row>
    <row r="74" spans="5:5" ht="14.25" customHeight="1" x14ac:dyDescent="0.25">
      <c r="E74" s="13" t="str">
        <f>IF(Token!A73="","",Token!A73)</f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age">
                <anchor moveWithCells="1" sizeWithCells="1">
                  <from>
                    <xdr:col>1</xdr:col>
                    <xdr:colOff>714375</xdr:colOff>
                    <xdr:row>0</xdr:row>
                    <xdr:rowOff>76200</xdr:rowOff>
                  </from>
                  <to>
                    <xdr:col>3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load">
                <anchor moveWithCells="1" sizeWithCells="1">
                  <from>
                    <xdr:col>0</xdr:col>
                    <xdr:colOff>152400</xdr:colOff>
                    <xdr:row>0</xdr:row>
                    <xdr:rowOff>85725</xdr:rowOff>
                  </from>
                  <to>
                    <xdr:col>1</xdr:col>
                    <xdr:colOff>542925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2EA649-0F1A-4DB0-B46B-414AC1867165}">
          <x14:formula1>
            <xm:f>Settings!$J$2:$J$12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4EB2-2479-4A64-B63B-EEC4538487D4}">
  <sheetPr codeName="Feuil3"/>
  <dimension ref="A1:J7"/>
  <sheetViews>
    <sheetView workbookViewId="0">
      <selection activeCell="B2" sqref="B2"/>
    </sheetView>
  </sheetViews>
  <sheetFormatPr baseColWidth="10" defaultRowHeight="15" x14ac:dyDescent="0.25"/>
  <cols>
    <col min="1" max="1" width="21.5703125" customWidth="1"/>
    <col min="2" max="2" width="27.28515625" customWidth="1"/>
    <col min="8" max="8" width="34.42578125" customWidth="1"/>
    <col min="9" max="9" width="22.5703125" customWidth="1"/>
  </cols>
  <sheetData>
    <row r="1" spans="1:10" x14ac:dyDescent="0.25">
      <c r="A1" s="4" t="s">
        <v>25</v>
      </c>
      <c r="B1" t="s">
        <v>32</v>
      </c>
      <c r="H1" s="14" t="s">
        <v>31</v>
      </c>
      <c r="I1" s="14" t="s">
        <v>26</v>
      </c>
      <c r="J1" s="14" t="s">
        <v>36</v>
      </c>
    </row>
    <row r="2" spans="1:10" x14ac:dyDescent="0.25">
      <c r="A2" s="4" t="s">
        <v>26</v>
      </c>
      <c r="B2" t="s">
        <v>27</v>
      </c>
      <c r="H2" s="3" t="s">
        <v>33</v>
      </c>
      <c r="I2" t="s">
        <v>27</v>
      </c>
      <c r="J2" t="s">
        <v>37</v>
      </c>
    </row>
    <row r="3" spans="1:10" x14ac:dyDescent="0.25">
      <c r="A3" s="4" t="s">
        <v>43</v>
      </c>
      <c r="B3">
        <v>600000</v>
      </c>
      <c r="H3" s="3" t="s">
        <v>32</v>
      </c>
      <c r="I3" t="s">
        <v>34</v>
      </c>
      <c r="J3" t="s">
        <v>38</v>
      </c>
    </row>
    <row r="4" spans="1:10" x14ac:dyDescent="0.25">
      <c r="I4" t="s">
        <v>70</v>
      </c>
      <c r="J4" t="s">
        <v>27</v>
      </c>
    </row>
    <row r="5" spans="1:10" x14ac:dyDescent="0.25">
      <c r="I5" t="s">
        <v>71</v>
      </c>
      <c r="J5" t="s">
        <v>39</v>
      </c>
    </row>
    <row r="6" spans="1:10" x14ac:dyDescent="0.25">
      <c r="J6" t="s">
        <v>40</v>
      </c>
    </row>
    <row r="7" spans="1:10" x14ac:dyDescent="0.25">
      <c r="J7" t="s">
        <v>41</v>
      </c>
    </row>
  </sheetData>
  <dataValidations count="2">
    <dataValidation type="list" allowBlank="1" showInputMessage="1" showErrorMessage="1" sqref="B1" xr:uid="{70CCA6DE-EE0B-498A-804A-A3044CF9DE7F}">
      <formula1>$H$2:$H$3</formula1>
    </dataValidation>
    <dataValidation type="list" allowBlank="1" showInputMessage="1" showErrorMessage="1" sqref="B2" xr:uid="{C13BF3FF-D6BF-4E50-9B5E-9C12138717D5}">
      <formula1>$I$2:$I$11</formula1>
    </dataValidation>
  </dataValidations>
  <hyperlinks>
    <hyperlink ref="H2" r:id="rId1" xr:uid="{9E1758E6-8278-4CB5-897F-71102DE9E60D}"/>
    <hyperlink ref="H3" r:id="rId2" xr:uid="{3C6219B1-51FD-445C-8269-6FA64DCBF03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Token</vt:lpstr>
      <vt:lpstr>ToMint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</cp:lastModifiedBy>
  <dcterms:created xsi:type="dcterms:W3CDTF">2022-04-18T13:48:14Z</dcterms:created>
  <dcterms:modified xsi:type="dcterms:W3CDTF">2022-04-20T12:16:28Z</dcterms:modified>
</cp:coreProperties>
</file>